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D:\PROCESS ENGINEERING\NISA -REPORT PRODUKSI\2022\Daily Report\"/>
    </mc:Choice>
  </mc:AlternateContent>
  <xr:revisionPtr revIDLastSave="0" documentId="13_ncr:1_{DB1423FA-4FB7-4C99-B276-B16D61E01C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et" sheetId="43" r:id="rId1"/>
    <sheet name="Sheet1" sheetId="4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L33" i="43" l="1"/>
  <c r="AL75" i="43" l="1"/>
  <c r="F83" i="43"/>
  <c r="F84" i="43"/>
  <c r="F100" i="43" s="1"/>
  <c r="F85" i="43"/>
  <c r="F86" i="43"/>
  <c r="F96" i="43"/>
  <c r="F97" i="43"/>
  <c r="F99" i="43"/>
  <c r="F103" i="43"/>
  <c r="F104" i="43"/>
  <c r="F109" i="43"/>
  <c r="F110" i="43"/>
  <c r="AN31" i="43" l="1"/>
  <c r="AJ50" i="43"/>
  <c r="AJ42" i="43"/>
  <c r="AJ40" i="43" s="1"/>
  <c r="AJ38" i="43"/>
  <c r="AJ37" i="43"/>
  <c r="AJ45" i="43"/>
  <c r="AI37" i="43" l="1"/>
  <c r="AI31" i="43"/>
  <c r="AI42" i="43"/>
  <c r="AI52" i="43"/>
  <c r="AI53" i="43"/>
  <c r="AP36" i="43" l="1"/>
  <c r="AI40" i="43"/>
  <c r="AH40" i="43"/>
  <c r="AI45" i="43"/>
  <c r="AI50" i="43"/>
  <c r="AH38" i="43"/>
  <c r="AH37" i="43"/>
  <c r="AH31" i="43"/>
  <c r="AH45" i="43"/>
  <c r="AH50" i="43"/>
  <c r="AE27" i="43" l="1"/>
  <c r="AG65" i="43" l="1"/>
  <c r="AG45" i="43"/>
  <c r="AG31" i="43"/>
  <c r="AG42" i="43"/>
  <c r="AG40" i="43" s="1"/>
  <c r="AG41" i="43"/>
  <c r="AG67" i="43"/>
  <c r="AL128" i="43" l="1"/>
  <c r="AL71" i="43" l="1"/>
  <c r="AF42" i="43"/>
  <c r="AF45" i="43" l="1"/>
  <c r="AE45" i="43"/>
  <c r="AD45" i="43"/>
  <c r="AD42" i="43"/>
  <c r="AF40" i="43"/>
  <c r="AE40" i="43"/>
  <c r="AD40" i="43"/>
  <c r="AE38" i="43"/>
  <c r="AD38" i="43"/>
  <c r="AF37" i="43"/>
  <c r="AE31" i="43"/>
  <c r="AC46" i="43" l="1"/>
  <c r="AC45" i="43" s="1"/>
  <c r="AC40" i="43"/>
  <c r="AB40" i="43"/>
  <c r="AC38" i="43"/>
  <c r="AB37" i="43"/>
  <c r="AB31" i="43"/>
  <c r="AB65" i="43" l="1"/>
  <c r="AB67" i="43"/>
  <c r="AA27" i="43" l="1"/>
  <c r="AB27" i="43"/>
  <c r="AF65" i="43" l="1"/>
  <c r="AE70" i="43"/>
  <c r="AG195" i="43"/>
  <c r="AF195" i="43"/>
  <c r="AE195" i="43"/>
  <c r="AG188" i="43"/>
  <c r="AF188" i="43"/>
  <c r="AE188" i="43"/>
  <c r="AG181" i="43"/>
  <c r="AF181" i="43"/>
  <c r="AE181" i="43"/>
  <c r="AG176" i="43"/>
  <c r="AF176" i="43"/>
  <c r="AE176" i="43"/>
  <c r="AG168" i="43"/>
  <c r="AG169" i="43" s="1"/>
  <c r="AF168" i="43"/>
  <c r="AF169" i="43" s="1"/>
  <c r="AE168" i="43"/>
  <c r="AE169" i="43" s="1"/>
  <c r="AG162" i="43"/>
  <c r="AG161" i="43" s="1"/>
  <c r="AF162" i="43"/>
  <c r="AF161" i="43" s="1"/>
  <c r="AE162" i="43"/>
  <c r="AE161" i="43" s="1"/>
  <c r="AF155" i="43"/>
  <c r="AG152" i="43"/>
  <c r="AF152" i="43"/>
  <c r="AE152" i="43"/>
  <c r="AG151" i="43"/>
  <c r="AF151" i="43"/>
  <c r="AE151" i="43"/>
  <c r="AG141" i="43"/>
  <c r="AF141" i="43"/>
  <c r="AE141" i="43"/>
  <c r="AG140" i="43"/>
  <c r="AF140" i="43"/>
  <c r="AE140" i="43"/>
  <c r="AG139" i="43"/>
  <c r="AG155" i="43" s="1"/>
  <c r="AF139" i="43"/>
  <c r="AE139" i="43"/>
  <c r="AE155" i="43" s="1"/>
  <c r="AG138" i="43"/>
  <c r="AF138" i="43"/>
  <c r="AE138" i="43"/>
  <c r="AG137" i="43"/>
  <c r="AG154" i="43" s="1"/>
  <c r="AF137" i="43"/>
  <c r="AF154" i="43" s="1"/>
  <c r="AE137" i="43"/>
  <c r="AE154" i="43" s="1"/>
  <c r="AG130" i="43"/>
  <c r="AG131" i="43" s="1"/>
  <c r="AF130" i="43"/>
  <c r="AF131" i="43" s="1"/>
  <c r="AE130" i="43"/>
  <c r="AE131" i="43" s="1"/>
  <c r="AG123" i="43"/>
  <c r="AF123" i="43"/>
  <c r="AE123" i="43"/>
  <c r="AG122" i="43"/>
  <c r="AF122" i="43"/>
  <c r="AE122" i="43"/>
  <c r="AG112" i="43"/>
  <c r="AF112" i="43"/>
  <c r="AE112" i="43"/>
  <c r="AG111" i="43"/>
  <c r="AF111" i="43"/>
  <c r="AE111" i="43"/>
  <c r="AG110" i="43"/>
  <c r="AG126" i="43" s="1"/>
  <c r="AF110" i="43"/>
  <c r="AF126" i="43" s="1"/>
  <c r="AE110" i="43"/>
  <c r="AE126" i="43" s="1"/>
  <c r="AG109" i="43"/>
  <c r="AG125" i="43" s="1"/>
  <c r="AF109" i="43"/>
  <c r="AF125" i="43" s="1"/>
  <c r="AE109" i="43"/>
  <c r="AE125" i="43" s="1"/>
  <c r="AG103" i="43"/>
  <c r="AG104" i="43" s="1"/>
  <c r="AF103" i="43"/>
  <c r="AF104" i="43" s="1"/>
  <c r="AE103" i="43"/>
  <c r="AE104" i="43" s="1"/>
  <c r="AG97" i="43"/>
  <c r="AF97" i="43"/>
  <c r="AE97" i="43"/>
  <c r="AG96" i="43"/>
  <c r="AF96" i="43"/>
  <c r="AE96" i="43"/>
  <c r="AG86" i="43"/>
  <c r="AF86" i="43"/>
  <c r="AE86" i="43"/>
  <c r="AG85" i="43"/>
  <c r="AF85" i="43"/>
  <c r="AE85" i="43"/>
  <c r="AG84" i="43"/>
  <c r="AG100" i="43" s="1"/>
  <c r="AF84" i="43"/>
  <c r="AF100" i="43" s="1"/>
  <c r="AE84" i="43"/>
  <c r="AE100" i="43" s="1"/>
  <c r="AG83" i="43"/>
  <c r="AG99" i="43" s="1"/>
  <c r="AF83" i="43"/>
  <c r="AF99" i="43" s="1"/>
  <c r="AE83" i="43"/>
  <c r="AE99" i="43" s="1"/>
  <c r="AG76" i="43"/>
  <c r="AG77" i="43" s="1"/>
  <c r="AF76" i="43"/>
  <c r="AF77" i="43" s="1"/>
  <c r="AE76" i="43"/>
  <c r="AE77" i="43" s="1"/>
  <c r="AG72" i="43"/>
  <c r="AF72" i="43"/>
  <c r="AE72" i="43"/>
  <c r="AG70" i="43"/>
  <c r="AF70" i="43"/>
  <c r="AG69" i="43"/>
  <c r="AE69" i="43"/>
  <c r="AF67" i="43"/>
  <c r="AE67" i="43"/>
  <c r="AE65" i="43"/>
  <c r="AG62" i="43"/>
  <c r="AF62" i="43"/>
  <c r="AE62" i="43"/>
  <c r="AG61" i="43"/>
  <c r="AF61" i="43"/>
  <c r="AE61" i="43"/>
  <c r="AG60" i="43"/>
  <c r="AF60" i="43"/>
  <c r="AE60" i="43"/>
  <c r="AG59" i="43"/>
  <c r="AF59" i="43"/>
  <c r="AE59" i="43"/>
  <c r="AG58" i="43"/>
  <c r="AF58" i="43"/>
  <c r="AE58" i="43"/>
  <c r="AG57" i="43"/>
  <c r="AF57" i="43"/>
  <c r="AE57" i="43"/>
  <c r="AG56" i="43"/>
  <c r="AE56" i="43"/>
  <c r="AG55" i="43"/>
  <c r="AE55" i="43"/>
  <c r="AG27" i="43"/>
  <c r="AF27" i="43"/>
  <c r="AG26" i="43"/>
  <c r="AF26" i="43"/>
  <c r="AE26" i="43"/>
  <c r="AG22" i="43"/>
  <c r="AF22" i="43"/>
  <c r="AE22" i="43"/>
  <c r="AG18" i="43"/>
  <c r="AF18" i="43"/>
  <c r="AE18" i="43"/>
  <c r="AG14" i="43"/>
  <c r="AF14" i="43"/>
  <c r="AE14" i="43"/>
  <c r="AG10" i="43"/>
  <c r="AF10" i="43"/>
  <c r="AE10" i="43"/>
  <c r="AF56" i="43" l="1"/>
  <c r="AF69" i="43"/>
  <c r="AF55" i="43"/>
  <c r="AB50" i="43" l="1"/>
  <c r="AB45" i="43"/>
  <c r="AB69" i="43"/>
  <c r="AA176" i="43" l="1"/>
  <c r="AA45" i="43" l="1"/>
  <c r="AA37" i="43"/>
  <c r="AA31" i="43"/>
  <c r="AA40" i="43"/>
  <c r="Z38" i="43" l="1"/>
  <c r="Z37" i="43"/>
  <c r="Z31" i="43"/>
  <c r="Z40" i="43"/>
  <c r="Z45" i="43"/>
  <c r="X38" i="43"/>
  <c r="Y37" i="43"/>
  <c r="X31" i="43"/>
  <c r="W41" i="43"/>
  <c r="W40" i="43" s="1"/>
  <c r="W38" i="43"/>
  <c r="Y45" i="43"/>
  <c r="X45" i="43"/>
  <c r="W45" i="43"/>
  <c r="Y40" i="43"/>
  <c r="X40" i="43"/>
  <c r="V45" i="43" l="1"/>
  <c r="V40" i="43"/>
  <c r="V38" i="43"/>
  <c r="U41" i="43" l="1"/>
  <c r="U38" i="43"/>
  <c r="U37" i="43"/>
  <c r="U31" i="43"/>
  <c r="U45" i="43" l="1"/>
  <c r="U40" i="43"/>
  <c r="T45" i="43" l="1"/>
  <c r="T38" i="43"/>
  <c r="T31" i="43"/>
  <c r="T40" i="43"/>
  <c r="S140" i="43" l="1"/>
  <c r="S38" i="43" l="1"/>
  <c r="S31" i="43"/>
  <c r="S40" i="43"/>
  <c r="S45" i="43"/>
  <c r="R40" i="43" l="1"/>
  <c r="Q50" i="43"/>
  <c r="R45" i="43"/>
  <c r="Q45" i="43"/>
  <c r="P45" i="43"/>
  <c r="R38" i="43"/>
  <c r="Q40" i="43"/>
  <c r="P52" i="43"/>
  <c r="P50" i="43" s="1"/>
  <c r="P40" i="43"/>
  <c r="P38" i="43"/>
  <c r="O45" i="43" l="1"/>
  <c r="O40" i="43"/>
  <c r="O53" i="43"/>
  <c r="O52" i="43"/>
  <c r="O38" i="43"/>
  <c r="O37" i="43"/>
  <c r="O31" i="43"/>
  <c r="O50" i="43" l="1"/>
  <c r="N40" i="43"/>
  <c r="N45" i="43"/>
  <c r="M38" i="43"/>
  <c r="M70" i="43" s="1"/>
  <c r="M40" i="43"/>
  <c r="M45" i="43"/>
  <c r="N50" i="43"/>
  <c r="M50" i="43"/>
  <c r="M49" i="43"/>
  <c r="L50" i="43" l="1"/>
  <c r="L45" i="43"/>
  <c r="L40" i="43"/>
  <c r="L49" i="43"/>
  <c r="L38" i="43"/>
  <c r="L37" i="43"/>
  <c r="L31" i="43"/>
  <c r="AL31" i="43" s="1"/>
  <c r="K38" i="43" l="1"/>
  <c r="J38" i="43"/>
  <c r="K40" i="43"/>
  <c r="J40" i="43"/>
  <c r="I40" i="43"/>
  <c r="H40" i="43"/>
  <c r="G40" i="43"/>
  <c r="F40" i="43"/>
  <c r="K45" i="43"/>
  <c r="J45" i="43"/>
  <c r="I45" i="43"/>
  <c r="H45" i="43"/>
  <c r="G45" i="43"/>
  <c r="F45" i="43"/>
  <c r="K50" i="43"/>
  <c r="J50" i="43"/>
  <c r="I50" i="43"/>
  <c r="H50" i="43"/>
  <c r="G50" i="43"/>
  <c r="F50" i="43"/>
  <c r="F164" i="43" l="1"/>
  <c r="D53" i="43"/>
  <c r="D52" i="43"/>
  <c r="D47" i="43"/>
  <c r="D46" i="43"/>
  <c r="D42" i="43"/>
  <c r="D41" i="43"/>
  <c r="D31" i="43"/>
  <c r="F112" i="43" l="1"/>
  <c r="AD168" i="43"/>
  <c r="AL35" i="43" l="1"/>
  <c r="AL34" i="43"/>
  <c r="Y27" i="43" l="1"/>
  <c r="AJ27" i="43" l="1"/>
  <c r="AI27" i="43"/>
  <c r="AH27" i="43"/>
  <c r="AD27" i="43"/>
  <c r="AC27" i="43"/>
  <c r="Z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AJ26" i="43"/>
  <c r="AI26" i="43"/>
  <c r="AH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AL25" i="43"/>
  <c r="AL24" i="43"/>
  <c r="AL26" i="43" l="1"/>
  <c r="T130" i="43" l="1"/>
  <c r="S130" i="43" l="1"/>
  <c r="S131" i="43" s="1"/>
  <c r="R130" i="43"/>
  <c r="R131" i="43" s="1"/>
  <c r="D50" i="43" l="1"/>
  <c r="D45" i="43"/>
  <c r="D40" i="43"/>
  <c r="D37" i="43"/>
  <c r="Q130" i="43" l="1"/>
  <c r="P130" i="43"/>
  <c r="AJ14" i="43" l="1"/>
  <c r="AI14" i="43"/>
  <c r="AH14" i="43"/>
  <c r="AD14" i="43"/>
  <c r="AC14" i="43"/>
  <c r="AB14" i="43"/>
  <c r="AA14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G14" i="43"/>
  <c r="F14" i="43"/>
  <c r="AL13" i="43"/>
  <c r="AL12" i="43"/>
  <c r="AL14" i="43" l="1"/>
  <c r="O130" i="43" l="1"/>
  <c r="N130" i="43" l="1"/>
  <c r="M130" i="43"/>
  <c r="AP47" i="43" l="1"/>
  <c r="L130" i="43" l="1"/>
  <c r="K130" i="43" l="1"/>
  <c r="J130" i="43"/>
  <c r="I130" i="43"/>
  <c r="F130" i="43" l="1"/>
  <c r="H130" i="43"/>
  <c r="G130" i="43"/>
  <c r="G61" i="43" l="1"/>
  <c r="F61" i="43"/>
  <c r="F67" i="43"/>
  <c r="AJ195" i="43"/>
  <c r="AI195" i="43"/>
  <c r="AH195" i="43"/>
  <c r="AD195" i="43"/>
  <c r="AC195" i="43"/>
  <c r="AB195" i="43"/>
  <c r="AA195" i="43"/>
  <c r="Z195" i="43"/>
  <c r="Y195" i="43"/>
  <c r="X195" i="43"/>
  <c r="W195" i="43"/>
  <c r="V195" i="43"/>
  <c r="U195" i="43"/>
  <c r="T195" i="43"/>
  <c r="S195" i="43"/>
  <c r="R195" i="43"/>
  <c r="Q195" i="43"/>
  <c r="P195" i="43"/>
  <c r="O195" i="43"/>
  <c r="N195" i="43"/>
  <c r="M195" i="43"/>
  <c r="L195" i="43"/>
  <c r="K195" i="43"/>
  <c r="J195" i="43"/>
  <c r="I195" i="43"/>
  <c r="H195" i="43"/>
  <c r="G195" i="43"/>
  <c r="F195" i="43"/>
  <c r="AL194" i="43"/>
  <c r="AL193" i="43"/>
  <c r="AL192" i="43"/>
  <c r="AL191" i="43"/>
  <c r="AL190" i="43"/>
  <c r="AJ188" i="43"/>
  <c r="AI188" i="43"/>
  <c r="AH188" i="43"/>
  <c r="AD188" i="43"/>
  <c r="AC188" i="43"/>
  <c r="AB188" i="43"/>
  <c r="AA188" i="43"/>
  <c r="Z188" i="43"/>
  <c r="Y188" i="43"/>
  <c r="X188" i="43"/>
  <c r="W188" i="43"/>
  <c r="V188" i="43"/>
  <c r="U188" i="43"/>
  <c r="T188" i="43"/>
  <c r="S188" i="43"/>
  <c r="R188" i="43"/>
  <c r="Q188" i="43"/>
  <c r="P188" i="43"/>
  <c r="O188" i="43"/>
  <c r="N188" i="43"/>
  <c r="M188" i="43"/>
  <c r="L188" i="43"/>
  <c r="K188" i="43"/>
  <c r="J188" i="43"/>
  <c r="I188" i="43"/>
  <c r="H188" i="43"/>
  <c r="G188" i="43"/>
  <c r="F188" i="43"/>
  <c r="AL187" i="43"/>
  <c r="AL186" i="43"/>
  <c r="AL185" i="43"/>
  <c r="AL184" i="43"/>
  <c r="AL183" i="43"/>
  <c r="AJ181" i="43"/>
  <c r="AI181" i="43"/>
  <c r="AH181" i="43"/>
  <c r="AD181" i="43"/>
  <c r="AC181" i="43"/>
  <c r="AB181" i="43"/>
  <c r="AA181" i="43"/>
  <c r="Z181" i="43"/>
  <c r="Y181" i="43"/>
  <c r="X181" i="43"/>
  <c r="W181" i="43"/>
  <c r="V181" i="43"/>
  <c r="U181" i="43"/>
  <c r="T181" i="43"/>
  <c r="S181" i="43"/>
  <c r="R181" i="43"/>
  <c r="Q181" i="43"/>
  <c r="P181" i="43"/>
  <c r="O181" i="43"/>
  <c r="N181" i="43"/>
  <c r="M181" i="43"/>
  <c r="L181" i="43"/>
  <c r="K181" i="43"/>
  <c r="J181" i="43"/>
  <c r="I181" i="43"/>
  <c r="H181" i="43"/>
  <c r="G181" i="43"/>
  <c r="F181" i="43"/>
  <c r="AL180" i="43"/>
  <c r="AL177" i="43"/>
  <c r="AJ176" i="43"/>
  <c r="AI176" i="43"/>
  <c r="AH176" i="43"/>
  <c r="AD176" i="43"/>
  <c r="AC176" i="43"/>
  <c r="AB176" i="43"/>
  <c r="Z176" i="43"/>
  <c r="Y176" i="43"/>
  <c r="X176" i="43"/>
  <c r="W176" i="43"/>
  <c r="V176" i="43"/>
  <c r="U176" i="43"/>
  <c r="T176" i="43"/>
  <c r="S176" i="43"/>
  <c r="R176" i="43"/>
  <c r="Q176" i="43"/>
  <c r="P176" i="43"/>
  <c r="O176" i="43"/>
  <c r="N176" i="43"/>
  <c r="M176" i="43"/>
  <c r="L176" i="43"/>
  <c r="K176" i="43"/>
  <c r="J176" i="43"/>
  <c r="I176" i="43"/>
  <c r="H176" i="43"/>
  <c r="G176" i="43"/>
  <c r="F176" i="43"/>
  <c r="AL175" i="43"/>
  <c r="D175" i="43"/>
  <c r="D176" i="43" s="1"/>
  <c r="AL174" i="43"/>
  <c r="AL173" i="43"/>
  <c r="AL171" i="43"/>
  <c r="AJ168" i="43"/>
  <c r="AJ169" i="43" s="1"/>
  <c r="AI168" i="43"/>
  <c r="AI169" i="43" s="1"/>
  <c r="AH168" i="43"/>
  <c r="AH169" i="43" s="1"/>
  <c r="AD169" i="43"/>
  <c r="AC168" i="43"/>
  <c r="AC169" i="43" s="1"/>
  <c r="AB168" i="43"/>
  <c r="AB169" i="43" s="1"/>
  <c r="AA168" i="43"/>
  <c r="AA169" i="43" s="1"/>
  <c r="Z168" i="43"/>
  <c r="Z169" i="43" s="1"/>
  <c r="Y168" i="43"/>
  <c r="Y169" i="43" s="1"/>
  <c r="X168" i="43"/>
  <c r="X169" i="43" s="1"/>
  <c r="W168" i="43"/>
  <c r="W169" i="43" s="1"/>
  <c r="V168" i="43"/>
  <c r="V169" i="43" s="1"/>
  <c r="U168" i="43"/>
  <c r="U169" i="43" s="1"/>
  <c r="T168" i="43"/>
  <c r="T169" i="43" s="1"/>
  <c r="S168" i="43"/>
  <c r="S169" i="43" s="1"/>
  <c r="R168" i="43"/>
  <c r="R169" i="43" s="1"/>
  <c r="Q168" i="43"/>
  <c r="Q169" i="43" s="1"/>
  <c r="P168" i="43"/>
  <c r="P169" i="43" s="1"/>
  <c r="O168" i="43"/>
  <c r="O169" i="43" s="1"/>
  <c r="N168" i="43"/>
  <c r="N169" i="43" s="1"/>
  <c r="M168" i="43"/>
  <c r="M169" i="43" s="1"/>
  <c r="L168" i="43"/>
  <c r="L169" i="43" s="1"/>
  <c r="K168" i="43"/>
  <c r="K169" i="43" s="1"/>
  <c r="J168" i="43"/>
  <c r="J169" i="43" s="1"/>
  <c r="I168" i="43"/>
  <c r="I169" i="43" s="1"/>
  <c r="H168" i="43"/>
  <c r="H169" i="43" s="1"/>
  <c r="G168" i="43"/>
  <c r="G169" i="43" s="1"/>
  <c r="F168" i="43"/>
  <c r="AL167" i="43"/>
  <c r="AL166" i="43"/>
  <c r="AL164" i="43"/>
  <c r="D164" i="43"/>
  <c r="D168" i="43" s="1"/>
  <c r="D169" i="43" s="1"/>
  <c r="AJ162" i="43"/>
  <c r="AJ161" i="43" s="1"/>
  <c r="AI162" i="43"/>
  <c r="AI161" i="43" s="1"/>
  <c r="AH162" i="43"/>
  <c r="AH161" i="43" s="1"/>
  <c r="AD162" i="43"/>
  <c r="AD161" i="43" s="1"/>
  <c r="AC162" i="43"/>
  <c r="AC161" i="43" s="1"/>
  <c r="AB162" i="43"/>
  <c r="AB161" i="43" s="1"/>
  <c r="AA162" i="43"/>
  <c r="AA161" i="43" s="1"/>
  <c r="Z162" i="43"/>
  <c r="Z161" i="43" s="1"/>
  <c r="Y162" i="43"/>
  <c r="Y161" i="43" s="1"/>
  <c r="X162" i="43"/>
  <c r="X161" i="43" s="1"/>
  <c r="W162" i="43"/>
  <c r="W161" i="43" s="1"/>
  <c r="V162" i="43"/>
  <c r="V161" i="43" s="1"/>
  <c r="U162" i="43"/>
  <c r="U161" i="43" s="1"/>
  <c r="T162" i="43"/>
  <c r="T161" i="43" s="1"/>
  <c r="S162" i="43"/>
  <c r="S161" i="43" s="1"/>
  <c r="R162" i="43"/>
  <c r="R161" i="43" s="1"/>
  <c r="Q162" i="43"/>
  <c r="Q161" i="43" s="1"/>
  <c r="P162" i="43"/>
  <c r="P161" i="43" s="1"/>
  <c r="O162" i="43"/>
  <c r="O161" i="43" s="1"/>
  <c r="N162" i="43"/>
  <c r="N161" i="43" s="1"/>
  <c r="M162" i="43"/>
  <c r="M161" i="43" s="1"/>
  <c r="L162" i="43"/>
  <c r="L161" i="43" s="1"/>
  <c r="K162" i="43"/>
  <c r="K161" i="43" s="1"/>
  <c r="J162" i="43"/>
  <c r="J161" i="43" s="1"/>
  <c r="I162" i="43"/>
  <c r="I161" i="43" s="1"/>
  <c r="H162" i="43"/>
  <c r="H161" i="43" s="1"/>
  <c r="G162" i="43"/>
  <c r="G161" i="43" s="1"/>
  <c r="F162" i="43"/>
  <c r="F161" i="43" s="1"/>
  <c r="D162" i="43"/>
  <c r="AL160" i="43"/>
  <c r="AL158" i="43"/>
  <c r="AL157" i="43"/>
  <c r="AJ152" i="43"/>
  <c r="AI152" i="43"/>
  <c r="AH152" i="43"/>
  <c r="AD152" i="43"/>
  <c r="AC152" i="43"/>
  <c r="AB152" i="43"/>
  <c r="AA152" i="43"/>
  <c r="Z152" i="43"/>
  <c r="Y152" i="43"/>
  <c r="X152" i="43"/>
  <c r="W152" i="43"/>
  <c r="V152" i="43"/>
  <c r="U152" i="43"/>
  <c r="T152" i="43"/>
  <c r="S152" i="43"/>
  <c r="R152" i="43"/>
  <c r="Q152" i="43"/>
  <c r="P152" i="43"/>
  <c r="O152" i="43"/>
  <c r="N152" i="43"/>
  <c r="M152" i="43"/>
  <c r="L152" i="43"/>
  <c r="K152" i="43"/>
  <c r="J152" i="43"/>
  <c r="I152" i="43"/>
  <c r="H152" i="43"/>
  <c r="G152" i="43"/>
  <c r="F152" i="43"/>
  <c r="AJ151" i="43"/>
  <c r="AI151" i="43"/>
  <c r="AH151" i="43"/>
  <c r="AD151" i="43"/>
  <c r="AC151" i="43"/>
  <c r="AB151" i="43"/>
  <c r="AA151" i="43"/>
  <c r="Z151" i="43"/>
  <c r="Y151" i="43"/>
  <c r="X151" i="43"/>
  <c r="W151" i="43"/>
  <c r="V151" i="43"/>
  <c r="U151" i="43"/>
  <c r="T151" i="43"/>
  <c r="S151" i="43"/>
  <c r="R151" i="43"/>
  <c r="Q151" i="43"/>
  <c r="P151" i="43"/>
  <c r="O151" i="43"/>
  <c r="N151" i="43"/>
  <c r="M151" i="43"/>
  <c r="L151" i="43"/>
  <c r="K151" i="43"/>
  <c r="J151" i="43"/>
  <c r="I151" i="43"/>
  <c r="H151" i="43"/>
  <c r="G151" i="43"/>
  <c r="F151" i="43"/>
  <c r="AL148" i="43"/>
  <c r="AL147" i="43"/>
  <c r="AL145" i="43"/>
  <c r="AL144" i="43"/>
  <c r="AJ141" i="43"/>
  <c r="AI141" i="43"/>
  <c r="AH141" i="43"/>
  <c r="AD141" i="43"/>
  <c r="AC141" i="43"/>
  <c r="AB141" i="43"/>
  <c r="AA141" i="43"/>
  <c r="Z141" i="43"/>
  <c r="Y141" i="43"/>
  <c r="X141" i="43"/>
  <c r="W141" i="43"/>
  <c r="V141" i="43"/>
  <c r="U141" i="43"/>
  <c r="T141" i="43"/>
  <c r="S141" i="43"/>
  <c r="R141" i="43"/>
  <c r="Q141" i="43"/>
  <c r="P141" i="43"/>
  <c r="O141" i="43"/>
  <c r="N141" i="43"/>
  <c r="M141" i="43"/>
  <c r="L141" i="43"/>
  <c r="K141" i="43"/>
  <c r="J141" i="43"/>
  <c r="I141" i="43"/>
  <c r="H141" i="43"/>
  <c r="G141" i="43"/>
  <c r="F141" i="43"/>
  <c r="AJ140" i="43"/>
  <c r="AI140" i="43"/>
  <c r="AH140" i="43"/>
  <c r="AD140" i="43"/>
  <c r="AC140" i="43"/>
  <c r="AB140" i="43"/>
  <c r="AA140" i="43"/>
  <c r="Z140" i="43"/>
  <c r="Y140" i="43"/>
  <c r="X140" i="43"/>
  <c r="W140" i="43"/>
  <c r="V140" i="43"/>
  <c r="U140" i="43"/>
  <c r="T140" i="43"/>
  <c r="R140" i="43"/>
  <c r="Q140" i="43"/>
  <c r="P140" i="43"/>
  <c r="O140" i="43"/>
  <c r="N140" i="43"/>
  <c r="M140" i="43"/>
  <c r="L140" i="43"/>
  <c r="K140" i="43"/>
  <c r="J140" i="43"/>
  <c r="I140" i="43"/>
  <c r="H140" i="43"/>
  <c r="G140" i="43"/>
  <c r="F140" i="43"/>
  <c r="AJ139" i="43"/>
  <c r="AJ155" i="43" s="1"/>
  <c r="AI139" i="43"/>
  <c r="AI155" i="43" s="1"/>
  <c r="AH139" i="43"/>
  <c r="AH155" i="43" s="1"/>
  <c r="AD139" i="43"/>
  <c r="AD155" i="43" s="1"/>
  <c r="AC139" i="43"/>
  <c r="AC155" i="43" s="1"/>
  <c r="AB139" i="43"/>
  <c r="AB155" i="43" s="1"/>
  <c r="AA139" i="43"/>
  <c r="AA155" i="43" s="1"/>
  <c r="Z139" i="43"/>
  <c r="Z155" i="43" s="1"/>
  <c r="Y139" i="43"/>
  <c r="Y155" i="43" s="1"/>
  <c r="X139" i="43"/>
  <c r="X155" i="43" s="1"/>
  <c r="W139" i="43"/>
  <c r="W155" i="43" s="1"/>
  <c r="V139" i="43"/>
  <c r="V155" i="43" s="1"/>
  <c r="U139" i="43"/>
  <c r="U155" i="43" s="1"/>
  <c r="T139" i="43"/>
  <c r="T155" i="43" s="1"/>
  <c r="S139" i="43"/>
  <c r="S155" i="43" s="1"/>
  <c r="R139" i="43"/>
  <c r="R155" i="43" s="1"/>
  <c r="Q139" i="43"/>
  <c r="Q155" i="43" s="1"/>
  <c r="P139" i="43"/>
  <c r="P155" i="43" s="1"/>
  <c r="O139" i="43"/>
  <c r="O155" i="43" s="1"/>
  <c r="N139" i="43"/>
  <c r="N155" i="43" s="1"/>
  <c r="M139" i="43"/>
  <c r="M155" i="43" s="1"/>
  <c r="L139" i="43"/>
  <c r="L155" i="43" s="1"/>
  <c r="K139" i="43"/>
  <c r="K155" i="43" s="1"/>
  <c r="J139" i="43"/>
  <c r="J155" i="43" s="1"/>
  <c r="I139" i="43"/>
  <c r="I155" i="43" s="1"/>
  <c r="H139" i="43"/>
  <c r="H155" i="43" s="1"/>
  <c r="G139" i="43"/>
  <c r="G155" i="43" s="1"/>
  <c r="F139" i="43"/>
  <c r="F155" i="43" s="1"/>
  <c r="AJ138" i="43"/>
  <c r="AI138" i="43"/>
  <c r="AH138" i="43"/>
  <c r="AD138" i="43"/>
  <c r="AC138" i="43"/>
  <c r="AB138" i="43"/>
  <c r="AA138" i="43"/>
  <c r="Z138" i="43"/>
  <c r="Y138" i="43"/>
  <c r="X138" i="43"/>
  <c r="W138" i="43"/>
  <c r="V138" i="43"/>
  <c r="U138" i="43"/>
  <c r="T138" i="43"/>
  <c r="S138" i="43"/>
  <c r="R138" i="43"/>
  <c r="Q138" i="43"/>
  <c r="P138" i="43"/>
  <c r="O138" i="43"/>
  <c r="N138" i="43"/>
  <c r="M138" i="43"/>
  <c r="L138" i="43"/>
  <c r="K138" i="43"/>
  <c r="J138" i="43"/>
  <c r="I138" i="43"/>
  <c r="H138" i="43"/>
  <c r="G138" i="43"/>
  <c r="F138" i="43"/>
  <c r="AJ137" i="43"/>
  <c r="AJ154" i="43" s="1"/>
  <c r="AI137" i="43"/>
  <c r="AI154" i="43" s="1"/>
  <c r="AH137" i="43"/>
  <c r="AH154" i="43" s="1"/>
  <c r="AD137" i="43"/>
  <c r="AD154" i="43" s="1"/>
  <c r="AC137" i="43"/>
  <c r="AC154" i="43" s="1"/>
  <c r="AB137" i="43"/>
  <c r="AB154" i="43" s="1"/>
  <c r="AA137" i="43"/>
  <c r="AA154" i="43" s="1"/>
  <c r="Z137" i="43"/>
  <c r="Z154" i="43" s="1"/>
  <c r="Y137" i="43"/>
  <c r="Y154" i="43" s="1"/>
  <c r="X137" i="43"/>
  <c r="X154" i="43" s="1"/>
  <c r="W137" i="43"/>
  <c r="W154" i="43" s="1"/>
  <c r="V137" i="43"/>
  <c r="V154" i="43" s="1"/>
  <c r="U137" i="43"/>
  <c r="U154" i="43" s="1"/>
  <c r="T137" i="43"/>
  <c r="T154" i="43" s="1"/>
  <c r="S137" i="43"/>
  <c r="S154" i="43" s="1"/>
  <c r="R137" i="43"/>
  <c r="R154" i="43" s="1"/>
  <c r="Q137" i="43"/>
  <c r="Q154" i="43" s="1"/>
  <c r="P137" i="43"/>
  <c r="P154" i="43" s="1"/>
  <c r="O137" i="43"/>
  <c r="O154" i="43" s="1"/>
  <c r="N137" i="43"/>
  <c r="N154" i="43" s="1"/>
  <c r="M137" i="43"/>
  <c r="M154" i="43" s="1"/>
  <c r="L137" i="43"/>
  <c r="L154" i="43" s="1"/>
  <c r="K137" i="43"/>
  <c r="K154" i="43" s="1"/>
  <c r="J137" i="43"/>
  <c r="J154" i="43" s="1"/>
  <c r="I137" i="43"/>
  <c r="I154" i="43" s="1"/>
  <c r="H137" i="43"/>
  <c r="H154" i="43" s="1"/>
  <c r="G137" i="43"/>
  <c r="G154" i="43" s="1"/>
  <c r="F137" i="43"/>
  <c r="F154" i="43" s="1"/>
  <c r="AL135" i="43"/>
  <c r="AL139" i="43" s="1"/>
  <c r="AL134" i="43"/>
  <c r="AL138" i="43" s="1"/>
  <c r="AL133" i="43"/>
  <c r="AL137" i="43" s="1"/>
  <c r="AJ130" i="43"/>
  <c r="AJ131" i="43" s="1"/>
  <c r="AI130" i="43"/>
  <c r="AI131" i="43" s="1"/>
  <c r="AH130" i="43"/>
  <c r="AH131" i="43" s="1"/>
  <c r="AD130" i="43"/>
  <c r="AD131" i="43" s="1"/>
  <c r="AC130" i="43"/>
  <c r="AC131" i="43" s="1"/>
  <c r="AB130" i="43"/>
  <c r="AB131" i="43" s="1"/>
  <c r="AA130" i="43"/>
  <c r="AA131" i="43" s="1"/>
  <c r="Z130" i="43"/>
  <c r="Z131" i="43" s="1"/>
  <c r="Y130" i="43"/>
  <c r="Y131" i="43" s="1"/>
  <c r="X130" i="43"/>
  <c r="X131" i="43" s="1"/>
  <c r="W130" i="43"/>
  <c r="W131" i="43" s="1"/>
  <c r="V130" i="43"/>
  <c r="V131" i="43" s="1"/>
  <c r="U130" i="43"/>
  <c r="U131" i="43" s="1"/>
  <c r="T131" i="43"/>
  <c r="Q131" i="43"/>
  <c r="P131" i="43"/>
  <c r="O131" i="43"/>
  <c r="N131" i="43"/>
  <c r="M131" i="43"/>
  <c r="L131" i="43"/>
  <c r="K131" i="43"/>
  <c r="J131" i="43"/>
  <c r="H131" i="43"/>
  <c r="G131" i="43"/>
  <c r="AJ123" i="43"/>
  <c r="AI123" i="43"/>
  <c r="AH123" i="43"/>
  <c r="AD123" i="43"/>
  <c r="AC123" i="43"/>
  <c r="AB123" i="43"/>
  <c r="AA123" i="43"/>
  <c r="Z123" i="43"/>
  <c r="Y123" i="43"/>
  <c r="X123" i="43"/>
  <c r="W123" i="43"/>
  <c r="V123" i="43"/>
  <c r="U123" i="43"/>
  <c r="T123" i="43"/>
  <c r="S123" i="43"/>
  <c r="R123" i="43"/>
  <c r="Q123" i="43"/>
  <c r="P123" i="43"/>
  <c r="O123" i="43"/>
  <c r="N123" i="43"/>
  <c r="M123" i="43"/>
  <c r="L123" i="43"/>
  <c r="K123" i="43"/>
  <c r="J123" i="43"/>
  <c r="I123" i="43"/>
  <c r="H123" i="43"/>
  <c r="G123" i="43"/>
  <c r="F123" i="43"/>
  <c r="AJ122" i="43"/>
  <c r="AI122" i="43"/>
  <c r="AH122" i="43"/>
  <c r="AD122" i="43"/>
  <c r="AC122" i="43"/>
  <c r="AB122" i="43"/>
  <c r="AA122" i="43"/>
  <c r="Z122" i="43"/>
  <c r="Y122" i="43"/>
  <c r="X122" i="43"/>
  <c r="W122" i="43"/>
  <c r="V122" i="43"/>
  <c r="U122" i="43"/>
  <c r="T122" i="43"/>
  <c r="S122" i="43"/>
  <c r="R122" i="43"/>
  <c r="Q122" i="43"/>
  <c r="P122" i="43"/>
  <c r="O122" i="43"/>
  <c r="N122" i="43"/>
  <c r="M122" i="43"/>
  <c r="L122" i="43"/>
  <c r="K122" i="43"/>
  <c r="J122" i="43"/>
  <c r="I122" i="43"/>
  <c r="H122" i="43"/>
  <c r="G122" i="43"/>
  <c r="F122" i="43"/>
  <c r="AL119" i="43"/>
  <c r="AL116" i="43"/>
  <c r="AL115" i="43"/>
  <c r="AJ112" i="43"/>
  <c r="AI112" i="43"/>
  <c r="AH112" i="43"/>
  <c r="AD112" i="43"/>
  <c r="AC112" i="43"/>
  <c r="AB112" i="43"/>
  <c r="AA112" i="43"/>
  <c r="Z112" i="43"/>
  <c r="Y112" i="43"/>
  <c r="X112" i="43"/>
  <c r="W112" i="43"/>
  <c r="V112" i="43"/>
  <c r="U112" i="43"/>
  <c r="T112" i="43"/>
  <c r="S112" i="43"/>
  <c r="R112" i="43"/>
  <c r="Q112" i="43"/>
  <c r="P112" i="43"/>
  <c r="O112" i="43"/>
  <c r="N112" i="43"/>
  <c r="M112" i="43"/>
  <c r="L112" i="43"/>
  <c r="K112" i="43"/>
  <c r="J112" i="43"/>
  <c r="I112" i="43"/>
  <c r="H112" i="43"/>
  <c r="G112" i="43"/>
  <c r="AJ111" i="43"/>
  <c r="AI111" i="43"/>
  <c r="AH111" i="43"/>
  <c r="AD111" i="43"/>
  <c r="AC111" i="43"/>
  <c r="AB111" i="43"/>
  <c r="AA111" i="43"/>
  <c r="Z111" i="43"/>
  <c r="Y111" i="43"/>
  <c r="X111" i="43"/>
  <c r="W111" i="43"/>
  <c r="V111" i="43"/>
  <c r="U111" i="43"/>
  <c r="T111" i="43"/>
  <c r="S111" i="43"/>
  <c r="R111" i="43"/>
  <c r="Q111" i="43"/>
  <c r="P111" i="43"/>
  <c r="O111" i="43"/>
  <c r="N111" i="43"/>
  <c r="M111" i="43"/>
  <c r="L111" i="43"/>
  <c r="K111" i="43"/>
  <c r="J111" i="43"/>
  <c r="I111" i="43"/>
  <c r="H111" i="43"/>
  <c r="G111" i="43"/>
  <c r="AJ110" i="43"/>
  <c r="AJ126" i="43" s="1"/>
  <c r="AI110" i="43"/>
  <c r="AI126" i="43" s="1"/>
  <c r="AH110" i="43"/>
  <c r="AH126" i="43" s="1"/>
  <c r="AD110" i="43"/>
  <c r="AD126" i="43" s="1"/>
  <c r="AC110" i="43"/>
  <c r="AC126" i="43" s="1"/>
  <c r="AB110" i="43"/>
  <c r="AB126" i="43" s="1"/>
  <c r="AA110" i="43"/>
  <c r="AA126" i="43" s="1"/>
  <c r="Z110" i="43"/>
  <c r="Z126" i="43" s="1"/>
  <c r="Y110" i="43"/>
  <c r="Y126" i="43" s="1"/>
  <c r="X110" i="43"/>
  <c r="X126" i="43" s="1"/>
  <c r="W110" i="43"/>
  <c r="W126" i="43" s="1"/>
  <c r="V110" i="43"/>
  <c r="V126" i="43" s="1"/>
  <c r="U110" i="43"/>
  <c r="U126" i="43" s="1"/>
  <c r="T110" i="43"/>
  <c r="T126" i="43" s="1"/>
  <c r="S110" i="43"/>
  <c r="S126" i="43" s="1"/>
  <c r="R110" i="43"/>
  <c r="R126" i="43" s="1"/>
  <c r="Q110" i="43"/>
  <c r="Q126" i="43" s="1"/>
  <c r="P110" i="43"/>
  <c r="P126" i="43" s="1"/>
  <c r="O110" i="43"/>
  <c r="O126" i="43" s="1"/>
  <c r="N110" i="43"/>
  <c r="N126" i="43" s="1"/>
  <c r="M110" i="43"/>
  <c r="M126" i="43" s="1"/>
  <c r="L110" i="43"/>
  <c r="L126" i="43" s="1"/>
  <c r="K110" i="43"/>
  <c r="K126" i="43" s="1"/>
  <c r="J110" i="43"/>
  <c r="J126" i="43" s="1"/>
  <c r="I110" i="43"/>
  <c r="I126" i="43" s="1"/>
  <c r="H110" i="43"/>
  <c r="H126" i="43" s="1"/>
  <c r="G110" i="43"/>
  <c r="G126" i="43" s="1"/>
  <c r="F126" i="43"/>
  <c r="AJ109" i="43"/>
  <c r="AI109" i="43"/>
  <c r="AH109" i="43"/>
  <c r="AD109" i="43"/>
  <c r="AD125" i="43" s="1"/>
  <c r="AC109" i="43"/>
  <c r="AB109" i="43"/>
  <c r="AA109" i="43"/>
  <c r="Z109" i="43"/>
  <c r="Y109" i="43"/>
  <c r="X109" i="43"/>
  <c r="W109" i="43"/>
  <c r="W125" i="43" s="1"/>
  <c r="V109" i="43"/>
  <c r="U109" i="43"/>
  <c r="T109" i="43"/>
  <c r="S109" i="43"/>
  <c r="R109" i="43"/>
  <c r="Q109" i="43"/>
  <c r="P109" i="43"/>
  <c r="P125" i="43" s="1"/>
  <c r="O109" i="43"/>
  <c r="N109" i="43"/>
  <c r="M109" i="43"/>
  <c r="L109" i="43"/>
  <c r="K109" i="43"/>
  <c r="J109" i="43"/>
  <c r="I109" i="43"/>
  <c r="I125" i="43" s="1"/>
  <c r="H109" i="43"/>
  <c r="G109" i="43"/>
  <c r="F125" i="43"/>
  <c r="AL107" i="43"/>
  <c r="AL110" i="43" s="1"/>
  <c r="AL106" i="43"/>
  <c r="AL109" i="43" s="1"/>
  <c r="AJ103" i="43"/>
  <c r="AJ104" i="43" s="1"/>
  <c r="AI103" i="43"/>
  <c r="AI104" i="43" s="1"/>
  <c r="AH103" i="43"/>
  <c r="AH104" i="43" s="1"/>
  <c r="AD103" i="43"/>
  <c r="AD104" i="43" s="1"/>
  <c r="AC104" i="43"/>
  <c r="AB104" i="43"/>
  <c r="AA103" i="43"/>
  <c r="AA104" i="43" s="1"/>
  <c r="Z103" i="43"/>
  <c r="Z104" i="43" s="1"/>
  <c r="Y103" i="43"/>
  <c r="Y104" i="43" s="1"/>
  <c r="X103" i="43"/>
  <c r="X104" i="43" s="1"/>
  <c r="W103" i="43"/>
  <c r="W104" i="43" s="1"/>
  <c r="V103" i="43"/>
  <c r="V104" i="43" s="1"/>
  <c r="U103" i="43"/>
  <c r="U104" i="43" s="1"/>
  <c r="T103" i="43"/>
  <c r="T104" i="43" s="1"/>
  <c r="S103" i="43"/>
  <c r="S104" i="43" s="1"/>
  <c r="R103" i="43"/>
  <c r="R104" i="43" s="1"/>
  <c r="Q103" i="43"/>
  <c r="Q104" i="43" s="1"/>
  <c r="P103" i="43"/>
  <c r="P104" i="43" s="1"/>
  <c r="O103" i="43"/>
  <c r="O104" i="43" s="1"/>
  <c r="N103" i="43"/>
  <c r="N104" i="43" s="1"/>
  <c r="M103" i="43"/>
  <c r="M104" i="43" s="1"/>
  <c r="L103" i="43"/>
  <c r="L104" i="43" s="1"/>
  <c r="K103" i="43"/>
  <c r="K104" i="43" s="1"/>
  <c r="J103" i="43"/>
  <c r="J104" i="43" s="1"/>
  <c r="I103" i="43"/>
  <c r="I104" i="43" s="1"/>
  <c r="H103" i="43"/>
  <c r="H104" i="43" s="1"/>
  <c r="G103" i="43"/>
  <c r="G104" i="43" s="1"/>
  <c r="H100" i="43"/>
  <c r="AJ97" i="43"/>
  <c r="AI97" i="43"/>
  <c r="AH97" i="43"/>
  <c r="AD97" i="43"/>
  <c r="AC97" i="43"/>
  <c r="AB97" i="43"/>
  <c r="AA97" i="43"/>
  <c r="Z97" i="43"/>
  <c r="Y97" i="43"/>
  <c r="X97" i="43"/>
  <c r="W97" i="43"/>
  <c r="V97" i="43"/>
  <c r="U97" i="43"/>
  <c r="T97" i="43"/>
  <c r="S97" i="43"/>
  <c r="R97" i="43"/>
  <c r="Q97" i="43"/>
  <c r="P97" i="43"/>
  <c r="O97" i="43"/>
  <c r="N97" i="43"/>
  <c r="M97" i="43"/>
  <c r="L97" i="43"/>
  <c r="K97" i="43"/>
  <c r="J97" i="43"/>
  <c r="I97" i="43"/>
  <c r="H97" i="43"/>
  <c r="G97" i="43"/>
  <c r="AJ96" i="43"/>
  <c r="AI96" i="43"/>
  <c r="AH96" i="43"/>
  <c r="AD96" i="43"/>
  <c r="AC96" i="43"/>
  <c r="AB96" i="43"/>
  <c r="AA96" i="43"/>
  <c r="Z96" i="43"/>
  <c r="Y96" i="43"/>
  <c r="X96" i="43"/>
  <c r="W96" i="43"/>
  <c r="V96" i="43"/>
  <c r="U96" i="43"/>
  <c r="T96" i="43"/>
  <c r="S96" i="43"/>
  <c r="R96" i="43"/>
  <c r="Q96" i="43"/>
  <c r="P96" i="43"/>
  <c r="O96" i="43"/>
  <c r="N96" i="43"/>
  <c r="M96" i="43"/>
  <c r="L96" i="43"/>
  <c r="K96" i="43"/>
  <c r="J96" i="43"/>
  <c r="I96" i="43"/>
  <c r="H96" i="43"/>
  <c r="G96" i="43"/>
  <c r="AL93" i="43"/>
  <c r="AL92" i="43"/>
  <c r="AL90" i="43"/>
  <c r="AL89" i="43"/>
  <c r="AJ86" i="43"/>
  <c r="AI86" i="43"/>
  <c r="AH86" i="43"/>
  <c r="AD86" i="43"/>
  <c r="AC86" i="43"/>
  <c r="AB86" i="43"/>
  <c r="AA86" i="43"/>
  <c r="Z86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AJ85" i="43"/>
  <c r="AI85" i="43"/>
  <c r="AH85" i="43"/>
  <c r="AD85" i="43"/>
  <c r="AC85" i="43"/>
  <c r="AB85" i="43"/>
  <c r="AA85" i="43"/>
  <c r="Z85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AJ84" i="43"/>
  <c r="AJ100" i="43" s="1"/>
  <c r="AI84" i="43"/>
  <c r="AI100" i="43" s="1"/>
  <c r="AH84" i="43"/>
  <c r="AH100" i="43" s="1"/>
  <c r="AD84" i="43"/>
  <c r="AD100" i="43" s="1"/>
  <c r="AC84" i="43"/>
  <c r="AC100" i="43" s="1"/>
  <c r="AB84" i="43"/>
  <c r="AB100" i="43" s="1"/>
  <c r="AA84" i="43"/>
  <c r="AA100" i="43" s="1"/>
  <c r="Z84" i="43"/>
  <c r="Z100" i="43" s="1"/>
  <c r="Y84" i="43"/>
  <c r="Y100" i="43" s="1"/>
  <c r="X84" i="43"/>
  <c r="X100" i="43" s="1"/>
  <c r="W84" i="43"/>
  <c r="W100" i="43" s="1"/>
  <c r="V84" i="43"/>
  <c r="V100" i="43" s="1"/>
  <c r="U84" i="43"/>
  <c r="U100" i="43" s="1"/>
  <c r="T84" i="43"/>
  <c r="T100" i="43" s="1"/>
  <c r="S84" i="43"/>
  <c r="S100" i="43" s="1"/>
  <c r="R84" i="43"/>
  <c r="R100" i="43" s="1"/>
  <c r="Q84" i="43"/>
  <c r="Q100" i="43" s="1"/>
  <c r="P84" i="43"/>
  <c r="P100" i="43" s="1"/>
  <c r="O84" i="43"/>
  <c r="O100" i="43" s="1"/>
  <c r="N84" i="43"/>
  <c r="N100" i="43" s="1"/>
  <c r="M84" i="43"/>
  <c r="M100" i="43" s="1"/>
  <c r="L84" i="43"/>
  <c r="L100" i="43" s="1"/>
  <c r="K84" i="43"/>
  <c r="K100" i="43" s="1"/>
  <c r="J84" i="43"/>
  <c r="J100" i="43" s="1"/>
  <c r="I84" i="43"/>
  <c r="I100" i="43" s="1"/>
  <c r="G84" i="43"/>
  <c r="G100" i="43" s="1"/>
  <c r="AJ83" i="43"/>
  <c r="AJ99" i="43" s="1"/>
  <c r="AI83" i="43"/>
  <c r="AI99" i="43" s="1"/>
  <c r="AH83" i="43"/>
  <c r="AH99" i="43" s="1"/>
  <c r="AD83" i="43"/>
  <c r="AD99" i="43" s="1"/>
  <c r="AC83" i="43"/>
  <c r="AC99" i="43" s="1"/>
  <c r="AB83" i="43"/>
  <c r="AB99" i="43" s="1"/>
  <c r="AA83" i="43"/>
  <c r="AA99" i="43" s="1"/>
  <c r="Z83" i="43"/>
  <c r="Z99" i="43" s="1"/>
  <c r="Y83" i="43"/>
  <c r="Y99" i="43" s="1"/>
  <c r="X83" i="43"/>
  <c r="X99" i="43" s="1"/>
  <c r="W83" i="43"/>
  <c r="W99" i="43" s="1"/>
  <c r="V83" i="43"/>
  <c r="V99" i="43" s="1"/>
  <c r="U83" i="43"/>
  <c r="U99" i="43" s="1"/>
  <c r="T83" i="43"/>
  <c r="T99" i="43" s="1"/>
  <c r="S83" i="43"/>
  <c r="S99" i="43" s="1"/>
  <c r="R83" i="43"/>
  <c r="R99" i="43" s="1"/>
  <c r="Q83" i="43"/>
  <c r="Q99" i="43" s="1"/>
  <c r="P83" i="43"/>
  <c r="P99" i="43" s="1"/>
  <c r="O83" i="43"/>
  <c r="O99" i="43" s="1"/>
  <c r="N83" i="43"/>
  <c r="N99" i="43" s="1"/>
  <c r="M83" i="43"/>
  <c r="M99" i="43" s="1"/>
  <c r="L83" i="43"/>
  <c r="L99" i="43" s="1"/>
  <c r="K83" i="43"/>
  <c r="K99" i="43" s="1"/>
  <c r="J83" i="43"/>
  <c r="J99" i="43" s="1"/>
  <c r="I83" i="43"/>
  <c r="I99" i="43" s="1"/>
  <c r="H83" i="43"/>
  <c r="H99" i="43" s="1"/>
  <c r="G83" i="43"/>
  <c r="G99" i="43" s="1"/>
  <c r="AL81" i="43"/>
  <c r="AL84" i="43" s="1"/>
  <c r="AL80" i="43"/>
  <c r="AL83" i="43" s="1"/>
  <c r="AL78" i="43"/>
  <c r="AJ76" i="43"/>
  <c r="AJ77" i="43" s="1"/>
  <c r="AI76" i="43"/>
  <c r="AI77" i="43" s="1"/>
  <c r="AH76" i="43"/>
  <c r="AH77" i="43" s="1"/>
  <c r="AD76" i="43"/>
  <c r="AD77" i="43" s="1"/>
  <c r="AC76" i="43"/>
  <c r="AC77" i="43" s="1"/>
  <c r="AB76" i="43"/>
  <c r="AB77" i="43" s="1"/>
  <c r="AA76" i="43"/>
  <c r="AA77" i="43" s="1"/>
  <c r="Z76" i="43"/>
  <c r="Z77" i="43" s="1"/>
  <c r="Y76" i="43"/>
  <c r="Y77" i="43" s="1"/>
  <c r="X76" i="43"/>
  <c r="X77" i="43" s="1"/>
  <c r="W76" i="43"/>
  <c r="W77" i="43" s="1"/>
  <c r="V76" i="43"/>
  <c r="V77" i="43" s="1"/>
  <c r="U76" i="43"/>
  <c r="U77" i="43" s="1"/>
  <c r="T76" i="43"/>
  <c r="T77" i="43" s="1"/>
  <c r="S76" i="43"/>
  <c r="S77" i="43" s="1"/>
  <c r="R76" i="43"/>
  <c r="R77" i="43" s="1"/>
  <c r="Q76" i="43"/>
  <c r="Q77" i="43" s="1"/>
  <c r="P76" i="43"/>
  <c r="P77" i="43" s="1"/>
  <c r="O76" i="43"/>
  <c r="O77" i="43" s="1"/>
  <c r="N76" i="43"/>
  <c r="N77" i="43" s="1"/>
  <c r="M76" i="43"/>
  <c r="M77" i="43" s="1"/>
  <c r="L76" i="43"/>
  <c r="L77" i="43" s="1"/>
  <c r="K76" i="43"/>
  <c r="K77" i="43" s="1"/>
  <c r="J76" i="43"/>
  <c r="J77" i="43" s="1"/>
  <c r="I76" i="43"/>
  <c r="I77" i="43" s="1"/>
  <c r="H76" i="43"/>
  <c r="H77" i="43" s="1"/>
  <c r="G76" i="43"/>
  <c r="G77" i="43" s="1"/>
  <c r="F76" i="43"/>
  <c r="F77" i="43" s="1"/>
  <c r="AL74" i="43"/>
  <c r="AJ72" i="43"/>
  <c r="AI72" i="43"/>
  <c r="AH72" i="43"/>
  <c r="AD72" i="43"/>
  <c r="AC72" i="43"/>
  <c r="AB72" i="43"/>
  <c r="AA72" i="43"/>
  <c r="Z72" i="43"/>
  <c r="Y72" i="43"/>
  <c r="X72" i="43"/>
  <c r="W72" i="43"/>
  <c r="V72" i="43"/>
  <c r="U72" i="43"/>
  <c r="T72" i="43"/>
  <c r="S72" i="43"/>
  <c r="R72" i="43"/>
  <c r="Q72" i="43"/>
  <c r="P72" i="43"/>
  <c r="O72" i="43"/>
  <c r="M72" i="43"/>
  <c r="L72" i="43"/>
  <c r="K72" i="43"/>
  <c r="J72" i="43"/>
  <c r="I72" i="43"/>
  <c r="H72" i="43"/>
  <c r="G72" i="43"/>
  <c r="F72" i="43"/>
  <c r="N70" i="43"/>
  <c r="I70" i="43"/>
  <c r="G70" i="43"/>
  <c r="AI69" i="43"/>
  <c r="S69" i="43"/>
  <c r="Q69" i="43"/>
  <c r="N69" i="43"/>
  <c r="L69" i="43"/>
  <c r="K69" i="43"/>
  <c r="J69" i="43"/>
  <c r="I69" i="43"/>
  <c r="H69" i="43"/>
  <c r="G69" i="43"/>
  <c r="AL68" i="43"/>
  <c r="AI67" i="43"/>
  <c r="AH67" i="43"/>
  <c r="AD67" i="43"/>
  <c r="AC67" i="43"/>
  <c r="AA67" i="43"/>
  <c r="Z67" i="43"/>
  <c r="Y67" i="43"/>
  <c r="X67" i="43"/>
  <c r="W67" i="43"/>
  <c r="T67" i="43"/>
  <c r="S67" i="43"/>
  <c r="R67" i="43"/>
  <c r="Q67" i="43"/>
  <c r="P67" i="43"/>
  <c r="O67" i="43"/>
  <c r="M67" i="43"/>
  <c r="L67" i="43"/>
  <c r="K67" i="43"/>
  <c r="J67" i="43"/>
  <c r="I67" i="43"/>
  <c r="H67" i="43"/>
  <c r="G67" i="43"/>
  <c r="AL66" i="43"/>
  <c r="AI65" i="43"/>
  <c r="S65" i="43"/>
  <c r="Q65" i="43"/>
  <c r="L65" i="43"/>
  <c r="CL65" i="43" s="1"/>
  <c r="K65" i="43"/>
  <c r="CK65" i="43" s="1"/>
  <c r="J65" i="43"/>
  <c r="I65" i="43"/>
  <c r="H65" i="43"/>
  <c r="G65" i="43"/>
  <c r="AJ62" i="43"/>
  <c r="AI62" i="43"/>
  <c r="AH62" i="43"/>
  <c r="AD62" i="43"/>
  <c r="AC62" i="43"/>
  <c r="AB62" i="43"/>
  <c r="AA62" i="43"/>
  <c r="Z62" i="43"/>
  <c r="Y62" i="43"/>
  <c r="V62" i="43"/>
  <c r="U62" i="43"/>
  <c r="T62" i="43"/>
  <c r="S62" i="43"/>
  <c r="R62" i="43"/>
  <c r="Q62" i="43"/>
  <c r="P62" i="43"/>
  <c r="O62" i="43"/>
  <c r="N62" i="43"/>
  <c r="M62" i="43"/>
  <c r="L62" i="43"/>
  <c r="K62" i="43"/>
  <c r="J62" i="43"/>
  <c r="I62" i="43"/>
  <c r="H62" i="43"/>
  <c r="AJ61" i="43"/>
  <c r="AI61" i="43"/>
  <c r="AH61" i="43"/>
  <c r="AD61" i="43"/>
  <c r="AC61" i="43"/>
  <c r="AB61" i="43"/>
  <c r="AA61" i="43"/>
  <c r="Z61" i="43"/>
  <c r="Y61" i="43"/>
  <c r="U61" i="43"/>
  <c r="T61" i="43"/>
  <c r="S61" i="43"/>
  <c r="R61" i="43"/>
  <c r="Q61" i="43"/>
  <c r="P61" i="43"/>
  <c r="O61" i="43"/>
  <c r="N61" i="43"/>
  <c r="M61" i="43"/>
  <c r="L61" i="43"/>
  <c r="K61" i="43"/>
  <c r="J61" i="43"/>
  <c r="I61" i="43"/>
  <c r="H61" i="43"/>
  <c r="AJ60" i="43"/>
  <c r="AI60" i="43"/>
  <c r="AH60" i="43"/>
  <c r="AD60" i="43"/>
  <c r="AC60" i="43"/>
  <c r="AB60" i="43"/>
  <c r="AA60" i="43"/>
  <c r="Z60" i="43"/>
  <c r="Y60" i="43"/>
  <c r="W60" i="43"/>
  <c r="V60" i="43"/>
  <c r="U60" i="43"/>
  <c r="T60" i="43"/>
  <c r="S60" i="43"/>
  <c r="R60" i="43"/>
  <c r="Q60" i="43"/>
  <c r="P60" i="43"/>
  <c r="AI59" i="43"/>
  <c r="AH59" i="43"/>
  <c r="AD59" i="43"/>
  <c r="AC59" i="43"/>
  <c r="AB59" i="43"/>
  <c r="AA59" i="43"/>
  <c r="Z59" i="43"/>
  <c r="Y59" i="43"/>
  <c r="W59" i="43"/>
  <c r="V59" i="43"/>
  <c r="U59" i="43"/>
  <c r="T59" i="43"/>
  <c r="S59" i="43"/>
  <c r="R59" i="43"/>
  <c r="Q59" i="43"/>
  <c r="P59" i="43"/>
  <c r="F58" i="43"/>
  <c r="V57" i="43"/>
  <c r="I56" i="43"/>
  <c r="G56" i="43"/>
  <c r="N55" i="43"/>
  <c r="I55" i="43"/>
  <c r="G55" i="43"/>
  <c r="AL51" i="43"/>
  <c r="V61" i="43"/>
  <c r="AJ59" i="43"/>
  <c r="AL47" i="43"/>
  <c r="AL46" i="43"/>
  <c r="X60" i="43"/>
  <c r="N60" i="43"/>
  <c r="J60" i="43"/>
  <c r="F59" i="43"/>
  <c r="AL44" i="43"/>
  <c r="N67" i="43"/>
  <c r="S57" i="43"/>
  <c r="I57" i="43"/>
  <c r="AD58" i="43"/>
  <c r="T58" i="43"/>
  <c r="P58" i="43"/>
  <c r="K58" i="43"/>
  <c r="V58" i="43"/>
  <c r="Q58" i="43"/>
  <c r="F57" i="43"/>
  <c r="AI56" i="43"/>
  <c r="AH56" i="43"/>
  <c r="AA56" i="43"/>
  <c r="W56" i="43"/>
  <c r="S56" i="43"/>
  <c r="R56" i="43"/>
  <c r="Q56" i="43"/>
  <c r="N56" i="43"/>
  <c r="L56" i="43"/>
  <c r="K56" i="43"/>
  <c r="H56" i="43"/>
  <c r="D38" i="43"/>
  <c r="Z70" i="43"/>
  <c r="V70" i="43"/>
  <c r="J70" i="43"/>
  <c r="AL32" i="43"/>
  <c r="AH65" i="43"/>
  <c r="AA65" i="43"/>
  <c r="X69" i="43"/>
  <c r="W65" i="43"/>
  <c r="T69" i="43"/>
  <c r="O69" i="43"/>
  <c r="AL30" i="43"/>
  <c r="AJ22" i="43"/>
  <c r="AI22" i="43"/>
  <c r="AH22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F22" i="43"/>
  <c r="AL21" i="43"/>
  <c r="AL20" i="43"/>
  <c r="AJ18" i="43"/>
  <c r="AI18" i="43"/>
  <c r="AH18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M18" i="43"/>
  <c r="L18" i="43"/>
  <c r="K18" i="43"/>
  <c r="J18" i="43"/>
  <c r="I18" i="43"/>
  <c r="H18" i="43"/>
  <c r="G18" i="43"/>
  <c r="F18" i="43"/>
  <c r="AL17" i="43"/>
  <c r="AL16" i="43"/>
  <c r="AJ10" i="43"/>
  <c r="AI10" i="43"/>
  <c r="AH10" i="43"/>
  <c r="AD10" i="43"/>
  <c r="AC10" i="43"/>
  <c r="AB10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H10" i="43"/>
  <c r="G10" i="43"/>
  <c r="F10" i="43"/>
  <c r="AL9" i="43"/>
  <c r="AL8" i="43"/>
  <c r="AL27" i="43" l="1"/>
  <c r="AA125" i="43"/>
  <c r="AB125" i="43"/>
  <c r="AC125" i="43"/>
  <c r="V125" i="43"/>
  <c r="AH125" i="43"/>
  <c r="Z125" i="43"/>
  <c r="X125" i="43"/>
  <c r="AI125" i="43"/>
  <c r="Y125" i="43"/>
  <c r="AJ125" i="43"/>
  <c r="F56" i="43"/>
  <c r="F55" i="43"/>
  <c r="F69" i="43"/>
  <c r="U125" i="43"/>
  <c r="F65" i="43"/>
  <c r="S125" i="43"/>
  <c r="T125" i="43"/>
  <c r="F70" i="43"/>
  <c r="Q125" i="43"/>
  <c r="R125" i="43"/>
  <c r="J125" i="43"/>
  <c r="N125" i="43"/>
  <c r="G125" i="43"/>
  <c r="O125" i="43"/>
  <c r="H125" i="43"/>
  <c r="L125" i="43"/>
  <c r="M125" i="43"/>
  <c r="G62" i="43"/>
  <c r="I131" i="43"/>
  <c r="AL130" i="43"/>
  <c r="AN129" i="43" s="1"/>
  <c r="AN130" i="43" s="1"/>
  <c r="AL122" i="43"/>
  <c r="AL18" i="43"/>
  <c r="AL176" i="43"/>
  <c r="AL123" i="43"/>
  <c r="AL103" i="43"/>
  <c r="F62" i="43"/>
  <c r="AL22" i="43"/>
  <c r="AN158" i="43"/>
  <c r="F60" i="43"/>
  <c r="AL38" i="43"/>
  <c r="ED38" i="43" s="1"/>
  <c r="AL41" i="43"/>
  <c r="ED41" i="43" s="1"/>
  <c r="AL53" i="43"/>
  <c r="AN53" i="43" s="1"/>
  <c r="ED53" i="43" s="1"/>
  <c r="AL86" i="43"/>
  <c r="AL96" i="43"/>
  <c r="AL140" i="43"/>
  <c r="AL141" i="43"/>
  <c r="AL151" i="43"/>
  <c r="AL181" i="43"/>
  <c r="AL188" i="43"/>
  <c r="Z56" i="43"/>
  <c r="AD56" i="43"/>
  <c r="Z57" i="43"/>
  <c r="J58" i="43"/>
  <c r="N58" i="43"/>
  <c r="AA69" i="43"/>
  <c r="AL97" i="43"/>
  <c r="AL111" i="43"/>
  <c r="AL112" i="43"/>
  <c r="AL126" i="43"/>
  <c r="AL152" i="43"/>
  <c r="AL168" i="43"/>
  <c r="AL169" i="43" s="1"/>
  <c r="AL195" i="43"/>
  <c r="V69" i="43"/>
  <c r="V67" i="43"/>
  <c r="Z69" i="43"/>
  <c r="Z65" i="43"/>
  <c r="AD69" i="43"/>
  <c r="AD65" i="43"/>
  <c r="X58" i="43"/>
  <c r="K60" i="43"/>
  <c r="K59" i="43"/>
  <c r="AL77" i="43"/>
  <c r="AN164" i="43"/>
  <c r="AN165" i="43" s="1"/>
  <c r="AN180" i="43"/>
  <c r="R69" i="43"/>
  <c r="R65" i="43"/>
  <c r="H70" i="43"/>
  <c r="H55" i="43"/>
  <c r="M55" i="43"/>
  <c r="S70" i="43"/>
  <c r="S55" i="43"/>
  <c r="X70" i="43"/>
  <c r="X55" i="43"/>
  <c r="AB70" i="43"/>
  <c r="AB55" i="43"/>
  <c r="AI70" i="43"/>
  <c r="AI55" i="43"/>
  <c r="M56" i="43"/>
  <c r="X56" i="43"/>
  <c r="AB56" i="43"/>
  <c r="K57" i="43"/>
  <c r="O57" i="43"/>
  <c r="T57" i="43"/>
  <c r="AH57" i="43"/>
  <c r="L58" i="43"/>
  <c r="H60" i="43"/>
  <c r="H59" i="43"/>
  <c r="L60" i="43"/>
  <c r="L59" i="43"/>
  <c r="O60" i="43"/>
  <c r="AL52" i="43"/>
  <c r="AN52" i="43" s="1"/>
  <c r="ED52" i="43" s="1"/>
  <c r="X61" i="43"/>
  <c r="R55" i="43"/>
  <c r="J56" i="43"/>
  <c r="J57" i="43"/>
  <c r="J59" i="43"/>
  <c r="AJ67" i="43"/>
  <c r="AH69" i="43"/>
  <c r="R70" i="43"/>
  <c r="L70" i="43"/>
  <c r="L55" i="43"/>
  <c r="Q70" i="43"/>
  <c r="Q55" i="43"/>
  <c r="W70" i="43"/>
  <c r="W55" i="43"/>
  <c r="AA70" i="43"/>
  <c r="AA55" i="43"/>
  <c r="AH70" i="43"/>
  <c r="AH55" i="43"/>
  <c r="G58" i="43"/>
  <c r="G57" i="43"/>
  <c r="W58" i="43"/>
  <c r="W57" i="43"/>
  <c r="G60" i="43"/>
  <c r="G59" i="43"/>
  <c r="V56" i="43"/>
  <c r="AD70" i="43"/>
  <c r="M69" i="43"/>
  <c r="M65" i="43"/>
  <c r="AJ69" i="43"/>
  <c r="AJ65" i="43"/>
  <c r="O70" i="43"/>
  <c r="O55" i="43"/>
  <c r="T70" i="43"/>
  <c r="T55" i="43"/>
  <c r="Y70" i="43"/>
  <c r="Y55" i="43"/>
  <c r="AC70" i="43"/>
  <c r="AC55" i="43"/>
  <c r="AJ70" i="43"/>
  <c r="AJ55" i="43"/>
  <c r="AL37" i="43"/>
  <c r="ED37" i="43" s="1"/>
  <c r="T56" i="43"/>
  <c r="Y56" i="43"/>
  <c r="AC56" i="43"/>
  <c r="AJ56" i="43"/>
  <c r="Y58" i="43"/>
  <c r="AC58" i="43"/>
  <c r="L57" i="43"/>
  <c r="P57" i="43"/>
  <c r="U57" i="43"/>
  <c r="AB57" i="43"/>
  <c r="AI57" i="43"/>
  <c r="H58" i="43"/>
  <c r="M58" i="43"/>
  <c r="S58" i="43"/>
  <c r="AH58" i="43"/>
  <c r="AL42" i="43"/>
  <c r="ED42" i="43" s="1"/>
  <c r="I60" i="43"/>
  <c r="I59" i="43"/>
  <c r="M60" i="43"/>
  <c r="M59" i="43"/>
  <c r="O59" i="43"/>
  <c r="V55" i="43"/>
  <c r="N57" i="43"/>
  <c r="AD57" i="43"/>
  <c r="N59" i="43"/>
  <c r="T65" i="43"/>
  <c r="U67" i="43"/>
  <c r="P56" i="43"/>
  <c r="P69" i="43"/>
  <c r="AA58" i="43"/>
  <c r="AA57" i="43"/>
  <c r="O58" i="43"/>
  <c r="AJ58" i="43"/>
  <c r="AD55" i="43"/>
  <c r="AL10" i="43"/>
  <c r="O65" i="43"/>
  <c r="O56" i="43"/>
  <c r="U70" i="43"/>
  <c r="U56" i="43"/>
  <c r="U55" i="43"/>
  <c r="U69" i="43"/>
  <c r="U65" i="43"/>
  <c r="Y69" i="43"/>
  <c r="Y65" i="43"/>
  <c r="AC69" i="43"/>
  <c r="AC65" i="43"/>
  <c r="K70" i="43"/>
  <c r="K55" i="43"/>
  <c r="P70" i="43"/>
  <c r="P55" i="43"/>
  <c r="R58" i="43"/>
  <c r="H57" i="43"/>
  <c r="M57" i="43"/>
  <c r="Q57" i="43"/>
  <c r="X57" i="43"/>
  <c r="AJ57" i="43"/>
  <c r="I58" i="43"/>
  <c r="U58" i="43"/>
  <c r="AB58" i="43"/>
  <c r="AI58" i="43"/>
  <c r="AL45" i="43"/>
  <c r="AL59" i="43" s="1"/>
  <c r="X59" i="43"/>
  <c r="J55" i="43"/>
  <c r="Z55" i="43"/>
  <c r="N65" i="43"/>
  <c r="N72" i="43"/>
  <c r="AL64" i="43"/>
  <c r="AL72" i="43" s="1"/>
  <c r="P65" i="43"/>
  <c r="X65" i="43"/>
  <c r="W69" i="43"/>
  <c r="W61" i="43"/>
  <c r="W62" i="43"/>
  <c r="AL154" i="43"/>
  <c r="AL76" i="43"/>
  <c r="AN75" i="43" s="1"/>
  <c r="AN76" i="43" s="1"/>
  <c r="AL85" i="43"/>
  <c r="AL99" i="43"/>
  <c r="AL104" i="43"/>
  <c r="AL155" i="43"/>
  <c r="AL161" i="43"/>
  <c r="AL162" i="43" s="1"/>
  <c r="AN171" i="43"/>
  <c r="AL100" i="43"/>
  <c r="F131" i="43"/>
  <c r="F169" i="43"/>
  <c r="AN27" i="43" l="1"/>
  <c r="AP31" i="43"/>
  <c r="AP35" i="43" s="1"/>
  <c r="AL118" i="43"/>
  <c r="AL125" i="43" s="1"/>
  <c r="AL131" i="43"/>
  <c r="AL129" i="43" s="1"/>
  <c r="K125" i="43"/>
  <c r="AL102" i="43"/>
  <c r="AL69" i="43"/>
  <c r="AN69" i="43" s="1"/>
  <c r="Y57" i="43"/>
  <c r="AL50" i="43"/>
  <c r="AL62" i="43" s="1"/>
  <c r="AL60" i="43"/>
  <c r="R57" i="43"/>
  <c r="X62" i="43"/>
  <c r="AL40" i="43"/>
  <c r="AP42" i="43" s="1"/>
  <c r="Z58" i="43"/>
  <c r="V65" i="43"/>
  <c r="AL49" i="43"/>
  <c r="AL67" i="43" s="1"/>
  <c r="AN67" i="43" s="1"/>
  <c r="AL70" i="43"/>
  <c r="AL55" i="43"/>
  <c r="AC57" i="43"/>
  <c r="AL56" i="43"/>
  <c r="AP43" i="43" l="1"/>
  <c r="AL65" i="43"/>
  <c r="AN65" i="43" s="1"/>
  <c r="AL58" i="43"/>
  <c r="AL57" i="43"/>
  <c r="AL61" i="43"/>
  <c r="AP33" i="43"/>
  <c r="AP37" i="43"/>
  <c r="AP46" i="43" l="1"/>
  <c r="AP48" i="43" s="1"/>
</calcChain>
</file>

<file path=xl/sharedStrings.xml><?xml version="1.0" encoding="utf-8"?>
<sst xmlns="http://schemas.openxmlformats.org/spreadsheetml/2006/main" count="400" uniqueCount="137">
  <si>
    <t>PRODUCTION REPORT</t>
  </si>
  <si>
    <t>No</t>
  </si>
  <si>
    <t>ITEM</t>
  </si>
  <si>
    <t>Budget / Norma</t>
  </si>
  <si>
    <t>UoM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</si>
  <si>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</si>
  <si>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</si>
  <si>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</si>
  <si>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</si>
  <si>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</si>
  <si>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</si>
  <si>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</si>
  <si>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</si>
  <si>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Delivery (base on Sounding)</t>
  </si>
  <si>
    <t>Receiving (base on Sounding)</t>
  </si>
  <si>
    <t>Transfer (Loss)/Gain</t>
  </si>
  <si>
    <t>Incoming CPO (Swasta) WB</t>
  </si>
  <si>
    <t>CPO Swasta</t>
  </si>
  <si>
    <t>Total  Received</t>
  </si>
  <si>
    <t>PRODUCTION</t>
  </si>
  <si>
    <t>Production</t>
  </si>
  <si>
    <t>Refinery</t>
  </si>
  <si>
    <t>Running Days</t>
  </si>
  <si>
    <t>Day</t>
  </si>
  <si>
    <t>CPO Consume</t>
  </si>
  <si>
    <t>COL Consume</t>
  </si>
  <si>
    <t>- FFA</t>
  </si>
  <si>
    <t>- Moist &amp; Impurities</t>
  </si>
  <si>
    <t>- DOBI</t>
  </si>
  <si>
    <t>2,20 Min</t>
  </si>
  <si>
    <t>Product</t>
  </si>
  <si>
    <t>RbdPO</t>
  </si>
  <si>
    <t>PFAD</t>
  </si>
  <si>
    <t>Fractionation OLEIN IV 56</t>
  </si>
  <si>
    <t>Olein IV 56</t>
  </si>
  <si>
    <t>RBDPO Consume</t>
  </si>
  <si>
    <t>OLEIN IV 56</t>
  </si>
  <si>
    <t>STEARIN</t>
  </si>
  <si>
    <t>Fractionation OLEIN IV 58</t>
  </si>
  <si>
    <t>Olein IV 58</t>
  </si>
  <si>
    <t>RBDPO Brand Consume</t>
  </si>
  <si>
    <t>OLEIN IV 58</t>
  </si>
  <si>
    <t>Fractionation OLEIN IV 60</t>
  </si>
  <si>
    <t>Olein IV 60</t>
  </si>
  <si>
    <t>OLEIN IV 60 Bulk</t>
  </si>
  <si>
    <t>OLEIN IV 60 Salvaco</t>
  </si>
  <si>
    <t>SOFT STEARIN</t>
  </si>
  <si>
    <t>YIELD</t>
  </si>
  <si>
    <t>Yield</t>
  </si>
  <si>
    <t xml:space="preserve">RBDPO </t>
  </si>
  <si>
    <t>Stearin</t>
  </si>
  <si>
    <t>Soft Stearin</t>
  </si>
  <si>
    <t>CHEMICAL CONSUMABLE</t>
  </si>
  <si>
    <t>Chemical</t>
  </si>
  <si>
    <t>Bleaching Earth (BE) to Poram Spec</t>
  </si>
  <si>
    <t xml:space="preserve">Kg </t>
  </si>
  <si>
    <t>Bleaching Earth (BE) to Branded Spec</t>
  </si>
  <si>
    <t>Phosporic Acid (PA)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</si>
  <si>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</si>
  <si>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</si>
  <si>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</si>
  <si>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</si>
  <si>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</si>
  <si>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</si>
  <si>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</si>
  <si>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- finished product</t>
  </si>
  <si>
    <t>- sample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</si>
  <si>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</si>
  <si>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</si>
  <si>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</si>
  <si>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</si>
  <si>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</si>
  <si>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</si>
  <si>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</si>
  <si>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</si>
  <si>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</si>
  <si>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</si>
  <si>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</si>
  <si>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</si>
  <si>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</si>
  <si>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</si>
  <si>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</si>
  <si>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>GAS CONSUMPTION</t>
  </si>
  <si>
    <t>Gas</t>
  </si>
  <si>
    <t>Incoming *based on INL</t>
  </si>
  <si>
    <t>mmbtu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</si>
  <si>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</si>
  <si>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</si>
  <si>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</si>
  <si>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</si>
  <si>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</si>
  <si>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</si>
  <si>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</si>
  <si>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</si>
  <si>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</si>
  <si>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</si>
  <si>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</si>
  <si>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</si>
  <si>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</si>
  <si>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</si>
  <si>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</si>
  <si>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</si>
  <si>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</si>
  <si>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</si>
  <si>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</si>
  <si>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</si>
  <si>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</si>
  <si>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</si>
  <si>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</si>
  <si>
    <t xml:space="preserve">OUTGOING LOKAL </t>
  </si>
  <si>
    <t xml:space="preserve">Lokal </t>
  </si>
  <si>
    <t>RBDPO</t>
  </si>
  <si>
    <t xml:space="preserve">OUTGOING EKSPORT </t>
  </si>
  <si>
    <t>Eksport</t>
  </si>
  <si>
    <t>PACKAGING (Brand INL Pillow Pack)</t>
  </si>
  <si>
    <t>Olein IV 58 Consume</t>
  </si>
  <si>
    <t xml:space="preserve">INL 450 mL    </t>
  </si>
  <si>
    <t xml:space="preserve">INL 900 mL  </t>
  </si>
  <si>
    <t>Olein IV 58 Received</t>
  </si>
  <si>
    <t>- remelt, flushing, downgrade</t>
  </si>
  <si>
    <r>
      <t>m</t>
    </r>
    <r>
      <rPr>
        <vertAlign val="superscript"/>
        <sz val="11"/>
        <color theme="1"/>
        <rFont val="Arial"/>
        <family val="2"/>
      </rPr>
      <t>3</t>
    </r>
  </si>
  <si>
    <t xml:space="preserve">INL 1800 mL </t>
  </si>
  <si>
    <t>Inc. CPO Piping Line -PKS Sei Mangkei</t>
  </si>
  <si>
    <t>Inc. CPO Piping Line -Dryport</t>
  </si>
  <si>
    <t>Inc. CPO Tolling UOI</t>
  </si>
  <si>
    <t>MARET</t>
  </si>
  <si>
    <t>Basic Salary</t>
  </si>
  <si>
    <t>Tunjangan Jabatan</t>
  </si>
  <si>
    <t>Tunjangan Kinerja</t>
  </si>
  <si>
    <t>Tunjangan Keahlian</t>
  </si>
  <si>
    <t>Tunjangan Kehadiran</t>
  </si>
  <si>
    <t>Kenaikan Gaji</t>
  </si>
  <si>
    <t>Premi JHT</t>
  </si>
  <si>
    <t>Premi JKK</t>
  </si>
  <si>
    <t>Premi JKM</t>
  </si>
  <si>
    <t>Premi JP</t>
  </si>
  <si>
    <t>Koperasi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</si>
</sst>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0_);_(* \(#,##0.000\);_(* &quot;-&quot;??_);_(@_)"/>
    <numFmt numFmtId="166" formatCode="_(* #,##0.00_);_(* \(#,##0.00\);_(* &quot;-&quot;??_);_(@_)"/>
    <numFmt numFmtId="167" formatCode="_(* #.##0_);_(* \(#.##0\);_(* &quot;-&quot;??_);_(@_)"/>
    <numFmt numFmtId="168" formatCode="_-* #,##0.00_-;\-* #,##0.00_-;_-* &quot;-&quot;_-;_-@_-"/>
    <numFmt numFmtId="169" formatCode="_(* #,##0.000_);_(* \(#,##0.000\);_(* &quot;-&quot;??.00_);_(@_)"/>
    <numFmt numFmtId="170" formatCode="_(* #,##0.00_);_(* \(#,##0.00\);_(* &quot;-&quot;??.0_);_(@_)"/>
    <numFmt numFmtId="171" formatCode="_(* #,##0.0_);_(* \(#,##0.0\);_(* &quot;-&quot;??.0_);_(@_)"/>
    <numFmt numFmtId="172" formatCode="0.00_);\(0.00\)"/>
    <numFmt numFmtId="173" formatCode="_(* #,##0.0000_);_(* \(#,##0.0000\);_(* &quot;-&quot;??.00_);_(@_)"/>
    <numFmt numFmtId="174" formatCode="_(* #,##0.0000_);_(* \(#,##0.0000\);_(* &quot;-&quot;??_);_(@_)"/>
    <numFmt numFmtId="175" formatCode="_(* #,##0.0000_);_(* \(#,##0.0000\);_(* &quot;-&quot;??.000_);_(@_)"/>
    <numFmt numFmtId="176" formatCode="_(* #,##0.0000_);_(* \(#,##0.0000\);_(* &quot;-&quot;??.0000_);_(@_)"/>
    <numFmt numFmtId="177" formatCode="_(* #,###.0000_);_(* \(#,###.0000\);_(* &quot;-&quot;?,?00.00_);_(@_)"/>
    <numFmt numFmtId="178" formatCode="_-* #,##0.0000_-;\-* #,##0.0000_-;_-* &quot;-&quot;????_-;_-@_-"/>
    <numFmt numFmtId="179" formatCode="_-* #,##0_-;\-* #,##0_-;_-* &quot;-&quot;??_-;_-@_-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theme="4" tint="-0.499984740745262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3">
    <xf numFmtId="0" fontId="0" fillId="0" borderId="0"/>
    <xf numFmtId="166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8" fillId="0" borderId="0">
      <protection locked="0"/>
    </xf>
    <xf numFmtId="0" fontId="18" fillId="0" borderId="0">
      <protection locked="0"/>
    </xf>
    <xf numFmtId="166" fontId="21" fillId="0" borderId="0" applyFont="0" applyFill="0" applyBorder="0" applyAlignment="0" applyProtection="0"/>
    <xf numFmtId="0" fontId="19" fillId="0" borderId="0"/>
    <xf numFmtId="0" fontId="21" fillId="0" borderId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18" fillId="0" borderId="0">
      <protection locked="0"/>
    </xf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4" fillId="0" borderId="0"/>
  </cellStyleXfs>
  <cellXfs count="295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3" fillId="0" borderId="0" xfId="0" applyFont="1"/>
    <xf numFmtId="0" fontId="0" fillId="0" borderId="0" xfId="0" applyFont="1" applyAlignment="1">
      <alignment vertical="center"/>
    </xf>
    <xf numFmtId="0" fontId="3" fillId="2" borderId="0" xfId="0" applyFont="1" applyFill="1"/>
    <xf numFmtId="0" fontId="5" fillId="0" borderId="0" xfId="0" applyFont="1" applyFill="1"/>
    <xf numFmtId="0" fontId="3" fillId="0" borderId="0" xfId="0" applyFont="1" applyFill="1" applyAlignment="1">
      <alignment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6" fontId="3" fillId="0" borderId="0" xfId="1" applyFont="1"/>
    <xf numFmtId="166" fontId="3" fillId="0" borderId="0" xfId="0" applyNumberFormat="1" applyFont="1"/>
    <xf numFmtId="0" fontId="4" fillId="0" borderId="0" xfId="0" applyFont="1"/>
    <xf numFmtId="164" fontId="3" fillId="0" borderId="0" xfId="1" applyNumberFormat="1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7" fontId="3" fillId="0" borderId="0" xfId="0" applyNumberFormat="1" applyFont="1"/>
    <xf numFmtId="0" fontId="5" fillId="4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top"/>
    </xf>
    <xf numFmtId="0" fontId="5" fillId="3" borderId="9" xfId="0" applyFont="1" applyFill="1" applyBorder="1" applyAlignme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1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6" fontId="7" fillId="0" borderId="6" xfId="1" applyNumberFormat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vertical="center"/>
    </xf>
    <xf numFmtId="166" fontId="7" fillId="0" borderId="4" xfId="1" applyNumberFormat="1" applyFont="1" applyFill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1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164" fontId="3" fillId="3" borderId="9" xfId="1" applyNumberFormat="1" applyFont="1" applyFill="1" applyBorder="1"/>
    <xf numFmtId="0" fontId="5" fillId="0" borderId="4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164" fontId="3" fillId="0" borderId="9" xfId="1" applyNumberFormat="1" applyFont="1" applyFill="1" applyBorder="1"/>
    <xf numFmtId="164" fontId="3" fillId="0" borderId="4" xfId="1" applyNumberFormat="1" applyFont="1" applyFill="1" applyBorder="1"/>
    <xf numFmtId="0" fontId="5" fillId="0" borderId="4" xfId="0" applyFont="1" applyFill="1" applyBorder="1" applyAlignment="1">
      <alignment horizontal="center"/>
    </xf>
    <xf numFmtId="0" fontId="3" fillId="6" borderId="4" xfId="0" applyFont="1" applyFill="1" applyBorder="1"/>
    <xf numFmtId="164" fontId="3" fillId="5" borderId="4" xfId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4" fontId="3" fillId="6" borderId="4" xfId="1" applyNumberFormat="1" applyFont="1" applyFill="1" applyBorder="1"/>
    <xf numFmtId="0" fontId="9" fillId="0" borderId="4" xfId="0" applyFont="1" applyFill="1" applyBorder="1" applyAlignment="1">
      <alignment horizontal="center"/>
    </xf>
    <xf numFmtId="166" fontId="4" fillId="5" borderId="4" xfId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168" fontId="3" fillId="0" borderId="4" xfId="2" applyNumberFormat="1" applyFont="1" applyFill="1" applyBorder="1"/>
    <xf numFmtId="166" fontId="3" fillId="5" borderId="4" xfId="1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66" fontId="3" fillId="5" borderId="4" xfId="1" applyFont="1" applyFill="1" applyBorder="1" applyAlignment="1">
      <alignment horizontal="right"/>
    </xf>
    <xf numFmtId="168" fontId="4" fillId="0" borderId="4" xfId="2" applyNumberFormat="1" applyFont="1" applyFill="1" applyBorder="1"/>
    <xf numFmtId="0" fontId="10" fillId="2" borderId="4" xfId="0" applyFont="1" applyFill="1" applyBorder="1"/>
    <xf numFmtId="0" fontId="3" fillId="5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9" xfId="0" applyFont="1" applyBorder="1"/>
    <xf numFmtId="0" fontId="11" fillId="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3" fillId="7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horizontal="center" vertical="center"/>
    </xf>
    <xf numFmtId="0" fontId="5" fillId="3" borderId="9" xfId="0" applyFont="1" applyFill="1" applyBorder="1"/>
    <xf numFmtId="0" fontId="3" fillId="3" borderId="9" xfId="0" applyFont="1" applyFill="1" applyBorder="1" applyAlignment="1">
      <alignment horizontal="center"/>
    </xf>
    <xf numFmtId="0" fontId="3" fillId="2" borderId="4" xfId="0" applyFont="1" applyFill="1" applyBorder="1"/>
    <xf numFmtId="166" fontId="3" fillId="0" borderId="4" xfId="1" applyFont="1" applyFill="1" applyBorder="1"/>
    <xf numFmtId="166" fontId="3" fillId="0" borderId="4" xfId="1" applyNumberFormat="1" applyFont="1" applyFill="1" applyBorder="1"/>
    <xf numFmtId="0" fontId="3" fillId="0" borderId="4" xfId="0" applyFont="1" applyBorder="1"/>
    <xf numFmtId="166" fontId="3" fillId="5" borderId="10" xfId="1" applyFont="1" applyFill="1" applyBorder="1" applyAlignment="1">
      <alignment horizontal="center"/>
    </xf>
    <xf numFmtId="164" fontId="3" fillId="0" borderId="10" xfId="1" applyNumberFormat="1" applyFont="1" applyFill="1" applyBorder="1"/>
    <xf numFmtId="0" fontId="3" fillId="0" borderId="11" xfId="0" applyFont="1" applyBorder="1"/>
    <xf numFmtId="0" fontId="3" fillId="5" borderId="11" xfId="0" applyFont="1" applyFill="1" applyBorder="1" applyAlignment="1">
      <alignment horizontal="center"/>
    </xf>
    <xf numFmtId="166" fontId="3" fillId="0" borderId="11" xfId="1" applyFont="1" applyFill="1" applyBorder="1"/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169" fontId="3" fillId="0" borderId="4" xfId="1" applyNumberFormat="1" applyFont="1" applyFill="1" applyBorder="1"/>
    <xf numFmtId="0" fontId="5" fillId="2" borderId="9" xfId="0" applyFont="1" applyFill="1" applyBorder="1" applyAlignment="1">
      <alignment horizontal="center"/>
    </xf>
    <xf numFmtId="170" fontId="3" fillId="5" borderId="9" xfId="1" applyNumberFormat="1" applyFont="1" applyFill="1" applyBorder="1" applyAlignment="1">
      <alignment horizontal="center"/>
    </xf>
    <xf numFmtId="166" fontId="12" fillId="0" borderId="9" xfId="1" applyFont="1" applyFill="1" applyBorder="1"/>
    <xf numFmtId="171" fontId="3" fillId="5" borderId="4" xfId="1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7" fontId="3" fillId="0" borderId="9" xfId="1" applyNumberFormat="1" applyFont="1" applyFill="1" applyBorder="1"/>
    <xf numFmtId="166" fontId="3" fillId="0" borderId="11" xfId="1" applyNumberFormat="1" applyFont="1" applyFill="1" applyBorder="1"/>
    <xf numFmtId="164" fontId="5" fillId="0" borderId="9" xfId="1" applyNumberFormat="1" applyFont="1" applyFill="1" applyBorder="1"/>
    <xf numFmtId="164" fontId="5" fillId="2" borderId="9" xfId="1" applyNumberFormat="1" applyFont="1" applyFill="1" applyBorder="1"/>
    <xf numFmtId="164" fontId="3" fillId="0" borderId="12" xfId="1" applyNumberFormat="1" applyFont="1" applyFill="1" applyBorder="1"/>
    <xf numFmtId="164" fontId="3" fillId="3" borderId="9" xfId="1" applyNumberFormat="1" applyFont="1" applyFill="1" applyBorder="1" applyAlignment="1">
      <alignment horizontal="right" vertical="center"/>
    </xf>
    <xf numFmtId="164" fontId="5" fillId="0" borderId="9" xfId="1" applyNumberFormat="1" applyFont="1" applyFill="1" applyBorder="1" applyAlignment="1">
      <alignment horizontal="center"/>
    </xf>
    <xf numFmtId="164" fontId="3" fillId="7" borderId="4" xfId="1" applyNumberFormat="1" applyFont="1" applyFill="1" applyBorder="1" applyAlignment="1">
      <alignment horizontal="center" vertical="center"/>
    </xf>
    <xf numFmtId="169" fontId="4" fillId="0" borderId="4" xfId="1" applyNumberFormat="1" applyFont="1" applyFill="1" applyBorder="1"/>
    <xf numFmtId="164" fontId="3" fillId="0" borderId="0" xfId="0" applyNumberFormat="1" applyFont="1"/>
    <xf numFmtId="0" fontId="14" fillId="3" borderId="15" xfId="0" applyFont="1" applyFill="1" applyBorder="1" applyAlignment="1">
      <alignment vertical="center"/>
    </xf>
    <xf numFmtId="164" fontId="3" fillId="0" borderId="15" xfId="1" applyNumberFormat="1" applyFont="1" applyBorder="1"/>
    <xf numFmtId="172" fontId="15" fillId="0" borderId="15" xfId="0" applyNumberFormat="1" applyFont="1" applyBorder="1"/>
    <xf numFmtId="0" fontId="14" fillId="3" borderId="16" xfId="0" applyFont="1" applyFill="1" applyBorder="1" applyAlignment="1">
      <alignment vertical="center"/>
    </xf>
    <xf numFmtId="166" fontId="7" fillId="0" borderId="0" xfId="0" applyNumberFormat="1" applyFont="1"/>
    <xf numFmtId="166" fontId="7" fillId="0" borderId="15" xfId="0" applyNumberFormat="1" applyFont="1" applyBorder="1"/>
    <xf numFmtId="164" fontId="5" fillId="0" borderId="17" xfId="1" applyNumberFormat="1" applyFont="1" applyBorder="1" applyAlignment="1">
      <alignment vertical="center"/>
    </xf>
    <xf numFmtId="0" fontId="10" fillId="0" borderId="15" xfId="0" applyFont="1" applyBorder="1"/>
    <xf numFmtId="164" fontId="3" fillId="0" borderId="15" xfId="0" applyNumberFormat="1" applyFont="1" applyBorder="1"/>
    <xf numFmtId="0" fontId="16" fillId="0" borderId="0" xfId="0" applyFont="1" applyFill="1"/>
    <xf numFmtId="164" fontId="3" fillId="0" borderId="0" xfId="1" applyNumberFormat="1" applyFont="1" applyFill="1"/>
    <xf numFmtId="166" fontId="3" fillId="0" borderId="15" xfId="0" applyNumberFormat="1" applyFont="1" applyFill="1" applyBorder="1"/>
    <xf numFmtId="164" fontId="4" fillId="0" borderId="0" xfId="1" applyNumberFormat="1" applyFont="1"/>
    <xf numFmtId="0" fontId="16" fillId="2" borderId="0" xfId="0" applyFont="1" applyFill="1"/>
    <xf numFmtId="164" fontId="14" fillId="0" borderId="15" xfId="0" applyNumberFormat="1" applyFont="1" applyBorder="1"/>
    <xf numFmtId="0" fontId="16" fillId="0" borderId="0" xfId="0" applyFont="1"/>
    <xf numFmtId="164" fontId="10" fillId="0" borderId="15" xfId="0" applyNumberFormat="1" applyFont="1" applyBorder="1"/>
    <xf numFmtId="0" fontId="16" fillId="0" borderId="0" xfId="0" applyFont="1" applyAlignment="1">
      <alignment vertical="center"/>
    </xf>
    <xf numFmtId="164" fontId="3" fillId="0" borderId="15" xfId="0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15" xfId="1" applyNumberFormat="1" applyFont="1" applyBorder="1" applyAlignment="1">
      <alignment vertical="center"/>
    </xf>
    <xf numFmtId="0" fontId="16" fillId="0" borderId="0" xfId="0" applyFont="1" applyBorder="1"/>
    <xf numFmtId="0" fontId="5" fillId="3" borderId="16" xfId="0" applyFont="1" applyFill="1" applyBorder="1"/>
    <xf numFmtId="166" fontId="3" fillId="0" borderId="15" xfId="1" applyFont="1" applyBorder="1"/>
    <xf numFmtId="166" fontId="3" fillId="0" borderId="0" xfId="1" applyNumberFormat="1" applyFont="1" applyFill="1" applyBorder="1"/>
    <xf numFmtId="164" fontId="3" fillId="0" borderId="18" xfId="0" applyNumberFormat="1" applyFont="1" applyBorder="1"/>
    <xf numFmtId="166" fontId="3" fillId="0" borderId="19" xfId="1" applyFont="1" applyBorder="1"/>
    <xf numFmtId="169" fontId="3" fillId="0" borderId="15" xfId="1" applyNumberFormat="1" applyFont="1" applyBorder="1"/>
    <xf numFmtId="0" fontId="12" fillId="2" borderId="0" xfId="0" applyFont="1" applyFill="1" applyBorder="1"/>
    <xf numFmtId="166" fontId="12" fillId="0" borderId="16" xfId="1" applyFont="1" applyFill="1" applyBorder="1"/>
    <xf numFmtId="164" fontId="3" fillId="2" borderId="0" xfId="1" applyNumberFormat="1" applyFont="1" applyFill="1"/>
    <xf numFmtId="0" fontId="16" fillId="2" borderId="0" xfId="0" applyFont="1" applyFill="1" applyBorder="1"/>
    <xf numFmtId="166" fontId="3" fillId="2" borderId="15" xfId="0" applyNumberFormat="1" applyFont="1" applyFill="1" applyBorder="1"/>
    <xf numFmtId="166" fontId="3" fillId="0" borderId="0" xfId="1" applyFont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64" fontId="5" fillId="0" borderId="4" xfId="1" applyNumberFormat="1" applyFont="1" applyFill="1" applyBorder="1"/>
    <xf numFmtId="0" fontId="5" fillId="5" borderId="4" xfId="0" applyFont="1" applyFill="1" applyBorder="1" applyAlignment="1">
      <alignment horizontal="center"/>
    </xf>
    <xf numFmtId="166" fontId="5" fillId="0" borderId="4" xfId="1" applyNumberFormat="1" applyFont="1" applyFill="1" applyBorder="1"/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164" fontId="3" fillId="0" borderId="4" xfId="1" applyNumberFormat="1" applyFont="1" applyFill="1" applyBorder="1" applyAlignment="1">
      <alignment vertical="center"/>
    </xf>
    <xf numFmtId="164" fontId="3" fillId="0" borderId="7" xfId="1" applyNumberFormat="1" applyFont="1" applyFill="1" applyBorder="1" applyAlignment="1">
      <alignment wrapText="1"/>
    </xf>
    <xf numFmtId="0" fontId="5" fillId="2" borderId="4" xfId="0" applyFont="1" applyFill="1" applyBorder="1" applyAlignment="1">
      <alignment horizontal="center"/>
    </xf>
    <xf numFmtId="173" fontId="13" fillId="0" borderId="4" xfId="1" applyNumberFormat="1" applyFont="1" applyFill="1" applyBorder="1"/>
    <xf numFmtId="170" fontId="3" fillId="5" borderId="4" xfId="1" applyNumberFormat="1" applyFont="1" applyFill="1" applyBorder="1" applyAlignment="1">
      <alignment horizontal="center"/>
    </xf>
    <xf numFmtId="173" fontId="3" fillId="0" borderId="4" xfId="1" applyNumberFormat="1" applyFont="1" applyFill="1" applyBorder="1"/>
    <xf numFmtId="164" fontId="3" fillId="0" borderId="4" xfId="1" applyNumberFormat="1" applyFont="1" applyBorder="1"/>
    <xf numFmtId="174" fontId="13" fillId="0" borderId="4" xfId="1" applyNumberFormat="1" applyFont="1" applyFill="1" applyBorder="1"/>
    <xf numFmtId="175" fontId="3" fillId="0" borderId="4" xfId="1" applyNumberFormat="1" applyFont="1" applyFill="1" applyBorder="1"/>
    <xf numFmtId="174" fontId="3" fillId="0" borderId="4" xfId="1" applyNumberFormat="1" applyFont="1" applyFill="1" applyBorder="1"/>
    <xf numFmtId="164" fontId="5" fillId="0" borderId="0" xfId="0" applyNumberFormat="1" applyFont="1" applyFill="1"/>
    <xf numFmtId="166" fontId="5" fillId="0" borderId="15" xfId="0" applyNumberFormat="1" applyFont="1" applyFill="1" applyBorder="1"/>
    <xf numFmtId="164" fontId="5" fillId="0" borderId="0" xfId="1" applyNumberFormat="1" applyFont="1" applyFill="1"/>
    <xf numFmtId="0" fontId="17" fillId="0" borderId="0" xfId="0" applyFont="1" applyFill="1"/>
    <xf numFmtId="166" fontId="3" fillId="0" borderId="0" xfId="0" applyNumberFormat="1" applyFont="1" applyFill="1"/>
    <xf numFmtId="164" fontId="14" fillId="0" borderId="15" xfId="0" applyNumberFormat="1" applyFont="1" applyFill="1" applyBorder="1"/>
    <xf numFmtId="0" fontId="16" fillId="0" borderId="0" xfId="0" applyFont="1" applyFill="1" applyAlignment="1">
      <alignment vertical="center"/>
    </xf>
    <xf numFmtId="164" fontId="3" fillId="0" borderId="15" xfId="0" applyNumberFormat="1" applyFont="1" applyFill="1" applyBorder="1"/>
    <xf numFmtId="164" fontId="3" fillId="0" borderId="0" xfId="1" applyNumberFormat="1" applyFont="1" applyFill="1" applyAlignment="1">
      <alignment vertical="center"/>
    </xf>
    <xf numFmtId="164" fontId="3" fillId="0" borderId="15" xfId="0" applyNumberFormat="1" applyFont="1" applyFill="1" applyBorder="1" applyAlignment="1">
      <alignment vertical="center"/>
    </xf>
    <xf numFmtId="174" fontId="3" fillId="0" borderId="15" xfId="0" applyNumberFormat="1" applyFont="1" applyFill="1" applyBorder="1"/>
    <xf numFmtId="174" fontId="5" fillId="0" borderId="15" xfId="0" applyNumberFormat="1" applyFont="1" applyFill="1" applyBorder="1"/>
    <xf numFmtId="0" fontId="5" fillId="0" borderId="6" xfId="0" applyFont="1" applyBorder="1" applyAlignment="1">
      <alignment horizontal="center"/>
    </xf>
    <xf numFmtId="166" fontId="5" fillId="5" borderId="6" xfId="1" applyFont="1" applyFill="1" applyBorder="1" applyAlignment="1">
      <alignment horizontal="center"/>
    </xf>
    <xf numFmtId="173" fontId="5" fillId="0" borderId="6" xfId="1" applyNumberFormat="1" applyFont="1" applyFill="1" applyBorder="1"/>
    <xf numFmtId="0" fontId="5" fillId="3" borderId="4" xfId="0" applyFont="1" applyFill="1" applyBorder="1" applyAlignment="1">
      <alignment horizontal="center"/>
    </xf>
    <xf numFmtId="174" fontId="5" fillId="3" borderId="4" xfId="1" applyNumberFormat="1" applyFont="1" applyFill="1" applyBorder="1"/>
    <xf numFmtId="164" fontId="5" fillId="5" borderId="4" xfId="1" applyNumberFormat="1" applyFont="1" applyFill="1" applyBorder="1" applyAlignment="1">
      <alignment horizontal="center"/>
    </xf>
    <xf numFmtId="166" fontId="3" fillId="5" borderId="4" xfId="1" applyFont="1" applyFill="1" applyBorder="1" applyAlignment="1">
      <alignment horizontal="center" vertical="center"/>
    </xf>
    <xf numFmtId="166" fontId="3" fillId="0" borderId="4" xfId="1" applyNumberFormat="1" applyFont="1" applyFill="1" applyBorder="1" applyAlignment="1">
      <alignment vertical="center"/>
    </xf>
    <xf numFmtId="166" fontId="3" fillId="5" borderId="4" xfId="1" applyFont="1" applyFill="1" applyBorder="1" applyAlignment="1">
      <alignment vertical="center"/>
    </xf>
    <xf numFmtId="0" fontId="3" fillId="5" borderId="4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164" fontId="13" fillId="0" borderId="4" xfId="1" applyNumberFormat="1" applyFont="1" applyFill="1" applyBorder="1"/>
    <xf numFmtId="0" fontId="3" fillId="3" borderId="9" xfId="0" applyFont="1" applyFill="1" applyBorder="1"/>
    <xf numFmtId="0" fontId="5" fillId="2" borderId="6" xfId="0" applyFont="1" applyFill="1" applyBorder="1"/>
    <xf numFmtId="0" fontId="5" fillId="5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4" fontId="5" fillId="0" borderId="6" xfId="1" applyNumberFormat="1" applyFont="1" applyBorder="1"/>
    <xf numFmtId="174" fontId="5" fillId="0" borderId="6" xfId="1" applyNumberFormat="1" applyFont="1" applyFill="1" applyBorder="1"/>
    <xf numFmtId="164" fontId="4" fillId="0" borderId="4" xfId="1" applyNumberFormat="1" applyFont="1" applyFill="1" applyBorder="1"/>
    <xf numFmtId="166" fontId="3" fillId="3" borderId="9" xfId="1" applyNumberFormat="1" applyFont="1" applyFill="1" applyBorder="1"/>
    <xf numFmtId="0" fontId="14" fillId="0" borderId="15" xfId="0" applyFont="1" applyBorder="1"/>
    <xf numFmtId="177" fontId="3" fillId="0" borderId="15" xfId="0" applyNumberFormat="1" applyFont="1" applyBorder="1"/>
    <xf numFmtId="0" fontId="17" fillId="0" borderId="0" xfId="0" applyFont="1"/>
    <xf numFmtId="174" fontId="5" fillId="0" borderId="14" xfId="0" applyNumberFormat="1" applyFont="1" applyBorder="1"/>
    <xf numFmtId="164" fontId="5" fillId="0" borderId="0" xfId="1" applyNumberFormat="1" applyFont="1"/>
    <xf numFmtId="166" fontId="5" fillId="3" borderId="16" xfId="1" applyNumberFormat="1" applyFont="1" applyFill="1" applyBorder="1"/>
    <xf numFmtId="164" fontId="5" fillId="0" borderId="15" xfId="0" applyNumberFormat="1" applyFont="1" applyBorder="1"/>
    <xf numFmtId="164" fontId="5" fillId="0" borderId="0" xfId="0" applyNumberFormat="1" applyFont="1"/>
    <xf numFmtId="165" fontId="14" fillId="0" borderId="15" xfId="0" applyNumberFormat="1" applyFont="1" applyBorder="1"/>
    <xf numFmtId="166" fontId="5" fillId="0" borderId="15" xfId="1" applyFont="1" applyBorder="1" applyAlignment="1">
      <alignment vertical="center"/>
    </xf>
    <xf numFmtId="164" fontId="14" fillId="0" borderId="15" xfId="0" applyNumberFormat="1" applyFont="1" applyBorder="1" applyAlignment="1">
      <alignment vertical="center"/>
    </xf>
    <xf numFmtId="166" fontId="3" fillId="0" borderId="15" xfId="1" applyFont="1" applyBorder="1" applyAlignment="1">
      <alignment vertical="center"/>
    </xf>
    <xf numFmtId="164" fontId="5" fillId="3" borderId="16" xfId="1" applyNumberFormat="1" applyFont="1" applyFill="1" applyBorder="1"/>
    <xf numFmtId="0" fontId="10" fillId="3" borderId="16" xfId="0" applyFont="1" applyFill="1" applyBorder="1"/>
    <xf numFmtId="164" fontId="5" fillId="0" borderId="14" xfId="0" applyNumberFormat="1" applyFont="1" applyBorder="1"/>
    <xf numFmtId="0" fontId="10" fillId="3" borderId="15" xfId="0" applyFont="1" applyFill="1" applyBorder="1"/>
    <xf numFmtId="164" fontId="5" fillId="0" borderId="20" xfId="0" applyNumberFormat="1" applyFont="1" applyBorder="1"/>
    <xf numFmtId="0" fontId="5" fillId="3" borderId="15" xfId="0" quotePrefix="1" applyFont="1" applyFill="1" applyBorder="1"/>
    <xf numFmtId="0" fontId="4" fillId="0" borderId="4" xfId="0" quotePrefix="1" applyFont="1" applyFill="1" applyBorder="1"/>
    <xf numFmtId="0" fontId="3" fillId="0" borderId="4" xfId="0" quotePrefix="1" applyFont="1" applyFill="1" applyBorder="1"/>
    <xf numFmtId="0" fontId="3" fillId="6" borderId="4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0" fontId="5" fillId="3" borderId="9" xfId="0" quotePrefix="1" applyFont="1" applyFill="1" applyBorder="1"/>
    <xf numFmtId="0" fontId="5" fillId="3" borderId="16" xfId="0" quotePrefix="1" applyFont="1" applyFill="1" applyBorder="1"/>
    <xf numFmtId="0" fontId="3" fillId="2" borderId="4" xfId="0" quotePrefix="1" applyFont="1" applyFill="1" applyBorder="1"/>
    <xf numFmtId="0" fontId="3" fillId="2" borderId="4" xfId="0" quotePrefix="1" applyFont="1" applyFill="1" applyBorder="1" applyAlignment="1">
      <alignment horizontal="center"/>
    </xf>
    <xf numFmtId="0" fontId="3" fillId="0" borderId="4" xfId="0" quotePrefix="1" applyFont="1" applyBorder="1"/>
    <xf numFmtId="0" fontId="3" fillId="0" borderId="4" xfId="0" quotePrefix="1" applyFont="1" applyBorder="1" applyAlignment="1">
      <alignment horizontal="center"/>
    </xf>
    <xf numFmtId="0" fontId="3" fillId="0" borderId="10" xfId="0" quotePrefix="1" applyFont="1" applyBorder="1"/>
    <xf numFmtId="0" fontId="3" fillId="0" borderId="10" xfId="0" quotePrefix="1" applyFont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0" fontId="3" fillId="0" borderId="6" xfId="0" quotePrefix="1" applyFont="1" applyBorder="1" applyAlignment="1">
      <alignment horizontal="center"/>
    </xf>
    <xf numFmtId="0" fontId="5" fillId="2" borderId="9" xfId="0" quotePrefix="1" applyFont="1" applyFill="1" applyBorder="1"/>
    <xf numFmtId="0" fontId="3" fillId="2" borderId="9" xfId="0" quotePrefix="1" applyFont="1" applyFill="1" applyBorder="1" applyAlignment="1">
      <alignment horizontal="center"/>
    </xf>
    <xf numFmtId="0" fontId="3" fillId="2" borderId="6" xfId="0" quotePrefix="1" applyFont="1" applyFill="1" applyBorder="1"/>
    <xf numFmtId="0" fontId="3" fillId="2" borderId="6" xfId="0" quotePrefix="1" applyFont="1" applyFill="1" applyBorder="1" applyAlignment="1">
      <alignment horizontal="center"/>
    </xf>
    <xf numFmtId="0" fontId="5" fillId="0" borderId="4" xfId="0" quotePrefix="1" applyFont="1" applyFill="1" applyBorder="1"/>
    <xf numFmtId="0" fontId="5" fillId="0" borderId="4" xfId="0" quotePrefix="1" applyFont="1" applyFill="1" applyBorder="1" applyAlignment="1">
      <alignment horizontal="center"/>
    </xf>
    <xf numFmtId="0" fontId="14" fillId="0" borderId="4" xfId="0" quotePrefix="1" applyFont="1" applyFill="1" applyBorder="1"/>
    <xf numFmtId="0" fontId="3" fillId="0" borderId="4" xfId="0" quotePrefix="1" applyFont="1" applyFill="1" applyBorder="1" applyAlignment="1">
      <alignment horizontal="center"/>
    </xf>
    <xf numFmtId="0" fontId="3" fillId="0" borderId="4" xfId="0" quotePrefix="1" applyFont="1" applyFill="1" applyBorder="1" applyAlignment="1">
      <alignment vertical="center"/>
    </xf>
    <xf numFmtId="0" fontId="3" fillId="0" borderId="4" xfId="0" quotePrefix="1" applyFont="1" applyFill="1" applyBorder="1" applyAlignment="1">
      <alignment horizontal="center" vertical="center"/>
    </xf>
    <xf numFmtId="0" fontId="5" fillId="0" borderId="4" xfId="0" quotePrefix="1" applyFont="1" applyBorder="1"/>
    <xf numFmtId="0" fontId="5" fillId="0" borderId="6" xfId="0" quotePrefix="1" applyFont="1" applyBorder="1"/>
    <xf numFmtId="0" fontId="5" fillId="0" borderId="6" xfId="0" quotePrefix="1" applyFont="1" applyBorder="1" applyAlignment="1">
      <alignment horizontal="center"/>
    </xf>
    <xf numFmtId="0" fontId="5" fillId="3" borderId="4" xfId="0" quotePrefix="1" applyFont="1" applyFill="1" applyBorder="1"/>
    <xf numFmtId="0" fontId="14" fillId="0" borderId="4" xfId="0" quotePrefix="1" applyFont="1" applyBorder="1"/>
    <xf numFmtId="0" fontId="3" fillId="0" borderId="4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0" fontId="5" fillId="0" borderId="4" xfId="0" quotePrefix="1" applyFont="1" applyBorder="1" applyAlignment="1">
      <alignment vertical="center"/>
    </xf>
    <xf numFmtId="0" fontId="5" fillId="2" borderId="4" xfId="0" quotePrefix="1" applyFont="1" applyFill="1" applyBorder="1"/>
    <xf numFmtId="0" fontId="5" fillId="2" borderId="4" xfId="0" quotePrefix="1" applyFont="1" applyFill="1" applyBorder="1" applyAlignment="1">
      <alignment horizontal="center"/>
    </xf>
    <xf numFmtId="164" fontId="22" fillId="0" borderId="4" xfId="1" applyNumberFormat="1" applyFont="1" applyFill="1" applyBorder="1"/>
    <xf numFmtId="41" fontId="3" fillId="0" borderId="0" xfId="2" applyFont="1" applyFill="1"/>
    <xf numFmtId="41" fontId="3" fillId="0" borderId="0" xfId="0" applyNumberFormat="1" applyFont="1" applyFill="1"/>
    <xf numFmtId="164" fontId="3" fillId="0" borderId="0" xfId="0" applyNumberFormat="1" applyFont="1" applyAlignment="1">
      <alignment vertical="center"/>
    </xf>
    <xf numFmtId="168" fontId="3" fillId="0" borderId="0" xfId="2" applyNumberFormat="1" applyFont="1" applyFill="1"/>
    <xf numFmtId="166" fontId="3" fillId="0" borderId="9" xfId="1" applyNumberFormat="1" applyFont="1" applyFill="1" applyBorder="1"/>
    <xf numFmtId="164" fontId="3" fillId="0" borderId="6" xfId="1" applyNumberFormat="1" applyFont="1" applyFill="1" applyBorder="1" applyAlignment="1">
      <alignment vertical="center"/>
    </xf>
    <xf numFmtId="168" fontId="3" fillId="0" borderId="4" xfId="2" applyNumberFormat="1" applyFont="1" applyBorder="1"/>
    <xf numFmtId="168" fontId="3" fillId="0" borderId="4" xfId="2" applyNumberFormat="1" applyFont="1" applyFill="1" applyBorder="1" applyAlignment="1">
      <alignment vertical="center"/>
    </xf>
    <xf numFmtId="41" fontId="3" fillId="0" borderId="4" xfId="2" applyFont="1" applyFill="1" applyBorder="1"/>
    <xf numFmtId="41" fontId="3" fillId="0" borderId="0" xfId="2" applyFont="1" applyAlignment="1">
      <alignment vertical="center"/>
    </xf>
    <xf numFmtId="178" fontId="3" fillId="0" borderId="0" xfId="0" applyNumberFormat="1" applyFont="1"/>
    <xf numFmtId="178" fontId="5" fillId="0" borderId="0" xfId="0" applyNumberFormat="1" applyFont="1"/>
    <xf numFmtId="41" fontId="5" fillId="0" borderId="0" xfId="2" applyFont="1" applyFill="1"/>
    <xf numFmtId="43" fontId="3" fillId="0" borderId="0" xfId="0" applyNumberFormat="1" applyFont="1" applyFill="1"/>
    <xf numFmtId="164" fontId="3" fillId="0" borderId="6" xfId="1" applyNumberFormat="1" applyFont="1" applyFill="1" applyBorder="1"/>
    <xf numFmtId="166" fontId="3" fillId="0" borderId="0" xfId="1" applyNumberFormat="1" applyFont="1" applyFill="1"/>
    <xf numFmtId="168" fontId="3" fillId="0" borderId="4" xfId="1" applyNumberFormat="1" applyFont="1" applyFill="1" applyBorder="1"/>
    <xf numFmtId="164" fontId="3" fillId="7" borderId="4" xfId="1" applyNumberFormat="1" applyFont="1" applyFill="1" applyBorder="1"/>
    <xf numFmtId="41" fontId="4" fillId="0" borderId="0" xfId="2" applyFont="1"/>
    <xf numFmtId="41" fontId="3" fillId="0" borderId="0" xfId="2" applyFont="1"/>
    <xf numFmtId="43" fontId="3" fillId="0" borderId="0" xfId="0" applyNumberFormat="1" applyFont="1"/>
    <xf numFmtId="164" fontId="3" fillId="0" borderId="0" xfId="0" applyNumberFormat="1" applyFont="1" applyFill="1"/>
    <xf numFmtId="166" fontId="4" fillId="0" borderId="0" xfId="0" applyNumberFormat="1" applyFont="1"/>
    <xf numFmtId="41" fontId="3" fillId="0" borderId="0" xfId="0" applyNumberFormat="1" applyFont="1"/>
    <xf numFmtId="2" fontId="3" fillId="0" borderId="0" xfId="0" applyNumberFormat="1" applyFont="1"/>
    <xf numFmtId="168" fontId="3" fillId="2" borderId="0" xfId="2" applyNumberFormat="1" applyFont="1" applyFill="1"/>
    <xf numFmtId="164" fontId="5" fillId="2" borderId="9" xfId="1" applyNumberFormat="1" applyFont="1" applyFill="1" applyBorder="1" applyAlignment="1">
      <alignment horizontal="center"/>
    </xf>
    <xf numFmtId="164" fontId="3" fillId="2" borderId="4" xfId="1" applyNumberFormat="1" applyFont="1" applyFill="1" applyBorder="1"/>
    <xf numFmtId="164" fontId="3" fillId="6" borderId="6" xfId="1" applyNumberFormat="1" applyFont="1" applyFill="1" applyBorder="1"/>
    <xf numFmtId="168" fontId="4" fillId="0" borderId="0" xfId="0" applyNumberFormat="1" applyFont="1"/>
    <xf numFmtId="43" fontId="3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41" fontId="3" fillId="5" borderId="4" xfId="2" applyFont="1" applyFill="1" applyBorder="1" applyAlignment="1">
      <alignment horizontal="center"/>
    </xf>
    <xf numFmtId="41" fontId="11" fillId="5" borderId="9" xfId="2" applyFont="1" applyFill="1" applyBorder="1" applyAlignment="1">
      <alignment horizontal="center"/>
    </xf>
    <xf numFmtId="41" fontId="11" fillId="5" borderId="4" xfId="2" applyFont="1" applyFill="1" applyBorder="1" applyAlignment="1">
      <alignment horizontal="center" vertical="center"/>
    </xf>
    <xf numFmtId="174" fontId="4" fillId="0" borderId="4" xfId="1" applyNumberFormat="1" applyFont="1" applyFill="1" applyBorder="1"/>
    <xf numFmtId="168" fontId="3" fillId="2" borderId="4" xfId="2" applyNumberFormat="1" applyFont="1" applyFill="1" applyBorder="1"/>
    <xf numFmtId="41" fontId="3" fillId="0" borderId="0" xfId="2" applyFont="1" applyFill="1" applyAlignment="1">
      <alignment vertical="center"/>
    </xf>
    <xf numFmtId="41" fontId="5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169" fontId="13" fillId="0" borderId="4" xfId="1" applyNumberFormat="1" applyFont="1" applyFill="1" applyBorder="1"/>
    <xf numFmtId="166" fontId="4" fillId="0" borderId="4" xfId="1" applyFont="1" applyFill="1" applyBorder="1"/>
    <xf numFmtId="176" fontId="13" fillId="0" borderId="4" xfId="1" applyNumberFormat="1" applyFont="1" applyFill="1" applyBorder="1"/>
    <xf numFmtId="41" fontId="3" fillId="2" borderId="0" xfId="2" applyFont="1" applyFill="1"/>
    <xf numFmtId="41" fontId="5" fillId="0" borderId="0" xfId="2" applyFont="1"/>
    <xf numFmtId="166" fontId="13" fillId="0" borderId="4" xfId="1" applyNumberFormat="1" applyFont="1" applyFill="1" applyBorder="1" applyAlignment="1">
      <alignment vertical="center"/>
    </xf>
    <xf numFmtId="168" fontId="3" fillId="0" borderId="0" xfId="2" applyNumberFormat="1" applyFont="1"/>
    <xf numFmtId="166" fontId="3" fillId="2" borderId="0" xfId="0" applyNumberFormat="1" applyFont="1" applyFill="1"/>
    <xf numFmtId="179" fontId="3" fillId="2" borderId="0" xfId="0" applyNumberFormat="1" applyFont="1" applyFill="1"/>
    <xf numFmtId="176" fontId="4" fillId="0" borderId="4" xfId="1" applyNumberFormat="1" applyFont="1" applyFill="1" applyBorder="1"/>
    <xf numFmtId="164" fontId="5" fillId="3" borderId="3" xfId="1" applyNumberFormat="1" applyFont="1" applyFill="1" applyBorder="1" applyAlignment="1">
      <alignment horizontal="right" vertical="center"/>
    </xf>
    <xf numFmtId="164" fontId="5" fillId="2" borderId="3" xfId="1" applyNumberFormat="1" applyFont="1" applyFill="1" applyBorder="1" applyAlignment="1">
      <alignment horizontal="right" vertical="center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</cellXfs>
  <cellStyles count="33">
    <cellStyle name="Comma" xfId="1" builtinId="3"/>
    <cellStyle name="Comma [0]" xfId="2" builtinId="6"/>
    <cellStyle name="Comma [0] 2" xfId="12" xr:uid="{00000000-0005-0000-0000-000002000000}"/>
    <cellStyle name="Comma [0] 2 2" xfId="11" xr:uid="{00000000-0005-0000-0000-000003000000}"/>
    <cellStyle name="Comma [0] 2 3" xfId="29" xr:uid="{00000000-0005-0000-0000-000004000000}"/>
    <cellStyle name="Comma [0] 3" xfId="14" xr:uid="{00000000-0005-0000-0000-000005000000}"/>
    <cellStyle name="Comma [0] 3 2" xfId="15" xr:uid="{00000000-0005-0000-0000-000006000000}"/>
    <cellStyle name="Comma [0] 4" xfId="26" xr:uid="{00000000-0005-0000-0000-000007000000}"/>
    <cellStyle name="Comma 2" xfId="19" xr:uid="{00000000-0005-0000-0000-000008000000}"/>
    <cellStyle name="Comma 2 2" xfId="28" xr:uid="{00000000-0005-0000-0000-000009000000}"/>
    <cellStyle name="Comma 3" xfId="13" xr:uid="{00000000-0005-0000-0000-00000A000000}"/>
    <cellStyle name="Comma 4" xfId="16" xr:uid="{00000000-0005-0000-0000-00000B000000}"/>
    <cellStyle name="Comma 4 2" xfId="8" xr:uid="{00000000-0005-0000-0000-00000C000000}"/>
    <cellStyle name="Comma 4 2 2" xfId="17" xr:uid="{00000000-0005-0000-0000-00000D000000}"/>
    <cellStyle name="Comma 5" xfId="25" xr:uid="{00000000-0005-0000-0000-00000E000000}"/>
    <cellStyle name="Comma 6" xfId="30" xr:uid="{00000000-0005-0000-0000-00000F000000}"/>
    <cellStyle name="Normal" xfId="0" builtinId="0"/>
    <cellStyle name="Normal 2" xfId="9" xr:uid="{00000000-0005-0000-0000-000011000000}"/>
    <cellStyle name="Normal 2 10" xfId="6" xr:uid="{00000000-0005-0000-0000-000012000000}"/>
    <cellStyle name="Normal 2 2" xfId="27" xr:uid="{00000000-0005-0000-0000-000013000000}"/>
    <cellStyle name="Normal 2 2 2" xfId="23" xr:uid="{00000000-0005-0000-0000-000014000000}"/>
    <cellStyle name="Normal 3" xfId="10" xr:uid="{00000000-0005-0000-0000-000015000000}"/>
    <cellStyle name="Normal 3 2" xfId="32" xr:uid="{60DD96E6-5E6A-49A9-82C4-B9608C405212}"/>
    <cellStyle name="Normal 3 2 2 2" xfId="4" xr:uid="{00000000-0005-0000-0000-000016000000}"/>
    <cellStyle name="Normal 3 2 2 2 2 2" xfId="20" xr:uid="{00000000-0005-0000-0000-000017000000}"/>
    <cellStyle name="Normal 3 2 2 2 2 2 2 2" xfId="21" xr:uid="{00000000-0005-0000-0000-000018000000}"/>
    <cellStyle name="Normal 3 2 2 2 2 2 2 2 2" xfId="22" xr:uid="{00000000-0005-0000-0000-000019000000}"/>
    <cellStyle name="Normal 4" xfId="7" xr:uid="{00000000-0005-0000-0000-00001A000000}"/>
    <cellStyle name="Normal 5" xfId="24" xr:uid="{00000000-0005-0000-0000-00001B000000}"/>
    <cellStyle name="Normal 7 2" xfId="31" xr:uid="{00000000-0005-0000-0000-00001C000000}"/>
    <cellStyle name="Normal 8" xfId="5" xr:uid="{00000000-0005-0000-0000-00001D000000}"/>
    <cellStyle name="Normal 8 2" xfId="18" xr:uid="{00000000-0005-0000-0000-00001E000000}"/>
    <cellStyle name="Normal 8 2 2" xfId="3" xr:uid="{00000000-0005-0000-0000-00001F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VG195"/>
  <sheetViews>
    <sheetView showGridLines="0" tabSelected="1" topLeftCell="A4" zoomScale="90" zoomScaleNormal="90" workbookViewId="0">
      <pane xSplit="5" ySplit="3" topLeftCell="AC162" activePane="bottomRight" state="frozen"/>
      <selection pane="topRight"/>
      <selection pane="bottomLeft"/>
      <selection pane="bottomRight" activeCell="AC167" sqref="AC167:AJ167"/>
    </sheetView>
  </sheetViews>
  <sheetFormatPr defaultColWidth="9" defaultRowHeight="15"/>
  <cols>
    <col min="1" max="1" width="1.5703125" style="3" customWidth="1"/>
    <col min="2" max="2" width="4.7109375" style="10" customWidth="1"/>
    <col min="3" max="3" width="41" style="3" customWidth="1"/>
    <col min="4" max="4" width="14" style="3" customWidth="1"/>
    <col min="5" max="5" width="8.140625" style="3" bestFit="1" customWidth="1"/>
    <col min="6" max="10" width="14.140625" style="3" customWidth="1"/>
    <col min="11" max="11" width="13.7109375" style="3" bestFit="1" customWidth="1"/>
    <col min="12" max="12" width="14.42578125" style="3" customWidth="1"/>
    <col min="13" max="13" width="14.7109375" style="3" customWidth="1"/>
    <col min="14" max="14" width="15.140625" style="3" customWidth="1"/>
    <col min="15" max="15" width="13.7109375" style="3" bestFit="1" customWidth="1"/>
    <col min="16" max="17" width="13.5703125" style="3" customWidth="1"/>
    <col min="18" max="19" width="13.7109375" style="3" bestFit="1" customWidth="1"/>
    <col min="20" max="20" width="14" style="3" customWidth="1"/>
    <col min="21" max="22" width="12.7109375" style="3" bestFit="1" customWidth="1"/>
    <col min="23" max="24" width="13.5703125" style="3" customWidth="1"/>
    <col min="25" max="25" width="13.7109375" style="3" customWidth="1"/>
    <col min="26" max="28" width="12.7109375" style="3" bestFit="1" customWidth="1"/>
    <col min="29" max="31" width="13.28515625" style="3" customWidth="1"/>
    <col min="32" max="33" width="12.7109375" style="3" bestFit="1" customWidth="1"/>
    <col min="34" max="34" width="13.140625" style="3" customWidth="1"/>
    <col min="35" max="36" width="14" style="3" customWidth="1"/>
    <col min="37" max="37" width="12.7109375" style="3" customWidth="1"/>
    <col min="38" max="38" width="20.28515625" style="3" customWidth="1"/>
    <col min="39" max="39" width="14.5703125" style="3" customWidth="1"/>
    <col min="40" max="40" width="10.42578125" style="14" hidden="1" customWidth="1"/>
    <col min="41" max="41" width="7" style="3" hidden="1" customWidth="1"/>
    <col min="42" max="42" width="8.7109375" style="3" hidden="1" customWidth="1"/>
    <col min="43" max="45" width="11.28515625" style="3" hidden="1" customWidth="1"/>
    <col min="46" max="46" width="7.85546875" style="3" hidden="1" customWidth="1"/>
    <col min="47" max="50" width="11.28515625" style="3" hidden="1" customWidth="1"/>
    <col min="51" max="88" width="8.140625" style="3" hidden="1" customWidth="1"/>
    <col min="89" max="90" width="6.42578125" style="3" hidden="1" customWidth="1"/>
    <col min="91" max="95" width="8.140625" style="3" hidden="1" customWidth="1"/>
    <col min="96" max="107" width="0" style="3" hidden="1" customWidth="1"/>
    <col min="108" max="108" width="12.7109375" style="3" hidden="1" customWidth="1"/>
    <col min="109" max="109" width="12.140625" style="3" hidden="1" customWidth="1"/>
    <col min="110" max="110" width="9.140625" style="3" hidden="1" customWidth="1"/>
    <col min="111" max="111" width="9.85546875" style="3" hidden="1" customWidth="1"/>
    <col min="112" max="112" width="15.85546875" style="3" hidden="1" customWidth="1"/>
    <col min="113" max="113" width="12.85546875" style="3" hidden="1" customWidth="1"/>
    <col min="114" max="114" width="14.140625" style="3" hidden="1" customWidth="1"/>
    <col min="115" max="131" width="0" style="3" hidden="1" customWidth="1"/>
    <col min="132" max="133" width="0" style="252" hidden="1" customWidth="1"/>
    <col min="134" max="134" width="5.85546875" style="3" hidden="1" customWidth="1"/>
    <col min="135" max="135" width="0" style="3" hidden="1" customWidth="1"/>
    <col min="136" max="136" width="14" style="3" hidden="1" customWidth="1"/>
    <col min="137" max="164" width="0" style="3" hidden="1" customWidth="1"/>
    <col min="165" max="165" width="14.85546875" style="252" hidden="1" customWidth="1"/>
    <col min="166" max="189" width="0" style="3" hidden="1" customWidth="1"/>
    <col min="190" max="190" width="18.7109375" style="3" hidden="1" customWidth="1"/>
    <col min="191" max="194" width="0" style="3" hidden="1" customWidth="1"/>
    <col min="195" max="195" width="11" style="3" bestFit="1" customWidth="1"/>
    <col min="196" max="15058" width="9" style="3"/>
  </cols>
  <sheetData>
    <row r="1" spans="2:38">
      <c r="B1" s="15"/>
    </row>
    <row r="2" spans="2:38" ht="18">
      <c r="B2" s="287" t="s">
        <v>0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64"/>
    </row>
    <row r="3" spans="2:38">
      <c r="B3" s="16"/>
    </row>
    <row r="4" spans="2:38" ht="15.75" thickBot="1">
      <c r="C4" s="17"/>
      <c r="D4" s="14"/>
      <c r="Z4" s="95"/>
      <c r="AB4" s="95"/>
    </row>
    <row r="5" spans="2:38">
      <c r="B5" s="288" t="s">
        <v>1</v>
      </c>
      <c r="C5" s="288" t="s">
        <v>2</v>
      </c>
      <c r="D5" s="289" t="s">
        <v>3</v>
      </c>
      <c r="E5" s="291" t="s">
        <v>4</v>
      </c>
      <c r="F5" s="293" t="s">
        <v>125</v>
      </c>
      <c r="G5" s="294"/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/>
      <c r="AJ5" s="294"/>
      <c r="AL5" s="285" t="s">
        <v>5</v>
      </c>
    </row>
    <row r="6" spans="2:38">
      <c r="B6" s="288"/>
      <c r="C6" s="288"/>
      <c r="D6" s="290"/>
      <c r="E6" s="292"/>
      <c r="F6" s="18">
        <v>1</v>
      </c>
      <c r="G6" s="18">
        <v>2</v>
      </c>
      <c r="H6" s="18">
        <v>3</v>
      </c>
      <c r="I6" s="18">
        <v>4</v>
      </c>
      <c r="J6" s="18">
        <v>5</v>
      </c>
      <c r="K6" s="18">
        <v>6</v>
      </c>
      <c r="L6" s="18">
        <v>7</v>
      </c>
      <c r="M6" s="18">
        <v>8</v>
      </c>
      <c r="N6" s="18">
        <v>9</v>
      </c>
      <c r="O6" s="18">
        <v>10</v>
      </c>
      <c r="P6" s="18">
        <v>11</v>
      </c>
      <c r="Q6" s="18">
        <v>12</v>
      </c>
      <c r="R6" s="18">
        <v>13</v>
      </c>
      <c r="S6" s="18">
        <v>14</v>
      </c>
      <c r="T6" s="18">
        <v>15</v>
      </c>
      <c r="U6" s="18">
        <v>16</v>
      </c>
      <c r="V6" s="18">
        <v>17</v>
      </c>
      <c r="W6" s="18">
        <v>18</v>
      </c>
      <c r="X6" s="18">
        <v>19</v>
      </c>
      <c r="Y6" s="18">
        <v>20</v>
      </c>
      <c r="Z6" s="18">
        <v>21</v>
      </c>
      <c r="AA6" s="18">
        <v>22</v>
      </c>
      <c r="AB6" s="18">
        <v>23</v>
      </c>
      <c r="AC6" s="18">
        <v>24</v>
      </c>
      <c r="AD6" s="18">
        <v>25</v>
      </c>
      <c r="AE6" s="18">
        <v>26</v>
      </c>
      <c r="AF6" s="18">
        <v>27</v>
      </c>
      <c r="AG6" s="18">
        <v>28</v>
      </c>
      <c r="AH6" s="18">
        <v>29</v>
      </c>
      <c r="AI6" s="18">
        <v>30</v>
      </c>
      <c r="AJ6" s="18">
        <v>31</v>
      </c>
      <c r="AL6" s="286"/>
    </row>
    <row r="7" spans="2:38">
      <c r="B7" s="19">
        <v>1</v>
      </c>
      <c r="C7" s="20" t="s">
        <v>6</v>
      </c>
      <c r="D7" s="21"/>
      <c r="E7" s="22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95"/>
      <c r="AL7" s="96" t="s">
        <v>7</v>
      </c>
    </row>
    <row r="8" spans="2:38">
      <c r="B8" s="19"/>
      <c r="C8" s="24" t="s">
        <v>8</v>
      </c>
      <c r="D8" s="25"/>
      <c r="E8" s="26" t="s">
        <v>9</v>
      </c>
      <c r="F8" s="27">
        <v>868800</v>
      </c>
      <c r="G8" s="27">
        <v>877610</v>
      </c>
      <c r="H8" s="27">
        <v>666870</v>
      </c>
      <c r="I8" s="27">
        <v>1065950</v>
      </c>
      <c r="J8" s="27">
        <v>1448100</v>
      </c>
      <c r="K8" s="27">
        <v>846370</v>
      </c>
      <c r="L8" s="27">
        <v>537020</v>
      </c>
      <c r="M8" s="27">
        <v>2097260</v>
      </c>
      <c r="N8" s="27">
        <v>972290</v>
      </c>
      <c r="O8" s="27">
        <v>1432130</v>
      </c>
      <c r="P8" s="27">
        <v>1317910</v>
      </c>
      <c r="Q8" s="27">
        <v>1755650</v>
      </c>
      <c r="R8" s="27">
        <v>1218280</v>
      </c>
      <c r="S8" s="27">
        <v>1357020</v>
      </c>
      <c r="T8" s="27">
        <v>1314330</v>
      </c>
      <c r="U8" s="27">
        <v>1320430</v>
      </c>
      <c r="V8" s="27">
        <v>1702720</v>
      </c>
      <c r="W8" s="27">
        <v>1812300</v>
      </c>
      <c r="X8" s="27">
        <v>1364940</v>
      </c>
      <c r="Y8" s="27">
        <v>802750</v>
      </c>
      <c r="Z8" s="27">
        <v>1907270</v>
      </c>
      <c r="AA8" s="27">
        <v>1455160</v>
      </c>
      <c r="AB8" s="27">
        <v>1460640</v>
      </c>
      <c r="AC8" s="27">
        <v>2049440</v>
      </c>
      <c r="AD8" s="27">
        <v>2159050</v>
      </c>
      <c r="AE8" s="27">
        <v>1629410</v>
      </c>
      <c r="AF8" s="27">
        <v>1103200</v>
      </c>
      <c r="AG8" s="27">
        <v>1463670</v>
      </c>
      <c r="AH8" s="27">
        <v>2456460</v>
      </c>
      <c r="AI8" s="27">
        <v>1981270</v>
      </c>
      <c r="AJ8" s="27">
        <v>1964510</v>
      </c>
      <c r="AK8" s="95"/>
      <c r="AL8" s="97">
        <f>SUM(F8:AJ8)</f>
        <v>44408810</v>
      </c>
    </row>
    <row r="9" spans="2:38">
      <c r="B9" s="19"/>
      <c r="C9" s="24" t="s">
        <v>10</v>
      </c>
      <c r="D9" s="25"/>
      <c r="E9" s="26" t="s">
        <v>9</v>
      </c>
      <c r="F9" s="27">
        <v>867540</v>
      </c>
      <c r="G9" s="27">
        <v>876750</v>
      </c>
      <c r="H9" s="27">
        <v>666170</v>
      </c>
      <c r="I9" s="27">
        <v>1064730</v>
      </c>
      <c r="J9" s="27">
        <v>1446130</v>
      </c>
      <c r="K9" s="27">
        <v>845270</v>
      </c>
      <c r="L9" s="27">
        <v>558870</v>
      </c>
      <c r="M9" s="27">
        <v>2093480</v>
      </c>
      <c r="N9" s="27">
        <v>970640</v>
      </c>
      <c r="O9" s="27">
        <v>1429070</v>
      </c>
      <c r="P9" s="27">
        <v>1315690</v>
      </c>
      <c r="Q9" s="27">
        <v>1753520</v>
      </c>
      <c r="R9" s="27">
        <v>1216820</v>
      </c>
      <c r="S9" s="27">
        <v>1354970</v>
      </c>
      <c r="T9" s="27">
        <v>1312560</v>
      </c>
      <c r="U9" s="27">
        <v>1318480</v>
      </c>
      <c r="V9" s="27">
        <v>1700050</v>
      </c>
      <c r="W9" s="27">
        <v>1809670</v>
      </c>
      <c r="X9" s="27">
        <v>1363150</v>
      </c>
      <c r="Y9" s="27">
        <v>801990</v>
      </c>
      <c r="Z9" s="27">
        <v>1903650</v>
      </c>
      <c r="AA9" s="27">
        <v>1522940</v>
      </c>
      <c r="AB9" s="27">
        <v>1459070</v>
      </c>
      <c r="AC9" s="27">
        <v>2046400</v>
      </c>
      <c r="AD9" s="27">
        <v>2156100</v>
      </c>
      <c r="AE9" s="27">
        <v>1626740</v>
      </c>
      <c r="AF9" s="27">
        <v>1101680</v>
      </c>
      <c r="AG9" s="27">
        <v>1461660</v>
      </c>
      <c r="AH9" s="27">
        <v>2453810</v>
      </c>
      <c r="AI9" s="27">
        <v>1978960</v>
      </c>
      <c r="AJ9" s="27">
        <v>1962530</v>
      </c>
      <c r="AK9" s="95"/>
      <c r="AL9" s="97">
        <f>SUM(F9:AJ9)</f>
        <v>44439090</v>
      </c>
    </row>
    <row r="10" spans="2:38">
      <c r="B10" s="19"/>
      <c r="C10" s="28" t="s">
        <v>11</v>
      </c>
      <c r="D10" s="29"/>
      <c r="E10" s="30" t="s">
        <v>12</v>
      </c>
      <c r="F10" s="31">
        <f t="shared" ref="F10:AJ10" si="0">((F9-F8)/F8)*100</f>
        <v>-0.14502762430939228</v>
      </c>
      <c r="G10" s="31">
        <f t="shared" si="0"/>
        <v>-9.7993413931017195E-2</v>
      </c>
      <c r="H10" s="31">
        <f t="shared" si="0"/>
        <v>-0.10496798476464678</v>
      </c>
      <c r="I10" s="31">
        <f t="shared" si="0"/>
        <v>-0.1144518973685445</v>
      </c>
      <c r="J10" s="31">
        <f t="shared" si="0"/>
        <v>-0.13604032870658103</v>
      </c>
      <c r="K10" s="31">
        <f t="shared" si="0"/>
        <v>-0.12996679939033756</v>
      </c>
      <c r="L10" s="31">
        <f t="shared" si="0"/>
        <v>4.068749767233995</v>
      </c>
      <c r="M10" s="31">
        <f t="shared" si="0"/>
        <v>-0.18023516397585421</v>
      </c>
      <c r="N10" s="31">
        <f t="shared" si="0"/>
        <v>-0.16970245502884942</v>
      </c>
      <c r="O10" s="31">
        <f t="shared" si="0"/>
        <v>-0.21366775362571833</v>
      </c>
      <c r="P10" s="31">
        <f t="shared" si="0"/>
        <v>-0.16844852835170837</v>
      </c>
      <c r="Q10" s="31">
        <f t="shared" si="0"/>
        <v>-0.12132258707601173</v>
      </c>
      <c r="R10" s="31">
        <f t="shared" si="0"/>
        <v>-0.11984108743474406</v>
      </c>
      <c r="S10" s="31">
        <f t="shared" si="0"/>
        <v>-0.15106630705516499</v>
      </c>
      <c r="T10" s="31">
        <f t="shared" si="0"/>
        <v>-0.13466937527105066</v>
      </c>
      <c r="U10" s="31">
        <f t="shared" si="0"/>
        <v>-0.14767916512045318</v>
      </c>
      <c r="V10" s="31">
        <f t="shared" si="0"/>
        <v>-0.15680793084006767</v>
      </c>
      <c r="W10" s="31">
        <f t="shared" si="0"/>
        <v>-0.14511946145781604</v>
      </c>
      <c r="X10" s="31">
        <f t="shared" si="0"/>
        <v>-0.13114129558808446</v>
      </c>
      <c r="Y10" s="31">
        <f t="shared" si="0"/>
        <v>-9.4674556213017749E-2</v>
      </c>
      <c r="Z10" s="31">
        <f t="shared" si="0"/>
        <v>-0.18980008074368077</v>
      </c>
      <c r="AA10" s="31">
        <f t="shared" si="0"/>
        <v>4.6579070342780176</v>
      </c>
      <c r="AB10" s="31">
        <f t="shared" si="0"/>
        <v>-0.1074871289297842</v>
      </c>
      <c r="AC10" s="31">
        <f t="shared" si="0"/>
        <v>-0.14833320321648841</v>
      </c>
      <c r="AD10" s="31">
        <f t="shared" si="0"/>
        <v>-0.13663416780528473</v>
      </c>
      <c r="AE10" s="31">
        <f>((AE9-AE8)/AE8)*100</f>
        <v>-0.16386299335342241</v>
      </c>
      <c r="AF10" s="31">
        <f t="shared" ref="AF10:AG10" si="1">((AF9-AF8)/AF8)*100</f>
        <v>-0.13778100072516314</v>
      </c>
      <c r="AG10" s="31">
        <f t="shared" si="1"/>
        <v>-0.13732603660661216</v>
      </c>
      <c r="AH10" s="31">
        <f>((AH9-AH8)/AH8)*100</f>
        <v>-0.10787881748532441</v>
      </c>
      <c r="AI10" s="31">
        <f t="shared" si="0"/>
        <v>-0.11659188298414652</v>
      </c>
      <c r="AJ10" s="31">
        <f t="shared" si="0"/>
        <v>-0.10078849178675599</v>
      </c>
      <c r="AK10" s="95"/>
      <c r="AL10" s="98">
        <f>((AL9-AL8)/AL8)*100</f>
        <v>6.8184668762797301E-2</v>
      </c>
    </row>
    <row r="11" spans="2:38">
      <c r="B11" s="19"/>
      <c r="C11" s="20" t="s">
        <v>122</v>
      </c>
      <c r="D11" s="21"/>
      <c r="E11" s="22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95"/>
      <c r="AL11" s="96" t="s">
        <v>7</v>
      </c>
    </row>
    <row r="12" spans="2:38">
      <c r="B12" s="19"/>
      <c r="C12" s="24" t="s">
        <v>13</v>
      </c>
      <c r="D12" s="25"/>
      <c r="E12" s="26" t="s">
        <v>9</v>
      </c>
      <c r="F12" s="27">
        <v>0</v>
      </c>
      <c r="G12" s="27">
        <v>0</v>
      </c>
      <c r="H12" s="27">
        <v>0</v>
      </c>
      <c r="I12" s="27">
        <v>589967</v>
      </c>
      <c r="J12" s="27">
        <v>0</v>
      </c>
      <c r="K12" s="27">
        <v>0</v>
      </c>
      <c r="L12" s="27">
        <v>0</v>
      </c>
      <c r="M12" s="27">
        <v>0</v>
      </c>
      <c r="N12" s="27">
        <v>575401</v>
      </c>
      <c r="O12" s="27">
        <v>0</v>
      </c>
      <c r="P12" s="27">
        <v>0</v>
      </c>
      <c r="Q12" s="27">
        <v>0</v>
      </c>
      <c r="R12" s="27">
        <v>0</v>
      </c>
      <c r="S12" s="27">
        <v>472530</v>
      </c>
      <c r="T12" s="27">
        <v>0</v>
      </c>
      <c r="U12" s="27">
        <v>0</v>
      </c>
      <c r="V12" s="27">
        <v>0</v>
      </c>
      <c r="W12" s="27">
        <v>0</v>
      </c>
      <c r="X12" s="27">
        <v>0</v>
      </c>
      <c r="Y12" s="27">
        <v>0</v>
      </c>
      <c r="Z12" s="27">
        <v>0</v>
      </c>
      <c r="AA12" s="27">
        <v>561076</v>
      </c>
      <c r="AB12" s="27">
        <v>0</v>
      </c>
      <c r="AC12" s="27">
        <v>478472</v>
      </c>
      <c r="AD12" s="27">
        <v>0</v>
      </c>
      <c r="AE12" s="27">
        <v>441513</v>
      </c>
      <c r="AF12" s="27">
        <v>0</v>
      </c>
      <c r="AG12" s="27">
        <v>345038</v>
      </c>
      <c r="AH12" s="27">
        <v>0</v>
      </c>
      <c r="AI12" s="27">
        <v>0</v>
      </c>
      <c r="AJ12" s="27">
        <v>563405</v>
      </c>
      <c r="AK12" s="95"/>
      <c r="AL12" s="97">
        <f>SUM(F12:AJ12)</f>
        <v>4027402</v>
      </c>
    </row>
    <row r="13" spans="2:38">
      <c r="B13" s="19"/>
      <c r="C13" s="24" t="s">
        <v>14</v>
      </c>
      <c r="D13" s="25"/>
      <c r="E13" s="26" t="s">
        <v>9</v>
      </c>
      <c r="F13" s="27">
        <v>0</v>
      </c>
      <c r="G13" s="27">
        <v>0</v>
      </c>
      <c r="H13" s="27">
        <v>0</v>
      </c>
      <c r="I13" s="27">
        <v>588388</v>
      </c>
      <c r="J13" s="27">
        <v>0</v>
      </c>
      <c r="K13" s="27">
        <v>0</v>
      </c>
      <c r="L13" s="27">
        <v>0</v>
      </c>
      <c r="M13" s="27">
        <v>0</v>
      </c>
      <c r="N13" s="27">
        <v>577481</v>
      </c>
      <c r="O13" s="27">
        <v>0</v>
      </c>
      <c r="P13" s="27">
        <v>0</v>
      </c>
      <c r="Q13" s="27">
        <v>0</v>
      </c>
      <c r="R13" s="27">
        <v>0</v>
      </c>
      <c r="S13" s="27">
        <v>469507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561286</v>
      </c>
      <c r="AB13" s="27">
        <v>0</v>
      </c>
      <c r="AC13" s="27">
        <v>478936</v>
      </c>
      <c r="AD13" s="27">
        <v>0</v>
      </c>
      <c r="AE13" s="27">
        <v>443355</v>
      </c>
      <c r="AF13" s="27">
        <v>0</v>
      </c>
      <c r="AG13" s="27">
        <v>347130</v>
      </c>
      <c r="AH13" s="27">
        <v>0</v>
      </c>
      <c r="AI13" s="27">
        <v>0</v>
      </c>
      <c r="AJ13" s="27">
        <v>570499</v>
      </c>
      <c r="AK13" s="95"/>
      <c r="AL13" s="97">
        <f>SUM(F13:AJ13)</f>
        <v>4036582</v>
      </c>
    </row>
    <row r="14" spans="2:38">
      <c r="B14" s="19"/>
      <c r="C14" s="28" t="s">
        <v>15</v>
      </c>
      <c r="D14" s="29"/>
      <c r="E14" s="30" t="s">
        <v>12</v>
      </c>
      <c r="F14" s="31" t="e">
        <f t="shared" ref="F14:AJ14" si="2">((F13-F12)/F12)*100</f>
        <v>#DIV/0!</v>
      </c>
      <c r="G14" s="31" t="e">
        <f t="shared" si="2"/>
        <v>#DIV/0!</v>
      </c>
      <c r="H14" s="31" t="e">
        <f t="shared" si="2"/>
        <v>#DIV/0!</v>
      </c>
      <c r="I14" s="31">
        <f t="shared" si="2"/>
        <v>-0.26764208845579501</v>
      </c>
      <c r="J14" s="31" t="e">
        <f t="shared" si="2"/>
        <v>#DIV/0!</v>
      </c>
      <c r="K14" s="31" t="e">
        <f t="shared" si="2"/>
        <v>#DIV/0!</v>
      </c>
      <c r="L14" s="31" t="e">
        <f t="shared" si="2"/>
        <v>#DIV/0!</v>
      </c>
      <c r="M14" s="31" t="e">
        <f t="shared" si="2"/>
        <v>#DIV/0!</v>
      </c>
      <c r="N14" s="31">
        <f t="shared" si="2"/>
        <v>0.36148703252166747</v>
      </c>
      <c r="O14" s="31" t="e">
        <f t="shared" si="2"/>
        <v>#DIV/0!</v>
      </c>
      <c r="P14" s="31" t="e">
        <f t="shared" si="2"/>
        <v>#DIV/0!</v>
      </c>
      <c r="Q14" s="31" t="e">
        <f t="shared" si="2"/>
        <v>#DIV/0!</v>
      </c>
      <c r="R14" s="31" t="e">
        <f t="shared" si="2"/>
        <v>#DIV/0!</v>
      </c>
      <c r="S14" s="31">
        <f t="shared" si="2"/>
        <v>-0.63974774088417663</v>
      </c>
      <c r="T14" s="31" t="e">
        <f t="shared" si="2"/>
        <v>#DIV/0!</v>
      </c>
      <c r="U14" s="31" t="e">
        <f t="shared" si="2"/>
        <v>#DIV/0!</v>
      </c>
      <c r="V14" s="31" t="e">
        <f t="shared" si="2"/>
        <v>#DIV/0!</v>
      </c>
      <c r="W14" s="31" t="e">
        <f t="shared" si="2"/>
        <v>#DIV/0!</v>
      </c>
      <c r="X14" s="31" t="e">
        <f t="shared" si="2"/>
        <v>#DIV/0!</v>
      </c>
      <c r="Y14" s="31" t="e">
        <f t="shared" si="2"/>
        <v>#DIV/0!</v>
      </c>
      <c r="Z14" s="31" t="e">
        <f t="shared" si="2"/>
        <v>#DIV/0!</v>
      </c>
      <c r="AA14" s="31">
        <f t="shared" si="2"/>
        <v>3.7428084608858693E-2</v>
      </c>
      <c r="AB14" s="31" t="e">
        <f t="shared" si="2"/>
        <v>#DIV/0!</v>
      </c>
      <c r="AC14" s="31">
        <f t="shared" si="2"/>
        <v>9.6975371599592033E-2</v>
      </c>
      <c r="AD14" s="31" t="e">
        <f t="shared" si="2"/>
        <v>#DIV/0!</v>
      </c>
      <c r="AE14" s="31">
        <f t="shared" ref="AE14:AG14" si="3">((AE13-AE12)/AE12)*100</f>
        <v>0.41720175849861724</v>
      </c>
      <c r="AF14" s="31" t="e">
        <f t="shared" si="3"/>
        <v>#DIV/0!</v>
      </c>
      <c r="AG14" s="31">
        <f t="shared" si="3"/>
        <v>0.60631002961992586</v>
      </c>
      <c r="AH14" s="31" t="e">
        <f t="shared" si="2"/>
        <v>#DIV/0!</v>
      </c>
      <c r="AI14" s="31" t="e">
        <f t="shared" si="2"/>
        <v>#DIV/0!</v>
      </c>
      <c r="AJ14" s="31">
        <f t="shared" si="2"/>
        <v>1.2591297556819694</v>
      </c>
      <c r="AK14" s="95"/>
      <c r="AL14" s="98">
        <f>((AL13-AL12)/AL12)*100</f>
        <v>0.22793850725604248</v>
      </c>
    </row>
    <row r="15" spans="2:38">
      <c r="B15" s="19"/>
      <c r="C15" s="20" t="s">
        <v>123</v>
      </c>
      <c r="D15" s="21"/>
      <c r="E15" s="22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95"/>
      <c r="AL15" s="96" t="s">
        <v>7</v>
      </c>
    </row>
    <row r="16" spans="2:38">
      <c r="B16" s="19"/>
      <c r="C16" s="24" t="s">
        <v>13</v>
      </c>
      <c r="D16" s="25"/>
      <c r="E16" s="26" t="s">
        <v>9</v>
      </c>
      <c r="F16" s="27">
        <v>296000</v>
      </c>
      <c r="G16" s="27">
        <v>297890</v>
      </c>
      <c r="H16" s="27">
        <v>0</v>
      </c>
      <c r="I16" s="27">
        <v>177520</v>
      </c>
      <c r="J16" s="27">
        <v>0</v>
      </c>
      <c r="K16" s="27">
        <v>0</v>
      </c>
      <c r="L16" s="27">
        <v>0</v>
      </c>
      <c r="M16" s="27">
        <v>0</v>
      </c>
      <c r="N16" s="27">
        <v>173630</v>
      </c>
      <c r="O16" s="27">
        <v>0</v>
      </c>
      <c r="P16" s="27">
        <v>260590</v>
      </c>
      <c r="Q16" s="27">
        <v>0</v>
      </c>
      <c r="R16" s="27">
        <v>0</v>
      </c>
      <c r="S16" s="27">
        <v>0</v>
      </c>
      <c r="T16" s="27">
        <v>171720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442240</v>
      </c>
      <c r="AA16" s="27">
        <v>0</v>
      </c>
      <c r="AB16" s="27">
        <v>402940</v>
      </c>
      <c r="AC16" s="27">
        <v>148420</v>
      </c>
      <c r="AD16" s="27">
        <v>0</v>
      </c>
      <c r="AE16" s="27">
        <v>208960</v>
      </c>
      <c r="AF16" s="27">
        <v>0</v>
      </c>
      <c r="AG16" s="27">
        <v>88410</v>
      </c>
      <c r="AH16" s="27">
        <v>150590</v>
      </c>
      <c r="AI16" s="27">
        <v>147580</v>
      </c>
      <c r="AJ16" s="27"/>
      <c r="AK16" s="95"/>
      <c r="AL16" s="97">
        <f>SUM(F16:AJ16)</f>
        <v>2966490</v>
      </c>
    </row>
    <row r="17" spans="2:165">
      <c r="B17" s="19"/>
      <c r="C17" s="24" t="s">
        <v>14</v>
      </c>
      <c r="D17" s="25"/>
      <c r="E17" s="26" t="s">
        <v>9</v>
      </c>
      <c r="F17" s="27">
        <v>295620</v>
      </c>
      <c r="G17" s="27">
        <v>298080</v>
      </c>
      <c r="H17" s="27">
        <v>0</v>
      </c>
      <c r="I17" s="27">
        <v>177360</v>
      </c>
      <c r="J17" s="27">
        <v>0</v>
      </c>
      <c r="K17" s="27">
        <v>0</v>
      </c>
      <c r="L17" s="27">
        <v>0</v>
      </c>
      <c r="M17" s="27">
        <v>0</v>
      </c>
      <c r="N17" s="27">
        <v>173420</v>
      </c>
      <c r="O17" s="27">
        <v>0</v>
      </c>
      <c r="P17" s="27">
        <v>260300</v>
      </c>
      <c r="Q17" s="27">
        <v>0</v>
      </c>
      <c r="R17" s="27">
        <v>0</v>
      </c>
      <c r="S17" s="27">
        <v>0</v>
      </c>
      <c r="T17" s="27">
        <v>171820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  <c r="Z17" s="27">
        <v>441480</v>
      </c>
      <c r="AA17" s="27">
        <v>0</v>
      </c>
      <c r="AB17" s="27">
        <v>402720</v>
      </c>
      <c r="AC17" s="27">
        <v>148400</v>
      </c>
      <c r="AD17" s="27">
        <v>0</v>
      </c>
      <c r="AE17" s="27">
        <v>209520</v>
      </c>
      <c r="AF17" s="27">
        <v>0</v>
      </c>
      <c r="AG17" s="27">
        <v>88840</v>
      </c>
      <c r="AH17" s="27">
        <v>151080</v>
      </c>
      <c r="AI17" s="27">
        <v>147840</v>
      </c>
      <c r="AJ17" s="27"/>
      <c r="AK17" s="95"/>
      <c r="AL17" s="97">
        <f>SUM(F17:AJ17)</f>
        <v>2966480</v>
      </c>
    </row>
    <row r="18" spans="2:165">
      <c r="B18" s="19"/>
      <c r="C18" s="28" t="s">
        <v>15</v>
      </c>
      <c r="D18" s="29"/>
      <c r="E18" s="30" t="s">
        <v>12</v>
      </c>
      <c r="F18" s="31">
        <f t="shared" ref="F18:AJ18" si="4">((F17-F16)/F16)*100</f>
        <v>-0.12837837837837837</v>
      </c>
      <c r="G18" s="31">
        <f t="shared" si="4"/>
        <v>6.3781932928262106E-2</v>
      </c>
      <c r="H18" s="31" t="e">
        <f t="shared" si="4"/>
        <v>#DIV/0!</v>
      </c>
      <c r="I18" s="31">
        <f t="shared" si="4"/>
        <v>-9.013068949977468E-2</v>
      </c>
      <c r="J18" s="31" t="e">
        <f t="shared" si="4"/>
        <v>#DIV/0!</v>
      </c>
      <c r="K18" s="31" t="e">
        <f t="shared" si="4"/>
        <v>#DIV/0!</v>
      </c>
      <c r="L18" s="31" t="e">
        <f t="shared" si="4"/>
        <v>#DIV/0!</v>
      </c>
      <c r="M18" s="31" t="e">
        <f t="shared" si="4"/>
        <v>#DIV/0!</v>
      </c>
      <c r="N18" s="31">
        <f t="shared" si="4"/>
        <v>-0.12094684098370098</v>
      </c>
      <c r="O18" s="31" t="e">
        <f t="shared" si="4"/>
        <v>#DIV/0!</v>
      </c>
      <c r="P18" s="31">
        <f t="shared" si="4"/>
        <v>-0.11128592808626579</v>
      </c>
      <c r="Q18" s="31" t="e">
        <f t="shared" si="4"/>
        <v>#DIV/0!</v>
      </c>
      <c r="R18" s="31" t="e">
        <f t="shared" si="4"/>
        <v>#DIV/0!</v>
      </c>
      <c r="S18" s="31" t="e">
        <f t="shared" si="4"/>
        <v>#DIV/0!</v>
      </c>
      <c r="T18" s="31">
        <f t="shared" si="4"/>
        <v>5.823433496389472E-2</v>
      </c>
      <c r="U18" s="31" t="e">
        <f t="shared" si="4"/>
        <v>#DIV/0!</v>
      </c>
      <c r="V18" s="31" t="e">
        <f t="shared" si="4"/>
        <v>#DIV/0!</v>
      </c>
      <c r="W18" s="31" t="e">
        <f t="shared" si="4"/>
        <v>#DIV/0!</v>
      </c>
      <c r="X18" s="31" t="e">
        <f t="shared" si="4"/>
        <v>#DIV/0!</v>
      </c>
      <c r="Y18" s="31" t="e">
        <f t="shared" si="4"/>
        <v>#DIV/0!</v>
      </c>
      <c r="Z18" s="31">
        <f t="shared" si="4"/>
        <v>-0.17185238784370477</v>
      </c>
      <c r="AA18" s="31" t="e">
        <f t="shared" si="4"/>
        <v>#DIV/0!</v>
      </c>
      <c r="AB18" s="31">
        <f t="shared" si="4"/>
        <v>-5.459869955824688E-2</v>
      </c>
      <c r="AC18" s="31">
        <f t="shared" si="4"/>
        <v>-1.3475272874275704E-2</v>
      </c>
      <c r="AD18" s="31" t="e">
        <f t="shared" si="4"/>
        <v>#DIV/0!</v>
      </c>
      <c r="AE18" s="31">
        <f t="shared" ref="AE18:AG18" si="5">((AE17-AE16)/AE16)*100</f>
        <v>0.26799387442572742</v>
      </c>
      <c r="AF18" s="31" t="e">
        <f t="shared" si="5"/>
        <v>#DIV/0!</v>
      </c>
      <c r="AG18" s="31">
        <f t="shared" si="5"/>
        <v>0.48637032009953624</v>
      </c>
      <c r="AH18" s="31">
        <f t="shared" si="4"/>
        <v>0.32538681187329838</v>
      </c>
      <c r="AI18" s="31">
        <f t="shared" si="4"/>
        <v>0.17617563355468221</v>
      </c>
      <c r="AJ18" s="31" t="e">
        <f t="shared" si="4"/>
        <v>#DIV/0!</v>
      </c>
      <c r="AK18" s="95"/>
      <c r="AL18" s="98">
        <f>((AL17-AL16)/AL16)*100</f>
        <v>-3.3709872610391406E-4</v>
      </c>
    </row>
    <row r="19" spans="2:165">
      <c r="B19" s="19"/>
      <c r="C19" s="32" t="s">
        <v>16</v>
      </c>
      <c r="D19" s="25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95"/>
      <c r="AL19" s="99" t="s">
        <v>17</v>
      </c>
    </row>
    <row r="20" spans="2:165">
      <c r="B20" s="19"/>
      <c r="C20" s="24" t="s">
        <v>8</v>
      </c>
      <c r="D20" s="25"/>
      <c r="E20" s="26" t="s">
        <v>9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106650</v>
      </c>
      <c r="N20" s="27">
        <v>414390</v>
      </c>
      <c r="O20" s="27">
        <v>389970</v>
      </c>
      <c r="P20" s="27">
        <v>270340</v>
      </c>
      <c r="Q20" s="27">
        <v>189730</v>
      </c>
      <c r="R20" s="27">
        <v>111230</v>
      </c>
      <c r="S20" s="27">
        <v>43920</v>
      </c>
      <c r="T20" s="27">
        <v>81780</v>
      </c>
      <c r="U20" s="27">
        <v>80420</v>
      </c>
      <c r="V20" s="27">
        <v>138600</v>
      </c>
      <c r="W20" s="27">
        <v>167850</v>
      </c>
      <c r="X20" s="27">
        <v>26420</v>
      </c>
      <c r="Y20" s="27">
        <v>88480</v>
      </c>
      <c r="Z20" s="27">
        <v>0</v>
      </c>
      <c r="AA20" s="27">
        <v>81700</v>
      </c>
      <c r="AB20" s="27">
        <v>179570</v>
      </c>
      <c r="AC20" s="27">
        <v>80290</v>
      </c>
      <c r="AD20" s="27">
        <v>147030</v>
      </c>
      <c r="AE20" s="27">
        <v>29070</v>
      </c>
      <c r="AF20" s="27">
        <v>56390</v>
      </c>
      <c r="AG20" s="27">
        <v>108270</v>
      </c>
      <c r="AH20" s="27">
        <v>173160</v>
      </c>
      <c r="AI20" s="27">
        <v>80360</v>
      </c>
      <c r="AJ20" s="27">
        <v>58270</v>
      </c>
      <c r="AK20" s="95"/>
      <c r="AL20" s="97">
        <f>SUM(F20:AJ20)</f>
        <v>3103890</v>
      </c>
      <c r="AM20" s="95"/>
    </row>
    <row r="21" spans="2:165">
      <c r="B21" s="19"/>
      <c r="C21" s="24" t="s">
        <v>10</v>
      </c>
      <c r="D21" s="25"/>
      <c r="E21" s="26" t="s">
        <v>9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106530</v>
      </c>
      <c r="N21" s="27">
        <v>414060</v>
      </c>
      <c r="O21" s="27">
        <v>389530</v>
      </c>
      <c r="P21" s="27">
        <v>270020</v>
      </c>
      <c r="Q21" s="27">
        <v>189360</v>
      </c>
      <c r="R21" s="27">
        <v>110870</v>
      </c>
      <c r="S21" s="27">
        <v>43810</v>
      </c>
      <c r="T21" s="27">
        <v>81720</v>
      </c>
      <c r="U21" s="27">
        <v>80380</v>
      </c>
      <c r="V21" s="27">
        <v>138240</v>
      </c>
      <c r="W21" s="27">
        <v>167260</v>
      </c>
      <c r="X21" s="27">
        <v>26370</v>
      </c>
      <c r="Y21" s="27">
        <v>88240</v>
      </c>
      <c r="Z21" s="27">
        <v>0</v>
      </c>
      <c r="AA21" s="27">
        <v>81650</v>
      </c>
      <c r="AB21" s="27">
        <v>179170</v>
      </c>
      <c r="AC21" s="27">
        <v>80220</v>
      </c>
      <c r="AD21" s="27">
        <v>146620</v>
      </c>
      <c r="AE21" s="27">
        <v>28990</v>
      </c>
      <c r="AF21" s="27">
        <v>56200</v>
      </c>
      <c r="AG21" s="27">
        <v>107880</v>
      </c>
      <c r="AH21" s="27">
        <v>172890</v>
      </c>
      <c r="AI21" s="27">
        <v>80310</v>
      </c>
      <c r="AJ21" s="27">
        <v>58040</v>
      </c>
      <c r="AK21" s="95"/>
      <c r="AL21" s="97">
        <f>SUM(F21:AJ21)</f>
        <v>3098360</v>
      </c>
    </row>
    <row r="22" spans="2:165">
      <c r="B22" s="19"/>
      <c r="C22" s="24" t="s">
        <v>11</v>
      </c>
      <c r="D22" s="25"/>
      <c r="E22" s="26" t="s">
        <v>12</v>
      </c>
      <c r="F22" s="33" t="e">
        <f t="shared" ref="F22:AJ22" si="6">((F21-F20)/F20)*100</f>
        <v>#DIV/0!</v>
      </c>
      <c r="G22" s="33" t="e">
        <f t="shared" si="6"/>
        <v>#DIV/0!</v>
      </c>
      <c r="H22" s="33" t="e">
        <f t="shared" si="6"/>
        <v>#DIV/0!</v>
      </c>
      <c r="I22" s="33" t="e">
        <f t="shared" si="6"/>
        <v>#DIV/0!</v>
      </c>
      <c r="J22" s="33" t="e">
        <f t="shared" si="6"/>
        <v>#DIV/0!</v>
      </c>
      <c r="K22" s="33" t="e">
        <f t="shared" si="6"/>
        <v>#DIV/0!</v>
      </c>
      <c r="L22" s="33" t="e">
        <f t="shared" si="6"/>
        <v>#DIV/0!</v>
      </c>
      <c r="M22" s="33">
        <f t="shared" si="6"/>
        <v>-0.11251758087201125</v>
      </c>
      <c r="N22" s="33">
        <f t="shared" si="6"/>
        <v>-7.9635126330268591E-2</v>
      </c>
      <c r="O22" s="33">
        <f t="shared" si="6"/>
        <v>-0.11282919198912736</v>
      </c>
      <c r="P22" s="33">
        <f t="shared" si="6"/>
        <v>-0.11836946067914478</v>
      </c>
      <c r="Q22" s="33">
        <f t="shared" si="6"/>
        <v>-0.19501396721657091</v>
      </c>
      <c r="R22" s="33">
        <f t="shared" si="6"/>
        <v>-0.32365369055111032</v>
      </c>
      <c r="S22" s="33">
        <f t="shared" si="6"/>
        <v>-0.25045537340619306</v>
      </c>
      <c r="T22" s="33">
        <f t="shared" si="6"/>
        <v>-7.3367571533382248E-2</v>
      </c>
      <c r="U22" s="33">
        <f t="shared" si="6"/>
        <v>-4.9738870927629943E-2</v>
      </c>
      <c r="V22" s="33">
        <f t="shared" si="6"/>
        <v>-0.25974025974025972</v>
      </c>
      <c r="W22" s="33">
        <f t="shared" si="6"/>
        <v>-0.35150431933273757</v>
      </c>
      <c r="X22" s="33">
        <f t="shared" si="6"/>
        <v>-0.18925056775170326</v>
      </c>
      <c r="Y22" s="33">
        <f t="shared" si="6"/>
        <v>-0.27124773960216997</v>
      </c>
      <c r="Z22" s="33" t="e">
        <f t="shared" si="6"/>
        <v>#DIV/0!</v>
      </c>
      <c r="AA22" s="33">
        <f t="shared" si="6"/>
        <v>-6.119951040391676E-2</v>
      </c>
      <c r="AB22" s="33">
        <f t="shared" si="6"/>
        <v>-0.2227543576321212</v>
      </c>
      <c r="AC22" s="33">
        <f t="shared" si="6"/>
        <v>-8.7183958151700089E-2</v>
      </c>
      <c r="AD22" s="33">
        <f t="shared" si="6"/>
        <v>-0.27885465551248045</v>
      </c>
      <c r="AE22" s="33">
        <f t="shared" ref="AE22:AG22" si="7">((AE21-AE20)/AE20)*100</f>
        <v>-0.27519779841761266</v>
      </c>
      <c r="AF22" s="33">
        <f t="shared" si="7"/>
        <v>-0.33693917361234266</v>
      </c>
      <c r="AG22" s="33">
        <f t="shared" si="7"/>
        <v>-0.36021058464948735</v>
      </c>
      <c r="AH22" s="33">
        <f t="shared" si="6"/>
        <v>-0.15592515592515593</v>
      </c>
      <c r="AI22" s="33">
        <f t="shared" si="6"/>
        <v>-6.2220009955201591E-2</v>
      </c>
      <c r="AJ22" s="33">
        <f t="shared" si="6"/>
        <v>-0.39471426119787201</v>
      </c>
      <c r="AK22" s="100"/>
      <c r="AL22" s="101">
        <f>((AL21-AL20)/AL20)*100</f>
        <v>-0.17816353027974574</v>
      </c>
    </row>
    <row r="23" spans="2:165" hidden="1">
      <c r="B23" s="19"/>
      <c r="C23" s="20" t="s">
        <v>124</v>
      </c>
      <c r="D23" s="21"/>
      <c r="E23" s="2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95"/>
      <c r="AL23" s="99" t="s">
        <v>17</v>
      </c>
    </row>
    <row r="24" spans="2:165" hidden="1">
      <c r="B24" s="19"/>
      <c r="C24" s="24" t="s">
        <v>8</v>
      </c>
      <c r="D24" s="25"/>
      <c r="E24" s="26" t="s">
        <v>9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95"/>
      <c r="AL24" s="97">
        <f>SUM(F24:AJ24)</f>
        <v>0</v>
      </c>
    </row>
    <row r="25" spans="2:165" hidden="1">
      <c r="B25" s="19"/>
      <c r="C25" s="24" t="s">
        <v>10</v>
      </c>
      <c r="D25" s="25"/>
      <c r="E25" s="26" t="s">
        <v>9</v>
      </c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95"/>
      <c r="AL25" s="97">
        <f>SUM(F25:AJ25)</f>
        <v>0</v>
      </c>
    </row>
    <row r="26" spans="2:165" hidden="1">
      <c r="B26" s="19"/>
      <c r="C26" s="28" t="s">
        <v>11</v>
      </c>
      <c r="D26" s="29"/>
      <c r="E26" s="30" t="s">
        <v>12</v>
      </c>
      <c r="F26" s="31" t="e">
        <f t="shared" ref="F26:AJ26" si="8">((F25-F24)/F24)*100</f>
        <v>#DIV/0!</v>
      </c>
      <c r="G26" s="31" t="e">
        <f t="shared" si="8"/>
        <v>#DIV/0!</v>
      </c>
      <c r="H26" s="31" t="e">
        <f t="shared" si="8"/>
        <v>#DIV/0!</v>
      </c>
      <c r="I26" s="31" t="e">
        <f t="shared" si="8"/>
        <v>#DIV/0!</v>
      </c>
      <c r="J26" s="31" t="e">
        <f t="shared" si="8"/>
        <v>#DIV/0!</v>
      </c>
      <c r="K26" s="31" t="e">
        <f t="shared" si="8"/>
        <v>#DIV/0!</v>
      </c>
      <c r="L26" s="31" t="e">
        <f t="shared" si="8"/>
        <v>#DIV/0!</v>
      </c>
      <c r="M26" s="31" t="e">
        <f t="shared" si="8"/>
        <v>#DIV/0!</v>
      </c>
      <c r="N26" s="31" t="e">
        <f t="shared" si="8"/>
        <v>#DIV/0!</v>
      </c>
      <c r="O26" s="31" t="e">
        <f t="shared" si="8"/>
        <v>#DIV/0!</v>
      </c>
      <c r="P26" s="31" t="e">
        <f t="shared" si="8"/>
        <v>#DIV/0!</v>
      </c>
      <c r="Q26" s="31" t="e">
        <f t="shared" si="8"/>
        <v>#DIV/0!</v>
      </c>
      <c r="R26" s="31" t="e">
        <f t="shared" si="8"/>
        <v>#DIV/0!</v>
      </c>
      <c r="S26" s="31" t="e">
        <f t="shared" si="8"/>
        <v>#DIV/0!</v>
      </c>
      <c r="T26" s="31" t="e">
        <f t="shared" si="8"/>
        <v>#DIV/0!</v>
      </c>
      <c r="U26" s="31" t="e">
        <f t="shared" si="8"/>
        <v>#DIV/0!</v>
      </c>
      <c r="V26" s="31" t="e">
        <f t="shared" si="8"/>
        <v>#DIV/0!</v>
      </c>
      <c r="W26" s="31" t="e">
        <f t="shared" si="8"/>
        <v>#DIV/0!</v>
      </c>
      <c r="X26" s="31" t="e">
        <f t="shared" si="8"/>
        <v>#DIV/0!</v>
      </c>
      <c r="Y26" s="31" t="e">
        <f t="shared" si="8"/>
        <v>#DIV/0!</v>
      </c>
      <c r="Z26" s="31" t="e">
        <f t="shared" si="8"/>
        <v>#DIV/0!</v>
      </c>
      <c r="AA26" s="31" t="e">
        <f t="shared" si="8"/>
        <v>#DIV/0!</v>
      </c>
      <c r="AB26" s="31" t="e">
        <f t="shared" si="8"/>
        <v>#DIV/0!</v>
      </c>
      <c r="AC26" s="31" t="e">
        <f t="shared" si="8"/>
        <v>#DIV/0!</v>
      </c>
      <c r="AD26" s="31" t="e">
        <f t="shared" si="8"/>
        <v>#DIV/0!</v>
      </c>
      <c r="AE26" s="31" t="e">
        <f t="shared" ref="AE26:AG26" si="9">((AE25-AE24)/AE24)*100</f>
        <v>#DIV/0!</v>
      </c>
      <c r="AF26" s="31" t="e">
        <f t="shared" si="9"/>
        <v>#DIV/0!</v>
      </c>
      <c r="AG26" s="31" t="e">
        <f t="shared" si="9"/>
        <v>#DIV/0!</v>
      </c>
      <c r="AH26" s="31" t="e">
        <f t="shared" si="8"/>
        <v>#DIV/0!</v>
      </c>
      <c r="AI26" s="31" t="e">
        <f t="shared" si="8"/>
        <v>#DIV/0!</v>
      </c>
      <c r="AJ26" s="31" t="e">
        <f t="shared" si="8"/>
        <v>#DIV/0!</v>
      </c>
      <c r="AK26" s="100"/>
      <c r="AL26" s="101" t="e">
        <f>((AL25-AL24)/AL24)*100</f>
        <v>#DIV/0!</v>
      </c>
      <c r="DD26" s="95"/>
    </row>
    <row r="27" spans="2:165">
      <c r="B27" s="19"/>
      <c r="C27" s="34" t="s">
        <v>18</v>
      </c>
      <c r="D27" s="35"/>
      <c r="E27" s="36" t="s">
        <v>9</v>
      </c>
      <c r="F27" s="37">
        <f>SUM(F9,F17,F21)+F13+F25</f>
        <v>1163160</v>
      </c>
      <c r="G27" s="37">
        <f t="shared" ref="G27:AJ27" si="10">SUM(G9,G17,G21)+G13+G25</f>
        <v>1174830</v>
      </c>
      <c r="H27" s="37">
        <f t="shared" si="10"/>
        <v>666170</v>
      </c>
      <c r="I27" s="37">
        <f t="shared" si="10"/>
        <v>1830478</v>
      </c>
      <c r="J27" s="37">
        <f t="shared" si="10"/>
        <v>1446130</v>
      </c>
      <c r="K27" s="37">
        <f t="shared" si="10"/>
        <v>845270</v>
      </c>
      <c r="L27" s="37">
        <f t="shared" si="10"/>
        <v>558870</v>
      </c>
      <c r="M27" s="37">
        <f t="shared" si="10"/>
        <v>2200010</v>
      </c>
      <c r="N27" s="37">
        <f t="shared" si="10"/>
        <v>2135601</v>
      </c>
      <c r="O27" s="37">
        <f t="shared" si="10"/>
        <v>1818600</v>
      </c>
      <c r="P27" s="37">
        <f t="shared" si="10"/>
        <v>1846010</v>
      </c>
      <c r="Q27" s="37">
        <f t="shared" si="10"/>
        <v>1942880</v>
      </c>
      <c r="R27" s="37">
        <f t="shared" si="10"/>
        <v>1327690</v>
      </c>
      <c r="S27" s="37">
        <f t="shared" si="10"/>
        <v>1868287</v>
      </c>
      <c r="T27" s="37">
        <f t="shared" si="10"/>
        <v>1566100</v>
      </c>
      <c r="U27" s="37">
        <f t="shared" si="10"/>
        <v>1398860</v>
      </c>
      <c r="V27" s="37">
        <f t="shared" si="10"/>
        <v>1838290</v>
      </c>
      <c r="W27" s="37">
        <f t="shared" si="10"/>
        <v>1976930</v>
      </c>
      <c r="X27" s="283">
        <f t="shared" si="10"/>
        <v>1389520</v>
      </c>
      <c r="Y27" s="37">
        <f>SUM(Y9,Y17,Y21)+Y13+Y25</f>
        <v>890230</v>
      </c>
      <c r="Z27" s="37">
        <f t="shared" si="10"/>
        <v>2345130</v>
      </c>
      <c r="AA27" s="284">
        <f>SUM(AA9,AA17,AA21)+AA13+AA25</f>
        <v>2165876</v>
      </c>
      <c r="AB27" s="37">
        <f t="shared" si="10"/>
        <v>2040960</v>
      </c>
      <c r="AC27" s="37">
        <f t="shared" si="10"/>
        <v>2753956</v>
      </c>
      <c r="AD27" s="37">
        <f t="shared" si="10"/>
        <v>2302720</v>
      </c>
      <c r="AE27" s="37">
        <f>SUM(AE9,AE17,AE21)+AE13+AE25</f>
        <v>2308605</v>
      </c>
      <c r="AF27" s="37">
        <f t="shared" ref="AF27:AG27" si="11">SUM(AF9,AF17,AF21)+AF13+AF25</f>
        <v>1157880</v>
      </c>
      <c r="AG27" s="283">
        <f t="shared" si="11"/>
        <v>2005510</v>
      </c>
      <c r="AH27" s="37">
        <f t="shared" si="10"/>
        <v>2777780</v>
      </c>
      <c r="AI27" s="37">
        <f t="shared" si="10"/>
        <v>2207110</v>
      </c>
      <c r="AJ27" s="37">
        <f t="shared" si="10"/>
        <v>2591069</v>
      </c>
      <c r="AK27" s="95"/>
      <c r="AL27" s="102">
        <f>SUM(AL9,AL17,AL21)+AL13+AL25</f>
        <v>54540512</v>
      </c>
      <c r="AM27" s="95"/>
      <c r="AN27" s="14">
        <f>AL27/AL30/1000</f>
        <v>1759.3713548387095</v>
      </c>
    </row>
    <row r="28" spans="2:165">
      <c r="B28" s="38">
        <v>2</v>
      </c>
      <c r="C28" s="20" t="s">
        <v>19</v>
      </c>
      <c r="D28" s="39"/>
      <c r="E28" s="39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91"/>
      <c r="AD28" s="40"/>
      <c r="AE28" s="40"/>
      <c r="AF28" s="40"/>
      <c r="AG28" s="40"/>
      <c r="AH28" s="40"/>
      <c r="AI28" s="40"/>
      <c r="AJ28" s="40"/>
      <c r="AK28" s="95"/>
      <c r="AL28" s="197" t="s">
        <v>20</v>
      </c>
    </row>
    <row r="29" spans="2:165">
      <c r="B29" s="41"/>
      <c r="C29" s="42" t="s">
        <v>21</v>
      </c>
      <c r="D29" s="21"/>
      <c r="E29" s="22"/>
      <c r="F29" s="43"/>
      <c r="G29" s="237"/>
      <c r="H29" s="43"/>
      <c r="I29" s="43"/>
      <c r="J29" s="88"/>
      <c r="K29" s="43"/>
      <c r="L29" s="43"/>
      <c r="M29" s="43"/>
      <c r="N29" s="43"/>
      <c r="O29" s="43"/>
      <c r="P29" s="43"/>
      <c r="Q29" s="43"/>
      <c r="R29" s="43"/>
      <c r="S29" s="43"/>
      <c r="T29" s="88"/>
      <c r="U29" s="89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95"/>
      <c r="AL29" s="103" t="s">
        <v>21</v>
      </c>
    </row>
    <row r="30" spans="2:165">
      <c r="B30" s="41"/>
      <c r="C30" s="24" t="s">
        <v>22</v>
      </c>
      <c r="D30" s="25"/>
      <c r="E30" s="26" t="s">
        <v>23</v>
      </c>
      <c r="F30" s="44">
        <v>1</v>
      </c>
      <c r="G30" s="44">
        <v>1</v>
      </c>
      <c r="H30" s="44">
        <v>1</v>
      </c>
      <c r="I30" s="44">
        <v>1</v>
      </c>
      <c r="J30" s="44">
        <v>1</v>
      </c>
      <c r="K30" s="44">
        <v>1</v>
      </c>
      <c r="L30" s="44">
        <v>1</v>
      </c>
      <c r="M30" s="44">
        <v>1</v>
      </c>
      <c r="N30" s="44">
        <v>1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>
        <v>1</v>
      </c>
      <c r="W30" s="44">
        <v>1</v>
      </c>
      <c r="X30" s="44">
        <v>1</v>
      </c>
      <c r="Y30" s="44">
        <v>1</v>
      </c>
      <c r="Z30" s="44">
        <v>1</v>
      </c>
      <c r="AA30" s="44">
        <v>1</v>
      </c>
      <c r="AB30" s="44">
        <v>1</v>
      </c>
      <c r="AC30" s="44">
        <v>1</v>
      </c>
      <c r="AD30" s="44">
        <v>1</v>
      </c>
      <c r="AE30" s="44">
        <v>1</v>
      </c>
      <c r="AF30" s="44">
        <v>1</v>
      </c>
      <c r="AG30" s="44">
        <v>1</v>
      </c>
      <c r="AH30" s="44">
        <v>1</v>
      </c>
      <c r="AI30" s="44">
        <v>1</v>
      </c>
      <c r="AJ30" s="44">
        <v>1</v>
      </c>
      <c r="AK30" s="95"/>
      <c r="AL30" s="104">
        <f>SUM(F30:AJ30)</f>
        <v>31</v>
      </c>
      <c r="AM30" s="14"/>
      <c r="AP30" s="252">
        <v>55688.622754491022</v>
      </c>
    </row>
    <row r="31" spans="2:165" s="1" customFormat="1">
      <c r="B31" s="45"/>
      <c r="C31" s="46" t="s">
        <v>24</v>
      </c>
      <c r="D31" s="47">
        <f>55688.622754491*1000</f>
        <v>55688622.754491001</v>
      </c>
      <c r="E31" s="48" t="s">
        <v>9</v>
      </c>
      <c r="F31" s="49">
        <v>1451910</v>
      </c>
      <c r="G31" s="49">
        <v>1404560</v>
      </c>
      <c r="H31" s="49">
        <v>1435110</v>
      </c>
      <c r="I31" s="250">
        <v>1439300</v>
      </c>
      <c r="J31" s="250">
        <v>1440260</v>
      </c>
      <c r="K31" s="250">
        <v>1281190</v>
      </c>
      <c r="L31" s="250">
        <f>1440.21000000001*1000</f>
        <v>1440210.00000001</v>
      </c>
      <c r="M31" s="250">
        <v>1422420</v>
      </c>
      <c r="N31" s="250">
        <v>1440190</v>
      </c>
      <c r="O31" s="250">
        <f>1440.06*1000</f>
        <v>1440060</v>
      </c>
      <c r="P31" s="250">
        <v>1439830</v>
      </c>
      <c r="Q31" s="49">
        <v>1440190</v>
      </c>
      <c r="R31" s="49">
        <v>1440170</v>
      </c>
      <c r="S31" s="49">
        <f>1440.17000000001*1000</f>
        <v>1440170.00000001</v>
      </c>
      <c r="T31" s="49">
        <f>1426.07999999999*1000</f>
        <v>1426079.99999999</v>
      </c>
      <c r="U31" s="49">
        <f>1282.78000000001*1000</f>
        <v>1282780.00000001</v>
      </c>
      <c r="V31" s="250">
        <v>1606730</v>
      </c>
      <c r="W31" s="250">
        <v>1564810</v>
      </c>
      <c r="X31" s="49">
        <f>1536.71000000001*1000</f>
        <v>1536710.00000001</v>
      </c>
      <c r="Y31" s="49">
        <v>1466610</v>
      </c>
      <c r="Z31" s="49">
        <f>1381.45999999999*1000</f>
        <v>1381459.99999999</v>
      </c>
      <c r="AA31" s="49">
        <f>1461.29000000001*1000</f>
        <v>1461290.00000001</v>
      </c>
      <c r="AB31" s="49">
        <f>1513.26999999999*1000</f>
        <v>1513269.99999999</v>
      </c>
      <c r="AC31" s="49">
        <v>1929940</v>
      </c>
      <c r="AD31" s="49">
        <v>2013530</v>
      </c>
      <c r="AE31" s="49">
        <f>1983.49000000001*1000</f>
        <v>1983490.00000001</v>
      </c>
      <c r="AF31" s="49">
        <v>1864370</v>
      </c>
      <c r="AG31" s="49">
        <f>1724.32000000001*1000</f>
        <v>1724320.00000001</v>
      </c>
      <c r="AH31" s="49">
        <f>1971.31999999999*1000</f>
        <v>1971319.99999999</v>
      </c>
      <c r="AI31" s="49">
        <f>2015.12000000001*1000</f>
        <v>2015120.0000000098</v>
      </c>
      <c r="AJ31" s="49">
        <v>2015230</v>
      </c>
      <c r="AK31" s="105"/>
      <c r="AL31" s="104">
        <f>SUM(F31:AJ31)</f>
        <v>48712630.00000003</v>
      </c>
      <c r="AM31" s="106"/>
      <c r="AN31" s="106">
        <f>AL31/1000/AL30</f>
        <v>1571.3751612903234</v>
      </c>
      <c r="AP31" s="254">
        <f>AL31/1000</f>
        <v>48712.630000000026</v>
      </c>
      <c r="CP31" s="234"/>
      <c r="EB31" s="233"/>
      <c r="EC31" s="233"/>
      <c r="FI31" s="233"/>
    </row>
    <row r="32" spans="2:165" s="1" customFormat="1" hidden="1">
      <c r="B32" s="45"/>
      <c r="C32" s="46" t="s">
        <v>25</v>
      </c>
      <c r="D32" s="47"/>
      <c r="E32" s="48" t="s">
        <v>9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105"/>
      <c r="AL32" s="97">
        <f>SUM(F32:AJ32)</f>
        <v>0</v>
      </c>
      <c r="AM32" s="106"/>
      <c r="AN32" s="106"/>
      <c r="EB32" s="233"/>
      <c r="EC32" s="233"/>
      <c r="FI32" s="233"/>
    </row>
    <row r="33" spans="1:15106" s="2" customFormat="1">
      <c r="A33" s="13"/>
      <c r="B33" s="50"/>
      <c r="C33" s="198" t="s">
        <v>26</v>
      </c>
      <c r="D33" s="51">
        <v>5</v>
      </c>
      <c r="E33" s="52" t="s">
        <v>12</v>
      </c>
      <c r="F33" s="53">
        <v>4.2300000000000004</v>
      </c>
      <c r="G33" s="53">
        <v>4.2300000000000004</v>
      </c>
      <c r="H33" s="53">
        <v>4.21</v>
      </c>
      <c r="I33" s="53">
        <v>4.2</v>
      </c>
      <c r="J33" s="53">
        <v>4.21</v>
      </c>
      <c r="K33" s="53">
        <v>4.2300000000000004</v>
      </c>
      <c r="L33" s="53">
        <v>4.1900000000000004</v>
      </c>
      <c r="M33" s="53">
        <v>4.22</v>
      </c>
      <c r="N33" s="53">
        <v>4.24</v>
      </c>
      <c r="O33" s="53">
        <v>4.29</v>
      </c>
      <c r="P33" s="53">
        <v>4.41</v>
      </c>
      <c r="Q33" s="53">
        <v>4.3499999999999996</v>
      </c>
      <c r="R33" s="53">
        <v>4.3099999999999996</v>
      </c>
      <c r="S33" s="53">
        <v>4.32</v>
      </c>
      <c r="T33" s="53">
        <v>4.2699999999999996</v>
      </c>
      <c r="U33" s="53">
        <v>4.34</v>
      </c>
      <c r="V33" s="53">
        <v>4.33</v>
      </c>
      <c r="W33" s="53">
        <v>4.24</v>
      </c>
      <c r="X33" s="53">
        <v>4.28</v>
      </c>
      <c r="Y33" s="53">
        <v>4.3499999999999996</v>
      </c>
      <c r="Z33" s="53">
        <v>4.4000000000000004</v>
      </c>
      <c r="AA33" s="53">
        <v>4.33</v>
      </c>
      <c r="AB33" s="57">
        <v>4.3600000000000003</v>
      </c>
      <c r="AC33" s="53">
        <v>4.29</v>
      </c>
      <c r="AD33" s="53">
        <v>4.3099999999999996</v>
      </c>
      <c r="AE33" s="53">
        <v>4.29</v>
      </c>
      <c r="AF33" s="53">
        <v>4.04</v>
      </c>
      <c r="AG33" s="53">
        <v>4.28</v>
      </c>
      <c r="AH33" s="53">
        <v>4.29</v>
      </c>
      <c r="AI33" s="53">
        <v>4.13</v>
      </c>
      <c r="AJ33" s="53">
        <v>4.2</v>
      </c>
      <c r="AL33" s="107">
        <f>AVERAGE(F33:AJ33)</f>
        <v>4.2700000000000014</v>
      </c>
      <c r="AM33" s="251"/>
      <c r="AN33" s="108"/>
      <c r="AO33" s="13"/>
      <c r="AP33" s="255">
        <f>AP31/AP30*100</f>
        <v>87.473217311827995</v>
      </c>
      <c r="AQ33" s="262"/>
      <c r="AR33" s="13"/>
      <c r="AS33" s="13"/>
      <c r="AT33" s="262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251"/>
      <c r="EC33" s="251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251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  <c r="PA33" s="13"/>
      <c r="PB33" s="13"/>
      <c r="PC33" s="13"/>
      <c r="PD33" s="13"/>
      <c r="PE33" s="13"/>
      <c r="PF33" s="13"/>
      <c r="PG33" s="13"/>
      <c r="PH33" s="13"/>
      <c r="PI33" s="13"/>
      <c r="PJ33" s="13"/>
      <c r="PK33" s="13"/>
      <c r="PL33" s="13"/>
      <c r="PM33" s="13"/>
      <c r="PN33" s="13"/>
      <c r="PO33" s="13"/>
      <c r="PP33" s="13"/>
      <c r="PQ33" s="13"/>
      <c r="PR33" s="13"/>
      <c r="PS33" s="13"/>
      <c r="PT33" s="13"/>
      <c r="PU33" s="13"/>
      <c r="PV33" s="13"/>
      <c r="PW33" s="13"/>
      <c r="PX33" s="13"/>
      <c r="PY33" s="13"/>
      <c r="PZ33" s="13"/>
      <c r="QA33" s="13"/>
      <c r="QB33" s="13"/>
      <c r="QC33" s="13"/>
      <c r="QD33" s="13"/>
      <c r="QE33" s="13"/>
      <c r="QF33" s="13"/>
      <c r="QG33" s="13"/>
      <c r="QH33" s="13"/>
      <c r="QI33" s="13"/>
      <c r="QJ33" s="13"/>
      <c r="QK33" s="13"/>
      <c r="QL33" s="13"/>
      <c r="QM33" s="13"/>
      <c r="QN33" s="13"/>
      <c r="QO33" s="13"/>
      <c r="QP33" s="13"/>
      <c r="QQ33" s="13"/>
      <c r="QR33" s="13"/>
      <c r="QS33" s="13"/>
      <c r="QT33" s="13"/>
      <c r="QU33" s="13"/>
      <c r="QV33" s="13"/>
      <c r="QW33" s="13"/>
      <c r="QX33" s="13"/>
      <c r="QY33" s="13"/>
      <c r="QZ33" s="13"/>
      <c r="RA33" s="13"/>
      <c r="RB33" s="13"/>
      <c r="RC33" s="13"/>
      <c r="RD33" s="13"/>
      <c r="RE33" s="13"/>
      <c r="RF33" s="13"/>
      <c r="RG33" s="13"/>
      <c r="RH33" s="13"/>
      <c r="RI33" s="13"/>
      <c r="RJ33" s="13"/>
      <c r="RK33" s="13"/>
      <c r="RL33" s="13"/>
      <c r="RM33" s="13"/>
      <c r="RN33" s="13"/>
      <c r="RO33" s="13"/>
      <c r="RP33" s="13"/>
      <c r="RQ33" s="13"/>
      <c r="RR33" s="13"/>
      <c r="RS33" s="13"/>
      <c r="RT33" s="13"/>
      <c r="RU33" s="13"/>
      <c r="RV33" s="13"/>
      <c r="RW33" s="13"/>
      <c r="RX33" s="13"/>
      <c r="RY33" s="13"/>
      <c r="RZ33" s="13"/>
      <c r="SA33" s="13"/>
      <c r="SB33" s="13"/>
      <c r="SC33" s="13"/>
      <c r="SD33" s="13"/>
      <c r="SE33" s="13"/>
      <c r="SF33" s="13"/>
      <c r="SG33" s="13"/>
      <c r="SH33" s="13"/>
      <c r="SI33" s="13"/>
      <c r="SJ33" s="13"/>
      <c r="SK33" s="13"/>
      <c r="SL33" s="13"/>
      <c r="SM33" s="13"/>
      <c r="SN33" s="13"/>
      <c r="SO33" s="13"/>
      <c r="SP33" s="13"/>
      <c r="SQ33" s="13"/>
      <c r="SR33" s="13"/>
      <c r="SS33" s="13"/>
      <c r="ST33" s="13"/>
      <c r="SU33" s="13"/>
      <c r="SV33" s="13"/>
      <c r="SW33" s="13"/>
      <c r="SX33" s="13"/>
      <c r="SY33" s="13"/>
      <c r="SZ33" s="13"/>
      <c r="TA33" s="13"/>
      <c r="TB33" s="13"/>
      <c r="TC33" s="13"/>
      <c r="TD33" s="13"/>
      <c r="TE33" s="13"/>
      <c r="TF33" s="13"/>
      <c r="TG33" s="13"/>
      <c r="TH33" s="13"/>
      <c r="TI33" s="13"/>
      <c r="TJ33" s="13"/>
      <c r="TK33" s="13"/>
      <c r="TL33" s="13"/>
      <c r="TM33" s="13"/>
      <c r="TN33" s="13"/>
      <c r="TO33" s="13"/>
      <c r="TP33" s="13"/>
      <c r="TQ33" s="13"/>
      <c r="TR33" s="13"/>
      <c r="TS33" s="13"/>
      <c r="TT33" s="13"/>
      <c r="TU33" s="13"/>
      <c r="TV33" s="13"/>
      <c r="TW33" s="13"/>
      <c r="TX33" s="13"/>
      <c r="TY33" s="13"/>
      <c r="TZ33" s="13"/>
      <c r="UA33" s="13"/>
      <c r="UB33" s="13"/>
      <c r="UC33" s="13"/>
      <c r="UD33" s="13"/>
      <c r="UE33" s="13"/>
      <c r="UF33" s="13"/>
      <c r="UG33" s="13"/>
      <c r="UH33" s="13"/>
      <c r="UI33" s="13"/>
      <c r="UJ33" s="13"/>
      <c r="UK33" s="13"/>
      <c r="UL33" s="13"/>
      <c r="UM33" s="13"/>
      <c r="UN33" s="13"/>
      <c r="UO33" s="13"/>
      <c r="UP33" s="13"/>
      <c r="UQ33" s="13"/>
      <c r="UR33" s="13"/>
      <c r="US33" s="13"/>
      <c r="UT33" s="13"/>
      <c r="UU33" s="13"/>
      <c r="UV33" s="13"/>
      <c r="UW33" s="13"/>
      <c r="UX33" s="13"/>
      <c r="UY33" s="13"/>
      <c r="UZ33" s="13"/>
      <c r="VA33" s="13"/>
      <c r="VB33" s="13"/>
      <c r="VC33" s="13"/>
      <c r="VD33" s="13"/>
      <c r="VE33" s="13"/>
      <c r="VF33" s="13"/>
      <c r="VG33" s="13"/>
      <c r="VH33" s="13"/>
      <c r="VI33" s="13"/>
      <c r="VJ33" s="13"/>
      <c r="VK33" s="13"/>
      <c r="VL33" s="13"/>
      <c r="VM33" s="13"/>
      <c r="VN33" s="13"/>
      <c r="VO33" s="13"/>
      <c r="VP33" s="13"/>
      <c r="VQ33" s="13"/>
      <c r="VR33" s="13"/>
      <c r="VS33" s="13"/>
      <c r="VT33" s="13"/>
      <c r="VU33" s="13"/>
      <c r="VV33" s="13"/>
      <c r="VW33" s="13"/>
      <c r="VX33" s="13"/>
      <c r="VY33" s="13"/>
      <c r="VZ33" s="13"/>
      <c r="WA33" s="13"/>
      <c r="WB33" s="13"/>
      <c r="WC33" s="13"/>
      <c r="WD33" s="13"/>
      <c r="WE33" s="13"/>
      <c r="WF33" s="13"/>
      <c r="WG33" s="13"/>
      <c r="WH33" s="13"/>
      <c r="WI33" s="13"/>
      <c r="WJ33" s="13"/>
      <c r="WK33" s="13"/>
      <c r="WL33" s="13"/>
      <c r="WM33" s="13"/>
      <c r="WN33" s="13"/>
      <c r="WO33" s="13"/>
      <c r="WP33" s="13"/>
      <c r="WQ33" s="13"/>
      <c r="WR33" s="13"/>
      <c r="WS33" s="13"/>
      <c r="WT33" s="13"/>
      <c r="WU33" s="13"/>
      <c r="WV33" s="13"/>
      <c r="WW33" s="13"/>
      <c r="WX33" s="13"/>
      <c r="WY33" s="13"/>
      <c r="WZ33" s="13"/>
      <c r="XA33" s="13"/>
      <c r="XB33" s="13"/>
      <c r="XC33" s="13"/>
      <c r="XD33" s="13"/>
      <c r="XE33" s="13"/>
      <c r="XF33" s="13"/>
      <c r="XG33" s="13"/>
      <c r="XH33" s="13"/>
      <c r="XI33" s="13"/>
      <c r="XJ33" s="13"/>
      <c r="XK33" s="13"/>
      <c r="XL33" s="13"/>
      <c r="XM33" s="13"/>
      <c r="XN33" s="13"/>
      <c r="XO33" s="13"/>
      <c r="XP33" s="13"/>
      <c r="XQ33" s="13"/>
      <c r="XR33" s="13"/>
      <c r="XS33" s="13"/>
      <c r="XT33" s="13"/>
      <c r="XU33" s="13"/>
      <c r="XV33" s="13"/>
      <c r="XW33" s="13"/>
      <c r="XX33" s="13"/>
      <c r="XY33" s="13"/>
      <c r="XZ33" s="13"/>
      <c r="YA33" s="13"/>
      <c r="YB33" s="13"/>
      <c r="YC33" s="13"/>
      <c r="YD33" s="13"/>
      <c r="YE33" s="13"/>
      <c r="YF33" s="13"/>
      <c r="YG33" s="13"/>
      <c r="YH33" s="13"/>
      <c r="YI33" s="13"/>
      <c r="YJ33" s="13"/>
      <c r="YK33" s="13"/>
      <c r="YL33" s="13"/>
      <c r="YM33" s="13"/>
      <c r="YN33" s="13"/>
      <c r="YO33" s="13"/>
      <c r="YP33" s="13"/>
      <c r="YQ33" s="13"/>
      <c r="YR33" s="13"/>
      <c r="YS33" s="13"/>
      <c r="YT33" s="13"/>
      <c r="YU33" s="13"/>
      <c r="YV33" s="13"/>
      <c r="YW33" s="13"/>
      <c r="YX33" s="13"/>
      <c r="YY33" s="13"/>
      <c r="YZ33" s="13"/>
      <c r="ZA33" s="13"/>
      <c r="ZB33" s="13"/>
      <c r="ZC33" s="13"/>
      <c r="ZD33" s="13"/>
      <c r="ZE33" s="13"/>
      <c r="ZF33" s="13"/>
      <c r="ZG33" s="13"/>
      <c r="ZH33" s="13"/>
      <c r="ZI33" s="13"/>
      <c r="ZJ33" s="13"/>
      <c r="ZK33" s="13"/>
      <c r="ZL33" s="13"/>
      <c r="ZM33" s="13"/>
      <c r="ZN33" s="13"/>
      <c r="ZO33" s="13"/>
      <c r="ZP33" s="13"/>
      <c r="ZQ33" s="13"/>
      <c r="ZR33" s="13"/>
      <c r="ZS33" s="13"/>
      <c r="ZT33" s="13"/>
      <c r="ZU33" s="13"/>
      <c r="ZV33" s="13"/>
      <c r="ZW33" s="13"/>
      <c r="ZX33" s="13"/>
      <c r="ZY33" s="13"/>
      <c r="ZZ33" s="13"/>
      <c r="AAA33" s="13"/>
      <c r="AAB33" s="13"/>
      <c r="AAC33" s="13"/>
      <c r="AAD33" s="13"/>
      <c r="AAE33" s="13"/>
      <c r="AAF33" s="13"/>
      <c r="AAG33" s="13"/>
      <c r="AAH33" s="13"/>
      <c r="AAI33" s="13"/>
      <c r="AAJ33" s="13"/>
      <c r="AAK33" s="13"/>
      <c r="AAL33" s="13"/>
      <c r="AAM33" s="13"/>
      <c r="AAN33" s="13"/>
      <c r="AAO33" s="13"/>
      <c r="AAP33" s="13"/>
      <c r="AAQ33" s="13"/>
      <c r="AAR33" s="13"/>
      <c r="AAS33" s="13"/>
      <c r="AAT33" s="13"/>
      <c r="AAU33" s="13"/>
      <c r="AAV33" s="13"/>
      <c r="AAW33" s="13"/>
      <c r="AAX33" s="13"/>
      <c r="AAY33" s="13"/>
      <c r="AAZ33" s="13"/>
      <c r="ABA33" s="13"/>
      <c r="ABB33" s="13"/>
      <c r="ABC33" s="13"/>
      <c r="ABD33" s="13"/>
      <c r="ABE33" s="13"/>
      <c r="ABF33" s="13"/>
      <c r="ABG33" s="13"/>
      <c r="ABH33" s="13"/>
      <c r="ABI33" s="13"/>
      <c r="ABJ33" s="13"/>
      <c r="ABK33" s="13"/>
      <c r="ABL33" s="13"/>
      <c r="ABM33" s="13"/>
      <c r="ABN33" s="13"/>
      <c r="ABO33" s="13"/>
      <c r="ABP33" s="13"/>
      <c r="ABQ33" s="13"/>
      <c r="ABR33" s="13"/>
      <c r="ABS33" s="13"/>
      <c r="ABT33" s="13"/>
      <c r="ABU33" s="13"/>
      <c r="ABV33" s="13"/>
      <c r="ABW33" s="13"/>
      <c r="ABX33" s="13"/>
      <c r="ABY33" s="13"/>
      <c r="ABZ33" s="13"/>
      <c r="ACA33" s="13"/>
      <c r="ACB33" s="13"/>
      <c r="ACC33" s="13"/>
      <c r="ACD33" s="13"/>
      <c r="ACE33" s="13"/>
      <c r="ACF33" s="13"/>
      <c r="ACG33" s="13"/>
      <c r="ACH33" s="13"/>
      <c r="ACI33" s="13"/>
      <c r="ACJ33" s="13"/>
      <c r="ACK33" s="13"/>
      <c r="ACL33" s="13"/>
      <c r="ACM33" s="13"/>
      <c r="ACN33" s="13"/>
      <c r="ACO33" s="13"/>
      <c r="ACP33" s="13"/>
      <c r="ACQ33" s="13"/>
      <c r="ACR33" s="13"/>
      <c r="ACS33" s="13"/>
      <c r="ACT33" s="13"/>
      <c r="ACU33" s="13"/>
      <c r="ACV33" s="13"/>
      <c r="ACW33" s="13"/>
      <c r="ACX33" s="13"/>
      <c r="ACY33" s="13"/>
      <c r="ACZ33" s="13"/>
      <c r="ADA33" s="13"/>
      <c r="ADB33" s="13"/>
      <c r="ADC33" s="13"/>
      <c r="ADD33" s="13"/>
      <c r="ADE33" s="13"/>
      <c r="ADF33" s="13"/>
      <c r="ADG33" s="13"/>
      <c r="ADH33" s="13"/>
      <c r="ADI33" s="13"/>
      <c r="ADJ33" s="13"/>
      <c r="ADK33" s="13"/>
      <c r="ADL33" s="13"/>
      <c r="ADM33" s="13"/>
      <c r="ADN33" s="13"/>
      <c r="ADO33" s="13"/>
      <c r="ADP33" s="13"/>
      <c r="ADQ33" s="13"/>
      <c r="ADR33" s="13"/>
      <c r="ADS33" s="13"/>
      <c r="ADT33" s="13"/>
      <c r="ADU33" s="13"/>
      <c r="ADV33" s="13"/>
      <c r="ADW33" s="13"/>
      <c r="ADX33" s="13"/>
      <c r="ADY33" s="13"/>
      <c r="ADZ33" s="13"/>
      <c r="AEA33" s="13"/>
      <c r="AEB33" s="13"/>
      <c r="AEC33" s="13"/>
      <c r="AED33" s="13"/>
      <c r="AEE33" s="13"/>
      <c r="AEF33" s="13"/>
      <c r="AEG33" s="13"/>
      <c r="AEH33" s="13"/>
      <c r="AEI33" s="13"/>
      <c r="AEJ33" s="13"/>
      <c r="AEK33" s="13"/>
      <c r="AEL33" s="13"/>
      <c r="AEM33" s="13"/>
      <c r="AEN33" s="13"/>
      <c r="AEO33" s="13"/>
      <c r="AEP33" s="13"/>
      <c r="AEQ33" s="13"/>
      <c r="AER33" s="13"/>
      <c r="AES33" s="13"/>
      <c r="AET33" s="13"/>
      <c r="AEU33" s="13"/>
      <c r="AEV33" s="13"/>
      <c r="AEW33" s="13"/>
      <c r="AEX33" s="13"/>
      <c r="AEY33" s="13"/>
      <c r="AEZ33" s="13"/>
      <c r="AFA33" s="13"/>
      <c r="AFB33" s="13"/>
      <c r="AFC33" s="13"/>
      <c r="AFD33" s="13"/>
      <c r="AFE33" s="13"/>
      <c r="AFF33" s="13"/>
      <c r="AFG33" s="13"/>
      <c r="AFH33" s="13"/>
      <c r="AFI33" s="13"/>
      <c r="AFJ33" s="13"/>
      <c r="AFK33" s="13"/>
      <c r="AFL33" s="13"/>
      <c r="AFM33" s="13"/>
      <c r="AFN33" s="13"/>
      <c r="AFO33" s="13"/>
      <c r="AFP33" s="13"/>
      <c r="AFQ33" s="13"/>
      <c r="AFR33" s="13"/>
      <c r="AFS33" s="13"/>
      <c r="AFT33" s="13"/>
      <c r="AFU33" s="13"/>
      <c r="AFV33" s="13"/>
      <c r="AFW33" s="13"/>
      <c r="AFX33" s="13"/>
      <c r="AFY33" s="13"/>
      <c r="AFZ33" s="13"/>
      <c r="AGA33" s="13"/>
      <c r="AGB33" s="13"/>
      <c r="AGC33" s="13"/>
      <c r="AGD33" s="13"/>
      <c r="AGE33" s="13"/>
      <c r="AGF33" s="13"/>
      <c r="AGG33" s="13"/>
      <c r="AGH33" s="13"/>
      <c r="AGI33" s="13"/>
      <c r="AGJ33" s="13"/>
      <c r="AGK33" s="13"/>
      <c r="AGL33" s="13"/>
      <c r="AGM33" s="13"/>
      <c r="AGN33" s="13"/>
      <c r="AGO33" s="13"/>
      <c r="AGP33" s="13"/>
      <c r="AGQ33" s="13"/>
      <c r="AGR33" s="13"/>
      <c r="AGS33" s="13"/>
      <c r="AGT33" s="13"/>
      <c r="AGU33" s="13"/>
      <c r="AGV33" s="13"/>
      <c r="AGW33" s="13"/>
      <c r="AGX33" s="13"/>
      <c r="AGY33" s="13"/>
      <c r="AGZ33" s="13"/>
      <c r="AHA33" s="13"/>
      <c r="AHB33" s="13"/>
      <c r="AHC33" s="13"/>
      <c r="AHD33" s="13"/>
      <c r="AHE33" s="13"/>
      <c r="AHF33" s="13"/>
      <c r="AHG33" s="13"/>
      <c r="AHH33" s="13"/>
      <c r="AHI33" s="13"/>
      <c r="AHJ33" s="13"/>
      <c r="AHK33" s="13"/>
      <c r="AHL33" s="13"/>
      <c r="AHM33" s="13"/>
      <c r="AHN33" s="13"/>
      <c r="AHO33" s="13"/>
      <c r="AHP33" s="13"/>
      <c r="AHQ33" s="13"/>
      <c r="AHR33" s="13"/>
      <c r="AHS33" s="13"/>
      <c r="AHT33" s="13"/>
      <c r="AHU33" s="13"/>
      <c r="AHV33" s="13"/>
      <c r="AHW33" s="13"/>
      <c r="AHX33" s="13"/>
      <c r="AHY33" s="13"/>
      <c r="AHZ33" s="13"/>
      <c r="AIA33" s="13"/>
      <c r="AIB33" s="13"/>
      <c r="AIC33" s="13"/>
      <c r="AID33" s="13"/>
      <c r="AIE33" s="13"/>
      <c r="AIF33" s="13"/>
      <c r="AIG33" s="13"/>
      <c r="AIH33" s="13"/>
      <c r="AII33" s="13"/>
      <c r="AIJ33" s="13"/>
      <c r="AIK33" s="13"/>
      <c r="AIL33" s="13"/>
      <c r="AIM33" s="13"/>
      <c r="AIN33" s="13"/>
      <c r="AIO33" s="13"/>
      <c r="AIP33" s="13"/>
      <c r="AIQ33" s="13"/>
      <c r="AIR33" s="13"/>
      <c r="AIS33" s="13"/>
      <c r="AIT33" s="13"/>
      <c r="AIU33" s="13"/>
      <c r="AIV33" s="13"/>
      <c r="AIW33" s="13"/>
      <c r="AIX33" s="13"/>
      <c r="AIY33" s="13"/>
      <c r="AIZ33" s="13"/>
      <c r="AJA33" s="13"/>
      <c r="AJB33" s="13"/>
      <c r="AJC33" s="13"/>
      <c r="AJD33" s="13"/>
      <c r="AJE33" s="13"/>
      <c r="AJF33" s="13"/>
      <c r="AJG33" s="13"/>
      <c r="AJH33" s="13"/>
      <c r="AJI33" s="13"/>
      <c r="AJJ33" s="13"/>
      <c r="AJK33" s="13"/>
      <c r="AJL33" s="13"/>
      <c r="AJM33" s="13"/>
      <c r="AJN33" s="13"/>
      <c r="AJO33" s="13"/>
      <c r="AJP33" s="13"/>
      <c r="AJQ33" s="13"/>
      <c r="AJR33" s="13"/>
      <c r="AJS33" s="13"/>
      <c r="AJT33" s="13"/>
      <c r="AJU33" s="13"/>
      <c r="AJV33" s="13"/>
      <c r="AJW33" s="13"/>
      <c r="AJX33" s="13"/>
      <c r="AJY33" s="13"/>
      <c r="AJZ33" s="13"/>
      <c r="AKA33" s="13"/>
      <c r="AKB33" s="13"/>
      <c r="AKC33" s="13"/>
      <c r="AKD33" s="13"/>
      <c r="AKE33" s="13"/>
      <c r="AKF33" s="13"/>
      <c r="AKG33" s="13"/>
      <c r="AKH33" s="13"/>
      <c r="AKI33" s="13"/>
      <c r="AKJ33" s="13"/>
      <c r="AKK33" s="13"/>
      <c r="AKL33" s="13"/>
      <c r="AKM33" s="13"/>
      <c r="AKN33" s="13"/>
      <c r="AKO33" s="13"/>
      <c r="AKP33" s="13"/>
      <c r="AKQ33" s="13"/>
      <c r="AKR33" s="13"/>
      <c r="AKS33" s="13"/>
      <c r="AKT33" s="13"/>
      <c r="AKU33" s="13"/>
      <c r="AKV33" s="13"/>
      <c r="AKW33" s="13"/>
      <c r="AKX33" s="13"/>
      <c r="AKY33" s="13"/>
      <c r="AKZ33" s="13"/>
      <c r="ALA33" s="13"/>
      <c r="ALB33" s="13"/>
      <c r="ALC33" s="13"/>
      <c r="ALD33" s="13"/>
      <c r="ALE33" s="13"/>
      <c r="ALF33" s="13"/>
      <c r="ALG33" s="13"/>
      <c r="ALH33" s="13"/>
      <c r="ALI33" s="13"/>
      <c r="ALJ33" s="13"/>
      <c r="ALK33" s="13"/>
      <c r="ALL33" s="13"/>
      <c r="ALM33" s="13"/>
      <c r="ALN33" s="13"/>
      <c r="ALO33" s="13"/>
      <c r="ALP33" s="13"/>
      <c r="ALQ33" s="13"/>
      <c r="ALR33" s="13"/>
      <c r="ALS33" s="13"/>
      <c r="ALT33" s="13"/>
      <c r="ALU33" s="13"/>
      <c r="ALV33" s="13"/>
      <c r="ALW33" s="13"/>
      <c r="ALX33" s="13"/>
      <c r="ALY33" s="13"/>
      <c r="ALZ33" s="13"/>
      <c r="AMA33" s="13"/>
      <c r="AMB33" s="13"/>
      <c r="AMC33" s="13"/>
      <c r="AMD33" s="13"/>
      <c r="AME33" s="13"/>
      <c r="AMF33" s="13"/>
      <c r="AMG33" s="13"/>
      <c r="AMH33" s="13"/>
      <c r="AMI33" s="13"/>
      <c r="AMJ33" s="13"/>
      <c r="AMK33" s="13"/>
      <c r="AML33" s="13"/>
      <c r="AMM33" s="13"/>
      <c r="AMN33" s="13"/>
      <c r="AMO33" s="13"/>
      <c r="AMP33" s="13"/>
      <c r="AMQ33" s="13"/>
      <c r="AMR33" s="13"/>
      <c r="AMS33" s="13"/>
      <c r="AMT33" s="13"/>
      <c r="AMU33" s="13"/>
      <c r="AMV33" s="13"/>
      <c r="AMW33" s="13"/>
      <c r="AMX33" s="13"/>
      <c r="AMY33" s="13"/>
      <c r="AMZ33" s="13"/>
      <c r="ANA33" s="13"/>
      <c r="ANB33" s="13"/>
      <c r="ANC33" s="13"/>
      <c r="AND33" s="13"/>
      <c r="ANE33" s="13"/>
      <c r="ANF33" s="13"/>
      <c r="ANG33" s="13"/>
      <c r="ANH33" s="13"/>
      <c r="ANI33" s="13"/>
      <c r="ANJ33" s="13"/>
      <c r="ANK33" s="13"/>
      <c r="ANL33" s="13"/>
      <c r="ANM33" s="13"/>
      <c r="ANN33" s="13"/>
      <c r="ANO33" s="13"/>
      <c r="ANP33" s="13"/>
      <c r="ANQ33" s="13"/>
      <c r="ANR33" s="13"/>
      <c r="ANS33" s="13"/>
      <c r="ANT33" s="13"/>
      <c r="ANU33" s="13"/>
      <c r="ANV33" s="13"/>
      <c r="ANW33" s="13"/>
      <c r="ANX33" s="13"/>
      <c r="ANY33" s="13"/>
      <c r="ANZ33" s="13"/>
      <c r="AOA33" s="13"/>
      <c r="AOB33" s="13"/>
      <c r="AOC33" s="13"/>
      <c r="AOD33" s="13"/>
      <c r="AOE33" s="13"/>
      <c r="AOF33" s="13"/>
      <c r="AOG33" s="13"/>
      <c r="AOH33" s="13"/>
      <c r="AOI33" s="13"/>
      <c r="AOJ33" s="13"/>
      <c r="AOK33" s="13"/>
      <c r="AOL33" s="13"/>
      <c r="AOM33" s="13"/>
      <c r="AON33" s="13"/>
      <c r="AOO33" s="13"/>
      <c r="AOP33" s="13"/>
      <c r="AOQ33" s="13"/>
      <c r="AOR33" s="13"/>
      <c r="AOS33" s="13"/>
      <c r="AOT33" s="13"/>
      <c r="AOU33" s="13"/>
      <c r="AOV33" s="13"/>
      <c r="AOW33" s="13"/>
      <c r="AOX33" s="13"/>
      <c r="AOY33" s="13"/>
      <c r="AOZ33" s="13"/>
      <c r="APA33" s="13"/>
      <c r="APB33" s="13"/>
      <c r="APC33" s="13"/>
      <c r="APD33" s="13"/>
      <c r="APE33" s="13"/>
      <c r="APF33" s="13"/>
      <c r="APG33" s="13"/>
      <c r="APH33" s="13"/>
      <c r="API33" s="13"/>
      <c r="APJ33" s="13"/>
      <c r="APK33" s="13"/>
      <c r="APL33" s="13"/>
      <c r="APM33" s="13"/>
      <c r="APN33" s="13"/>
      <c r="APO33" s="13"/>
      <c r="APP33" s="13"/>
      <c r="APQ33" s="13"/>
      <c r="APR33" s="13"/>
      <c r="APS33" s="13"/>
      <c r="APT33" s="13"/>
      <c r="APU33" s="13"/>
      <c r="APV33" s="13"/>
      <c r="APW33" s="13"/>
      <c r="APX33" s="13"/>
      <c r="APY33" s="13"/>
      <c r="APZ33" s="13"/>
      <c r="AQA33" s="13"/>
      <c r="AQB33" s="13"/>
      <c r="AQC33" s="13"/>
      <c r="AQD33" s="13"/>
      <c r="AQE33" s="13"/>
      <c r="AQF33" s="13"/>
      <c r="AQG33" s="13"/>
      <c r="AQH33" s="13"/>
      <c r="AQI33" s="13"/>
      <c r="AQJ33" s="13"/>
      <c r="AQK33" s="13"/>
      <c r="AQL33" s="13"/>
      <c r="AQM33" s="13"/>
      <c r="AQN33" s="13"/>
      <c r="AQO33" s="13"/>
      <c r="AQP33" s="13"/>
      <c r="AQQ33" s="13"/>
      <c r="AQR33" s="13"/>
      <c r="AQS33" s="13"/>
      <c r="AQT33" s="13"/>
      <c r="AQU33" s="13"/>
      <c r="AQV33" s="13"/>
      <c r="AQW33" s="13"/>
      <c r="AQX33" s="13"/>
      <c r="AQY33" s="13"/>
      <c r="AQZ33" s="13"/>
      <c r="ARA33" s="13"/>
      <c r="ARB33" s="13"/>
      <c r="ARC33" s="13"/>
      <c r="ARD33" s="13"/>
      <c r="ARE33" s="13"/>
      <c r="ARF33" s="13"/>
      <c r="ARG33" s="13"/>
      <c r="ARH33" s="13"/>
      <c r="ARI33" s="13"/>
      <c r="ARJ33" s="13"/>
      <c r="ARK33" s="13"/>
      <c r="ARL33" s="13"/>
      <c r="ARM33" s="13"/>
      <c r="ARN33" s="13"/>
      <c r="ARO33" s="13"/>
      <c r="ARP33" s="13"/>
      <c r="ARQ33" s="13"/>
      <c r="ARR33" s="13"/>
      <c r="ARS33" s="13"/>
      <c r="ART33" s="13"/>
      <c r="ARU33" s="13"/>
      <c r="ARV33" s="13"/>
      <c r="ARW33" s="13"/>
      <c r="ARX33" s="13"/>
      <c r="ARY33" s="13"/>
      <c r="ARZ33" s="13"/>
      <c r="ASA33" s="13"/>
      <c r="ASB33" s="13"/>
      <c r="ASC33" s="13"/>
      <c r="ASD33" s="13"/>
      <c r="ASE33" s="13"/>
      <c r="ASF33" s="13"/>
      <c r="ASG33" s="13"/>
      <c r="ASH33" s="13"/>
      <c r="ASI33" s="13"/>
      <c r="ASJ33" s="13"/>
      <c r="ASK33" s="13"/>
      <c r="ASL33" s="13"/>
      <c r="ASM33" s="13"/>
      <c r="ASN33" s="13"/>
      <c r="ASO33" s="13"/>
      <c r="ASP33" s="13"/>
      <c r="ASQ33" s="13"/>
      <c r="ASR33" s="13"/>
      <c r="ASS33" s="13"/>
      <c r="AST33" s="13"/>
      <c r="ASU33" s="13"/>
      <c r="ASV33" s="13"/>
      <c r="ASW33" s="13"/>
      <c r="ASX33" s="13"/>
      <c r="ASY33" s="13"/>
      <c r="ASZ33" s="13"/>
      <c r="ATA33" s="13"/>
      <c r="ATB33" s="13"/>
      <c r="ATC33" s="13"/>
      <c r="ATD33" s="13"/>
      <c r="ATE33" s="13"/>
      <c r="ATF33" s="13"/>
      <c r="ATG33" s="13"/>
      <c r="ATH33" s="13"/>
      <c r="ATI33" s="13"/>
      <c r="ATJ33" s="13"/>
      <c r="ATK33" s="13"/>
      <c r="ATL33" s="13"/>
      <c r="ATM33" s="13"/>
      <c r="ATN33" s="13"/>
      <c r="ATO33" s="13"/>
      <c r="ATP33" s="13"/>
      <c r="ATQ33" s="13"/>
      <c r="ATR33" s="13"/>
      <c r="ATS33" s="13"/>
      <c r="ATT33" s="13"/>
      <c r="ATU33" s="13"/>
      <c r="ATV33" s="13"/>
      <c r="ATW33" s="13"/>
      <c r="ATX33" s="13"/>
      <c r="ATY33" s="13"/>
      <c r="ATZ33" s="13"/>
      <c r="AUA33" s="13"/>
      <c r="AUB33" s="13"/>
      <c r="AUC33" s="13"/>
      <c r="AUD33" s="13"/>
      <c r="AUE33" s="13"/>
      <c r="AUF33" s="13"/>
      <c r="AUG33" s="13"/>
      <c r="AUH33" s="13"/>
      <c r="AUI33" s="13"/>
      <c r="AUJ33" s="13"/>
      <c r="AUK33" s="13"/>
      <c r="AUL33" s="13"/>
      <c r="AUM33" s="13"/>
      <c r="AUN33" s="13"/>
      <c r="AUO33" s="13"/>
      <c r="AUP33" s="13"/>
      <c r="AUQ33" s="13"/>
      <c r="AUR33" s="13"/>
      <c r="AUS33" s="13"/>
      <c r="AUT33" s="13"/>
      <c r="AUU33" s="13"/>
      <c r="AUV33" s="13"/>
      <c r="AUW33" s="13"/>
      <c r="AUX33" s="13"/>
      <c r="AUY33" s="13"/>
      <c r="AUZ33" s="13"/>
      <c r="AVA33" s="13"/>
      <c r="AVB33" s="13"/>
      <c r="AVC33" s="13"/>
      <c r="AVD33" s="13"/>
      <c r="AVE33" s="13"/>
      <c r="AVF33" s="13"/>
      <c r="AVG33" s="13"/>
      <c r="AVH33" s="13"/>
      <c r="AVI33" s="13"/>
      <c r="AVJ33" s="13"/>
      <c r="AVK33" s="13"/>
      <c r="AVL33" s="13"/>
      <c r="AVM33" s="13"/>
      <c r="AVN33" s="13"/>
      <c r="AVO33" s="13"/>
      <c r="AVP33" s="13"/>
      <c r="AVQ33" s="13"/>
      <c r="AVR33" s="13"/>
      <c r="AVS33" s="13"/>
      <c r="AVT33" s="13"/>
      <c r="AVU33" s="13"/>
      <c r="AVV33" s="13"/>
      <c r="AVW33" s="13"/>
      <c r="AVX33" s="13"/>
      <c r="AVY33" s="13"/>
      <c r="AVZ33" s="13"/>
      <c r="AWA33" s="13"/>
      <c r="AWB33" s="13"/>
      <c r="AWC33" s="13"/>
      <c r="AWD33" s="13"/>
      <c r="AWE33" s="13"/>
      <c r="AWF33" s="13"/>
      <c r="AWG33" s="13"/>
      <c r="AWH33" s="13"/>
      <c r="AWI33" s="13"/>
      <c r="AWJ33" s="13"/>
      <c r="AWK33" s="13"/>
      <c r="AWL33" s="13"/>
      <c r="AWM33" s="13"/>
      <c r="AWN33" s="13"/>
      <c r="AWO33" s="13"/>
      <c r="AWP33" s="13"/>
      <c r="AWQ33" s="13"/>
      <c r="AWR33" s="13"/>
      <c r="AWS33" s="13"/>
      <c r="AWT33" s="13"/>
      <c r="AWU33" s="13"/>
      <c r="AWV33" s="13"/>
      <c r="AWW33" s="13"/>
      <c r="AWX33" s="13"/>
      <c r="AWY33" s="13"/>
      <c r="AWZ33" s="13"/>
      <c r="AXA33" s="13"/>
      <c r="AXB33" s="13"/>
      <c r="AXC33" s="13"/>
      <c r="AXD33" s="13"/>
      <c r="AXE33" s="13"/>
      <c r="AXF33" s="13"/>
      <c r="AXG33" s="13"/>
      <c r="AXH33" s="13"/>
      <c r="AXI33" s="13"/>
      <c r="AXJ33" s="13"/>
      <c r="AXK33" s="13"/>
      <c r="AXL33" s="13"/>
      <c r="AXM33" s="13"/>
      <c r="AXN33" s="13"/>
      <c r="AXO33" s="13"/>
      <c r="AXP33" s="13"/>
      <c r="AXQ33" s="13"/>
      <c r="AXR33" s="13"/>
      <c r="AXS33" s="13"/>
      <c r="AXT33" s="13"/>
      <c r="AXU33" s="13"/>
      <c r="AXV33" s="13"/>
      <c r="AXW33" s="13"/>
      <c r="AXX33" s="13"/>
      <c r="AXY33" s="13"/>
      <c r="AXZ33" s="13"/>
      <c r="AYA33" s="13"/>
      <c r="AYB33" s="13"/>
      <c r="AYC33" s="13"/>
      <c r="AYD33" s="13"/>
      <c r="AYE33" s="13"/>
      <c r="AYF33" s="13"/>
      <c r="AYG33" s="13"/>
      <c r="AYH33" s="13"/>
      <c r="AYI33" s="13"/>
      <c r="AYJ33" s="13"/>
      <c r="AYK33" s="13"/>
      <c r="AYL33" s="13"/>
      <c r="AYM33" s="13"/>
      <c r="AYN33" s="13"/>
      <c r="AYO33" s="13"/>
      <c r="AYP33" s="13"/>
      <c r="AYQ33" s="13"/>
      <c r="AYR33" s="13"/>
      <c r="AYS33" s="13"/>
      <c r="AYT33" s="13"/>
      <c r="AYU33" s="13"/>
      <c r="AYV33" s="13"/>
      <c r="AYW33" s="13"/>
      <c r="AYX33" s="13"/>
      <c r="AYY33" s="13"/>
      <c r="AYZ33" s="13"/>
      <c r="AZA33" s="13"/>
      <c r="AZB33" s="13"/>
      <c r="AZC33" s="13"/>
      <c r="AZD33" s="13"/>
      <c r="AZE33" s="13"/>
      <c r="AZF33" s="13"/>
      <c r="AZG33" s="13"/>
      <c r="AZH33" s="13"/>
      <c r="AZI33" s="13"/>
      <c r="AZJ33" s="13"/>
      <c r="AZK33" s="13"/>
      <c r="AZL33" s="13"/>
      <c r="AZM33" s="13"/>
      <c r="AZN33" s="13"/>
      <c r="AZO33" s="13"/>
      <c r="AZP33" s="13"/>
      <c r="AZQ33" s="13"/>
      <c r="AZR33" s="13"/>
      <c r="AZS33" s="13"/>
      <c r="AZT33" s="13"/>
      <c r="AZU33" s="13"/>
      <c r="AZV33" s="13"/>
      <c r="AZW33" s="13"/>
      <c r="AZX33" s="13"/>
      <c r="AZY33" s="13"/>
      <c r="AZZ33" s="13"/>
      <c r="BAA33" s="13"/>
      <c r="BAB33" s="13"/>
      <c r="BAC33" s="13"/>
      <c r="BAD33" s="13"/>
      <c r="BAE33" s="13"/>
      <c r="BAF33" s="13"/>
      <c r="BAG33" s="13"/>
      <c r="BAH33" s="13"/>
      <c r="BAI33" s="13"/>
      <c r="BAJ33" s="13"/>
      <c r="BAK33" s="13"/>
      <c r="BAL33" s="13"/>
      <c r="BAM33" s="13"/>
      <c r="BAN33" s="13"/>
      <c r="BAO33" s="13"/>
      <c r="BAP33" s="13"/>
      <c r="BAQ33" s="13"/>
      <c r="BAR33" s="13"/>
      <c r="BAS33" s="13"/>
      <c r="BAT33" s="13"/>
      <c r="BAU33" s="13"/>
      <c r="BAV33" s="13"/>
      <c r="BAW33" s="13"/>
      <c r="BAX33" s="13"/>
      <c r="BAY33" s="13"/>
      <c r="BAZ33" s="13"/>
      <c r="BBA33" s="13"/>
      <c r="BBB33" s="13"/>
      <c r="BBC33" s="13"/>
      <c r="BBD33" s="13"/>
      <c r="BBE33" s="13"/>
      <c r="BBF33" s="13"/>
      <c r="BBG33" s="13"/>
      <c r="BBH33" s="13"/>
      <c r="BBI33" s="13"/>
      <c r="BBJ33" s="13"/>
      <c r="BBK33" s="13"/>
      <c r="BBL33" s="13"/>
      <c r="BBM33" s="13"/>
      <c r="BBN33" s="13"/>
      <c r="BBO33" s="13"/>
      <c r="BBP33" s="13"/>
      <c r="BBQ33" s="13"/>
      <c r="BBR33" s="13"/>
      <c r="BBS33" s="13"/>
      <c r="BBT33" s="13"/>
      <c r="BBU33" s="13"/>
      <c r="BBV33" s="13"/>
      <c r="BBW33" s="13"/>
      <c r="BBX33" s="13"/>
      <c r="BBY33" s="13"/>
      <c r="BBZ33" s="13"/>
      <c r="BCA33" s="13"/>
      <c r="BCB33" s="13"/>
      <c r="BCC33" s="13"/>
      <c r="BCD33" s="13"/>
      <c r="BCE33" s="13"/>
      <c r="BCF33" s="13"/>
      <c r="BCG33" s="13"/>
      <c r="BCH33" s="13"/>
      <c r="BCI33" s="13"/>
      <c r="BCJ33" s="13"/>
      <c r="BCK33" s="13"/>
      <c r="BCL33" s="13"/>
      <c r="BCM33" s="13"/>
      <c r="BCN33" s="13"/>
      <c r="BCO33" s="13"/>
      <c r="BCP33" s="13"/>
      <c r="BCQ33" s="13"/>
      <c r="BCR33" s="13"/>
      <c r="BCS33" s="13"/>
      <c r="BCT33" s="13"/>
      <c r="BCU33" s="13"/>
      <c r="BCV33" s="13"/>
      <c r="BCW33" s="13"/>
      <c r="BCX33" s="13"/>
      <c r="BCY33" s="13"/>
      <c r="BCZ33" s="13"/>
      <c r="BDA33" s="13"/>
      <c r="BDB33" s="13"/>
      <c r="BDC33" s="13"/>
      <c r="BDD33" s="13"/>
      <c r="BDE33" s="13"/>
      <c r="BDF33" s="13"/>
      <c r="BDG33" s="13"/>
      <c r="BDH33" s="13"/>
      <c r="BDI33" s="13"/>
      <c r="BDJ33" s="13"/>
      <c r="BDK33" s="13"/>
      <c r="BDL33" s="13"/>
      <c r="BDM33" s="13"/>
      <c r="BDN33" s="13"/>
      <c r="BDO33" s="13"/>
      <c r="BDP33" s="13"/>
      <c r="BDQ33" s="13"/>
      <c r="BDR33" s="13"/>
      <c r="BDS33" s="13"/>
      <c r="BDT33" s="13"/>
      <c r="BDU33" s="13"/>
      <c r="BDV33" s="13"/>
      <c r="BDW33" s="13"/>
      <c r="BDX33" s="13"/>
      <c r="BDY33" s="13"/>
      <c r="BDZ33" s="13"/>
      <c r="BEA33" s="13"/>
      <c r="BEB33" s="13"/>
      <c r="BEC33" s="13"/>
      <c r="BED33" s="13"/>
      <c r="BEE33" s="13"/>
      <c r="BEF33" s="13"/>
      <c r="BEG33" s="13"/>
      <c r="BEH33" s="13"/>
      <c r="BEI33" s="13"/>
      <c r="BEJ33" s="13"/>
      <c r="BEK33" s="13"/>
      <c r="BEL33" s="13"/>
      <c r="BEM33" s="13"/>
      <c r="BEN33" s="13"/>
      <c r="BEO33" s="13"/>
      <c r="BEP33" s="13"/>
      <c r="BEQ33" s="13"/>
      <c r="BER33" s="13"/>
      <c r="BES33" s="13"/>
      <c r="BET33" s="13"/>
      <c r="BEU33" s="13"/>
      <c r="BEV33" s="13"/>
      <c r="BEW33" s="13"/>
      <c r="BEX33" s="13"/>
      <c r="BEY33" s="13"/>
      <c r="BEZ33" s="13"/>
      <c r="BFA33" s="13"/>
      <c r="BFB33" s="13"/>
      <c r="BFC33" s="13"/>
      <c r="BFD33" s="13"/>
      <c r="BFE33" s="13"/>
      <c r="BFF33" s="13"/>
      <c r="BFG33" s="13"/>
      <c r="BFH33" s="13"/>
      <c r="BFI33" s="13"/>
      <c r="BFJ33" s="13"/>
      <c r="BFK33" s="13"/>
      <c r="BFL33" s="13"/>
      <c r="BFM33" s="13"/>
      <c r="BFN33" s="13"/>
      <c r="BFO33" s="13"/>
      <c r="BFP33" s="13"/>
      <c r="BFQ33" s="13"/>
      <c r="BFR33" s="13"/>
      <c r="BFS33" s="13"/>
      <c r="BFT33" s="13"/>
      <c r="BFU33" s="13"/>
      <c r="BFV33" s="13"/>
      <c r="BFW33" s="13"/>
      <c r="BFX33" s="13"/>
      <c r="BFY33" s="13"/>
      <c r="BFZ33" s="13"/>
      <c r="BGA33" s="13"/>
      <c r="BGB33" s="13"/>
      <c r="BGC33" s="13"/>
      <c r="BGD33" s="13"/>
      <c r="BGE33" s="13"/>
      <c r="BGF33" s="13"/>
      <c r="BGG33" s="13"/>
      <c r="BGH33" s="13"/>
      <c r="BGI33" s="13"/>
      <c r="BGJ33" s="13"/>
      <c r="BGK33" s="13"/>
      <c r="BGL33" s="13"/>
      <c r="BGM33" s="13"/>
      <c r="BGN33" s="13"/>
      <c r="BGO33" s="13"/>
      <c r="BGP33" s="13"/>
      <c r="BGQ33" s="13"/>
      <c r="BGR33" s="13"/>
      <c r="BGS33" s="13"/>
      <c r="BGT33" s="13"/>
      <c r="BGU33" s="13"/>
      <c r="BGV33" s="13"/>
      <c r="BGW33" s="13"/>
      <c r="BGX33" s="13"/>
      <c r="BGY33" s="13"/>
      <c r="BGZ33" s="13"/>
      <c r="BHA33" s="13"/>
      <c r="BHB33" s="13"/>
      <c r="BHC33" s="13"/>
      <c r="BHD33" s="13"/>
      <c r="BHE33" s="13"/>
      <c r="BHF33" s="13"/>
      <c r="BHG33" s="13"/>
      <c r="BHH33" s="13"/>
      <c r="BHI33" s="13"/>
      <c r="BHJ33" s="13"/>
      <c r="BHK33" s="13"/>
      <c r="BHL33" s="13"/>
      <c r="BHM33" s="13"/>
      <c r="BHN33" s="13"/>
      <c r="BHO33" s="13"/>
      <c r="BHP33" s="13"/>
      <c r="BHQ33" s="13"/>
      <c r="BHR33" s="13"/>
      <c r="BHS33" s="13"/>
      <c r="BHT33" s="13"/>
      <c r="BHU33" s="13"/>
      <c r="BHV33" s="13"/>
      <c r="BHW33" s="13"/>
      <c r="BHX33" s="13"/>
      <c r="BHY33" s="13"/>
      <c r="BHZ33" s="13"/>
      <c r="BIA33" s="13"/>
      <c r="BIB33" s="13"/>
      <c r="BIC33" s="13"/>
      <c r="BID33" s="13"/>
      <c r="BIE33" s="13"/>
      <c r="BIF33" s="13"/>
      <c r="BIG33" s="13"/>
      <c r="BIH33" s="13"/>
      <c r="BII33" s="13"/>
      <c r="BIJ33" s="13"/>
      <c r="BIK33" s="13"/>
      <c r="BIL33" s="13"/>
      <c r="BIM33" s="13"/>
      <c r="BIN33" s="13"/>
      <c r="BIO33" s="13"/>
      <c r="BIP33" s="13"/>
      <c r="BIQ33" s="13"/>
      <c r="BIR33" s="13"/>
      <c r="BIS33" s="13"/>
      <c r="BIT33" s="13"/>
      <c r="BIU33" s="13"/>
      <c r="BIV33" s="13"/>
      <c r="BIW33" s="13"/>
      <c r="BIX33" s="13"/>
      <c r="BIY33" s="13"/>
      <c r="BIZ33" s="13"/>
      <c r="BJA33" s="13"/>
      <c r="BJB33" s="13"/>
      <c r="BJC33" s="13"/>
      <c r="BJD33" s="13"/>
      <c r="BJE33" s="13"/>
      <c r="BJF33" s="13"/>
      <c r="BJG33" s="13"/>
      <c r="BJH33" s="13"/>
      <c r="BJI33" s="13"/>
      <c r="BJJ33" s="13"/>
      <c r="BJK33" s="13"/>
      <c r="BJL33" s="13"/>
      <c r="BJM33" s="13"/>
      <c r="BJN33" s="13"/>
      <c r="BJO33" s="13"/>
      <c r="BJP33" s="13"/>
      <c r="BJQ33" s="13"/>
      <c r="BJR33" s="13"/>
      <c r="BJS33" s="13"/>
      <c r="BJT33" s="13"/>
      <c r="BJU33" s="13"/>
      <c r="BJV33" s="13"/>
      <c r="BJW33" s="13"/>
      <c r="BJX33" s="13"/>
      <c r="BJY33" s="13"/>
      <c r="BJZ33" s="13"/>
      <c r="BKA33" s="13"/>
      <c r="BKB33" s="13"/>
      <c r="BKC33" s="13"/>
      <c r="BKD33" s="13"/>
      <c r="BKE33" s="13"/>
      <c r="BKF33" s="13"/>
      <c r="BKG33" s="13"/>
      <c r="BKH33" s="13"/>
      <c r="BKI33" s="13"/>
      <c r="BKJ33" s="13"/>
      <c r="BKK33" s="13"/>
      <c r="BKL33" s="13"/>
      <c r="BKM33" s="13"/>
      <c r="BKN33" s="13"/>
      <c r="BKO33" s="13"/>
      <c r="BKP33" s="13"/>
      <c r="BKQ33" s="13"/>
      <c r="BKR33" s="13"/>
      <c r="BKS33" s="13"/>
      <c r="BKT33" s="13"/>
      <c r="BKU33" s="13"/>
      <c r="BKV33" s="13"/>
      <c r="BKW33" s="13"/>
      <c r="BKX33" s="13"/>
      <c r="BKY33" s="13"/>
      <c r="BKZ33" s="13"/>
      <c r="BLA33" s="13"/>
      <c r="BLB33" s="13"/>
      <c r="BLC33" s="13"/>
      <c r="BLD33" s="13"/>
      <c r="BLE33" s="13"/>
      <c r="BLF33" s="13"/>
      <c r="BLG33" s="13"/>
      <c r="BLH33" s="13"/>
      <c r="BLI33" s="13"/>
      <c r="BLJ33" s="13"/>
      <c r="BLK33" s="13"/>
      <c r="BLL33" s="13"/>
      <c r="BLM33" s="13"/>
      <c r="BLN33" s="13"/>
      <c r="BLO33" s="13"/>
      <c r="BLP33" s="13"/>
      <c r="BLQ33" s="13"/>
      <c r="BLR33" s="13"/>
      <c r="BLS33" s="13"/>
      <c r="BLT33" s="13"/>
      <c r="BLU33" s="13"/>
      <c r="BLV33" s="13"/>
      <c r="BLW33" s="13"/>
      <c r="BLX33" s="13"/>
      <c r="BLY33" s="13"/>
      <c r="BLZ33" s="13"/>
      <c r="BMA33" s="13"/>
      <c r="BMB33" s="13"/>
      <c r="BMC33" s="13"/>
      <c r="BMD33" s="13"/>
      <c r="BME33" s="13"/>
      <c r="BMF33" s="13"/>
      <c r="BMG33" s="13"/>
      <c r="BMH33" s="13"/>
      <c r="BMI33" s="13"/>
      <c r="BMJ33" s="13"/>
      <c r="BMK33" s="13"/>
      <c r="BML33" s="13"/>
      <c r="BMM33" s="13"/>
      <c r="BMN33" s="13"/>
      <c r="BMO33" s="13"/>
      <c r="BMP33" s="13"/>
      <c r="BMQ33" s="13"/>
      <c r="BMR33" s="13"/>
      <c r="BMS33" s="13"/>
      <c r="BMT33" s="13"/>
      <c r="BMU33" s="13"/>
      <c r="BMV33" s="13"/>
      <c r="BMW33" s="13"/>
      <c r="BMX33" s="13"/>
      <c r="BMY33" s="13"/>
      <c r="BMZ33" s="13"/>
      <c r="BNA33" s="13"/>
      <c r="BNB33" s="13"/>
      <c r="BNC33" s="13"/>
      <c r="BND33" s="13"/>
      <c r="BNE33" s="13"/>
      <c r="BNF33" s="13"/>
      <c r="BNG33" s="13"/>
      <c r="BNH33" s="13"/>
      <c r="BNI33" s="13"/>
      <c r="BNJ33" s="13"/>
      <c r="BNK33" s="13"/>
      <c r="BNL33" s="13"/>
      <c r="BNM33" s="13"/>
      <c r="BNN33" s="13"/>
      <c r="BNO33" s="13"/>
      <c r="BNP33" s="13"/>
      <c r="BNQ33" s="13"/>
      <c r="BNR33" s="13"/>
      <c r="BNS33" s="13"/>
      <c r="BNT33" s="13"/>
      <c r="BNU33" s="13"/>
      <c r="BNV33" s="13"/>
      <c r="BNW33" s="13"/>
      <c r="BNX33" s="13"/>
      <c r="BNY33" s="13"/>
      <c r="BNZ33" s="13"/>
      <c r="BOA33" s="13"/>
      <c r="BOB33" s="13"/>
      <c r="BOC33" s="13"/>
      <c r="BOD33" s="13"/>
      <c r="BOE33" s="13"/>
      <c r="BOF33" s="13"/>
      <c r="BOG33" s="13"/>
      <c r="BOH33" s="13"/>
      <c r="BOI33" s="13"/>
      <c r="BOJ33" s="13"/>
      <c r="BOK33" s="13"/>
      <c r="BOL33" s="13"/>
      <c r="BOM33" s="13"/>
      <c r="BON33" s="13"/>
      <c r="BOO33" s="13"/>
      <c r="BOP33" s="13"/>
      <c r="BOQ33" s="13"/>
      <c r="BOR33" s="13"/>
      <c r="BOS33" s="13"/>
      <c r="BOT33" s="13"/>
      <c r="BOU33" s="13"/>
      <c r="BOV33" s="13"/>
      <c r="BOW33" s="13"/>
      <c r="BOX33" s="13"/>
      <c r="BOY33" s="13"/>
      <c r="BOZ33" s="13"/>
      <c r="BPA33" s="13"/>
      <c r="BPB33" s="13"/>
      <c r="BPC33" s="13"/>
      <c r="BPD33" s="13"/>
      <c r="BPE33" s="13"/>
      <c r="BPF33" s="13"/>
      <c r="BPG33" s="13"/>
      <c r="BPH33" s="13"/>
      <c r="BPI33" s="13"/>
      <c r="BPJ33" s="13"/>
      <c r="BPK33" s="13"/>
      <c r="BPL33" s="13"/>
      <c r="BPM33" s="13"/>
      <c r="BPN33" s="13"/>
      <c r="BPO33" s="13"/>
      <c r="BPP33" s="13"/>
      <c r="BPQ33" s="13"/>
      <c r="BPR33" s="13"/>
      <c r="BPS33" s="13"/>
      <c r="BPT33" s="13"/>
      <c r="BPU33" s="13"/>
      <c r="BPV33" s="13"/>
      <c r="BPW33" s="13"/>
      <c r="BPX33" s="13"/>
      <c r="BPY33" s="13"/>
      <c r="BPZ33" s="13"/>
      <c r="BQA33" s="13"/>
      <c r="BQB33" s="13"/>
      <c r="BQC33" s="13"/>
      <c r="BQD33" s="13"/>
      <c r="BQE33" s="13"/>
      <c r="BQF33" s="13"/>
      <c r="BQG33" s="13"/>
      <c r="BQH33" s="13"/>
      <c r="BQI33" s="13"/>
      <c r="BQJ33" s="13"/>
      <c r="BQK33" s="13"/>
      <c r="BQL33" s="13"/>
      <c r="BQM33" s="13"/>
      <c r="BQN33" s="13"/>
      <c r="BQO33" s="13"/>
      <c r="BQP33" s="13"/>
      <c r="BQQ33" s="13"/>
      <c r="BQR33" s="13"/>
      <c r="BQS33" s="13"/>
      <c r="BQT33" s="13"/>
      <c r="BQU33" s="13"/>
      <c r="BQV33" s="13"/>
      <c r="BQW33" s="13"/>
      <c r="BQX33" s="13"/>
      <c r="BQY33" s="13"/>
      <c r="BQZ33" s="13"/>
      <c r="BRA33" s="13"/>
      <c r="BRB33" s="13"/>
      <c r="BRC33" s="13"/>
      <c r="BRD33" s="13"/>
      <c r="BRE33" s="13"/>
      <c r="BRF33" s="13"/>
      <c r="BRG33" s="13"/>
      <c r="BRH33" s="13"/>
      <c r="BRI33" s="13"/>
      <c r="BRJ33" s="13"/>
      <c r="BRK33" s="13"/>
      <c r="BRL33" s="13"/>
      <c r="BRM33" s="13"/>
      <c r="BRN33" s="13"/>
      <c r="BRO33" s="13"/>
      <c r="BRP33" s="13"/>
      <c r="BRQ33" s="13"/>
      <c r="BRR33" s="13"/>
      <c r="BRS33" s="13"/>
      <c r="BRT33" s="13"/>
      <c r="BRU33" s="13"/>
      <c r="BRV33" s="13"/>
      <c r="BRW33" s="13"/>
      <c r="BRX33" s="13"/>
      <c r="BRY33" s="13"/>
      <c r="BRZ33" s="13"/>
      <c r="BSA33" s="13"/>
      <c r="BSB33" s="13"/>
      <c r="BSC33" s="13"/>
      <c r="BSD33" s="13"/>
      <c r="BSE33" s="13"/>
      <c r="BSF33" s="13"/>
      <c r="BSG33" s="13"/>
      <c r="BSH33" s="13"/>
      <c r="BSI33" s="13"/>
      <c r="BSJ33" s="13"/>
      <c r="BSK33" s="13"/>
      <c r="BSL33" s="13"/>
      <c r="BSM33" s="13"/>
      <c r="BSN33" s="13"/>
      <c r="BSO33" s="13"/>
      <c r="BSP33" s="13"/>
      <c r="BSQ33" s="13"/>
      <c r="BSR33" s="13"/>
      <c r="BSS33" s="13"/>
      <c r="BST33" s="13"/>
      <c r="BSU33" s="13"/>
      <c r="BSV33" s="13"/>
      <c r="BSW33" s="13"/>
      <c r="BSX33" s="13"/>
      <c r="BSY33" s="13"/>
      <c r="BSZ33" s="13"/>
      <c r="BTA33" s="13"/>
      <c r="BTB33" s="13"/>
      <c r="BTC33" s="13"/>
      <c r="BTD33" s="13"/>
      <c r="BTE33" s="13"/>
      <c r="BTF33" s="13"/>
      <c r="BTG33" s="13"/>
      <c r="BTH33" s="13"/>
      <c r="BTI33" s="13"/>
      <c r="BTJ33" s="13"/>
      <c r="BTK33" s="13"/>
      <c r="BTL33" s="13"/>
      <c r="BTM33" s="13"/>
      <c r="BTN33" s="13"/>
      <c r="BTO33" s="13"/>
      <c r="BTP33" s="13"/>
      <c r="BTQ33" s="13"/>
      <c r="BTR33" s="13"/>
      <c r="BTS33" s="13"/>
      <c r="BTT33" s="13"/>
      <c r="BTU33" s="13"/>
      <c r="BTV33" s="13"/>
      <c r="BTW33" s="13"/>
      <c r="BTX33" s="13"/>
      <c r="BTY33" s="13"/>
      <c r="BTZ33" s="13"/>
      <c r="BUA33" s="13"/>
      <c r="BUB33" s="13"/>
      <c r="BUC33" s="13"/>
      <c r="BUD33" s="13"/>
      <c r="BUE33" s="13"/>
      <c r="BUF33" s="13"/>
      <c r="BUG33" s="13"/>
      <c r="BUH33" s="13"/>
      <c r="BUI33" s="13"/>
      <c r="BUJ33" s="13"/>
      <c r="BUK33" s="13"/>
      <c r="BUL33" s="13"/>
      <c r="BUM33" s="13"/>
      <c r="BUN33" s="13"/>
      <c r="BUO33" s="13"/>
      <c r="BUP33" s="13"/>
      <c r="BUQ33" s="13"/>
      <c r="BUR33" s="13"/>
      <c r="BUS33" s="13"/>
      <c r="BUT33" s="13"/>
      <c r="BUU33" s="13"/>
      <c r="BUV33" s="13"/>
      <c r="BUW33" s="13"/>
      <c r="BUX33" s="13"/>
      <c r="BUY33" s="13"/>
      <c r="BUZ33" s="13"/>
      <c r="BVA33" s="13"/>
      <c r="BVB33" s="13"/>
      <c r="BVC33" s="13"/>
      <c r="BVD33" s="13"/>
      <c r="BVE33" s="13"/>
      <c r="BVF33" s="13"/>
      <c r="BVG33" s="13"/>
      <c r="BVH33" s="13"/>
      <c r="BVI33" s="13"/>
      <c r="BVJ33" s="13"/>
      <c r="BVK33" s="13"/>
      <c r="BVL33" s="13"/>
      <c r="BVM33" s="13"/>
      <c r="BVN33" s="13"/>
      <c r="BVO33" s="13"/>
      <c r="BVP33" s="13"/>
      <c r="BVQ33" s="13"/>
      <c r="BVR33" s="13"/>
      <c r="BVS33" s="13"/>
      <c r="BVT33" s="13"/>
      <c r="BVU33" s="13"/>
      <c r="BVV33" s="13"/>
      <c r="BVW33" s="13"/>
      <c r="BVX33" s="13"/>
      <c r="BVY33" s="13"/>
      <c r="BVZ33" s="13"/>
      <c r="BWA33" s="13"/>
      <c r="BWB33" s="13"/>
      <c r="BWC33" s="13"/>
      <c r="BWD33" s="13"/>
      <c r="BWE33" s="13"/>
      <c r="BWF33" s="13"/>
      <c r="BWG33" s="13"/>
      <c r="BWH33" s="13"/>
      <c r="BWI33" s="13"/>
      <c r="BWJ33" s="13"/>
      <c r="BWK33" s="13"/>
      <c r="BWL33" s="13"/>
      <c r="BWM33" s="13"/>
      <c r="BWN33" s="13"/>
      <c r="BWO33" s="13"/>
      <c r="BWP33" s="13"/>
      <c r="BWQ33" s="13"/>
      <c r="BWR33" s="13"/>
      <c r="BWS33" s="13"/>
      <c r="BWT33" s="13"/>
      <c r="BWU33" s="13"/>
      <c r="BWV33" s="13"/>
      <c r="BWW33" s="13"/>
      <c r="BWX33" s="13"/>
      <c r="BWY33" s="13"/>
      <c r="BWZ33" s="13"/>
      <c r="BXA33" s="13"/>
      <c r="BXB33" s="13"/>
      <c r="BXC33" s="13"/>
      <c r="BXD33" s="13"/>
      <c r="BXE33" s="13"/>
      <c r="BXF33" s="13"/>
      <c r="BXG33" s="13"/>
      <c r="BXH33" s="13"/>
      <c r="BXI33" s="13"/>
      <c r="BXJ33" s="13"/>
      <c r="BXK33" s="13"/>
      <c r="BXL33" s="13"/>
      <c r="BXM33" s="13"/>
      <c r="BXN33" s="13"/>
      <c r="BXO33" s="13"/>
      <c r="BXP33" s="13"/>
      <c r="BXQ33" s="13"/>
      <c r="BXR33" s="13"/>
      <c r="BXS33" s="13"/>
      <c r="BXT33" s="13"/>
      <c r="BXU33" s="13"/>
      <c r="BXV33" s="13"/>
      <c r="BXW33" s="13"/>
      <c r="BXX33" s="13"/>
      <c r="BXY33" s="13"/>
      <c r="BXZ33" s="13"/>
      <c r="BYA33" s="13"/>
      <c r="BYB33" s="13"/>
      <c r="BYC33" s="13"/>
      <c r="BYD33" s="13"/>
      <c r="BYE33" s="13"/>
      <c r="BYF33" s="13"/>
      <c r="BYG33" s="13"/>
      <c r="BYH33" s="13"/>
      <c r="BYI33" s="13"/>
      <c r="BYJ33" s="13"/>
      <c r="BYK33" s="13"/>
      <c r="BYL33" s="13"/>
      <c r="BYM33" s="13"/>
      <c r="BYN33" s="13"/>
      <c r="BYO33" s="13"/>
      <c r="BYP33" s="13"/>
      <c r="BYQ33" s="13"/>
      <c r="BYR33" s="13"/>
      <c r="BYS33" s="13"/>
      <c r="BYT33" s="13"/>
      <c r="BYU33" s="13"/>
      <c r="BYV33" s="13"/>
      <c r="BYW33" s="13"/>
      <c r="BYX33" s="13"/>
      <c r="BYY33" s="13"/>
      <c r="BYZ33" s="13"/>
      <c r="BZA33" s="13"/>
      <c r="BZB33" s="13"/>
      <c r="BZC33" s="13"/>
      <c r="BZD33" s="13"/>
      <c r="BZE33" s="13"/>
      <c r="BZF33" s="13"/>
      <c r="BZG33" s="13"/>
      <c r="BZH33" s="13"/>
      <c r="BZI33" s="13"/>
      <c r="BZJ33" s="13"/>
      <c r="BZK33" s="13"/>
      <c r="BZL33" s="13"/>
      <c r="BZM33" s="13"/>
      <c r="BZN33" s="13"/>
      <c r="BZO33" s="13"/>
      <c r="BZP33" s="13"/>
      <c r="BZQ33" s="13"/>
      <c r="BZR33" s="13"/>
      <c r="BZS33" s="13"/>
      <c r="BZT33" s="13"/>
      <c r="BZU33" s="13"/>
      <c r="BZV33" s="13"/>
      <c r="BZW33" s="13"/>
      <c r="BZX33" s="13"/>
      <c r="BZY33" s="13"/>
      <c r="BZZ33" s="13"/>
      <c r="CAA33" s="13"/>
      <c r="CAB33" s="13"/>
      <c r="CAC33" s="13"/>
      <c r="CAD33" s="13"/>
      <c r="CAE33" s="13"/>
      <c r="CAF33" s="13"/>
      <c r="CAG33" s="13"/>
      <c r="CAH33" s="13"/>
      <c r="CAI33" s="13"/>
      <c r="CAJ33" s="13"/>
      <c r="CAK33" s="13"/>
      <c r="CAL33" s="13"/>
      <c r="CAM33" s="13"/>
      <c r="CAN33" s="13"/>
      <c r="CAO33" s="13"/>
      <c r="CAP33" s="13"/>
      <c r="CAQ33" s="13"/>
      <c r="CAR33" s="13"/>
      <c r="CAS33" s="13"/>
      <c r="CAT33" s="13"/>
      <c r="CAU33" s="13"/>
      <c r="CAV33" s="13"/>
      <c r="CAW33" s="13"/>
      <c r="CAX33" s="13"/>
      <c r="CAY33" s="13"/>
      <c r="CAZ33" s="13"/>
      <c r="CBA33" s="13"/>
      <c r="CBB33" s="13"/>
      <c r="CBC33" s="13"/>
      <c r="CBD33" s="13"/>
      <c r="CBE33" s="13"/>
      <c r="CBF33" s="13"/>
      <c r="CBG33" s="13"/>
      <c r="CBH33" s="13"/>
      <c r="CBI33" s="13"/>
      <c r="CBJ33" s="13"/>
      <c r="CBK33" s="13"/>
      <c r="CBL33" s="13"/>
      <c r="CBM33" s="13"/>
      <c r="CBN33" s="13"/>
      <c r="CBO33" s="13"/>
      <c r="CBP33" s="13"/>
      <c r="CBQ33" s="13"/>
      <c r="CBR33" s="13"/>
      <c r="CBS33" s="13"/>
      <c r="CBT33" s="13"/>
      <c r="CBU33" s="13"/>
      <c r="CBV33" s="13"/>
      <c r="CBW33" s="13"/>
      <c r="CBX33" s="13"/>
      <c r="CBY33" s="13"/>
      <c r="CBZ33" s="13"/>
      <c r="CCA33" s="13"/>
      <c r="CCB33" s="13"/>
      <c r="CCC33" s="13"/>
      <c r="CCD33" s="13"/>
      <c r="CCE33" s="13"/>
      <c r="CCF33" s="13"/>
      <c r="CCG33" s="13"/>
      <c r="CCH33" s="13"/>
      <c r="CCI33" s="13"/>
      <c r="CCJ33" s="13"/>
      <c r="CCK33" s="13"/>
      <c r="CCL33" s="13"/>
      <c r="CCM33" s="13"/>
      <c r="CCN33" s="13"/>
      <c r="CCO33" s="13"/>
      <c r="CCP33" s="13"/>
      <c r="CCQ33" s="13"/>
      <c r="CCR33" s="13"/>
      <c r="CCS33" s="13"/>
      <c r="CCT33" s="13"/>
      <c r="CCU33" s="13"/>
      <c r="CCV33" s="13"/>
      <c r="CCW33" s="13"/>
      <c r="CCX33" s="13"/>
      <c r="CCY33" s="13"/>
      <c r="CCZ33" s="13"/>
      <c r="CDA33" s="13"/>
      <c r="CDB33" s="13"/>
      <c r="CDC33" s="13"/>
      <c r="CDD33" s="13"/>
      <c r="CDE33" s="13"/>
      <c r="CDF33" s="13"/>
      <c r="CDG33" s="13"/>
      <c r="CDH33" s="13"/>
      <c r="CDI33" s="13"/>
      <c r="CDJ33" s="13"/>
      <c r="CDK33" s="13"/>
      <c r="CDL33" s="13"/>
      <c r="CDM33" s="13"/>
      <c r="CDN33" s="13"/>
      <c r="CDO33" s="13"/>
      <c r="CDP33" s="13"/>
      <c r="CDQ33" s="13"/>
      <c r="CDR33" s="13"/>
      <c r="CDS33" s="13"/>
      <c r="CDT33" s="13"/>
      <c r="CDU33" s="13"/>
      <c r="CDV33" s="13"/>
      <c r="CDW33" s="13"/>
      <c r="CDX33" s="13"/>
      <c r="CDY33" s="13"/>
      <c r="CDZ33" s="13"/>
      <c r="CEA33" s="13"/>
      <c r="CEB33" s="13"/>
      <c r="CEC33" s="13"/>
      <c r="CED33" s="13"/>
      <c r="CEE33" s="13"/>
      <c r="CEF33" s="13"/>
      <c r="CEG33" s="13"/>
      <c r="CEH33" s="13"/>
      <c r="CEI33" s="13"/>
      <c r="CEJ33" s="13"/>
      <c r="CEK33" s="13"/>
      <c r="CEL33" s="13"/>
      <c r="CEM33" s="13"/>
      <c r="CEN33" s="13"/>
      <c r="CEO33" s="13"/>
      <c r="CEP33" s="13"/>
      <c r="CEQ33" s="13"/>
      <c r="CER33" s="13"/>
      <c r="CES33" s="13"/>
      <c r="CET33" s="13"/>
      <c r="CEU33" s="13"/>
      <c r="CEV33" s="13"/>
      <c r="CEW33" s="13"/>
      <c r="CEX33" s="13"/>
      <c r="CEY33" s="13"/>
      <c r="CEZ33" s="13"/>
      <c r="CFA33" s="13"/>
      <c r="CFB33" s="13"/>
      <c r="CFC33" s="13"/>
      <c r="CFD33" s="13"/>
      <c r="CFE33" s="13"/>
      <c r="CFF33" s="13"/>
      <c r="CFG33" s="13"/>
      <c r="CFH33" s="13"/>
      <c r="CFI33" s="13"/>
      <c r="CFJ33" s="13"/>
      <c r="CFK33" s="13"/>
      <c r="CFL33" s="13"/>
      <c r="CFM33" s="13"/>
      <c r="CFN33" s="13"/>
      <c r="CFO33" s="13"/>
      <c r="CFP33" s="13"/>
      <c r="CFQ33" s="13"/>
      <c r="CFR33" s="13"/>
      <c r="CFS33" s="13"/>
      <c r="CFT33" s="13"/>
      <c r="CFU33" s="13"/>
      <c r="CFV33" s="13"/>
      <c r="CFW33" s="13"/>
      <c r="CFX33" s="13"/>
      <c r="CFY33" s="13"/>
      <c r="CFZ33" s="13"/>
      <c r="CGA33" s="13"/>
      <c r="CGB33" s="13"/>
      <c r="CGC33" s="13"/>
      <c r="CGD33" s="13"/>
      <c r="CGE33" s="13"/>
      <c r="CGF33" s="13"/>
      <c r="CGG33" s="13"/>
      <c r="CGH33" s="13"/>
      <c r="CGI33" s="13"/>
      <c r="CGJ33" s="13"/>
      <c r="CGK33" s="13"/>
      <c r="CGL33" s="13"/>
      <c r="CGM33" s="13"/>
      <c r="CGN33" s="13"/>
      <c r="CGO33" s="13"/>
      <c r="CGP33" s="13"/>
      <c r="CGQ33" s="13"/>
      <c r="CGR33" s="13"/>
      <c r="CGS33" s="13"/>
      <c r="CGT33" s="13"/>
      <c r="CGU33" s="13"/>
      <c r="CGV33" s="13"/>
      <c r="CGW33" s="13"/>
      <c r="CGX33" s="13"/>
      <c r="CGY33" s="13"/>
      <c r="CGZ33" s="13"/>
      <c r="CHA33" s="13"/>
      <c r="CHB33" s="13"/>
      <c r="CHC33" s="13"/>
      <c r="CHD33" s="13"/>
      <c r="CHE33" s="13"/>
      <c r="CHF33" s="13"/>
      <c r="CHG33" s="13"/>
      <c r="CHH33" s="13"/>
      <c r="CHI33" s="13"/>
      <c r="CHJ33" s="13"/>
      <c r="CHK33" s="13"/>
      <c r="CHL33" s="13"/>
      <c r="CHM33" s="13"/>
      <c r="CHN33" s="13"/>
      <c r="CHO33" s="13"/>
      <c r="CHP33" s="13"/>
      <c r="CHQ33" s="13"/>
      <c r="CHR33" s="13"/>
      <c r="CHS33" s="13"/>
      <c r="CHT33" s="13"/>
      <c r="CHU33" s="13"/>
      <c r="CHV33" s="13"/>
      <c r="CHW33" s="13"/>
      <c r="CHX33" s="13"/>
      <c r="CHY33" s="13"/>
      <c r="CHZ33" s="13"/>
      <c r="CIA33" s="13"/>
      <c r="CIB33" s="13"/>
      <c r="CIC33" s="13"/>
      <c r="CID33" s="13"/>
      <c r="CIE33" s="13"/>
      <c r="CIF33" s="13"/>
      <c r="CIG33" s="13"/>
      <c r="CIH33" s="13"/>
      <c r="CII33" s="13"/>
      <c r="CIJ33" s="13"/>
      <c r="CIK33" s="13"/>
      <c r="CIL33" s="13"/>
      <c r="CIM33" s="13"/>
      <c r="CIN33" s="13"/>
      <c r="CIO33" s="13"/>
      <c r="CIP33" s="13"/>
      <c r="CIQ33" s="13"/>
      <c r="CIR33" s="13"/>
      <c r="CIS33" s="13"/>
      <c r="CIT33" s="13"/>
      <c r="CIU33" s="13"/>
      <c r="CIV33" s="13"/>
      <c r="CIW33" s="13"/>
      <c r="CIX33" s="13"/>
      <c r="CIY33" s="13"/>
      <c r="CIZ33" s="13"/>
      <c r="CJA33" s="13"/>
      <c r="CJB33" s="13"/>
      <c r="CJC33" s="13"/>
      <c r="CJD33" s="13"/>
      <c r="CJE33" s="13"/>
      <c r="CJF33" s="13"/>
      <c r="CJG33" s="13"/>
      <c r="CJH33" s="13"/>
      <c r="CJI33" s="13"/>
      <c r="CJJ33" s="13"/>
      <c r="CJK33" s="13"/>
      <c r="CJL33" s="13"/>
      <c r="CJM33" s="13"/>
      <c r="CJN33" s="13"/>
      <c r="CJO33" s="13"/>
      <c r="CJP33" s="13"/>
      <c r="CJQ33" s="13"/>
      <c r="CJR33" s="13"/>
      <c r="CJS33" s="13"/>
      <c r="CJT33" s="13"/>
      <c r="CJU33" s="13"/>
      <c r="CJV33" s="13"/>
      <c r="CJW33" s="13"/>
      <c r="CJX33" s="13"/>
      <c r="CJY33" s="13"/>
      <c r="CJZ33" s="13"/>
      <c r="CKA33" s="13"/>
      <c r="CKB33" s="13"/>
      <c r="CKC33" s="13"/>
      <c r="CKD33" s="13"/>
      <c r="CKE33" s="13"/>
      <c r="CKF33" s="13"/>
      <c r="CKG33" s="13"/>
      <c r="CKH33" s="13"/>
      <c r="CKI33" s="13"/>
      <c r="CKJ33" s="13"/>
      <c r="CKK33" s="13"/>
      <c r="CKL33" s="13"/>
      <c r="CKM33" s="13"/>
      <c r="CKN33" s="13"/>
      <c r="CKO33" s="13"/>
      <c r="CKP33" s="13"/>
      <c r="CKQ33" s="13"/>
      <c r="CKR33" s="13"/>
      <c r="CKS33" s="13"/>
      <c r="CKT33" s="13"/>
      <c r="CKU33" s="13"/>
      <c r="CKV33" s="13"/>
      <c r="CKW33" s="13"/>
      <c r="CKX33" s="13"/>
      <c r="CKY33" s="13"/>
      <c r="CKZ33" s="13"/>
      <c r="CLA33" s="13"/>
      <c r="CLB33" s="13"/>
      <c r="CLC33" s="13"/>
      <c r="CLD33" s="13"/>
      <c r="CLE33" s="13"/>
      <c r="CLF33" s="13"/>
      <c r="CLG33" s="13"/>
      <c r="CLH33" s="13"/>
      <c r="CLI33" s="13"/>
      <c r="CLJ33" s="13"/>
      <c r="CLK33" s="13"/>
      <c r="CLL33" s="13"/>
      <c r="CLM33" s="13"/>
      <c r="CLN33" s="13"/>
      <c r="CLO33" s="13"/>
      <c r="CLP33" s="13"/>
      <c r="CLQ33" s="13"/>
      <c r="CLR33" s="13"/>
      <c r="CLS33" s="13"/>
      <c r="CLT33" s="13"/>
      <c r="CLU33" s="13"/>
      <c r="CLV33" s="13"/>
      <c r="CLW33" s="13"/>
      <c r="CLX33" s="13"/>
      <c r="CLY33" s="13"/>
      <c r="CLZ33" s="13"/>
      <c r="CMA33" s="13"/>
      <c r="CMB33" s="13"/>
      <c r="CMC33" s="13"/>
      <c r="CMD33" s="13"/>
      <c r="CME33" s="13"/>
      <c r="CMF33" s="13"/>
      <c r="CMG33" s="13"/>
      <c r="CMH33" s="13"/>
      <c r="CMI33" s="13"/>
      <c r="CMJ33" s="13"/>
      <c r="CMK33" s="13"/>
      <c r="CML33" s="13"/>
      <c r="CMM33" s="13"/>
      <c r="CMN33" s="13"/>
      <c r="CMO33" s="13"/>
      <c r="CMP33" s="13"/>
      <c r="CMQ33" s="13"/>
      <c r="CMR33" s="13"/>
      <c r="CMS33" s="13"/>
      <c r="CMT33" s="13"/>
      <c r="CMU33" s="13"/>
      <c r="CMV33" s="13"/>
      <c r="CMW33" s="13"/>
      <c r="CMX33" s="13"/>
      <c r="CMY33" s="13"/>
      <c r="CMZ33" s="13"/>
      <c r="CNA33" s="13"/>
      <c r="CNB33" s="13"/>
      <c r="CNC33" s="13"/>
      <c r="CND33" s="13"/>
      <c r="CNE33" s="13"/>
      <c r="CNF33" s="13"/>
      <c r="CNG33" s="13"/>
      <c r="CNH33" s="13"/>
      <c r="CNI33" s="13"/>
      <c r="CNJ33" s="13"/>
      <c r="CNK33" s="13"/>
      <c r="CNL33" s="13"/>
      <c r="CNM33" s="13"/>
      <c r="CNN33" s="13"/>
      <c r="CNO33" s="13"/>
      <c r="CNP33" s="13"/>
      <c r="CNQ33" s="13"/>
      <c r="CNR33" s="13"/>
      <c r="CNS33" s="13"/>
      <c r="CNT33" s="13"/>
      <c r="CNU33" s="13"/>
      <c r="CNV33" s="13"/>
      <c r="CNW33" s="13"/>
      <c r="CNX33" s="13"/>
      <c r="CNY33" s="13"/>
      <c r="CNZ33" s="13"/>
      <c r="COA33" s="13"/>
      <c r="COB33" s="13"/>
      <c r="COC33" s="13"/>
      <c r="COD33" s="13"/>
      <c r="COE33" s="13"/>
      <c r="COF33" s="13"/>
      <c r="COG33" s="13"/>
      <c r="COH33" s="13"/>
      <c r="COI33" s="13"/>
      <c r="COJ33" s="13"/>
      <c r="COK33" s="13"/>
      <c r="COL33" s="13"/>
      <c r="COM33" s="13"/>
      <c r="CON33" s="13"/>
      <c r="COO33" s="13"/>
      <c r="COP33" s="13"/>
      <c r="COQ33" s="13"/>
      <c r="COR33" s="13"/>
      <c r="COS33" s="13"/>
      <c r="COT33" s="13"/>
      <c r="COU33" s="13"/>
      <c r="COV33" s="13"/>
      <c r="COW33" s="13"/>
      <c r="COX33" s="13"/>
      <c r="COY33" s="13"/>
      <c r="COZ33" s="13"/>
      <c r="CPA33" s="13"/>
      <c r="CPB33" s="13"/>
      <c r="CPC33" s="13"/>
      <c r="CPD33" s="13"/>
      <c r="CPE33" s="13"/>
      <c r="CPF33" s="13"/>
      <c r="CPG33" s="13"/>
      <c r="CPH33" s="13"/>
      <c r="CPI33" s="13"/>
      <c r="CPJ33" s="13"/>
      <c r="CPK33" s="13"/>
      <c r="CPL33" s="13"/>
      <c r="CPM33" s="13"/>
      <c r="CPN33" s="13"/>
      <c r="CPO33" s="13"/>
      <c r="CPP33" s="13"/>
      <c r="CPQ33" s="13"/>
      <c r="CPR33" s="13"/>
      <c r="CPS33" s="13"/>
      <c r="CPT33" s="13"/>
      <c r="CPU33" s="13"/>
      <c r="CPV33" s="13"/>
      <c r="CPW33" s="13"/>
      <c r="CPX33" s="13"/>
      <c r="CPY33" s="13"/>
      <c r="CPZ33" s="13"/>
      <c r="CQA33" s="13"/>
      <c r="CQB33" s="13"/>
      <c r="CQC33" s="13"/>
      <c r="CQD33" s="13"/>
      <c r="CQE33" s="13"/>
      <c r="CQF33" s="13"/>
      <c r="CQG33" s="13"/>
      <c r="CQH33" s="13"/>
      <c r="CQI33" s="13"/>
      <c r="CQJ33" s="13"/>
      <c r="CQK33" s="13"/>
      <c r="CQL33" s="13"/>
      <c r="CQM33" s="13"/>
      <c r="CQN33" s="13"/>
      <c r="CQO33" s="13"/>
      <c r="CQP33" s="13"/>
      <c r="CQQ33" s="13"/>
      <c r="CQR33" s="13"/>
      <c r="CQS33" s="13"/>
      <c r="CQT33" s="13"/>
      <c r="CQU33" s="13"/>
      <c r="CQV33" s="13"/>
      <c r="CQW33" s="13"/>
      <c r="CQX33" s="13"/>
      <c r="CQY33" s="13"/>
      <c r="CQZ33" s="13"/>
      <c r="CRA33" s="13"/>
      <c r="CRB33" s="13"/>
      <c r="CRC33" s="13"/>
      <c r="CRD33" s="13"/>
      <c r="CRE33" s="13"/>
      <c r="CRF33" s="13"/>
      <c r="CRG33" s="13"/>
      <c r="CRH33" s="13"/>
      <c r="CRI33" s="13"/>
      <c r="CRJ33" s="13"/>
      <c r="CRK33" s="13"/>
      <c r="CRL33" s="13"/>
      <c r="CRM33" s="13"/>
      <c r="CRN33" s="13"/>
      <c r="CRO33" s="13"/>
      <c r="CRP33" s="13"/>
      <c r="CRQ33" s="13"/>
      <c r="CRR33" s="13"/>
      <c r="CRS33" s="13"/>
      <c r="CRT33" s="13"/>
      <c r="CRU33" s="13"/>
      <c r="CRV33" s="13"/>
      <c r="CRW33" s="13"/>
      <c r="CRX33" s="13"/>
      <c r="CRY33" s="13"/>
      <c r="CRZ33" s="13"/>
      <c r="CSA33" s="13"/>
      <c r="CSB33" s="13"/>
      <c r="CSC33" s="13"/>
      <c r="CSD33" s="13"/>
      <c r="CSE33" s="13"/>
      <c r="CSF33" s="13"/>
      <c r="CSG33" s="13"/>
      <c r="CSH33" s="13"/>
      <c r="CSI33" s="13"/>
      <c r="CSJ33" s="13"/>
      <c r="CSK33" s="13"/>
      <c r="CSL33" s="13"/>
      <c r="CSM33" s="13"/>
      <c r="CSN33" s="13"/>
      <c r="CSO33" s="13"/>
      <c r="CSP33" s="13"/>
      <c r="CSQ33" s="13"/>
      <c r="CSR33" s="13"/>
      <c r="CSS33" s="13"/>
      <c r="CST33" s="13"/>
      <c r="CSU33" s="13"/>
      <c r="CSV33" s="13"/>
      <c r="CSW33" s="13"/>
      <c r="CSX33" s="13"/>
      <c r="CSY33" s="13"/>
      <c r="CSZ33" s="13"/>
      <c r="CTA33" s="13"/>
      <c r="CTB33" s="13"/>
      <c r="CTC33" s="13"/>
      <c r="CTD33" s="13"/>
      <c r="CTE33" s="13"/>
      <c r="CTF33" s="13"/>
      <c r="CTG33" s="13"/>
      <c r="CTH33" s="13"/>
      <c r="CTI33" s="13"/>
      <c r="CTJ33" s="13"/>
      <c r="CTK33" s="13"/>
      <c r="CTL33" s="13"/>
      <c r="CTM33" s="13"/>
      <c r="CTN33" s="13"/>
      <c r="CTO33" s="13"/>
      <c r="CTP33" s="13"/>
      <c r="CTQ33" s="13"/>
      <c r="CTR33" s="13"/>
      <c r="CTS33" s="13"/>
      <c r="CTT33" s="13"/>
      <c r="CTU33" s="13"/>
      <c r="CTV33" s="13"/>
      <c r="CTW33" s="13"/>
      <c r="CTX33" s="13"/>
      <c r="CTY33" s="13"/>
      <c r="CTZ33" s="13"/>
      <c r="CUA33" s="13"/>
      <c r="CUB33" s="13"/>
      <c r="CUC33" s="13"/>
      <c r="CUD33" s="13"/>
      <c r="CUE33" s="13"/>
      <c r="CUF33" s="13"/>
      <c r="CUG33" s="13"/>
      <c r="CUH33" s="13"/>
      <c r="CUI33" s="13"/>
      <c r="CUJ33" s="13"/>
      <c r="CUK33" s="13"/>
      <c r="CUL33" s="13"/>
      <c r="CUM33" s="13"/>
      <c r="CUN33" s="13"/>
      <c r="CUO33" s="13"/>
      <c r="CUP33" s="13"/>
      <c r="CUQ33" s="13"/>
      <c r="CUR33" s="13"/>
      <c r="CUS33" s="13"/>
      <c r="CUT33" s="13"/>
      <c r="CUU33" s="13"/>
      <c r="CUV33" s="13"/>
      <c r="CUW33" s="13"/>
      <c r="CUX33" s="13"/>
      <c r="CUY33" s="13"/>
      <c r="CUZ33" s="13"/>
      <c r="CVA33" s="13"/>
      <c r="CVB33" s="13"/>
      <c r="CVC33" s="13"/>
      <c r="CVD33" s="13"/>
      <c r="CVE33" s="13"/>
      <c r="CVF33" s="13"/>
      <c r="CVG33" s="13"/>
      <c r="CVH33" s="13"/>
      <c r="CVI33" s="13"/>
      <c r="CVJ33" s="13"/>
      <c r="CVK33" s="13"/>
      <c r="CVL33" s="13"/>
      <c r="CVM33" s="13"/>
      <c r="CVN33" s="13"/>
      <c r="CVO33" s="13"/>
      <c r="CVP33" s="13"/>
      <c r="CVQ33" s="13"/>
      <c r="CVR33" s="13"/>
      <c r="CVS33" s="13"/>
      <c r="CVT33" s="13"/>
      <c r="CVU33" s="13"/>
      <c r="CVV33" s="13"/>
      <c r="CVW33" s="13"/>
      <c r="CVX33" s="13"/>
      <c r="CVY33" s="13"/>
      <c r="CVZ33" s="13"/>
      <c r="CWA33" s="13"/>
      <c r="CWB33" s="13"/>
      <c r="CWC33" s="13"/>
      <c r="CWD33" s="13"/>
      <c r="CWE33" s="13"/>
      <c r="CWF33" s="13"/>
      <c r="CWG33" s="13"/>
      <c r="CWH33" s="13"/>
      <c r="CWI33" s="13"/>
      <c r="CWJ33" s="13"/>
      <c r="CWK33" s="13"/>
      <c r="CWL33" s="13"/>
      <c r="CWM33" s="13"/>
      <c r="CWN33" s="13"/>
      <c r="CWO33" s="13"/>
      <c r="CWP33" s="13"/>
      <c r="CWQ33" s="13"/>
      <c r="CWR33" s="13"/>
      <c r="CWS33" s="13"/>
      <c r="CWT33" s="13"/>
      <c r="CWU33" s="13"/>
      <c r="CWV33" s="13"/>
      <c r="CWW33" s="13"/>
      <c r="CWX33" s="13"/>
      <c r="CWY33" s="13"/>
      <c r="CWZ33" s="13"/>
      <c r="CXA33" s="13"/>
      <c r="CXB33" s="13"/>
      <c r="CXC33" s="13"/>
      <c r="CXD33" s="13"/>
      <c r="CXE33" s="13"/>
      <c r="CXF33" s="13"/>
      <c r="CXG33" s="13"/>
      <c r="CXH33" s="13"/>
      <c r="CXI33" s="13"/>
      <c r="CXJ33" s="13"/>
      <c r="CXK33" s="13"/>
      <c r="CXL33" s="13"/>
      <c r="CXM33" s="13"/>
      <c r="CXN33" s="13"/>
      <c r="CXO33" s="13"/>
      <c r="CXP33" s="13"/>
      <c r="CXQ33" s="13"/>
      <c r="CXR33" s="13"/>
      <c r="CXS33" s="13"/>
      <c r="CXT33" s="13"/>
      <c r="CXU33" s="13"/>
      <c r="CXV33" s="13"/>
      <c r="CXW33" s="13"/>
      <c r="CXX33" s="13"/>
      <c r="CXY33" s="13"/>
      <c r="CXZ33" s="13"/>
      <c r="CYA33" s="13"/>
      <c r="CYB33" s="13"/>
      <c r="CYC33" s="13"/>
      <c r="CYD33" s="13"/>
      <c r="CYE33" s="13"/>
      <c r="CYF33" s="13"/>
      <c r="CYG33" s="13"/>
      <c r="CYH33" s="13"/>
      <c r="CYI33" s="13"/>
      <c r="CYJ33" s="13"/>
      <c r="CYK33" s="13"/>
      <c r="CYL33" s="13"/>
      <c r="CYM33" s="13"/>
      <c r="CYN33" s="13"/>
      <c r="CYO33" s="13"/>
      <c r="CYP33" s="13"/>
      <c r="CYQ33" s="13"/>
      <c r="CYR33" s="13"/>
      <c r="CYS33" s="13"/>
      <c r="CYT33" s="13"/>
      <c r="CYU33" s="13"/>
      <c r="CYV33" s="13"/>
      <c r="CYW33" s="13"/>
      <c r="CYX33" s="13"/>
      <c r="CYY33" s="13"/>
      <c r="CYZ33" s="13"/>
      <c r="CZA33" s="13"/>
      <c r="CZB33" s="13"/>
      <c r="CZC33" s="13"/>
      <c r="CZD33" s="13"/>
      <c r="CZE33" s="13"/>
      <c r="CZF33" s="13"/>
      <c r="CZG33" s="13"/>
      <c r="CZH33" s="13"/>
      <c r="CZI33" s="13"/>
      <c r="CZJ33" s="13"/>
      <c r="CZK33" s="13"/>
      <c r="CZL33" s="13"/>
      <c r="CZM33" s="13"/>
      <c r="CZN33" s="13"/>
      <c r="CZO33" s="13"/>
      <c r="CZP33" s="13"/>
      <c r="CZQ33" s="13"/>
      <c r="CZR33" s="13"/>
      <c r="CZS33" s="13"/>
      <c r="CZT33" s="13"/>
      <c r="CZU33" s="13"/>
      <c r="CZV33" s="13"/>
      <c r="CZW33" s="13"/>
      <c r="CZX33" s="13"/>
      <c r="CZY33" s="13"/>
      <c r="CZZ33" s="13"/>
      <c r="DAA33" s="13"/>
      <c r="DAB33" s="13"/>
      <c r="DAC33" s="13"/>
      <c r="DAD33" s="13"/>
      <c r="DAE33" s="13"/>
      <c r="DAF33" s="13"/>
      <c r="DAG33" s="13"/>
      <c r="DAH33" s="13"/>
      <c r="DAI33" s="13"/>
      <c r="DAJ33" s="13"/>
      <c r="DAK33" s="13"/>
      <c r="DAL33" s="13"/>
      <c r="DAM33" s="13"/>
      <c r="DAN33" s="13"/>
      <c r="DAO33" s="13"/>
      <c r="DAP33" s="13"/>
      <c r="DAQ33" s="13"/>
      <c r="DAR33" s="13"/>
      <c r="DAS33" s="13"/>
      <c r="DAT33" s="13"/>
      <c r="DAU33" s="13"/>
      <c r="DAV33" s="13"/>
      <c r="DAW33" s="13"/>
      <c r="DAX33" s="13"/>
      <c r="DAY33" s="13"/>
      <c r="DAZ33" s="13"/>
      <c r="DBA33" s="13"/>
      <c r="DBB33" s="13"/>
      <c r="DBC33" s="13"/>
      <c r="DBD33" s="13"/>
      <c r="DBE33" s="13"/>
      <c r="DBF33" s="13"/>
      <c r="DBG33" s="13"/>
      <c r="DBH33" s="13"/>
      <c r="DBI33" s="13"/>
      <c r="DBJ33" s="13"/>
      <c r="DBK33" s="13"/>
      <c r="DBL33" s="13"/>
      <c r="DBM33" s="13"/>
      <c r="DBN33" s="13"/>
      <c r="DBO33" s="13"/>
      <c r="DBP33" s="13"/>
      <c r="DBQ33" s="13"/>
      <c r="DBR33" s="13"/>
      <c r="DBS33" s="13"/>
      <c r="DBT33" s="13"/>
      <c r="DBU33" s="13"/>
      <c r="DBV33" s="13"/>
      <c r="DBW33" s="13"/>
      <c r="DBX33" s="13"/>
      <c r="DBY33" s="13"/>
      <c r="DBZ33" s="13"/>
      <c r="DCA33" s="13"/>
      <c r="DCB33" s="13"/>
      <c r="DCC33" s="13"/>
      <c r="DCD33" s="13"/>
      <c r="DCE33" s="13"/>
      <c r="DCF33" s="13"/>
      <c r="DCG33" s="13"/>
      <c r="DCH33" s="13"/>
      <c r="DCI33" s="13"/>
      <c r="DCJ33" s="13"/>
      <c r="DCK33" s="13"/>
      <c r="DCL33" s="13"/>
      <c r="DCM33" s="13"/>
      <c r="DCN33" s="13"/>
      <c r="DCO33" s="13"/>
      <c r="DCP33" s="13"/>
      <c r="DCQ33" s="13"/>
      <c r="DCR33" s="13"/>
      <c r="DCS33" s="13"/>
      <c r="DCT33" s="13"/>
      <c r="DCU33" s="13"/>
      <c r="DCV33" s="13"/>
      <c r="DCW33" s="13"/>
      <c r="DCX33" s="13"/>
      <c r="DCY33" s="13"/>
      <c r="DCZ33" s="13"/>
      <c r="DDA33" s="13"/>
      <c r="DDB33" s="13"/>
      <c r="DDC33" s="13"/>
      <c r="DDD33" s="13"/>
      <c r="DDE33" s="13"/>
      <c r="DDF33" s="13"/>
      <c r="DDG33" s="13"/>
      <c r="DDH33" s="13"/>
      <c r="DDI33" s="13"/>
      <c r="DDJ33" s="13"/>
      <c r="DDK33" s="13"/>
      <c r="DDL33" s="13"/>
      <c r="DDM33" s="13"/>
      <c r="DDN33" s="13"/>
      <c r="DDO33" s="13"/>
      <c r="DDP33" s="13"/>
      <c r="DDQ33" s="13"/>
      <c r="DDR33" s="13"/>
      <c r="DDS33" s="13"/>
      <c r="DDT33" s="13"/>
      <c r="DDU33" s="13"/>
      <c r="DDV33" s="13"/>
      <c r="DDW33" s="13"/>
      <c r="DDX33" s="13"/>
      <c r="DDY33" s="13"/>
      <c r="DDZ33" s="13"/>
      <c r="DEA33" s="13"/>
      <c r="DEB33" s="13"/>
      <c r="DEC33" s="13"/>
      <c r="DED33" s="13"/>
      <c r="DEE33" s="13"/>
      <c r="DEF33" s="13"/>
      <c r="DEG33" s="13"/>
      <c r="DEH33" s="13"/>
      <c r="DEI33" s="13"/>
      <c r="DEJ33" s="13"/>
      <c r="DEK33" s="13"/>
      <c r="DEL33" s="13"/>
      <c r="DEM33" s="13"/>
      <c r="DEN33" s="13"/>
      <c r="DEO33" s="13"/>
      <c r="DEP33" s="13"/>
      <c r="DEQ33" s="13"/>
      <c r="DER33" s="13"/>
      <c r="DES33" s="13"/>
      <c r="DET33" s="13"/>
      <c r="DEU33" s="13"/>
      <c r="DEV33" s="13"/>
      <c r="DEW33" s="13"/>
      <c r="DEX33" s="13"/>
      <c r="DEY33" s="13"/>
      <c r="DEZ33" s="13"/>
      <c r="DFA33" s="13"/>
      <c r="DFB33" s="13"/>
      <c r="DFC33" s="13"/>
      <c r="DFD33" s="13"/>
      <c r="DFE33" s="13"/>
      <c r="DFF33" s="13"/>
      <c r="DFG33" s="13"/>
      <c r="DFH33" s="13"/>
      <c r="DFI33" s="13"/>
      <c r="DFJ33" s="13"/>
      <c r="DFK33" s="13"/>
      <c r="DFL33" s="13"/>
      <c r="DFM33" s="13"/>
      <c r="DFN33" s="13"/>
      <c r="DFO33" s="13"/>
      <c r="DFP33" s="13"/>
      <c r="DFQ33" s="13"/>
      <c r="DFR33" s="13"/>
      <c r="DFS33" s="13"/>
      <c r="DFT33" s="13"/>
      <c r="DFU33" s="13"/>
      <c r="DFV33" s="13"/>
      <c r="DFW33" s="13"/>
      <c r="DFX33" s="13"/>
      <c r="DFY33" s="13"/>
      <c r="DFZ33" s="13"/>
      <c r="DGA33" s="13"/>
      <c r="DGB33" s="13"/>
      <c r="DGC33" s="13"/>
      <c r="DGD33" s="13"/>
      <c r="DGE33" s="13"/>
      <c r="DGF33" s="13"/>
      <c r="DGG33" s="13"/>
      <c r="DGH33" s="13"/>
      <c r="DGI33" s="13"/>
      <c r="DGJ33" s="13"/>
      <c r="DGK33" s="13"/>
      <c r="DGL33" s="13"/>
      <c r="DGM33" s="13"/>
      <c r="DGN33" s="13"/>
      <c r="DGO33" s="13"/>
      <c r="DGP33" s="13"/>
      <c r="DGQ33" s="13"/>
      <c r="DGR33" s="13"/>
      <c r="DGS33" s="13"/>
      <c r="DGT33" s="13"/>
      <c r="DGU33" s="13"/>
      <c r="DGV33" s="13"/>
      <c r="DGW33" s="13"/>
      <c r="DGX33" s="13"/>
      <c r="DGY33" s="13"/>
      <c r="DGZ33" s="13"/>
      <c r="DHA33" s="13"/>
      <c r="DHB33" s="13"/>
      <c r="DHC33" s="13"/>
      <c r="DHD33" s="13"/>
      <c r="DHE33" s="13"/>
      <c r="DHF33" s="13"/>
      <c r="DHG33" s="13"/>
      <c r="DHH33" s="13"/>
      <c r="DHI33" s="13"/>
      <c r="DHJ33" s="13"/>
      <c r="DHK33" s="13"/>
      <c r="DHL33" s="13"/>
      <c r="DHM33" s="13"/>
      <c r="DHN33" s="13"/>
      <c r="DHO33" s="13"/>
      <c r="DHP33" s="13"/>
      <c r="DHQ33" s="13"/>
      <c r="DHR33" s="13"/>
      <c r="DHS33" s="13"/>
      <c r="DHT33" s="13"/>
      <c r="DHU33" s="13"/>
      <c r="DHV33" s="13"/>
      <c r="DHW33" s="13"/>
      <c r="DHX33" s="13"/>
      <c r="DHY33" s="13"/>
      <c r="DHZ33" s="13"/>
      <c r="DIA33" s="13"/>
      <c r="DIB33" s="13"/>
      <c r="DIC33" s="13"/>
      <c r="DID33" s="13"/>
      <c r="DIE33" s="13"/>
      <c r="DIF33" s="13"/>
      <c r="DIG33" s="13"/>
      <c r="DIH33" s="13"/>
      <c r="DII33" s="13"/>
      <c r="DIJ33" s="13"/>
      <c r="DIK33" s="13"/>
      <c r="DIL33" s="13"/>
      <c r="DIM33" s="13"/>
      <c r="DIN33" s="13"/>
      <c r="DIO33" s="13"/>
      <c r="DIP33" s="13"/>
      <c r="DIQ33" s="13"/>
      <c r="DIR33" s="13"/>
      <c r="DIS33" s="13"/>
      <c r="DIT33" s="13"/>
      <c r="DIU33" s="13"/>
      <c r="DIV33" s="13"/>
      <c r="DIW33" s="13"/>
      <c r="DIX33" s="13"/>
      <c r="DIY33" s="13"/>
      <c r="DIZ33" s="13"/>
      <c r="DJA33" s="13"/>
      <c r="DJB33" s="13"/>
      <c r="DJC33" s="13"/>
      <c r="DJD33" s="13"/>
      <c r="DJE33" s="13"/>
      <c r="DJF33" s="13"/>
      <c r="DJG33" s="13"/>
      <c r="DJH33" s="13"/>
      <c r="DJI33" s="13"/>
      <c r="DJJ33" s="13"/>
      <c r="DJK33" s="13"/>
      <c r="DJL33" s="13"/>
      <c r="DJM33" s="13"/>
      <c r="DJN33" s="13"/>
      <c r="DJO33" s="13"/>
      <c r="DJP33" s="13"/>
      <c r="DJQ33" s="13"/>
      <c r="DJR33" s="13"/>
      <c r="DJS33" s="13"/>
      <c r="DJT33" s="13"/>
      <c r="DJU33" s="13"/>
      <c r="DJV33" s="13"/>
      <c r="DJW33" s="13"/>
      <c r="DJX33" s="13"/>
      <c r="DJY33" s="13"/>
      <c r="DJZ33" s="13"/>
      <c r="DKA33" s="13"/>
      <c r="DKB33" s="13"/>
      <c r="DKC33" s="13"/>
      <c r="DKD33" s="13"/>
      <c r="DKE33" s="13"/>
      <c r="DKF33" s="13"/>
      <c r="DKG33" s="13"/>
      <c r="DKH33" s="13"/>
      <c r="DKI33" s="13"/>
      <c r="DKJ33" s="13"/>
      <c r="DKK33" s="13"/>
      <c r="DKL33" s="13"/>
      <c r="DKM33" s="13"/>
      <c r="DKN33" s="13"/>
      <c r="DKO33" s="13"/>
      <c r="DKP33" s="13"/>
      <c r="DKQ33" s="13"/>
      <c r="DKR33" s="13"/>
      <c r="DKS33" s="13"/>
      <c r="DKT33" s="13"/>
      <c r="DKU33" s="13"/>
      <c r="DKV33" s="13"/>
      <c r="DKW33" s="13"/>
      <c r="DKX33" s="13"/>
      <c r="DKY33" s="13"/>
      <c r="DKZ33" s="13"/>
      <c r="DLA33" s="13"/>
      <c r="DLB33" s="13"/>
      <c r="DLC33" s="13"/>
      <c r="DLD33" s="13"/>
      <c r="DLE33" s="13"/>
      <c r="DLF33" s="13"/>
      <c r="DLG33" s="13"/>
      <c r="DLH33" s="13"/>
      <c r="DLI33" s="13"/>
      <c r="DLJ33" s="13"/>
      <c r="DLK33" s="13"/>
      <c r="DLL33" s="13"/>
      <c r="DLM33" s="13"/>
      <c r="DLN33" s="13"/>
      <c r="DLO33" s="13"/>
      <c r="DLP33" s="13"/>
      <c r="DLQ33" s="13"/>
      <c r="DLR33" s="13"/>
      <c r="DLS33" s="13"/>
      <c r="DLT33" s="13"/>
      <c r="DLU33" s="13"/>
      <c r="DLV33" s="13"/>
      <c r="DLW33" s="13"/>
      <c r="DLX33" s="13"/>
      <c r="DLY33" s="13"/>
      <c r="DLZ33" s="13"/>
      <c r="DMA33" s="13"/>
      <c r="DMB33" s="13"/>
      <c r="DMC33" s="13"/>
      <c r="DMD33" s="13"/>
      <c r="DME33" s="13"/>
      <c r="DMF33" s="13"/>
      <c r="DMG33" s="13"/>
      <c r="DMH33" s="13"/>
      <c r="DMI33" s="13"/>
      <c r="DMJ33" s="13"/>
      <c r="DMK33" s="13"/>
      <c r="DML33" s="13"/>
      <c r="DMM33" s="13"/>
      <c r="DMN33" s="13"/>
      <c r="DMO33" s="13"/>
      <c r="DMP33" s="13"/>
      <c r="DMQ33" s="13"/>
      <c r="DMR33" s="13"/>
      <c r="DMS33" s="13"/>
      <c r="DMT33" s="13"/>
      <c r="DMU33" s="13"/>
      <c r="DMV33" s="13"/>
      <c r="DMW33" s="13"/>
      <c r="DMX33" s="13"/>
      <c r="DMY33" s="13"/>
      <c r="DMZ33" s="13"/>
      <c r="DNA33" s="13"/>
      <c r="DNB33" s="13"/>
      <c r="DNC33" s="13"/>
      <c r="DND33" s="13"/>
      <c r="DNE33" s="13"/>
      <c r="DNF33" s="13"/>
      <c r="DNG33" s="13"/>
      <c r="DNH33" s="13"/>
      <c r="DNI33" s="13"/>
      <c r="DNJ33" s="13"/>
      <c r="DNK33" s="13"/>
      <c r="DNL33" s="13"/>
      <c r="DNM33" s="13"/>
      <c r="DNN33" s="13"/>
      <c r="DNO33" s="13"/>
      <c r="DNP33" s="13"/>
      <c r="DNQ33" s="13"/>
      <c r="DNR33" s="13"/>
      <c r="DNS33" s="13"/>
      <c r="DNT33" s="13"/>
      <c r="DNU33" s="13"/>
      <c r="DNV33" s="13"/>
      <c r="DNW33" s="13"/>
      <c r="DNX33" s="13"/>
      <c r="DNY33" s="13"/>
      <c r="DNZ33" s="13"/>
      <c r="DOA33" s="13"/>
      <c r="DOB33" s="13"/>
      <c r="DOC33" s="13"/>
      <c r="DOD33" s="13"/>
      <c r="DOE33" s="13"/>
      <c r="DOF33" s="13"/>
      <c r="DOG33" s="13"/>
      <c r="DOH33" s="13"/>
      <c r="DOI33" s="13"/>
      <c r="DOJ33" s="13"/>
      <c r="DOK33" s="13"/>
      <c r="DOL33" s="13"/>
      <c r="DOM33" s="13"/>
      <c r="DON33" s="13"/>
      <c r="DOO33" s="13"/>
      <c r="DOP33" s="13"/>
      <c r="DOQ33" s="13"/>
      <c r="DOR33" s="13"/>
      <c r="DOS33" s="13"/>
      <c r="DOT33" s="13"/>
      <c r="DOU33" s="13"/>
      <c r="DOV33" s="13"/>
      <c r="DOW33" s="13"/>
      <c r="DOX33" s="13"/>
      <c r="DOY33" s="13"/>
      <c r="DOZ33" s="13"/>
      <c r="DPA33" s="13"/>
      <c r="DPB33" s="13"/>
      <c r="DPC33" s="13"/>
      <c r="DPD33" s="13"/>
      <c r="DPE33" s="13"/>
      <c r="DPF33" s="13"/>
      <c r="DPG33" s="13"/>
      <c r="DPH33" s="13"/>
      <c r="DPI33" s="13"/>
      <c r="DPJ33" s="13"/>
      <c r="DPK33" s="13"/>
      <c r="DPL33" s="13"/>
      <c r="DPM33" s="13"/>
      <c r="DPN33" s="13"/>
      <c r="DPO33" s="13"/>
      <c r="DPP33" s="13"/>
      <c r="DPQ33" s="13"/>
      <c r="DPR33" s="13"/>
      <c r="DPS33" s="13"/>
      <c r="DPT33" s="13"/>
      <c r="DPU33" s="13"/>
      <c r="DPV33" s="13"/>
      <c r="DPW33" s="13"/>
      <c r="DPX33" s="13"/>
      <c r="DPY33" s="13"/>
      <c r="DPZ33" s="13"/>
      <c r="DQA33" s="13"/>
      <c r="DQB33" s="13"/>
      <c r="DQC33" s="13"/>
      <c r="DQD33" s="13"/>
      <c r="DQE33" s="13"/>
      <c r="DQF33" s="13"/>
      <c r="DQG33" s="13"/>
      <c r="DQH33" s="13"/>
      <c r="DQI33" s="13"/>
      <c r="DQJ33" s="13"/>
      <c r="DQK33" s="13"/>
      <c r="DQL33" s="13"/>
      <c r="DQM33" s="13"/>
      <c r="DQN33" s="13"/>
      <c r="DQO33" s="13"/>
      <c r="DQP33" s="13"/>
      <c r="DQQ33" s="13"/>
      <c r="DQR33" s="13"/>
      <c r="DQS33" s="13"/>
      <c r="DQT33" s="13"/>
      <c r="DQU33" s="13"/>
      <c r="DQV33" s="13"/>
      <c r="DQW33" s="13"/>
      <c r="DQX33" s="13"/>
      <c r="DQY33" s="13"/>
      <c r="DQZ33" s="13"/>
      <c r="DRA33" s="13"/>
      <c r="DRB33" s="13"/>
      <c r="DRC33" s="13"/>
      <c r="DRD33" s="13"/>
      <c r="DRE33" s="13"/>
      <c r="DRF33" s="13"/>
      <c r="DRG33" s="13"/>
      <c r="DRH33" s="13"/>
      <c r="DRI33" s="13"/>
      <c r="DRJ33" s="13"/>
      <c r="DRK33" s="13"/>
      <c r="DRL33" s="13"/>
      <c r="DRM33" s="13"/>
      <c r="DRN33" s="13"/>
      <c r="DRO33" s="13"/>
      <c r="DRP33" s="13"/>
      <c r="DRQ33" s="13"/>
      <c r="DRR33" s="13"/>
      <c r="DRS33" s="13"/>
      <c r="DRT33" s="13"/>
      <c r="DRU33" s="13"/>
      <c r="DRV33" s="13"/>
      <c r="DRW33" s="13"/>
      <c r="DRX33" s="13"/>
      <c r="DRY33" s="13"/>
      <c r="DRZ33" s="13"/>
      <c r="DSA33" s="13"/>
      <c r="DSB33" s="13"/>
      <c r="DSC33" s="13"/>
      <c r="DSD33" s="13"/>
      <c r="DSE33" s="13"/>
      <c r="DSF33" s="13"/>
      <c r="DSG33" s="13"/>
      <c r="DSH33" s="13"/>
      <c r="DSI33" s="13"/>
      <c r="DSJ33" s="13"/>
      <c r="DSK33" s="13"/>
      <c r="DSL33" s="13"/>
      <c r="DSM33" s="13"/>
      <c r="DSN33" s="13"/>
      <c r="DSO33" s="13"/>
      <c r="DSP33" s="13"/>
      <c r="DSQ33" s="13"/>
      <c r="DSR33" s="13"/>
      <c r="DSS33" s="13"/>
      <c r="DST33" s="13"/>
      <c r="DSU33" s="13"/>
      <c r="DSV33" s="13"/>
      <c r="DSW33" s="13"/>
      <c r="DSX33" s="13"/>
      <c r="DSY33" s="13"/>
      <c r="DSZ33" s="13"/>
      <c r="DTA33" s="13"/>
      <c r="DTB33" s="13"/>
      <c r="DTC33" s="13"/>
      <c r="DTD33" s="13"/>
      <c r="DTE33" s="13"/>
      <c r="DTF33" s="13"/>
      <c r="DTG33" s="13"/>
      <c r="DTH33" s="13"/>
      <c r="DTI33" s="13"/>
      <c r="DTJ33" s="13"/>
      <c r="DTK33" s="13"/>
      <c r="DTL33" s="13"/>
      <c r="DTM33" s="13"/>
      <c r="DTN33" s="13"/>
      <c r="DTO33" s="13"/>
      <c r="DTP33" s="13"/>
      <c r="DTQ33" s="13"/>
      <c r="DTR33" s="13"/>
      <c r="DTS33" s="13"/>
      <c r="DTT33" s="13"/>
      <c r="DTU33" s="13"/>
      <c r="DTV33" s="13"/>
      <c r="DTW33" s="13"/>
      <c r="DTX33" s="13"/>
      <c r="DTY33" s="13"/>
      <c r="DTZ33" s="13"/>
      <c r="DUA33" s="13"/>
      <c r="DUB33" s="13"/>
      <c r="DUC33" s="13"/>
      <c r="DUD33" s="13"/>
      <c r="DUE33" s="13"/>
      <c r="DUF33" s="13"/>
      <c r="DUG33" s="13"/>
      <c r="DUH33" s="13"/>
      <c r="DUI33" s="13"/>
      <c r="DUJ33" s="13"/>
      <c r="DUK33" s="13"/>
      <c r="DUL33" s="13"/>
      <c r="DUM33" s="13"/>
      <c r="DUN33" s="13"/>
      <c r="DUO33" s="13"/>
      <c r="DUP33" s="13"/>
      <c r="DUQ33" s="13"/>
      <c r="DUR33" s="13"/>
      <c r="DUS33" s="13"/>
      <c r="DUT33" s="13"/>
      <c r="DUU33" s="13"/>
      <c r="DUV33" s="13"/>
      <c r="DUW33" s="13"/>
      <c r="DUX33" s="13"/>
      <c r="DUY33" s="13"/>
      <c r="DUZ33" s="13"/>
      <c r="DVA33" s="13"/>
      <c r="DVB33" s="13"/>
      <c r="DVC33" s="13"/>
      <c r="DVD33" s="13"/>
      <c r="DVE33" s="13"/>
      <c r="DVF33" s="13"/>
      <c r="DVG33" s="13"/>
      <c r="DVH33" s="13"/>
      <c r="DVI33" s="13"/>
      <c r="DVJ33" s="13"/>
      <c r="DVK33" s="13"/>
      <c r="DVL33" s="13"/>
      <c r="DVM33" s="13"/>
      <c r="DVN33" s="13"/>
      <c r="DVO33" s="13"/>
      <c r="DVP33" s="13"/>
      <c r="DVQ33" s="13"/>
      <c r="DVR33" s="13"/>
      <c r="DVS33" s="13"/>
      <c r="DVT33" s="13"/>
      <c r="DVU33" s="13"/>
      <c r="DVV33" s="13"/>
      <c r="DVW33" s="13"/>
      <c r="DVX33" s="13"/>
      <c r="DVY33" s="13"/>
      <c r="DVZ33" s="13"/>
      <c r="DWA33" s="13"/>
      <c r="DWB33" s="13"/>
      <c r="DWC33" s="13"/>
      <c r="DWD33" s="13"/>
      <c r="DWE33" s="13"/>
      <c r="DWF33" s="13"/>
      <c r="DWG33" s="13"/>
      <c r="DWH33" s="13"/>
      <c r="DWI33" s="13"/>
      <c r="DWJ33" s="13"/>
      <c r="DWK33" s="13"/>
      <c r="DWL33" s="13"/>
      <c r="DWM33" s="13"/>
      <c r="DWN33" s="13"/>
      <c r="DWO33" s="13"/>
      <c r="DWP33" s="13"/>
      <c r="DWQ33" s="13"/>
      <c r="DWR33" s="13"/>
      <c r="DWS33" s="13"/>
      <c r="DWT33" s="13"/>
      <c r="DWU33" s="13"/>
      <c r="DWV33" s="13"/>
      <c r="DWW33" s="13"/>
      <c r="DWX33" s="13"/>
      <c r="DWY33" s="13"/>
      <c r="DWZ33" s="13"/>
      <c r="DXA33" s="13"/>
      <c r="DXB33" s="13"/>
      <c r="DXC33" s="13"/>
      <c r="DXD33" s="13"/>
      <c r="DXE33" s="13"/>
      <c r="DXF33" s="13"/>
      <c r="DXG33" s="13"/>
      <c r="DXH33" s="13"/>
      <c r="DXI33" s="13"/>
      <c r="DXJ33" s="13"/>
      <c r="DXK33" s="13"/>
      <c r="DXL33" s="13"/>
      <c r="DXM33" s="13"/>
      <c r="DXN33" s="13"/>
      <c r="DXO33" s="13"/>
      <c r="DXP33" s="13"/>
      <c r="DXQ33" s="13"/>
      <c r="DXR33" s="13"/>
      <c r="DXS33" s="13"/>
      <c r="DXT33" s="13"/>
      <c r="DXU33" s="13"/>
      <c r="DXV33" s="13"/>
      <c r="DXW33" s="13"/>
      <c r="DXX33" s="13"/>
      <c r="DXY33" s="13"/>
      <c r="DXZ33" s="13"/>
      <c r="DYA33" s="13"/>
      <c r="DYB33" s="13"/>
      <c r="DYC33" s="13"/>
      <c r="DYD33" s="13"/>
      <c r="DYE33" s="13"/>
      <c r="DYF33" s="13"/>
      <c r="DYG33" s="13"/>
      <c r="DYH33" s="13"/>
      <c r="DYI33" s="13"/>
      <c r="DYJ33" s="13"/>
      <c r="DYK33" s="13"/>
      <c r="DYL33" s="13"/>
      <c r="DYM33" s="13"/>
      <c r="DYN33" s="13"/>
      <c r="DYO33" s="13"/>
      <c r="DYP33" s="13"/>
      <c r="DYQ33" s="13"/>
      <c r="DYR33" s="13"/>
      <c r="DYS33" s="13"/>
      <c r="DYT33" s="13"/>
      <c r="DYU33" s="13"/>
      <c r="DYV33" s="13"/>
      <c r="DYW33" s="13"/>
      <c r="DYX33" s="13"/>
      <c r="DYY33" s="13"/>
      <c r="DYZ33" s="13"/>
      <c r="DZA33" s="13"/>
      <c r="DZB33" s="13"/>
      <c r="DZC33" s="13"/>
      <c r="DZD33" s="13"/>
      <c r="DZE33" s="13"/>
      <c r="DZF33" s="13"/>
      <c r="DZG33" s="13"/>
      <c r="DZH33" s="13"/>
      <c r="DZI33" s="13"/>
      <c r="DZJ33" s="13"/>
      <c r="DZK33" s="13"/>
      <c r="DZL33" s="13"/>
      <c r="DZM33" s="13"/>
      <c r="DZN33" s="13"/>
      <c r="DZO33" s="13"/>
      <c r="DZP33" s="13"/>
      <c r="DZQ33" s="13"/>
      <c r="DZR33" s="13"/>
      <c r="DZS33" s="13"/>
      <c r="DZT33" s="13"/>
      <c r="DZU33" s="13"/>
      <c r="DZV33" s="13"/>
      <c r="DZW33" s="13"/>
      <c r="DZX33" s="13"/>
      <c r="DZY33" s="13"/>
      <c r="DZZ33" s="13"/>
      <c r="EAA33" s="13"/>
      <c r="EAB33" s="13"/>
      <c r="EAC33" s="13"/>
      <c r="EAD33" s="13"/>
      <c r="EAE33" s="13"/>
      <c r="EAF33" s="13"/>
      <c r="EAG33" s="13"/>
      <c r="EAH33" s="13"/>
      <c r="EAI33" s="13"/>
      <c r="EAJ33" s="13"/>
      <c r="EAK33" s="13"/>
      <c r="EAL33" s="13"/>
      <c r="EAM33" s="13"/>
      <c r="EAN33" s="13"/>
      <c r="EAO33" s="13"/>
      <c r="EAP33" s="13"/>
      <c r="EAQ33" s="13"/>
      <c r="EAR33" s="13"/>
      <c r="EAS33" s="13"/>
      <c r="EAT33" s="13"/>
      <c r="EAU33" s="13"/>
      <c r="EAV33" s="13"/>
      <c r="EAW33" s="13"/>
      <c r="EAX33" s="13"/>
      <c r="EAY33" s="13"/>
      <c r="EAZ33" s="13"/>
      <c r="EBA33" s="13"/>
      <c r="EBB33" s="13"/>
      <c r="EBC33" s="13"/>
      <c r="EBD33" s="13"/>
      <c r="EBE33" s="13"/>
      <c r="EBF33" s="13"/>
      <c r="EBG33" s="13"/>
      <c r="EBH33" s="13"/>
      <c r="EBI33" s="13"/>
      <c r="EBJ33" s="13"/>
      <c r="EBK33" s="13"/>
      <c r="EBL33" s="13"/>
      <c r="EBM33" s="13"/>
      <c r="EBN33" s="13"/>
      <c r="EBO33" s="13"/>
      <c r="EBP33" s="13"/>
      <c r="EBQ33" s="13"/>
      <c r="EBR33" s="13"/>
      <c r="EBS33" s="13"/>
      <c r="EBT33" s="13"/>
      <c r="EBU33" s="13"/>
      <c r="EBV33" s="13"/>
      <c r="EBW33" s="13"/>
      <c r="EBX33" s="13"/>
      <c r="EBY33" s="13"/>
      <c r="EBZ33" s="13"/>
      <c r="ECA33" s="13"/>
      <c r="ECB33" s="13"/>
      <c r="ECC33" s="13"/>
      <c r="ECD33" s="13"/>
      <c r="ECE33" s="13"/>
      <c r="ECF33" s="13"/>
      <c r="ECG33" s="13"/>
      <c r="ECH33" s="13"/>
      <c r="ECI33" s="13"/>
      <c r="ECJ33" s="13"/>
      <c r="ECK33" s="13"/>
      <c r="ECL33" s="13"/>
      <c r="ECM33" s="13"/>
      <c r="ECN33" s="13"/>
      <c r="ECO33" s="13"/>
      <c r="ECP33" s="13"/>
      <c r="ECQ33" s="13"/>
      <c r="ECR33" s="13"/>
      <c r="ECS33" s="13"/>
      <c r="ECT33" s="13"/>
      <c r="ECU33" s="13"/>
      <c r="ECV33" s="13"/>
      <c r="ECW33" s="13"/>
      <c r="ECX33" s="13"/>
      <c r="ECY33" s="13"/>
      <c r="ECZ33" s="13"/>
      <c r="EDA33" s="13"/>
      <c r="EDB33" s="13"/>
      <c r="EDC33" s="13"/>
      <c r="EDD33" s="13"/>
      <c r="EDE33" s="13"/>
      <c r="EDF33" s="13"/>
      <c r="EDG33" s="13"/>
      <c r="EDH33" s="13"/>
      <c r="EDI33" s="13"/>
      <c r="EDJ33" s="13"/>
      <c r="EDK33" s="13"/>
      <c r="EDL33" s="13"/>
      <c r="EDM33" s="13"/>
      <c r="EDN33" s="13"/>
      <c r="EDO33" s="13"/>
      <c r="EDP33" s="13"/>
      <c r="EDQ33" s="13"/>
      <c r="EDR33" s="13"/>
      <c r="EDS33" s="13"/>
      <c r="EDT33" s="13"/>
      <c r="EDU33" s="13"/>
      <c r="EDV33" s="13"/>
      <c r="EDW33" s="13"/>
      <c r="EDX33" s="13"/>
      <c r="EDY33" s="13"/>
      <c r="EDZ33" s="13"/>
      <c r="EEA33" s="13"/>
      <c r="EEB33" s="13"/>
      <c r="EEC33" s="13"/>
      <c r="EED33" s="13"/>
      <c r="EEE33" s="13"/>
      <c r="EEF33" s="13"/>
      <c r="EEG33" s="13"/>
      <c r="EEH33" s="13"/>
      <c r="EEI33" s="13"/>
      <c r="EEJ33" s="13"/>
      <c r="EEK33" s="13"/>
      <c r="EEL33" s="13"/>
      <c r="EEM33" s="13"/>
      <c r="EEN33" s="13"/>
      <c r="EEO33" s="13"/>
      <c r="EEP33" s="13"/>
      <c r="EEQ33" s="13"/>
      <c r="EER33" s="13"/>
      <c r="EES33" s="13"/>
      <c r="EET33" s="13"/>
      <c r="EEU33" s="13"/>
      <c r="EEV33" s="13"/>
      <c r="EEW33" s="13"/>
      <c r="EEX33" s="13"/>
      <c r="EEY33" s="13"/>
      <c r="EEZ33" s="13"/>
      <c r="EFA33" s="13"/>
      <c r="EFB33" s="13"/>
      <c r="EFC33" s="13"/>
      <c r="EFD33" s="13"/>
      <c r="EFE33" s="13"/>
      <c r="EFF33" s="13"/>
      <c r="EFG33" s="13"/>
      <c r="EFH33" s="13"/>
      <c r="EFI33" s="13"/>
      <c r="EFJ33" s="13"/>
      <c r="EFK33" s="13"/>
      <c r="EFL33" s="13"/>
      <c r="EFM33" s="13"/>
      <c r="EFN33" s="13"/>
      <c r="EFO33" s="13"/>
      <c r="EFP33" s="13"/>
      <c r="EFQ33" s="13"/>
      <c r="EFR33" s="13"/>
      <c r="EFS33" s="13"/>
      <c r="EFT33" s="13"/>
      <c r="EFU33" s="13"/>
      <c r="EFV33" s="13"/>
      <c r="EFW33" s="13"/>
      <c r="EFX33" s="13"/>
      <c r="EFY33" s="13"/>
      <c r="EFZ33" s="13"/>
      <c r="EGA33" s="13"/>
      <c r="EGB33" s="13"/>
      <c r="EGC33" s="13"/>
      <c r="EGD33" s="13"/>
      <c r="EGE33" s="13"/>
      <c r="EGF33" s="13"/>
      <c r="EGG33" s="13"/>
      <c r="EGH33" s="13"/>
      <c r="EGI33" s="13"/>
      <c r="EGJ33" s="13"/>
      <c r="EGK33" s="13"/>
      <c r="EGL33" s="13"/>
      <c r="EGM33" s="13"/>
      <c r="EGN33" s="13"/>
      <c r="EGO33" s="13"/>
      <c r="EGP33" s="13"/>
      <c r="EGQ33" s="13"/>
      <c r="EGR33" s="13"/>
      <c r="EGS33" s="13"/>
      <c r="EGT33" s="13"/>
      <c r="EGU33" s="13"/>
      <c r="EGV33" s="13"/>
      <c r="EGW33" s="13"/>
      <c r="EGX33" s="13"/>
      <c r="EGY33" s="13"/>
      <c r="EGZ33" s="13"/>
      <c r="EHA33" s="13"/>
      <c r="EHB33" s="13"/>
      <c r="EHC33" s="13"/>
      <c r="EHD33" s="13"/>
      <c r="EHE33" s="13"/>
      <c r="EHF33" s="13"/>
      <c r="EHG33" s="13"/>
      <c r="EHH33" s="13"/>
      <c r="EHI33" s="13"/>
      <c r="EHJ33" s="13"/>
      <c r="EHK33" s="13"/>
      <c r="EHL33" s="13"/>
      <c r="EHM33" s="13"/>
      <c r="EHN33" s="13"/>
      <c r="EHO33" s="13"/>
      <c r="EHP33" s="13"/>
      <c r="EHQ33" s="13"/>
      <c r="EHR33" s="13"/>
      <c r="EHS33" s="13"/>
      <c r="EHT33" s="13"/>
      <c r="EHU33" s="13"/>
      <c r="EHV33" s="13"/>
      <c r="EHW33" s="13"/>
      <c r="EHX33" s="13"/>
      <c r="EHY33" s="13"/>
      <c r="EHZ33" s="13"/>
      <c r="EIA33" s="13"/>
      <c r="EIB33" s="13"/>
      <c r="EIC33" s="13"/>
      <c r="EID33" s="13"/>
      <c r="EIE33" s="13"/>
      <c r="EIF33" s="13"/>
      <c r="EIG33" s="13"/>
      <c r="EIH33" s="13"/>
      <c r="EII33" s="13"/>
      <c r="EIJ33" s="13"/>
      <c r="EIK33" s="13"/>
      <c r="EIL33" s="13"/>
      <c r="EIM33" s="13"/>
      <c r="EIN33" s="13"/>
      <c r="EIO33" s="13"/>
      <c r="EIP33" s="13"/>
      <c r="EIQ33" s="13"/>
      <c r="EIR33" s="13"/>
      <c r="EIS33" s="13"/>
      <c r="EIT33" s="13"/>
      <c r="EIU33" s="13"/>
      <c r="EIV33" s="13"/>
      <c r="EIW33" s="13"/>
      <c r="EIX33" s="13"/>
      <c r="EIY33" s="13"/>
      <c r="EIZ33" s="13"/>
      <c r="EJA33" s="13"/>
      <c r="EJB33" s="13"/>
      <c r="EJC33" s="13"/>
      <c r="EJD33" s="13"/>
      <c r="EJE33" s="13"/>
      <c r="EJF33" s="13"/>
      <c r="EJG33" s="13"/>
      <c r="EJH33" s="13"/>
      <c r="EJI33" s="13"/>
      <c r="EJJ33" s="13"/>
      <c r="EJK33" s="13"/>
      <c r="EJL33" s="13"/>
      <c r="EJM33" s="13"/>
      <c r="EJN33" s="13"/>
      <c r="EJO33" s="13"/>
      <c r="EJP33" s="13"/>
      <c r="EJQ33" s="13"/>
      <c r="EJR33" s="13"/>
      <c r="EJS33" s="13"/>
      <c r="EJT33" s="13"/>
      <c r="EJU33" s="13"/>
      <c r="EJV33" s="13"/>
      <c r="EJW33" s="13"/>
      <c r="EJX33" s="13"/>
      <c r="EJY33" s="13"/>
      <c r="EJZ33" s="13"/>
      <c r="EKA33" s="13"/>
      <c r="EKB33" s="13"/>
      <c r="EKC33" s="13"/>
      <c r="EKD33" s="13"/>
      <c r="EKE33" s="13"/>
      <c r="EKF33" s="13"/>
      <c r="EKG33" s="13"/>
      <c r="EKH33" s="13"/>
      <c r="EKI33" s="13"/>
      <c r="EKJ33" s="13"/>
      <c r="EKK33" s="13"/>
      <c r="EKL33" s="13"/>
      <c r="EKM33" s="13"/>
      <c r="EKN33" s="13"/>
      <c r="EKO33" s="13"/>
      <c r="EKP33" s="13"/>
      <c r="EKQ33" s="13"/>
      <c r="EKR33" s="13"/>
      <c r="EKS33" s="13"/>
      <c r="EKT33" s="13"/>
      <c r="EKU33" s="13"/>
      <c r="EKV33" s="13"/>
      <c r="EKW33" s="13"/>
      <c r="EKX33" s="13"/>
      <c r="EKY33" s="13"/>
      <c r="EKZ33" s="13"/>
      <c r="ELA33" s="13"/>
      <c r="ELB33" s="13"/>
      <c r="ELC33" s="13"/>
      <c r="ELD33" s="13"/>
      <c r="ELE33" s="13"/>
      <c r="ELF33" s="13"/>
      <c r="ELG33" s="13"/>
      <c r="ELH33" s="13"/>
      <c r="ELI33" s="13"/>
      <c r="ELJ33" s="13"/>
      <c r="ELK33" s="13"/>
      <c r="ELL33" s="13"/>
      <c r="ELM33" s="13"/>
      <c r="ELN33" s="13"/>
      <c r="ELO33" s="13"/>
      <c r="ELP33" s="13"/>
      <c r="ELQ33" s="13"/>
      <c r="ELR33" s="13"/>
      <c r="ELS33" s="13"/>
      <c r="ELT33" s="13"/>
      <c r="ELU33" s="13"/>
      <c r="ELV33" s="13"/>
      <c r="ELW33" s="13"/>
      <c r="ELX33" s="13"/>
      <c r="ELY33" s="13"/>
      <c r="ELZ33" s="13"/>
      <c r="EMA33" s="13"/>
      <c r="EMB33" s="13"/>
      <c r="EMC33" s="13"/>
      <c r="EMD33" s="13"/>
      <c r="EME33" s="13"/>
      <c r="EMF33" s="13"/>
      <c r="EMG33" s="13"/>
      <c r="EMH33" s="13"/>
      <c r="EMI33" s="13"/>
      <c r="EMJ33" s="13"/>
      <c r="EMK33" s="13"/>
      <c r="EML33" s="13"/>
      <c r="EMM33" s="13"/>
      <c r="EMN33" s="13"/>
      <c r="EMO33" s="13"/>
      <c r="EMP33" s="13"/>
      <c r="EMQ33" s="13"/>
      <c r="EMR33" s="13"/>
      <c r="EMS33" s="13"/>
      <c r="EMT33" s="13"/>
      <c r="EMU33" s="13"/>
      <c r="EMV33" s="13"/>
      <c r="EMW33" s="13"/>
      <c r="EMX33" s="13"/>
      <c r="EMY33" s="13"/>
      <c r="EMZ33" s="13"/>
      <c r="ENA33" s="13"/>
      <c r="ENB33" s="13"/>
      <c r="ENC33" s="13"/>
      <c r="END33" s="13"/>
      <c r="ENE33" s="13"/>
      <c r="ENF33" s="13"/>
      <c r="ENG33" s="13"/>
      <c r="ENH33" s="13"/>
      <c r="ENI33" s="13"/>
      <c r="ENJ33" s="13"/>
      <c r="ENK33" s="13"/>
      <c r="ENL33" s="13"/>
      <c r="ENM33" s="13"/>
      <c r="ENN33" s="13"/>
      <c r="ENO33" s="13"/>
      <c r="ENP33" s="13"/>
      <c r="ENQ33" s="13"/>
      <c r="ENR33" s="13"/>
      <c r="ENS33" s="13"/>
      <c r="ENT33" s="13"/>
      <c r="ENU33" s="13"/>
      <c r="ENV33" s="13"/>
      <c r="ENW33" s="13"/>
      <c r="ENX33" s="13"/>
      <c r="ENY33" s="13"/>
      <c r="ENZ33" s="13"/>
      <c r="EOA33" s="13"/>
      <c r="EOB33" s="13"/>
      <c r="EOC33" s="13"/>
      <c r="EOD33" s="13"/>
      <c r="EOE33" s="13"/>
      <c r="EOF33" s="13"/>
      <c r="EOG33" s="13"/>
      <c r="EOH33" s="13"/>
      <c r="EOI33" s="13"/>
      <c r="EOJ33" s="13"/>
      <c r="EOK33" s="13"/>
      <c r="EOL33" s="13"/>
      <c r="EOM33" s="13"/>
      <c r="EON33" s="13"/>
      <c r="EOO33" s="13"/>
      <c r="EOP33" s="13"/>
      <c r="EOQ33" s="13"/>
      <c r="EOR33" s="13"/>
      <c r="EOS33" s="13"/>
      <c r="EOT33" s="13"/>
      <c r="EOU33" s="13"/>
      <c r="EOV33" s="13"/>
      <c r="EOW33" s="13"/>
      <c r="EOX33" s="13"/>
      <c r="EOY33" s="13"/>
      <c r="EOZ33" s="13"/>
      <c r="EPA33" s="13"/>
      <c r="EPB33" s="13"/>
      <c r="EPC33" s="13"/>
      <c r="EPD33" s="13"/>
      <c r="EPE33" s="13"/>
      <c r="EPF33" s="13"/>
      <c r="EPG33" s="13"/>
      <c r="EPH33" s="13"/>
      <c r="EPI33" s="13"/>
      <c r="EPJ33" s="13"/>
      <c r="EPK33" s="13"/>
      <c r="EPL33" s="13"/>
      <c r="EPM33" s="13"/>
      <c r="EPN33" s="13"/>
      <c r="EPO33" s="13"/>
      <c r="EPP33" s="13"/>
      <c r="EPQ33" s="13"/>
      <c r="EPR33" s="13"/>
      <c r="EPS33" s="13"/>
      <c r="EPT33" s="13"/>
      <c r="EPU33" s="13"/>
      <c r="EPV33" s="13"/>
      <c r="EPW33" s="13"/>
      <c r="EPX33" s="13"/>
      <c r="EPY33" s="13"/>
      <c r="EPZ33" s="13"/>
      <c r="EQA33" s="13"/>
      <c r="EQB33" s="13"/>
      <c r="EQC33" s="13"/>
      <c r="EQD33" s="13"/>
      <c r="EQE33" s="13"/>
      <c r="EQF33" s="13"/>
      <c r="EQG33" s="13"/>
      <c r="EQH33" s="13"/>
      <c r="EQI33" s="13"/>
      <c r="EQJ33" s="13"/>
      <c r="EQK33" s="13"/>
      <c r="EQL33" s="13"/>
      <c r="EQM33" s="13"/>
      <c r="EQN33" s="13"/>
      <c r="EQO33" s="13"/>
      <c r="EQP33" s="13"/>
      <c r="EQQ33" s="13"/>
      <c r="EQR33" s="13"/>
      <c r="EQS33" s="13"/>
      <c r="EQT33" s="13"/>
      <c r="EQU33" s="13"/>
      <c r="EQV33" s="13"/>
      <c r="EQW33" s="13"/>
      <c r="EQX33" s="13"/>
      <c r="EQY33" s="13"/>
      <c r="EQZ33" s="13"/>
      <c r="ERA33" s="13"/>
      <c r="ERB33" s="13"/>
      <c r="ERC33" s="13"/>
      <c r="ERD33" s="13"/>
      <c r="ERE33" s="13"/>
      <c r="ERF33" s="13"/>
      <c r="ERG33" s="13"/>
      <c r="ERH33" s="13"/>
      <c r="ERI33" s="13"/>
      <c r="ERJ33" s="13"/>
      <c r="ERK33" s="13"/>
      <c r="ERL33" s="13"/>
      <c r="ERM33" s="13"/>
      <c r="ERN33" s="13"/>
      <c r="ERO33" s="13"/>
      <c r="ERP33" s="13"/>
      <c r="ERQ33" s="13"/>
      <c r="ERR33" s="13"/>
      <c r="ERS33" s="13"/>
      <c r="ERT33" s="13"/>
      <c r="ERU33" s="13"/>
      <c r="ERV33" s="13"/>
      <c r="ERW33" s="13"/>
      <c r="ERX33" s="13"/>
      <c r="ERY33" s="13"/>
      <c r="ERZ33" s="13"/>
      <c r="ESA33" s="13"/>
      <c r="ESB33" s="13"/>
      <c r="ESC33" s="13"/>
      <c r="ESD33" s="13"/>
      <c r="ESE33" s="13"/>
      <c r="ESF33" s="13"/>
      <c r="ESG33" s="13"/>
      <c r="ESH33" s="13"/>
      <c r="ESI33" s="13"/>
      <c r="ESJ33" s="13"/>
      <c r="ESK33" s="13"/>
      <c r="ESL33" s="13"/>
      <c r="ESM33" s="13"/>
      <c r="ESN33" s="13"/>
      <c r="ESO33" s="13"/>
      <c r="ESP33" s="13"/>
      <c r="ESQ33" s="13"/>
      <c r="ESR33" s="13"/>
      <c r="ESS33" s="13"/>
      <c r="EST33" s="13"/>
      <c r="ESU33" s="13"/>
      <c r="ESV33" s="13"/>
      <c r="ESW33" s="13"/>
      <c r="ESX33" s="13"/>
      <c r="ESY33" s="13"/>
      <c r="ESZ33" s="13"/>
      <c r="ETA33" s="13"/>
      <c r="ETB33" s="13"/>
      <c r="ETC33" s="13"/>
      <c r="ETD33" s="13"/>
      <c r="ETE33" s="13"/>
      <c r="ETF33" s="13"/>
      <c r="ETG33" s="13"/>
      <c r="ETH33" s="13"/>
      <c r="ETI33" s="13"/>
      <c r="ETJ33" s="13"/>
      <c r="ETK33" s="13"/>
      <c r="ETL33" s="13"/>
      <c r="ETM33" s="13"/>
      <c r="ETN33" s="13"/>
      <c r="ETO33" s="13"/>
      <c r="ETP33" s="13"/>
      <c r="ETQ33" s="13"/>
      <c r="ETR33" s="13"/>
      <c r="ETS33" s="13"/>
      <c r="ETT33" s="13"/>
      <c r="ETU33" s="13"/>
      <c r="ETV33" s="13"/>
      <c r="ETW33" s="13"/>
      <c r="ETX33" s="13"/>
      <c r="ETY33" s="13"/>
      <c r="ETZ33" s="13"/>
      <c r="EUA33" s="13"/>
      <c r="EUB33" s="13"/>
      <c r="EUC33" s="13"/>
      <c r="EUD33" s="13"/>
      <c r="EUE33" s="13"/>
      <c r="EUF33" s="13"/>
      <c r="EUG33" s="13"/>
      <c r="EUH33" s="13"/>
      <c r="EUI33" s="13"/>
      <c r="EUJ33" s="13"/>
      <c r="EUK33" s="13"/>
      <c r="EUL33" s="13"/>
      <c r="EUM33" s="13"/>
      <c r="EUN33" s="13"/>
      <c r="EUO33" s="13"/>
      <c r="EUP33" s="13"/>
      <c r="EUQ33" s="13"/>
      <c r="EUR33" s="13"/>
      <c r="EUS33" s="13"/>
      <c r="EUT33" s="13"/>
      <c r="EUU33" s="13"/>
      <c r="EUV33" s="13"/>
      <c r="EUW33" s="13"/>
      <c r="EUX33" s="13"/>
      <c r="EUY33" s="13"/>
      <c r="EUZ33" s="13"/>
      <c r="EVA33" s="13"/>
      <c r="EVB33" s="13"/>
      <c r="EVC33" s="13"/>
      <c r="EVD33" s="13"/>
      <c r="EVE33" s="13"/>
      <c r="EVF33" s="13"/>
      <c r="EVG33" s="13"/>
      <c r="EVH33" s="13"/>
      <c r="EVI33" s="13"/>
      <c r="EVJ33" s="13"/>
      <c r="EVK33" s="13"/>
      <c r="EVL33" s="13"/>
      <c r="EVM33" s="13"/>
      <c r="EVN33" s="13"/>
      <c r="EVO33" s="13"/>
      <c r="EVP33" s="13"/>
      <c r="EVQ33" s="13"/>
      <c r="EVR33" s="13"/>
      <c r="EVS33" s="13"/>
      <c r="EVT33" s="13"/>
      <c r="EVU33" s="13"/>
      <c r="EVV33" s="13"/>
      <c r="EVW33" s="13"/>
      <c r="EVX33" s="13"/>
      <c r="EVY33" s="13"/>
      <c r="EVZ33" s="13"/>
      <c r="EWA33" s="13"/>
      <c r="EWB33" s="13"/>
      <c r="EWC33" s="13"/>
      <c r="EWD33" s="13"/>
      <c r="EWE33" s="13"/>
      <c r="EWF33" s="13"/>
      <c r="EWG33" s="13"/>
      <c r="EWH33" s="13"/>
      <c r="EWI33" s="13"/>
      <c r="EWJ33" s="13"/>
      <c r="EWK33" s="13"/>
      <c r="EWL33" s="13"/>
      <c r="EWM33" s="13"/>
      <c r="EWN33" s="13"/>
      <c r="EWO33" s="13"/>
      <c r="EWP33" s="13"/>
      <c r="EWQ33" s="13"/>
      <c r="EWR33" s="13"/>
      <c r="EWS33" s="13"/>
      <c r="EWT33" s="13"/>
      <c r="EWU33" s="13"/>
      <c r="EWV33" s="13"/>
      <c r="EWW33" s="13"/>
      <c r="EWX33" s="13"/>
      <c r="EWY33" s="13"/>
      <c r="EWZ33" s="13"/>
      <c r="EXA33" s="13"/>
      <c r="EXB33" s="13"/>
      <c r="EXC33" s="13"/>
      <c r="EXD33" s="13"/>
      <c r="EXE33" s="13"/>
      <c r="EXF33" s="13"/>
      <c r="EXG33" s="13"/>
      <c r="EXH33" s="13"/>
      <c r="EXI33" s="13"/>
      <c r="EXJ33" s="13"/>
      <c r="EXK33" s="13"/>
      <c r="EXL33" s="13"/>
      <c r="EXM33" s="13"/>
      <c r="EXN33" s="13"/>
      <c r="EXO33" s="13"/>
      <c r="EXP33" s="13"/>
      <c r="EXQ33" s="13"/>
      <c r="EXR33" s="13"/>
      <c r="EXS33" s="13"/>
      <c r="EXT33" s="13"/>
      <c r="EXU33" s="13"/>
      <c r="EXV33" s="13"/>
      <c r="EXW33" s="13"/>
      <c r="EXX33" s="13"/>
      <c r="EXY33" s="13"/>
      <c r="EXZ33" s="13"/>
      <c r="EYA33" s="13"/>
      <c r="EYB33" s="13"/>
      <c r="EYC33" s="13"/>
      <c r="EYD33" s="13"/>
      <c r="EYE33" s="13"/>
      <c r="EYF33" s="13"/>
      <c r="EYG33" s="13"/>
      <c r="EYH33" s="13"/>
      <c r="EYI33" s="13"/>
      <c r="EYJ33" s="13"/>
      <c r="EYK33" s="13"/>
      <c r="EYL33" s="13"/>
      <c r="EYM33" s="13"/>
      <c r="EYN33" s="13"/>
      <c r="EYO33" s="13"/>
      <c r="EYP33" s="13"/>
      <c r="EYQ33" s="13"/>
      <c r="EYR33" s="13"/>
      <c r="EYS33" s="13"/>
      <c r="EYT33" s="13"/>
      <c r="EYU33" s="13"/>
      <c r="EYV33" s="13"/>
      <c r="EYW33" s="13"/>
      <c r="EYX33" s="13"/>
      <c r="EYY33" s="13"/>
      <c r="EYZ33" s="13"/>
      <c r="EZA33" s="13"/>
      <c r="EZB33" s="13"/>
      <c r="EZC33" s="13"/>
      <c r="EZD33" s="13"/>
      <c r="EZE33" s="13"/>
      <c r="EZF33" s="13"/>
      <c r="EZG33" s="13"/>
      <c r="EZH33" s="13"/>
      <c r="EZI33" s="13"/>
      <c r="EZJ33" s="13"/>
      <c r="EZK33" s="13"/>
      <c r="EZL33" s="13"/>
      <c r="EZM33" s="13"/>
      <c r="EZN33" s="13"/>
      <c r="EZO33" s="13"/>
      <c r="EZP33" s="13"/>
      <c r="EZQ33" s="13"/>
      <c r="EZR33" s="13"/>
      <c r="EZS33" s="13"/>
      <c r="EZT33" s="13"/>
      <c r="EZU33" s="13"/>
      <c r="EZV33" s="13"/>
      <c r="EZW33" s="13"/>
      <c r="EZX33" s="13"/>
      <c r="EZY33" s="13"/>
      <c r="EZZ33" s="13"/>
      <c r="FAA33" s="13"/>
      <c r="FAB33" s="13"/>
      <c r="FAC33" s="13"/>
      <c r="FAD33" s="13"/>
      <c r="FAE33" s="13"/>
      <c r="FAF33" s="13"/>
      <c r="FAG33" s="13"/>
      <c r="FAH33" s="13"/>
      <c r="FAI33" s="13"/>
      <c r="FAJ33" s="13"/>
      <c r="FAK33" s="13"/>
      <c r="FAL33" s="13"/>
      <c r="FAM33" s="13"/>
      <c r="FAN33" s="13"/>
      <c r="FAO33" s="13"/>
      <c r="FAP33" s="13"/>
      <c r="FAQ33" s="13"/>
      <c r="FAR33" s="13"/>
      <c r="FAS33" s="13"/>
      <c r="FAT33" s="13"/>
      <c r="FAU33" s="13"/>
      <c r="FAV33" s="13"/>
      <c r="FAW33" s="13"/>
      <c r="FAX33" s="13"/>
      <c r="FAY33" s="13"/>
      <c r="FAZ33" s="13"/>
      <c r="FBA33" s="13"/>
      <c r="FBB33" s="13"/>
      <c r="FBC33" s="13"/>
      <c r="FBD33" s="13"/>
      <c r="FBE33" s="13"/>
      <c r="FBF33" s="13"/>
      <c r="FBG33" s="13"/>
      <c r="FBH33" s="13"/>
      <c r="FBI33" s="13"/>
      <c r="FBJ33" s="13"/>
      <c r="FBK33" s="13"/>
      <c r="FBL33" s="13"/>
      <c r="FBM33" s="13"/>
      <c r="FBN33" s="13"/>
      <c r="FBO33" s="13"/>
      <c r="FBP33" s="13"/>
      <c r="FBQ33" s="13"/>
      <c r="FBR33" s="13"/>
      <c r="FBS33" s="13"/>
      <c r="FBT33" s="13"/>
      <c r="FBU33" s="13"/>
      <c r="FBV33" s="13"/>
      <c r="FBW33" s="13"/>
      <c r="FBX33" s="13"/>
      <c r="FBY33" s="13"/>
      <c r="FBZ33" s="13"/>
      <c r="FCA33" s="13"/>
      <c r="FCB33" s="13"/>
      <c r="FCC33" s="13"/>
      <c r="FCD33" s="13"/>
      <c r="FCE33" s="13"/>
      <c r="FCF33" s="13"/>
      <c r="FCG33" s="13"/>
      <c r="FCH33" s="13"/>
      <c r="FCI33" s="13"/>
      <c r="FCJ33" s="13"/>
      <c r="FCK33" s="13"/>
      <c r="FCL33" s="13"/>
      <c r="FCM33" s="13"/>
      <c r="FCN33" s="13"/>
      <c r="FCO33" s="13"/>
      <c r="FCP33" s="13"/>
      <c r="FCQ33" s="13"/>
      <c r="FCR33" s="13"/>
      <c r="FCS33" s="13"/>
      <c r="FCT33" s="13"/>
      <c r="FCU33" s="13"/>
      <c r="FCV33" s="13"/>
      <c r="FCW33" s="13"/>
      <c r="FCX33" s="13"/>
      <c r="FCY33" s="13"/>
      <c r="FCZ33" s="13"/>
      <c r="FDA33" s="13"/>
      <c r="FDB33" s="13"/>
      <c r="FDC33" s="13"/>
      <c r="FDD33" s="13"/>
      <c r="FDE33" s="13"/>
      <c r="FDF33" s="13"/>
      <c r="FDG33" s="13"/>
      <c r="FDH33" s="13"/>
      <c r="FDI33" s="13"/>
      <c r="FDJ33" s="13"/>
      <c r="FDK33" s="13"/>
      <c r="FDL33" s="13"/>
      <c r="FDM33" s="13"/>
      <c r="FDN33" s="13"/>
      <c r="FDO33" s="13"/>
      <c r="FDP33" s="13"/>
      <c r="FDQ33" s="13"/>
      <c r="FDR33" s="13"/>
      <c r="FDS33" s="13"/>
      <c r="FDT33" s="13"/>
      <c r="FDU33" s="13"/>
      <c r="FDV33" s="13"/>
      <c r="FDW33" s="13"/>
      <c r="FDX33" s="13"/>
      <c r="FDY33" s="13"/>
      <c r="FDZ33" s="13"/>
      <c r="FEA33" s="13"/>
      <c r="FEB33" s="13"/>
      <c r="FEC33" s="13"/>
      <c r="FED33" s="13"/>
      <c r="FEE33" s="13"/>
      <c r="FEF33" s="13"/>
      <c r="FEG33" s="13"/>
      <c r="FEH33" s="13"/>
      <c r="FEI33" s="13"/>
      <c r="FEJ33" s="13"/>
      <c r="FEK33" s="13"/>
      <c r="FEL33" s="13"/>
      <c r="FEM33" s="13"/>
      <c r="FEN33" s="13"/>
      <c r="FEO33" s="13"/>
      <c r="FEP33" s="13"/>
      <c r="FEQ33" s="13"/>
      <c r="FER33" s="13"/>
      <c r="FES33" s="13"/>
      <c r="FET33" s="13"/>
      <c r="FEU33" s="13"/>
      <c r="FEV33" s="13"/>
      <c r="FEW33" s="13"/>
      <c r="FEX33" s="13"/>
      <c r="FEY33" s="13"/>
      <c r="FEZ33" s="13"/>
      <c r="FFA33" s="13"/>
      <c r="FFB33" s="13"/>
      <c r="FFC33" s="13"/>
      <c r="FFD33" s="13"/>
      <c r="FFE33" s="13"/>
      <c r="FFF33" s="13"/>
      <c r="FFG33" s="13"/>
      <c r="FFH33" s="13"/>
      <c r="FFI33" s="13"/>
      <c r="FFJ33" s="13"/>
      <c r="FFK33" s="13"/>
      <c r="FFL33" s="13"/>
      <c r="FFM33" s="13"/>
      <c r="FFN33" s="13"/>
      <c r="FFO33" s="13"/>
      <c r="FFP33" s="13"/>
      <c r="FFQ33" s="13"/>
      <c r="FFR33" s="13"/>
      <c r="FFS33" s="13"/>
      <c r="FFT33" s="13"/>
      <c r="FFU33" s="13"/>
      <c r="FFV33" s="13"/>
      <c r="FFW33" s="13"/>
      <c r="FFX33" s="13"/>
      <c r="FFY33" s="13"/>
      <c r="FFZ33" s="13"/>
      <c r="FGA33" s="13"/>
      <c r="FGB33" s="13"/>
      <c r="FGC33" s="13"/>
      <c r="FGD33" s="13"/>
      <c r="FGE33" s="13"/>
      <c r="FGF33" s="13"/>
      <c r="FGG33" s="13"/>
      <c r="FGH33" s="13"/>
      <c r="FGI33" s="13"/>
      <c r="FGJ33" s="13"/>
      <c r="FGK33" s="13"/>
      <c r="FGL33" s="13"/>
      <c r="FGM33" s="13"/>
      <c r="FGN33" s="13"/>
      <c r="FGO33" s="13"/>
      <c r="FGP33" s="13"/>
      <c r="FGQ33" s="13"/>
      <c r="FGR33" s="13"/>
      <c r="FGS33" s="13"/>
      <c r="FGT33" s="13"/>
      <c r="FGU33" s="13"/>
      <c r="FGV33" s="13"/>
      <c r="FGW33" s="13"/>
      <c r="FGX33" s="13"/>
      <c r="FGY33" s="13"/>
      <c r="FGZ33" s="13"/>
      <c r="FHA33" s="13"/>
      <c r="FHB33" s="13"/>
      <c r="FHC33" s="13"/>
      <c r="FHD33" s="13"/>
      <c r="FHE33" s="13"/>
      <c r="FHF33" s="13"/>
      <c r="FHG33" s="13"/>
      <c r="FHH33" s="13"/>
      <c r="FHI33" s="13"/>
      <c r="FHJ33" s="13"/>
      <c r="FHK33" s="13"/>
      <c r="FHL33" s="13"/>
      <c r="FHM33" s="13"/>
      <c r="FHN33" s="13"/>
      <c r="FHO33" s="13"/>
      <c r="FHP33" s="13"/>
      <c r="FHQ33" s="13"/>
      <c r="FHR33" s="13"/>
      <c r="FHS33" s="13"/>
      <c r="FHT33" s="13"/>
      <c r="FHU33" s="13"/>
      <c r="FHV33" s="13"/>
      <c r="FHW33" s="13"/>
      <c r="FHX33" s="13"/>
      <c r="FHY33" s="13"/>
      <c r="FHZ33" s="13"/>
      <c r="FIA33" s="13"/>
      <c r="FIB33" s="13"/>
      <c r="FIC33" s="13"/>
      <c r="FID33" s="13"/>
      <c r="FIE33" s="13"/>
      <c r="FIF33" s="13"/>
      <c r="FIG33" s="13"/>
      <c r="FIH33" s="13"/>
      <c r="FII33" s="13"/>
      <c r="FIJ33" s="13"/>
      <c r="FIK33" s="13"/>
      <c r="FIL33" s="13"/>
      <c r="FIM33" s="13"/>
      <c r="FIN33" s="13"/>
      <c r="FIO33" s="13"/>
      <c r="FIP33" s="13"/>
      <c r="FIQ33" s="13"/>
      <c r="FIR33" s="13"/>
      <c r="FIS33" s="13"/>
      <c r="FIT33" s="13"/>
      <c r="FIU33" s="13"/>
      <c r="FIV33" s="13"/>
      <c r="FIW33" s="13"/>
      <c r="FIX33" s="13"/>
      <c r="FIY33" s="13"/>
      <c r="FIZ33" s="13"/>
      <c r="FJA33" s="13"/>
      <c r="FJB33" s="13"/>
      <c r="FJC33" s="13"/>
      <c r="FJD33" s="13"/>
      <c r="FJE33" s="13"/>
      <c r="FJF33" s="13"/>
      <c r="FJG33" s="13"/>
      <c r="FJH33" s="13"/>
      <c r="FJI33" s="13"/>
      <c r="FJJ33" s="13"/>
      <c r="FJK33" s="13"/>
      <c r="FJL33" s="13"/>
      <c r="FJM33" s="13"/>
      <c r="FJN33" s="13"/>
      <c r="FJO33" s="13"/>
      <c r="FJP33" s="13"/>
      <c r="FJQ33" s="13"/>
      <c r="FJR33" s="13"/>
      <c r="FJS33" s="13"/>
      <c r="FJT33" s="13"/>
      <c r="FJU33" s="13"/>
      <c r="FJV33" s="13"/>
      <c r="FJW33" s="13"/>
      <c r="FJX33" s="13"/>
      <c r="FJY33" s="13"/>
      <c r="FJZ33" s="13"/>
      <c r="FKA33" s="13"/>
      <c r="FKB33" s="13"/>
      <c r="FKC33" s="13"/>
      <c r="FKD33" s="13"/>
      <c r="FKE33" s="13"/>
      <c r="FKF33" s="13"/>
      <c r="FKG33" s="13"/>
      <c r="FKH33" s="13"/>
      <c r="FKI33" s="13"/>
      <c r="FKJ33" s="13"/>
      <c r="FKK33" s="13"/>
      <c r="FKL33" s="13"/>
      <c r="FKM33" s="13"/>
      <c r="FKN33" s="13"/>
      <c r="FKO33" s="13"/>
      <c r="FKP33" s="13"/>
      <c r="FKQ33" s="13"/>
      <c r="FKR33" s="13"/>
      <c r="FKS33" s="13"/>
      <c r="FKT33" s="13"/>
      <c r="FKU33" s="13"/>
      <c r="FKV33" s="13"/>
      <c r="FKW33" s="13"/>
      <c r="FKX33" s="13"/>
      <c r="FKY33" s="13"/>
      <c r="FKZ33" s="13"/>
      <c r="FLA33" s="13"/>
      <c r="FLB33" s="13"/>
      <c r="FLC33" s="13"/>
      <c r="FLD33" s="13"/>
      <c r="FLE33" s="13"/>
      <c r="FLF33" s="13"/>
      <c r="FLG33" s="13"/>
      <c r="FLH33" s="13"/>
      <c r="FLI33" s="13"/>
      <c r="FLJ33" s="13"/>
      <c r="FLK33" s="13"/>
      <c r="FLL33" s="13"/>
      <c r="FLM33" s="13"/>
      <c r="FLN33" s="13"/>
      <c r="FLO33" s="13"/>
      <c r="FLP33" s="13"/>
      <c r="FLQ33" s="13"/>
      <c r="FLR33" s="13"/>
      <c r="FLS33" s="13"/>
      <c r="FLT33" s="13"/>
      <c r="FLU33" s="13"/>
      <c r="FLV33" s="13"/>
      <c r="FLW33" s="13"/>
      <c r="FLX33" s="13"/>
      <c r="FLY33" s="13"/>
      <c r="FLZ33" s="13"/>
      <c r="FMA33" s="13"/>
      <c r="FMB33" s="13"/>
      <c r="FMC33" s="13"/>
      <c r="FMD33" s="13"/>
      <c r="FME33" s="13"/>
      <c r="FMF33" s="13"/>
      <c r="FMG33" s="13"/>
      <c r="FMH33" s="13"/>
      <c r="FMI33" s="13"/>
      <c r="FMJ33" s="13"/>
      <c r="FMK33" s="13"/>
      <c r="FML33" s="13"/>
      <c r="FMM33" s="13"/>
      <c r="FMN33" s="13"/>
      <c r="FMO33" s="13"/>
      <c r="FMP33" s="13"/>
      <c r="FMQ33" s="13"/>
      <c r="FMR33" s="13"/>
      <c r="FMS33" s="13"/>
      <c r="FMT33" s="13"/>
      <c r="FMU33" s="13"/>
      <c r="FMV33" s="13"/>
      <c r="FMW33" s="13"/>
      <c r="FMX33" s="13"/>
      <c r="FMY33" s="13"/>
      <c r="FMZ33" s="13"/>
      <c r="FNA33" s="13"/>
      <c r="FNB33" s="13"/>
      <c r="FNC33" s="13"/>
      <c r="FND33" s="13"/>
      <c r="FNE33" s="13"/>
      <c r="FNF33" s="13"/>
      <c r="FNG33" s="13"/>
      <c r="FNH33" s="13"/>
      <c r="FNI33" s="13"/>
      <c r="FNJ33" s="13"/>
      <c r="FNK33" s="13"/>
      <c r="FNL33" s="13"/>
      <c r="FNM33" s="13"/>
      <c r="FNN33" s="13"/>
      <c r="FNO33" s="13"/>
      <c r="FNP33" s="13"/>
      <c r="FNQ33" s="13"/>
      <c r="FNR33" s="13"/>
      <c r="FNS33" s="13"/>
      <c r="FNT33" s="13"/>
      <c r="FNU33" s="13"/>
      <c r="FNV33" s="13"/>
      <c r="FNW33" s="13"/>
      <c r="FNX33" s="13"/>
      <c r="FNY33" s="13"/>
      <c r="FNZ33" s="13"/>
      <c r="FOA33" s="13"/>
      <c r="FOB33" s="13"/>
      <c r="FOC33" s="13"/>
      <c r="FOD33" s="13"/>
      <c r="FOE33" s="13"/>
      <c r="FOF33" s="13"/>
      <c r="FOG33" s="13"/>
      <c r="FOH33" s="13"/>
      <c r="FOI33" s="13"/>
      <c r="FOJ33" s="13"/>
      <c r="FOK33" s="13"/>
      <c r="FOL33" s="13"/>
      <c r="FOM33" s="13"/>
      <c r="FON33" s="13"/>
      <c r="FOO33" s="13"/>
      <c r="FOP33" s="13"/>
      <c r="FOQ33" s="13"/>
      <c r="FOR33" s="13"/>
      <c r="FOS33" s="13"/>
      <c r="FOT33" s="13"/>
      <c r="FOU33" s="13"/>
      <c r="FOV33" s="13"/>
      <c r="FOW33" s="13"/>
      <c r="FOX33" s="13"/>
      <c r="FOY33" s="13"/>
      <c r="FOZ33" s="13"/>
      <c r="FPA33" s="13"/>
      <c r="FPB33" s="13"/>
      <c r="FPC33" s="13"/>
      <c r="FPD33" s="13"/>
      <c r="FPE33" s="13"/>
      <c r="FPF33" s="13"/>
      <c r="FPG33" s="13"/>
      <c r="FPH33" s="13"/>
      <c r="FPI33" s="13"/>
      <c r="FPJ33" s="13"/>
      <c r="FPK33" s="13"/>
      <c r="FPL33" s="13"/>
      <c r="FPM33" s="13"/>
      <c r="FPN33" s="13"/>
      <c r="FPO33" s="13"/>
      <c r="FPP33" s="13"/>
      <c r="FPQ33" s="13"/>
      <c r="FPR33" s="13"/>
      <c r="FPS33" s="13"/>
      <c r="FPT33" s="13"/>
      <c r="FPU33" s="13"/>
      <c r="FPV33" s="13"/>
      <c r="FPW33" s="13"/>
      <c r="FPX33" s="13"/>
      <c r="FPY33" s="13"/>
      <c r="FPZ33" s="13"/>
      <c r="FQA33" s="13"/>
      <c r="FQB33" s="13"/>
      <c r="FQC33" s="13"/>
      <c r="FQD33" s="13"/>
      <c r="FQE33" s="13"/>
      <c r="FQF33" s="13"/>
      <c r="FQG33" s="13"/>
      <c r="FQH33" s="13"/>
      <c r="FQI33" s="13"/>
      <c r="FQJ33" s="13"/>
      <c r="FQK33" s="13"/>
      <c r="FQL33" s="13"/>
      <c r="FQM33" s="13"/>
      <c r="FQN33" s="13"/>
      <c r="FQO33" s="13"/>
      <c r="FQP33" s="13"/>
      <c r="FQQ33" s="13"/>
      <c r="FQR33" s="13"/>
      <c r="FQS33" s="13"/>
      <c r="FQT33" s="13"/>
      <c r="FQU33" s="13"/>
      <c r="FQV33" s="13"/>
      <c r="FQW33" s="13"/>
      <c r="FQX33" s="13"/>
      <c r="FQY33" s="13"/>
      <c r="FQZ33" s="13"/>
      <c r="FRA33" s="13"/>
      <c r="FRB33" s="13"/>
      <c r="FRC33" s="13"/>
      <c r="FRD33" s="13"/>
      <c r="FRE33" s="13"/>
      <c r="FRF33" s="13"/>
      <c r="FRG33" s="13"/>
      <c r="FRH33" s="13"/>
      <c r="FRI33" s="13"/>
      <c r="FRJ33" s="13"/>
      <c r="FRK33" s="13"/>
      <c r="FRL33" s="13"/>
      <c r="FRM33" s="13"/>
      <c r="FRN33" s="13"/>
      <c r="FRO33" s="13"/>
      <c r="FRP33" s="13"/>
      <c r="FRQ33" s="13"/>
      <c r="FRR33" s="13"/>
      <c r="FRS33" s="13"/>
      <c r="FRT33" s="13"/>
      <c r="FRU33" s="13"/>
      <c r="FRV33" s="13"/>
      <c r="FRW33" s="13"/>
      <c r="FRX33" s="13"/>
      <c r="FRY33" s="13"/>
      <c r="FRZ33" s="13"/>
      <c r="FSA33" s="13"/>
      <c r="FSB33" s="13"/>
      <c r="FSC33" s="13"/>
      <c r="FSD33" s="13"/>
      <c r="FSE33" s="13"/>
      <c r="FSF33" s="13"/>
      <c r="FSG33" s="13"/>
      <c r="FSH33" s="13"/>
      <c r="FSI33" s="13"/>
      <c r="FSJ33" s="13"/>
      <c r="FSK33" s="13"/>
      <c r="FSL33" s="13"/>
      <c r="FSM33" s="13"/>
      <c r="FSN33" s="13"/>
      <c r="FSO33" s="13"/>
      <c r="FSP33" s="13"/>
      <c r="FSQ33" s="13"/>
      <c r="FSR33" s="13"/>
      <c r="FSS33" s="13"/>
      <c r="FST33" s="13"/>
      <c r="FSU33" s="13"/>
      <c r="FSV33" s="13"/>
      <c r="FSW33" s="13"/>
      <c r="FSX33" s="13"/>
      <c r="FSY33" s="13"/>
      <c r="FSZ33" s="13"/>
      <c r="FTA33" s="13"/>
      <c r="FTB33" s="13"/>
      <c r="FTC33" s="13"/>
      <c r="FTD33" s="13"/>
      <c r="FTE33" s="13"/>
      <c r="FTF33" s="13"/>
      <c r="FTG33" s="13"/>
      <c r="FTH33" s="13"/>
      <c r="FTI33" s="13"/>
      <c r="FTJ33" s="13"/>
      <c r="FTK33" s="13"/>
      <c r="FTL33" s="13"/>
      <c r="FTM33" s="13"/>
      <c r="FTN33" s="13"/>
      <c r="FTO33" s="13"/>
      <c r="FTP33" s="13"/>
      <c r="FTQ33" s="13"/>
      <c r="FTR33" s="13"/>
      <c r="FTS33" s="13"/>
      <c r="FTT33" s="13"/>
      <c r="FTU33" s="13"/>
      <c r="FTV33" s="13"/>
      <c r="FTW33" s="13"/>
      <c r="FTX33" s="13"/>
      <c r="FTY33" s="13"/>
      <c r="FTZ33" s="13"/>
      <c r="FUA33" s="13"/>
      <c r="FUB33" s="13"/>
      <c r="FUC33" s="13"/>
      <c r="FUD33" s="13"/>
      <c r="FUE33" s="13"/>
      <c r="FUF33" s="13"/>
      <c r="FUG33" s="13"/>
      <c r="FUH33" s="13"/>
      <c r="FUI33" s="13"/>
      <c r="FUJ33" s="13"/>
      <c r="FUK33" s="13"/>
      <c r="FUL33" s="13"/>
      <c r="FUM33" s="13"/>
      <c r="FUN33" s="13"/>
      <c r="FUO33" s="13"/>
      <c r="FUP33" s="13"/>
      <c r="FUQ33" s="13"/>
      <c r="FUR33" s="13"/>
      <c r="FUS33" s="13"/>
      <c r="FUT33" s="13"/>
      <c r="FUU33" s="13"/>
      <c r="FUV33" s="13"/>
      <c r="FUW33" s="13"/>
      <c r="FUX33" s="13"/>
      <c r="FUY33" s="13"/>
      <c r="FUZ33" s="13"/>
      <c r="FVA33" s="13"/>
      <c r="FVB33" s="13"/>
      <c r="FVC33" s="13"/>
      <c r="FVD33" s="13"/>
      <c r="FVE33" s="13"/>
      <c r="FVF33" s="13"/>
      <c r="FVG33" s="13"/>
      <c r="FVH33" s="13"/>
      <c r="FVI33" s="13"/>
      <c r="FVJ33" s="13"/>
      <c r="FVK33" s="13"/>
      <c r="FVL33" s="13"/>
      <c r="FVM33" s="13"/>
      <c r="FVN33" s="13"/>
      <c r="FVO33" s="13"/>
      <c r="FVP33" s="13"/>
      <c r="FVQ33" s="13"/>
      <c r="FVR33" s="13"/>
      <c r="FVS33" s="13"/>
      <c r="FVT33" s="13"/>
      <c r="FVU33" s="13"/>
      <c r="FVV33" s="13"/>
      <c r="FVW33" s="13"/>
      <c r="FVX33" s="13"/>
      <c r="FVY33" s="13"/>
      <c r="FVZ33" s="13"/>
      <c r="FWA33" s="13"/>
      <c r="FWB33" s="13"/>
      <c r="FWC33" s="13"/>
      <c r="FWD33" s="13"/>
      <c r="FWE33" s="13"/>
      <c r="FWF33" s="13"/>
      <c r="FWG33" s="13"/>
      <c r="FWH33" s="13"/>
      <c r="FWI33" s="13"/>
      <c r="FWJ33" s="13"/>
      <c r="FWK33" s="13"/>
      <c r="FWL33" s="13"/>
      <c r="FWM33" s="13"/>
      <c r="FWN33" s="13"/>
      <c r="FWO33" s="13"/>
      <c r="FWP33" s="13"/>
      <c r="FWQ33" s="13"/>
      <c r="FWR33" s="13"/>
      <c r="FWS33" s="13"/>
      <c r="FWT33" s="13"/>
      <c r="FWU33" s="13"/>
      <c r="FWV33" s="13"/>
      <c r="FWW33" s="13"/>
      <c r="FWX33" s="13"/>
      <c r="FWY33" s="13"/>
      <c r="FWZ33" s="13"/>
      <c r="FXA33" s="13"/>
      <c r="FXB33" s="13"/>
      <c r="FXC33" s="13"/>
      <c r="FXD33" s="13"/>
      <c r="FXE33" s="13"/>
      <c r="FXF33" s="13"/>
      <c r="FXG33" s="13"/>
      <c r="FXH33" s="13"/>
      <c r="FXI33" s="13"/>
      <c r="FXJ33" s="13"/>
      <c r="FXK33" s="13"/>
      <c r="FXL33" s="13"/>
      <c r="FXM33" s="13"/>
      <c r="FXN33" s="13"/>
      <c r="FXO33" s="13"/>
      <c r="FXP33" s="13"/>
      <c r="FXQ33" s="13"/>
      <c r="FXR33" s="13"/>
      <c r="FXS33" s="13"/>
      <c r="FXT33" s="13"/>
      <c r="FXU33" s="13"/>
      <c r="FXV33" s="13"/>
      <c r="FXW33" s="13"/>
      <c r="FXX33" s="13"/>
      <c r="FXY33" s="13"/>
      <c r="FXZ33" s="13"/>
      <c r="FYA33" s="13"/>
      <c r="FYB33" s="13"/>
      <c r="FYC33" s="13"/>
      <c r="FYD33" s="13"/>
      <c r="FYE33" s="13"/>
      <c r="FYF33" s="13"/>
      <c r="FYG33" s="13"/>
      <c r="FYH33" s="13"/>
      <c r="FYI33" s="13"/>
      <c r="FYJ33" s="13"/>
      <c r="FYK33" s="13"/>
      <c r="FYL33" s="13"/>
      <c r="FYM33" s="13"/>
      <c r="FYN33" s="13"/>
      <c r="FYO33" s="13"/>
      <c r="FYP33" s="13"/>
      <c r="FYQ33" s="13"/>
      <c r="FYR33" s="13"/>
      <c r="FYS33" s="13"/>
      <c r="FYT33" s="13"/>
      <c r="FYU33" s="13"/>
      <c r="FYV33" s="13"/>
      <c r="FYW33" s="13"/>
      <c r="FYX33" s="13"/>
      <c r="FYY33" s="13"/>
      <c r="FYZ33" s="13"/>
      <c r="FZA33" s="13"/>
      <c r="FZB33" s="13"/>
      <c r="FZC33" s="13"/>
      <c r="FZD33" s="13"/>
      <c r="FZE33" s="13"/>
      <c r="FZF33" s="13"/>
      <c r="FZG33" s="13"/>
      <c r="FZH33" s="13"/>
      <c r="FZI33" s="13"/>
      <c r="FZJ33" s="13"/>
      <c r="FZK33" s="13"/>
      <c r="FZL33" s="13"/>
      <c r="FZM33" s="13"/>
      <c r="FZN33" s="13"/>
      <c r="FZO33" s="13"/>
      <c r="FZP33" s="13"/>
      <c r="FZQ33" s="13"/>
      <c r="FZR33" s="13"/>
      <c r="FZS33" s="13"/>
      <c r="FZT33" s="13"/>
      <c r="FZU33" s="13"/>
      <c r="FZV33" s="13"/>
      <c r="FZW33" s="13"/>
      <c r="FZX33" s="13"/>
      <c r="FZY33" s="13"/>
      <c r="FZZ33" s="13"/>
      <c r="GAA33" s="13"/>
      <c r="GAB33" s="13"/>
      <c r="GAC33" s="13"/>
      <c r="GAD33" s="13"/>
      <c r="GAE33" s="13"/>
      <c r="GAF33" s="13"/>
      <c r="GAG33" s="13"/>
      <c r="GAH33" s="13"/>
      <c r="GAI33" s="13"/>
      <c r="GAJ33" s="13"/>
      <c r="GAK33" s="13"/>
      <c r="GAL33" s="13"/>
      <c r="GAM33" s="13"/>
      <c r="GAN33" s="13"/>
      <c r="GAO33" s="13"/>
      <c r="GAP33" s="13"/>
      <c r="GAQ33" s="13"/>
      <c r="GAR33" s="13"/>
      <c r="GAS33" s="13"/>
      <c r="GAT33" s="13"/>
      <c r="GAU33" s="13"/>
      <c r="GAV33" s="13"/>
      <c r="GAW33" s="13"/>
      <c r="GAX33" s="13"/>
      <c r="GAY33" s="13"/>
      <c r="GAZ33" s="13"/>
      <c r="GBA33" s="13"/>
      <c r="GBB33" s="13"/>
      <c r="GBC33" s="13"/>
      <c r="GBD33" s="13"/>
      <c r="GBE33" s="13"/>
      <c r="GBF33" s="13"/>
      <c r="GBG33" s="13"/>
      <c r="GBH33" s="13"/>
      <c r="GBI33" s="13"/>
      <c r="GBJ33" s="13"/>
      <c r="GBK33" s="13"/>
      <c r="GBL33" s="13"/>
      <c r="GBM33" s="13"/>
      <c r="GBN33" s="13"/>
      <c r="GBO33" s="13"/>
      <c r="GBP33" s="13"/>
      <c r="GBQ33" s="13"/>
      <c r="GBR33" s="13"/>
      <c r="GBS33" s="13"/>
      <c r="GBT33" s="13"/>
      <c r="GBU33" s="13"/>
      <c r="GBV33" s="13"/>
      <c r="GBW33" s="13"/>
      <c r="GBX33" s="13"/>
      <c r="GBY33" s="13"/>
      <c r="GBZ33" s="13"/>
      <c r="GCA33" s="13"/>
      <c r="GCB33" s="13"/>
      <c r="GCC33" s="13"/>
      <c r="GCD33" s="13"/>
      <c r="GCE33" s="13"/>
      <c r="GCF33" s="13"/>
      <c r="GCG33" s="13"/>
      <c r="GCH33" s="13"/>
      <c r="GCI33" s="13"/>
      <c r="GCJ33" s="13"/>
      <c r="GCK33" s="13"/>
      <c r="GCL33" s="13"/>
      <c r="GCM33" s="13"/>
      <c r="GCN33" s="13"/>
      <c r="GCO33" s="13"/>
      <c r="GCP33" s="13"/>
      <c r="GCQ33" s="13"/>
      <c r="GCR33" s="13"/>
      <c r="GCS33" s="13"/>
      <c r="GCT33" s="13"/>
      <c r="GCU33" s="13"/>
      <c r="GCV33" s="13"/>
      <c r="GCW33" s="13"/>
      <c r="GCX33" s="13"/>
      <c r="GCY33" s="13"/>
      <c r="GCZ33" s="13"/>
      <c r="GDA33" s="13"/>
      <c r="GDB33" s="13"/>
      <c r="GDC33" s="13"/>
      <c r="GDD33" s="13"/>
      <c r="GDE33" s="13"/>
      <c r="GDF33" s="13"/>
      <c r="GDG33" s="13"/>
      <c r="GDH33" s="13"/>
      <c r="GDI33" s="13"/>
      <c r="GDJ33" s="13"/>
      <c r="GDK33" s="13"/>
      <c r="GDL33" s="13"/>
      <c r="GDM33" s="13"/>
      <c r="GDN33" s="13"/>
      <c r="GDO33" s="13"/>
      <c r="GDP33" s="13"/>
      <c r="GDQ33" s="13"/>
      <c r="GDR33" s="13"/>
      <c r="GDS33" s="13"/>
      <c r="GDT33" s="13"/>
      <c r="GDU33" s="13"/>
      <c r="GDV33" s="13"/>
      <c r="GDW33" s="13"/>
      <c r="GDX33" s="13"/>
      <c r="GDY33" s="13"/>
      <c r="GDZ33" s="13"/>
      <c r="GEA33" s="13"/>
      <c r="GEB33" s="13"/>
      <c r="GEC33" s="13"/>
      <c r="GED33" s="13"/>
      <c r="GEE33" s="13"/>
      <c r="GEF33" s="13"/>
      <c r="GEG33" s="13"/>
      <c r="GEH33" s="13"/>
      <c r="GEI33" s="13"/>
      <c r="GEJ33" s="13"/>
      <c r="GEK33" s="13"/>
      <c r="GEL33" s="13"/>
      <c r="GEM33" s="13"/>
      <c r="GEN33" s="13"/>
      <c r="GEO33" s="13"/>
      <c r="GEP33" s="13"/>
      <c r="GEQ33" s="13"/>
      <c r="GER33" s="13"/>
      <c r="GES33" s="13"/>
      <c r="GET33" s="13"/>
      <c r="GEU33" s="13"/>
      <c r="GEV33" s="13"/>
      <c r="GEW33" s="13"/>
      <c r="GEX33" s="13"/>
      <c r="GEY33" s="13"/>
      <c r="GEZ33" s="13"/>
      <c r="GFA33" s="13"/>
      <c r="GFB33" s="13"/>
      <c r="GFC33" s="13"/>
      <c r="GFD33" s="13"/>
      <c r="GFE33" s="13"/>
      <c r="GFF33" s="13"/>
      <c r="GFG33" s="13"/>
      <c r="GFH33" s="13"/>
      <c r="GFI33" s="13"/>
      <c r="GFJ33" s="13"/>
      <c r="GFK33" s="13"/>
      <c r="GFL33" s="13"/>
      <c r="GFM33" s="13"/>
      <c r="GFN33" s="13"/>
      <c r="GFO33" s="13"/>
      <c r="GFP33" s="13"/>
      <c r="GFQ33" s="13"/>
      <c r="GFR33" s="13"/>
      <c r="GFS33" s="13"/>
      <c r="GFT33" s="13"/>
      <c r="GFU33" s="13"/>
      <c r="GFV33" s="13"/>
      <c r="GFW33" s="13"/>
      <c r="GFX33" s="13"/>
      <c r="GFY33" s="13"/>
      <c r="GFZ33" s="13"/>
      <c r="GGA33" s="13"/>
      <c r="GGB33" s="13"/>
      <c r="GGC33" s="13"/>
      <c r="GGD33" s="13"/>
      <c r="GGE33" s="13"/>
      <c r="GGF33" s="13"/>
      <c r="GGG33" s="13"/>
      <c r="GGH33" s="13"/>
      <c r="GGI33" s="13"/>
      <c r="GGJ33" s="13"/>
      <c r="GGK33" s="13"/>
      <c r="GGL33" s="13"/>
      <c r="GGM33" s="13"/>
      <c r="GGN33" s="13"/>
      <c r="GGO33" s="13"/>
      <c r="GGP33" s="13"/>
      <c r="GGQ33" s="13"/>
      <c r="GGR33" s="13"/>
      <c r="GGS33" s="13"/>
      <c r="GGT33" s="13"/>
      <c r="GGU33" s="13"/>
      <c r="GGV33" s="13"/>
      <c r="GGW33" s="13"/>
      <c r="GGX33" s="13"/>
      <c r="GGY33" s="13"/>
      <c r="GGZ33" s="13"/>
      <c r="GHA33" s="13"/>
      <c r="GHB33" s="13"/>
      <c r="GHC33" s="13"/>
      <c r="GHD33" s="13"/>
      <c r="GHE33" s="13"/>
      <c r="GHF33" s="13"/>
      <c r="GHG33" s="13"/>
      <c r="GHH33" s="13"/>
      <c r="GHI33" s="13"/>
      <c r="GHJ33" s="13"/>
      <c r="GHK33" s="13"/>
      <c r="GHL33" s="13"/>
      <c r="GHM33" s="13"/>
      <c r="GHN33" s="13"/>
      <c r="GHO33" s="13"/>
      <c r="GHP33" s="13"/>
      <c r="GHQ33" s="13"/>
      <c r="GHR33" s="13"/>
      <c r="GHS33" s="13"/>
      <c r="GHT33" s="13"/>
      <c r="GHU33" s="13"/>
      <c r="GHV33" s="13"/>
      <c r="GHW33" s="13"/>
      <c r="GHX33" s="13"/>
      <c r="GHY33" s="13"/>
      <c r="GHZ33" s="13"/>
      <c r="GIA33" s="13"/>
      <c r="GIB33" s="13"/>
      <c r="GIC33" s="13"/>
      <c r="GID33" s="13"/>
      <c r="GIE33" s="13"/>
      <c r="GIF33" s="13"/>
      <c r="GIG33" s="13"/>
      <c r="GIH33" s="13"/>
      <c r="GII33" s="13"/>
      <c r="GIJ33" s="13"/>
      <c r="GIK33" s="13"/>
      <c r="GIL33" s="13"/>
      <c r="GIM33" s="13"/>
      <c r="GIN33" s="13"/>
      <c r="GIO33" s="13"/>
      <c r="GIP33" s="13"/>
      <c r="GIQ33" s="13"/>
      <c r="GIR33" s="13"/>
      <c r="GIS33" s="13"/>
      <c r="GIT33" s="13"/>
      <c r="GIU33" s="13"/>
      <c r="GIV33" s="13"/>
      <c r="GIW33" s="13"/>
      <c r="GIX33" s="13"/>
      <c r="GIY33" s="13"/>
      <c r="GIZ33" s="13"/>
      <c r="GJA33" s="13"/>
      <c r="GJB33" s="13"/>
      <c r="GJC33" s="13"/>
      <c r="GJD33" s="13"/>
      <c r="GJE33" s="13"/>
      <c r="GJF33" s="13"/>
      <c r="GJG33" s="13"/>
      <c r="GJH33" s="13"/>
      <c r="GJI33" s="13"/>
      <c r="GJJ33" s="13"/>
      <c r="GJK33" s="13"/>
      <c r="GJL33" s="13"/>
      <c r="GJM33" s="13"/>
      <c r="GJN33" s="13"/>
      <c r="GJO33" s="13"/>
      <c r="GJP33" s="13"/>
      <c r="GJQ33" s="13"/>
      <c r="GJR33" s="13"/>
      <c r="GJS33" s="13"/>
      <c r="GJT33" s="13"/>
      <c r="GJU33" s="13"/>
      <c r="GJV33" s="13"/>
      <c r="GJW33" s="13"/>
      <c r="GJX33" s="13"/>
      <c r="GJY33" s="13"/>
      <c r="GJZ33" s="13"/>
      <c r="GKA33" s="13"/>
      <c r="GKB33" s="13"/>
      <c r="GKC33" s="13"/>
      <c r="GKD33" s="13"/>
      <c r="GKE33" s="13"/>
      <c r="GKF33" s="13"/>
      <c r="GKG33" s="13"/>
      <c r="GKH33" s="13"/>
      <c r="GKI33" s="13"/>
      <c r="GKJ33" s="13"/>
      <c r="GKK33" s="13"/>
      <c r="GKL33" s="13"/>
      <c r="GKM33" s="13"/>
      <c r="GKN33" s="13"/>
      <c r="GKO33" s="13"/>
      <c r="GKP33" s="13"/>
      <c r="GKQ33" s="13"/>
      <c r="GKR33" s="13"/>
      <c r="GKS33" s="13"/>
      <c r="GKT33" s="13"/>
      <c r="GKU33" s="13"/>
      <c r="GKV33" s="13"/>
      <c r="GKW33" s="13"/>
      <c r="GKX33" s="13"/>
      <c r="GKY33" s="13"/>
      <c r="GKZ33" s="13"/>
      <c r="GLA33" s="13"/>
      <c r="GLB33" s="13"/>
      <c r="GLC33" s="13"/>
      <c r="GLD33" s="13"/>
      <c r="GLE33" s="13"/>
      <c r="GLF33" s="13"/>
      <c r="GLG33" s="13"/>
      <c r="GLH33" s="13"/>
      <c r="GLI33" s="13"/>
      <c r="GLJ33" s="13"/>
      <c r="GLK33" s="13"/>
      <c r="GLL33" s="13"/>
      <c r="GLM33" s="13"/>
      <c r="GLN33" s="13"/>
      <c r="GLO33" s="13"/>
      <c r="GLP33" s="13"/>
      <c r="GLQ33" s="13"/>
      <c r="GLR33" s="13"/>
      <c r="GLS33" s="13"/>
      <c r="GLT33" s="13"/>
      <c r="GLU33" s="13"/>
      <c r="GLV33" s="13"/>
      <c r="GLW33" s="13"/>
      <c r="GLX33" s="13"/>
      <c r="GLY33" s="13"/>
      <c r="GLZ33" s="13"/>
      <c r="GMA33" s="13"/>
      <c r="GMB33" s="13"/>
      <c r="GMC33" s="13"/>
      <c r="GMD33" s="13"/>
      <c r="GME33" s="13"/>
      <c r="GMF33" s="13"/>
      <c r="GMG33" s="13"/>
      <c r="GMH33" s="13"/>
      <c r="GMI33" s="13"/>
      <c r="GMJ33" s="13"/>
      <c r="GMK33" s="13"/>
      <c r="GML33" s="13"/>
      <c r="GMM33" s="13"/>
      <c r="GMN33" s="13"/>
      <c r="GMO33" s="13"/>
      <c r="GMP33" s="13"/>
      <c r="GMQ33" s="13"/>
      <c r="GMR33" s="13"/>
      <c r="GMS33" s="13"/>
      <c r="GMT33" s="13"/>
      <c r="GMU33" s="13"/>
      <c r="GMV33" s="13"/>
      <c r="GMW33" s="13"/>
      <c r="GMX33" s="13"/>
      <c r="GMY33" s="13"/>
      <c r="GMZ33" s="13"/>
      <c r="GNA33" s="13"/>
      <c r="GNB33" s="13"/>
      <c r="GNC33" s="13"/>
      <c r="GND33" s="13"/>
      <c r="GNE33" s="13"/>
      <c r="GNF33" s="13"/>
      <c r="GNG33" s="13"/>
      <c r="GNH33" s="13"/>
      <c r="GNI33" s="13"/>
      <c r="GNJ33" s="13"/>
      <c r="GNK33" s="13"/>
      <c r="GNL33" s="13"/>
      <c r="GNM33" s="13"/>
      <c r="GNN33" s="13"/>
      <c r="GNO33" s="13"/>
      <c r="GNP33" s="13"/>
      <c r="GNQ33" s="13"/>
      <c r="GNR33" s="13"/>
      <c r="GNS33" s="13"/>
      <c r="GNT33" s="13"/>
      <c r="GNU33" s="13"/>
      <c r="GNV33" s="13"/>
      <c r="GNW33" s="13"/>
      <c r="GNX33" s="13"/>
      <c r="GNY33" s="13"/>
      <c r="GNZ33" s="13"/>
      <c r="GOA33" s="13"/>
      <c r="GOB33" s="13"/>
      <c r="GOC33" s="13"/>
      <c r="GOD33" s="13"/>
      <c r="GOE33" s="13"/>
      <c r="GOF33" s="13"/>
      <c r="GOG33" s="13"/>
      <c r="GOH33" s="13"/>
      <c r="GOI33" s="13"/>
      <c r="GOJ33" s="13"/>
      <c r="GOK33" s="13"/>
      <c r="GOL33" s="13"/>
      <c r="GOM33" s="13"/>
      <c r="GON33" s="13"/>
      <c r="GOO33" s="13"/>
      <c r="GOP33" s="13"/>
      <c r="GOQ33" s="13"/>
      <c r="GOR33" s="13"/>
      <c r="GOS33" s="13"/>
      <c r="GOT33" s="13"/>
      <c r="GOU33" s="13"/>
      <c r="GOV33" s="13"/>
      <c r="GOW33" s="13"/>
      <c r="GOX33" s="13"/>
      <c r="GOY33" s="13"/>
      <c r="GOZ33" s="13"/>
      <c r="GPA33" s="13"/>
      <c r="GPB33" s="13"/>
      <c r="GPC33" s="13"/>
      <c r="GPD33" s="13"/>
      <c r="GPE33" s="13"/>
      <c r="GPF33" s="13"/>
      <c r="GPG33" s="13"/>
      <c r="GPH33" s="13"/>
      <c r="GPI33" s="13"/>
      <c r="GPJ33" s="13"/>
      <c r="GPK33" s="13"/>
      <c r="GPL33" s="13"/>
      <c r="GPM33" s="13"/>
      <c r="GPN33" s="13"/>
      <c r="GPO33" s="13"/>
      <c r="GPP33" s="13"/>
      <c r="GPQ33" s="13"/>
      <c r="GPR33" s="13"/>
      <c r="GPS33" s="13"/>
      <c r="GPT33" s="13"/>
      <c r="GPU33" s="13"/>
      <c r="GPV33" s="13"/>
      <c r="GPW33" s="13"/>
      <c r="GPX33" s="13"/>
      <c r="GPY33" s="13"/>
      <c r="GPZ33" s="13"/>
      <c r="GQA33" s="13"/>
      <c r="GQB33" s="13"/>
      <c r="GQC33" s="13"/>
      <c r="GQD33" s="13"/>
      <c r="GQE33" s="13"/>
      <c r="GQF33" s="13"/>
      <c r="GQG33" s="13"/>
      <c r="GQH33" s="13"/>
      <c r="GQI33" s="13"/>
      <c r="GQJ33" s="13"/>
      <c r="GQK33" s="13"/>
      <c r="GQL33" s="13"/>
      <c r="GQM33" s="13"/>
      <c r="GQN33" s="13"/>
      <c r="GQO33" s="13"/>
      <c r="GQP33" s="13"/>
      <c r="GQQ33" s="13"/>
      <c r="GQR33" s="13"/>
      <c r="GQS33" s="13"/>
      <c r="GQT33" s="13"/>
      <c r="GQU33" s="13"/>
      <c r="GQV33" s="13"/>
      <c r="GQW33" s="13"/>
      <c r="GQX33" s="13"/>
      <c r="GQY33" s="13"/>
      <c r="GQZ33" s="13"/>
      <c r="GRA33" s="13"/>
      <c r="GRB33" s="13"/>
      <c r="GRC33" s="13"/>
      <c r="GRD33" s="13"/>
      <c r="GRE33" s="13"/>
      <c r="GRF33" s="13"/>
      <c r="GRG33" s="13"/>
      <c r="GRH33" s="13"/>
      <c r="GRI33" s="13"/>
      <c r="GRJ33" s="13"/>
      <c r="GRK33" s="13"/>
      <c r="GRL33" s="13"/>
      <c r="GRM33" s="13"/>
      <c r="GRN33" s="13"/>
      <c r="GRO33" s="13"/>
      <c r="GRP33" s="13"/>
      <c r="GRQ33" s="13"/>
      <c r="GRR33" s="13"/>
      <c r="GRS33" s="13"/>
      <c r="GRT33" s="13"/>
      <c r="GRU33" s="13"/>
      <c r="GRV33" s="13"/>
      <c r="GRW33" s="13"/>
      <c r="GRX33" s="13"/>
      <c r="GRY33" s="13"/>
      <c r="GRZ33" s="13"/>
      <c r="GSA33" s="13"/>
      <c r="GSB33" s="13"/>
      <c r="GSC33" s="13"/>
      <c r="GSD33" s="13"/>
      <c r="GSE33" s="13"/>
      <c r="GSF33" s="13"/>
      <c r="GSG33" s="13"/>
      <c r="GSH33" s="13"/>
      <c r="GSI33" s="13"/>
      <c r="GSJ33" s="13"/>
      <c r="GSK33" s="13"/>
      <c r="GSL33" s="13"/>
      <c r="GSM33" s="13"/>
      <c r="GSN33" s="13"/>
      <c r="GSO33" s="13"/>
      <c r="GSP33" s="13"/>
      <c r="GSQ33" s="13"/>
      <c r="GSR33" s="13"/>
      <c r="GSS33" s="13"/>
      <c r="GST33" s="13"/>
      <c r="GSU33" s="13"/>
      <c r="GSV33" s="13"/>
      <c r="GSW33" s="13"/>
      <c r="GSX33" s="13"/>
      <c r="GSY33" s="13"/>
      <c r="GSZ33" s="13"/>
      <c r="GTA33" s="13"/>
      <c r="GTB33" s="13"/>
      <c r="GTC33" s="13"/>
      <c r="GTD33" s="13"/>
      <c r="GTE33" s="13"/>
      <c r="GTF33" s="13"/>
      <c r="GTG33" s="13"/>
      <c r="GTH33" s="13"/>
      <c r="GTI33" s="13"/>
      <c r="GTJ33" s="13"/>
      <c r="GTK33" s="13"/>
      <c r="GTL33" s="13"/>
      <c r="GTM33" s="13"/>
      <c r="GTN33" s="13"/>
      <c r="GTO33" s="13"/>
      <c r="GTP33" s="13"/>
      <c r="GTQ33" s="13"/>
      <c r="GTR33" s="13"/>
      <c r="GTS33" s="13"/>
      <c r="GTT33" s="13"/>
      <c r="GTU33" s="13"/>
      <c r="GTV33" s="13"/>
      <c r="GTW33" s="13"/>
      <c r="GTX33" s="13"/>
      <c r="GTY33" s="13"/>
      <c r="GTZ33" s="13"/>
      <c r="GUA33" s="13"/>
      <c r="GUB33" s="13"/>
      <c r="GUC33" s="13"/>
      <c r="GUD33" s="13"/>
      <c r="GUE33" s="13"/>
      <c r="GUF33" s="13"/>
      <c r="GUG33" s="13"/>
      <c r="GUH33" s="13"/>
      <c r="GUI33" s="13"/>
      <c r="GUJ33" s="13"/>
      <c r="GUK33" s="13"/>
      <c r="GUL33" s="13"/>
      <c r="GUM33" s="13"/>
      <c r="GUN33" s="13"/>
      <c r="GUO33" s="13"/>
      <c r="GUP33" s="13"/>
      <c r="GUQ33" s="13"/>
      <c r="GUR33" s="13"/>
      <c r="GUS33" s="13"/>
      <c r="GUT33" s="13"/>
      <c r="GUU33" s="13"/>
      <c r="GUV33" s="13"/>
      <c r="GUW33" s="13"/>
      <c r="GUX33" s="13"/>
      <c r="GUY33" s="13"/>
      <c r="GUZ33" s="13"/>
      <c r="GVA33" s="13"/>
      <c r="GVB33" s="13"/>
      <c r="GVC33" s="13"/>
      <c r="GVD33" s="13"/>
      <c r="GVE33" s="13"/>
      <c r="GVF33" s="13"/>
      <c r="GVG33" s="13"/>
      <c r="GVH33" s="13"/>
      <c r="GVI33" s="13"/>
      <c r="GVJ33" s="13"/>
      <c r="GVK33" s="13"/>
      <c r="GVL33" s="13"/>
      <c r="GVM33" s="13"/>
      <c r="GVN33" s="13"/>
      <c r="GVO33" s="13"/>
      <c r="GVP33" s="13"/>
      <c r="GVQ33" s="13"/>
      <c r="GVR33" s="13"/>
      <c r="GVS33" s="13"/>
      <c r="GVT33" s="13"/>
      <c r="GVU33" s="13"/>
      <c r="GVV33" s="13"/>
      <c r="GVW33" s="13"/>
      <c r="GVX33" s="13"/>
      <c r="GVY33" s="13"/>
      <c r="GVZ33" s="13"/>
      <c r="GWA33" s="13"/>
      <c r="GWB33" s="13"/>
      <c r="GWC33" s="13"/>
      <c r="GWD33" s="13"/>
      <c r="GWE33" s="13"/>
      <c r="GWF33" s="13"/>
      <c r="GWG33" s="13"/>
      <c r="GWH33" s="13"/>
      <c r="GWI33" s="13"/>
      <c r="GWJ33" s="13"/>
      <c r="GWK33" s="13"/>
      <c r="GWL33" s="13"/>
      <c r="GWM33" s="13"/>
      <c r="GWN33" s="13"/>
      <c r="GWO33" s="13"/>
      <c r="GWP33" s="13"/>
      <c r="GWQ33" s="13"/>
      <c r="GWR33" s="13"/>
      <c r="GWS33" s="13"/>
      <c r="GWT33" s="13"/>
      <c r="GWU33" s="13"/>
      <c r="GWV33" s="13"/>
      <c r="GWW33" s="13"/>
      <c r="GWX33" s="13"/>
      <c r="GWY33" s="13"/>
      <c r="GWZ33" s="13"/>
      <c r="GXA33" s="13"/>
      <c r="GXB33" s="13"/>
      <c r="GXC33" s="13"/>
      <c r="GXD33" s="13"/>
      <c r="GXE33" s="13"/>
      <c r="GXF33" s="13"/>
      <c r="GXG33" s="13"/>
      <c r="GXH33" s="13"/>
      <c r="GXI33" s="13"/>
      <c r="GXJ33" s="13"/>
      <c r="GXK33" s="13"/>
      <c r="GXL33" s="13"/>
      <c r="GXM33" s="13"/>
      <c r="GXN33" s="13"/>
      <c r="GXO33" s="13"/>
      <c r="GXP33" s="13"/>
      <c r="GXQ33" s="13"/>
      <c r="GXR33" s="13"/>
      <c r="GXS33" s="13"/>
      <c r="GXT33" s="13"/>
      <c r="GXU33" s="13"/>
      <c r="GXV33" s="13"/>
      <c r="GXW33" s="13"/>
      <c r="GXX33" s="13"/>
      <c r="GXY33" s="13"/>
      <c r="GXZ33" s="13"/>
      <c r="GYA33" s="13"/>
      <c r="GYB33" s="13"/>
      <c r="GYC33" s="13"/>
      <c r="GYD33" s="13"/>
      <c r="GYE33" s="13"/>
      <c r="GYF33" s="13"/>
      <c r="GYG33" s="13"/>
      <c r="GYH33" s="13"/>
      <c r="GYI33" s="13"/>
      <c r="GYJ33" s="13"/>
      <c r="GYK33" s="13"/>
      <c r="GYL33" s="13"/>
      <c r="GYM33" s="13"/>
      <c r="GYN33" s="13"/>
      <c r="GYO33" s="13"/>
      <c r="GYP33" s="13"/>
      <c r="GYQ33" s="13"/>
      <c r="GYR33" s="13"/>
      <c r="GYS33" s="13"/>
      <c r="GYT33" s="13"/>
      <c r="GYU33" s="13"/>
      <c r="GYV33" s="13"/>
      <c r="GYW33" s="13"/>
      <c r="GYX33" s="13"/>
      <c r="GYY33" s="13"/>
      <c r="GYZ33" s="13"/>
      <c r="GZA33" s="13"/>
      <c r="GZB33" s="13"/>
      <c r="GZC33" s="13"/>
      <c r="GZD33" s="13"/>
      <c r="GZE33" s="13"/>
      <c r="GZF33" s="13"/>
      <c r="GZG33" s="13"/>
      <c r="GZH33" s="13"/>
      <c r="GZI33" s="13"/>
      <c r="GZJ33" s="13"/>
      <c r="GZK33" s="13"/>
      <c r="GZL33" s="13"/>
      <c r="GZM33" s="13"/>
      <c r="GZN33" s="13"/>
      <c r="GZO33" s="13"/>
      <c r="GZP33" s="13"/>
      <c r="GZQ33" s="13"/>
      <c r="GZR33" s="13"/>
      <c r="GZS33" s="13"/>
      <c r="GZT33" s="13"/>
      <c r="GZU33" s="13"/>
      <c r="GZV33" s="13"/>
      <c r="GZW33" s="13"/>
      <c r="GZX33" s="13"/>
      <c r="GZY33" s="13"/>
      <c r="GZZ33" s="13"/>
      <c r="HAA33" s="13"/>
      <c r="HAB33" s="13"/>
      <c r="HAC33" s="13"/>
      <c r="HAD33" s="13"/>
      <c r="HAE33" s="13"/>
      <c r="HAF33" s="13"/>
      <c r="HAG33" s="13"/>
      <c r="HAH33" s="13"/>
      <c r="HAI33" s="13"/>
      <c r="HAJ33" s="13"/>
      <c r="HAK33" s="13"/>
      <c r="HAL33" s="13"/>
      <c r="HAM33" s="13"/>
      <c r="HAN33" s="13"/>
      <c r="HAO33" s="13"/>
      <c r="HAP33" s="13"/>
      <c r="HAQ33" s="13"/>
      <c r="HAR33" s="13"/>
      <c r="HAS33" s="13"/>
      <c r="HAT33" s="13"/>
      <c r="HAU33" s="13"/>
      <c r="HAV33" s="13"/>
      <c r="HAW33" s="13"/>
      <c r="HAX33" s="13"/>
      <c r="HAY33" s="13"/>
      <c r="HAZ33" s="13"/>
      <c r="HBA33" s="13"/>
      <c r="HBB33" s="13"/>
      <c r="HBC33" s="13"/>
      <c r="HBD33" s="13"/>
      <c r="HBE33" s="13"/>
      <c r="HBF33" s="13"/>
      <c r="HBG33" s="13"/>
      <c r="HBH33" s="13"/>
      <c r="HBI33" s="13"/>
      <c r="HBJ33" s="13"/>
      <c r="HBK33" s="13"/>
      <c r="HBL33" s="13"/>
      <c r="HBM33" s="13"/>
      <c r="HBN33" s="13"/>
      <c r="HBO33" s="13"/>
      <c r="HBP33" s="13"/>
      <c r="HBQ33" s="13"/>
      <c r="HBR33" s="13"/>
      <c r="HBS33" s="13"/>
      <c r="HBT33" s="13"/>
      <c r="HBU33" s="13"/>
      <c r="HBV33" s="13"/>
      <c r="HBW33" s="13"/>
      <c r="HBX33" s="13"/>
      <c r="HBY33" s="13"/>
      <c r="HBZ33" s="13"/>
      <c r="HCA33" s="13"/>
      <c r="HCB33" s="13"/>
      <c r="HCC33" s="13"/>
      <c r="HCD33" s="13"/>
      <c r="HCE33" s="13"/>
      <c r="HCF33" s="13"/>
      <c r="HCG33" s="13"/>
      <c r="HCH33" s="13"/>
      <c r="HCI33" s="13"/>
      <c r="HCJ33" s="13"/>
      <c r="HCK33" s="13"/>
      <c r="HCL33" s="13"/>
      <c r="HCM33" s="13"/>
      <c r="HCN33" s="13"/>
      <c r="HCO33" s="13"/>
      <c r="HCP33" s="13"/>
      <c r="HCQ33" s="13"/>
      <c r="HCR33" s="13"/>
      <c r="HCS33" s="13"/>
      <c r="HCT33" s="13"/>
      <c r="HCU33" s="13"/>
      <c r="HCV33" s="13"/>
      <c r="HCW33" s="13"/>
      <c r="HCX33" s="13"/>
      <c r="HCY33" s="13"/>
      <c r="HCZ33" s="13"/>
      <c r="HDA33" s="13"/>
      <c r="HDB33" s="13"/>
      <c r="HDC33" s="13"/>
      <c r="HDD33" s="13"/>
      <c r="HDE33" s="13"/>
      <c r="HDF33" s="13"/>
      <c r="HDG33" s="13"/>
      <c r="HDH33" s="13"/>
      <c r="HDI33" s="13"/>
      <c r="HDJ33" s="13"/>
      <c r="HDK33" s="13"/>
      <c r="HDL33" s="13"/>
      <c r="HDM33" s="13"/>
      <c r="HDN33" s="13"/>
      <c r="HDO33" s="13"/>
      <c r="HDP33" s="13"/>
      <c r="HDQ33" s="13"/>
      <c r="HDR33" s="13"/>
      <c r="HDS33" s="13"/>
      <c r="HDT33" s="13"/>
      <c r="HDU33" s="13"/>
      <c r="HDV33" s="13"/>
      <c r="HDW33" s="13"/>
      <c r="HDX33" s="13"/>
      <c r="HDY33" s="13"/>
      <c r="HDZ33" s="13"/>
      <c r="HEA33" s="13"/>
      <c r="HEB33" s="13"/>
      <c r="HEC33" s="13"/>
      <c r="HED33" s="13"/>
      <c r="HEE33" s="13"/>
      <c r="HEF33" s="13"/>
      <c r="HEG33" s="13"/>
      <c r="HEH33" s="13"/>
      <c r="HEI33" s="13"/>
      <c r="HEJ33" s="13"/>
      <c r="HEK33" s="13"/>
      <c r="HEL33" s="13"/>
      <c r="HEM33" s="13"/>
      <c r="HEN33" s="13"/>
      <c r="HEO33" s="13"/>
      <c r="HEP33" s="13"/>
      <c r="HEQ33" s="13"/>
      <c r="HER33" s="13"/>
      <c r="HES33" s="13"/>
      <c r="HET33" s="13"/>
      <c r="HEU33" s="13"/>
      <c r="HEV33" s="13"/>
      <c r="HEW33" s="13"/>
      <c r="HEX33" s="13"/>
      <c r="HEY33" s="13"/>
      <c r="HEZ33" s="13"/>
      <c r="HFA33" s="13"/>
      <c r="HFB33" s="13"/>
      <c r="HFC33" s="13"/>
      <c r="HFD33" s="13"/>
      <c r="HFE33" s="13"/>
      <c r="HFF33" s="13"/>
      <c r="HFG33" s="13"/>
      <c r="HFH33" s="13"/>
      <c r="HFI33" s="13"/>
      <c r="HFJ33" s="13"/>
      <c r="HFK33" s="13"/>
      <c r="HFL33" s="13"/>
      <c r="HFM33" s="13"/>
      <c r="HFN33" s="13"/>
      <c r="HFO33" s="13"/>
      <c r="HFP33" s="13"/>
      <c r="HFQ33" s="13"/>
      <c r="HFR33" s="13"/>
      <c r="HFS33" s="13"/>
      <c r="HFT33" s="13"/>
      <c r="HFU33" s="13"/>
      <c r="HFV33" s="13"/>
      <c r="HFW33" s="13"/>
      <c r="HFX33" s="13"/>
      <c r="HFY33" s="13"/>
      <c r="HFZ33" s="13"/>
      <c r="HGA33" s="13"/>
      <c r="HGB33" s="13"/>
      <c r="HGC33" s="13"/>
      <c r="HGD33" s="13"/>
      <c r="HGE33" s="13"/>
      <c r="HGF33" s="13"/>
      <c r="HGG33" s="13"/>
      <c r="HGH33" s="13"/>
      <c r="HGI33" s="13"/>
      <c r="HGJ33" s="13"/>
      <c r="HGK33" s="13"/>
      <c r="HGL33" s="13"/>
      <c r="HGM33" s="13"/>
      <c r="HGN33" s="13"/>
      <c r="HGO33" s="13"/>
      <c r="HGP33" s="13"/>
      <c r="HGQ33" s="13"/>
      <c r="HGR33" s="13"/>
      <c r="HGS33" s="13"/>
      <c r="HGT33" s="13"/>
      <c r="HGU33" s="13"/>
      <c r="HGV33" s="13"/>
      <c r="HGW33" s="13"/>
      <c r="HGX33" s="13"/>
      <c r="HGY33" s="13"/>
      <c r="HGZ33" s="13"/>
      <c r="HHA33" s="13"/>
      <c r="HHB33" s="13"/>
      <c r="HHC33" s="13"/>
      <c r="HHD33" s="13"/>
      <c r="HHE33" s="13"/>
      <c r="HHF33" s="13"/>
      <c r="HHG33" s="13"/>
      <c r="HHH33" s="13"/>
      <c r="HHI33" s="13"/>
      <c r="HHJ33" s="13"/>
      <c r="HHK33" s="13"/>
      <c r="HHL33" s="13"/>
      <c r="HHM33" s="13"/>
      <c r="HHN33" s="13"/>
      <c r="HHO33" s="13"/>
      <c r="HHP33" s="13"/>
      <c r="HHQ33" s="13"/>
      <c r="HHR33" s="13"/>
      <c r="HHS33" s="13"/>
      <c r="HHT33" s="13"/>
      <c r="HHU33" s="13"/>
      <c r="HHV33" s="13"/>
      <c r="HHW33" s="13"/>
      <c r="HHX33" s="13"/>
      <c r="HHY33" s="13"/>
      <c r="HHZ33" s="13"/>
      <c r="HIA33" s="13"/>
      <c r="HIB33" s="13"/>
      <c r="HIC33" s="13"/>
      <c r="HID33" s="13"/>
      <c r="HIE33" s="13"/>
      <c r="HIF33" s="13"/>
      <c r="HIG33" s="13"/>
      <c r="HIH33" s="13"/>
      <c r="HII33" s="13"/>
      <c r="HIJ33" s="13"/>
      <c r="HIK33" s="13"/>
      <c r="HIL33" s="13"/>
      <c r="HIM33" s="13"/>
      <c r="HIN33" s="13"/>
      <c r="HIO33" s="13"/>
      <c r="HIP33" s="13"/>
      <c r="HIQ33" s="13"/>
      <c r="HIR33" s="13"/>
      <c r="HIS33" s="13"/>
      <c r="HIT33" s="13"/>
      <c r="HIU33" s="13"/>
      <c r="HIV33" s="13"/>
      <c r="HIW33" s="13"/>
      <c r="HIX33" s="13"/>
      <c r="HIY33" s="13"/>
      <c r="HIZ33" s="13"/>
      <c r="HJA33" s="13"/>
      <c r="HJB33" s="13"/>
      <c r="HJC33" s="13"/>
      <c r="HJD33" s="13"/>
      <c r="HJE33" s="13"/>
      <c r="HJF33" s="13"/>
      <c r="HJG33" s="13"/>
      <c r="HJH33" s="13"/>
      <c r="HJI33" s="13"/>
      <c r="HJJ33" s="13"/>
      <c r="HJK33" s="13"/>
      <c r="HJL33" s="13"/>
      <c r="HJM33" s="13"/>
      <c r="HJN33" s="13"/>
      <c r="HJO33" s="13"/>
      <c r="HJP33" s="13"/>
      <c r="HJQ33" s="13"/>
      <c r="HJR33" s="13"/>
      <c r="HJS33" s="13"/>
      <c r="HJT33" s="13"/>
      <c r="HJU33" s="13"/>
      <c r="HJV33" s="13"/>
      <c r="HJW33" s="13"/>
      <c r="HJX33" s="13"/>
      <c r="HJY33" s="13"/>
      <c r="HJZ33" s="13"/>
      <c r="HKA33" s="13"/>
      <c r="HKB33" s="13"/>
      <c r="HKC33" s="13"/>
      <c r="HKD33" s="13"/>
      <c r="HKE33" s="13"/>
      <c r="HKF33" s="13"/>
      <c r="HKG33" s="13"/>
      <c r="HKH33" s="13"/>
      <c r="HKI33" s="13"/>
      <c r="HKJ33" s="13"/>
      <c r="HKK33" s="13"/>
      <c r="HKL33" s="13"/>
      <c r="HKM33" s="13"/>
      <c r="HKN33" s="13"/>
      <c r="HKO33" s="13"/>
      <c r="HKP33" s="13"/>
      <c r="HKQ33" s="13"/>
      <c r="HKR33" s="13"/>
      <c r="HKS33" s="13"/>
      <c r="HKT33" s="13"/>
      <c r="HKU33" s="13"/>
      <c r="HKV33" s="13"/>
      <c r="HKW33" s="13"/>
      <c r="HKX33" s="13"/>
      <c r="HKY33" s="13"/>
      <c r="HKZ33" s="13"/>
      <c r="HLA33" s="13"/>
      <c r="HLB33" s="13"/>
      <c r="HLC33" s="13"/>
      <c r="HLD33" s="13"/>
      <c r="HLE33" s="13"/>
      <c r="HLF33" s="13"/>
      <c r="HLG33" s="13"/>
      <c r="HLH33" s="13"/>
      <c r="HLI33" s="13"/>
      <c r="HLJ33" s="13"/>
      <c r="HLK33" s="13"/>
      <c r="HLL33" s="13"/>
      <c r="HLM33" s="13"/>
      <c r="HLN33" s="13"/>
      <c r="HLO33" s="13"/>
      <c r="HLP33" s="13"/>
      <c r="HLQ33" s="13"/>
      <c r="HLR33" s="13"/>
      <c r="HLS33" s="13"/>
      <c r="HLT33" s="13"/>
      <c r="HLU33" s="13"/>
      <c r="HLV33" s="13"/>
      <c r="HLW33" s="13"/>
      <c r="HLX33" s="13"/>
      <c r="HLY33" s="13"/>
      <c r="HLZ33" s="13"/>
      <c r="HMA33" s="13"/>
      <c r="HMB33" s="13"/>
      <c r="HMC33" s="13"/>
      <c r="HMD33" s="13"/>
      <c r="HME33" s="13"/>
      <c r="HMF33" s="13"/>
      <c r="HMG33" s="13"/>
      <c r="HMH33" s="13"/>
      <c r="HMI33" s="13"/>
      <c r="HMJ33" s="13"/>
      <c r="HMK33" s="13"/>
      <c r="HML33" s="13"/>
      <c r="HMM33" s="13"/>
      <c r="HMN33" s="13"/>
      <c r="HMO33" s="13"/>
      <c r="HMP33" s="13"/>
      <c r="HMQ33" s="13"/>
      <c r="HMR33" s="13"/>
      <c r="HMS33" s="13"/>
      <c r="HMT33" s="13"/>
      <c r="HMU33" s="13"/>
      <c r="HMV33" s="13"/>
      <c r="HMW33" s="13"/>
      <c r="HMX33" s="13"/>
      <c r="HMY33" s="13"/>
      <c r="HMZ33" s="13"/>
      <c r="HNA33" s="13"/>
      <c r="HNB33" s="13"/>
      <c r="HNC33" s="13"/>
      <c r="HND33" s="13"/>
      <c r="HNE33" s="13"/>
      <c r="HNF33" s="13"/>
      <c r="HNG33" s="13"/>
      <c r="HNH33" s="13"/>
      <c r="HNI33" s="13"/>
      <c r="HNJ33" s="13"/>
      <c r="HNK33" s="13"/>
      <c r="HNL33" s="13"/>
      <c r="HNM33" s="13"/>
      <c r="HNN33" s="13"/>
      <c r="HNO33" s="13"/>
      <c r="HNP33" s="13"/>
      <c r="HNQ33" s="13"/>
      <c r="HNR33" s="13"/>
      <c r="HNS33" s="13"/>
      <c r="HNT33" s="13"/>
      <c r="HNU33" s="13"/>
      <c r="HNV33" s="13"/>
      <c r="HNW33" s="13"/>
      <c r="HNX33" s="13"/>
      <c r="HNY33" s="13"/>
      <c r="HNZ33" s="13"/>
      <c r="HOA33" s="13"/>
      <c r="HOB33" s="13"/>
      <c r="HOC33" s="13"/>
      <c r="HOD33" s="13"/>
      <c r="HOE33" s="13"/>
      <c r="HOF33" s="13"/>
      <c r="HOG33" s="13"/>
      <c r="HOH33" s="13"/>
      <c r="HOI33" s="13"/>
      <c r="HOJ33" s="13"/>
      <c r="HOK33" s="13"/>
      <c r="HOL33" s="13"/>
      <c r="HOM33" s="13"/>
      <c r="HON33" s="13"/>
      <c r="HOO33" s="13"/>
      <c r="HOP33" s="13"/>
      <c r="HOQ33" s="13"/>
      <c r="HOR33" s="13"/>
      <c r="HOS33" s="13"/>
      <c r="HOT33" s="13"/>
      <c r="HOU33" s="13"/>
      <c r="HOV33" s="13"/>
      <c r="HOW33" s="13"/>
      <c r="HOX33" s="13"/>
      <c r="HOY33" s="13"/>
      <c r="HOZ33" s="13"/>
      <c r="HPA33" s="13"/>
      <c r="HPB33" s="13"/>
      <c r="HPC33" s="13"/>
      <c r="HPD33" s="13"/>
      <c r="HPE33" s="13"/>
      <c r="HPF33" s="13"/>
      <c r="HPG33" s="13"/>
      <c r="HPH33" s="13"/>
      <c r="HPI33" s="13"/>
      <c r="HPJ33" s="13"/>
      <c r="HPK33" s="13"/>
      <c r="HPL33" s="13"/>
      <c r="HPM33" s="13"/>
      <c r="HPN33" s="13"/>
      <c r="HPO33" s="13"/>
      <c r="HPP33" s="13"/>
      <c r="HPQ33" s="13"/>
      <c r="HPR33" s="13"/>
      <c r="HPS33" s="13"/>
      <c r="HPT33" s="13"/>
      <c r="HPU33" s="13"/>
      <c r="HPV33" s="13"/>
      <c r="HPW33" s="13"/>
      <c r="HPX33" s="13"/>
      <c r="HPY33" s="13"/>
      <c r="HPZ33" s="13"/>
      <c r="HQA33" s="13"/>
      <c r="HQB33" s="13"/>
      <c r="HQC33" s="13"/>
      <c r="HQD33" s="13"/>
      <c r="HQE33" s="13"/>
      <c r="HQF33" s="13"/>
      <c r="HQG33" s="13"/>
      <c r="HQH33" s="13"/>
      <c r="HQI33" s="13"/>
      <c r="HQJ33" s="13"/>
      <c r="HQK33" s="13"/>
      <c r="HQL33" s="13"/>
      <c r="HQM33" s="13"/>
      <c r="HQN33" s="13"/>
      <c r="HQO33" s="13"/>
      <c r="HQP33" s="13"/>
      <c r="HQQ33" s="13"/>
      <c r="HQR33" s="13"/>
      <c r="HQS33" s="13"/>
      <c r="HQT33" s="13"/>
      <c r="HQU33" s="13"/>
      <c r="HQV33" s="13"/>
      <c r="HQW33" s="13"/>
      <c r="HQX33" s="13"/>
      <c r="HQY33" s="13"/>
      <c r="HQZ33" s="13"/>
      <c r="HRA33" s="13"/>
      <c r="HRB33" s="13"/>
      <c r="HRC33" s="13"/>
      <c r="HRD33" s="13"/>
      <c r="HRE33" s="13"/>
      <c r="HRF33" s="13"/>
      <c r="HRG33" s="13"/>
      <c r="HRH33" s="13"/>
      <c r="HRI33" s="13"/>
      <c r="HRJ33" s="13"/>
      <c r="HRK33" s="13"/>
      <c r="HRL33" s="13"/>
      <c r="HRM33" s="13"/>
      <c r="HRN33" s="13"/>
      <c r="HRO33" s="13"/>
      <c r="HRP33" s="13"/>
      <c r="HRQ33" s="13"/>
      <c r="HRR33" s="13"/>
      <c r="HRS33" s="13"/>
      <c r="HRT33" s="13"/>
      <c r="HRU33" s="13"/>
      <c r="HRV33" s="13"/>
      <c r="HRW33" s="13"/>
      <c r="HRX33" s="13"/>
      <c r="HRY33" s="13"/>
      <c r="HRZ33" s="13"/>
      <c r="HSA33" s="13"/>
      <c r="HSB33" s="13"/>
      <c r="HSC33" s="13"/>
      <c r="HSD33" s="13"/>
      <c r="HSE33" s="13"/>
      <c r="HSF33" s="13"/>
      <c r="HSG33" s="13"/>
      <c r="HSH33" s="13"/>
      <c r="HSI33" s="13"/>
      <c r="HSJ33" s="13"/>
      <c r="HSK33" s="13"/>
      <c r="HSL33" s="13"/>
      <c r="HSM33" s="13"/>
      <c r="HSN33" s="13"/>
      <c r="HSO33" s="13"/>
      <c r="HSP33" s="13"/>
      <c r="HSQ33" s="13"/>
      <c r="HSR33" s="13"/>
      <c r="HSS33" s="13"/>
      <c r="HST33" s="13"/>
      <c r="HSU33" s="13"/>
      <c r="HSV33" s="13"/>
      <c r="HSW33" s="13"/>
      <c r="HSX33" s="13"/>
      <c r="HSY33" s="13"/>
      <c r="HSZ33" s="13"/>
      <c r="HTA33" s="13"/>
      <c r="HTB33" s="13"/>
      <c r="HTC33" s="13"/>
      <c r="HTD33" s="13"/>
      <c r="HTE33" s="13"/>
      <c r="HTF33" s="13"/>
      <c r="HTG33" s="13"/>
      <c r="HTH33" s="13"/>
      <c r="HTI33" s="13"/>
      <c r="HTJ33" s="13"/>
      <c r="HTK33" s="13"/>
      <c r="HTL33" s="13"/>
      <c r="HTM33" s="13"/>
      <c r="HTN33" s="13"/>
      <c r="HTO33" s="13"/>
      <c r="HTP33" s="13"/>
      <c r="HTQ33" s="13"/>
      <c r="HTR33" s="13"/>
      <c r="HTS33" s="13"/>
      <c r="HTT33" s="13"/>
      <c r="HTU33" s="13"/>
      <c r="HTV33" s="13"/>
      <c r="HTW33" s="13"/>
      <c r="HTX33" s="13"/>
      <c r="HTY33" s="13"/>
      <c r="HTZ33" s="13"/>
      <c r="HUA33" s="13"/>
      <c r="HUB33" s="13"/>
      <c r="HUC33" s="13"/>
      <c r="HUD33" s="13"/>
      <c r="HUE33" s="13"/>
      <c r="HUF33" s="13"/>
      <c r="HUG33" s="13"/>
      <c r="HUH33" s="13"/>
      <c r="HUI33" s="13"/>
      <c r="HUJ33" s="13"/>
      <c r="HUK33" s="13"/>
      <c r="HUL33" s="13"/>
      <c r="HUM33" s="13"/>
      <c r="HUN33" s="13"/>
      <c r="HUO33" s="13"/>
      <c r="HUP33" s="13"/>
      <c r="HUQ33" s="13"/>
      <c r="HUR33" s="13"/>
      <c r="HUS33" s="13"/>
      <c r="HUT33" s="13"/>
      <c r="HUU33" s="13"/>
      <c r="HUV33" s="13"/>
      <c r="HUW33" s="13"/>
      <c r="HUX33" s="13"/>
      <c r="HUY33" s="13"/>
      <c r="HUZ33" s="13"/>
      <c r="HVA33" s="13"/>
      <c r="HVB33" s="13"/>
      <c r="HVC33" s="13"/>
      <c r="HVD33" s="13"/>
      <c r="HVE33" s="13"/>
      <c r="HVF33" s="13"/>
      <c r="HVG33" s="13"/>
      <c r="HVH33" s="13"/>
      <c r="HVI33" s="13"/>
      <c r="HVJ33" s="13"/>
      <c r="HVK33" s="13"/>
      <c r="HVL33" s="13"/>
      <c r="HVM33" s="13"/>
      <c r="HVN33" s="13"/>
      <c r="HVO33" s="13"/>
      <c r="HVP33" s="13"/>
      <c r="HVQ33" s="13"/>
      <c r="HVR33" s="13"/>
      <c r="HVS33" s="13"/>
      <c r="HVT33" s="13"/>
      <c r="HVU33" s="13"/>
      <c r="HVV33" s="13"/>
      <c r="HVW33" s="13"/>
      <c r="HVX33" s="13"/>
      <c r="HVY33" s="13"/>
      <c r="HVZ33" s="13"/>
      <c r="HWA33" s="13"/>
      <c r="HWB33" s="13"/>
      <c r="HWC33" s="13"/>
      <c r="HWD33" s="13"/>
      <c r="HWE33" s="13"/>
      <c r="HWF33" s="13"/>
      <c r="HWG33" s="13"/>
      <c r="HWH33" s="13"/>
      <c r="HWI33" s="13"/>
      <c r="HWJ33" s="13"/>
      <c r="HWK33" s="13"/>
      <c r="HWL33" s="13"/>
      <c r="HWM33" s="13"/>
      <c r="HWN33" s="13"/>
      <c r="HWO33" s="13"/>
      <c r="HWP33" s="13"/>
      <c r="HWQ33" s="13"/>
      <c r="HWR33" s="13"/>
      <c r="HWS33" s="13"/>
      <c r="HWT33" s="13"/>
      <c r="HWU33" s="13"/>
      <c r="HWV33" s="13"/>
      <c r="HWW33" s="13"/>
      <c r="HWX33" s="13"/>
      <c r="HWY33" s="13"/>
      <c r="HWZ33" s="13"/>
      <c r="HXA33" s="13"/>
      <c r="HXB33" s="13"/>
      <c r="HXC33" s="13"/>
      <c r="HXD33" s="13"/>
      <c r="HXE33" s="13"/>
      <c r="HXF33" s="13"/>
      <c r="HXG33" s="13"/>
      <c r="HXH33" s="13"/>
      <c r="HXI33" s="13"/>
      <c r="HXJ33" s="13"/>
      <c r="HXK33" s="13"/>
      <c r="HXL33" s="13"/>
      <c r="HXM33" s="13"/>
      <c r="HXN33" s="13"/>
      <c r="HXO33" s="13"/>
      <c r="HXP33" s="13"/>
      <c r="HXQ33" s="13"/>
      <c r="HXR33" s="13"/>
      <c r="HXS33" s="13"/>
      <c r="HXT33" s="13"/>
      <c r="HXU33" s="13"/>
      <c r="HXV33" s="13"/>
      <c r="HXW33" s="13"/>
      <c r="HXX33" s="13"/>
      <c r="HXY33" s="13"/>
      <c r="HXZ33" s="13"/>
      <c r="HYA33" s="13"/>
      <c r="HYB33" s="13"/>
      <c r="HYC33" s="13"/>
      <c r="HYD33" s="13"/>
      <c r="HYE33" s="13"/>
      <c r="HYF33" s="13"/>
      <c r="HYG33" s="13"/>
      <c r="HYH33" s="13"/>
      <c r="HYI33" s="13"/>
      <c r="HYJ33" s="13"/>
      <c r="HYK33" s="13"/>
      <c r="HYL33" s="13"/>
      <c r="HYM33" s="13"/>
      <c r="HYN33" s="13"/>
      <c r="HYO33" s="13"/>
      <c r="HYP33" s="13"/>
      <c r="HYQ33" s="13"/>
      <c r="HYR33" s="13"/>
      <c r="HYS33" s="13"/>
      <c r="HYT33" s="13"/>
      <c r="HYU33" s="13"/>
      <c r="HYV33" s="13"/>
      <c r="HYW33" s="13"/>
      <c r="HYX33" s="13"/>
      <c r="HYY33" s="13"/>
      <c r="HYZ33" s="13"/>
      <c r="HZA33" s="13"/>
      <c r="HZB33" s="13"/>
      <c r="HZC33" s="13"/>
      <c r="HZD33" s="13"/>
      <c r="HZE33" s="13"/>
      <c r="HZF33" s="13"/>
      <c r="HZG33" s="13"/>
      <c r="HZH33" s="13"/>
      <c r="HZI33" s="13"/>
      <c r="HZJ33" s="13"/>
      <c r="HZK33" s="13"/>
      <c r="HZL33" s="13"/>
      <c r="HZM33" s="13"/>
      <c r="HZN33" s="13"/>
      <c r="HZO33" s="13"/>
      <c r="HZP33" s="13"/>
      <c r="HZQ33" s="13"/>
      <c r="HZR33" s="13"/>
      <c r="HZS33" s="13"/>
      <c r="HZT33" s="13"/>
      <c r="HZU33" s="13"/>
      <c r="HZV33" s="13"/>
      <c r="HZW33" s="13"/>
      <c r="HZX33" s="13"/>
      <c r="HZY33" s="13"/>
      <c r="HZZ33" s="13"/>
      <c r="IAA33" s="13"/>
      <c r="IAB33" s="13"/>
      <c r="IAC33" s="13"/>
      <c r="IAD33" s="13"/>
      <c r="IAE33" s="13"/>
      <c r="IAF33" s="13"/>
      <c r="IAG33" s="13"/>
      <c r="IAH33" s="13"/>
      <c r="IAI33" s="13"/>
      <c r="IAJ33" s="13"/>
      <c r="IAK33" s="13"/>
      <c r="IAL33" s="13"/>
      <c r="IAM33" s="13"/>
      <c r="IAN33" s="13"/>
      <c r="IAO33" s="13"/>
      <c r="IAP33" s="13"/>
      <c r="IAQ33" s="13"/>
      <c r="IAR33" s="13"/>
      <c r="IAS33" s="13"/>
      <c r="IAT33" s="13"/>
      <c r="IAU33" s="13"/>
      <c r="IAV33" s="13"/>
      <c r="IAW33" s="13"/>
      <c r="IAX33" s="13"/>
      <c r="IAY33" s="13"/>
      <c r="IAZ33" s="13"/>
      <c r="IBA33" s="13"/>
      <c r="IBB33" s="13"/>
      <c r="IBC33" s="13"/>
      <c r="IBD33" s="13"/>
      <c r="IBE33" s="13"/>
      <c r="IBF33" s="13"/>
      <c r="IBG33" s="13"/>
      <c r="IBH33" s="13"/>
      <c r="IBI33" s="13"/>
      <c r="IBJ33" s="13"/>
      <c r="IBK33" s="13"/>
      <c r="IBL33" s="13"/>
      <c r="IBM33" s="13"/>
      <c r="IBN33" s="13"/>
      <c r="IBO33" s="13"/>
      <c r="IBP33" s="13"/>
      <c r="IBQ33" s="13"/>
      <c r="IBR33" s="13"/>
      <c r="IBS33" s="13"/>
      <c r="IBT33" s="13"/>
      <c r="IBU33" s="13"/>
      <c r="IBV33" s="13"/>
      <c r="IBW33" s="13"/>
      <c r="IBX33" s="13"/>
      <c r="IBY33" s="13"/>
      <c r="IBZ33" s="13"/>
      <c r="ICA33" s="13"/>
      <c r="ICB33" s="13"/>
      <c r="ICC33" s="13"/>
      <c r="ICD33" s="13"/>
      <c r="ICE33" s="13"/>
      <c r="ICF33" s="13"/>
      <c r="ICG33" s="13"/>
      <c r="ICH33" s="13"/>
      <c r="ICI33" s="13"/>
      <c r="ICJ33" s="13"/>
      <c r="ICK33" s="13"/>
      <c r="ICL33" s="13"/>
      <c r="ICM33" s="13"/>
      <c r="ICN33" s="13"/>
      <c r="ICO33" s="13"/>
      <c r="ICP33" s="13"/>
      <c r="ICQ33" s="13"/>
      <c r="ICR33" s="13"/>
      <c r="ICS33" s="13"/>
      <c r="ICT33" s="13"/>
      <c r="ICU33" s="13"/>
      <c r="ICV33" s="13"/>
      <c r="ICW33" s="13"/>
      <c r="ICX33" s="13"/>
      <c r="ICY33" s="13"/>
      <c r="ICZ33" s="13"/>
      <c r="IDA33" s="13"/>
      <c r="IDB33" s="13"/>
      <c r="IDC33" s="13"/>
      <c r="IDD33" s="13"/>
      <c r="IDE33" s="13"/>
      <c r="IDF33" s="13"/>
      <c r="IDG33" s="13"/>
      <c r="IDH33" s="13"/>
      <c r="IDI33" s="13"/>
      <c r="IDJ33" s="13"/>
      <c r="IDK33" s="13"/>
      <c r="IDL33" s="13"/>
      <c r="IDM33" s="13"/>
      <c r="IDN33" s="13"/>
      <c r="IDO33" s="13"/>
      <c r="IDP33" s="13"/>
      <c r="IDQ33" s="13"/>
      <c r="IDR33" s="13"/>
      <c r="IDS33" s="13"/>
      <c r="IDT33" s="13"/>
      <c r="IDU33" s="13"/>
      <c r="IDV33" s="13"/>
      <c r="IDW33" s="13"/>
      <c r="IDX33" s="13"/>
      <c r="IDY33" s="13"/>
      <c r="IDZ33" s="13"/>
      <c r="IEA33" s="13"/>
      <c r="IEB33" s="13"/>
      <c r="IEC33" s="13"/>
      <c r="IED33" s="13"/>
      <c r="IEE33" s="13"/>
      <c r="IEF33" s="13"/>
      <c r="IEG33" s="13"/>
      <c r="IEH33" s="13"/>
      <c r="IEI33" s="13"/>
      <c r="IEJ33" s="13"/>
      <c r="IEK33" s="13"/>
      <c r="IEL33" s="13"/>
      <c r="IEM33" s="13"/>
      <c r="IEN33" s="13"/>
      <c r="IEO33" s="13"/>
      <c r="IEP33" s="13"/>
      <c r="IEQ33" s="13"/>
      <c r="IER33" s="13"/>
      <c r="IES33" s="13"/>
      <c r="IET33" s="13"/>
      <c r="IEU33" s="13"/>
      <c r="IEV33" s="13"/>
      <c r="IEW33" s="13"/>
      <c r="IEX33" s="13"/>
      <c r="IEY33" s="13"/>
      <c r="IEZ33" s="13"/>
      <c r="IFA33" s="13"/>
      <c r="IFB33" s="13"/>
      <c r="IFC33" s="13"/>
      <c r="IFD33" s="13"/>
      <c r="IFE33" s="13"/>
      <c r="IFF33" s="13"/>
      <c r="IFG33" s="13"/>
      <c r="IFH33" s="13"/>
      <c r="IFI33" s="13"/>
      <c r="IFJ33" s="13"/>
      <c r="IFK33" s="13"/>
      <c r="IFL33" s="13"/>
      <c r="IFM33" s="13"/>
      <c r="IFN33" s="13"/>
      <c r="IFO33" s="13"/>
      <c r="IFP33" s="13"/>
      <c r="IFQ33" s="13"/>
      <c r="IFR33" s="13"/>
      <c r="IFS33" s="13"/>
      <c r="IFT33" s="13"/>
      <c r="IFU33" s="13"/>
      <c r="IFV33" s="13"/>
      <c r="IFW33" s="13"/>
      <c r="IFX33" s="13"/>
      <c r="IFY33" s="13"/>
      <c r="IFZ33" s="13"/>
      <c r="IGA33" s="13"/>
      <c r="IGB33" s="13"/>
      <c r="IGC33" s="13"/>
      <c r="IGD33" s="13"/>
      <c r="IGE33" s="13"/>
      <c r="IGF33" s="13"/>
      <c r="IGG33" s="13"/>
      <c r="IGH33" s="13"/>
      <c r="IGI33" s="13"/>
      <c r="IGJ33" s="13"/>
      <c r="IGK33" s="13"/>
      <c r="IGL33" s="13"/>
      <c r="IGM33" s="13"/>
      <c r="IGN33" s="13"/>
      <c r="IGO33" s="13"/>
      <c r="IGP33" s="13"/>
      <c r="IGQ33" s="13"/>
      <c r="IGR33" s="13"/>
      <c r="IGS33" s="13"/>
      <c r="IGT33" s="13"/>
      <c r="IGU33" s="13"/>
      <c r="IGV33" s="13"/>
      <c r="IGW33" s="13"/>
      <c r="IGX33" s="13"/>
      <c r="IGY33" s="13"/>
      <c r="IGZ33" s="13"/>
      <c r="IHA33" s="13"/>
      <c r="IHB33" s="13"/>
      <c r="IHC33" s="13"/>
      <c r="IHD33" s="13"/>
      <c r="IHE33" s="13"/>
      <c r="IHF33" s="13"/>
      <c r="IHG33" s="13"/>
      <c r="IHH33" s="13"/>
      <c r="IHI33" s="13"/>
      <c r="IHJ33" s="13"/>
      <c r="IHK33" s="13"/>
      <c r="IHL33" s="13"/>
      <c r="IHM33" s="13"/>
      <c r="IHN33" s="13"/>
      <c r="IHO33" s="13"/>
      <c r="IHP33" s="13"/>
      <c r="IHQ33" s="13"/>
      <c r="IHR33" s="13"/>
      <c r="IHS33" s="13"/>
      <c r="IHT33" s="13"/>
      <c r="IHU33" s="13"/>
      <c r="IHV33" s="13"/>
      <c r="IHW33" s="13"/>
      <c r="IHX33" s="13"/>
      <c r="IHY33" s="13"/>
      <c r="IHZ33" s="13"/>
      <c r="IIA33" s="13"/>
      <c r="IIB33" s="13"/>
      <c r="IIC33" s="13"/>
      <c r="IID33" s="13"/>
      <c r="IIE33" s="13"/>
      <c r="IIF33" s="13"/>
      <c r="IIG33" s="13"/>
      <c r="IIH33" s="13"/>
      <c r="III33" s="13"/>
      <c r="IIJ33" s="13"/>
      <c r="IIK33" s="13"/>
      <c r="IIL33" s="13"/>
      <c r="IIM33" s="13"/>
      <c r="IIN33" s="13"/>
      <c r="IIO33" s="13"/>
      <c r="IIP33" s="13"/>
      <c r="IIQ33" s="13"/>
      <c r="IIR33" s="13"/>
      <c r="IIS33" s="13"/>
      <c r="IIT33" s="13"/>
      <c r="IIU33" s="13"/>
      <c r="IIV33" s="13"/>
      <c r="IIW33" s="13"/>
      <c r="IIX33" s="13"/>
      <c r="IIY33" s="13"/>
      <c r="IIZ33" s="13"/>
      <c r="IJA33" s="13"/>
      <c r="IJB33" s="13"/>
      <c r="IJC33" s="13"/>
      <c r="IJD33" s="13"/>
      <c r="IJE33" s="13"/>
      <c r="IJF33" s="13"/>
      <c r="IJG33" s="13"/>
      <c r="IJH33" s="13"/>
      <c r="IJI33" s="13"/>
      <c r="IJJ33" s="13"/>
      <c r="IJK33" s="13"/>
      <c r="IJL33" s="13"/>
      <c r="IJM33" s="13"/>
      <c r="IJN33" s="13"/>
      <c r="IJO33" s="13"/>
      <c r="IJP33" s="13"/>
      <c r="IJQ33" s="13"/>
      <c r="IJR33" s="13"/>
      <c r="IJS33" s="13"/>
      <c r="IJT33" s="13"/>
      <c r="IJU33" s="13"/>
      <c r="IJV33" s="13"/>
      <c r="IJW33" s="13"/>
      <c r="IJX33" s="13"/>
      <c r="IJY33" s="13"/>
      <c r="IJZ33" s="13"/>
      <c r="IKA33" s="13"/>
      <c r="IKB33" s="13"/>
      <c r="IKC33" s="13"/>
      <c r="IKD33" s="13"/>
      <c r="IKE33" s="13"/>
      <c r="IKF33" s="13"/>
      <c r="IKG33" s="13"/>
      <c r="IKH33" s="13"/>
      <c r="IKI33" s="13"/>
      <c r="IKJ33" s="13"/>
      <c r="IKK33" s="13"/>
      <c r="IKL33" s="13"/>
      <c r="IKM33" s="13"/>
      <c r="IKN33" s="13"/>
      <c r="IKO33" s="13"/>
      <c r="IKP33" s="13"/>
      <c r="IKQ33" s="13"/>
      <c r="IKR33" s="13"/>
      <c r="IKS33" s="13"/>
      <c r="IKT33" s="13"/>
      <c r="IKU33" s="13"/>
      <c r="IKV33" s="13"/>
      <c r="IKW33" s="13"/>
      <c r="IKX33" s="13"/>
      <c r="IKY33" s="13"/>
      <c r="IKZ33" s="13"/>
      <c r="ILA33" s="13"/>
      <c r="ILB33" s="13"/>
      <c r="ILC33" s="13"/>
      <c r="ILD33" s="13"/>
      <c r="ILE33" s="13"/>
      <c r="ILF33" s="13"/>
      <c r="ILG33" s="13"/>
      <c r="ILH33" s="13"/>
      <c r="ILI33" s="13"/>
      <c r="ILJ33" s="13"/>
      <c r="ILK33" s="13"/>
      <c r="ILL33" s="13"/>
      <c r="ILM33" s="13"/>
      <c r="ILN33" s="13"/>
      <c r="ILO33" s="13"/>
      <c r="ILP33" s="13"/>
      <c r="ILQ33" s="13"/>
      <c r="ILR33" s="13"/>
      <c r="ILS33" s="13"/>
      <c r="ILT33" s="13"/>
      <c r="ILU33" s="13"/>
      <c r="ILV33" s="13"/>
      <c r="ILW33" s="13"/>
      <c r="ILX33" s="13"/>
      <c r="ILY33" s="13"/>
      <c r="ILZ33" s="13"/>
      <c r="IMA33" s="13"/>
      <c r="IMB33" s="13"/>
      <c r="IMC33" s="13"/>
      <c r="IMD33" s="13"/>
      <c r="IME33" s="13"/>
      <c r="IMF33" s="13"/>
      <c r="IMG33" s="13"/>
      <c r="IMH33" s="13"/>
      <c r="IMI33" s="13"/>
      <c r="IMJ33" s="13"/>
      <c r="IMK33" s="13"/>
      <c r="IML33" s="13"/>
      <c r="IMM33" s="13"/>
      <c r="IMN33" s="13"/>
      <c r="IMO33" s="13"/>
      <c r="IMP33" s="13"/>
      <c r="IMQ33" s="13"/>
      <c r="IMR33" s="13"/>
      <c r="IMS33" s="13"/>
      <c r="IMT33" s="13"/>
      <c r="IMU33" s="13"/>
      <c r="IMV33" s="13"/>
      <c r="IMW33" s="13"/>
      <c r="IMX33" s="13"/>
      <c r="IMY33" s="13"/>
      <c r="IMZ33" s="13"/>
      <c r="INA33" s="13"/>
      <c r="INB33" s="13"/>
      <c r="INC33" s="13"/>
      <c r="IND33" s="13"/>
      <c r="INE33" s="13"/>
      <c r="INF33" s="13"/>
      <c r="ING33" s="13"/>
      <c r="INH33" s="13"/>
      <c r="INI33" s="13"/>
      <c r="INJ33" s="13"/>
      <c r="INK33" s="13"/>
      <c r="INL33" s="13"/>
      <c r="INM33" s="13"/>
      <c r="INN33" s="13"/>
      <c r="INO33" s="13"/>
      <c r="INP33" s="13"/>
      <c r="INQ33" s="13"/>
      <c r="INR33" s="13"/>
      <c r="INS33" s="13"/>
      <c r="INT33" s="13"/>
      <c r="INU33" s="13"/>
      <c r="INV33" s="13"/>
      <c r="INW33" s="13"/>
      <c r="INX33" s="13"/>
      <c r="INY33" s="13"/>
      <c r="INZ33" s="13"/>
      <c r="IOA33" s="13"/>
      <c r="IOB33" s="13"/>
      <c r="IOC33" s="13"/>
      <c r="IOD33" s="13"/>
      <c r="IOE33" s="13"/>
      <c r="IOF33" s="13"/>
      <c r="IOG33" s="13"/>
      <c r="IOH33" s="13"/>
      <c r="IOI33" s="13"/>
      <c r="IOJ33" s="13"/>
      <c r="IOK33" s="13"/>
      <c r="IOL33" s="13"/>
      <c r="IOM33" s="13"/>
      <c r="ION33" s="13"/>
      <c r="IOO33" s="13"/>
      <c r="IOP33" s="13"/>
      <c r="IOQ33" s="13"/>
      <c r="IOR33" s="13"/>
      <c r="IOS33" s="13"/>
      <c r="IOT33" s="13"/>
      <c r="IOU33" s="13"/>
      <c r="IOV33" s="13"/>
      <c r="IOW33" s="13"/>
      <c r="IOX33" s="13"/>
      <c r="IOY33" s="13"/>
      <c r="IOZ33" s="13"/>
      <c r="IPA33" s="13"/>
      <c r="IPB33" s="13"/>
      <c r="IPC33" s="13"/>
      <c r="IPD33" s="13"/>
      <c r="IPE33" s="13"/>
      <c r="IPF33" s="13"/>
      <c r="IPG33" s="13"/>
      <c r="IPH33" s="13"/>
      <c r="IPI33" s="13"/>
      <c r="IPJ33" s="13"/>
      <c r="IPK33" s="13"/>
      <c r="IPL33" s="13"/>
      <c r="IPM33" s="13"/>
      <c r="IPN33" s="13"/>
      <c r="IPO33" s="13"/>
      <c r="IPP33" s="13"/>
      <c r="IPQ33" s="13"/>
      <c r="IPR33" s="13"/>
      <c r="IPS33" s="13"/>
      <c r="IPT33" s="13"/>
      <c r="IPU33" s="13"/>
      <c r="IPV33" s="13"/>
      <c r="IPW33" s="13"/>
      <c r="IPX33" s="13"/>
      <c r="IPY33" s="13"/>
      <c r="IPZ33" s="13"/>
      <c r="IQA33" s="13"/>
      <c r="IQB33" s="13"/>
      <c r="IQC33" s="13"/>
      <c r="IQD33" s="13"/>
      <c r="IQE33" s="13"/>
      <c r="IQF33" s="13"/>
      <c r="IQG33" s="13"/>
      <c r="IQH33" s="13"/>
      <c r="IQI33" s="13"/>
      <c r="IQJ33" s="13"/>
      <c r="IQK33" s="13"/>
      <c r="IQL33" s="13"/>
      <c r="IQM33" s="13"/>
      <c r="IQN33" s="13"/>
      <c r="IQO33" s="13"/>
      <c r="IQP33" s="13"/>
      <c r="IQQ33" s="13"/>
      <c r="IQR33" s="13"/>
      <c r="IQS33" s="13"/>
      <c r="IQT33" s="13"/>
      <c r="IQU33" s="13"/>
      <c r="IQV33" s="13"/>
      <c r="IQW33" s="13"/>
      <c r="IQX33" s="13"/>
      <c r="IQY33" s="13"/>
      <c r="IQZ33" s="13"/>
      <c r="IRA33" s="13"/>
      <c r="IRB33" s="13"/>
      <c r="IRC33" s="13"/>
      <c r="IRD33" s="13"/>
      <c r="IRE33" s="13"/>
      <c r="IRF33" s="13"/>
      <c r="IRG33" s="13"/>
      <c r="IRH33" s="13"/>
      <c r="IRI33" s="13"/>
      <c r="IRJ33" s="13"/>
      <c r="IRK33" s="13"/>
      <c r="IRL33" s="13"/>
      <c r="IRM33" s="13"/>
      <c r="IRN33" s="13"/>
      <c r="IRO33" s="13"/>
      <c r="IRP33" s="13"/>
      <c r="IRQ33" s="13"/>
      <c r="IRR33" s="13"/>
      <c r="IRS33" s="13"/>
      <c r="IRT33" s="13"/>
      <c r="IRU33" s="13"/>
      <c r="IRV33" s="13"/>
      <c r="IRW33" s="13"/>
      <c r="IRX33" s="13"/>
      <c r="IRY33" s="13"/>
      <c r="IRZ33" s="13"/>
      <c r="ISA33" s="13"/>
      <c r="ISB33" s="13"/>
      <c r="ISC33" s="13"/>
      <c r="ISD33" s="13"/>
      <c r="ISE33" s="13"/>
      <c r="ISF33" s="13"/>
      <c r="ISG33" s="13"/>
      <c r="ISH33" s="13"/>
      <c r="ISI33" s="13"/>
      <c r="ISJ33" s="13"/>
      <c r="ISK33" s="13"/>
      <c r="ISL33" s="13"/>
      <c r="ISM33" s="13"/>
      <c r="ISN33" s="13"/>
      <c r="ISO33" s="13"/>
      <c r="ISP33" s="13"/>
      <c r="ISQ33" s="13"/>
      <c r="ISR33" s="13"/>
      <c r="ISS33" s="13"/>
      <c r="IST33" s="13"/>
      <c r="ISU33" s="13"/>
      <c r="ISV33" s="13"/>
      <c r="ISW33" s="13"/>
      <c r="ISX33" s="13"/>
      <c r="ISY33" s="13"/>
      <c r="ISZ33" s="13"/>
      <c r="ITA33" s="13"/>
      <c r="ITB33" s="13"/>
      <c r="ITC33" s="13"/>
      <c r="ITD33" s="13"/>
      <c r="ITE33" s="13"/>
      <c r="ITF33" s="13"/>
      <c r="ITG33" s="13"/>
      <c r="ITH33" s="13"/>
      <c r="ITI33" s="13"/>
      <c r="ITJ33" s="13"/>
      <c r="ITK33" s="13"/>
      <c r="ITL33" s="13"/>
      <c r="ITM33" s="13"/>
      <c r="ITN33" s="13"/>
      <c r="ITO33" s="13"/>
      <c r="ITP33" s="13"/>
      <c r="ITQ33" s="13"/>
      <c r="ITR33" s="13"/>
      <c r="ITS33" s="13"/>
      <c r="ITT33" s="13"/>
      <c r="ITU33" s="13"/>
      <c r="ITV33" s="13"/>
      <c r="ITW33" s="13"/>
      <c r="ITX33" s="13"/>
      <c r="ITY33" s="13"/>
      <c r="ITZ33" s="13"/>
      <c r="IUA33" s="13"/>
      <c r="IUB33" s="13"/>
      <c r="IUC33" s="13"/>
      <c r="IUD33" s="13"/>
      <c r="IUE33" s="13"/>
      <c r="IUF33" s="13"/>
      <c r="IUG33" s="13"/>
      <c r="IUH33" s="13"/>
      <c r="IUI33" s="13"/>
      <c r="IUJ33" s="13"/>
      <c r="IUK33" s="13"/>
      <c r="IUL33" s="13"/>
      <c r="IUM33" s="13"/>
      <c r="IUN33" s="13"/>
      <c r="IUO33" s="13"/>
      <c r="IUP33" s="13"/>
      <c r="IUQ33" s="13"/>
      <c r="IUR33" s="13"/>
      <c r="IUS33" s="13"/>
      <c r="IUT33" s="13"/>
      <c r="IUU33" s="13"/>
      <c r="IUV33" s="13"/>
      <c r="IUW33" s="13"/>
      <c r="IUX33" s="13"/>
      <c r="IUY33" s="13"/>
      <c r="IUZ33" s="13"/>
      <c r="IVA33" s="13"/>
      <c r="IVB33" s="13"/>
      <c r="IVC33" s="13"/>
      <c r="IVD33" s="13"/>
      <c r="IVE33" s="13"/>
      <c r="IVF33" s="13"/>
      <c r="IVG33" s="13"/>
      <c r="IVH33" s="13"/>
      <c r="IVI33" s="13"/>
      <c r="IVJ33" s="13"/>
      <c r="IVK33" s="13"/>
      <c r="IVL33" s="13"/>
      <c r="IVM33" s="13"/>
      <c r="IVN33" s="13"/>
      <c r="IVO33" s="13"/>
      <c r="IVP33" s="13"/>
      <c r="IVQ33" s="13"/>
      <c r="IVR33" s="13"/>
      <c r="IVS33" s="13"/>
      <c r="IVT33" s="13"/>
      <c r="IVU33" s="13"/>
      <c r="IVV33" s="13"/>
      <c r="IVW33" s="13"/>
      <c r="IVX33" s="13"/>
      <c r="IVY33" s="13"/>
      <c r="IVZ33" s="13"/>
      <c r="IWA33" s="13"/>
      <c r="IWB33" s="13"/>
      <c r="IWC33" s="13"/>
      <c r="IWD33" s="13"/>
      <c r="IWE33" s="13"/>
      <c r="IWF33" s="13"/>
      <c r="IWG33" s="13"/>
      <c r="IWH33" s="13"/>
      <c r="IWI33" s="13"/>
      <c r="IWJ33" s="13"/>
      <c r="IWK33" s="13"/>
      <c r="IWL33" s="13"/>
      <c r="IWM33" s="13"/>
      <c r="IWN33" s="13"/>
      <c r="IWO33" s="13"/>
      <c r="IWP33" s="13"/>
      <c r="IWQ33" s="13"/>
      <c r="IWR33" s="13"/>
      <c r="IWS33" s="13"/>
      <c r="IWT33" s="13"/>
      <c r="IWU33" s="13"/>
      <c r="IWV33" s="13"/>
      <c r="IWW33" s="13"/>
      <c r="IWX33" s="13"/>
      <c r="IWY33" s="13"/>
      <c r="IWZ33" s="13"/>
      <c r="IXA33" s="13"/>
      <c r="IXB33" s="13"/>
      <c r="IXC33" s="13"/>
      <c r="IXD33" s="13"/>
      <c r="IXE33" s="13"/>
      <c r="IXF33" s="13"/>
      <c r="IXG33" s="13"/>
      <c r="IXH33" s="13"/>
      <c r="IXI33" s="13"/>
      <c r="IXJ33" s="13"/>
      <c r="IXK33" s="13"/>
      <c r="IXL33" s="13"/>
      <c r="IXM33" s="13"/>
      <c r="IXN33" s="13"/>
      <c r="IXO33" s="13"/>
      <c r="IXP33" s="13"/>
      <c r="IXQ33" s="13"/>
      <c r="IXR33" s="13"/>
      <c r="IXS33" s="13"/>
      <c r="IXT33" s="13"/>
      <c r="IXU33" s="13"/>
      <c r="IXV33" s="13"/>
      <c r="IXW33" s="13"/>
      <c r="IXX33" s="13"/>
      <c r="IXY33" s="13"/>
      <c r="IXZ33" s="13"/>
      <c r="IYA33" s="13"/>
      <c r="IYB33" s="13"/>
      <c r="IYC33" s="13"/>
      <c r="IYD33" s="13"/>
      <c r="IYE33" s="13"/>
      <c r="IYF33" s="13"/>
      <c r="IYG33" s="13"/>
      <c r="IYH33" s="13"/>
      <c r="IYI33" s="13"/>
      <c r="IYJ33" s="13"/>
      <c r="IYK33" s="13"/>
      <c r="IYL33" s="13"/>
      <c r="IYM33" s="13"/>
      <c r="IYN33" s="13"/>
      <c r="IYO33" s="13"/>
      <c r="IYP33" s="13"/>
      <c r="IYQ33" s="13"/>
      <c r="IYR33" s="13"/>
      <c r="IYS33" s="13"/>
      <c r="IYT33" s="13"/>
      <c r="IYU33" s="13"/>
      <c r="IYV33" s="13"/>
      <c r="IYW33" s="13"/>
      <c r="IYX33" s="13"/>
      <c r="IYY33" s="13"/>
      <c r="IYZ33" s="13"/>
      <c r="IZA33" s="13"/>
      <c r="IZB33" s="13"/>
      <c r="IZC33" s="13"/>
      <c r="IZD33" s="13"/>
      <c r="IZE33" s="13"/>
      <c r="IZF33" s="13"/>
      <c r="IZG33" s="13"/>
      <c r="IZH33" s="13"/>
      <c r="IZI33" s="13"/>
      <c r="IZJ33" s="13"/>
      <c r="IZK33" s="13"/>
      <c r="IZL33" s="13"/>
      <c r="IZM33" s="13"/>
      <c r="IZN33" s="13"/>
      <c r="IZO33" s="13"/>
      <c r="IZP33" s="13"/>
      <c r="IZQ33" s="13"/>
      <c r="IZR33" s="13"/>
      <c r="IZS33" s="13"/>
      <c r="IZT33" s="13"/>
      <c r="IZU33" s="13"/>
      <c r="IZV33" s="13"/>
      <c r="IZW33" s="13"/>
      <c r="IZX33" s="13"/>
      <c r="IZY33" s="13"/>
      <c r="IZZ33" s="13"/>
      <c r="JAA33" s="13"/>
      <c r="JAB33" s="13"/>
      <c r="JAC33" s="13"/>
      <c r="JAD33" s="13"/>
      <c r="JAE33" s="13"/>
      <c r="JAF33" s="13"/>
      <c r="JAG33" s="13"/>
      <c r="JAH33" s="13"/>
      <c r="JAI33" s="13"/>
      <c r="JAJ33" s="13"/>
      <c r="JAK33" s="13"/>
      <c r="JAL33" s="13"/>
      <c r="JAM33" s="13"/>
      <c r="JAN33" s="13"/>
      <c r="JAO33" s="13"/>
      <c r="JAP33" s="13"/>
      <c r="JAQ33" s="13"/>
      <c r="JAR33" s="13"/>
      <c r="JAS33" s="13"/>
      <c r="JAT33" s="13"/>
      <c r="JAU33" s="13"/>
      <c r="JAV33" s="13"/>
      <c r="JAW33" s="13"/>
      <c r="JAX33" s="13"/>
      <c r="JAY33" s="13"/>
      <c r="JAZ33" s="13"/>
      <c r="JBA33" s="13"/>
      <c r="JBB33" s="13"/>
      <c r="JBC33" s="13"/>
      <c r="JBD33" s="13"/>
      <c r="JBE33" s="13"/>
      <c r="JBF33" s="13"/>
      <c r="JBG33" s="13"/>
      <c r="JBH33" s="13"/>
      <c r="JBI33" s="13"/>
      <c r="JBJ33" s="13"/>
      <c r="JBK33" s="13"/>
      <c r="JBL33" s="13"/>
      <c r="JBM33" s="13"/>
      <c r="JBN33" s="13"/>
      <c r="JBO33" s="13"/>
      <c r="JBP33" s="13"/>
      <c r="JBQ33" s="13"/>
      <c r="JBR33" s="13"/>
      <c r="JBS33" s="13"/>
      <c r="JBT33" s="13"/>
      <c r="JBU33" s="13"/>
      <c r="JBV33" s="13"/>
      <c r="JBW33" s="13"/>
      <c r="JBX33" s="13"/>
      <c r="JBY33" s="13"/>
      <c r="JBZ33" s="13"/>
      <c r="JCA33" s="13"/>
      <c r="JCB33" s="13"/>
      <c r="JCC33" s="13"/>
      <c r="JCD33" s="13"/>
      <c r="JCE33" s="13"/>
      <c r="JCF33" s="13"/>
      <c r="JCG33" s="13"/>
      <c r="JCH33" s="13"/>
      <c r="JCI33" s="13"/>
      <c r="JCJ33" s="13"/>
      <c r="JCK33" s="13"/>
      <c r="JCL33" s="13"/>
      <c r="JCM33" s="13"/>
      <c r="JCN33" s="13"/>
      <c r="JCO33" s="13"/>
      <c r="JCP33" s="13"/>
      <c r="JCQ33" s="13"/>
      <c r="JCR33" s="13"/>
      <c r="JCS33" s="13"/>
      <c r="JCT33" s="13"/>
      <c r="JCU33" s="13"/>
      <c r="JCV33" s="13"/>
      <c r="JCW33" s="13"/>
      <c r="JCX33" s="13"/>
      <c r="JCY33" s="13"/>
      <c r="JCZ33" s="13"/>
      <c r="JDA33" s="13"/>
      <c r="JDB33" s="13"/>
      <c r="JDC33" s="13"/>
      <c r="JDD33" s="13"/>
      <c r="JDE33" s="13"/>
      <c r="JDF33" s="13"/>
      <c r="JDG33" s="13"/>
      <c r="JDH33" s="13"/>
      <c r="JDI33" s="13"/>
      <c r="JDJ33" s="13"/>
      <c r="JDK33" s="13"/>
      <c r="JDL33" s="13"/>
      <c r="JDM33" s="13"/>
      <c r="JDN33" s="13"/>
      <c r="JDO33" s="13"/>
      <c r="JDP33" s="13"/>
      <c r="JDQ33" s="13"/>
      <c r="JDR33" s="13"/>
      <c r="JDS33" s="13"/>
      <c r="JDT33" s="13"/>
      <c r="JDU33" s="13"/>
      <c r="JDV33" s="13"/>
      <c r="JDW33" s="13"/>
      <c r="JDX33" s="13"/>
      <c r="JDY33" s="13"/>
      <c r="JDZ33" s="13"/>
      <c r="JEA33" s="13"/>
      <c r="JEB33" s="13"/>
      <c r="JEC33" s="13"/>
      <c r="JED33" s="13"/>
      <c r="JEE33" s="13"/>
      <c r="JEF33" s="13"/>
      <c r="JEG33" s="13"/>
      <c r="JEH33" s="13"/>
      <c r="JEI33" s="13"/>
      <c r="JEJ33" s="13"/>
      <c r="JEK33" s="13"/>
      <c r="JEL33" s="13"/>
      <c r="JEM33" s="13"/>
      <c r="JEN33" s="13"/>
      <c r="JEO33" s="13"/>
      <c r="JEP33" s="13"/>
      <c r="JEQ33" s="13"/>
      <c r="JER33" s="13"/>
      <c r="JES33" s="13"/>
      <c r="JET33" s="13"/>
      <c r="JEU33" s="13"/>
      <c r="JEV33" s="13"/>
      <c r="JEW33" s="13"/>
      <c r="JEX33" s="13"/>
      <c r="JEY33" s="13"/>
      <c r="JEZ33" s="13"/>
      <c r="JFA33" s="13"/>
      <c r="JFB33" s="13"/>
      <c r="JFC33" s="13"/>
      <c r="JFD33" s="13"/>
      <c r="JFE33" s="13"/>
      <c r="JFF33" s="13"/>
      <c r="JFG33" s="13"/>
      <c r="JFH33" s="13"/>
      <c r="JFI33" s="13"/>
      <c r="JFJ33" s="13"/>
      <c r="JFK33" s="13"/>
      <c r="JFL33" s="13"/>
      <c r="JFM33" s="13"/>
      <c r="JFN33" s="13"/>
      <c r="JFO33" s="13"/>
      <c r="JFP33" s="13"/>
      <c r="JFQ33" s="13"/>
      <c r="JFR33" s="13"/>
      <c r="JFS33" s="13"/>
      <c r="JFT33" s="13"/>
      <c r="JFU33" s="13"/>
      <c r="JFV33" s="13"/>
      <c r="JFW33" s="13"/>
      <c r="JFX33" s="13"/>
      <c r="JFY33" s="13"/>
      <c r="JFZ33" s="13"/>
      <c r="JGA33" s="13"/>
      <c r="JGB33" s="13"/>
      <c r="JGC33" s="13"/>
      <c r="JGD33" s="13"/>
      <c r="JGE33" s="13"/>
      <c r="JGF33" s="13"/>
      <c r="JGG33" s="13"/>
      <c r="JGH33" s="13"/>
      <c r="JGI33" s="13"/>
      <c r="JGJ33" s="13"/>
      <c r="JGK33" s="13"/>
      <c r="JGL33" s="13"/>
      <c r="JGM33" s="13"/>
      <c r="JGN33" s="13"/>
      <c r="JGO33" s="13"/>
      <c r="JGP33" s="13"/>
      <c r="JGQ33" s="13"/>
      <c r="JGR33" s="13"/>
      <c r="JGS33" s="13"/>
      <c r="JGT33" s="13"/>
      <c r="JGU33" s="13"/>
      <c r="JGV33" s="13"/>
      <c r="JGW33" s="13"/>
      <c r="JGX33" s="13"/>
      <c r="JGY33" s="13"/>
      <c r="JGZ33" s="13"/>
      <c r="JHA33" s="13"/>
      <c r="JHB33" s="13"/>
      <c r="JHC33" s="13"/>
      <c r="JHD33" s="13"/>
      <c r="JHE33" s="13"/>
      <c r="JHF33" s="13"/>
      <c r="JHG33" s="13"/>
      <c r="JHH33" s="13"/>
      <c r="JHI33" s="13"/>
      <c r="JHJ33" s="13"/>
      <c r="JHK33" s="13"/>
      <c r="JHL33" s="13"/>
      <c r="JHM33" s="13"/>
      <c r="JHN33" s="13"/>
      <c r="JHO33" s="13"/>
      <c r="JHP33" s="13"/>
      <c r="JHQ33" s="13"/>
      <c r="JHR33" s="13"/>
      <c r="JHS33" s="13"/>
      <c r="JHT33" s="13"/>
      <c r="JHU33" s="13"/>
      <c r="JHV33" s="13"/>
      <c r="JHW33" s="13"/>
      <c r="JHX33" s="13"/>
      <c r="JHY33" s="13"/>
      <c r="JHZ33" s="13"/>
      <c r="JIA33" s="13"/>
      <c r="JIB33" s="13"/>
      <c r="JIC33" s="13"/>
      <c r="JID33" s="13"/>
      <c r="JIE33" s="13"/>
      <c r="JIF33" s="13"/>
      <c r="JIG33" s="13"/>
      <c r="JIH33" s="13"/>
      <c r="JII33" s="13"/>
      <c r="JIJ33" s="13"/>
      <c r="JIK33" s="13"/>
      <c r="JIL33" s="13"/>
      <c r="JIM33" s="13"/>
      <c r="JIN33" s="13"/>
      <c r="JIO33" s="13"/>
      <c r="JIP33" s="13"/>
      <c r="JIQ33" s="13"/>
      <c r="JIR33" s="13"/>
      <c r="JIS33" s="13"/>
      <c r="JIT33" s="13"/>
      <c r="JIU33" s="13"/>
      <c r="JIV33" s="13"/>
      <c r="JIW33" s="13"/>
      <c r="JIX33" s="13"/>
      <c r="JIY33" s="13"/>
      <c r="JIZ33" s="13"/>
      <c r="JJA33" s="13"/>
      <c r="JJB33" s="13"/>
      <c r="JJC33" s="13"/>
      <c r="JJD33" s="13"/>
      <c r="JJE33" s="13"/>
      <c r="JJF33" s="13"/>
      <c r="JJG33" s="13"/>
      <c r="JJH33" s="13"/>
      <c r="JJI33" s="13"/>
      <c r="JJJ33" s="13"/>
      <c r="JJK33" s="13"/>
      <c r="JJL33" s="13"/>
      <c r="JJM33" s="13"/>
      <c r="JJN33" s="13"/>
      <c r="JJO33" s="13"/>
      <c r="JJP33" s="13"/>
      <c r="JJQ33" s="13"/>
      <c r="JJR33" s="13"/>
      <c r="JJS33" s="13"/>
      <c r="JJT33" s="13"/>
      <c r="JJU33" s="13"/>
      <c r="JJV33" s="13"/>
      <c r="JJW33" s="13"/>
      <c r="JJX33" s="13"/>
      <c r="JJY33" s="13"/>
      <c r="JJZ33" s="13"/>
      <c r="JKA33" s="13"/>
      <c r="JKB33" s="13"/>
      <c r="JKC33" s="13"/>
      <c r="JKD33" s="13"/>
      <c r="JKE33" s="13"/>
      <c r="JKF33" s="13"/>
      <c r="JKG33" s="13"/>
      <c r="JKH33" s="13"/>
      <c r="JKI33" s="13"/>
      <c r="JKJ33" s="13"/>
      <c r="JKK33" s="13"/>
      <c r="JKL33" s="13"/>
      <c r="JKM33" s="13"/>
      <c r="JKN33" s="13"/>
      <c r="JKO33" s="13"/>
      <c r="JKP33" s="13"/>
      <c r="JKQ33" s="13"/>
      <c r="JKR33" s="13"/>
      <c r="JKS33" s="13"/>
      <c r="JKT33" s="13"/>
      <c r="JKU33" s="13"/>
      <c r="JKV33" s="13"/>
      <c r="JKW33" s="13"/>
      <c r="JKX33" s="13"/>
      <c r="JKY33" s="13"/>
      <c r="JKZ33" s="13"/>
      <c r="JLA33" s="13"/>
      <c r="JLB33" s="13"/>
      <c r="JLC33" s="13"/>
      <c r="JLD33" s="13"/>
      <c r="JLE33" s="13"/>
      <c r="JLF33" s="13"/>
      <c r="JLG33" s="13"/>
      <c r="JLH33" s="13"/>
      <c r="JLI33" s="13"/>
      <c r="JLJ33" s="13"/>
      <c r="JLK33" s="13"/>
      <c r="JLL33" s="13"/>
      <c r="JLM33" s="13"/>
      <c r="JLN33" s="13"/>
      <c r="JLO33" s="13"/>
      <c r="JLP33" s="13"/>
      <c r="JLQ33" s="13"/>
      <c r="JLR33" s="13"/>
      <c r="JLS33" s="13"/>
      <c r="JLT33" s="13"/>
      <c r="JLU33" s="13"/>
      <c r="JLV33" s="13"/>
      <c r="JLW33" s="13"/>
      <c r="JLX33" s="13"/>
      <c r="JLY33" s="13"/>
      <c r="JLZ33" s="13"/>
      <c r="JMA33" s="13"/>
      <c r="JMB33" s="13"/>
      <c r="JMC33" s="13"/>
      <c r="JMD33" s="13"/>
      <c r="JME33" s="13"/>
      <c r="JMF33" s="13"/>
      <c r="JMG33" s="13"/>
      <c r="JMH33" s="13"/>
      <c r="JMI33" s="13"/>
      <c r="JMJ33" s="13"/>
      <c r="JMK33" s="13"/>
      <c r="JML33" s="13"/>
      <c r="JMM33" s="13"/>
      <c r="JMN33" s="13"/>
      <c r="JMO33" s="13"/>
      <c r="JMP33" s="13"/>
      <c r="JMQ33" s="13"/>
      <c r="JMR33" s="13"/>
      <c r="JMS33" s="13"/>
      <c r="JMT33" s="13"/>
      <c r="JMU33" s="13"/>
      <c r="JMV33" s="13"/>
      <c r="JMW33" s="13"/>
      <c r="JMX33" s="13"/>
      <c r="JMY33" s="13"/>
      <c r="JMZ33" s="13"/>
      <c r="JNA33" s="13"/>
      <c r="JNB33" s="13"/>
      <c r="JNC33" s="13"/>
      <c r="JND33" s="13"/>
      <c r="JNE33" s="13"/>
      <c r="JNF33" s="13"/>
      <c r="JNG33" s="13"/>
      <c r="JNH33" s="13"/>
      <c r="JNI33" s="13"/>
      <c r="JNJ33" s="13"/>
      <c r="JNK33" s="13"/>
      <c r="JNL33" s="13"/>
      <c r="JNM33" s="13"/>
      <c r="JNN33" s="13"/>
      <c r="JNO33" s="13"/>
      <c r="JNP33" s="13"/>
      <c r="JNQ33" s="13"/>
      <c r="JNR33" s="13"/>
      <c r="JNS33" s="13"/>
      <c r="JNT33" s="13"/>
      <c r="JNU33" s="13"/>
      <c r="JNV33" s="13"/>
      <c r="JNW33" s="13"/>
      <c r="JNX33" s="13"/>
      <c r="JNY33" s="13"/>
      <c r="JNZ33" s="13"/>
      <c r="JOA33" s="13"/>
      <c r="JOB33" s="13"/>
      <c r="JOC33" s="13"/>
      <c r="JOD33" s="13"/>
      <c r="JOE33" s="13"/>
      <c r="JOF33" s="13"/>
      <c r="JOG33" s="13"/>
      <c r="JOH33" s="13"/>
      <c r="JOI33" s="13"/>
      <c r="JOJ33" s="13"/>
      <c r="JOK33" s="13"/>
      <c r="JOL33" s="13"/>
      <c r="JOM33" s="13"/>
      <c r="JON33" s="13"/>
      <c r="JOO33" s="13"/>
      <c r="JOP33" s="13"/>
      <c r="JOQ33" s="13"/>
      <c r="JOR33" s="13"/>
      <c r="JOS33" s="13"/>
      <c r="JOT33" s="13"/>
      <c r="JOU33" s="13"/>
      <c r="JOV33" s="13"/>
      <c r="JOW33" s="13"/>
      <c r="JOX33" s="13"/>
      <c r="JOY33" s="13"/>
      <c r="JOZ33" s="13"/>
      <c r="JPA33" s="13"/>
      <c r="JPB33" s="13"/>
      <c r="JPC33" s="13"/>
      <c r="JPD33" s="13"/>
      <c r="JPE33" s="13"/>
      <c r="JPF33" s="13"/>
      <c r="JPG33" s="13"/>
      <c r="JPH33" s="13"/>
      <c r="JPI33" s="13"/>
      <c r="JPJ33" s="13"/>
      <c r="JPK33" s="13"/>
      <c r="JPL33" s="13"/>
      <c r="JPM33" s="13"/>
      <c r="JPN33" s="13"/>
      <c r="JPO33" s="13"/>
      <c r="JPP33" s="13"/>
      <c r="JPQ33" s="13"/>
      <c r="JPR33" s="13"/>
      <c r="JPS33" s="13"/>
      <c r="JPT33" s="13"/>
      <c r="JPU33" s="13"/>
      <c r="JPV33" s="13"/>
      <c r="JPW33" s="13"/>
      <c r="JPX33" s="13"/>
      <c r="JPY33" s="13"/>
      <c r="JPZ33" s="13"/>
      <c r="JQA33" s="13"/>
      <c r="JQB33" s="13"/>
      <c r="JQC33" s="13"/>
      <c r="JQD33" s="13"/>
      <c r="JQE33" s="13"/>
      <c r="JQF33" s="13"/>
      <c r="JQG33" s="13"/>
      <c r="JQH33" s="13"/>
      <c r="JQI33" s="13"/>
      <c r="JQJ33" s="13"/>
      <c r="JQK33" s="13"/>
      <c r="JQL33" s="13"/>
      <c r="JQM33" s="13"/>
      <c r="JQN33" s="13"/>
      <c r="JQO33" s="13"/>
      <c r="JQP33" s="13"/>
      <c r="JQQ33" s="13"/>
      <c r="JQR33" s="13"/>
      <c r="JQS33" s="13"/>
      <c r="JQT33" s="13"/>
      <c r="JQU33" s="13"/>
      <c r="JQV33" s="13"/>
      <c r="JQW33" s="13"/>
      <c r="JQX33" s="13"/>
      <c r="JQY33" s="13"/>
      <c r="JQZ33" s="13"/>
      <c r="JRA33" s="13"/>
      <c r="JRB33" s="13"/>
      <c r="JRC33" s="13"/>
      <c r="JRD33" s="13"/>
      <c r="JRE33" s="13"/>
      <c r="JRF33" s="13"/>
      <c r="JRG33" s="13"/>
      <c r="JRH33" s="13"/>
      <c r="JRI33" s="13"/>
      <c r="JRJ33" s="13"/>
      <c r="JRK33" s="13"/>
      <c r="JRL33" s="13"/>
      <c r="JRM33" s="13"/>
      <c r="JRN33" s="13"/>
      <c r="JRO33" s="13"/>
      <c r="JRP33" s="13"/>
      <c r="JRQ33" s="13"/>
      <c r="JRR33" s="13"/>
      <c r="JRS33" s="13"/>
      <c r="JRT33" s="13"/>
      <c r="JRU33" s="13"/>
      <c r="JRV33" s="13"/>
      <c r="JRW33" s="13"/>
      <c r="JRX33" s="13"/>
      <c r="JRY33" s="13"/>
      <c r="JRZ33" s="13"/>
      <c r="JSA33" s="13"/>
      <c r="JSB33" s="13"/>
      <c r="JSC33" s="13"/>
      <c r="JSD33" s="13"/>
      <c r="JSE33" s="13"/>
      <c r="JSF33" s="13"/>
      <c r="JSG33" s="13"/>
      <c r="JSH33" s="13"/>
      <c r="JSI33" s="13"/>
      <c r="JSJ33" s="13"/>
      <c r="JSK33" s="13"/>
      <c r="JSL33" s="13"/>
      <c r="JSM33" s="13"/>
      <c r="JSN33" s="13"/>
      <c r="JSO33" s="13"/>
      <c r="JSP33" s="13"/>
      <c r="JSQ33" s="13"/>
      <c r="JSR33" s="13"/>
      <c r="JSS33" s="13"/>
      <c r="JST33" s="13"/>
      <c r="JSU33" s="13"/>
      <c r="JSV33" s="13"/>
      <c r="JSW33" s="13"/>
      <c r="JSX33" s="13"/>
      <c r="JSY33" s="13"/>
      <c r="JSZ33" s="13"/>
      <c r="JTA33" s="13"/>
      <c r="JTB33" s="13"/>
      <c r="JTC33" s="13"/>
      <c r="JTD33" s="13"/>
      <c r="JTE33" s="13"/>
      <c r="JTF33" s="13"/>
      <c r="JTG33" s="13"/>
      <c r="JTH33" s="13"/>
      <c r="JTI33" s="13"/>
      <c r="JTJ33" s="13"/>
      <c r="JTK33" s="13"/>
      <c r="JTL33" s="13"/>
      <c r="JTM33" s="13"/>
      <c r="JTN33" s="13"/>
      <c r="JTO33" s="13"/>
      <c r="JTP33" s="13"/>
      <c r="JTQ33" s="13"/>
      <c r="JTR33" s="13"/>
      <c r="JTS33" s="13"/>
      <c r="JTT33" s="13"/>
      <c r="JTU33" s="13"/>
      <c r="JTV33" s="13"/>
      <c r="JTW33" s="13"/>
      <c r="JTX33" s="13"/>
      <c r="JTY33" s="13"/>
      <c r="JTZ33" s="13"/>
      <c r="JUA33" s="13"/>
      <c r="JUB33" s="13"/>
      <c r="JUC33" s="13"/>
      <c r="JUD33" s="13"/>
      <c r="JUE33" s="13"/>
      <c r="JUF33" s="13"/>
      <c r="JUG33" s="13"/>
      <c r="JUH33" s="13"/>
      <c r="JUI33" s="13"/>
      <c r="JUJ33" s="13"/>
      <c r="JUK33" s="13"/>
      <c r="JUL33" s="13"/>
      <c r="JUM33" s="13"/>
      <c r="JUN33" s="13"/>
      <c r="JUO33" s="13"/>
      <c r="JUP33" s="13"/>
      <c r="JUQ33" s="13"/>
      <c r="JUR33" s="13"/>
      <c r="JUS33" s="13"/>
      <c r="JUT33" s="13"/>
      <c r="JUU33" s="13"/>
      <c r="JUV33" s="13"/>
      <c r="JUW33" s="13"/>
      <c r="JUX33" s="13"/>
      <c r="JUY33" s="13"/>
      <c r="JUZ33" s="13"/>
      <c r="JVA33" s="13"/>
      <c r="JVB33" s="13"/>
      <c r="JVC33" s="13"/>
      <c r="JVD33" s="13"/>
      <c r="JVE33" s="13"/>
      <c r="JVF33" s="13"/>
      <c r="JVG33" s="13"/>
      <c r="JVH33" s="13"/>
      <c r="JVI33" s="13"/>
      <c r="JVJ33" s="13"/>
      <c r="JVK33" s="13"/>
      <c r="JVL33" s="13"/>
      <c r="JVM33" s="13"/>
      <c r="JVN33" s="13"/>
      <c r="JVO33" s="13"/>
      <c r="JVP33" s="13"/>
      <c r="JVQ33" s="13"/>
      <c r="JVR33" s="13"/>
      <c r="JVS33" s="13"/>
      <c r="JVT33" s="13"/>
      <c r="JVU33" s="13"/>
      <c r="JVV33" s="13"/>
      <c r="JVW33" s="13"/>
      <c r="JVX33" s="13"/>
      <c r="JVY33" s="13"/>
      <c r="JVZ33" s="13"/>
      <c r="JWA33" s="13"/>
      <c r="JWB33" s="13"/>
      <c r="JWC33" s="13"/>
      <c r="JWD33" s="13"/>
      <c r="JWE33" s="13"/>
      <c r="JWF33" s="13"/>
      <c r="JWG33" s="13"/>
      <c r="JWH33" s="13"/>
      <c r="JWI33" s="13"/>
      <c r="JWJ33" s="13"/>
      <c r="JWK33" s="13"/>
      <c r="JWL33" s="13"/>
      <c r="JWM33" s="13"/>
      <c r="JWN33" s="13"/>
      <c r="JWO33" s="13"/>
      <c r="JWP33" s="13"/>
      <c r="JWQ33" s="13"/>
      <c r="JWR33" s="13"/>
      <c r="JWS33" s="13"/>
      <c r="JWT33" s="13"/>
      <c r="JWU33" s="13"/>
      <c r="JWV33" s="13"/>
      <c r="JWW33" s="13"/>
      <c r="JWX33" s="13"/>
      <c r="JWY33" s="13"/>
      <c r="JWZ33" s="13"/>
      <c r="JXA33" s="13"/>
      <c r="JXB33" s="13"/>
      <c r="JXC33" s="13"/>
      <c r="JXD33" s="13"/>
      <c r="JXE33" s="13"/>
      <c r="JXF33" s="13"/>
      <c r="JXG33" s="13"/>
      <c r="JXH33" s="13"/>
      <c r="JXI33" s="13"/>
      <c r="JXJ33" s="13"/>
      <c r="JXK33" s="13"/>
      <c r="JXL33" s="13"/>
      <c r="JXM33" s="13"/>
      <c r="JXN33" s="13"/>
      <c r="JXO33" s="13"/>
      <c r="JXP33" s="13"/>
      <c r="JXQ33" s="13"/>
      <c r="JXR33" s="13"/>
      <c r="JXS33" s="13"/>
      <c r="JXT33" s="13"/>
      <c r="JXU33" s="13"/>
      <c r="JXV33" s="13"/>
      <c r="JXW33" s="13"/>
      <c r="JXX33" s="13"/>
      <c r="JXY33" s="13"/>
      <c r="JXZ33" s="13"/>
      <c r="JYA33" s="13"/>
      <c r="JYB33" s="13"/>
      <c r="JYC33" s="13"/>
      <c r="JYD33" s="13"/>
      <c r="JYE33" s="13"/>
      <c r="JYF33" s="13"/>
      <c r="JYG33" s="13"/>
      <c r="JYH33" s="13"/>
      <c r="JYI33" s="13"/>
      <c r="JYJ33" s="13"/>
      <c r="JYK33" s="13"/>
      <c r="JYL33" s="13"/>
      <c r="JYM33" s="13"/>
      <c r="JYN33" s="13"/>
      <c r="JYO33" s="13"/>
      <c r="JYP33" s="13"/>
      <c r="JYQ33" s="13"/>
      <c r="JYR33" s="13"/>
      <c r="JYS33" s="13"/>
      <c r="JYT33" s="13"/>
      <c r="JYU33" s="13"/>
      <c r="JYV33" s="13"/>
      <c r="JYW33" s="13"/>
      <c r="JYX33" s="13"/>
      <c r="JYY33" s="13"/>
      <c r="JYZ33" s="13"/>
      <c r="JZA33" s="13"/>
      <c r="JZB33" s="13"/>
      <c r="JZC33" s="13"/>
      <c r="JZD33" s="13"/>
      <c r="JZE33" s="13"/>
      <c r="JZF33" s="13"/>
      <c r="JZG33" s="13"/>
      <c r="JZH33" s="13"/>
      <c r="JZI33" s="13"/>
      <c r="JZJ33" s="13"/>
      <c r="JZK33" s="13"/>
      <c r="JZL33" s="13"/>
      <c r="JZM33" s="13"/>
      <c r="JZN33" s="13"/>
      <c r="JZO33" s="13"/>
      <c r="JZP33" s="13"/>
      <c r="JZQ33" s="13"/>
      <c r="JZR33" s="13"/>
      <c r="JZS33" s="13"/>
      <c r="JZT33" s="13"/>
      <c r="JZU33" s="13"/>
      <c r="JZV33" s="13"/>
      <c r="JZW33" s="13"/>
      <c r="JZX33" s="13"/>
      <c r="JZY33" s="13"/>
      <c r="JZZ33" s="13"/>
      <c r="KAA33" s="13"/>
      <c r="KAB33" s="13"/>
      <c r="KAC33" s="13"/>
      <c r="KAD33" s="13"/>
      <c r="KAE33" s="13"/>
      <c r="KAF33" s="13"/>
      <c r="KAG33" s="13"/>
      <c r="KAH33" s="13"/>
      <c r="KAI33" s="13"/>
      <c r="KAJ33" s="13"/>
      <c r="KAK33" s="13"/>
      <c r="KAL33" s="13"/>
      <c r="KAM33" s="13"/>
      <c r="KAN33" s="13"/>
      <c r="KAO33" s="13"/>
      <c r="KAP33" s="13"/>
      <c r="KAQ33" s="13"/>
      <c r="KAR33" s="13"/>
      <c r="KAS33" s="13"/>
      <c r="KAT33" s="13"/>
      <c r="KAU33" s="13"/>
      <c r="KAV33" s="13"/>
      <c r="KAW33" s="13"/>
      <c r="KAX33" s="13"/>
      <c r="KAY33" s="13"/>
      <c r="KAZ33" s="13"/>
      <c r="KBA33" s="13"/>
      <c r="KBB33" s="13"/>
      <c r="KBC33" s="13"/>
      <c r="KBD33" s="13"/>
      <c r="KBE33" s="13"/>
      <c r="KBF33" s="13"/>
      <c r="KBG33" s="13"/>
      <c r="KBH33" s="13"/>
      <c r="KBI33" s="13"/>
      <c r="KBJ33" s="13"/>
      <c r="KBK33" s="13"/>
      <c r="KBL33" s="13"/>
      <c r="KBM33" s="13"/>
      <c r="KBN33" s="13"/>
      <c r="KBO33" s="13"/>
      <c r="KBP33" s="13"/>
      <c r="KBQ33" s="13"/>
      <c r="KBR33" s="13"/>
      <c r="KBS33" s="13"/>
      <c r="KBT33" s="13"/>
      <c r="KBU33" s="13"/>
      <c r="KBV33" s="13"/>
      <c r="KBW33" s="13"/>
      <c r="KBX33" s="13"/>
      <c r="KBY33" s="13"/>
      <c r="KBZ33" s="13"/>
      <c r="KCA33" s="13"/>
      <c r="KCB33" s="13"/>
      <c r="KCC33" s="13"/>
      <c r="KCD33" s="13"/>
      <c r="KCE33" s="13"/>
      <c r="KCF33" s="13"/>
      <c r="KCG33" s="13"/>
      <c r="KCH33" s="13"/>
      <c r="KCI33" s="13"/>
      <c r="KCJ33" s="13"/>
      <c r="KCK33" s="13"/>
      <c r="KCL33" s="13"/>
      <c r="KCM33" s="13"/>
      <c r="KCN33" s="13"/>
      <c r="KCO33" s="13"/>
      <c r="KCP33" s="13"/>
      <c r="KCQ33" s="13"/>
      <c r="KCR33" s="13"/>
      <c r="KCS33" s="13"/>
      <c r="KCT33" s="13"/>
      <c r="KCU33" s="13"/>
      <c r="KCV33" s="13"/>
      <c r="KCW33" s="13"/>
      <c r="KCX33" s="13"/>
      <c r="KCY33" s="13"/>
      <c r="KCZ33" s="13"/>
      <c r="KDA33" s="13"/>
      <c r="KDB33" s="13"/>
      <c r="KDC33" s="13"/>
      <c r="KDD33" s="13"/>
      <c r="KDE33" s="13"/>
      <c r="KDF33" s="13"/>
      <c r="KDG33" s="13"/>
      <c r="KDH33" s="13"/>
      <c r="KDI33" s="13"/>
      <c r="KDJ33" s="13"/>
      <c r="KDK33" s="13"/>
      <c r="KDL33" s="13"/>
      <c r="KDM33" s="13"/>
      <c r="KDN33" s="13"/>
      <c r="KDO33" s="13"/>
      <c r="KDP33" s="13"/>
      <c r="KDQ33" s="13"/>
      <c r="KDR33" s="13"/>
      <c r="KDS33" s="13"/>
      <c r="KDT33" s="13"/>
      <c r="KDU33" s="13"/>
      <c r="KDV33" s="13"/>
      <c r="KDW33" s="13"/>
      <c r="KDX33" s="13"/>
      <c r="KDY33" s="13"/>
      <c r="KDZ33" s="13"/>
      <c r="KEA33" s="13"/>
      <c r="KEB33" s="13"/>
      <c r="KEC33" s="13"/>
      <c r="KED33" s="13"/>
      <c r="KEE33" s="13"/>
      <c r="KEF33" s="13"/>
      <c r="KEG33" s="13"/>
      <c r="KEH33" s="13"/>
      <c r="KEI33" s="13"/>
      <c r="KEJ33" s="13"/>
      <c r="KEK33" s="13"/>
      <c r="KEL33" s="13"/>
      <c r="KEM33" s="13"/>
      <c r="KEN33" s="13"/>
      <c r="KEO33" s="13"/>
      <c r="KEP33" s="13"/>
      <c r="KEQ33" s="13"/>
      <c r="KER33" s="13"/>
      <c r="KES33" s="13"/>
      <c r="KET33" s="13"/>
      <c r="KEU33" s="13"/>
      <c r="KEV33" s="13"/>
      <c r="KEW33" s="13"/>
      <c r="KEX33" s="13"/>
      <c r="KEY33" s="13"/>
      <c r="KEZ33" s="13"/>
      <c r="KFA33" s="13"/>
      <c r="KFB33" s="13"/>
      <c r="KFC33" s="13"/>
      <c r="KFD33" s="13"/>
      <c r="KFE33" s="13"/>
      <c r="KFF33" s="13"/>
      <c r="KFG33" s="13"/>
      <c r="KFH33" s="13"/>
      <c r="KFI33" s="13"/>
      <c r="KFJ33" s="13"/>
      <c r="KFK33" s="13"/>
      <c r="KFL33" s="13"/>
      <c r="KFM33" s="13"/>
      <c r="KFN33" s="13"/>
      <c r="KFO33" s="13"/>
      <c r="KFP33" s="13"/>
      <c r="KFQ33" s="13"/>
      <c r="KFR33" s="13"/>
      <c r="KFS33" s="13"/>
      <c r="KFT33" s="13"/>
      <c r="KFU33" s="13"/>
      <c r="KFV33" s="13"/>
      <c r="KFW33" s="13"/>
      <c r="KFX33" s="13"/>
      <c r="KFY33" s="13"/>
      <c r="KFZ33" s="13"/>
      <c r="KGA33" s="13"/>
      <c r="KGB33" s="13"/>
      <c r="KGC33" s="13"/>
      <c r="KGD33" s="13"/>
      <c r="KGE33" s="13"/>
      <c r="KGF33" s="13"/>
      <c r="KGG33" s="13"/>
      <c r="KGH33" s="13"/>
      <c r="KGI33" s="13"/>
      <c r="KGJ33" s="13"/>
      <c r="KGK33" s="13"/>
      <c r="KGL33" s="13"/>
      <c r="KGM33" s="13"/>
      <c r="KGN33" s="13"/>
      <c r="KGO33" s="13"/>
      <c r="KGP33" s="13"/>
      <c r="KGQ33" s="13"/>
      <c r="KGR33" s="13"/>
      <c r="KGS33" s="13"/>
      <c r="KGT33" s="13"/>
      <c r="KGU33" s="13"/>
      <c r="KGV33" s="13"/>
      <c r="KGW33" s="13"/>
      <c r="KGX33" s="13"/>
      <c r="KGY33" s="13"/>
      <c r="KGZ33" s="13"/>
      <c r="KHA33" s="13"/>
      <c r="KHB33" s="13"/>
      <c r="KHC33" s="13"/>
      <c r="KHD33" s="13"/>
      <c r="KHE33" s="13"/>
      <c r="KHF33" s="13"/>
      <c r="KHG33" s="13"/>
      <c r="KHH33" s="13"/>
      <c r="KHI33" s="13"/>
      <c r="KHJ33" s="13"/>
      <c r="KHK33" s="13"/>
      <c r="KHL33" s="13"/>
      <c r="KHM33" s="13"/>
      <c r="KHN33" s="13"/>
      <c r="KHO33" s="13"/>
      <c r="KHP33" s="13"/>
      <c r="KHQ33" s="13"/>
      <c r="KHR33" s="13"/>
      <c r="KHS33" s="13"/>
      <c r="KHT33" s="13"/>
      <c r="KHU33" s="13"/>
      <c r="KHV33" s="13"/>
      <c r="KHW33" s="13"/>
      <c r="KHX33" s="13"/>
      <c r="KHY33" s="13"/>
      <c r="KHZ33" s="13"/>
      <c r="KIA33" s="13"/>
      <c r="KIB33" s="13"/>
      <c r="KIC33" s="13"/>
      <c r="KID33" s="13"/>
      <c r="KIE33" s="13"/>
      <c r="KIF33" s="13"/>
      <c r="KIG33" s="13"/>
      <c r="KIH33" s="13"/>
      <c r="KII33" s="13"/>
      <c r="KIJ33" s="13"/>
      <c r="KIK33" s="13"/>
      <c r="KIL33" s="13"/>
      <c r="KIM33" s="13"/>
      <c r="KIN33" s="13"/>
      <c r="KIO33" s="13"/>
      <c r="KIP33" s="13"/>
      <c r="KIQ33" s="13"/>
      <c r="KIR33" s="13"/>
      <c r="KIS33" s="13"/>
      <c r="KIT33" s="13"/>
      <c r="KIU33" s="13"/>
      <c r="KIV33" s="13"/>
      <c r="KIW33" s="13"/>
      <c r="KIX33" s="13"/>
      <c r="KIY33" s="13"/>
      <c r="KIZ33" s="13"/>
      <c r="KJA33" s="13"/>
      <c r="KJB33" s="13"/>
      <c r="KJC33" s="13"/>
      <c r="KJD33" s="13"/>
      <c r="KJE33" s="13"/>
      <c r="KJF33" s="13"/>
      <c r="KJG33" s="13"/>
      <c r="KJH33" s="13"/>
      <c r="KJI33" s="13"/>
      <c r="KJJ33" s="13"/>
      <c r="KJK33" s="13"/>
      <c r="KJL33" s="13"/>
      <c r="KJM33" s="13"/>
      <c r="KJN33" s="13"/>
      <c r="KJO33" s="13"/>
      <c r="KJP33" s="13"/>
      <c r="KJQ33" s="13"/>
      <c r="KJR33" s="13"/>
      <c r="KJS33" s="13"/>
      <c r="KJT33" s="13"/>
      <c r="KJU33" s="13"/>
      <c r="KJV33" s="13"/>
      <c r="KJW33" s="13"/>
      <c r="KJX33" s="13"/>
      <c r="KJY33" s="13"/>
      <c r="KJZ33" s="13"/>
      <c r="KKA33" s="13"/>
      <c r="KKB33" s="13"/>
      <c r="KKC33" s="13"/>
      <c r="KKD33" s="13"/>
      <c r="KKE33" s="13"/>
      <c r="KKF33" s="13"/>
      <c r="KKG33" s="13"/>
      <c r="KKH33" s="13"/>
      <c r="KKI33" s="13"/>
      <c r="KKJ33" s="13"/>
      <c r="KKK33" s="13"/>
      <c r="KKL33" s="13"/>
      <c r="KKM33" s="13"/>
      <c r="KKN33" s="13"/>
      <c r="KKO33" s="13"/>
      <c r="KKP33" s="13"/>
      <c r="KKQ33" s="13"/>
      <c r="KKR33" s="13"/>
      <c r="KKS33" s="13"/>
      <c r="KKT33" s="13"/>
      <c r="KKU33" s="13"/>
      <c r="KKV33" s="13"/>
      <c r="KKW33" s="13"/>
      <c r="KKX33" s="13"/>
      <c r="KKY33" s="13"/>
      <c r="KKZ33" s="13"/>
      <c r="KLA33" s="13"/>
      <c r="KLB33" s="13"/>
      <c r="KLC33" s="13"/>
      <c r="KLD33" s="13"/>
      <c r="KLE33" s="13"/>
      <c r="KLF33" s="13"/>
      <c r="KLG33" s="13"/>
      <c r="KLH33" s="13"/>
      <c r="KLI33" s="13"/>
      <c r="KLJ33" s="13"/>
      <c r="KLK33" s="13"/>
      <c r="KLL33" s="13"/>
      <c r="KLM33" s="13"/>
      <c r="KLN33" s="13"/>
      <c r="KLO33" s="13"/>
      <c r="KLP33" s="13"/>
      <c r="KLQ33" s="13"/>
      <c r="KLR33" s="13"/>
      <c r="KLS33" s="13"/>
      <c r="KLT33" s="13"/>
      <c r="KLU33" s="13"/>
      <c r="KLV33" s="13"/>
      <c r="KLW33" s="13"/>
      <c r="KLX33" s="13"/>
      <c r="KLY33" s="13"/>
      <c r="KLZ33" s="13"/>
      <c r="KMA33" s="13"/>
      <c r="KMB33" s="13"/>
      <c r="KMC33" s="13"/>
      <c r="KMD33" s="13"/>
      <c r="KME33" s="13"/>
      <c r="KMF33" s="13"/>
      <c r="KMG33" s="13"/>
      <c r="KMH33" s="13"/>
      <c r="KMI33" s="13"/>
      <c r="KMJ33" s="13"/>
      <c r="KMK33" s="13"/>
      <c r="KML33" s="13"/>
      <c r="KMM33" s="13"/>
      <c r="KMN33" s="13"/>
      <c r="KMO33" s="13"/>
      <c r="KMP33" s="13"/>
      <c r="KMQ33" s="13"/>
      <c r="KMR33" s="13"/>
      <c r="KMS33" s="13"/>
      <c r="KMT33" s="13"/>
      <c r="KMU33" s="13"/>
      <c r="KMV33" s="13"/>
      <c r="KMW33" s="13"/>
      <c r="KMX33" s="13"/>
      <c r="KMY33" s="13"/>
      <c r="KMZ33" s="13"/>
      <c r="KNA33" s="13"/>
      <c r="KNB33" s="13"/>
      <c r="KNC33" s="13"/>
      <c r="KND33" s="13"/>
      <c r="KNE33" s="13"/>
      <c r="KNF33" s="13"/>
      <c r="KNG33" s="13"/>
      <c r="KNH33" s="13"/>
      <c r="KNI33" s="13"/>
      <c r="KNJ33" s="13"/>
      <c r="KNK33" s="13"/>
      <c r="KNL33" s="13"/>
      <c r="KNM33" s="13"/>
      <c r="KNN33" s="13"/>
      <c r="KNO33" s="13"/>
      <c r="KNP33" s="13"/>
      <c r="KNQ33" s="13"/>
      <c r="KNR33" s="13"/>
      <c r="KNS33" s="13"/>
      <c r="KNT33" s="13"/>
      <c r="KNU33" s="13"/>
      <c r="KNV33" s="13"/>
      <c r="KNW33" s="13"/>
      <c r="KNX33" s="13"/>
      <c r="KNY33" s="13"/>
      <c r="KNZ33" s="13"/>
      <c r="KOA33" s="13"/>
      <c r="KOB33" s="13"/>
      <c r="KOC33" s="13"/>
      <c r="KOD33" s="13"/>
      <c r="KOE33" s="13"/>
      <c r="KOF33" s="13"/>
      <c r="KOG33" s="13"/>
      <c r="KOH33" s="13"/>
      <c r="KOI33" s="13"/>
      <c r="KOJ33" s="13"/>
      <c r="KOK33" s="13"/>
      <c r="KOL33" s="13"/>
      <c r="KOM33" s="13"/>
      <c r="KON33" s="13"/>
      <c r="KOO33" s="13"/>
      <c r="KOP33" s="13"/>
      <c r="KOQ33" s="13"/>
      <c r="KOR33" s="13"/>
      <c r="KOS33" s="13"/>
      <c r="KOT33" s="13"/>
      <c r="KOU33" s="13"/>
      <c r="KOV33" s="13"/>
      <c r="KOW33" s="13"/>
      <c r="KOX33" s="13"/>
      <c r="KOY33" s="13"/>
      <c r="KOZ33" s="13"/>
      <c r="KPA33" s="13"/>
      <c r="KPB33" s="13"/>
      <c r="KPC33" s="13"/>
      <c r="KPD33" s="13"/>
      <c r="KPE33" s="13"/>
      <c r="KPF33" s="13"/>
      <c r="KPG33" s="13"/>
      <c r="KPH33" s="13"/>
      <c r="KPI33" s="13"/>
      <c r="KPJ33" s="13"/>
      <c r="KPK33" s="13"/>
      <c r="KPL33" s="13"/>
      <c r="KPM33" s="13"/>
      <c r="KPN33" s="13"/>
      <c r="KPO33" s="13"/>
      <c r="KPP33" s="13"/>
      <c r="KPQ33" s="13"/>
      <c r="KPR33" s="13"/>
      <c r="KPS33" s="13"/>
      <c r="KPT33" s="13"/>
      <c r="KPU33" s="13"/>
      <c r="KPV33" s="13"/>
      <c r="KPW33" s="13"/>
      <c r="KPX33" s="13"/>
      <c r="KPY33" s="13"/>
      <c r="KPZ33" s="13"/>
      <c r="KQA33" s="13"/>
      <c r="KQB33" s="13"/>
      <c r="KQC33" s="13"/>
      <c r="KQD33" s="13"/>
      <c r="KQE33" s="13"/>
      <c r="KQF33" s="13"/>
      <c r="KQG33" s="13"/>
      <c r="KQH33" s="13"/>
      <c r="KQI33" s="13"/>
      <c r="KQJ33" s="13"/>
      <c r="KQK33" s="13"/>
      <c r="KQL33" s="13"/>
      <c r="KQM33" s="13"/>
      <c r="KQN33" s="13"/>
      <c r="KQO33" s="13"/>
      <c r="KQP33" s="13"/>
      <c r="KQQ33" s="13"/>
      <c r="KQR33" s="13"/>
      <c r="KQS33" s="13"/>
      <c r="KQT33" s="13"/>
      <c r="KQU33" s="13"/>
      <c r="KQV33" s="13"/>
      <c r="KQW33" s="13"/>
      <c r="KQX33" s="13"/>
      <c r="KQY33" s="13"/>
      <c r="KQZ33" s="13"/>
      <c r="KRA33" s="13"/>
      <c r="KRB33" s="13"/>
      <c r="KRC33" s="13"/>
      <c r="KRD33" s="13"/>
      <c r="KRE33" s="13"/>
      <c r="KRF33" s="13"/>
      <c r="KRG33" s="13"/>
      <c r="KRH33" s="13"/>
      <c r="KRI33" s="13"/>
      <c r="KRJ33" s="13"/>
      <c r="KRK33" s="13"/>
      <c r="KRL33" s="13"/>
      <c r="KRM33" s="13"/>
      <c r="KRN33" s="13"/>
      <c r="KRO33" s="13"/>
      <c r="KRP33" s="13"/>
      <c r="KRQ33" s="13"/>
      <c r="KRR33" s="13"/>
      <c r="KRS33" s="13"/>
      <c r="KRT33" s="13"/>
      <c r="KRU33" s="13"/>
      <c r="KRV33" s="13"/>
      <c r="KRW33" s="13"/>
      <c r="KRX33" s="13"/>
      <c r="KRY33" s="13"/>
      <c r="KRZ33" s="13"/>
      <c r="KSA33" s="13"/>
      <c r="KSB33" s="13"/>
      <c r="KSC33" s="13"/>
      <c r="KSD33" s="13"/>
      <c r="KSE33" s="13"/>
      <c r="KSF33" s="13"/>
      <c r="KSG33" s="13"/>
      <c r="KSH33" s="13"/>
      <c r="KSI33" s="13"/>
      <c r="KSJ33" s="13"/>
      <c r="KSK33" s="13"/>
      <c r="KSL33" s="13"/>
      <c r="KSM33" s="13"/>
      <c r="KSN33" s="13"/>
      <c r="KSO33" s="13"/>
      <c r="KSP33" s="13"/>
      <c r="KSQ33" s="13"/>
      <c r="KSR33" s="13"/>
      <c r="KSS33" s="13"/>
      <c r="KST33" s="13"/>
      <c r="KSU33" s="13"/>
      <c r="KSV33" s="13"/>
      <c r="KSW33" s="13"/>
      <c r="KSX33" s="13"/>
      <c r="KSY33" s="13"/>
      <c r="KSZ33" s="13"/>
      <c r="KTA33" s="13"/>
      <c r="KTB33" s="13"/>
      <c r="KTC33" s="13"/>
      <c r="KTD33" s="13"/>
      <c r="KTE33" s="13"/>
      <c r="KTF33" s="13"/>
      <c r="KTG33" s="13"/>
      <c r="KTH33" s="13"/>
      <c r="KTI33" s="13"/>
      <c r="KTJ33" s="13"/>
      <c r="KTK33" s="13"/>
      <c r="KTL33" s="13"/>
      <c r="KTM33" s="13"/>
      <c r="KTN33" s="13"/>
      <c r="KTO33" s="13"/>
      <c r="KTP33" s="13"/>
      <c r="KTQ33" s="13"/>
      <c r="KTR33" s="13"/>
      <c r="KTS33" s="13"/>
      <c r="KTT33" s="13"/>
      <c r="KTU33" s="13"/>
      <c r="KTV33" s="13"/>
      <c r="KTW33" s="13"/>
      <c r="KTX33" s="13"/>
      <c r="KTY33" s="13"/>
      <c r="KTZ33" s="13"/>
      <c r="KUA33" s="13"/>
      <c r="KUB33" s="13"/>
      <c r="KUC33" s="13"/>
      <c r="KUD33" s="13"/>
      <c r="KUE33" s="13"/>
      <c r="KUF33" s="13"/>
      <c r="KUG33" s="13"/>
      <c r="KUH33" s="13"/>
      <c r="KUI33" s="13"/>
      <c r="KUJ33" s="13"/>
      <c r="KUK33" s="13"/>
      <c r="KUL33" s="13"/>
      <c r="KUM33" s="13"/>
      <c r="KUN33" s="13"/>
      <c r="KUO33" s="13"/>
      <c r="KUP33" s="13"/>
      <c r="KUQ33" s="13"/>
      <c r="KUR33" s="13"/>
      <c r="KUS33" s="13"/>
      <c r="KUT33" s="13"/>
      <c r="KUU33" s="13"/>
      <c r="KUV33" s="13"/>
      <c r="KUW33" s="13"/>
      <c r="KUX33" s="13"/>
      <c r="KUY33" s="13"/>
      <c r="KUZ33" s="13"/>
      <c r="KVA33" s="13"/>
      <c r="KVB33" s="13"/>
      <c r="KVC33" s="13"/>
      <c r="KVD33" s="13"/>
      <c r="KVE33" s="13"/>
      <c r="KVF33" s="13"/>
      <c r="KVG33" s="13"/>
      <c r="KVH33" s="13"/>
      <c r="KVI33" s="13"/>
      <c r="KVJ33" s="13"/>
      <c r="KVK33" s="13"/>
      <c r="KVL33" s="13"/>
      <c r="KVM33" s="13"/>
      <c r="KVN33" s="13"/>
      <c r="KVO33" s="13"/>
      <c r="KVP33" s="13"/>
      <c r="KVQ33" s="13"/>
      <c r="KVR33" s="13"/>
      <c r="KVS33" s="13"/>
      <c r="KVT33" s="13"/>
      <c r="KVU33" s="13"/>
      <c r="KVV33" s="13"/>
      <c r="KVW33" s="13"/>
      <c r="KVX33" s="13"/>
      <c r="KVY33" s="13"/>
      <c r="KVZ33" s="13"/>
      <c r="KWA33" s="13"/>
      <c r="KWB33" s="13"/>
      <c r="KWC33" s="13"/>
      <c r="KWD33" s="13"/>
      <c r="KWE33" s="13"/>
      <c r="KWF33" s="13"/>
      <c r="KWG33" s="13"/>
      <c r="KWH33" s="13"/>
      <c r="KWI33" s="13"/>
      <c r="KWJ33" s="13"/>
      <c r="KWK33" s="13"/>
      <c r="KWL33" s="13"/>
      <c r="KWM33" s="13"/>
      <c r="KWN33" s="13"/>
      <c r="KWO33" s="13"/>
      <c r="KWP33" s="13"/>
      <c r="KWQ33" s="13"/>
      <c r="KWR33" s="13"/>
      <c r="KWS33" s="13"/>
      <c r="KWT33" s="13"/>
      <c r="KWU33" s="13"/>
      <c r="KWV33" s="13"/>
      <c r="KWW33" s="13"/>
      <c r="KWX33" s="13"/>
      <c r="KWY33" s="13"/>
      <c r="KWZ33" s="13"/>
      <c r="KXA33" s="13"/>
      <c r="KXB33" s="13"/>
      <c r="KXC33" s="13"/>
      <c r="KXD33" s="13"/>
      <c r="KXE33" s="13"/>
      <c r="KXF33" s="13"/>
      <c r="KXG33" s="13"/>
      <c r="KXH33" s="13"/>
      <c r="KXI33" s="13"/>
      <c r="KXJ33" s="13"/>
      <c r="KXK33" s="13"/>
      <c r="KXL33" s="13"/>
      <c r="KXM33" s="13"/>
      <c r="KXN33" s="13"/>
      <c r="KXO33" s="13"/>
      <c r="KXP33" s="13"/>
      <c r="KXQ33" s="13"/>
      <c r="KXR33" s="13"/>
      <c r="KXS33" s="13"/>
      <c r="KXT33" s="13"/>
      <c r="KXU33" s="13"/>
      <c r="KXV33" s="13"/>
      <c r="KXW33" s="13"/>
      <c r="KXX33" s="13"/>
      <c r="KXY33" s="13"/>
      <c r="KXZ33" s="13"/>
      <c r="KYA33" s="13"/>
      <c r="KYB33" s="13"/>
      <c r="KYC33" s="13"/>
      <c r="KYD33" s="13"/>
      <c r="KYE33" s="13"/>
      <c r="KYF33" s="13"/>
      <c r="KYG33" s="13"/>
      <c r="KYH33" s="13"/>
      <c r="KYI33" s="13"/>
      <c r="KYJ33" s="13"/>
      <c r="KYK33" s="13"/>
      <c r="KYL33" s="13"/>
      <c r="KYM33" s="13"/>
      <c r="KYN33" s="13"/>
      <c r="KYO33" s="13"/>
      <c r="KYP33" s="13"/>
      <c r="KYQ33" s="13"/>
      <c r="KYR33" s="13"/>
      <c r="KYS33" s="13"/>
      <c r="KYT33" s="13"/>
      <c r="KYU33" s="13"/>
      <c r="KYV33" s="13"/>
      <c r="KYW33" s="13"/>
      <c r="KYX33" s="13"/>
      <c r="KYY33" s="13"/>
      <c r="KYZ33" s="13"/>
      <c r="KZA33" s="13"/>
      <c r="KZB33" s="13"/>
      <c r="KZC33" s="13"/>
      <c r="KZD33" s="13"/>
      <c r="KZE33" s="13"/>
      <c r="KZF33" s="13"/>
      <c r="KZG33" s="13"/>
      <c r="KZH33" s="13"/>
      <c r="KZI33" s="13"/>
      <c r="KZJ33" s="13"/>
      <c r="KZK33" s="13"/>
      <c r="KZL33" s="13"/>
      <c r="KZM33" s="13"/>
      <c r="KZN33" s="13"/>
      <c r="KZO33" s="13"/>
      <c r="KZP33" s="13"/>
      <c r="KZQ33" s="13"/>
      <c r="KZR33" s="13"/>
      <c r="KZS33" s="13"/>
      <c r="KZT33" s="13"/>
      <c r="KZU33" s="13"/>
      <c r="KZV33" s="13"/>
      <c r="KZW33" s="13"/>
      <c r="KZX33" s="13"/>
      <c r="KZY33" s="13"/>
      <c r="KZZ33" s="13"/>
      <c r="LAA33" s="13"/>
      <c r="LAB33" s="13"/>
      <c r="LAC33" s="13"/>
      <c r="LAD33" s="13"/>
      <c r="LAE33" s="13"/>
      <c r="LAF33" s="13"/>
      <c r="LAG33" s="13"/>
      <c r="LAH33" s="13"/>
      <c r="LAI33" s="13"/>
      <c r="LAJ33" s="13"/>
      <c r="LAK33" s="13"/>
      <c r="LAL33" s="13"/>
      <c r="LAM33" s="13"/>
      <c r="LAN33" s="13"/>
      <c r="LAO33" s="13"/>
      <c r="LAP33" s="13"/>
      <c r="LAQ33" s="13"/>
      <c r="LAR33" s="13"/>
      <c r="LAS33" s="13"/>
      <c r="LAT33" s="13"/>
      <c r="LAU33" s="13"/>
      <c r="LAV33" s="13"/>
      <c r="LAW33" s="13"/>
      <c r="LAX33" s="13"/>
      <c r="LAY33" s="13"/>
      <c r="LAZ33" s="13"/>
      <c r="LBA33" s="13"/>
      <c r="LBB33" s="13"/>
      <c r="LBC33" s="13"/>
      <c r="LBD33" s="13"/>
      <c r="LBE33" s="13"/>
      <c r="LBF33" s="13"/>
      <c r="LBG33" s="13"/>
      <c r="LBH33" s="13"/>
      <c r="LBI33" s="13"/>
      <c r="LBJ33" s="13"/>
      <c r="LBK33" s="13"/>
      <c r="LBL33" s="13"/>
      <c r="LBM33" s="13"/>
      <c r="LBN33" s="13"/>
      <c r="LBO33" s="13"/>
      <c r="LBP33" s="13"/>
      <c r="LBQ33" s="13"/>
      <c r="LBR33" s="13"/>
      <c r="LBS33" s="13"/>
      <c r="LBT33" s="13"/>
      <c r="LBU33" s="13"/>
      <c r="LBV33" s="13"/>
      <c r="LBW33" s="13"/>
      <c r="LBX33" s="13"/>
      <c r="LBY33" s="13"/>
      <c r="LBZ33" s="13"/>
      <c r="LCA33" s="13"/>
      <c r="LCB33" s="13"/>
      <c r="LCC33" s="13"/>
      <c r="LCD33" s="13"/>
      <c r="LCE33" s="13"/>
      <c r="LCF33" s="13"/>
      <c r="LCG33" s="13"/>
      <c r="LCH33" s="13"/>
      <c r="LCI33" s="13"/>
      <c r="LCJ33" s="13"/>
      <c r="LCK33" s="13"/>
      <c r="LCL33" s="13"/>
      <c r="LCM33" s="13"/>
      <c r="LCN33" s="13"/>
      <c r="LCO33" s="13"/>
      <c r="LCP33" s="13"/>
      <c r="LCQ33" s="13"/>
      <c r="LCR33" s="13"/>
      <c r="LCS33" s="13"/>
      <c r="LCT33" s="13"/>
      <c r="LCU33" s="13"/>
      <c r="LCV33" s="13"/>
      <c r="LCW33" s="13"/>
      <c r="LCX33" s="13"/>
      <c r="LCY33" s="13"/>
      <c r="LCZ33" s="13"/>
      <c r="LDA33" s="13"/>
      <c r="LDB33" s="13"/>
      <c r="LDC33" s="13"/>
      <c r="LDD33" s="13"/>
      <c r="LDE33" s="13"/>
      <c r="LDF33" s="13"/>
      <c r="LDG33" s="13"/>
      <c r="LDH33" s="13"/>
      <c r="LDI33" s="13"/>
      <c r="LDJ33" s="13"/>
      <c r="LDK33" s="13"/>
      <c r="LDL33" s="13"/>
      <c r="LDM33" s="13"/>
      <c r="LDN33" s="13"/>
      <c r="LDO33" s="13"/>
      <c r="LDP33" s="13"/>
      <c r="LDQ33" s="13"/>
      <c r="LDR33" s="13"/>
      <c r="LDS33" s="13"/>
      <c r="LDT33" s="13"/>
      <c r="LDU33" s="13"/>
      <c r="LDV33" s="13"/>
      <c r="LDW33" s="13"/>
      <c r="LDX33" s="13"/>
      <c r="LDY33" s="13"/>
      <c r="LDZ33" s="13"/>
      <c r="LEA33" s="13"/>
      <c r="LEB33" s="13"/>
      <c r="LEC33" s="13"/>
      <c r="LED33" s="13"/>
      <c r="LEE33" s="13"/>
      <c r="LEF33" s="13"/>
      <c r="LEG33" s="13"/>
      <c r="LEH33" s="13"/>
      <c r="LEI33" s="13"/>
      <c r="LEJ33" s="13"/>
      <c r="LEK33" s="13"/>
      <c r="LEL33" s="13"/>
      <c r="LEM33" s="13"/>
      <c r="LEN33" s="13"/>
      <c r="LEO33" s="13"/>
      <c r="LEP33" s="13"/>
      <c r="LEQ33" s="13"/>
      <c r="LER33" s="13"/>
      <c r="LES33" s="13"/>
      <c r="LET33" s="13"/>
      <c r="LEU33" s="13"/>
      <c r="LEV33" s="13"/>
      <c r="LEW33" s="13"/>
      <c r="LEX33" s="13"/>
      <c r="LEY33" s="13"/>
      <c r="LEZ33" s="13"/>
      <c r="LFA33" s="13"/>
      <c r="LFB33" s="13"/>
      <c r="LFC33" s="13"/>
      <c r="LFD33" s="13"/>
      <c r="LFE33" s="13"/>
      <c r="LFF33" s="13"/>
      <c r="LFG33" s="13"/>
      <c r="LFH33" s="13"/>
      <c r="LFI33" s="13"/>
      <c r="LFJ33" s="13"/>
      <c r="LFK33" s="13"/>
      <c r="LFL33" s="13"/>
      <c r="LFM33" s="13"/>
      <c r="LFN33" s="13"/>
      <c r="LFO33" s="13"/>
      <c r="LFP33" s="13"/>
      <c r="LFQ33" s="13"/>
      <c r="LFR33" s="13"/>
      <c r="LFS33" s="13"/>
      <c r="LFT33" s="13"/>
      <c r="LFU33" s="13"/>
      <c r="LFV33" s="13"/>
      <c r="LFW33" s="13"/>
      <c r="LFX33" s="13"/>
      <c r="LFY33" s="13"/>
      <c r="LFZ33" s="13"/>
      <c r="LGA33" s="13"/>
      <c r="LGB33" s="13"/>
      <c r="LGC33" s="13"/>
      <c r="LGD33" s="13"/>
      <c r="LGE33" s="13"/>
      <c r="LGF33" s="13"/>
      <c r="LGG33" s="13"/>
      <c r="LGH33" s="13"/>
      <c r="LGI33" s="13"/>
      <c r="LGJ33" s="13"/>
      <c r="LGK33" s="13"/>
      <c r="LGL33" s="13"/>
      <c r="LGM33" s="13"/>
      <c r="LGN33" s="13"/>
      <c r="LGO33" s="13"/>
      <c r="LGP33" s="13"/>
      <c r="LGQ33" s="13"/>
      <c r="LGR33" s="13"/>
      <c r="LGS33" s="13"/>
      <c r="LGT33" s="13"/>
      <c r="LGU33" s="13"/>
      <c r="LGV33" s="13"/>
      <c r="LGW33" s="13"/>
      <c r="LGX33" s="13"/>
      <c r="LGY33" s="13"/>
      <c r="LGZ33" s="13"/>
      <c r="LHA33" s="13"/>
      <c r="LHB33" s="13"/>
      <c r="LHC33" s="13"/>
      <c r="LHD33" s="13"/>
      <c r="LHE33" s="13"/>
      <c r="LHF33" s="13"/>
      <c r="LHG33" s="13"/>
      <c r="LHH33" s="13"/>
      <c r="LHI33" s="13"/>
      <c r="LHJ33" s="13"/>
      <c r="LHK33" s="13"/>
      <c r="LHL33" s="13"/>
      <c r="LHM33" s="13"/>
      <c r="LHN33" s="13"/>
      <c r="LHO33" s="13"/>
      <c r="LHP33" s="13"/>
      <c r="LHQ33" s="13"/>
      <c r="LHR33" s="13"/>
      <c r="LHS33" s="13"/>
      <c r="LHT33" s="13"/>
      <c r="LHU33" s="13"/>
      <c r="LHV33" s="13"/>
      <c r="LHW33" s="13"/>
      <c r="LHX33" s="13"/>
      <c r="LHY33" s="13"/>
      <c r="LHZ33" s="13"/>
      <c r="LIA33" s="13"/>
      <c r="LIB33" s="13"/>
      <c r="LIC33" s="13"/>
      <c r="LID33" s="13"/>
      <c r="LIE33" s="13"/>
      <c r="LIF33" s="13"/>
      <c r="LIG33" s="13"/>
      <c r="LIH33" s="13"/>
      <c r="LII33" s="13"/>
      <c r="LIJ33" s="13"/>
      <c r="LIK33" s="13"/>
      <c r="LIL33" s="13"/>
      <c r="LIM33" s="13"/>
      <c r="LIN33" s="13"/>
      <c r="LIO33" s="13"/>
      <c r="LIP33" s="13"/>
      <c r="LIQ33" s="13"/>
      <c r="LIR33" s="13"/>
      <c r="LIS33" s="13"/>
      <c r="LIT33" s="13"/>
      <c r="LIU33" s="13"/>
      <c r="LIV33" s="13"/>
      <c r="LIW33" s="13"/>
      <c r="LIX33" s="13"/>
      <c r="LIY33" s="13"/>
      <c r="LIZ33" s="13"/>
      <c r="LJA33" s="13"/>
      <c r="LJB33" s="13"/>
      <c r="LJC33" s="13"/>
      <c r="LJD33" s="13"/>
      <c r="LJE33" s="13"/>
      <c r="LJF33" s="13"/>
      <c r="LJG33" s="13"/>
      <c r="LJH33" s="13"/>
      <c r="LJI33" s="13"/>
      <c r="LJJ33" s="13"/>
      <c r="LJK33" s="13"/>
      <c r="LJL33" s="13"/>
      <c r="LJM33" s="13"/>
      <c r="LJN33" s="13"/>
      <c r="LJO33" s="13"/>
      <c r="LJP33" s="13"/>
      <c r="LJQ33" s="13"/>
      <c r="LJR33" s="13"/>
      <c r="LJS33" s="13"/>
      <c r="LJT33" s="13"/>
      <c r="LJU33" s="13"/>
      <c r="LJV33" s="13"/>
      <c r="LJW33" s="13"/>
      <c r="LJX33" s="13"/>
      <c r="LJY33" s="13"/>
      <c r="LJZ33" s="13"/>
      <c r="LKA33" s="13"/>
      <c r="LKB33" s="13"/>
      <c r="LKC33" s="13"/>
      <c r="LKD33" s="13"/>
      <c r="LKE33" s="13"/>
      <c r="LKF33" s="13"/>
      <c r="LKG33" s="13"/>
      <c r="LKH33" s="13"/>
      <c r="LKI33" s="13"/>
      <c r="LKJ33" s="13"/>
      <c r="LKK33" s="13"/>
      <c r="LKL33" s="13"/>
      <c r="LKM33" s="13"/>
      <c r="LKN33" s="13"/>
      <c r="LKO33" s="13"/>
      <c r="LKP33" s="13"/>
      <c r="LKQ33" s="13"/>
      <c r="LKR33" s="13"/>
      <c r="LKS33" s="13"/>
      <c r="LKT33" s="13"/>
      <c r="LKU33" s="13"/>
      <c r="LKV33" s="13"/>
      <c r="LKW33" s="13"/>
      <c r="LKX33" s="13"/>
      <c r="LKY33" s="13"/>
      <c r="LKZ33" s="13"/>
      <c r="LLA33" s="13"/>
      <c r="LLB33" s="13"/>
      <c r="LLC33" s="13"/>
      <c r="LLD33" s="13"/>
      <c r="LLE33" s="13"/>
      <c r="LLF33" s="13"/>
      <c r="LLG33" s="13"/>
      <c r="LLH33" s="13"/>
      <c r="LLI33" s="13"/>
      <c r="LLJ33" s="13"/>
      <c r="LLK33" s="13"/>
      <c r="LLL33" s="13"/>
      <c r="LLM33" s="13"/>
      <c r="LLN33" s="13"/>
      <c r="LLO33" s="13"/>
      <c r="LLP33" s="13"/>
      <c r="LLQ33" s="13"/>
      <c r="LLR33" s="13"/>
      <c r="LLS33" s="13"/>
      <c r="LLT33" s="13"/>
      <c r="LLU33" s="13"/>
      <c r="LLV33" s="13"/>
      <c r="LLW33" s="13"/>
      <c r="LLX33" s="13"/>
      <c r="LLY33" s="13"/>
      <c r="LLZ33" s="13"/>
      <c r="LMA33" s="13"/>
      <c r="LMB33" s="13"/>
      <c r="LMC33" s="13"/>
      <c r="LMD33" s="13"/>
      <c r="LME33" s="13"/>
      <c r="LMF33" s="13"/>
      <c r="LMG33" s="13"/>
      <c r="LMH33" s="13"/>
      <c r="LMI33" s="13"/>
      <c r="LMJ33" s="13"/>
      <c r="LMK33" s="13"/>
      <c r="LML33" s="13"/>
      <c r="LMM33" s="13"/>
      <c r="LMN33" s="13"/>
      <c r="LMO33" s="13"/>
      <c r="LMP33" s="13"/>
      <c r="LMQ33" s="13"/>
      <c r="LMR33" s="13"/>
      <c r="LMS33" s="13"/>
      <c r="LMT33" s="13"/>
      <c r="LMU33" s="13"/>
      <c r="LMV33" s="13"/>
      <c r="LMW33" s="13"/>
      <c r="LMX33" s="13"/>
      <c r="LMY33" s="13"/>
      <c r="LMZ33" s="13"/>
      <c r="LNA33" s="13"/>
      <c r="LNB33" s="13"/>
      <c r="LNC33" s="13"/>
      <c r="LND33" s="13"/>
      <c r="LNE33" s="13"/>
      <c r="LNF33" s="13"/>
      <c r="LNG33" s="13"/>
      <c r="LNH33" s="13"/>
      <c r="LNI33" s="13"/>
      <c r="LNJ33" s="13"/>
      <c r="LNK33" s="13"/>
      <c r="LNL33" s="13"/>
      <c r="LNM33" s="13"/>
      <c r="LNN33" s="13"/>
      <c r="LNO33" s="13"/>
      <c r="LNP33" s="13"/>
      <c r="LNQ33" s="13"/>
      <c r="LNR33" s="13"/>
      <c r="LNS33" s="13"/>
      <c r="LNT33" s="13"/>
      <c r="LNU33" s="13"/>
      <c r="LNV33" s="13"/>
      <c r="LNW33" s="13"/>
      <c r="LNX33" s="13"/>
      <c r="LNY33" s="13"/>
      <c r="LNZ33" s="13"/>
      <c r="LOA33" s="13"/>
      <c r="LOB33" s="13"/>
      <c r="LOC33" s="13"/>
      <c r="LOD33" s="13"/>
      <c r="LOE33" s="13"/>
      <c r="LOF33" s="13"/>
      <c r="LOG33" s="13"/>
      <c r="LOH33" s="13"/>
      <c r="LOI33" s="13"/>
      <c r="LOJ33" s="13"/>
      <c r="LOK33" s="13"/>
      <c r="LOL33" s="13"/>
      <c r="LOM33" s="13"/>
      <c r="LON33" s="13"/>
      <c r="LOO33" s="13"/>
      <c r="LOP33" s="13"/>
      <c r="LOQ33" s="13"/>
      <c r="LOR33" s="13"/>
      <c r="LOS33" s="13"/>
      <c r="LOT33" s="13"/>
      <c r="LOU33" s="13"/>
      <c r="LOV33" s="13"/>
      <c r="LOW33" s="13"/>
      <c r="LOX33" s="13"/>
      <c r="LOY33" s="13"/>
      <c r="LOZ33" s="13"/>
      <c r="LPA33" s="13"/>
      <c r="LPB33" s="13"/>
      <c r="LPC33" s="13"/>
      <c r="LPD33" s="13"/>
      <c r="LPE33" s="13"/>
      <c r="LPF33" s="13"/>
      <c r="LPG33" s="13"/>
      <c r="LPH33" s="13"/>
      <c r="LPI33" s="13"/>
      <c r="LPJ33" s="13"/>
      <c r="LPK33" s="13"/>
      <c r="LPL33" s="13"/>
      <c r="LPM33" s="13"/>
      <c r="LPN33" s="13"/>
      <c r="LPO33" s="13"/>
      <c r="LPP33" s="13"/>
      <c r="LPQ33" s="13"/>
      <c r="LPR33" s="13"/>
      <c r="LPS33" s="13"/>
      <c r="LPT33" s="13"/>
      <c r="LPU33" s="13"/>
      <c r="LPV33" s="13"/>
      <c r="LPW33" s="13"/>
      <c r="LPX33" s="13"/>
      <c r="LPY33" s="13"/>
      <c r="LPZ33" s="13"/>
      <c r="LQA33" s="13"/>
      <c r="LQB33" s="13"/>
      <c r="LQC33" s="13"/>
      <c r="LQD33" s="13"/>
      <c r="LQE33" s="13"/>
      <c r="LQF33" s="13"/>
      <c r="LQG33" s="13"/>
      <c r="LQH33" s="13"/>
      <c r="LQI33" s="13"/>
      <c r="LQJ33" s="13"/>
      <c r="LQK33" s="13"/>
      <c r="LQL33" s="13"/>
      <c r="LQM33" s="13"/>
      <c r="LQN33" s="13"/>
      <c r="LQO33" s="13"/>
      <c r="LQP33" s="13"/>
      <c r="LQQ33" s="13"/>
      <c r="LQR33" s="13"/>
      <c r="LQS33" s="13"/>
      <c r="LQT33" s="13"/>
      <c r="LQU33" s="13"/>
      <c r="LQV33" s="13"/>
      <c r="LQW33" s="13"/>
      <c r="LQX33" s="13"/>
      <c r="LQY33" s="13"/>
      <c r="LQZ33" s="13"/>
      <c r="LRA33" s="13"/>
      <c r="LRB33" s="13"/>
      <c r="LRC33" s="13"/>
      <c r="LRD33" s="13"/>
      <c r="LRE33" s="13"/>
      <c r="LRF33" s="13"/>
      <c r="LRG33" s="13"/>
      <c r="LRH33" s="13"/>
      <c r="LRI33" s="13"/>
      <c r="LRJ33" s="13"/>
      <c r="LRK33" s="13"/>
      <c r="LRL33" s="13"/>
      <c r="LRM33" s="13"/>
      <c r="LRN33" s="13"/>
      <c r="LRO33" s="13"/>
      <c r="LRP33" s="13"/>
      <c r="LRQ33" s="13"/>
      <c r="LRR33" s="13"/>
      <c r="LRS33" s="13"/>
      <c r="LRT33" s="13"/>
      <c r="LRU33" s="13"/>
      <c r="LRV33" s="13"/>
      <c r="LRW33" s="13"/>
      <c r="LRX33" s="13"/>
      <c r="LRY33" s="13"/>
      <c r="LRZ33" s="13"/>
      <c r="LSA33" s="13"/>
      <c r="LSB33" s="13"/>
      <c r="LSC33" s="13"/>
      <c r="LSD33" s="13"/>
      <c r="LSE33" s="13"/>
      <c r="LSF33" s="13"/>
      <c r="LSG33" s="13"/>
      <c r="LSH33" s="13"/>
      <c r="LSI33" s="13"/>
      <c r="LSJ33" s="13"/>
      <c r="LSK33" s="13"/>
      <c r="LSL33" s="13"/>
      <c r="LSM33" s="13"/>
      <c r="LSN33" s="13"/>
      <c r="LSO33" s="13"/>
      <c r="LSP33" s="13"/>
      <c r="LSQ33" s="13"/>
      <c r="LSR33" s="13"/>
      <c r="LSS33" s="13"/>
      <c r="LST33" s="13"/>
      <c r="LSU33" s="13"/>
      <c r="LSV33" s="13"/>
      <c r="LSW33" s="13"/>
      <c r="LSX33" s="13"/>
      <c r="LSY33" s="13"/>
      <c r="LSZ33" s="13"/>
      <c r="LTA33" s="13"/>
      <c r="LTB33" s="13"/>
      <c r="LTC33" s="13"/>
      <c r="LTD33" s="13"/>
      <c r="LTE33" s="13"/>
      <c r="LTF33" s="13"/>
      <c r="LTG33" s="13"/>
      <c r="LTH33" s="13"/>
      <c r="LTI33" s="13"/>
      <c r="LTJ33" s="13"/>
      <c r="LTK33" s="13"/>
      <c r="LTL33" s="13"/>
      <c r="LTM33" s="13"/>
      <c r="LTN33" s="13"/>
      <c r="LTO33" s="13"/>
      <c r="LTP33" s="13"/>
      <c r="LTQ33" s="13"/>
      <c r="LTR33" s="13"/>
      <c r="LTS33" s="13"/>
      <c r="LTT33" s="13"/>
      <c r="LTU33" s="13"/>
      <c r="LTV33" s="13"/>
      <c r="LTW33" s="13"/>
      <c r="LTX33" s="13"/>
      <c r="LTY33" s="13"/>
      <c r="LTZ33" s="13"/>
      <c r="LUA33" s="13"/>
      <c r="LUB33" s="13"/>
      <c r="LUC33" s="13"/>
      <c r="LUD33" s="13"/>
      <c r="LUE33" s="13"/>
      <c r="LUF33" s="13"/>
      <c r="LUG33" s="13"/>
      <c r="LUH33" s="13"/>
      <c r="LUI33" s="13"/>
      <c r="LUJ33" s="13"/>
      <c r="LUK33" s="13"/>
      <c r="LUL33" s="13"/>
      <c r="LUM33" s="13"/>
      <c r="LUN33" s="13"/>
      <c r="LUO33" s="13"/>
      <c r="LUP33" s="13"/>
      <c r="LUQ33" s="13"/>
      <c r="LUR33" s="13"/>
      <c r="LUS33" s="13"/>
      <c r="LUT33" s="13"/>
      <c r="LUU33" s="13"/>
      <c r="LUV33" s="13"/>
      <c r="LUW33" s="13"/>
      <c r="LUX33" s="13"/>
      <c r="LUY33" s="13"/>
      <c r="LUZ33" s="13"/>
      <c r="LVA33" s="13"/>
      <c r="LVB33" s="13"/>
      <c r="LVC33" s="13"/>
      <c r="LVD33" s="13"/>
      <c r="LVE33" s="13"/>
      <c r="LVF33" s="13"/>
      <c r="LVG33" s="13"/>
      <c r="LVH33" s="13"/>
      <c r="LVI33" s="13"/>
      <c r="LVJ33" s="13"/>
      <c r="LVK33" s="13"/>
      <c r="LVL33" s="13"/>
      <c r="LVM33" s="13"/>
      <c r="LVN33" s="13"/>
      <c r="LVO33" s="13"/>
      <c r="LVP33" s="13"/>
      <c r="LVQ33" s="13"/>
      <c r="LVR33" s="13"/>
      <c r="LVS33" s="13"/>
      <c r="LVT33" s="13"/>
      <c r="LVU33" s="13"/>
      <c r="LVV33" s="13"/>
      <c r="LVW33" s="13"/>
      <c r="LVX33" s="13"/>
      <c r="LVY33" s="13"/>
      <c r="LVZ33" s="13"/>
      <c r="LWA33" s="13"/>
      <c r="LWB33" s="13"/>
      <c r="LWC33" s="13"/>
      <c r="LWD33" s="13"/>
      <c r="LWE33" s="13"/>
      <c r="LWF33" s="13"/>
      <c r="LWG33" s="13"/>
      <c r="LWH33" s="13"/>
      <c r="LWI33" s="13"/>
      <c r="LWJ33" s="13"/>
      <c r="LWK33" s="13"/>
      <c r="LWL33" s="13"/>
      <c r="LWM33" s="13"/>
      <c r="LWN33" s="13"/>
      <c r="LWO33" s="13"/>
      <c r="LWP33" s="13"/>
      <c r="LWQ33" s="13"/>
      <c r="LWR33" s="13"/>
      <c r="LWS33" s="13"/>
      <c r="LWT33" s="13"/>
      <c r="LWU33" s="13"/>
      <c r="LWV33" s="13"/>
      <c r="LWW33" s="13"/>
      <c r="LWX33" s="13"/>
      <c r="LWY33" s="13"/>
      <c r="LWZ33" s="13"/>
      <c r="LXA33" s="13"/>
      <c r="LXB33" s="13"/>
      <c r="LXC33" s="13"/>
      <c r="LXD33" s="13"/>
      <c r="LXE33" s="13"/>
      <c r="LXF33" s="13"/>
      <c r="LXG33" s="13"/>
      <c r="LXH33" s="13"/>
      <c r="LXI33" s="13"/>
      <c r="LXJ33" s="13"/>
      <c r="LXK33" s="13"/>
      <c r="LXL33" s="13"/>
      <c r="LXM33" s="13"/>
      <c r="LXN33" s="13"/>
      <c r="LXO33" s="13"/>
      <c r="LXP33" s="13"/>
      <c r="LXQ33" s="13"/>
      <c r="LXR33" s="13"/>
      <c r="LXS33" s="13"/>
      <c r="LXT33" s="13"/>
      <c r="LXU33" s="13"/>
      <c r="LXV33" s="13"/>
      <c r="LXW33" s="13"/>
      <c r="LXX33" s="13"/>
      <c r="LXY33" s="13"/>
      <c r="LXZ33" s="13"/>
      <c r="LYA33" s="13"/>
      <c r="LYB33" s="13"/>
      <c r="LYC33" s="13"/>
      <c r="LYD33" s="13"/>
      <c r="LYE33" s="13"/>
      <c r="LYF33" s="13"/>
      <c r="LYG33" s="13"/>
      <c r="LYH33" s="13"/>
      <c r="LYI33" s="13"/>
      <c r="LYJ33" s="13"/>
      <c r="LYK33" s="13"/>
      <c r="LYL33" s="13"/>
      <c r="LYM33" s="13"/>
      <c r="LYN33" s="13"/>
      <c r="LYO33" s="13"/>
      <c r="LYP33" s="13"/>
      <c r="LYQ33" s="13"/>
      <c r="LYR33" s="13"/>
      <c r="LYS33" s="13"/>
      <c r="LYT33" s="13"/>
      <c r="LYU33" s="13"/>
      <c r="LYV33" s="13"/>
      <c r="LYW33" s="13"/>
      <c r="LYX33" s="13"/>
      <c r="LYY33" s="13"/>
      <c r="LYZ33" s="13"/>
      <c r="LZA33" s="13"/>
      <c r="LZB33" s="13"/>
      <c r="LZC33" s="13"/>
      <c r="LZD33" s="13"/>
      <c r="LZE33" s="13"/>
      <c r="LZF33" s="13"/>
      <c r="LZG33" s="13"/>
      <c r="LZH33" s="13"/>
      <c r="LZI33" s="13"/>
      <c r="LZJ33" s="13"/>
      <c r="LZK33" s="13"/>
      <c r="LZL33" s="13"/>
      <c r="LZM33" s="13"/>
      <c r="LZN33" s="13"/>
      <c r="LZO33" s="13"/>
      <c r="LZP33" s="13"/>
      <c r="LZQ33" s="13"/>
      <c r="LZR33" s="13"/>
      <c r="LZS33" s="13"/>
      <c r="LZT33" s="13"/>
      <c r="LZU33" s="13"/>
      <c r="LZV33" s="13"/>
      <c r="LZW33" s="13"/>
      <c r="LZX33" s="13"/>
      <c r="LZY33" s="13"/>
      <c r="LZZ33" s="13"/>
      <c r="MAA33" s="13"/>
      <c r="MAB33" s="13"/>
      <c r="MAC33" s="13"/>
      <c r="MAD33" s="13"/>
      <c r="MAE33" s="13"/>
      <c r="MAF33" s="13"/>
      <c r="MAG33" s="13"/>
      <c r="MAH33" s="13"/>
      <c r="MAI33" s="13"/>
      <c r="MAJ33" s="13"/>
      <c r="MAK33" s="13"/>
      <c r="MAL33" s="13"/>
      <c r="MAM33" s="13"/>
      <c r="MAN33" s="13"/>
      <c r="MAO33" s="13"/>
      <c r="MAP33" s="13"/>
      <c r="MAQ33" s="13"/>
      <c r="MAR33" s="13"/>
      <c r="MAS33" s="13"/>
      <c r="MAT33" s="13"/>
      <c r="MAU33" s="13"/>
      <c r="MAV33" s="13"/>
      <c r="MAW33" s="13"/>
      <c r="MAX33" s="13"/>
      <c r="MAY33" s="13"/>
      <c r="MAZ33" s="13"/>
      <c r="MBA33" s="13"/>
      <c r="MBB33" s="13"/>
      <c r="MBC33" s="13"/>
      <c r="MBD33" s="13"/>
      <c r="MBE33" s="13"/>
      <c r="MBF33" s="13"/>
      <c r="MBG33" s="13"/>
      <c r="MBH33" s="13"/>
      <c r="MBI33" s="13"/>
      <c r="MBJ33" s="13"/>
      <c r="MBK33" s="13"/>
      <c r="MBL33" s="13"/>
      <c r="MBM33" s="13"/>
      <c r="MBN33" s="13"/>
      <c r="MBO33" s="13"/>
      <c r="MBP33" s="13"/>
      <c r="MBQ33" s="13"/>
      <c r="MBR33" s="13"/>
      <c r="MBS33" s="13"/>
      <c r="MBT33" s="13"/>
      <c r="MBU33" s="13"/>
      <c r="MBV33" s="13"/>
      <c r="MBW33" s="13"/>
      <c r="MBX33" s="13"/>
      <c r="MBY33" s="13"/>
      <c r="MBZ33" s="13"/>
      <c r="MCA33" s="13"/>
      <c r="MCB33" s="13"/>
      <c r="MCC33" s="13"/>
      <c r="MCD33" s="13"/>
      <c r="MCE33" s="13"/>
      <c r="MCF33" s="13"/>
      <c r="MCG33" s="13"/>
      <c r="MCH33" s="13"/>
      <c r="MCI33" s="13"/>
      <c r="MCJ33" s="13"/>
      <c r="MCK33" s="13"/>
      <c r="MCL33" s="13"/>
      <c r="MCM33" s="13"/>
      <c r="MCN33" s="13"/>
      <c r="MCO33" s="13"/>
      <c r="MCP33" s="13"/>
      <c r="MCQ33" s="13"/>
      <c r="MCR33" s="13"/>
      <c r="MCS33" s="13"/>
      <c r="MCT33" s="13"/>
      <c r="MCU33" s="13"/>
      <c r="MCV33" s="13"/>
      <c r="MCW33" s="13"/>
      <c r="MCX33" s="13"/>
      <c r="MCY33" s="13"/>
      <c r="MCZ33" s="13"/>
      <c r="MDA33" s="13"/>
      <c r="MDB33" s="13"/>
      <c r="MDC33" s="13"/>
      <c r="MDD33" s="13"/>
      <c r="MDE33" s="13"/>
      <c r="MDF33" s="13"/>
      <c r="MDG33" s="13"/>
      <c r="MDH33" s="13"/>
      <c r="MDI33" s="13"/>
      <c r="MDJ33" s="13"/>
      <c r="MDK33" s="13"/>
      <c r="MDL33" s="13"/>
      <c r="MDM33" s="13"/>
      <c r="MDN33" s="13"/>
      <c r="MDO33" s="13"/>
      <c r="MDP33" s="13"/>
      <c r="MDQ33" s="13"/>
      <c r="MDR33" s="13"/>
      <c r="MDS33" s="13"/>
      <c r="MDT33" s="13"/>
      <c r="MDU33" s="13"/>
      <c r="MDV33" s="13"/>
      <c r="MDW33" s="13"/>
      <c r="MDX33" s="13"/>
      <c r="MDY33" s="13"/>
      <c r="MDZ33" s="13"/>
      <c r="MEA33" s="13"/>
      <c r="MEB33" s="13"/>
      <c r="MEC33" s="13"/>
      <c r="MED33" s="13"/>
      <c r="MEE33" s="13"/>
      <c r="MEF33" s="13"/>
      <c r="MEG33" s="13"/>
      <c r="MEH33" s="13"/>
      <c r="MEI33" s="13"/>
      <c r="MEJ33" s="13"/>
      <c r="MEK33" s="13"/>
      <c r="MEL33" s="13"/>
      <c r="MEM33" s="13"/>
      <c r="MEN33" s="13"/>
      <c r="MEO33" s="13"/>
      <c r="MEP33" s="13"/>
      <c r="MEQ33" s="13"/>
      <c r="MER33" s="13"/>
      <c r="MES33" s="13"/>
      <c r="MET33" s="13"/>
      <c r="MEU33" s="13"/>
      <c r="MEV33" s="13"/>
      <c r="MEW33" s="13"/>
      <c r="MEX33" s="13"/>
      <c r="MEY33" s="13"/>
      <c r="MEZ33" s="13"/>
      <c r="MFA33" s="13"/>
      <c r="MFB33" s="13"/>
      <c r="MFC33" s="13"/>
      <c r="MFD33" s="13"/>
      <c r="MFE33" s="13"/>
      <c r="MFF33" s="13"/>
      <c r="MFG33" s="13"/>
      <c r="MFH33" s="13"/>
      <c r="MFI33" s="13"/>
      <c r="MFJ33" s="13"/>
      <c r="MFK33" s="13"/>
      <c r="MFL33" s="13"/>
      <c r="MFM33" s="13"/>
      <c r="MFN33" s="13"/>
      <c r="MFO33" s="13"/>
      <c r="MFP33" s="13"/>
      <c r="MFQ33" s="13"/>
      <c r="MFR33" s="13"/>
      <c r="MFS33" s="13"/>
      <c r="MFT33" s="13"/>
      <c r="MFU33" s="13"/>
      <c r="MFV33" s="13"/>
      <c r="MFW33" s="13"/>
      <c r="MFX33" s="13"/>
      <c r="MFY33" s="13"/>
      <c r="MFZ33" s="13"/>
      <c r="MGA33" s="13"/>
      <c r="MGB33" s="13"/>
      <c r="MGC33" s="13"/>
      <c r="MGD33" s="13"/>
      <c r="MGE33" s="13"/>
      <c r="MGF33" s="13"/>
      <c r="MGG33" s="13"/>
      <c r="MGH33" s="13"/>
      <c r="MGI33" s="13"/>
      <c r="MGJ33" s="13"/>
      <c r="MGK33" s="13"/>
      <c r="MGL33" s="13"/>
      <c r="MGM33" s="13"/>
      <c r="MGN33" s="13"/>
      <c r="MGO33" s="13"/>
      <c r="MGP33" s="13"/>
      <c r="MGQ33" s="13"/>
      <c r="MGR33" s="13"/>
      <c r="MGS33" s="13"/>
      <c r="MGT33" s="13"/>
      <c r="MGU33" s="13"/>
      <c r="MGV33" s="13"/>
      <c r="MGW33" s="13"/>
      <c r="MGX33" s="13"/>
      <c r="MGY33" s="13"/>
      <c r="MGZ33" s="13"/>
      <c r="MHA33" s="13"/>
      <c r="MHB33" s="13"/>
      <c r="MHC33" s="13"/>
      <c r="MHD33" s="13"/>
      <c r="MHE33" s="13"/>
      <c r="MHF33" s="13"/>
      <c r="MHG33" s="13"/>
      <c r="MHH33" s="13"/>
      <c r="MHI33" s="13"/>
      <c r="MHJ33" s="13"/>
      <c r="MHK33" s="13"/>
      <c r="MHL33" s="13"/>
      <c r="MHM33" s="13"/>
      <c r="MHN33" s="13"/>
      <c r="MHO33" s="13"/>
      <c r="MHP33" s="13"/>
      <c r="MHQ33" s="13"/>
      <c r="MHR33" s="13"/>
      <c r="MHS33" s="13"/>
      <c r="MHT33" s="13"/>
      <c r="MHU33" s="13"/>
      <c r="MHV33" s="13"/>
      <c r="MHW33" s="13"/>
      <c r="MHX33" s="13"/>
      <c r="MHY33" s="13"/>
      <c r="MHZ33" s="13"/>
      <c r="MIA33" s="13"/>
      <c r="MIB33" s="13"/>
      <c r="MIC33" s="13"/>
      <c r="MID33" s="13"/>
      <c r="MIE33" s="13"/>
      <c r="MIF33" s="13"/>
      <c r="MIG33" s="13"/>
      <c r="MIH33" s="13"/>
      <c r="MII33" s="13"/>
      <c r="MIJ33" s="13"/>
      <c r="MIK33" s="13"/>
      <c r="MIL33" s="13"/>
      <c r="MIM33" s="13"/>
      <c r="MIN33" s="13"/>
      <c r="MIO33" s="13"/>
      <c r="MIP33" s="13"/>
      <c r="MIQ33" s="13"/>
      <c r="MIR33" s="13"/>
      <c r="MIS33" s="13"/>
      <c r="MIT33" s="13"/>
      <c r="MIU33" s="13"/>
      <c r="MIV33" s="13"/>
      <c r="MIW33" s="13"/>
      <c r="MIX33" s="13"/>
      <c r="MIY33" s="13"/>
      <c r="MIZ33" s="13"/>
      <c r="MJA33" s="13"/>
      <c r="MJB33" s="13"/>
      <c r="MJC33" s="13"/>
      <c r="MJD33" s="13"/>
      <c r="MJE33" s="13"/>
      <c r="MJF33" s="13"/>
      <c r="MJG33" s="13"/>
      <c r="MJH33" s="13"/>
      <c r="MJI33" s="13"/>
      <c r="MJJ33" s="13"/>
      <c r="MJK33" s="13"/>
      <c r="MJL33" s="13"/>
      <c r="MJM33" s="13"/>
      <c r="MJN33" s="13"/>
      <c r="MJO33" s="13"/>
      <c r="MJP33" s="13"/>
      <c r="MJQ33" s="13"/>
      <c r="MJR33" s="13"/>
      <c r="MJS33" s="13"/>
      <c r="MJT33" s="13"/>
      <c r="MJU33" s="13"/>
      <c r="MJV33" s="13"/>
      <c r="MJW33" s="13"/>
      <c r="MJX33" s="13"/>
      <c r="MJY33" s="13"/>
      <c r="MJZ33" s="13"/>
      <c r="MKA33" s="13"/>
      <c r="MKB33" s="13"/>
      <c r="MKC33" s="13"/>
      <c r="MKD33" s="13"/>
      <c r="MKE33" s="13"/>
      <c r="MKF33" s="13"/>
      <c r="MKG33" s="13"/>
      <c r="MKH33" s="13"/>
      <c r="MKI33" s="13"/>
      <c r="MKJ33" s="13"/>
      <c r="MKK33" s="13"/>
      <c r="MKL33" s="13"/>
      <c r="MKM33" s="13"/>
      <c r="MKN33" s="13"/>
      <c r="MKO33" s="13"/>
      <c r="MKP33" s="13"/>
      <c r="MKQ33" s="13"/>
      <c r="MKR33" s="13"/>
      <c r="MKS33" s="13"/>
      <c r="MKT33" s="13"/>
      <c r="MKU33" s="13"/>
      <c r="MKV33" s="13"/>
      <c r="MKW33" s="13"/>
      <c r="MKX33" s="13"/>
      <c r="MKY33" s="13"/>
      <c r="MKZ33" s="13"/>
      <c r="MLA33" s="13"/>
      <c r="MLB33" s="13"/>
      <c r="MLC33" s="13"/>
      <c r="MLD33" s="13"/>
      <c r="MLE33" s="13"/>
      <c r="MLF33" s="13"/>
      <c r="MLG33" s="13"/>
      <c r="MLH33" s="13"/>
      <c r="MLI33" s="13"/>
      <c r="MLJ33" s="13"/>
      <c r="MLK33" s="13"/>
      <c r="MLL33" s="13"/>
      <c r="MLM33" s="13"/>
      <c r="MLN33" s="13"/>
      <c r="MLO33" s="13"/>
      <c r="MLP33" s="13"/>
      <c r="MLQ33" s="13"/>
      <c r="MLR33" s="13"/>
      <c r="MLS33" s="13"/>
      <c r="MLT33" s="13"/>
      <c r="MLU33" s="13"/>
      <c r="MLV33" s="13"/>
      <c r="MLW33" s="13"/>
      <c r="MLX33" s="13"/>
      <c r="MLY33" s="13"/>
      <c r="MLZ33" s="13"/>
      <c r="MMA33" s="13"/>
      <c r="MMB33" s="13"/>
      <c r="MMC33" s="13"/>
      <c r="MMD33" s="13"/>
      <c r="MME33" s="13"/>
      <c r="MMF33" s="13"/>
      <c r="MMG33" s="13"/>
      <c r="MMH33" s="13"/>
      <c r="MMI33" s="13"/>
      <c r="MMJ33" s="13"/>
      <c r="MMK33" s="13"/>
      <c r="MML33" s="13"/>
      <c r="MMM33" s="13"/>
      <c r="MMN33" s="13"/>
      <c r="MMO33" s="13"/>
      <c r="MMP33" s="13"/>
      <c r="MMQ33" s="13"/>
      <c r="MMR33" s="13"/>
      <c r="MMS33" s="13"/>
      <c r="MMT33" s="13"/>
      <c r="MMU33" s="13"/>
      <c r="MMV33" s="13"/>
      <c r="MMW33" s="13"/>
      <c r="MMX33" s="13"/>
      <c r="MMY33" s="13"/>
      <c r="MMZ33" s="13"/>
      <c r="MNA33" s="13"/>
      <c r="MNB33" s="13"/>
      <c r="MNC33" s="13"/>
      <c r="MND33" s="13"/>
      <c r="MNE33" s="13"/>
      <c r="MNF33" s="13"/>
      <c r="MNG33" s="13"/>
      <c r="MNH33" s="13"/>
      <c r="MNI33" s="13"/>
      <c r="MNJ33" s="13"/>
      <c r="MNK33" s="13"/>
      <c r="MNL33" s="13"/>
      <c r="MNM33" s="13"/>
      <c r="MNN33" s="13"/>
      <c r="MNO33" s="13"/>
      <c r="MNP33" s="13"/>
      <c r="MNQ33" s="13"/>
      <c r="MNR33" s="13"/>
      <c r="MNS33" s="13"/>
      <c r="MNT33" s="13"/>
      <c r="MNU33" s="13"/>
      <c r="MNV33" s="13"/>
      <c r="MNW33" s="13"/>
      <c r="MNX33" s="13"/>
      <c r="MNY33" s="13"/>
      <c r="MNZ33" s="13"/>
      <c r="MOA33" s="13"/>
      <c r="MOB33" s="13"/>
      <c r="MOC33" s="13"/>
      <c r="MOD33" s="13"/>
      <c r="MOE33" s="13"/>
      <c r="MOF33" s="13"/>
      <c r="MOG33" s="13"/>
      <c r="MOH33" s="13"/>
      <c r="MOI33" s="13"/>
      <c r="MOJ33" s="13"/>
      <c r="MOK33" s="13"/>
      <c r="MOL33" s="13"/>
      <c r="MOM33" s="13"/>
      <c r="MON33" s="13"/>
      <c r="MOO33" s="13"/>
      <c r="MOP33" s="13"/>
      <c r="MOQ33" s="13"/>
      <c r="MOR33" s="13"/>
      <c r="MOS33" s="13"/>
      <c r="MOT33" s="13"/>
      <c r="MOU33" s="13"/>
      <c r="MOV33" s="13"/>
      <c r="MOW33" s="13"/>
      <c r="MOX33" s="13"/>
      <c r="MOY33" s="13"/>
      <c r="MOZ33" s="13"/>
      <c r="MPA33" s="13"/>
      <c r="MPB33" s="13"/>
      <c r="MPC33" s="13"/>
      <c r="MPD33" s="13"/>
      <c r="MPE33" s="13"/>
      <c r="MPF33" s="13"/>
      <c r="MPG33" s="13"/>
      <c r="MPH33" s="13"/>
      <c r="MPI33" s="13"/>
      <c r="MPJ33" s="13"/>
      <c r="MPK33" s="13"/>
      <c r="MPL33" s="13"/>
      <c r="MPM33" s="13"/>
      <c r="MPN33" s="13"/>
      <c r="MPO33" s="13"/>
      <c r="MPP33" s="13"/>
      <c r="MPQ33" s="13"/>
      <c r="MPR33" s="13"/>
      <c r="MPS33" s="13"/>
      <c r="MPT33" s="13"/>
      <c r="MPU33" s="13"/>
      <c r="MPV33" s="13"/>
      <c r="MPW33" s="13"/>
      <c r="MPX33" s="13"/>
      <c r="MPY33" s="13"/>
      <c r="MPZ33" s="13"/>
      <c r="MQA33" s="13"/>
      <c r="MQB33" s="13"/>
      <c r="MQC33" s="13"/>
      <c r="MQD33" s="13"/>
      <c r="MQE33" s="13"/>
      <c r="MQF33" s="13"/>
      <c r="MQG33" s="13"/>
      <c r="MQH33" s="13"/>
      <c r="MQI33" s="13"/>
      <c r="MQJ33" s="13"/>
      <c r="MQK33" s="13"/>
      <c r="MQL33" s="13"/>
      <c r="MQM33" s="13"/>
      <c r="MQN33" s="13"/>
      <c r="MQO33" s="13"/>
      <c r="MQP33" s="13"/>
      <c r="MQQ33" s="13"/>
      <c r="MQR33" s="13"/>
      <c r="MQS33" s="13"/>
      <c r="MQT33" s="13"/>
      <c r="MQU33" s="13"/>
      <c r="MQV33" s="13"/>
      <c r="MQW33" s="13"/>
      <c r="MQX33" s="13"/>
      <c r="MQY33" s="13"/>
      <c r="MQZ33" s="13"/>
      <c r="MRA33" s="13"/>
      <c r="MRB33" s="13"/>
      <c r="MRC33" s="13"/>
      <c r="MRD33" s="13"/>
      <c r="MRE33" s="13"/>
      <c r="MRF33" s="13"/>
      <c r="MRG33" s="13"/>
      <c r="MRH33" s="13"/>
      <c r="MRI33" s="13"/>
      <c r="MRJ33" s="13"/>
      <c r="MRK33" s="13"/>
      <c r="MRL33" s="13"/>
      <c r="MRM33" s="13"/>
      <c r="MRN33" s="13"/>
      <c r="MRO33" s="13"/>
      <c r="MRP33" s="13"/>
      <c r="MRQ33" s="13"/>
      <c r="MRR33" s="13"/>
      <c r="MRS33" s="13"/>
      <c r="MRT33" s="13"/>
      <c r="MRU33" s="13"/>
      <c r="MRV33" s="13"/>
      <c r="MRW33" s="13"/>
      <c r="MRX33" s="13"/>
      <c r="MRY33" s="13"/>
      <c r="MRZ33" s="13"/>
      <c r="MSA33" s="13"/>
      <c r="MSB33" s="13"/>
      <c r="MSC33" s="13"/>
      <c r="MSD33" s="13"/>
      <c r="MSE33" s="13"/>
      <c r="MSF33" s="13"/>
      <c r="MSG33" s="13"/>
      <c r="MSH33" s="13"/>
      <c r="MSI33" s="13"/>
      <c r="MSJ33" s="13"/>
      <c r="MSK33" s="13"/>
      <c r="MSL33" s="13"/>
      <c r="MSM33" s="13"/>
      <c r="MSN33" s="13"/>
      <c r="MSO33" s="13"/>
      <c r="MSP33" s="13"/>
      <c r="MSQ33" s="13"/>
      <c r="MSR33" s="13"/>
      <c r="MSS33" s="13"/>
      <c r="MST33" s="13"/>
      <c r="MSU33" s="13"/>
      <c r="MSV33" s="13"/>
      <c r="MSW33" s="13"/>
      <c r="MSX33" s="13"/>
      <c r="MSY33" s="13"/>
      <c r="MSZ33" s="13"/>
      <c r="MTA33" s="13"/>
      <c r="MTB33" s="13"/>
      <c r="MTC33" s="13"/>
      <c r="MTD33" s="13"/>
      <c r="MTE33" s="13"/>
      <c r="MTF33" s="13"/>
      <c r="MTG33" s="13"/>
      <c r="MTH33" s="13"/>
      <c r="MTI33" s="13"/>
      <c r="MTJ33" s="13"/>
      <c r="MTK33" s="13"/>
      <c r="MTL33" s="13"/>
      <c r="MTM33" s="13"/>
      <c r="MTN33" s="13"/>
      <c r="MTO33" s="13"/>
      <c r="MTP33" s="13"/>
      <c r="MTQ33" s="13"/>
      <c r="MTR33" s="13"/>
      <c r="MTS33" s="13"/>
      <c r="MTT33" s="13"/>
      <c r="MTU33" s="13"/>
      <c r="MTV33" s="13"/>
      <c r="MTW33" s="13"/>
      <c r="MTX33" s="13"/>
      <c r="MTY33" s="13"/>
      <c r="MTZ33" s="13"/>
      <c r="MUA33" s="13"/>
      <c r="MUB33" s="13"/>
      <c r="MUC33" s="13"/>
      <c r="MUD33" s="13"/>
      <c r="MUE33" s="13"/>
      <c r="MUF33" s="13"/>
      <c r="MUG33" s="13"/>
      <c r="MUH33" s="13"/>
      <c r="MUI33" s="13"/>
      <c r="MUJ33" s="13"/>
      <c r="MUK33" s="13"/>
      <c r="MUL33" s="13"/>
      <c r="MUM33" s="13"/>
      <c r="MUN33" s="13"/>
      <c r="MUO33" s="13"/>
      <c r="MUP33" s="13"/>
      <c r="MUQ33" s="13"/>
      <c r="MUR33" s="13"/>
      <c r="MUS33" s="13"/>
      <c r="MUT33" s="13"/>
      <c r="MUU33" s="13"/>
      <c r="MUV33" s="13"/>
      <c r="MUW33" s="13"/>
      <c r="MUX33" s="13"/>
      <c r="MUY33" s="13"/>
      <c r="MUZ33" s="13"/>
      <c r="MVA33" s="13"/>
      <c r="MVB33" s="13"/>
      <c r="MVC33" s="13"/>
      <c r="MVD33" s="13"/>
      <c r="MVE33" s="13"/>
      <c r="MVF33" s="13"/>
      <c r="MVG33" s="13"/>
      <c r="MVH33" s="13"/>
      <c r="MVI33" s="13"/>
      <c r="MVJ33" s="13"/>
      <c r="MVK33" s="13"/>
      <c r="MVL33" s="13"/>
      <c r="MVM33" s="13"/>
      <c r="MVN33" s="13"/>
      <c r="MVO33" s="13"/>
      <c r="MVP33" s="13"/>
      <c r="MVQ33" s="13"/>
      <c r="MVR33" s="13"/>
      <c r="MVS33" s="13"/>
      <c r="MVT33" s="13"/>
      <c r="MVU33" s="13"/>
      <c r="MVV33" s="13"/>
      <c r="MVW33" s="13"/>
      <c r="MVX33" s="13"/>
      <c r="MVY33" s="13"/>
      <c r="MVZ33" s="13"/>
      <c r="MWA33" s="13"/>
      <c r="MWB33" s="13"/>
      <c r="MWC33" s="13"/>
      <c r="MWD33" s="13"/>
      <c r="MWE33" s="13"/>
      <c r="MWF33" s="13"/>
      <c r="MWG33" s="13"/>
      <c r="MWH33" s="13"/>
      <c r="MWI33" s="13"/>
      <c r="MWJ33" s="13"/>
      <c r="MWK33" s="13"/>
      <c r="MWL33" s="13"/>
      <c r="MWM33" s="13"/>
      <c r="MWN33" s="13"/>
      <c r="MWO33" s="13"/>
      <c r="MWP33" s="13"/>
      <c r="MWQ33" s="13"/>
      <c r="MWR33" s="13"/>
      <c r="MWS33" s="13"/>
      <c r="MWT33" s="13"/>
      <c r="MWU33" s="13"/>
      <c r="MWV33" s="13"/>
      <c r="MWW33" s="13"/>
      <c r="MWX33" s="13"/>
      <c r="MWY33" s="13"/>
      <c r="MWZ33" s="13"/>
      <c r="MXA33" s="13"/>
      <c r="MXB33" s="13"/>
      <c r="MXC33" s="13"/>
      <c r="MXD33" s="13"/>
      <c r="MXE33" s="13"/>
      <c r="MXF33" s="13"/>
      <c r="MXG33" s="13"/>
      <c r="MXH33" s="13"/>
      <c r="MXI33" s="13"/>
      <c r="MXJ33" s="13"/>
      <c r="MXK33" s="13"/>
      <c r="MXL33" s="13"/>
      <c r="MXM33" s="13"/>
      <c r="MXN33" s="13"/>
      <c r="MXO33" s="13"/>
      <c r="MXP33" s="13"/>
      <c r="MXQ33" s="13"/>
      <c r="MXR33" s="13"/>
      <c r="MXS33" s="13"/>
      <c r="MXT33" s="13"/>
      <c r="MXU33" s="13"/>
      <c r="MXV33" s="13"/>
      <c r="MXW33" s="13"/>
      <c r="MXX33" s="13"/>
      <c r="MXY33" s="13"/>
      <c r="MXZ33" s="13"/>
      <c r="MYA33" s="13"/>
      <c r="MYB33" s="13"/>
      <c r="MYC33" s="13"/>
      <c r="MYD33" s="13"/>
      <c r="MYE33" s="13"/>
      <c r="MYF33" s="13"/>
      <c r="MYG33" s="13"/>
      <c r="MYH33" s="13"/>
      <c r="MYI33" s="13"/>
      <c r="MYJ33" s="13"/>
      <c r="MYK33" s="13"/>
      <c r="MYL33" s="13"/>
      <c r="MYM33" s="13"/>
      <c r="MYN33" s="13"/>
      <c r="MYO33" s="13"/>
      <c r="MYP33" s="13"/>
      <c r="MYQ33" s="13"/>
      <c r="MYR33" s="13"/>
      <c r="MYS33" s="13"/>
      <c r="MYT33" s="13"/>
      <c r="MYU33" s="13"/>
      <c r="MYV33" s="13"/>
      <c r="MYW33" s="13"/>
      <c r="MYX33" s="13"/>
      <c r="MYY33" s="13"/>
      <c r="MYZ33" s="13"/>
      <c r="MZA33" s="13"/>
      <c r="MZB33" s="13"/>
      <c r="MZC33" s="13"/>
      <c r="MZD33" s="13"/>
      <c r="MZE33" s="13"/>
      <c r="MZF33" s="13"/>
      <c r="MZG33" s="13"/>
      <c r="MZH33" s="13"/>
      <c r="MZI33" s="13"/>
      <c r="MZJ33" s="13"/>
      <c r="MZK33" s="13"/>
      <c r="MZL33" s="13"/>
      <c r="MZM33" s="13"/>
      <c r="MZN33" s="13"/>
      <c r="MZO33" s="13"/>
      <c r="MZP33" s="13"/>
      <c r="MZQ33" s="13"/>
      <c r="MZR33" s="13"/>
      <c r="MZS33" s="13"/>
      <c r="MZT33" s="13"/>
      <c r="MZU33" s="13"/>
      <c r="MZV33" s="13"/>
      <c r="MZW33" s="13"/>
      <c r="MZX33" s="13"/>
      <c r="MZY33" s="13"/>
      <c r="MZZ33" s="13"/>
      <c r="NAA33" s="13"/>
      <c r="NAB33" s="13"/>
      <c r="NAC33" s="13"/>
      <c r="NAD33" s="13"/>
      <c r="NAE33" s="13"/>
      <c r="NAF33" s="13"/>
      <c r="NAG33" s="13"/>
      <c r="NAH33" s="13"/>
      <c r="NAI33" s="13"/>
      <c r="NAJ33" s="13"/>
      <c r="NAK33" s="13"/>
      <c r="NAL33" s="13"/>
      <c r="NAM33" s="13"/>
      <c r="NAN33" s="13"/>
      <c r="NAO33" s="13"/>
      <c r="NAP33" s="13"/>
      <c r="NAQ33" s="13"/>
      <c r="NAR33" s="13"/>
      <c r="NAS33" s="13"/>
      <c r="NAT33" s="13"/>
      <c r="NAU33" s="13"/>
      <c r="NAV33" s="13"/>
      <c r="NAW33" s="13"/>
      <c r="NAX33" s="13"/>
      <c r="NAY33" s="13"/>
      <c r="NAZ33" s="13"/>
      <c r="NBA33" s="13"/>
      <c r="NBB33" s="13"/>
      <c r="NBC33" s="13"/>
      <c r="NBD33" s="13"/>
      <c r="NBE33" s="13"/>
      <c r="NBF33" s="13"/>
      <c r="NBG33" s="13"/>
      <c r="NBH33" s="13"/>
      <c r="NBI33" s="13"/>
      <c r="NBJ33" s="13"/>
      <c r="NBK33" s="13"/>
      <c r="NBL33" s="13"/>
      <c r="NBM33" s="13"/>
      <c r="NBN33" s="13"/>
      <c r="NBO33" s="13"/>
      <c r="NBP33" s="13"/>
      <c r="NBQ33" s="13"/>
      <c r="NBR33" s="13"/>
      <c r="NBS33" s="13"/>
      <c r="NBT33" s="13"/>
      <c r="NBU33" s="13"/>
      <c r="NBV33" s="13"/>
      <c r="NBW33" s="13"/>
      <c r="NBX33" s="13"/>
      <c r="NBY33" s="13"/>
      <c r="NBZ33" s="13"/>
      <c r="NCA33" s="13"/>
      <c r="NCB33" s="13"/>
      <c r="NCC33" s="13"/>
      <c r="NCD33" s="13"/>
      <c r="NCE33" s="13"/>
      <c r="NCF33" s="13"/>
      <c r="NCG33" s="13"/>
      <c r="NCH33" s="13"/>
      <c r="NCI33" s="13"/>
      <c r="NCJ33" s="13"/>
      <c r="NCK33" s="13"/>
      <c r="NCL33" s="13"/>
      <c r="NCM33" s="13"/>
      <c r="NCN33" s="13"/>
      <c r="NCO33" s="13"/>
      <c r="NCP33" s="13"/>
      <c r="NCQ33" s="13"/>
      <c r="NCR33" s="13"/>
      <c r="NCS33" s="13"/>
      <c r="NCT33" s="13"/>
      <c r="NCU33" s="13"/>
      <c r="NCV33" s="13"/>
      <c r="NCW33" s="13"/>
      <c r="NCX33" s="13"/>
      <c r="NCY33" s="13"/>
      <c r="NCZ33" s="13"/>
      <c r="NDA33" s="13"/>
      <c r="NDB33" s="13"/>
      <c r="NDC33" s="13"/>
      <c r="NDD33" s="13"/>
      <c r="NDE33" s="13"/>
      <c r="NDF33" s="13"/>
      <c r="NDG33" s="13"/>
      <c r="NDH33" s="13"/>
      <c r="NDI33" s="13"/>
      <c r="NDJ33" s="13"/>
      <c r="NDK33" s="13"/>
      <c r="NDL33" s="13"/>
      <c r="NDM33" s="13"/>
      <c r="NDN33" s="13"/>
      <c r="NDO33" s="13"/>
      <c r="NDP33" s="13"/>
      <c r="NDQ33" s="13"/>
      <c r="NDR33" s="13"/>
      <c r="NDS33" s="13"/>
      <c r="NDT33" s="13"/>
      <c r="NDU33" s="13"/>
      <c r="NDV33" s="13"/>
      <c r="NDW33" s="13"/>
      <c r="NDX33" s="13"/>
      <c r="NDY33" s="13"/>
      <c r="NDZ33" s="13"/>
      <c r="NEA33" s="13"/>
      <c r="NEB33" s="13"/>
      <c r="NEC33" s="13"/>
      <c r="NED33" s="13"/>
      <c r="NEE33" s="13"/>
      <c r="NEF33" s="13"/>
      <c r="NEG33" s="13"/>
      <c r="NEH33" s="13"/>
      <c r="NEI33" s="13"/>
      <c r="NEJ33" s="13"/>
      <c r="NEK33" s="13"/>
      <c r="NEL33" s="13"/>
      <c r="NEM33" s="13"/>
      <c r="NEN33" s="13"/>
      <c r="NEO33" s="13"/>
      <c r="NEP33" s="13"/>
      <c r="NEQ33" s="13"/>
      <c r="NER33" s="13"/>
      <c r="NES33" s="13"/>
      <c r="NET33" s="13"/>
      <c r="NEU33" s="13"/>
      <c r="NEV33" s="13"/>
      <c r="NEW33" s="13"/>
      <c r="NEX33" s="13"/>
      <c r="NEY33" s="13"/>
      <c r="NEZ33" s="13"/>
      <c r="NFA33" s="13"/>
      <c r="NFB33" s="13"/>
      <c r="NFC33" s="13"/>
      <c r="NFD33" s="13"/>
      <c r="NFE33" s="13"/>
      <c r="NFF33" s="13"/>
      <c r="NFG33" s="13"/>
      <c r="NFH33" s="13"/>
      <c r="NFI33" s="13"/>
      <c r="NFJ33" s="13"/>
      <c r="NFK33" s="13"/>
      <c r="NFL33" s="13"/>
      <c r="NFM33" s="13"/>
      <c r="NFN33" s="13"/>
      <c r="NFO33" s="13"/>
      <c r="NFP33" s="13"/>
      <c r="NFQ33" s="13"/>
      <c r="NFR33" s="13"/>
      <c r="NFS33" s="13"/>
      <c r="NFT33" s="13"/>
      <c r="NFU33" s="13"/>
      <c r="NFV33" s="13"/>
      <c r="NFW33" s="13"/>
      <c r="NFX33" s="13"/>
      <c r="NFY33" s="13"/>
      <c r="NFZ33" s="13"/>
      <c r="NGA33" s="13"/>
      <c r="NGB33" s="13"/>
      <c r="NGC33" s="13"/>
      <c r="NGD33" s="13"/>
      <c r="NGE33" s="13"/>
      <c r="NGF33" s="13"/>
      <c r="NGG33" s="13"/>
      <c r="NGH33" s="13"/>
      <c r="NGI33" s="13"/>
      <c r="NGJ33" s="13"/>
      <c r="NGK33" s="13"/>
      <c r="NGL33" s="13"/>
      <c r="NGM33" s="13"/>
      <c r="NGN33" s="13"/>
      <c r="NGO33" s="13"/>
      <c r="NGP33" s="13"/>
      <c r="NGQ33" s="13"/>
      <c r="NGR33" s="13"/>
      <c r="NGS33" s="13"/>
      <c r="NGT33" s="13"/>
      <c r="NGU33" s="13"/>
      <c r="NGV33" s="13"/>
      <c r="NGW33" s="13"/>
      <c r="NGX33" s="13"/>
      <c r="NGY33" s="13"/>
      <c r="NGZ33" s="13"/>
      <c r="NHA33" s="13"/>
      <c r="NHB33" s="13"/>
      <c r="NHC33" s="13"/>
      <c r="NHD33" s="13"/>
      <c r="NHE33" s="13"/>
      <c r="NHF33" s="13"/>
      <c r="NHG33" s="13"/>
      <c r="NHH33" s="13"/>
      <c r="NHI33" s="13"/>
      <c r="NHJ33" s="13"/>
      <c r="NHK33" s="13"/>
      <c r="NHL33" s="13"/>
      <c r="NHM33" s="13"/>
      <c r="NHN33" s="13"/>
      <c r="NHO33" s="13"/>
      <c r="NHP33" s="13"/>
      <c r="NHQ33" s="13"/>
      <c r="NHR33" s="13"/>
      <c r="NHS33" s="13"/>
      <c r="NHT33" s="13"/>
      <c r="NHU33" s="13"/>
      <c r="NHV33" s="13"/>
      <c r="NHW33" s="13"/>
      <c r="NHX33" s="13"/>
      <c r="NHY33" s="13"/>
      <c r="NHZ33" s="13"/>
      <c r="NIA33" s="13"/>
      <c r="NIB33" s="13"/>
      <c r="NIC33" s="13"/>
      <c r="NID33" s="13"/>
      <c r="NIE33" s="13"/>
      <c r="NIF33" s="13"/>
      <c r="NIG33" s="13"/>
      <c r="NIH33" s="13"/>
      <c r="NII33" s="13"/>
      <c r="NIJ33" s="13"/>
      <c r="NIK33" s="13"/>
      <c r="NIL33" s="13"/>
      <c r="NIM33" s="13"/>
      <c r="NIN33" s="13"/>
      <c r="NIO33" s="13"/>
      <c r="NIP33" s="13"/>
      <c r="NIQ33" s="13"/>
      <c r="NIR33" s="13"/>
      <c r="NIS33" s="13"/>
      <c r="NIT33" s="13"/>
      <c r="NIU33" s="13"/>
      <c r="NIV33" s="13"/>
      <c r="NIW33" s="13"/>
      <c r="NIX33" s="13"/>
      <c r="NIY33" s="13"/>
      <c r="NIZ33" s="13"/>
      <c r="NJA33" s="13"/>
      <c r="NJB33" s="13"/>
      <c r="NJC33" s="13"/>
      <c r="NJD33" s="13"/>
      <c r="NJE33" s="13"/>
      <c r="NJF33" s="13"/>
      <c r="NJG33" s="13"/>
      <c r="NJH33" s="13"/>
      <c r="NJI33" s="13"/>
      <c r="NJJ33" s="13"/>
      <c r="NJK33" s="13"/>
      <c r="NJL33" s="13"/>
      <c r="NJM33" s="13"/>
      <c r="NJN33" s="13"/>
      <c r="NJO33" s="13"/>
      <c r="NJP33" s="13"/>
      <c r="NJQ33" s="13"/>
      <c r="NJR33" s="13"/>
      <c r="NJS33" s="13"/>
      <c r="NJT33" s="13"/>
      <c r="NJU33" s="13"/>
      <c r="NJV33" s="13"/>
      <c r="NJW33" s="13"/>
      <c r="NJX33" s="13"/>
      <c r="NJY33" s="13"/>
      <c r="NJZ33" s="13"/>
      <c r="NKA33" s="13"/>
      <c r="NKB33" s="13"/>
      <c r="NKC33" s="13"/>
      <c r="NKD33" s="13"/>
      <c r="NKE33" s="13"/>
      <c r="NKF33" s="13"/>
      <c r="NKG33" s="13"/>
      <c r="NKH33" s="13"/>
      <c r="NKI33" s="13"/>
      <c r="NKJ33" s="13"/>
      <c r="NKK33" s="13"/>
      <c r="NKL33" s="13"/>
      <c r="NKM33" s="13"/>
      <c r="NKN33" s="13"/>
      <c r="NKO33" s="13"/>
      <c r="NKP33" s="13"/>
      <c r="NKQ33" s="13"/>
      <c r="NKR33" s="13"/>
      <c r="NKS33" s="13"/>
      <c r="NKT33" s="13"/>
      <c r="NKU33" s="13"/>
      <c r="NKV33" s="13"/>
      <c r="NKW33" s="13"/>
      <c r="NKX33" s="13"/>
      <c r="NKY33" s="13"/>
      <c r="NKZ33" s="13"/>
      <c r="NLA33" s="13"/>
      <c r="NLB33" s="13"/>
      <c r="NLC33" s="13"/>
      <c r="NLD33" s="13"/>
      <c r="NLE33" s="13"/>
      <c r="NLF33" s="13"/>
      <c r="NLG33" s="13"/>
      <c r="NLH33" s="13"/>
      <c r="NLI33" s="13"/>
      <c r="NLJ33" s="13"/>
      <c r="NLK33" s="13"/>
      <c r="NLL33" s="13"/>
      <c r="NLM33" s="13"/>
      <c r="NLN33" s="13"/>
      <c r="NLO33" s="13"/>
      <c r="NLP33" s="13"/>
      <c r="NLQ33" s="13"/>
      <c r="NLR33" s="13"/>
      <c r="NLS33" s="13"/>
      <c r="NLT33" s="13"/>
      <c r="NLU33" s="13"/>
      <c r="NLV33" s="13"/>
      <c r="NLW33" s="13"/>
      <c r="NLX33" s="13"/>
      <c r="NLY33" s="13"/>
      <c r="NLZ33" s="13"/>
      <c r="NMA33" s="13"/>
      <c r="NMB33" s="13"/>
      <c r="NMC33" s="13"/>
      <c r="NMD33" s="13"/>
      <c r="NME33" s="13"/>
      <c r="NMF33" s="13"/>
      <c r="NMG33" s="13"/>
      <c r="NMH33" s="13"/>
      <c r="NMI33" s="13"/>
      <c r="NMJ33" s="13"/>
      <c r="NMK33" s="13"/>
      <c r="NML33" s="13"/>
      <c r="NMM33" s="13"/>
      <c r="NMN33" s="13"/>
      <c r="NMO33" s="13"/>
      <c r="NMP33" s="13"/>
      <c r="NMQ33" s="13"/>
      <c r="NMR33" s="13"/>
      <c r="NMS33" s="13"/>
      <c r="NMT33" s="13"/>
      <c r="NMU33" s="13"/>
      <c r="NMV33" s="13"/>
      <c r="NMW33" s="13"/>
      <c r="NMX33" s="13"/>
      <c r="NMY33" s="13"/>
      <c r="NMZ33" s="13"/>
      <c r="NNA33" s="13"/>
      <c r="NNB33" s="13"/>
      <c r="NNC33" s="13"/>
      <c r="NND33" s="13"/>
      <c r="NNE33" s="13"/>
      <c r="NNF33" s="13"/>
      <c r="NNG33" s="13"/>
      <c r="NNH33" s="13"/>
      <c r="NNI33" s="13"/>
      <c r="NNJ33" s="13"/>
      <c r="NNK33" s="13"/>
      <c r="NNL33" s="13"/>
      <c r="NNM33" s="13"/>
      <c r="NNN33" s="13"/>
      <c r="NNO33" s="13"/>
      <c r="NNP33" s="13"/>
      <c r="NNQ33" s="13"/>
      <c r="NNR33" s="13"/>
      <c r="NNS33" s="13"/>
      <c r="NNT33" s="13"/>
      <c r="NNU33" s="13"/>
      <c r="NNV33" s="13"/>
      <c r="NNW33" s="13"/>
      <c r="NNX33" s="13"/>
      <c r="NNY33" s="13"/>
      <c r="NNZ33" s="13"/>
      <c r="NOA33" s="13"/>
      <c r="NOB33" s="13"/>
      <c r="NOC33" s="13"/>
      <c r="NOD33" s="13"/>
      <c r="NOE33" s="13"/>
      <c r="NOF33" s="13"/>
      <c r="NOG33" s="13"/>
      <c r="NOH33" s="13"/>
      <c r="NOI33" s="13"/>
      <c r="NOJ33" s="13"/>
      <c r="NOK33" s="13"/>
      <c r="NOL33" s="13"/>
      <c r="NOM33" s="13"/>
      <c r="NON33" s="13"/>
      <c r="NOO33" s="13"/>
      <c r="NOP33" s="13"/>
      <c r="NOQ33" s="13"/>
      <c r="NOR33" s="13"/>
      <c r="NOS33" s="13"/>
      <c r="NOT33" s="13"/>
      <c r="NOU33" s="13"/>
      <c r="NOV33" s="13"/>
      <c r="NOW33" s="13"/>
      <c r="NOX33" s="13"/>
      <c r="NOY33" s="13"/>
      <c r="NOZ33" s="13"/>
      <c r="NPA33" s="13"/>
      <c r="NPB33" s="13"/>
      <c r="NPC33" s="13"/>
      <c r="NPD33" s="13"/>
      <c r="NPE33" s="13"/>
      <c r="NPF33" s="13"/>
      <c r="NPG33" s="13"/>
      <c r="NPH33" s="13"/>
      <c r="NPI33" s="13"/>
      <c r="NPJ33" s="13"/>
      <c r="NPK33" s="13"/>
      <c r="NPL33" s="13"/>
      <c r="NPM33" s="13"/>
      <c r="NPN33" s="13"/>
      <c r="NPO33" s="13"/>
      <c r="NPP33" s="13"/>
      <c r="NPQ33" s="13"/>
      <c r="NPR33" s="13"/>
      <c r="NPS33" s="13"/>
      <c r="NPT33" s="13"/>
      <c r="NPU33" s="13"/>
      <c r="NPV33" s="13"/>
      <c r="NPW33" s="13"/>
      <c r="NPX33" s="13"/>
      <c r="NPY33" s="13"/>
      <c r="NPZ33" s="13"/>
      <c r="NQA33" s="13"/>
      <c r="NQB33" s="13"/>
      <c r="NQC33" s="13"/>
      <c r="NQD33" s="13"/>
      <c r="NQE33" s="13"/>
      <c r="NQF33" s="13"/>
      <c r="NQG33" s="13"/>
      <c r="NQH33" s="13"/>
      <c r="NQI33" s="13"/>
      <c r="NQJ33" s="13"/>
      <c r="NQK33" s="13"/>
      <c r="NQL33" s="13"/>
      <c r="NQM33" s="13"/>
      <c r="NQN33" s="13"/>
      <c r="NQO33" s="13"/>
      <c r="NQP33" s="13"/>
      <c r="NQQ33" s="13"/>
      <c r="NQR33" s="13"/>
      <c r="NQS33" s="13"/>
      <c r="NQT33" s="13"/>
      <c r="NQU33" s="13"/>
      <c r="NQV33" s="13"/>
      <c r="NQW33" s="13"/>
      <c r="NQX33" s="13"/>
      <c r="NQY33" s="13"/>
      <c r="NQZ33" s="13"/>
      <c r="NRA33" s="13"/>
      <c r="NRB33" s="13"/>
      <c r="NRC33" s="13"/>
      <c r="NRD33" s="13"/>
      <c r="NRE33" s="13"/>
      <c r="NRF33" s="13"/>
      <c r="NRG33" s="13"/>
      <c r="NRH33" s="13"/>
      <c r="NRI33" s="13"/>
      <c r="NRJ33" s="13"/>
      <c r="NRK33" s="13"/>
      <c r="NRL33" s="13"/>
      <c r="NRM33" s="13"/>
      <c r="NRN33" s="13"/>
      <c r="NRO33" s="13"/>
      <c r="NRP33" s="13"/>
      <c r="NRQ33" s="13"/>
      <c r="NRR33" s="13"/>
      <c r="NRS33" s="13"/>
      <c r="NRT33" s="13"/>
      <c r="NRU33" s="13"/>
      <c r="NRV33" s="13"/>
      <c r="NRW33" s="13"/>
      <c r="NRX33" s="13"/>
      <c r="NRY33" s="13"/>
      <c r="NRZ33" s="13"/>
      <c r="NSA33" s="13"/>
      <c r="NSB33" s="13"/>
      <c r="NSC33" s="13"/>
      <c r="NSD33" s="13"/>
      <c r="NSE33" s="13"/>
      <c r="NSF33" s="13"/>
      <c r="NSG33" s="13"/>
      <c r="NSH33" s="13"/>
      <c r="NSI33" s="13"/>
      <c r="NSJ33" s="13"/>
      <c r="NSK33" s="13"/>
      <c r="NSL33" s="13"/>
      <c r="NSM33" s="13"/>
      <c r="NSN33" s="13"/>
      <c r="NSO33" s="13"/>
      <c r="NSP33" s="13"/>
      <c r="NSQ33" s="13"/>
      <c r="NSR33" s="13"/>
      <c r="NSS33" s="13"/>
      <c r="NST33" s="13"/>
      <c r="NSU33" s="13"/>
      <c r="NSV33" s="13"/>
      <c r="NSW33" s="13"/>
      <c r="NSX33" s="13"/>
      <c r="NSY33" s="13"/>
      <c r="NSZ33" s="13"/>
      <c r="NTA33" s="13"/>
      <c r="NTB33" s="13"/>
      <c r="NTC33" s="13"/>
      <c r="NTD33" s="13"/>
      <c r="NTE33" s="13"/>
      <c r="NTF33" s="13"/>
      <c r="NTG33" s="13"/>
      <c r="NTH33" s="13"/>
      <c r="NTI33" s="13"/>
      <c r="NTJ33" s="13"/>
      <c r="NTK33" s="13"/>
      <c r="NTL33" s="13"/>
      <c r="NTM33" s="13"/>
      <c r="NTN33" s="13"/>
      <c r="NTO33" s="13"/>
      <c r="NTP33" s="13"/>
      <c r="NTQ33" s="13"/>
      <c r="NTR33" s="13"/>
      <c r="NTS33" s="13"/>
      <c r="NTT33" s="13"/>
      <c r="NTU33" s="13"/>
      <c r="NTV33" s="13"/>
      <c r="NTW33" s="13"/>
      <c r="NTX33" s="13"/>
      <c r="NTY33" s="13"/>
      <c r="NTZ33" s="13"/>
      <c r="NUA33" s="13"/>
      <c r="NUB33" s="13"/>
      <c r="NUC33" s="13"/>
      <c r="NUD33" s="13"/>
      <c r="NUE33" s="13"/>
      <c r="NUF33" s="13"/>
      <c r="NUG33" s="13"/>
      <c r="NUH33" s="13"/>
      <c r="NUI33" s="13"/>
      <c r="NUJ33" s="13"/>
      <c r="NUK33" s="13"/>
      <c r="NUL33" s="13"/>
      <c r="NUM33" s="13"/>
      <c r="NUN33" s="13"/>
      <c r="NUO33" s="13"/>
      <c r="NUP33" s="13"/>
      <c r="NUQ33" s="13"/>
      <c r="NUR33" s="13"/>
      <c r="NUS33" s="13"/>
      <c r="NUT33" s="13"/>
      <c r="NUU33" s="13"/>
      <c r="NUV33" s="13"/>
      <c r="NUW33" s="13"/>
      <c r="NUX33" s="13"/>
      <c r="NUY33" s="13"/>
      <c r="NUZ33" s="13"/>
      <c r="NVA33" s="13"/>
      <c r="NVB33" s="13"/>
      <c r="NVC33" s="13"/>
      <c r="NVD33" s="13"/>
      <c r="NVE33" s="13"/>
      <c r="NVF33" s="13"/>
      <c r="NVG33" s="13"/>
      <c r="NVH33" s="13"/>
      <c r="NVI33" s="13"/>
      <c r="NVJ33" s="13"/>
      <c r="NVK33" s="13"/>
      <c r="NVL33" s="13"/>
      <c r="NVM33" s="13"/>
      <c r="NVN33" s="13"/>
      <c r="NVO33" s="13"/>
      <c r="NVP33" s="13"/>
      <c r="NVQ33" s="13"/>
      <c r="NVR33" s="13"/>
      <c r="NVS33" s="13"/>
      <c r="NVT33" s="13"/>
      <c r="NVU33" s="13"/>
      <c r="NVV33" s="13"/>
      <c r="NVW33" s="13"/>
      <c r="NVX33" s="13"/>
      <c r="NVY33" s="13"/>
      <c r="NVZ33" s="13"/>
      <c r="NWA33" s="13"/>
      <c r="NWB33" s="13"/>
      <c r="NWC33" s="13"/>
      <c r="NWD33" s="13"/>
      <c r="NWE33" s="13"/>
      <c r="NWF33" s="13"/>
      <c r="NWG33" s="13"/>
      <c r="NWH33" s="13"/>
      <c r="NWI33" s="13"/>
      <c r="NWJ33" s="13"/>
      <c r="NWK33" s="13"/>
      <c r="NWL33" s="13"/>
      <c r="NWM33" s="13"/>
      <c r="NWN33" s="13"/>
      <c r="NWO33" s="13"/>
      <c r="NWP33" s="13"/>
      <c r="NWQ33" s="13"/>
      <c r="NWR33" s="13"/>
      <c r="NWS33" s="13"/>
      <c r="NWT33" s="13"/>
      <c r="NWU33" s="13"/>
      <c r="NWV33" s="13"/>
      <c r="NWW33" s="13"/>
      <c r="NWX33" s="13"/>
      <c r="NWY33" s="13"/>
      <c r="NWZ33" s="13"/>
      <c r="NXA33" s="13"/>
      <c r="NXB33" s="13"/>
      <c r="NXC33" s="13"/>
      <c r="NXD33" s="13"/>
      <c r="NXE33" s="13"/>
      <c r="NXF33" s="13"/>
      <c r="NXG33" s="13"/>
      <c r="NXH33" s="13"/>
      <c r="NXI33" s="13"/>
      <c r="NXJ33" s="13"/>
      <c r="NXK33" s="13"/>
      <c r="NXL33" s="13"/>
      <c r="NXM33" s="13"/>
      <c r="NXN33" s="13"/>
      <c r="NXO33" s="13"/>
      <c r="NXP33" s="13"/>
      <c r="NXQ33" s="13"/>
      <c r="NXR33" s="13"/>
      <c r="NXS33" s="13"/>
      <c r="NXT33" s="13"/>
      <c r="NXU33" s="13"/>
      <c r="NXV33" s="13"/>
      <c r="NXW33" s="13"/>
      <c r="NXX33" s="13"/>
      <c r="NXY33" s="13"/>
      <c r="NXZ33" s="13"/>
      <c r="NYA33" s="13"/>
      <c r="NYB33" s="13"/>
      <c r="NYC33" s="13"/>
      <c r="NYD33" s="13"/>
      <c r="NYE33" s="13"/>
      <c r="NYF33" s="13"/>
      <c r="NYG33" s="13"/>
      <c r="NYH33" s="13"/>
      <c r="NYI33" s="13"/>
      <c r="NYJ33" s="13"/>
      <c r="NYK33" s="13"/>
      <c r="NYL33" s="13"/>
      <c r="NYM33" s="13"/>
      <c r="NYN33" s="13"/>
      <c r="NYO33" s="13"/>
      <c r="NYP33" s="13"/>
      <c r="NYQ33" s="13"/>
      <c r="NYR33" s="13"/>
      <c r="NYS33" s="13"/>
      <c r="NYT33" s="13"/>
      <c r="NYU33" s="13"/>
      <c r="NYV33" s="13"/>
      <c r="NYW33" s="13"/>
      <c r="NYX33" s="13"/>
      <c r="NYY33" s="13"/>
      <c r="NYZ33" s="13"/>
      <c r="NZA33" s="13"/>
      <c r="NZB33" s="13"/>
      <c r="NZC33" s="13"/>
      <c r="NZD33" s="13"/>
      <c r="NZE33" s="13"/>
      <c r="NZF33" s="13"/>
      <c r="NZG33" s="13"/>
      <c r="NZH33" s="13"/>
      <c r="NZI33" s="13"/>
      <c r="NZJ33" s="13"/>
      <c r="NZK33" s="13"/>
      <c r="NZL33" s="13"/>
      <c r="NZM33" s="13"/>
      <c r="NZN33" s="13"/>
      <c r="NZO33" s="13"/>
      <c r="NZP33" s="13"/>
      <c r="NZQ33" s="13"/>
      <c r="NZR33" s="13"/>
      <c r="NZS33" s="13"/>
      <c r="NZT33" s="13"/>
      <c r="NZU33" s="13"/>
      <c r="NZV33" s="13"/>
      <c r="NZW33" s="13"/>
      <c r="NZX33" s="13"/>
      <c r="NZY33" s="13"/>
      <c r="NZZ33" s="13"/>
      <c r="OAA33" s="13"/>
      <c r="OAB33" s="13"/>
      <c r="OAC33" s="13"/>
      <c r="OAD33" s="13"/>
      <c r="OAE33" s="13"/>
      <c r="OAF33" s="13"/>
      <c r="OAG33" s="13"/>
      <c r="OAH33" s="13"/>
      <c r="OAI33" s="13"/>
      <c r="OAJ33" s="13"/>
      <c r="OAK33" s="13"/>
      <c r="OAL33" s="13"/>
      <c r="OAM33" s="13"/>
      <c r="OAN33" s="13"/>
      <c r="OAO33" s="13"/>
      <c r="OAP33" s="13"/>
      <c r="OAQ33" s="13"/>
      <c r="OAR33" s="13"/>
      <c r="OAS33" s="13"/>
      <c r="OAT33" s="13"/>
      <c r="OAU33" s="13"/>
      <c r="OAV33" s="13"/>
      <c r="OAW33" s="13"/>
      <c r="OAX33" s="13"/>
      <c r="OAY33" s="13"/>
      <c r="OAZ33" s="13"/>
      <c r="OBA33" s="13"/>
      <c r="OBB33" s="13"/>
      <c r="OBC33" s="13"/>
      <c r="OBD33" s="13"/>
      <c r="OBE33" s="13"/>
      <c r="OBF33" s="13"/>
      <c r="OBG33" s="13"/>
      <c r="OBH33" s="13"/>
      <c r="OBI33" s="13"/>
      <c r="OBJ33" s="13"/>
      <c r="OBK33" s="13"/>
      <c r="OBL33" s="13"/>
      <c r="OBM33" s="13"/>
      <c r="OBN33" s="13"/>
      <c r="OBO33" s="13"/>
      <c r="OBP33" s="13"/>
      <c r="OBQ33" s="13"/>
      <c r="OBR33" s="13"/>
      <c r="OBS33" s="13"/>
      <c r="OBT33" s="13"/>
      <c r="OBU33" s="13"/>
      <c r="OBV33" s="13"/>
      <c r="OBW33" s="13"/>
      <c r="OBX33" s="13"/>
      <c r="OBY33" s="13"/>
      <c r="OBZ33" s="13"/>
      <c r="OCA33" s="13"/>
      <c r="OCB33" s="13"/>
      <c r="OCC33" s="13"/>
      <c r="OCD33" s="13"/>
      <c r="OCE33" s="13"/>
      <c r="OCF33" s="13"/>
      <c r="OCG33" s="13"/>
      <c r="OCH33" s="13"/>
      <c r="OCI33" s="13"/>
      <c r="OCJ33" s="13"/>
      <c r="OCK33" s="13"/>
      <c r="OCL33" s="13"/>
      <c r="OCM33" s="13"/>
      <c r="OCN33" s="13"/>
      <c r="OCO33" s="13"/>
      <c r="OCP33" s="13"/>
      <c r="OCQ33" s="13"/>
      <c r="OCR33" s="13"/>
      <c r="OCS33" s="13"/>
      <c r="OCT33" s="13"/>
      <c r="OCU33" s="13"/>
      <c r="OCV33" s="13"/>
      <c r="OCW33" s="13"/>
      <c r="OCX33" s="13"/>
      <c r="OCY33" s="13"/>
      <c r="OCZ33" s="13"/>
      <c r="ODA33" s="13"/>
      <c r="ODB33" s="13"/>
      <c r="ODC33" s="13"/>
      <c r="ODD33" s="13"/>
      <c r="ODE33" s="13"/>
      <c r="ODF33" s="13"/>
      <c r="ODG33" s="13"/>
      <c r="ODH33" s="13"/>
      <c r="ODI33" s="13"/>
      <c r="ODJ33" s="13"/>
      <c r="ODK33" s="13"/>
      <c r="ODL33" s="13"/>
      <c r="ODM33" s="13"/>
      <c r="ODN33" s="13"/>
      <c r="ODO33" s="13"/>
      <c r="ODP33" s="13"/>
      <c r="ODQ33" s="13"/>
      <c r="ODR33" s="13"/>
      <c r="ODS33" s="13"/>
      <c r="ODT33" s="13"/>
      <c r="ODU33" s="13"/>
      <c r="ODV33" s="13"/>
      <c r="ODW33" s="13"/>
      <c r="ODX33" s="13"/>
      <c r="ODY33" s="13"/>
      <c r="ODZ33" s="13"/>
      <c r="OEA33" s="13"/>
      <c r="OEB33" s="13"/>
      <c r="OEC33" s="13"/>
      <c r="OED33" s="13"/>
      <c r="OEE33" s="13"/>
      <c r="OEF33" s="13"/>
      <c r="OEG33" s="13"/>
      <c r="OEH33" s="13"/>
      <c r="OEI33" s="13"/>
      <c r="OEJ33" s="13"/>
      <c r="OEK33" s="13"/>
      <c r="OEL33" s="13"/>
      <c r="OEM33" s="13"/>
      <c r="OEN33" s="13"/>
      <c r="OEO33" s="13"/>
      <c r="OEP33" s="13"/>
      <c r="OEQ33" s="13"/>
      <c r="OER33" s="13"/>
      <c r="OES33" s="13"/>
      <c r="OET33" s="13"/>
      <c r="OEU33" s="13"/>
      <c r="OEV33" s="13"/>
      <c r="OEW33" s="13"/>
      <c r="OEX33" s="13"/>
      <c r="OEY33" s="13"/>
      <c r="OEZ33" s="13"/>
      <c r="OFA33" s="13"/>
      <c r="OFB33" s="13"/>
      <c r="OFC33" s="13"/>
      <c r="OFD33" s="13"/>
      <c r="OFE33" s="13"/>
      <c r="OFF33" s="13"/>
      <c r="OFG33" s="13"/>
      <c r="OFH33" s="13"/>
      <c r="OFI33" s="13"/>
      <c r="OFJ33" s="13"/>
      <c r="OFK33" s="13"/>
      <c r="OFL33" s="13"/>
      <c r="OFM33" s="13"/>
      <c r="OFN33" s="13"/>
      <c r="OFO33" s="13"/>
      <c r="OFP33" s="13"/>
      <c r="OFQ33" s="13"/>
      <c r="OFR33" s="13"/>
      <c r="OFS33" s="13"/>
      <c r="OFT33" s="13"/>
      <c r="OFU33" s="13"/>
      <c r="OFV33" s="13"/>
      <c r="OFW33" s="13"/>
      <c r="OFX33" s="13"/>
      <c r="OFY33" s="13"/>
      <c r="OFZ33" s="13"/>
      <c r="OGA33" s="13"/>
      <c r="OGB33" s="13"/>
      <c r="OGC33" s="13"/>
      <c r="OGD33" s="13"/>
      <c r="OGE33" s="13"/>
      <c r="OGF33" s="13"/>
      <c r="OGG33" s="13"/>
      <c r="OGH33" s="13"/>
      <c r="OGI33" s="13"/>
      <c r="OGJ33" s="13"/>
      <c r="OGK33" s="13"/>
      <c r="OGL33" s="13"/>
      <c r="OGM33" s="13"/>
      <c r="OGN33" s="13"/>
      <c r="OGO33" s="13"/>
      <c r="OGP33" s="13"/>
      <c r="OGQ33" s="13"/>
      <c r="OGR33" s="13"/>
      <c r="OGS33" s="13"/>
      <c r="OGT33" s="13"/>
      <c r="OGU33" s="13"/>
      <c r="OGV33" s="13"/>
      <c r="OGW33" s="13"/>
      <c r="OGX33" s="13"/>
      <c r="OGY33" s="13"/>
      <c r="OGZ33" s="13"/>
      <c r="OHA33" s="13"/>
      <c r="OHB33" s="13"/>
      <c r="OHC33" s="13"/>
      <c r="OHD33" s="13"/>
      <c r="OHE33" s="13"/>
      <c r="OHF33" s="13"/>
      <c r="OHG33" s="13"/>
      <c r="OHH33" s="13"/>
      <c r="OHI33" s="13"/>
      <c r="OHJ33" s="13"/>
      <c r="OHK33" s="13"/>
      <c r="OHL33" s="13"/>
      <c r="OHM33" s="13"/>
      <c r="OHN33" s="13"/>
      <c r="OHO33" s="13"/>
      <c r="OHP33" s="13"/>
      <c r="OHQ33" s="13"/>
      <c r="OHR33" s="13"/>
      <c r="OHS33" s="13"/>
      <c r="OHT33" s="13"/>
      <c r="OHU33" s="13"/>
      <c r="OHV33" s="13"/>
      <c r="OHW33" s="13"/>
      <c r="OHX33" s="13"/>
      <c r="OHY33" s="13"/>
      <c r="OHZ33" s="13"/>
      <c r="OIA33" s="13"/>
      <c r="OIB33" s="13"/>
      <c r="OIC33" s="13"/>
      <c r="OID33" s="13"/>
      <c r="OIE33" s="13"/>
      <c r="OIF33" s="13"/>
      <c r="OIG33" s="13"/>
      <c r="OIH33" s="13"/>
      <c r="OII33" s="13"/>
      <c r="OIJ33" s="13"/>
      <c r="OIK33" s="13"/>
      <c r="OIL33" s="13"/>
      <c r="OIM33" s="13"/>
      <c r="OIN33" s="13"/>
      <c r="OIO33" s="13"/>
      <c r="OIP33" s="13"/>
      <c r="OIQ33" s="13"/>
      <c r="OIR33" s="13"/>
      <c r="OIS33" s="13"/>
      <c r="OIT33" s="13"/>
      <c r="OIU33" s="13"/>
      <c r="OIV33" s="13"/>
      <c r="OIW33" s="13"/>
      <c r="OIX33" s="13"/>
      <c r="OIY33" s="13"/>
      <c r="OIZ33" s="13"/>
      <c r="OJA33" s="13"/>
      <c r="OJB33" s="13"/>
      <c r="OJC33" s="13"/>
      <c r="OJD33" s="13"/>
      <c r="OJE33" s="13"/>
      <c r="OJF33" s="13"/>
      <c r="OJG33" s="13"/>
      <c r="OJH33" s="13"/>
      <c r="OJI33" s="13"/>
      <c r="OJJ33" s="13"/>
      <c r="OJK33" s="13"/>
      <c r="OJL33" s="13"/>
      <c r="OJM33" s="13"/>
      <c r="OJN33" s="13"/>
      <c r="OJO33" s="13"/>
      <c r="OJP33" s="13"/>
      <c r="OJQ33" s="13"/>
      <c r="OJR33" s="13"/>
      <c r="OJS33" s="13"/>
      <c r="OJT33" s="13"/>
      <c r="OJU33" s="13"/>
      <c r="OJV33" s="13"/>
      <c r="OJW33" s="13"/>
      <c r="OJX33" s="13"/>
      <c r="OJY33" s="13"/>
      <c r="OJZ33" s="13"/>
      <c r="OKA33" s="13"/>
      <c r="OKB33" s="13"/>
      <c r="OKC33" s="13"/>
      <c r="OKD33" s="13"/>
      <c r="OKE33" s="13"/>
      <c r="OKF33" s="13"/>
      <c r="OKG33" s="13"/>
      <c r="OKH33" s="13"/>
      <c r="OKI33" s="13"/>
      <c r="OKJ33" s="13"/>
      <c r="OKK33" s="13"/>
      <c r="OKL33" s="13"/>
      <c r="OKM33" s="13"/>
      <c r="OKN33" s="13"/>
      <c r="OKO33" s="13"/>
      <c r="OKP33" s="13"/>
      <c r="OKQ33" s="13"/>
      <c r="OKR33" s="13"/>
      <c r="OKS33" s="13"/>
      <c r="OKT33" s="13"/>
      <c r="OKU33" s="13"/>
      <c r="OKV33" s="13"/>
      <c r="OKW33" s="13"/>
      <c r="OKX33" s="13"/>
      <c r="OKY33" s="13"/>
      <c r="OKZ33" s="13"/>
      <c r="OLA33" s="13"/>
      <c r="OLB33" s="13"/>
      <c r="OLC33" s="13"/>
      <c r="OLD33" s="13"/>
      <c r="OLE33" s="13"/>
      <c r="OLF33" s="13"/>
      <c r="OLG33" s="13"/>
      <c r="OLH33" s="13"/>
      <c r="OLI33" s="13"/>
      <c r="OLJ33" s="13"/>
      <c r="OLK33" s="13"/>
      <c r="OLL33" s="13"/>
      <c r="OLM33" s="13"/>
      <c r="OLN33" s="13"/>
      <c r="OLO33" s="13"/>
      <c r="OLP33" s="13"/>
      <c r="OLQ33" s="13"/>
      <c r="OLR33" s="13"/>
      <c r="OLS33" s="13"/>
      <c r="OLT33" s="13"/>
      <c r="OLU33" s="13"/>
      <c r="OLV33" s="13"/>
      <c r="OLW33" s="13"/>
      <c r="OLX33" s="13"/>
      <c r="OLY33" s="13"/>
      <c r="OLZ33" s="13"/>
      <c r="OMA33" s="13"/>
      <c r="OMB33" s="13"/>
      <c r="OMC33" s="13"/>
      <c r="OMD33" s="13"/>
      <c r="OME33" s="13"/>
      <c r="OMF33" s="13"/>
      <c r="OMG33" s="13"/>
      <c r="OMH33" s="13"/>
      <c r="OMI33" s="13"/>
      <c r="OMJ33" s="13"/>
      <c r="OMK33" s="13"/>
      <c r="OML33" s="13"/>
      <c r="OMM33" s="13"/>
      <c r="OMN33" s="13"/>
      <c r="OMO33" s="13"/>
      <c r="OMP33" s="13"/>
      <c r="OMQ33" s="13"/>
      <c r="OMR33" s="13"/>
      <c r="OMS33" s="13"/>
      <c r="OMT33" s="13"/>
      <c r="OMU33" s="13"/>
      <c r="OMV33" s="13"/>
      <c r="OMW33" s="13"/>
      <c r="OMX33" s="13"/>
      <c r="OMY33" s="13"/>
      <c r="OMZ33" s="13"/>
      <c r="ONA33" s="13"/>
      <c r="ONB33" s="13"/>
      <c r="ONC33" s="13"/>
      <c r="OND33" s="13"/>
      <c r="ONE33" s="13"/>
      <c r="ONF33" s="13"/>
      <c r="ONG33" s="13"/>
      <c r="ONH33" s="13"/>
      <c r="ONI33" s="13"/>
      <c r="ONJ33" s="13"/>
      <c r="ONK33" s="13"/>
      <c r="ONL33" s="13"/>
      <c r="ONM33" s="13"/>
      <c r="ONN33" s="13"/>
      <c r="ONO33" s="13"/>
      <c r="ONP33" s="13"/>
      <c r="ONQ33" s="13"/>
      <c r="ONR33" s="13"/>
      <c r="ONS33" s="13"/>
      <c r="ONT33" s="13"/>
      <c r="ONU33" s="13"/>
      <c r="ONV33" s="13"/>
      <c r="ONW33" s="13"/>
      <c r="ONX33" s="13"/>
      <c r="ONY33" s="13"/>
      <c r="ONZ33" s="13"/>
      <c r="OOA33" s="13"/>
      <c r="OOB33" s="13"/>
      <c r="OOC33" s="13"/>
      <c r="OOD33" s="13"/>
      <c r="OOE33" s="13"/>
      <c r="OOF33" s="13"/>
      <c r="OOG33" s="13"/>
      <c r="OOH33" s="13"/>
      <c r="OOI33" s="13"/>
      <c r="OOJ33" s="13"/>
      <c r="OOK33" s="13"/>
      <c r="OOL33" s="13"/>
      <c r="OOM33" s="13"/>
      <c r="OON33" s="13"/>
      <c r="OOO33" s="13"/>
      <c r="OOP33" s="13"/>
      <c r="OOQ33" s="13"/>
      <c r="OOR33" s="13"/>
      <c r="OOS33" s="13"/>
      <c r="OOT33" s="13"/>
      <c r="OOU33" s="13"/>
      <c r="OOV33" s="13"/>
      <c r="OOW33" s="13"/>
      <c r="OOX33" s="13"/>
      <c r="OOY33" s="13"/>
      <c r="OOZ33" s="13"/>
      <c r="OPA33" s="13"/>
      <c r="OPB33" s="13"/>
      <c r="OPC33" s="13"/>
      <c r="OPD33" s="13"/>
      <c r="OPE33" s="13"/>
      <c r="OPF33" s="13"/>
      <c r="OPG33" s="13"/>
      <c r="OPH33" s="13"/>
      <c r="OPI33" s="13"/>
      <c r="OPJ33" s="13"/>
      <c r="OPK33" s="13"/>
      <c r="OPL33" s="13"/>
      <c r="OPM33" s="13"/>
      <c r="OPN33" s="13"/>
      <c r="OPO33" s="13"/>
      <c r="OPP33" s="13"/>
      <c r="OPQ33" s="13"/>
      <c r="OPR33" s="13"/>
      <c r="OPS33" s="13"/>
      <c r="OPT33" s="13"/>
      <c r="OPU33" s="13"/>
      <c r="OPV33" s="13"/>
      <c r="OPW33" s="13"/>
      <c r="OPX33" s="13"/>
      <c r="OPY33" s="13"/>
      <c r="OPZ33" s="13"/>
      <c r="OQA33" s="13"/>
      <c r="OQB33" s="13"/>
      <c r="OQC33" s="13"/>
      <c r="OQD33" s="13"/>
      <c r="OQE33" s="13"/>
      <c r="OQF33" s="13"/>
      <c r="OQG33" s="13"/>
      <c r="OQH33" s="13"/>
      <c r="OQI33" s="13"/>
      <c r="OQJ33" s="13"/>
      <c r="OQK33" s="13"/>
      <c r="OQL33" s="13"/>
      <c r="OQM33" s="13"/>
      <c r="OQN33" s="13"/>
      <c r="OQO33" s="13"/>
      <c r="OQP33" s="13"/>
      <c r="OQQ33" s="13"/>
      <c r="OQR33" s="13"/>
      <c r="OQS33" s="13"/>
      <c r="OQT33" s="13"/>
      <c r="OQU33" s="13"/>
      <c r="OQV33" s="13"/>
      <c r="OQW33" s="13"/>
      <c r="OQX33" s="13"/>
      <c r="OQY33" s="13"/>
      <c r="OQZ33" s="13"/>
      <c r="ORA33" s="13"/>
      <c r="ORB33" s="13"/>
      <c r="ORC33" s="13"/>
      <c r="ORD33" s="13"/>
      <c r="ORE33" s="13"/>
      <c r="ORF33" s="13"/>
      <c r="ORG33" s="13"/>
      <c r="ORH33" s="13"/>
      <c r="ORI33" s="13"/>
      <c r="ORJ33" s="13"/>
      <c r="ORK33" s="13"/>
      <c r="ORL33" s="13"/>
      <c r="ORM33" s="13"/>
      <c r="ORN33" s="13"/>
      <c r="ORO33" s="13"/>
      <c r="ORP33" s="13"/>
      <c r="ORQ33" s="13"/>
      <c r="ORR33" s="13"/>
      <c r="ORS33" s="13"/>
      <c r="ORT33" s="13"/>
      <c r="ORU33" s="13"/>
      <c r="ORV33" s="13"/>
      <c r="ORW33" s="13"/>
      <c r="ORX33" s="13"/>
      <c r="ORY33" s="13"/>
      <c r="ORZ33" s="13"/>
      <c r="OSA33" s="13"/>
      <c r="OSB33" s="13"/>
      <c r="OSC33" s="13"/>
      <c r="OSD33" s="13"/>
      <c r="OSE33" s="13"/>
      <c r="OSF33" s="13"/>
      <c r="OSG33" s="13"/>
      <c r="OSH33" s="13"/>
      <c r="OSI33" s="13"/>
      <c r="OSJ33" s="13"/>
      <c r="OSK33" s="13"/>
      <c r="OSL33" s="13"/>
      <c r="OSM33" s="13"/>
      <c r="OSN33" s="13"/>
      <c r="OSO33" s="13"/>
      <c r="OSP33" s="13"/>
      <c r="OSQ33" s="13"/>
      <c r="OSR33" s="13"/>
      <c r="OSS33" s="13"/>
      <c r="OST33" s="13"/>
      <c r="OSU33" s="13"/>
      <c r="OSV33" s="13"/>
      <c r="OSW33" s="13"/>
      <c r="OSX33" s="13"/>
      <c r="OSY33" s="13"/>
      <c r="OSZ33" s="13"/>
      <c r="OTA33" s="13"/>
      <c r="OTB33" s="13"/>
      <c r="OTC33" s="13"/>
      <c r="OTD33" s="13"/>
      <c r="OTE33" s="13"/>
      <c r="OTF33" s="13"/>
      <c r="OTG33" s="13"/>
      <c r="OTH33" s="13"/>
      <c r="OTI33" s="13"/>
      <c r="OTJ33" s="13"/>
      <c r="OTK33" s="13"/>
      <c r="OTL33" s="13"/>
      <c r="OTM33" s="13"/>
      <c r="OTN33" s="13"/>
      <c r="OTO33" s="13"/>
      <c r="OTP33" s="13"/>
      <c r="OTQ33" s="13"/>
      <c r="OTR33" s="13"/>
      <c r="OTS33" s="13"/>
      <c r="OTT33" s="13"/>
      <c r="OTU33" s="13"/>
      <c r="OTV33" s="13"/>
      <c r="OTW33" s="13"/>
      <c r="OTX33" s="13"/>
      <c r="OTY33" s="13"/>
      <c r="OTZ33" s="13"/>
      <c r="OUA33" s="13"/>
      <c r="OUB33" s="13"/>
      <c r="OUC33" s="13"/>
      <c r="OUD33" s="13"/>
      <c r="OUE33" s="13"/>
      <c r="OUF33" s="13"/>
      <c r="OUG33" s="13"/>
      <c r="OUH33" s="13"/>
      <c r="OUI33" s="13"/>
      <c r="OUJ33" s="13"/>
      <c r="OUK33" s="13"/>
      <c r="OUL33" s="13"/>
      <c r="OUM33" s="13"/>
      <c r="OUN33" s="13"/>
      <c r="OUO33" s="13"/>
      <c r="OUP33" s="13"/>
      <c r="OUQ33" s="13"/>
      <c r="OUR33" s="13"/>
      <c r="OUS33" s="13"/>
      <c r="OUT33" s="13"/>
      <c r="OUU33" s="13"/>
      <c r="OUV33" s="13"/>
      <c r="OUW33" s="13"/>
      <c r="OUX33" s="13"/>
      <c r="OUY33" s="13"/>
      <c r="OUZ33" s="13"/>
      <c r="OVA33" s="13"/>
      <c r="OVB33" s="13"/>
      <c r="OVC33" s="13"/>
      <c r="OVD33" s="13"/>
      <c r="OVE33" s="13"/>
      <c r="OVF33" s="13"/>
      <c r="OVG33" s="13"/>
      <c r="OVH33" s="13"/>
      <c r="OVI33" s="13"/>
      <c r="OVJ33" s="13"/>
      <c r="OVK33" s="13"/>
      <c r="OVL33" s="13"/>
      <c r="OVM33" s="13"/>
      <c r="OVN33" s="13"/>
      <c r="OVO33" s="13"/>
      <c r="OVP33" s="13"/>
      <c r="OVQ33" s="13"/>
      <c r="OVR33" s="13"/>
      <c r="OVS33" s="13"/>
      <c r="OVT33" s="13"/>
      <c r="OVU33" s="13"/>
      <c r="OVV33" s="13"/>
      <c r="OVW33" s="13"/>
      <c r="OVX33" s="13"/>
      <c r="OVY33" s="13"/>
      <c r="OVZ33" s="13"/>
      <c r="OWA33" s="13"/>
      <c r="OWB33" s="13"/>
      <c r="OWC33" s="13"/>
      <c r="OWD33" s="13"/>
      <c r="OWE33" s="13"/>
      <c r="OWF33" s="13"/>
      <c r="OWG33" s="13"/>
      <c r="OWH33" s="13"/>
      <c r="OWI33" s="13"/>
      <c r="OWJ33" s="13"/>
      <c r="OWK33" s="13"/>
      <c r="OWL33" s="13"/>
      <c r="OWM33" s="13"/>
      <c r="OWN33" s="13"/>
      <c r="OWO33" s="13"/>
      <c r="OWP33" s="13"/>
      <c r="OWQ33" s="13"/>
      <c r="OWR33" s="13"/>
      <c r="OWS33" s="13"/>
      <c r="OWT33" s="13"/>
      <c r="OWU33" s="13"/>
      <c r="OWV33" s="13"/>
      <c r="OWW33" s="13"/>
      <c r="OWX33" s="13"/>
      <c r="OWY33" s="13"/>
      <c r="OWZ33" s="13"/>
      <c r="OXA33" s="13"/>
      <c r="OXB33" s="13"/>
      <c r="OXC33" s="13"/>
      <c r="OXD33" s="13"/>
      <c r="OXE33" s="13"/>
      <c r="OXF33" s="13"/>
      <c r="OXG33" s="13"/>
      <c r="OXH33" s="13"/>
      <c r="OXI33" s="13"/>
      <c r="OXJ33" s="13"/>
      <c r="OXK33" s="13"/>
      <c r="OXL33" s="13"/>
      <c r="OXM33" s="13"/>
      <c r="OXN33" s="13"/>
      <c r="OXO33" s="13"/>
      <c r="OXP33" s="13"/>
      <c r="OXQ33" s="13"/>
      <c r="OXR33" s="13"/>
      <c r="OXS33" s="13"/>
      <c r="OXT33" s="13"/>
      <c r="OXU33" s="13"/>
      <c r="OXV33" s="13"/>
      <c r="OXW33" s="13"/>
      <c r="OXX33" s="13"/>
      <c r="OXY33" s="13"/>
      <c r="OXZ33" s="13"/>
      <c r="OYA33" s="13"/>
      <c r="OYB33" s="13"/>
      <c r="OYC33" s="13"/>
      <c r="OYD33" s="13"/>
      <c r="OYE33" s="13"/>
      <c r="OYF33" s="13"/>
      <c r="OYG33" s="13"/>
      <c r="OYH33" s="13"/>
      <c r="OYI33" s="13"/>
      <c r="OYJ33" s="13"/>
      <c r="OYK33" s="13"/>
      <c r="OYL33" s="13"/>
      <c r="OYM33" s="13"/>
      <c r="OYN33" s="13"/>
      <c r="OYO33" s="13"/>
      <c r="OYP33" s="13"/>
      <c r="OYQ33" s="13"/>
      <c r="OYR33" s="13"/>
      <c r="OYS33" s="13"/>
      <c r="OYT33" s="13"/>
      <c r="OYU33" s="13"/>
      <c r="OYV33" s="13"/>
      <c r="OYW33" s="13"/>
      <c r="OYX33" s="13"/>
      <c r="OYY33" s="13"/>
      <c r="OYZ33" s="13"/>
      <c r="OZA33" s="13"/>
      <c r="OZB33" s="13"/>
      <c r="OZC33" s="13"/>
      <c r="OZD33" s="13"/>
      <c r="OZE33" s="13"/>
      <c r="OZF33" s="13"/>
      <c r="OZG33" s="13"/>
      <c r="OZH33" s="13"/>
      <c r="OZI33" s="13"/>
      <c r="OZJ33" s="13"/>
      <c r="OZK33" s="13"/>
      <c r="OZL33" s="13"/>
      <c r="OZM33" s="13"/>
      <c r="OZN33" s="13"/>
      <c r="OZO33" s="13"/>
      <c r="OZP33" s="13"/>
      <c r="OZQ33" s="13"/>
      <c r="OZR33" s="13"/>
      <c r="OZS33" s="13"/>
      <c r="OZT33" s="13"/>
      <c r="OZU33" s="13"/>
      <c r="OZV33" s="13"/>
      <c r="OZW33" s="13"/>
      <c r="OZX33" s="13"/>
      <c r="OZY33" s="13"/>
      <c r="OZZ33" s="13"/>
      <c r="PAA33" s="13"/>
      <c r="PAB33" s="13"/>
      <c r="PAC33" s="13"/>
      <c r="PAD33" s="13"/>
      <c r="PAE33" s="13"/>
      <c r="PAF33" s="13"/>
      <c r="PAG33" s="13"/>
      <c r="PAH33" s="13"/>
      <c r="PAI33" s="13"/>
      <c r="PAJ33" s="13"/>
      <c r="PAK33" s="13"/>
      <c r="PAL33" s="13"/>
      <c r="PAM33" s="13"/>
      <c r="PAN33" s="13"/>
      <c r="PAO33" s="13"/>
      <c r="PAP33" s="13"/>
      <c r="PAQ33" s="13"/>
      <c r="PAR33" s="13"/>
      <c r="PAS33" s="13"/>
      <c r="PAT33" s="13"/>
      <c r="PAU33" s="13"/>
      <c r="PAV33" s="13"/>
      <c r="PAW33" s="13"/>
      <c r="PAX33" s="13"/>
      <c r="PAY33" s="13"/>
      <c r="PAZ33" s="13"/>
      <c r="PBA33" s="13"/>
      <c r="PBB33" s="13"/>
      <c r="PBC33" s="13"/>
      <c r="PBD33" s="13"/>
      <c r="PBE33" s="13"/>
      <c r="PBF33" s="13"/>
      <c r="PBG33" s="13"/>
      <c r="PBH33" s="13"/>
      <c r="PBI33" s="13"/>
      <c r="PBJ33" s="13"/>
      <c r="PBK33" s="13"/>
      <c r="PBL33" s="13"/>
      <c r="PBM33" s="13"/>
      <c r="PBN33" s="13"/>
      <c r="PBO33" s="13"/>
      <c r="PBP33" s="13"/>
      <c r="PBQ33" s="13"/>
      <c r="PBR33" s="13"/>
      <c r="PBS33" s="13"/>
      <c r="PBT33" s="13"/>
      <c r="PBU33" s="13"/>
      <c r="PBV33" s="13"/>
      <c r="PBW33" s="13"/>
      <c r="PBX33" s="13"/>
      <c r="PBY33" s="13"/>
      <c r="PBZ33" s="13"/>
      <c r="PCA33" s="13"/>
      <c r="PCB33" s="13"/>
      <c r="PCC33" s="13"/>
      <c r="PCD33" s="13"/>
      <c r="PCE33" s="13"/>
      <c r="PCF33" s="13"/>
      <c r="PCG33" s="13"/>
      <c r="PCH33" s="13"/>
      <c r="PCI33" s="13"/>
      <c r="PCJ33" s="13"/>
      <c r="PCK33" s="13"/>
      <c r="PCL33" s="13"/>
      <c r="PCM33" s="13"/>
      <c r="PCN33" s="13"/>
      <c r="PCO33" s="13"/>
      <c r="PCP33" s="13"/>
      <c r="PCQ33" s="13"/>
      <c r="PCR33" s="13"/>
      <c r="PCS33" s="13"/>
      <c r="PCT33" s="13"/>
      <c r="PCU33" s="13"/>
      <c r="PCV33" s="13"/>
      <c r="PCW33" s="13"/>
      <c r="PCX33" s="13"/>
      <c r="PCY33" s="13"/>
      <c r="PCZ33" s="13"/>
      <c r="PDA33" s="13"/>
      <c r="PDB33" s="13"/>
      <c r="PDC33" s="13"/>
      <c r="PDD33" s="13"/>
      <c r="PDE33" s="13"/>
      <c r="PDF33" s="13"/>
      <c r="PDG33" s="13"/>
      <c r="PDH33" s="13"/>
      <c r="PDI33" s="13"/>
      <c r="PDJ33" s="13"/>
      <c r="PDK33" s="13"/>
      <c r="PDL33" s="13"/>
      <c r="PDM33" s="13"/>
      <c r="PDN33" s="13"/>
      <c r="PDO33" s="13"/>
      <c r="PDP33" s="13"/>
      <c r="PDQ33" s="13"/>
      <c r="PDR33" s="13"/>
      <c r="PDS33" s="13"/>
      <c r="PDT33" s="13"/>
      <c r="PDU33" s="13"/>
      <c r="PDV33" s="13"/>
      <c r="PDW33" s="13"/>
      <c r="PDX33" s="13"/>
      <c r="PDY33" s="13"/>
      <c r="PDZ33" s="13"/>
      <c r="PEA33" s="13"/>
      <c r="PEB33" s="13"/>
      <c r="PEC33" s="13"/>
      <c r="PED33" s="13"/>
      <c r="PEE33" s="13"/>
      <c r="PEF33" s="13"/>
      <c r="PEG33" s="13"/>
      <c r="PEH33" s="13"/>
      <c r="PEI33" s="13"/>
      <c r="PEJ33" s="13"/>
      <c r="PEK33" s="13"/>
      <c r="PEL33" s="13"/>
      <c r="PEM33" s="13"/>
      <c r="PEN33" s="13"/>
      <c r="PEO33" s="13"/>
      <c r="PEP33" s="13"/>
      <c r="PEQ33" s="13"/>
      <c r="PER33" s="13"/>
      <c r="PES33" s="13"/>
      <c r="PET33" s="13"/>
      <c r="PEU33" s="13"/>
      <c r="PEV33" s="13"/>
      <c r="PEW33" s="13"/>
      <c r="PEX33" s="13"/>
      <c r="PEY33" s="13"/>
      <c r="PEZ33" s="13"/>
      <c r="PFA33" s="13"/>
      <c r="PFB33" s="13"/>
      <c r="PFC33" s="13"/>
      <c r="PFD33" s="13"/>
      <c r="PFE33" s="13"/>
      <c r="PFF33" s="13"/>
      <c r="PFG33" s="13"/>
      <c r="PFH33" s="13"/>
      <c r="PFI33" s="13"/>
      <c r="PFJ33" s="13"/>
      <c r="PFK33" s="13"/>
      <c r="PFL33" s="13"/>
      <c r="PFM33" s="13"/>
      <c r="PFN33" s="13"/>
      <c r="PFO33" s="13"/>
      <c r="PFP33" s="13"/>
      <c r="PFQ33" s="13"/>
      <c r="PFR33" s="13"/>
      <c r="PFS33" s="13"/>
      <c r="PFT33" s="13"/>
      <c r="PFU33" s="13"/>
      <c r="PFV33" s="13"/>
      <c r="PFW33" s="13"/>
      <c r="PFX33" s="13"/>
      <c r="PFY33" s="13"/>
      <c r="PFZ33" s="13"/>
      <c r="PGA33" s="13"/>
      <c r="PGB33" s="13"/>
      <c r="PGC33" s="13"/>
      <c r="PGD33" s="13"/>
      <c r="PGE33" s="13"/>
      <c r="PGF33" s="13"/>
      <c r="PGG33" s="13"/>
      <c r="PGH33" s="13"/>
      <c r="PGI33" s="13"/>
      <c r="PGJ33" s="13"/>
      <c r="PGK33" s="13"/>
      <c r="PGL33" s="13"/>
      <c r="PGM33" s="13"/>
      <c r="PGN33" s="13"/>
      <c r="PGO33" s="13"/>
      <c r="PGP33" s="13"/>
      <c r="PGQ33" s="13"/>
      <c r="PGR33" s="13"/>
      <c r="PGS33" s="13"/>
      <c r="PGT33" s="13"/>
      <c r="PGU33" s="13"/>
      <c r="PGV33" s="13"/>
      <c r="PGW33" s="13"/>
      <c r="PGX33" s="13"/>
      <c r="PGY33" s="13"/>
      <c r="PGZ33" s="13"/>
      <c r="PHA33" s="13"/>
      <c r="PHB33" s="13"/>
      <c r="PHC33" s="13"/>
      <c r="PHD33" s="13"/>
      <c r="PHE33" s="13"/>
      <c r="PHF33" s="13"/>
      <c r="PHG33" s="13"/>
      <c r="PHH33" s="13"/>
      <c r="PHI33" s="13"/>
      <c r="PHJ33" s="13"/>
      <c r="PHK33" s="13"/>
      <c r="PHL33" s="13"/>
      <c r="PHM33" s="13"/>
      <c r="PHN33" s="13"/>
      <c r="PHO33" s="13"/>
      <c r="PHP33" s="13"/>
      <c r="PHQ33" s="13"/>
      <c r="PHR33" s="13"/>
      <c r="PHS33" s="13"/>
      <c r="PHT33" s="13"/>
      <c r="PHU33" s="13"/>
      <c r="PHV33" s="13"/>
      <c r="PHW33" s="13"/>
      <c r="PHX33" s="13"/>
      <c r="PHY33" s="13"/>
      <c r="PHZ33" s="13"/>
      <c r="PIA33" s="13"/>
      <c r="PIB33" s="13"/>
      <c r="PIC33" s="13"/>
      <c r="PID33" s="13"/>
      <c r="PIE33" s="13"/>
      <c r="PIF33" s="13"/>
      <c r="PIG33" s="13"/>
      <c r="PIH33" s="13"/>
      <c r="PII33" s="13"/>
      <c r="PIJ33" s="13"/>
      <c r="PIK33" s="13"/>
      <c r="PIL33" s="13"/>
      <c r="PIM33" s="13"/>
      <c r="PIN33" s="13"/>
      <c r="PIO33" s="13"/>
      <c r="PIP33" s="13"/>
      <c r="PIQ33" s="13"/>
      <c r="PIR33" s="13"/>
      <c r="PIS33" s="13"/>
      <c r="PIT33" s="13"/>
      <c r="PIU33" s="13"/>
      <c r="PIV33" s="13"/>
      <c r="PIW33" s="13"/>
      <c r="PIX33" s="13"/>
      <c r="PIY33" s="13"/>
      <c r="PIZ33" s="13"/>
      <c r="PJA33" s="13"/>
      <c r="PJB33" s="13"/>
      <c r="PJC33" s="13"/>
      <c r="PJD33" s="13"/>
      <c r="PJE33" s="13"/>
      <c r="PJF33" s="13"/>
      <c r="PJG33" s="13"/>
      <c r="PJH33" s="13"/>
      <c r="PJI33" s="13"/>
      <c r="PJJ33" s="13"/>
      <c r="PJK33" s="13"/>
      <c r="PJL33" s="13"/>
      <c r="PJM33" s="13"/>
      <c r="PJN33" s="13"/>
      <c r="PJO33" s="13"/>
      <c r="PJP33" s="13"/>
      <c r="PJQ33" s="13"/>
      <c r="PJR33" s="13"/>
      <c r="PJS33" s="13"/>
      <c r="PJT33" s="13"/>
      <c r="PJU33" s="13"/>
      <c r="PJV33" s="13"/>
      <c r="PJW33" s="13"/>
      <c r="PJX33" s="13"/>
      <c r="PJY33" s="13"/>
      <c r="PJZ33" s="13"/>
      <c r="PKA33" s="13"/>
      <c r="PKB33" s="13"/>
      <c r="PKC33" s="13"/>
      <c r="PKD33" s="13"/>
      <c r="PKE33" s="13"/>
      <c r="PKF33" s="13"/>
      <c r="PKG33" s="13"/>
      <c r="PKH33" s="13"/>
      <c r="PKI33" s="13"/>
      <c r="PKJ33" s="13"/>
      <c r="PKK33" s="13"/>
      <c r="PKL33" s="13"/>
      <c r="PKM33" s="13"/>
      <c r="PKN33" s="13"/>
      <c r="PKO33" s="13"/>
      <c r="PKP33" s="13"/>
      <c r="PKQ33" s="13"/>
      <c r="PKR33" s="13"/>
      <c r="PKS33" s="13"/>
      <c r="PKT33" s="13"/>
      <c r="PKU33" s="13"/>
      <c r="PKV33" s="13"/>
      <c r="PKW33" s="13"/>
      <c r="PKX33" s="13"/>
      <c r="PKY33" s="13"/>
      <c r="PKZ33" s="13"/>
      <c r="PLA33" s="13"/>
      <c r="PLB33" s="13"/>
      <c r="PLC33" s="13"/>
      <c r="PLD33" s="13"/>
      <c r="PLE33" s="13"/>
      <c r="PLF33" s="13"/>
      <c r="PLG33" s="13"/>
      <c r="PLH33" s="13"/>
      <c r="PLI33" s="13"/>
      <c r="PLJ33" s="13"/>
      <c r="PLK33" s="13"/>
      <c r="PLL33" s="13"/>
      <c r="PLM33" s="13"/>
      <c r="PLN33" s="13"/>
      <c r="PLO33" s="13"/>
      <c r="PLP33" s="13"/>
      <c r="PLQ33" s="13"/>
      <c r="PLR33" s="13"/>
      <c r="PLS33" s="13"/>
      <c r="PLT33" s="13"/>
      <c r="PLU33" s="13"/>
      <c r="PLV33" s="13"/>
      <c r="PLW33" s="13"/>
      <c r="PLX33" s="13"/>
      <c r="PLY33" s="13"/>
      <c r="PLZ33" s="13"/>
      <c r="PMA33" s="13"/>
      <c r="PMB33" s="13"/>
      <c r="PMC33" s="13"/>
      <c r="PMD33" s="13"/>
      <c r="PME33" s="13"/>
      <c r="PMF33" s="13"/>
      <c r="PMG33" s="13"/>
      <c r="PMH33" s="13"/>
      <c r="PMI33" s="13"/>
      <c r="PMJ33" s="13"/>
      <c r="PMK33" s="13"/>
      <c r="PML33" s="13"/>
      <c r="PMM33" s="13"/>
      <c r="PMN33" s="13"/>
      <c r="PMO33" s="13"/>
      <c r="PMP33" s="13"/>
      <c r="PMQ33" s="13"/>
      <c r="PMR33" s="13"/>
      <c r="PMS33" s="13"/>
      <c r="PMT33" s="13"/>
      <c r="PMU33" s="13"/>
      <c r="PMV33" s="13"/>
      <c r="PMW33" s="13"/>
      <c r="PMX33" s="13"/>
      <c r="PMY33" s="13"/>
      <c r="PMZ33" s="13"/>
      <c r="PNA33" s="13"/>
      <c r="PNB33" s="13"/>
      <c r="PNC33" s="13"/>
      <c r="PND33" s="13"/>
      <c r="PNE33" s="13"/>
      <c r="PNF33" s="13"/>
      <c r="PNG33" s="13"/>
      <c r="PNH33" s="13"/>
      <c r="PNI33" s="13"/>
      <c r="PNJ33" s="13"/>
      <c r="PNK33" s="13"/>
      <c r="PNL33" s="13"/>
      <c r="PNM33" s="13"/>
      <c r="PNN33" s="13"/>
      <c r="PNO33" s="13"/>
      <c r="PNP33" s="13"/>
      <c r="PNQ33" s="13"/>
      <c r="PNR33" s="13"/>
      <c r="PNS33" s="13"/>
      <c r="PNT33" s="13"/>
      <c r="PNU33" s="13"/>
      <c r="PNV33" s="13"/>
      <c r="PNW33" s="13"/>
      <c r="PNX33" s="13"/>
      <c r="PNY33" s="13"/>
      <c r="PNZ33" s="13"/>
      <c r="POA33" s="13"/>
      <c r="POB33" s="13"/>
      <c r="POC33" s="13"/>
      <c r="POD33" s="13"/>
      <c r="POE33" s="13"/>
      <c r="POF33" s="13"/>
      <c r="POG33" s="13"/>
      <c r="POH33" s="13"/>
      <c r="POI33" s="13"/>
      <c r="POJ33" s="13"/>
      <c r="POK33" s="13"/>
      <c r="POL33" s="13"/>
      <c r="POM33" s="13"/>
      <c r="PON33" s="13"/>
      <c r="POO33" s="13"/>
      <c r="POP33" s="13"/>
      <c r="POQ33" s="13"/>
      <c r="POR33" s="13"/>
      <c r="POS33" s="13"/>
      <c r="POT33" s="13"/>
      <c r="POU33" s="13"/>
      <c r="POV33" s="13"/>
      <c r="POW33" s="13"/>
      <c r="POX33" s="13"/>
      <c r="POY33" s="13"/>
      <c r="POZ33" s="13"/>
      <c r="PPA33" s="13"/>
      <c r="PPB33" s="13"/>
      <c r="PPC33" s="13"/>
      <c r="PPD33" s="13"/>
      <c r="PPE33" s="13"/>
      <c r="PPF33" s="13"/>
      <c r="PPG33" s="13"/>
      <c r="PPH33" s="13"/>
      <c r="PPI33" s="13"/>
      <c r="PPJ33" s="13"/>
      <c r="PPK33" s="13"/>
      <c r="PPL33" s="13"/>
      <c r="PPM33" s="13"/>
      <c r="PPN33" s="13"/>
      <c r="PPO33" s="13"/>
      <c r="PPP33" s="13"/>
      <c r="PPQ33" s="13"/>
      <c r="PPR33" s="13"/>
      <c r="PPS33" s="13"/>
      <c r="PPT33" s="13"/>
      <c r="PPU33" s="13"/>
      <c r="PPV33" s="13"/>
      <c r="PPW33" s="13"/>
      <c r="PPX33" s="13"/>
      <c r="PPY33" s="13"/>
      <c r="PPZ33" s="13"/>
      <c r="PQA33" s="13"/>
      <c r="PQB33" s="13"/>
      <c r="PQC33" s="13"/>
      <c r="PQD33" s="13"/>
      <c r="PQE33" s="13"/>
      <c r="PQF33" s="13"/>
      <c r="PQG33" s="13"/>
      <c r="PQH33" s="13"/>
      <c r="PQI33" s="13"/>
      <c r="PQJ33" s="13"/>
      <c r="PQK33" s="13"/>
      <c r="PQL33" s="13"/>
      <c r="PQM33" s="13"/>
      <c r="PQN33" s="13"/>
      <c r="PQO33" s="13"/>
      <c r="PQP33" s="13"/>
      <c r="PQQ33" s="13"/>
      <c r="PQR33" s="13"/>
      <c r="PQS33" s="13"/>
      <c r="PQT33" s="13"/>
      <c r="PQU33" s="13"/>
      <c r="PQV33" s="13"/>
      <c r="PQW33" s="13"/>
      <c r="PQX33" s="13"/>
      <c r="PQY33" s="13"/>
      <c r="PQZ33" s="13"/>
      <c r="PRA33" s="13"/>
      <c r="PRB33" s="13"/>
      <c r="PRC33" s="13"/>
      <c r="PRD33" s="13"/>
      <c r="PRE33" s="13"/>
      <c r="PRF33" s="13"/>
      <c r="PRG33" s="13"/>
      <c r="PRH33" s="13"/>
      <c r="PRI33" s="13"/>
      <c r="PRJ33" s="13"/>
      <c r="PRK33" s="13"/>
      <c r="PRL33" s="13"/>
      <c r="PRM33" s="13"/>
      <c r="PRN33" s="13"/>
      <c r="PRO33" s="13"/>
      <c r="PRP33" s="13"/>
      <c r="PRQ33" s="13"/>
      <c r="PRR33" s="13"/>
      <c r="PRS33" s="13"/>
      <c r="PRT33" s="13"/>
      <c r="PRU33" s="13"/>
      <c r="PRV33" s="13"/>
      <c r="PRW33" s="13"/>
      <c r="PRX33" s="13"/>
      <c r="PRY33" s="13"/>
      <c r="PRZ33" s="13"/>
      <c r="PSA33" s="13"/>
      <c r="PSB33" s="13"/>
      <c r="PSC33" s="13"/>
      <c r="PSD33" s="13"/>
      <c r="PSE33" s="13"/>
      <c r="PSF33" s="13"/>
      <c r="PSG33" s="13"/>
      <c r="PSH33" s="13"/>
      <c r="PSI33" s="13"/>
      <c r="PSJ33" s="13"/>
      <c r="PSK33" s="13"/>
      <c r="PSL33" s="13"/>
      <c r="PSM33" s="13"/>
      <c r="PSN33" s="13"/>
      <c r="PSO33" s="13"/>
      <c r="PSP33" s="13"/>
      <c r="PSQ33" s="13"/>
      <c r="PSR33" s="13"/>
      <c r="PSS33" s="13"/>
      <c r="PST33" s="13"/>
      <c r="PSU33" s="13"/>
      <c r="PSV33" s="13"/>
      <c r="PSW33" s="13"/>
      <c r="PSX33" s="13"/>
      <c r="PSY33" s="13"/>
      <c r="PSZ33" s="13"/>
      <c r="PTA33" s="13"/>
      <c r="PTB33" s="13"/>
      <c r="PTC33" s="13"/>
      <c r="PTD33" s="13"/>
      <c r="PTE33" s="13"/>
      <c r="PTF33" s="13"/>
      <c r="PTG33" s="13"/>
      <c r="PTH33" s="13"/>
      <c r="PTI33" s="13"/>
      <c r="PTJ33" s="13"/>
      <c r="PTK33" s="13"/>
      <c r="PTL33" s="13"/>
      <c r="PTM33" s="13"/>
      <c r="PTN33" s="13"/>
      <c r="PTO33" s="13"/>
      <c r="PTP33" s="13"/>
      <c r="PTQ33" s="13"/>
      <c r="PTR33" s="13"/>
      <c r="PTS33" s="13"/>
      <c r="PTT33" s="13"/>
      <c r="PTU33" s="13"/>
      <c r="PTV33" s="13"/>
      <c r="PTW33" s="13"/>
      <c r="PTX33" s="13"/>
      <c r="PTY33" s="13"/>
      <c r="PTZ33" s="13"/>
      <c r="PUA33" s="13"/>
      <c r="PUB33" s="13"/>
      <c r="PUC33" s="13"/>
      <c r="PUD33" s="13"/>
      <c r="PUE33" s="13"/>
      <c r="PUF33" s="13"/>
      <c r="PUG33" s="13"/>
      <c r="PUH33" s="13"/>
      <c r="PUI33" s="13"/>
      <c r="PUJ33" s="13"/>
      <c r="PUK33" s="13"/>
      <c r="PUL33" s="13"/>
      <c r="PUM33" s="13"/>
      <c r="PUN33" s="13"/>
      <c r="PUO33" s="13"/>
      <c r="PUP33" s="13"/>
      <c r="PUQ33" s="13"/>
      <c r="PUR33" s="13"/>
      <c r="PUS33" s="13"/>
      <c r="PUT33" s="13"/>
      <c r="PUU33" s="13"/>
      <c r="PUV33" s="13"/>
      <c r="PUW33" s="13"/>
      <c r="PUX33" s="13"/>
      <c r="PUY33" s="13"/>
      <c r="PUZ33" s="13"/>
      <c r="PVA33" s="13"/>
      <c r="PVB33" s="13"/>
      <c r="PVC33" s="13"/>
      <c r="PVD33" s="13"/>
      <c r="PVE33" s="13"/>
      <c r="PVF33" s="13"/>
      <c r="PVG33" s="13"/>
      <c r="PVH33" s="13"/>
      <c r="PVI33" s="13"/>
      <c r="PVJ33" s="13"/>
      <c r="PVK33" s="13"/>
      <c r="PVL33" s="13"/>
      <c r="PVM33" s="13"/>
      <c r="PVN33" s="13"/>
      <c r="PVO33" s="13"/>
      <c r="PVP33" s="13"/>
      <c r="PVQ33" s="13"/>
      <c r="PVR33" s="13"/>
      <c r="PVS33" s="13"/>
      <c r="PVT33" s="13"/>
      <c r="PVU33" s="13"/>
      <c r="PVV33" s="13"/>
      <c r="PVW33" s="13"/>
      <c r="PVX33" s="13"/>
      <c r="PVY33" s="13"/>
      <c r="PVZ33" s="13"/>
      <c r="PWA33" s="13"/>
      <c r="PWB33" s="13"/>
      <c r="PWC33" s="13"/>
      <c r="PWD33" s="13"/>
      <c r="PWE33" s="13"/>
      <c r="PWF33" s="13"/>
      <c r="PWG33" s="13"/>
      <c r="PWH33" s="13"/>
      <c r="PWI33" s="13"/>
      <c r="PWJ33" s="13"/>
      <c r="PWK33" s="13"/>
      <c r="PWL33" s="13"/>
      <c r="PWM33" s="13"/>
      <c r="PWN33" s="13"/>
      <c r="PWO33" s="13"/>
      <c r="PWP33" s="13"/>
      <c r="PWQ33" s="13"/>
      <c r="PWR33" s="13"/>
      <c r="PWS33" s="13"/>
      <c r="PWT33" s="13"/>
      <c r="PWU33" s="13"/>
      <c r="PWV33" s="13"/>
      <c r="PWW33" s="13"/>
      <c r="PWX33" s="13"/>
      <c r="PWY33" s="13"/>
      <c r="PWZ33" s="13"/>
      <c r="PXA33" s="13"/>
      <c r="PXB33" s="13"/>
      <c r="PXC33" s="13"/>
      <c r="PXD33" s="13"/>
      <c r="PXE33" s="13"/>
      <c r="PXF33" s="13"/>
      <c r="PXG33" s="13"/>
      <c r="PXH33" s="13"/>
      <c r="PXI33" s="13"/>
      <c r="PXJ33" s="13"/>
      <c r="PXK33" s="13"/>
      <c r="PXL33" s="13"/>
      <c r="PXM33" s="13"/>
      <c r="PXN33" s="13"/>
      <c r="PXO33" s="13"/>
      <c r="PXP33" s="13"/>
      <c r="PXQ33" s="13"/>
      <c r="PXR33" s="13"/>
      <c r="PXS33" s="13"/>
      <c r="PXT33" s="13"/>
      <c r="PXU33" s="13"/>
      <c r="PXV33" s="13"/>
      <c r="PXW33" s="13"/>
      <c r="PXX33" s="13"/>
      <c r="PXY33" s="13"/>
      <c r="PXZ33" s="13"/>
      <c r="PYA33" s="13"/>
      <c r="PYB33" s="13"/>
      <c r="PYC33" s="13"/>
      <c r="PYD33" s="13"/>
      <c r="PYE33" s="13"/>
      <c r="PYF33" s="13"/>
      <c r="PYG33" s="13"/>
      <c r="PYH33" s="13"/>
      <c r="PYI33" s="13"/>
      <c r="PYJ33" s="13"/>
      <c r="PYK33" s="13"/>
      <c r="PYL33" s="13"/>
      <c r="PYM33" s="13"/>
      <c r="PYN33" s="13"/>
      <c r="PYO33" s="13"/>
      <c r="PYP33" s="13"/>
      <c r="PYQ33" s="13"/>
      <c r="PYR33" s="13"/>
      <c r="PYS33" s="13"/>
      <c r="PYT33" s="13"/>
      <c r="PYU33" s="13"/>
      <c r="PYV33" s="13"/>
      <c r="PYW33" s="13"/>
      <c r="PYX33" s="13"/>
      <c r="PYY33" s="13"/>
      <c r="PYZ33" s="13"/>
      <c r="PZA33" s="13"/>
      <c r="PZB33" s="13"/>
      <c r="PZC33" s="13"/>
      <c r="PZD33" s="13"/>
      <c r="PZE33" s="13"/>
      <c r="PZF33" s="13"/>
      <c r="PZG33" s="13"/>
      <c r="PZH33" s="13"/>
      <c r="PZI33" s="13"/>
      <c r="PZJ33" s="13"/>
      <c r="PZK33" s="13"/>
      <c r="PZL33" s="13"/>
      <c r="PZM33" s="13"/>
      <c r="PZN33" s="13"/>
      <c r="PZO33" s="13"/>
      <c r="PZP33" s="13"/>
      <c r="PZQ33" s="13"/>
      <c r="PZR33" s="13"/>
      <c r="PZS33" s="13"/>
      <c r="PZT33" s="13"/>
      <c r="PZU33" s="13"/>
      <c r="PZV33" s="13"/>
      <c r="PZW33" s="13"/>
      <c r="PZX33" s="13"/>
      <c r="PZY33" s="13"/>
      <c r="PZZ33" s="13"/>
      <c r="QAA33" s="13"/>
      <c r="QAB33" s="13"/>
      <c r="QAC33" s="13"/>
      <c r="QAD33" s="13"/>
      <c r="QAE33" s="13"/>
      <c r="QAF33" s="13"/>
      <c r="QAG33" s="13"/>
      <c r="QAH33" s="13"/>
      <c r="QAI33" s="13"/>
      <c r="QAJ33" s="13"/>
      <c r="QAK33" s="13"/>
      <c r="QAL33" s="13"/>
      <c r="QAM33" s="13"/>
      <c r="QAN33" s="13"/>
      <c r="QAO33" s="13"/>
      <c r="QAP33" s="13"/>
      <c r="QAQ33" s="13"/>
      <c r="QAR33" s="13"/>
      <c r="QAS33" s="13"/>
      <c r="QAT33" s="13"/>
      <c r="QAU33" s="13"/>
      <c r="QAV33" s="13"/>
      <c r="QAW33" s="13"/>
      <c r="QAX33" s="13"/>
      <c r="QAY33" s="13"/>
      <c r="QAZ33" s="13"/>
      <c r="QBA33" s="13"/>
      <c r="QBB33" s="13"/>
      <c r="QBC33" s="13"/>
      <c r="QBD33" s="13"/>
      <c r="QBE33" s="13"/>
      <c r="QBF33" s="13"/>
      <c r="QBG33" s="13"/>
      <c r="QBH33" s="13"/>
      <c r="QBI33" s="13"/>
      <c r="QBJ33" s="13"/>
      <c r="QBK33" s="13"/>
      <c r="QBL33" s="13"/>
      <c r="QBM33" s="13"/>
      <c r="QBN33" s="13"/>
      <c r="QBO33" s="13"/>
      <c r="QBP33" s="13"/>
      <c r="QBQ33" s="13"/>
      <c r="QBR33" s="13"/>
      <c r="QBS33" s="13"/>
      <c r="QBT33" s="13"/>
      <c r="QBU33" s="13"/>
      <c r="QBV33" s="13"/>
      <c r="QBW33" s="13"/>
      <c r="QBX33" s="13"/>
      <c r="QBY33" s="13"/>
      <c r="QBZ33" s="13"/>
      <c r="QCA33" s="13"/>
      <c r="QCB33" s="13"/>
      <c r="QCC33" s="13"/>
      <c r="QCD33" s="13"/>
      <c r="QCE33" s="13"/>
      <c r="QCF33" s="13"/>
      <c r="QCG33" s="13"/>
      <c r="QCH33" s="13"/>
      <c r="QCI33" s="13"/>
      <c r="QCJ33" s="13"/>
      <c r="QCK33" s="13"/>
      <c r="QCL33" s="13"/>
      <c r="QCM33" s="13"/>
      <c r="QCN33" s="13"/>
      <c r="QCO33" s="13"/>
      <c r="QCP33" s="13"/>
      <c r="QCQ33" s="13"/>
      <c r="QCR33" s="13"/>
      <c r="QCS33" s="13"/>
      <c r="QCT33" s="13"/>
      <c r="QCU33" s="13"/>
      <c r="QCV33" s="13"/>
      <c r="QCW33" s="13"/>
      <c r="QCX33" s="13"/>
      <c r="QCY33" s="13"/>
      <c r="QCZ33" s="13"/>
      <c r="QDA33" s="13"/>
      <c r="QDB33" s="13"/>
      <c r="QDC33" s="13"/>
      <c r="QDD33" s="13"/>
      <c r="QDE33" s="13"/>
      <c r="QDF33" s="13"/>
      <c r="QDG33" s="13"/>
      <c r="QDH33" s="13"/>
      <c r="QDI33" s="13"/>
      <c r="QDJ33" s="13"/>
      <c r="QDK33" s="13"/>
      <c r="QDL33" s="13"/>
      <c r="QDM33" s="13"/>
      <c r="QDN33" s="13"/>
      <c r="QDO33" s="13"/>
      <c r="QDP33" s="13"/>
      <c r="QDQ33" s="13"/>
      <c r="QDR33" s="13"/>
      <c r="QDS33" s="13"/>
      <c r="QDT33" s="13"/>
      <c r="QDU33" s="13"/>
      <c r="QDV33" s="13"/>
      <c r="QDW33" s="13"/>
      <c r="QDX33" s="13"/>
      <c r="QDY33" s="13"/>
      <c r="QDZ33" s="13"/>
      <c r="QEA33" s="13"/>
      <c r="QEB33" s="13"/>
      <c r="QEC33" s="13"/>
      <c r="QED33" s="13"/>
      <c r="QEE33" s="13"/>
      <c r="QEF33" s="13"/>
      <c r="QEG33" s="13"/>
      <c r="QEH33" s="13"/>
      <c r="QEI33" s="13"/>
      <c r="QEJ33" s="13"/>
      <c r="QEK33" s="13"/>
      <c r="QEL33" s="13"/>
      <c r="QEM33" s="13"/>
      <c r="QEN33" s="13"/>
      <c r="QEO33" s="13"/>
      <c r="QEP33" s="13"/>
      <c r="QEQ33" s="13"/>
      <c r="QER33" s="13"/>
      <c r="QES33" s="13"/>
      <c r="QET33" s="13"/>
      <c r="QEU33" s="13"/>
      <c r="QEV33" s="13"/>
      <c r="QEW33" s="13"/>
      <c r="QEX33" s="13"/>
      <c r="QEY33" s="13"/>
      <c r="QEZ33" s="13"/>
      <c r="QFA33" s="13"/>
      <c r="QFB33" s="13"/>
      <c r="QFC33" s="13"/>
      <c r="QFD33" s="13"/>
      <c r="QFE33" s="13"/>
      <c r="QFF33" s="13"/>
      <c r="QFG33" s="13"/>
      <c r="QFH33" s="13"/>
      <c r="QFI33" s="13"/>
      <c r="QFJ33" s="13"/>
      <c r="QFK33" s="13"/>
      <c r="QFL33" s="13"/>
      <c r="QFM33" s="13"/>
      <c r="QFN33" s="13"/>
      <c r="QFO33" s="13"/>
      <c r="QFP33" s="13"/>
      <c r="QFQ33" s="13"/>
      <c r="QFR33" s="13"/>
      <c r="QFS33" s="13"/>
      <c r="QFT33" s="13"/>
      <c r="QFU33" s="13"/>
      <c r="QFV33" s="13"/>
      <c r="QFW33" s="13"/>
      <c r="QFX33" s="13"/>
      <c r="QFY33" s="13"/>
      <c r="QFZ33" s="13"/>
      <c r="QGA33" s="13"/>
      <c r="QGB33" s="13"/>
      <c r="QGC33" s="13"/>
      <c r="QGD33" s="13"/>
      <c r="QGE33" s="13"/>
      <c r="QGF33" s="13"/>
      <c r="QGG33" s="13"/>
      <c r="QGH33" s="13"/>
      <c r="QGI33" s="13"/>
      <c r="QGJ33" s="13"/>
      <c r="QGK33" s="13"/>
      <c r="QGL33" s="13"/>
      <c r="QGM33" s="13"/>
      <c r="QGN33" s="13"/>
      <c r="QGO33" s="13"/>
      <c r="QGP33" s="13"/>
      <c r="QGQ33" s="13"/>
      <c r="QGR33" s="13"/>
      <c r="QGS33" s="13"/>
      <c r="QGT33" s="13"/>
      <c r="QGU33" s="13"/>
      <c r="QGV33" s="13"/>
      <c r="QGW33" s="13"/>
      <c r="QGX33" s="13"/>
      <c r="QGY33" s="13"/>
      <c r="QGZ33" s="13"/>
      <c r="QHA33" s="13"/>
      <c r="QHB33" s="13"/>
      <c r="QHC33" s="13"/>
      <c r="QHD33" s="13"/>
      <c r="QHE33" s="13"/>
      <c r="QHF33" s="13"/>
      <c r="QHG33" s="13"/>
      <c r="QHH33" s="13"/>
      <c r="QHI33" s="13"/>
      <c r="QHJ33" s="13"/>
      <c r="QHK33" s="13"/>
      <c r="QHL33" s="13"/>
      <c r="QHM33" s="13"/>
      <c r="QHN33" s="13"/>
      <c r="QHO33" s="13"/>
      <c r="QHP33" s="13"/>
      <c r="QHQ33" s="13"/>
      <c r="QHR33" s="13"/>
      <c r="QHS33" s="13"/>
      <c r="QHT33" s="13"/>
      <c r="QHU33" s="13"/>
      <c r="QHV33" s="13"/>
      <c r="QHW33" s="13"/>
      <c r="QHX33" s="13"/>
      <c r="QHY33" s="13"/>
      <c r="QHZ33" s="13"/>
      <c r="QIA33" s="13"/>
      <c r="QIB33" s="13"/>
      <c r="QIC33" s="13"/>
      <c r="QID33" s="13"/>
      <c r="QIE33" s="13"/>
      <c r="QIF33" s="13"/>
      <c r="QIG33" s="13"/>
      <c r="QIH33" s="13"/>
      <c r="QII33" s="13"/>
      <c r="QIJ33" s="13"/>
      <c r="QIK33" s="13"/>
      <c r="QIL33" s="13"/>
      <c r="QIM33" s="13"/>
      <c r="QIN33" s="13"/>
      <c r="QIO33" s="13"/>
      <c r="QIP33" s="13"/>
      <c r="QIQ33" s="13"/>
      <c r="QIR33" s="13"/>
      <c r="QIS33" s="13"/>
      <c r="QIT33" s="13"/>
      <c r="QIU33" s="13"/>
      <c r="QIV33" s="13"/>
      <c r="QIW33" s="13"/>
      <c r="QIX33" s="13"/>
      <c r="QIY33" s="13"/>
      <c r="QIZ33" s="13"/>
      <c r="QJA33" s="13"/>
      <c r="QJB33" s="13"/>
      <c r="QJC33" s="13"/>
      <c r="QJD33" s="13"/>
      <c r="QJE33" s="13"/>
      <c r="QJF33" s="13"/>
      <c r="QJG33" s="13"/>
      <c r="QJH33" s="13"/>
      <c r="QJI33" s="13"/>
      <c r="QJJ33" s="13"/>
      <c r="QJK33" s="13"/>
      <c r="QJL33" s="13"/>
      <c r="QJM33" s="13"/>
      <c r="QJN33" s="13"/>
      <c r="QJO33" s="13"/>
      <c r="QJP33" s="13"/>
      <c r="QJQ33" s="13"/>
      <c r="QJR33" s="13"/>
      <c r="QJS33" s="13"/>
      <c r="QJT33" s="13"/>
      <c r="QJU33" s="13"/>
      <c r="QJV33" s="13"/>
      <c r="QJW33" s="13"/>
      <c r="QJX33" s="13"/>
      <c r="QJY33" s="13"/>
      <c r="QJZ33" s="13"/>
      <c r="QKA33" s="13"/>
      <c r="QKB33" s="13"/>
      <c r="QKC33" s="13"/>
      <c r="QKD33" s="13"/>
      <c r="QKE33" s="13"/>
      <c r="QKF33" s="13"/>
      <c r="QKG33" s="13"/>
      <c r="QKH33" s="13"/>
      <c r="QKI33" s="13"/>
      <c r="QKJ33" s="13"/>
      <c r="QKK33" s="13"/>
      <c r="QKL33" s="13"/>
      <c r="QKM33" s="13"/>
      <c r="QKN33" s="13"/>
      <c r="QKO33" s="13"/>
      <c r="QKP33" s="13"/>
      <c r="QKQ33" s="13"/>
      <c r="QKR33" s="13"/>
      <c r="QKS33" s="13"/>
      <c r="QKT33" s="13"/>
      <c r="QKU33" s="13"/>
      <c r="QKV33" s="13"/>
      <c r="QKW33" s="13"/>
      <c r="QKX33" s="13"/>
      <c r="QKY33" s="13"/>
      <c r="QKZ33" s="13"/>
      <c r="QLA33" s="13"/>
      <c r="QLB33" s="13"/>
      <c r="QLC33" s="13"/>
      <c r="QLD33" s="13"/>
      <c r="QLE33" s="13"/>
      <c r="QLF33" s="13"/>
      <c r="QLG33" s="13"/>
      <c r="QLH33" s="13"/>
      <c r="QLI33" s="13"/>
      <c r="QLJ33" s="13"/>
      <c r="QLK33" s="13"/>
      <c r="QLL33" s="13"/>
      <c r="QLM33" s="13"/>
      <c r="QLN33" s="13"/>
      <c r="QLO33" s="13"/>
      <c r="QLP33" s="13"/>
      <c r="QLQ33" s="13"/>
      <c r="QLR33" s="13"/>
      <c r="QLS33" s="13"/>
      <c r="QLT33" s="13"/>
      <c r="QLU33" s="13"/>
      <c r="QLV33" s="13"/>
      <c r="QLW33" s="13"/>
      <c r="QLX33" s="13"/>
      <c r="QLY33" s="13"/>
      <c r="QLZ33" s="13"/>
      <c r="QMA33" s="13"/>
      <c r="QMB33" s="13"/>
      <c r="QMC33" s="13"/>
      <c r="QMD33" s="13"/>
      <c r="QME33" s="13"/>
      <c r="QMF33" s="13"/>
      <c r="QMG33" s="13"/>
      <c r="QMH33" s="13"/>
      <c r="QMI33" s="13"/>
      <c r="QMJ33" s="13"/>
      <c r="QMK33" s="13"/>
      <c r="QML33" s="13"/>
      <c r="QMM33" s="13"/>
      <c r="QMN33" s="13"/>
      <c r="QMO33" s="13"/>
      <c r="QMP33" s="13"/>
      <c r="QMQ33" s="13"/>
      <c r="QMR33" s="13"/>
      <c r="QMS33" s="13"/>
      <c r="QMT33" s="13"/>
      <c r="QMU33" s="13"/>
      <c r="QMV33" s="13"/>
      <c r="QMW33" s="13"/>
      <c r="QMX33" s="13"/>
      <c r="QMY33" s="13"/>
      <c r="QMZ33" s="13"/>
      <c r="QNA33" s="13"/>
      <c r="QNB33" s="13"/>
      <c r="QNC33" s="13"/>
      <c r="QND33" s="13"/>
      <c r="QNE33" s="13"/>
      <c r="QNF33" s="13"/>
      <c r="QNG33" s="13"/>
      <c r="QNH33" s="13"/>
      <c r="QNI33" s="13"/>
      <c r="QNJ33" s="13"/>
      <c r="QNK33" s="13"/>
      <c r="QNL33" s="13"/>
      <c r="QNM33" s="13"/>
      <c r="QNN33" s="13"/>
      <c r="QNO33" s="13"/>
      <c r="QNP33" s="13"/>
      <c r="QNQ33" s="13"/>
      <c r="QNR33" s="13"/>
      <c r="QNS33" s="13"/>
      <c r="QNT33" s="13"/>
      <c r="QNU33" s="13"/>
      <c r="QNV33" s="13"/>
      <c r="QNW33" s="13"/>
      <c r="QNX33" s="13"/>
      <c r="QNY33" s="13"/>
      <c r="QNZ33" s="13"/>
      <c r="QOA33" s="13"/>
      <c r="QOB33" s="13"/>
      <c r="QOC33" s="13"/>
      <c r="QOD33" s="13"/>
      <c r="QOE33" s="13"/>
      <c r="QOF33" s="13"/>
      <c r="QOG33" s="13"/>
      <c r="QOH33" s="13"/>
      <c r="QOI33" s="13"/>
      <c r="QOJ33" s="13"/>
      <c r="QOK33" s="13"/>
      <c r="QOL33" s="13"/>
      <c r="QOM33" s="13"/>
      <c r="QON33" s="13"/>
      <c r="QOO33" s="13"/>
      <c r="QOP33" s="13"/>
      <c r="QOQ33" s="13"/>
      <c r="QOR33" s="13"/>
      <c r="QOS33" s="13"/>
      <c r="QOT33" s="13"/>
      <c r="QOU33" s="13"/>
      <c r="QOV33" s="13"/>
      <c r="QOW33" s="13"/>
      <c r="QOX33" s="13"/>
      <c r="QOY33" s="13"/>
      <c r="QOZ33" s="13"/>
      <c r="QPA33" s="13"/>
      <c r="QPB33" s="13"/>
      <c r="QPC33" s="13"/>
      <c r="QPD33" s="13"/>
      <c r="QPE33" s="13"/>
      <c r="QPF33" s="13"/>
      <c r="QPG33" s="13"/>
      <c r="QPH33" s="13"/>
      <c r="QPI33" s="13"/>
      <c r="QPJ33" s="13"/>
      <c r="QPK33" s="13"/>
      <c r="QPL33" s="13"/>
      <c r="QPM33" s="13"/>
      <c r="QPN33" s="13"/>
      <c r="QPO33" s="13"/>
      <c r="QPP33" s="13"/>
      <c r="QPQ33" s="13"/>
      <c r="QPR33" s="13"/>
      <c r="QPS33" s="13"/>
      <c r="QPT33" s="13"/>
      <c r="QPU33" s="13"/>
      <c r="QPV33" s="13"/>
      <c r="QPW33" s="13"/>
      <c r="QPX33" s="13"/>
      <c r="QPY33" s="13"/>
      <c r="QPZ33" s="13"/>
      <c r="QQA33" s="13"/>
      <c r="QQB33" s="13"/>
      <c r="QQC33" s="13"/>
      <c r="QQD33" s="13"/>
      <c r="QQE33" s="13"/>
      <c r="QQF33" s="13"/>
      <c r="QQG33" s="13"/>
      <c r="QQH33" s="13"/>
      <c r="QQI33" s="13"/>
      <c r="QQJ33" s="13"/>
      <c r="QQK33" s="13"/>
      <c r="QQL33" s="13"/>
      <c r="QQM33" s="13"/>
      <c r="QQN33" s="13"/>
      <c r="QQO33" s="13"/>
      <c r="QQP33" s="13"/>
      <c r="QQQ33" s="13"/>
      <c r="QQR33" s="13"/>
      <c r="QQS33" s="13"/>
      <c r="QQT33" s="13"/>
      <c r="QQU33" s="13"/>
      <c r="QQV33" s="13"/>
      <c r="QQW33" s="13"/>
      <c r="QQX33" s="13"/>
      <c r="QQY33" s="13"/>
      <c r="QQZ33" s="13"/>
      <c r="QRA33" s="13"/>
      <c r="QRB33" s="13"/>
      <c r="QRC33" s="13"/>
      <c r="QRD33" s="13"/>
      <c r="QRE33" s="13"/>
      <c r="QRF33" s="13"/>
      <c r="QRG33" s="13"/>
      <c r="QRH33" s="13"/>
      <c r="QRI33" s="13"/>
      <c r="QRJ33" s="13"/>
      <c r="QRK33" s="13"/>
      <c r="QRL33" s="13"/>
      <c r="QRM33" s="13"/>
      <c r="QRN33" s="13"/>
      <c r="QRO33" s="13"/>
      <c r="QRP33" s="13"/>
      <c r="QRQ33" s="13"/>
      <c r="QRR33" s="13"/>
      <c r="QRS33" s="13"/>
      <c r="QRT33" s="13"/>
      <c r="QRU33" s="13"/>
      <c r="QRV33" s="13"/>
      <c r="QRW33" s="13"/>
      <c r="QRX33" s="13"/>
      <c r="QRY33" s="13"/>
      <c r="QRZ33" s="13"/>
      <c r="QSA33" s="13"/>
      <c r="QSB33" s="13"/>
      <c r="QSC33" s="13"/>
      <c r="QSD33" s="13"/>
      <c r="QSE33" s="13"/>
      <c r="QSF33" s="13"/>
      <c r="QSG33" s="13"/>
      <c r="QSH33" s="13"/>
      <c r="QSI33" s="13"/>
      <c r="QSJ33" s="13"/>
      <c r="QSK33" s="13"/>
      <c r="QSL33" s="13"/>
      <c r="QSM33" s="13"/>
      <c r="QSN33" s="13"/>
      <c r="QSO33" s="13"/>
      <c r="QSP33" s="13"/>
      <c r="QSQ33" s="13"/>
      <c r="QSR33" s="13"/>
      <c r="QSS33" s="13"/>
      <c r="QST33" s="13"/>
      <c r="QSU33" s="13"/>
      <c r="QSV33" s="13"/>
      <c r="QSW33" s="13"/>
      <c r="QSX33" s="13"/>
      <c r="QSY33" s="13"/>
      <c r="QSZ33" s="13"/>
      <c r="QTA33" s="13"/>
      <c r="QTB33" s="13"/>
      <c r="QTC33" s="13"/>
      <c r="QTD33" s="13"/>
      <c r="QTE33" s="13"/>
      <c r="QTF33" s="13"/>
      <c r="QTG33" s="13"/>
      <c r="QTH33" s="13"/>
      <c r="QTI33" s="13"/>
      <c r="QTJ33" s="13"/>
      <c r="QTK33" s="13"/>
      <c r="QTL33" s="13"/>
      <c r="QTM33" s="13"/>
      <c r="QTN33" s="13"/>
      <c r="QTO33" s="13"/>
      <c r="QTP33" s="13"/>
      <c r="QTQ33" s="13"/>
      <c r="QTR33" s="13"/>
      <c r="QTS33" s="13"/>
      <c r="QTT33" s="13"/>
      <c r="QTU33" s="13"/>
      <c r="QTV33" s="13"/>
      <c r="QTW33" s="13"/>
      <c r="QTX33" s="13"/>
      <c r="QTY33" s="13"/>
      <c r="QTZ33" s="13"/>
      <c r="QUA33" s="13"/>
      <c r="QUB33" s="13"/>
      <c r="QUC33" s="13"/>
      <c r="QUD33" s="13"/>
      <c r="QUE33" s="13"/>
      <c r="QUF33" s="13"/>
      <c r="QUG33" s="13"/>
      <c r="QUH33" s="13"/>
      <c r="QUI33" s="13"/>
      <c r="QUJ33" s="13"/>
      <c r="QUK33" s="13"/>
      <c r="QUL33" s="13"/>
      <c r="QUM33" s="13"/>
      <c r="QUN33" s="13"/>
      <c r="QUO33" s="13"/>
      <c r="QUP33" s="13"/>
      <c r="QUQ33" s="13"/>
      <c r="QUR33" s="13"/>
      <c r="QUS33" s="13"/>
      <c r="QUT33" s="13"/>
      <c r="QUU33" s="13"/>
      <c r="QUV33" s="13"/>
      <c r="QUW33" s="13"/>
      <c r="QUX33" s="13"/>
      <c r="QUY33" s="13"/>
      <c r="QUZ33" s="13"/>
      <c r="QVA33" s="13"/>
      <c r="QVB33" s="13"/>
      <c r="QVC33" s="13"/>
      <c r="QVD33" s="13"/>
      <c r="QVE33" s="13"/>
      <c r="QVF33" s="13"/>
      <c r="QVG33" s="13"/>
      <c r="QVH33" s="13"/>
      <c r="QVI33" s="13"/>
      <c r="QVJ33" s="13"/>
      <c r="QVK33" s="13"/>
      <c r="QVL33" s="13"/>
      <c r="QVM33" s="13"/>
      <c r="QVN33" s="13"/>
      <c r="QVO33" s="13"/>
      <c r="QVP33" s="13"/>
      <c r="QVQ33" s="13"/>
      <c r="QVR33" s="13"/>
      <c r="QVS33" s="13"/>
      <c r="QVT33" s="13"/>
      <c r="QVU33" s="13"/>
      <c r="QVV33" s="13"/>
      <c r="QVW33" s="13"/>
      <c r="QVX33" s="13"/>
      <c r="QVY33" s="13"/>
      <c r="QVZ33" s="13"/>
      <c r="QWA33" s="13"/>
      <c r="QWB33" s="13"/>
      <c r="QWC33" s="13"/>
      <c r="QWD33" s="13"/>
      <c r="QWE33" s="13"/>
      <c r="QWF33" s="13"/>
      <c r="QWG33" s="13"/>
      <c r="QWH33" s="13"/>
      <c r="QWI33" s="13"/>
      <c r="QWJ33" s="13"/>
      <c r="QWK33" s="13"/>
      <c r="QWL33" s="13"/>
      <c r="QWM33" s="13"/>
      <c r="QWN33" s="13"/>
      <c r="QWO33" s="13"/>
      <c r="QWP33" s="13"/>
      <c r="QWQ33" s="13"/>
      <c r="QWR33" s="13"/>
      <c r="QWS33" s="13"/>
      <c r="QWT33" s="13"/>
      <c r="QWU33" s="13"/>
      <c r="QWV33" s="13"/>
      <c r="QWW33" s="13"/>
      <c r="QWX33" s="13"/>
      <c r="QWY33" s="13"/>
      <c r="QWZ33" s="13"/>
      <c r="QXA33" s="13"/>
      <c r="QXB33" s="13"/>
      <c r="QXC33" s="13"/>
      <c r="QXD33" s="13"/>
      <c r="QXE33" s="13"/>
      <c r="QXF33" s="13"/>
      <c r="QXG33" s="13"/>
      <c r="QXH33" s="13"/>
      <c r="QXI33" s="13"/>
      <c r="QXJ33" s="13"/>
      <c r="QXK33" s="13"/>
      <c r="QXL33" s="13"/>
      <c r="QXM33" s="13"/>
      <c r="QXN33" s="13"/>
      <c r="QXO33" s="13"/>
      <c r="QXP33" s="13"/>
      <c r="QXQ33" s="13"/>
      <c r="QXR33" s="13"/>
      <c r="QXS33" s="13"/>
      <c r="QXT33" s="13"/>
      <c r="QXU33" s="13"/>
      <c r="QXV33" s="13"/>
      <c r="QXW33" s="13"/>
      <c r="QXX33" s="13"/>
      <c r="QXY33" s="13"/>
      <c r="QXZ33" s="13"/>
      <c r="QYA33" s="13"/>
      <c r="QYB33" s="13"/>
      <c r="QYC33" s="13"/>
      <c r="QYD33" s="13"/>
      <c r="QYE33" s="13"/>
      <c r="QYF33" s="13"/>
      <c r="QYG33" s="13"/>
      <c r="QYH33" s="13"/>
      <c r="QYI33" s="13"/>
      <c r="QYJ33" s="13"/>
      <c r="QYK33" s="13"/>
      <c r="QYL33" s="13"/>
      <c r="QYM33" s="13"/>
      <c r="QYN33" s="13"/>
      <c r="QYO33" s="13"/>
      <c r="QYP33" s="13"/>
      <c r="QYQ33" s="13"/>
      <c r="QYR33" s="13"/>
      <c r="QYS33" s="13"/>
      <c r="QYT33" s="13"/>
      <c r="QYU33" s="13"/>
      <c r="QYV33" s="13"/>
      <c r="QYW33" s="13"/>
      <c r="QYX33" s="13"/>
      <c r="QYY33" s="13"/>
      <c r="QYZ33" s="13"/>
      <c r="QZA33" s="13"/>
      <c r="QZB33" s="13"/>
      <c r="QZC33" s="13"/>
      <c r="QZD33" s="13"/>
      <c r="QZE33" s="13"/>
      <c r="QZF33" s="13"/>
      <c r="QZG33" s="13"/>
      <c r="QZH33" s="13"/>
      <c r="QZI33" s="13"/>
      <c r="QZJ33" s="13"/>
      <c r="QZK33" s="13"/>
      <c r="QZL33" s="13"/>
      <c r="QZM33" s="13"/>
      <c r="QZN33" s="13"/>
      <c r="QZO33" s="13"/>
      <c r="QZP33" s="13"/>
      <c r="QZQ33" s="13"/>
      <c r="QZR33" s="13"/>
      <c r="QZS33" s="13"/>
      <c r="QZT33" s="13"/>
      <c r="QZU33" s="13"/>
      <c r="QZV33" s="13"/>
      <c r="QZW33" s="13"/>
      <c r="QZX33" s="13"/>
      <c r="QZY33" s="13"/>
      <c r="QZZ33" s="13"/>
      <c r="RAA33" s="13"/>
      <c r="RAB33" s="13"/>
      <c r="RAC33" s="13"/>
      <c r="RAD33" s="13"/>
      <c r="RAE33" s="13"/>
      <c r="RAF33" s="13"/>
      <c r="RAG33" s="13"/>
      <c r="RAH33" s="13"/>
      <c r="RAI33" s="13"/>
      <c r="RAJ33" s="13"/>
      <c r="RAK33" s="13"/>
      <c r="RAL33" s="13"/>
      <c r="RAM33" s="13"/>
      <c r="RAN33" s="13"/>
      <c r="RAO33" s="13"/>
      <c r="RAP33" s="13"/>
      <c r="RAQ33" s="13"/>
      <c r="RAR33" s="13"/>
      <c r="RAS33" s="13"/>
      <c r="RAT33" s="13"/>
      <c r="RAU33" s="13"/>
      <c r="RAV33" s="13"/>
      <c r="RAW33" s="13"/>
      <c r="RAX33" s="13"/>
      <c r="RAY33" s="13"/>
      <c r="RAZ33" s="13"/>
      <c r="RBA33" s="13"/>
      <c r="RBB33" s="13"/>
      <c r="RBC33" s="13"/>
      <c r="RBD33" s="13"/>
      <c r="RBE33" s="13"/>
      <c r="RBF33" s="13"/>
      <c r="RBG33" s="13"/>
      <c r="RBH33" s="13"/>
      <c r="RBI33" s="13"/>
      <c r="RBJ33" s="13"/>
      <c r="RBK33" s="13"/>
      <c r="RBL33" s="13"/>
      <c r="RBM33" s="13"/>
      <c r="RBN33" s="13"/>
      <c r="RBO33" s="13"/>
      <c r="RBP33" s="13"/>
      <c r="RBQ33" s="13"/>
      <c r="RBR33" s="13"/>
      <c r="RBS33" s="13"/>
      <c r="RBT33" s="13"/>
      <c r="RBU33" s="13"/>
      <c r="RBV33" s="13"/>
      <c r="RBW33" s="13"/>
      <c r="RBX33" s="13"/>
      <c r="RBY33" s="13"/>
      <c r="RBZ33" s="13"/>
      <c r="RCA33" s="13"/>
      <c r="RCB33" s="13"/>
      <c r="RCC33" s="13"/>
      <c r="RCD33" s="13"/>
      <c r="RCE33" s="13"/>
      <c r="RCF33" s="13"/>
      <c r="RCG33" s="13"/>
      <c r="RCH33" s="13"/>
      <c r="RCI33" s="13"/>
      <c r="RCJ33" s="13"/>
      <c r="RCK33" s="13"/>
      <c r="RCL33" s="13"/>
      <c r="RCM33" s="13"/>
      <c r="RCN33" s="13"/>
      <c r="RCO33" s="13"/>
      <c r="RCP33" s="13"/>
      <c r="RCQ33" s="13"/>
      <c r="RCR33" s="13"/>
      <c r="RCS33" s="13"/>
      <c r="RCT33" s="13"/>
      <c r="RCU33" s="13"/>
      <c r="RCV33" s="13"/>
      <c r="RCW33" s="13"/>
      <c r="RCX33" s="13"/>
      <c r="RCY33" s="13"/>
      <c r="RCZ33" s="13"/>
      <c r="RDA33" s="13"/>
      <c r="RDB33" s="13"/>
      <c r="RDC33" s="13"/>
      <c r="RDD33" s="13"/>
      <c r="RDE33" s="13"/>
      <c r="RDF33" s="13"/>
      <c r="RDG33" s="13"/>
      <c r="RDH33" s="13"/>
      <c r="RDI33" s="13"/>
      <c r="RDJ33" s="13"/>
      <c r="RDK33" s="13"/>
      <c r="RDL33" s="13"/>
      <c r="RDM33" s="13"/>
      <c r="RDN33" s="13"/>
      <c r="RDO33" s="13"/>
      <c r="RDP33" s="13"/>
      <c r="RDQ33" s="13"/>
      <c r="RDR33" s="13"/>
      <c r="RDS33" s="13"/>
      <c r="RDT33" s="13"/>
      <c r="RDU33" s="13"/>
      <c r="RDV33" s="13"/>
      <c r="RDW33" s="13"/>
      <c r="RDX33" s="13"/>
      <c r="RDY33" s="13"/>
      <c r="RDZ33" s="13"/>
      <c r="REA33" s="13"/>
      <c r="REB33" s="13"/>
      <c r="REC33" s="13"/>
      <c r="RED33" s="13"/>
      <c r="REE33" s="13"/>
      <c r="REF33" s="13"/>
      <c r="REG33" s="13"/>
      <c r="REH33" s="13"/>
      <c r="REI33" s="13"/>
      <c r="REJ33" s="13"/>
      <c r="REK33" s="13"/>
      <c r="REL33" s="13"/>
      <c r="REM33" s="13"/>
      <c r="REN33" s="13"/>
      <c r="REO33" s="13"/>
      <c r="REP33" s="13"/>
      <c r="REQ33" s="13"/>
      <c r="RER33" s="13"/>
      <c r="RES33" s="13"/>
      <c r="RET33" s="13"/>
      <c r="REU33" s="13"/>
      <c r="REV33" s="13"/>
      <c r="REW33" s="13"/>
      <c r="REX33" s="13"/>
      <c r="REY33" s="13"/>
      <c r="REZ33" s="13"/>
      <c r="RFA33" s="13"/>
      <c r="RFB33" s="13"/>
      <c r="RFC33" s="13"/>
      <c r="RFD33" s="13"/>
      <c r="RFE33" s="13"/>
      <c r="RFF33" s="13"/>
      <c r="RFG33" s="13"/>
      <c r="RFH33" s="13"/>
      <c r="RFI33" s="13"/>
      <c r="RFJ33" s="13"/>
      <c r="RFK33" s="13"/>
      <c r="RFL33" s="13"/>
      <c r="RFM33" s="13"/>
      <c r="RFN33" s="13"/>
      <c r="RFO33" s="13"/>
      <c r="RFP33" s="13"/>
      <c r="RFQ33" s="13"/>
      <c r="RFR33" s="13"/>
      <c r="RFS33" s="13"/>
      <c r="RFT33" s="13"/>
      <c r="RFU33" s="13"/>
      <c r="RFV33" s="13"/>
      <c r="RFW33" s="13"/>
      <c r="RFX33" s="13"/>
      <c r="RFY33" s="13"/>
      <c r="RFZ33" s="13"/>
      <c r="RGA33" s="13"/>
      <c r="RGB33" s="13"/>
      <c r="RGC33" s="13"/>
      <c r="RGD33" s="13"/>
      <c r="RGE33" s="13"/>
      <c r="RGF33" s="13"/>
      <c r="RGG33" s="13"/>
      <c r="RGH33" s="13"/>
      <c r="RGI33" s="13"/>
      <c r="RGJ33" s="13"/>
      <c r="RGK33" s="13"/>
      <c r="RGL33" s="13"/>
      <c r="RGM33" s="13"/>
      <c r="RGN33" s="13"/>
      <c r="RGO33" s="13"/>
      <c r="RGP33" s="13"/>
      <c r="RGQ33" s="13"/>
      <c r="RGR33" s="13"/>
      <c r="RGS33" s="13"/>
      <c r="RGT33" s="13"/>
      <c r="RGU33" s="13"/>
      <c r="RGV33" s="13"/>
      <c r="RGW33" s="13"/>
      <c r="RGX33" s="13"/>
      <c r="RGY33" s="13"/>
      <c r="RGZ33" s="13"/>
      <c r="RHA33" s="13"/>
      <c r="RHB33" s="13"/>
      <c r="RHC33" s="13"/>
      <c r="RHD33" s="13"/>
      <c r="RHE33" s="13"/>
      <c r="RHF33" s="13"/>
      <c r="RHG33" s="13"/>
      <c r="RHH33" s="13"/>
      <c r="RHI33" s="13"/>
      <c r="RHJ33" s="13"/>
      <c r="RHK33" s="13"/>
      <c r="RHL33" s="13"/>
      <c r="RHM33" s="13"/>
      <c r="RHN33" s="13"/>
      <c r="RHO33" s="13"/>
      <c r="RHP33" s="13"/>
      <c r="RHQ33" s="13"/>
      <c r="RHR33" s="13"/>
      <c r="RHS33" s="13"/>
      <c r="RHT33" s="13"/>
      <c r="RHU33" s="13"/>
      <c r="RHV33" s="13"/>
      <c r="RHW33" s="13"/>
      <c r="RHX33" s="13"/>
      <c r="RHY33" s="13"/>
      <c r="RHZ33" s="13"/>
      <c r="RIA33" s="13"/>
      <c r="RIB33" s="13"/>
      <c r="RIC33" s="13"/>
      <c r="RID33" s="13"/>
      <c r="RIE33" s="13"/>
      <c r="RIF33" s="13"/>
      <c r="RIG33" s="13"/>
      <c r="RIH33" s="13"/>
      <c r="RII33" s="13"/>
      <c r="RIJ33" s="13"/>
      <c r="RIK33" s="13"/>
      <c r="RIL33" s="13"/>
      <c r="RIM33" s="13"/>
      <c r="RIN33" s="13"/>
      <c r="RIO33" s="13"/>
      <c r="RIP33" s="13"/>
      <c r="RIQ33" s="13"/>
      <c r="RIR33" s="13"/>
      <c r="RIS33" s="13"/>
      <c r="RIT33" s="13"/>
      <c r="RIU33" s="13"/>
      <c r="RIV33" s="13"/>
      <c r="RIW33" s="13"/>
      <c r="RIX33" s="13"/>
      <c r="RIY33" s="13"/>
      <c r="RIZ33" s="13"/>
      <c r="RJA33" s="13"/>
      <c r="RJB33" s="13"/>
      <c r="RJC33" s="13"/>
      <c r="RJD33" s="13"/>
      <c r="RJE33" s="13"/>
      <c r="RJF33" s="13"/>
      <c r="RJG33" s="13"/>
      <c r="RJH33" s="13"/>
      <c r="RJI33" s="13"/>
      <c r="RJJ33" s="13"/>
      <c r="RJK33" s="13"/>
      <c r="RJL33" s="13"/>
      <c r="RJM33" s="13"/>
      <c r="RJN33" s="13"/>
      <c r="RJO33" s="13"/>
      <c r="RJP33" s="13"/>
      <c r="RJQ33" s="13"/>
      <c r="RJR33" s="13"/>
      <c r="RJS33" s="13"/>
      <c r="RJT33" s="13"/>
      <c r="RJU33" s="13"/>
      <c r="RJV33" s="13"/>
      <c r="RJW33" s="13"/>
      <c r="RJX33" s="13"/>
      <c r="RJY33" s="13"/>
      <c r="RJZ33" s="13"/>
      <c r="RKA33" s="13"/>
      <c r="RKB33" s="13"/>
      <c r="RKC33" s="13"/>
      <c r="RKD33" s="13"/>
      <c r="RKE33" s="13"/>
      <c r="RKF33" s="13"/>
      <c r="RKG33" s="13"/>
      <c r="RKH33" s="13"/>
      <c r="RKI33" s="13"/>
      <c r="RKJ33" s="13"/>
      <c r="RKK33" s="13"/>
      <c r="RKL33" s="13"/>
      <c r="RKM33" s="13"/>
      <c r="RKN33" s="13"/>
      <c r="RKO33" s="13"/>
      <c r="RKP33" s="13"/>
      <c r="RKQ33" s="13"/>
      <c r="RKR33" s="13"/>
      <c r="RKS33" s="13"/>
      <c r="RKT33" s="13"/>
      <c r="RKU33" s="13"/>
      <c r="RKV33" s="13"/>
      <c r="RKW33" s="13"/>
      <c r="RKX33" s="13"/>
      <c r="RKY33" s="13"/>
      <c r="RKZ33" s="13"/>
      <c r="RLA33" s="13"/>
      <c r="RLB33" s="13"/>
      <c r="RLC33" s="13"/>
      <c r="RLD33" s="13"/>
      <c r="RLE33" s="13"/>
      <c r="RLF33" s="13"/>
      <c r="RLG33" s="13"/>
      <c r="RLH33" s="13"/>
      <c r="RLI33" s="13"/>
      <c r="RLJ33" s="13"/>
      <c r="RLK33" s="13"/>
      <c r="RLL33" s="13"/>
      <c r="RLM33" s="13"/>
      <c r="RLN33" s="13"/>
      <c r="RLO33" s="13"/>
      <c r="RLP33" s="13"/>
      <c r="RLQ33" s="13"/>
      <c r="RLR33" s="13"/>
      <c r="RLS33" s="13"/>
      <c r="RLT33" s="13"/>
      <c r="RLU33" s="13"/>
      <c r="RLV33" s="13"/>
      <c r="RLW33" s="13"/>
      <c r="RLX33" s="13"/>
      <c r="RLY33" s="13"/>
      <c r="RLZ33" s="13"/>
      <c r="RMA33" s="13"/>
      <c r="RMB33" s="13"/>
      <c r="RMC33" s="13"/>
      <c r="RMD33" s="13"/>
      <c r="RME33" s="13"/>
      <c r="RMF33" s="13"/>
      <c r="RMG33" s="13"/>
      <c r="RMH33" s="13"/>
      <c r="RMI33" s="13"/>
      <c r="RMJ33" s="13"/>
      <c r="RMK33" s="13"/>
      <c r="RML33" s="13"/>
      <c r="RMM33" s="13"/>
      <c r="RMN33" s="13"/>
      <c r="RMO33" s="13"/>
      <c r="RMP33" s="13"/>
      <c r="RMQ33" s="13"/>
      <c r="RMR33" s="13"/>
      <c r="RMS33" s="13"/>
      <c r="RMT33" s="13"/>
      <c r="RMU33" s="13"/>
      <c r="RMV33" s="13"/>
      <c r="RMW33" s="13"/>
      <c r="RMX33" s="13"/>
      <c r="RMY33" s="13"/>
      <c r="RMZ33" s="13"/>
      <c r="RNA33" s="13"/>
      <c r="RNB33" s="13"/>
      <c r="RNC33" s="13"/>
      <c r="RND33" s="13"/>
      <c r="RNE33" s="13"/>
      <c r="RNF33" s="13"/>
      <c r="RNG33" s="13"/>
      <c r="RNH33" s="13"/>
      <c r="RNI33" s="13"/>
      <c r="RNJ33" s="13"/>
      <c r="RNK33" s="13"/>
      <c r="RNL33" s="13"/>
      <c r="RNM33" s="13"/>
      <c r="RNN33" s="13"/>
      <c r="RNO33" s="13"/>
      <c r="RNP33" s="13"/>
      <c r="RNQ33" s="13"/>
      <c r="RNR33" s="13"/>
      <c r="RNS33" s="13"/>
      <c r="RNT33" s="13"/>
      <c r="RNU33" s="13"/>
      <c r="RNV33" s="13"/>
      <c r="RNW33" s="13"/>
      <c r="RNX33" s="13"/>
      <c r="RNY33" s="13"/>
      <c r="RNZ33" s="13"/>
      <c r="ROA33" s="13"/>
      <c r="ROB33" s="13"/>
      <c r="ROC33" s="13"/>
      <c r="ROD33" s="13"/>
      <c r="ROE33" s="13"/>
      <c r="ROF33" s="13"/>
      <c r="ROG33" s="13"/>
      <c r="ROH33" s="13"/>
      <c r="ROI33" s="13"/>
      <c r="ROJ33" s="13"/>
      <c r="ROK33" s="13"/>
      <c r="ROL33" s="13"/>
      <c r="ROM33" s="13"/>
      <c r="RON33" s="13"/>
      <c r="ROO33" s="13"/>
      <c r="ROP33" s="13"/>
      <c r="ROQ33" s="13"/>
      <c r="ROR33" s="13"/>
      <c r="ROS33" s="13"/>
      <c r="ROT33" s="13"/>
      <c r="ROU33" s="13"/>
      <c r="ROV33" s="13"/>
      <c r="ROW33" s="13"/>
      <c r="ROX33" s="13"/>
      <c r="ROY33" s="13"/>
      <c r="ROZ33" s="13"/>
      <c r="RPA33" s="13"/>
      <c r="RPB33" s="13"/>
      <c r="RPC33" s="13"/>
      <c r="RPD33" s="13"/>
      <c r="RPE33" s="13"/>
      <c r="RPF33" s="13"/>
      <c r="RPG33" s="13"/>
      <c r="RPH33" s="13"/>
      <c r="RPI33" s="13"/>
      <c r="RPJ33" s="13"/>
      <c r="RPK33" s="13"/>
      <c r="RPL33" s="13"/>
      <c r="RPM33" s="13"/>
      <c r="RPN33" s="13"/>
      <c r="RPO33" s="13"/>
      <c r="RPP33" s="13"/>
      <c r="RPQ33" s="13"/>
      <c r="RPR33" s="13"/>
      <c r="RPS33" s="13"/>
      <c r="RPT33" s="13"/>
      <c r="RPU33" s="13"/>
      <c r="RPV33" s="13"/>
      <c r="RPW33" s="13"/>
      <c r="RPX33" s="13"/>
      <c r="RPY33" s="13"/>
      <c r="RPZ33" s="13"/>
      <c r="RQA33" s="13"/>
      <c r="RQB33" s="13"/>
      <c r="RQC33" s="13"/>
      <c r="RQD33" s="13"/>
      <c r="RQE33" s="13"/>
      <c r="RQF33" s="13"/>
      <c r="RQG33" s="13"/>
      <c r="RQH33" s="13"/>
      <c r="RQI33" s="13"/>
      <c r="RQJ33" s="13"/>
      <c r="RQK33" s="13"/>
      <c r="RQL33" s="13"/>
      <c r="RQM33" s="13"/>
      <c r="RQN33" s="13"/>
      <c r="RQO33" s="13"/>
      <c r="RQP33" s="13"/>
      <c r="RQQ33" s="13"/>
      <c r="RQR33" s="13"/>
      <c r="RQS33" s="13"/>
      <c r="RQT33" s="13"/>
      <c r="RQU33" s="13"/>
      <c r="RQV33" s="13"/>
      <c r="RQW33" s="13"/>
      <c r="RQX33" s="13"/>
      <c r="RQY33" s="13"/>
      <c r="RQZ33" s="13"/>
      <c r="RRA33" s="13"/>
      <c r="RRB33" s="13"/>
      <c r="RRC33" s="13"/>
      <c r="RRD33" s="13"/>
      <c r="RRE33" s="13"/>
      <c r="RRF33" s="13"/>
      <c r="RRG33" s="13"/>
      <c r="RRH33" s="13"/>
      <c r="RRI33" s="13"/>
      <c r="RRJ33" s="13"/>
      <c r="RRK33" s="13"/>
      <c r="RRL33" s="13"/>
      <c r="RRM33" s="13"/>
      <c r="RRN33" s="13"/>
      <c r="RRO33" s="13"/>
      <c r="RRP33" s="13"/>
      <c r="RRQ33" s="13"/>
      <c r="RRR33" s="13"/>
      <c r="RRS33" s="13"/>
      <c r="RRT33" s="13"/>
      <c r="RRU33" s="13"/>
      <c r="RRV33" s="13"/>
      <c r="RRW33" s="13"/>
      <c r="RRX33" s="13"/>
      <c r="RRY33" s="13"/>
      <c r="RRZ33" s="13"/>
      <c r="RSA33" s="13"/>
      <c r="RSB33" s="13"/>
      <c r="RSC33" s="13"/>
      <c r="RSD33" s="13"/>
      <c r="RSE33" s="13"/>
      <c r="RSF33" s="13"/>
      <c r="RSG33" s="13"/>
      <c r="RSH33" s="13"/>
      <c r="RSI33" s="13"/>
      <c r="RSJ33" s="13"/>
      <c r="RSK33" s="13"/>
      <c r="RSL33" s="13"/>
      <c r="RSM33" s="13"/>
      <c r="RSN33" s="13"/>
      <c r="RSO33" s="13"/>
      <c r="RSP33" s="13"/>
      <c r="RSQ33" s="13"/>
      <c r="RSR33" s="13"/>
      <c r="RSS33" s="13"/>
      <c r="RST33" s="13"/>
      <c r="RSU33" s="13"/>
      <c r="RSV33" s="13"/>
      <c r="RSW33" s="13"/>
      <c r="RSX33" s="13"/>
      <c r="RSY33" s="13"/>
      <c r="RSZ33" s="13"/>
      <c r="RTA33" s="13"/>
      <c r="RTB33" s="13"/>
      <c r="RTC33" s="13"/>
      <c r="RTD33" s="13"/>
      <c r="RTE33" s="13"/>
      <c r="RTF33" s="13"/>
      <c r="RTG33" s="13"/>
      <c r="RTH33" s="13"/>
      <c r="RTI33" s="13"/>
      <c r="RTJ33" s="13"/>
      <c r="RTK33" s="13"/>
      <c r="RTL33" s="13"/>
      <c r="RTM33" s="13"/>
      <c r="RTN33" s="13"/>
      <c r="RTO33" s="13"/>
      <c r="RTP33" s="13"/>
      <c r="RTQ33" s="13"/>
      <c r="RTR33" s="13"/>
      <c r="RTS33" s="13"/>
      <c r="RTT33" s="13"/>
      <c r="RTU33" s="13"/>
      <c r="RTV33" s="13"/>
      <c r="RTW33" s="13"/>
      <c r="RTX33" s="13"/>
      <c r="RTY33" s="13"/>
      <c r="RTZ33" s="13"/>
      <c r="RUA33" s="13"/>
      <c r="RUB33" s="13"/>
      <c r="RUC33" s="13"/>
      <c r="RUD33" s="13"/>
      <c r="RUE33" s="13"/>
      <c r="RUF33" s="13"/>
      <c r="RUG33" s="13"/>
      <c r="RUH33" s="13"/>
      <c r="RUI33" s="13"/>
      <c r="RUJ33" s="13"/>
      <c r="RUK33" s="13"/>
      <c r="RUL33" s="13"/>
      <c r="RUM33" s="13"/>
      <c r="RUN33" s="13"/>
      <c r="RUO33" s="13"/>
      <c r="RUP33" s="13"/>
      <c r="RUQ33" s="13"/>
      <c r="RUR33" s="13"/>
      <c r="RUS33" s="13"/>
      <c r="RUT33" s="13"/>
      <c r="RUU33" s="13"/>
      <c r="RUV33" s="13"/>
      <c r="RUW33" s="13"/>
      <c r="RUX33" s="13"/>
      <c r="RUY33" s="13"/>
      <c r="RUZ33" s="13"/>
      <c r="RVA33" s="13"/>
      <c r="RVB33" s="13"/>
      <c r="RVC33" s="13"/>
      <c r="RVD33" s="13"/>
      <c r="RVE33" s="13"/>
      <c r="RVF33" s="13"/>
      <c r="RVG33" s="13"/>
      <c r="RVH33" s="13"/>
      <c r="RVI33" s="13"/>
      <c r="RVJ33" s="13"/>
      <c r="RVK33" s="13"/>
      <c r="RVL33" s="13"/>
      <c r="RVM33" s="13"/>
      <c r="RVN33" s="13"/>
      <c r="RVO33" s="13"/>
      <c r="RVP33" s="13"/>
      <c r="RVQ33" s="13"/>
      <c r="RVR33" s="13"/>
      <c r="RVS33" s="13"/>
      <c r="RVT33" s="13"/>
      <c r="RVU33" s="13"/>
      <c r="RVV33" s="13"/>
      <c r="RVW33" s="13"/>
      <c r="RVX33" s="13"/>
      <c r="RVY33" s="13"/>
      <c r="RVZ33" s="13"/>
      <c r="RWA33" s="13"/>
      <c r="RWB33" s="13"/>
      <c r="RWC33" s="13"/>
      <c r="RWD33" s="13"/>
      <c r="RWE33" s="13"/>
      <c r="RWF33" s="13"/>
      <c r="RWG33" s="13"/>
      <c r="RWH33" s="13"/>
      <c r="RWI33" s="13"/>
      <c r="RWJ33" s="13"/>
      <c r="RWK33" s="13"/>
      <c r="RWL33" s="13"/>
      <c r="RWM33" s="13"/>
      <c r="RWN33" s="13"/>
      <c r="RWO33" s="13"/>
      <c r="RWP33" s="13"/>
      <c r="RWQ33" s="13"/>
      <c r="RWR33" s="13"/>
      <c r="RWS33" s="13"/>
      <c r="RWT33" s="13"/>
      <c r="RWU33" s="13"/>
      <c r="RWV33" s="13"/>
      <c r="RWW33" s="13"/>
      <c r="RWX33" s="13"/>
      <c r="RWY33" s="13"/>
      <c r="RWZ33" s="13"/>
      <c r="RXA33" s="13"/>
      <c r="RXB33" s="13"/>
      <c r="RXC33" s="13"/>
      <c r="RXD33" s="13"/>
      <c r="RXE33" s="13"/>
      <c r="RXF33" s="13"/>
      <c r="RXG33" s="13"/>
      <c r="RXH33" s="13"/>
      <c r="RXI33" s="13"/>
      <c r="RXJ33" s="13"/>
      <c r="RXK33" s="13"/>
      <c r="RXL33" s="13"/>
      <c r="RXM33" s="13"/>
      <c r="RXN33" s="13"/>
      <c r="RXO33" s="13"/>
      <c r="RXP33" s="13"/>
      <c r="RXQ33" s="13"/>
      <c r="RXR33" s="13"/>
      <c r="RXS33" s="13"/>
      <c r="RXT33" s="13"/>
      <c r="RXU33" s="13"/>
      <c r="RXV33" s="13"/>
      <c r="RXW33" s="13"/>
      <c r="RXX33" s="13"/>
      <c r="RXY33" s="13"/>
      <c r="RXZ33" s="13"/>
      <c r="RYA33" s="13"/>
      <c r="RYB33" s="13"/>
      <c r="RYC33" s="13"/>
      <c r="RYD33" s="13"/>
      <c r="RYE33" s="13"/>
      <c r="RYF33" s="13"/>
      <c r="RYG33" s="13"/>
      <c r="RYH33" s="13"/>
      <c r="RYI33" s="13"/>
      <c r="RYJ33" s="13"/>
      <c r="RYK33" s="13"/>
      <c r="RYL33" s="13"/>
      <c r="RYM33" s="13"/>
      <c r="RYN33" s="13"/>
      <c r="RYO33" s="13"/>
      <c r="RYP33" s="13"/>
      <c r="RYQ33" s="13"/>
      <c r="RYR33" s="13"/>
      <c r="RYS33" s="13"/>
      <c r="RYT33" s="13"/>
      <c r="RYU33" s="13"/>
      <c r="RYV33" s="13"/>
      <c r="RYW33" s="13"/>
      <c r="RYX33" s="13"/>
      <c r="RYY33" s="13"/>
      <c r="RYZ33" s="13"/>
      <c r="RZA33" s="13"/>
      <c r="RZB33" s="13"/>
      <c r="RZC33" s="13"/>
      <c r="RZD33" s="13"/>
      <c r="RZE33" s="13"/>
      <c r="RZF33" s="13"/>
      <c r="RZG33" s="13"/>
      <c r="RZH33" s="13"/>
      <c r="RZI33" s="13"/>
      <c r="RZJ33" s="13"/>
      <c r="RZK33" s="13"/>
      <c r="RZL33" s="13"/>
      <c r="RZM33" s="13"/>
      <c r="RZN33" s="13"/>
      <c r="RZO33" s="13"/>
      <c r="RZP33" s="13"/>
      <c r="RZQ33" s="13"/>
      <c r="RZR33" s="13"/>
      <c r="RZS33" s="13"/>
      <c r="RZT33" s="13"/>
      <c r="RZU33" s="13"/>
      <c r="RZV33" s="13"/>
      <c r="RZW33" s="13"/>
      <c r="RZX33" s="13"/>
      <c r="RZY33" s="13"/>
      <c r="RZZ33" s="13"/>
      <c r="SAA33" s="13"/>
      <c r="SAB33" s="13"/>
      <c r="SAC33" s="13"/>
      <c r="SAD33" s="13"/>
      <c r="SAE33" s="13"/>
      <c r="SAF33" s="13"/>
      <c r="SAG33" s="13"/>
      <c r="SAH33" s="13"/>
      <c r="SAI33" s="13"/>
      <c r="SAJ33" s="13"/>
      <c r="SAK33" s="13"/>
      <c r="SAL33" s="13"/>
      <c r="SAM33" s="13"/>
      <c r="SAN33" s="13"/>
      <c r="SAO33" s="13"/>
      <c r="SAP33" s="13"/>
      <c r="SAQ33" s="13"/>
      <c r="SAR33" s="13"/>
      <c r="SAS33" s="13"/>
      <c r="SAT33" s="13"/>
      <c r="SAU33" s="13"/>
      <c r="SAV33" s="13"/>
      <c r="SAW33" s="13"/>
      <c r="SAX33" s="13"/>
      <c r="SAY33" s="13"/>
      <c r="SAZ33" s="13"/>
      <c r="SBA33" s="13"/>
      <c r="SBB33" s="13"/>
      <c r="SBC33" s="13"/>
      <c r="SBD33" s="13"/>
      <c r="SBE33" s="13"/>
      <c r="SBF33" s="13"/>
      <c r="SBG33" s="13"/>
      <c r="SBH33" s="13"/>
      <c r="SBI33" s="13"/>
      <c r="SBJ33" s="13"/>
      <c r="SBK33" s="13"/>
      <c r="SBL33" s="13"/>
      <c r="SBM33" s="13"/>
      <c r="SBN33" s="13"/>
      <c r="SBO33" s="13"/>
      <c r="SBP33" s="13"/>
      <c r="SBQ33" s="13"/>
      <c r="SBR33" s="13"/>
      <c r="SBS33" s="13"/>
      <c r="SBT33" s="13"/>
      <c r="SBU33" s="13"/>
      <c r="SBV33" s="13"/>
      <c r="SBW33" s="13"/>
      <c r="SBX33" s="13"/>
      <c r="SBY33" s="13"/>
      <c r="SBZ33" s="13"/>
      <c r="SCA33" s="13"/>
      <c r="SCB33" s="13"/>
      <c r="SCC33" s="13"/>
      <c r="SCD33" s="13"/>
      <c r="SCE33" s="13"/>
      <c r="SCF33" s="13"/>
      <c r="SCG33" s="13"/>
      <c r="SCH33" s="13"/>
      <c r="SCI33" s="13"/>
      <c r="SCJ33" s="13"/>
      <c r="SCK33" s="13"/>
      <c r="SCL33" s="13"/>
      <c r="SCM33" s="13"/>
      <c r="SCN33" s="13"/>
      <c r="SCO33" s="13"/>
      <c r="SCP33" s="13"/>
      <c r="SCQ33" s="13"/>
      <c r="SCR33" s="13"/>
      <c r="SCS33" s="13"/>
      <c r="SCT33" s="13"/>
      <c r="SCU33" s="13"/>
      <c r="SCV33" s="13"/>
      <c r="SCW33" s="13"/>
      <c r="SCX33" s="13"/>
      <c r="SCY33" s="13"/>
      <c r="SCZ33" s="13"/>
      <c r="SDA33" s="13"/>
      <c r="SDB33" s="13"/>
      <c r="SDC33" s="13"/>
      <c r="SDD33" s="13"/>
      <c r="SDE33" s="13"/>
      <c r="SDF33" s="13"/>
      <c r="SDG33" s="13"/>
      <c r="SDH33" s="13"/>
      <c r="SDI33" s="13"/>
      <c r="SDJ33" s="13"/>
      <c r="SDK33" s="13"/>
      <c r="SDL33" s="13"/>
      <c r="SDM33" s="13"/>
      <c r="SDN33" s="13"/>
      <c r="SDO33" s="13"/>
      <c r="SDP33" s="13"/>
      <c r="SDQ33" s="13"/>
      <c r="SDR33" s="13"/>
      <c r="SDS33" s="13"/>
      <c r="SDT33" s="13"/>
      <c r="SDU33" s="13"/>
      <c r="SDV33" s="13"/>
      <c r="SDW33" s="13"/>
      <c r="SDX33" s="13"/>
      <c r="SDY33" s="13"/>
      <c r="SDZ33" s="13"/>
      <c r="SEA33" s="13"/>
      <c r="SEB33" s="13"/>
      <c r="SEC33" s="13"/>
      <c r="SED33" s="13"/>
      <c r="SEE33" s="13"/>
      <c r="SEF33" s="13"/>
      <c r="SEG33" s="13"/>
      <c r="SEH33" s="13"/>
      <c r="SEI33" s="13"/>
      <c r="SEJ33" s="13"/>
      <c r="SEK33" s="13"/>
      <c r="SEL33" s="13"/>
      <c r="SEM33" s="13"/>
      <c r="SEN33" s="13"/>
      <c r="SEO33" s="13"/>
      <c r="SEP33" s="13"/>
      <c r="SEQ33" s="13"/>
      <c r="SER33" s="13"/>
      <c r="SES33" s="13"/>
      <c r="SET33" s="13"/>
      <c r="SEU33" s="13"/>
      <c r="SEV33" s="13"/>
      <c r="SEW33" s="13"/>
      <c r="SEX33" s="13"/>
      <c r="SEY33" s="13"/>
      <c r="SEZ33" s="13"/>
      <c r="SFA33" s="13"/>
      <c r="SFB33" s="13"/>
      <c r="SFC33" s="13"/>
      <c r="SFD33" s="13"/>
      <c r="SFE33" s="13"/>
      <c r="SFF33" s="13"/>
      <c r="SFG33" s="13"/>
      <c r="SFH33" s="13"/>
      <c r="SFI33" s="13"/>
      <c r="SFJ33" s="13"/>
      <c r="SFK33" s="13"/>
      <c r="SFL33" s="13"/>
      <c r="SFM33" s="13"/>
      <c r="SFN33" s="13"/>
      <c r="SFO33" s="13"/>
      <c r="SFP33" s="13"/>
      <c r="SFQ33" s="13"/>
      <c r="SFR33" s="13"/>
      <c r="SFS33" s="13"/>
      <c r="SFT33" s="13"/>
      <c r="SFU33" s="13"/>
      <c r="SFV33" s="13"/>
      <c r="SFW33" s="13"/>
      <c r="SFX33" s="13"/>
      <c r="SFY33" s="13"/>
      <c r="SFZ33" s="13"/>
      <c r="SGA33" s="13"/>
      <c r="SGB33" s="13"/>
      <c r="SGC33" s="13"/>
      <c r="SGD33" s="13"/>
      <c r="SGE33" s="13"/>
      <c r="SGF33" s="13"/>
      <c r="SGG33" s="13"/>
      <c r="SGH33" s="13"/>
      <c r="SGI33" s="13"/>
      <c r="SGJ33" s="13"/>
      <c r="SGK33" s="13"/>
      <c r="SGL33" s="13"/>
      <c r="SGM33" s="13"/>
      <c r="SGN33" s="13"/>
      <c r="SGO33" s="13"/>
      <c r="SGP33" s="13"/>
      <c r="SGQ33" s="13"/>
      <c r="SGR33" s="13"/>
      <c r="SGS33" s="13"/>
      <c r="SGT33" s="13"/>
      <c r="SGU33" s="13"/>
      <c r="SGV33" s="13"/>
      <c r="SGW33" s="13"/>
      <c r="SGX33" s="13"/>
      <c r="SGY33" s="13"/>
      <c r="SGZ33" s="13"/>
      <c r="SHA33" s="13"/>
      <c r="SHB33" s="13"/>
      <c r="SHC33" s="13"/>
      <c r="SHD33" s="13"/>
      <c r="SHE33" s="13"/>
      <c r="SHF33" s="13"/>
      <c r="SHG33" s="13"/>
      <c r="SHH33" s="13"/>
      <c r="SHI33" s="13"/>
      <c r="SHJ33" s="13"/>
      <c r="SHK33" s="13"/>
      <c r="SHL33" s="13"/>
      <c r="SHM33" s="13"/>
      <c r="SHN33" s="13"/>
      <c r="SHO33" s="13"/>
      <c r="SHP33" s="13"/>
      <c r="SHQ33" s="13"/>
      <c r="SHR33" s="13"/>
      <c r="SHS33" s="13"/>
      <c r="SHT33" s="13"/>
      <c r="SHU33" s="13"/>
      <c r="SHV33" s="13"/>
      <c r="SHW33" s="13"/>
      <c r="SHX33" s="13"/>
      <c r="SHY33" s="13"/>
      <c r="SHZ33" s="13"/>
      <c r="SIA33" s="13"/>
      <c r="SIB33" s="13"/>
      <c r="SIC33" s="13"/>
      <c r="SID33" s="13"/>
      <c r="SIE33" s="13"/>
      <c r="SIF33" s="13"/>
      <c r="SIG33" s="13"/>
      <c r="SIH33" s="13"/>
      <c r="SII33" s="13"/>
      <c r="SIJ33" s="13"/>
      <c r="SIK33" s="13"/>
      <c r="SIL33" s="13"/>
      <c r="SIM33" s="13"/>
      <c r="SIN33" s="13"/>
      <c r="SIO33" s="13"/>
      <c r="SIP33" s="13"/>
      <c r="SIQ33" s="13"/>
      <c r="SIR33" s="13"/>
      <c r="SIS33" s="13"/>
      <c r="SIT33" s="13"/>
      <c r="SIU33" s="13"/>
      <c r="SIV33" s="13"/>
      <c r="SIW33" s="13"/>
      <c r="SIX33" s="13"/>
      <c r="SIY33" s="13"/>
      <c r="SIZ33" s="13"/>
      <c r="SJA33" s="13"/>
      <c r="SJB33" s="13"/>
      <c r="SJC33" s="13"/>
      <c r="SJD33" s="13"/>
      <c r="SJE33" s="13"/>
      <c r="SJF33" s="13"/>
      <c r="SJG33" s="13"/>
      <c r="SJH33" s="13"/>
      <c r="SJI33" s="13"/>
      <c r="SJJ33" s="13"/>
      <c r="SJK33" s="13"/>
      <c r="SJL33" s="13"/>
      <c r="SJM33" s="13"/>
      <c r="SJN33" s="13"/>
      <c r="SJO33" s="13"/>
      <c r="SJP33" s="13"/>
      <c r="SJQ33" s="13"/>
      <c r="SJR33" s="13"/>
      <c r="SJS33" s="13"/>
      <c r="SJT33" s="13"/>
      <c r="SJU33" s="13"/>
      <c r="SJV33" s="13"/>
      <c r="SJW33" s="13"/>
      <c r="SJX33" s="13"/>
      <c r="SJY33" s="13"/>
      <c r="SJZ33" s="13"/>
      <c r="SKA33" s="13"/>
      <c r="SKB33" s="13"/>
      <c r="SKC33" s="13"/>
      <c r="SKD33" s="13"/>
      <c r="SKE33" s="13"/>
      <c r="SKF33" s="13"/>
      <c r="SKG33" s="13"/>
      <c r="SKH33" s="13"/>
      <c r="SKI33" s="13"/>
      <c r="SKJ33" s="13"/>
      <c r="SKK33" s="13"/>
      <c r="SKL33" s="13"/>
      <c r="SKM33" s="13"/>
      <c r="SKN33" s="13"/>
      <c r="SKO33" s="13"/>
      <c r="SKP33" s="13"/>
      <c r="SKQ33" s="13"/>
      <c r="SKR33" s="13"/>
      <c r="SKS33" s="13"/>
      <c r="SKT33" s="13"/>
      <c r="SKU33" s="13"/>
      <c r="SKV33" s="13"/>
      <c r="SKW33" s="13"/>
      <c r="SKX33" s="13"/>
      <c r="SKY33" s="13"/>
      <c r="SKZ33" s="13"/>
      <c r="SLA33" s="13"/>
      <c r="SLB33" s="13"/>
      <c r="SLC33" s="13"/>
      <c r="SLD33" s="13"/>
      <c r="SLE33" s="13"/>
      <c r="SLF33" s="13"/>
      <c r="SLG33" s="13"/>
      <c r="SLH33" s="13"/>
      <c r="SLI33" s="13"/>
      <c r="SLJ33" s="13"/>
      <c r="SLK33" s="13"/>
      <c r="SLL33" s="13"/>
      <c r="SLM33" s="13"/>
      <c r="SLN33" s="13"/>
      <c r="SLO33" s="13"/>
      <c r="SLP33" s="13"/>
      <c r="SLQ33" s="13"/>
      <c r="SLR33" s="13"/>
      <c r="SLS33" s="13"/>
      <c r="SLT33" s="13"/>
      <c r="SLU33" s="13"/>
      <c r="SLV33" s="13"/>
      <c r="SLW33" s="13"/>
      <c r="SLX33" s="13"/>
      <c r="SLY33" s="13"/>
      <c r="SLZ33" s="13"/>
      <c r="SMA33" s="13"/>
      <c r="SMB33" s="13"/>
      <c r="SMC33" s="13"/>
      <c r="SMD33" s="13"/>
      <c r="SME33" s="13"/>
      <c r="SMF33" s="13"/>
      <c r="SMG33" s="13"/>
      <c r="SMH33" s="13"/>
      <c r="SMI33" s="13"/>
      <c r="SMJ33" s="13"/>
      <c r="SMK33" s="13"/>
      <c r="SML33" s="13"/>
      <c r="SMM33" s="13"/>
      <c r="SMN33" s="13"/>
      <c r="SMO33" s="13"/>
      <c r="SMP33" s="13"/>
      <c r="SMQ33" s="13"/>
      <c r="SMR33" s="13"/>
      <c r="SMS33" s="13"/>
      <c r="SMT33" s="13"/>
      <c r="SMU33" s="13"/>
      <c r="SMV33" s="13"/>
      <c r="SMW33" s="13"/>
      <c r="SMX33" s="13"/>
      <c r="SMY33" s="13"/>
      <c r="SMZ33" s="13"/>
      <c r="SNA33" s="13"/>
      <c r="SNB33" s="13"/>
      <c r="SNC33" s="13"/>
      <c r="SND33" s="13"/>
      <c r="SNE33" s="13"/>
      <c r="SNF33" s="13"/>
      <c r="SNG33" s="13"/>
      <c r="SNH33" s="13"/>
      <c r="SNI33" s="13"/>
      <c r="SNJ33" s="13"/>
      <c r="SNK33" s="13"/>
      <c r="SNL33" s="13"/>
      <c r="SNM33" s="13"/>
      <c r="SNN33" s="13"/>
      <c r="SNO33" s="13"/>
      <c r="SNP33" s="13"/>
      <c r="SNQ33" s="13"/>
      <c r="SNR33" s="13"/>
      <c r="SNS33" s="13"/>
      <c r="SNT33" s="13"/>
      <c r="SNU33" s="13"/>
      <c r="SNV33" s="13"/>
      <c r="SNW33" s="13"/>
      <c r="SNX33" s="13"/>
      <c r="SNY33" s="13"/>
      <c r="SNZ33" s="13"/>
      <c r="SOA33" s="13"/>
      <c r="SOB33" s="13"/>
      <c r="SOC33" s="13"/>
      <c r="SOD33" s="13"/>
      <c r="SOE33" s="13"/>
      <c r="SOF33" s="13"/>
      <c r="SOG33" s="13"/>
      <c r="SOH33" s="13"/>
      <c r="SOI33" s="13"/>
      <c r="SOJ33" s="13"/>
      <c r="SOK33" s="13"/>
      <c r="SOL33" s="13"/>
      <c r="SOM33" s="13"/>
      <c r="SON33" s="13"/>
      <c r="SOO33" s="13"/>
      <c r="SOP33" s="13"/>
      <c r="SOQ33" s="13"/>
      <c r="SOR33" s="13"/>
      <c r="SOS33" s="13"/>
      <c r="SOT33" s="13"/>
      <c r="SOU33" s="13"/>
      <c r="SOV33" s="13"/>
      <c r="SOW33" s="13"/>
      <c r="SOX33" s="13"/>
      <c r="SOY33" s="13"/>
      <c r="SOZ33" s="13"/>
      <c r="SPA33" s="13"/>
      <c r="SPB33" s="13"/>
      <c r="SPC33" s="13"/>
      <c r="SPD33" s="13"/>
      <c r="SPE33" s="13"/>
      <c r="SPF33" s="13"/>
      <c r="SPG33" s="13"/>
      <c r="SPH33" s="13"/>
      <c r="SPI33" s="13"/>
      <c r="SPJ33" s="13"/>
      <c r="SPK33" s="13"/>
      <c r="SPL33" s="13"/>
      <c r="SPM33" s="13"/>
      <c r="SPN33" s="13"/>
      <c r="SPO33" s="13"/>
      <c r="SPP33" s="13"/>
      <c r="SPQ33" s="13"/>
      <c r="SPR33" s="13"/>
      <c r="SPS33" s="13"/>
      <c r="SPT33" s="13"/>
      <c r="SPU33" s="13"/>
      <c r="SPV33" s="13"/>
      <c r="SPW33" s="13"/>
      <c r="SPX33" s="13"/>
      <c r="SPY33" s="13"/>
      <c r="SPZ33" s="13"/>
      <c r="SQA33" s="13"/>
      <c r="SQB33" s="13"/>
      <c r="SQC33" s="13"/>
      <c r="SQD33" s="13"/>
      <c r="SQE33" s="13"/>
      <c r="SQF33" s="13"/>
      <c r="SQG33" s="13"/>
      <c r="SQH33" s="13"/>
      <c r="SQI33" s="13"/>
      <c r="SQJ33" s="13"/>
      <c r="SQK33" s="13"/>
      <c r="SQL33" s="13"/>
      <c r="SQM33" s="13"/>
      <c r="SQN33" s="13"/>
      <c r="SQO33" s="13"/>
      <c r="SQP33" s="13"/>
      <c r="SQQ33" s="13"/>
      <c r="SQR33" s="13"/>
      <c r="SQS33" s="13"/>
      <c r="SQT33" s="13"/>
      <c r="SQU33" s="13"/>
      <c r="SQV33" s="13"/>
      <c r="SQW33" s="13"/>
      <c r="SQX33" s="13"/>
      <c r="SQY33" s="13"/>
      <c r="SQZ33" s="13"/>
      <c r="SRA33" s="13"/>
      <c r="SRB33" s="13"/>
      <c r="SRC33" s="13"/>
      <c r="SRD33" s="13"/>
      <c r="SRE33" s="13"/>
      <c r="SRF33" s="13"/>
      <c r="SRG33" s="13"/>
      <c r="SRH33" s="13"/>
      <c r="SRI33" s="13"/>
      <c r="SRJ33" s="13"/>
      <c r="SRK33" s="13"/>
      <c r="SRL33" s="13"/>
      <c r="SRM33" s="13"/>
      <c r="SRN33" s="13"/>
      <c r="SRO33" s="13"/>
      <c r="SRP33" s="13"/>
      <c r="SRQ33" s="13"/>
      <c r="SRR33" s="13"/>
      <c r="SRS33" s="13"/>
      <c r="SRT33" s="13"/>
      <c r="SRU33" s="13"/>
      <c r="SRV33" s="13"/>
      <c r="SRW33" s="13"/>
      <c r="SRX33" s="13"/>
      <c r="SRY33" s="13"/>
      <c r="SRZ33" s="13"/>
      <c r="SSA33" s="13"/>
      <c r="SSB33" s="13"/>
      <c r="SSC33" s="13"/>
      <c r="SSD33" s="13"/>
      <c r="SSE33" s="13"/>
      <c r="SSF33" s="13"/>
      <c r="SSG33" s="13"/>
      <c r="SSH33" s="13"/>
      <c r="SSI33" s="13"/>
      <c r="SSJ33" s="13"/>
      <c r="SSK33" s="13"/>
      <c r="SSL33" s="13"/>
      <c r="SSM33" s="13"/>
      <c r="SSN33" s="13"/>
      <c r="SSO33" s="13"/>
      <c r="SSP33" s="13"/>
      <c r="SSQ33" s="13"/>
      <c r="SSR33" s="13"/>
      <c r="SSS33" s="13"/>
      <c r="SST33" s="13"/>
      <c r="SSU33" s="13"/>
      <c r="SSV33" s="13"/>
      <c r="SSW33" s="13"/>
      <c r="SSX33" s="13"/>
      <c r="SSY33" s="13"/>
      <c r="SSZ33" s="13"/>
      <c r="STA33" s="13"/>
      <c r="STB33" s="13"/>
      <c r="STC33" s="13"/>
      <c r="STD33" s="13"/>
      <c r="STE33" s="13"/>
      <c r="STF33" s="13"/>
      <c r="STG33" s="13"/>
      <c r="STH33" s="13"/>
      <c r="STI33" s="13"/>
      <c r="STJ33" s="13"/>
      <c r="STK33" s="13"/>
      <c r="STL33" s="13"/>
      <c r="STM33" s="13"/>
      <c r="STN33" s="13"/>
      <c r="STO33" s="13"/>
      <c r="STP33" s="13"/>
      <c r="STQ33" s="13"/>
      <c r="STR33" s="13"/>
      <c r="STS33" s="13"/>
      <c r="STT33" s="13"/>
      <c r="STU33" s="13"/>
      <c r="STV33" s="13"/>
      <c r="STW33" s="13"/>
      <c r="STX33" s="13"/>
      <c r="STY33" s="13"/>
      <c r="STZ33" s="13"/>
      <c r="SUA33" s="13"/>
      <c r="SUB33" s="13"/>
      <c r="SUC33" s="13"/>
      <c r="SUD33" s="13"/>
      <c r="SUE33" s="13"/>
      <c r="SUF33" s="13"/>
      <c r="SUG33" s="13"/>
      <c r="SUH33" s="13"/>
      <c r="SUI33" s="13"/>
      <c r="SUJ33" s="13"/>
      <c r="SUK33" s="13"/>
      <c r="SUL33" s="13"/>
      <c r="SUM33" s="13"/>
      <c r="SUN33" s="13"/>
      <c r="SUO33" s="13"/>
      <c r="SUP33" s="13"/>
      <c r="SUQ33" s="13"/>
      <c r="SUR33" s="13"/>
      <c r="SUS33" s="13"/>
      <c r="SUT33" s="13"/>
      <c r="SUU33" s="13"/>
      <c r="SUV33" s="13"/>
      <c r="SUW33" s="13"/>
      <c r="SUX33" s="13"/>
      <c r="SUY33" s="13"/>
      <c r="SUZ33" s="13"/>
      <c r="SVA33" s="13"/>
      <c r="SVB33" s="13"/>
      <c r="SVC33" s="13"/>
      <c r="SVD33" s="13"/>
      <c r="SVE33" s="13"/>
      <c r="SVF33" s="13"/>
      <c r="SVG33" s="13"/>
      <c r="SVH33" s="13"/>
      <c r="SVI33" s="13"/>
      <c r="SVJ33" s="13"/>
      <c r="SVK33" s="13"/>
      <c r="SVL33" s="13"/>
      <c r="SVM33" s="13"/>
      <c r="SVN33" s="13"/>
      <c r="SVO33" s="13"/>
      <c r="SVP33" s="13"/>
      <c r="SVQ33" s="13"/>
      <c r="SVR33" s="13"/>
      <c r="SVS33" s="13"/>
      <c r="SVT33" s="13"/>
      <c r="SVU33" s="13"/>
      <c r="SVV33" s="13"/>
      <c r="SVW33" s="13"/>
      <c r="SVX33" s="13"/>
      <c r="SVY33" s="13"/>
      <c r="SVZ33" s="13"/>
      <c r="SWA33" s="13"/>
      <c r="SWB33" s="13"/>
      <c r="SWC33" s="13"/>
      <c r="SWD33" s="13"/>
      <c r="SWE33" s="13"/>
      <c r="SWF33" s="13"/>
      <c r="SWG33" s="13"/>
      <c r="SWH33" s="13"/>
      <c r="SWI33" s="13"/>
      <c r="SWJ33" s="13"/>
      <c r="SWK33" s="13"/>
      <c r="SWL33" s="13"/>
      <c r="SWM33" s="13"/>
      <c r="SWN33" s="13"/>
      <c r="SWO33" s="13"/>
      <c r="SWP33" s="13"/>
      <c r="SWQ33" s="13"/>
      <c r="SWR33" s="13"/>
      <c r="SWS33" s="13"/>
      <c r="SWT33" s="13"/>
      <c r="SWU33" s="13"/>
      <c r="SWV33" s="13"/>
      <c r="SWW33" s="13"/>
      <c r="SWX33" s="13"/>
      <c r="SWY33" s="13"/>
      <c r="SWZ33" s="13"/>
      <c r="SXA33" s="13"/>
      <c r="SXB33" s="13"/>
      <c r="SXC33" s="13"/>
      <c r="SXD33" s="13"/>
      <c r="SXE33" s="13"/>
      <c r="SXF33" s="13"/>
      <c r="SXG33" s="13"/>
      <c r="SXH33" s="13"/>
      <c r="SXI33" s="13"/>
      <c r="SXJ33" s="13"/>
      <c r="SXK33" s="13"/>
      <c r="SXL33" s="13"/>
      <c r="SXM33" s="13"/>
      <c r="SXN33" s="13"/>
      <c r="SXO33" s="13"/>
      <c r="SXP33" s="13"/>
      <c r="SXQ33" s="13"/>
      <c r="SXR33" s="13"/>
      <c r="SXS33" s="13"/>
      <c r="SXT33" s="13"/>
      <c r="SXU33" s="13"/>
      <c r="SXV33" s="13"/>
      <c r="SXW33" s="13"/>
      <c r="SXX33" s="13"/>
      <c r="SXY33" s="13"/>
      <c r="SXZ33" s="13"/>
      <c r="SYA33" s="13"/>
      <c r="SYB33" s="13"/>
      <c r="SYC33" s="13"/>
      <c r="SYD33" s="13"/>
      <c r="SYE33" s="13"/>
      <c r="SYF33" s="13"/>
      <c r="SYG33" s="13"/>
      <c r="SYH33" s="13"/>
      <c r="SYI33" s="13"/>
      <c r="SYJ33" s="13"/>
      <c r="SYK33" s="13"/>
      <c r="SYL33" s="13"/>
      <c r="SYM33" s="13"/>
      <c r="SYN33" s="13"/>
      <c r="SYO33" s="13"/>
      <c r="SYP33" s="13"/>
      <c r="SYQ33" s="13"/>
      <c r="SYR33" s="13"/>
      <c r="SYS33" s="13"/>
      <c r="SYT33" s="13"/>
      <c r="SYU33" s="13"/>
      <c r="SYV33" s="13"/>
      <c r="SYW33" s="13"/>
      <c r="SYX33" s="13"/>
      <c r="SYY33" s="13"/>
      <c r="SYZ33" s="13"/>
      <c r="SZA33" s="13"/>
      <c r="SZB33" s="13"/>
      <c r="SZC33" s="13"/>
      <c r="SZD33" s="13"/>
      <c r="SZE33" s="13"/>
      <c r="SZF33" s="13"/>
      <c r="SZG33" s="13"/>
      <c r="SZH33" s="13"/>
      <c r="SZI33" s="13"/>
      <c r="SZJ33" s="13"/>
      <c r="SZK33" s="13"/>
      <c r="SZL33" s="13"/>
      <c r="SZM33" s="13"/>
      <c r="SZN33" s="13"/>
      <c r="SZO33" s="13"/>
      <c r="SZP33" s="13"/>
      <c r="SZQ33" s="13"/>
      <c r="SZR33" s="13"/>
      <c r="SZS33" s="13"/>
      <c r="SZT33" s="13"/>
      <c r="SZU33" s="13"/>
      <c r="SZV33" s="13"/>
      <c r="SZW33" s="13"/>
      <c r="SZX33" s="13"/>
      <c r="SZY33" s="13"/>
      <c r="SZZ33" s="13"/>
      <c r="TAA33" s="13"/>
      <c r="TAB33" s="13"/>
      <c r="TAC33" s="13"/>
      <c r="TAD33" s="13"/>
      <c r="TAE33" s="13"/>
      <c r="TAF33" s="13"/>
      <c r="TAG33" s="13"/>
      <c r="TAH33" s="13"/>
      <c r="TAI33" s="13"/>
      <c r="TAJ33" s="13"/>
      <c r="TAK33" s="13"/>
      <c r="TAL33" s="13"/>
      <c r="TAM33" s="13"/>
      <c r="TAN33" s="13"/>
      <c r="TAO33" s="13"/>
      <c r="TAP33" s="13"/>
      <c r="TAQ33" s="13"/>
      <c r="TAR33" s="13"/>
      <c r="TAS33" s="13"/>
      <c r="TAT33" s="13"/>
      <c r="TAU33" s="13"/>
      <c r="TAV33" s="13"/>
      <c r="TAW33" s="13"/>
      <c r="TAX33" s="13"/>
      <c r="TAY33" s="13"/>
      <c r="TAZ33" s="13"/>
      <c r="TBA33" s="13"/>
      <c r="TBB33" s="13"/>
      <c r="TBC33" s="13"/>
      <c r="TBD33" s="13"/>
      <c r="TBE33" s="13"/>
      <c r="TBF33" s="13"/>
      <c r="TBG33" s="13"/>
      <c r="TBH33" s="13"/>
      <c r="TBI33" s="13"/>
      <c r="TBJ33" s="13"/>
      <c r="TBK33" s="13"/>
      <c r="TBL33" s="13"/>
      <c r="TBM33" s="13"/>
      <c r="TBN33" s="13"/>
      <c r="TBO33" s="13"/>
      <c r="TBP33" s="13"/>
      <c r="TBQ33" s="13"/>
      <c r="TBR33" s="13"/>
      <c r="TBS33" s="13"/>
      <c r="TBT33" s="13"/>
      <c r="TBU33" s="13"/>
      <c r="TBV33" s="13"/>
      <c r="TBW33" s="13"/>
      <c r="TBX33" s="13"/>
      <c r="TBY33" s="13"/>
      <c r="TBZ33" s="13"/>
      <c r="TCA33" s="13"/>
      <c r="TCB33" s="13"/>
      <c r="TCC33" s="13"/>
      <c r="TCD33" s="13"/>
      <c r="TCE33" s="13"/>
      <c r="TCF33" s="13"/>
      <c r="TCG33" s="13"/>
      <c r="TCH33" s="13"/>
      <c r="TCI33" s="13"/>
      <c r="TCJ33" s="13"/>
      <c r="TCK33" s="13"/>
      <c r="TCL33" s="13"/>
      <c r="TCM33" s="13"/>
      <c r="TCN33" s="13"/>
      <c r="TCO33" s="13"/>
      <c r="TCP33" s="13"/>
      <c r="TCQ33" s="13"/>
      <c r="TCR33" s="13"/>
      <c r="TCS33" s="13"/>
      <c r="TCT33" s="13"/>
      <c r="TCU33" s="13"/>
      <c r="TCV33" s="13"/>
      <c r="TCW33" s="13"/>
      <c r="TCX33" s="13"/>
      <c r="TCY33" s="13"/>
      <c r="TCZ33" s="13"/>
      <c r="TDA33" s="13"/>
      <c r="TDB33" s="13"/>
      <c r="TDC33" s="13"/>
      <c r="TDD33" s="13"/>
      <c r="TDE33" s="13"/>
      <c r="TDF33" s="13"/>
      <c r="TDG33" s="13"/>
      <c r="TDH33" s="13"/>
      <c r="TDI33" s="13"/>
      <c r="TDJ33" s="13"/>
      <c r="TDK33" s="13"/>
      <c r="TDL33" s="13"/>
      <c r="TDM33" s="13"/>
      <c r="TDN33" s="13"/>
      <c r="TDO33" s="13"/>
      <c r="TDP33" s="13"/>
      <c r="TDQ33" s="13"/>
      <c r="TDR33" s="13"/>
      <c r="TDS33" s="13"/>
      <c r="TDT33" s="13"/>
      <c r="TDU33" s="13"/>
      <c r="TDV33" s="13"/>
      <c r="TDW33" s="13"/>
      <c r="TDX33" s="13"/>
      <c r="TDY33" s="13"/>
      <c r="TDZ33" s="13"/>
      <c r="TEA33" s="13"/>
      <c r="TEB33" s="13"/>
      <c r="TEC33" s="13"/>
      <c r="TED33" s="13"/>
      <c r="TEE33" s="13"/>
      <c r="TEF33" s="13"/>
      <c r="TEG33" s="13"/>
      <c r="TEH33" s="13"/>
      <c r="TEI33" s="13"/>
      <c r="TEJ33" s="13"/>
      <c r="TEK33" s="13"/>
      <c r="TEL33" s="13"/>
      <c r="TEM33" s="13"/>
      <c r="TEN33" s="13"/>
      <c r="TEO33" s="13"/>
      <c r="TEP33" s="13"/>
      <c r="TEQ33" s="13"/>
      <c r="TER33" s="13"/>
      <c r="TES33" s="13"/>
      <c r="TET33" s="13"/>
      <c r="TEU33" s="13"/>
      <c r="TEV33" s="13"/>
      <c r="TEW33" s="13"/>
      <c r="TEX33" s="13"/>
      <c r="TEY33" s="13"/>
      <c r="TEZ33" s="13"/>
      <c r="TFA33" s="13"/>
      <c r="TFB33" s="13"/>
      <c r="TFC33" s="13"/>
      <c r="TFD33" s="13"/>
      <c r="TFE33" s="13"/>
      <c r="TFF33" s="13"/>
      <c r="TFG33" s="13"/>
      <c r="TFH33" s="13"/>
      <c r="TFI33" s="13"/>
      <c r="TFJ33" s="13"/>
      <c r="TFK33" s="13"/>
      <c r="TFL33" s="13"/>
      <c r="TFM33" s="13"/>
      <c r="TFN33" s="13"/>
      <c r="TFO33" s="13"/>
      <c r="TFP33" s="13"/>
      <c r="TFQ33" s="13"/>
      <c r="TFR33" s="13"/>
      <c r="TFS33" s="13"/>
      <c r="TFT33" s="13"/>
      <c r="TFU33" s="13"/>
      <c r="TFV33" s="13"/>
      <c r="TFW33" s="13"/>
      <c r="TFX33" s="13"/>
      <c r="TFY33" s="13"/>
      <c r="TFZ33" s="13"/>
      <c r="TGA33" s="13"/>
      <c r="TGB33" s="13"/>
      <c r="TGC33" s="13"/>
      <c r="TGD33" s="13"/>
      <c r="TGE33" s="13"/>
      <c r="TGF33" s="13"/>
      <c r="TGG33" s="13"/>
      <c r="TGH33" s="13"/>
      <c r="TGI33" s="13"/>
      <c r="TGJ33" s="13"/>
      <c r="TGK33" s="13"/>
      <c r="TGL33" s="13"/>
      <c r="TGM33" s="13"/>
      <c r="TGN33" s="13"/>
      <c r="TGO33" s="13"/>
      <c r="TGP33" s="13"/>
      <c r="TGQ33" s="13"/>
      <c r="TGR33" s="13"/>
      <c r="TGS33" s="13"/>
      <c r="TGT33" s="13"/>
      <c r="TGU33" s="13"/>
      <c r="TGV33" s="13"/>
      <c r="TGW33" s="13"/>
      <c r="TGX33" s="13"/>
      <c r="TGY33" s="13"/>
      <c r="TGZ33" s="13"/>
      <c r="THA33" s="13"/>
      <c r="THB33" s="13"/>
      <c r="THC33" s="13"/>
      <c r="THD33" s="13"/>
      <c r="THE33" s="13"/>
      <c r="THF33" s="13"/>
      <c r="THG33" s="13"/>
      <c r="THH33" s="13"/>
      <c r="THI33" s="13"/>
      <c r="THJ33" s="13"/>
      <c r="THK33" s="13"/>
      <c r="THL33" s="13"/>
      <c r="THM33" s="13"/>
      <c r="THN33" s="13"/>
      <c r="THO33" s="13"/>
      <c r="THP33" s="13"/>
      <c r="THQ33" s="13"/>
      <c r="THR33" s="13"/>
      <c r="THS33" s="13"/>
      <c r="THT33" s="13"/>
      <c r="THU33" s="13"/>
      <c r="THV33" s="13"/>
      <c r="THW33" s="13"/>
      <c r="THX33" s="13"/>
      <c r="THY33" s="13"/>
      <c r="THZ33" s="13"/>
      <c r="TIA33" s="13"/>
      <c r="TIB33" s="13"/>
      <c r="TIC33" s="13"/>
      <c r="TID33" s="13"/>
      <c r="TIE33" s="13"/>
      <c r="TIF33" s="13"/>
      <c r="TIG33" s="13"/>
      <c r="TIH33" s="13"/>
      <c r="TII33" s="13"/>
      <c r="TIJ33" s="13"/>
      <c r="TIK33" s="13"/>
      <c r="TIL33" s="13"/>
      <c r="TIM33" s="13"/>
      <c r="TIN33" s="13"/>
      <c r="TIO33" s="13"/>
      <c r="TIP33" s="13"/>
      <c r="TIQ33" s="13"/>
      <c r="TIR33" s="13"/>
      <c r="TIS33" s="13"/>
      <c r="TIT33" s="13"/>
      <c r="TIU33" s="13"/>
      <c r="TIV33" s="13"/>
      <c r="TIW33" s="13"/>
      <c r="TIX33" s="13"/>
      <c r="TIY33" s="13"/>
      <c r="TIZ33" s="13"/>
      <c r="TJA33" s="13"/>
      <c r="TJB33" s="13"/>
      <c r="TJC33" s="13"/>
      <c r="TJD33" s="13"/>
      <c r="TJE33" s="13"/>
      <c r="TJF33" s="13"/>
      <c r="TJG33" s="13"/>
      <c r="TJH33" s="13"/>
      <c r="TJI33" s="13"/>
      <c r="TJJ33" s="13"/>
      <c r="TJK33" s="13"/>
      <c r="TJL33" s="13"/>
      <c r="TJM33" s="13"/>
      <c r="TJN33" s="13"/>
      <c r="TJO33" s="13"/>
      <c r="TJP33" s="13"/>
      <c r="TJQ33" s="13"/>
      <c r="TJR33" s="13"/>
      <c r="TJS33" s="13"/>
      <c r="TJT33" s="13"/>
      <c r="TJU33" s="13"/>
      <c r="TJV33" s="13"/>
      <c r="TJW33" s="13"/>
      <c r="TJX33" s="13"/>
      <c r="TJY33" s="13"/>
      <c r="TJZ33" s="13"/>
      <c r="TKA33" s="13"/>
      <c r="TKB33" s="13"/>
      <c r="TKC33" s="13"/>
      <c r="TKD33" s="13"/>
      <c r="TKE33" s="13"/>
      <c r="TKF33" s="13"/>
      <c r="TKG33" s="13"/>
      <c r="TKH33" s="13"/>
      <c r="TKI33" s="13"/>
      <c r="TKJ33" s="13"/>
      <c r="TKK33" s="13"/>
      <c r="TKL33" s="13"/>
      <c r="TKM33" s="13"/>
      <c r="TKN33" s="13"/>
      <c r="TKO33" s="13"/>
      <c r="TKP33" s="13"/>
      <c r="TKQ33" s="13"/>
      <c r="TKR33" s="13"/>
      <c r="TKS33" s="13"/>
      <c r="TKT33" s="13"/>
      <c r="TKU33" s="13"/>
      <c r="TKV33" s="13"/>
      <c r="TKW33" s="13"/>
      <c r="TKX33" s="13"/>
      <c r="TKY33" s="13"/>
      <c r="TKZ33" s="13"/>
      <c r="TLA33" s="13"/>
      <c r="TLB33" s="13"/>
      <c r="TLC33" s="13"/>
      <c r="TLD33" s="13"/>
      <c r="TLE33" s="13"/>
      <c r="TLF33" s="13"/>
      <c r="TLG33" s="13"/>
      <c r="TLH33" s="13"/>
      <c r="TLI33" s="13"/>
      <c r="TLJ33" s="13"/>
      <c r="TLK33" s="13"/>
      <c r="TLL33" s="13"/>
      <c r="TLM33" s="13"/>
      <c r="TLN33" s="13"/>
      <c r="TLO33" s="13"/>
      <c r="TLP33" s="13"/>
      <c r="TLQ33" s="13"/>
      <c r="TLR33" s="13"/>
      <c r="TLS33" s="13"/>
      <c r="TLT33" s="13"/>
      <c r="TLU33" s="13"/>
      <c r="TLV33" s="13"/>
      <c r="TLW33" s="13"/>
      <c r="TLX33" s="13"/>
      <c r="TLY33" s="13"/>
      <c r="TLZ33" s="13"/>
      <c r="TMA33" s="13"/>
      <c r="TMB33" s="13"/>
      <c r="TMC33" s="13"/>
      <c r="TMD33" s="13"/>
      <c r="TME33" s="13"/>
      <c r="TMF33" s="13"/>
      <c r="TMG33" s="13"/>
      <c r="TMH33" s="13"/>
      <c r="TMI33" s="13"/>
      <c r="TMJ33" s="13"/>
      <c r="TMK33" s="13"/>
      <c r="TML33" s="13"/>
      <c r="TMM33" s="13"/>
      <c r="TMN33" s="13"/>
      <c r="TMO33" s="13"/>
      <c r="TMP33" s="13"/>
      <c r="TMQ33" s="13"/>
      <c r="TMR33" s="13"/>
      <c r="TMS33" s="13"/>
      <c r="TMT33" s="13"/>
      <c r="TMU33" s="13"/>
      <c r="TMV33" s="13"/>
      <c r="TMW33" s="13"/>
      <c r="TMX33" s="13"/>
      <c r="TMY33" s="13"/>
      <c r="TMZ33" s="13"/>
      <c r="TNA33" s="13"/>
      <c r="TNB33" s="13"/>
      <c r="TNC33" s="13"/>
      <c r="TND33" s="13"/>
      <c r="TNE33" s="13"/>
      <c r="TNF33" s="13"/>
      <c r="TNG33" s="13"/>
      <c r="TNH33" s="13"/>
      <c r="TNI33" s="13"/>
      <c r="TNJ33" s="13"/>
      <c r="TNK33" s="13"/>
      <c r="TNL33" s="13"/>
      <c r="TNM33" s="13"/>
      <c r="TNN33" s="13"/>
      <c r="TNO33" s="13"/>
      <c r="TNP33" s="13"/>
      <c r="TNQ33" s="13"/>
      <c r="TNR33" s="13"/>
      <c r="TNS33" s="13"/>
      <c r="TNT33" s="13"/>
      <c r="TNU33" s="13"/>
      <c r="TNV33" s="13"/>
      <c r="TNW33" s="13"/>
      <c r="TNX33" s="13"/>
      <c r="TNY33" s="13"/>
      <c r="TNZ33" s="13"/>
      <c r="TOA33" s="13"/>
      <c r="TOB33" s="13"/>
      <c r="TOC33" s="13"/>
      <c r="TOD33" s="13"/>
      <c r="TOE33" s="13"/>
      <c r="TOF33" s="13"/>
      <c r="TOG33" s="13"/>
      <c r="TOH33" s="13"/>
      <c r="TOI33" s="13"/>
      <c r="TOJ33" s="13"/>
      <c r="TOK33" s="13"/>
      <c r="TOL33" s="13"/>
      <c r="TOM33" s="13"/>
      <c r="TON33" s="13"/>
      <c r="TOO33" s="13"/>
      <c r="TOP33" s="13"/>
      <c r="TOQ33" s="13"/>
      <c r="TOR33" s="13"/>
      <c r="TOS33" s="13"/>
      <c r="TOT33" s="13"/>
      <c r="TOU33" s="13"/>
      <c r="TOV33" s="13"/>
      <c r="TOW33" s="13"/>
      <c r="TOX33" s="13"/>
      <c r="TOY33" s="13"/>
      <c r="TOZ33" s="13"/>
      <c r="TPA33" s="13"/>
      <c r="TPB33" s="13"/>
      <c r="TPC33" s="13"/>
      <c r="TPD33" s="13"/>
      <c r="TPE33" s="13"/>
      <c r="TPF33" s="13"/>
      <c r="TPG33" s="13"/>
      <c r="TPH33" s="13"/>
      <c r="TPI33" s="13"/>
      <c r="TPJ33" s="13"/>
      <c r="TPK33" s="13"/>
      <c r="TPL33" s="13"/>
      <c r="TPM33" s="13"/>
      <c r="TPN33" s="13"/>
      <c r="TPO33" s="13"/>
      <c r="TPP33" s="13"/>
      <c r="TPQ33" s="13"/>
      <c r="TPR33" s="13"/>
      <c r="TPS33" s="13"/>
      <c r="TPT33" s="13"/>
      <c r="TPU33" s="13"/>
      <c r="TPV33" s="13"/>
      <c r="TPW33" s="13"/>
      <c r="TPX33" s="13"/>
      <c r="TPY33" s="13"/>
      <c r="TPZ33" s="13"/>
      <c r="TQA33" s="13"/>
      <c r="TQB33" s="13"/>
      <c r="TQC33" s="13"/>
      <c r="TQD33" s="13"/>
      <c r="TQE33" s="13"/>
      <c r="TQF33" s="13"/>
      <c r="TQG33" s="13"/>
      <c r="TQH33" s="13"/>
      <c r="TQI33" s="13"/>
      <c r="TQJ33" s="13"/>
      <c r="TQK33" s="13"/>
      <c r="TQL33" s="13"/>
      <c r="TQM33" s="13"/>
      <c r="TQN33" s="13"/>
      <c r="TQO33" s="13"/>
      <c r="TQP33" s="13"/>
      <c r="TQQ33" s="13"/>
      <c r="TQR33" s="13"/>
      <c r="TQS33" s="13"/>
      <c r="TQT33" s="13"/>
      <c r="TQU33" s="13"/>
      <c r="TQV33" s="13"/>
      <c r="TQW33" s="13"/>
      <c r="TQX33" s="13"/>
      <c r="TQY33" s="13"/>
      <c r="TQZ33" s="13"/>
      <c r="TRA33" s="13"/>
      <c r="TRB33" s="13"/>
      <c r="TRC33" s="13"/>
      <c r="TRD33" s="13"/>
      <c r="TRE33" s="13"/>
      <c r="TRF33" s="13"/>
      <c r="TRG33" s="13"/>
      <c r="TRH33" s="13"/>
      <c r="TRI33" s="13"/>
      <c r="TRJ33" s="13"/>
      <c r="TRK33" s="13"/>
      <c r="TRL33" s="13"/>
      <c r="TRM33" s="13"/>
      <c r="TRN33" s="13"/>
      <c r="TRO33" s="13"/>
      <c r="TRP33" s="13"/>
      <c r="TRQ33" s="13"/>
      <c r="TRR33" s="13"/>
      <c r="TRS33" s="13"/>
      <c r="TRT33" s="13"/>
      <c r="TRU33" s="13"/>
      <c r="TRV33" s="13"/>
      <c r="TRW33" s="13"/>
      <c r="TRX33" s="13"/>
      <c r="TRY33" s="13"/>
      <c r="TRZ33" s="13"/>
      <c r="TSA33" s="13"/>
      <c r="TSB33" s="13"/>
      <c r="TSC33" s="13"/>
      <c r="TSD33" s="13"/>
      <c r="TSE33" s="13"/>
      <c r="TSF33" s="13"/>
      <c r="TSG33" s="13"/>
      <c r="TSH33" s="13"/>
      <c r="TSI33" s="13"/>
      <c r="TSJ33" s="13"/>
      <c r="TSK33" s="13"/>
      <c r="TSL33" s="13"/>
      <c r="TSM33" s="13"/>
      <c r="TSN33" s="13"/>
      <c r="TSO33" s="13"/>
      <c r="TSP33" s="13"/>
      <c r="TSQ33" s="13"/>
      <c r="TSR33" s="13"/>
      <c r="TSS33" s="13"/>
      <c r="TST33" s="13"/>
      <c r="TSU33" s="13"/>
      <c r="TSV33" s="13"/>
      <c r="TSW33" s="13"/>
      <c r="TSX33" s="13"/>
      <c r="TSY33" s="13"/>
      <c r="TSZ33" s="13"/>
      <c r="TTA33" s="13"/>
      <c r="TTB33" s="13"/>
      <c r="TTC33" s="13"/>
      <c r="TTD33" s="13"/>
      <c r="TTE33" s="13"/>
      <c r="TTF33" s="13"/>
      <c r="TTG33" s="13"/>
      <c r="TTH33" s="13"/>
      <c r="TTI33" s="13"/>
      <c r="TTJ33" s="13"/>
      <c r="TTK33" s="13"/>
      <c r="TTL33" s="13"/>
      <c r="TTM33" s="13"/>
      <c r="TTN33" s="13"/>
      <c r="TTO33" s="13"/>
      <c r="TTP33" s="13"/>
      <c r="TTQ33" s="13"/>
      <c r="TTR33" s="13"/>
      <c r="TTS33" s="13"/>
      <c r="TTT33" s="13"/>
      <c r="TTU33" s="13"/>
      <c r="TTV33" s="13"/>
      <c r="TTW33" s="13"/>
      <c r="TTX33" s="13"/>
      <c r="TTY33" s="13"/>
      <c r="TTZ33" s="13"/>
      <c r="TUA33" s="13"/>
      <c r="TUB33" s="13"/>
      <c r="TUC33" s="13"/>
      <c r="TUD33" s="13"/>
      <c r="TUE33" s="13"/>
      <c r="TUF33" s="13"/>
      <c r="TUG33" s="13"/>
      <c r="TUH33" s="13"/>
      <c r="TUI33" s="13"/>
      <c r="TUJ33" s="13"/>
      <c r="TUK33" s="13"/>
      <c r="TUL33" s="13"/>
      <c r="TUM33" s="13"/>
      <c r="TUN33" s="13"/>
      <c r="TUO33" s="13"/>
      <c r="TUP33" s="13"/>
      <c r="TUQ33" s="13"/>
      <c r="TUR33" s="13"/>
      <c r="TUS33" s="13"/>
      <c r="TUT33" s="13"/>
      <c r="TUU33" s="13"/>
      <c r="TUV33" s="13"/>
      <c r="TUW33" s="13"/>
      <c r="TUX33" s="13"/>
      <c r="TUY33" s="13"/>
      <c r="TUZ33" s="13"/>
      <c r="TVA33" s="13"/>
      <c r="TVB33" s="13"/>
      <c r="TVC33" s="13"/>
      <c r="TVD33" s="13"/>
      <c r="TVE33" s="13"/>
      <c r="TVF33" s="13"/>
      <c r="TVG33" s="13"/>
      <c r="TVH33" s="13"/>
      <c r="TVI33" s="13"/>
      <c r="TVJ33" s="13"/>
      <c r="TVK33" s="13"/>
      <c r="TVL33" s="13"/>
      <c r="TVM33" s="13"/>
      <c r="TVN33" s="13"/>
      <c r="TVO33" s="13"/>
      <c r="TVP33" s="13"/>
      <c r="TVQ33" s="13"/>
      <c r="TVR33" s="13"/>
      <c r="TVS33" s="13"/>
      <c r="TVT33" s="13"/>
      <c r="TVU33" s="13"/>
      <c r="TVV33" s="13"/>
      <c r="TVW33" s="13"/>
      <c r="TVX33" s="13"/>
      <c r="TVY33" s="13"/>
      <c r="TVZ33" s="13"/>
      <c r="TWA33" s="13"/>
      <c r="TWB33" s="13"/>
      <c r="TWC33" s="13"/>
      <c r="TWD33" s="13"/>
      <c r="TWE33" s="13"/>
      <c r="TWF33" s="13"/>
      <c r="TWG33" s="13"/>
      <c r="TWH33" s="13"/>
      <c r="TWI33" s="13"/>
      <c r="TWJ33" s="13"/>
      <c r="TWK33" s="13"/>
      <c r="TWL33" s="13"/>
      <c r="TWM33" s="13"/>
      <c r="TWN33" s="13"/>
      <c r="TWO33" s="13"/>
      <c r="TWP33" s="13"/>
      <c r="TWQ33" s="13"/>
      <c r="TWR33" s="13"/>
      <c r="TWS33" s="13"/>
      <c r="TWT33" s="13"/>
      <c r="TWU33" s="13"/>
      <c r="TWV33" s="13"/>
      <c r="TWW33" s="13"/>
      <c r="TWX33" s="13"/>
      <c r="TWY33" s="13"/>
      <c r="TWZ33" s="13"/>
      <c r="TXA33" s="13"/>
      <c r="TXB33" s="13"/>
      <c r="TXC33" s="13"/>
      <c r="TXD33" s="13"/>
      <c r="TXE33" s="13"/>
      <c r="TXF33" s="13"/>
      <c r="TXG33" s="13"/>
      <c r="TXH33" s="13"/>
      <c r="TXI33" s="13"/>
      <c r="TXJ33" s="13"/>
      <c r="TXK33" s="13"/>
      <c r="TXL33" s="13"/>
      <c r="TXM33" s="13"/>
      <c r="TXN33" s="13"/>
      <c r="TXO33" s="13"/>
      <c r="TXP33" s="13"/>
      <c r="TXQ33" s="13"/>
      <c r="TXR33" s="13"/>
      <c r="TXS33" s="13"/>
      <c r="TXT33" s="13"/>
      <c r="TXU33" s="13"/>
      <c r="TXV33" s="13"/>
      <c r="TXW33" s="13"/>
      <c r="TXX33" s="13"/>
      <c r="TXY33" s="13"/>
      <c r="TXZ33" s="13"/>
      <c r="TYA33" s="13"/>
      <c r="TYB33" s="13"/>
      <c r="TYC33" s="13"/>
      <c r="TYD33" s="13"/>
      <c r="TYE33" s="13"/>
      <c r="TYF33" s="13"/>
      <c r="TYG33" s="13"/>
      <c r="TYH33" s="13"/>
      <c r="TYI33" s="13"/>
      <c r="TYJ33" s="13"/>
      <c r="TYK33" s="13"/>
      <c r="TYL33" s="13"/>
      <c r="TYM33" s="13"/>
      <c r="TYN33" s="13"/>
      <c r="TYO33" s="13"/>
      <c r="TYP33" s="13"/>
      <c r="TYQ33" s="13"/>
      <c r="TYR33" s="13"/>
      <c r="TYS33" s="13"/>
      <c r="TYT33" s="13"/>
      <c r="TYU33" s="13"/>
      <c r="TYV33" s="13"/>
      <c r="TYW33" s="13"/>
      <c r="TYX33" s="13"/>
      <c r="TYY33" s="13"/>
      <c r="TYZ33" s="13"/>
      <c r="TZA33" s="13"/>
      <c r="TZB33" s="13"/>
      <c r="TZC33" s="13"/>
      <c r="TZD33" s="13"/>
      <c r="TZE33" s="13"/>
      <c r="TZF33" s="13"/>
      <c r="TZG33" s="13"/>
      <c r="TZH33" s="13"/>
      <c r="TZI33" s="13"/>
      <c r="TZJ33" s="13"/>
      <c r="TZK33" s="13"/>
      <c r="TZL33" s="13"/>
      <c r="TZM33" s="13"/>
      <c r="TZN33" s="13"/>
      <c r="TZO33" s="13"/>
      <c r="TZP33" s="13"/>
      <c r="TZQ33" s="13"/>
      <c r="TZR33" s="13"/>
      <c r="TZS33" s="13"/>
      <c r="TZT33" s="13"/>
      <c r="TZU33" s="13"/>
      <c r="TZV33" s="13"/>
      <c r="TZW33" s="13"/>
      <c r="TZX33" s="13"/>
      <c r="TZY33" s="13"/>
      <c r="TZZ33" s="13"/>
      <c r="UAA33" s="13"/>
      <c r="UAB33" s="13"/>
      <c r="UAC33" s="13"/>
      <c r="UAD33" s="13"/>
      <c r="UAE33" s="13"/>
      <c r="UAF33" s="13"/>
      <c r="UAG33" s="13"/>
      <c r="UAH33" s="13"/>
      <c r="UAI33" s="13"/>
      <c r="UAJ33" s="13"/>
      <c r="UAK33" s="13"/>
      <c r="UAL33" s="13"/>
      <c r="UAM33" s="13"/>
      <c r="UAN33" s="13"/>
      <c r="UAO33" s="13"/>
      <c r="UAP33" s="13"/>
      <c r="UAQ33" s="13"/>
      <c r="UAR33" s="13"/>
      <c r="UAS33" s="13"/>
      <c r="UAT33" s="13"/>
      <c r="UAU33" s="13"/>
      <c r="UAV33" s="13"/>
      <c r="UAW33" s="13"/>
      <c r="UAX33" s="13"/>
      <c r="UAY33" s="13"/>
      <c r="UAZ33" s="13"/>
      <c r="UBA33" s="13"/>
      <c r="UBB33" s="13"/>
      <c r="UBC33" s="13"/>
      <c r="UBD33" s="13"/>
      <c r="UBE33" s="13"/>
      <c r="UBF33" s="13"/>
      <c r="UBG33" s="13"/>
      <c r="UBH33" s="13"/>
      <c r="UBI33" s="13"/>
      <c r="UBJ33" s="13"/>
      <c r="UBK33" s="13"/>
      <c r="UBL33" s="13"/>
      <c r="UBM33" s="13"/>
      <c r="UBN33" s="13"/>
      <c r="UBO33" s="13"/>
      <c r="UBP33" s="13"/>
      <c r="UBQ33" s="13"/>
      <c r="UBR33" s="13"/>
      <c r="UBS33" s="13"/>
      <c r="UBT33" s="13"/>
      <c r="UBU33" s="13"/>
      <c r="UBV33" s="13"/>
      <c r="UBW33" s="13"/>
      <c r="UBX33" s="13"/>
      <c r="UBY33" s="13"/>
      <c r="UBZ33" s="13"/>
      <c r="UCA33" s="13"/>
      <c r="UCB33" s="13"/>
      <c r="UCC33" s="13"/>
      <c r="UCD33" s="13"/>
      <c r="UCE33" s="13"/>
      <c r="UCF33" s="13"/>
      <c r="UCG33" s="13"/>
      <c r="UCH33" s="13"/>
      <c r="UCI33" s="13"/>
      <c r="UCJ33" s="13"/>
      <c r="UCK33" s="13"/>
      <c r="UCL33" s="13"/>
      <c r="UCM33" s="13"/>
      <c r="UCN33" s="13"/>
      <c r="UCO33" s="13"/>
      <c r="UCP33" s="13"/>
      <c r="UCQ33" s="13"/>
      <c r="UCR33" s="13"/>
      <c r="UCS33" s="13"/>
      <c r="UCT33" s="13"/>
      <c r="UCU33" s="13"/>
      <c r="UCV33" s="13"/>
      <c r="UCW33" s="13"/>
      <c r="UCX33" s="13"/>
      <c r="UCY33" s="13"/>
      <c r="UCZ33" s="13"/>
      <c r="UDA33" s="13"/>
      <c r="UDB33" s="13"/>
      <c r="UDC33" s="13"/>
      <c r="UDD33" s="13"/>
      <c r="UDE33" s="13"/>
      <c r="UDF33" s="13"/>
      <c r="UDG33" s="13"/>
      <c r="UDH33" s="13"/>
      <c r="UDI33" s="13"/>
      <c r="UDJ33" s="13"/>
      <c r="UDK33" s="13"/>
      <c r="UDL33" s="13"/>
      <c r="UDM33" s="13"/>
      <c r="UDN33" s="13"/>
      <c r="UDO33" s="13"/>
      <c r="UDP33" s="13"/>
      <c r="UDQ33" s="13"/>
      <c r="UDR33" s="13"/>
      <c r="UDS33" s="13"/>
      <c r="UDT33" s="13"/>
      <c r="UDU33" s="13"/>
      <c r="UDV33" s="13"/>
      <c r="UDW33" s="13"/>
      <c r="UDX33" s="13"/>
      <c r="UDY33" s="13"/>
      <c r="UDZ33" s="13"/>
      <c r="UEA33" s="13"/>
      <c r="UEB33" s="13"/>
      <c r="UEC33" s="13"/>
      <c r="UED33" s="13"/>
      <c r="UEE33" s="13"/>
      <c r="UEF33" s="13"/>
      <c r="UEG33" s="13"/>
      <c r="UEH33" s="13"/>
      <c r="UEI33" s="13"/>
      <c r="UEJ33" s="13"/>
      <c r="UEK33" s="13"/>
      <c r="UEL33" s="13"/>
      <c r="UEM33" s="13"/>
      <c r="UEN33" s="13"/>
      <c r="UEO33" s="13"/>
      <c r="UEP33" s="13"/>
      <c r="UEQ33" s="13"/>
      <c r="UER33" s="13"/>
      <c r="UES33" s="13"/>
      <c r="UET33" s="13"/>
      <c r="UEU33" s="13"/>
      <c r="UEV33" s="13"/>
      <c r="UEW33" s="13"/>
      <c r="UEX33" s="13"/>
      <c r="UEY33" s="13"/>
      <c r="UEZ33" s="13"/>
      <c r="UFA33" s="13"/>
      <c r="UFB33" s="13"/>
      <c r="UFC33" s="13"/>
      <c r="UFD33" s="13"/>
      <c r="UFE33" s="13"/>
      <c r="UFF33" s="13"/>
      <c r="UFG33" s="13"/>
      <c r="UFH33" s="13"/>
      <c r="UFI33" s="13"/>
      <c r="UFJ33" s="13"/>
      <c r="UFK33" s="13"/>
      <c r="UFL33" s="13"/>
      <c r="UFM33" s="13"/>
      <c r="UFN33" s="13"/>
      <c r="UFO33" s="13"/>
      <c r="UFP33" s="13"/>
      <c r="UFQ33" s="13"/>
      <c r="UFR33" s="13"/>
      <c r="UFS33" s="13"/>
      <c r="UFT33" s="13"/>
      <c r="UFU33" s="13"/>
      <c r="UFV33" s="13"/>
      <c r="UFW33" s="13"/>
      <c r="UFX33" s="13"/>
      <c r="UFY33" s="13"/>
      <c r="UFZ33" s="13"/>
      <c r="UGA33" s="13"/>
      <c r="UGB33" s="13"/>
      <c r="UGC33" s="13"/>
      <c r="UGD33" s="13"/>
      <c r="UGE33" s="13"/>
      <c r="UGF33" s="13"/>
      <c r="UGG33" s="13"/>
      <c r="UGH33" s="13"/>
      <c r="UGI33" s="13"/>
      <c r="UGJ33" s="13"/>
      <c r="UGK33" s="13"/>
      <c r="UGL33" s="13"/>
      <c r="UGM33" s="13"/>
      <c r="UGN33" s="13"/>
      <c r="UGO33" s="13"/>
      <c r="UGP33" s="13"/>
      <c r="UGQ33" s="13"/>
      <c r="UGR33" s="13"/>
      <c r="UGS33" s="13"/>
      <c r="UGT33" s="13"/>
      <c r="UGU33" s="13"/>
      <c r="UGV33" s="13"/>
      <c r="UGW33" s="13"/>
      <c r="UGX33" s="13"/>
      <c r="UGY33" s="13"/>
      <c r="UGZ33" s="13"/>
      <c r="UHA33" s="13"/>
      <c r="UHB33" s="13"/>
      <c r="UHC33" s="13"/>
      <c r="UHD33" s="13"/>
      <c r="UHE33" s="13"/>
      <c r="UHF33" s="13"/>
      <c r="UHG33" s="13"/>
      <c r="UHH33" s="13"/>
      <c r="UHI33" s="13"/>
      <c r="UHJ33" s="13"/>
      <c r="UHK33" s="13"/>
      <c r="UHL33" s="13"/>
      <c r="UHM33" s="13"/>
      <c r="UHN33" s="13"/>
      <c r="UHO33" s="13"/>
      <c r="UHP33" s="13"/>
      <c r="UHQ33" s="13"/>
      <c r="UHR33" s="13"/>
      <c r="UHS33" s="13"/>
      <c r="UHT33" s="13"/>
      <c r="UHU33" s="13"/>
      <c r="UHV33" s="13"/>
      <c r="UHW33" s="13"/>
      <c r="UHX33" s="13"/>
      <c r="UHY33" s="13"/>
      <c r="UHZ33" s="13"/>
      <c r="UIA33" s="13"/>
      <c r="UIB33" s="13"/>
      <c r="UIC33" s="13"/>
      <c r="UID33" s="13"/>
      <c r="UIE33" s="13"/>
      <c r="UIF33" s="13"/>
      <c r="UIG33" s="13"/>
      <c r="UIH33" s="13"/>
      <c r="UII33" s="13"/>
      <c r="UIJ33" s="13"/>
      <c r="UIK33" s="13"/>
      <c r="UIL33" s="13"/>
      <c r="UIM33" s="13"/>
      <c r="UIN33" s="13"/>
      <c r="UIO33" s="13"/>
      <c r="UIP33" s="13"/>
      <c r="UIQ33" s="13"/>
      <c r="UIR33" s="13"/>
      <c r="UIS33" s="13"/>
      <c r="UIT33" s="13"/>
      <c r="UIU33" s="13"/>
      <c r="UIV33" s="13"/>
      <c r="UIW33" s="13"/>
      <c r="UIX33" s="13"/>
      <c r="UIY33" s="13"/>
      <c r="UIZ33" s="13"/>
      <c r="UJA33" s="13"/>
      <c r="UJB33" s="13"/>
      <c r="UJC33" s="13"/>
      <c r="UJD33" s="13"/>
      <c r="UJE33" s="13"/>
      <c r="UJF33" s="13"/>
      <c r="UJG33" s="13"/>
      <c r="UJH33" s="13"/>
      <c r="UJI33" s="13"/>
      <c r="UJJ33" s="13"/>
      <c r="UJK33" s="13"/>
      <c r="UJL33" s="13"/>
      <c r="UJM33" s="13"/>
      <c r="UJN33" s="13"/>
      <c r="UJO33" s="13"/>
      <c r="UJP33" s="13"/>
      <c r="UJQ33" s="13"/>
      <c r="UJR33" s="13"/>
      <c r="UJS33" s="13"/>
      <c r="UJT33" s="13"/>
      <c r="UJU33" s="13"/>
      <c r="UJV33" s="13"/>
      <c r="UJW33" s="13"/>
      <c r="UJX33" s="13"/>
      <c r="UJY33" s="13"/>
      <c r="UJZ33" s="13"/>
      <c r="UKA33" s="13"/>
      <c r="UKB33" s="13"/>
      <c r="UKC33" s="13"/>
      <c r="UKD33" s="13"/>
      <c r="UKE33" s="13"/>
      <c r="UKF33" s="13"/>
      <c r="UKG33" s="13"/>
      <c r="UKH33" s="13"/>
      <c r="UKI33" s="13"/>
      <c r="UKJ33" s="13"/>
      <c r="UKK33" s="13"/>
      <c r="UKL33" s="13"/>
      <c r="UKM33" s="13"/>
      <c r="UKN33" s="13"/>
      <c r="UKO33" s="13"/>
      <c r="UKP33" s="13"/>
      <c r="UKQ33" s="13"/>
      <c r="UKR33" s="13"/>
      <c r="UKS33" s="13"/>
      <c r="UKT33" s="13"/>
      <c r="UKU33" s="13"/>
      <c r="UKV33" s="13"/>
      <c r="UKW33" s="13"/>
      <c r="UKX33" s="13"/>
      <c r="UKY33" s="13"/>
      <c r="UKZ33" s="13"/>
      <c r="ULA33" s="13"/>
      <c r="ULB33" s="13"/>
      <c r="ULC33" s="13"/>
      <c r="ULD33" s="13"/>
      <c r="ULE33" s="13"/>
      <c r="ULF33" s="13"/>
      <c r="ULG33" s="13"/>
      <c r="ULH33" s="13"/>
      <c r="ULI33" s="13"/>
      <c r="ULJ33" s="13"/>
      <c r="ULK33" s="13"/>
      <c r="ULL33" s="13"/>
      <c r="ULM33" s="13"/>
      <c r="ULN33" s="13"/>
      <c r="ULO33" s="13"/>
      <c r="ULP33" s="13"/>
      <c r="ULQ33" s="13"/>
      <c r="ULR33" s="13"/>
      <c r="ULS33" s="13"/>
      <c r="ULT33" s="13"/>
      <c r="ULU33" s="13"/>
      <c r="ULV33" s="13"/>
      <c r="ULW33" s="13"/>
      <c r="ULX33" s="13"/>
      <c r="ULY33" s="13"/>
      <c r="ULZ33" s="13"/>
      <c r="UMA33" s="13"/>
      <c r="UMB33" s="13"/>
      <c r="UMC33" s="13"/>
      <c r="UMD33" s="13"/>
      <c r="UME33" s="13"/>
      <c r="UMF33" s="13"/>
      <c r="UMG33" s="13"/>
      <c r="UMH33" s="13"/>
      <c r="UMI33" s="13"/>
      <c r="UMJ33" s="13"/>
      <c r="UMK33" s="13"/>
      <c r="UML33" s="13"/>
      <c r="UMM33" s="13"/>
      <c r="UMN33" s="13"/>
      <c r="UMO33" s="13"/>
      <c r="UMP33" s="13"/>
      <c r="UMQ33" s="13"/>
      <c r="UMR33" s="13"/>
      <c r="UMS33" s="13"/>
      <c r="UMT33" s="13"/>
      <c r="UMU33" s="13"/>
      <c r="UMV33" s="13"/>
      <c r="UMW33" s="13"/>
      <c r="UMX33" s="13"/>
      <c r="UMY33" s="13"/>
      <c r="UMZ33" s="13"/>
      <c r="UNA33" s="13"/>
      <c r="UNB33" s="13"/>
      <c r="UNC33" s="13"/>
      <c r="UND33" s="13"/>
      <c r="UNE33" s="13"/>
      <c r="UNF33" s="13"/>
      <c r="UNG33" s="13"/>
      <c r="UNH33" s="13"/>
      <c r="UNI33" s="13"/>
      <c r="UNJ33" s="13"/>
      <c r="UNK33" s="13"/>
      <c r="UNL33" s="13"/>
      <c r="UNM33" s="13"/>
      <c r="UNN33" s="13"/>
      <c r="UNO33" s="13"/>
      <c r="UNP33" s="13"/>
      <c r="UNQ33" s="13"/>
      <c r="UNR33" s="13"/>
      <c r="UNS33" s="13"/>
      <c r="UNT33" s="13"/>
      <c r="UNU33" s="13"/>
      <c r="UNV33" s="13"/>
      <c r="UNW33" s="13"/>
      <c r="UNX33" s="13"/>
      <c r="UNY33" s="13"/>
      <c r="UNZ33" s="13"/>
      <c r="UOA33" s="13"/>
      <c r="UOB33" s="13"/>
      <c r="UOC33" s="13"/>
      <c r="UOD33" s="13"/>
      <c r="UOE33" s="13"/>
      <c r="UOF33" s="13"/>
      <c r="UOG33" s="13"/>
      <c r="UOH33" s="13"/>
      <c r="UOI33" s="13"/>
      <c r="UOJ33" s="13"/>
      <c r="UOK33" s="13"/>
      <c r="UOL33" s="13"/>
      <c r="UOM33" s="13"/>
      <c r="UON33" s="13"/>
      <c r="UOO33" s="13"/>
      <c r="UOP33" s="13"/>
      <c r="UOQ33" s="13"/>
      <c r="UOR33" s="13"/>
      <c r="UOS33" s="13"/>
      <c r="UOT33" s="13"/>
      <c r="UOU33" s="13"/>
      <c r="UOV33" s="13"/>
      <c r="UOW33" s="13"/>
      <c r="UOX33" s="13"/>
      <c r="UOY33" s="13"/>
      <c r="UOZ33" s="13"/>
      <c r="UPA33" s="13"/>
      <c r="UPB33" s="13"/>
      <c r="UPC33" s="13"/>
      <c r="UPD33" s="13"/>
      <c r="UPE33" s="13"/>
      <c r="UPF33" s="13"/>
      <c r="UPG33" s="13"/>
      <c r="UPH33" s="13"/>
      <c r="UPI33" s="13"/>
      <c r="UPJ33" s="13"/>
      <c r="UPK33" s="13"/>
      <c r="UPL33" s="13"/>
      <c r="UPM33" s="13"/>
      <c r="UPN33" s="13"/>
      <c r="UPO33" s="13"/>
      <c r="UPP33" s="13"/>
      <c r="UPQ33" s="13"/>
      <c r="UPR33" s="13"/>
      <c r="UPS33" s="13"/>
      <c r="UPT33" s="13"/>
      <c r="UPU33" s="13"/>
      <c r="UPV33" s="13"/>
      <c r="UPW33" s="13"/>
      <c r="UPX33" s="13"/>
      <c r="UPY33" s="13"/>
      <c r="UPZ33" s="13"/>
      <c r="UQA33" s="13"/>
      <c r="UQB33" s="13"/>
      <c r="UQC33" s="13"/>
      <c r="UQD33" s="13"/>
      <c r="UQE33" s="13"/>
      <c r="UQF33" s="13"/>
      <c r="UQG33" s="13"/>
      <c r="UQH33" s="13"/>
      <c r="UQI33" s="13"/>
      <c r="UQJ33" s="13"/>
      <c r="UQK33" s="13"/>
      <c r="UQL33" s="13"/>
      <c r="UQM33" s="13"/>
      <c r="UQN33" s="13"/>
      <c r="UQO33" s="13"/>
      <c r="UQP33" s="13"/>
      <c r="UQQ33" s="13"/>
      <c r="UQR33" s="13"/>
      <c r="UQS33" s="13"/>
      <c r="UQT33" s="13"/>
      <c r="UQU33" s="13"/>
      <c r="UQV33" s="13"/>
      <c r="UQW33" s="13"/>
      <c r="UQX33" s="13"/>
      <c r="UQY33" s="13"/>
      <c r="UQZ33" s="13"/>
      <c r="URA33" s="13"/>
      <c r="URB33" s="13"/>
      <c r="URC33" s="13"/>
      <c r="URD33" s="13"/>
      <c r="URE33" s="13"/>
      <c r="URF33" s="13"/>
      <c r="URG33" s="13"/>
      <c r="URH33" s="13"/>
      <c r="URI33" s="13"/>
      <c r="URJ33" s="13"/>
      <c r="URK33" s="13"/>
      <c r="URL33" s="13"/>
      <c r="URM33" s="13"/>
      <c r="URN33" s="13"/>
      <c r="URO33" s="13"/>
      <c r="URP33" s="13"/>
      <c r="URQ33" s="13"/>
      <c r="URR33" s="13"/>
      <c r="URS33" s="13"/>
      <c r="URT33" s="13"/>
      <c r="URU33" s="13"/>
      <c r="URV33" s="13"/>
      <c r="URW33" s="13"/>
      <c r="URX33" s="13"/>
      <c r="URY33" s="13"/>
      <c r="URZ33" s="13"/>
      <c r="USA33" s="13"/>
      <c r="USB33" s="13"/>
      <c r="USC33" s="13"/>
      <c r="USD33" s="13"/>
      <c r="USE33" s="13"/>
      <c r="USF33" s="13"/>
      <c r="USG33" s="13"/>
      <c r="USH33" s="13"/>
      <c r="USI33" s="13"/>
      <c r="USJ33" s="13"/>
      <c r="USK33" s="13"/>
      <c r="USL33" s="13"/>
      <c r="USM33" s="13"/>
      <c r="USN33" s="13"/>
      <c r="USO33" s="13"/>
      <c r="USP33" s="13"/>
      <c r="USQ33" s="13"/>
      <c r="USR33" s="13"/>
      <c r="USS33" s="13"/>
      <c r="UST33" s="13"/>
      <c r="USU33" s="13"/>
      <c r="USV33" s="13"/>
      <c r="USW33" s="13"/>
      <c r="USX33" s="13"/>
      <c r="USY33" s="13"/>
      <c r="USZ33" s="13"/>
      <c r="UTA33" s="13"/>
      <c r="UTB33" s="13"/>
      <c r="UTC33" s="13"/>
      <c r="UTD33" s="13"/>
      <c r="UTE33" s="13"/>
      <c r="UTF33" s="13"/>
      <c r="UTG33" s="13"/>
      <c r="UTH33" s="13"/>
      <c r="UTI33" s="13"/>
      <c r="UTJ33" s="13"/>
      <c r="UTK33" s="13"/>
      <c r="UTL33" s="13"/>
      <c r="UTM33" s="13"/>
      <c r="UTN33" s="13"/>
      <c r="UTO33" s="13"/>
      <c r="UTP33" s="13"/>
      <c r="UTQ33" s="13"/>
      <c r="UTR33" s="13"/>
      <c r="UTS33" s="13"/>
      <c r="UTT33" s="13"/>
      <c r="UTU33" s="13"/>
      <c r="UTV33" s="13"/>
      <c r="UTW33" s="13"/>
      <c r="UTX33" s="13"/>
      <c r="UTY33" s="13"/>
      <c r="UTZ33" s="13"/>
      <c r="UUA33" s="13"/>
      <c r="UUB33" s="13"/>
      <c r="UUC33" s="13"/>
      <c r="UUD33" s="13"/>
      <c r="UUE33" s="13"/>
      <c r="UUF33" s="13"/>
      <c r="UUG33" s="13"/>
      <c r="UUH33" s="13"/>
      <c r="UUI33" s="13"/>
      <c r="UUJ33" s="13"/>
      <c r="UUK33" s="13"/>
      <c r="UUL33" s="13"/>
      <c r="UUM33" s="13"/>
      <c r="UUN33" s="13"/>
      <c r="UUO33" s="13"/>
      <c r="UUP33" s="13"/>
      <c r="UUQ33" s="13"/>
      <c r="UUR33" s="13"/>
      <c r="UUS33" s="13"/>
      <c r="UUT33" s="13"/>
      <c r="UUU33" s="13"/>
      <c r="UUV33" s="13"/>
      <c r="UUW33" s="13"/>
      <c r="UUX33" s="13"/>
      <c r="UUY33" s="13"/>
      <c r="UUZ33" s="13"/>
      <c r="UVA33" s="13"/>
      <c r="UVB33" s="13"/>
      <c r="UVC33" s="13"/>
      <c r="UVD33" s="13"/>
      <c r="UVE33" s="13"/>
      <c r="UVF33" s="13"/>
      <c r="UVG33" s="13"/>
      <c r="UVH33" s="13"/>
      <c r="UVI33" s="13"/>
      <c r="UVJ33" s="13"/>
      <c r="UVK33" s="13"/>
      <c r="UVL33" s="13"/>
      <c r="UVM33" s="13"/>
      <c r="UVN33" s="13"/>
      <c r="UVO33" s="13"/>
      <c r="UVP33" s="13"/>
      <c r="UVQ33" s="13"/>
      <c r="UVR33" s="13"/>
      <c r="UVS33" s="13"/>
      <c r="UVT33" s="13"/>
      <c r="UVU33" s="13"/>
      <c r="UVV33" s="13"/>
      <c r="UVW33" s="13"/>
      <c r="UVX33" s="13"/>
      <c r="UVY33" s="13"/>
      <c r="UVZ33" s="13"/>
      <c r="UWA33" s="13"/>
      <c r="UWB33" s="13"/>
      <c r="UWC33" s="13"/>
      <c r="UWD33" s="13"/>
      <c r="UWE33" s="13"/>
      <c r="UWF33" s="13"/>
      <c r="UWG33" s="13"/>
      <c r="UWH33" s="13"/>
      <c r="UWI33" s="13"/>
      <c r="UWJ33" s="13"/>
      <c r="UWK33" s="13"/>
      <c r="UWL33" s="13"/>
      <c r="UWM33" s="13"/>
      <c r="UWN33" s="13"/>
      <c r="UWO33" s="13"/>
      <c r="UWP33" s="13"/>
      <c r="UWQ33" s="13"/>
      <c r="UWR33" s="13"/>
      <c r="UWS33" s="13"/>
      <c r="UWT33" s="13"/>
      <c r="UWU33" s="13"/>
      <c r="UWV33" s="13"/>
      <c r="UWW33" s="13"/>
      <c r="UWX33" s="13"/>
      <c r="UWY33" s="13"/>
      <c r="UWZ33" s="13"/>
      <c r="UXA33" s="13"/>
      <c r="UXB33" s="13"/>
      <c r="UXC33" s="13"/>
      <c r="UXD33" s="13"/>
      <c r="UXE33" s="13"/>
      <c r="UXF33" s="13"/>
      <c r="UXG33" s="13"/>
      <c r="UXH33" s="13"/>
      <c r="UXI33" s="13"/>
      <c r="UXJ33" s="13"/>
      <c r="UXK33" s="13"/>
      <c r="UXL33" s="13"/>
      <c r="UXM33" s="13"/>
      <c r="UXN33" s="13"/>
      <c r="UXO33" s="13"/>
      <c r="UXP33" s="13"/>
      <c r="UXQ33" s="13"/>
      <c r="UXR33" s="13"/>
      <c r="UXS33" s="13"/>
      <c r="UXT33" s="13"/>
      <c r="UXU33" s="13"/>
      <c r="UXV33" s="13"/>
      <c r="UXW33" s="13"/>
      <c r="UXX33" s="13"/>
      <c r="UXY33" s="13"/>
      <c r="UXZ33" s="13"/>
      <c r="UYA33" s="13"/>
      <c r="UYB33" s="13"/>
      <c r="UYC33" s="13"/>
      <c r="UYD33" s="13"/>
      <c r="UYE33" s="13"/>
      <c r="UYF33" s="13"/>
      <c r="UYG33" s="13"/>
      <c r="UYH33" s="13"/>
      <c r="UYI33" s="13"/>
      <c r="UYJ33" s="13"/>
      <c r="UYK33" s="13"/>
      <c r="UYL33" s="13"/>
      <c r="UYM33" s="13"/>
      <c r="UYN33" s="13"/>
      <c r="UYO33" s="13"/>
      <c r="UYP33" s="13"/>
      <c r="UYQ33" s="13"/>
      <c r="UYR33" s="13"/>
      <c r="UYS33" s="13"/>
      <c r="UYT33" s="13"/>
      <c r="UYU33" s="13"/>
      <c r="UYV33" s="13"/>
      <c r="UYW33" s="13"/>
      <c r="UYX33" s="13"/>
      <c r="UYY33" s="13"/>
      <c r="UYZ33" s="13"/>
      <c r="UZA33" s="13"/>
      <c r="UZB33" s="13"/>
      <c r="UZC33" s="13"/>
      <c r="UZD33" s="13"/>
      <c r="UZE33" s="13"/>
      <c r="UZF33" s="13"/>
      <c r="UZG33" s="13"/>
      <c r="UZH33" s="13"/>
      <c r="UZI33" s="13"/>
      <c r="UZJ33" s="13"/>
      <c r="UZK33" s="13"/>
      <c r="UZL33" s="13"/>
      <c r="UZM33" s="13"/>
      <c r="UZN33" s="13"/>
      <c r="UZO33" s="13"/>
      <c r="UZP33" s="13"/>
      <c r="UZQ33" s="13"/>
      <c r="UZR33" s="13"/>
      <c r="UZS33" s="13"/>
      <c r="UZT33" s="13"/>
      <c r="UZU33" s="13"/>
      <c r="UZV33" s="13"/>
      <c r="UZW33" s="13"/>
      <c r="UZX33" s="13"/>
      <c r="UZY33" s="13"/>
      <c r="UZZ33" s="13"/>
      <c r="VAA33" s="13"/>
      <c r="VAB33" s="13"/>
      <c r="VAC33" s="13"/>
      <c r="VAD33" s="13"/>
      <c r="VAE33" s="13"/>
      <c r="VAF33" s="13"/>
      <c r="VAG33" s="13"/>
      <c r="VAH33" s="13"/>
      <c r="VAI33" s="13"/>
      <c r="VAJ33" s="13"/>
      <c r="VAK33" s="13"/>
      <c r="VAL33" s="13"/>
      <c r="VAM33" s="13"/>
      <c r="VAN33" s="13"/>
      <c r="VAO33" s="13"/>
      <c r="VAP33" s="13"/>
      <c r="VAQ33" s="13"/>
      <c r="VAR33" s="13"/>
      <c r="VAS33" s="13"/>
      <c r="VAT33" s="13"/>
      <c r="VAU33" s="13"/>
      <c r="VAV33" s="13"/>
      <c r="VAW33" s="13"/>
      <c r="VAX33" s="13"/>
      <c r="VAY33" s="13"/>
      <c r="VAZ33" s="13"/>
      <c r="VBA33" s="13"/>
      <c r="VBB33" s="13"/>
      <c r="VBC33" s="13"/>
      <c r="VBD33" s="13"/>
      <c r="VBE33" s="13"/>
      <c r="VBF33" s="13"/>
      <c r="VBG33" s="13"/>
      <c r="VBH33" s="13"/>
      <c r="VBI33" s="13"/>
      <c r="VBJ33" s="13"/>
      <c r="VBK33" s="13"/>
      <c r="VBL33" s="13"/>
      <c r="VBM33" s="13"/>
      <c r="VBN33" s="13"/>
      <c r="VBO33" s="13"/>
      <c r="VBP33" s="13"/>
      <c r="VBQ33" s="13"/>
      <c r="VBR33" s="13"/>
      <c r="VBS33" s="13"/>
      <c r="VBT33" s="13"/>
      <c r="VBU33" s="13"/>
      <c r="VBV33" s="13"/>
      <c r="VBW33" s="13"/>
      <c r="VBX33" s="13"/>
      <c r="VBY33" s="13"/>
      <c r="VBZ33" s="13"/>
      <c r="VCA33" s="13"/>
      <c r="VCB33" s="13"/>
      <c r="VCC33" s="13"/>
      <c r="VCD33" s="13"/>
      <c r="VCE33" s="13"/>
      <c r="VCF33" s="13"/>
      <c r="VCG33" s="13"/>
      <c r="VCH33" s="13"/>
      <c r="VCI33" s="13"/>
      <c r="VCJ33" s="13"/>
      <c r="VCK33" s="13"/>
      <c r="VCL33" s="13"/>
      <c r="VCM33" s="13"/>
      <c r="VCN33" s="13"/>
      <c r="VCO33" s="13"/>
      <c r="VCP33" s="13"/>
      <c r="VCQ33" s="13"/>
      <c r="VCR33" s="13"/>
      <c r="VCS33" s="13"/>
      <c r="VCT33" s="13"/>
      <c r="VCU33" s="13"/>
      <c r="VCV33" s="13"/>
      <c r="VCW33" s="13"/>
      <c r="VCX33" s="13"/>
      <c r="VCY33" s="13"/>
      <c r="VCZ33" s="13"/>
      <c r="VDA33" s="13"/>
      <c r="VDB33" s="13"/>
      <c r="VDC33" s="13"/>
      <c r="VDD33" s="13"/>
      <c r="VDE33" s="13"/>
      <c r="VDF33" s="13"/>
      <c r="VDG33" s="13"/>
      <c r="VDH33" s="13"/>
      <c r="VDI33" s="13"/>
      <c r="VDJ33" s="13"/>
      <c r="VDK33" s="13"/>
      <c r="VDL33" s="13"/>
      <c r="VDM33" s="13"/>
      <c r="VDN33" s="13"/>
      <c r="VDO33" s="13"/>
      <c r="VDP33" s="13"/>
      <c r="VDQ33" s="13"/>
      <c r="VDR33" s="13"/>
      <c r="VDS33" s="13"/>
      <c r="VDT33" s="13"/>
      <c r="VDU33" s="13"/>
      <c r="VDV33" s="13"/>
      <c r="VDW33" s="13"/>
      <c r="VDX33" s="13"/>
      <c r="VDY33" s="13"/>
      <c r="VDZ33" s="13"/>
      <c r="VEA33" s="13"/>
      <c r="VEB33" s="13"/>
      <c r="VEC33" s="13"/>
      <c r="VED33" s="13"/>
      <c r="VEE33" s="13"/>
      <c r="VEF33" s="13"/>
      <c r="VEG33" s="13"/>
      <c r="VEH33" s="13"/>
      <c r="VEI33" s="13"/>
      <c r="VEJ33" s="13"/>
      <c r="VEK33" s="13"/>
      <c r="VEL33" s="13"/>
      <c r="VEM33" s="13"/>
      <c r="VEN33" s="13"/>
      <c r="VEO33" s="13"/>
      <c r="VEP33" s="13"/>
      <c r="VEQ33" s="13"/>
      <c r="VER33" s="13"/>
      <c r="VES33" s="13"/>
      <c r="VET33" s="13"/>
      <c r="VEU33" s="13"/>
      <c r="VEV33" s="13"/>
      <c r="VEW33" s="13"/>
      <c r="VEX33" s="13"/>
      <c r="VEY33" s="13"/>
      <c r="VEZ33" s="13"/>
      <c r="VFA33" s="13"/>
      <c r="VFB33" s="13"/>
      <c r="VFC33" s="13"/>
      <c r="VFD33" s="13"/>
      <c r="VFE33" s="13"/>
      <c r="VFF33" s="13"/>
      <c r="VFG33" s="13"/>
      <c r="VFH33" s="13"/>
      <c r="VFI33" s="13"/>
      <c r="VFJ33" s="13"/>
      <c r="VFK33" s="13"/>
      <c r="VFL33" s="13"/>
      <c r="VFM33" s="13"/>
      <c r="VFN33" s="13"/>
      <c r="VFO33" s="13"/>
      <c r="VFP33" s="13"/>
      <c r="VFQ33" s="13"/>
      <c r="VFR33" s="13"/>
      <c r="VFS33" s="13"/>
      <c r="VFT33" s="13"/>
      <c r="VFU33" s="13"/>
      <c r="VFV33" s="13"/>
      <c r="VFW33" s="13"/>
      <c r="VFX33" s="13"/>
      <c r="VFY33" s="13"/>
      <c r="VFZ33" s="13"/>
      <c r="VGA33" s="13"/>
      <c r="VGB33" s="13"/>
      <c r="VGC33" s="13"/>
      <c r="VGD33" s="13"/>
    </row>
    <row r="34" spans="1:15106" s="1" customFormat="1">
      <c r="B34" s="45"/>
      <c r="C34" s="199" t="s">
        <v>27</v>
      </c>
      <c r="D34" s="54">
        <v>0.5</v>
      </c>
      <c r="E34" s="55" t="s">
        <v>12</v>
      </c>
      <c r="F34" s="53">
        <v>0.39</v>
      </c>
      <c r="G34" s="53">
        <v>0.39</v>
      </c>
      <c r="H34" s="53">
        <v>0.37</v>
      </c>
      <c r="I34" s="53">
        <v>0.37</v>
      </c>
      <c r="J34" s="53">
        <v>0.37</v>
      </c>
      <c r="K34" s="53">
        <v>0.39</v>
      </c>
      <c r="L34" s="53">
        <v>0.38</v>
      </c>
      <c r="M34" s="53">
        <v>0.38</v>
      </c>
      <c r="N34" s="53">
        <v>0.37</v>
      </c>
      <c r="O34" s="53">
        <v>0.38</v>
      </c>
      <c r="P34" s="53">
        <v>0.38</v>
      </c>
      <c r="Q34" s="53">
        <v>0.38</v>
      </c>
      <c r="R34" s="53">
        <v>0.39</v>
      </c>
      <c r="S34" s="53">
        <v>0.4</v>
      </c>
      <c r="T34" s="53">
        <v>0.4</v>
      </c>
      <c r="U34" s="53">
        <v>0.4</v>
      </c>
      <c r="V34" s="53">
        <v>0.39</v>
      </c>
      <c r="W34" s="53">
        <v>0.39</v>
      </c>
      <c r="X34" s="53">
        <v>0.39</v>
      </c>
      <c r="Y34" s="53">
        <v>0.39</v>
      </c>
      <c r="Z34" s="53">
        <v>0.39</v>
      </c>
      <c r="AA34" s="53">
        <v>0.39</v>
      </c>
      <c r="AB34" s="53">
        <v>0.38</v>
      </c>
      <c r="AC34" s="53">
        <v>0.38</v>
      </c>
      <c r="AD34" s="53">
        <v>0.39</v>
      </c>
      <c r="AE34" s="53">
        <v>0.39</v>
      </c>
      <c r="AF34" s="53">
        <v>0.39</v>
      </c>
      <c r="AG34" s="53">
        <v>0.4</v>
      </c>
      <c r="AH34" s="53">
        <v>0.4</v>
      </c>
      <c r="AI34" s="53">
        <v>0.4</v>
      </c>
      <c r="AJ34" s="53">
        <v>0.39</v>
      </c>
      <c r="AK34" s="105"/>
      <c r="AL34" s="107">
        <f>AVERAGE(F34:AD34)</f>
        <v>0.3852000000000001</v>
      </c>
      <c r="AN34" s="106"/>
      <c r="AT34" s="262"/>
      <c r="CP34" s="234"/>
      <c r="EB34" s="233"/>
      <c r="EC34" s="233"/>
      <c r="FI34" s="233"/>
    </row>
    <row r="35" spans="1:15106" s="1" customFormat="1">
      <c r="B35" s="45"/>
      <c r="C35" s="199" t="s">
        <v>28</v>
      </c>
      <c r="D35" s="56" t="s">
        <v>29</v>
      </c>
      <c r="E35" s="55" t="s">
        <v>12</v>
      </c>
      <c r="F35" s="53">
        <v>2.23</v>
      </c>
      <c r="G35" s="53">
        <v>2.23</v>
      </c>
      <c r="H35" s="53">
        <v>2.2000000000000002</v>
      </c>
      <c r="I35" s="53">
        <v>2.25</v>
      </c>
      <c r="J35" s="53">
        <v>2.2200000000000002</v>
      </c>
      <c r="K35" s="57">
        <v>2.2200000000000002</v>
      </c>
      <c r="L35" s="57">
        <v>2.2200000000000002</v>
      </c>
      <c r="M35" s="53">
        <v>2.2200000000000002</v>
      </c>
      <c r="N35" s="53">
        <v>2.2200000000000002</v>
      </c>
      <c r="O35" s="57">
        <v>2.2400000000000002</v>
      </c>
      <c r="P35" s="57">
        <v>2.2200000000000002</v>
      </c>
      <c r="Q35" s="57">
        <v>2.2200000000000002</v>
      </c>
      <c r="R35" s="53">
        <v>2.23</v>
      </c>
      <c r="S35" s="53">
        <v>2.17</v>
      </c>
      <c r="T35" s="53">
        <v>2.2200000000000002</v>
      </c>
      <c r="U35" s="57">
        <v>2.21</v>
      </c>
      <c r="V35" s="53">
        <v>2.21</v>
      </c>
      <c r="W35" s="53">
        <v>2.19</v>
      </c>
      <c r="X35" s="53">
        <v>2.21</v>
      </c>
      <c r="Y35" s="53">
        <v>2.21</v>
      </c>
      <c r="Z35" s="53">
        <v>2.21</v>
      </c>
      <c r="AA35" s="53">
        <v>2.21</v>
      </c>
      <c r="AB35" s="53">
        <v>2.23</v>
      </c>
      <c r="AC35" s="53">
        <v>2.2200000000000002</v>
      </c>
      <c r="AD35" s="53">
        <v>2.2200000000000002</v>
      </c>
      <c r="AE35" s="53">
        <v>2.23</v>
      </c>
      <c r="AF35" s="53">
        <v>2.23</v>
      </c>
      <c r="AG35" s="53">
        <v>2.2200000000000002</v>
      </c>
      <c r="AH35" s="53">
        <v>2.2200000000000002</v>
      </c>
      <c r="AI35" s="53">
        <v>2.2200000000000002</v>
      </c>
      <c r="AJ35" s="53">
        <v>2.2200000000000002</v>
      </c>
      <c r="AK35" s="105"/>
      <c r="AL35" s="107">
        <f>AVERAGE(F35:AJ35)</f>
        <v>2.218387096774193</v>
      </c>
      <c r="AM35" s="251"/>
      <c r="AN35" s="106"/>
      <c r="AP35" s="234">
        <f>AP30-AP31</f>
        <v>6975.9927544909951</v>
      </c>
      <c r="AQ35" s="262"/>
      <c r="AT35" s="262"/>
      <c r="EB35" s="233"/>
      <c r="EC35" s="233"/>
      <c r="FI35" s="233"/>
    </row>
    <row r="36" spans="1:15106" s="1" customFormat="1">
      <c r="B36" s="45"/>
      <c r="C36" s="58" t="s">
        <v>30</v>
      </c>
      <c r="D36" s="59"/>
      <c r="E36" s="60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109"/>
      <c r="AL36" s="110" t="s">
        <v>30</v>
      </c>
      <c r="AM36" s="106"/>
      <c r="AN36" s="106"/>
      <c r="AP36" s="233">
        <f>31-30</f>
        <v>1</v>
      </c>
      <c r="EB36" s="233"/>
      <c r="EC36" s="233"/>
      <c r="FI36" s="233"/>
    </row>
    <row r="37" spans="1:15106" s="3" customFormat="1">
      <c r="B37" s="61"/>
      <c r="C37" s="200" t="s">
        <v>31</v>
      </c>
      <c r="D37" s="47">
        <f>D55%*D31</f>
        <v>52458682.634730525</v>
      </c>
      <c r="E37" s="201" t="s">
        <v>9</v>
      </c>
      <c r="F37" s="49">
        <v>1378520</v>
      </c>
      <c r="G37" s="49">
        <v>1332020</v>
      </c>
      <c r="H37" s="49">
        <v>1361880</v>
      </c>
      <c r="I37" s="250">
        <v>1364180</v>
      </c>
      <c r="J37" s="250">
        <v>1362790</v>
      </c>
      <c r="K37" s="250">
        <v>1213910</v>
      </c>
      <c r="L37" s="250">
        <f>1364.55*1000</f>
        <v>1364550</v>
      </c>
      <c r="M37" s="250">
        <v>1347470</v>
      </c>
      <c r="N37" s="250">
        <v>1367880</v>
      </c>
      <c r="O37" s="250">
        <f>1365.28*1000</f>
        <v>1365280</v>
      </c>
      <c r="P37" s="250">
        <v>1364430</v>
      </c>
      <c r="Q37" s="49">
        <v>1367880</v>
      </c>
      <c r="R37" s="49">
        <v>1365530</v>
      </c>
      <c r="S37" s="49">
        <v>1366670</v>
      </c>
      <c r="T37" s="49">
        <v>1352580</v>
      </c>
      <c r="U37" s="49">
        <f>1212.84*1000</f>
        <v>1212840</v>
      </c>
      <c r="V37" s="49">
        <v>1524050</v>
      </c>
      <c r="W37" s="49">
        <v>1484810</v>
      </c>
      <c r="X37" s="49">
        <v>1460810</v>
      </c>
      <c r="Y37" s="49">
        <f>1388.46000000001*1000</f>
        <v>1388460.00000001</v>
      </c>
      <c r="Z37" s="49">
        <f>1311.38999999998*1000</f>
        <v>1311389.99999998</v>
      </c>
      <c r="AA37" s="49">
        <f>1385.81000000001*1000</f>
        <v>1385810.00000001</v>
      </c>
      <c r="AB37" s="49">
        <f>1437.14999999999*1000</f>
        <v>1437149.99999999</v>
      </c>
      <c r="AC37" s="49">
        <v>1825800</v>
      </c>
      <c r="AD37" s="49">
        <v>1910450</v>
      </c>
      <c r="AE37" s="49">
        <v>1887440</v>
      </c>
      <c r="AF37" s="49">
        <f>1771.84999999999*1000</f>
        <v>1771849.99999999</v>
      </c>
      <c r="AG37" s="49">
        <v>1639230</v>
      </c>
      <c r="AH37" s="49">
        <f>1870.59999999999*1000</f>
        <v>1870599.99999999</v>
      </c>
      <c r="AI37" s="49">
        <f>1914.07000000001*1000</f>
        <v>1914070.00000001</v>
      </c>
      <c r="AJ37" s="49">
        <f>1913.09999999999*1000</f>
        <v>1913099.99999999</v>
      </c>
      <c r="AK37" s="111"/>
      <c r="AL37" s="104">
        <f>SUM(F37:AJ37)</f>
        <v>46213429.999999978</v>
      </c>
      <c r="AM37" s="14"/>
      <c r="AN37" s="14"/>
      <c r="AP37" s="256">
        <f>AP35/AP36</f>
        <v>6975.9927544909951</v>
      </c>
      <c r="BK37" s="95"/>
      <c r="EB37" s="252"/>
      <c r="EC37" s="252"/>
      <c r="ED37" s="95">
        <f>AN37/1000</f>
        <v>0</v>
      </c>
      <c r="FI37" s="252"/>
      <c r="VGH37"/>
      <c r="VGI37"/>
      <c r="VGJ37"/>
      <c r="VGK37"/>
      <c r="VGL37"/>
      <c r="VGM37"/>
      <c r="VGN37"/>
      <c r="VGO37"/>
      <c r="VGP37"/>
      <c r="VGQ37"/>
      <c r="VGR37"/>
      <c r="VGS37"/>
      <c r="VGT37"/>
      <c r="VGU37"/>
      <c r="VGV37"/>
      <c r="VGW37"/>
      <c r="VGX37"/>
      <c r="VGY37"/>
      <c r="VGZ37"/>
      <c r="VHA37"/>
      <c r="VHB37"/>
      <c r="VHC37"/>
      <c r="VHD37"/>
      <c r="VHE37"/>
      <c r="VHF37"/>
      <c r="VHG37"/>
      <c r="VHH37"/>
      <c r="VHI37"/>
      <c r="VHJ37"/>
      <c r="VHK37"/>
      <c r="VHL37"/>
      <c r="VHM37"/>
      <c r="VHN37"/>
      <c r="VHO37"/>
      <c r="VHP37"/>
      <c r="VHQ37"/>
      <c r="VHR37"/>
      <c r="VHS37"/>
      <c r="VHT37"/>
      <c r="VHU37"/>
      <c r="VHV37"/>
      <c r="VHW37"/>
      <c r="VHX37"/>
      <c r="VHY37"/>
      <c r="VHZ37"/>
    </row>
    <row r="38" spans="1:15106" s="3" customFormat="1">
      <c r="B38" s="61"/>
      <c r="C38" s="200" t="s">
        <v>32</v>
      </c>
      <c r="D38" s="47">
        <f>D56%*D31</f>
        <v>2784431.1377245504</v>
      </c>
      <c r="E38" s="201" t="s">
        <v>9</v>
      </c>
      <c r="F38" s="49">
        <v>64490</v>
      </c>
      <c r="G38" s="49">
        <v>63990</v>
      </c>
      <c r="H38" s="49">
        <v>64290</v>
      </c>
      <c r="I38" s="250">
        <v>65260</v>
      </c>
      <c r="J38" s="250">
        <f>66.6500000000001*1000</f>
        <v>66650.000000000102</v>
      </c>
      <c r="K38" s="250">
        <f>59.4699999999998*1000</f>
        <v>59469.999999999796</v>
      </c>
      <c r="L38" s="250">
        <f>64.8300000000004*1000</f>
        <v>64830.000000000393</v>
      </c>
      <c r="M38" s="250">
        <f>63.8299999999999*1000</f>
        <v>63829.999999999898</v>
      </c>
      <c r="N38" s="250">
        <v>61470</v>
      </c>
      <c r="O38" s="250">
        <f>64.0599999999999*1000</f>
        <v>64059.999999999905</v>
      </c>
      <c r="P38" s="250">
        <f>64.8700000000003*1000</f>
        <v>64870.000000000306</v>
      </c>
      <c r="Q38" s="49">
        <v>61480</v>
      </c>
      <c r="R38" s="49">
        <f>63.9299999999998*1000</f>
        <v>63929.999999999804</v>
      </c>
      <c r="S38" s="49">
        <f>64.5599999999999*1000</f>
        <v>64559.999999999905</v>
      </c>
      <c r="T38" s="49">
        <f>62.4899999999998*1000</f>
        <v>62489.999999999804</v>
      </c>
      <c r="U38" s="49">
        <f>59.7600000000002*1000</f>
        <v>59760.000000000196</v>
      </c>
      <c r="V38" s="49">
        <f>72.8699999999999*1000</f>
        <v>72869.999999999898</v>
      </c>
      <c r="W38" s="49">
        <f>70.4500000000003*1000</f>
        <v>70450.000000000306</v>
      </c>
      <c r="X38" s="49">
        <f>66.3399999999997*1000</f>
        <v>66339.999999999709</v>
      </c>
      <c r="Y38" s="49">
        <v>66980</v>
      </c>
      <c r="Z38" s="49">
        <f>61.4900000000002*1000</f>
        <v>61490.000000000204</v>
      </c>
      <c r="AA38" s="49">
        <v>64230</v>
      </c>
      <c r="AB38" s="49">
        <v>66960</v>
      </c>
      <c r="AC38" s="49">
        <f>89.0899999999997*1000</f>
        <v>89089.999999999709</v>
      </c>
      <c r="AD38" s="49">
        <f>87.4000000000001*1000</f>
        <v>87400.000000000102</v>
      </c>
      <c r="AE38" s="49">
        <f>83.4000000000001*1000</f>
        <v>83400.000000000102</v>
      </c>
      <c r="AF38" s="49">
        <v>78480</v>
      </c>
      <c r="AG38" s="49">
        <v>74250</v>
      </c>
      <c r="AH38" s="49">
        <f>85.2799999999997*1000</f>
        <v>85279.999999999709</v>
      </c>
      <c r="AI38" s="49">
        <v>85520</v>
      </c>
      <c r="AJ38" s="49">
        <f>86.5100000000002*1000</f>
        <v>86510.000000000204</v>
      </c>
      <c r="AK38" s="111"/>
      <c r="AL38" s="104">
        <f>SUM(F38:AJ38)</f>
        <v>2154680</v>
      </c>
      <c r="AM38" s="14"/>
      <c r="AN38" s="14"/>
      <c r="EB38" s="252"/>
      <c r="EC38" s="252"/>
      <c r="ED38" s="95">
        <f>AN38/1000</f>
        <v>0</v>
      </c>
      <c r="FI38" s="252"/>
      <c r="VGH38"/>
      <c r="VGI38"/>
      <c r="VGJ38"/>
      <c r="VGK38"/>
      <c r="VGL38"/>
      <c r="VGM38"/>
      <c r="VGN38"/>
      <c r="VGO38"/>
      <c r="VGP38"/>
      <c r="VGQ38"/>
      <c r="VGR38"/>
      <c r="VGS38"/>
      <c r="VGT38"/>
      <c r="VGU38"/>
      <c r="VGV38"/>
      <c r="VGW38"/>
      <c r="VGX38"/>
      <c r="VGY38"/>
      <c r="VGZ38"/>
      <c r="VHA38"/>
      <c r="VHB38"/>
      <c r="VHC38"/>
      <c r="VHD38"/>
      <c r="VHE38"/>
      <c r="VHF38"/>
      <c r="VHG38"/>
      <c r="VHH38"/>
      <c r="VHI38"/>
      <c r="VHJ38"/>
      <c r="VHK38"/>
      <c r="VHL38"/>
      <c r="VHM38"/>
      <c r="VHN38"/>
      <c r="VHO38"/>
      <c r="VHP38"/>
      <c r="VHQ38"/>
      <c r="VHR38"/>
      <c r="VHS38"/>
      <c r="VHT38"/>
      <c r="VHU38"/>
      <c r="VHV38"/>
      <c r="VHW38"/>
      <c r="VHX38"/>
      <c r="VHY38"/>
      <c r="VHZ38"/>
    </row>
    <row r="39" spans="1:15106">
      <c r="B39" s="61"/>
      <c r="C39" s="62" t="s">
        <v>33</v>
      </c>
      <c r="D39" s="63"/>
      <c r="E39" s="64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111"/>
      <c r="AL39" s="112" t="s">
        <v>34</v>
      </c>
      <c r="AM39" s="14"/>
    </row>
    <row r="40" spans="1:15106" s="1" customFormat="1" ht="14.25">
      <c r="B40" s="55"/>
      <c r="C40" s="200" t="s">
        <v>35</v>
      </c>
      <c r="D40" s="265">
        <f>SUM(D41:D42)</f>
        <v>39383180.184730403</v>
      </c>
      <c r="E40" s="201" t="s">
        <v>9</v>
      </c>
      <c r="F40" s="49">
        <f>SUM(F41:F42)</f>
        <v>1509800</v>
      </c>
      <c r="G40" s="49">
        <f t="shared" ref="G40:M40" si="12">SUM(G41:G42)</f>
        <v>1289800</v>
      </c>
      <c r="H40" s="49">
        <f t="shared" si="12"/>
        <v>1363200</v>
      </c>
      <c r="I40" s="49">
        <f t="shared" si="12"/>
        <v>1424800</v>
      </c>
      <c r="J40" s="49">
        <f t="shared" si="12"/>
        <v>1480100</v>
      </c>
      <c r="K40" s="49">
        <f t="shared" si="12"/>
        <v>1163700</v>
      </c>
      <c r="L40" s="49">
        <f t="shared" si="12"/>
        <v>950400</v>
      </c>
      <c r="M40" s="49">
        <f t="shared" si="12"/>
        <v>0</v>
      </c>
      <c r="N40" s="49">
        <f t="shared" ref="N40:O40" si="13">SUM(N41:N42)</f>
        <v>0</v>
      </c>
      <c r="O40" s="49">
        <f t="shared" si="13"/>
        <v>0</v>
      </c>
      <c r="P40" s="49">
        <f t="shared" ref="P40:AJ40" si="14">SUM(P41:P42)</f>
        <v>988600</v>
      </c>
      <c r="Q40" s="49">
        <f t="shared" si="14"/>
        <v>1977200</v>
      </c>
      <c r="R40" s="49">
        <f t="shared" si="14"/>
        <v>1992300</v>
      </c>
      <c r="S40" s="49">
        <f t="shared" si="14"/>
        <v>1417000</v>
      </c>
      <c r="T40" s="49">
        <f t="shared" si="14"/>
        <v>1333300</v>
      </c>
      <c r="U40" s="49">
        <f t="shared" si="14"/>
        <v>1046000.000000002</v>
      </c>
      <c r="V40" s="49">
        <f t="shared" si="14"/>
        <v>1387600</v>
      </c>
      <c r="W40" s="49">
        <f t="shared" si="14"/>
        <v>1182699.9999999981</v>
      </c>
      <c r="X40" s="49">
        <f t="shared" si="14"/>
        <v>1312900</v>
      </c>
      <c r="Y40" s="49">
        <f t="shared" si="14"/>
        <v>1410000</v>
      </c>
      <c r="Z40" s="49">
        <f t="shared" si="14"/>
        <v>1399900</v>
      </c>
      <c r="AA40" s="49">
        <f t="shared" si="14"/>
        <v>1265300</v>
      </c>
      <c r="AB40" s="49">
        <f t="shared" si="14"/>
        <v>0</v>
      </c>
      <c r="AC40" s="49">
        <f t="shared" si="14"/>
        <v>1466800</v>
      </c>
      <c r="AD40" s="49">
        <f t="shared" si="14"/>
        <v>2063799.9999999991</v>
      </c>
      <c r="AE40" s="49">
        <f t="shared" si="14"/>
        <v>1970600</v>
      </c>
      <c r="AF40" s="49">
        <f t="shared" si="14"/>
        <v>1768700.0000000009</v>
      </c>
      <c r="AG40" s="49">
        <f t="shared" si="14"/>
        <v>1165000</v>
      </c>
      <c r="AH40" s="49">
        <f t="shared" si="14"/>
        <v>0</v>
      </c>
      <c r="AI40" s="49">
        <f t="shared" si="14"/>
        <v>1265699.9999999991</v>
      </c>
      <c r="AJ40" s="49">
        <f t="shared" si="14"/>
        <v>2093500.0000000009</v>
      </c>
      <c r="AK40" s="105"/>
      <c r="AL40" s="104">
        <f>SUM(F40:AJ40)</f>
        <v>37688700</v>
      </c>
      <c r="AM40" s="106"/>
      <c r="AN40" s="106"/>
      <c r="EB40" s="233"/>
      <c r="EC40" s="233"/>
      <c r="FI40" s="233"/>
    </row>
    <row r="41" spans="1:15106">
      <c r="B41" s="61"/>
      <c r="C41" s="200" t="s">
        <v>36</v>
      </c>
      <c r="D41" s="265">
        <f>32294.2077514789*1000</f>
        <v>32294207.751478903</v>
      </c>
      <c r="E41" s="201" t="s">
        <v>9</v>
      </c>
      <c r="F41" s="49">
        <v>1233100</v>
      </c>
      <c r="G41" s="49">
        <v>1028400</v>
      </c>
      <c r="H41" s="49">
        <v>1079800</v>
      </c>
      <c r="I41" s="250">
        <v>1111900</v>
      </c>
      <c r="J41" s="250">
        <v>1192600</v>
      </c>
      <c r="K41" s="250">
        <v>924700</v>
      </c>
      <c r="L41" s="250">
        <v>760600</v>
      </c>
      <c r="M41" s="250">
        <v>0</v>
      </c>
      <c r="N41" s="250">
        <v>0</v>
      </c>
      <c r="O41" s="250">
        <v>0</v>
      </c>
      <c r="P41" s="250">
        <v>771100</v>
      </c>
      <c r="Q41" s="250">
        <v>1580500</v>
      </c>
      <c r="R41" s="250">
        <v>1614600</v>
      </c>
      <c r="S41" s="49">
        <v>1096900</v>
      </c>
      <c r="T41" s="49">
        <v>1074400</v>
      </c>
      <c r="U41" s="49">
        <f>844.600000000002*1000</f>
        <v>844600.00000000198</v>
      </c>
      <c r="V41" s="49">
        <v>1157800</v>
      </c>
      <c r="W41" s="49">
        <f>968.399999999998*1000</f>
        <v>968399.99999999802</v>
      </c>
      <c r="X41" s="49">
        <v>1074900</v>
      </c>
      <c r="Y41" s="49">
        <v>1150000</v>
      </c>
      <c r="Z41" s="49">
        <v>1156900</v>
      </c>
      <c r="AA41" s="49">
        <v>1019400</v>
      </c>
      <c r="AB41" s="49">
        <v>0</v>
      </c>
      <c r="AC41" s="49">
        <v>1200200</v>
      </c>
      <c r="AD41" s="49">
        <v>1714000</v>
      </c>
      <c r="AE41" s="49">
        <v>1681600</v>
      </c>
      <c r="AF41" s="49">
        <v>1467500</v>
      </c>
      <c r="AG41" s="49">
        <f>958.200000000001*1000</f>
        <v>958200.00000000093</v>
      </c>
      <c r="AH41" s="49">
        <v>0</v>
      </c>
      <c r="AI41" s="49">
        <v>1056900</v>
      </c>
      <c r="AJ41" s="49">
        <v>1725200</v>
      </c>
      <c r="AK41" s="111"/>
      <c r="AL41" s="104">
        <f>SUM(F41:AJ41)</f>
        <v>30644200</v>
      </c>
      <c r="AM41" s="252"/>
      <c r="AP41" s="252">
        <v>44458.68263473054</v>
      </c>
      <c r="ED41" s="95">
        <f t="shared" ref="ED41:ED42" si="15">AN41/1000</f>
        <v>0</v>
      </c>
    </row>
    <row r="42" spans="1:15106">
      <c r="B42" s="61"/>
      <c r="C42" s="200" t="s">
        <v>37</v>
      </c>
      <c r="D42" s="265">
        <f>7088.9724332515*1000</f>
        <v>7088972.4332515001</v>
      </c>
      <c r="E42" s="201" t="s">
        <v>9</v>
      </c>
      <c r="F42" s="49">
        <v>276700</v>
      </c>
      <c r="G42" s="49">
        <v>261400</v>
      </c>
      <c r="H42" s="49">
        <v>283400</v>
      </c>
      <c r="I42" s="250">
        <v>312900</v>
      </c>
      <c r="J42" s="250">
        <v>287500</v>
      </c>
      <c r="K42" s="250">
        <v>239000</v>
      </c>
      <c r="L42" s="250">
        <v>189800</v>
      </c>
      <c r="M42" s="250">
        <v>0</v>
      </c>
      <c r="N42" s="250">
        <v>0</v>
      </c>
      <c r="O42" s="250">
        <v>0</v>
      </c>
      <c r="P42" s="250">
        <v>217500</v>
      </c>
      <c r="Q42" s="250">
        <v>396700</v>
      </c>
      <c r="R42" s="250">
        <v>377700</v>
      </c>
      <c r="S42" s="49">
        <v>320100</v>
      </c>
      <c r="T42" s="49">
        <v>258900</v>
      </c>
      <c r="U42" s="49">
        <v>201400</v>
      </c>
      <c r="V42" s="49">
        <v>229800</v>
      </c>
      <c r="W42" s="49">
        <v>214300</v>
      </c>
      <c r="X42" s="49">
        <v>238000</v>
      </c>
      <c r="Y42" s="49">
        <v>260000</v>
      </c>
      <c r="Z42" s="49">
        <v>243000</v>
      </c>
      <c r="AA42" s="261">
        <v>245900</v>
      </c>
      <c r="AB42" s="261">
        <v>0</v>
      </c>
      <c r="AC42" s="261">
        <v>266600</v>
      </c>
      <c r="AD42" s="261">
        <f>349.799999999999*1000</f>
        <v>349799.99999999901</v>
      </c>
      <c r="AE42" s="261">
        <v>289000</v>
      </c>
      <c r="AF42" s="49">
        <f>301.200000000001*1000</f>
        <v>301200.00000000099</v>
      </c>
      <c r="AG42" s="49">
        <f>206.799999999999*1000</f>
        <v>206799.99999999898</v>
      </c>
      <c r="AH42" s="49">
        <v>0</v>
      </c>
      <c r="AI42" s="49">
        <f>208.799999999999*1000</f>
        <v>208799.99999999898</v>
      </c>
      <c r="AJ42" s="49">
        <f>368.300000000001*1000</f>
        <v>368300.00000000099</v>
      </c>
      <c r="AK42" s="111"/>
      <c r="AL42" s="104">
        <f>SUM(F42:AJ42)</f>
        <v>7044499.9999999991</v>
      </c>
      <c r="AM42" s="252"/>
      <c r="AP42" s="95">
        <f>SUM(AL40,AL45,AL50)/1000</f>
        <v>43331.8</v>
      </c>
      <c r="ED42" s="95">
        <f t="shared" si="15"/>
        <v>0</v>
      </c>
    </row>
    <row r="43" spans="1:15106">
      <c r="B43" s="61"/>
      <c r="C43" s="62" t="s">
        <v>38</v>
      </c>
      <c r="D43" s="266"/>
      <c r="E43" s="64"/>
      <c r="F43" s="43"/>
      <c r="G43" s="43"/>
      <c r="H43" s="43"/>
      <c r="I43" s="86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92"/>
      <c r="Z43" s="259"/>
      <c r="AA43" s="260"/>
      <c r="AB43" s="92"/>
      <c r="AC43" s="92"/>
      <c r="AD43" s="92"/>
      <c r="AE43" s="92"/>
      <c r="AF43" s="92"/>
      <c r="AG43" s="92"/>
      <c r="AH43" s="92"/>
      <c r="AI43" s="92"/>
      <c r="AJ43" s="92"/>
      <c r="AK43" s="111"/>
      <c r="AL43" s="112" t="s">
        <v>39</v>
      </c>
      <c r="AM43" s="252"/>
      <c r="AP43" s="257">
        <f>AP42/AP41*100</f>
        <v>97.465326078172566</v>
      </c>
    </row>
    <row r="44" spans="1:15106" s="4" customFormat="1" hidden="1">
      <c r="A44" s="9"/>
      <c r="B44" s="26"/>
      <c r="C44" s="65" t="s">
        <v>24</v>
      </c>
      <c r="D44" s="267"/>
      <c r="E44" s="66" t="s">
        <v>9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>
        <v>669500</v>
      </c>
      <c r="AC44" s="49"/>
      <c r="AD44" s="93"/>
      <c r="AE44" s="93"/>
      <c r="AF44" s="93"/>
      <c r="AG44" s="93"/>
      <c r="AH44" s="93"/>
      <c r="AI44" s="93"/>
      <c r="AJ44" s="93"/>
      <c r="AK44" s="113"/>
      <c r="AL44" s="114">
        <f>SUM(F44:AJ44)</f>
        <v>669500</v>
      </c>
      <c r="AM44" s="242"/>
      <c r="AN44" s="115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242"/>
      <c r="EC44" s="242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242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9"/>
      <c r="LL44" s="9"/>
      <c r="LM44" s="9"/>
      <c r="LN44" s="9"/>
      <c r="LO44" s="9"/>
      <c r="LP44" s="9"/>
      <c r="LQ44" s="9"/>
      <c r="LR44" s="9"/>
      <c r="LS44" s="9"/>
      <c r="LT44" s="9"/>
      <c r="LU44" s="9"/>
      <c r="LV44" s="9"/>
      <c r="LW44" s="9"/>
      <c r="LX44" s="9"/>
      <c r="LY44" s="9"/>
      <c r="LZ44" s="9"/>
      <c r="MA44" s="9"/>
      <c r="MB44" s="9"/>
      <c r="MC44" s="9"/>
      <c r="MD44" s="9"/>
      <c r="ME44" s="9"/>
      <c r="MF44" s="9"/>
      <c r="MG44" s="9"/>
      <c r="MH44" s="9"/>
      <c r="MI44" s="9"/>
      <c r="MJ44" s="9"/>
      <c r="MK44" s="9"/>
      <c r="ML44" s="9"/>
      <c r="MM44" s="9"/>
      <c r="MN44" s="9"/>
      <c r="MO44" s="9"/>
      <c r="MP44" s="9"/>
      <c r="MQ44" s="9"/>
      <c r="MR44" s="9"/>
      <c r="MS44" s="9"/>
      <c r="MT44" s="9"/>
      <c r="MU44" s="9"/>
      <c r="MV44" s="9"/>
      <c r="MW44" s="9"/>
      <c r="MX44" s="9"/>
      <c r="MY44" s="9"/>
      <c r="MZ44" s="9"/>
      <c r="NA44" s="9"/>
      <c r="NB44" s="9"/>
      <c r="NC44" s="9"/>
      <c r="ND44" s="9"/>
      <c r="NE44" s="9"/>
      <c r="NF44" s="9"/>
      <c r="NG44" s="9"/>
      <c r="NH44" s="9"/>
      <c r="NI44" s="9"/>
      <c r="NJ44" s="9"/>
      <c r="NK44" s="9"/>
      <c r="NL44" s="9"/>
      <c r="NM44" s="9"/>
      <c r="NN44" s="9"/>
      <c r="NO44" s="9"/>
      <c r="NP44" s="9"/>
      <c r="NQ44" s="9"/>
      <c r="NR44" s="9"/>
      <c r="NS44" s="9"/>
      <c r="NT44" s="9"/>
      <c r="NU44" s="9"/>
      <c r="NV44" s="9"/>
      <c r="NW44" s="9"/>
      <c r="NX44" s="9"/>
      <c r="NY44" s="9"/>
      <c r="NZ44" s="9"/>
      <c r="OA44" s="9"/>
      <c r="OB44" s="9"/>
      <c r="OC44" s="9"/>
      <c r="OD44" s="9"/>
      <c r="OE44" s="9"/>
      <c r="OF44" s="9"/>
      <c r="OG44" s="9"/>
      <c r="OH44" s="9"/>
      <c r="OI44" s="9"/>
      <c r="OJ44" s="9"/>
      <c r="OK44" s="9"/>
      <c r="OL44" s="9"/>
      <c r="OM44" s="9"/>
      <c r="ON44" s="9"/>
      <c r="OO44" s="9"/>
      <c r="OP44" s="9"/>
      <c r="OQ44" s="9"/>
      <c r="OR44" s="9"/>
      <c r="OS44" s="9"/>
      <c r="OT44" s="9"/>
      <c r="OU44" s="9"/>
      <c r="OV44" s="9"/>
      <c r="OW44" s="9"/>
      <c r="OX44" s="9"/>
      <c r="OY44" s="9"/>
      <c r="OZ44" s="9"/>
      <c r="PA44" s="9"/>
      <c r="PB44" s="9"/>
      <c r="PC44" s="9"/>
      <c r="PD44" s="9"/>
      <c r="PE44" s="9"/>
      <c r="PF44" s="9"/>
      <c r="PG44" s="9"/>
      <c r="PH44" s="9"/>
      <c r="PI44" s="9"/>
      <c r="PJ44" s="9"/>
      <c r="PK44" s="9"/>
      <c r="PL44" s="9"/>
      <c r="PM44" s="9"/>
      <c r="PN44" s="9"/>
      <c r="PO44" s="9"/>
      <c r="PP44" s="9"/>
      <c r="PQ44" s="9"/>
      <c r="PR44" s="9"/>
      <c r="PS44" s="9"/>
      <c r="PT44" s="9"/>
      <c r="PU44" s="9"/>
      <c r="PV44" s="9"/>
      <c r="PW44" s="9"/>
      <c r="PX44" s="9"/>
      <c r="PY44" s="9"/>
      <c r="PZ44" s="9"/>
      <c r="QA44" s="9"/>
      <c r="QB44" s="9"/>
      <c r="QC44" s="9"/>
      <c r="QD44" s="9"/>
      <c r="QE44" s="9"/>
      <c r="QF44" s="9"/>
      <c r="QG44" s="9"/>
      <c r="QH44" s="9"/>
      <c r="QI44" s="9"/>
      <c r="QJ44" s="9"/>
      <c r="QK44" s="9"/>
      <c r="QL44" s="9"/>
      <c r="QM44" s="9"/>
      <c r="QN44" s="9"/>
      <c r="QO44" s="9"/>
      <c r="QP44" s="9"/>
      <c r="QQ44" s="9"/>
      <c r="QR44" s="9"/>
      <c r="QS44" s="9"/>
      <c r="QT44" s="9"/>
      <c r="QU44" s="9"/>
      <c r="QV44" s="9"/>
      <c r="QW44" s="9"/>
      <c r="QX44" s="9"/>
      <c r="QY44" s="9"/>
      <c r="QZ44" s="9"/>
      <c r="RA44" s="9"/>
      <c r="RB44" s="9"/>
      <c r="RC44" s="9"/>
      <c r="RD44" s="9"/>
      <c r="RE44" s="9"/>
      <c r="RF44" s="9"/>
      <c r="RG44" s="9"/>
      <c r="RH44" s="9"/>
      <c r="RI44" s="9"/>
      <c r="RJ44" s="9"/>
      <c r="RK44" s="9"/>
      <c r="RL44" s="9"/>
      <c r="RM44" s="9"/>
      <c r="RN44" s="9"/>
      <c r="RO44" s="9"/>
      <c r="RP44" s="9"/>
      <c r="RQ44" s="9"/>
      <c r="RR44" s="9"/>
      <c r="RS44" s="9"/>
      <c r="RT44" s="9"/>
      <c r="RU44" s="9"/>
      <c r="RV44" s="9"/>
      <c r="RW44" s="9"/>
      <c r="RX44" s="9"/>
      <c r="RY44" s="9"/>
      <c r="RZ44" s="9"/>
      <c r="SA44" s="9"/>
      <c r="SB44" s="9"/>
      <c r="SC44" s="9"/>
      <c r="SD44" s="9"/>
      <c r="SE44" s="9"/>
      <c r="SF44" s="9"/>
      <c r="SG44" s="9"/>
      <c r="SH44" s="9"/>
      <c r="SI44" s="9"/>
      <c r="SJ44" s="9"/>
      <c r="SK44" s="9"/>
      <c r="SL44" s="9"/>
      <c r="SM44" s="9"/>
      <c r="SN44" s="9"/>
      <c r="SO44" s="9"/>
      <c r="SP44" s="9"/>
      <c r="SQ44" s="9"/>
      <c r="SR44" s="9"/>
      <c r="SS44" s="9"/>
      <c r="ST44" s="9"/>
      <c r="SU44" s="9"/>
      <c r="SV44" s="9"/>
      <c r="SW44" s="9"/>
      <c r="SX44" s="9"/>
      <c r="SY44" s="9"/>
      <c r="SZ44" s="9"/>
      <c r="TA44" s="9"/>
      <c r="TB44" s="9"/>
      <c r="TC44" s="9"/>
      <c r="TD44" s="9"/>
      <c r="TE44" s="9"/>
      <c r="TF44" s="9"/>
      <c r="TG44" s="9"/>
      <c r="TH44" s="9"/>
      <c r="TI44" s="9"/>
      <c r="TJ44" s="9"/>
      <c r="TK44" s="9"/>
      <c r="TL44" s="9"/>
      <c r="TM44" s="9"/>
      <c r="TN44" s="9"/>
      <c r="TO44" s="9"/>
      <c r="TP44" s="9"/>
      <c r="TQ44" s="9"/>
      <c r="TR44" s="9"/>
      <c r="TS44" s="9"/>
      <c r="TT44" s="9"/>
      <c r="TU44" s="9"/>
      <c r="TV44" s="9"/>
      <c r="TW44" s="9"/>
      <c r="TX44" s="9"/>
      <c r="TY44" s="9"/>
      <c r="TZ44" s="9"/>
      <c r="UA44" s="9"/>
      <c r="UB44" s="9"/>
      <c r="UC44" s="9"/>
      <c r="UD44" s="9"/>
      <c r="UE44" s="9"/>
      <c r="UF44" s="9"/>
      <c r="UG44" s="9"/>
      <c r="UH44" s="9"/>
      <c r="UI44" s="9"/>
      <c r="UJ44" s="9"/>
      <c r="UK44" s="9"/>
      <c r="UL44" s="9"/>
      <c r="UM44" s="9"/>
      <c r="UN44" s="9"/>
      <c r="UO44" s="9"/>
      <c r="UP44" s="9"/>
      <c r="UQ44" s="9"/>
      <c r="UR44" s="9"/>
      <c r="US44" s="9"/>
      <c r="UT44" s="9"/>
      <c r="UU44" s="9"/>
      <c r="UV44" s="9"/>
      <c r="UW44" s="9"/>
      <c r="UX44" s="9"/>
      <c r="UY44" s="9"/>
      <c r="UZ44" s="9"/>
      <c r="VA44" s="9"/>
      <c r="VB44" s="9"/>
      <c r="VC44" s="9"/>
      <c r="VD44" s="9"/>
      <c r="VE44" s="9"/>
      <c r="VF44" s="9"/>
      <c r="VG44" s="9"/>
      <c r="VH44" s="9"/>
      <c r="VI44" s="9"/>
      <c r="VJ44" s="9"/>
      <c r="VK44" s="9"/>
      <c r="VL44" s="9"/>
      <c r="VM44" s="9"/>
      <c r="VN44" s="9"/>
      <c r="VO44" s="9"/>
      <c r="VP44" s="9"/>
      <c r="VQ44" s="9"/>
      <c r="VR44" s="9"/>
      <c r="VS44" s="9"/>
      <c r="VT44" s="9"/>
      <c r="VU44" s="9"/>
      <c r="VV44" s="9"/>
      <c r="VW44" s="9"/>
      <c r="VX44" s="9"/>
      <c r="VY44" s="9"/>
      <c r="VZ44" s="9"/>
      <c r="WA44" s="9"/>
      <c r="WB44" s="9"/>
      <c r="WC44" s="9"/>
      <c r="WD44" s="9"/>
      <c r="WE44" s="9"/>
      <c r="WF44" s="9"/>
      <c r="WG44" s="9"/>
      <c r="WH44" s="9"/>
      <c r="WI44" s="9"/>
      <c r="WJ44" s="9"/>
      <c r="WK44" s="9"/>
      <c r="WL44" s="9"/>
      <c r="WM44" s="9"/>
      <c r="WN44" s="9"/>
      <c r="WO44" s="9"/>
      <c r="WP44" s="9"/>
      <c r="WQ44" s="9"/>
      <c r="WR44" s="9"/>
      <c r="WS44" s="9"/>
      <c r="WT44" s="9"/>
      <c r="WU44" s="9"/>
      <c r="WV44" s="9"/>
      <c r="WW44" s="9"/>
      <c r="WX44" s="9"/>
      <c r="WY44" s="9"/>
      <c r="WZ44" s="9"/>
      <c r="XA44" s="9"/>
      <c r="XB44" s="9"/>
      <c r="XC44" s="9"/>
      <c r="XD44" s="9"/>
      <c r="XE44" s="9"/>
      <c r="XF44" s="9"/>
      <c r="XG44" s="9"/>
      <c r="XH44" s="9"/>
      <c r="XI44" s="9"/>
      <c r="XJ44" s="9"/>
      <c r="XK44" s="9"/>
      <c r="XL44" s="9"/>
      <c r="XM44" s="9"/>
      <c r="XN44" s="9"/>
      <c r="XO44" s="9"/>
      <c r="XP44" s="9"/>
      <c r="XQ44" s="9"/>
      <c r="XR44" s="9"/>
      <c r="XS44" s="9"/>
      <c r="XT44" s="9"/>
      <c r="XU44" s="9"/>
      <c r="XV44" s="9"/>
      <c r="XW44" s="9"/>
      <c r="XX44" s="9"/>
      <c r="XY44" s="9"/>
      <c r="XZ44" s="9"/>
      <c r="YA44" s="9"/>
      <c r="YB44" s="9"/>
      <c r="YC44" s="9"/>
      <c r="YD44" s="9"/>
      <c r="YE44" s="9"/>
      <c r="YF44" s="9"/>
      <c r="YG44" s="9"/>
      <c r="YH44" s="9"/>
      <c r="YI44" s="9"/>
      <c r="YJ44" s="9"/>
      <c r="YK44" s="9"/>
      <c r="YL44" s="9"/>
      <c r="YM44" s="9"/>
      <c r="YN44" s="9"/>
      <c r="YO44" s="9"/>
      <c r="YP44" s="9"/>
      <c r="YQ44" s="9"/>
      <c r="YR44" s="9"/>
      <c r="YS44" s="9"/>
      <c r="YT44" s="9"/>
      <c r="YU44" s="9"/>
      <c r="YV44" s="9"/>
      <c r="YW44" s="9"/>
      <c r="YX44" s="9"/>
      <c r="YY44" s="9"/>
      <c r="YZ44" s="9"/>
      <c r="ZA44" s="9"/>
      <c r="ZB44" s="9"/>
      <c r="ZC44" s="9"/>
      <c r="ZD44" s="9"/>
      <c r="ZE44" s="9"/>
      <c r="ZF44" s="9"/>
      <c r="ZG44" s="9"/>
      <c r="ZH44" s="9"/>
      <c r="ZI44" s="9"/>
      <c r="ZJ44" s="9"/>
      <c r="ZK44" s="9"/>
      <c r="ZL44" s="9"/>
      <c r="ZM44" s="9"/>
      <c r="ZN44" s="9"/>
      <c r="ZO44" s="9"/>
      <c r="ZP44" s="9"/>
      <c r="ZQ44" s="9"/>
      <c r="ZR44" s="9"/>
      <c r="ZS44" s="9"/>
      <c r="ZT44" s="9"/>
      <c r="ZU44" s="9"/>
      <c r="ZV44" s="9"/>
      <c r="ZW44" s="9"/>
      <c r="ZX44" s="9"/>
      <c r="ZY44" s="9"/>
      <c r="ZZ44" s="9"/>
      <c r="AAA44" s="9"/>
      <c r="AAB44" s="9"/>
      <c r="AAC44" s="9"/>
      <c r="AAD44" s="9"/>
      <c r="AAE44" s="9"/>
      <c r="AAF44" s="9"/>
      <c r="AAG44" s="9"/>
      <c r="AAH44" s="9"/>
      <c r="AAI44" s="9"/>
      <c r="AAJ44" s="9"/>
      <c r="AAK44" s="9"/>
      <c r="AAL44" s="9"/>
      <c r="AAM44" s="9"/>
      <c r="AAN44" s="9"/>
      <c r="AAO44" s="9"/>
      <c r="AAP44" s="9"/>
      <c r="AAQ44" s="9"/>
      <c r="AAR44" s="9"/>
      <c r="AAS44" s="9"/>
      <c r="AAT44" s="9"/>
      <c r="AAU44" s="9"/>
      <c r="AAV44" s="9"/>
      <c r="AAW44" s="9"/>
      <c r="AAX44" s="9"/>
      <c r="AAY44" s="9"/>
      <c r="AAZ44" s="9"/>
      <c r="ABA44" s="9"/>
      <c r="ABB44" s="9"/>
      <c r="ABC44" s="9"/>
      <c r="ABD44" s="9"/>
      <c r="ABE44" s="9"/>
      <c r="ABF44" s="9"/>
      <c r="ABG44" s="9"/>
      <c r="ABH44" s="9"/>
      <c r="ABI44" s="9"/>
      <c r="ABJ44" s="9"/>
      <c r="ABK44" s="9"/>
      <c r="ABL44" s="9"/>
      <c r="ABM44" s="9"/>
      <c r="ABN44" s="9"/>
      <c r="ABO44" s="9"/>
      <c r="ABP44" s="9"/>
      <c r="ABQ44" s="9"/>
      <c r="ABR44" s="9"/>
      <c r="ABS44" s="9"/>
      <c r="ABT44" s="9"/>
      <c r="ABU44" s="9"/>
      <c r="ABV44" s="9"/>
      <c r="ABW44" s="9"/>
      <c r="ABX44" s="9"/>
      <c r="ABY44" s="9"/>
      <c r="ABZ44" s="9"/>
      <c r="ACA44" s="9"/>
      <c r="ACB44" s="9"/>
      <c r="ACC44" s="9"/>
      <c r="ACD44" s="9"/>
      <c r="ACE44" s="9"/>
      <c r="ACF44" s="9"/>
      <c r="ACG44" s="9"/>
      <c r="ACH44" s="9"/>
      <c r="ACI44" s="9"/>
      <c r="ACJ44" s="9"/>
      <c r="ACK44" s="9"/>
      <c r="ACL44" s="9"/>
      <c r="ACM44" s="9"/>
      <c r="ACN44" s="9"/>
      <c r="ACO44" s="9"/>
      <c r="ACP44" s="9"/>
      <c r="ACQ44" s="9"/>
      <c r="ACR44" s="9"/>
      <c r="ACS44" s="9"/>
      <c r="ACT44" s="9"/>
      <c r="ACU44" s="9"/>
      <c r="ACV44" s="9"/>
      <c r="ACW44" s="9"/>
      <c r="ACX44" s="9"/>
      <c r="ACY44" s="9"/>
      <c r="ACZ44" s="9"/>
      <c r="ADA44" s="9"/>
      <c r="ADB44" s="9"/>
      <c r="ADC44" s="9"/>
      <c r="ADD44" s="9"/>
      <c r="ADE44" s="9"/>
      <c r="ADF44" s="9"/>
      <c r="ADG44" s="9"/>
      <c r="ADH44" s="9"/>
      <c r="ADI44" s="9"/>
      <c r="ADJ44" s="9"/>
      <c r="ADK44" s="9"/>
      <c r="ADL44" s="9"/>
      <c r="ADM44" s="9"/>
      <c r="ADN44" s="9"/>
      <c r="ADO44" s="9"/>
      <c r="ADP44" s="9"/>
      <c r="ADQ44" s="9"/>
      <c r="ADR44" s="9"/>
      <c r="ADS44" s="9"/>
      <c r="ADT44" s="9"/>
      <c r="ADU44" s="9"/>
      <c r="ADV44" s="9"/>
      <c r="ADW44" s="9"/>
      <c r="ADX44" s="9"/>
      <c r="ADY44" s="9"/>
      <c r="ADZ44" s="9"/>
      <c r="AEA44" s="9"/>
      <c r="AEB44" s="9"/>
      <c r="AEC44" s="9"/>
      <c r="AED44" s="9"/>
      <c r="AEE44" s="9"/>
      <c r="AEF44" s="9"/>
      <c r="AEG44" s="9"/>
      <c r="AEH44" s="9"/>
      <c r="AEI44" s="9"/>
      <c r="AEJ44" s="9"/>
      <c r="AEK44" s="9"/>
      <c r="AEL44" s="9"/>
      <c r="AEM44" s="9"/>
      <c r="AEN44" s="9"/>
      <c r="AEO44" s="9"/>
      <c r="AEP44" s="9"/>
      <c r="AEQ44" s="9"/>
      <c r="AER44" s="9"/>
      <c r="AES44" s="9"/>
      <c r="AET44" s="9"/>
      <c r="AEU44" s="9"/>
      <c r="AEV44" s="9"/>
      <c r="AEW44" s="9"/>
      <c r="AEX44" s="9"/>
      <c r="AEY44" s="9"/>
      <c r="AEZ44" s="9"/>
      <c r="AFA44" s="9"/>
      <c r="AFB44" s="9"/>
      <c r="AFC44" s="9"/>
      <c r="AFD44" s="9"/>
      <c r="AFE44" s="9"/>
      <c r="AFF44" s="9"/>
      <c r="AFG44" s="9"/>
      <c r="AFH44" s="9"/>
      <c r="AFI44" s="9"/>
      <c r="AFJ44" s="9"/>
      <c r="AFK44" s="9"/>
      <c r="AFL44" s="9"/>
      <c r="AFM44" s="9"/>
      <c r="AFN44" s="9"/>
      <c r="AFO44" s="9"/>
      <c r="AFP44" s="9"/>
      <c r="AFQ44" s="9"/>
      <c r="AFR44" s="9"/>
      <c r="AFS44" s="9"/>
      <c r="AFT44" s="9"/>
      <c r="AFU44" s="9"/>
      <c r="AFV44" s="9"/>
      <c r="AFW44" s="9"/>
      <c r="AFX44" s="9"/>
      <c r="AFY44" s="9"/>
      <c r="AFZ44" s="9"/>
      <c r="AGA44" s="9"/>
      <c r="AGB44" s="9"/>
      <c r="AGC44" s="9"/>
      <c r="AGD44" s="9"/>
      <c r="AGE44" s="9"/>
      <c r="AGF44" s="9"/>
      <c r="AGG44" s="9"/>
      <c r="AGH44" s="9"/>
      <c r="AGI44" s="9"/>
      <c r="AGJ44" s="9"/>
      <c r="AGK44" s="9"/>
      <c r="AGL44" s="9"/>
      <c r="AGM44" s="9"/>
      <c r="AGN44" s="9"/>
      <c r="AGO44" s="9"/>
      <c r="AGP44" s="9"/>
      <c r="AGQ44" s="9"/>
      <c r="AGR44" s="9"/>
      <c r="AGS44" s="9"/>
      <c r="AGT44" s="9"/>
      <c r="AGU44" s="9"/>
      <c r="AGV44" s="9"/>
      <c r="AGW44" s="9"/>
      <c r="AGX44" s="9"/>
      <c r="AGY44" s="9"/>
      <c r="AGZ44" s="9"/>
      <c r="AHA44" s="9"/>
      <c r="AHB44" s="9"/>
      <c r="AHC44" s="9"/>
      <c r="AHD44" s="9"/>
      <c r="AHE44" s="9"/>
      <c r="AHF44" s="9"/>
      <c r="AHG44" s="9"/>
      <c r="AHH44" s="9"/>
      <c r="AHI44" s="9"/>
      <c r="AHJ44" s="9"/>
      <c r="AHK44" s="9"/>
      <c r="AHL44" s="9"/>
      <c r="AHM44" s="9"/>
      <c r="AHN44" s="9"/>
      <c r="AHO44" s="9"/>
      <c r="AHP44" s="9"/>
      <c r="AHQ44" s="9"/>
      <c r="AHR44" s="9"/>
      <c r="AHS44" s="9"/>
      <c r="AHT44" s="9"/>
      <c r="AHU44" s="9"/>
      <c r="AHV44" s="9"/>
      <c r="AHW44" s="9"/>
      <c r="AHX44" s="9"/>
      <c r="AHY44" s="9"/>
      <c r="AHZ44" s="9"/>
      <c r="AIA44" s="9"/>
      <c r="AIB44" s="9"/>
      <c r="AIC44" s="9"/>
      <c r="AID44" s="9"/>
      <c r="AIE44" s="9"/>
      <c r="AIF44" s="9"/>
      <c r="AIG44" s="9"/>
      <c r="AIH44" s="9"/>
      <c r="AII44" s="9"/>
      <c r="AIJ44" s="9"/>
      <c r="AIK44" s="9"/>
      <c r="AIL44" s="9"/>
      <c r="AIM44" s="9"/>
      <c r="AIN44" s="9"/>
      <c r="AIO44" s="9"/>
      <c r="AIP44" s="9"/>
      <c r="AIQ44" s="9"/>
      <c r="AIR44" s="9"/>
      <c r="AIS44" s="9"/>
      <c r="AIT44" s="9"/>
      <c r="AIU44" s="9"/>
      <c r="AIV44" s="9"/>
      <c r="AIW44" s="9"/>
      <c r="AIX44" s="9"/>
      <c r="AIY44" s="9"/>
      <c r="AIZ44" s="9"/>
      <c r="AJA44" s="9"/>
      <c r="AJB44" s="9"/>
      <c r="AJC44" s="9"/>
      <c r="AJD44" s="9"/>
      <c r="AJE44" s="9"/>
      <c r="AJF44" s="9"/>
      <c r="AJG44" s="9"/>
      <c r="AJH44" s="9"/>
      <c r="AJI44" s="9"/>
      <c r="AJJ44" s="9"/>
      <c r="AJK44" s="9"/>
      <c r="AJL44" s="9"/>
      <c r="AJM44" s="9"/>
      <c r="AJN44" s="9"/>
      <c r="AJO44" s="9"/>
      <c r="AJP44" s="9"/>
      <c r="AJQ44" s="9"/>
      <c r="AJR44" s="9"/>
      <c r="AJS44" s="9"/>
      <c r="AJT44" s="9"/>
      <c r="AJU44" s="9"/>
      <c r="AJV44" s="9"/>
      <c r="AJW44" s="9"/>
      <c r="AJX44" s="9"/>
      <c r="AJY44" s="9"/>
      <c r="AJZ44" s="9"/>
      <c r="AKA44" s="9"/>
      <c r="AKB44" s="9"/>
      <c r="AKC44" s="9"/>
      <c r="AKD44" s="9"/>
      <c r="AKE44" s="9"/>
      <c r="AKF44" s="9"/>
      <c r="AKG44" s="9"/>
      <c r="AKH44" s="9"/>
      <c r="AKI44" s="9"/>
      <c r="AKJ44" s="9"/>
      <c r="AKK44" s="9"/>
      <c r="AKL44" s="9"/>
      <c r="AKM44" s="9"/>
      <c r="AKN44" s="9"/>
      <c r="AKO44" s="9"/>
      <c r="AKP44" s="9"/>
      <c r="AKQ44" s="9"/>
      <c r="AKR44" s="9"/>
      <c r="AKS44" s="9"/>
      <c r="AKT44" s="9"/>
      <c r="AKU44" s="9"/>
      <c r="AKV44" s="9"/>
      <c r="AKW44" s="9"/>
      <c r="AKX44" s="9"/>
      <c r="AKY44" s="9"/>
      <c r="AKZ44" s="9"/>
      <c r="ALA44" s="9"/>
      <c r="ALB44" s="9"/>
      <c r="ALC44" s="9"/>
      <c r="ALD44" s="9"/>
      <c r="ALE44" s="9"/>
      <c r="ALF44" s="9"/>
      <c r="ALG44" s="9"/>
      <c r="ALH44" s="9"/>
      <c r="ALI44" s="9"/>
      <c r="ALJ44" s="9"/>
      <c r="ALK44" s="9"/>
      <c r="ALL44" s="9"/>
      <c r="ALM44" s="9"/>
      <c r="ALN44" s="9"/>
      <c r="ALO44" s="9"/>
      <c r="ALP44" s="9"/>
      <c r="ALQ44" s="9"/>
      <c r="ALR44" s="9"/>
      <c r="ALS44" s="9"/>
      <c r="ALT44" s="9"/>
      <c r="ALU44" s="9"/>
      <c r="ALV44" s="9"/>
      <c r="ALW44" s="9"/>
      <c r="ALX44" s="9"/>
      <c r="ALY44" s="9"/>
      <c r="ALZ44" s="9"/>
      <c r="AMA44" s="9"/>
      <c r="AMB44" s="9"/>
      <c r="AMC44" s="9"/>
      <c r="AMD44" s="9"/>
      <c r="AME44" s="9"/>
      <c r="AMF44" s="9"/>
      <c r="AMG44" s="9"/>
      <c r="AMH44" s="9"/>
      <c r="AMI44" s="9"/>
      <c r="AMJ44" s="9"/>
      <c r="AMK44" s="9"/>
      <c r="AML44" s="9"/>
      <c r="AMM44" s="9"/>
      <c r="AMN44" s="9"/>
      <c r="AMO44" s="9"/>
      <c r="AMP44" s="9"/>
      <c r="AMQ44" s="9"/>
      <c r="AMR44" s="9"/>
      <c r="AMS44" s="9"/>
      <c r="AMT44" s="9"/>
      <c r="AMU44" s="9"/>
      <c r="AMV44" s="9"/>
      <c r="AMW44" s="9"/>
      <c r="AMX44" s="9"/>
      <c r="AMY44" s="9"/>
      <c r="AMZ44" s="9"/>
      <c r="ANA44" s="9"/>
      <c r="ANB44" s="9"/>
      <c r="ANC44" s="9"/>
      <c r="AND44" s="9"/>
      <c r="ANE44" s="9"/>
      <c r="ANF44" s="9"/>
      <c r="ANG44" s="9"/>
      <c r="ANH44" s="9"/>
      <c r="ANI44" s="9"/>
      <c r="ANJ44" s="9"/>
      <c r="ANK44" s="9"/>
      <c r="ANL44" s="9"/>
      <c r="ANM44" s="9"/>
      <c r="ANN44" s="9"/>
      <c r="ANO44" s="9"/>
      <c r="ANP44" s="9"/>
      <c r="ANQ44" s="9"/>
      <c r="ANR44" s="9"/>
      <c r="ANS44" s="9"/>
      <c r="ANT44" s="9"/>
      <c r="ANU44" s="9"/>
      <c r="ANV44" s="9"/>
      <c r="ANW44" s="9"/>
      <c r="ANX44" s="9"/>
      <c r="ANY44" s="9"/>
      <c r="ANZ44" s="9"/>
      <c r="AOA44" s="9"/>
      <c r="AOB44" s="9"/>
      <c r="AOC44" s="9"/>
      <c r="AOD44" s="9"/>
      <c r="AOE44" s="9"/>
      <c r="AOF44" s="9"/>
      <c r="AOG44" s="9"/>
      <c r="AOH44" s="9"/>
      <c r="AOI44" s="9"/>
      <c r="AOJ44" s="9"/>
      <c r="AOK44" s="9"/>
      <c r="AOL44" s="9"/>
      <c r="AOM44" s="9"/>
      <c r="AON44" s="9"/>
      <c r="AOO44" s="9"/>
      <c r="AOP44" s="9"/>
      <c r="AOQ44" s="9"/>
      <c r="AOR44" s="9"/>
      <c r="AOS44" s="9"/>
      <c r="AOT44" s="9"/>
      <c r="AOU44" s="9"/>
      <c r="AOV44" s="9"/>
      <c r="AOW44" s="9"/>
      <c r="AOX44" s="9"/>
      <c r="AOY44" s="9"/>
      <c r="AOZ44" s="9"/>
      <c r="APA44" s="9"/>
      <c r="APB44" s="9"/>
      <c r="APC44" s="9"/>
      <c r="APD44" s="9"/>
      <c r="APE44" s="9"/>
      <c r="APF44" s="9"/>
      <c r="APG44" s="9"/>
      <c r="APH44" s="9"/>
      <c r="API44" s="9"/>
      <c r="APJ44" s="9"/>
      <c r="APK44" s="9"/>
      <c r="APL44" s="9"/>
      <c r="APM44" s="9"/>
      <c r="APN44" s="9"/>
      <c r="APO44" s="9"/>
      <c r="APP44" s="9"/>
      <c r="APQ44" s="9"/>
      <c r="APR44" s="9"/>
      <c r="APS44" s="9"/>
      <c r="APT44" s="9"/>
      <c r="APU44" s="9"/>
      <c r="APV44" s="9"/>
      <c r="APW44" s="9"/>
      <c r="APX44" s="9"/>
      <c r="APY44" s="9"/>
      <c r="APZ44" s="9"/>
      <c r="AQA44" s="9"/>
      <c r="AQB44" s="9"/>
      <c r="AQC44" s="9"/>
      <c r="AQD44" s="9"/>
      <c r="AQE44" s="9"/>
      <c r="AQF44" s="9"/>
      <c r="AQG44" s="9"/>
      <c r="AQH44" s="9"/>
      <c r="AQI44" s="9"/>
      <c r="AQJ44" s="9"/>
      <c r="AQK44" s="9"/>
      <c r="AQL44" s="9"/>
      <c r="AQM44" s="9"/>
      <c r="AQN44" s="9"/>
      <c r="AQO44" s="9"/>
      <c r="AQP44" s="9"/>
      <c r="AQQ44" s="9"/>
      <c r="AQR44" s="9"/>
      <c r="AQS44" s="9"/>
      <c r="AQT44" s="9"/>
      <c r="AQU44" s="9"/>
      <c r="AQV44" s="9"/>
      <c r="AQW44" s="9"/>
      <c r="AQX44" s="9"/>
      <c r="AQY44" s="9"/>
      <c r="AQZ44" s="9"/>
      <c r="ARA44" s="9"/>
      <c r="ARB44" s="9"/>
      <c r="ARC44" s="9"/>
      <c r="ARD44" s="9"/>
      <c r="ARE44" s="9"/>
      <c r="ARF44" s="9"/>
      <c r="ARG44" s="9"/>
      <c r="ARH44" s="9"/>
      <c r="ARI44" s="9"/>
      <c r="ARJ44" s="9"/>
      <c r="ARK44" s="9"/>
      <c r="ARL44" s="9"/>
      <c r="ARM44" s="9"/>
      <c r="ARN44" s="9"/>
      <c r="ARO44" s="9"/>
      <c r="ARP44" s="9"/>
      <c r="ARQ44" s="9"/>
      <c r="ARR44" s="9"/>
      <c r="ARS44" s="9"/>
      <c r="ART44" s="9"/>
      <c r="ARU44" s="9"/>
      <c r="ARV44" s="9"/>
      <c r="ARW44" s="9"/>
      <c r="ARX44" s="9"/>
      <c r="ARY44" s="9"/>
      <c r="ARZ44" s="9"/>
      <c r="ASA44" s="9"/>
      <c r="ASB44" s="9"/>
      <c r="ASC44" s="9"/>
      <c r="ASD44" s="9"/>
      <c r="ASE44" s="9"/>
      <c r="ASF44" s="9"/>
      <c r="ASG44" s="9"/>
      <c r="ASH44" s="9"/>
      <c r="ASI44" s="9"/>
      <c r="ASJ44" s="9"/>
      <c r="ASK44" s="9"/>
      <c r="ASL44" s="9"/>
      <c r="ASM44" s="9"/>
      <c r="ASN44" s="9"/>
      <c r="ASO44" s="9"/>
      <c r="ASP44" s="9"/>
      <c r="ASQ44" s="9"/>
      <c r="ASR44" s="9"/>
      <c r="ASS44" s="9"/>
      <c r="AST44" s="9"/>
      <c r="ASU44" s="9"/>
      <c r="ASV44" s="9"/>
      <c r="ASW44" s="9"/>
      <c r="ASX44" s="9"/>
      <c r="ASY44" s="9"/>
      <c r="ASZ44" s="9"/>
      <c r="ATA44" s="9"/>
      <c r="ATB44" s="9"/>
      <c r="ATC44" s="9"/>
      <c r="ATD44" s="9"/>
      <c r="ATE44" s="9"/>
      <c r="ATF44" s="9"/>
      <c r="ATG44" s="9"/>
      <c r="ATH44" s="9"/>
      <c r="ATI44" s="9"/>
      <c r="ATJ44" s="9"/>
      <c r="ATK44" s="9"/>
      <c r="ATL44" s="9"/>
      <c r="ATM44" s="9"/>
      <c r="ATN44" s="9"/>
      <c r="ATO44" s="9"/>
      <c r="ATP44" s="9"/>
      <c r="ATQ44" s="9"/>
      <c r="ATR44" s="9"/>
      <c r="ATS44" s="9"/>
      <c r="ATT44" s="9"/>
      <c r="ATU44" s="9"/>
      <c r="ATV44" s="9"/>
      <c r="ATW44" s="9"/>
      <c r="ATX44" s="9"/>
      <c r="ATY44" s="9"/>
      <c r="ATZ44" s="9"/>
      <c r="AUA44" s="9"/>
      <c r="AUB44" s="9"/>
      <c r="AUC44" s="9"/>
      <c r="AUD44" s="9"/>
      <c r="AUE44" s="9"/>
      <c r="AUF44" s="9"/>
      <c r="AUG44" s="9"/>
      <c r="AUH44" s="9"/>
      <c r="AUI44" s="9"/>
      <c r="AUJ44" s="9"/>
      <c r="AUK44" s="9"/>
      <c r="AUL44" s="9"/>
      <c r="AUM44" s="9"/>
      <c r="AUN44" s="9"/>
      <c r="AUO44" s="9"/>
      <c r="AUP44" s="9"/>
      <c r="AUQ44" s="9"/>
      <c r="AUR44" s="9"/>
      <c r="AUS44" s="9"/>
      <c r="AUT44" s="9"/>
      <c r="AUU44" s="9"/>
      <c r="AUV44" s="9"/>
      <c r="AUW44" s="9"/>
      <c r="AUX44" s="9"/>
      <c r="AUY44" s="9"/>
      <c r="AUZ44" s="9"/>
      <c r="AVA44" s="9"/>
      <c r="AVB44" s="9"/>
      <c r="AVC44" s="9"/>
      <c r="AVD44" s="9"/>
      <c r="AVE44" s="9"/>
      <c r="AVF44" s="9"/>
      <c r="AVG44" s="9"/>
      <c r="AVH44" s="9"/>
      <c r="AVI44" s="9"/>
      <c r="AVJ44" s="9"/>
      <c r="AVK44" s="9"/>
      <c r="AVL44" s="9"/>
      <c r="AVM44" s="9"/>
      <c r="AVN44" s="9"/>
      <c r="AVO44" s="9"/>
      <c r="AVP44" s="9"/>
      <c r="AVQ44" s="9"/>
      <c r="AVR44" s="9"/>
      <c r="AVS44" s="9"/>
      <c r="AVT44" s="9"/>
      <c r="AVU44" s="9"/>
      <c r="AVV44" s="9"/>
      <c r="AVW44" s="9"/>
      <c r="AVX44" s="9"/>
      <c r="AVY44" s="9"/>
      <c r="AVZ44" s="9"/>
      <c r="AWA44" s="9"/>
      <c r="AWB44" s="9"/>
      <c r="AWC44" s="9"/>
      <c r="AWD44" s="9"/>
      <c r="AWE44" s="9"/>
      <c r="AWF44" s="9"/>
      <c r="AWG44" s="9"/>
      <c r="AWH44" s="9"/>
      <c r="AWI44" s="9"/>
      <c r="AWJ44" s="9"/>
      <c r="AWK44" s="9"/>
      <c r="AWL44" s="9"/>
      <c r="AWM44" s="9"/>
      <c r="AWN44" s="9"/>
      <c r="AWO44" s="9"/>
      <c r="AWP44" s="9"/>
      <c r="AWQ44" s="9"/>
      <c r="AWR44" s="9"/>
      <c r="AWS44" s="9"/>
      <c r="AWT44" s="9"/>
      <c r="AWU44" s="9"/>
      <c r="AWV44" s="9"/>
      <c r="AWW44" s="9"/>
      <c r="AWX44" s="9"/>
      <c r="AWY44" s="9"/>
      <c r="AWZ44" s="9"/>
      <c r="AXA44" s="9"/>
      <c r="AXB44" s="9"/>
      <c r="AXC44" s="9"/>
      <c r="AXD44" s="9"/>
      <c r="AXE44" s="9"/>
      <c r="AXF44" s="9"/>
      <c r="AXG44" s="9"/>
      <c r="AXH44" s="9"/>
      <c r="AXI44" s="9"/>
      <c r="AXJ44" s="9"/>
      <c r="AXK44" s="9"/>
      <c r="AXL44" s="9"/>
      <c r="AXM44" s="9"/>
      <c r="AXN44" s="9"/>
      <c r="AXO44" s="9"/>
      <c r="AXP44" s="9"/>
      <c r="AXQ44" s="9"/>
      <c r="AXR44" s="9"/>
      <c r="AXS44" s="9"/>
      <c r="AXT44" s="9"/>
      <c r="AXU44" s="9"/>
      <c r="AXV44" s="9"/>
      <c r="AXW44" s="9"/>
      <c r="AXX44" s="9"/>
      <c r="AXY44" s="9"/>
      <c r="AXZ44" s="9"/>
      <c r="AYA44" s="9"/>
      <c r="AYB44" s="9"/>
      <c r="AYC44" s="9"/>
      <c r="AYD44" s="9"/>
      <c r="AYE44" s="9"/>
      <c r="AYF44" s="9"/>
      <c r="AYG44" s="9"/>
      <c r="AYH44" s="9"/>
      <c r="AYI44" s="9"/>
      <c r="AYJ44" s="9"/>
      <c r="AYK44" s="9"/>
      <c r="AYL44" s="9"/>
      <c r="AYM44" s="9"/>
      <c r="AYN44" s="9"/>
      <c r="AYO44" s="9"/>
      <c r="AYP44" s="9"/>
      <c r="AYQ44" s="9"/>
      <c r="AYR44" s="9"/>
      <c r="AYS44" s="9"/>
      <c r="AYT44" s="9"/>
      <c r="AYU44" s="9"/>
      <c r="AYV44" s="9"/>
      <c r="AYW44" s="9"/>
      <c r="AYX44" s="9"/>
      <c r="AYY44" s="9"/>
      <c r="AYZ44" s="9"/>
      <c r="AZA44" s="9"/>
      <c r="AZB44" s="9"/>
      <c r="AZC44" s="9"/>
      <c r="AZD44" s="9"/>
      <c r="AZE44" s="9"/>
      <c r="AZF44" s="9"/>
      <c r="AZG44" s="9"/>
      <c r="AZH44" s="9"/>
      <c r="AZI44" s="9"/>
      <c r="AZJ44" s="9"/>
      <c r="AZK44" s="9"/>
      <c r="AZL44" s="9"/>
      <c r="AZM44" s="9"/>
      <c r="AZN44" s="9"/>
      <c r="AZO44" s="9"/>
      <c r="AZP44" s="9"/>
      <c r="AZQ44" s="9"/>
      <c r="AZR44" s="9"/>
      <c r="AZS44" s="9"/>
      <c r="AZT44" s="9"/>
      <c r="AZU44" s="9"/>
      <c r="AZV44" s="9"/>
      <c r="AZW44" s="9"/>
      <c r="AZX44" s="9"/>
      <c r="AZY44" s="9"/>
      <c r="AZZ44" s="9"/>
      <c r="BAA44" s="9"/>
      <c r="BAB44" s="9"/>
      <c r="BAC44" s="9"/>
      <c r="BAD44" s="9"/>
      <c r="BAE44" s="9"/>
      <c r="BAF44" s="9"/>
      <c r="BAG44" s="9"/>
      <c r="BAH44" s="9"/>
      <c r="BAI44" s="9"/>
      <c r="BAJ44" s="9"/>
      <c r="BAK44" s="9"/>
      <c r="BAL44" s="9"/>
      <c r="BAM44" s="9"/>
      <c r="BAN44" s="9"/>
      <c r="BAO44" s="9"/>
      <c r="BAP44" s="9"/>
      <c r="BAQ44" s="9"/>
      <c r="BAR44" s="9"/>
      <c r="BAS44" s="9"/>
      <c r="BAT44" s="9"/>
      <c r="BAU44" s="9"/>
      <c r="BAV44" s="9"/>
      <c r="BAW44" s="9"/>
      <c r="BAX44" s="9"/>
      <c r="BAY44" s="9"/>
      <c r="BAZ44" s="9"/>
      <c r="BBA44" s="9"/>
      <c r="BBB44" s="9"/>
      <c r="BBC44" s="9"/>
      <c r="BBD44" s="9"/>
      <c r="BBE44" s="9"/>
      <c r="BBF44" s="9"/>
      <c r="BBG44" s="9"/>
      <c r="BBH44" s="9"/>
      <c r="BBI44" s="9"/>
      <c r="BBJ44" s="9"/>
      <c r="BBK44" s="9"/>
      <c r="BBL44" s="9"/>
      <c r="BBM44" s="9"/>
      <c r="BBN44" s="9"/>
      <c r="BBO44" s="9"/>
      <c r="BBP44" s="9"/>
      <c r="BBQ44" s="9"/>
      <c r="BBR44" s="9"/>
      <c r="BBS44" s="9"/>
      <c r="BBT44" s="9"/>
      <c r="BBU44" s="9"/>
      <c r="BBV44" s="9"/>
      <c r="BBW44" s="9"/>
      <c r="BBX44" s="9"/>
      <c r="BBY44" s="9"/>
      <c r="BBZ44" s="9"/>
      <c r="BCA44" s="9"/>
      <c r="BCB44" s="9"/>
      <c r="BCC44" s="9"/>
      <c r="BCD44" s="9"/>
      <c r="BCE44" s="9"/>
      <c r="BCF44" s="9"/>
      <c r="BCG44" s="9"/>
      <c r="BCH44" s="9"/>
      <c r="BCI44" s="9"/>
      <c r="BCJ44" s="9"/>
      <c r="BCK44" s="9"/>
      <c r="BCL44" s="9"/>
      <c r="BCM44" s="9"/>
      <c r="BCN44" s="9"/>
      <c r="BCO44" s="9"/>
      <c r="BCP44" s="9"/>
      <c r="BCQ44" s="9"/>
      <c r="BCR44" s="9"/>
      <c r="BCS44" s="9"/>
      <c r="BCT44" s="9"/>
      <c r="BCU44" s="9"/>
      <c r="BCV44" s="9"/>
      <c r="BCW44" s="9"/>
      <c r="BCX44" s="9"/>
      <c r="BCY44" s="9"/>
      <c r="BCZ44" s="9"/>
      <c r="BDA44" s="9"/>
      <c r="BDB44" s="9"/>
      <c r="BDC44" s="9"/>
      <c r="BDD44" s="9"/>
      <c r="BDE44" s="9"/>
      <c r="BDF44" s="9"/>
      <c r="BDG44" s="9"/>
      <c r="BDH44" s="9"/>
      <c r="BDI44" s="9"/>
      <c r="BDJ44" s="9"/>
      <c r="BDK44" s="9"/>
      <c r="BDL44" s="9"/>
      <c r="BDM44" s="9"/>
      <c r="BDN44" s="9"/>
      <c r="BDO44" s="9"/>
      <c r="BDP44" s="9"/>
      <c r="BDQ44" s="9"/>
      <c r="BDR44" s="9"/>
      <c r="BDS44" s="9"/>
      <c r="BDT44" s="9"/>
      <c r="BDU44" s="9"/>
      <c r="BDV44" s="9"/>
      <c r="BDW44" s="9"/>
      <c r="BDX44" s="9"/>
      <c r="BDY44" s="9"/>
      <c r="BDZ44" s="9"/>
      <c r="BEA44" s="9"/>
      <c r="BEB44" s="9"/>
      <c r="BEC44" s="9"/>
      <c r="BED44" s="9"/>
      <c r="BEE44" s="9"/>
      <c r="BEF44" s="9"/>
      <c r="BEG44" s="9"/>
      <c r="BEH44" s="9"/>
      <c r="BEI44" s="9"/>
      <c r="BEJ44" s="9"/>
      <c r="BEK44" s="9"/>
      <c r="BEL44" s="9"/>
      <c r="BEM44" s="9"/>
      <c r="BEN44" s="9"/>
      <c r="BEO44" s="9"/>
      <c r="BEP44" s="9"/>
      <c r="BEQ44" s="9"/>
      <c r="BER44" s="9"/>
      <c r="BES44" s="9"/>
      <c r="BET44" s="9"/>
      <c r="BEU44" s="9"/>
      <c r="BEV44" s="9"/>
      <c r="BEW44" s="9"/>
      <c r="BEX44" s="9"/>
      <c r="BEY44" s="9"/>
      <c r="BEZ44" s="9"/>
      <c r="BFA44" s="9"/>
      <c r="BFB44" s="9"/>
      <c r="BFC44" s="9"/>
      <c r="BFD44" s="9"/>
      <c r="BFE44" s="9"/>
      <c r="BFF44" s="9"/>
      <c r="BFG44" s="9"/>
      <c r="BFH44" s="9"/>
      <c r="BFI44" s="9"/>
      <c r="BFJ44" s="9"/>
      <c r="BFK44" s="9"/>
      <c r="BFL44" s="9"/>
      <c r="BFM44" s="9"/>
      <c r="BFN44" s="9"/>
      <c r="BFO44" s="9"/>
      <c r="BFP44" s="9"/>
      <c r="BFQ44" s="9"/>
      <c r="BFR44" s="9"/>
      <c r="BFS44" s="9"/>
      <c r="BFT44" s="9"/>
      <c r="BFU44" s="9"/>
      <c r="BFV44" s="9"/>
      <c r="BFW44" s="9"/>
      <c r="BFX44" s="9"/>
      <c r="BFY44" s="9"/>
      <c r="BFZ44" s="9"/>
      <c r="BGA44" s="9"/>
      <c r="BGB44" s="9"/>
      <c r="BGC44" s="9"/>
      <c r="BGD44" s="9"/>
      <c r="BGE44" s="9"/>
      <c r="BGF44" s="9"/>
      <c r="BGG44" s="9"/>
      <c r="BGH44" s="9"/>
      <c r="BGI44" s="9"/>
      <c r="BGJ44" s="9"/>
      <c r="BGK44" s="9"/>
      <c r="BGL44" s="9"/>
      <c r="BGM44" s="9"/>
      <c r="BGN44" s="9"/>
      <c r="BGO44" s="9"/>
      <c r="BGP44" s="9"/>
      <c r="BGQ44" s="9"/>
      <c r="BGR44" s="9"/>
      <c r="BGS44" s="9"/>
      <c r="BGT44" s="9"/>
      <c r="BGU44" s="9"/>
      <c r="BGV44" s="9"/>
      <c r="BGW44" s="9"/>
      <c r="BGX44" s="9"/>
      <c r="BGY44" s="9"/>
      <c r="BGZ44" s="9"/>
      <c r="BHA44" s="9"/>
      <c r="BHB44" s="9"/>
      <c r="BHC44" s="9"/>
      <c r="BHD44" s="9"/>
      <c r="BHE44" s="9"/>
      <c r="BHF44" s="9"/>
      <c r="BHG44" s="9"/>
      <c r="BHH44" s="9"/>
      <c r="BHI44" s="9"/>
      <c r="BHJ44" s="9"/>
      <c r="BHK44" s="9"/>
      <c r="BHL44" s="9"/>
      <c r="BHM44" s="9"/>
      <c r="BHN44" s="9"/>
      <c r="BHO44" s="9"/>
      <c r="BHP44" s="9"/>
      <c r="BHQ44" s="9"/>
      <c r="BHR44" s="9"/>
      <c r="BHS44" s="9"/>
      <c r="BHT44" s="9"/>
      <c r="BHU44" s="9"/>
      <c r="BHV44" s="9"/>
      <c r="BHW44" s="9"/>
      <c r="BHX44" s="9"/>
      <c r="BHY44" s="9"/>
      <c r="BHZ44" s="9"/>
      <c r="BIA44" s="9"/>
      <c r="BIB44" s="9"/>
      <c r="BIC44" s="9"/>
      <c r="BID44" s="9"/>
      <c r="BIE44" s="9"/>
      <c r="BIF44" s="9"/>
      <c r="BIG44" s="9"/>
      <c r="BIH44" s="9"/>
      <c r="BII44" s="9"/>
      <c r="BIJ44" s="9"/>
      <c r="BIK44" s="9"/>
      <c r="BIL44" s="9"/>
      <c r="BIM44" s="9"/>
      <c r="BIN44" s="9"/>
      <c r="BIO44" s="9"/>
      <c r="BIP44" s="9"/>
      <c r="BIQ44" s="9"/>
      <c r="BIR44" s="9"/>
      <c r="BIS44" s="9"/>
      <c r="BIT44" s="9"/>
      <c r="BIU44" s="9"/>
      <c r="BIV44" s="9"/>
      <c r="BIW44" s="9"/>
      <c r="BIX44" s="9"/>
      <c r="BIY44" s="9"/>
      <c r="BIZ44" s="9"/>
      <c r="BJA44" s="9"/>
      <c r="BJB44" s="9"/>
      <c r="BJC44" s="9"/>
      <c r="BJD44" s="9"/>
      <c r="BJE44" s="9"/>
      <c r="BJF44" s="9"/>
      <c r="BJG44" s="9"/>
      <c r="BJH44" s="9"/>
      <c r="BJI44" s="9"/>
      <c r="BJJ44" s="9"/>
      <c r="BJK44" s="9"/>
      <c r="BJL44" s="9"/>
      <c r="BJM44" s="9"/>
      <c r="BJN44" s="9"/>
      <c r="BJO44" s="9"/>
      <c r="BJP44" s="9"/>
      <c r="BJQ44" s="9"/>
      <c r="BJR44" s="9"/>
      <c r="BJS44" s="9"/>
      <c r="BJT44" s="9"/>
      <c r="BJU44" s="9"/>
      <c r="BJV44" s="9"/>
      <c r="BJW44" s="9"/>
      <c r="BJX44" s="9"/>
      <c r="BJY44" s="9"/>
      <c r="BJZ44" s="9"/>
      <c r="BKA44" s="9"/>
      <c r="BKB44" s="9"/>
      <c r="BKC44" s="9"/>
      <c r="BKD44" s="9"/>
      <c r="BKE44" s="9"/>
      <c r="BKF44" s="9"/>
      <c r="BKG44" s="9"/>
      <c r="BKH44" s="9"/>
      <c r="BKI44" s="9"/>
      <c r="BKJ44" s="9"/>
      <c r="BKK44" s="9"/>
      <c r="BKL44" s="9"/>
      <c r="BKM44" s="9"/>
      <c r="BKN44" s="9"/>
      <c r="BKO44" s="9"/>
      <c r="BKP44" s="9"/>
      <c r="BKQ44" s="9"/>
      <c r="BKR44" s="9"/>
      <c r="BKS44" s="9"/>
      <c r="BKT44" s="9"/>
      <c r="BKU44" s="9"/>
      <c r="BKV44" s="9"/>
      <c r="BKW44" s="9"/>
      <c r="BKX44" s="9"/>
      <c r="BKY44" s="9"/>
      <c r="BKZ44" s="9"/>
      <c r="BLA44" s="9"/>
      <c r="BLB44" s="9"/>
      <c r="BLC44" s="9"/>
      <c r="BLD44" s="9"/>
      <c r="BLE44" s="9"/>
      <c r="BLF44" s="9"/>
      <c r="BLG44" s="9"/>
      <c r="BLH44" s="9"/>
      <c r="BLI44" s="9"/>
      <c r="BLJ44" s="9"/>
      <c r="BLK44" s="9"/>
      <c r="BLL44" s="9"/>
      <c r="BLM44" s="9"/>
      <c r="BLN44" s="9"/>
      <c r="BLO44" s="9"/>
      <c r="BLP44" s="9"/>
      <c r="BLQ44" s="9"/>
      <c r="BLR44" s="9"/>
      <c r="BLS44" s="9"/>
      <c r="BLT44" s="9"/>
      <c r="BLU44" s="9"/>
      <c r="BLV44" s="9"/>
      <c r="BLW44" s="9"/>
      <c r="BLX44" s="9"/>
      <c r="BLY44" s="9"/>
      <c r="BLZ44" s="9"/>
      <c r="BMA44" s="9"/>
      <c r="BMB44" s="9"/>
      <c r="BMC44" s="9"/>
      <c r="BMD44" s="9"/>
      <c r="BME44" s="9"/>
      <c r="BMF44" s="9"/>
      <c r="BMG44" s="9"/>
      <c r="BMH44" s="9"/>
      <c r="BMI44" s="9"/>
      <c r="BMJ44" s="9"/>
      <c r="BMK44" s="9"/>
      <c r="BML44" s="9"/>
      <c r="BMM44" s="9"/>
      <c r="BMN44" s="9"/>
      <c r="BMO44" s="9"/>
      <c r="BMP44" s="9"/>
      <c r="BMQ44" s="9"/>
      <c r="BMR44" s="9"/>
      <c r="BMS44" s="9"/>
      <c r="BMT44" s="9"/>
      <c r="BMU44" s="9"/>
      <c r="BMV44" s="9"/>
      <c r="BMW44" s="9"/>
      <c r="BMX44" s="9"/>
      <c r="BMY44" s="9"/>
      <c r="BMZ44" s="9"/>
      <c r="BNA44" s="9"/>
      <c r="BNB44" s="9"/>
      <c r="BNC44" s="9"/>
      <c r="BND44" s="9"/>
      <c r="BNE44" s="9"/>
      <c r="BNF44" s="9"/>
      <c r="BNG44" s="9"/>
      <c r="BNH44" s="9"/>
      <c r="BNI44" s="9"/>
      <c r="BNJ44" s="9"/>
      <c r="BNK44" s="9"/>
      <c r="BNL44" s="9"/>
      <c r="BNM44" s="9"/>
      <c r="BNN44" s="9"/>
      <c r="BNO44" s="9"/>
      <c r="BNP44" s="9"/>
      <c r="BNQ44" s="9"/>
      <c r="BNR44" s="9"/>
      <c r="BNS44" s="9"/>
      <c r="BNT44" s="9"/>
      <c r="BNU44" s="9"/>
      <c r="BNV44" s="9"/>
      <c r="BNW44" s="9"/>
      <c r="BNX44" s="9"/>
      <c r="BNY44" s="9"/>
      <c r="BNZ44" s="9"/>
      <c r="BOA44" s="9"/>
      <c r="BOB44" s="9"/>
      <c r="BOC44" s="9"/>
      <c r="BOD44" s="9"/>
      <c r="BOE44" s="9"/>
      <c r="BOF44" s="9"/>
      <c r="BOG44" s="9"/>
      <c r="BOH44" s="9"/>
      <c r="BOI44" s="9"/>
      <c r="BOJ44" s="9"/>
      <c r="BOK44" s="9"/>
      <c r="BOL44" s="9"/>
      <c r="BOM44" s="9"/>
      <c r="BON44" s="9"/>
      <c r="BOO44" s="9"/>
      <c r="BOP44" s="9"/>
      <c r="BOQ44" s="9"/>
      <c r="BOR44" s="9"/>
      <c r="BOS44" s="9"/>
      <c r="BOT44" s="9"/>
      <c r="BOU44" s="9"/>
      <c r="BOV44" s="9"/>
      <c r="BOW44" s="9"/>
      <c r="BOX44" s="9"/>
      <c r="BOY44" s="9"/>
      <c r="BOZ44" s="9"/>
      <c r="BPA44" s="9"/>
      <c r="BPB44" s="9"/>
      <c r="BPC44" s="9"/>
      <c r="BPD44" s="9"/>
      <c r="BPE44" s="9"/>
      <c r="BPF44" s="9"/>
      <c r="BPG44" s="9"/>
      <c r="BPH44" s="9"/>
      <c r="BPI44" s="9"/>
      <c r="BPJ44" s="9"/>
      <c r="BPK44" s="9"/>
      <c r="BPL44" s="9"/>
      <c r="BPM44" s="9"/>
      <c r="BPN44" s="9"/>
      <c r="BPO44" s="9"/>
      <c r="BPP44" s="9"/>
      <c r="BPQ44" s="9"/>
      <c r="BPR44" s="9"/>
      <c r="BPS44" s="9"/>
      <c r="BPT44" s="9"/>
      <c r="BPU44" s="9"/>
      <c r="BPV44" s="9"/>
      <c r="BPW44" s="9"/>
      <c r="BPX44" s="9"/>
      <c r="BPY44" s="9"/>
      <c r="BPZ44" s="9"/>
      <c r="BQA44" s="9"/>
      <c r="BQB44" s="9"/>
      <c r="BQC44" s="9"/>
      <c r="BQD44" s="9"/>
      <c r="BQE44" s="9"/>
      <c r="BQF44" s="9"/>
      <c r="BQG44" s="9"/>
      <c r="BQH44" s="9"/>
      <c r="BQI44" s="9"/>
      <c r="BQJ44" s="9"/>
      <c r="BQK44" s="9"/>
      <c r="BQL44" s="9"/>
      <c r="BQM44" s="9"/>
      <c r="BQN44" s="9"/>
      <c r="BQO44" s="9"/>
      <c r="BQP44" s="9"/>
      <c r="BQQ44" s="9"/>
      <c r="BQR44" s="9"/>
      <c r="BQS44" s="9"/>
      <c r="BQT44" s="9"/>
      <c r="BQU44" s="9"/>
      <c r="BQV44" s="9"/>
      <c r="BQW44" s="9"/>
      <c r="BQX44" s="9"/>
      <c r="BQY44" s="9"/>
      <c r="BQZ44" s="9"/>
      <c r="BRA44" s="9"/>
      <c r="BRB44" s="9"/>
      <c r="BRC44" s="9"/>
      <c r="BRD44" s="9"/>
      <c r="BRE44" s="9"/>
      <c r="BRF44" s="9"/>
      <c r="BRG44" s="9"/>
      <c r="BRH44" s="9"/>
      <c r="BRI44" s="9"/>
      <c r="BRJ44" s="9"/>
      <c r="BRK44" s="9"/>
      <c r="BRL44" s="9"/>
      <c r="BRM44" s="9"/>
      <c r="BRN44" s="9"/>
      <c r="BRO44" s="9"/>
      <c r="BRP44" s="9"/>
      <c r="BRQ44" s="9"/>
      <c r="BRR44" s="9"/>
      <c r="BRS44" s="9"/>
      <c r="BRT44" s="9"/>
      <c r="BRU44" s="9"/>
      <c r="BRV44" s="9"/>
      <c r="BRW44" s="9"/>
      <c r="BRX44" s="9"/>
      <c r="BRY44" s="9"/>
      <c r="BRZ44" s="9"/>
      <c r="BSA44" s="9"/>
      <c r="BSB44" s="9"/>
      <c r="BSC44" s="9"/>
      <c r="BSD44" s="9"/>
      <c r="BSE44" s="9"/>
      <c r="BSF44" s="9"/>
      <c r="BSG44" s="9"/>
      <c r="BSH44" s="9"/>
      <c r="BSI44" s="9"/>
      <c r="BSJ44" s="9"/>
      <c r="BSK44" s="9"/>
      <c r="BSL44" s="9"/>
      <c r="BSM44" s="9"/>
      <c r="BSN44" s="9"/>
      <c r="BSO44" s="9"/>
      <c r="BSP44" s="9"/>
      <c r="BSQ44" s="9"/>
      <c r="BSR44" s="9"/>
      <c r="BSS44" s="9"/>
      <c r="BST44" s="9"/>
      <c r="BSU44" s="9"/>
      <c r="BSV44" s="9"/>
      <c r="BSW44" s="9"/>
      <c r="BSX44" s="9"/>
      <c r="BSY44" s="9"/>
      <c r="BSZ44" s="9"/>
      <c r="BTA44" s="9"/>
      <c r="BTB44" s="9"/>
      <c r="BTC44" s="9"/>
      <c r="BTD44" s="9"/>
      <c r="BTE44" s="9"/>
      <c r="BTF44" s="9"/>
      <c r="BTG44" s="9"/>
      <c r="BTH44" s="9"/>
      <c r="BTI44" s="9"/>
      <c r="BTJ44" s="9"/>
      <c r="BTK44" s="9"/>
      <c r="BTL44" s="9"/>
      <c r="BTM44" s="9"/>
      <c r="BTN44" s="9"/>
      <c r="BTO44" s="9"/>
      <c r="BTP44" s="9"/>
      <c r="BTQ44" s="9"/>
      <c r="BTR44" s="9"/>
      <c r="BTS44" s="9"/>
      <c r="BTT44" s="9"/>
      <c r="BTU44" s="9"/>
      <c r="BTV44" s="9"/>
      <c r="BTW44" s="9"/>
      <c r="BTX44" s="9"/>
      <c r="BTY44" s="9"/>
      <c r="BTZ44" s="9"/>
      <c r="BUA44" s="9"/>
      <c r="BUB44" s="9"/>
      <c r="BUC44" s="9"/>
      <c r="BUD44" s="9"/>
      <c r="BUE44" s="9"/>
      <c r="BUF44" s="9"/>
      <c r="BUG44" s="9"/>
      <c r="BUH44" s="9"/>
      <c r="BUI44" s="9"/>
      <c r="BUJ44" s="9"/>
      <c r="BUK44" s="9"/>
      <c r="BUL44" s="9"/>
      <c r="BUM44" s="9"/>
      <c r="BUN44" s="9"/>
      <c r="BUO44" s="9"/>
      <c r="BUP44" s="9"/>
      <c r="BUQ44" s="9"/>
      <c r="BUR44" s="9"/>
      <c r="BUS44" s="9"/>
      <c r="BUT44" s="9"/>
      <c r="BUU44" s="9"/>
      <c r="BUV44" s="9"/>
      <c r="BUW44" s="9"/>
      <c r="BUX44" s="9"/>
      <c r="BUY44" s="9"/>
      <c r="BUZ44" s="9"/>
      <c r="BVA44" s="9"/>
      <c r="BVB44" s="9"/>
      <c r="BVC44" s="9"/>
      <c r="BVD44" s="9"/>
      <c r="BVE44" s="9"/>
      <c r="BVF44" s="9"/>
      <c r="BVG44" s="9"/>
      <c r="BVH44" s="9"/>
      <c r="BVI44" s="9"/>
      <c r="BVJ44" s="9"/>
      <c r="BVK44" s="9"/>
      <c r="BVL44" s="9"/>
      <c r="BVM44" s="9"/>
      <c r="BVN44" s="9"/>
      <c r="BVO44" s="9"/>
      <c r="BVP44" s="9"/>
      <c r="BVQ44" s="9"/>
      <c r="BVR44" s="9"/>
      <c r="BVS44" s="9"/>
      <c r="BVT44" s="9"/>
      <c r="BVU44" s="9"/>
      <c r="BVV44" s="9"/>
      <c r="BVW44" s="9"/>
      <c r="BVX44" s="9"/>
      <c r="BVY44" s="9"/>
      <c r="BVZ44" s="9"/>
      <c r="BWA44" s="9"/>
      <c r="BWB44" s="9"/>
      <c r="BWC44" s="9"/>
      <c r="BWD44" s="9"/>
      <c r="BWE44" s="9"/>
      <c r="BWF44" s="9"/>
      <c r="BWG44" s="9"/>
      <c r="BWH44" s="9"/>
      <c r="BWI44" s="9"/>
      <c r="BWJ44" s="9"/>
      <c r="BWK44" s="9"/>
      <c r="BWL44" s="9"/>
      <c r="BWM44" s="9"/>
      <c r="BWN44" s="9"/>
      <c r="BWO44" s="9"/>
      <c r="BWP44" s="9"/>
      <c r="BWQ44" s="9"/>
      <c r="BWR44" s="9"/>
      <c r="BWS44" s="9"/>
      <c r="BWT44" s="9"/>
      <c r="BWU44" s="9"/>
      <c r="BWV44" s="9"/>
      <c r="BWW44" s="9"/>
      <c r="BWX44" s="9"/>
      <c r="BWY44" s="9"/>
      <c r="BWZ44" s="9"/>
      <c r="BXA44" s="9"/>
      <c r="BXB44" s="9"/>
      <c r="BXC44" s="9"/>
      <c r="BXD44" s="9"/>
      <c r="BXE44" s="9"/>
      <c r="BXF44" s="9"/>
      <c r="BXG44" s="9"/>
      <c r="BXH44" s="9"/>
      <c r="BXI44" s="9"/>
      <c r="BXJ44" s="9"/>
      <c r="BXK44" s="9"/>
      <c r="BXL44" s="9"/>
      <c r="BXM44" s="9"/>
      <c r="BXN44" s="9"/>
      <c r="BXO44" s="9"/>
      <c r="BXP44" s="9"/>
      <c r="BXQ44" s="9"/>
      <c r="BXR44" s="9"/>
      <c r="BXS44" s="9"/>
      <c r="BXT44" s="9"/>
      <c r="BXU44" s="9"/>
      <c r="BXV44" s="9"/>
      <c r="BXW44" s="9"/>
      <c r="BXX44" s="9"/>
      <c r="BXY44" s="9"/>
      <c r="BXZ44" s="9"/>
      <c r="BYA44" s="9"/>
      <c r="BYB44" s="9"/>
      <c r="BYC44" s="9"/>
      <c r="BYD44" s="9"/>
      <c r="BYE44" s="9"/>
      <c r="BYF44" s="9"/>
      <c r="BYG44" s="9"/>
      <c r="BYH44" s="9"/>
      <c r="BYI44" s="9"/>
      <c r="BYJ44" s="9"/>
      <c r="BYK44" s="9"/>
      <c r="BYL44" s="9"/>
      <c r="BYM44" s="9"/>
      <c r="BYN44" s="9"/>
      <c r="BYO44" s="9"/>
      <c r="BYP44" s="9"/>
      <c r="BYQ44" s="9"/>
      <c r="BYR44" s="9"/>
      <c r="BYS44" s="9"/>
      <c r="BYT44" s="9"/>
      <c r="BYU44" s="9"/>
      <c r="BYV44" s="9"/>
      <c r="BYW44" s="9"/>
      <c r="BYX44" s="9"/>
      <c r="BYY44" s="9"/>
      <c r="BYZ44" s="9"/>
      <c r="BZA44" s="9"/>
      <c r="BZB44" s="9"/>
      <c r="BZC44" s="9"/>
      <c r="BZD44" s="9"/>
      <c r="BZE44" s="9"/>
      <c r="BZF44" s="9"/>
      <c r="BZG44" s="9"/>
      <c r="BZH44" s="9"/>
      <c r="BZI44" s="9"/>
      <c r="BZJ44" s="9"/>
      <c r="BZK44" s="9"/>
      <c r="BZL44" s="9"/>
      <c r="BZM44" s="9"/>
      <c r="BZN44" s="9"/>
      <c r="BZO44" s="9"/>
      <c r="BZP44" s="9"/>
      <c r="BZQ44" s="9"/>
      <c r="BZR44" s="9"/>
      <c r="BZS44" s="9"/>
      <c r="BZT44" s="9"/>
      <c r="BZU44" s="9"/>
      <c r="BZV44" s="9"/>
      <c r="BZW44" s="9"/>
      <c r="BZX44" s="9"/>
      <c r="BZY44" s="9"/>
      <c r="BZZ44" s="9"/>
      <c r="CAA44" s="9"/>
      <c r="CAB44" s="9"/>
      <c r="CAC44" s="9"/>
      <c r="CAD44" s="9"/>
      <c r="CAE44" s="9"/>
      <c r="CAF44" s="9"/>
      <c r="CAG44" s="9"/>
      <c r="CAH44" s="9"/>
      <c r="CAI44" s="9"/>
      <c r="CAJ44" s="9"/>
      <c r="CAK44" s="9"/>
      <c r="CAL44" s="9"/>
      <c r="CAM44" s="9"/>
      <c r="CAN44" s="9"/>
      <c r="CAO44" s="9"/>
      <c r="CAP44" s="9"/>
      <c r="CAQ44" s="9"/>
      <c r="CAR44" s="9"/>
      <c r="CAS44" s="9"/>
      <c r="CAT44" s="9"/>
      <c r="CAU44" s="9"/>
      <c r="CAV44" s="9"/>
      <c r="CAW44" s="9"/>
      <c r="CAX44" s="9"/>
      <c r="CAY44" s="9"/>
      <c r="CAZ44" s="9"/>
      <c r="CBA44" s="9"/>
      <c r="CBB44" s="9"/>
      <c r="CBC44" s="9"/>
      <c r="CBD44" s="9"/>
      <c r="CBE44" s="9"/>
      <c r="CBF44" s="9"/>
      <c r="CBG44" s="9"/>
      <c r="CBH44" s="9"/>
      <c r="CBI44" s="9"/>
      <c r="CBJ44" s="9"/>
      <c r="CBK44" s="9"/>
      <c r="CBL44" s="9"/>
      <c r="CBM44" s="9"/>
      <c r="CBN44" s="9"/>
      <c r="CBO44" s="9"/>
      <c r="CBP44" s="9"/>
      <c r="CBQ44" s="9"/>
      <c r="CBR44" s="9"/>
      <c r="CBS44" s="9"/>
      <c r="CBT44" s="9"/>
      <c r="CBU44" s="9"/>
      <c r="CBV44" s="9"/>
      <c r="CBW44" s="9"/>
      <c r="CBX44" s="9"/>
      <c r="CBY44" s="9"/>
      <c r="CBZ44" s="9"/>
      <c r="CCA44" s="9"/>
      <c r="CCB44" s="9"/>
      <c r="CCC44" s="9"/>
      <c r="CCD44" s="9"/>
      <c r="CCE44" s="9"/>
      <c r="CCF44" s="9"/>
      <c r="CCG44" s="9"/>
      <c r="CCH44" s="9"/>
      <c r="CCI44" s="9"/>
      <c r="CCJ44" s="9"/>
      <c r="CCK44" s="9"/>
      <c r="CCL44" s="9"/>
      <c r="CCM44" s="9"/>
      <c r="CCN44" s="9"/>
      <c r="CCO44" s="9"/>
      <c r="CCP44" s="9"/>
      <c r="CCQ44" s="9"/>
      <c r="CCR44" s="9"/>
      <c r="CCS44" s="9"/>
      <c r="CCT44" s="9"/>
      <c r="CCU44" s="9"/>
      <c r="CCV44" s="9"/>
      <c r="CCW44" s="9"/>
      <c r="CCX44" s="9"/>
      <c r="CCY44" s="9"/>
      <c r="CCZ44" s="9"/>
      <c r="CDA44" s="9"/>
      <c r="CDB44" s="9"/>
      <c r="CDC44" s="9"/>
      <c r="CDD44" s="9"/>
      <c r="CDE44" s="9"/>
      <c r="CDF44" s="9"/>
      <c r="CDG44" s="9"/>
      <c r="CDH44" s="9"/>
      <c r="CDI44" s="9"/>
      <c r="CDJ44" s="9"/>
      <c r="CDK44" s="9"/>
      <c r="CDL44" s="9"/>
      <c r="CDM44" s="9"/>
      <c r="CDN44" s="9"/>
      <c r="CDO44" s="9"/>
      <c r="CDP44" s="9"/>
      <c r="CDQ44" s="9"/>
      <c r="CDR44" s="9"/>
      <c r="CDS44" s="9"/>
      <c r="CDT44" s="9"/>
      <c r="CDU44" s="9"/>
      <c r="CDV44" s="9"/>
      <c r="CDW44" s="9"/>
      <c r="CDX44" s="9"/>
      <c r="CDY44" s="9"/>
      <c r="CDZ44" s="9"/>
      <c r="CEA44" s="9"/>
      <c r="CEB44" s="9"/>
      <c r="CEC44" s="9"/>
      <c r="CED44" s="9"/>
      <c r="CEE44" s="9"/>
      <c r="CEF44" s="9"/>
      <c r="CEG44" s="9"/>
      <c r="CEH44" s="9"/>
      <c r="CEI44" s="9"/>
      <c r="CEJ44" s="9"/>
      <c r="CEK44" s="9"/>
      <c r="CEL44" s="9"/>
      <c r="CEM44" s="9"/>
      <c r="CEN44" s="9"/>
      <c r="CEO44" s="9"/>
      <c r="CEP44" s="9"/>
      <c r="CEQ44" s="9"/>
      <c r="CER44" s="9"/>
      <c r="CES44" s="9"/>
      <c r="CET44" s="9"/>
      <c r="CEU44" s="9"/>
      <c r="CEV44" s="9"/>
      <c r="CEW44" s="9"/>
      <c r="CEX44" s="9"/>
      <c r="CEY44" s="9"/>
      <c r="CEZ44" s="9"/>
      <c r="CFA44" s="9"/>
      <c r="CFB44" s="9"/>
      <c r="CFC44" s="9"/>
      <c r="CFD44" s="9"/>
      <c r="CFE44" s="9"/>
      <c r="CFF44" s="9"/>
      <c r="CFG44" s="9"/>
      <c r="CFH44" s="9"/>
      <c r="CFI44" s="9"/>
      <c r="CFJ44" s="9"/>
      <c r="CFK44" s="9"/>
      <c r="CFL44" s="9"/>
      <c r="CFM44" s="9"/>
      <c r="CFN44" s="9"/>
      <c r="CFO44" s="9"/>
      <c r="CFP44" s="9"/>
      <c r="CFQ44" s="9"/>
      <c r="CFR44" s="9"/>
      <c r="CFS44" s="9"/>
      <c r="CFT44" s="9"/>
      <c r="CFU44" s="9"/>
      <c r="CFV44" s="9"/>
      <c r="CFW44" s="9"/>
      <c r="CFX44" s="9"/>
      <c r="CFY44" s="9"/>
      <c r="CFZ44" s="9"/>
      <c r="CGA44" s="9"/>
      <c r="CGB44" s="9"/>
      <c r="CGC44" s="9"/>
      <c r="CGD44" s="9"/>
      <c r="CGE44" s="9"/>
      <c r="CGF44" s="9"/>
      <c r="CGG44" s="9"/>
      <c r="CGH44" s="9"/>
      <c r="CGI44" s="9"/>
      <c r="CGJ44" s="9"/>
      <c r="CGK44" s="9"/>
      <c r="CGL44" s="9"/>
      <c r="CGM44" s="9"/>
      <c r="CGN44" s="9"/>
      <c r="CGO44" s="9"/>
      <c r="CGP44" s="9"/>
      <c r="CGQ44" s="9"/>
      <c r="CGR44" s="9"/>
      <c r="CGS44" s="9"/>
      <c r="CGT44" s="9"/>
      <c r="CGU44" s="9"/>
      <c r="CGV44" s="9"/>
      <c r="CGW44" s="9"/>
      <c r="CGX44" s="9"/>
      <c r="CGY44" s="9"/>
      <c r="CGZ44" s="9"/>
      <c r="CHA44" s="9"/>
      <c r="CHB44" s="9"/>
      <c r="CHC44" s="9"/>
      <c r="CHD44" s="9"/>
      <c r="CHE44" s="9"/>
      <c r="CHF44" s="9"/>
      <c r="CHG44" s="9"/>
      <c r="CHH44" s="9"/>
      <c r="CHI44" s="9"/>
      <c r="CHJ44" s="9"/>
      <c r="CHK44" s="9"/>
      <c r="CHL44" s="9"/>
      <c r="CHM44" s="9"/>
      <c r="CHN44" s="9"/>
      <c r="CHO44" s="9"/>
      <c r="CHP44" s="9"/>
      <c r="CHQ44" s="9"/>
      <c r="CHR44" s="9"/>
      <c r="CHS44" s="9"/>
      <c r="CHT44" s="9"/>
      <c r="CHU44" s="9"/>
      <c r="CHV44" s="9"/>
      <c r="CHW44" s="9"/>
      <c r="CHX44" s="9"/>
      <c r="CHY44" s="9"/>
      <c r="CHZ44" s="9"/>
      <c r="CIA44" s="9"/>
      <c r="CIB44" s="9"/>
      <c r="CIC44" s="9"/>
      <c r="CID44" s="9"/>
      <c r="CIE44" s="9"/>
      <c r="CIF44" s="9"/>
      <c r="CIG44" s="9"/>
      <c r="CIH44" s="9"/>
      <c r="CII44" s="9"/>
      <c r="CIJ44" s="9"/>
      <c r="CIK44" s="9"/>
      <c r="CIL44" s="9"/>
      <c r="CIM44" s="9"/>
      <c r="CIN44" s="9"/>
      <c r="CIO44" s="9"/>
      <c r="CIP44" s="9"/>
      <c r="CIQ44" s="9"/>
      <c r="CIR44" s="9"/>
      <c r="CIS44" s="9"/>
      <c r="CIT44" s="9"/>
      <c r="CIU44" s="9"/>
      <c r="CIV44" s="9"/>
      <c r="CIW44" s="9"/>
      <c r="CIX44" s="9"/>
      <c r="CIY44" s="9"/>
      <c r="CIZ44" s="9"/>
      <c r="CJA44" s="9"/>
      <c r="CJB44" s="9"/>
      <c r="CJC44" s="9"/>
      <c r="CJD44" s="9"/>
      <c r="CJE44" s="9"/>
      <c r="CJF44" s="9"/>
      <c r="CJG44" s="9"/>
      <c r="CJH44" s="9"/>
      <c r="CJI44" s="9"/>
      <c r="CJJ44" s="9"/>
      <c r="CJK44" s="9"/>
      <c r="CJL44" s="9"/>
      <c r="CJM44" s="9"/>
      <c r="CJN44" s="9"/>
      <c r="CJO44" s="9"/>
      <c r="CJP44" s="9"/>
      <c r="CJQ44" s="9"/>
      <c r="CJR44" s="9"/>
      <c r="CJS44" s="9"/>
      <c r="CJT44" s="9"/>
      <c r="CJU44" s="9"/>
      <c r="CJV44" s="9"/>
      <c r="CJW44" s="9"/>
      <c r="CJX44" s="9"/>
      <c r="CJY44" s="9"/>
      <c r="CJZ44" s="9"/>
      <c r="CKA44" s="9"/>
      <c r="CKB44" s="9"/>
      <c r="CKC44" s="9"/>
      <c r="CKD44" s="9"/>
      <c r="CKE44" s="9"/>
      <c r="CKF44" s="9"/>
      <c r="CKG44" s="9"/>
      <c r="CKH44" s="9"/>
      <c r="CKI44" s="9"/>
      <c r="CKJ44" s="9"/>
      <c r="CKK44" s="9"/>
      <c r="CKL44" s="9"/>
      <c r="CKM44" s="9"/>
      <c r="CKN44" s="9"/>
      <c r="CKO44" s="9"/>
      <c r="CKP44" s="9"/>
      <c r="CKQ44" s="9"/>
      <c r="CKR44" s="9"/>
      <c r="CKS44" s="9"/>
      <c r="CKT44" s="9"/>
      <c r="CKU44" s="9"/>
      <c r="CKV44" s="9"/>
      <c r="CKW44" s="9"/>
      <c r="CKX44" s="9"/>
      <c r="CKY44" s="9"/>
      <c r="CKZ44" s="9"/>
      <c r="CLA44" s="9"/>
      <c r="CLB44" s="9"/>
      <c r="CLC44" s="9"/>
      <c r="CLD44" s="9"/>
      <c r="CLE44" s="9"/>
      <c r="CLF44" s="9"/>
      <c r="CLG44" s="9"/>
      <c r="CLH44" s="9"/>
      <c r="CLI44" s="9"/>
      <c r="CLJ44" s="9"/>
      <c r="CLK44" s="9"/>
      <c r="CLL44" s="9"/>
      <c r="CLM44" s="9"/>
      <c r="CLN44" s="9"/>
      <c r="CLO44" s="9"/>
      <c r="CLP44" s="9"/>
      <c r="CLQ44" s="9"/>
      <c r="CLR44" s="9"/>
      <c r="CLS44" s="9"/>
      <c r="CLT44" s="9"/>
      <c r="CLU44" s="9"/>
      <c r="CLV44" s="9"/>
      <c r="CLW44" s="9"/>
      <c r="CLX44" s="9"/>
      <c r="CLY44" s="9"/>
      <c r="CLZ44" s="9"/>
      <c r="CMA44" s="9"/>
      <c r="CMB44" s="9"/>
      <c r="CMC44" s="9"/>
      <c r="CMD44" s="9"/>
      <c r="CME44" s="9"/>
      <c r="CMF44" s="9"/>
      <c r="CMG44" s="9"/>
      <c r="CMH44" s="9"/>
      <c r="CMI44" s="9"/>
      <c r="CMJ44" s="9"/>
      <c r="CMK44" s="9"/>
      <c r="CML44" s="9"/>
      <c r="CMM44" s="9"/>
      <c r="CMN44" s="9"/>
      <c r="CMO44" s="9"/>
      <c r="CMP44" s="9"/>
      <c r="CMQ44" s="9"/>
      <c r="CMR44" s="9"/>
      <c r="CMS44" s="9"/>
      <c r="CMT44" s="9"/>
      <c r="CMU44" s="9"/>
      <c r="CMV44" s="9"/>
      <c r="CMW44" s="9"/>
      <c r="CMX44" s="9"/>
      <c r="CMY44" s="9"/>
      <c r="CMZ44" s="9"/>
      <c r="CNA44" s="9"/>
      <c r="CNB44" s="9"/>
      <c r="CNC44" s="9"/>
      <c r="CND44" s="9"/>
      <c r="CNE44" s="9"/>
      <c r="CNF44" s="9"/>
      <c r="CNG44" s="9"/>
      <c r="CNH44" s="9"/>
      <c r="CNI44" s="9"/>
      <c r="CNJ44" s="9"/>
      <c r="CNK44" s="9"/>
      <c r="CNL44" s="9"/>
      <c r="CNM44" s="9"/>
      <c r="CNN44" s="9"/>
      <c r="CNO44" s="9"/>
      <c r="CNP44" s="9"/>
      <c r="CNQ44" s="9"/>
      <c r="CNR44" s="9"/>
      <c r="CNS44" s="9"/>
      <c r="CNT44" s="9"/>
      <c r="CNU44" s="9"/>
      <c r="CNV44" s="9"/>
      <c r="CNW44" s="9"/>
      <c r="CNX44" s="9"/>
      <c r="CNY44" s="9"/>
      <c r="CNZ44" s="9"/>
      <c r="COA44" s="9"/>
      <c r="COB44" s="9"/>
      <c r="COC44" s="9"/>
      <c r="COD44" s="9"/>
      <c r="COE44" s="9"/>
      <c r="COF44" s="9"/>
      <c r="COG44" s="9"/>
      <c r="COH44" s="9"/>
      <c r="COI44" s="9"/>
      <c r="COJ44" s="9"/>
      <c r="COK44" s="9"/>
      <c r="COL44" s="9"/>
      <c r="COM44" s="9"/>
      <c r="CON44" s="9"/>
      <c r="COO44" s="9"/>
      <c r="COP44" s="9"/>
      <c r="COQ44" s="9"/>
      <c r="COR44" s="9"/>
      <c r="COS44" s="9"/>
      <c r="COT44" s="9"/>
      <c r="COU44" s="9"/>
      <c r="COV44" s="9"/>
      <c r="COW44" s="9"/>
      <c r="COX44" s="9"/>
      <c r="COY44" s="9"/>
      <c r="COZ44" s="9"/>
      <c r="CPA44" s="9"/>
      <c r="CPB44" s="9"/>
      <c r="CPC44" s="9"/>
      <c r="CPD44" s="9"/>
      <c r="CPE44" s="9"/>
      <c r="CPF44" s="9"/>
      <c r="CPG44" s="9"/>
      <c r="CPH44" s="9"/>
      <c r="CPI44" s="9"/>
      <c r="CPJ44" s="9"/>
      <c r="CPK44" s="9"/>
      <c r="CPL44" s="9"/>
      <c r="CPM44" s="9"/>
      <c r="CPN44" s="9"/>
      <c r="CPO44" s="9"/>
      <c r="CPP44" s="9"/>
      <c r="CPQ44" s="9"/>
      <c r="CPR44" s="9"/>
      <c r="CPS44" s="9"/>
      <c r="CPT44" s="9"/>
      <c r="CPU44" s="9"/>
      <c r="CPV44" s="9"/>
      <c r="CPW44" s="9"/>
      <c r="CPX44" s="9"/>
      <c r="CPY44" s="9"/>
      <c r="CPZ44" s="9"/>
      <c r="CQA44" s="9"/>
      <c r="CQB44" s="9"/>
      <c r="CQC44" s="9"/>
      <c r="CQD44" s="9"/>
      <c r="CQE44" s="9"/>
      <c r="CQF44" s="9"/>
      <c r="CQG44" s="9"/>
      <c r="CQH44" s="9"/>
      <c r="CQI44" s="9"/>
      <c r="CQJ44" s="9"/>
      <c r="CQK44" s="9"/>
      <c r="CQL44" s="9"/>
      <c r="CQM44" s="9"/>
      <c r="CQN44" s="9"/>
      <c r="CQO44" s="9"/>
      <c r="CQP44" s="9"/>
      <c r="CQQ44" s="9"/>
      <c r="CQR44" s="9"/>
      <c r="CQS44" s="9"/>
      <c r="CQT44" s="9"/>
      <c r="CQU44" s="9"/>
      <c r="CQV44" s="9"/>
      <c r="CQW44" s="9"/>
      <c r="CQX44" s="9"/>
      <c r="CQY44" s="9"/>
      <c r="CQZ44" s="9"/>
      <c r="CRA44" s="9"/>
      <c r="CRB44" s="9"/>
      <c r="CRC44" s="9"/>
      <c r="CRD44" s="9"/>
      <c r="CRE44" s="9"/>
      <c r="CRF44" s="9"/>
      <c r="CRG44" s="9"/>
      <c r="CRH44" s="9"/>
      <c r="CRI44" s="9"/>
      <c r="CRJ44" s="9"/>
      <c r="CRK44" s="9"/>
      <c r="CRL44" s="9"/>
      <c r="CRM44" s="9"/>
      <c r="CRN44" s="9"/>
      <c r="CRO44" s="9"/>
      <c r="CRP44" s="9"/>
      <c r="CRQ44" s="9"/>
      <c r="CRR44" s="9"/>
      <c r="CRS44" s="9"/>
      <c r="CRT44" s="9"/>
      <c r="CRU44" s="9"/>
      <c r="CRV44" s="9"/>
      <c r="CRW44" s="9"/>
      <c r="CRX44" s="9"/>
      <c r="CRY44" s="9"/>
      <c r="CRZ44" s="9"/>
      <c r="CSA44" s="9"/>
      <c r="CSB44" s="9"/>
      <c r="CSC44" s="9"/>
      <c r="CSD44" s="9"/>
      <c r="CSE44" s="9"/>
      <c r="CSF44" s="9"/>
      <c r="CSG44" s="9"/>
      <c r="CSH44" s="9"/>
      <c r="CSI44" s="9"/>
      <c r="CSJ44" s="9"/>
      <c r="CSK44" s="9"/>
      <c r="CSL44" s="9"/>
      <c r="CSM44" s="9"/>
      <c r="CSN44" s="9"/>
      <c r="CSO44" s="9"/>
      <c r="CSP44" s="9"/>
      <c r="CSQ44" s="9"/>
      <c r="CSR44" s="9"/>
      <c r="CSS44" s="9"/>
      <c r="CST44" s="9"/>
      <c r="CSU44" s="9"/>
      <c r="CSV44" s="9"/>
      <c r="CSW44" s="9"/>
      <c r="CSX44" s="9"/>
      <c r="CSY44" s="9"/>
      <c r="CSZ44" s="9"/>
      <c r="CTA44" s="9"/>
      <c r="CTB44" s="9"/>
      <c r="CTC44" s="9"/>
      <c r="CTD44" s="9"/>
      <c r="CTE44" s="9"/>
      <c r="CTF44" s="9"/>
      <c r="CTG44" s="9"/>
      <c r="CTH44" s="9"/>
      <c r="CTI44" s="9"/>
      <c r="CTJ44" s="9"/>
      <c r="CTK44" s="9"/>
      <c r="CTL44" s="9"/>
      <c r="CTM44" s="9"/>
      <c r="CTN44" s="9"/>
      <c r="CTO44" s="9"/>
      <c r="CTP44" s="9"/>
      <c r="CTQ44" s="9"/>
      <c r="CTR44" s="9"/>
      <c r="CTS44" s="9"/>
      <c r="CTT44" s="9"/>
      <c r="CTU44" s="9"/>
      <c r="CTV44" s="9"/>
      <c r="CTW44" s="9"/>
      <c r="CTX44" s="9"/>
      <c r="CTY44" s="9"/>
      <c r="CTZ44" s="9"/>
      <c r="CUA44" s="9"/>
      <c r="CUB44" s="9"/>
      <c r="CUC44" s="9"/>
      <c r="CUD44" s="9"/>
      <c r="CUE44" s="9"/>
      <c r="CUF44" s="9"/>
      <c r="CUG44" s="9"/>
      <c r="CUH44" s="9"/>
      <c r="CUI44" s="9"/>
      <c r="CUJ44" s="9"/>
      <c r="CUK44" s="9"/>
      <c r="CUL44" s="9"/>
      <c r="CUM44" s="9"/>
      <c r="CUN44" s="9"/>
      <c r="CUO44" s="9"/>
      <c r="CUP44" s="9"/>
      <c r="CUQ44" s="9"/>
      <c r="CUR44" s="9"/>
      <c r="CUS44" s="9"/>
      <c r="CUT44" s="9"/>
      <c r="CUU44" s="9"/>
      <c r="CUV44" s="9"/>
      <c r="CUW44" s="9"/>
      <c r="CUX44" s="9"/>
      <c r="CUY44" s="9"/>
      <c r="CUZ44" s="9"/>
      <c r="CVA44" s="9"/>
      <c r="CVB44" s="9"/>
      <c r="CVC44" s="9"/>
      <c r="CVD44" s="9"/>
      <c r="CVE44" s="9"/>
      <c r="CVF44" s="9"/>
      <c r="CVG44" s="9"/>
      <c r="CVH44" s="9"/>
      <c r="CVI44" s="9"/>
      <c r="CVJ44" s="9"/>
      <c r="CVK44" s="9"/>
      <c r="CVL44" s="9"/>
      <c r="CVM44" s="9"/>
      <c r="CVN44" s="9"/>
      <c r="CVO44" s="9"/>
      <c r="CVP44" s="9"/>
      <c r="CVQ44" s="9"/>
      <c r="CVR44" s="9"/>
      <c r="CVS44" s="9"/>
      <c r="CVT44" s="9"/>
      <c r="CVU44" s="9"/>
      <c r="CVV44" s="9"/>
      <c r="CVW44" s="9"/>
      <c r="CVX44" s="9"/>
      <c r="CVY44" s="9"/>
      <c r="CVZ44" s="9"/>
      <c r="CWA44" s="9"/>
      <c r="CWB44" s="9"/>
      <c r="CWC44" s="9"/>
      <c r="CWD44" s="9"/>
      <c r="CWE44" s="9"/>
      <c r="CWF44" s="9"/>
      <c r="CWG44" s="9"/>
      <c r="CWH44" s="9"/>
      <c r="CWI44" s="9"/>
      <c r="CWJ44" s="9"/>
      <c r="CWK44" s="9"/>
      <c r="CWL44" s="9"/>
      <c r="CWM44" s="9"/>
      <c r="CWN44" s="9"/>
      <c r="CWO44" s="9"/>
      <c r="CWP44" s="9"/>
      <c r="CWQ44" s="9"/>
      <c r="CWR44" s="9"/>
      <c r="CWS44" s="9"/>
      <c r="CWT44" s="9"/>
      <c r="CWU44" s="9"/>
      <c r="CWV44" s="9"/>
      <c r="CWW44" s="9"/>
      <c r="CWX44" s="9"/>
      <c r="CWY44" s="9"/>
      <c r="CWZ44" s="9"/>
      <c r="CXA44" s="9"/>
      <c r="CXB44" s="9"/>
      <c r="CXC44" s="9"/>
      <c r="CXD44" s="9"/>
      <c r="CXE44" s="9"/>
      <c r="CXF44" s="9"/>
      <c r="CXG44" s="9"/>
      <c r="CXH44" s="9"/>
      <c r="CXI44" s="9"/>
      <c r="CXJ44" s="9"/>
      <c r="CXK44" s="9"/>
      <c r="CXL44" s="9"/>
      <c r="CXM44" s="9"/>
      <c r="CXN44" s="9"/>
      <c r="CXO44" s="9"/>
      <c r="CXP44" s="9"/>
      <c r="CXQ44" s="9"/>
      <c r="CXR44" s="9"/>
      <c r="CXS44" s="9"/>
      <c r="CXT44" s="9"/>
      <c r="CXU44" s="9"/>
      <c r="CXV44" s="9"/>
      <c r="CXW44" s="9"/>
      <c r="CXX44" s="9"/>
      <c r="CXY44" s="9"/>
      <c r="CXZ44" s="9"/>
      <c r="CYA44" s="9"/>
      <c r="CYB44" s="9"/>
      <c r="CYC44" s="9"/>
      <c r="CYD44" s="9"/>
      <c r="CYE44" s="9"/>
      <c r="CYF44" s="9"/>
      <c r="CYG44" s="9"/>
      <c r="CYH44" s="9"/>
      <c r="CYI44" s="9"/>
      <c r="CYJ44" s="9"/>
      <c r="CYK44" s="9"/>
      <c r="CYL44" s="9"/>
      <c r="CYM44" s="9"/>
      <c r="CYN44" s="9"/>
      <c r="CYO44" s="9"/>
      <c r="CYP44" s="9"/>
      <c r="CYQ44" s="9"/>
      <c r="CYR44" s="9"/>
      <c r="CYS44" s="9"/>
      <c r="CYT44" s="9"/>
      <c r="CYU44" s="9"/>
      <c r="CYV44" s="9"/>
      <c r="CYW44" s="9"/>
      <c r="CYX44" s="9"/>
      <c r="CYY44" s="9"/>
      <c r="CYZ44" s="9"/>
      <c r="CZA44" s="9"/>
      <c r="CZB44" s="9"/>
      <c r="CZC44" s="9"/>
      <c r="CZD44" s="9"/>
      <c r="CZE44" s="9"/>
      <c r="CZF44" s="9"/>
      <c r="CZG44" s="9"/>
      <c r="CZH44" s="9"/>
      <c r="CZI44" s="9"/>
      <c r="CZJ44" s="9"/>
      <c r="CZK44" s="9"/>
      <c r="CZL44" s="9"/>
      <c r="CZM44" s="9"/>
      <c r="CZN44" s="9"/>
      <c r="CZO44" s="9"/>
      <c r="CZP44" s="9"/>
      <c r="CZQ44" s="9"/>
      <c r="CZR44" s="9"/>
      <c r="CZS44" s="9"/>
      <c r="CZT44" s="9"/>
      <c r="CZU44" s="9"/>
      <c r="CZV44" s="9"/>
      <c r="CZW44" s="9"/>
      <c r="CZX44" s="9"/>
      <c r="CZY44" s="9"/>
      <c r="CZZ44" s="9"/>
      <c r="DAA44" s="9"/>
      <c r="DAB44" s="9"/>
      <c r="DAC44" s="9"/>
      <c r="DAD44" s="9"/>
      <c r="DAE44" s="9"/>
      <c r="DAF44" s="9"/>
      <c r="DAG44" s="9"/>
      <c r="DAH44" s="9"/>
      <c r="DAI44" s="9"/>
      <c r="DAJ44" s="9"/>
      <c r="DAK44" s="9"/>
      <c r="DAL44" s="9"/>
      <c r="DAM44" s="9"/>
      <c r="DAN44" s="9"/>
      <c r="DAO44" s="9"/>
      <c r="DAP44" s="9"/>
      <c r="DAQ44" s="9"/>
      <c r="DAR44" s="9"/>
      <c r="DAS44" s="9"/>
      <c r="DAT44" s="9"/>
      <c r="DAU44" s="9"/>
      <c r="DAV44" s="9"/>
      <c r="DAW44" s="9"/>
      <c r="DAX44" s="9"/>
      <c r="DAY44" s="9"/>
      <c r="DAZ44" s="9"/>
      <c r="DBA44" s="9"/>
      <c r="DBB44" s="9"/>
      <c r="DBC44" s="9"/>
      <c r="DBD44" s="9"/>
      <c r="DBE44" s="9"/>
      <c r="DBF44" s="9"/>
      <c r="DBG44" s="9"/>
      <c r="DBH44" s="9"/>
      <c r="DBI44" s="9"/>
      <c r="DBJ44" s="9"/>
      <c r="DBK44" s="9"/>
      <c r="DBL44" s="9"/>
      <c r="DBM44" s="9"/>
      <c r="DBN44" s="9"/>
      <c r="DBO44" s="9"/>
      <c r="DBP44" s="9"/>
      <c r="DBQ44" s="9"/>
      <c r="DBR44" s="9"/>
      <c r="DBS44" s="9"/>
      <c r="DBT44" s="9"/>
      <c r="DBU44" s="9"/>
      <c r="DBV44" s="9"/>
      <c r="DBW44" s="9"/>
      <c r="DBX44" s="9"/>
      <c r="DBY44" s="9"/>
      <c r="DBZ44" s="9"/>
      <c r="DCA44" s="9"/>
      <c r="DCB44" s="9"/>
      <c r="DCC44" s="9"/>
      <c r="DCD44" s="9"/>
      <c r="DCE44" s="9"/>
      <c r="DCF44" s="9"/>
      <c r="DCG44" s="9"/>
      <c r="DCH44" s="9"/>
      <c r="DCI44" s="9"/>
      <c r="DCJ44" s="9"/>
      <c r="DCK44" s="9"/>
      <c r="DCL44" s="9"/>
      <c r="DCM44" s="9"/>
      <c r="DCN44" s="9"/>
      <c r="DCO44" s="9"/>
      <c r="DCP44" s="9"/>
      <c r="DCQ44" s="9"/>
      <c r="DCR44" s="9"/>
      <c r="DCS44" s="9"/>
      <c r="DCT44" s="9"/>
      <c r="DCU44" s="9"/>
      <c r="DCV44" s="9"/>
      <c r="DCW44" s="9"/>
      <c r="DCX44" s="9"/>
      <c r="DCY44" s="9"/>
      <c r="DCZ44" s="9"/>
      <c r="DDA44" s="9"/>
      <c r="DDB44" s="9"/>
      <c r="DDC44" s="9"/>
      <c r="DDD44" s="9"/>
      <c r="DDE44" s="9"/>
      <c r="DDF44" s="9"/>
      <c r="DDG44" s="9"/>
      <c r="DDH44" s="9"/>
      <c r="DDI44" s="9"/>
      <c r="DDJ44" s="9"/>
      <c r="DDK44" s="9"/>
      <c r="DDL44" s="9"/>
      <c r="DDM44" s="9"/>
      <c r="DDN44" s="9"/>
      <c r="DDO44" s="9"/>
      <c r="DDP44" s="9"/>
      <c r="DDQ44" s="9"/>
      <c r="DDR44" s="9"/>
      <c r="DDS44" s="9"/>
      <c r="DDT44" s="9"/>
      <c r="DDU44" s="9"/>
      <c r="DDV44" s="9"/>
      <c r="DDW44" s="9"/>
      <c r="DDX44" s="9"/>
      <c r="DDY44" s="9"/>
      <c r="DDZ44" s="9"/>
      <c r="DEA44" s="9"/>
      <c r="DEB44" s="9"/>
      <c r="DEC44" s="9"/>
      <c r="DED44" s="9"/>
      <c r="DEE44" s="9"/>
      <c r="DEF44" s="9"/>
      <c r="DEG44" s="9"/>
      <c r="DEH44" s="9"/>
      <c r="DEI44" s="9"/>
      <c r="DEJ44" s="9"/>
      <c r="DEK44" s="9"/>
      <c r="DEL44" s="9"/>
      <c r="DEM44" s="9"/>
      <c r="DEN44" s="9"/>
      <c r="DEO44" s="9"/>
      <c r="DEP44" s="9"/>
      <c r="DEQ44" s="9"/>
      <c r="DER44" s="9"/>
      <c r="DES44" s="9"/>
      <c r="DET44" s="9"/>
      <c r="DEU44" s="9"/>
      <c r="DEV44" s="9"/>
      <c r="DEW44" s="9"/>
      <c r="DEX44" s="9"/>
      <c r="DEY44" s="9"/>
      <c r="DEZ44" s="9"/>
      <c r="DFA44" s="9"/>
      <c r="DFB44" s="9"/>
      <c r="DFC44" s="9"/>
      <c r="DFD44" s="9"/>
      <c r="DFE44" s="9"/>
      <c r="DFF44" s="9"/>
      <c r="DFG44" s="9"/>
      <c r="DFH44" s="9"/>
      <c r="DFI44" s="9"/>
      <c r="DFJ44" s="9"/>
      <c r="DFK44" s="9"/>
      <c r="DFL44" s="9"/>
      <c r="DFM44" s="9"/>
      <c r="DFN44" s="9"/>
      <c r="DFO44" s="9"/>
      <c r="DFP44" s="9"/>
      <c r="DFQ44" s="9"/>
      <c r="DFR44" s="9"/>
      <c r="DFS44" s="9"/>
      <c r="DFT44" s="9"/>
      <c r="DFU44" s="9"/>
      <c r="DFV44" s="9"/>
      <c r="DFW44" s="9"/>
      <c r="DFX44" s="9"/>
      <c r="DFY44" s="9"/>
      <c r="DFZ44" s="9"/>
      <c r="DGA44" s="9"/>
      <c r="DGB44" s="9"/>
      <c r="DGC44" s="9"/>
      <c r="DGD44" s="9"/>
      <c r="DGE44" s="9"/>
      <c r="DGF44" s="9"/>
      <c r="DGG44" s="9"/>
      <c r="DGH44" s="9"/>
      <c r="DGI44" s="9"/>
      <c r="DGJ44" s="9"/>
      <c r="DGK44" s="9"/>
      <c r="DGL44" s="9"/>
      <c r="DGM44" s="9"/>
      <c r="DGN44" s="9"/>
      <c r="DGO44" s="9"/>
      <c r="DGP44" s="9"/>
      <c r="DGQ44" s="9"/>
      <c r="DGR44" s="9"/>
      <c r="DGS44" s="9"/>
      <c r="DGT44" s="9"/>
      <c r="DGU44" s="9"/>
      <c r="DGV44" s="9"/>
      <c r="DGW44" s="9"/>
      <c r="DGX44" s="9"/>
      <c r="DGY44" s="9"/>
      <c r="DGZ44" s="9"/>
      <c r="DHA44" s="9"/>
      <c r="DHB44" s="9"/>
      <c r="DHC44" s="9"/>
      <c r="DHD44" s="9"/>
      <c r="DHE44" s="9"/>
      <c r="DHF44" s="9"/>
      <c r="DHG44" s="9"/>
      <c r="DHH44" s="9"/>
      <c r="DHI44" s="9"/>
      <c r="DHJ44" s="9"/>
      <c r="DHK44" s="9"/>
      <c r="DHL44" s="9"/>
      <c r="DHM44" s="9"/>
      <c r="DHN44" s="9"/>
      <c r="DHO44" s="9"/>
      <c r="DHP44" s="9"/>
      <c r="DHQ44" s="9"/>
      <c r="DHR44" s="9"/>
      <c r="DHS44" s="9"/>
      <c r="DHT44" s="9"/>
      <c r="DHU44" s="9"/>
      <c r="DHV44" s="9"/>
      <c r="DHW44" s="9"/>
      <c r="DHX44" s="9"/>
      <c r="DHY44" s="9"/>
      <c r="DHZ44" s="9"/>
      <c r="DIA44" s="9"/>
      <c r="DIB44" s="9"/>
      <c r="DIC44" s="9"/>
      <c r="DID44" s="9"/>
      <c r="DIE44" s="9"/>
      <c r="DIF44" s="9"/>
      <c r="DIG44" s="9"/>
      <c r="DIH44" s="9"/>
      <c r="DII44" s="9"/>
      <c r="DIJ44" s="9"/>
      <c r="DIK44" s="9"/>
      <c r="DIL44" s="9"/>
      <c r="DIM44" s="9"/>
      <c r="DIN44" s="9"/>
      <c r="DIO44" s="9"/>
      <c r="DIP44" s="9"/>
      <c r="DIQ44" s="9"/>
      <c r="DIR44" s="9"/>
      <c r="DIS44" s="9"/>
      <c r="DIT44" s="9"/>
      <c r="DIU44" s="9"/>
      <c r="DIV44" s="9"/>
      <c r="DIW44" s="9"/>
      <c r="DIX44" s="9"/>
      <c r="DIY44" s="9"/>
      <c r="DIZ44" s="9"/>
      <c r="DJA44" s="9"/>
      <c r="DJB44" s="9"/>
      <c r="DJC44" s="9"/>
      <c r="DJD44" s="9"/>
      <c r="DJE44" s="9"/>
      <c r="DJF44" s="9"/>
      <c r="DJG44" s="9"/>
      <c r="DJH44" s="9"/>
      <c r="DJI44" s="9"/>
      <c r="DJJ44" s="9"/>
      <c r="DJK44" s="9"/>
      <c r="DJL44" s="9"/>
      <c r="DJM44" s="9"/>
      <c r="DJN44" s="9"/>
      <c r="DJO44" s="9"/>
      <c r="DJP44" s="9"/>
      <c r="DJQ44" s="9"/>
      <c r="DJR44" s="9"/>
      <c r="DJS44" s="9"/>
      <c r="DJT44" s="9"/>
      <c r="DJU44" s="9"/>
      <c r="DJV44" s="9"/>
      <c r="DJW44" s="9"/>
      <c r="DJX44" s="9"/>
      <c r="DJY44" s="9"/>
      <c r="DJZ44" s="9"/>
      <c r="DKA44" s="9"/>
      <c r="DKB44" s="9"/>
      <c r="DKC44" s="9"/>
      <c r="DKD44" s="9"/>
      <c r="DKE44" s="9"/>
      <c r="DKF44" s="9"/>
      <c r="DKG44" s="9"/>
      <c r="DKH44" s="9"/>
      <c r="DKI44" s="9"/>
      <c r="DKJ44" s="9"/>
      <c r="DKK44" s="9"/>
      <c r="DKL44" s="9"/>
      <c r="DKM44" s="9"/>
      <c r="DKN44" s="9"/>
      <c r="DKO44" s="9"/>
      <c r="DKP44" s="9"/>
      <c r="DKQ44" s="9"/>
      <c r="DKR44" s="9"/>
      <c r="DKS44" s="9"/>
      <c r="DKT44" s="9"/>
      <c r="DKU44" s="9"/>
      <c r="DKV44" s="9"/>
      <c r="DKW44" s="9"/>
      <c r="DKX44" s="9"/>
      <c r="DKY44" s="9"/>
      <c r="DKZ44" s="9"/>
      <c r="DLA44" s="9"/>
      <c r="DLB44" s="9"/>
      <c r="DLC44" s="9"/>
      <c r="DLD44" s="9"/>
      <c r="DLE44" s="9"/>
      <c r="DLF44" s="9"/>
      <c r="DLG44" s="9"/>
      <c r="DLH44" s="9"/>
      <c r="DLI44" s="9"/>
      <c r="DLJ44" s="9"/>
      <c r="DLK44" s="9"/>
      <c r="DLL44" s="9"/>
      <c r="DLM44" s="9"/>
      <c r="DLN44" s="9"/>
      <c r="DLO44" s="9"/>
      <c r="DLP44" s="9"/>
      <c r="DLQ44" s="9"/>
      <c r="DLR44" s="9"/>
      <c r="DLS44" s="9"/>
      <c r="DLT44" s="9"/>
      <c r="DLU44" s="9"/>
      <c r="DLV44" s="9"/>
      <c r="DLW44" s="9"/>
      <c r="DLX44" s="9"/>
      <c r="DLY44" s="9"/>
      <c r="DLZ44" s="9"/>
      <c r="DMA44" s="9"/>
      <c r="DMB44" s="9"/>
      <c r="DMC44" s="9"/>
      <c r="DMD44" s="9"/>
      <c r="DME44" s="9"/>
      <c r="DMF44" s="9"/>
      <c r="DMG44" s="9"/>
      <c r="DMH44" s="9"/>
      <c r="DMI44" s="9"/>
      <c r="DMJ44" s="9"/>
      <c r="DMK44" s="9"/>
      <c r="DML44" s="9"/>
      <c r="DMM44" s="9"/>
      <c r="DMN44" s="9"/>
      <c r="DMO44" s="9"/>
      <c r="DMP44" s="9"/>
      <c r="DMQ44" s="9"/>
      <c r="DMR44" s="9"/>
      <c r="DMS44" s="9"/>
      <c r="DMT44" s="9"/>
      <c r="DMU44" s="9"/>
      <c r="DMV44" s="9"/>
      <c r="DMW44" s="9"/>
      <c r="DMX44" s="9"/>
      <c r="DMY44" s="9"/>
      <c r="DMZ44" s="9"/>
      <c r="DNA44" s="9"/>
      <c r="DNB44" s="9"/>
      <c r="DNC44" s="9"/>
      <c r="DND44" s="9"/>
      <c r="DNE44" s="9"/>
      <c r="DNF44" s="9"/>
      <c r="DNG44" s="9"/>
      <c r="DNH44" s="9"/>
      <c r="DNI44" s="9"/>
      <c r="DNJ44" s="9"/>
      <c r="DNK44" s="9"/>
      <c r="DNL44" s="9"/>
      <c r="DNM44" s="9"/>
      <c r="DNN44" s="9"/>
      <c r="DNO44" s="9"/>
      <c r="DNP44" s="9"/>
      <c r="DNQ44" s="9"/>
      <c r="DNR44" s="9"/>
      <c r="DNS44" s="9"/>
      <c r="DNT44" s="9"/>
      <c r="DNU44" s="9"/>
      <c r="DNV44" s="9"/>
      <c r="DNW44" s="9"/>
      <c r="DNX44" s="9"/>
      <c r="DNY44" s="9"/>
      <c r="DNZ44" s="9"/>
      <c r="DOA44" s="9"/>
      <c r="DOB44" s="9"/>
      <c r="DOC44" s="9"/>
      <c r="DOD44" s="9"/>
      <c r="DOE44" s="9"/>
      <c r="DOF44" s="9"/>
      <c r="DOG44" s="9"/>
      <c r="DOH44" s="9"/>
      <c r="DOI44" s="9"/>
      <c r="DOJ44" s="9"/>
      <c r="DOK44" s="9"/>
      <c r="DOL44" s="9"/>
      <c r="DOM44" s="9"/>
      <c r="DON44" s="9"/>
      <c r="DOO44" s="9"/>
      <c r="DOP44" s="9"/>
      <c r="DOQ44" s="9"/>
      <c r="DOR44" s="9"/>
      <c r="DOS44" s="9"/>
      <c r="DOT44" s="9"/>
      <c r="DOU44" s="9"/>
      <c r="DOV44" s="9"/>
      <c r="DOW44" s="9"/>
      <c r="DOX44" s="9"/>
      <c r="DOY44" s="9"/>
      <c r="DOZ44" s="9"/>
      <c r="DPA44" s="9"/>
      <c r="DPB44" s="9"/>
      <c r="DPC44" s="9"/>
      <c r="DPD44" s="9"/>
      <c r="DPE44" s="9"/>
      <c r="DPF44" s="9"/>
      <c r="DPG44" s="9"/>
      <c r="DPH44" s="9"/>
      <c r="DPI44" s="9"/>
      <c r="DPJ44" s="9"/>
      <c r="DPK44" s="9"/>
      <c r="DPL44" s="9"/>
      <c r="DPM44" s="9"/>
      <c r="DPN44" s="9"/>
      <c r="DPO44" s="9"/>
      <c r="DPP44" s="9"/>
      <c r="DPQ44" s="9"/>
      <c r="DPR44" s="9"/>
      <c r="DPS44" s="9"/>
      <c r="DPT44" s="9"/>
      <c r="DPU44" s="9"/>
      <c r="DPV44" s="9"/>
      <c r="DPW44" s="9"/>
      <c r="DPX44" s="9"/>
      <c r="DPY44" s="9"/>
      <c r="DPZ44" s="9"/>
      <c r="DQA44" s="9"/>
      <c r="DQB44" s="9"/>
      <c r="DQC44" s="9"/>
      <c r="DQD44" s="9"/>
      <c r="DQE44" s="9"/>
      <c r="DQF44" s="9"/>
      <c r="DQG44" s="9"/>
      <c r="DQH44" s="9"/>
      <c r="DQI44" s="9"/>
      <c r="DQJ44" s="9"/>
      <c r="DQK44" s="9"/>
      <c r="DQL44" s="9"/>
      <c r="DQM44" s="9"/>
      <c r="DQN44" s="9"/>
      <c r="DQO44" s="9"/>
      <c r="DQP44" s="9"/>
      <c r="DQQ44" s="9"/>
      <c r="DQR44" s="9"/>
      <c r="DQS44" s="9"/>
      <c r="DQT44" s="9"/>
      <c r="DQU44" s="9"/>
      <c r="DQV44" s="9"/>
      <c r="DQW44" s="9"/>
      <c r="DQX44" s="9"/>
      <c r="DQY44" s="9"/>
      <c r="DQZ44" s="9"/>
      <c r="DRA44" s="9"/>
      <c r="DRB44" s="9"/>
      <c r="DRC44" s="9"/>
      <c r="DRD44" s="9"/>
      <c r="DRE44" s="9"/>
      <c r="DRF44" s="9"/>
      <c r="DRG44" s="9"/>
      <c r="DRH44" s="9"/>
      <c r="DRI44" s="9"/>
      <c r="DRJ44" s="9"/>
      <c r="DRK44" s="9"/>
      <c r="DRL44" s="9"/>
      <c r="DRM44" s="9"/>
      <c r="DRN44" s="9"/>
      <c r="DRO44" s="9"/>
      <c r="DRP44" s="9"/>
      <c r="DRQ44" s="9"/>
      <c r="DRR44" s="9"/>
      <c r="DRS44" s="9"/>
      <c r="DRT44" s="9"/>
      <c r="DRU44" s="9"/>
      <c r="DRV44" s="9"/>
      <c r="DRW44" s="9"/>
      <c r="DRX44" s="9"/>
      <c r="DRY44" s="9"/>
      <c r="DRZ44" s="9"/>
      <c r="DSA44" s="9"/>
      <c r="DSB44" s="9"/>
      <c r="DSC44" s="9"/>
      <c r="DSD44" s="9"/>
      <c r="DSE44" s="9"/>
      <c r="DSF44" s="9"/>
      <c r="DSG44" s="9"/>
      <c r="DSH44" s="9"/>
      <c r="DSI44" s="9"/>
      <c r="DSJ44" s="9"/>
      <c r="DSK44" s="9"/>
      <c r="DSL44" s="9"/>
      <c r="DSM44" s="9"/>
      <c r="DSN44" s="9"/>
      <c r="DSO44" s="9"/>
      <c r="DSP44" s="9"/>
      <c r="DSQ44" s="9"/>
      <c r="DSR44" s="9"/>
      <c r="DSS44" s="9"/>
      <c r="DST44" s="9"/>
      <c r="DSU44" s="9"/>
      <c r="DSV44" s="9"/>
      <c r="DSW44" s="9"/>
      <c r="DSX44" s="9"/>
      <c r="DSY44" s="9"/>
      <c r="DSZ44" s="9"/>
      <c r="DTA44" s="9"/>
      <c r="DTB44" s="9"/>
      <c r="DTC44" s="9"/>
      <c r="DTD44" s="9"/>
      <c r="DTE44" s="9"/>
      <c r="DTF44" s="9"/>
      <c r="DTG44" s="9"/>
      <c r="DTH44" s="9"/>
      <c r="DTI44" s="9"/>
      <c r="DTJ44" s="9"/>
      <c r="DTK44" s="9"/>
      <c r="DTL44" s="9"/>
      <c r="DTM44" s="9"/>
      <c r="DTN44" s="9"/>
      <c r="DTO44" s="9"/>
      <c r="DTP44" s="9"/>
      <c r="DTQ44" s="9"/>
      <c r="DTR44" s="9"/>
      <c r="DTS44" s="9"/>
      <c r="DTT44" s="9"/>
      <c r="DTU44" s="9"/>
      <c r="DTV44" s="9"/>
      <c r="DTW44" s="9"/>
      <c r="DTX44" s="9"/>
      <c r="DTY44" s="9"/>
      <c r="DTZ44" s="9"/>
      <c r="DUA44" s="9"/>
      <c r="DUB44" s="9"/>
      <c r="DUC44" s="9"/>
      <c r="DUD44" s="9"/>
      <c r="DUE44" s="9"/>
      <c r="DUF44" s="9"/>
      <c r="DUG44" s="9"/>
      <c r="DUH44" s="9"/>
      <c r="DUI44" s="9"/>
      <c r="DUJ44" s="9"/>
      <c r="DUK44" s="9"/>
      <c r="DUL44" s="9"/>
      <c r="DUM44" s="9"/>
      <c r="DUN44" s="9"/>
      <c r="DUO44" s="9"/>
      <c r="DUP44" s="9"/>
      <c r="DUQ44" s="9"/>
      <c r="DUR44" s="9"/>
      <c r="DUS44" s="9"/>
      <c r="DUT44" s="9"/>
      <c r="DUU44" s="9"/>
      <c r="DUV44" s="9"/>
      <c r="DUW44" s="9"/>
      <c r="DUX44" s="9"/>
      <c r="DUY44" s="9"/>
      <c r="DUZ44" s="9"/>
      <c r="DVA44" s="9"/>
      <c r="DVB44" s="9"/>
      <c r="DVC44" s="9"/>
      <c r="DVD44" s="9"/>
      <c r="DVE44" s="9"/>
      <c r="DVF44" s="9"/>
      <c r="DVG44" s="9"/>
      <c r="DVH44" s="9"/>
      <c r="DVI44" s="9"/>
      <c r="DVJ44" s="9"/>
      <c r="DVK44" s="9"/>
      <c r="DVL44" s="9"/>
      <c r="DVM44" s="9"/>
      <c r="DVN44" s="9"/>
      <c r="DVO44" s="9"/>
      <c r="DVP44" s="9"/>
      <c r="DVQ44" s="9"/>
      <c r="DVR44" s="9"/>
      <c r="DVS44" s="9"/>
      <c r="DVT44" s="9"/>
      <c r="DVU44" s="9"/>
      <c r="DVV44" s="9"/>
      <c r="DVW44" s="9"/>
      <c r="DVX44" s="9"/>
      <c r="DVY44" s="9"/>
      <c r="DVZ44" s="9"/>
      <c r="DWA44" s="9"/>
      <c r="DWB44" s="9"/>
      <c r="DWC44" s="9"/>
      <c r="DWD44" s="9"/>
      <c r="DWE44" s="9"/>
      <c r="DWF44" s="9"/>
      <c r="DWG44" s="9"/>
      <c r="DWH44" s="9"/>
      <c r="DWI44" s="9"/>
      <c r="DWJ44" s="9"/>
      <c r="DWK44" s="9"/>
      <c r="DWL44" s="9"/>
      <c r="DWM44" s="9"/>
      <c r="DWN44" s="9"/>
      <c r="DWO44" s="9"/>
      <c r="DWP44" s="9"/>
      <c r="DWQ44" s="9"/>
      <c r="DWR44" s="9"/>
      <c r="DWS44" s="9"/>
      <c r="DWT44" s="9"/>
      <c r="DWU44" s="9"/>
      <c r="DWV44" s="9"/>
      <c r="DWW44" s="9"/>
      <c r="DWX44" s="9"/>
      <c r="DWY44" s="9"/>
      <c r="DWZ44" s="9"/>
      <c r="DXA44" s="9"/>
      <c r="DXB44" s="9"/>
      <c r="DXC44" s="9"/>
      <c r="DXD44" s="9"/>
      <c r="DXE44" s="9"/>
      <c r="DXF44" s="9"/>
      <c r="DXG44" s="9"/>
      <c r="DXH44" s="9"/>
      <c r="DXI44" s="9"/>
      <c r="DXJ44" s="9"/>
      <c r="DXK44" s="9"/>
      <c r="DXL44" s="9"/>
      <c r="DXM44" s="9"/>
      <c r="DXN44" s="9"/>
      <c r="DXO44" s="9"/>
      <c r="DXP44" s="9"/>
      <c r="DXQ44" s="9"/>
      <c r="DXR44" s="9"/>
      <c r="DXS44" s="9"/>
      <c r="DXT44" s="9"/>
      <c r="DXU44" s="9"/>
      <c r="DXV44" s="9"/>
      <c r="DXW44" s="9"/>
      <c r="DXX44" s="9"/>
      <c r="DXY44" s="9"/>
      <c r="DXZ44" s="9"/>
      <c r="DYA44" s="9"/>
      <c r="DYB44" s="9"/>
      <c r="DYC44" s="9"/>
      <c r="DYD44" s="9"/>
      <c r="DYE44" s="9"/>
      <c r="DYF44" s="9"/>
      <c r="DYG44" s="9"/>
      <c r="DYH44" s="9"/>
      <c r="DYI44" s="9"/>
      <c r="DYJ44" s="9"/>
      <c r="DYK44" s="9"/>
      <c r="DYL44" s="9"/>
      <c r="DYM44" s="9"/>
      <c r="DYN44" s="9"/>
      <c r="DYO44" s="9"/>
      <c r="DYP44" s="9"/>
      <c r="DYQ44" s="9"/>
      <c r="DYR44" s="9"/>
      <c r="DYS44" s="9"/>
      <c r="DYT44" s="9"/>
      <c r="DYU44" s="9"/>
      <c r="DYV44" s="9"/>
      <c r="DYW44" s="9"/>
      <c r="DYX44" s="9"/>
      <c r="DYY44" s="9"/>
      <c r="DYZ44" s="9"/>
      <c r="DZA44" s="9"/>
      <c r="DZB44" s="9"/>
      <c r="DZC44" s="9"/>
      <c r="DZD44" s="9"/>
      <c r="DZE44" s="9"/>
      <c r="DZF44" s="9"/>
      <c r="DZG44" s="9"/>
      <c r="DZH44" s="9"/>
      <c r="DZI44" s="9"/>
      <c r="DZJ44" s="9"/>
      <c r="DZK44" s="9"/>
      <c r="DZL44" s="9"/>
      <c r="DZM44" s="9"/>
      <c r="DZN44" s="9"/>
      <c r="DZO44" s="9"/>
      <c r="DZP44" s="9"/>
      <c r="DZQ44" s="9"/>
      <c r="DZR44" s="9"/>
      <c r="DZS44" s="9"/>
      <c r="DZT44" s="9"/>
      <c r="DZU44" s="9"/>
      <c r="DZV44" s="9"/>
      <c r="DZW44" s="9"/>
      <c r="DZX44" s="9"/>
      <c r="DZY44" s="9"/>
      <c r="DZZ44" s="9"/>
      <c r="EAA44" s="9"/>
      <c r="EAB44" s="9"/>
      <c r="EAC44" s="9"/>
      <c r="EAD44" s="9"/>
      <c r="EAE44" s="9"/>
      <c r="EAF44" s="9"/>
      <c r="EAG44" s="9"/>
      <c r="EAH44" s="9"/>
      <c r="EAI44" s="9"/>
      <c r="EAJ44" s="9"/>
      <c r="EAK44" s="9"/>
      <c r="EAL44" s="9"/>
      <c r="EAM44" s="9"/>
      <c r="EAN44" s="9"/>
      <c r="EAO44" s="9"/>
      <c r="EAP44" s="9"/>
      <c r="EAQ44" s="9"/>
      <c r="EAR44" s="9"/>
      <c r="EAS44" s="9"/>
      <c r="EAT44" s="9"/>
      <c r="EAU44" s="9"/>
      <c r="EAV44" s="9"/>
      <c r="EAW44" s="9"/>
      <c r="EAX44" s="9"/>
      <c r="EAY44" s="9"/>
      <c r="EAZ44" s="9"/>
      <c r="EBA44" s="9"/>
      <c r="EBB44" s="9"/>
      <c r="EBC44" s="9"/>
      <c r="EBD44" s="9"/>
      <c r="EBE44" s="9"/>
      <c r="EBF44" s="9"/>
      <c r="EBG44" s="9"/>
      <c r="EBH44" s="9"/>
      <c r="EBI44" s="9"/>
      <c r="EBJ44" s="9"/>
      <c r="EBK44" s="9"/>
      <c r="EBL44" s="9"/>
      <c r="EBM44" s="9"/>
      <c r="EBN44" s="9"/>
      <c r="EBO44" s="9"/>
      <c r="EBP44" s="9"/>
      <c r="EBQ44" s="9"/>
      <c r="EBR44" s="9"/>
      <c r="EBS44" s="9"/>
      <c r="EBT44" s="9"/>
      <c r="EBU44" s="9"/>
      <c r="EBV44" s="9"/>
      <c r="EBW44" s="9"/>
      <c r="EBX44" s="9"/>
      <c r="EBY44" s="9"/>
      <c r="EBZ44" s="9"/>
      <c r="ECA44" s="9"/>
      <c r="ECB44" s="9"/>
      <c r="ECC44" s="9"/>
      <c r="ECD44" s="9"/>
      <c r="ECE44" s="9"/>
      <c r="ECF44" s="9"/>
      <c r="ECG44" s="9"/>
      <c r="ECH44" s="9"/>
      <c r="ECI44" s="9"/>
      <c r="ECJ44" s="9"/>
      <c r="ECK44" s="9"/>
      <c r="ECL44" s="9"/>
      <c r="ECM44" s="9"/>
      <c r="ECN44" s="9"/>
      <c r="ECO44" s="9"/>
      <c r="ECP44" s="9"/>
      <c r="ECQ44" s="9"/>
      <c r="ECR44" s="9"/>
      <c r="ECS44" s="9"/>
      <c r="ECT44" s="9"/>
      <c r="ECU44" s="9"/>
      <c r="ECV44" s="9"/>
      <c r="ECW44" s="9"/>
      <c r="ECX44" s="9"/>
      <c r="ECY44" s="9"/>
      <c r="ECZ44" s="9"/>
      <c r="EDA44" s="9"/>
      <c r="EDB44" s="9"/>
      <c r="EDC44" s="9"/>
      <c r="EDD44" s="9"/>
      <c r="EDE44" s="9"/>
      <c r="EDF44" s="9"/>
      <c r="EDG44" s="9"/>
      <c r="EDH44" s="9"/>
      <c r="EDI44" s="9"/>
      <c r="EDJ44" s="9"/>
      <c r="EDK44" s="9"/>
      <c r="EDL44" s="9"/>
      <c r="EDM44" s="9"/>
      <c r="EDN44" s="9"/>
      <c r="EDO44" s="9"/>
      <c r="EDP44" s="9"/>
      <c r="EDQ44" s="9"/>
      <c r="EDR44" s="9"/>
      <c r="EDS44" s="9"/>
      <c r="EDT44" s="9"/>
      <c r="EDU44" s="9"/>
      <c r="EDV44" s="9"/>
      <c r="EDW44" s="9"/>
      <c r="EDX44" s="9"/>
      <c r="EDY44" s="9"/>
      <c r="EDZ44" s="9"/>
      <c r="EEA44" s="9"/>
      <c r="EEB44" s="9"/>
      <c r="EEC44" s="9"/>
      <c r="EED44" s="9"/>
      <c r="EEE44" s="9"/>
      <c r="EEF44" s="9"/>
      <c r="EEG44" s="9"/>
      <c r="EEH44" s="9"/>
      <c r="EEI44" s="9"/>
      <c r="EEJ44" s="9"/>
      <c r="EEK44" s="9"/>
      <c r="EEL44" s="9"/>
      <c r="EEM44" s="9"/>
      <c r="EEN44" s="9"/>
      <c r="EEO44" s="9"/>
      <c r="EEP44" s="9"/>
      <c r="EEQ44" s="9"/>
      <c r="EER44" s="9"/>
      <c r="EES44" s="9"/>
      <c r="EET44" s="9"/>
      <c r="EEU44" s="9"/>
      <c r="EEV44" s="9"/>
      <c r="EEW44" s="9"/>
      <c r="EEX44" s="9"/>
      <c r="EEY44" s="9"/>
      <c r="EEZ44" s="9"/>
      <c r="EFA44" s="9"/>
      <c r="EFB44" s="9"/>
      <c r="EFC44" s="9"/>
      <c r="EFD44" s="9"/>
      <c r="EFE44" s="9"/>
      <c r="EFF44" s="9"/>
      <c r="EFG44" s="9"/>
      <c r="EFH44" s="9"/>
      <c r="EFI44" s="9"/>
      <c r="EFJ44" s="9"/>
      <c r="EFK44" s="9"/>
      <c r="EFL44" s="9"/>
      <c r="EFM44" s="9"/>
      <c r="EFN44" s="9"/>
      <c r="EFO44" s="9"/>
      <c r="EFP44" s="9"/>
      <c r="EFQ44" s="9"/>
      <c r="EFR44" s="9"/>
      <c r="EFS44" s="9"/>
      <c r="EFT44" s="9"/>
      <c r="EFU44" s="9"/>
      <c r="EFV44" s="9"/>
      <c r="EFW44" s="9"/>
      <c r="EFX44" s="9"/>
      <c r="EFY44" s="9"/>
      <c r="EFZ44" s="9"/>
      <c r="EGA44" s="9"/>
      <c r="EGB44" s="9"/>
      <c r="EGC44" s="9"/>
      <c r="EGD44" s="9"/>
      <c r="EGE44" s="9"/>
      <c r="EGF44" s="9"/>
      <c r="EGG44" s="9"/>
      <c r="EGH44" s="9"/>
      <c r="EGI44" s="9"/>
      <c r="EGJ44" s="9"/>
      <c r="EGK44" s="9"/>
      <c r="EGL44" s="9"/>
      <c r="EGM44" s="9"/>
      <c r="EGN44" s="9"/>
      <c r="EGO44" s="9"/>
      <c r="EGP44" s="9"/>
      <c r="EGQ44" s="9"/>
      <c r="EGR44" s="9"/>
      <c r="EGS44" s="9"/>
      <c r="EGT44" s="9"/>
      <c r="EGU44" s="9"/>
      <c r="EGV44" s="9"/>
      <c r="EGW44" s="9"/>
      <c r="EGX44" s="9"/>
      <c r="EGY44" s="9"/>
      <c r="EGZ44" s="9"/>
      <c r="EHA44" s="9"/>
      <c r="EHB44" s="9"/>
      <c r="EHC44" s="9"/>
      <c r="EHD44" s="9"/>
      <c r="EHE44" s="9"/>
      <c r="EHF44" s="9"/>
      <c r="EHG44" s="9"/>
      <c r="EHH44" s="9"/>
      <c r="EHI44" s="9"/>
      <c r="EHJ44" s="9"/>
      <c r="EHK44" s="9"/>
      <c r="EHL44" s="9"/>
      <c r="EHM44" s="9"/>
      <c r="EHN44" s="9"/>
      <c r="EHO44" s="9"/>
      <c r="EHP44" s="9"/>
      <c r="EHQ44" s="9"/>
      <c r="EHR44" s="9"/>
      <c r="EHS44" s="9"/>
      <c r="EHT44" s="9"/>
      <c r="EHU44" s="9"/>
      <c r="EHV44" s="9"/>
      <c r="EHW44" s="9"/>
      <c r="EHX44" s="9"/>
      <c r="EHY44" s="9"/>
      <c r="EHZ44" s="9"/>
      <c r="EIA44" s="9"/>
      <c r="EIB44" s="9"/>
      <c r="EIC44" s="9"/>
      <c r="EID44" s="9"/>
      <c r="EIE44" s="9"/>
      <c r="EIF44" s="9"/>
      <c r="EIG44" s="9"/>
      <c r="EIH44" s="9"/>
      <c r="EII44" s="9"/>
      <c r="EIJ44" s="9"/>
      <c r="EIK44" s="9"/>
      <c r="EIL44" s="9"/>
      <c r="EIM44" s="9"/>
      <c r="EIN44" s="9"/>
      <c r="EIO44" s="9"/>
      <c r="EIP44" s="9"/>
      <c r="EIQ44" s="9"/>
      <c r="EIR44" s="9"/>
      <c r="EIS44" s="9"/>
      <c r="EIT44" s="9"/>
      <c r="EIU44" s="9"/>
      <c r="EIV44" s="9"/>
      <c r="EIW44" s="9"/>
      <c r="EIX44" s="9"/>
      <c r="EIY44" s="9"/>
      <c r="EIZ44" s="9"/>
      <c r="EJA44" s="9"/>
      <c r="EJB44" s="9"/>
      <c r="EJC44" s="9"/>
      <c r="EJD44" s="9"/>
      <c r="EJE44" s="9"/>
      <c r="EJF44" s="9"/>
      <c r="EJG44" s="9"/>
      <c r="EJH44" s="9"/>
      <c r="EJI44" s="9"/>
      <c r="EJJ44" s="9"/>
      <c r="EJK44" s="9"/>
      <c r="EJL44" s="9"/>
      <c r="EJM44" s="9"/>
      <c r="EJN44" s="9"/>
      <c r="EJO44" s="9"/>
      <c r="EJP44" s="9"/>
      <c r="EJQ44" s="9"/>
      <c r="EJR44" s="9"/>
      <c r="EJS44" s="9"/>
      <c r="EJT44" s="9"/>
      <c r="EJU44" s="9"/>
      <c r="EJV44" s="9"/>
      <c r="EJW44" s="9"/>
      <c r="EJX44" s="9"/>
      <c r="EJY44" s="9"/>
      <c r="EJZ44" s="9"/>
      <c r="EKA44" s="9"/>
      <c r="EKB44" s="9"/>
      <c r="EKC44" s="9"/>
      <c r="EKD44" s="9"/>
      <c r="EKE44" s="9"/>
      <c r="EKF44" s="9"/>
      <c r="EKG44" s="9"/>
      <c r="EKH44" s="9"/>
      <c r="EKI44" s="9"/>
      <c r="EKJ44" s="9"/>
      <c r="EKK44" s="9"/>
      <c r="EKL44" s="9"/>
      <c r="EKM44" s="9"/>
      <c r="EKN44" s="9"/>
      <c r="EKO44" s="9"/>
      <c r="EKP44" s="9"/>
      <c r="EKQ44" s="9"/>
      <c r="EKR44" s="9"/>
      <c r="EKS44" s="9"/>
      <c r="EKT44" s="9"/>
      <c r="EKU44" s="9"/>
      <c r="EKV44" s="9"/>
      <c r="EKW44" s="9"/>
      <c r="EKX44" s="9"/>
      <c r="EKY44" s="9"/>
      <c r="EKZ44" s="9"/>
      <c r="ELA44" s="9"/>
      <c r="ELB44" s="9"/>
      <c r="ELC44" s="9"/>
      <c r="ELD44" s="9"/>
      <c r="ELE44" s="9"/>
      <c r="ELF44" s="9"/>
      <c r="ELG44" s="9"/>
      <c r="ELH44" s="9"/>
      <c r="ELI44" s="9"/>
      <c r="ELJ44" s="9"/>
      <c r="ELK44" s="9"/>
      <c r="ELL44" s="9"/>
      <c r="ELM44" s="9"/>
      <c r="ELN44" s="9"/>
      <c r="ELO44" s="9"/>
      <c r="ELP44" s="9"/>
      <c r="ELQ44" s="9"/>
      <c r="ELR44" s="9"/>
      <c r="ELS44" s="9"/>
      <c r="ELT44" s="9"/>
      <c r="ELU44" s="9"/>
      <c r="ELV44" s="9"/>
      <c r="ELW44" s="9"/>
      <c r="ELX44" s="9"/>
      <c r="ELY44" s="9"/>
      <c r="ELZ44" s="9"/>
      <c r="EMA44" s="9"/>
      <c r="EMB44" s="9"/>
      <c r="EMC44" s="9"/>
      <c r="EMD44" s="9"/>
      <c r="EME44" s="9"/>
      <c r="EMF44" s="9"/>
      <c r="EMG44" s="9"/>
      <c r="EMH44" s="9"/>
      <c r="EMI44" s="9"/>
      <c r="EMJ44" s="9"/>
      <c r="EMK44" s="9"/>
      <c r="EML44" s="9"/>
      <c r="EMM44" s="9"/>
      <c r="EMN44" s="9"/>
      <c r="EMO44" s="9"/>
      <c r="EMP44" s="9"/>
      <c r="EMQ44" s="9"/>
      <c r="EMR44" s="9"/>
      <c r="EMS44" s="9"/>
      <c r="EMT44" s="9"/>
      <c r="EMU44" s="9"/>
      <c r="EMV44" s="9"/>
      <c r="EMW44" s="9"/>
      <c r="EMX44" s="9"/>
      <c r="EMY44" s="9"/>
      <c r="EMZ44" s="9"/>
      <c r="ENA44" s="9"/>
      <c r="ENB44" s="9"/>
      <c r="ENC44" s="9"/>
      <c r="END44" s="9"/>
      <c r="ENE44" s="9"/>
      <c r="ENF44" s="9"/>
      <c r="ENG44" s="9"/>
      <c r="ENH44" s="9"/>
      <c r="ENI44" s="9"/>
      <c r="ENJ44" s="9"/>
      <c r="ENK44" s="9"/>
      <c r="ENL44" s="9"/>
      <c r="ENM44" s="9"/>
      <c r="ENN44" s="9"/>
      <c r="ENO44" s="9"/>
      <c r="ENP44" s="9"/>
      <c r="ENQ44" s="9"/>
      <c r="ENR44" s="9"/>
      <c r="ENS44" s="9"/>
      <c r="ENT44" s="9"/>
      <c r="ENU44" s="9"/>
      <c r="ENV44" s="9"/>
      <c r="ENW44" s="9"/>
      <c r="ENX44" s="9"/>
      <c r="ENY44" s="9"/>
      <c r="ENZ44" s="9"/>
      <c r="EOA44" s="9"/>
      <c r="EOB44" s="9"/>
      <c r="EOC44" s="9"/>
      <c r="EOD44" s="9"/>
      <c r="EOE44" s="9"/>
      <c r="EOF44" s="9"/>
      <c r="EOG44" s="9"/>
      <c r="EOH44" s="9"/>
      <c r="EOI44" s="9"/>
      <c r="EOJ44" s="9"/>
      <c r="EOK44" s="9"/>
      <c r="EOL44" s="9"/>
      <c r="EOM44" s="9"/>
      <c r="EON44" s="9"/>
      <c r="EOO44" s="9"/>
      <c r="EOP44" s="9"/>
      <c r="EOQ44" s="9"/>
      <c r="EOR44" s="9"/>
      <c r="EOS44" s="9"/>
      <c r="EOT44" s="9"/>
      <c r="EOU44" s="9"/>
      <c r="EOV44" s="9"/>
      <c r="EOW44" s="9"/>
      <c r="EOX44" s="9"/>
      <c r="EOY44" s="9"/>
      <c r="EOZ44" s="9"/>
      <c r="EPA44" s="9"/>
      <c r="EPB44" s="9"/>
      <c r="EPC44" s="9"/>
      <c r="EPD44" s="9"/>
      <c r="EPE44" s="9"/>
      <c r="EPF44" s="9"/>
      <c r="EPG44" s="9"/>
      <c r="EPH44" s="9"/>
      <c r="EPI44" s="9"/>
      <c r="EPJ44" s="9"/>
      <c r="EPK44" s="9"/>
      <c r="EPL44" s="9"/>
      <c r="EPM44" s="9"/>
      <c r="EPN44" s="9"/>
      <c r="EPO44" s="9"/>
      <c r="EPP44" s="9"/>
      <c r="EPQ44" s="9"/>
      <c r="EPR44" s="9"/>
      <c r="EPS44" s="9"/>
      <c r="EPT44" s="9"/>
      <c r="EPU44" s="9"/>
      <c r="EPV44" s="9"/>
      <c r="EPW44" s="9"/>
      <c r="EPX44" s="9"/>
      <c r="EPY44" s="9"/>
      <c r="EPZ44" s="9"/>
      <c r="EQA44" s="9"/>
      <c r="EQB44" s="9"/>
      <c r="EQC44" s="9"/>
      <c r="EQD44" s="9"/>
      <c r="EQE44" s="9"/>
      <c r="EQF44" s="9"/>
      <c r="EQG44" s="9"/>
      <c r="EQH44" s="9"/>
      <c r="EQI44" s="9"/>
      <c r="EQJ44" s="9"/>
      <c r="EQK44" s="9"/>
      <c r="EQL44" s="9"/>
      <c r="EQM44" s="9"/>
      <c r="EQN44" s="9"/>
      <c r="EQO44" s="9"/>
      <c r="EQP44" s="9"/>
      <c r="EQQ44" s="9"/>
      <c r="EQR44" s="9"/>
      <c r="EQS44" s="9"/>
      <c r="EQT44" s="9"/>
      <c r="EQU44" s="9"/>
      <c r="EQV44" s="9"/>
      <c r="EQW44" s="9"/>
      <c r="EQX44" s="9"/>
      <c r="EQY44" s="9"/>
      <c r="EQZ44" s="9"/>
      <c r="ERA44" s="9"/>
      <c r="ERB44" s="9"/>
      <c r="ERC44" s="9"/>
      <c r="ERD44" s="9"/>
      <c r="ERE44" s="9"/>
      <c r="ERF44" s="9"/>
      <c r="ERG44" s="9"/>
      <c r="ERH44" s="9"/>
      <c r="ERI44" s="9"/>
      <c r="ERJ44" s="9"/>
      <c r="ERK44" s="9"/>
      <c r="ERL44" s="9"/>
      <c r="ERM44" s="9"/>
      <c r="ERN44" s="9"/>
      <c r="ERO44" s="9"/>
      <c r="ERP44" s="9"/>
      <c r="ERQ44" s="9"/>
      <c r="ERR44" s="9"/>
      <c r="ERS44" s="9"/>
      <c r="ERT44" s="9"/>
      <c r="ERU44" s="9"/>
      <c r="ERV44" s="9"/>
      <c r="ERW44" s="9"/>
      <c r="ERX44" s="9"/>
      <c r="ERY44" s="9"/>
      <c r="ERZ44" s="9"/>
      <c r="ESA44" s="9"/>
      <c r="ESB44" s="9"/>
      <c r="ESC44" s="9"/>
      <c r="ESD44" s="9"/>
      <c r="ESE44" s="9"/>
      <c r="ESF44" s="9"/>
      <c r="ESG44" s="9"/>
      <c r="ESH44" s="9"/>
      <c r="ESI44" s="9"/>
      <c r="ESJ44" s="9"/>
      <c r="ESK44" s="9"/>
      <c r="ESL44" s="9"/>
      <c r="ESM44" s="9"/>
      <c r="ESN44" s="9"/>
      <c r="ESO44" s="9"/>
      <c r="ESP44" s="9"/>
      <c r="ESQ44" s="9"/>
      <c r="ESR44" s="9"/>
      <c r="ESS44" s="9"/>
      <c r="EST44" s="9"/>
      <c r="ESU44" s="9"/>
      <c r="ESV44" s="9"/>
      <c r="ESW44" s="9"/>
      <c r="ESX44" s="9"/>
      <c r="ESY44" s="9"/>
      <c r="ESZ44" s="9"/>
      <c r="ETA44" s="9"/>
      <c r="ETB44" s="9"/>
      <c r="ETC44" s="9"/>
      <c r="ETD44" s="9"/>
      <c r="ETE44" s="9"/>
      <c r="ETF44" s="9"/>
      <c r="ETG44" s="9"/>
      <c r="ETH44" s="9"/>
      <c r="ETI44" s="9"/>
      <c r="ETJ44" s="9"/>
      <c r="ETK44" s="9"/>
      <c r="ETL44" s="9"/>
      <c r="ETM44" s="9"/>
      <c r="ETN44" s="9"/>
      <c r="ETO44" s="9"/>
      <c r="ETP44" s="9"/>
      <c r="ETQ44" s="9"/>
      <c r="ETR44" s="9"/>
      <c r="ETS44" s="9"/>
      <c r="ETT44" s="9"/>
      <c r="ETU44" s="9"/>
      <c r="ETV44" s="9"/>
      <c r="ETW44" s="9"/>
      <c r="ETX44" s="9"/>
      <c r="ETY44" s="9"/>
      <c r="ETZ44" s="9"/>
      <c r="EUA44" s="9"/>
      <c r="EUB44" s="9"/>
      <c r="EUC44" s="9"/>
      <c r="EUD44" s="9"/>
      <c r="EUE44" s="9"/>
      <c r="EUF44" s="9"/>
      <c r="EUG44" s="9"/>
      <c r="EUH44" s="9"/>
      <c r="EUI44" s="9"/>
      <c r="EUJ44" s="9"/>
      <c r="EUK44" s="9"/>
      <c r="EUL44" s="9"/>
      <c r="EUM44" s="9"/>
      <c r="EUN44" s="9"/>
      <c r="EUO44" s="9"/>
      <c r="EUP44" s="9"/>
      <c r="EUQ44" s="9"/>
      <c r="EUR44" s="9"/>
      <c r="EUS44" s="9"/>
      <c r="EUT44" s="9"/>
      <c r="EUU44" s="9"/>
      <c r="EUV44" s="9"/>
      <c r="EUW44" s="9"/>
      <c r="EUX44" s="9"/>
      <c r="EUY44" s="9"/>
      <c r="EUZ44" s="9"/>
      <c r="EVA44" s="9"/>
      <c r="EVB44" s="9"/>
      <c r="EVC44" s="9"/>
      <c r="EVD44" s="9"/>
      <c r="EVE44" s="9"/>
      <c r="EVF44" s="9"/>
      <c r="EVG44" s="9"/>
      <c r="EVH44" s="9"/>
      <c r="EVI44" s="9"/>
      <c r="EVJ44" s="9"/>
      <c r="EVK44" s="9"/>
      <c r="EVL44" s="9"/>
      <c r="EVM44" s="9"/>
      <c r="EVN44" s="9"/>
      <c r="EVO44" s="9"/>
      <c r="EVP44" s="9"/>
      <c r="EVQ44" s="9"/>
      <c r="EVR44" s="9"/>
      <c r="EVS44" s="9"/>
      <c r="EVT44" s="9"/>
      <c r="EVU44" s="9"/>
      <c r="EVV44" s="9"/>
      <c r="EVW44" s="9"/>
      <c r="EVX44" s="9"/>
      <c r="EVY44" s="9"/>
      <c r="EVZ44" s="9"/>
      <c r="EWA44" s="9"/>
      <c r="EWB44" s="9"/>
      <c r="EWC44" s="9"/>
      <c r="EWD44" s="9"/>
      <c r="EWE44" s="9"/>
      <c r="EWF44" s="9"/>
      <c r="EWG44" s="9"/>
      <c r="EWH44" s="9"/>
      <c r="EWI44" s="9"/>
      <c r="EWJ44" s="9"/>
      <c r="EWK44" s="9"/>
      <c r="EWL44" s="9"/>
      <c r="EWM44" s="9"/>
      <c r="EWN44" s="9"/>
      <c r="EWO44" s="9"/>
      <c r="EWP44" s="9"/>
      <c r="EWQ44" s="9"/>
      <c r="EWR44" s="9"/>
      <c r="EWS44" s="9"/>
      <c r="EWT44" s="9"/>
      <c r="EWU44" s="9"/>
      <c r="EWV44" s="9"/>
      <c r="EWW44" s="9"/>
      <c r="EWX44" s="9"/>
      <c r="EWY44" s="9"/>
      <c r="EWZ44" s="9"/>
      <c r="EXA44" s="9"/>
      <c r="EXB44" s="9"/>
      <c r="EXC44" s="9"/>
      <c r="EXD44" s="9"/>
      <c r="EXE44" s="9"/>
      <c r="EXF44" s="9"/>
      <c r="EXG44" s="9"/>
      <c r="EXH44" s="9"/>
      <c r="EXI44" s="9"/>
      <c r="EXJ44" s="9"/>
      <c r="EXK44" s="9"/>
      <c r="EXL44" s="9"/>
      <c r="EXM44" s="9"/>
      <c r="EXN44" s="9"/>
      <c r="EXO44" s="9"/>
      <c r="EXP44" s="9"/>
      <c r="EXQ44" s="9"/>
      <c r="EXR44" s="9"/>
      <c r="EXS44" s="9"/>
      <c r="EXT44" s="9"/>
      <c r="EXU44" s="9"/>
      <c r="EXV44" s="9"/>
      <c r="EXW44" s="9"/>
      <c r="EXX44" s="9"/>
      <c r="EXY44" s="9"/>
      <c r="EXZ44" s="9"/>
      <c r="EYA44" s="9"/>
      <c r="EYB44" s="9"/>
      <c r="EYC44" s="9"/>
      <c r="EYD44" s="9"/>
      <c r="EYE44" s="9"/>
      <c r="EYF44" s="9"/>
      <c r="EYG44" s="9"/>
      <c r="EYH44" s="9"/>
      <c r="EYI44" s="9"/>
      <c r="EYJ44" s="9"/>
      <c r="EYK44" s="9"/>
      <c r="EYL44" s="9"/>
      <c r="EYM44" s="9"/>
      <c r="EYN44" s="9"/>
      <c r="EYO44" s="9"/>
      <c r="EYP44" s="9"/>
      <c r="EYQ44" s="9"/>
      <c r="EYR44" s="9"/>
      <c r="EYS44" s="9"/>
      <c r="EYT44" s="9"/>
      <c r="EYU44" s="9"/>
      <c r="EYV44" s="9"/>
      <c r="EYW44" s="9"/>
      <c r="EYX44" s="9"/>
      <c r="EYY44" s="9"/>
      <c r="EYZ44" s="9"/>
      <c r="EZA44" s="9"/>
      <c r="EZB44" s="9"/>
      <c r="EZC44" s="9"/>
      <c r="EZD44" s="9"/>
      <c r="EZE44" s="9"/>
      <c r="EZF44" s="9"/>
      <c r="EZG44" s="9"/>
      <c r="EZH44" s="9"/>
      <c r="EZI44" s="9"/>
      <c r="EZJ44" s="9"/>
      <c r="EZK44" s="9"/>
      <c r="EZL44" s="9"/>
      <c r="EZM44" s="9"/>
      <c r="EZN44" s="9"/>
      <c r="EZO44" s="9"/>
      <c r="EZP44" s="9"/>
      <c r="EZQ44" s="9"/>
      <c r="EZR44" s="9"/>
      <c r="EZS44" s="9"/>
      <c r="EZT44" s="9"/>
      <c r="EZU44" s="9"/>
      <c r="EZV44" s="9"/>
      <c r="EZW44" s="9"/>
      <c r="EZX44" s="9"/>
      <c r="EZY44" s="9"/>
      <c r="EZZ44" s="9"/>
      <c r="FAA44" s="9"/>
      <c r="FAB44" s="9"/>
      <c r="FAC44" s="9"/>
      <c r="FAD44" s="9"/>
      <c r="FAE44" s="9"/>
      <c r="FAF44" s="9"/>
      <c r="FAG44" s="9"/>
      <c r="FAH44" s="9"/>
      <c r="FAI44" s="9"/>
      <c r="FAJ44" s="9"/>
      <c r="FAK44" s="9"/>
      <c r="FAL44" s="9"/>
      <c r="FAM44" s="9"/>
      <c r="FAN44" s="9"/>
      <c r="FAO44" s="9"/>
      <c r="FAP44" s="9"/>
      <c r="FAQ44" s="9"/>
      <c r="FAR44" s="9"/>
      <c r="FAS44" s="9"/>
      <c r="FAT44" s="9"/>
      <c r="FAU44" s="9"/>
      <c r="FAV44" s="9"/>
      <c r="FAW44" s="9"/>
      <c r="FAX44" s="9"/>
      <c r="FAY44" s="9"/>
      <c r="FAZ44" s="9"/>
      <c r="FBA44" s="9"/>
      <c r="FBB44" s="9"/>
      <c r="FBC44" s="9"/>
      <c r="FBD44" s="9"/>
      <c r="FBE44" s="9"/>
      <c r="FBF44" s="9"/>
      <c r="FBG44" s="9"/>
      <c r="FBH44" s="9"/>
      <c r="FBI44" s="9"/>
      <c r="FBJ44" s="9"/>
      <c r="FBK44" s="9"/>
      <c r="FBL44" s="9"/>
      <c r="FBM44" s="9"/>
      <c r="FBN44" s="9"/>
      <c r="FBO44" s="9"/>
      <c r="FBP44" s="9"/>
      <c r="FBQ44" s="9"/>
      <c r="FBR44" s="9"/>
      <c r="FBS44" s="9"/>
      <c r="FBT44" s="9"/>
      <c r="FBU44" s="9"/>
      <c r="FBV44" s="9"/>
      <c r="FBW44" s="9"/>
      <c r="FBX44" s="9"/>
      <c r="FBY44" s="9"/>
      <c r="FBZ44" s="9"/>
      <c r="FCA44" s="9"/>
      <c r="FCB44" s="9"/>
      <c r="FCC44" s="9"/>
      <c r="FCD44" s="9"/>
      <c r="FCE44" s="9"/>
      <c r="FCF44" s="9"/>
      <c r="FCG44" s="9"/>
      <c r="FCH44" s="9"/>
      <c r="FCI44" s="9"/>
      <c r="FCJ44" s="9"/>
      <c r="FCK44" s="9"/>
      <c r="FCL44" s="9"/>
      <c r="FCM44" s="9"/>
      <c r="FCN44" s="9"/>
      <c r="FCO44" s="9"/>
      <c r="FCP44" s="9"/>
      <c r="FCQ44" s="9"/>
      <c r="FCR44" s="9"/>
      <c r="FCS44" s="9"/>
      <c r="FCT44" s="9"/>
      <c r="FCU44" s="9"/>
      <c r="FCV44" s="9"/>
      <c r="FCW44" s="9"/>
      <c r="FCX44" s="9"/>
      <c r="FCY44" s="9"/>
      <c r="FCZ44" s="9"/>
      <c r="FDA44" s="9"/>
      <c r="FDB44" s="9"/>
      <c r="FDC44" s="9"/>
      <c r="FDD44" s="9"/>
      <c r="FDE44" s="9"/>
      <c r="FDF44" s="9"/>
      <c r="FDG44" s="9"/>
      <c r="FDH44" s="9"/>
      <c r="FDI44" s="9"/>
      <c r="FDJ44" s="9"/>
      <c r="FDK44" s="9"/>
      <c r="FDL44" s="9"/>
      <c r="FDM44" s="9"/>
      <c r="FDN44" s="9"/>
      <c r="FDO44" s="9"/>
      <c r="FDP44" s="9"/>
      <c r="FDQ44" s="9"/>
      <c r="FDR44" s="9"/>
      <c r="FDS44" s="9"/>
      <c r="FDT44" s="9"/>
      <c r="FDU44" s="9"/>
      <c r="FDV44" s="9"/>
      <c r="FDW44" s="9"/>
      <c r="FDX44" s="9"/>
      <c r="FDY44" s="9"/>
      <c r="FDZ44" s="9"/>
      <c r="FEA44" s="9"/>
      <c r="FEB44" s="9"/>
      <c r="FEC44" s="9"/>
      <c r="FED44" s="9"/>
      <c r="FEE44" s="9"/>
      <c r="FEF44" s="9"/>
      <c r="FEG44" s="9"/>
      <c r="FEH44" s="9"/>
      <c r="FEI44" s="9"/>
      <c r="FEJ44" s="9"/>
      <c r="FEK44" s="9"/>
      <c r="FEL44" s="9"/>
      <c r="FEM44" s="9"/>
      <c r="FEN44" s="9"/>
      <c r="FEO44" s="9"/>
      <c r="FEP44" s="9"/>
      <c r="FEQ44" s="9"/>
      <c r="FER44" s="9"/>
      <c r="FES44" s="9"/>
      <c r="FET44" s="9"/>
      <c r="FEU44" s="9"/>
      <c r="FEV44" s="9"/>
      <c r="FEW44" s="9"/>
      <c r="FEX44" s="9"/>
      <c r="FEY44" s="9"/>
      <c r="FEZ44" s="9"/>
      <c r="FFA44" s="9"/>
      <c r="FFB44" s="9"/>
      <c r="FFC44" s="9"/>
      <c r="FFD44" s="9"/>
      <c r="FFE44" s="9"/>
      <c r="FFF44" s="9"/>
      <c r="FFG44" s="9"/>
      <c r="FFH44" s="9"/>
      <c r="FFI44" s="9"/>
      <c r="FFJ44" s="9"/>
      <c r="FFK44" s="9"/>
      <c r="FFL44" s="9"/>
      <c r="FFM44" s="9"/>
      <c r="FFN44" s="9"/>
      <c r="FFO44" s="9"/>
      <c r="FFP44" s="9"/>
      <c r="FFQ44" s="9"/>
      <c r="FFR44" s="9"/>
      <c r="FFS44" s="9"/>
      <c r="FFT44" s="9"/>
      <c r="FFU44" s="9"/>
      <c r="FFV44" s="9"/>
      <c r="FFW44" s="9"/>
      <c r="FFX44" s="9"/>
      <c r="FFY44" s="9"/>
      <c r="FFZ44" s="9"/>
      <c r="FGA44" s="9"/>
      <c r="FGB44" s="9"/>
      <c r="FGC44" s="9"/>
      <c r="FGD44" s="9"/>
      <c r="FGE44" s="9"/>
      <c r="FGF44" s="9"/>
      <c r="FGG44" s="9"/>
      <c r="FGH44" s="9"/>
      <c r="FGI44" s="9"/>
      <c r="FGJ44" s="9"/>
      <c r="FGK44" s="9"/>
      <c r="FGL44" s="9"/>
      <c r="FGM44" s="9"/>
      <c r="FGN44" s="9"/>
      <c r="FGO44" s="9"/>
      <c r="FGP44" s="9"/>
      <c r="FGQ44" s="9"/>
      <c r="FGR44" s="9"/>
      <c r="FGS44" s="9"/>
      <c r="FGT44" s="9"/>
      <c r="FGU44" s="9"/>
      <c r="FGV44" s="9"/>
      <c r="FGW44" s="9"/>
      <c r="FGX44" s="9"/>
      <c r="FGY44" s="9"/>
      <c r="FGZ44" s="9"/>
      <c r="FHA44" s="9"/>
      <c r="FHB44" s="9"/>
      <c r="FHC44" s="9"/>
      <c r="FHD44" s="9"/>
      <c r="FHE44" s="9"/>
      <c r="FHF44" s="9"/>
      <c r="FHG44" s="9"/>
      <c r="FHH44" s="9"/>
      <c r="FHI44" s="9"/>
      <c r="FHJ44" s="9"/>
      <c r="FHK44" s="9"/>
      <c r="FHL44" s="9"/>
      <c r="FHM44" s="9"/>
      <c r="FHN44" s="9"/>
      <c r="FHO44" s="9"/>
      <c r="FHP44" s="9"/>
      <c r="FHQ44" s="9"/>
      <c r="FHR44" s="9"/>
      <c r="FHS44" s="9"/>
      <c r="FHT44" s="9"/>
      <c r="FHU44" s="9"/>
      <c r="FHV44" s="9"/>
      <c r="FHW44" s="9"/>
      <c r="FHX44" s="9"/>
      <c r="FHY44" s="9"/>
      <c r="FHZ44" s="9"/>
      <c r="FIA44" s="9"/>
      <c r="FIB44" s="9"/>
      <c r="FIC44" s="9"/>
      <c r="FID44" s="9"/>
      <c r="FIE44" s="9"/>
      <c r="FIF44" s="9"/>
      <c r="FIG44" s="9"/>
      <c r="FIH44" s="9"/>
      <c r="FII44" s="9"/>
      <c r="FIJ44" s="9"/>
      <c r="FIK44" s="9"/>
      <c r="FIL44" s="9"/>
      <c r="FIM44" s="9"/>
      <c r="FIN44" s="9"/>
      <c r="FIO44" s="9"/>
      <c r="FIP44" s="9"/>
      <c r="FIQ44" s="9"/>
      <c r="FIR44" s="9"/>
      <c r="FIS44" s="9"/>
      <c r="FIT44" s="9"/>
      <c r="FIU44" s="9"/>
      <c r="FIV44" s="9"/>
      <c r="FIW44" s="9"/>
      <c r="FIX44" s="9"/>
      <c r="FIY44" s="9"/>
      <c r="FIZ44" s="9"/>
      <c r="FJA44" s="9"/>
      <c r="FJB44" s="9"/>
      <c r="FJC44" s="9"/>
      <c r="FJD44" s="9"/>
      <c r="FJE44" s="9"/>
      <c r="FJF44" s="9"/>
      <c r="FJG44" s="9"/>
      <c r="FJH44" s="9"/>
      <c r="FJI44" s="9"/>
      <c r="FJJ44" s="9"/>
      <c r="FJK44" s="9"/>
      <c r="FJL44" s="9"/>
      <c r="FJM44" s="9"/>
      <c r="FJN44" s="9"/>
      <c r="FJO44" s="9"/>
      <c r="FJP44" s="9"/>
      <c r="FJQ44" s="9"/>
      <c r="FJR44" s="9"/>
      <c r="FJS44" s="9"/>
      <c r="FJT44" s="9"/>
      <c r="FJU44" s="9"/>
      <c r="FJV44" s="9"/>
      <c r="FJW44" s="9"/>
      <c r="FJX44" s="9"/>
      <c r="FJY44" s="9"/>
      <c r="FJZ44" s="9"/>
      <c r="FKA44" s="9"/>
      <c r="FKB44" s="9"/>
      <c r="FKC44" s="9"/>
      <c r="FKD44" s="9"/>
      <c r="FKE44" s="9"/>
      <c r="FKF44" s="9"/>
      <c r="FKG44" s="9"/>
      <c r="FKH44" s="9"/>
      <c r="FKI44" s="9"/>
      <c r="FKJ44" s="9"/>
      <c r="FKK44" s="9"/>
      <c r="FKL44" s="9"/>
      <c r="FKM44" s="9"/>
      <c r="FKN44" s="9"/>
      <c r="FKO44" s="9"/>
      <c r="FKP44" s="9"/>
      <c r="FKQ44" s="9"/>
      <c r="FKR44" s="9"/>
      <c r="FKS44" s="9"/>
      <c r="FKT44" s="9"/>
      <c r="FKU44" s="9"/>
      <c r="FKV44" s="9"/>
      <c r="FKW44" s="9"/>
      <c r="FKX44" s="9"/>
      <c r="FKY44" s="9"/>
      <c r="FKZ44" s="9"/>
      <c r="FLA44" s="9"/>
      <c r="FLB44" s="9"/>
      <c r="FLC44" s="9"/>
      <c r="FLD44" s="9"/>
      <c r="FLE44" s="9"/>
      <c r="FLF44" s="9"/>
      <c r="FLG44" s="9"/>
      <c r="FLH44" s="9"/>
      <c r="FLI44" s="9"/>
      <c r="FLJ44" s="9"/>
      <c r="FLK44" s="9"/>
      <c r="FLL44" s="9"/>
      <c r="FLM44" s="9"/>
      <c r="FLN44" s="9"/>
      <c r="FLO44" s="9"/>
      <c r="FLP44" s="9"/>
      <c r="FLQ44" s="9"/>
      <c r="FLR44" s="9"/>
      <c r="FLS44" s="9"/>
      <c r="FLT44" s="9"/>
      <c r="FLU44" s="9"/>
      <c r="FLV44" s="9"/>
      <c r="FLW44" s="9"/>
      <c r="FLX44" s="9"/>
      <c r="FLY44" s="9"/>
      <c r="FLZ44" s="9"/>
      <c r="FMA44" s="9"/>
      <c r="FMB44" s="9"/>
      <c r="FMC44" s="9"/>
      <c r="FMD44" s="9"/>
      <c r="FME44" s="9"/>
      <c r="FMF44" s="9"/>
      <c r="FMG44" s="9"/>
      <c r="FMH44" s="9"/>
      <c r="FMI44" s="9"/>
      <c r="FMJ44" s="9"/>
      <c r="FMK44" s="9"/>
      <c r="FML44" s="9"/>
      <c r="FMM44" s="9"/>
      <c r="FMN44" s="9"/>
      <c r="FMO44" s="9"/>
      <c r="FMP44" s="9"/>
      <c r="FMQ44" s="9"/>
      <c r="FMR44" s="9"/>
      <c r="FMS44" s="9"/>
      <c r="FMT44" s="9"/>
      <c r="FMU44" s="9"/>
      <c r="FMV44" s="9"/>
      <c r="FMW44" s="9"/>
      <c r="FMX44" s="9"/>
      <c r="FMY44" s="9"/>
      <c r="FMZ44" s="9"/>
      <c r="FNA44" s="9"/>
      <c r="FNB44" s="9"/>
      <c r="FNC44" s="9"/>
      <c r="FND44" s="9"/>
      <c r="FNE44" s="9"/>
      <c r="FNF44" s="9"/>
      <c r="FNG44" s="9"/>
      <c r="FNH44" s="9"/>
      <c r="FNI44" s="9"/>
      <c r="FNJ44" s="9"/>
      <c r="FNK44" s="9"/>
      <c r="FNL44" s="9"/>
      <c r="FNM44" s="9"/>
      <c r="FNN44" s="9"/>
      <c r="FNO44" s="9"/>
      <c r="FNP44" s="9"/>
      <c r="FNQ44" s="9"/>
      <c r="FNR44" s="9"/>
      <c r="FNS44" s="9"/>
      <c r="FNT44" s="9"/>
      <c r="FNU44" s="9"/>
      <c r="FNV44" s="9"/>
      <c r="FNW44" s="9"/>
      <c r="FNX44" s="9"/>
      <c r="FNY44" s="9"/>
      <c r="FNZ44" s="9"/>
      <c r="FOA44" s="9"/>
      <c r="FOB44" s="9"/>
      <c r="FOC44" s="9"/>
      <c r="FOD44" s="9"/>
      <c r="FOE44" s="9"/>
      <c r="FOF44" s="9"/>
      <c r="FOG44" s="9"/>
      <c r="FOH44" s="9"/>
      <c r="FOI44" s="9"/>
      <c r="FOJ44" s="9"/>
      <c r="FOK44" s="9"/>
      <c r="FOL44" s="9"/>
      <c r="FOM44" s="9"/>
      <c r="FON44" s="9"/>
      <c r="FOO44" s="9"/>
      <c r="FOP44" s="9"/>
      <c r="FOQ44" s="9"/>
      <c r="FOR44" s="9"/>
      <c r="FOS44" s="9"/>
      <c r="FOT44" s="9"/>
      <c r="FOU44" s="9"/>
      <c r="FOV44" s="9"/>
      <c r="FOW44" s="9"/>
      <c r="FOX44" s="9"/>
      <c r="FOY44" s="9"/>
      <c r="FOZ44" s="9"/>
      <c r="FPA44" s="9"/>
      <c r="FPB44" s="9"/>
      <c r="FPC44" s="9"/>
      <c r="FPD44" s="9"/>
      <c r="FPE44" s="9"/>
      <c r="FPF44" s="9"/>
      <c r="FPG44" s="9"/>
      <c r="FPH44" s="9"/>
      <c r="FPI44" s="9"/>
      <c r="FPJ44" s="9"/>
      <c r="FPK44" s="9"/>
      <c r="FPL44" s="9"/>
      <c r="FPM44" s="9"/>
      <c r="FPN44" s="9"/>
      <c r="FPO44" s="9"/>
      <c r="FPP44" s="9"/>
      <c r="FPQ44" s="9"/>
      <c r="FPR44" s="9"/>
      <c r="FPS44" s="9"/>
      <c r="FPT44" s="9"/>
      <c r="FPU44" s="9"/>
      <c r="FPV44" s="9"/>
      <c r="FPW44" s="9"/>
      <c r="FPX44" s="9"/>
      <c r="FPY44" s="9"/>
      <c r="FPZ44" s="9"/>
      <c r="FQA44" s="9"/>
      <c r="FQB44" s="9"/>
      <c r="FQC44" s="9"/>
      <c r="FQD44" s="9"/>
      <c r="FQE44" s="9"/>
      <c r="FQF44" s="9"/>
      <c r="FQG44" s="9"/>
      <c r="FQH44" s="9"/>
      <c r="FQI44" s="9"/>
      <c r="FQJ44" s="9"/>
      <c r="FQK44" s="9"/>
      <c r="FQL44" s="9"/>
      <c r="FQM44" s="9"/>
      <c r="FQN44" s="9"/>
      <c r="FQO44" s="9"/>
      <c r="FQP44" s="9"/>
      <c r="FQQ44" s="9"/>
      <c r="FQR44" s="9"/>
      <c r="FQS44" s="9"/>
      <c r="FQT44" s="9"/>
      <c r="FQU44" s="9"/>
      <c r="FQV44" s="9"/>
      <c r="FQW44" s="9"/>
      <c r="FQX44" s="9"/>
      <c r="FQY44" s="9"/>
      <c r="FQZ44" s="9"/>
      <c r="FRA44" s="9"/>
      <c r="FRB44" s="9"/>
      <c r="FRC44" s="9"/>
      <c r="FRD44" s="9"/>
      <c r="FRE44" s="9"/>
      <c r="FRF44" s="9"/>
      <c r="FRG44" s="9"/>
      <c r="FRH44" s="9"/>
      <c r="FRI44" s="9"/>
      <c r="FRJ44" s="9"/>
      <c r="FRK44" s="9"/>
      <c r="FRL44" s="9"/>
      <c r="FRM44" s="9"/>
      <c r="FRN44" s="9"/>
      <c r="FRO44" s="9"/>
      <c r="FRP44" s="9"/>
      <c r="FRQ44" s="9"/>
      <c r="FRR44" s="9"/>
      <c r="FRS44" s="9"/>
      <c r="FRT44" s="9"/>
      <c r="FRU44" s="9"/>
      <c r="FRV44" s="9"/>
      <c r="FRW44" s="9"/>
      <c r="FRX44" s="9"/>
      <c r="FRY44" s="9"/>
      <c r="FRZ44" s="9"/>
      <c r="FSA44" s="9"/>
      <c r="FSB44" s="9"/>
      <c r="FSC44" s="9"/>
      <c r="FSD44" s="9"/>
      <c r="FSE44" s="9"/>
      <c r="FSF44" s="9"/>
      <c r="FSG44" s="9"/>
      <c r="FSH44" s="9"/>
      <c r="FSI44" s="9"/>
      <c r="FSJ44" s="9"/>
      <c r="FSK44" s="9"/>
      <c r="FSL44" s="9"/>
      <c r="FSM44" s="9"/>
      <c r="FSN44" s="9"/>
      <c r="FSO44" s="9"/>
      <c r="FSP44" s="9"/>
      <c r="FSQ44" s="9"/>
      <c r="FSR44" s="9"/>
      <c r="FSS44" s="9"/>
      <c r="FST44" s="9"/>
      <c r="FSU44" s="9"/>
      <c r="FSV44" s="9"/>
      <c r="FSW44" s="9"/>
      <c r="FSX44" s="9"/>
      <c r="FSY44" s="9"/>
      <c r="FSZ44" s="9"/>
      <c r="FTA44" s="9"/>
      <c r="FTB44" s="9"/>
      <c r="FTC44" s="9"/>
      <c r="FTD44" s="9"/>
      <c r="FTE44" s="9"/>
      <c r="FTF44" s="9"/>
      <c r="FTG44" s="9"/>
      <c r="FTH44" s="9"/>
      <c r="FTI44" s="9"/>
      <c r="FTJ44" s="9"/>
      <c r="FTK44" s="9"/>
      <c r="FTL44" s="9"/>
      <c r="FTM44" s="9"/>
      <c r="FTN44" s="9"/>
      <c r="FTO44" s="9"/>
      <c r="FTP44" s="9"/>
      <c r="FTQ44" s="9"/>
      <c r="FTR44" s="9"/>
      <c r="FTS44" s="9"/>
      <c r="FTT44" s="9"/>
      <c r="FTU44" s="9"/>
      <c r="FTV44" s="9"/>
      <c r="FTW44" s="9"/>
      <c r="FTX44" s="9"/>
      <c r="FTY44" s="9"/>
      <c r="FTZ44" s="9"/>
      <c r="FUA44" s="9"/>
      <c r="FUB44" s="9"/>
      <c r="FUC44" s="9"/>
      <c r="FUD44" s="9"/>
      <c r="FUE44" s="9"/>
      <c r="FUF44" s="9"/>
      <c r="FUG44" s="9"/>
      <c r="FUH44" s="9"/>
      <c r="FUI44" s="9"/>
      <c r="FUJ44" s="9"/>
      <c r="FUK44" s="9"/>
      <c r="FUL44" s="9"/>
      <c r="FUM44" s="9"/>
      <c r="FUN44" s="9"/>
      <c r="FUO44" s="9"/>
      <c r="FUP44" s="9"/>
      <c r="FUQ44" s="9"/>
      <c r="FUR44" s="9"/>
      <c r="FUS44" s="9"/>
      <c r="FUT44" s="9"/>
      <c r="FUU44" s="9"/>
      <c r="FUV44" s="9"/>
      <c r="FUW44" s="9"/>
      <c r="FUX44" s="9"/>
      <c r="FUY44" s="9"/>
      <c r="FUZ44" s="9"/>
      <c r="FVA44" s="9"/>
      <c r="FVB44" s="9"/>
      <c r="FVC44" s="9"/>
      <c r="FVD44" s="9"/>
      <c r="FVE44" s="9"/>
      <c r="FVF44" s="9"/>
      <c r="FVG44" s="9"/>
      <c r="FVH44" s="9"/>
      <c r="FVI44" s="9"/>
      <c r="FVJ44" s="9"/>
      <c r="FVK44" s="9"/>
      <c r="FVL44" s="9"/>
      <c r="FVM44" s="9"/>
      <c r="FVN44" s="9"/>
      <c r="FVO44" s="9"/>
      <c r="FVP44" s="9"/>
      <c r="FVQ44" s="9"/>
      <c r="FVR44" s="9"/>
      <c r="FVS44" s="9"/>
      <c r="FVT44" s="9"/>
      <c r="FVU44" s="9"/>
      <c r="FVV44" s="9"/>
      <c r="FVW44" s="9"/>
      <c r="FVX44" s="9"/>
      <c r="FVY44" s="9"/>
      <c r="FVZ44" s="9"/>
      <c r="FWA44" s="9"/>
      <c r="FWB44" s="9"/>
      <c r="FWC44" s="9"/>
      <c r="FWD44" s="9"/>
      <c r="FWE44" s="9"/>
      <c r="FWF44" s="9"/>
      <c r="FWG44" s="9"/>
      <c r="FWH44" s="9"/>
      <c r="FWI44" s="9"/>
      <c r="FWJ44" s="9"/>
      <c r="FWK44" s="9"/>
      <c r="FWL44" s="9"/>
      <c r="FWM44" s="9"/>
      <c r="FWN44" s="9"/>
      <c r="FWO44" s="9"/>
      <c r="FWP44" s="9"/>
      <c r="FWQ44" s="9"/>
      <c r="FWR44" s="9"/>
      <c r="FWS44" s="9"/>
      <c r="FWT44" s="9"/>
      <c r="FWU44" s="9"/>
      <c r="FWV44" s="9"/>
      <c r="FWW44" s="9"/>
      <c r="FWX44" s="9"/>
      <c r="FWY44" s="9"/>
      <c r="FWZ44" s="9"/>
      <c r="FXA44" s="9"/>
      <c r="FXB44" s="9"/>
      <c r="FXC44" s="9"/>
      <c r="FXD44" s="9"/>
      <c r="FXE44" s="9"/>
      <c r="FXF44" s="9"/>
      <c r="FXG44" s="9"/>
      <c r="FXH44" s="9"/>
      <c r="FXI44" s="9"/>
      <c r="FXJ44" s="9"/>
      <c r="FXK44" s="9"/>
      <c r="FXL44" s="9"/>
      <c r="FXM44" s="9"/>
      <c r="FXN44" s="9"/>
      <c r="FXO44" s="9"/>
      <c r="FXP44" s="9"/>
      <c r="FXQ44" s="9"/>
      <c r="FXR44" s="9"/>
      <c r="FXS44" s="9"/>
      <c r="FXT44" s="9"/>
      <c r="FXU44" s="9"/>
      <c r="FXV44" s="9"/>
      <c r="FXW44" s="9"/>
      <c r="FXX44" s="9"/>
      <c r="FXY44" s="9"/>
      <c r="FXZ44" s="9"/>
      <c r="FYA44" s="9"/>
      <c r="FYB44" s="9"/>
      <c r="FYC44" s="9"/>
      <c r="FYD44" s="9"/>
      <c r="FYE44" s="9"/>
      <c r="FYF44" s="9"/>
      <c r="FYG44" s="9"/>
      <c r="FYH44" s="9"/>
      <c r="FYI44" s="9"/>
      <c r="FYJ44" s="9"/>
      <c r="FYK44" s="9"/>
      <c r="FYL44" s="9"/>
      <c r="FYM44" s="9"/>
      <c r="FYN44" s="9"/>
      <c r="FYO44" s="9"/>
      <c r="FYP44" s="9"/>
      <c r="FYQ44" s="9"/>
      <c r="FYR44" s="9"/>
      <c r="FYS44" s="9"/>
      <c r="FYT44" s="9"/>
      <c r="FYU44" s="9"/>
      <c r="FYV44" s="9"/>
      <c r="FYW44" s="9"/>
      <c r="FYX44" s="9"/>
      <c r="FYY44" s="9"/>
      <c r="FYZ44" s="9"/>
      <c r="FZA44" s="9"/>
      <c r="FZB44" s="9"/>
      <c r="FZC44" s="9"/>
      <c r="FZD44" s="9"/>
      <c r="FZE44" s="9"/>
      <c r="FZF44" s="9"/>
      <c r="FZG44" s="9"/>
      <c r="FZH44" s="9"/>
      <c r="FZI44" s="9"/>
      <c r="FZJ44" s="9"/>
      <c r="FZK44" s="9"/>
      <c r="FZL44" s="9"/>
      <c r="FZM44" s="9"/>
      <c r="FZN44" s="9"/>
      <c r="FZO44" s="9"/>
      <c r="FZP44" s="9"/>
      <c r="FZQ44" s="9"/>
      <c r="FZR44" s="9"/>
      <c r="FZS44" s="9"/>
      <c r="FZT44" s="9"/>
      <c r="FZU44" s="9"/>
      <c r="FZV44" s="9"/>
      <c r="FZW44" s="9"/>
      <c r="FZX44" s="9"/>
      <c r="FZY44" s="9"/>
      <c r="FZZ44" s="9"/>
      <c r="GAA44" s="9"/>
      <c r="GAB44" s="9"/>
      <c r="GAC44" s="9"/>
      <c r="GAD44" s="9"/>
      <c r="GAE44" s="9"/>
      <c r="GAF44" s="9"/>
      <c r="GAG44" s="9"/>
      <c r="GAH44" s="9"/>
      <c r="GAI44" s="9"/>
      <c r="GAJ44" s="9"/>
      <c r="GAK44" s="9"/>
      <c r="GAL44" s="9"/>
      <c r="GAM44" s="9"/>
      <c r="GAN44" s="9"/>
      <c r="GAO44" s="9"/>
      <c r="GAP44" s="9"/>
      <c r="GAQ44" s="9"/>
      <c r="GAR44" s="9"/>
      <c r="GAS44" s="9"/>
      <c r="GAT44" s="9"/>
      <c r="GAU44" s="9"/>
      <c r="GAV44" s="9"/>
      <c r="GAW44" s="9"/>
      <c r="GAX44" s="9"/>
      <c r="GAY44" s="9"/>
      <c r="GAZ44" s="9"/>
      <c r="GBA44" s="9"/>
      <c r="GBB44" s="9"/>
      <c r="GBC44" s="9"/>
      <c r="GBD44" s="9"/>
      <c r="GBE44" s="9"/>
      <c r="GBF44" s="9"/>
      <c r="GBG44" s="9"/>
      <c r="GBH44" s="9"/>
      <c r="GBI44" s="9"/>
      <c r="GBJ44" s="9"/>
      <c r="GBK44" s="9"/>
      <c r="GBL44" s="9"/>
      <c r="GBM44" s="9"/>
      <c r="GBN44" s="9"/>
      <c r="GBO44" s="9"/>
      <c r="GBP44" s="9"/>
      <c r="GBQ44" s="9"/>
      <c r="GBR44" s="9"/>
      <c r="GBS44" s="9"/>
      <c r="GBT44" s="9"/>
      <c r="GBU44" s="9"/>
      <c r="GBV44" s="9"/>
      <c r="GBW44" s="9"/>
      <c r="GBX44" s="9"/>
      <c r="GBY44" s="9"/>
      <c r="GBZ44" s="9"/>
      <c r="GCA44" s="9"/>
      <c r="GCB44" s="9"/>
      <c r="GCC44" s="9"/>
      <c r="GCD44" s="9"/>
      <c r="GCE44" s="9"/>
      <c r="GCF44" s="9"/>
      <c r="GCG44" s="9"/>
      <c r="GCH44" s="9"/>
      <c r="GCI44" s="9"/>
      <c r="GCJ44" s="9"/>
      <c r="GCK44" s="9"/>
      <c r="GCL44" s="9"/>
      <c r="GCM44" s="9"/>
      <c r="GCN44" s="9"/>
      <c r="GCO44" s="9"/>
      <c r="GCP44" s="9"/>
      <c r="GCQ44" s="9"/>
      <c r="GCR44" s="9"/>
      <c r="GCS44" s="9"/>
      <c r="GCT44" s="9"/>
      <c r="GCU44" s="9"/>
      <c r="GCV44" s="9"/>
      <c r="GCW44" s="9"/>
      <c r="GCX44" s="9"/>
      <c r="GCY44" s="9"/>
      <c r="GCZ44" s="9"/>
      <c r="GDA44" s="9"/>
      <c r="GDB44" s="9"/>
      <c r="GDC44" s="9"/>
      <c r="GDD44" s="9"/>
      <c r="GDE44" s="9"/>
      <c r="GDF44" s="9"/>
      <c r="GDG44" s="9"/>
      <c r="GDH44" s="9"/>
      <c r="GDI44" s="9"/>
      <c r="GDJ44" s="9"/>
      <c r="GDK44" s="9"/>
      <c r="GDL44" s="9"/>
      <c r="GDM44" s="9"/>
      <c r="GDN44" s="9"/>
      <c r="GDO44" s="9"/>
      <c r="GDP44" s="9"/>
      <c r="GDQ44" s="9"/>
      <c r="GDR44" s="9"/>
      <c r="GDS44" s="9"/>
      <c r="GDT44" s="9"/>
      <c r="GDU44" s="9"/>
      <c r="GDV44" s="9"/>
      <c r="GDW44" s="9"/>
      <c r="GDX44" s="9"/>
      <c r="GDY44" s="9"/>
      <c r="GDZ44" s="9"/>
      <c r="GEA44" s="9"/>
      <c r="GEB44" s="9"/>
      <c r="GEC44" s="9"/>
      <c r="GED44" s="9"/>
      <c r="GEE44" s="9"/>
      <c r="GEF44" s="9"/>
      <c r="GEG44" s="9"/>
      <c r="GEH44" s="9"/>
      <c r="GEI44" s="9"/>
      <c r="GEJ44" s="9"/>
      <c r="GEK44" s="9"/>
      <c r="GEL44" s="9"/>
      <c r="GEM44" s="9"/>
      <c r="GEN44" s="9"/>
      <c r="GEO44" s="9"/>
      <c r="GEP44" s="9"/>
      <c r="GEQ44" s="9"/>
      <c r="GER44" s="9"/>
      <c r="GES44" s="9"/>
      <c r="GET44" s="9"/>
      <c r="GEU44" s="9"/>
      <c r="GEV44" s="9"/>
      <c r="GEW44" s="9"/>
      <c r="GEX44" s="9"/>
      <c r="GEY44" s="9"/>
      <c r="GEZ44" s="9"/>
      <c r="GFA44" s="9"/>
      <c r="GFB44" s="9"/>
      <c r="GFC44" s="9"/>
      <c r="GFD44" s="9"/>
      <c r="GFE44" s="9"/>
      <c r="GFF44" s="9"/>
      <c r="GFG44" s="9"/>
      <c r="GFH44" s="9"/>
      <c r="GFI44" s="9"/>
      <c r="GFJ44" s="9"/>
      <c r="GFK44" s="9"/>
      <c r="GFL44" s="9"/>
      <c r="GFM44" s="9"/>
      <c r="GFN44" s="9"/>
      <c r="GFO44" s="9"/>
      <c r="GFP44" s="9"/>
      <c r="GFQ44" s="9"/>
      <c r="GFR44" s="9"/>
      <c r="GFS44" s="9"/>
      <c r="GFT44" s="9"/>
      <c r="GFU44" s="9"/>
      <c r="GFV44" s="9"/>
      <c r="GFW44" s="9"/>
      <c r="GFX44" s="9"/>
      <c r="GFY44" s="9"/>
      <c r="GFZ44" s="9"/>
      <c r="GGA44" s="9"/>
      <c r="GGB44" s="9"/>
      <c r="GGC44" s="9"/>
      <c r="GGD44" s="9"/>
      <c r="GGE44" s="9"/>
      <c r="GGF44" s="9"/>
      <c r="GGG44" s="9"/>
      <c r="GGH44" s="9"/>
      <c r="GGI44" s="9"/>
      <c r="GGJ44" s="9"/>
      <c r="GGK44" s="9"/>
      <c r="GGL44" s="9"/>
      <c r="GGM44" s="9"/>
      <c r="GGN44" s="9"/>
      <c r="GGO44" s="9"/>
      <c r="GGP44" s="9"/>
      <c r="GGQ44" s="9"/>
      <c r="GGR44" s="9"/>
      <c r="GGS44" s="9"/>
      <c r="GGT44" s="9"/>
      <c r="GGU44" s="9"/>
      <c r="GGV44" s="9"/>
      <c r="GGW44" s="9"/>
      <c r="GGX44" s="9"/>
      <c r="GGY44" s="9"/>
      <c r="GGZ44" s="9"/>
      <c r="GHA44" s="9"/>
      <c r="GHB44" s="9"/>
      <c r="GHC44" s="9"/>
      <c r="GHD44" s="9"/>
      <c r="GHE44" s="9"/>
      <c r="GHF44" s="9"/>
      <c r="GHG44" s="9"/>
      <c r="GHH44" s="9"/>
      <c r="GHI44" s="9"/>
      <c r="GHJ44" s="9"/>
      <c r="GHK44" s="9"/>
      <c r="GHL44" s="9"/>
      <c r="GHM44" s="9"/>
      <c r="GHN44" s="9"/>
      <c r="GHO44" s="9"/>
      <c r="GHP44" s="9"/>
      <c r="GHQ44" s="9"/>
      <c r="GHR44" s="9"/>
      <c r="GHS44" s="9"/>
      <c r="GHT44" s="9"/>
      <c r="GHU44" s="9"/>
      <c r="GHV44" s="9"/>
      <c r="GHW44" s="9"/>
      <c r="GHX44" s="9"/>
      <c r="GHY44" s="9"/>
      <c r="GHZ44" s="9"/>
      <c r="GIA44" s="9"/>
      <c r="GIB44" s="9"/>
      <c r="GIC44" s="9"/>
      <c r="GID44" s="9"/>
      <c r="GIE44" s="9"/>
      <c r="GIF44" s="9"/>
      <c r="GIG44" s="9"/>
      <c r="GIH44" s="9"/>
      <c r="GII44" s="9"/>
      <c r="GIJ44" s="9"/>
      <c r="GIK44" s="9"/>
      <c r="GIL44" s="9"/>
      <c r="GIM44" s="9"/>
      <c r="GIN44" s="9"/>
      <c r="GIO44" s="9"/>
      <c r="GIP44" s="9"/>
      <c r="GIQ44" s="9"/>
      <c r="GIR44" s="9"/>
      <c r="GIS44" s="9"/>
      <c r="GIT44" s="9"/>
      <c r="GIU44" s="9"/>
      <c r="GIV44" s="9"/>
      <c r="GIW44" s="9"/>
      <c r="GIX44" s="9"/>
      <c r="GIY44" s="9"/>
      <c r="GIZ44" s="9"/>
      <c r="GJA44" s="9"/>
      <c r="GJB44" s="9"/>
      <c r="GJC44" s="9"/>
      <c r="GJD44" s="9"/>
      <c r="GJE44" s="9"/>
      <c r="GJF44" s="9"/>
      <c r="GJG44" s="9"/>
      <c r="GJH44" s="9"/>
      <c r="GJI44" s="9"/>
      <c r="GJJ44" s="9"/>
      <c r="GJK44" s="9"/>
      <c r="GJL44" s="9"/>
      <c r="GJM44" s="9"/>
      <c r="GJN44" s="9"/>
      <c r="GJO44" s="9"/>
      <c r="GJP44" s="9"/>
      <c r="GJQ44" s="9"/>
      <c r="GJR44" s="9"/>
      <c r="GJS44" s="9"/>
      <c r="GJT44" s="9"/>
      <c r="GJU44" s="9"/>
      <c r="GJV44" s="9"/>
      <c r="GJW44" s="9"/>
      <c r="GJX44" s="9"/>
      <c r="GJY44" s="9"/>
      <c r="GJZ44" s="9"/>
      <c r="GKA44" s="9"/>
      <c r="GKB44" s="9"/>
      <c r="GKC44" s="9"/>
      <c r="GKD44" s="9"/>
      <c r="GKE44" s="9"/>
      <c r="GKF44" s="9"/>
      <c r="GKG44" s="9"/>
      <c r="GKH44" s="9"/>
      <c r="GKI44" s="9"/>
      <c r="GKJ44" s="9"/>
      <c r="GKK44" s="9"/>
      <c r="GKL44" s="9"/>
      <c r="GKM44" s="9"/>
      <c r="GKN44" s="9"/>
      <c r="GKO44" s="9"/>
      <c r="GKP44" s="9"/>
      <c r="GKQ44" s="9"/>
      <c r="GKR44" s="9"/>
      <c r="GKS44" s="9"/>
      <c r="GKT44" s="9"/>
      <c r="GKU44" s="9"/>
      <c r="GKV44" s="9"/>
      <c r="GKW44" s="9"/>
      <c r="GKX44" s="9"/>
      <c r="GKY44" s="9"/>
      <c r="GKZ44" s="9"/>
      <c r="GLA44" s="9"/>
      <c r="GLB44" s="9"/>
      <c r="GLC44" s="9"/>
      <c r="GLD44" s="9"/>
      <c r="GLE44" s="9"/>
      <c r="GLF44" s="9"/>
      <c r="GLG44" s="9"/>
      <c r="GLH44" s="9"/>
      <c r="GLI44" s="9"/>
      <c r="GLJ44" s="9"/>
      <c r="GLK44" s="9"/>
      <c r="GLL44" s="9"/>
      <c r="GLM44" s="9"/>
      <c r="GLN44" s="9"/>
      <c r="GLO44" s="9"/>
      <c r="GLP44" s="9"/>
      <c r="GLQ44" s="9"/>
      <c r="GLR44" s="9"/>
      <c r="GLS44" s="9"/>
      <c r="GLT44" s="9"/>
      <c r="GLU44" s="9"/>
      <c r="GLV44" s="9"/>
      <c r="GLW44" s="9"/>
      <c r="GLX44" s="9"/>
      <c r="GLY44" s="9"/>
      <c r="GLZ44" s="9"/>
      <c r="GMA44" s="9"/>
      <c r="GMB44" s="9"/>
      <c r="GMC44" s="9"/>
      <c r="GMD44" s="9"/>
      <c r="GME44" s="9"/>
      <c r="GMF44" s="9"/>
      <c r="GMG44" s="9"/>
      <c r="GMH44" s="9"/>
      <c r="GMI44" s="9"/>
      <c r="GMJ44" s="9"/>
      <c r="GMK44" s="9"/>
      <c r="GML44" s="9"/>
      <c r="GMM44" s="9"/>
      <c r="GMN44" s="9"/>
      <c r="GMO44" s="9"/>
      <c r="GMP44" s="9"/>
      <c r="GMQ44" s="9"/>
      <c r="GMR44" s="9"/>
      <c r="GMS44" s="9"/>
      <c r="GMT44" s="9"/>
      <c r="GMU44" s="9"/>
      <c r="GMV44" s="9"/>
      <c r="GMW44" s="9"/>
      <c r="GMX44" s="9"/>
      <c r="GMY44" s="9"/>
      <c r="GMZ44" s="9"/>
      <c r="GNA44" s="9"/>
      <c r="GNB44" s="9"/>
      <c r="GNC44" s="9"/>
      <c r="GND44" s="9"/>
      <c r="GNE44" s="9"/>
      <c r="GNF44" s="9"/>
      <c r="GNG44" s="9"/>
      <c r="GNH44" s="9"/>
      <c r="GNI44" s="9"/>
      <c r="GNJ44" s="9"/>
      <c r="GNK44" s="9"/>
      <c r="GNL44" s="9"/>
      <c r="GNM44" s="9"/>
      <c r="GNN44" s="9"/>
      <c r="GNO44" s="9"/>
      <c r="GNP44" s="9"/>
      <c r="GNQ44" s="9"/>
      <c r="GNR44" s="9"/>
      <c r="GNS44" s="9"/>
      <c r="GNT44" s="9"/>
      <c r="GNU44" s="9"/>
      <c r="GNV44" s="9"/>
      <c r="GNW44" s="9"/>
      <c r="GNX44" s="9"/>
      <c r="GNY44" s="9"/>
      <c r="GNZ44" s="9"/>
      <c r="GOA44" s="9"/>
      <c r="GOB44" s="9"/>
      <c r="GOC44" s="9"/>
      <c r="GOD44" s="9"/>
      <c r="GOE44" s="9"/>
      <c r="GOF44" s="9"/>
      <c r="GOG44" s="9"/>
      <c r="GOH44" s="9"/>
      <c r="GOI44" s="9"/>
      <c r="GOJ44" s="9"/>
      <c r="GOK44" s="9"/>
      <c r="GOL44" s="9"/>
      <c r="GOM44" s="9"/>
      <c r="GON44" s="9"/>
      <c r="GOO44" s="9"/>
      <c r="GOP44" s="9"/>
      <c r="GOQ44" s="9"/>
      <c r="GOR44" s="9"/>
      <c r="GOS44" s="9"/>
      <c r="GOT44" s="9"/>
      <c r="GOU44" s="9"/>
      <c r="GOV44" s="9"/>
      <c r="GOW44" s="9"/>
      <c r="GOX44" s="9"/>
      <c r="GOY44" s="9"/>
      <c r="GOZ44" s="9"/>
      <c r="GPA44" s="9"/>
      <c r="GPB44" s="9"/>
      <c r="GPC44" s="9"/>
      <c r="GPD44" s="9"/>
      <c r="GPE44" s="9"/>
      <c r="GPF44" s="9"/>
      <c r="GPG44" s="9"/>
      <c r="GPH44" s="9"/>
      <c r="GPI44" s="9"/>
      <c r="GPJ44" s="9"/>
      <c r="GPK44" s="9"/>
      <c r="GPL44" s="9"/>
      <c r="GPM44" s="9"/>
      <c r="GPN44" s="9"/>
      <c r="GPO44" s="9"/>
      <c r="GPP44" s="9"/>
      <c r="GPQ44" s="9"/>
      <c r="GPR44" s="9"/>
      <c r="GPS44" s="9"/>
      <c r="GPT44" s="9"/>
      <c r="GPU44" s="9"/>
      <c r="GPV44" s="9"/>
      <c r="GPW44" s="9"/>
      <c r="GPX44" s="9"/>
      <c r="GPY44" s="9"/>
      <c r="GPZ44" s="9"/>
      <c r="GQA44" s="9"/>
      <c r="GQB44" s="9"/>
      <c r="GQC44" s="9"/>
      <c r="GQD44" s="9"/>
      <c r="GQE44" s="9"/>
      <c r="GQF44" s="9"/>
      <c r="GQG44" s="9"/>
      <c r="GQH44" s="9"/>
      <c r="GQI44" s="9"/>
      <c r="GQJ44" s="9"/>
      <c r="GQK44" s="9"/>
      <c r="GQL44" s="9"/>
      <c r="GQM44" s="9"/>
      <c r="GQN44" s="9"/>
      <c r="GQO44" s="9"/>
      <c r="GQP44" s="9"/>
      <c r="GQQ44" s="9"/>
      <c r="GQR44" s="9"/>
      <c r="GQS44" s="9"/>
      <c r="GQT44" s="9"/>
      <c r="GQU44" s="9"/>
      <c r="GQV44" s="9"/>
      <c r="GQW44" s="9"/>
      <c r="GQX44" s="9"/>
      <c r="GQY44" s="9"/>
      <c r="GQZ44" s="9"/>
      <c r="GRA44" s="9"/>
      <c r="GRB44" s="9"/>
      <c r="GRC44" s="9"/>
      <c r="GRD44" s="9"/>
      <c r="GRE44" s="9"/>
      <c r="GRF44" s="9"/>
      <c r="GRG44" s="9"/>
      <c r="GRH44" s="9"/>
      <c r="GRI44" s="9"/>
      <c r="GRJ44" s="9"/>
      <c r="GRK44" s="9"/>
      <c r="GRL44" s="9"/>
      <c r="GRM44" s="9"/>
      <c r="GRN44" s="9"/>
      <c r="GRO44" s="9"/>
      <c r="GRP44" s="9"/>
      <c r="GRQ44" s="9"/>
      <c r="GRR44" s="9"/>
      <c r="GRS44" s="9"/>
      <c r="GRT44" s="9"/>
      <c r="GRU44" s="9"/>
      <c r="GRV44" s="9"/>
      <c r="GRW44" s="9"/>
      <c r="GRX44" s="9"/>
      <c r="GRY44" s="9"/>
      <c r="GRZ44" s="9"/>
      <c r="GSA44" s="9"/>
      <c r="GSB44" s="9"/>
      <c r="GSC44" s="9"/>
      <c r="GSD44" s="9"/>
      <c r="GSE44" s="9"/>
      <c r="GSF44" s="9"/>
      <c r="GSG44" s="9"/>
      <c r="GSH44" s="9"/>
      <c r="GSI44" s="9"/>
      <c r="GSJ44" s="9"/>
      <c r="GSK44" s="9"/>
      <c r="GSL44" s="9"/>
      <c r="GSM44" s="9"/>
      <c r="GSN44" s="9"/>
      <c r="GSO44" s="9"/>
      <c r="GSP44" s="9"/>
      <c r="GSQ44" s="9"/>
      <c r="GSR44" s="9"/>
      <c r="GSS44" s="9"/>
      <c r="GST44" s="9"/>
      <c r="GSU44" s="9"/>
      <c r="GSV44" s="9"/>
      <c r="GSW44" s="9"/>
      <c r="GSX44" s="9"/>
      <c r="GSY44" s="9"/>
      <c r="GSZ44" s="9"/>
      <c r="GTA44" s="9"/>
      <c r="GTB44" s="9"/>
      <c r="GTC44" s="9"/>
      <c r="GTD44" s="9"/>
      <c r="GTE44" s="9"/>
      <c r="GTF44" s="9"/>
      <c r="GTG44" s="9"/>
      <c r="GTH44" s="9"/>
      <c r="GTI44" s="9"/>
      <c r="GTJ44" s="9"/>
      <c r="GTK44" s="9"/>
      <c r="GTL44" s="9"/>
      <c r="GTM44" s="9"/>
      <c r="GTN44" s="9"/>
      <c r="GTO44" s="9"/>
      <c r="GTP44" s="9"/>
      <c r="GTQ44" s="9"/>
      <c r="GTR44" s="9"/>
      <c r="GTS44" s="9"/>
      <c r="GTT44" s="9"/>
      <c r="GTU44" s="9"/>
      <c r="GTV44" s="9"/>
      <c r="GTW44" s="9"/>
      <c r="GTX44" s="9"/>
      <c r="GTY44" s="9"/>
      <c r="GTZ44" s="9"/>
      <c r="GUA44" s="9"/>
      <c r="GUB44" s="9"/>
      <c r="GUC44" s="9"/>
      <c r="GUD44" s="9"/>
      <c r="GUE44" s="9"/>
      <c r="GUF44" s="9"/>
      <c r="GUG44" s="9"/>
      <c r="GUH44" s="9"/>
      <c r="GUI44" s="9"/>
      <c r="GUJ44" s="9"/>
      <c r="GUK44" s="9"/>
      <c r="GUL44" s="9"/>
      <c r="GUM44" s="9"/>
      <c r="GUN44" s="9"/>
      <c r="GUO44" s="9"/>
      <c r="GUP44" s="9"/>
      <c r="GUQ44" s="9"/>
      <c r="GUR44" s="9"/>
      <c r="GUS44" s="9"/>
      <c r="GUT44" s="9"/>
      <c r="GUU44" s="9"/>
      <c r="GUV44" s="9"/>
      <c r="GUW44" s="9"/>
      <c r="GUX44" s="9"/>
      <c r="GUY44" s="9"/>
      <c r="GUZ44" s="9"/>
      <c r="GVA44" s="9"/>
      <c r="GVB44" s="9"/>
      <c r="GVC44" s="9"/>
      <c r="GVD44" s="9"/>
      <c r="GVE44" s="9"/>
      <c r="GVF44" s="9"/>
      <c r="GVG44" s="9"/>
      <c r="GVH44" s="9"/>
      <c r="GVI44" s="9"/>
      <c r="GVJ44" s="9"/>
      <c r="GVK44" s="9"/>
      <c r="GVL44" s="9"/>
      <c r="GVM44" s="9"/>
      <c r="GVN44" s="9"/>
      <c r="GVO44" s="9"/>
      <c r="GVP44" s="9"/>
      <c r="GVQ44" s="9"/>
      <c r="GVR44" s="9"/>
      <c r="GVS44" s="9"/>
      <c r="GVT44" s="9"/>
      <c r="GVU44" s="9"/>
      <c r="GVV44" s="9"/>
      <c r="GVW44" s="9"/>
      <c r="GVX44" s="9"/>
      <c r="GVY44" s="9"/>
      <c r="GVZ44" s="9"/>
      <c r="GWA44" s="9"/>
      <c r="GWB44" s="9"/>
      <c r="GWC44" s="9"/>
      <c r="GWD44" s="9"/>
      <c r="GWE44" s="9"/>
      <c r="GWF44" s="9"/>
      <c r="GWG44" s="9"/>
      <c r="GWH44" s="9"/>
      <c r="GWI44" s="9"/>
      <c r="GWJ44" s="9"/>
      <c r="GWK44" s="9"/>
      <c r="GWL44" s="9"/>
      <c r="GWM44" s="9"/>
      <c r="GWN44" s="9"/>
      <c r="GWO44" s="9"/>
      <c r="GWP44" s="9"/>
      <c r="GWQ44" s="9"/>
      <c r="GWR44" s="9"/>
      <c r="GWS44" s="9"/>
      <c r="GWT44" s="9"/>
      <c r="GWU44" s="9"/>
      <c r="GWV44" s="9"/>
      <c r="GWW44" s="9"/>
      <c r="GWX44" s="9"/>
      <c r="GWY44" s="9"/>
      <c r="GWZ44" s="9"/>
      <c r="GXA44" s="9"/>
      <c r="GXB44" s="9"/>
      <c r="GXC44" s="9"/>
      <c r="GXD44" s="9"/>
      <c r="GXE44" s="9"/>
      <c r="GXF44" s="9"/>
      <c r="GXG44" s="9"/>
      <c r="GXH44" s="9"/>
      <c r="GXI44" s="9"/>
      <c r="GXJ44" s="9"/>
      <c r="GXK44" s="9"/>
      <c r="GXL44" s="9"/>
      <c r="GXM44" s="9"/>
      <c r="GXN44" s="9"/>
      <c r="GXO44" s="9"/>
      <c r="GXP44" s="9"/>
      <c r="GXQ44" s="9"/>
      <c r="GXR44" s="9"/>
      <c r="GXS44" s="9"/>
      <c r="GXT44" s="9"/>
      <c r="GXU44" s="9"/>
      <c r="GXV44" s="9"/>
      <c r="GXW44" s="9"/>
      <c r="GXX44" s="9"/>
      <c r="GXY44" s="9"/>
      <c r="GXZ44" s="9"/>
      <c r="GYA44" s="9"/>
      <c r="GYB44" s="9"/>
      <c r="GYC44" s="9"/>
      <c r="GYD44" s="9"/>
      <c r="GYE44" s="9"/>
      <c r="GYF44" s="9"/>
      <c r="GYG44" s="9"/>
      <c r="GYH44" s="9"/>
      <c r="GYI44" s="9"/>
      <c r="GYJ44" s="9"/>
      <c r="GYK44" s="9"/>
      <c r="GYL44" s="9"/>
      <c r="GYM44" s="9"/>
      <c r="GYN44" s="9"/>
      <c r="GYO44" s="9"/>
      <c r="GYP44" s="9"/>
      <c r="GYQ44" s="9"/>
      <c r="GYR44" s="9"/>
      <c r="GYS44" s="9"/>
      <c r="GYT44" s="9"/>
      <c r="GYU44" s="9"/>
      <c r="GYV44" s="9"/>
      <c r="GYW44" s="9"/>
      <c r="GYX44" s="9"/>
      <c r="GYY44" s="9"/>
      <c r="GYZ44" s="9"/>
      <c r="GZA44" s="9"/>
      <c r="GZB44" s="9"/>
      <c r="GZC44" s="9"/>
      <c r="GZD44" s="9"/>
      <c r="GZE44" s="9"/>
      <c r="GZF44" s="9"/>
      <c r="GZG44" s="9"/>
      <c r="GZH44" s="9"/>
      <c r="GZI44" s="9"/>
      <c r="GZJ44" s="9"/>
      <c r="GZK44" s="9"/>
      <c r="GZL44" s="9"/>
      <c r="GZM44" s="9"/>
      <c r="GZN44" s="9"/>
      <c r="GZO44" s="9"/>
      <c r="GZP44" s="9"/>
      <c r="GZQ44" s="9"/>
      <c r="GZR44" s="9"/>
      <c r="GZS44" s="9"/>
      <c r="GZT44" s="9"/>
      <c r="GZU44" s="9"/>
      <c r="GZV44" s="9"/>
      <c r="GZW44" s="9"/>
      <c r="GZX44" s="9"/>
      <c r="GZY44" s="9"/>
      <c r="GZZ44" s="9"/>
      <c r="HAA44" s="9"/>
      <c r="HAB44" s="9"/>
      <c r="HAC44" s="9"/>
      <c r="HAD44" s="9"/>
      <c r="HAE44" s="9"/>
      <c r="HAF44" s="9"/>
      <c r="HAG44" s="9"/>
      <c r="HAH44" s="9"/>
      <c r="HAI44" s="9"/>
      <c r="HAJ44" s="9"/>
      <c r="HAK44" s="9"/>
      <c r="HAL44" s="9"/>
      <c r="HAM44" s="9"/>
      <c r="HAN44" s="9"/>
      <c r="HAO44" s="9"/>
      <c r="HAP44" s="9"/>
      <c r="HAQ44" s="9"/>
      <c r="HAR44" s="9"/>
      <c r="HAS44" s="9"/>
      <c r="HAT44" s="9"/>
      <c r="HAU44" s="9"/>
      <c r="HAV44" s="9"/>
      <c r="HAW44" s="9"/>
      <c r="HAX44" s="9"/>
      <c r="HAY44" s="9"/>
      <c r="HAZ44" s="9"/>
      <c r="HBA44" s="9"/>
      <c r="HBB44" s="9"/>
      <c r="HBC44" s="9"/>
      <c r="HBD44" s="9"/>
      <c r="HBE44" s="9"/>
      <c r="HBF44" s="9"/>
      <c r="HBG44" s="9"/>
      <c r="HBH44" s="9"/>
      <c r="HBI44" s="9"/>
      <c r="HBJ44" s="9"/>
      <c r="HBK44" s="9"/>
      <c r="HBL44" s="9"/>
      <c r="HBM44" s="9"/>
      <c r="HBN44" s="9"/>
      <c r="HBO44" s="9"/>
      <c r="HBP44" s="9"/>
      <c r="HBQ44" s="9"/>
      <c r="HBR44" s="9"/>
      <c r="HBS44" s="9"/>
      <c r="HBT44" s="9"/>
      <c r="HBU44" s="9"/>
      <c r="HBV44" s="9"/>
      <c r="HBW44" s="9"/>
      <c r="HBX44" s="9"/>
      <c r="HBY44" s="9"/>
      <c r="HBZ44" s="9"/>
      <c r="HCA44" s="9"/>
      <c r="HCB44" s="9"/>
      <c r="HCC44" s="9"/>
      <c r="HCD44" s="9"/>
      <c r="HCE44" s="9"/>
      <c r="HCF44" s="9"/>
      <c r="HCG44" s="9"/>
      <c r="HCH44" s="9"/>
      <c r="HCI44" s="9"/>
      <c r="HCJ44" s="9"/>
      <c r="HCK44" s="9"/>
      <c r="HCL44" s="9"/>
      <c r="HCM44" s="9"/>
      <c r="HCN44" s="9"/>
      <c r="HCO44" s="9"/>
      <c r="HCP44" s="9"/>
      <c r="HCQ44" s="9"/>
      <c r="HCR44" s="9"/>
      <c r="HCS44" s="9"/>
      <c r="HCT44" s="9"/>
      <c r="HCU44" s="9"/>
      <c r="HCV44" s="9"/>
      <c r="HCW44" s="9"/>
      <c r="HCX44" s="9"/>
      <c r="HCY44" s="9"/>
      <c r="HCZ44" s="9"/>
      <c r="HDA44" s="9"/>
      <c r="HDB44" s="9"/>
      <c r="HDC44" s="9"/>
      <c r="HDD44" s="9"/>
      <c r="HDE44" s="9"/>
      <c r="HDF44" s="9"/>
      <c r="HDG44" s="9"/>
      <c r="HDH44" s="9"/>
      <c r="HDI44" s="9"/>
      <c r="HDJ44" s="9"/>
      <c r="HDK44" s="9"/>
      <c r="HDL44" s="9"/>
      <c r="HDM44" s="9"/>
      <c r="HDN44" s="9"/>
      <c r="HDO44" s="9"/>
      <c r="HDP44" s="9"/>
      <c r="HDQ44" s="9"/>
      <c r="HDR44" s="9"/>
      <c r="HDS44" s="9"/>
      <c r="HDT44" s="9"/>
      <c r="HDU44" s="9"/>
      <c r="HDV44" s="9"/>
      <c r="HDW44" s="9"/>
      <c r="HDX44" s="9"/>
      <c r="HDY44" s="9"/>
      <c r="HDZ44" s="9"/>
      <c r="HEA44" s="9"/>
      <c r="HEB44" s="9"/>
      <c r="HEC44" s="9"/>
      <c r="HED44" s="9"/>
      <c r="HEE44" s="9"/>
      <c r="HEF44" s="9"/>
      <c r="HEG44" s="9"/>
      <c r="HEH44" s="9"/>
      <c r="HEI44" s="9"/>
      <c r="HEJ44" s="9"/>
      <c r="HEK44" s="9"/>
      <c r="HEL44" s="9"/>
      <c r="HEM44" s="9"/>
      <c r="HEN44" s="9"/>
      <c r="HEO44" s="9"/>
      <c r="HEP44" s="9"/>
      <c r="HEQ44" s="9"/>
      <c r="HER44" s="9"/>
      <c r="HES44" s="9"/>
      <c r="HET44" s="9"/>
      <c r="HEU44" s="9"/>
      <c r="HEV44" s="9"/>
      <c r="HEW44" s="9"/>
      <c r="HEX44" s="9"/>
      <c r="HEY44" s="9"/>
      <c r="HEZ44" s="9"/>
      <c r="HFA44" s="9"/>
      <c r="HFB44" s="9"/>
      <c r="HFC44" s="9"/>
      <c r="HFD44" s="9"/>
      <c r="HFE44" s="9"/>
      <c r="HFF44" s="9"/>
      <c r="HFG44" s="9"/>
      <c r="HFH44" s="9"/>
      <c r="HFI44" s="9"/>
      <c r="HFJ44" s="9"/>
      <c r="HFK44" s="9"/>
      <c r="HFL44" s="9"/>
      <c r="HFM44" s="9"/>
      <c r="HFN44" s="9"/>
      <c r="HFO44" s="9"/>
      <c r="HFP44" s="9"/>
      <c r="HFQ44" s="9"/>
      <c r="HFR44" s="9"/>
      <c r="HFS44" s="9"/>
      <c r="HFT44" s="9"/>
      <c r="HFU44" s="9"/>
      <c r="HFV44" s="9"/>
      <c r="HFW44" s="9"/>
      <c r="HFX44" s="9"/>
      <c r="HFY44" s="9"/>
      <c r="HFZ44" s="9"/>
      <c r="HGA44" s="9"/>
      <c r="HGB44" s="9"/>
      <c r="HGC44" s="9"/>
      <c r="HGD44" s="9"/>
      <c r="HGE44" s="9"/>
      <c r="HGF44" s="9"/>
      <c r="HGG44" s="9"/>
      <c r="HGH44" s="9"/>
      <c r="HGI44" s="9"/>
      <c r="HGJ44" s="9"/>
      <c r="HGK44" s="9"/>
      <c r="HGL44" s="9"/>
      <c r="HGM44" s="9"/>
      <c r="HGN44" s="9"/>
      <c r="HGO44" s="9"/>
      <c r="HGP44" s="9"/>
      <c r="HGQ44" s="9"/>
      <c r="HGR44" s="9"/>
      <c r="HGS44" s="9"/>
      <c r="HGT44" s="9"/>
      <c r="HGU44" s="9"/>
      <c r="HGV44" s="9"/>
      <c r="HGW44" s="9"/>
      <c r="HGX44" s="9"/>
      <c r="HGY44" s="9"/>
      <c r="HGZ44" s="9"/>
      <c r="HHA44" s="9"/>
      <c r="HHB44" s="9"/>
      <c r="HHC44" s="9"/>
      <c r="HHD44" s="9"/>
      <c r="HHE44" s="9"/>
      <c r="HHF44" s="9"/>
      <c r="HHG44" s="9"/>
      <c r="HHH44" s="9"/>
      <c r="HHI44" s="9"/>
      <c r="HHJ44" s="9"/>
      <c r="HHK44" s="9"/>
      <c r="HHL44" s="9"/>
      <c r="HHM44" s="9"/>
      <c r="HHN44" s="9"/>
      <c r="HHO44" s="9"/>
      <c r="HHP44" s="9"/>
      <c r="HHQ44" s="9"/>
      <c r="HHR44" s="9"/>
      <c r="HHS44" s="9"/>
      <c r="HHT44" s="9"/>
      <c r="HHU44" s="9"/>
      <c r="HHV44" s="9"/>
      <c r="HHW44" s="9"/>
      <c r="HHX44" s="9"/>
      <c r="HHY44" s="9"/>
      <c r="HHZ44" s="9"/>
      <c r="HIA44" s="9"/>
      <c r="HIB44" s="9"/>
      <c r="HIC44" s="9"/>
      <c r="HID44" s="9"/>
      <c r="HIE44" s="9"/>
      <c r="HIF44" s="9"/>
      <c r="HIG44" s="9"/>
      <c r="HIH44" s="9"/>
      <c r="HII44" s="9"/>
      <c r="HIJ44" s="9"/>
      <c r="HIK44" s="9"/>
      <c r="HIL44" s="9"/>
      <c r="HIM44" s="9"/>
      <c r="HIN44" s="9"/>
      <c r="HIO44" s="9"/>
      <c r="HIP44" s="9"/>
      <c r="HIQ44" s="9"/>
      <c r="HIR44" s="9"/>
      <c r="HIS44" s="9"/>
      <c r="HIT44" s="9"/>
      <c r="HIU44" s="9"/>
      <c r="HIV44" s="9"/>
      <c r="HIW44" s="9"/>
      <c r="HIX44" s="9"/>
      <c r="HIY44" s="9"/>
      <c r="HIZ44" s="9"/>
      <c r="HJA44" s="9"/>
      <c r="HJB44" s="9"/>
      <c r="HJC44" s="9"/>
      <c r="HJD44" s="9"/>
      <c r="HJE44" s="9"/>
      <c r="HJF44" s="9"/>
      <c r="HJG44" s="9"/>
      <c r="HJH44" s="9"/>
      <c r="HJI44" s="9"/>
      <c r="HJJ44" s="9"/>
      <c r="HJK44" s="9"/>
      <c r="HJL44" s="9"/>
      <c r="HJM44" s="9"/>
      <c r="HJN44" s="9"/>
      <c r="HJO44" s="9"/>
      <c r="HJP44" s="9"/>
      <c r="HJQ44" s="9"/>
      <c r="HJR44" s="9"/>
      <c r="HJS44" s="9"/>
      <c r="HJT44" s="9"/>
      <c r="HJU44" s="9"/>
      <c r="HJV44" s="9"/>
      <c r="HJW44" s="9"/>
      <c r="HJX44" s="9"/>
      <c r="HJY44" s="9"/>
      <c r="HJZ44" s="9"/>
      <c r="HKA44" s="9"/>
      <c r="HKB44" s="9"/>
      <c r="HKC44" s="9"/>
      <c r="HKD44" s="9"/>
      <c r="HKE44" s="9"/>
      <c r="HKF44" s="9"/>
      <c r="HKG44" s="9"/>
      <c r="HKH44" s="9"/>
      <c r="HKI44" s="9"/>
      <c r="HKJ44" s="9"/>
      <c r="HKK44" s="9"/>
      <c r="HKL44" s="9"/>
      <c r="HKM44" s="9"/>
      <c r="HKN44" s="9"/>
      <c r="HKO44" s="9"/>
      <c r="HKP44" s="9"/>
      <c r="HKQ44" s="9"/>
      <c r="HKR44" s="9"/>
      <c r="HKS44" s="9"/>
      <c r="HKT44" s="9"/>
      <c r="HKU44" s="9"/>
      <c r="HKV44" s="9"/>
      <c r="HKW44" s="9"/>
      <c r="HKX44" s="9"/>
      <c r="HKY44" s="9"/>
      <c r="HKZ44" s="9"/>
      <c r="HLA44" s="9"/>
      <c r="HLB44" s="9"/>
      <c r="HLC44" s="9"/>
      <c r="HLD44" s="9"/>
      <c r="HLE44" s="9"/>
      <c r="HLF44" s="9"/>
      <c r="HLG44" s="9"/>
      <c r="HLH44" s="9"/>
      <c r="HLI44" s="9"/>
      <c r="HLJ44" s="9"/>
      <c r="HLK44" s="9"/>
      <c r="HLL44" s="9"/>
      <c r="HLM44" s="9"/>
      <c r="HLN44" s="9"/>
      <c r="HLO44" s="9"/>
      <c r="HLP44" s="9"/>
      <c r="HLQ44" s="9"/>
      <c r="HLR44" s="9"/>
      <c r="HLS44" s="9"/>
      <c r="HLT44" s="9"/>
      <c r="HLU44" s="9"/>
      <c r="HLV44" s="9"/>
      <c r="HLW44" s="9"/>
      <c r="HLX44" s="9"/>
      <c r="HLY44" s="9"/>
      <c r="HLZ44" s="9"/>
      <c r="HMA44" s="9"/>
      <c r="HMB44" s="9"/>
      <c r="HMC44" s="9"/>
      <c r="HMD44" s="9"/>
      <c r="HME44" s="9"/>
      <c r="HMF44" s="9"/>
      <c r="HMG44" s="9"/>
      <c r="HMH44" s="9"/>
      <c r="HMI44" s="9"/>
      <c r="HMJ44" s="9"/>
      <c r="HMK44" s="9"/>
      <c r="HML44" s="9"/>
      <c r="HMM44" s="9"/>
      <c r="HMN44" s="9"/>
      <c r="HMO44" s="9"/>
      <c r="HMP44" s="9"/>
      <c r="HMQ44" s="9"/>
      <c r="HMR44" s="9"/>
      <c r="HMS44" s="9"/>
      <c r="HMT44" s="9"/>
      <c r="HMU44" s="9"/>
      <c r="HMV44" s="9"/>
      <c r="HMW44" s="9"/>
      <c r="HMX44" s="9"/>
      <c r="HMY44" s="9"/>
      <c r="HMZ44" s="9"/>
      <c r="HNA44" s="9"/>
      <c r="HNB44" s="9"/>
      <c r="HNC44" s="9"/>
      <c r="HND44" s="9"/>
      <c r="HNE44" s="9"/>
      <c r="HNF44" s="9"/>
      <c r="HNG44" s="9"/>
      <c r="HNH44" s="9"/>
      <c r="HNI44" s="9"/>
      <c r="HNJ44" s="9"/>
      <c r="HNK44" s="9"/>
      <c r="HNL44" s="9"/>
      <c r="HNM44" s="9"/>
      <c r="HNN44" s="9"/>
      <c r="HNO44" s="9"/>
      <c r="HNP44" s="9"/>
      <c r="HNQ44" s="9"/>
      <c r="HNR44" s="9"/>
      <c r="HNS44" s="9"/>
      <c r="HNT44" s="9"/>
      <c r="HNU44" s="9"/>
      <c r="HNV44" s="9"/>
      <c r="HNW44" s="9"/>
      <c r="HNX44" s="9"/>
      <c r="HNY44" s="9"/>
      <c r="HNZ44" s="9"/>
      <c r="HOA44" s="9"/>
      <c r="HOB44" s="9"/>
      <c r="HOC44" s="9"/>
      <c r="HOD44" s="9"/>
      <c r="HOE44" s="9"/>
      <c r="HOF44" s="9"/>
      <c r="HOG44" s="9"/>
      <c r="HOH44" s="9"/>
      <c r="HOI44" s="9"/>
      <c r="HOJ44" s="9"/>
      <c r="HOK44" s="9"/>
      <c r="HOL44" s="9"/>
      <c r="HOM44" s="9"/>
      <c r="HON44" s="9"/>
      <c r="HOO44" s="9"/>
      <c r="HOP44" s="9"/>
      <c r="HOQ44" s="9"/>
      <c r="HOR44" s="9"/>
      <c r="HOS44" s="9"/>
      <c r="HOT44" s="9"/>
      <c r="HOU44" s="9"/>
      <c r="HOV44" s="9"/>
      <c r="HOW44" s="9"/>
      <c r="HOX44" s="9"/>
      <c r="HOY44" s="9"/>
      <c r="HOZ44" s="9"/>
      <c r="HPA44" s="9"/>
      <c r="HPB44" s="9"/>
      <c r="HPC44" s="9"/>
      <c r="HPD44" s="9"/>
      <c r="HPE44" s="9"/>
      <c r="HPF44" s="9"/>
      <c r="HPG44" s="9"/>
      <c r="HPH44" s="9"/>
      <c r="HPI44" s="9"/>
      <c r="HPJ44" s="9"/>
      <c r="HPK44" s="9"/>
      <c r="HPL44" s="9"/>
      <c r="HPM44" s="9"/>
      <c r="HPN44" s="9"/>
      <c r="HPO44" s="9"/>
      <c r="HPP44" s="9"/>
      <c r="HPQ44" s="9"/>
      <c r="HPR44" s="9"/>
      <c r="HPS44" s="9"/>
      <c r="HPT44" s="9"/>
      <c r="HPU44" s="9"/>
      <c r="HPV44" s="9"/>
      <c r="HPW44" s="9"/>
      <c r="HPX44" s="9"/>
      <c r="HPY44" s="9"/>
      <c r="HPZ44" s="9"/>
      <c r="HQA44" s="9"/>
      <c r="HQB44" s="9"/>
      <c r="HQC44" s="9"/>
      <c r="HQD44" s="9"/>
      <c r="HQE44" s="9"/>
      <c r="HQF44" s="9"/>
      <c r="HQG44" s="9"/>
      <c r="HQH44" s="9"/>
      <c r="HQI44" s="9"/>
      <c r="HQJ44" s="9"/>
      <c r="HQK44" s="9"/>
      <c r="HQL44" s="9"/>
      <c r="HQM44" s="9"/>
      <c r="HQN44" s="9"/>
      <c r="HQO44" s="9"/>
      <c r="HQP44" s="9"/>
      <c r="HQQ44" s="9"/>
      <c r="HQR44" s="9"/>
      <c r="HQS44" s="9"/>
      <c r="HQT44" s="9"/>
      <c r="HQU44" s="9"/>
      <c r="HQV44" s="9"/>
      <c r="HQW44" s="9"/>
      <c r="HQX44" s="9"/>
      <c r="HQY44" s="9"/>
      <c r="HQZ44" s="9"/>
      <c r="HRA44" s="9"/>
      <c r="HRB44" s="9"/>
      <c r="HRC44" s="9"/>
      <c r="HRD44" s="9"/>
      <c r="HRE44" s="9"/>
      <c r="HRF44" s="9"/>
      <c r="HRG44" s="9"/>
      <c r="HRH44" s="9"/>
      <c r="HRI44" s="9"/>
      <c r="HRJ44" s="9"/>
      <c r="HRK44" s="9"/>
      <c r="HRL44" s="9"/>
      <c r="HRM44" s="9"/>
      <c r="HRN44" s="9"/>
      <c r="HRO44" s="9"/>
      <c r="HRP44" s="9"/>
      <c r="HRQ44" s="9"/>
      <c r="HRR44" s="9"/>
      <c r="HRS44" s="9"/>
      <c r="HRT44" s="9"/>
      <c r="HRU44" s="9"/>
      <c r="HRV44" s="9"/>
      <c r="HRW44" s="9"/>
      <c r="HRX44" s="9"/>
      <c r="HRY44" s="9"/>
      <c r="HRZ44" s="9"/>
      <c r="HSA44" s="9"/>
      <c r="HSB44" s="9"/>
      <c r="HSC44" s="9"/>
      <c r="HSD44" s="9"/>
      <c r="HSE44" s="9"/>
      <c r="HSF44" s="9"/>
      <c r="HSG44" s="9"/>
      <c r="HSH44" s="9"/>
      <c r="HSI44" s="9"/>
      <c r="HSJ44" s="9"/>
      <c r="HSK44" s="9"/>
      <c r="HSL44" s="9"/>
      <c r="HSM44" s="9"/>
      <c r="HSN44" s="9"/>
      <c r="HSO44" s="9"/>
      <c r="HSP44" s="9"/>
      <c r="HSQ44" s="9"/>
      <c r="HSR44" s="9"/>
      <c r="HSS44" s="9"/>
      <c r="HST44" s="9"/>
      <c r="HSU44" s="9"/>
      <c r="HSV44" s="9"/>
      <c r="HSW44" s="9"/>
      <c r="HSX44" s="9"/>
      <c r="HSY44" s="9"/>
      <c r="HSZ44" s="9"/>
      <c r="HTA44" s="9"/>
      <c r="HTB44" s="9"/>
      <c r="HTC44" s="9"/>
      <c r="HTD44" s="9"/>
      <c r="HTE44" s="9"/>
      <c r="HTF44" s="9"/>
      <c r="HTG44" s="9"/>
      <c r="HTH44" s="9"/>
      <c r="HTI44" s="9"/>
      <c r="HTJ44" s="9"/>
      <c r="HTK44" s="9"/>
      <c r="HTL44" s="9"/>
      <c r="HTM44" s="9"/>
      <c r="HTN44" s="9"/>
      <c r="HTO44" s="9"/>
      <c r="HTP44" s="9"/>
      <c r="HTQ44" s="9"/>
      <c r="HTR44" s="9"/>
      <c r="HTS44" s="9"/>
      <c r="HTT44" s="9"/>
      <c r="HTU44" s="9"/>
      <c r="HTV44" s="9"/>
      <c r="HTW44" s="9"/>
      <c r="HTX44" s="9"/>
      <c r="HTY44" s="9"/>
      <c r="HTZ44" s="9"/>
      <c r="HUA44" s="9"/>
      <c r="HUB44" s="9"/>
      <c r="HUC44" s="9"/>
      <c r="HUD44" s="9"/>
      <c r="HUE44" s="9"/>
      <c r="HUF44" s="9"/>
      <c r="HUG44" s="9"/>
      <c r="HUH44" s="9"/>
      <c r="HUI44" s="9"/>
      <c r="HUJ44" s="9"/>
      <c r="HUK44" s="9"/>
      <c r="HUL44" s="9"/>
      <c r="HUM44" s="9"/>
      <c r="HUN44" s="9"/>
      <c r="HUO44" s="9"/>
      <c r="HUP44" s="9"/>
      <c r="HUQ44" s="9"/>
      <c r="HUR44" s="9"/>
      <c r="HUS44" s="9"/>
      <c r="HUT44" s="9"/>
      <c r="HUU44" s="9"/>
      <c r="HUV44" s="9"/>
      <c r="HUW44" s="9"/>
      <c r="HUX44" s="9"/>
      <c r="HUY44" s="9"/>
      <c r="HUZ44" s="9"/>
      <c r="HVA44" s="9"/>
      <c r="HVB44" s="9"/>
      <c r="HVC44" s="9"/>
      <c r="HVD44" s="9"/>
      <c r="HVE44" s="9"/>
      <c r="HVF44" s="9"/>
      <c r="HVG44" s="9"/>
      <c r="HVH44" s="9"/>
      <c r="HVI44" s="9"/>
      <c r="HVJ44" s="9"/>
      <c r="HVK44" s="9"/>
      <c r="HVL44" s="9"/>
      <c r="HVM44" s="9"/>
      <c r="HVN44" s="9"/>
      <c r="HVO44" s="9"/>
      <c r="HVP44" s="9"/>
      <c r="HVQ44" s="9"/>
      <c r="HVR44" s="9"/>
      <c r="HVS44" s="9"/>
      <c r="HVT44" s="9"/>
      <c r="HVU44" s="9"/>
      <c r="HVV44" s="9"/>
      <c r="HVW44" s="9"/>
      <c r="HVX44" s="9"/>
      <c r="HVY44" s="9"/>
      <c r="HVZ44" s="9"/>
      <c r="HWA44" s="9"/>
      <c r="HWB44" s="9"/>
      <c r="HWC44" s="9"/>
      <c r="HWD44" s="9"/>
      <c r="HWE44" s="9"/>
      <c r="HWF44" s="9"/>
      <c r="HWG44" s="9"/>
      <c r="HWH44" s="9"/>
      <c r="HWI44" s="9"/>
      <c r="HWJ44" s="9"/>
      <c r="HWK44" s="9"/>
      <c r="HWL44" s="9"/>
      <c r="HWM44" s="9"/>
      <c r="HWN44" s="9"/>
      <c r="HWO44" s="9"/>
      <c r="HWP44" s="9"/>
      <c r="HWQ44" s="9"/>
      <c r="HWR44" s="9"/>
      <c r="HWS44" s="9"/>
      <c r="HWT44" s="9"/>
      <c r="HWU44" s="9"/>
      <c r="HWV44" s="9"/>
      <c r="HWW44" s="9"/>
      <c r="HWX44" s="9"/>
      <c r="HWY44" s="9"/>
      <c r="HWZ44" s="9"/>
      <c r="HXA44" s="9"/>
      <c r="HXB44" s="9"/>
      <c r="HXC44" s="9"/>
      <c r="HXD44" s="9"/>
      <c r="HXE44" s="9"/>
      <c r="HXF44" s="9"/>
      <c r="HXG44" s="9"/>
      <c r="HXH44" s="9"/>
      <c r="HXI44" s="9"/>
      <c r="HXJ44" s="9"/>
      <c r="HXK44" s="9"/>
      <c r="HXL44" s="9"/>
      <c r="HXM44" s="9"/>
      <c r="HXN44" s="9"/>
      <c r="HXO44" s="9"/>
      <c r="HXP44" s="9"/>
      <c r="HXQ44" s="9"/>
      <c r="HXR44" s="9"/>
      <c r="HXS44" s="9"/>
      <c r="HXT44" s="9"/>
      <c r="HXU44" s="9"/>
      <c r="HXV44" s="9"/>
      <c r="HXW44" s="9"/>
      <c r="HXX44" s="9"/>
      <c r="HXY44" s="9"/>
      <c r="HXZ44" s="9"/>
      <c r="HYA44" s="9"/>
      <c r="HYB44" s="9"/>
      <c r="HYC44" s="9"/>
      <c r="HYD44" s="9"/>
      <c r="HYE44" s="9"/>
      <c r="HYF44" s="9"/>
      <c r="HYG44" s="9"/>
      <c r="HYH44" s="9"/>
      <c r="HYI44" s="9"/>
      <c r="HYJ44" s="9"/>
      <c r="HYK44" s="9"/>
      <c r="HYL44" s="9"/>
      <c r="HYM44" s="9"/>
      <c r="HYN44" s="9"/>
      <c r="HYO44" s="9"/>
      <c r="HYP44" s="9"/>
      <c r="HYQ44" s="9"/>
      <c r="HYR44" s="9"/>
      <c r="HYS44" s="9"/>
      <c r="HYT44" s="9"/>
      <c r="HYU44" s="9"/>
      <c r="HYV44" s="9"/>
      <c r="HYW44" s="9"/>
      <c r="HYX44" s="9"/>
      <c r="HYY44" s="9"/>
      <c r="HYZ44" s="9"/>
      <c r="HZA44" s="9"/>
      <c r="HZB44" s="9"/>
      <c r="HZC44" s="9"/>
      <c r="HZD44" s="9"/>
      <c r="HZE44" s="9"/>
      <c r="HZF44" s="9"/>
      <c r="HZG44" s="9"/>
      <c r="HZH44" s="9"/>
      <c r="HZI44" s="9"/>
      <c r="HZJ44" s="9"/>
      <c r="HZK44" s="9"/>
      <c r="HZL44" s="9"/>
      <c r="HZM44" s="9"/>
      <c r="HZN44" s="9"/>
      <c r="HZO44" s="9"/>
      <c r="HZP44" s="9"/>
      <c r="HZQ44" s="9"/>
      <c r="HZR44" s="9"/>
      <c r="HZS44" s="9"/>
      <c r="HZT44" s="9"/>
      <c r="HZU44" s="9"/>
      <c r="HZV44" s="9"/>
      <c r="HZW44" s="9"/>
      <c r="HZX44" s="9"/>
      <c r="HZY44" s="9"/>
      <c r="HZZ44" s="9"/>
      <c r="IAA44" s="9"/>
      <c r="IAB44" s="9"/>
      <c r="IAC44" s="9"/>
      <c r="IAD44" s="9"/>
      <c r="IAE44" s="9"/>
      <c r="IAF44" s="9"/>
      <c r="IAG44" s="9"/>
      <c r="IAH44" s="9"/>
      <c r="IAI44" s="9"/>
      <c r="IAJ44" s="9"/>
      <c r="IAK44" s="9"/>
      <c r="IAL44" s="9"/>
      <c r="IAM44" s="9"/>
      <c r="IAN44" s="9"/>
      <c r="IAO44" s="9"/>
      <c r="IAP44" s="9"/>
      <c r="IAQ44" s="9"/>
      <c r="IAR44" s="9"/>
      <c r="IAS44" s="9"/>
      <c r="IAT44" s="9"/>
      <c r="IAU44" s="9"/>
      <c r="IAV44" s="9"/>
      <c r="IAW44" s="9"/>
      <c r="IAX44" s="9"/>
      <c r="IAY44" s="9"/>
      <c r="IAZ44" s="9"/>
      <c r="IBA44" s="9"/>
      <c r="IBB44" s="9"/>
      <c r="IBC44" s="9"/>
      <c r="IBD44" s="9"/>
      <c r="IBE44" s="9"/>
      <c r="IBF44" s="9"/>
      <c r="IBG44" s="9"/>
      <c r="IBH44" s="9"/>
      <c r="IBI44" s="9"/>
      <c r="IBJ44" s="9"/>
      <c r="IBK44" s="9"/>
      <c r="IBL44" s="9"/>
      <c r="IBM44" s="9"/>
      <c r="IBN44" s="9"/>
      <c r="IBO44" s="9"/>
      <c r="IBP44" s="9"/>
      <c r="IBQ44" s="9"/>
      <c r="IBR44" s="9"/>
      <c r="IBS44" s="9"/>
      <c r="IBT44" s="9"/>
      <c r="IBU44" s="9"/>
      <c r="IBV44" s="9"/>
      <c r="IBW44" s="9"/>
      <c r="IBX44" s="9"/>
      <c r="IBY44" s="9"/>
      <c r="IBZ44" s="9"/>
      <c r="ICA44" s="9"/>
      <c r="ICB44" s="9"/>
      <c r="ICC44" s="9"/>
      <c r="ICD44" s="9"/>
      <c r="ICE44" s="9"/>
      <c r="ICF44" s="9"/>
      <c r="ICG44" s="9"/>
      <c r="ICH44" s="9"/>
      <c r="ICI44" s="9"/>
      <c r="ICJ44" s="9"/>
      <c r="ICK44" s="9"/>
      <c r="ICL44" s="9"/>
      <c r="ICM44" s="9"/>
      <c r="ICN44" s="9"/>
      <c r="ICO44" s="9"/>
      <c r="ICP44" s="9"/>
      <c r="ICQ44" s="9"/>
      <c r="ICR44" s="9"/>
      <c r="ICS44" s="9"/>
      <c r="ICT44" s="9"/>
      <c r="ICU44" s="9"/>
      <c r="ICV44" s="9"/>
      <c r="ICW44" s="9"/>
      <c r="ICX44" s="9"/>
      <c r="ICY44" s="9"/>
      <c r="ICZ44" s="9"/>
      <c r="IDA44" s="9"/>
      <c r="IDB44" s="9"/>
      <c r="IDC44" s="9"/>
      <c r="IDD44" s="9"/>
      <c r="IDE44" s="9"/>
      <c r="IDF44" s="9"/>
      <c r="IDG44" s="9"/>
      <c r="IDH44" s="9"/>
      <c r="IDI44" s="9"/>
      <c r="IDJ44" s="9"/>
      <c r="IDK44" s="9"/>
      <c r="IDL44" s="9"/>
      <c r="IDM44" s="9"/>
      <c r="IDN44" s="9"/>
      <c r="IDO44" s="9"/>
      <c r="IDP44" s="9"/>
      <c r="IDQ44" s="9"/>
      <c r="IDR44" s="9"/>
      <c r="IDS44" s="9"/>
      <c r="IDT44" s="9"/>
      <c r="IDU44" s="9"/>
      <c r="IDV44" s="9"/>
      <c r="IDW44" s="9"/>
      <c r="IDX44" s="9"/>
      <c r="IDY44" s="9"/>
      <c r="IDZ44" s="9"/>
      <c r="IEA44" s="9"/>
      <c r="IEB44" s="9"/>
      <c r="IEC44" s="9"/>
      <c r="IED44" s="9"/>
      <c r="IEE44" s="9"/>
      <c r="IEF44" s="9"/>
      <c r="IEG44" s="9"/>
      <c r="IEH44" s="9"/>
      <c r="IEI44" s="9"/>
      <c r="IEJ44" s="9"/>
      <c r="IEK44" s="9"/>
      <c r="IEL44" s="9"/>
      <c r="IEM44" s="9"/>
      <c r="IEN44" s="9"/>
      <c r="IEO44" s="9"/>
      <c r="IEP44" s="9"/>
      <c r="IEQ44" s="9"/>
      <c r="IER44" s="9"/>
      <c r="IES44" s="9"/>
      <c r="IET44" s="9"/>
      <c r="IEU44" s="9"/>
      <c r="IEV44" s="9"/>
      <c r="IEW44" s="9"/>
      <c r="IEX44" s="9"/>
      <c r="IEY44" s="9"/>
      <c r="IEZ44" s="9"/>
      <c r="IFA44" s="9"/>
      <c r="IFB44" s="9"/>
      <c r="IFC44" s="9"/>
      <c r="IFD44" s="9"/>
      <c r="IFE44" s="9"/>
      <c r="IFF44" s="9"/>
      <c r="IFG44" s="9"/>
      <c r="IFH44" s="9"/>
      <c r="IFI44" s="9"/>
      <c r="IFJ44" s="9"/>
      <c r="IFK44" s="9"/>
      <c r="IFL44" s="9"/>
      <c r="IFM44" s="9"/>
      <c r="IFN44" s="9"/>
      <c r="IFO44" s="9"/>
      <c r="IFP44" s="9"/>
      <c r="IFQ44" s="9"/>
      <c r="IFR44" s="9"/>
      <c r="IFS44" s="9"/>
      <c r="IFT44" s="9"/>
      <c r="IFU44" s="9"/>
      <c r="IFV44" s="9"/>
      <c r="IFW44" s="9"/>
      <c r="IFX44" s="9"/>
      <c r="IFY44" s="9"/>
      <c r="IFZ44" s="9"/>
      <c r="IGA44" s="9"/>
      <c r="IGB44" s="9"/>
      <c r="IGC44" s="9"/>
      <c r="IGD44" s="9"/>
      <c r="IGE44" s="9"/>
      <c r="IGF44" s="9"/>
      <c r="IGG44" s="9"/>
      <c r="IGH44" s="9"/>
      <c r="IGI44" s="9"/>
      <c r="IGJ44" s="9"/>
      <c r="IGK44" s="9"/>
      <c r="IGL44" s="9"/>
      <c r="IGM44" s="9"/>
      <c r="IGN44" s="9"/>
      <c r="IGO44" s="9"/>
      <c r="IGP44" s="9"/>
      <c r="IGQ44" s="9"/>
      <c r="IGR44" s="9"/>
      <c r="IGS44" s="9"/>
      <c r="IGT44" s="9"/>
      <c r="IGU44" s="9"/>
      <c r="IGV44" s="9"/>
      <c r="IGW44" s="9"/>
      <c r="IGX44" s="9"/>
      <c r="IGY44" s="9"/>
      <c r="IGZ44" s="9"/>
      <c r="IHA44" s="9"/>
      <c r="IHB44" s="9"/>
      <c r="IHC44" s="9"/>
      <c r="IHD44" s="9"/>
      <c r="IHE44" s="9"/>
      <c r="IHF44" s="9"/>
      <c r="IHG44" s="9"/>
      <c r="IHH44" s="9"/>
      <c r="IHI44" s="9"/>
      <c r="IHJ44" s="9"/>
      <c r="IHK44" s="9"/>
      <c r="IHL44" s="9"/>
      <c r="IHM44" s="9"/>
      <c r="IHN44" s="9"/>
      <c r="IHO44" s="9"/>
      <c r="IHP44" s="9"/>
      <c r="IHQ44" s="9"/>
      <c r="IHR44" s="9"/>
      <c r="IHS44" s="9"/>
      <c r="IHT44" s="9"/>
      <c r="IHU44" s="9"/>
      <c r="IHV44" s="9"/>
      <c r="IHW44" s="9"/>
      <c r="IHX44" s="9"/>
      <c r="IHY44" s="9"/>
      <c r="IHZ44" s="9"/>
      <c r="IIA44" s="9"/>
      <c r="IIB44" s="9"/>
      <c r="IIC44" s="9"/>
      <c r="IID44" s="9"/>
      <c r="IIE44" s="9"/>
      <c r="IIF44" s="9"/>
      <c r="IIG44" s="9"/>
      <c r="IIH44" s="9"/>
      <c r="III44" s="9"/>
      <c r="IIJ44" s="9"/>
      <c r="IIK44" s="9"/>
      <c r="IIL44" s="9"/>
      <c r="IIM44" s="9"/>
      <c r="IIN44" s="9"/>
      <c r="IIO44" s="9"/>
      <c r="IIP44" s="9"/>
      <c r="IIQ44" s="9"/>
      <c r="IIR44" s="9"/>
      <c r="IIS44" s="9"/>
      <c r="IIT44" s="9"/>
      <c r="IIU44" s="9"/>
      <c r="IIV44" s="9"/>
      <c r="IIW44" s="9"/>
      <c r="IIX44" s="9"/>
      <c r="IIY44" s="9"/>
      <c r="IIZ44" s="9"/>
      <c r="IJA44" s="9"/>
      <c r="IJB44" s="9"/>
      <c r="IJC44" s="9"/>
      <c r="IJD44" s="9"/>
      <c r="IJE44" s="9"/>
      <c r="IJF44" s="9"/>
      <c r="IJG44" s="9"/>
      <c r="IJH44" s="9"/>
      <c r="IJI44" s="9"/>
      <c r="IJJ44" s="9"/>
      <c r="IJK44" s="9"/>
      <c r="IJL44" s="9"/>
      <c r="IJM44" s="9"/>
      <c r="IJN44" s="9"/>
      <c r="IJO44" s="9"/>
      <c r="IJP44" s="9"/>
      <c r="IJQ44" s="9"/>
      <c r="IJR44" s="9"/>
      <c r="IJS44" s="9"/>
      <c r="IJT44" s="9"/>
      <c r="IJU44" s="9"/>
      <c r="IJV44" s="9"/>
      <c r="IJW44" s="9"/>
      <c r="IJX44" s="9"/>
      <c r="IJY44" s="9"/>
      <c r="IJZ44" s="9"/>
      <c r="IKA44" s="9"/>
      <c r="IKB44" s="9"/>
      <c r="IKC44" s="9"/>
      <c r="IKD44" s="9"/>
      <c r="IKE44" s="9"/>
      <c r="IKF44" s="9"/>
      <c r="IKG44" s="9"/>
      <c r="IKH44" s="9"/>
      <c r="IKI44" s="9"/>
      <c r="IKJ44" s="9"/>
      <c r="IKK44" s="9"/>
      <c r="IKL44" s="9"/>
      <c r="IKM44" s="9"/>
      <c r="IKN44" s="9"/>
      <c r="IKO44" s="9"/>
      <c r="IKP44" s="9"/>
      <c r="IKQ44" s="9"/>
      <c r="IKR44" s="9"/>
      <c r="IKS44" s="9"/>
      <c r="IKT44" s="9"/>
      <c r="IKU44" s="9"/>
      <c r="IKV44" s="9"/>
      <c r="IKW44" s="9"/>
      <c r="IKX44" s="9"/>
      <c r="IKY44" s="9"/>
      <c r="IKZ44" s="9"/>
      <c r="ILA44" s="9"/>
      <c r="ILB44" s="9"/>
      <c r="ILC44" s="9"/>
      <c r="ILD44" s="9"/>
      <c r="ILE44" s="9"/>
      <c r="ILF44" s="9"/>
      <c r="ILG44" s="9"/>
      <c r="ILH44" s="9"/>
      <c r="ILI44" s="9"/>
      <c r="ILJ44" s="9"/>
      <c r="ILK44" s="9"/>
      <c r="ILL44" s="9"/>
      <c r="ILM44" s="9"/>
      <c r="ILN44" s="9"/>
      <c r="ILO44" s="9"/>
      <c r="ILP44" s="9"/>
      <c r="ILQ44" s="9"/>
      <c r="ILR44" s="9"/>
      <c r="ILS44" s="9"/>
      <c r="ILT44" s="9"/>
      <c r="ILU44" s="9"/>
      <c r="ILV44" s="9"/>
      <c r="ILW44" s="9"/>
      <c r="ILX44" s="9"/>
      <c r="ILY44" s="9"/>
      <c r="ILZ44" s="9"/>
      <c r="IMA44" s="9"/>
      <c r="IMB44" s="9"/>
      <c r="IMC44" s="9"/>
      <c r="IMD44" s="9"/>
      <c r="IME44" s="9"/>
      <c r="IMF44" s="9"/>
      <c r="IMG44" s="9"/>
      <c r="IMH44" s="9"/>
      <c r="IMI44" s="9"/>
      <c r="IMJ44" s="9"/>
      <c r="IMK44" s="9"/>
      <c r="IML44" s="9"/>
      <c r="IMM44" s="9"/>
      <c r="IMN44" s="9"/>
      <c r="IMO44" s="9"/>
      <c r="IMP44" s="9"/>
      <c r="IMQ44" s="9"/>
      <c r="IMR44" s="9"/>
      <c r="IMS44" s="9"/>
      <c r="IMT44" s="9"/>
      <c r="IMU44" s="9"/>
      <c r="IMV44" s="9"/>
      <c r="IMW44" s="9"/>
      <c r="IMX44" s="9"/>
      <c r="IMY44" s="9"/>
      <c r="IMZ44" s="9"/>
      <c r="INA44" s="9"/>
      <c r="INB44" s="9"/>
      <c r="INC44" s="9"/>
      <c r="IND44" s="9"/>
      <c r="INE44" s="9"/>
      <c r="INF44" s="9"/>
      <c r="ING44" s="9"/>
      <c r="INH44" s="9"/>
      <c r="INI44" s="9"/>
      <c r="INJ44" s="9"/>
      <c r="INK44" s="9"/>
      <c r="INL44" s="9"/>
      <c r="INM44" s="9"/>
      <c r="INN44" s="9"/>
      <c r="INO44" s="9"/>
      <c r="INP44" s="9"/>
      <c r="INQ44" s="9"/>
      <c r="INR44" s="9"/>
      <c r="INS44" s="9"/>
      <c r="INT44" s="9"/>
      <c r="INU44" s="9"/>
      <c r="INV44" s="9"/>
      <c r="INW44" s="9"/>
      <c r="INX44" s="9"/>
      <c r="INY44" s="9"/>
      <c r="INZ44" s="9"/>
      <c r="IOA44" s="9"/>
      <c r="IOB44" s="9"/>
      <c r="IOC44" s="9"/>
      <c r="IOD44" s="9"/>
      <c r="IOE44" s="9"/>
      <c r="IOF44" s="9"/>
      <c r="IOG44" s="9"/>
      <c r="IOH44" s="9"/>
      <c r="IOI44" s="9"/>
      <c r="IOJ44" s="9"/>
      <c r="IOK44" s="9"/>
      <c r="IOL44" s="9"/>
      <c r="IOM44" s="9"/>
      <c r="ION44" s="9"/>
      <c r="IOO44" s="9"/>
      <c r="IOP44" s="9"/>
      <c r="IOQ44" s="9"/>
      <c r="IOR44" s="9"/>
      <c r="IOS44" s="9"/>
      <c r="IOT44" s="9"/>
      <c r="IOU44" s="9"/>
      <c r="IOV44" s="9"/>
      <c r="IOW44" s="9"/>
      <c r="IOX44" s="9"/>
      <c r="IOY44" s="9"/>
      <c r="IOZ44" s="9"/>
      <c r="IPA44" s="9"/>
      <c r="IPB44" s="9"/>
      <c r="IPC44" s="9"/>
      <c r="IPD44" s="9"/>
      <c r="IPE44" s="9"/>
      <c r="IPF44" s="9"/>
      <c r="IPG44" s="9"/>
      <c r="IPH44" s="9"/>
      <c r="IPI44" s="9"/>
      <c r="IPJ44" s="9"/>
      <c r="IPK44" s="9"/>
      <c r="IPL44" s="9"/>
      <c r="IPM44" s="9"/>
      <c r="IPN44" s="9"/>
      <c r="IPO44" s="9"/>
      <c r="IPP44" s="9"/>
      <c r="IPQ44" s="9"/>
      <c r="IPR44" s="9"/>
      <c r="IPS44" s="9"/>
      <c r="IPT44" s="9"/>
      <c r="IPU44" s="9"/>
      <c r="IPV44" s="9"/>
      <c r="IPW44" s="9"/>
      <c r="IPX44" s="9"/>
      <c r="IPY44" s="9"/>
      <c r="IPZ44" s="9"/>
      <c r="IQA44" s="9"/>
      <c r="IQB44" s="9"/>
      <c r="IQC44" s="9"/>
      <c r="IQD44" s="9"/>
      <c r="IQE44" s="9"/>
      <c r="IQF44" s="9"/>
      <c r="IQG44" s="9"/>
      <c r="IQH44" s="9"/>
      <c r="IQI44" s="9"/>
      <c r="IQJ44" s="9"/>
      <c r="IQK44" s="9"/>
      <c r="IQL44" s="9"/>
      <c r="IQM44" s="9"/>
      <c r="IQN44" s="9"/>
      <c r="IQO44" s="9"/>
      <c r="IQP44" s="9"/>
      <c r="IQQ44" s="9"/>
      <c r="IQR44" s="9"/>
      <c r="IQS44" s="9"/>
      <c r="IQT44" s="9"/>
      <c r="IQU44" s="9"/>
      <c r="IQV44" s="9"/>
      <c r="IQW44" s="9"/>
      <c r="IQX44" s="9"/>
      <c r="IQY44" s="9"/>
      <c r="IQZ44" s="9"/>
      <c r="IRA44" s="9"/>
      <c r="IRB44" s="9"/>
      <c r="IRC44" s="9"/>
      <c r="IRD44" s="9"/>
      <c r="IRE44" s="9"/>
      <c r="IRF44" s="9"/>
      <c r="IRG44" s="9"/>
      <c r="IRH44" s="9"/>
      <c r="IRI44" s="9"/>
      <c r="IRJ44" s="9"/>
      <c r="IRK44" s="9"/>
      <c r="IRL44" s="9"/>
      <c r="IRM44" s="9"/>
      <c r="IRN44" s="9"/>
      <c r="IRO44" s="9"/>
      <c r="IRP44" s="9"/>
      <c r="IRQ44" s="9"/>
      <c r="IRR44" s="9"/>
      <c r="IRS44" s="9"/>
      <c r="IRT44" s="9"/>
      <c r="IRU44" s="9"/>
      <c r="IRV44" s="9"/>
      <c r="IRW44" s="9"/>
      <c r="IRX44" s="9"/>
      <c r="IRY44" s="9"/>
      <c r="IRZ44" s="9"/>
      <c r="ISA44" s="9"/>
      <c r="ISB44" s="9"/>
      <c r="ISC44" s="9"/>
      <c r="ISD44" s="9"/>
      <c r="ISE44" s="9"/>
      <c r="ISF44" s="9"/>
      <c r="ISG44" s="9"/>
      <c r="ISH44" s="9"/>
      <c r="ISI44" s="9"/>
      <c r="ISJ44" s="9"/>
      <c r="ISK44" s="9"/>
      <c r="ISL44" s="9"/>
      <c r="ISM44" s="9"/>
      <c r="ISN44" s="9"/>
      <c r="ISO44" s="9"/>
      <c r="ISP44" s="9"/>
      <c r="ISQ44" s="9"/>
      <c r="ISR44" s="9"/>
      <c r="ISS44" s="9"/>
      <c r="IST44" s="9"/>
      <c r="ISU44" s="9"/>
      <c r="ISV44" s="9"/>
      <c r="ISW44" s="9"/>
      <c r="ISX44" s="9"/>
      <c r="ISY44" s="9"/>
      <c r="ISZ44" s="9"/>
      <c r="ITA44" s="9"/>
      <c r="ITB44" s="9"/>
      <c r="ITC44" s="9"/>
      <c r="ITD44" s="9"/>
      <c r="ITE44" s="9"/>
      <c r="ITF44" s="9"/>
      <c r="ITG44" s="9"/>
      <c r="ITH44" s="9"/>
      <c r="ITI44" s="9"/>
      <c r="ITJ44" s="9"/>
      <c r="ITK44" s="9"/>
      <c r="ITL44" s="9"/>
      <c r="ITM44" s="9"/>
      <c r="ITN44" s="9"/>
      <c r="ITO44" s="9"/>
      <c r="ITP44" s="9"/>
      <c r="ITQ44" s="9"/>
      <c r="ITR44" s="9"/>
      <c r="ITS44" s="9"/>
      <c r="ITT44" s="9"/>
      <c r="ITU44" s="9"/>
      <c r="ITV44" s="9"/>
      <c r="ITW44" s="9"/>
      <c r="ITX44" s="9"/>
      <c r="ITY44" s="9"/>
      <c r="ITZ44" s="9"/>
      <c r="IUA44" s="9"/>
      <c r="IUB44" s="9"/>
      <c r="IUC44" s="9"/>
      <c r="IUD44" s="9"/>
      <c r="IUE44" s="9"/>
      <c r="IUF44" s="9"/>
      <c r="IUG44" s="9"/>
      <c r="IUH44" s="9"/>
      <c r="IUI44" s="9"/>
      <c r="IUJ44" s="9"/>
      <c r="IUK44" s="9"/>
      <c r="IUL44" s="9"/>
      <c r="IUM44" s="9"/>
      <c r="IUN44" s="9"/>
      <c r="IUO44" s="9"/>
      <c r="IUP44" s="9"/>
      <c r="IUQ44" s="9"/>
      <c r="IUR44" s="9"/>
      <c r="IUS44" s="9"/>
      <c r="IUT44" s="9"/>
      <c r="IUU44" s="9"/>
      <c r="IUV44" s="9"/>
      <c r="IUW44" s="9"/>
      <c r="IUX44" s="9"/>
      <c r="IUY44" s="9"/>
      <c r="IUZ44" s="9"/>
      <c r="IVA44" s="9"/>
      <c r="IVB44" s="9"/>
      <c r="IVC44" s="9"/>
      <c r="IVD44" s="9"/>
      <c r="IVE44" s="9"/>
      <c r="IVF44" s="9"/>
      <c r="IVG44" s="9"/>
      <c r="IVH44" s="9"/>
      <c r="IVI44" s="9"/>
      <c r="IVJ44" s="9"/>
      <c r="IVK44" s="9"/>
      <c r="IVL44" s="9"/>
      <c r="IVM44" s="9"/>
      <c r="IVN44" s="9"/>
      <c r="IVO44" s="9"/>
      <c r="IVP44" s="9"/>
      <c r="IVQ44" s="9"/>
      <c r="IVR44" s="9"/>
      <c r="IVS44" s="9"/>
      <c r="IVT44" s="9"/>
      <c r="IVU44" s="9"/>
      <c r="IVV44" s="9"/>
      <c r="IVW44" s="9"/>
      <c r="IVX44" s="9"/>
      <c r="IVY44" s="9"/>
      <c r="IVZ44" s="9"/>
      <c r="IWA44" s="9"/>
      <c r="IWB44" s="9"/>
      <c r="IWC44" s="9"/>
      <c r="IWD44" s="9"/>
      <c r="IWE44" s="9"/>
      <c r="IWF44" s="9"/>
      <c r="IWG44" s="9"/>
      <c r="IWH44" s="9"/>
      <c r="IWI44" s="9"/>
      <c r="IWJ44" s="9"/>
      <c r="IWK44" s="9"/>
      <c r="IWL44" s="9"/>
      <c r="IWM44" s="9"/>
      <c r="IWN44" s="9"/>
      <c r="IWO44" s="9"/>
      <c r="IWP44" s="9"/>
      <c r="IWQ44" s="9"/>
      <c r="IWR44" s="9"/>
      <c r="IWS44" s="9"/>
      <c r="IWT44" s="9"/>
      <c r="IWU44" s="9"/>
      <c r="IWV44" s="9"/>
      <c r="IWW44" s="9"/>
      <c r="IWX44" s="9"/>
      <c r="IWY44" s="9"/>
      <c r="IWZ44" s="9"/>
      <c r="IXA44" s="9"/>
      <c r="IXB44" s="9"/>
      <c r="IXC44" s="9"/>
      <c r="IXD44" s="9"/>
      <c r="IXE44" s="9"/>
      <c r="IXF44" s="9"/>
      <c r="IXG44" s="9"/>
      <c r="IXH44" s="9"/>
      <c r="IXI44" s="9"/>
      <c r="IXJ44" s="9"/>
      <c r="IXK44" s="9"/>
      <c r="IXL44" s="9"/>
      <c r="IXM44" s="9"/>
      <c r="IXN44" s="9"/>
      <c r="IXO44" s="9"/>
      <c r="IXP44" s="9"/>
      <c r="IXQ44" s="9"/>
      <c r="IXR44" s="9"/>
      <c r="IXS44" s="9"/>
      <c r="IXT44" s="9"/>
      <c r="IXU44" s="9"/>
      <c r="IXV44" s="9"/>
      <c r="IXW44" s="9"/>
      <c r="IXX44" s="9"/>
      <c r="IXY44" s="9"/>
      <c r="IXZ44" s="9"/>
      <c r="IYA44" s="9"/>
      <c r="IYB44" s="9"/>
      <c r="IYC44" s="9"/>
      <c r="IYD44" s="9"/>
      <c r="IYE44" s="9"/>
      <c r="IYF44" s="9"/>
      <c r="IYG44" s="9"/>
      <c r="IYH44" s="9"/>
      <c r="IYI44" s="9"/>
      <c r="IYJ44" s="9"/>
      <c r="IYK44" s="9"/>
      <c r="IYL44" s="9"/>
      <c r="IYM44" s="9"/>
      <c r="IYN44" s="9"/>
      <c r="IYO44" s="9"/>
      <c r="IYP44" s="9"/>
      <c r="IYQ44" s="9"/>
      <c r="IYR44" s="9"/>
      <c r="IYS44" s="9"/>
      <c r="IYT44" s="9"/>
      <c r="IYU44" s="9"/>
      <c r="IYV44" s="9"/>
      <c r="IYW44" s="9"/>
      <c r="IYX44" s="9"/>
      <c r="IYY44" s="9"/>
      <c r="IYZ44" s="9"/>
      <c r="IZA44" s="9"/>
      <c r="IZB44" s="9"/>
      <c r="IZC44" s="9"/>
      <c r="IZD44" s="9"/>
      <c r="IZE44" s="9"/>
      <c r="IZF44" s="9"/>
      <c r="IZG44" s="9"/>
      <c r="IZH44" s="9"/>
      <c r="IZI44" s="9"/>
      <c r="IZJ44" s="9"/>
      <c r="IZK44" s="9"/>
      <c r="IZL44" s="9"/>
      <c r="IZM44" s="9"/>
      <c r="IZN44" s="9"/>
      <c r="IZO44" s="9"/>
      <c r="IZP44" s="9"/>
      <c r="IZQ44" s="9"/>
      <c r="IZR44" s="9"/>
      <c r="IZS44" s="9"/>
      <c r="IZT44" s="9"/>
      <c r="IZU44" s="9"/>
      <c r="IZV44" s="9"/>
      <c r="IZW44" s="9"/>
      <c r="IZX44" s="9"/>
      <c r="IZY44" s="9"/>
      <c r="IZZ44" s="9"/>
      <c r="JAA44" s="9"/>
      <c r="JAB44" s="9"/>
      <c r="JAC44" s="9"/>
      <c r="JAD44" s="9"/>
      <c r="JAE44" s="9"/>
      <c r="JAF44" s="9"/>
      <c r="JAG44" s="9"/>
      <c r="JAH44" s="9"/>
      <c r="JAI44" s="9"/>
      <c r="JAJ44" s="9"/>
      <c r="JAK44" s="9"/>
      <c r="JAL44" s="9"/>
      <c r="JAM44" s="9"/>
      <c r="JAN44" s="9"/>
      <c r="JAO44" s="9"/>
      <c r="JAP44" s="9"/>
      <c r="JAQ44" s="9"/>
      <c r="JAR44" s="9"/>
      <c r="JAS44" s="9"/>
      <c r="JAT44" s="9"/>
      <c r="JAU44" s="9"/>
      <c r="JAV44" s="9"/>
      <c r="JAW44" s="9"/>
      <c r="JAX44" s="9"/>
      <c r="JAY44" s="9"/>
      <c r="JAZ44" s="9"/>
      <c r="JBA44" s="9"/>
      <c r="JBB44" s="9"/>
      <c r="JBC44" s="9"/>
      <c r="JBD44" s="9"/>
      <c r="JBE44" s="9"/>
      <c r="JBF44" s="9"/>
      <c r="JBG44" s="9"/>
      <c r="JBH44" s="9"/>
      <c r="JBI44" s="9"/>
      <c r="JBJ44" s="9"/>
      <c r="JBK44" s="9"/>
      <c r="JBL44" s="9"/>
      <c r="JBM44" s="9"/>
      <c r="JBN44" s="9"/>
      <c r="JBO44" s="9"/>
      <c r="JBP44" s="9"/>
      <c r="JBQ44" s="9"/>
      <c r="JBR44" s="9"/>
      <c r="JBS44" s="9"/>
      <c r="JBT44" s="9"/>
      <c r="JBU44" s="9"/>
      <c r="JBV44" s="9"/>
      <c r="JBW44" s="9"/>
      <c r="JBX44" s="9"/>
      <c r="JBY44" s="9"/>
      <c r="JBZ44" s="9"/>
      <c r="JCA44" s="9"/>
      <c r="JCB44" s="9"/>
      <c r="JCC44" s="9"/>
      <c r="JCD44" s="9"/>
      <c r="JCE44" s="9"/>
      <c r="JCF44" s="9"/>
      <c r="JCG44" s="9"/>
      <c r="JCH44" s="9"/>
      <c r="JCI44" s="9"/>
      <c r="JCJ44" s="9"/>
      <c r="JCK44" s="9"/>
      <c r="JCL44" s="9"/>
      <c r="JCM44" s="9"/>
      <c r="JCN44" s="9"/>
      <c r="JCO44" s="9"/>
      <c r="JCP44" s="9"/>
      <c r="JCQ44" s="9"/>
      <c r="JCR44" s="9"/>
      <c r="JCS44" s="9"/>
      <c r="JCT44" s="9"/>
      <c r="JCU44" s="9"/>
      <c r="JCV44" s="9"/>
      <c r="JCW44" s="9"/>
      <c r="JCX44" s="9"/>
      <c r="JCY44" s="9"/>
      <c r="JCZ44" s="9"/>
      <c r="JDA44" s="9"/>
      <c r="JDB44" s="9"/>
      <c r="JDC44" s="9"/>
      <c r="JDD44" s="9"/>
      <c r="JDE44" s="9"/>
      <c r="JDF44" s="9"/>
      <c r="JDG44" s="9"/>
      <c r="JDH44" s="9"/>
      <c r="JDI44" s="9"/>
      <c r="JDJ44" s="9"/>
      <c r="JDK44" s="9"/>
      <c r="JDL44" s="9"/>
      <c r="JDM44" s="9"/>
      <c r="JDN44" s="9"/>
      <c r="JDO44" s="9"/>
      <c r="JDP44" s="9"/>
      <c r="JDQ44" s="9"/>
      <c r="JDR44" s="9"/>
      <c r="JDS44" s="9"/>
      <c r="JDT44" s="9"/>
      <c r="JDU44" s="9"/>
      <c r="JDV44" s="9"/>
      <c r="JDW44" s="9"/>
      <c r="JDX44" s="9"/>
      <c r="JDY44" s="9"/>
      <c r="JDZ44" s="9"/>
      <c r="JEA44" s="9"/>
      <c r="JEB44" s="9"/>
      <c r="JEC44" s="9"/>
      <c r="JED44" s="9"/>
      <c r="JEE44" s="9"/>
      <c r="JEF44" s="9"/>
      <c r="JEG44" s="9"/>
      <c r="JEH44" s="9"/>
      <c r="JEI44" s="9"/>
      <c r="JEJ44" s="9"/>
      <c r="JEK44" s="9"/>
      <c r="JEL44" s="9"/>
      <c r="JEM44" s="9"/>
      <c r="JEN44" s="9"/>
      <c r="JEO44" s="9"/>
      <c r="JEP44" s="9"/>
      <c r="JEQ44" s="9"/>
      <c r="JER44" s="9"/>
      <c r="JES44" s="9"/>
      <c r="JET44" s="9"/>
      <c r="JEU44" s="9"/>
      <c r="JEV44" s="9"/>
      <c r="JEW44" s="9"/>
      <c r="JEX44" s="9"/>
      <c r="JEY44" s="9"/>
      <c r="JEZ44" s="9"/>
      <c r="JFA44" s="9"/>
      <c r="JFB44" s="9"/>
      <c r="JFC44" s="9"/>
      <c r="JFD44" s="9"/>
      <c r="JFE44" s="9"/>
      <c r="JFF44" s="9"/>
      <c r="JFG44" s="9"/>
      <c r="JFH44" s="9"/>
      <c r="JFI44" s="9"/>
      <c r="JFJ44" s="9"/>
      <c r="JFK44" s="9"/>
      <c r="JFL44" s="9"/>
      <c r="JFM44" s="9"/>
      <c r="JFN44" s="9"/>
      <c r="JFO44" s="9"/>
      <c r="JFP44" s="9"/>
      <c r="JFQ44" s="9"/>
      <c r="JFR44" s="9"/>
      <c r="JFS44" s="9"/>
      <c r="JFT44" s="9"/>
      <c r="JFU44" s="9"/>
      <c r="JFV44" s="9"/>
      <c r="JFW44" s="9"/>
      <c r="JFX44" s="9"/>
      <c r="JFY44" s="9"/>
      <c r="JFZ44" s="9"/>
      <c r="JGA44" s="9"/>
      <c r="JGB44" s="9"/>
      <c r="JGC44" s="9"/>
      <c r="JGD44" s="9"/>
      <c r="JGE44" s="9"/>
      <c r="JGF44" s="9"/>
      <c r="JGG44" s="9"/>
      <c r="JGH44" s="9"/>
      <c r="JGI44" s="9"/>
      <c r="JGJ44" s="9"/>
      <c r="JGK44" s="9"/>
      <c r="JGL44" s="9"/>
      <c r="JGM44" s="9"/>
      <c r="JGN44" s="9"/>
      <c r="JGO44" s="9"/>
      <c r="JGP44" s="9"/>
      <c r="JGQ44" s="9"/>
      <c r="JGR44" s="9"/>
      <c r="JGS44" s="9"/>
      <c r="JGT44" s="9"/>
      <c r="JGU44" s="9"/>
      <c r="JGV44" s="9"/>
      <c r="JGW44" s="9"/>
      <c r="JGX44" s="9"/>
      <c r="JGY44" s="9"/>
      <c r="JGZ44" s="9"/>
      <c r="JHA44" s="9"/>
      <c r="JHB44" s="9"/>
      <c r="JHC44" s="9"/>
      <c r="JHD44" s="9"/>
      <c r="JHE44" s="9"/>
      <c r="JHF44" s="9"/>
      <c r="JHG44" s="9"/>
      <c r="JHH44" s="9"/>
      <c r="JHI44" s="9"/>
      <c r="JHJ44" s="9"/>
      <c r="JHK44" s="9"/>
      <c r="JHL44" s="9"/>
      <c r="JHM44" s="9"/>
      <c r="JHN44" s="9"/>
      <c r="JHO44" s="9"/>
      <c r="JHP44" s="9"/>
      <c r="JHQ44" s="9"/>
      <c r="JHR44" s="9"/>
      <c r="JHS44" s="9"/>
      <c r="JHT44" s="9"/>
      <c r="JHU44" s="9"/>
      <c r="JHV44" s="9"/>
      <c r="JHW44" s="9"/>
      <c r="JHX44" s="9"/>
      <c r="JHY44" s="9"/>
      <c r="JHZ44" s="9"/>
      <c r="JIA44" s="9"/>
      <c r="JIB44" s="9"/>
      <c r="JIC44" s="9"/>
      <c r="JID44" s="9"/>
      <c r="JIE44" s="9"/>
      <c r="JIF44" s="9"/>
      <c r="JIG44" s="9"/>
      <c r="JIH44" s="9"/>
      <c r="JII44" s="9"/>
      <c r="JIJ44" s="9"/>
      <c r="JIK44" s="9"/>
      <c r="JIL44" s="9"/>
      <c r="JIM44" s="9"/>
      <c r="JIN44" s="9"/>
      <c r="JIO44" s="9"/>
      <c r="JIP44" s="9"/>
      <c r="JIQ44" s="9"/>
      <c r="JIR44" s="9"/>
      <c r="JIS44" s="9"/>
      <c r="JIT44" s="9"/>
      <c r="JIU44" s="9"/>
      <c r="JIV44" s="9"/>
      <c r="JIW44" s="9"/>
      <c r="JIX44" s="9"/>
      <c r="JIY44" s="9"/>
      <c r="JIZ44" s="9"/>
      <c r="JJA44" s="9"/>
      <c r="JJB44" s="9"/>
      <c r="JJC44" s="9"/>
      <c r="JJD44" s="9"/>
      <c r="JJE44" s="9"/>
      <c r="JJF44" s="9"/>
      <c r="JJG44" s="9"/>
      <c r="JJH44" s="9"/>
      <c r="JJI44" s="9"/>
      <c r="JJJ44" s="9"/>
      <c r="JJK44" s="9"/>
      <c r="JJL44" s="9"/>
      <c r="JJM44" s="9"/>
      <c r="JJN44" s="9"/>
      <c r="JJO44" s="9"/>
      <c r="JJP44" s="9"/>
      <c r="JJQ44" s="9"/>
      <c r="JJR44" s="9"/>
      <c r="JJS44" s="9"/>
      <c r="JJT44" s="9"/>
      <c r="JJU44" s="9"/>
      <c r="JJV44" s="9"/>
      <c r="JJW44" s="9"/>
      <c r="JJX44" s="9"/>
      <c r="JJY44" s="9"/>
      <c r="JJZ44" s="9"/>
      <c r="JKA44" s="9"/>
      <c r="JKB44" s="9"/>
      <c r="JKC44" s="9"/>
      <c r="JKD44" s="9"/>
      <c r="JKE44" s="9"/>
      <c r="JKF44" s="9"/>
      <c r="JKG44" s="9"/>
      <c r="JKH44" s="9"/>
      <c r="JKI44" s="9"/>
      <c r="JKJ44" s="9"/>
      <c r="JKK44" s="9"/>
      <c r="JKL44" s="9"/>
      <c r="JKM44" s="9"/>
      <c r="JKN44" s="9"/>
      <c r="JKO44" s="9"/>
      <c r="JKP44" s="9"/>
      <c r="JKQ44" s="9"/>
      <c r="JKR44" s="9"/>
      <c r="JKS44" s="9"/>
      <c r="JKT44" s="9"/>
      <c r="JKU44" s="9"/>
      <c r="JKV44" s="9"/>
      <c r="JKW44" s="9"/>
      <c r="JKX44" s="9"/>
      <c r="JKY44" s="9"/>
      <c r="JKZ44" s="9"/>
      <c r="JLA44" s="9"/>
      <c r="JLB44" s="9"/>
      <c r="JLC44" s="9"/>
      <c r="JLD44" s="9"/>
      <c r="JLE44" s="9"/>
      <c r="JLF44" s="9"/>
      <c r="JLG44" s="9"/>
      <c r="JLH44" s="9"/>
      <c r="JLI44" s="9"/>
      <c r="JLJ44" s="9"/>
      <c r="JLK44" s="9"/>
      <c r="JLL44" s="9"/>
      <c r="JLM44" s="9"/>
      <c r="JLN44" s="9"/>
      <c r="JLO44" s="9"/>
      <c r="JLP44" s="9"/>
      <c r="JLQ44" s="9"/>
      <c r="JLR44" s="9"/>
      <c r="JLS44" s="9"/>
      <c r="JLT44" s="9"/>
      <c r="JLU44" s="9"/>
      <c r="JLV44" s="9"/>
      <c r="JLW44" s="9"/>
      <c r="JLX44" s="9"/>
      <c r="JLY44" s="9"/>
      <c r="JLZ44" s="9"/>
      <c r="JMA44" s="9"/>
      <c r="JMB44" s="9"/>
      <c r="JMC44" s="9"/>
      <c r="JMD44" s="9"/>
      <c r="JME44" s="9"/>
      <c r="JMF44" s="9"/>
      <c r="JMG44" s="9"/>
      <c r="JMH44" s="9"/>
      <c r="JMI44" s="9"/>
      <c r="JMJ44" s="9"/>
      <c r="JMK44" s="9"/>
      <c r="JML44" s="9"/>
      <c r="JMM44" s="9"/>
      <c r="JMN44" s="9"/>
      <c r="JMO44" s="9"/>
      <c r="JMP44" s="9"/>
      <c r="JMQ44" s="9"/>
      <c r="JMR44" s="9"/>
      <c r="JMS44" s="9"/>
      <c r="JMT44" s="9"/>
      <c r="JMU44" s="9"/>
      <c r="JMV44" s="9"/>
      <c r="JMW44" s="9"/>
      <c r="JMX44" s="9"/>
      <c r="JMY44" s="9"/>
      <c r="JMZ44" s="9"/>
      <c r="JNA44" s="9"/>
      <c r="JNB44" s="9"/>
      <c r="JNC44" s="9"/>
      <c r="JND44" s="9"/>
      <c r="JNE44" s="9"/>
      <c r="JNF44" s="9"/>
      <c r="JNG44" s="9"/>
      <c r="JNH44" s="9"/>
      <c r="JNI44" s="9"/>
      <c r="JNJ44" s="9"/>
      <c r="JNK44" s="9"/>
      <c r="JNL44" s="9"/>
      <c r="JNM44" s="9"/>
      <c r="JNN44" s="9"/>
      <c r="JNO44" s="9"/>
      <c r="JNP44" s="9"/>
      <c r="JNQ44" s="9"/>
      <c r="JNR44" s="9"/>
      <c r="JNS44" s="9"/>
      <c r="JNT44" s="9"/>
      <c r="JNU44" s="9"/>
      <c r="JNV44" s="9"/>
      <c r="JNW44" s="9"/>
      <c r="JNX44" s="9"/>
      <c r="JNY44" s="9"/>
      <c r="JNZ44" s="9"/>
      <c r="JOA44" s="9"/>
      <c r="JOB44" s="9"/>
      <c r="JOC44" s="9"/>
      <c r="JOD44" s="9"/>
      <c r="JOE44" s="9"/>
      <c r="JOF44" s="9"/>
      <c r="JOG44" s="9"/>
      <c r="JOH44" s="9"/>
      <c r="JOI44" s="9"/>
      <c r="JOJ44" s="9"/>
      <c r="JOK44" s="9"/>
      <c r="JOL44" s="9"/>
      <c r="JOM44" s="9"/>
      <c r="JON44" s="9"/>
      <c r="JOO44" s="9"/>
      <c r="JOP44" s="9"/>
      <c r="JOQ44" s="9"/>
      <c r="JOR44" s="9"/>
      <c r="JOS44" s="9"/>
      <c r="JOT44" s="9"/>
      <c r="JOU44" s="9"/>
      <c r="JOV44" s="9"/>
      <c r="JOW44" s="9"/>
      <c r="JOX44" s="9"/>
      <c r="JOY44" s="9"/>
      <c r="JOZ44" s="9"/>
      <c r="JPA44" s="9"/>
      <c r="JPB44" s="9"/>
      <c r="JPC44" s="9"/>
      <c r="JPD44" s="9"/>
      <c r="JPE44" s="9"/>
      <c r="JPF44" s="9"/>
      <c r="JPG44" s="9"/>
      <c r="JPH44" s="9"/>
      <c r="JPI44" s="9"/>
      <c r="JPJ44" s="9"/>
      <c r="JPK44" s="9"/>
      <c r="JPL44" s="9"/>
      <c r="JPM44" s="9"/>
      <c r="JPN44" s="9"/>
      <c r="JPO44" s="9"/>
      <c r="JPP44" s="9"/>
      <c r="JPQ44" s="9"/>
      <c r="JPR44" s="9"/>
      <c r="JPS44" s="9"/>
      <c r="JPT44" s="9"/>
      <c r="JPU44" s="9"/>
      <c r="JPV44" s="9"/>
      <c r="JPW44" s="9"/>
      <c r="JPX44" s="9"/>
      <c r="JPY44" s="9"/>
      <c r="JPZ44" s="9"/>
      <c r="JQA44" s="9"/>
      <c r="JQB44" s="9"/>
      <c r="JQC44" s="9"/>
      <c r="JQD44" s="9"/>
      <c r="JQE44" s="9"/>
      <c r="JQF44" s="9"/>
      <c r="JQG44" s="9"/>
      <c r="JQH44" s="9"/>
      <c r="JQI44" s="9"/>
      <c r="JQJ44" s="9"/>
      <c r="JQK44" s="9"/>
      <c r="JQL44" s="9"/>
      <c r="JQM44" s="9"/>
      <c r="JQN44" s="9"/>
      <c r="JQO44" s="9"/>
      <c r="JQP44" s="9"/>
      <c r="JQQ44" s="9"/>
      <c r="JQR44" s="9"/>
      <c r="JQS44" s="9"/>
      <c r="JQT44" s="9"/>
      <c r="JQU44" s="9"/>
      <c r="JQV44" s="9"/>
      <c r="JQW44" s="9"/>
      <c r="JQX44" s="9"/>
      <c r="JQY44" s="9"/>
      <c r="JQZ44" s="9"/>
      <c r="JRA44" s="9"/>
      <c r="JRB44" s="9"/>
      <c r="JRC44" s="9"/>
      <c r="JRD44" s="9"/>
      <c r="JRE44" s="9"/>
      <c r="JRF44" s="9"/>
      <c r="JRG44" s="9"/>
      <c r="JRH44" s="9"/>
      <c r="JRI44" s="9"/>
      <c r="JRJ44" s="9"/>
      <c r="JRK44" s="9"/>
      <c r="JRL44" s="9"/>
      <c r="JRM44" s="9"/>
      <c r="JRN44" s="9"/>
      <c r="JRO44" s="9"/>
      <c r="JRP44" s="9"/>
      <c r="JRQ44" s="9"/>
      <c r="JRR44" s="9"/>
      <c r="JRS44" s="9"/>
      <c r="JRT44" s="9"/>
      <c r="JRU44" s="9"/>
      <c r="JRV44" s="9"/>
      <c r="JRW44" s="9"/>
      <c r="JRX44" s="9"/>
      <c r="JRY44" s="9"/>
      <c r="JRZ44" s="9"/>
      <c r="JSA44" s="9"/>
      <c r="JSB44" s="9"/>
      <c r="JSC44" s="9"/>
      <c r="JSD44" s="9"/>
      <c r="JSE44" s="9"/>
      <c r="JSF44" s="9"/>
      <c r="JSG44" s="9"/>
      <c r="JSH44" s="9"/>
      <c r="JSI44" s="9"/>
      <c r="JSJ44" s="9"/>
      <c r="JSK44" s="9"/>
      <c r="JSL44" s="9"/>
      <c r="JSM44" s="9"/>
      <c r="JSN44" s="9"/>
      <c r="JSO44" s="9"/>
      <c r="JSP44" s="9"/>
      <c r="JSQ44" s="9"/>
      <c r="JSR44" s="9"/>
      <c r="JSS44" s="9"/>
      <c r="JST44" s="9"/>
      <c r="JSU44" s="9"/>
      <c r="JSV44" s="9"/>
      <c r="JSW44" s="9"/>
      <c r="JSX44" s="9"/>
      <c r="JSY44" s="9"/>
      <c r="JSZ44" s="9"/>
      <c r="JTA44" s="9"/>
      <c r="JTB44" s="9"/>
      <c r="JTC44" s="9"/>
      <c r="JTD44" s="9"/>
      <c r="JTE44" s="9"/>
      <c r="JTF44" s="9"/>
      <c r="JTG44" s="9"/>
      <c r="JTH44" s="9"/>
      <c r="JTI44" s="9"/>
      <c r="JTJ44" s="9"/>
      <c r="JTK44" s="9"/>
      <c r="JTL44" s="9"/>
      <c r="JTM44" s="9"/>
      <c r="JTN44" s="9"/>
      <c r="JTO44" s="9"/>
      <c r="JTP44" s="9"/>
      <c r="JTQ44" s="9"/>
      <c r="JTR44" s="9"/>
      <c r="JTS44" s="9"/>
      <c r="JTT44" s="9"/>
      <c r="JTU44" s="9"/>
      <c r="JTV44" s="9"/>
      <c r="JTW44" s="9"/>
      <c r="JTX44" s="9"/>
      <c r="JTY44" s="9"/>
      <c r="JTZ44" s="9"/>
      <c r="JUA44" s="9"/>
      <c r="JUB44" s="9"/>
      <c r="JUC44" s="9"/>
      <c r="JUD44" s="9"/>
      <c r="JUE44" s="9"/>
      <c r="JUF44" s="9"/>
      <c r="JUG44" s="9"/>
      <c r="JUH44" s="9"/>
      <c r="JUI44" s="9"/>
      <c r="JUJ44" s="9"/>
      <c r="JUK44" s="9"/>
      <c r="JUL44" s="9"/>
      <c r="JUM44" s="9"/>
      <c r="JUN44" s="9"/>
      <c r="JUO44" s="9"/>
      <c r="JUP44" s="9"/>
      <c r="JUQ44" s="9"/>
      <c r="JUR44" s="9"/>
      <c r="JUS44" s="9"/>
      <c r="JUT44" s="9"/>
      <c r="JUU44" s="9"/>
      <c r="JUV44" s="9"/>
      <c r="JUW44" s="9"/>
      <c r="JUX44" s="9"/>
      <c r="JUY44" s="9"/>
      <c r="JUZ44" s="9"/>
      <c r="JVA44" s="9"/>
      <c r="JVB44" s="9"/>
      <c r="JVC44" s="9"/>
      <c r="JVD44" s="9"/>
      <c r="JVE44" s="9"/>
      <c r="JVF44" s="9"/>
      <c r="JVG44" s="9"/>
      <c r="JVH44" s="9"/>
      <c r="JVI44" s="9"/>
      <c r="JVJ44" s="9"/>
      <c r="JVK44" s="9"/>
      <c r="JVL44" s="9"/>
      <c r="JVM44" s="9"/>
      <c r="JVN44" s="9"/>
      <c r="JVO44" s="9"/>
      <c r="JVP44" s="9"/>
      <c r="JVQ44" s="9"/>
      <c r="JVR44" s="9"/>
      <c r="JVS44" s="9"/>
      <c r="JVT44" s="9"/>
      <c r="JVU44" s="9"/>
      <c r="JVV44" s="9"/>
      <c r="JVW44" s="9"/>
      <c r="JVX44" s="9"/>
      <c r="JVY44" s="9"/>
      <c r="JVZ44" s="9"/>
      <c r="JWA44" s="9"/>
      <c r="JWB44" s="9"/>
      <c r="JWC44" s="9"/>
      <c r="JWD44" s="9"/>
      <c r="JWE44" s="9"/>
      <c r="JWF44" s="9"/>
      <c r="JWG44" s="9"/>
      <c r="JWH44" s="9"/>
      <c r="JWI44" s="9"/>
      <c r="JWJ44" s="9"/>
      <c r="JWK44" s="9"/>
      <c r="JWL44" s="9"/>
      <c r="JWM44" s="9"/>
      <c r="JWN44" s="9"/>
      <c r="JWO44" s="9"/>
      <c r="JWP44" s="9"/>
      <c r="JWQ44" s="9"/>
      <c r="JWR44" s="9"/>
      <c r="JWS44" s="9"/>
      <c r="JWT44" s="9"/>
      <c r="JWU44" s="9"/>
      <c r="JWV44" s="9"/>
      <c r="JWW44" s="9"/>
      <c r="JWX44" s="9"/>
      <c r="JWY44" s="9"/>
      <c r="JWZ44" s="9"/>
      <c r="JXA44" s="9"/>
      <c r="JXB44" s="9"/>
      <c r="JXC44" s="9"/>
      <c r="JXD44" s="9"/>
      <c r="JXE44" s="9"/>
      <c r="JXF44" s="9"/>
      <c r="JXG44" s="9"/>
      <c r="JXH44" s="9"/>
      <c r="JXI44" s="9"/>
      <c r="JXJ44" s="9"/>
      <c r="JXK44" s="9"/>
      <c r="JXL44" s="9"/>
      <c r="JXM44" s="9"/>
      <c r="JXN44" s="9"/>
      <c r="JXO44" s="9"/>
      <c r="JXP44" s="9"/>
      <c r="JXQ44" s="9"/>
      <c r="JXR44" s="9"/>
      <c r="JXS44" s="9"/>
      <c r="JXT44" s="9"/>
      <c r="JXU44" s="9"/>
      <c r="JXV44" s="9"/>
      <c r="JXW44" s="9"/>
      <c r="JXX44" s="9"/>
      <c r="JXY44" s="9"/>
      <c r="JXZ44" s="9"/>
      <c r="JYA44" s="9"/>
      <c r="JYB44" s="9"/>
      <c r="JYC44" s="9"/>
      <c r="JYD44" s="9"/>
      <c r="JYE44" s="9"/>
      <c r="JYF44" s="9"/>
      <c r="JYG44" s="9"/>
      <c r="JYH44" s="9"/>
      <c r="JYI44" s="9"/>
      <c r="JYJ44" s="9"/>
      <c r="JYK44" s="9"/>
      <c r="JYL44" s="9"/>
      <c r="JYM44" s="9"/>
      <c r="JYN44" s="9"/>
      <c r="JYO44" s="9"/>
      <c r="JYP44" s="9"/>
      <c r="JYQ44" s="9"/>
      <c r="JYR44" s="9"/>
      <c r="JYS44" s="9"/>
      <c r="JYT44" s="9"/>
      <c r="JYU44" s="9"/>
      <c r="JYV44" s="9"/>
      <c r="JYW44" s="9"/>
      <c r="JYX44" s="9"/>
      <c r="JYY44" s="9"/>
      <c r="JYZ44" s="9"/>
      <c r="JZA44" s="9"/>
      <c r="JZB44" s="9"/>
      <c r="JZC44" s="9"/>
      <c r="JZD44" s="9"/>
      <c r="JZE44" s="9"/>
      <c r="JZF44" s="9"/>
      <c r="JZG44" s="9"/>
      <c r="JZH44" s="9"/>
      <c r="JZI44" s="9"/>
      <c r="JZJ44" s="9"/>
      <c r="JZK44" s="9"/>
      <c r="JZL44" s="9"/>
      <c r="JZM44" s="9"/>
      <c r="JZN44" s="9"/>
      <c r="JZO44" s="9"/>
      <c r="JZP44" s="9"/>
      <c r="JZQ44" s="9"/>
      <c r="JZR44" s="9"/>
      <c r="JZS44" s="9"/>
      <c r="JZT44" s="9"/>
      <c r="JZU44" s="9"/>
      <c r="JZV44" s="9"/>
      <c r="JZW44" s="9"/>
      <c r="JZX44" s="9"/>
      <c r="JZY44" s="9"/>
      <c r="JZZ44" s="9"/>
      <c r="KAA44" s="9"/>
      <c r="KAB44" s="9"/>
      <c r="KAC44" s="9"/>
      <c r="KAD44" s="9"/>
      <c r="KAE44" s="9"/>
      <c r="KAF44" s="9"/>
      <c r="KAG44" s="9"/>
      <c r="KAH44" s="9"/>
      <c r="KAI44" s="9"/>
      <c r="KAJ44" s="9"/>
      <c r="KAK44" s="9"/>
      <c r="KAL44" s="9"/>
      <c r="KAM44" s="9"/>
      <c r="KAN44" s="9"/>
      <c r="KAO44" s="9"/>
      <c r="KAP44" s="9"/>
      <c r="KAQ44" s="9"/>
      <c r="KAR44" s="9"/>
      <c r="KAS44" s="9"/>
      <c r="KAT44" s="9"/>
      <c r="KAU44" s="9"/>
      <c r="KAV44" s="9"/>
      <c r="KAW44" s="9"/>
      <c r="KAX44" s="9"/>
      <c r="KAY44" s="9"/>
      <c r="KAZ44" s="9"/>
      <c r="KBA44" s="9"/>
      <c r="KBB44" s="9"/>
      <c r="KBC44" s="9"/>
      <c r="KBD44" s="9"/>
      <c r="KBE44" s="9"/>
      <c r="KBF44" s="9"/>
      <c r="KBG44" s="9"/>
      <c r="KBH44" s="9"/>
      <c r="KBI44" s="9"/>
      <c r="KBJ44" s="9"/>
      <c r="KBK44" s="9"/>
      <c r="KBL44" s="9"/>
      <c r="KBM44" s="9"/>
      <c r="KBN44" s="9"/>
      <c r="KBO44" s="9"/>
      <c r="KBP44" s="9"/>
      <c r="KBQ44" s="9"/>
      <c r="KBR44" s="9"/>
      <c r="KBS44" s="9"/>
      <c r="KBT44" s="9"/>
      <c r="KBU44" s="9"/>
      <c r="KBV44" s="9"/>
      <c r="KBW44" s="9"/>
      <c r="KBX44" s="9"/>
      <c r="KBY44" s="9"/>
      <c r="KBZ44" s="9"/>
      <c r="KCA44" s="9"/>
      <c r="KCB44" s="9"/>
      <c r="KCC44" s="9"/>
      <c r="KCD44" s="9"/>
      <c r="KCE44" s="9"/>
      <c r="KCF44" s="9"/>
      <c r="KCG44" s="9"/>
      <c r="KCH44" s="9"/>
      <c r="KCI44" s="9"/>
      <c r="KCJ44" s="9"/>
      <c r="KCK44" s="9"/>
      <c r="KCL44" s="9"/>
      <c r="KCM44" s="9"/>
      <c r="KCN44" s="9"/>
      <c r="KCO44" s="9"/>
      <c r="KCP44" s="9"/>
      <c r="KCQ44" s="9"/>
      <c r="KCR44" s="9"/>
      <c r="KCS44" s="9"/>
      <c r="KCT44" s="9"/>
      <c r="KCU44" s="9"/>
      <c r="KCV44" s="9"/>
      <c r="KCW44" s="9"/>
      <c r="KCX44" s="9"/>
      <c r="KCY44" s="9"/>
      <c r="KCZ44" s="9"/>
      <c r="KDA44" s="9"/>
      <c r="KDB44" s="9"/>
      <c r="KDC44" s="9"/>
      <c r="KDD44" s="9"/>
      <c r="KDE44" s="9"/>
      <c r="KDF44" s="9"/>
      <c r="KDG44" s="9"/>
      <c r="KDH44" s="9"/>
      <c r="KDI44" s="9"/>
      <c r="KDJ44" s="9"/>
      <c r="KDK44" s="9"/>
      <c r="KDL44" s="9"/>
      <c r="KDM44" s="9"/>
      <c r="KDN44" s="9"/>
      <c r="KDO44" s="9"/>
      <c r="KDP44" s="9"/>
      <c r="KDQ44" s="9"/>
      <c r="KDR44" s="9"/>
      <c r="KDS44" s="9"/>
      <c r="KDT44" s="9"/>
      <c r="KDU44" s="9"/>
      <c r="KDV44" s="9"/>
      <c r="KDW44" s="9"/>
      <c r="KDX44" s="9"/>
      <c r="KDY44" s="9"/>
      <c r="KDZ44" s="9"/>
      <c r="KEA44" s="9"/>
      <c r="KEB44" s="9"/>
      <c r="KEC44" s="9"/>
      <c r="KED44" s="9"/>
      <c r="KEE44" s="9"/>
      <c r="KEF44" s="9"/>
      <c r="KEG44" s="9"/>
      <c r="KEH44" s="9"/>
      <c r="KEI44" s="9"/>
      <c r="KEJ44" s="9"/>
      <c r="KEK44" s="9"/>
      <c r="KEL44" s="9"/>
      <c r="KEM44" s="9"/>
      <c r="KEN44" s="9"/>
      <c r="KEO44" s="9"/>
      <c r="KEP44" s="9"/>
      <c r="KEQ44" s="9"/>
      <c r="KER44" s="9"/>
      <c r="KES44" s="9"/>
      <c r="KET44" s="9"/>
      <c r="KEU44" s="9"/>
      <c r="KEV44" s="9"/>
      <c r="KEW44" s="9"/>
      <c r="KEX44" s="9"/>
      <c r="KEY44" s="9"/>
      <c r="KEZ44" s="9"/>
      <c r="KFA44" s="9"/>
      <c r="KFB44" s="9"/>
      <c r="KFC44" s="9"/>
      <c r="KFD44" s="9"/>
      <c r="KFE44" s="9"/>
      <c r="KFF44" s="9"/>
      <c r="KFG44" s="9"/>
      <c r="KFH44" s="9"/>
      <c r="KFI44" s="9"/>
      <c r="KFJ44" s="9"/>
      <c r="KFK44" s="9"/>
      <c r="KFL44" s="9"/>
      <c r="KFM44" s="9"/>
      <c r="KFN44" s="9"/>
      <c r="KFO44" s="9"/>
      <c r="KFP44" s="9"/>
      <c r="KFQ44" s="9"/>
      <c r="KFR44" s="9"/>
      <c r="KFS44" s="9"/>
      <c r="KFT44" s="9"/>
      <c r="KFU44" s="9"/>
      <c r="KFV44" s="9"/>
      <c r="KFW44" s="9"/>
      <c r="KFX44" s="9"/>
      <c r="KFY44" s="9"/>
      <c r="KFZ44" s="9"/>
      <c r="KGA44" s="9"/>
      <c r="KGB44" s="9"/>
      <c r="KGC44" s="9"/>
      <c r="KGD44" s="9"/>
      <c r="KGE44" s="9"/>
      <c r="KGF44" s="9"/>
      <c r="KGG44" s="9"/>
      <c r="KGH44" s="9"/>
      <c r="KGI44" s="9"/>
      <c r="KGJ44" s="9"/>
      <c r="KGK44" s="9"/>
      <c r="KGL44" s="9"/>
      <c r="KGM44" s="9"/>
      <c r="KGN44" s="9"/>
      <c r="KGO44" s="9"/>
      <c r="KGP44" s="9"/>
      <c r="KGQ44" s="9"/>
      <c r="KGR44" s="9"/>
      <c r="KGS44" s="9"/>
      <c r="KGT44" s="9"/>
      <c r="KGU44" s="9"/>
      <c r="KGV44" s="9"/>
      <c r="KGW44" s="9"/>
      <c r="KGX44" s="9"/>
      <c r="KGY44" s="9"/>
      <c r="KGZ44" s="9"/>
      <c r="KHA44" s="9"/>
      <c r="KHB44" s="9"/>
      <c r="KHC44" s="9"/>
      <c r="KHD44" s="9"/>
      <c r="KHE44" s="9"/>
      <c r="KHF44" s="9"/>
      <c r="KHG44" s="9"/>
      <c r="KHH44" s="9"/>
      <c r="KHI44" s="9"/>
      <c r="KHJ44" s="9"/>
      <c r="KHK44" s="9"/>
      <c r="KHL44" s="9"/>
      <c r="KHM44" s="9"/>
      <c r="KHN44" s="9"/>
      <c r="KHO44" s="9"/>
      <c r="KHP44" s="9"/>
      <c r="KHQ44" s="9"/>
      <c r="KHR44" s="9"/>
      <c r="KHS44" s="9"/>
      <c r="KHT44" s="9"/>
      <c r="KHU44" s="9"/>
      <c r="KHV44" s="9"/>
      <c r="KHW44" s="9"/>
      <c r="KHX44" s="9"/>
      <c r="KHY44" s="9"/>
      <c r="KHZ44" s="9"/>
      <c r="KIA44" s="9"/>
      <c r="KIB44" s="9"/>
      <c r="KIC44" s="9"/>
      <c r="KID44" s="9"/>
      <c r="KIE44" s="9"/>
      <c r="KIF44" s="9"/>
      <c r="KIG44" s="9"/>
      <c r="KIH44" s="9"/>
      <c r="KII44" s="9"/>
      <c r="KIJ44" s="9"/>
      <c r="KIK44" s="9"/>
      <c r="KIL44" s="9"/>
      <c r="KIM44" s="9"/>
      <c r="KIN44" s="9"/>
      <c r="KIO44" s="9"/>
      <c r="KIP44" s="9"/>
      <c r="KIQ44" s="9"/>
      <c r="KIR44" s="9"/>
      <c r="KIS44" s="9"/>
      <c r="KIT44" s="9"/>
      <c r="KIU44" s="9"/>
      <c r="KIV44" s="9"/>
      <c r="KIW44" s="9"/>
      <c r="KIX44" s="9"/>
      <c r="KIY44" s="9"/>
      <c r="KIZ44" s="9"/>
      <c r="KJA44" s="9"/>
      <c r="KJB44" s="9"/>
      <c r="KJC44" s="9"/>
      <c r="KJD44" s="9"/>
      <c r="KJE44" s="9"/>
      <c r="KJF44" s="9"/>
      <c r="KJG44" s="9"/>
      <c r="KJH44" s="9"/>
      <c r="KJI44" s="9"/>
      <c r="KJJ44" s="9"/>
      <c r="KJK44" s="9"/>
      <c r="KJL44" s="9"/>
      <c r="KJM44" s="9"/>
      <c r="KJN44" s="9"/>
      <c r="KJO44" s="9"/>
      <c r="KJP44" s="9"/>
      <c r="KJQ44" s="9"/>
      <c r="KJR44" s="9"/>
      <c r="KJS44" s="9"/>
      <c r="KJT44" s="9"/>
      <c r="KJU44" s="9"/>
      <c r="KJV44" s="9"/>
      <c r="KJW44" s="9"/>
      <c r="KJX44" s="9"/>
      <c r="KJY44" s="9"/>
      <c r="KJZ44" s="9"/>
      <c r="KKA44" s="9"/>
      <c r="KKB44" s="9"/>
      <c r="KKC44" s="9"/>
      <c r="KKD44" s="9"/>
      <c r="KKE44" s="9"/>
      <c r="KKF44" s="9"/>
      <c r="KKG44" s="9"/>
      <c r="KKH44" s="9"/>
      <c r="KKI44" s="9"/>
      <c r="KKJ44" s="9"/>
      <c r="KKK44" s="9"/>
      <c r="KKL44" s="9"/>
      <c r="KKM44" s="9"/>
      <c r="KKN44" s="9"/>
      <c r="KKO44" s="9"/>
      <c r="KKP44" s="9"/>
      <c r="KKQ44" s="9"/>
      <c r="KKR44" s="9"/>
      <c r="KKS44" s="9"/>
      <c r="KKT44" s="9"/>
      <c r="KKU44" s="9"/>
      <c r="KKV44" s="9"/>
      <c r="KKW44" s="9"/>
      <c r="KKX44" s="9"/>
      <c r="KKY44" s="9"/>
      <c r="KKZ44" s="9"/>
      <c r="KLA44" s="9"/>
      <c r="KLB44" s="9"/>
      <c r="KLC44" s="9"/>
      <c r="KLD44" s="9"/>
      <c r="KLE44" s="9"/>
      <c r="KLF44" s="9"/>
      <c r="KLG44" s="9"/>
      <c r="KLH44" s="9"/>
      <c r="KLI44" s="9"/>
      <c r="KLJ44" s="9"/>
      <c r="KLK44" s="9"/>
      <c r="KLL44" s="9"/>
      <c r="KLM44" s="9"/>
      <c r="KLN44" s="9"/>
      <c r="KLO44" s="9"/>
      <c r="KLP44" s="9"/>
      <c r="KLQ44" s="9"/>
      <c r="KLR44" s="9"/>
      <c r="KLS44" s="9"/>
      <c r="KLT44" s="9"/>
      <c r="KLU44" s="9"/>
      <c r="KLV44" s="9"/>
      <c r="KLW44" s="9"/>
      <c r="KLX44" s="9"/>
      <c r="KLY44" s="9"/>
      <c r="KLZ44" s="9"/>
      <c r="KMA44" s="9"/>
      <c r="KMB44" s="9"/>
      <c r="KMC44" s="9"/>
      <c r="KMD44" s="9"/>
      <c r="KME44" s="9"/>
      <c r="KMF44" s="9"/>
      <c r="KMG44" s="9"/>
      <c r="KMH44" s="9"/>
      <c r="KMI44" s="9"/>
      <c r="KMJ44" s="9"/>
      <c r="KMK44" s="9"/>
      <c r="KML44" s="9"/>
      <c r="KMM44" s="9"/>
      <c r="KMN44" s="9"/>
      <c r="KMO44" s="9"/>
      <c r="KMP44" s="9"/>
      <c r="KMQ44" s="9"/>
      <c r="KMR44" s="9"/>
      <c r="KMS44" s="9"/>
      <c r="KMT44" s="9"/>
      <c r="KMU44" s="9"/>
      <c r="KMV44" s="9"/>
      <c r="KMW44" s="9"/>
      <c r="KMX44" s="9"/>
      <c r="KMY44" s="9"/>
      <c r="KMZ44" s="9"/>
      <c r="KNA44" s="9"/>
      <c r="KNB44" s="9"/>
      <c r="KNC44" s="9"/>
      <c r="KND44" s="9"/>
      <c r="KNE44" s="9"/>
      <c r="KNF44" s="9"/>
      <c r="KNG44" s="9"/>
      <c r="KNH44" s="9"/>
      <c r="KNI44" s="9"/>
      <c r="KNJ44" s="9"/>
      <c r="KNK44" s="9"/>
      <c r="KNL44" s="9"/>
      <c r="KNM44" s="9"/>
      <c r="KNN44" s="9"/>
      <c r="KNO44" s="9"/>
      <c r="KNP44" s="9"/>
      <c r="KNQ44" s="9"/>
      <c r="KNR44" s="9"/>
      <c r="KNS44" s="9"/>
      <c r="KNT44" s="9"/>
      <c r="KNU44" s="9"/>
      <c r="KNV44" s="9"/>
      <c r="KNW44" s="9"/>
      <c r="KNX44" s="9"/>
      <c r="KNY44" s="9"/>
      <c r="KNZ44" s="9"/>
      <c r="KOA44" s="9"/>
      <c r="KOB44" s="9"/>
      <c r="KOC44" s="9"/>
      <c r="KOD44" s="9"/>
      <c r="KOE44" s="9"/>
      <c r="KOF44" s="9"/>
      <c r="KOG44" s="9"/>
      <c r="KOH44" s="9"/>
      <c r="KOI44" s="9"/>
      <c r="KOJ44" s="9"/>
      <c r="KOK44" s="9"/>
      <c r="KOL44" s="9"/>
      <c r="KOM44" s="9"/>
      <c r="KON44" s="9"/>
      <c r="KOO44" s="9"/>
      <c r="KOP44" s="9"/>
      <c r="KOQ44" s="9"/>
      <c r="KOR44" s="9"/>
      <c r="KOS44" s="9"/>
      <c r="KOT44" s="9"/>
      <c r="KOU44" s="9"/>
      <c r="KOV44" s="9"/>
      <c r="KOW44" s="9"/>
      <c r="KOX44" s="9"/>
      <c r="KOY44" s="9"/>
      <c r="KOZ44" s="9"/>
      <c r="KPA44" s="9"/>
      <c r="KPB44" s="9"/>
      <c r="KPC44" s="9"/>
      <c r="KPD44" s="9"/>
      <c r="KPE44" s="9"/>
      <c r="KPF44" s="9"/>
      <c r="KPG44" s="9"/>
      <c r="KPH44" s="9"/>
      <c r="KPI44" s="9"/>
      <c r="KPJ44" s="9"/>
      <c r="KPK44" s="9"/>
      <c r="KPL44" s="9"/>
      <c r="KPM44" s="9"/>
      <c r="KPN44" s="9"/>
      <c r="KPO44" s="9"/>
      <c r="KPP44" s="9"/>
      <c r="KPQ44" s="9"/>
      <c r="KPR44" s="9"/>
      <c r="KPS44" s="9"/>
      <c r="KPT44" s="9"/>
      <c r="KPU44" s="9"/>
      <c r="KPV44" s="9"/>
      <c r="KPW44" s="9"/>
      <c r="KPX44" s="9"/>
      <c r="KPY44" s="9"/>
      <c r="KPZ44" s="9"/>
      <c r="KQA44" s="9"/>
      <c r="KQB44" s="9"/>
      <c r="KQC44" s="9"/>
      <c r="KQD44" s="9"/>
      <c r="KQE44" s="9"/>
      <c r="KQF44" s="9"/>
      <c r="KQG44" s="9"/>
      <c r="KQH44" s="9"/>
      <c r="KQI44" s="9"/>
      <c r="KQJ44" s="9"/>
      <c r="KQK44" s="9"/>
      <c r="KQL44" s="9"/>
      <c r="KQM44" s="9"/>
      <c r="KQN44" s="9"/>
      <c r="KQO44" s="9"/>
      <c r="KQP44" s="9"/>
      <c r="KQQ44" s="9"/>
      <c r="KQR44" s="9"/>
      <c r="KQS44" s="9"/>
      <c r="KQT44" s="9"/>
      <c r="KQU44" s="9"/>
      <c r="KQV44" s="9"/>
      <c r="KQW44" s="9"/>
      <c r="KQX44" s="9"/>
      <c r="KQY44" s="9"/>
      <c r="KQZ44" s="9"/>
      <c r="KRA44" s="9"/>
      <c r="KRB44" s="9"/>
      <c r="KRC44" s="9"/>
      <c r="KRD44" s="9"/>
      <c r="KRE44" s="9"/>
      <c r="KRF44" s="9"/>
      <c r="KRG44" s="9"/>
      <c r="KRH44" s="9"/>
      <c r="KRI44" s="9"/>
      <c r="KRJ44" s="9"/>
      <c r="KRK44" s="9"/>
      <c r="KRL44" s="9"/>
      <c r="KRM44" s="9"/>
      <c r="KRN44" s="9"/>
      <c r="KRO44" s="9"/>
      <c r="KRP44" s="9"/>
      <c r="KRQ44" s="9"/>
      <c r="KRR44" s="9"/>
      <c r="KRS44" s="9"/>
      <c r="KRT44" s="9"/>
      <c r="KRU44" s="9"/>
      <c r="KRV44" s="9"/>
      <c r="KRW44" s="9"/>
      <c r="KRX44" s="9"/>
      <c r="KRY44" s="9"/>
      <c r="KRZ44" s="9"/>
      <c r="KSA44" s="9"/>
      <c r="KSB44" s="9"/>
      <c r="KSC44" s="9"/>
      <c r="KSD44" s="9"/>
      <c r="KSE44" s="9"/>
      <c r="KSF44" s="9"/>
      <c r="KSG44" s="9"/>
      <c r="KSH44" s="9"/>
      <c r="KSI44" s="9"/>
      <c r="KSJ44" s="9"/>
      <c r="KSK44" s="9"/>
      <c r="KSL44" s="9"/>
      <c r="KSM44" s="9"/>
      <c r="KSN44" s="9"/>
      <c r="KSO44" s="9"/>
      <c r="KSP44" s="9"/>
      <c r="KSQ44" s="9"/>
      <c r="KSR44" s="9"/>
      <c r="KSS44" s="9"/>
      <c r="KST44" s="9"/>
      <c r="KSU44" s="9"/>
      <c r="KSV44" s="9"/>
      <c r="KSW44" s="9"/>
      <c r="KSX44" s="9"/>
      <c r="KSY44" s="9"/>
      <c r="KSZ44" s="9"/>
      <c r="KTA44" s="9"/>
      <c r="KTB44" s="9"/>
      <c r="KTC44" s="9"/>
      <c r="KTD44" s="9"/>
      <c r="KTE44" s="9"/>
      <c r="KTF44" s="9"/>
      <c r="KTG44" s="9"/>
      <c r="KTH44" s="9"/>
      <c r="KTI44" s="9"/>
      <c r="KTJ44" s="9"/>
      <c r="KTK44" s="9"/>
      <c r="KTL44" s="9"/>
      <c r="KTM44" s="9"/>
      <c r="KTN44" s="9"/>
      <c r="KTO44" s="9"/>
      <c r="KTP44" s="9"/>
      <c r="KTQ44" s="9"/>
      <c r="KTR44" s="9"/>
      <c r="KTS44" s="9"/>
      <c r="KTT44" s="9"/>
      <c r="KTU44" s="9"/>
      <c r="KTV44" s="9"/>
      <c r="KTW44" s="9"/>
      <c r="KTX44" s="9"/>
      <c r="KTY44" s="9"/>
      <c r="KTZ44" s="9"/>
      <c r="KUA44" s="9"/>
      <c r="KUB44" s="9"/>
      <c r="KUC44" s="9"/>
      <c r="KUD44" s="9"/>
      <c r="KUE44" s="9"/>
      <c r="KUF44" s="9"/>
      <c r="KUG44" s="9"/>
      <c r="KUH44" s="9"/>
      <c r="KUI44" s="9"/>
      <c r="KUJ44" s="9"/>
      <c r="KUK44" s="9"/>
      <c r="KUL44" s="9"/>
      <c r="KUM44" s="9"/>
      <c r="KUN44" s="9"/>
      <c r="KUO44" s="9"/>
      <c r="KUP44" s="9"/>
      <c r="KUQ44" s="9"/>
      <c r="KUR44" s="9"/>
      <c r="KUS44" s="9"/>
      <c r="KUT44" s="9"/>
      <c r="KUU44" s="9"/>
      <c r="KUV44" s="9"/>
      <c r="KUW44" s="9"/>
      <c r="KUX44" s="9"/>
      <c r="KUY44" s="9"/>
      <c r="KUZ44" s="9"/>
      <c r="KVA44" s="9"/>
      <c r="KVB44" s="9"/>
      <c r="KVC44" s="9"/>
      <c r="KVD44" s="9"/>
      <c r="KVE44" s="9"/>
      <c r="KVF44" s="9"/>
      <c r="KVG44" s="9"/>
      <c r="KVH44" s="9"/>
      <c r="KVI44" s="9"/>
      <c r="KVJ44" s="9"/>
      <c r="KVK44" s="9"/>
      <c r="KVL44" s="9"/>
      <c r="KVM44" s="9"/>
      <c r="KVN44" s="9"/>
      <c r="KVO44" s="9"/>
      <c r="KVP44" s="9"/>
      <c r="KVQ44" s="9"/>
      <c r="KVR44" s="9"/>
      <c r="KVS44" s="9"/>
      <c r="KVT44" s="9"/>
      <c r="KVU44" s="9"/>
      <c r="KVV44" s="9"/>
      <c r="KVW44" s="9"/>
      <c r="KVX44" s="9"/>
      <c r="KVY44" s="9"/>
      <c r="KVZ44" s="9"/>
      <c r="KWA44" s="9"/>
      <c r="KWB44" s="9"/>
      <c r="KWC44" s="9"/>
      <c r="KWD44" s="9"/>
      <c r="KWE44" s="9"/>
      <c r="KWF44" s="9"/>
      <c r="KWG44" s="9"/>
      <c r="KWH44" s="9"/>
      <c r="KWI44" s="9"/>
      <c r="KWJ44" s="9"/>
      <c r="KWK44" s="9"/>
      <c r="KWL44" s="9"/>
      <c r="KWM44" s="9"/>
      <c r="KWN44" s="9"/>
      <c r="KWO44" s="9"/>
      <c r="KWP44" s="9"/>
      <c r="KWQ44" s="9"/>
      <c r="KWR44" s="9"/>
      <c r="KWS44" s="9"/>
      <c r="KWT44" s="9"/>
      <c r="KWU44" s="9"/>
      <c r="KWV44" s="9"/>
      <c r="KWW44" s="9"/>
      <c r="KWX44" s="9"/>
      <c r="KWY44" s="9"/>
      <c r="KWZ44" s="9"/>
      <c r="KXA44" s="9"/>
      <c r="KXB44" s="9"/>
      <c r="KXC44" s="9"/>
      <c r="KXD44" s="9"/>
      <c r="KXE44" s="9"/>
      <c r="KXF44" s="9"/>
      <c r="KXG44" s="9"/>
      <c r="KXH44" s="9"/>
      <c r="KXI44" s="9"/>
      <c r="KXJ44" s="9"/>
      <c r="KXK44" s="9"/>
      <c r="KXL44" s="9"/>
      <c r="KXM44" s="9"/>
      <c r="KXN44" s="9"/>
      <c r="KXO44" s="9"/>
      <c r="KXP44" s="9"/>
      <c r="KXQ44" s="9"/>
      <c r="KXR44" s="9"/>
      <c r="KXS44" s="9"/>
      <c r="KXT44" s="9"/>
      <c r="KXU44" s="9"/>
      <c r="KXV44" s="9"/>
      <c r="KXW44" s="9"/>
      <c r="KXX44" s="9"/>
      <c r="KXY44" s="9"/>
      <c r="KXZ44" s="9"/>
      <c r="KYA44" s="9"/>
      <c r="KYB44" s="9"/>
      <c r="KYC44" s="9"/>
      <c r="KYD44" s="9"/>
      <c r="KYE44" s="9"/>
      <c r="KYF44" s="9"/>
      <c r="KYG44" s="9"/>
      <c r="KYH44" s="9"/>
      <c r="KYI44" s="9"/>
      <c r="KYJ44" s="9"/>
      <c r="KYK44" s="9"/>
      <c r="KYL44" s="9"/>
      <c r="KYM44" s="9"/>
      <c r="KYN44" s="9"/>
      <c r="KYO44" s="9"/>
      <c r="KYP44" s="9"/>
      <c r="KYQ44" s="9"/>
      <c r="KYR44" s="9"/>
      <c r="KYS44" s="9"/>
      <c r="KYT44" s="9"/>
      <c r="KYU44" s="9"/>
      <c r="KYV44" s="9"/>
      <c r="KYW44" s="9"/>
      <c r="KYX44" s="9"/>
      <c r="KYY44" s="9"/>
      <c r="KYZ44" s="9"/>
      <c r="KZA44" s="9"/>
      <c r="KZB44" s="9"/>
      <c r="KZC44" s="9"/>
      <c r="KZD44" s="9"/>
      <c r="KZE44" s="9"/>
      <c r="KZF44" s="9"/>
      <c r="KZG44" s="9"/>
      <c r="KZH44" s="9"/>
      <c r="KZI44" s="9"/>
      <c r="KZJ44" s="9"/>
      <c r="KZK44" s="9"/>
      <c r="KZL44" s="9"/>
      <c r="KZM44" s="9"/>
      <c r="KZN44" s="9"/>
      <c r="KZO44" s="9"/>
      <c r="KZP44" s="9"/>
      <c r="KZQ44" s="9"/>
      <c r="KZR44" s="9"/>
      <c r="KZS44" s="9"/>
      <c r="KZT44" s="9"/>
      <c r="KZU44" s="9"/>
      <c r="KZV44" s="9"/>
      <c r="KZW44" s="9"/>
      <c r="KZX44" s="9"/>
      <c r="KZY44" s="9"/>
      <c r="KZZ44" s="9"/>
      <c r="LAA44" s="9"/>
      <c r="LAB44" s="9"/>
      <c r="LAC44" s="9"/>
      <c r="LAD44" s="9"/>
      <c r="LAE44" s="9"/>
      <c r="LAF44" s="9"/>
      <c r="LAG44" s="9"/>
      <c r="LAH44" s="9"/>
      <c r="LAI44" s="9"/>
      <c r="LAJ44" s="9"/>
      <c r="LAK44" s="9"/>
      <c r="LAL44" s="9"/>
      <c r="LAM44" s="9"/>
      <c r="LAN44" s="9"/>
      <c r="LAO44" s="9"/>
      <c r="LAP44" s="9"/>
      <c r="LAQ44" s="9"/>
      <c r="LAR44" s="9"/>
      <c r="LAS44" s="9"/>
      <c r="LAT44" s="9"/>
      <c r="LAU44" s="9"/>
      <c r="LAV44" s="9"/>
      <c r="LAW44" s="9"/>
      <c r="LAX44" s="9"/>
      <c r="LAY44" s="9"/>
      <c r="LAZ44" s="9"/>
      <c r="LBA44" s="9"/>
      <c r="LBB44" s="9"/>
      <c r="LBC44" s="9"/>
      <c r="LBD44" s="9"/>
      <c r="LBE44" s="9"/>
      <c r="LBF44" s="9"/>
      <c r="LBG44" s="9"/>
      <c r="LBH44" s="9"/>
      <c r="LBI44" s="9"/>
      <c r="LBJ44" s="9"/>
      <c r="LBK44" s="9"/>
      <c r="LBL44" s="9"/>
      <c r="LBM44" s="9"/>
      <c r="LBN44" s="9"/>
      <c r="LBO44" s="9"/>
      <c r="LBP44" s="9"/>
      <c r="LBQ44" s="9"/>
      <c r="LBR44" s="9"/>
      <c r="LBS44" s="9"/>
      <c r="LBT44" s="9"/>
      <c r="LBU44" s="9"/>
      <c r="LBV44" s="9"/>
      <c r="LBW44" s="9"/>
      <c r="LBX44" s="9"/>
      <c r="LBY44" s="9"/>
      <c r="LBZ44" s="9"/>
      <c r="LCA44" s="9"/>
      <c r="LCB44" s="9"/>
      <c r="LCC44" s="9"/>
      <c r="LCD44" s="9"/>
      <c r="LCE44" s="9"/>
      <c r="LCF44" s="9"/>
      <c r="LCG44" s="9"/>
      <c r="LCH44" s="9"/>
      <c r="LCI44" s="9"/>
      <c r="LCJ44" s="9"/>
      <c r="LCK44" s="9"/>
      <c r="LCL44" s="9"/>
      <c r="LCM44" s="9"/>
      <c r="LCN44" s="9"/>
      <c r="LCO44" s="9"/>
      <c r="LCP44" s="9"/>
      <c r="LCQ44" s="9"/>
      <c r="LCR44" s="9"/>
      <c r="LCS44" s="9"/>
      <c r="LCT44" s="9"/>
      <c r="LCU44" s="9"/>
      <c r="LCV44" s="9"/>
      <c r="LCW44" s="9"/>
      <c r="LCX44" s="9"/>
      <c r="LCY44" s="9"/>
      <c r="LCZ44" s="9"/>
      <c r="LDA44" s="9"/>
      <c r="LDB44" s="9"/>
      <c r="LDC44" s="9"/>
      <c r="LDD44" s="9"/>
      <c r="LDE44" s="9"/>
      <c r="LDF44" s="9"/>
      <c r="LDG44" s="9"/>
      <c r="LDH44" s="9"/>
      <c r="LDI44" s="9"/>
      <c r="LDJ44" s="9"/>
      <c r="LDK44" s="9"/>
      <c r="LDL44" s="9"/>
      <c r="LDM44" s="9"/>
      <c r="LDN44" s="9"/>
      <c r="LDO44" s="9"/>
      <c r="LDP44" s="9"/>
      <c r="LDQ44" s="9"/>
      <c r="LDR44" s="9"/>
      <c r="LDS44" s="9"/>
      <c r="LDT44" s="9"/>
      <c r="LDU44" s="9"/>
      <c r="LDV44" s="9"/>
      <c r="LDW44" s="9"/>
      <c r="LDX44" s="9"/>
      <c r="LDY44" s="9"/>
      <c r="LDZ44" s="9"/>
      <c r="LEA44" s="9"/>
      <c r="LEB44" s="9"/>
      <c r="LEC44" s="9"/>
      <c r="LED44" s="9"/>
      <c r="LEE44" s="9"/>
      <c r="LEF44" s="9"/>
      <c r="LEG44" s="9"/>
      <c r="LEH44" s="9"/>
      <c r="LEI44" s="9"/>
      <c r="LEJ44" s="9"/>
      <c r="LEK44" s="9"/>
      <c r="LEL44" s="9"/>
      <c r="LEM44" s="9"/>
      <c r="LEN44" s="9"/>
      <c r="LEO44" s="9"/>
      <c r="LEP44" s="9"/>
      <c r="LEQ44" s="9"/>
      <c r="LER44" s="9"/>
      <c r="LES44" s="9"/>
      <c r="LET44" s="9"/>
      <c r="LEU44" s="9"/>
      <c r="LEV44" s="9"/>
      <c r="LEW44" s="9"/>
      <c r="LEX44" s="9"/>
      <c r="LEY44" s="9"/>
      <c r="LEZ44" s="9"/>
      <c r="LFA44" s="9"/>
      <c r="LFB44" s="9"/>
      <c r="LFC44" s="9"/>
      <c r="LFD44" s="9"/>
      <c r="LFE44" s="9"/>
      <c r="LFF44" s="9"/>
      <c r="LFG44" s="9"/>
      <c r="LFH44" s="9"/>
      <c r="LFI44" s="9"/>
      <c r="LFJ44" s="9"/>
      <c r="LFK44" s="9"/>
      <c r="LFL44" s="9"/>
      <c r="LFM44" s="9"/>
      <c r="LFN44" s="9"/>
      <c r="LFO44" s="9"/>
      <c r="LFP44" s="9"/>
      <c r="LFQ44" s="9"/>
      <c r="LFR44" s="9"/>
      <c r="LFS44" s="9"/>
      <c r="LFT44" s="9"/>
      <c r="LFU44" s="9"/>
      <c r="LFV44" s="9"/>
      <c r="LFW44" s="9"/>
      <c r="LFX44" s="9"/>
      <c r="LFY44" s="9"/>
      <c r="LFZ44" s="9"/>
      <c r="LGA44" s="9"/>
      <c r="LGB44" s="9"/>
      <c r="LGC44" s="9"/>
      <c r="LGD44" s="9"/>
      <c r="LGE44" s="9"/>
      <c r="LGF44" s="9"/>
      <c r="LGG44" s="9"/>
      <c r="LGH44" s="9"/>
      <c r="LGI44" s="9"/>
      <c r="LGJ44" s="9"/>
      <c r="LGK44" s="9"/>
      <c r="LGL44" s="9"/>
      <c r="LGM44" s="9"/>
      <c r="LGN44" s="9"/>
      <c r="LGO44" s="9"/>
      <c r="LGP44" s="9"/>
      <c r="LGQ44" s="9"/>
      <c r="LGR44" s="9"/>
      <c r="LGS44" s="9"/>
      <c r="LGT44" s="9"/>
      <c r="LGU44" s="9"/>
      <c r="LGV44" s="9"/>
      <c r="LGW44" s="9"/>
      <c r="LGX44" s="9"/>
      <c r="LGY44" s="9"/>
      <c r="LGZ44" s="9"/>
      <c r="LHA44" s="9"/>
      <c r="LHB44" s="9"/>
      <c r="LHC44" s="9"/>
      <c r="LHD44" s="9"/>
      <c r="LHE44" s="9"/>
      <c r="LHF44" s="9"/>
      <c r="LHG44" s="9"/>
      <c r="LHH44" s="9"/>
      <c r="LHI44" s="9"/>
      <c r="LHJ44" s="9"/>
      <c r="LHK44" s="9"/>
      <c r="LHL44" s="9"/>
      <c r="LHM44" s="9"/>
      <c r="LHN44" s="9"/>
      <c r="LHO44" s="9"/>
      <c r="LHP44" s="9"/>
      <c r="LHQ44" s="9"/>
      <c r="LHR44" s="9"/>
      <c r="LHS44" s="9"/>
      <c r="LHT44" s="9"/>
      <c r="LHU44" s="9"/>
      <c r="LHV44" s="9"/>
      <c r="LHW44" s="9"/>
      <c r="LHX44" s="9"/>
      <c r="LHY44" s="9"/>
      <c r="LHZ44" s="9"/>
      <c r="LIA44" s="9"/>
      <c r="LIB44" s="9"/>
      <c r="LIC44" s="9"/>
      <c r="LID44" s="9"/>
      <c r="LIE44" s="9"/>
      <c r="LIF44" s="9"/>
      <c r="LIG44" s="9"/>
      <c r="LIH44" s="9"/>
      <c r="LII44" s="9"/>
      <c r="LIJ44" s="9"/>
      <c r="LIK44" s="9"/>
      <c r="LIL44" s="9"/>
      <c r="LIM44" s="9"/>
      <c r="LIN44" s="9"/>
      <c r="LIO44" s="9"/>
      <c r="LIP44" s="9"/>
      <c r="LIQ44" s="9"/>
      <c r="LIR44" s="9"/>
      <c r="LIS44" s="9"/>
      <c r="LIT44" s="9"/>
      <c r="LIU44" s="9"/>
      <c r="LIV44" s="9"/>
      <c r="LIW44" s="9"/>
      <c r="LIX44" s="9"/>
      <c r="LIY44" s="9"/>
      <c r="LIZ44" s="9"/>
      <c r="LJA44" s="9"/>
      <c r="LJB44" s="9"/>
      <c r="LJC44" s="9"/>
      <c r="LJD44" s="9"/>
      <c r="LJE44" s="9"/>
      <c r="LJF44" s="9"/>
      <c r="LJG44" s="9"/>
      <c r="LJH44" s="9"/>
      <c r="LJI44" s="9"/>
      <c r="LJJ44" s="9"/>
      <c r="LJK44" s="9"/>
      <c r="LJL44" s="9"/>
      <c r="LJM44" s="9"/>
      <c r="LJN44" s="9"/>
      <c r="LJO44" s="9"/>
      <c r="LJP44" s="9"/>
      <c r="LJQ44" s="9"/>
      <c r="LJR44" s="9"/>
      <c r="LJS44" s="9"/>
      <c r="LJT44" s="9"/>
      <c r="LJU44" s="9"/>
      <c r="LJV44" s="9"/>
      <c r="LJW44" s="9"/>
      <c r="LJX44" s="9"/>
      <c r="LJY44" s="9"/>
      <c r="LJZ44" s="9"/>
      <c r="LKA44" s="9"/>
      <c r="LKB44" s="9"/>
      <c r="LKC44" s="9"/>
      <c r="LKD44" s="9"/>
      <c r="LKE44" s="9"/>
      <c r="LKF44" s="9"/>
      <c r="LKG44" s="9"/>
      <c r="LKH44" s="9"/>
      <c r="LKI44" s="9"/>
      <c r="LKJ44" s="9"/>
      <c r="LKK44" s="9"/>
      <c r="LKL44" s="9"/>
      <c r="LKM44" s="9"/>
      <c r="LKN44" s="9"/>
      <c r="LKO44" s="9"/>
      <c r="LKP44" s="9"/>
      <c r="LKQ44" s="9"/>
      <c r="LKR44" s="9"/>
      <c r="LKS44" s="9"/>
      <c r="LKT44" s="9"/>
      <c r="LKU44" s="9"/>
      <c r="LKV44" s="9"/>
      <c r="LKW44" s="9"/>
      <c r="LKX44" s="9"/>
      <c r="LKY44" s="9"/>
      <c r="LKZ44" s="9"/>
      <c r="LLA44" s="9"/>
      <c r="LLB44" s="9"/>
      <c r="LLC44" s="9"/>
      <c r="LLD44" s="9"/>
      <c r="LLE44" s="9"/>
      <c r="LLF44" s="9"/>
      <c r="LLG44" s="9"/>
      <c r="LLH44" s="9"/>
      <c r="LLI44" s="9"/>
      <c r="LLJ44" s="9"/>
      <c r="LLK44" s="9"/>
      <c r="LLL44" s="9"/>
      <c r="LLM44" s="9"/>
      <c r="LLN44" s="9"/>
      <c r="LLO44" s="9"/>
      <c r="LLP44" s="9"/>
      <c r="LLQ44" s="9"/>
      <c r="LLR44" s="9"/>
      <c r="LLS44" s="9"/>
      <c r="LLT44" s="9"/>
      <c r="LLU44" s="9"/>
      <c r="LLV44" s="9"/>
      <c r="LLW44" s="9"/>
      <c r="LLX44" s="9"/>
      <c r="LLY44" s="9"/>
      <c r="LLZ44" s="9"/>
      <c r="LMA44" s="9"/>
      <c r="LMB44" s="9"/>
      <c r="LMC44" s="9"/>
      <c r="LMD44" s="9"/>
      <c r="LME44" s="9"/>
      <c r="LMF44" s="9"/>
      <c r="LMG44" s="9"/>
      <c r="LMH44" s="9"/>
      <c r="LMI44" s="9"/>
      <c r="LMJ44" s="9"/>
      <c r="LMK44" s="9"/>
      <c r="LML44" s="9"/>
      <c r="LMM44" s="9"/>
      <c r="LMN44" s="9"/>
      <c r="LMO44" s="9"/>
      <c r="LMP44" s="9"/>
      <c r="LMQ44" s="9"/>
      <c r="LMR44" s="9"/>
      <c r="LMS44" s="9"/>
      <c r="LMT44" s="9"/>
      <c r="LMU44" s="9"/>
      <c r="LMV44" s="9"/>
      <c r="LMW44" s="9"/>
      <c r="LMX44" s="9"/>
      <c r="LMY44" s="9"/>
      <c r="LMZ44" s="9"/>
      <c r="LNA44" s="9"/>
      <c r="LNB44" s="9"/>
      <c r="LNC44" s="9"/>
      <c r="LND44" s="9"/>
      <c r="LNE44" s="9"/>
      <c r="LNF44" s="9"/>
      <c r="LNG44" s="9"/>
      <c r="LNH44" s="9"/>
      <c r="LNI44" s="9"/>
      <c r="LNJ44" s="9"/>
      <c r="LNK44" s="9"/>
      <c r="LNL44" s="9"/>
      <c r="LNM44" s="9"/>
      <c r="LNN44" s="9"/>
      <c r="LNO44" s="9"/>
      <c r="LNP44" s="9"/>
      <c r="LNQ44" s="9"/>
      <c r="LNR44" s="9"/>
      <c r="LNS44" s="9"/>
      <c r="LNT44" s="9"/>
      <c r="LNU44" s="9"/>
      <c r="LNV44" s="9"/>
      <c r="LNW44" s="9"/>
      <c r="LNX44" s="9"/>
      <c r="LNY44" s="9"/>
      <c r="LNZ44" s="9"/>
      <c r="LOA44" s="9"/>
      <c r="LOB44" s="9"/>
      <c r="LOC44" s="9"/>
      <c r="LOD44" s="9"/>
      <c r="LOE44" s="9"/>
      <c r="LOF44" s="9"/>
      <c r="LOG44" s="9"/>
      <c r="LOH44" s="9"/>
      <c r="LOI44" s="9"/>
      <c r="LOJ44" s="9"/>
      <c r="LOK44" s="9"/>
      <c r="LOL44" s="9"/>
      <c r="LOM44" s="9"/>
      <c r="LON44" s="9"/>
      <c r="LOO44" s="9"/>
      <c r="LOP44" s="9"/>
      <c r="LOQ44" s="9"/>
      <c r="LOR44" s="9"/>
      <c r="LOS44" s="9"/>
      <c r="LOT44" s="9"/>
      <c r="LOU44" s="9"/>
      <c r="LOV44" s="9"/>
      <c r="LOW44" s="9"/>
      <c r="LOX44" s="9"/>
      <c r="LOY44" s="9"/>
      <c r="LOZ44" s="9"/>
      <c r="LPA44" s="9"/>
      <c r="LPB44" s="9"/>
      <c r="LPC44" s="9"/>
      <c r="LPD44" s="9"/>
      <c r="LPE44" s="9"/>
      <c r="LPF44" s="9"/>
      <c r="LPG44" s="9"/>
      <c r="LPH44" s="9"/>
      <c r="LPI44" s="9"/>
      <c r="LPJ44" s="9"/>
      <c r="LPK44" s="9"/>
      <c r="LPL44" s="9"/>
      <c r="LPM44" s="9"/>
      <c r="LPN44" s="9"/>
      <c r="LPO44" s="9"/>
      <c r="LPP44" s="9"/>
      <c r="LPQ44" s="9"/>
      <c r="LPR44" s="9"/>
      <c r="LPS44" s="9"/>
      <c r="LPT44" s="9"/>
      <c r="LPU44" s="9"/>
      <c r="LPV44" s="9"/>
      <c r="LPW44" s="9"/>
      <c r="LPX44" s="9"/>
      <c r="LPY44" s="9"/>
      <c r="LPZ44" s="9"/>
      <c r="LQA44" s="9"/>
      <c r="LQB44" s="9"/>
      <c r="LQC44" s="9"/>
      <c r="LQD44" s="9"/>
      <c r="LQE44" s="9"/>
      <c r="LQF44" s="9"/>
      <c r="LQG44" s="9"/>
      <c r="LQH44" s="9"/>
      <c r="LQI44" s="9"/>
      <c r="LQJ44" s="9"/>
      <c r="LQK44" s="9"/>
      <c r="LQL44" s="9"/>
      <c r="LQM44" s="9"/>
      <c r="LQN44" s="9"/>
      <c r="LQO44" s="9"/>
      <c r="LQP44" s="9"/>
      <c r="LQQ44" s="9"/>
      <c r="LQR44" s="9"/>
      <c r="LQS44" s="9"/>
      <c r="LQT44" s="9"/>
      <c r="LQU44" s="9"/>
      <c r="LQV44" s="9"/>
      <c r="LQW44" s="9"/>
      <c r="LQX44" s="9"/>
      <c r="LQY44" s="9"/>
      <c r="LQZ44" s="9"/>
      <c r="LRA44" s="9"/>
      <c r="LRB44" s="9"/>
      <c r="LRC44" s="9"/>
      <c r="LRD44" s="9"/>
      <c r="LRE44" s="9"/>
      <c r="LRF44" s="9"/>
      <c r="LRG44" s="9"/>
      <c r="LRH44" s="9"/>
      <c r="LRI44" s="9"/>
      <c r="LRJ44" s="9"/>
      <c r="LRK44" s="9"/>
      <c r="LRL44" s="9"/>
      <c r="LRM44" s="9"/>
      <c r="LRN44" s="9"/>
      <c r="LRO44" s="9"/>
      <c r="LRP44" s="9"/>
      <c r="LRQ44" s="9"/>
      <c r="LRR44" s="9"/>
      <c r="LRS44" s="9"/>
      <c r="LRT44" s="9"/>
      <c r="LRU44" s="9"/>
      <c r="LRV44" s="9"/>
      <c r="LRW44" s="9"/>
      <c r="LRX44" s="9"/>
      <c r="LRY44" s="9"/>
      <c r="LRZ44" s="9"/>
      <c r="LSA44" s="9"/>
      <c r="LSB44" s="9"/>
      <c r="LSC44" s="9"/>
      <c r="LSD44" s="9"/>
      <c r="LSE44" s="9"/>
      <c r="LSF44" s="9"/>
      <c r="LSG44" s="9"/>
      <c r="LSH44" s="9"/>
      <c r="LSI44" s="9"/>
      <c r="LSJ44" s="9"/>
      <c r="LSK44" s="9"/>
      <c r="LSL44" s="9"/>
      <c r="LSM44" s="9"/>
      <c r="LSN44" s="9"/>
      <c r="LSO44" s="9"/>
      <c r="LSP44" s="9"/>
      <c r="LSQ44" s="9"/>
      <c r="LSR44" s="9"/>
      <c r="LSS44" s="9"/>
      <c r="LST44" s="9"/>
      <c r="LSU44" s="9"/>
      <c r="LSV44" s="9"/>
      <c r="LSW44" s="9"/>
      <c r="LSX44" s="9"/>
      <c r="LSY44" s="9"/>
      <c r="LSZ44" s="9"/>
      <c r="LTA44" s="9"/>
      <c r="LTB44" s="9"/>
      <c r="LTC44" s="9"/>
      <c r="LTD44" s="9"/>
      <c r="LTE44" s="9"/>
      <c r="LTF44" s="9"/>
      <c r="LTG44" s="9"/>
      <c r="LTH44" s="9"/>
      <c r="LTI44" s="9"/>
      <c r="LTJ44" s="9"/>
      <c r="LTK44" s="9"/>
      <c r="LTL44" s="9"/>
      <c r="LTM44" s="9"/>
      <c r="LTN44" s="9"/>
      <c r="LTO44" s="9"/>
      <c r="LTP44" s="9"/>
      <c r="LTQ44" s="9"/>
      <c r="LTR44" s="9"/>
      <c r="LTS44" s="9"/>
      <c r="LTT44" s="9"/>
      <c r="LTU44" s="9"/>
      <c r="LTV44" s="9"/>
      <c r="LTW44" s="9"/>
      <c r="LTX44" s="9"/>
      <c r="LTY44" s="9"/>
      <c r="LTZ44" s="9"/>
      <c r="LUA44" s="9"/>
      <c r="LUB44" s="9"/>
      <c r="LUC44" s="9"/>
      <c r="LUD44" s="9"/>
      <c r="LUE44" s="9"/>
      <c r="LUF44" s="9"/>
      <c r="LUG44" s="9"/>
      <c r="LUH44" s="9"/>
      <c r="LUI44" s="9"/>
      <c r="LUJ44" s="9"/>
      <c r="LUK44" s="9"/>
      <c r="LUL44" s="9"/>
      <c r="LUM44" s="9"/>
      <c r="LUN44" s="9"/>
      <c r="LUO44" s="9"/>
      <c r="LUP44" s="9"/>
      <c r="LUQ44" s="9"/>
      <c r="LUR44" s="9"/>
      <c r="LUS44" s="9"/>
      <c r="LUT44" s="9"/>
      <c r="LUU44" s="9"/>
      <c r="LUV44" s="9"/>
      <c r="LUW44" s="9"/>
      <c r="LUX44" s="9"/>
      <c r="LUY44" s="9"/>
      <c r="LUZ44" s="9"/>
      <c r="LVA44" s="9"/>
      <c r="LVB44" s="9"/>
      <c r="LVC44" s="9"/>
      <c r="LVD44" s="9"/>
      <c r="LVE44" s="9"/>
      <c r="LVF44" s="9"/>
      <c r="LVG44" s="9"/>
      <c r="LVH44" s="9"/>
      <c r="LVI44" s="9"/>
      <c r="LVJ44" s="9"/>
      <c r="LVK44" s="9"/>
      <c r="LVL44" s="9"/>
      <c r="LVM44" s="9"/>
      <c r="LVN44" s="9"/>
      <c r="LVO44" s="9"/>
      <c r="LVP44" s="9"/>
      <c r="LVQ44" s="9"/>
      <c r="LVR44" s="9"/>
      <c r="LVS44" s="9"/>
      <c r="LVT44" s="9"/>
      <c r="LVU44" s="9"/>
      <c r="LVV44" s="9"/>
      <c r="LVW44" s="9"/>
      <c r="LVX44" s="9"/>
      <c r="LVY44" s="9"/>
      <c r="LVZ44" s="9"/>
      <c r="LWA44" s="9"/>
      <c r="LWB44" s="9"/>
      <c r="LWC44" s="9"/>
      <c r="LWD44" s="9"/>
      <c r="LWE44" s="9"/>
      <c r="LWF44" s="9"/>
      <c r="LWG44" s="9"/>
      <c r="LWH44" s="9"/>
      <c r="LWI44" s="9"/>
      <c r="LWJ44" s="9"/>
      <c r="LWK44" s="9"/>
      <c r="LWL44" s="9"/>
      <c r="LWM44" s="9"/>
      <c r="LWN44" s="9"/>
      <c r="LWO44" s="9"/>
      <c r="LWP44" s="9"/>
      <c r="LWQ44" s="9"/>
      <c r="LWR44" s="9"/>
      <c r="LWS44" s="9"/>
      <c r="LWT44" s="9"/>
      <c r="LWU44" s="9"/>
      <c r="LWV44" s="9"/>
      <c r="LWW44" s="9"/>
      <c r="LWX44" s="9"/>
      <c r="LWY44" s="9"/>
      <c r="LWZ44" s="9"/>
      <c r="LXA44" s="9"/>
      <c r="LXB44" s="9"/>
      <c r="LXC44" s="9"/>
      <c r="LXD44" s="9"/>
      <c r="LXE44" s="9"/>
      <c r="LXF44" s="9"/>
      <c r="LXG44" s="9"/>
      <c r="LXH44" s="9"/>
      <c r="LXI44" s="9"/>
      <c r="LXJ44" s="9"/>
      <c r="LXK44" s="9"/>
      <c r="LXL44" s="9"/>
      <c r="LXM44" s="9"/>
      <c r="LXN44" s="9"/>
      <c r="LXO44" s="9"/>
      <c r="LXP44" s="9"/>
      <c r="LXQ44" s="9"/>
      <c r="LXR44" s="9"/>
      <c r="LXS44" s="9"/>
      <c r="LXT44" s="9"/>
      <c r="LXU44" s="9"/>
      <c r="LXV44" s="9"/>
      <c r="LXW44" s="9"/>
      <c r="LXX44" s="9"/>
      <c r="LXY44" s="9"/>
      <c r="LXZ44" s="9"/>
      <c r="LYA44" s="9"/>
      <c r="LYB44" s="9"/>
      <c r="LYC44" s="9"/>
      <c r="LYD44" s="9"/>
      <c r="LYE44" s="9"/>
      <c r="LYF44" s="9"/>
      <c r="LYG44" s="9"/>
      <c r="LYH44" s="9"/>
      <c r="LYI44" s="9"/>
      <c r="LYJ44" s="9"/>
      <c r="LYK44" s="9"/>
      <c r="LYL44" s="9"/>
      <c r="LYM44" s="9"/>
      <c r="LYN44" s="9"/>
      <c r="LYO44" s="9"/>
      <c r="LYP44" s="9"/>
      <c r="LYQ44" s="9"/>
      <c r="LYR44" s="9"/>
      <c r="LYS44" s="9"/>
      <c r="LYT44" s="9"/>
      <c r="LYU44" s="9"/>
      <c r="LYV44" s="9"/>
      <c r="LYW44" s="9"/>
      <c r="LYX44" s="9"/>
      <c r="LYY44" s="9"/>
      <c r="LYZ44" s="9"/>
      <c r="LZA44" s="9"/>
      <c r="LZB44" s="9"/>
      <c r="LZC44" s="9"/>
      <c r="LZD44" s="9"/>
      <c r="LZE44" s="9"/>
      <c r="LZF44" s="9"/>
      <c r="LZG44" s="9"/>
      <c r="LZH44" s="9"/>
      <c r="LZI44" s="9"/>
      <c r="LZJ44" s="9"/>
      <c r="LZK44" s="9"/>
      <c r="LZL44" s="9"/>
      <c r="LZM44" s="9"/>
      <c r="LZN44" s="9"/>
      <c r="LZO44" s="9"/>
      <c r="LZP44" s="9"/>
      <c r="LZQ44" s="9"/>
      <c r="LZR44" s="9"/>
      <c r="LZS44" s="9"/>
      <c r="LZT44" s="9"/>
      <c r="LZU44" s="9"/>
      <c r="LZV44" s="9"/>
      <c r="LZW44" s="9"/>
      <c r="LZX44" s="9"/>
      <c r="LZY44" s="9"/>
      <c r="LZZ44" s="9"/>
      <c r="MAA44" s="9"/>
      <c r="MAB44" s="9"/>
      <c r="MAC44" s="9"/>
      <c r="MAD44" s="9"/>
      <c r="MAE44" s="9"/>
      <c r="MAF44" s="9"/>
      <c r="MAG44" s="9"/>
      <c r="MAH44" s="9"/>
      <c r="MAI44" s="9"/>
      <c r="MAJ44" s="9"/>
      <c r="MAK44" s="9"/>
      <c r="MAL44" s="9"/>
      <c r="MAM44" s="9"/>
      <c r="MAN44" s="9"/>
      <c r="MAO44" s="9"/>
      <c r="MAP44" s="9"/>
      <c r="MAQ44" s="9"/>
      <c r="MAR44" s="9"/>
      <c r="MAS44" s="9"/>
      <c r="MAT44" s="9"/>
      <c r="MAU44" s="9"/>
      <c r="MAV44" s="9"/>
      <c r="MAW44" s="9"/>
      <c r="MAX44" s="9"/>
      <c r="MAY44" s="9"/>
      <c r="MAZ44" s="9"/>
      <c r="MBA44" s="9"/>
      <c r="MBB44" s="9"/>
      <c r="MBC44" s="9"/>
      <c r="MBD44" s="9"/>
      <c r="MBE44" s="9"/>
      <c r="MBF44" s="9"/>
      <c r="MBG44" s="9"/>
      <c r="MBH44" s="9"/>
      <c r="MBI44" s="9"/>
      <c r="MBJ44" s="9"/>
      <c r="MBK44" s="9"/>
      <c r="MBL44" s="9"/>
      <c r="MBM44" s="9"/>
      <c r="MBN44" s="9"/>
      <c r="MBO44" s="9"/>
      <c r="MBP44" s="9"/>
      <c r="MBQ44" s="9"/>
      <c r="MBR44" s="9"/>
      <c r="MBS44" s="9"/>
      <c r="MBT44" s="9"/>
      <c r="MBU44" s="9"/>
      <c r="MBV44" s="9"/>
      <c r="MBW44" s="9"/>
      <c r="MBX44" s="9"/>
      <c r="MBY44" s="9"/>
      <c r="MBZ44" s="9"/>
      <c r="MCA44" s="9"/>
      <c r="MCB44" s="9"/>
      <c r="MCC44" s="9"/>
      <c r="MCD44" s="9"/>
      <c r="MCE44" s="9"/>
      <c r="MCF44" s="9"/>
      <c r="MCG44" s="9"/>
      <c r="MCH44" s="9"/>
      <c r="MCI44" s="9"/>
      <c r="MCJ44" s="9"/>
      <c r="MCK44" s="9"/>
      <c r="MCL44" s="9"/>
      <c r="MCM44" s="9"/>
      <c r="MCN44" s="9"/>
      <c r="MCO44" s="9"/>
      <c r="MCP44" s="9"/>
      <c r="MCQ44" s="9"/>
      <c r="MCR44" s="9"/>
      <c r="MCS44" s="9"/>
      <c r="MCT44" s="9"/>
      <c r="MCU44" s="9"/>
      <c r="MCV44" s="9"/>
      <c r="MCW44" s="9"/>
      <c r="MCX44" s="9"/>
      <c r="MCY44" s="9"/>
      <c r="MCZ44" s="9"/>
      <c r="MDA44" s="9"/>
      <c r="MDB44" s="9"/>
      <c r="MDC44" s="9"/>
      <c r="MDD44" s="9"/>
      <c r="MDE44" s="9"/>
      <c r="MDF44" s="9"/>
      <c r="MDG44" s="9"/>
      <c r="MDH44" s="9"/>
      <c r="MDI44" s="9"/>
      <c r="MDJ44" s="9"/>
      <c r="MDK44" s="9"/>
      <c r="MDL44" s="9"/>
      <c r="MDM44" s="9"/>
      <c r="MDN44" s="9"/>
      <c r="MDO44" s="9"/>
      <c r="MDP44" s="9"/>
      <c r="MDQ44" s="9"/>
      <c r="MDR44" s="9"/>
      <c r="MDS44" s="9"/>
      <c r="MDT44" s="9"/>
      <c r="MDU44" s="9"/>
      <c r="MDV44" s="9"/>
      <c r="MDW44" s="9"/>
      <c r="MDX44" s="9"/>
      <c r="MDY44" s="9"/>
      <c r="MDZ44" s="9"/>
      <c r="MEA44" s="9"/>
      <c r="MEB44" s="9"/>
      <c r="MEC44" s="9"/>
      <c r="MED44" s="9"/>
      <c r="MEE44" s="9"/>
      <c r="MEF44" s="9"/>
      <c r="MEG44" s="9"/>
      <c r="MEH44" s="9"/>
      <c r="MEI44" s="9"/>
      <c r="MEJ44" s="9"/>
      <c r="MEK44" s="9"/>
      <c r="MEL44" s="9"/>
      <c r="MEM44" s="9"/>
      <c r="MEN44" s="9"/>
      <c r="MEO44" s="9"/>
      <c r="MEP44" s="9"/>
      <c r="MEQ44" s="9"/>
      <c r="MER44" s="9"/>
      <c r="MES44" s="9"/>
      <c r="MET44" s="9"/>
      <c r="MEU44" s="9"/>
      <c r="MEV44" s="9"/>
      <c r="MEW44" s="9"/>
      <c r="MEX44" s="9"/>
      <c r="MEY44" s="9"/>
      <c r="MEZ44" s="9"/>
      <c r="MFA44" s="9"/>
      <c r="MFB44" s="9"/>
      <c r="MFC44" s="9"/>
      <c r="MFD44" s="9"/>
      <c r="MFE44" s="9"/>
      <c r="MFF44" s="9"/>
      <c r="MFG44" s="9"/>
      <c r="MFH44" s="9"/>
      <c r="MFI44" s="9"/>
      <c r="MFJ44" s="9"/>
      <c r="MFK44" s="9"/>
      <c r="MFL44" s="9"/>
      <c r="MFM44" s="9"/>
      <c r="MFN44" s="9"/>
      <c r="MFO44" s="9"/>
      <c r="MFP44" s="9"/>
      <c r="MFQ44" s="9"/>
      <c r="MFR44" s="9"/>
      <c r="MFS44" s="9"/>
      <c r="MFT44" s="9"/>
      <c r="MFU44" s="9"/>
      <c r="MFV44" s="9"/>
      <c r="MFW44" s="9"/>
      <c r="MFX44" s="9"/>
      <c r="MFY44" s="9"/>
      <c r="MFZ44" s="9"/>
      <c r="MGA44" s="9"/>
      <c r="MGB44" s="9"/>
      <c r="MGC44" s="9"/>
      <c r="MGD44" s="9"/>
      <c r="MGE44" s="9"/>
      <c r="MGF44" s="9"/>
      <c r="MGG44" s="9"/>
      <c r="MGH44" s="9"/>
      <c r="MGI44" s="9"/>
      <c r="MGJ44" s="9"/>
      <c r="MGK44" s="9"/>
      <c r="MGL44" s="9"/>
      <c r="MGM44" s="9"/>
      <c r="MGN44" s="9"/>
      <c r="MGO44" s="9"/>
      <c r="MGP44" s="9"/>
      <c r="MGQ44" s="9"/>
      <c r="MGR44" s="9"/>
      <c r="MGS44" s="9"/>
      <c r="MGT44" s="9"/>
      <c r="MGU44" s="9"/>
      <c r="MGV44" s="9"/>
      <c r="MGW44" s="9"/>
      <c r="MGX44" s="9"/>
      <c r="MGY44" s="9"/>
      <c r="MGZ44" s="9"/>
      <c r="MHA44" s="9"/>
      <c r="MHB44" s="9"/>
      <c r="MHC44" s="9"/>
      <c r="MHD44" s="9"/>
      <c r="MHE44" s="9"/>
      <c r="MHF44" s="9"/>
      <c r="MHG44" s="9"/>
      <c r="MHH44" s="9"/>
      <c r="MHI44" s="9"/>
      <c r="MHJ44" s="9"/>
      <c r="MHK44" s="9"/>
      <c r="MHL44" s="9"/>
      <c r="MHM44" s="9"/>
      <c r="MHN44" s="9"/>
      <c r="MHO44" s="9"/>
      <c r="MHP44" s="9"/>
      <c r="MHQ44" s="9"/>
      <c r="MHR44" s="9"/>
      <c r="MHS44" s="9"/>
      <c r="MHT44" s="9"/>
      <c r="MHU44" s="9"/>
      <c r="MHV44" s="9"/>
      <c r="MHW44" s="9"/>
      <c r="MHX44" s="9"/>
      <c r="MHY44" s="9"/>
      <c r="MHZ44" s="9"/>
      <c r="MIA44" s="9"/>
      <c r="MIB44" s="9"/>
      <c r="MIC44" s="9"/>
      <c r="MID44" s="9"/>
      <c r="MIE44" s="9"/>
      <c r="MIF44" s="9"/>
      <c r="MIG44" s="9"/>
      <c r="MIH44" s="9"/>
      <c r="MII44" s="9"/>
      <c r="MIJ44" s="9"/>
      <c r="MIK44" s="9"/>
      <c r="MIL44" s="9"/>
      <c r="MIM44" s="9"/>
      <c r="MIN44" s="9"/>
      <c r="MIO44" s="9"/>
      <c r="MIP44" s="9"/>
      <c r="MIQ44" s="9"/>
      <c r="MIR44" s="9"/>
      <c r="MIS44" s="9"/>
      <c r="MIT44" s="9"/>
      <c r="MIU44" s="9"/>
      <c r="MIV44" s="9"/>
      <c r="MIW44" s="9"/>
      <c r="MIX44" s="9"/>
      <c r="MIY44" s="9"/>
      <c r="MIZ44" s="9"/>
      <c r="MJA44" s="9"/>
      <c r="MJB44" s="9"/>
      <c r="MJC44" s="9"/>
      <c r="MJD44" s="9"/>
      <c r="MJE44" s="9"/>
      <c r="MJF44" s="9"/>
      <c r="MJG44" s="9"/>
      <c r="MJH44" s="9"/>
      <c r="MJI44" s="9"/>
      <c r="MJJ44" s="9"/>
      <c r="MJK44" s="9"/>
      <c r="MJL44" s="9"/>
      <c r="MJM44" s="9"/>
      <c r="MJN44" s="9"/>
      <c r="MJO44" s="9"/>
      <c r="MJP44" s="9"/>
      <c r="MJQ44" s="9"/>
      <c r="MJR44" s="9"/>
      <c r="MJS44" s="9"/>
      <c r="MJT44" s="9"/>
      <c r="MJU44" s="9"/>
      <c r="MJV44" s="9"/>
      <c r="MJW44" s="9"/>
      <c r="MJX44" s="9"/>
      <c r="MJY44" s="9"/>
      <c r="MJZ44" s="9"/>
      <c r="MKA44" s="9"/>
      <c r="MKB44" s="9"/>
      <c r="MKC44" s="9"/>
      <c r="MKD44" s="9"/>
      <c r="MKE44" s="9"/>
      <c r="MKF44" s="9"/>
      <c r="MKG44" s="9"/>
      <c r="MKH44" s="9"/>
      <c r="MKI44" s="9"/>
      <c r="MKJ44" s="9"/>
      <c r="MKK44" s="9"/>
      <c r="MKL44" s="9"/>
      <c r="MKM44" s="9"/>
      <c r="MKN44" s="9"/>
      <c r="MKO44" s="9"/>
      <c r="MKP44" s="9"/>
      <c r="MKQ44" s="9"/>
      <c r="MKR44" s="9"/>
      <c r="MKS44" s="9"/>
      <c r="MKT44" s="9"/>
      <c r="MKU44" s="9"/>
      <c r="MKV44" s="9"/>
      <c r="MKW44" s="9"/>
      <c r="MKX44" s="9"/>
      <c r="MKY44" s="9"/>
      <c r="MKZ44" s="9"/>
      <c r="MLA44" s="9"/>
      <c r="MLB44" s="9"/>
      <c r="MLC44" s="9"/>
      <c r="MLD44" s="9"/>
      <c r="MLE44" s="9"/>
      <c r="MLF44" s="9"/>
      <c r="MLG44" s="9"/>
      <c r="MLH44" s="9"/>
      <c r="MLI44" s="9"/>
      <c r="MLJ44" s="9"/>
      <c r="MLK44" s="9"/>
      <c r="MLL44" s="9"/>
      <c r="MLM44" s="9"/>
      <c r="MLN44" s="9"/>
      <c r="MLO44" s="9"/>
      <c r="MLP44" s="9"/>
      <c r="MLQ44" s="9"/>
      <c r="MLR44" s="9"/>
      <c r="MLS44" s="9"/>
      <c r="MLT44" s="9"/>
      <c r="MLU44" s="9"/>
      <c r="MLV44" s="9"/>
      <c r="MLW44" s="9"/>
      <c r="MLX44" s="9"/>
      <c r="MLY44" s="9"/>
      <c r="MLZ44" s="9"/>
      <c r="MMA44" s="9"/>
      <c r="MMB44" s="9"/>
      <c r="MMC44" s="9"/>
      <c r="MMD44" s="9"/>
      <c r="MME44" s="9"/>
      <c r="MMF44" s="9"/>
      <c r="MMG44" s="9"/>
      <c r="MMH44" s="9"/>
      <c r="MMI44" s="9"/>
      <c r="MMJ44" s="9"/>
      <c r="MMK44" s="9"/>
      <c r="MML44" s="9"/>
      <c r="MMM44" s="9"/>
      <c r="MMN44" s="9"/>
      <c r="MMO44" s="9"/>
      <c r="MMP44" s="9"/>
      <c r="MMQ44" s="9"/>
      <c r="MMR44" s="9"/>
      <c r="MMS44" s="9"/>
      <c r="MMT44" s="9"/>
      <c r="MMU44" s="9"/>
      <c r="MMV44" s="9"/>
      <c r="MMW44" s="9"/>
      <c r="MMX44" s="9"/>
      <c r="MMY44" s="9"/>
      <c r="MMZ44" s="9"/>
      <c r="MNA44" s="9"/>
      <c r="MNB44" s="9"/>
      <c r="MNC44" s="9"/>
      <c r="MND44" s="9"/>
      <c r="MNE44" s="9"/>
      <c r="MNF44" s="9"/>
      <c r="MNG44" s="9"/>
      <c r="MNH44" s="9"/>
      <c r="MNI44" s="9"/>
      <c r="MNJ44" s="9"/>
      <c r="MNK44" s="9"/>
      <c r="MNL44" s="9"/>
      <c r="MNM44" s="9"/>
      <c r="MNN44" s="9"/>
      <c r="MNO44" s="9"/>
      <c r="MNP44" s="9"/>
      <c r="MNQ44" s="9"/>
      <c r="MNR44" s="9"/>
      <c r="MNS44" s="9"/>
      <c r="MNT44" s="9"/>
      <c r="MNU44" s="9"/>
      <c r="MNV44" s="9"/>
      <c r="MNW44" s="9"/>
      <c r="MNX44" s="9"/>
      <c r="MNY44" s="9"/>
      <c r="MNZ44" s="9"/>
      <c r="MOA44" s="9"/>
      <c r="MOB44" s="9"/>
      <c r="MOC44" s="9"/>
      <c r="MOD44" s="9"/>
      <c r="MOE44" s="9"/>
      <c r="MOF44" s="9"/>
      <c r="MOG44" s="9"/>
      <c r="MOH44" s="9"/>
      <c r="MOI44" s="9"/>
      <c r="MOJ44" s="9"/>
      <c r="MOK44" s="9"/>
      <c r="MOL44" s="9"/>
      <c r="MOM44" s="9"/>
      <c r="MON44" s="9"/>
      <c r="MOO44" s="9"/>
      <c r="MOP44" s="9"/>
      <c r="MOQ44" s="9"/>
      <c r="MOR44" s="9"/>
      <c r="MOS44" s="9"/>
      <c r="MOT44" s="9"/>
      <c r="MOU44" s="9"/>
      <c r="MOV44" s="9"/>
      <c r="MOW44" s="9"/>
      <c r="MOX44" s="9"/>
      <c r="MOY44" s="9"/>
      <c r="MOZ44" s="9"/>
      <c r="MPA44" s="9"/>
      <c r="MPB44" s="9"/>
      <c r="MPC44" s="9"/>
      <c r="MPD44" s="9"/>
      <c r="MPE44" s="9"/>
      <c r="MPF44" s="9"/>
      <c r="MPG44" s="9"/>
      <c r="MPH44" s="9"/>
      <c r="MPI44" s="9"/>
      <c r="MPJ44" s="9"/>
      <c r="MPK44" s="9"/>
      <c r="MPL44" s="9"/>
      <c r="MPM44" s="9"/>
      <c r="MPN44" s="9"/>
      <c r="MPO44" s="9"/>
      <c r="MPP44" s="9"/>
      <c r="MPQ44" s="9"/>
      <c r="MPR44" s="9"/>
      <c r="MPS44" s="9"/>
      <c r="MPT44" s="9"/>
      <c r="MPU44" s="9"/>
      <c r="MPV44" s="9"/>
      <c r="MPW44" s="9"/>
      <c r="MPX44" s="9"/>
      <c r="MPY44" s="9"/>
      <c r="MPZ44" s="9"/>
      <c r="MQA44" s="9"/>
      <c r="MQB44" s="9"/>
      <c r="MQC44" s="9"/>
      <c r="MQD44" s="9"/>
      <c r="MQE44" s="9"/>
      <c r="MQF44" s="9"/>
      <c r="MQG44" s="9"/>
      <c r="MQH44" s="9"/>
      <c r="MQI44" s="9"/>
      <c r="MQJ44" s="9"/>
      <c r="MQK44" s="9"/>
      <c r="MQL44" s="9"/>
      <c r="MQM44" s="9"/>
      <c r="MQN44" s="9"/>
      <c r="MQO44" s="9"/>
      <c r="MQP44" s="9"/>
      <c r="MQQ44" s="9"/>
      <c r="MQR44" s="9"/>
      <c r="MQS44" s="9"/>
      <c r="MQT44" s="9"/>
      <c r="MQU44" s="9"/>
      <c r="MQV44" s="9"/>
      <c r="MQW44" s="9"/>
      <c r="MQX44" s="9"/>
      <c r="MQY44" s="9"/>
      <c r="MQZ44" s="9"/>
      <c r="MRA44" s="9"/>
      <c r="MRB44" s="9"/>
      <c r="MRC44" s="9"/>
      <c r="MRD44" s="9"/>
      <c r="MRE44" s="9"/>
      <c r="MRF44" s="9"/>
      <c r="MRG44" s="9"/>
      <c r="MRH44" s="9"/>
      <c r="MRI44" s="9"/>
      <c r="MRJ44" s="9"/>
      <c r="MRK44" s="9"/>
      <c r="MRL44" s="9"/>
      <c r="MRM44" s="9"/>
      <c r="MRN44" s="9"/>
      <c r="MRO44" s="9"/>
      <c r="MRP44" s="9"/>
      <c r="MRQ44" s="9"/>
      <c r="MRR44" s="9"/>
      <c r="MRS44" s="9"/>
      <c r="MRT44" s="9"/>
      <c r="MRU44" s="9"/>
      <c r="MRV44" s="9"/>
      <c r="MRW44" s="9"/>
      <c r="MRX44" s="9"/>
      <c r="MRY44" s="9"/>
      <c r="MRZ44" s="9"/>
      <c r="MSA44" s="9"/>
      <c r="MSB44" s="9"/>
      <c r="MSC44" s="9"/>
      <c r="MSD44" s="9"/>
      <c r="MSE44" s="9"/>
      <c r="MSF44" s="9"/>
      <c r="MSG44" s="9"/>
      <c r="MSH44" s="9"/>
      <c r="MSI44" s="9"/>
      <c r="MSJ44" s="9"/>
      <c r="MSK44" s="9"/>
      <c r="MSL44" s="9"/>
      <c r="MSM44" s="9"/>
      <c r="MSN44" s="9"/>
      <c r="MSO44" s="9"/>
      <c r="MSP44" s="9"/>
      <c r="MSQ44" s="9"/>
      <c r="MSR44" s="9"/>
      <c r="MSS44" s="9"/>
      <c r="MST44" s="9"/>
      <c r="MSU44" s="9"/>
      <c r="MSV44" s="9"/>
      <c r="MSW44" s="9"/>
      <c r="MSX44" s="9"/>
      <c r="MSY44" s="9"/>
      <c r="MSZ44" s="9"/>
      <c r="MTA44" s="9"/>
      <c r="MTB44" s="9"/>
      <c r="MTC44" s="9"/>
      <c r="MTD44" s="9"/>
      <c r="MTE44" s="9"/>
      <c r="MTF44" s="9"/>
      <c r="MTG44" s="9"/>
      <c r="MTH44" s="9"/>
      <c r="MTI44" s="9"/>
      <c r="MTJ44" s="9"/>
      <c r="MTK44" s="9"/>
      <c r="MTL44" s="9"/>
      <c r="MTM44" s="9"/>
      <c r="MTN44" s="9"/>
      <c r="MTO44" s="9"/>
      <c r="MTP44" s="9"/>
      <c r="MTQ44" s="9"/>
      <c r="MTR44" s="9"/>
      <c r="MTS44" s="9"/>
      <c r="MTT44" s="9"/>
      <c r="MTU44" s="9"/>
      <c r="MTV44" s="9"/>
      <c r="MTW44" s="9"/>
      <c r="MTX44" s="9"/>
      <c r="MTY44" s="9"/>
      <c r="MTZ44" s="9"/>
      <c r="MUA44" s="9"/>
      <c r="MUB44" s="9"/>
      <c r="MUC44" s="9"/>
      <c r="MUD44" s="9"/>
      <c r="MUE44" s="9"/>
      <c r="MUF44" s="9"/>
      <c r="MUG44" s="9"/>
      <c r="MUH44" s="9"/>
      <c r="MUI44" s="9"/>
      <c r="MUJ44" s="9"/>
      <c r="MUK44" s="9"/>
      <c r="MUL44" s="9"/>
      <c r="MUM44" s="9"/>
      <c r="MUN44" s="9"/>
      <c r="MUO44" s="9"/>
      <c r="MUP44" s="9"/>
      <c r="MUQ44" s="9"/>
      <c r="MUR44" s="9"/>
      <c r="MUS44" s="9"/>
      <c r="MUT44" s="9"/>
      <c r="MUU44" s="9"/>
      <c r="MUV44" s="9"/>
      <c r="MUW44" s="9"/>
      <c r="MUX44" s="9"/>
      <c r="MUY44" s="9"/>
      <c r="MUZ44" s="9"/>
      <c r="MVA44" s="9"/>
      <c r="MVB44" s="9"/>
      <c r="MVC44" s="9"/>
      <c r="MVD44" s="9"/>
      <c r="MVE44" s="9"/>
      <c r="MVF44" s="9"/>
      <c r="MVG44" s="9"/>
      <c r="MVH44" s="9"/>
      <c r="MVI44" s="9"/>
      <c r="MVJ44" s="9"/>
      <c r="MVK44" s="9"/>
      <c r="MVL44" s="9"/>
      <c r="MVM44" s="9"/>
      <c r="MVN44" s="9"/>
      <c r="MVO44" s="9"/>
      <c r="MVP44" s="9"/>
      <c r="MVQ44" s="9"/>
      <c r="MVR44" s="9"/>
      <c r="MVS44" s="9"/>
      <c r="MVT44" s="9"/>
      <c r="MVU44" s="9"/>
      <c r="MVV44" s="9"/>
      <c r="MVW44" s="9"/>
      <c r="MVX44" s="9"/>
      <c r="MVY44" s="9"/>
      <c r="MVZ44" s="9"/>
      <c r="MWA44" s="9"/>
      <c r="MWB44" s="9"/>
      <c r="MWC44" s="9"/>
      <c r="MWD44" s="9"/>
      <c r="MWE44" s="9"/>
      <c r="MWF44" s="9"/>
      <c r="MWG44" s="9"/>
      <c r="MWH44" s="9"/>
      <c r="MWI44" s="9"/>
      <c r="MWJ44" s="9"/>
      <c r="MWK44" s="9"/>
      <c r="MWL44" s="9"/>
      <c r="MWM44" s="9"/>
      <c r="MWN44" s="9"/>
      <c r="MWO44" s="9"/>
      <c r="MWP44" s="9"/>
      <c r="MWQ44" s="9"/>
      <c r="MWR44" s="9"/>
      <c r="MWS44" s="9"/>
      <c r="MWT44" s="9"/>
      <c r="MWU44" s="9"/>
      <c r="MWV44" s="9"/>
      <c r="MWW44" s="9"/>
      <c r="MWX44" s="9"/>
      <c r="MWY44" s="9"/>
      <c r="MWZ44" s="9"/>
      <c r="MXA44" s="9"/>
      <c r="MXB44" s="9"/>
      <c r="MXC44" s="9"/>
      <c r="MXD44" s="9"/>
      <c r="MXE44" s="9"/>
      <c r="MXF44" s="9"/>
      <c r="MXG44" s="9"/>
      <c r="MXH44" s="9"/>
      <c r="MXI44" s="9"/>
      <c r="MXJ44" s="9"/>
      <c r="MXK44" s="9"/>
      <c r="MXL44" s="9"/>
      <c r="MXM44" s="9"/>
      <c r="MXN44" s="9"/>
      <c r="MXO44" s="9"/>
      <c r="MXP44" s="9"/>
      <c r="MXQ44" s="9"/>
      <c r="MXR44" s="9"/>
      <c r="MXS44" s="9"/>
      <c r="MXT44" s="9"/>
      <c r="MXU44" s="9"/>
      <c r="MXV44" s="9"/>
      <c r="MXW44" s="9"/>
      <c r="MXX44" s="9"/>
      <c r="MXY44" s="9"/>
      <c r="MXZ44" s="9"/>
      <c r="MYA44" s="9"/>
      <c r="MYB44" s="9"/>
      <c r="MYC44" s="9"/>
      <c r="MYD44" s="9"/>
      <c r="MYE44" s="9"/>
      <c r="MYF44" s="9"/>
      <c r="MYG44" s="9"/>
      <c r="MYH44" s="9"/>
      <c r="MYI44" s="9"/>
      <c r="MYJ44" s="9"/>
      <c r="MYK44" s="9"/>
      <c r="MYL44" s="9"/>
      <c r="MYM44" s="9"/>
      <c r="MYN44" s="9"/>
      <c r="MYO44" s="9"/>
      <c r="MYP44" s="9"/>
      <c r="MYQ44" s="9"/>
      <c r="MYR44" s="9"/>
      <c r="MYS44" s="9"/>
      <c r="MYT44" s="9"/>
      <c r="MYU44" s="9"/>
      <c r="MYV44" s="9"/>
      <c r="MYW44" s="9"/>
      <c r="MYX44" s="9"/>
      <c r="MYY44" s="9"/>
      <c r="MYZ44" s="9"/>
      <c r="MZA44" s="9"/>
      <c r="MZB44" s="9"/>
      <c r="MZC44" s="9"/>
      <c r="MZD44" s="9"/>
      <c r="MZE44" s="9"/>
      <c r="MZF44" s="9"/>
      <c r="MZG44" s="9"/>
      <c r="MZH44" s="9"/>
      <c r="MZI44" s="9"/>
      <c r="MZJ44" s="9"/>
      <c r="MZK44" s="9"/>
      <c r="MZL44" s="9"/>
      <c r="MZM44" s="9"/>
      <c r="MZN44" s="9"/>
      <c r="MZO44" s="9"/>
      <c r="MZP44" s="9"/>
      <c r="MZQ44" s="9"/>
      <c r="MZR44" s="9"/>
      <c r="MZS44" s="9"/>
      <c r="MZT44" s="9"/>
      <c r="MZU44" s="9"/>
      <c r="MZV44" s="9"/>
      <c r="MZW44" s="9"/>
      <c r="MZX44" s="9"/>
      <c r="MZY44" s="9"/>
      <c r="MZZ44" s="9"/>
      <c r="NAA44" s="9"/>
      <c r="NAB44" s="9"/>
      <c r="NAC44" s="9"/>
      <c r="NAD44" s="9"/>
      <c r="NAE44" s="9"/>
      <c r="NAF44" s="9"/>
      <c r="NAG44" s="9"/>
      <c r="NAH44" s="9"/>
      <c r="NAI44" s="9"/>
      <c r="NAJ44" s="9"/>
      <c r="NAK44" s="9"/>
      <c r="NAL44" s="9"/>
      <c r="NAM44" s="9"/>
      <c r="NAN44" s="9"/>
      <c r="NAO44" s="9"/>
      <c r="NAP44" s="9"/>
      <c r="NAQ44" s="9"/>
      <c r="NAR44" s="9"/>
      <c r="NAS44" s="9"/>
      <c r="NAT44" s="9"/>
      <c r="NAU44" s="9"/>
      <c r="NAV44" s="9"/>
      <c r="NAW44" s="9"/>
      <c r="NAX44" s="9"/>
      <c r="NAY44" s="9"/>
      <c r="NAZ44" s="9"/>
      <c r="NBA44" s="9"/>
      <c r="NBB44" s="9"/>
      <c r="NBC44" s="9"/>
      <c r="NBD44" s="9"/>
      <c r="NBE44" s="9"/>
      <c r="NBF44" s="9"/>
      <c r="NBG44" s="9"/>
      <c r="NBH44" s="9"/>
      <c r="NBI44" s="9"/>
      <c r="NBJ44" s="9"/>
      <c r="NBK44" s="9"/>
      <c r="NBL44" s="9"/>
      <c r="NBM44" s="9"/>
      <c r="NBN44" s="9"/>
      <c r="NBO44" s="9"/>
      <c r="NBP44" s="9"/>
      <c r="NBQ44" s="9"/>
      <c r="NBR44" s="9"/>
      <c r="NBS44" s="9"/>
      <c r="NBT44" s="9"/>
      <c r="NBU44" s="9"/>
      <c r="NBV44" s="9"/>
      <c r="NBW44" s="9"/>
      <c r="NBX44" s="9"/>
      <c r="NBY44" s="9"/>
      <c r="NBZ44" s="9"/>
      <c r="NCA44" s="9"/>
      <c r="NCB44" s="9"/>
      <c r="NCC44" s="9"/>
      <c r="NCD44" s="9"/>
      <c r="NCE44" s="9"/>
      <c r="NCF44" s="9"/>
      <c r="NCG44" s="9"/>
      <c r="NCH44" s="9"/>
      <c r="NCI44" s="9"/>
      <c r="NCJ44" s="9"/>
      <c r="NCK44" s="9"/>
      <c r="NCL44" s="9"/>
      <c r="NCM44" s="9"/>
      <c r="NCN44" s="9"/>
      <c r="NCO44" s="9"/>
      <c r="NCP44" s="9"/>
      <c r="NCQ44" s="9"/>
      <c r="NCR44" s="9"/>
      <c r="NCS44" s="9"/>
      <c r="NCT44" s="9"/>
      <c r="NCU44" s="9"/>
      <c r="NCV44" s="9"/>
      <c r="NCW44" s="9"/>
      <c r="NCX44" s="9"/>
      <c r="NCY44" s="9"/>
      <c r="NCZ44" s="9"/>
      <c r="NDA44" s="9"/>
      <c r="NDB44" s="9"/>
      <c r="NDC44" s="9"/>
      <c r="NDD44" s="9"/>
      <c r="NDE44" s="9"/>
      <c r="NDF44" s="9"/>
      <c r="NDG44" s="9"/>
      <c r="NDH44" s="9"/>
      <c r="NDI44" s="9"/>
      <c r="NDJ44" s="9"/>
      <c r="NDK44" s="9"/>
      <c r="NDL44" s="9"/>
      <c r="NDM44" s="9"/>
      <c r="NDN44" s="9"/>
      <c r="NDO44" s="9"/>
      <c r="NDP44" s="9"/>
      <c r="NDQ44" s="9"/>
      <c r="NDR44" s="9"/>
      <c r="NDS44" s="9"/>
      <c r="NDT44" s="9"/>
      <c r="NDU44" s="9"/>
      <c r="NDV44" s="9"/>
      <c r="NDW44" s="9"/>
      <c r="NDX44" s="9"/>
      <c r="NDY44" s="9"/>
      <c r="NDZ44" s="9"/>
      <c r="NEA44" s="9"/>
      <c r="NEB44" s="9"/>
      <c r="NEC44" s="9"/>
      <c r="NED44" s="9"/>
      <c r="NEE44" s="9"/>
      <c r="NEF44" s="9"/>
      <c r="NEG44" s="9"/>
      <c r="NEH44" s="9"/>
      <c r="NEI44" s="9"/>
      <c r="NEJ44" s="9"/>
      <c r="NEK44" s="9"/>
      <c r="NEL44" s="9"/>
      <c r="NEM44" s="9"/>
      <c r="NEN44" s="9"/>
      <c r="NEO44" s="9"/>
      <c r="NEP44" s="9"/>
      <c r="NEQ44" s="9"/>
      <c r="NER44" s="9"/>
      <c r="NES44" s="9"/>
      <c r="NET44" s="9"/>
      <c r="NEU44" s="9"/>
      <c r="NEV44" s="9"/>
      <c r="NEW44" s="9"/>
      <c r="NEX44" s="9"/>
      <c r="NEY44" s="9"/>
      <c r="NEZ44" s="9"/>
      <c r="NFA44" s="9"/>
      <c r="NFB44" s="9"/>
      <c r="NFC44" s="9"/>
      <c r="NFD44" s="9"/>
      <c r="NFE44" s="9"/>
      <c r="NFF44" s="9"/>
      <c r="NFG44" s="9"/>
      <c r="NFH44" s="9"/>
      <c r="NFI44" s="9"/>
      <c r="NFJ44" s="9"/>
      <c r="NFK44" s="9"/>
      <c r="NFL44" s="9"/>
      <c r="NFM44" s="9"/>
      <c r="NFN44" s="9"/>
      <c r="NFO44" s="9"/>
      <c r="NFP44" s="9"/>
      <c r="NFQ44" s="9"/>
      <c r="NFR44" s="9"/>
      <c r="NFS44" s="9"/>
      <c r="NFT44" s="9"/>
      <c r="NFU44" s="9"/>
      <c r="NFV44" s="9"/>
      <c r="NFW44" s="9"/>
      <c r="NFX44" s="9"/>
      <c r="NFY44" s="9"/>
      <c r="NFZ44" s="9"/>
      <c r="NGA44" s="9"/>
      <c r="NGB44" s="9"/>
      <c r="NGC44" s="9"/>
      <c r="NGD44" s="9"/>
      <c r="NGE44" s="9"/>
      <c r="NGF44" s="9"/>
      <c r="NGG44" s="9"/>
      <c r="NGH44" s="9"/>
      <c r="NGI44" s="9"/>
      <c r="NGJ44" s="9"/>
      <c r="NGK44" s="9"/>
      <c r="NGL44" s="9"/>
      <c r="NGM44" s="9"/>
      <c r="NGN44" s="9"/>
      <c r="NGO44" s="9"/>
      <c r="NGP44" s="9"/>
      <c r="NGQ44" s="9"/>
      <c r="NGR44" s="9"/>
      <c r="NGS44" s="9"/>
      <c r="NGT44" s="9"/>
      <c r="NGU44" s="9"/>
      <c r="NGV44" s="9"/>
      <c r="NGW44" s="9"/>
      <c r="NGX44" s="9"/>
      <c r="NGY44" s="9"/>
      <c r="NGZ44" s="9"/>
      <c r="NHA44" s="9"/>
      <c r="NHB44" s="9"/>
      <c r="NHC44" s="9"/>
      <c r="NHD44" s="9"/>
      <c r="NHE44" s="9"/>
      <c r="NHF44" s="9"/>
      <c r="NHG44" s="9"/>
      <c r="NHH44" s="9"/>
      <c r="NHI44" s="9"/>
      <c r="NHJ44" s="9"/>
      <c r="NHK44" s="9"/>
      <c r="NHL44" s="9"/>
      <c r="NHM44" s="9"/>
      <c r="NHN44" s="9"/>
      <c r="NHO44" s="9"/>
      <c r="NHP44" s="9"/>
      <c r="NHQ44" s="9"/>
      <c r="NHR44" s="9"/>
      <c r="NHS44" s="9"/>
      <c r="NHT44" s="9"/>
      <c r="NHU44" s="9"/>
      <c r="NHV44" s="9"/>
      <c r="NHW44" s="9"/>
      <c r="NHX44" s="9"/>
      <c r="NHY44" s="9"/>
      <c r="NHZ44" s="9"/>
      <c r="NIA44" s="9"/>
      <c r="NIB44" s="9"/>
      <c r="NIC44" s="9"/>
      <c r="NID44" s="9"/>
      <c r="NIE44" s="9"/>
      <c r="NIF44" s="9"/>
      <c r="NIG44" s="9"/>
      <c r="NIH44" s="9"/>
      <c r="NII44" s="9"/>
      <c r="NIJ44" s="9"/>
      <c r="NIK44" s="9"/>
      <c r="NIL44" s="9"/>
      <c r="NIM44" s="9"/>
      <c r="NIN44" s="9"/>
      <c r="NIO44" s="9"/>
      <c r="NIP44" s="9"/>
      <c r="NIQ44" s="9"/>
      <c r="NIR44" s="9"/>
      <c r="NIS44" s="9"/>
      <c r="NIT44" s="9"/>
      <c r="NIU44" s="9"/>
      <c r="NIV44" s="9"/>
      <c r="NIW44" s="9"/>
      <c r="NIX44" s="9"/>
      <c r="NIY44" s="9"/>
      <c r="NIZ44" s="9"/>
      <c r="NJA44" s="9"/>
      <c r="NJB44" s="9"/>
      <c r="NJC44" s="9"/>
      <c r="NJD44" s="9"/>
      <c r="NJE44" s="9"/>
      <c r="NJF44" s="9"/>
      <c r="NJG44" s="9"/>
      <c r="NJH44" s="9"/>
      <c r="NJI44" s="9"/>
      <c r="NJJ44" s="9"/>
      <c r="NJK44" s="9"/>
      <c r="NJL44" s="9"/>
      <c r="NJM44" s="9"/>
      <c r="NJN44" s="9"/>
      <c r="NJO44" s="9"/>
      <c r="NJP44" s="9"/>
      <c r="NJQ44" s="9"/>
      <c r="NJR44" s="9"/>
      <c r="NJS44" s="9"/>
      <c r="NJT44" s="9"/>
      <c r="NJU44" s="9"/>
      <c r="NJV44" s="9"/>
      <c r="NJW44" s="9"/>
      <c r="NJX44" s="9"/>
      <c r="NJY44" s="9"/>
      <c r="NJZ44" s="9"/>
      <c r="NKA44" s="9"/>
      <c r="NKB44" s="9"/>
      <c r="NKC44" s="9"/>
      <c r="NKD44" s="9"/>
      <c r="NKE44" s="9"/>
      <c r="NKF44" s="9"/>
      <c r="NKG44" s="9"/>
      <c r="NKH44" s="9"/>
      <c r="NKI44" s="9"/>
      <c r="NKJ44" s="9"/>
      <c r="NKK44" s="9"/>
      <c r="NKL44" s="9"/>
      <c r="NKM44" s="9"/>
      <c r="NKN44" s="9"/>
      <c r="NKO44" s="9"/>
      <c r="NKP44" s="9"/>
      <c r="NKQ44" s="9"/>
      <c r="NKR44" s="9"/>
      <c r="NKS44" s="9"/>
      <c r="NKT44" s="9"/>
      <c r="NKU44" s="9"/>
      <c r="NKV44" s="9"/>
      <c r="NKW44" s="9"/>
      <c r="NKX44" s="9"/>
      <c r="NKY44" s="9"/>
      <c r="NKZ44" s="9"/>
      <c r="NLA44" s="9"/>
      <c r="NLB44" s="9"/>
      <c r="NLC44" s="9"/>
      <c r="NLD44" s="9"/>
      <c r="NLE44" s="9"/>
      <c r="NLF44" s="9"/>
      <c r="NLG44" s="9"/>
      <c r="NLH44" s="9"/>
      <c r="NLI44" s="9"/>
      <c r="NLJ44" s="9"/>
      <c r="NLK44" s="9"/>
      <c r="NLL44" s="9"/>
      <c r="NLM44" s="9"/>
      <c r="NLN44" s="9"/>
      <c r="NLO44" s="9"/>
      <c r="NLP44" s="9"/>
      <c r="NLQ44" s="9"/>
      <c r="NLR44" s="9"/>
      <c r="NLS44" s="9"/>
      <c r="NLT44" s="9"/>
      <c r="NLU44" s="9"/>
      <c r="NLV44" s="9"/>
      <c r="NLW44" s="9"/>
      <c r="NLX44" s="9"/>
      <c r="NLY44" s="9"/>
      <c r="NLZ44" s="9"/>
      <c r="NMA44" s="9"/>
      <c r="NMB44" s="9"/>
      <c r="NMC44" s="9"/>
      <c r="NMD44" s="9"/>
      <c r="NME44" s="9"/>
      <c r="NMF44" s="9"/>
      <c r="NMG44" s="9"/>
      <c r="NMH44" s="9"/>
      <c r="NMI44" s="9"/>
      <c r="NMJ44" s="9"/>
      <c r="NMK44" s="9"/>
      <c r="NML44" s="9"/>
      <c r="NMM44" s="9"/>
      <c r="NMN44" s="9"/>
      <c r="NMO44" s="9"/>
      <c r="NMP44" s="9"/>
      <c r="NMQ44" s="9"/>
      <c r="NMR44" s="9"/>
      <c r="NMS44" s="9"/>
      <c r="NMT44" s="9"/>
      <c r="NMU44" s="9"/>
      <c r="NMV44" s="9"/>
      <c r="NMW44" s="9"/>
      <c r="NMX44" s="9"/>
      <c r="NMY44" s="9"/>
      <c r="NMZ44" s="9"/>
      <c r="NNA44" s="9"/>
      <c r="NNB44" s="9"/>
      <c r="NNC44" s="9"/>
      <c r="NND44" s="9"/>
      <c r="NNE44" s="9"/>
      <c r="NNF44" s="9"/>
      <c r="NNG44" s="9"/>
      <c r="NNH44" s="9"/>
      <c r="NNI44" s="9"/>
      <c r="NNJ44" s="9"/>
      <c r="NNK44" s="9"/>
      <c r="NNL44" s="9"/>
      <c r="NNM44" s="9"/>
      <c r="NNN44" s="9"/>
      <c r="NNO44" s="9"/>
      <c r="NNP44" s="9"/>
      <c r="NNQ44" s="9"/>
      <c r="NNR44" s="9"/>
      <c r="NNS44" s="9"/>
      <c r="NNT44" s="9"/>
      <c r="NNU44" s="9"/>
      <c r="NNV44" s="9"/>
      <c r="NNW44" s="9"/>
      <c r="NNX44" s="9"/>
      <c r="NNY44" s="9"/>
      <c r="NNZ44" s="9"/>
      <c r="NOA44" s="9"/>
      <c r="NOB44" s="9"/>
      <c r="NOC44" s="9"/>
      <c r="NOD44" s="9"/>
      <c r="NOE44" s="9"/>
      <c r="NOF44" s="9"/>
      <c r="NOG44" s="9"/>
      <c r="NOH44" s="9"/>
      <c r="NOI44" s="9"/>
      <c r="NOJ44" s="9"/>
      <c r="NOK44" s="9"/>
      <c r="NOL44" s="9"/>
      <c r="NOM44" s="9"/>
      <c r="NON44" s="9"/>
      <c r="NOO44" s="9"/>
      <c r="NOP44" s="9"/>
      <c r="NOQ44" s="9"/>
      <c r="NOR44" s="9"/>
      <c r="NOS44" s="9"/>
      <c r="NOT44" s="9"/>
      <c r="NOU44" s="9"/>
      <c r="NOV44" s="9"/>
      <c r="NOW44" s="9"/>
      <c r="NOX44" s="9"/>
      <c r="NOY44" s="9"/>
      <c r="NOZ44" s="9"/>
      <c r="NPA44" s="9"/>
      <c r="NPB44" s="9"/>
      <c r="NPC44" s="9"/>
      <c r="NPD44" s="9"/>
      <c r="NPE44" s="9"/>
      <c r="NPF44" s="9"/>
      <c r="NPG44" s="9"/>
      <c r="NPH44" s="9"/>
      <c r="NPI44" s="9"/>
      <c r="NPJ44" s="9"/>
      <c r="NPK44" s="9"/>
      <c r="NPL44" s="9"/>
      <c r="NPM44" s="9"/>
      <c r="NPN44" s="9"/>
      <c r="NPO44" s="9"/>
      <c r="NPP44" s="9"/>
      <c r="NPQ44" s="9"/>
      <c r="NPR44" s="9"/>
      <c r="NPS44" s="9"/>
      <c r="NPT44" s="9"/>
      <c r="NPU44" s="9"/>
      <c r="NPV44" s="9"/>
      <c r="NPW44" s="9"/>
      <c r="NPX44" s="9"/>
      <c r="NPY44" s="9"/>
      <c r="NPZ44" s="9"/>
      <c r="NQA44" s="9"/>
      <c r="NQB44" s="9"/>
      <c r="NQC44" s="9"/>
      <c r="NQD44" s="9"/>
      <c r="NQE44" s="9"/>
      <c r="NQF44" s="9"/>
      <c r="NQG44" s="9"/>
      <c r="NQH44" s="9"/>
      <c r="NQI44" s="9"/>
      <c r="NQJ44" s="9"/>
      <c r="NQK44" s="9"/>
      <c r="NQL44" s="9"/>
      <c r="NQM44" s="9"/>
      <c r="NQN44" s="9"/>
      <c r="NQO44" s="9"/>
      <c r="NQP44" s="9"/>
      <c r="NQQ44" s="9"/>
      <c r="NQR44" s="9"/>
      <c r="NQS44" s="9"/>
      <c r="NQT44" s="9"/>
      <c r="NQU44" s="9"/>
      <c r="NQV44" s="9"/>
      <c r="NQW44" s="9"/>
      <c r="NQX44" s="9"/>
      <c r="NQY44" s="9"/>
      <c r="NQZ44" s="9"/>
      <c r="NRA44" s="9"/>
      <c r="NRB44" s="9"/>
      <c r="NRC44" s="9"/>
      <c r="NRD44" s="9"/>
      <c r="NRE44" s="9"/>
      <c r="NRF44" s="9"/>
      <c r="NRG44" s="9"/>
      <c r="NRH44" s="9"/>
      <c r="NRI44" s="9"/>
      <c r="NRJ44" s="9"/>
      <c r="NRK44" s="9"/>
      <c r="NRL44" s="9"/>
      <c r="NRM44" s="9"/>
      <c r="NRN44" s="9"/>
      <c r="NRO44" s="9"/>
      <c r="NRP44" s="9"/>
      <c r="NRQ44" s="9"/>
      <c r="NRR44" s="9"/>
      <c r="NRS44" s="9"/>
      <c r="NRT44" s="9"/>
      <c r="NRU44" s="9"/>
      <c r="NRV44" s="9"/>
      <c r="NRW44" s="9"/>
      <c r="NRX44" s="9"/>
      <c r="NRY44" s="9"/>
      <c r="NRZ44" s="9"/>
      <c r="NSA44" s="9"/>
      <c r="NSB44" s="9"/>
      <c r="NSC44" s="9"/>
      <c r="NSD44" s="9"/>
      <c r="NSE44" s="9"/>
      <c r="NSF44" s="9"/>
      <c r="NSG44" s="9"/>
      <c r="NSH44" s="9"/>
      <c r="NSI44" s="9"/>
      <c r="NSJ44" s="9"/>
      <c r="NSK44" s="9"/>
      <c r="NSL44" s="9"/>
      <c r="NSM44" s="9"/>
      <c r="NSN44" s="9"/>
      <c r="NSO44" s="9"/>
      <c r="NSP44" s="9"/>
      <c r="NSQ44" s="9"/>
      <c r="NSR44" s="9"/>
      <c r="NSS44" s="9"/>
      <c r="NST44" s="9"/>
      <c r="NSU44" s="9"/>
      <c r="NSV44" s="9"/>
      <c r="NSW44" s="9"/>
      <c r="NSX44" s="9"/>
      <c r="NSY44" s="9"/>
      <c r="NSZ44" s="9"/>
      <c r="NTA44" s="9"/>
      <c r="NTB44" s="9"/>
      <c r="NTC44" s="9"/>
      <c r="NTD44" s="9"/>
      <c r="NTE44" s="9"/>
      <c r="NTF44" s="9"/>
      <c r="NTG44" s="9"/>
      <c r="NTH44" s="9"/>
      <c r="NTI44" s="9"/>
      <c r="NTJ44" s="9"/>
      <c r="NTK44" s="9"/>
      <c r="NTL44" s="9"/>
      <c r="NTM44" s="9"/>
      <c r="NTN44" s="9"/>
      <c r="NTO44" s="9"/>
      <c r="NTP44" s="9"/>
      <c r="NTQ44" s="9"/>
      <c r="NTR44" s="9"/>
      <c r="NTS44" s="9"/>
      <c r="NTT44" s="9"/>
      <c r="NTU44" s="9"/>
      <c r="NTV44" s="9"/>
      <c r="NTW44" s="9"/>
      <c r="NTX44" s="9"/>
      <c r="NTY44" s="9"/>
      <c r="NTZ44" s="9"/>
      <c r="NUA44" s="9"/>
      <c r="NUB44" s="9"/>
      <c r="NUC44" s="9"/>
      <c r="NUD44" s="9"/>
      <c r="NUE44" s="9"/>
      <c r="NUF44" s="9"/>
      <c r="NUG44" s="9"/>
      <c r="NUH44" s="9"/>
      <c r="NUI44" s="9"/>
      <c r="NUJ44" s="9"/>
      <c r="NUK44" s="9"/>
      <c r="NUL44" s="9"/>
      <c r="NUM44" s="9"/>
      <c r="NUN44" s="9"/>
      <c r="NUO44" s="9"/>
      <c r="NUP44" s="9"/>
      <c r="NUQ44" s="9"/>
      <c r="NUR44" s="9"/>
      <c r="NUS44" s="9"/>
      <c r="NUT44" s="9"/>
      <c r="NUU44" s="9"/>
      <c r="NUV44" s="9"/>
      <c r="NUW44" s="9"/>
      <c r="NUX44" s="9"/>
      <c r="NUY44" s="9"/>
      <c r="NUZ44" s="9"/>
      <c r="NVA44" s="9"/>
      <c r="NVB44" s="9"/>
      <c r="NVC44" s="9"/>
      <c r="NVD44" s="9"/>
      <c r="NVE44" s="9"/>
      <c r="NVF44" s="9"/>
      <c r="NVG44" s="9"/>
      <c r="NVH44" s="9"/>
      <c r="NVI44" s="9"/>
      <c r="NVJ44" s="9"/>
      <c r="NVK44" s="9"/>
      <c r="NVL44" s="9"/>
      <c r="NVM44" s="9"/>
      <c r="NVN44" s="9"/>
      <c r="NVO44" s="9"/>
      <c r="NVP44" s="9"/>
      <c r="NVQ44" s="9"/>
      <c r="NVR44" s="9"/>
      <c r="NVS44" s="9"/>
      <c r="NVT44" s="9"/>
      <c r="NVU44" s="9"/>
      <c r="NVV44" s="9"/>
      <c r="NVW44" s="9"/>
      <c r="NVX44" s="9"/>
      <c r="NVY44" s="9"/>
      <c r="NVZ44" s="9"/>
      <c r="NWA44" s="9"/>
      <c r="NWB44" s="9"/>
      <c r="NWC44" s="9"/>
      <c r="NWD44" s="9"/>
      <c r="NWE44" s="9"/>
      <c r="NWF44" s="9"/>
      <c r="NWG44" s="9"/>
      <c r="NWH44" s="9"/>
      <c r="NWI44" s="9"/>
      <c r="NWJ44" s="9"/>
      <c r="NWK44" s="9"/>
      <c r="NWL44" s="9"/>
      <c r="NWM44" s="9"/>
      <c r="NWN44" s="9"/>
      <c r="NWO44" s="9"/>
      <c r="NWP44" s="9"/>
      <c r="NWQ44" s="9"/>
      <c r="NWR44" s="9"/>
      <c r="NWS44" s="9"/>
      <c r="NWT44" s="9"/>
      <c r="NWU44" s="9"/>
      <c r="NWV44" s="9"/>
      <c r="NWW44" s="9"/>
      <c r="NWX44" s="9"/>
      <c r="NWY44" s="9"/>
      <c r="NWZ44" s="9"/>
      <c r="NXA44" s="9"/>
      <c r="NXB44" s="9"/>
      <c r="NXC44" s="9"/>
      <c r="NXD44" s="9"/>
      <c r="NXE44" s="9"/>
      <c r="NXF44" s="9"/>
      <c r="NXG44" s="9"/>
      <c r="NXH44" s="9"/>
      <c r="NXI44" s="9"/>
      <c r="NXJ44" s="9"/>
      <c r="NXK44" s="9"/>
      <c r="NXL44" s="9"/>
      <c r="NXM44" s="9"/>
      <c r="NXN44" s="9"/>
      <c r="NXO44" s="9"/>
      <c r="NXP44" s="9"/>
      <c r="NXQ44" s="9"/>
      <c r="NXR44" s="9"/>
      <c r="NXS44" s="9"/>
      <c r="NXT44" s="9"/>
      <c r="NXU44" s="9"/>
      <c r="NXV44" s="9"/>
      <c r="NXW44" s="9"/>
      <c r="NXX44" s="9"/>
      <c r="NXY44" s="9"/>
      <c r="NXZ44" s="9"/>
      <c r="NYA44" s="9"/>
      <c r="NYB44" s="9"/>
      <c r="NYC44" s="9"/>
      <c r="NYD44" s="9"/>
      <c r="NYE44" s="9"/>
      <c r="NYF44" s="9"/>
      <c r="NYG44" s="9"/>
      <c r="NYH44" s="9"/>
      <c r="NYI44" s="9"/>
      <c r="NYJ44" s="9"/>
      <c r="NYK44" s="9"/>
      <c r="NYL44" s="9"/>
      <c r="NYM44" s="9"/>
      <c r="NYN44" s="9"/>
      <c r="NYO44" s="9"/>
      <c r="NYP44" s="9"/>
      <c r="NYQ44" s="9"/>
      <c r="NYR44" s="9"/>
      <c r="NYS44" s="9"/>
      <c r="NYT44" s="9"/>
      <c r="NYU44" s="9"/>
      <c r="NYV44" s="9"/>
      <c r="NYW44" s="9"/>
      <c r="NYX44" s="9"/>
      <c r="NYY44" s="9"/>
      <c r="NYZ44" s="9"/>
      <c r="NZA44" s="9"/>
      <c r="NZB44" s="9"/>
      <c r="NZC44" s="9"/>
      <c r="NZD44" s="9"/>
      <c r="NZE44" s="9"/>
      <c r="NZF44" s="9"/>
      <c r="NZG44" s="9"/>
      <c r="NZH44" s="9"/>
      <c r="NZI44" s="9"/>
      <c r="NZJ44" s="9"/>
      <c r="NZK44" s="9"/>
      <c r="NZL44" s="9"/>
      <c r="NZM44" s="9"/>
      <c r="NZN44" s="9"/>
      <c r="NZO44" s="9"/>
      <c r="NZP44" s="9"/>
      <c r="NZQ44" s="9"/>
      <c r="NZR44" s="9"/>
      <c r="NZS44" s="9"/>
      <c r="NZT44" s="9"/>
      <c r="NZU44" s="9"/>
      <c r="NZV44" s="9"/>
      <c r="NZW44" s="9"/>
      <c r="NZX44" s="9"/>
      <c r="NZY44" s="9"/>
      <c r="NZZ44" s="9"/>
      <c r="OAA44" s="9"/>
      <c r="OAB44" s="9"/>
      <c r="OAC44" s="9"/>
      <c r="OAD44" s="9"/>
      <c r="OAE44" s="9"/>
      <c r="OAF44" s="9"/>
      <c r="OAG44" s="9"/>
      <c r="OAH44" s="9"/>
      <c r="OAI44" s="9"/>
      <c r="OAJ44" s="9"/>
      <c r="OAK44" s="9"/>
      <c r="OAL44" s="9"/>
      <c r="OAM44" s="9"/>
      <c r="OAN44" s="9"/>
      <c r="OAO44" s="9"/>
      <c r="OAP44" s="9"/>
      <c r="OAQ44" s="9"/>
      <c r="OAR44" s="9"/>
      <c r="OAS44" s="9"/>
      <c r="OAT44" s="9"/>
      <c r="OAU44" s="9"/>
      <c r="OAV44" s="9"/>
      <c r="OAW44" s="9"/>
      <c r="OAX44" s="9"/>
      <c r="OAY44" s="9"/>
      <c r="OAZ44" s="9"/>
      <c r="OBA44" s="9"/>
      <c r="OBB44" s="9"/>
      <c r="OBC44" s="9"/>
      <c r="OBD44" s="9"/>
      <c r="OBE44" s="9"/>
      <c r="OBF44" s="9"/>
      <c r="OBG44" s="9"/>
      <c r="OBH44" s="9"/>
      <c r="OBI44" s="9"/>
      <c r="OBJ44" s="9"/>
      <c r="OBK44" s="9"/>
      <c r="OBL44" s="9"/>
      <c r="OBM44" s="9"/>
      <c r="OBN44" s="9"/>
      <c r="OBO44" s="9"/>
      <c r="OBP44" s="9"/>
      <c r="OBQ44" s="9"/>
      <c r="OBR44" s="9"/>
      <c r="OBS44" s="9"/>
      <c r="OBT44" s="9"/>
      <c r="OBU44" s="9"/>
      <c r="OBV44" s="9"/>
      <c r="OBW44" s="9"/>
      <c r="OBX44" s="9"/>
      <c r="OBY44" s="9"/>
      <c r="OBZ44" s="9"/>
      <c r="OCA44" s="9"/>
      <c r="OCB44" s="9"/>
      <c r="OCC44" s="9"/>
      <c r="OCD44" s="9"/>
      <c r="OCE44" s="9"/>
      <c r="OCF44" s="9"/>
      <c r="OCG44" s="9"/>
      <c r="OCH44" s="9"/>
      <c r="OCI44" s="9"/>
      <c r="OCJ44" s="9"/>
      <c r="OCK44" s="9"/>
      <c r="OCL44" s="9"/>
      <c r="OCM44" s="9"/>
      <c r="OCN44" s="9"/>
      <c r="OCO44" s="9"/>
      <c r="OCP44" s="9"/>
      <c r="OCQ44" s="9"/>
      <c r="OCR44" s="9"/>
      <c r="OCS44" s="9"/>
      <c r="OCT44" s="9"/>
      <c r="OCU44" s="9"/>
      <c r="OCV44" s="9"/>
      <c r="OCW44" s="9"/>
      <c r="OCX44" s="9"/>
      <c r="OCY44" s="9"/>
      <c r="OCZ44" s="9"/>
      <c r="ODA44" s="9"/>
      <c r="ODB44" s="9"/>
      <c r="ODC44" s="9"/>
      <c r="ODD44" s="9"/>
      <c r="ODE44" s="9"/>
      <c r="ODF44" s="9"/>
      <c r="ODG44" s="9"/>
      <c r="ODH44" s="9"/>
      <c r="ODI44" s="9"/>
      <c r="ODJ44" s="9"/>
      <c r="ODK44" s="9"/>
      <c r="ODL44" s="9"/>
      <c r="ODM44" s="9"/>
      <c r="ODN44" s="9"/>
      <c r="ODO44" s="9"/>
      <c r="ODP44" s="9"/>
      <c r="ODQ44" s="9"/>
      <c r="ODR44" s="9"/>
      <c r="ODS44" s="9"/>
      <c r="ODT44" s="9"/>
      <c r="ODU44" s="9"/>
      <c r="ODV44" s="9"/>
      <c r="ODW44" s="9"/>
      <c r="ODX44" s="9"/>
      <c r="ODY44" s="9"/>
      <c r="ODZ44" s="9"/>
      <c r="OEA44" s="9"/>
      <c r="OEB44" s="9"/>
      <c r="OEC44" s="9"/>
      <c r="OED44" s="9"/>
      <c r="OEE44" s="9"/>
      <c r="OEF44" s="9"/>
      <c r="OEG44" s="9"/>
      <c r="OEH44" s="9"/>
      <c r="OEI44" s="9"/>
      <c r="OEJ44" s="9"/>
      <c r="OEK44" s="9"/>
      <c r="OEL44" s="9"/>
      <c r="OEM44" s="9"/>
      <c r="OEN44" s="9"/>
      <c r="OEO44" s="9"/>
      <c r="OEP44" s="9"/>
      <c r="OEQ44" s="9"/>
      <c r="OER44" s="9"/>
      <c r="OES44" s="9"/>
      <c r="OET44" s="9"/>
      <c r="OEU44" s="9"/>
      <c r="OEV44" s="9"/>
      <c r="OEW44" s="9"/>
      <c r="OEX44" s="9"/>
      <c r="OEY44" s="9"/>
      <c r="OEZ44" s="9"/>
      <c r="OFA44" s="9"/>
      <c r="OFB44" s="9"/>
      <c r="OFC44" s="9"/>
      <c r="OFD44" s="9"/>
      <c r="OFE44" s="9"/>
      <c r="OFF44" s="9"/>
      <c r="OFG44" s="9"/>
      <c r="OFH44" s="9"/>
      <c r="OFI44" s="9"/>
      <c r="OFJ44" s="9"/>
      <c r="OFK44" s="9"/>
      <c r="OFL44" s="9"/>
      <c r="OFM44" s="9"/>
      <c r="OFN44" s="9"/>
      <c r="OFO44" s="9"/>
      <c r="OFP44" s="9"/>
      <c r="OFQ44" s="9"/>
      <c r="OFR44" s="9"/>
      <c r="OFS44" s="9"/>
      <c r="OFT44" s="9"/>
      <c r="OFU44" s="9"/>
      <c r="OFV44" s="9"/>
      <c r="OFW44" s="9"/>
      <c r="OFX44" s="9"/>
      <c r="OFY44" s="9"/>
      <c r="OFZ44" s="9"/>
      <c r="OGA44" s="9"/>
      <c r="OGB44" s="9"/>
      <c r="OGC44" s="9"/>
      <c r="OGD44" s="9"/>
      <c r="OGE44" s="9"/>
      <c r="OGF44" s="9"/>
      <c r="OGG44" s="9"/>
      <c r="OGH44" s="9"/>
      <c r="OGI44" s="9"/>
      <c r="OGJ44" s="9"/>
      <c r="OGK44" s="9"/>
      <c r="OGL44" s="9"/>
      <c r="OGM44" s="9"/>
      <c r="OGN44" s="9"/>
      <c r="OGO44" s="9"/>
      <c r="OGP44" s="9"/>
      <c r="OGQ44" s="9"/>
      <c r="OGR44" s="9"/>
      <c r="OGS44" s="9"/>
      <c r="OGT44" s="9"/>
      <c r="OGU44" s="9"/>
      <c r="OGV44" s="9"/>
      <c r="OGW44" s="9"/>
      <c r="OGX44" s="9"/>
      <c r="OGY44" s="9"/>
      <c r="OGZ44" s="9"/>
      <c r="OHA44" s="9"/>
      <c r="OHB44" s="9"/>
      <c r="OHC44" s="9"/>
      <c r="OHD44" s="9"/>
      <c r="OHE44" s="9"/>
      <c r="OHF44" s="9"/>
      <c r="OHG44" s="9"/>
      <c r="OHH44" s="9"/>
      <c r="OHI44" s="9"/>
      <c r="OHJ44" s="9"/>
      <c r="OHK44" s="9"/>
      <c r="OHL44" s="9"/>
      <c r="OHM44" s="9"/>
      <c r="OHN44" s="9"/>
      <c r="OHO44" s="9"/>
      <c r="OHP44" s="9"/>
      <c r="OHQ44" s="9"/>
      <c r="OHR44" s="9"/>
      <c r="OHS44" s="9"/>
      <c r="OHT44" s="9"/>
      <c r="OHU44" s="9"/>
      <c r="OHV44" s="9"/>
      <c r="OHW44" s="9"/>
      <c r="OHX44" s="9"/>
      <c r="OHY44" s="9"/>
      <c r="OHZ44" s="9"/>
      <c r="OIA44" s="9"/>
      <c r="OIB44" s="9"/>
      <c r="OIC44" s="9"/>
      <c r="OID44" s="9"/>
      <c r="OIE44" s="9"/>
      <c r="OIF44" s="9"/>
      <c r="OIG44" s="9"/>
      <c r="OIH44" s="9"/>
      <c r="OII44" s="9"/>
      <c r="OIJ44" s="9"/>
      <c r="OIK44" s="9"/>
      <c r="OIL44" s="9"/>
      <c r="OIM44" s="9"/>
      <c r="OIN44" s="9"/>
      <c r="OIO44" s="9"/>
      <c r="OIP44" s="9"/>
      <c r="OIQ44" s="9"/>
      <c r="OIR44" s="9"/>
      <c r="OIS44" s="9"/>
      <c r="OIT44" s="9"/>
      <c r="OIU44" s="9"/>
      <c r="OIV44" s="9"/>
      <c r="OIW44" s="9"/>
      <c r="OIX44" s="9"/>
      <c r="OIY44" s="9"/>
      <c r="OIZ44" s="9"/>
      <c r="OJA44" s="9"/>
      <c r="OJB44" s="9"/>
      <c r="OJC44" s="9"/>
      <c r="OJD44" s="9"/>
      <c r="OJE44" s="9"/>
      <c r="OJF44" s="9"/>
      <c r="OJG44" s="9"/>
      <c r="OJH44" s="9"/>
      <c r="OJI44" s="9"/>
      <c r="OJJ44" s="9"/>
      <c r="OJK44" s="9"/>
      <c r="OJL44" s="9"/>
      <c r="OJM44" s="9"/>
      <c r="OJN44" s="9"/>
      <c r="OJO44" s="9"/>
      <c r="OJP44" s="9"/>
      <c r="OJQ44" s="9"/>
      <c r="OJR44" s="9"/>
      <c r="OJS44" s="9"/>
      <c r="OJT44" s="9"/>
      <c r="OJU44" s="9"/>
      <c r="OJV44" s="9"/>
      <c r="OJW44" s="9"/>
      <c r="OJX44" s="9"/>
      <c r="OJY44" s="9"/>
      <c r="OJZ44" s="9"/>
      <c r="OKA44" s="9"/>
      <c r="OKB44" s="9"/>
      <c r="OKC44" s="9"/>
      <c r="OKD44" s="9"/>
      <c r="OKE44" s="9"/>
      <c r="OKF44" s="9"/>
      <c r="OKG44" s="9"/>
      <c r="OKH44" s="9"/>
      <c r="OKI44" s="9"/>
      <c r="OKJ44" s="9"/>
      <c r="OKK44" s="9"/>
      <c r="OKL44" s="9"/>
      <c r="OKM44" s="9"/>
      <c r="OKN44" s="9"/>
      <c r="OKO44" s="9"/>
      <c r="OKP44" s="9"/>
      <c r="OKQ44" s="9"/>
      <c r="OKR44" s="9"/>
      <c r="OKS44" s="9"/>
      <c r="OKT44" s="9"/>
      <c r="OKU44" s="9"/>
      <c r="OKV44" s="9"/>
      <c r="OKW44" s="9"/>
      <c r="OKX44" s="9"/>
      <c r="OKY44" s="9"/>
      <c r="OKZ44" s="9"/>
      <c r="OLA44" s="9"/>
      <c r="OLB44" s="9"/>
      <c r="OLC44" s="9"/>
      <c r="OLD44" s="9"/>
      <c r="OLE44" s="9"/>
      <c r="OLF44" s="9"/>
      <c r="OLG44" s="9"/>
      <c r="OLH44" s="9"/>
      <c r="OLI44" s="9"/>
      <c r="OLJ44" s="9"/>
      <c r="OLK44" s="9"/>
      <c r="OLL44" s="9"/>
      <c r="OLM44" s="9"/>
      <c r="OLN44" s="9"/>
      <c r="OLO44" s="9"/>
      <c r="OLP44" s="9"/>
      <c r="OLQ44" s="9"/>
      <c r="OLR44" s="9"/>
      <c r="OLS44" s="9"/>
      <c r="OLT44" s="9"/>
      <c r="OLU44" s="9"/>
      <c r="OLV44" s="9"/>
      <c r="OLW44" s="9"/>
      <c r="OLX44" s="9"/>
      <c r="OLY44" s="9"/>
      <c r="OLZ44" s="9"/>
      <c r="OMA44" s="9"/>
      <c r="OMB44" s="9"/>
      <c r="OMC44" s="9"/>
      <c r="OMD44" s="9"/>
      <c r="OME44" s="9"/>
      <c r="OMF44" s="9"/>
      <c r="OMG44" s="9"/>
      <c r="OMH44" s="9"/>
      <c r="OMI44" s="9"/>
      <c r="OMJ44" s="9"/>
      <c r="OMK44" s="9"/>
      <c r="OML44" s="9"/>
      <c r="OMM44" s="9"/>
      <c r="OMN44" s="9"/>
      <c r="OMO44" s="9"/>
      <c r="OMP44" s="9"/>
      <c r="OMQ44" s="9"/>
      <c r="OMR44" s="9"/>
      <c r="OMS44" s="9"/>
      <c r="OMT44" s="9"/>
      <c r="OMU44" s="9"/>
      <c r="OMV44" s="9"/>
      <c r="OMW44" s="9"/>
      <c r="OMX44" s="9"/>
      <c r="OMY44" s="9"/>
      <c r="OMZ44" s="9"/>
      <c r="ONA44" s="9"/>
      <c r="ONB44" s="9"/>
      <c r="ONC44" s="9"/>
      <c r="OND44" s="9"/>
      <c r="ONE44" s="9"/>
      <c r="ONF44" s="9"/>
      <c r="ONG44" s="9"/>
      <c r="ONH44" s="9"/>
      <c r="ONI44" s="9"/>
      <c r="ONJ44" s="9"/>
      <c r="ONK44" s="9"/>
      <c r="ONL44" s="9"/>
      <c r="ONM44" s="9"/>
      <c r="ONN44" s="9"/>
      <c r="ONO44" s="9"/>
      <c r="ONP44" s="9"/>
      <c r="ONQ44" s="9"/>
      <c r="ONR44" s="9"/>
      <c r="ONS44" s="9"/>
      <c r="ONT44" s="9"/>
      <c r="ONU44" s="9"/>
      <c r="ONV44" s="9"/>
      <c r="ONW44" s="9"/>
      <c r="ONX44" s="9"/>
      <c r="ONY44" s="9"/>
      <c r="ONZ44" s="9"/>
      <c r="OOA44" s="9"/>
      <c r="OOB44" s="9"/>
      <c r="OOC44" s="9"/>
      <c r="OOD44" s="9"/>
      <c r="OOE44" s="9"/>
      <c r="OOF44" s="9"/>
      <c r="OOG44" s="9"/>
      <c r="OOH44" s="9"/>
      <c r="OOI44" s="9"/>
      <c r="OOJ44" s="9"/>
      <c r="OOK44" s="9"/>
      <c r="OOL44" s="9"/>
      <c r="OOM44" s="9"/>
      <c r="OON44" s="9"/>
      <c r="OOO44" s="9"/>
      <c r="OOP44" s="9"/>
      <c r="OOQ44" s="9"/>
      <c r="OOR44" s="9"/>
      <c r="OOS44" s="9"/>
      <c r="OOT44" s="9"/>
      <c r="OOU44" s="9"/>
      <c r="OOV44" s="9"/>
      <c r="OOW44" s="9"/>
      <c r="OOX44" s="9"/>
      <c r="OOY44" s="9"/>
      <c r="OOZ44" s="9"/>
      <c r="OPA44" s="9"/>
      <c r="OPB44" s="9"/>
      <c r="OPC44" s="9"/>
      <c r="OPD44" s="9"/>
      <c r="OPE44" s="9"/>
      <c r="OPF44" s="9"/>
      <c r="OPG44" s="9"/>
      <c r="OPH44" s="9"/>
      <c r="OPI44" s="9"/>
      <c r="OPJ44" s="9"/>
      <c r="OPK44" s="9"/>
      <c r="OPL44" s="9"/>
      <c r="OPM44" s="9"/>
      <c r="OPN44" s="9"/>
      <c r="OPO44" s="9"/>
      <c r="OPP44" s="9"/>
      <c r="OPQ44" s="9"/>
      <c r="OPR44" s="9"/>
      <c r="OPS44" s="9"/>
      <c r="OPT44" s="9"/>
      <c r="OPU44" s="9"/>
      <c r="OPV44" s="9"/>
      <c r="OPW44" s="9"/>
      <c r="OPX44" s="9"/>
      <c r="OPY44" s="9"/>
      <c r="OPZ44" s="9"/>
      <c r="OQA44" s="9"/>
      <c r="OQB44" s="9"/>
      <c r="OQC44" s="9"/>
      <c r="OQD44" s="9"/>
      <c r="OQE44" s="9"/>
      <c r="OQF44" s="9"/>
      <c r="OQG44" s="9"/>
      <c r="OQH44" s="9"/>
      <c r="OQI44" s="9"/>
      <c r="OQJ44" s="9"/>
      <c r="OQK44" s="9"/>
      <c r="OQL44" s="9"/>
      <c r="OQM44" s="9"/>
      <c r="OQN44" s="9"/>
      <c r="OQO44" s="9"/>
      <c r="OQP44" s="9"/>
      <c r="OQQ44" s="9"/>
      <c r="OQR44" s="9"/>
      <c r="OQS44" s="9"/>
      <c r="OQT44" s="9"/>
      <c r="OQU44" s="9"/>
      <c r="OQV44" s="9"/>
      <c r="OQW44" s="9"/>
      <c r="OQX44" s="9"/>
      <c r="OQY44" s="9"/>
      <c r="OQZ44" s="9"/>
      <c r="ORA44" s="9"/>
      <c r="ORB44" s="9"/>
      <c r="ORC44" s="9"/>
      <c r="ORD44" s="9"/>
      <c r="ORE44" s="9"/>
      <c r="ORF44" s="9"/>
      <c r="ORG44" s="9"/>
      <c r="ORH44" s="9"/>
      <c r="ORI44" s="9"/>
      <c r="ORJ44" s="9"/>
      <c r="ORK44" s="9"/>
      <c r="ORL44" s="9"/>
      <c r="ORM44" s="9"/>
      <c r="ORN44" s="9"/>
      <c r="ORO44" s="9"/>
      <c r="ORP44" s="9"/>
      <c r="ORQ44" s="9"/>
      <c r="ORR44" s="9"/>
      <c r="ORS44" s="9"/>
      <c r="ORT44" s="9"/>
      <c r="ORU44" s="9"/>
      <c r="ORV44" s="9"/>
      <c r="ORW44" s="9"/>
      <c r="ORX44" s="9"/>
      <c r="ORY44" s="9"/>
      <c r="ORZ44" s="9"/>
      <c r="OSA44" s="9"/>
      <c r="OSB44" s="9"/>
      <c r="OSC44" s="9"/>
      <c r="OSD44" s="9"/>
      <c r="OSE44" s="9"/>
      <c r="OSF44" s="9"/>
      <c r="OSG44" s="9"/>
      <c r="OSH44" s="9"/>
      <c r="OSI44" s="9"/>
      <c r="OSJ44" s="9"/>
      <c r="OSK44" s="9"/>
      <c r="OSL44" s="9"/>
      <c r="OSM44" s="9"/>
      <c r="OSN44" s="9"/>
      <c r="OSO44" s="9"/>
      <c r="OSP44" s="9"/>
      <c r="OSQ44" s="9"/>
      <c r="OSR44" s="9"/>
      <c r="OSS44" s="9"/>
      <c r="OST44" s="9"/>
      <c r="OSU44" s="9"/>
      <c r="OSV44" s="9"/>
      <c r="OSW44" s="9"/>
      <c r="OSX44" s="9"/>
      <c r="OSY44" s="9"/>
      <c r="OSZ44" s="9"/>
      <c r="OTA44" s="9"/>
      <c r="OTB44" s="9"/>
      <c r="OTC44" s="9"/>
      <c r="OTD44" s="9"/>
      <c r="OTE44" s="9"/>
      <c r="OTF44" s="9"/>
      <c r="OTG44" s="9"/>
      <c r="OTH44" s="9"/>
      <c r="OTI44" s="9"/>
      <c r="OTJ44" s="9"/>
      <c r="OTK44" s="9"/>
      <c r="OTL44" s="9"/>
      <c r="OTM44" s="9"/>
      <c r="OTN44" s="9"/>
      <c r="OTO44" s="9"/>
      <c r="OTP44" s="9"/>
      <c r="OTQ44" s="9"/>
      <c r="OTR44" s="9"/>
      <c r="OTS44" s="9"/>
      <c r="OTT44" s="9"/>
      <c r="OTU44" s="9"/>
      <c r="OTV44" s="9"/>
      <c r="OTW44" s="9"/>
      <c r="OTX44" s="9"/>
      <c r="OTY44" s="9"/>
      <c r="OTZ44" s="9"/>
      <c r="OUA44" s="9"/>
      <c r="OUB44" s="9"/>
      <c r="OUC44" s="9"/>
      <c r="OUD44" s="9"/>
      <c r="OUE44" s="9"/>
      <c r="OUF44" s="9"/>
      <c r="OUG44" s="9"/>
      <c r="OUH44" s="9"/>
      <c r="OUI44" s="9"/>
      <c r="OUJ44" s="9"/>
      <c r="OUK44" s="9"/>
      <c r="OUL44" s="9"/>
      <c r="OUM44" s="9"/>
      <c r="OUN44" s="9"/>
      <c r="OUO44" s="9"/>
      <c r="OUP44" s="9"/>
      <c r="OUQ44" s="9"/>
      <c r="OUR44" s="9"/>
      <c r="OUS44" s="9"/>
      <c r="OUT44" s="9"/>
      <c r="OUU44" s="9"/>
      <c r="OUV44" s="9"/>
      <c r="OUW44" s="9"/>
      <c r="OUX44" s="9"/>
      <c r="OUY44" s="9"/>
      <c r="OUZ44" s="9"/>
      <c r="OVA44" s="9"/>
      <c r="OVB44" s="9"/>
      <c r="OVC44" s="9"/>
      <c r="OVD44" s="9"/>
      <c r="OVE44" s="9"/>
      <c r="OVF44" s="9"/>
      <c r="OVG44" s="9"/>
      <c r="OVH44" s="9"/>
      <c r="OVI44" s="9"/>
      <c r="OVJ44" s="9"/>
      <c r="OVK44" s="9"/>
      <c r="OVL44" s="9"/>
      <c r="OVM44" s="9"/>
      <c r="OVN44" s="9"/>
      <c r="OVO44" s="9"/>
      <c r="OVP44" s="9"/>
      <c r="OVQ44" s="9"/>
      <c r="OVR44" s="9"/>
      <c r="OVS44" s="9"/>
      <c r="OVT44" s="9"/>
      <c r="OVU44" s="9"/>
      <c r="OVV44" s="9"/>
      <c r="OVW44" s="9"/>
      <c r="OVX44" s="9"/>
      <c r="OVY44" s="9"/>
      <c r="OVZ44" s="9"/>
      <c r="OWA44" s="9"/>
      <c r="OWB44" s="9"/>
      <c r="OWC44" s="9"/>
      <c r="OWD44" s="9"/>
      <c r="OWE44" s="9"/>
      <c r="OWF44" s="9"/>
      <c r="OWG44" s="9"/>
      <c r="OWH44" s="9"/>
      <c r="OWI44" s="9"/>
      <c r="OWJ44" s="9"/>
      <c r="OWK44" s="9"/>
      <c r="OWL44" s="9"/>
      <c r="OWM44" s="9"/>
      <c r="OWN44" s="9"/>
      <c r="OWO44" s="9"/>
      <c r="OWP44" s="9"/>
      <c r="OWQ44" s="9"/>
      <c r="OWR44" s="9"/>
      <c r="OWS44" s="9"/>
      <c r="OWT44" s="9"/>
      <c r="OWU44" s="9"/>
      <c r="OWV44" s="9"/>
      <c r="OWW44" s="9"/>
      <c r="OWX44" s="9"/>
      <c r="OWY44" s="9"/>
      <c r="OWZ44" s="9"/>
      <c r="OXA44" s="9"/>
      <c r="OXB44" s="9"/>
      <c r="OXC44" s="9"/>
      <c r="OXD44" s="9"/>
      <c r="OXE44" s="9"/>
      <c r="OXF44" s="9"/>
      <c r="OXG44" s="9"/>
      <c r="OXH44" s="9"/>
      <c r="OXI44" s="9"/>
      <c r="OXJ44" s="9"/>
      <c r="OXK44" s="9"/>
      <c r="OXL44" s="9"/>
      <c r="OXM44" s="9"/>
      <c r="OXN44" s="9"/>
      <c r="OXO44" s="9"/>
      <c r="OXP44" s="9"/>
      <c r="OXQ44" s="9"/>
      <c r="OXR44" s="9"/>
      <c r="OXS44" s="9"/>
      <c r="OXT44" s="9"/>
      <c r="OXU44" s="9"/>
      <c r="OXV44" s="9"/>
      <c r="OXW44" s="9"/>
      <c r="OXX44" s="9"/>
      <c r="OXY44" s="9"/>
      <c r="OXZ44" s="9"/>
      <c r="OYA44" s="9"/>
      <c r="OYB44" s="9"/>
      <c r="OYC44" s="9"/>
      <c r="OYD44" s="9"/>
      <c r="OYE44" s="9"/>
      <c r="OYF44" s="9"/>
      <c r="OYG44" s="9"/>
      <c r="OYH44" s="9"/>
      <c r="OYI44" s="9"/>
      <c r="OYJ44" s="9"/>
      <c r="OYK44" s="9"/>
      <c r="OYL44" s="9"/>
      <c r="OYM44" s="9"/>
      <c r="OYN44" s="9"/>
      <c r="OYO44" s="9"/>
      <c r="OYP44" s="9"/>
      <c r="OYQ44" s="9"/>
      <c r="OYR44" s="9"/>
      <c r="OYS44" s="9"/>
      <c r="OYT44" s="9"/>
      <c r="OYU44" s="9"/>
      <c r="OYV44" s="9"/>
      <c r="OYW44" s="9"/>
      <c r="OYX44" s="9"/>
      <c r="OYY44" s="9"/>
      <c r="OYZ44" s="9"/>
      <c r="OZA44" s="9"/>
      <c r="OZB44" s="9"/>
      <c r="OZC44" s="9"/>
      <c r="OZD44" s="9"/>
      <c r="OZE44" s="9"/>
      <c r="OZF44" s="9"/>
      <c r="OZG44" s="9"/>
      <c r="OZH44" s="9"/>
      <c r="OZI44" s="9"/>
      <c r="OZJ44" s="9"/>
      <c r="OZK44" s="9"/>
      <c r="OZL44" s="9"/>
      <c r="OZM44" s="9"/>
      <c r="OZN44" s="9"/>
      <c r="OZO44" s="9"/>
      <c r="OZP44" s="9"/>
      <c r="OZQ44" s="9"/>
      <c r="OZR44" s="9"/>
      <c r="OZS44" s="9"/>
      <c r="OZT44" s="9"/>
      <c r="OZU44" s="9"/>
      <c r="OZV44" s="9"/>
      <c r="OZW44" s="9"/>
      <c r="OZX44" s="9"/>
      <c r="OZY44" s="9"/>
      <c r="OZZ44" s="9"/>
      <c r="PAA44" s="9"/>
      <c r="PAB44" s="9"/>
      <c r="PAC44" s="9"/>
      <c r="PAD44" s="9"/>
      <c r="PAE44" s="9"/>
      <c r="PAF44" s="9"/>
      <c r="PAG44" s="9"/>
      <c r="PAH44" s="9"/>
      <c r="PAI44" s="9"/>
      <c r="PAJ44" s="9"/>
      <c r="PAK44" s="9"/>
      <c r="PAL44" s="9"/>
      <c r="PAM44" s="9"/>
      <c r="PAN44" s="9"/>
      <c r="PAO44" s="9"/>
      <c r="PAP44" s="9"/>
      <c r="PAQ44" s="9"/>
      <c r="PAR44" s="9"/>
      <c r="PAS44" s="9"/>
      <c r="PAT44" s="9"/>
      <c r="PAU44" s="9"/>
      <c r="PAV44" s="9"/>
      <c r="PAW44" s="9"/>
      <c r="PAX44" s="9"/>
      <c r="PAY44" s="9"/>
      <c r="PAZ44" s="9"/>
      <c r="PBA44" s="9"/>
      <c r="PBB44" s="9"/>
      <c r="PBC44" s="9"/>
      <c r="PBD44" s="9"/>
      <c r="PBE44" s="9"/>
      <c r="PBF44" s="9"/>
      <c r="PBG44" s="9"/>
      <c r="PBH44" s="9"/>
      <c r="PBI44" s="9"/>
      <c r="PBJ44" s="9"/>
      <c r="PBK44" s="9"/>
      <c r="PBL44" s="9"/>
      <c r="PBM44" s="9"/>
      <c r="PBN44" s="9"/>
      <c r="PBO44" s="9"/>
      <c r="PBP44" s="9"/>
      <c r="PBQ44" s="9"/>
      <c r="PBR44" s="9"/>
      <c r="PBS44" s="9"/>
      <c r="PBT44" s="9"/>
      <c r="PBU44" s="9"/>
      <c r="PBV44" s="9"/>
      <c r="PBW44" s="9"/>
      <c r="PBX44" s="9"/>
      <c r="PBY44" s="9"/>
      <c r="PBZ44" s="9"/>
      <c r="PCA44" s="9"/>
      <c r="PCB44" s="9"/>
      <c r="PCC44" s="9"/>
      <c r="PCD44" s="9"/>
      <c r="PCE44" s="9"/>
      <c r="PCF44" s="9"/>
      <c r="PCG44" s="9"/>
      <c r="PCH44" s="9"/>
      <c r="PCI44" s="9"/>
      <c r="PCJ44" s="9"/>
      <c r="PCK44" s="9"/>
      <c r="PCL44" s="9"/>
      <c r="PCM44" s="9"/>
      <c r="PCN44" s="9"/>
      <c r="PCO44" s="9"/>
      <c r="PCP44" s="9"/>
      <c r="PCQ44" s="9"/>
      <c r="PCR44" s="9"/>
      <c r="PCS44" s="9"/>
      <c r="PCT44" s="9"/>
      <c r="PCU44" s="9"/>
      <c r="PCV44" s="9"/>
      <c r="PCW44" s="9"/>
      <c r="PCX44" s="9"/>
      <c r="PCY44" s="9"/>
      <c r="PCZ44" s="9"/>
      <c r="PDA44" s="9"/>
      <c r="PDB44" s="9"/>
      <c r="PDC44" s="9"/>
      <c r="PDD44" s="9"/>
      <c r="PDE44" s="9"/>
      <c r="PDF44" s="9"/>
      <c r="PDG44" s="9"/>
      <c r="PDH44" s="9"/>
      <c r="PDI44" s="9"/>
      <c r="PDJ44" s="9"/>
      <c r="PDK44" s="9"/>
      <c r="PDL44" s="9"/>
      <c r="PDM44" s="9"/>
      <c r="PDN44" s="9"/>
      <c r="PDO44" s="9"/>
      <c r="PDP44" s="9"/>
      <c r="PDQ44" s="9"/>
      <c r="PDR44" s="9"/>
      <c r="PDS44" s="9"/>
      <c r="PDT44" s="9"/>
      <c r="PDU44" s="9"/>
      <c r="PDV44" s="9"/>
      <c r="PDW44" s="9"/>
      <c r="PDX44" s="9"/>
      <c r="PDY44" s="9"/>
      <c r="PDZ44" s="9"/>
      <c r="PEA44" s="9"/>
      <c r="PEB44" s="9"/>
      <c r="PEC44" s="9"/>
      <c r="PED44" s="9"/>
      <c r="PEE44" s="9"/>
      <c r="PEF44" s="9"/>
      <c r="PEG44" s="9"/>
      <c r="PEH44" s="9"/>
      <c r="PEI44" s="9"/>
      <c r="PEJ44" s="9"/>
      <c r="PEK44" s="9"/>
      <c r="PEL44" s="9"/>
      <c r="PEM44" s="9"/>
      <c r="PEN44" s="9"/>
      <c r="PEO44" s="9"/>
      <c r="PEP44" s="9"/>
      <c r="PEQ44" s="9"/>
      <c r="PER44" s="9"/>
      <c r="PES44" s="9"/>
      <c r="PET44" s="9"/>
      <c r="PEU44" s="9"/>
      <c r="PEV44" s="9"/>
      <c r="PEW44" s="9"/>
      <c r="PEX44" s="9"/>
      <c r="PEY44" s="9"/>
      <c r="PEZ44" s="9"/>
      <c r="PFA44" s="9"/>
      <c r="PFB44" s="9"/>
      <c r="PFC44" s="9"/>
      <c r="PFD44" s="9"/>
      <c r="PFE44" s="9"/>
      <c r="PFF44" s="9"/>
      <c r="PFG44" s="9"/>
      <c r="PFH44" s="9"/>
      <c r="PFI44" s="9"/>
      <c r="PFJ44" s="9"/>
      <c r="PFK44" s="9"/>
      <c r="PFL44" s="9"/>
      <c r="PFM44" s="9"/>
      <c r="PFN44" s="9"/>
      <c r="PFO44" s="9"/>
      <c r="PFP44" s="9"/>
      <c r="PFQ44" s="9"/>
      <c r="PFR44" s="9"/>
      <c r="PFS44" s="9"/>
      <c r="PFT44" s="9"/>
      <c r="PFU44" s="9"/>
      <c r="PFV44" s="9"/>
      <c r="PFW44" s="9"/>
      <c r="PFX44" s="9"/>
      <c r="PFY44" s="9"/>
      <c r="PFZ44" s="9"/>
      <c r="PGA44" s="9"/>
      <c r="PGB44" s="9"/>
      <c r="PGC44" s="9"/>
      <c r="PGD44" s="9"/>
      <c r="PGE44" s="9"/>
      <c r="PGF44" s="9"/>
      <c r="PGG44" s="9"/>
      <c r="PGH44" s="9"/>
      <c r="PGI44" s="9"/>
      <c r="PGJ44" s="9"/>
      <c r="PGK44" s="9"/>
      <c r="PGL44" s="9"/>
      <c r="PGM44" s="9"/>
      <c r="PGN44" s="9"/>
      <c r="PGO44" s="9"/>
      <c r="PGP44" s="9"/>
      <c r="PGQ44" s="9"/>
      <c r="PGR44" s="9"/>
      <c r="PGS44" s="9"/>
      <c r="PGT44" s="9"/>
      <c r="PGU44" s="9"/>
      <c r="PGV44" s="9"/>
      <c r="PGW44" s="9"/>
      <c r="PGX44" s="9"/>
      <c r="PGY44" s="9"/>
      <c r="PGZ44" s="9"/>
      <c r="PHA44" s="9"/>
      <c r="PHB44" s="9"/>
      <c r="PHC44" s="9"/>
      <c r="PHD44" s="9"/>
      <c r="PHE44" s="9"/>
      <c r="PHF44" s="9"/>
      <c r="PHG44" s="9"/>
      <c r="PHH44" s="9"/>
      <c r="PHI44" s="9"/>
      <c r="PHJ44" s="9"/>
      <c r="PHK44" s="9"/>
      <c r="PHL44" s="9"/>
      <c r="PHM44" s="9"/>
      <c r="PHN44" s="9"/>
      <c r="PHO44" s="9"/>
      <c r="PHP44" s="9"/>
      <c r="PHQ44" s="9"/>
      <c r="PHR44" s="9"/>
      <c r="PHS44" s="9"/>
      <c r="PHT44" s="9"/>
      <c r="PHU44" s="9"/>
      <c r="PHV44" s="9"/>
      <c r="PHW44" s="9"/>
      <c r="PHX44" s="9"/>
      <c r="PHY44" s="9"/>
      <c r="PHZ44" s="9"/>
      <c r="PIA44" s="9"/>
      <c r="PIB44" s="9"/>
      <c r="PIC44" s="9"/>
      <c r="PID44" s="9"/>
      <c r="PIE44" s="9"/>
      <c r="PIF44" s="9"/>
      <c r="PIG44" s="9"/>
      <c r="PIH44" s="9"/>
      <c r="PII44" s="9"/>
      <c r="PIJ44" s="9"/>
      <c r="PIK44" s="9"/>
      <c r="PIL44" s="9"/>
      <c r="PIM44" s="9"/>
      <c r="PIN44" s="9"/>
      <c r="PIO44" s="9"/>
      <c r="PIP44" s="9"/>
      <c r="PIQ44" s="9"/>
      <c r="PIR44" s="9"/>
      <c r="PIS44" s="9"/>
      <c r="PIT44" s="9"/>
      <c r="PIU44" s="9"/>
      <c r="PIV44" s="9"/>
      <c r="PIW44" s="9"/>
      <c r="PIX44" s="9"/>
      <c r="PIY44" s="9"/>
      <c r="PIZ44" s="9"/>
      <c r="PJA44" s="9"/>
      <c r="PJB44" s="9"/>
      <c r="PJC44" s="9"/>
      <c r="PJD44" s="9"/>
      <c r="PJE44" s="9"/>
      <c r="PJF44" s="9"/>
      <c r="PJG44" s="9"/>
      <c r="PJH44" s="9"/>
      <c r="PJI44" s="9"/>
      <c r="PJJ44" s="9"/>
      <c r="PJK44" s="9"/>
      <c r="PJL44" s="9"/>
      <c r="PJM44" s="9"/>
      <c r="PJN44" s="9"/>
      <c r="PJO44" s="9"/>
      <c r="PJP44" s="9"/>
      <c r="PJQ44" s="9"/>
      <c r="PJR44" s="9"/>
      <c r="PJS44" s="9"/>
      <c r="PJT44" s="9"/>
      <c r="PJU44" s="9"/>
      <c r="PJV44" s="9"/>
      <c r="PJW44" s="9"/>
      <c r="PJX44" s="9"/>
      <c r="PJY44" s="9"/>
      <c r="PJZ44" s="9"/>
      <c r="PKA44" s="9"/>
      <c r="PKB44" s="9"/>
      <c r="PKC44" s="9"/>
      <c r="PKD44" s="9"/>
      <c r="PKE44" s="9"/>
      <c r="PKF44" s="9"/>
      <c r="PKG44" s="9"/>
      <c r="PKH44" s="9"/>
      <c r="PKI44" s="9"/>
      <c r="PKJ44" s="9"/>
      <c r="PKK44" s="9"/>
      <c r="PKL44" s="9"/>
      <c r="PKM44" s="9"/>
      <c r="PKN44" s="9"/>
      <c r="PKO44" s="9"/>
      <c r="PKP44" s="9"/>
      <c r="PKQ44" s="9"/>
      <c r="PKR44" s="9"/>
      <c r="PKS44" s="9"/>
      <c r="PKT44" s="9"/>
      <c r="PKU44" s="9"/>
      <c r="PKV44" s="9"/>
      <c r="PKW44" s="9"/>
      <c r="PKX44" s="9"/>
      <c r="PKY44" s="9"/>
      <c r="PKZ44" s="9"/>
      <c r="PLA44" s="9"/>
      <c r="PLB44" s="9"/>
      <c r="PLC44" s="9"/>
      <c r="PLD44" s="9"/>
      <c r="PLE44" s="9"/>
      <c r="PLF44" s="9"/>
      <c r="PLG44" s="9"/>
      <c r="PLH44" s="9"/>
      <c r="PLI44" s="9"/>
      <c r="PLJ44" s="9"/>
      <c r="PLK44" s="9"/>
      <c r="PLL44" s="9"/>
      <c r="PLM44" s="9"/>
      <c r="PLN44" s="9"/>
      <c r="PLO44" s="9"/>
      <c r="PLP44" s="9"/>
      <c r="PLQ44" s="9"/>
      <c r="PLR44" s="9"/>
      <c r="PLS44" s="9"/>
      <c r="PLT44" s="9"/>
      <c r="PLU44" s="9"/>
      <c r="PLV44" s="9"/>
      <c r="PLW44" s="9"/>
      <c r="PLX44" s="9"/>
      <c r="PLY44" s="9"/>
      <c r="PLZ44" s="9"/>
      <c r="PMA44" s="9"/>
      <c r="PMB44" s="9"/>
      <c r="PMC44" s="9"/>
      <c r="PMD44" s="9"/>
      <c r="PME44" s="9"/>
      <c r="PMF44" s="9"/>
      <c r="PMG44" s="9"/>
      <c r="PMH44" s="9"/>
      <c r="PMI44" s="9"/>
      <c r="PMJ44" s="9"/>
      <c r="PMK44" s="9"/>
      <c r="PML44" s="9"/>
      <c r="PMM44" s="9"/>
      <c r="PMN44" s="9"/>
      <c r="PMO44" s="9"/>
      <c r="PMP44" s="9"/>
      <c r="PMQ44" s="9"/>
      <c r="PMR44" s="9"/>
      <c r="PMS44" s="9"/>
      <c r="PMT44" s="9"/>
      <c r="PMU44" s="9"/>
      <c r="PMV44" s="9"/>
      <c r="PMW44" s="9"/>
      <c r="PMX44" s="9"/>
      <c r="PMY44" s="9"/>
      <c r="PMZ44" s="9"/>
      <c r="PNA44" s="9"/>
      <c r="PNB44" s="9"/>
      <c r="PNC44" s="9"/>
      <c r="PND44" s="9"/>
      <c r="PNE44" s="9"/>
      <c r="PNF44" s="9"/>
      <c r="PNG44" s="9"/>
      <c r="PNH44" s="9"/>
      <c r="PNI44" s="9"/>
      <c r="PNJ44" s="9"/>
      <c r="PNK44" s="9"/>
      <c r="PNL44" s="9"/>
      <c r="PNM44" s="9"/>
      <c r="PNN44" s="9"/>
      <c r="PNO44" s="9"/>
      <c r="PNP44" s="9"/>
      <c r="PNQ44" s="9"/>
      <c r="PNR44" s="9"/>
      <c r="PNS44" s="9"/>
      <c r="PNT44" s="9"/>
      <c r="PNU44" s="9"/>
      <c r="PNV44" s="9"/>
      <c r="PNW44" s="9"/>
      <c r="PNX44" s="9"/>
      <c r="PNY44" s="9"/>
      <c r="PNZ44" s="9"/>
      <c r="POA44" s="9"/>
      <c r="POB44" s="9"/>
      <c r="POC44" s="9"/>
      <c r="POD44" s="9"/>
      <c r="POE44" s="9"/>
      <c r="POF44" s="9"/>
      <c r="POG44" s="9"/>
      <c r="POH44" s="9"/>
      <c r="POI44" s="9"/>
      <c r="POJ44" s="9"/>
      <c r="POK44" s="9"/>
      <c r="POL44" s="9"/>
      <c r="POM44" s="9"/>
      <c r="PON44" s="9"/>
      <c r="POO44" s="9"/>
      <c r="POP44" s="9"/>
      <c r="POQ44" s="9"/>
      <c r="POR44" s="9"/>
      <c r="POS44" s="9"/>
      <c r="POT44" s="9"/>
      <c r="POU44" s="9"/>
      <c r="POV44" s="9"/>
      <c r="POW44" s="9"/>
      <c r="POX44" s="9"/>
      <c r="POY44" s="9"/>
      <c r="POZ44" s="9"/>
      <c r="PPA44" s="9"/>
      <c r="PPB44" s="9"/>
      <c r="PPC44" s="9"/>
      <c r="PPD44" s="9"/>
      <c r="PPE44" s="9"/>
      <c r="PPF44" s="9"/>
      <c r="PPG44" s="9"/>
      <c r="PPH44" s="9"/>
      <c r="PPI44" s="9"/>
      <c r="PPJ44" s="9"/>
      <c r="PPK44" s="9"/>
      <c r="PPL44" s="9"/>
      <c r="PPM44" s="9"/>
      <c r="PPN44" s="9"/>
      <c r="PPO44" s="9"/>
      <c r="PPP44" s="9"/>
      <c r="PPQ44" s="9"/>
      <c r="PPR44" s="9"/>
      <c r="PPS44" s="9"/>
      <c r="PPT44" s="9"/>
      <c r="PPU44" s="9"/>
      <c r="PPV44" s="9"/>
      <c r="PPW44" s="9"/>
      <c r="PPX44" s="9"/>
      <c r="PPY44" s="9"/>
      <c r="PPZ44" s="9"/>
      <c r="PQA44" s="9"/>
      <c r="PQB44" s="9"/>
      <c r="PQC44" s="9"/>
      <c r="PQD44" s="9"/>
      <c r="PQE44" s="9"/>
      <c r="PQF44" s="9"/>
      <c r="PQG44" s="9"/>
      <c r="PQH44" s="9"/>
      <c r="PQI44" s="9"/>
      <c r="PQJ44" s="9"/>
      <c r="PQK44" s="9"/>
      <c r="PQL44" s="9"/>
      <c r="PQM44" s="9"/>
      <c r="PQN44" s="9"/>
      <c r="PQO44" s="9"/>
      <c r="PQP44" s="9"/>
      <c r="PQQ44" s="9"/>
      <c r="PQR44" s="9"/>
      <c r="PQS44" s="9"/>
      <c r="PQT44" s="9"/>
      <c r="PQU44" s="9"/>
      <c r="PQV44" s="9"/>
      <c r="PQW44" s="9"/>
      <c r="PQX44" s="9"/>
      <c r="PQY44" s="9"/>
      <c r="PQZ44" s="9"/>
      <c r="PRA44" s="9"/>
      <c r="PRB44" s="9"/>
      <c r="PRC44" s="9"/>
      <c r="PRD44" s="9"/>
      <c r="PRE44" s="9"/>
      <c r="PRF44" s="9"/>
      <c r="PRG44" s="9"/>
      <c r="PRH44" s="9"/>
      <c r="PRI44" s="9"/>
      <c r="PRJ44" s="9"/>
      <c r="PRK44" s="9"/>
      <c r="PRL44" s="9"/>
      <c r="PRM44" s="9"/>
      <c r="PRN44" s="9"/>
      <c r="PRO44" s="9"/>
      <c r="PRP44" s="9"/>
      <c r="PRQ44" s="9"/>
      <c r="PRR44" s="9"/>
      <c r="PRS44" s="9"/>
      <c r="PRT44" s="9"/>
      <c r="PRU44" s="9"/>
      <c r="PRV44" s="9"/>
      <c r="PRW44" s="9"/>
      <c r="PRX44" s="9"/>
      <c r="PRY44" s="9"/>
      <c r="PRZ44" s="9"/>
      <c r="PSA44" s="9"/>
      <c r="PSB44" s="9"/>
      <c r="PSC44" s="9"/>
      <c r="PSD44" s="9"/>
      <c r="PSE44" s="9"/>
      <c r="PSF44" s="9"/>
      <c r="PSG44" s="9"/>
      <c r="PSH44" s="9"/>
      <c r="PSI44" s="9"/>
      <c r="PSJ44" s="9"/>
      <c r="PSK44" s="9"/>
      <c r="PSL44" s="9"/>
      <c r="PSM44" s="9"/>
      <c r="PSN44" s="9"/>
      <c r="PSO44" s="9"/>
      <c r="PSP44" s="9"/>
      <c r="PSQ44" s="9"/>
      <c r="PSR44" s="9"/>
      <c r="PSS44" s="9"/>
      <c r="PST44" s="9"/>
      <c r="PSU44" s="9"/>
      <c r="PSV44" s="9"/>
      <c r="PSW44" s="9"/>
      <c r="PSX44" s="9"/>
      <c r="PSY44" s="9"/>
      <c r="PSZ44" s="9"/>
      <c r="PTA44" s="9"/>
      <c r="PTB44" s="9"/>
      <c r="PTC44" s="9"/>
      <c r="PTD44" s="9"/>
      <c r="PTE44" s="9"/>
      <c r="PTF44" s="9"/>
      <c r="PTG44" s="9"/>
      <c r="PTH44" s="9"/>
      <c r="PTI44" s="9"/>
      <c r="PTJ44" s="9"/>
      <c r="PTK44" s="9"/>
      <c r="PTL44" s="9"/>
      <c r="PTM44" s="9"/>
      <c r="PTN44" s="9"/>
      <c r="PTO44" s="9"/>
      <c r="PTP44" s="9"/>
      <c r="PTQ44" s="9"/>
      <c r="PTR44" s="9"/>
      <c r="PTS44" s="9"/>
      <c r="PTT44" s="9"/>
      <c r="PTU44" s="9"/>
      <c r="PTV44" s="9"/>
      <c r="PTW44" s="9"/>
      <c r="PTX44" s="9"/>
      <c r="PTY44" s="9"/>
      <c r="PTZ44" s="9"/>
      <c r="PUA44" s="9"/>
      <c r="PUB44" s="9"/>
      <c r="PUC44" s="9"/>
      <c r="PUD44" s="9"/>
      <c r="PUE44" s="9"/>
      <c r="PUF44" s="9"/>
      <c r="PUG44" s="9"/>
      <c r="PUH44" s="9"/>
      <c r="PUI44" s="9"/>
      <c r="PUJ44" s="9"/>
      <c r="PUK44" s="9"/>
      <c r="PUL44" s="9"/>
      <c r="PUM44" s="9"/>
      <c r="PUN44" s="9"/>
      <c r="PUO44" s="9"/>
      <c r="PUP44" s="9"/>
      <c r="PUQ44" s="9"/>
      <c r="PUR44" s="9"/>
      <c r="PUS44" s="9"/>
      <c r="PUT44" s="9"/>
      <c r="PUU44" s="9"/>
      <c r="PUV44" s="9"/>
      <c r="PUW44" s="9"/>
      <c r="PUX44" s="9"/>
      <c r="PUY44" s="9"/>
      <c r="PUZ44" s="9"/>
      <c r="PVA44" s="9"/>
      <c r="PVB44" s="9"/>
      <c r="PVC44" s="9"/>
      <c r="PVD44" s="9"/>
      <c r="PVE44" s="9"/>
      <c r="PVF44" s="9"/>
      <c r="PVG44" s="9"/>
      <c r="PVH44" s="9"/>
      <c r="PVI44" s="9"/>
      <c r="PVJ44" s="9"/>
      <c r="PVK44" s="9"/>
      <c r="PVL44" s="9"/>
      <c r="PVM44" s="9"/>
      <c r="PVN44" s="9"/>
      <c r="PVO44" s="9"/>
      <c r="PVP44" s="9"/>
      <c r="PVQ44" s="9"/>
      <c r="PVR44" s="9"/>
      <c r="PVS44" s="9"/>
      <c r="PVT44" s="9"/>
      <c r="PVU44" s="9"/>
      <c r="PVV44" s="9"/>
      <c r="PVW44" s="9"/>
      <c r="PVX44" s="9"/>
      <c r="PVY44" s="9"/>
      <c r="PVZ44" s="9"/>
      <c r="PWA44" s="9"/>
      <c r="PWB44" s="9"/>
      <c r="PWC44" s="9"/>
      <c r="PWD44" s="9"/>
      <c r="PWE44" s="9"/>
      <c r="PWF44" s="9"/>
      <c r="PWG44" s="9"/>
      <c r="PWH44" s="9"/>
      <c r="PWI44" s="9"/>
      <c r="PWJ44" s="9"/>
      <c r="PWK44" s="9"/>
      <c r="PWL44" s="9"/>
      <c r="PWM44" s="9"/>
      <c r="PWN44" s="9"/>
      <c r="PWO44" s="9"/>
      <c r="PWP44" s="9"/>
      <c r="PWQ44" s="9"/>
      <c r="PWR44" s="9"/>
      <c r="PWS44" s="9"/>
      <c r="PWT44" s="9"/>
      <c r="PWU44" s="9"/>
      <c r="PWV44" s="9"/>
      <c r="PWW44" s="9"/>
      <c r="PWX44" s="9"/>
      <c r="PWY44" s="9"/>
      <c r="PWZ44" s="9"/>
      <c r="PXA44" s="9"/>
      <c r="PXB44" s="9"/>
      <c r="PXC44" s="9"/>
      <c r="PXD44" s="9"/>
      <c r="PXE44" s="9"/>
      <c r="PXF44" s="9"/>
      <c r="PXG44" s="9"/>
      <c r="PXH44" s="9"/>
      <c r="PXI44" s="9"/>
      <c r="PXJ44" s="9"/>
      <c r="PXK44" s="9"/>
      <c r="PXL44" s="9"/>
      <c r="PXM44" s="9"/>
      <c r="PXN44" s="9"/>
      <c r="PXO44" s="9"/>
      <c r="PXP44" s="9"/>
      <c r="PXQ44" s="9"/>
      <c r="PXR44" s="9"/>
      <c r="PXS44" s="9"/>
      <c r="PXT44" s="9"/>
      <c r="PXU44" s="9"/>
      <c r="PXV44" s="9"/>
      <c r="PXW44" s="9"/>
      <c r="PXX44" s="9"/>
      <c r="PXY44" s="9"/>
      <c r="PXZ44" s="9"/>
      <c r="PYA44" s="9"/>
      <c r="PYB44" s="9"/>
      <c r="PYC44" s="9"/>
      <c r="PYD44" s="9"/>
      <c r="PYE44" s="9"/>
      <c r="PYF44" s="9"/>
      <c r="PYG44" s="9"/>
      <c r="PYH44" s="9"/>
      <c r="PYI44" s="9"/>
      <c r="PYJ44" s="9"/>
      <c r="PYK44" s="9"/>
      <c r="PYL44" s="9"/>
      <c r="PYM44" s="9"/>
      <c r="PYN44" s="9"/>
      <c r="PYO44" s="9"/>
      <c r="PYP44" s="9"/>
      <c r="PYQ44" s="9"/>
      <c r="PYR44" s="9"/>
      <c r="PYS44" s="9"/>
      <c r="PYT44" s="9"/>
      <c r="PYU44" s="9"/>
      <c r="PYV44" s="9"/>
      <c r="PYW44" s="9"/>
      <c r="PYX44" s="9"/>
      <c r="PYY44" s="9"/>
      <c r="PYZ44" s="9"/>
      <c r="PZA44" s="9"/>
      <c r="PZB44" s="9"/>
      <c r="PZC44" s="9"/>
      <c r="PZD44" s="9"/>
      <c r="PZE44" s="9"/>
      <c r="PZF44" s="9"/>
      <c r="PZG44" s="9"/>
      <c r="PZH44" s="9"/>
      <c r="PZI44" s="9"/>
      <c r="PZJ44" s="9"/>
      <c r="PZK44" s="9"/>
      <c r="PZL44" s="9"/>
      <c r="PZM44" s="9"/>
      <c r="PZN44" s="9"/>
      <c r="PZO44" s="9"/>
      <c r="PZP44" s="9"/>
      <c r="PZQ44" s="9"/>
      <c r="PZR44" s="9"/>
      <c r="PZS44" s="9"/>
      <c r="PZT44" s="9"/>
      <c r="PZU44" s="9"/>
      <c r="PZV44" s="9"/>
      <c r="PZW44" s="9"/>
      <c r="PZX44" s="9"/>
      <c r="PZY44" s="9"/>
      <c r="PZZ44" s="9"/>
      <c r="QAA44" s="9"/>
      <c r="QAB44" s="9"/>
      <c r="QAC44" s="9"/>
      <c r="QAD44" s="9"/>
      <c r="QAE44" s="9"/>
      <c r="QAF44" s="9"/>
      <c r="QAG44" s="9"/>
      <c r="QAH44" s="9"/>
      <c r="QAI44" s="9"/>
      <c r="QAJ44" s="9"/>
      <c r="QAK44" s="9"/>
      <c r="QAL44" s="9"/>
      <c r="QAM44" s="9"/>
      <c r="QAN44" s="9"/>
      <c r="QAO44" s="9"/>
      <c r="QAP44" s="9"/>
      <c r="QAQ44" s="9"/>
      <c r="QAR44" s="9"/>
      <c r="QAS44" s="9"/>
      <c r="QAT44" s="9"/>
      <c r="QAU44" s="9"/>
      <c r="QAV44" s="9"/>
      <c r="QAW44" s="9"/>
      <c r="QAX44" s="9"/>
      <c r="QAY44" s="9"/>
      <c r="QAZ44" s="9"/>
      <c r="QBA44" s="9"/>
      <c r="QBB44" s="9"/>
      <c r="QBC44" s="9"/>
      <c r="QBD44" s="9"/>
      <c r="QBE44" s="9"/>
      <c r="QBF44" s="9"/>
      <c r="QBG44" s="9"/>
      <c r="QBH44" s="9"/>
      <c r="QBI44" s="9"/>
      <c r="QBJ44" s="9"/>
      <c r="QBK44" s="9"/>
      <c r="QBL44" s="9"/>
      <c r="QBM44" s="9"/>
      <c r="QBN44" s="9"/>
      <c r="QBO44" s="9"/>
      <c r="QBP44" s="9"/>
      <c r="QBQ44" s="9"/>
      <c r="QBR44" s="9"/>
      <c r="QBS44" s="9"/>
      <c r="QBT44" s="9"/>
      <c r="QBU44" s="9"/>
      <c r="QBV44" s="9"/>
      <c r="QBW44" s="9"/>
      <c r="QBX44" s="9"/>
      <c r="QBY44" s="9"/>
      <c r="QBZ44" s="9"/>
      <c r="QCA44" s="9"/>
      <c r="QCB44" s="9"/>
      <c r="QCC44" s="9"/>
      <c r="QCD44" s="9"/>
      <c r="QCE44" s="9"/>
      <c r="QCF44" s="9"/>
      <c r="QCG44" s="9"/>
      <c r="QCH44" s="9"/>
      <c r="QCI44" s="9"/>
      <c r="QCJ44" s="9"/>
      <c r="QCK44" s="9"/>
      <c r="QCL44" s="9"/>
      <c r="QCM44" s="9"/>
      <c r="QCN44" s="9"/>
      <c r="QCO44" s="9"/>
      <c r="QCP44" s="9"/>
      <c r="QCQ44" s="9"/>
      <c r="QCR44" s="9"/>
      <c r="QCS44" s="9"/>
      <c r="QCT44" s="9"/>
      <c r="QCU44" s="9"/>
      <c r="QCV44" s="9"/>
      <c r="QCW44" s="9"/>
      <c r="QCX44" s="9"/>
      <c r="QCY44" s="9"/>
      <c r="QCZ44" s="9"/>
      <c r="QDA44" s="9"/>
      <c r="QDB44" s="9"/>
      <c r="QDC44" s="9"/>
      <c r="QDD44" s="9"/>
      <c r="QDE44" s="9"/>
      <c r="QDF44" s="9"/>
      <c r="QDG44" s="9"/>
      <c r="QDH44" s="9"/>
      <c r="QDI44" s="9"/>
      <c r="QDJ44" s="9"/>
      <c r="QDK44" s="9"/>
      <c r="QDL44" s="9"/>
      <c r="QDM44" s="9"/>
      <c r="QDN44" s="9"/>
      <c r="QDO44" s="9"/>
      <c r="QDP44" s="9"/>
      <c r="QDQ44" s="9"/>
      <c r="QDR44" s="9"/>
      <c r="QDS44" s="9"/>
      <c r="QDT44" s="9"/>
      <c r="QDU44" s="9"/>
      <c r="QDV44" s="9"/>
      <c r="QDW44" s="9"/>
      <c r="QDX44" s="9"/>
      <c r="QDY44" s="9"/>
      <c r="QDZ44" s="9"/>
      <c r="QEA44" s="9"/>
      <c r="QEB44" s="9"/>
      <c r="QEC44" s="9"/>
      <c r="QED44" s="9"/>
      <c r="QEE44" s="9"/>
      <c r="QEF44" s="9"/>
      <c r="QEG44" s="9"/>
      <c r="QEH44" s="9"/>
      <c r="QEI44" s="9"/>
      <c r="QEJ44" s="9"/>
      <c r="QEK44" s="9"/>
      <c r="QEL44" s="9"/>
      <c r="QEM44" s="9"/>
      <c r="QEN44" s="9"/>
      <c r="QEO44" s="9"/>
      <c r="QEP44" s="9"/>
      <c r="QEQ44" s="9"/>
      <c r="QER44" s="9"/>
      <c r="QES44" s="9"/>
      <c r="QET44" s="9"/>
      <c r="QEU44" s="9"/>
      <c r="QEV44" s="9"/>
      <c r="QEW44" s="9"/>
      <c r="QEX44" s="9"/>
      <c r="QEY44" s="9"/>
      <c r="QEZ44" s="9"/>
      <c r="QFA44" s="9"/>
      <c r="QFB44" s="9"/>
      <c r="QFC44" s="9"/>
      <c r="QFD44" s="9"/>
      <c r="QFE44" s="9"/>
      <c r="QFF44" s="9"/>
      <c r="QFG44" s="9"/>
      <c r="QFH44" s="9"/>
      <c r="QFI44" s="9"/>
      <c r="QFJ44" s="9"/>
      <c r="QFK44" s="9"/>
      <c r="QFL44" s="9"/>
      <c r="QFM44" s="9"/>
      <c r="QFN44" s="9"/>
      <c r="QFO44" s="9"/>
      <c r="QFP44" s="9"/>
      <c r="QFQ44" s="9"/>
      <c r="QFR44" s="9"/>
      <c r="QFS44" s="9"/>
      <c r="QFT44" s="9"/>
      <c r="QFU44" s="9"/>
      <c r="QFV44" s="9"/>
      <c r="QFW44" s="9"/>
      <c r="QFX44" s="9"/>
      <c r="QFY44" s="9"/>
      <c r="QFZ44" s="9"/>
      <c r="QGA44" s="9"/>
      <c r="QGB44" s="9"/>
      <c r="QGC44" s="9"/>
      <c r="QGD44" s="9"/>
      <c r="QGE44" s="9"/>
      <c r="QGF44" s="9"/>
      <c r="QGG44" s="9"/>
      <c r="QGH44" s="9"/>
      <c r="QGI44" s="9"/>
      <c r="QGJ44" s="9"/>
      <c r="QGK44" s="9"/>
      <c r="QGL44" s="9"/>
      <c r="QGM44" s="9"/>
      <c r="QGN44" s="9"/>
      <c r="QGO44" s="9"/>
      <c r="QGP44" s="9"/>
      <c r="QGQ44" s="9"/>
      <c r="QGR44" s="9"/>
      <c r="QGS44" s="9"/>
      <c r="QGT44" s="9"/>
      <c r="QGU44" s="9"/>
      <c r="QGV44" s="9"/>
      <c r="QGW44" s="9"/>
      <c r="QGX44" s="9"/>
      <c r="QGY44" s="9"/>
      <c r="QGZ44" s="9"/>
      <c r="QHA44" s="9"/>
      <c r="QHB44" s="9"/>
      <c r="QHC44" s="9"/>
      <c r="QHD44" s="9"/>
      <c r="QHE44" s="9"/>
      <c r="QHF44" s="9"/>
      <c r="QHG44" s="9"/>
      <c r="QHH44" s="9"/>
      <c r="QHI44" s="9"/>
      <c r="QHJ44" s="9"/>
      <c r="QHK44" s="9"/>
      <c r="QHL44" s="9"/>
      <c r="QHM44" s="9"/>
      <c r="QHN44" s="9"/>
      <c r="QHO44" s="9"/>
      <c r="QHP44" s="9"/>
      <c r="QHQ44" s="9"/>
      <c r="QHR44" s="9"/>
      <c r="QHS44" s="9"/>
      <c r="QHT44" s="9"/>
      <c r="QHU44" s="9"/>
      <c r="QHV44" s="9"/>
      <c r="QHW44" s="9"/>
      <c r="QHX44" s="9"/>
      <c r="QHY44" s="9"/>
      <c r="QHZ44" s="9"/>
      <c r="QIA44" s="9"/>
      <c r="QIB44" s="9"/>
      <c r="QIC44" s="9"/>
      <c r="QID44" s="9"/>
      <c r="QIE44" s="9"/>
      <c r="QIF44" s="9"/>
      <c r="QIG44" s="9"/>
      <c r="QIH44" s="9"/>
      <c r="QII44" s="9"/>
      <c r="QIJ44" s="9"/>
      <c r="QIK44" s="9"/>
      <c r="QIL44" s="9"/>
      <c r="QIM44" s="9"/>
      <c r="QIN44" s="9"/>
      <c r="QIO44" s="9"/>
      <c r="QIP44" s="9"/>
      <c r="QIQ44" s="9"/>
      <c r="QIR44" s="9"/>
      <c r="QIS44" s="9"/>
      <c r="QIT44" s="9"/>
      <c r="QIU44" s="9"/>
      <c r="QIV44" s="9"/>
      <c r="QIW44" s="9"/>
      <c r="QIX44" s="9"/>
      <c r="QIY44" s="9"/>
      <c r="QIZ44" s="9"/>
      <c r="QJA44" s="9"/>
      <c r="QJB44" s="9"/>
      <c r="QJC44" s="9"/>
      <c r="QJD44" s="9"/>
      <c r="QJE44" s="9"/>
      <c r="QJF44" s="9"/>
      <c r="QJG44" s="9"/>
      <c r="QJH44" s="9"/>
      <c r="QJI44" s="9"/>
      <c r="QJJ44" s="9"/>
      <c r="QJK44" s="9"/>
      <c r="QJL44" s="9"/>
      <c r="QJM44" s="9"/>
      <c r="QJN44" s="9"/>
      <c r="QJO44" s="9"/>
      <c r="QJP44" s="9"/>
      <c r="QJQ44" s="9"/>
      <c r="QJR44" s="9"/>
      <c r="QJS44" s="9"/>
      <c r="QJT44" s="9"/>
      <c r="QJU44" s="9"/>
      <c r="QJV44" s="9"/>
      <c r="QJW44" s="9"/>
      <c r="QJX44" s="9"/>
      <c r="QJY44" s="9"/>
      <c r="QJZ44" s="9"/>
      <c r="QKA44" s="9"/>
      <c r="QKB44" s="9"/>
      <c r="QKC44" s="9"/>
      <c r="QKD44" s="9"/>
      <c r="QKE44" s="9"/>
      <c r="QKF44" s="9"/>
      <c r="QKG44" s="9"/>
      <c r="QKH44" s="9"/>
      <c r="QKI44" s="9"/>
      <c r="QKJ44" s="9"/>
      <c r="QKK44" s="9"/>
      <c r="QKL44" s="9"/>
      <c r="QKM44" s="9"/>
      <c r="QKN44" s="9"/>
      <c r="QKO44" s="9"/>
      <c r="QKP44" s="9"/>
      <c r="QKQ44" s="9"/>
      <c r="QKR44" s="9"/>
      <c r="QKS44" s="9"/>
      <c r="QKT44" s="9"/>
      <c r="QKU44" s="9"/>
      <c r="QKV44" s="9"/>
      <c r="QKW44" s="9"/>
      <c r="QKX44" s="9"/>
      <c r="QKY44" s="9"/>
      <c r="QKZ44" s="9"/>
      <c r="QLA44" s="9"/>
      <c r="QLB44" s="9"/>
      <c r="QLC44" s="9"/>
      <c r="QLD44" s="9"/>
      <c r="QLE44" s="9"/>
      <c r="QLF44" s="9"/>
      <c r="QLG44" s="9"/>
      <c r="QLH44" s="9"/>
      <c r="QLI44" s="9"/>
      <c r="QLJ44" s="9"/>
      <c r="QLK44" s="9"/>
      <c r="QLL44" s="9"/>
      <c r="QLM44" s="9"/>
      <c r="QLN44" s="9"/>
      <c r="QLO44" s="9"/>
      <c r="QLP44" s="9"/>
      <c r="QLQ44" s="9"/>
      <c r="QLR44" s="9"/>
      <c r="QLS44" s="9"/>
      <c r="QLT44" s="9"/>
      <c r="QLU44" s="9"/>
      <c r="QLV44" s="9"/>
      <c r="QLW44" s="9"/>
      <c r="QLX44" s="9"/>
      <c r="QLY44" s="9"/>
      <c r="QLZ44" s="9"/>
      <c r="QMA44" s="9"/>
      <c r="QMB44" s="9"/>
      <c r="QMC44" s="9"/>
      <c r="QMD44" s="9"/>
      <c r="QME44" s="9"/>
      <c r="QMF44" s="9"/>
      <c r="QMG44" s="9"/>
      <c r="QMH44" s="9"/>
      <c r="QMI44" s="9"/>
      <c r="QMJ44" s="9"/>
      <c r="QMK44" s="9"/>
      <c r="QML44" s="9"/>
      <c r="QMM44" s="9"/>
      <c r="QMN44" s="9"/>
      <c r="QMO44" s="9"/>
      <c r="QMP44" s="9"/>
      <c r="QMQ44" s="9"/>
      <c r="QMR44" s="9"/>
      <c r="QMS44" s="9"/>
      <c r="QMT44" s="9"/>
      <c r="QMU44" s="9"/>
      <c r="QMV44" s="9"/>
      <c r="QMW44" s="9"/>
      <c r="QMX44" s="9"/>
      <c r="QMY44" s="9"/>
      <c r="QMZ44" s="9"/>
      <c r="QNA44" s="9"/>
      <c r="QNB44" s="9"/>
      <c r="QNC44" s="9"/>
      <c r="QND44" s="9"/>
      <c r="QNE44" s="9"/>
      <c r="QNF44" s="9"/>
      <c r="QNG44" s="9"/>
      <c r="QNH44" s="9"/>
      <c r="QNI44" s="9"/>
      <c r="QNJ44" s="9"/>
      <c r="QNK44" s="9"/>
      <c r="QNL44" s="9"/>
      <c r="QNM44" s="9"/>
      <c r="QNN44" s="9"/>
      <c r="QNO44" s="9"/>
      <c r="QNP44" s="9"/>
      <c r="QNQ44" s="9"/>
      <c r="QNR44" s="9"/>
      <c r="QNS44" s="9"/>
      <c r="QNT44" s="9"/>
      <c r="QNU44" s="9"/>
      <c r="QNV44" s="9"/>
      <c r="QNW44" s="9"/>
      <c r="QNX44" s="9"/>
      <c r="QNY44" s="9"/>
      <c r="QNZ44" s="9"/>
      <c r="QOA44" s="9"/>
      <c r="QOB44" s="9"/>
      <c r="QOC44" s="9"/>
      <c r="QOD44" s="9"/>
      <c r="QOE44" s="9"/>
      <c r="QOF44" s="9"/>
      <c r="QOG44" s="9"/>
      <c r="QOH44" s="9"/>
      <c r="QOI44" s="9"/>
      <c r="QOJ44" s="9"/>
      <c r="QOK44" s="9"/>
      <c r="QOL44" s="9"/>
      <c r="QOM44" s="9"/>
      <c r="QON44" s="9"/>
      <c r="QOO44" s="9"/>
      <c r="QOP44" s="9"/>
      <c r="QOQ44" s="9"/>
      <c r="QOR44" s="9"/>
      <c r="QOS44" s="9"/>
      <c r="QOT44" s="9"/>
      <c r="QOU44" s="9"/>
      <c r="QOV44" s="9"/>
      <c r="QOW44" s="9"/>
      <c r="QOX44" s="9"/>
      <c r="QOY44" s="9"/>
      <c r="QOZ44" s="9"/>
      <c r="QPA44" s="9"/>
      <c r="QPB44" s="9"/>
      <c r="QPC44" s="9"/>
      <c r="QPD44" s="9"/>
      <c r="QPE44" s="9"/>
      <c r="QPF44" s="9"/>
      <c r="QPG44" s="9"/>
      <c r="QPH44" s="9"/>
      <c r="QPI44" s="9"/>
      <c r="QPJ44" s="9"/>
      <c r="QPK44" s="9"/>
      <c r="QPL44" s="9"/>
      <c r="QPM44" s="9"/>
      <c r="QPN44" s="9"/>
      <c r="QPO44" s="9"/>
      <c r="QPP44" s="9"/>
      <c r="QPQ44" s="9"/>
      <c r="QPR44" s="9"/>
      <c r="QPS44" s="9"/>
      <c r="QPT44" s="9"/>
      <c r="QPU44" s="9"/>
      <c r="QPV44" s="9"/>
      <c r="QPW44" s="9"/>
      <c r="QPX44" s="9"/>
      <c r="QPY44" s="9"/>
      <c r="QPZ44" s="9"/>
      <c r="QQA44" s="9"/>
      <c r="QQB44" s="9"/>
      <c r="QQC44" s="9"/>
      <c r="QQD44" s="9"/>
      <c r="QQE44" s="9"/>
      <c r="QQF44" s="9"/>
      <c r="QQG44" s="9"/>
      <c r="QQH44" s="9"/>
      <c r="QQI44" s="9"/>
      <c r="QQJ44" s="9"/>
      <c r="QQK44" s="9"/>
      <c r="QQL44" s="9"/>
      <c r="QQM44" s="9"/>
      <c r="QQN44" s="9"/>
      <c r="QQO44" s="9"/>
      <c r="QQP44" s="9"/>
      <c r="QQQ44" s="9"/>
      <c r="QQR44" s="9"/>
      <c r="QQS44" s="9"/>
      <c r="QQT44" s="9"/>
      <c r="QQU44" s="9"/>
      <c r="QQV44" s="9"/>
      <c r="QQW44" s="9"/>
      <c r="QQX44" s="9"/>
      <c r="QQY44" s="9"/>
      <c r="QQZ44" s="9"/>
      <c r="QRA44" s="9"/>
      <c r="QRB44" s="9"/>
      <c r="QRC44" s="9"/>
      <c r="QRD44" s="9"/>
      <c r="QRE44" s="9"/>
      <c r="QRF44" s="9"/>
      <c r="QRG44" s="9"/>
      <c r="QRH44" s="9"/>
      <c r="QRI44" s="9"/>
      <c r="QRJ44" s="9"/>
      <c r="QRK44" s="9"/>
      <c r="QRL44" s="9"/>
      <c r="QRM44" s="9"/>
      <c r="QRN44" s="9"/>
      <c r="QRO44" s="9"/>
      <c r="QRP44" s="9"/>
      <c r="QRQ44" s="9"/>
      <c r="QRR44" s="9"/>
      <c r="QRS44" s="9"/>
      <c r="QRT44" s="9"/>
      <c r="QRU44" s="9"/>
      <c r="QRV44" s="9"/>
      <c r="QRW44" s="9"/>
      <c r="QRX44" s="9"/>
      <c r="QRY44" s="9"/>
      <c r="QRZ44" s="9"/>
      <c r="QSA44" s="9"/>
      <c r="QSB44" s="9"/>
      <c r="QSC44" s="9"/>
      <c r="QSD44" s="9"/>
      <c r="QSE44" s="9"/>
      <c r="QSF44" s="9"/>
      <c r="QSG44" s="9"/>
      <c r="QSH44" s="9"/>
      <c r="QSI44" s="9"/>
      <c r="QSJ44" s="9"/>
      <c r="QSK44" s="9"/>
      <c r="QSL44" s="9"/>
      <c r="QSM44" s="9"/>
      <c r="QSN44" s="9"/>
      <c r="QSO44" s="9"/>
      <c r="QSP44" s="9"/>
      <c r="QSQ44" s="9"/>
      <c r="QSR44" s="9"/>
      <c r="QSS44" s="9"/>
      <c r="QST44" s="9"/>
      <c r="QSU44" s="9"/>
      <c r="QSV44" s="9"/>
      <c r="QSW44" s="9"/>
      <c r="QSX44" s="9"/>
      <c r="QSY44" s="9"/>
      <c r="QSZ44" s="9"/>
      <c r="QTA44" s="9"/>
      <c r="QTB44" s="9"/>
      <c r="QTC44" s="9"/>
      <c r="QTD44" s="9"/>
      <c r="QTE44" s="9"/>
      <c r="QTF44" s="9"/>
      <c r="QTG44" s="9"/>
      <c r="QTH44" s="9"/>
      <c r="QTI44" s="9"/>
      <c r="QTJ44" s="9"/>
      <c r="QTK44" s="9"/>
      <c r="QTL44" s="9"/>
      <c r="QTM44" s="9"/>
      <c r="QTN44" s="9"/>
      <c r="QTO44" s="9"/>
      <c r="QTP44" s="9"/>
      <c r="QTQ44" s="9"/>
      <c r="QTR44" s="9"/>
      <c r="QTS44" s="9"/>
      <c r="QTT44" s="9"/>
      <c r="QTU44" s="9"/>
      <c r="QTV44" s="9"/>
      <c r="QTW44" s="9"/>
      <c r="QTX44" s="9"/>
      <c r="QTY44" s="9"/>
      <c r="QTZ44" s="9"/>
      <c r="QUA44" s="9"/>
      <c r="QUB44" s="9"/>
      <c r="QUC44" s="9"/>
      <c r="QUD44" s="9"/>
      <c r="QUE44" s="9"/>
      <c r="QUF44" s="9"/>
      <c r="QUG44" s="9"/>
      <c r="QUH44" s="9"/>
      <c r="QUI44" s="9"/>
      <c r="QUJ44" s="9"/>
      <c r="QUK44" s="9"/>
      <c r="QUL44" s="9"/>
      <c r="QUM44" s="9"/>
      <c r="QUN44" s="9"/>
      <c r="QUO44" s="9"/>
      <c r="QUP44" s="9"/>
      <c r="QUQ44" s="9"/>
      <c r="QUR44" s="9"/>
      <c r="QUS44" s="9"/>
      <c r="QUT44" s="9"/>
      <c r="QUU44" s="9"/>
      <c r="QUV44" s="9"/>
      <c r="QUW44" s="9"/>
      <c r="QUX44" s="9"/>
      <c r="QUY44" s="9"/>
      <c r="QUZ44" s="9"/>
      <c r="QVA44" s="9"/>
      <c r="QVB44" s="9"/>
      <c r="QVC44" s="9"/>
      <c r="QVD44" s="9"/>
      <c r="QVE44" s="9"/>
      <c r="QVF44" s="9"/>
      <c r="QVG44" s="9"/>
      <c r="QVH44" s="9"/>
      <c r="QVI44" s="9"/>
      <c r="QVJ44" s="9"/>
      <c r="QVK44" s="9"/>
      <c r="QVL44" s="9"/>
      <c r="QVM44" s="9"/>
      <c r="QVN44" s="9"/>
      <c r="QVO44" s="9"/>
      <c r="QVP44" s="9"/>
      <c r="QVQ44" s="9"/>
      <c r="QVR44" s="9"/>
      <c r="QVS44" s="9"/>
      <c r="QVT44" s="9"/>
      <c r="QVU44" s="9"/>
      <c r="QVV44" s="9"/>
      <c r="QVW44" s="9"/>
      <c r="QVX44" s="9"/>
      <c r="QVY44" s="9"/>
      <c r="QVZ44" s="9"/>
      <c r="QWA44" s="9"/>
      <c r="QWB44" s="9"/>
      <c r="QWC44" s="9"/>
      <c r="QWD44" s="9"/>
      <c r="QWE44" s="9"/>
      <c r="QWF44" s="9"/>
      <c r="QWG44" s="9"/>
      <c r="QWH44" s="9"/>
      <c r="QWI44" s="9"/>
      <c r="QWJ44" s="9"/>
      <c r="QWK44" s="9"/>
      <c r="QWL44" s="9"/>
      <c r="QWM44" s="9"/>
      <c r="QWN44" s="9"/>
      <c r="QWO44" s="9"/>
      <c r="QWP44" s="9"/>
      <c r="QWQ44" s="9"/>
      <c r="QWR44" s="9"/>
      <c r="QWS44" s="9"/>
      <c r="QWT44" s="9"/>
      <c r="QWU44" s="9"/>
      <c r="QWV44" s="9"/>
      <c r="QWW44" s="9"/>
      <c r="QWX44" s="9"/>
      <c r="QWY44" s="9"/>
      <c r="QWZ44" s="9"/>
      <c r="QXA44" s="9"/>
      <c r="QXB44" s="9"/>
      <c r="QXC44" s="9"/>
      <c r="QXD44" s="9"/>
      <c r="QXE44" s="9"/>
      <c r="QXF44" s="9"/>
      <c r="QXG44" s="9"/>
      <c r="QXH44" s="9"/>
      <c r="QXI44" s="9"/>
      <c r="QXJ44" s="9"/>
      <c r="QXK44" s="9"/>
      <c r="QXL44" s="9"/>
      <c r="QXM44" s="9"/>
      <c r="QXN44" s="9"/>
      <c r="QXO44" s="9"/>
      <c r="QXP44" s="9"/>
      <c r="QXQ44" s="9"/>
      <c r="QXR44" s="9"/>
      <c r="QXS44" s="9"/>
      <c r="QXT44" s="9"/>
      <c r="QXU44" s="9"/>
      <c r="QXV44" s="9"/>
      <c r="QXW44" s="9"/>
      <c r="QXX44" s="9"/>
      <c r="QXY44" s="9"/>
      <c r="QXZ44" s="9"/>
      <c r="QYA44" s="9"/>
      <c r="QYB44" s="9"/>
      <c r="QYC44" s="9"/>
      <c r="QYD44" s="9"/>
      <c r="QYE44" s="9"/>
      <c r="QYF44" s="9"/>
      <c r="QYG44" s="9"/>
      <c r="QYH44" s="9"/>
      <c r="QYI44" s="9"/>
      <c r="QYJ44" s="9"/>
      <c r="QYK44" s="9"/>
      <c r="QYL44" s="9"/>
      <c r="QYM44" s="9"/>
      <c r="QYN44" s="9"/>
      <c r="QYO44" s="9"/>
      <c r="QYP44" s="9"/>
      <c r="QYQ44" s="9"/>
      <c r="QYR44" s="9"/>
      <c r="QYS44" s="9"/>
      <c r="QYT44" s="9"/>
      <c r="QYU44" s="9"/>
      <c r="QYV44" s="9"/>
      <c r="QYW44" s="9"/>
      <c r="QYX44" s="9"/>
      <c r="QYY44" s="9"/>
      <c r="QYZ44" s="9"/>
      <c r="QZA44" s="9"/>
      <c r="QZB44" s="9"/>
      <c r="QZC44" s="9"/>
      <c r="QZD44" s="9"/>
      <c r="QZE44" s="9"/>
      <c r="QZF44" s="9"/>
      <c r="QZG44" s="9"/>
      <c r="QZH44" s="9"/>
      <c r="QZI44" s="9"/>
      <c r="QZJ44" s="9"/>
      <c r="QZK44" s="9"/>
      <c r="QZL44" s="9"/>
      <c r="QZM44" s="9"/>
      <c r="QZN44" s="9"/>
      <c r="QZO44" s="9"/>
      <c r="QZP44" s="9"/>
      <c r="QZQ44" s="9"/>
      <c r="QZR44" s="9"/>
      <c r="QZS44" s="9"/>
      <c r="QZT44" s="9"/>
      <c r="QZU44" s="9"/>
      <c r="QZV44" s="9"/>
      <c r="QZW44" s="9"/>
      <c r="QZX44" s="9"/>
      <c r="QZY44" s="9"/>
      <c r="QZZ44" s="9"/>
      <c r="RAA44" s="9"/>
      <c r="RAB44" s="9"/>
      <c r="RAC44" s="9"/>
      <c r="RAD44" s="9"/>
      <c r="RAE44" s="9"/>
      <c r="RAF44" s="9"/>
      <c r="RAG44" s="9"/>
      <c r="RAH44" s="9"/>
      <c r="RAI44" s="9"/>
      <c r="RAJ44" s="9"/>
      <c r="RAK44" s="9"/>
      <c r="RAL44" s="9"/>
      <c r="RAM44" s="9"/>
      <c r="RAN44" s="9"/>
      <c r="RAO44" s="9"/>
      <c r="RAP44" s="9"/>
      <c r="RAQ44" s="9"/>
      <c r="RAR44" s="9"/>
      <c r="RAS44" s="9"/>
      <c r="RAT44" s="9"/>
      <c r="RAU44" s="9"/>
      <c r="RAV44" s="9"/>
      <c r="RAW44" s="9"/>
      <c r="RAX44" s="9"/>
      <c r="RAY44" s="9"/>
      <c r="RAZ44" s="9"/>
      <c r="RBA44" s="9"/>
      <c r="RBB44" s="9"/>
      <c r="RBC44" s="9"/>
      <c r="RBD44" s="9"/>
      <c r="RBE44" s="9"/>
      <c r="RBF44" s="9"/>
      <c r="RBG44" s="9"/>
      <c r="RBH44" s="9"/>
      <c r="RBI44" s="9"/>
      <c r="RBJ44" s="9"/>
      <c r="RBK44" s="9"/>
      <c r="RBL44" s="9"/>
      <c r="RBM44" s="9"/>
      <c r="RBN44" s="9"/>
      <c r="RBO44" s="9"/>
      <c r="RBP44" s="9"/>
      <c r="RBQ44" s="9"/>
      <c r="RBR44" s="9"/>
      <c r="RBS44" s="9"/>
      <c r="RBT44" s="9"/>
      <c r="RBU44" s="9"/>
      <c r="RBV44" s="9"/>
      <c r="RBW44" s="9"/>
      <c r="RBX44" s="9"/>
      <c r="RBY44" s="9"/>
      <c r="RBZ44" s="9"/>
      <c r="RCA44" s="9"/>
      <c r="RCB44" s="9"/>
      <c r="RCC44" s="9"/>
      <c r="RCD44" s="9"/>
      <c r="RCE44" s="9"/>
      <c r="RCF44" s="9"/>
      <c r="RCG44" s="9"/>
      <c r="RCH44" s="9"/>
      <c r="RCI44" s="9"/>
      <c r="RCJ44" s="9"/>
      <c r="RCK44" s="9"/>
      <c r="RCL44" s="9"/>
      <c r="RCM44" s="9"/>
      <c r="RCN44" s="9"/>
      <c r="RCO44" s="9"/>
      <c r="RCP44" s="9"/>
      <c r="RCQ44" s="9"/>
      <c r="RCR44" s="9"/>
      <c r="RCS44" s="9"/>
      <c r="RCT44" s="9"/>
      <c r="RCU44" s="9"/>
      <c r="RCV44" s="9"/>
      <c r="RCW44" s="9"/>
      <c r="RCX44" s="9"/>
      <c r="RCY44" s="9"/>
      <c r="RCZ44" s="9"/>
      <c r="RDA44" s="9"/>
      <c r="RDB44" s="9"/>
      <c r="RDC44" s="9"/>
      <c r="RDD44" s="9"/>
      <c r="RDE44" s="9"/>
      <c r="RDF44" s="9"/>
      <c r="RDG44" s="9"/>
      <c r="RDH44" s="9"/>
      <c r="RDI44" s="9"/>
      <c r="RDJ44" s="9"/>
      <c r="RDK44" s="9"/>
      <c r="RDL44" s="9"/>
      <c r="RDM44" s="9"/>
      <c r="RDN44" s="9"/>
      <c r="RDO44" s="9"/>
      <c r="RDP44" s="9"/>
      <c r="RDQ44" s="9"/>
      <c r="RDR44" s="9"/>
      <c r="RDS44" s="9"/>
      <c r="RDT44" s="9"/>
      <c r="RDU44" s="9"/>
      <c r="RDV44" s="9"/>
      <c r="RDW44" s="9"/>
      <c r="RDX44" s="9"/>
      <c r="RDY44" s="9"/>
      <c r="RDZ44" s="9"/>
      <c r="REA44" s="9"/>
      <c r="REB44" s="9"/>
      <c r="REC44" s="9"/>
      <c r="RED44" s="9"/>
      <c r="REE44" s="9"/>
      <c r="REF44" s="9"/>
      <c r="REG44" s="9"/>
      <c r="REH44" s="9"/>
      <c r="REI44" s="9"/>
      <c r="REJ44" s="9"/>
      <c r="REK44" s="9"/>
      <c r="REL44" s="9"/>
      <c r="REM44" s="9"/>
      <c r="REN44" s="9"/>
      <c r="REO44" s="9"/>
      <c r="REP44" s="9"/>
      <c r="REQ44" s="9"/>
      <c r="RER44" s="9"/>
      <c r="RES44" s="9"/>
      <c r="RET44" s="9"/>
      <c r="REU44" s="9"/>
      <c r="REV44" s="9"/>
      <c r="REW44" s="9"/>
      <c r="REX44" s="9"/>
      <c r="REY44" s="9"/>
      <c r="REZ44" s="9"/>
      <c r="RFA44" s="9"/>
      <c r="RFB44" s="9"/>
      <c r="RFC44" s="9"/>
      <c r="RFD44" s="9"/>
      <c r="RFE44" s="9"/>
      <c r="RFF44" s="9"/>
      <c r="RFG44" s="9"/>
      <c r="RFH44" s="9"/>
      <c r="RFI44" s="9"/>
      <c r="RFJ44" s="9"/>
      <c r="RFK44" s="9"/>
      <c r="RFL44" s="9"/>
      <c r="RFM44" s="9"/>
      <c r="RFN44" s="9"/>
      <c r="RFO44" s="9"/>
      <c r="RFP44" s="9"/>
      <c r="RFQ44" s="9"/>
      <c r="RFR44" s="9"/>
      <c r="RFS44" s="9"/>
      <c r="RFT44" s="9"/>
      <c r="RFU44" s="9"/>
      <c r="RFV44" s="9"/>
      <c r="RFW44" s="9"/>
      <c r="RFX44" s="9"/>
      <c r="RFY44" s="9"/>
      <c r="RFZ44" s="9"/>
      <c r="RGA44" s="9"/>
      <c r="RGB44" s="9"/>
      <c r="RGC44" s="9"/>
      <c r="RGD44" s="9"/>
      <c r="RGE44" s="9"/>
      <c r="RGF44" s="9"/>
      <c r="RGG44" s="9"/>
      <c r="RGH44" s="9"/>
      <c r="RGI44" s="9"/>
      <c r="RGJ44" s="9"/>
      <c r="RGK44" s="9"/>
      <c r="RGL44" s="9"/>
      <c r="RGM44" s="9"/>
      <c r="RGN44" s="9"/>
      <c r="RGO44" s="9"/>
      <c r="RGP44" s="9"/>
      <c r="RGQ44" s="9"/>
      <c r="RGR44" s="9"/>
      <c r="RGS44" s="9"/>
      <c r="RGT44" s="9"/>
      <c r="RGU44" s="9"/>
      <c r="RGV44" s="9"/>
      <c r="RGW44" s="9"/>
      <c r="RGX44" s="9"/>
      <c r="RGY44" s="9"/>
      <c r="RGZ44" s="9"/>
      <c r="RHA44" s="9"/>
      <c r="RHB44" s="9"/>
      <c r="RHC44" s="9"/>
      <c r="RHD44" s="9"/>
      <c r="RHE44" s="9"/>
      <c r="RHF44" s="9"/>
      <c r="RHG44" s="9"/>
      <c r="RHH44" s="9"/>
      <c r="RHI44" s="9"/>
      <c r="RHJ44" s="9"/>
      <c r="RHK44" s="9"/>
      <c r="RHL44" s="9"/>
      <c r="RHM44" s="9"/>
      <c r="RHN44" s="9"/>
      <c r="RHO44" s="9"/>
      <c r="RHP44" s="9"/>
      <c r="RHQ44" s="9"/>
      <c r="RHR44" s="9"/>
      <c r="RHS44" s="9"/>
      <c r="RHT44" s="9"/>
      <c r="RHU44" s="9"/>
      <c r="RHV44" s="9"/>
      <c r="RHW44" s="9"/>
      <c r="RHX44" s="9"/>
      <c r="RHY44" s="9"/>
      <c r="RHZ44" s="9"/>
      <c r="RIA44" s="9"/>
      <c r="RIB44" s="9"/>
      <c r="RIC44" s="9"/>
      <c r="RID44" s="9"/>
      <c r="RIE44" s="9"/>
      <c r="RIF44" s="9"/>
      <c r="RIG44" s="9"/>
      <c r="RIH44" s="9"/>
      <c r="RII44" s="9"/>
      <c r="RIJ44" s="9"/>
      <c r="RIK44" s="9"/>
      <c r="RIL44" s="9"/>
      <c r="RIM44" s="9"/>
      <c r="RIN44" s="9"/>
      <c r="RIO44" s="9"/>
      <c r="RIP44" s="9"/>
      <c r="RIQ44" s="9"/>
      <c r="RIR44" s="9"/>
      <c r="RIS44" s="9"/>
      <c r="RIT44" s="9"/>
      <c r="RIU44" s="9"/>
      <c r="RIV44" s="9"/>
      <c r="RIW44" s="9"/>
      <c r="RIX44" s="9"/>
      <c r="RIY44" s="9"/>
      <c r="RIZ44" s="9"/>
      <c r="RJA44" s="9"/>
      <c r="RJB44" s="9"/>
      <c r="RJC44" s="9"/>
      <c r="RJD44" s="9"/>
      <c r="RJE44" s="9"/>
      <c r="RJF44" s="9"/>
      <c r="RJG44" s="9"/>
      <c r="RJH44" s="9"/>
      <c r="RJI44" s="9"/>
      <c r="RJJ44" s="9"/>
      <c r="RJK44" s="9"/>
      <c r="RJL44" s="9"/>
      <c r="RJM44" s="9"/>
      <c r="RJN44" s="9"/>
      <c r="RJO44" s="9"/>
      <c r="RJP44" s="9"/>
      <c r="RJQ44" s="9"/>
      <c r="RJR44" s="9"/>
      <c r="RJS44" s="9"/>
      <c r="RJT44" s="9"/>
      <c r="RJU44" s="9"/>
      <c r="RJV44" s="9"/>
      <c r="RJW44" s="9"/>
      <c r="RJX44" s="9"/>
      <c r="RJY44" s="9"/>
      <c r="RJZ44" s="9"/>
      <c r="RKA44" s="9"/>
      <c r="RKB44" s="9"/>
      <c r="RKC44" s="9"/>
      <c r="RKD44" s="9"/>
      <c r="RKE44" s="9"/>
      <c r="RKF44" s="9"/>
      <c r="RKG44" s="9"/>
      <c r="RKH44" s="9"/>
      <c r="RKI44" s="9"/>
      <c r="RKJ44" s="9"/>
      <c r="RKK44" s="9"/>
      <c r="RKL44" s="9"/>
      <c r="RKM44" s="9"/>
      <c r="RKN44" s="9"/>
      <c r="RKO44" s="9"/>
      <c r="RKP44" s="9"/>
      <c r="RKQ44" s="9"/>
      <c r="RKR44" s="9"/>
      <c r="RKS44" s="9"/>
      <c r="RKT44" s="9"/>
      <c r="RKU44" s="9"/>
      <c r="RKV44" s="9"/>
      <c r="RKW44" s="9"/>
      <c r="RKX44" s="9"/>
      <c r="RKY44" s="9"/>
      <c r="RKZ44" s="9"/>
      <c r="RLA44" s="9"/>
      <c r="RLB44" s="9"/>
      <c r="RLC44" s="9"/>
      <c r="RLD44" s="9"/>
      <c r="RLE44" s="9"/>
      <c r="RLF44" s="9"/>
      <c r="RLG44" s="9"/>
      <c r="RLH44" s="9"/>
      <c r="RLI44" s="9"/>
      <c r="RLJ44" s="9"/>
      <c r="RLK44" s="9"/>
      <c r="RLL44" s="9"/>
      <c r="RLM44" s="9"/>
      <c r="RLN44" s="9"/>
      <c r="RLO44" s="9"/>
      <c r="RLP44" s="9"/>
      <c r="RLQ44" s="9"/>
      <c r="RLR44" s="9"/>
      <c r="RLS44" s="9"/>
      <c r="RLT44" s="9"/>
      <c r="RLU44" s="9"/>
      <c r="RLV44" s="9"/>
      <c r="RLW44" s="9"/>
      <c r="RLX44" s="9"/>
      <c r="RLY44" s="9"/>
      <c r="RLZ44" s="9"/>
      <c r="RMA44" s="9"/>
      <c r="RMB44" s="9"/>
      <c r="RMC44" s="9"/>
      <c r="RMD44" s="9"/>
      <c r="RME44" s="9"/>
      <c r="RMF44" s="9"/>
      <c r="RMG44" s="9"/>
      <c r="RMH44" s="9"/>
      <c r="RMI44" s="9"/>
      <c r="RMJ44" s="9"/>
      <c r="RMK44" s="9"/>
      <c r="RML44" s="9"/>
      <c r="RMM44" s="9"/>
      <c r="RMN44" s="9"/>
      <c r="RMO44" s="9"/>
      <c r="RMP44" s="9"/>
      <c r="RMQ44" s="9"/>
      <c r="RMR44" s="9"/>
      <c r="RMS44" s="9"/>
      <c r="RMT44" s="9"/>
      <c r="RMU44" s="9"/>
      <c r="RMV44" s="9"/>
      <c r="RMW44" s="9"/>
      <c r="RMX44" s="9"/>
      <c r="RMY44" s="9"/>
      <c r="RMZ44" s="9"/>
      <c r="RNA44" s="9"/>
      <c r="RNB44" s="9"/>
      <c r="RNC44" s="9"/>
      <c r="RND44" s="9"/>
      <c r="RNE44" s="9"/>
      <c r="RNF44" s="9"/>
      <c r="RNG44" s="9"/>
      <c r="RNH44" s="9"/>
      <c r="RNI44" s="9"/>
      <c r="RNJ44" s="9"/>
      <c r="RNK44" s="9"/>
      <c r="RNL44" s="9"/>
      <c r="RNM44" s="9"/>
      <c r="RNN44" s="9"/>
      <c r="RNO44" s="9"/>
      <c r="RNP44" s="9"/>
      <c r="RNQ44" s="9"/>
      <c r="RNR44" s="9"/>
      <c r="RNS44" s="9"/>
      <c r="RNT44" s="9"/>
      <c r="RNU44" s="9"/>
      <c r="RNV44" s="9"/>
      <c r="RNW44" s="9"/>
      <c r="RNX44" s="9"/>
      <c r="RNY44" s="9"/>
      <c r="RNZ44" s="9"/>
      <c r="ROA44" s="9"/>
      <c r="ROB44" s="9"/>
      <c r="ROC44" s="9"/>
      <c r="ROD44" s="9"/>
      <c r="ROE44" s="9"/>
      <c r="ROF44" s="9"/>
      <c r="ROG44" s="9"/>
      <c r="ROH44" s="9"/>
      <c r="ROI44" s="9"/>
      <c r="ROJ44" s="9"/>
      <c r="ROK44" s="9"/>
      <c r="ROL44" s="9"/>
      <c r="ROM44" s="9"/>
      <c r="RON44" s="9"/>
      <c r="ROO44" s="9"/>
      <c r="ROP44" s="9"/>
      <c r="ROQ44" s="9"/>
      <c r="ROR44" s="9"/>
      <c r="ROS44" s="9"/>
      <c r="ROT44" s="9"/>
      <c r="ROU44" s="9"/>
      <c r="ROV44" s="9"/>
      <c r="ROW44" s="9"/>
      <c r="ROX44" s="9"/>
      <c r="ROY44" s="9"/>
      <c r="ROZ44" s="9"/>
      <c r="RPA44" s="9"/>
      <c r="RPB44" s="9"/>
      <c r="RPC44" s="9"/>
      <c r="RPD44" s="9"/>
      <c r="RPE44" s="9"/>
      <c r="RPF44" s="9"/>
      <c r="RPG44" s="9"/>
      <c r="RPH44" s="9"/>
      <c r="RPI44" s="9"/>
      <c r="RPJ44" s="9"/>
      <c r="RPK44" s="9"/>
      <c r="RPL44" s="9"/>
      <c r="RPM44" s="9"/>
      <c r="RPN44" s="9"/>
      <c r="RPO44" s="9"/>
      <c r="RPP44" s="9"/>
      <c r="RPQ44" s="9"/>
      <c r="RPR44" s="9"/>
      <c r="RPS44" s="9"/>
      <c r="RPT44" s="9"/>
      <c r="RPU44" s="9"/>
      <c r="RPV44" s="9"/>
      <c r="RPW44" s="9"/>
      <c r="RPX44" s="9"/>
      <c r="RPY44" s="9"/>
      <c r="RPZ44" s="9"/>
      <c r="RQA44" s="9"/>
      <c r="RQB44" s="9"/>
      <c r="RQC44" s="9"/>
      <c r="RQD44" s="9"/>
      <c r="RQE44" s="9"/>
      <c r="RQF44" s="9"/>
      <c r="RQG44" s="9"/>
      <c r="RQH44" s="9"/>
      <c r="RQI44" s="9"/>
      <c r="RQJ44" s="9"/>
      <c r="RQK44" s="9"/>
      <c r="RQL44" s="9"/>
      <c r="RQM44" s="9"/>
      <c r="RQN44" s="9"/>
      <c r="RQO44" s="9"/>
      <c r="RQP44" s="9"/>
      <c r="RQQ44" s="9"/>
      <c r="RQR44" s="9"/>
      <c r="RQS44" s="9"/>
      <c r="RQT44" s="9"/>
      <c r="RQU44" s="9"/>
      <c r="RQV44" s="9"/>
      <c r="RQW44" s="9"/>
      <c r="RQX44" s="9"/>
      <c r="RQY44" s="9"/>
      <c r="RQZ44" s="9"/>
      <c r="RRA44" s="9"/>
      <c r="RRB44" s="9"/>
      <c r="RRC44" s="9"/>
      <c r="RRD44" s="9"/>
      <c r="RRE44" s="9"/>
      <c r="RRF44" s="9"/>
      <c r="RRG44" s="9"/>
      <c r="RRH44" s="9"/>
      <c r="RRI44" s="9"/>
      <c r="RRJ44" s="9"/>
      <c r="RRK44" s="9"/>
      <c r="RRL44" s="9"/>
      <c r="RRM44" s="9"/>
      <c r="RRN44" s="9"/>
      <c r="RRO44" s="9"/>
      <c r="RRP44" s="9"/>
      <c r="RRQ44" s="9"/>
      <c r="RRR44" s="9"/>
      <c r="RRS44" s="9"/>
      <c r="RRT44" s="9"/>
      <c r="RRU44" s="9"/>
      <c r="RRV44" s="9"/>
      <c r="RRW44" s="9"/>
      <c r="RRX44" s="9"/>
      <c r="RRY44" s="9"/>
      <c r="RRZ44" s="9"/>
      <c r="RSA44" s="9"/>
      <c r="RSB44" s="9"/>
      <c r="RSC44" s="9"/>
      <c r="RSD44" s="9"/>
      <c r="RSE44" s="9"/>
      <c r="RSF44" s="9"/>
      <c r="RSG44" s="9"/>
      <c r="RSH44" s="9"/>
      <c r="RSI44" s="9"/>
      <c r="RSJ44" s="9"/>
      <c r="RSK44" s="9"/>
      <c r="RSL44" s="9"/>
      <c r="RSM44" s="9"/>
      <c r="RSN44" s="9"/>
      <c r="RSO44" s="9"/>
      <c r="RSP44" s="9"/>
      <c r="RSQ44" s="9"/>
      <c r="RSR44" s="9"/>
      <c r="RSS44" s="9"/>
      <c r="RST44" s="9"/>
      <c r="RSU44" s="9"/>
      <c r="RSV44" s="9"/>
      <c r="RSW44" s="9"/>
      <c r="RSX44" s="9"/>
      <c r="RSY44" s="9"/>
      <c r="RSZ44" s="9"/>
      <c r="RTA44" s="9"/>
      <c r="RTB44" s="9"/>
      <c r="RTC44" s="9"/>
      <c r="RTD44" s="9"/>
      <c r="RTE44" s="9"/>
      <c r="RTF44" s="9"/>
      <c r="RTG44" s="9"/>
      <c r="RTH44" s="9"/>
      <c r="RTI44" s="9"/>
      <c r="RTJ44" s="9"/>
      <c r="RTK44" s="9"/>
      <c r="RTL44" s="9"/>
      <c r="RTM44" s="9"/>
      <c r="RTN44" s="9"/>
      <c r="RTO44" s="9"/>
      <c r="RTP44" s="9"/>
      <c r="RTQ44" s="9"/>
      <c r="RTR44" s="9"/>
      <c r="RTS44" s="9"/>
      <c r="RTT44" s="9"/>
      <c r="RTU44" s="9"/>
      <c r="RTV44" s="9"/>
      <c r="RTW44" s="9"/>
      <c r="RTX44" s="9"/>
      <c r="RTY44" s="9"/>
      <c r="RTZ44" s="9"/>
      <c r="RUA44" s="9"/>
      <c r="RUB44" s="9"/>
      <c r="RUC44" s="9"/>
      <c r="RUD44" s="9"/>
      <c r="RUE44" s="9"/>
      <c r="RUF44" s="9"/>
      <c r="RUG44" s="9"/>
      <c r="RUH44" s="9"/>
      <c r="RUI44" s="9"/>
      <c r="RUJ44" s="9"/>
      <c r="RUK44" s="9"/>
      <c r="RUL44" s="9"/>
      <c r="RUM44" s="9"/>
      <c r="RUN44" s="9"/>
      <c r="RUO44" s="9"/>
      <c r="RUP44" s="9"/>
      <c r="RUQ44" s="9"/>
      <c r="RUR44" s="9"/>
      <c r="RUS44" s="9"/>
      <c r="RUT44" s="9"/>
      <c r="RUU44" s="9"/>
      <c r="RUV44" s="9"/>
      <c r="RUW44" s="9"/>
      <c r="RUX44" s="9"/>
      <c r="RUY44" s="9"/>
      <c r="RUZ44" s="9"/>
      <c r="RVA44" s="9"/>
      <c r="RVB44" s="9"/>
      <c r="RVC44" s="9"/>
      <c r="RVD44" s="9"/>
      <c r="RVE44" s="9"/>
      <c r="RVF44" s="9"/>
      <c r="RVG44" s="9"/>
      <c r="RVH44" s="9"/>
      <c r="RVI44" s="9"/>
      <c r="RVJ44" s="9"/>
      <c r="RVK44" s="9"/>
      <c r="RVL44" s="9"/>
      <c r="RVM44" s="9"/>
      <c r="RVN44" s="9"/>
      <c r="RVO44" s="9"/>
      <c r="RVP44" s="9"/>
      <c r="RVQ44" s="9"/>
      <c r="RVR44" s="9"/>
      <c r="RVS44" s="9"/>
      <c r="RVT44" s="9"/>
      <c r="RVU44" s="9"/>
      <c r="RVV44" s="9"/>
      <c r="RVW44" s="9"/>
      <c r="RVX44" s="9"/>
      <c r="RVY44" s="9"/>
      <c r="RVZ44" s="9"/>
      <c r="RWA44" s="9"/>
      <c r="RWB44" s="9"/>
      <c r="RWC44" s="9"/>
      <c r="RWD44" s="9"/>
      <c r="RWE44" s="9"/>
      <c r="RWF44" s="9"/>
      <c r="RWG44" s="9"/>
      <c r="RWH44" s="9"/>
      <c r="RWI44" s="9"/>
      <c r="RWJ44" s="9"/>
      <c r="RWK44" s="9"/>
      <c r="RWL44" s="9"/>
      <c r="RWM44" s="9"/>
      <c r="RWN44" s="9"/>
      <c r="RWO44" s="9"/>
      <c r="RWP44" s="9"/>
      <c r="RWQ44" s="9"/>
      <c r="RWR44" s="9"/>
      <c r="RWS44" s="9"/>
      <c r="RWT44" s="9"/>
      <c r="RWU44" s="9"/>
      <c r="RWV44" s="9"/>
      <c r="RWW44" s="9"/>
      <c r="RWX44" s="9"/>
      <c r="RWY44" s="9"/>
      <c r="RWZ44" s="9"/>
      <c r="RXA44" s="9"/>
      <c r="RXB44" s="9"/>
      <c r="RXC44" s="9"/>
      <c r="RXD44" s="9"/>
      <c r="RXE44" s="9"/>
      <c r="RXF44" s="9"/>
      <c r="RXG44" s="9"/>
      <c r="RXH44" s="9"/>
      <c r="RXI44" s="9"/>
      <c r="RXJ44" s="9"/>
      <c r="RXK44" s="9"/>
      <c r="RXL44" s="9"/>
      <c r="RXM44" s="9"/>
      <c r="RXN44" s="9"/>
      <c r="RXO44" s="9"/>
      <c r="RXP44" s="9"/>
      <c r="RXQ44" s="9"/>
      <c r="RXR44" s="9"/>
      <c r="RXS44" s="9"/>
      <c r="RXT44" s="9"/>
      <c r="RXU44" s="9"/>
      <c r="RXV44" s="9"/>
      <c r="RXW44" s="9"/>
      <c r="RXX44" s="9"/>
      <c r="RXY44" s="9"/>
      <c r="RXZ44" s="9"/>
      <c r="RYA44" s="9"/>
      <c r="RYB44" s="9"/>
      <c r="RYC44" s="9"/>
      <c r="RYD44" s="9"/>
      <c r="RYE44" s="9"/>
      <c r="RYF44" s="9"/>
      <c r="RYG44" s="9"/>
      <c r="RYH44" s="9"/>
      <c r="RYI44" s="9"/>
      <c r="RYJ44" s="9"/>
      <c r="RYK44" s="9"/>
      <c r="RYL44" s="9"/>
      <c r="RYM44" s="9"/>
      <c r="RYN44" s="9"/>
      <c r="RYO44" s="9"/>
      <c r="RYP44" s="9"/>
      <c r="RYQ44" s="9"/>
      <c r="RYR44" s="9"/>
      <c r="RYS44" s="9"/>
      <c r="RYT44" s="9"/>
      <c r="RYU44" s="9"/>
      <c r="RYV44" s="9"/>
      <c r="RYW44" s="9"/>
      <c r="RYX44" s="9"/>
      <c r="RYY44" s="9"/>
      <c r="RYZ44" s="9"/>
      <c r="RZA44" s="9"/>
      <c r="RZB44" s="9"/>
      <c r="RZC44" s="9"/>
      <c r="RZD44" s="9"/>
      <c r="RZE44" s="9"/>
      <c r="RZF44" s="9"/>
      <c r="RZG44" s="9"/>
      <c r="RZH44" s="9"/>
      <c r="RZI44" s="9"/>
      <c r="RZJ44" s="9"/>
      <c r="RZK44" s="9"/>
      <c r="RZL44" s="9"/>
      <c r="RZM44" s="9"/>
      <c r="RZN44" s="9"/>
      <c r="RZO44" s="9"/>
      <c r="RZP44" s="9"/>
      <c r="RZQ44" s="9"/>
      <c r="RZR44" s="9"/>
      <c r="RZS44" s="9"/>
      <c r="RZT44" s="9"/>
      <c r="RZU44" s="9"/>
      <c r="RZV44" s="9"/>
      <c r="RZW44" s="9"/>
      <c r="RZX44" s="9"/>
      <c r="RZY44" s="9"/>
      <c r="RZZ44" s="9"/>
      <c r="SAA44" s="9"/>
      <c r="SAB44" s="9"/>
      <c r="SAC44" s="9"/>
      <c r="SAD44" s="9"/>
      <c r="SAE44" s="9"/>
      <c r="SAF44" s="9"/>
      <c r="SAG44" s="9"/>
      <c r="SAH44" s="9"/>
      <c r="SAI44" s="9"/>
      <c r="SAJ44" s="9"/>
      <c r="SAK44" s="9"/>
      <c r="SAL44" s="9"/>
      <c r="SAM44" s="9"/>
      <c r="SAN44" s="9"/>
      <c r="SAO44" s="9"/>
      <c r="SAP44" s="9"/>
      <c r="SAQ44" s="9"/>
      <c r="SAR44" s="9"/>
      <c r="SAS44" s="9"/>
      <c r="SAT44" s="9"/>
      <c r="SAU44" s="9"/>
      <c r="SAV44" s="9"/>
      <c r="SAW44" s="9"/>
      <c r="SAX44" s="9"/>
      <c r="SAY44" s="9"/>
      <c r="SAZ44" s="9"/>
      <c r="SBA44" s="9"/>
      <c r="SBB44" s="9"/>
      <c r="SBC44" s="9"/>
      <c r="SBD44" s="9"/>
      <c r="SBE44" s="9"/>
      <c r="SBF44" s="9"/>
      <c r="SBG44" s="9"/>
      <c r="SBH44" s="9"/>
      <c r="SBI44" s="9"/>
      <c r="SBJ44" s="9"/>
      <c r="SBK44" s="9"/>
      <c r="SBL44" s="9"/>
      <c r="SBM44" s="9"/>
      <c r="SBN44" s="9"/>
      <c r="SBO44" s="9"/>
      <c r="SBP44" s="9"/>
      <c r="SBQ44" s="9"/>
      <c r="SBR44" s="9"/>
      <c r="SBS44" s="9"/>
      <c r="SBT44" s="9"/>
      <c r="SBU44" s="9"/>
      <c r="SBV44" s="9"/>
      <c r="SBW44" s="9"/>
      <c r="SBX44" s="9"/>
      <c r="SBY44" s="9"/>
      <c r="SBZ44" s="9"/>
      <c r="SCA44" s="9"/>
      <c r="SCB44" s="9"/>
      <c r="SCC44" s="9"/>
      <c r="SCD44" s="9"/>
      <c r="SCE44" s="9"/>
      <c r="SCF44" s="9"/>
      <c r="SCG44" s="9"/>
      <c r="SCH44" s="9"/>
      <c r="SCI44" s="9"/>
      <c r="SCJ44" s="9"/>
      <c r="SCK44" s="9"/>
      <c r="SCL44" s="9"/>
      <c r="SCM44" s="9"/>
      <c r="SCN44" s="9"/>
      <c r="SCO44" s="9"/>
      <c r="SCP44" s="9"/>
      <c r="SCQ44" s="9"/>
      <c r="SCR44" s="9"/>
      <c r="SCS44" s="9"/>
      <c r="SCT44" s="9"/>
      <c r="SCU44" s="9"/>
      <c r="SCV44" s="9"/>
      <c r="SCW44" s="9"/>
      <c r="SCX44" s="9"/>
      <c r="SCY44" s="9"/>
      <c r="SCZ44" s="9"/>
      <c r="SDA44" s="9"/>
      <c r="SDB44" s="9"/>
      <c r="SDC44" s="9"/>
      <c r="SDD44" s="9"/>
      <c r="SDE44" s="9"/>
      <c r="SDF44" s="9"/>
      <c r="SDG44" s="9"/>
      <c r="SDH44" s="9"/>
      <c r="SDI44" s="9"/>
      <c r="SDJ44" s="9"/>
      <c r="SDK44" s="9"/>
      <c r="SDL44" s="9"/>
      <c r="SDM44" s="9"/>
      <c r="SDN44" s="9"/>
      <c r="SDO44" s="9"/>
      <c r="SDP44" s="9"/>
      <c r="SDQ44" s="9"/>
      <c r="SDR44" s="9"/>
      <c r="SDS44" s="9"/>
      <c r="SDT44" s="9"/>
      <c r="SDU44" s="9"/>
      <c r="SDV44" s="9"/>
      <c r="SDW44" s="9"/>
      <c r="SDX44" s="9"/>
      <c r="SDY44" s="9"/>
      <c r="SDZ44" s="9"/>
      <c r="SEA44" s="9"/>
      <c r="SEB44" s="9"/>
      <c r="SEC44" s="9"/>
      <c r="SED44" s="9"/>
      <c r="SEE44" s="9"/>
      <c r="SEF44" s="9"/>
      <c r="SEG44" s="9"/>
      <c r="SEH44" s="9"/>
      <c r="SEI44" s="9"/>
      <c r="SEJ44" s="9"/>
      <c r="SEK44" s="9"/>
      <c r="SEL44" s="9"/>
      <c r="SEM44" s="9"/>
      <c r="SEN44" s="9"/>
      <c r="SEO44" s="9"/>
      <c r="SEP44" s="9"/>
      <c r="SEQ44" s="9"/>
      <c r="SER44" s="9"/>
      <c r="SES44" s="9"/>
      <c r="SET44" s="9"/>
      <c r="SEU44" s="9"/>
      <c r="SEV44" s="9"/>
      <c r="SEW44" s="9"/>
      <c r="SEX44" s="9"/>
      <c r="SEY44" s="9"/>
      <c r="SEZ44" s="9"/>
      <c r="SFA44" s="9"/>
      <c r="SFB44" s="9"/>
      <c r="SFC44" s="9"/>
      <c r="SFD44" s="9"/>
      <c r="SFE44" s="9"/>
      <c r="SFF44" s="9"/>
      <c r="SFG44" s="9"/>
      <c r="SFH44" s="9"/>
      <c r="SFI44" s="9"/>
      <c r="SFJ44" s="9"/>
      <c r="SFK44" s="9"/>
      <c r="SFL44" s="9"/>
      <c r="SFM44" s="9"/>
      <c r="SFN44" s="9"/>
      <c r="SFO44" s="9"/>
      <c r="SFP44" s="9"/>
      <c r="SFQ44" s="9"/>
      <c r="SFR44" s="9"/>
      <c r="SFS44" s="9"/>
      <c r="SFT44" s="9"/>
      <c r="SFU44" s="9"/>
      <c r="SFV44" s="9"/>
      <c r="SFW44" s="9"/>
      <c r="SFX44" s="9"/>
      <c r="SFY44" s="9"/>
      <c r="SFZ44" s="9"/>
      <c r="SGA44" s="9"/>
      <c r="SGB44" s="9"/>
      <c r="SGC44" s="9"/>
      <c r="SGD44" s="9"/>
      <c r="SGE44" s="9"/>
      <c r="SGF44" s="9"/>
      <c r="SGG44" s="9"/>
      <c r="SGH44" s="9"/>
      <c r="SGI44" s="9"/>
      <c r="SGJ44" s="9"/>
      <c r="SGK44" s="9"/>
      <c r="SGL44" s="9"/>
      <c r="SGM44" s="9"/>
      <c r="SGN44" s="9"/>
      <c r="SGO44" s="9"/>
      <c r="SGP44" s="9"/>
      <c r="SGQ44" s="9"/>
      <c r="SGR44" s="9"/>
      <c r="SGS44" s="9"/>
      <c r="SGT44" s="9"/>
      <c r="SGU44" s="9"/>
      <c r="SGV44" s="9"/>
      <c r="SGW44" s="9"/>
      <c r="SGX44" s="9"/>
      <c r="SGY44" s="9"/>
      <c r="SGZ44" s="9"/>
      <c r="SHA44" s="9"/>
      <c r="SHB44" s="9"/>
      <c r="SHC44" s="9"/>
      <c r="SHD44" s="9"/>
      <c r="SHE44" s="9"/>
      <c r="SHF44" s="9"/>
      <c r="SHG44" s="9"/>
      <c r="SHH44" s="9"/>
      <c r="SHI44" s="9"/>
      <c r="SHJ44" s="9"/>
      <c r="SHK44" s="9"/>
      <c r="SHL44" s="9"/>
      <c r="SHM44" s="9"/>
      <c r="SHN44" s="9"/>
      <c r="SHO44" s="9"/>
      <c r="SHP44" s="9"/>
      <c r="SHQ44" s="9"/>
      <c r="SHR44" s="9"/>
      <c r="SHS44" s="9"/>
      <c r="SHT44" s="9"/>
      <c r="SHU44" s="9"/>
      <c r="SHV44" s="9"/>
      <c r="SHW44" s="9"/>
      <c r="SHX44" s="9"/>
      <c r="SHY44" s="9"/>
      <c r="SHZ44" s="9"/>
      <c r="SIA44" s="9"/>
      <c r="SIB44" s="9"/>
      <c r="SIC44" s="9"/>
      <c r="SID44" s="9"/>
      <c r="SIE44" s="9"/>
      <c r="SIF44" s="9"/>
      <c r="SIG44" s="9"/>
      <c r="SIH44" s="9"/>
      <c r="SII44" s="9"/>
      <c r="SIJ44" s="9"/>
      <c r="SIK44" s="9"/>
      <c r="SIL44" s="9"/>
      <c r="SIM44" s="9"/>
      <c r="SIN44" s="9"/>
      <c r="SIO44" s="9"/>
      <c r="SIP44" s="9"/>
      <c r="SIQ44" s="9"/>
      <c r="SIR44" s="9"/>
      <c r="SIS44" s="9"/>
      <c r="SIT44" s="9"/>
      <c r="SIU44" s="9"/>
      <c r="SIV44" s="9"/>
      <c r="SIW44" s="9"/>
      <c r="SIX44" s="9"/>
      <c r="SIY44" s="9"/>
      <c r="SIZ44" s="9"/>
      <c r="SJA44" s="9"/>
      <c r="SJB44" s="9"/>
      <c r="SJC44" s="9"/>
      <c r="SJD44" s="9"/>
      <c r="SJE44" s="9"/>
      <c r="SJF44" s="9"/>
      <c r="SJG44" s="9"/>
      <c r="SJH44" s="9"/>
      <c r="SJI44" s="9"/>
      <c r="SJJ44" s="9"/>
      <c r="SJK44" s="9"/>
      <c r="SJL44" s="9"/>
      <c r="SJM44" s="9"/>
      <c r="SJN44" s="9"/>
      <c r="SJO44" s="9"/>
      <c r="SJP44" s="9"/>
      <c r="SJQ44" s="9"/>
      <c r="SJR44" s="9"/>
      <c r="SJS44" s="9"/>
      <c r="SJT44" s="9"/>
      <c r="SJU44" s="9"/>
      <c r="SJV44" s="9"/>
      <c r="SJW44" s="9"/>
      <c r="SJX44" s="9"/>
      <c r="SJY44" s="9"/>
      <c r="SJZ44" s="9"/>
      <c r="SKA44" s="9"/>
      <c r="SKB44" s="9"/>
      <c r="SKC44" s="9"/>
      <c r="SKD44" s="9"/>
      <c r="SKE44" s="9"/>
      <c r="SKF44" s="9"/>
      <c r="SKG44" s="9"/>
      <c r="SKH44" s="9"/>
      <c r="SKI44" s="9"/>
      <c r="SKJ44" s="9"/>
      <c r="SKK44" s="9"/>
      <c r="SKL44" s="9"/>
      <c r="SKM44" s="9"/>
      <c r="SKN44" s="9"/>
      <c r="SKO44" s="9"/>
      <c r="SKP44" s="9"/>
      <c r="SKQ44" s="9"/>
      <c r="SKR44" s="9"/>
      <c r="SKS44" s="9"/>
      <c r="SKT44" s="9"/>
      <c r="SKU44" s="9"/>
      <c r="SKV44" s="9"/>
      <c r="SKW44" s="9"/>
      <c r="SKX44" s="9"/>
      <c r="SKY44" s="9"/>
      <c r="SKZ44" s="9"/>
      <c r="SLA44" s="9"/>
      <c r="SLB44" s="9"/>
      <c r="SLC44" s="9"/>
      <c r="SLD44" s="9"/>
      <c r="SLE44" s="9"/>
      <c r="SLF44" s="9"/>
      <c r="SLG44" s="9"/>
      <c r="SLH44" s="9"/>
      <c r="SLI44" s="9"/>
      <c r="SLJ44" s="9"/>
      <c r="SLK44" s="9"/>
      <c r="SLL44" s="9"/>
      <c r="SLM44" s="9"/>
      <c r="SLN44" s="9"/>
      <c r="SLO44" s="9"/>
      <c r="SLP44" s="9"/>
      <c r="SLQ44" s="9"/>
      <c r="SLR44" s="9"/>
      <c r="SLS44" s="9"/>
      <c r="SLT44" s="9"/>
      <c r="SLU44" s="9"/>
      <c r="SLV44" s="9"/>
      <c r="SLW44" s="9"/>
      <c r="SLX44" s="9"/>
      <c r="SLY44" s="9"/>
      <c r="SLZ44" s="9"/>
      <c r="SMA44" s="9"/>
      <c r="SMB44" s="9"/>
      <c r="SMC44" s="9"/>
      <c r="SMD44" s="9"/>
      <c r="SME44" s="9"/>
      <c r="SMF44" s="9"/>
      <c r="SMG44" s="9"/>
      <c r="SMH44" s="9"/>
      <c r="SMI44" s="9"/>
      <c r="SMJ44" s="9"/>
      <c r="SMK44" s="9"/>
      <c r="SML44" s="9"/>
      <c r="SMM44" s="9"/>
      <c r="SMN44" s="9"/>
      <c r="SMO44" s="9"/>
      <c r="SMP44" s="9"/>
      <c r="SMQ44" s="9"/>
      <c r="SMR44" s="9"/>
      <c r="SMS44" s="9"/>
      <c r="SMT44" s="9"/>
      <c r="SMU44" s="9"/>
      <c r="SMV44" s="9"/>
      <c r="SMW44" s="9"/>
      <c r="SMX44" s="9"/>
      <c r="SMY44" s="9"/>
      <c r="SMZ44" s="9"/>
      <c r="SNA44" s="9"/>
      <c r="SNB44" s="9"/>
      <c r="SNC44" s="9"/>
      <c r="SND44" s="9"/>
      <c r="SNE44" s="9"/>
      <c r="SNF44" s="9"/>
      <c r="SNG44" s="9"/>
      <c r="SNH44" s="9"/>
      <c r="SNI44" s="9"/>
      <c r="SNJ44" s="9"/>
      <c r="SNK44" s="9"/>
      <c r="SNL44" s="9"/>
      <c r="SNM44" s="9"/>
      <c r="SNN44" s="9"/>
      <c r="SNO44" s="9"/>
      <c r="SNP44" s="9"/>
      <c r="SNQ44" s="9"/>
      <c r="SNR44" s="9"/>
      <c r="SNS44" s="9"/>
      <c r="SNT44" s="9"/>
      <c r="SNU44" s="9"/>
      <c r="SNV44" s="9"/>
      <c r="SNW44" s="9"/>
      <c r="SNX44" s="9"/>
      <c r="SNY44" s="9"/>
      <c r="SNZ44" s="9"/>
      <c r="SOA44" s="9"/>
      <c r="SOB44" s="9"/>
      <c r="SOC44" s="9"/>
      <c r="SOD44" s="9"/>
      <c r="SOE44" s="9"/>
      <c r="SOF44" s="9"/>
      <c r="SOG44" s="9"/>
      <c r="SOH44" s="9"/>
      <c r="SOI44" s="9"/>
      <c r="SOJ44" s="9"/>
      <c r="SOK44" s="9"/>
      <c r="SOL44" s="9"/>
      <c r="SOM44" s="9"/>
      <c r="SON44" s="9"/>
      <c r="SOO44" s="9"/>
      <c r="SOP44" s="9"/>
      <c r="SOQ44" s="9"/>
      <c r="SOR44" s="9"/>
      <c r="SOS44" s="9"/>
      <c r="SOT44" s="9"/>
      <c r="SOU44" s="9"/>
      <c r="SOV44" s="9"/>
      <c r="SOW44" s="9"/>
      <c r="SOX44" s="9"/>
      <c r="SOY44" s="9"/>
      <c r="SOZ44" s="9"/>
      <c r="SPA44" s="9"/>
      <c r="SPB44" s="9"/>
      <c r="SPC44" s="9"/>
      <c r="SPD44" s="9"/>
      <c r="SPE44" s="9"/>
      <c r="SPF44" s="9"/>
      <c r="SPG44" s="9"/>
      <c r="SPH44" s="9"/>
      <c r="SPI44" s="9"/>
      <c r="SPJ44" s="9"/>
      <c r="SPK44" s="9"/>
      <c r="SPL44" s="9"/>
      <c r="SPM44" s="9"/>
      <c r="SPN44" s="9"/>
      <c r="SPO44" s="9"/>
      <c r="SPP44" s="9"/>
      <c r="SPQ44" s="9"/>
      <c r="SPR44" s="9"/>
      <c r="SPS44" s="9"/>
      <c r="SPT44" s="9"/>
      <c r="SPU44" s="9"/>
      <c r="SPV44" s="9"/>
      <c r="SPW44" s="9"/>
      <c r="SPX44" s="9"/>
      <c r="SPY44" s="9"/>
      <c r="SPZ44" s="9"/>
      <c r="SQA44" s="9"/>
      <c r="SQB44" s="9"/>
      <c r="SQC44" s="9"/>
      <c r="SQD44" s="9"/>
      <c r="SQE44" s="9"/>
      <c r="SQF44" s="9"/>
      <c r="SQG44" s="9"/>
      <c r="SQH44" s="9"/>
      <c r="SQI44" s="9"/>
      <c r="SQJ44" s="9"/>
      <c r="SQK44" s="9"/>
      <c r="SQL44" s="9"/>
      <c r="SQM44" s="9"/>
      <c r="SQN44" s="9"/>
      <c r="SQO44" s="9"/>
      <c r="SQP44" s="9"/>
      <c r="SQQ44" s="9"/>
      <c r="SQR44" s="9"/>
      <c r="SQS44" s="9"/>
      <c r="SQT44" s="9"/>
      <c r="SQU44" s="9"/>
      <c r="SQV44" s="9"/>
      <c r="SQW44" s="9"/>
      <c r="SQX44" s="9"/>
      <c r="SQY44" s="9"/>
      <c r="SQZ44" s="9"/>
      <c r="SRA44" s="9"/>
      <c r="SRB44" s="9"/>
      <c r="SRC44" s="9"/>
      <c r="SRD44" s="9"/>
      <c r="SRE44" s="9"/>
      <c r="SRF44" s="9"/>
      <c r="SRG44" s="9"/>
      <c r="SRH44" s="9"/>
      <c r="SRI44" s="9"/>
      <c r="SRJ44" s="9"/>
      <c r="SRK44" s="9"/>
      <c r="SRL44" s="9"/>
      <c r="SRM44" s="9"/>
      <c r="SRN44" s="9"/>
      <c r="SRO44" s="9"/>
      <c r="SRP44" s="9"/>
      <c r="SRQ44" s="9"/>
      <c r="SRR44" s="9"/>
      <c r="SRS44" s="9"/>
      <c r="SRT44" s="9"/>
      <c r="SRU44" s="9"/>
      <c r="SRV44" s="9"/>
      <c r="SRW44" s="9"/>
      <c r="SRX44" s="9"/>
      <c r="SRY44" s="9"/>
      <c r="SRZ44" s="9"/>
      <c r="SSA44" s="9"/>
      <c r="SSB44" s="9"/>
      <c r="SSC44" s="9"/>
      <c r="SSD44" s="9"/>
      <c r="SSE44" s="9"/>
      <c r="SSF44" s="9"/>
      <c r="SSG44" s="9"/>
      <c r="SSH44" s="9"/>
      <c r="SSI44" s="9"/>
      <c r="SSJ44" s="9"/>
      <c r="SSK44" s="9"/>
      <c r="SSL44" s="9"/>
      <c r="SSM44" s="9"/>
      <c r="SSN44" s="9"/>
      <c r="SSO44" s="9"/>
      <c r="SSP44" s="9"/>
      <c r="SSQ44" s="9"/>
      <c r="SSR44" s="9"/>
      <c r="SSS44" s="9"/>
      <c r="SST44" s="9"/>
      <c r="SSU44" s="9"/>
      <c r="SSV44" s="9"/>
      <c r="SSW44" s="9"/>
      <c r="SSX44" s="9"/>
      <c r="SSY44" s="9"/>
      <c r="SSZ44" s="9"/>
      <c r="STA44" s="9"/>
      <c r="STB44" s="9"/>
      <c r="STC44" s="9"/>
      <c r="STD44" s="9"/>
      <c r="STE44" s="9"/>
      <c r="STF44" s="9"/>
      <c r="STG44" s="9"/>
      <c r="STH44" s="9"/>
      <c r="STI44" s="9"/>
      <c r="STJ44" s="9"/>
      <c r="STK44" s="9"/>
      <c r="STL44" s="9"/>
      <c r="STM44" s="9"/>
      <c r="STN44" s="9"/>
      <c r="STO44" s="9"/>
      <c r="STP44" s="9"/>
      <c r="STQ44" s="9"/>
      <c r="STR44" s="9"/>
      <c r="STS44" s="9"/>
      <c r="STT44" s="9"/>
      <c r="STU44" s="9"/>
      <c r="STV44" s="9"/>
      <c r="STW44" s="9"/>
      <c r="STX44" s="9"/>
      <c r="STY44" s="9"/>
      <c r="STZ44" s="9"/>
      <c r="SUA44" s="9"/>
      <c r="SUB44" s="9"/>
      <c r="SUC44" s="9"/>
      <c r="SUD44" s="9"/>
      <c r="SUE44" s="9"/>
      <c r="SUF44" s="9"/>
      <c r="SUG44" s="9"/>
      <c r="SUH44" s="9"/>
      <c r="SUI44" s="9"/>
      <c r="SUJ44" s="9"/>
      <c r="SUK44" s="9"/>
      <c r="SUL44" s="9"/>
      <c r="SUM44" s="9"/>
      <c r="SUN44" s="9"/>
      <c r="SUO44" s="9"/>
      <c r="SUP44" s="9"/>
      <c r="SUQ44" s="9"/>
      <c r="SUR44" s="9"/>
      <c r="SUS44" s="9"/>
      <c r="SUT44" s="9"/>
      <c r="SUU44" s="9"/>
      <c r="SUV44" s="9"/>
      <c r="SUW44" s="9"/>
      <c r="SUX44" s="9"/>
      <c r="SUY44" s="9"/>
      <c r="SUZ44" s="9"/>
      <c r="SVA44" s="9"/>
      <c r="SVB44" s="9"/>
      <c r="SVC44" s="9"/>
      <c r="SVD44" s="9"/>
      <c r="SVE44" s="9"/>
      <c r="SVF44" s="9"/>
      <c r="SVG44" s="9"/>
      <c r="SVH44" s="9"/>
      <c r="SVI44" s="9"/>
      <c r="SVJ44" s="9"/>
      <c r="SVK44" s="9"/>
      <c r="SVL44" s="9"/>
      <c r="SVM44" s="9"/>
      <c r="SVN44" s="9"/>
      <c r="SVO44" s="9"/>
      <c r="SVP44" s="9"/>
      <c r="SVQ44" s="9"/>
      <c r="SVR44" s="9"/>
      <c r="SVS44" s="9"/>
      <c r="SVT44" s="9"/>
      <c r="SVU44" s="9"/>
      <c r="SVV44" s="9"/>
      <c r="SVW44" s="9"/>
      <c r="SVX44" s="9"/>
      <c r="SVY44" s="9"/>
      <c r="SVZ44" s="9"/>
      <c r="SWA44" s="9"/>
      <c r="SWB44" s="9"/>
      <c r="SWC44" s="9"/>
      <c r="SWD44" s="9"/>
      <c r="SWE44" s="9"/>
      <c r="SWF44" s="9"/>
      <c r="SWG44" s="9"/>
      <c r="SWH44" s="9"/>
      <c r="SWI44" s="9"/>
      <c r="SWJ44" s="9"/>
      <c r="SWK44" s="9"/>
      <c r="SWL44" s="9"/>
      <c r="SWM44" s="9"/>
      <c r="SWN44" s="9"/>
      <c r="SWO44" s="9"/>
      <c r="SWP44" s="9"/>
      <c r="SWQ44" s="9"/>
      <c r="SWR44" s="9"/>
      <c r="SWS44" s="9"/>
      <c r="SWT44" s="9"/>
      <c r="SWU44" s="9"/>
      <c r="SWV44" s="9"/>
      <c r="SWW44" s="9"/>
      <c r="SWX44" s="9"/>
      <c r="SWY44" s="9"/>
      <c r="SWZ44" s="9"/>
      <c r="SXA44" s="9"/>
      <c r="SXB44" s="9"/>
      <c r="SXC44" s="9"/>
      <c r="SXD44" s="9"/>
      <c r="SXE44" s="9"/>
      <c r="SXF44" s="9"/>
      <c r="SXG44" s="9"/>
      <c r="SXH44" s="9"/>
      <c r="SXI44" s="9"/>
      <c r="SXJ44" s="9"/>
      <c r="SXK44" s="9"/>
      <c r="SXL44" s="9"/>
      <c r="SXM44" s="9"/>
      <c r="SXN44" s="9"/>
      <c r="SXO44" s="9"/>
      <c r="SXP44" s="9"/>
      <c r="SXQ44" s="9"/>
      <c r="SXR44" s="9"/>
      <c r="SXS44" s="9"/>
      <c r="SXT44" s="9"/>
      <c r="SXU44" s="9"/>
      <c r="SXV44" s="9"/>
      <c r="SXW44" s="9"/>
      <c r="SXX44" s="9"/>
      <c r="SXY44" s="9"/>
      <c r="SXZ44" s="9"/>
      <c r="SYA44" s="9"/>
      <c r="SYB44" s="9"/>
      <c r="SYC44" s="9"/>
      <c r="SYD44" s="9"/>
      <c r="SYE44" s="9"/>
      <c r="SYF44" s="9"/>
      <c r="SYG44" s="9"/>
      <c r="SYH44" s="9"/>
      <c r="SYI44" s="9"/>
      <c r="SYJ44" s="9"/>
      <c r="SYK44" s="9"/>
      <c r="SYL44" s="9"/>
      <c r="SYM44" s="9"/>
      <c r="SYN44" s="9"/>
      <c r="SYO44" s="9"/>
      <c r="SYP44" s="9"/>
      <c r="SYQ44" s="9"/>
      <c r="SYR44" s="9"/>
      <c r="SYS44" s="9"/>
      <c r="SYT44" s="9"/>
      <c r="SYU44" s="9"/>
      <c r="SYV44" s="9"/>
      <c r="SYW44" s="9"/>
      <c r="SYX44" s="9"/>
      <c r="SYY44" s="9"/>
      <c r="SYZ44" s="9"/>
      <c r="SZA44" s="9"/>
      <c r="SZB44" s="9"/>
      <c r="SZC44" s="9"/>
      <c r="SZD44" s="9"/>
      <c r="SZE44" s="9"/>
      <c r="SZF44" s="9"/>
      <c r="SZG44" s="9"/>
      <c r="SZH44" s="9"/>
      <c r="SZI44" s="9"/>
      <c r="SZJ44" s="9"/>
      <c r="SZK44" s="9"/>
      <c r="SZL44" s="9"/>
      <c r="SZM44" s="9"/>
      <c r="SZN44" s="9"/>
      <c r="SZO44" s="9"/>
      <c r="SZP44" s="9"/>
      <c r="SZQ44" s="9"/>
      <c r="SZR44" s="9"/>
      <c r="SZS44" s="9"/>
      <c r="SZT44" s="9"/>
      <c r="SZU44" s="9"/>
      <c r="SZV44" s="9"/>
      <c r="SZW44" s="9"/>
      <c r="SZX44" s="9"/>
      <c r="SZY44" s="9"/>
      <c r="SZZ44" s="9"/>
      <c r="TAA44" s="9"/>
      <c r="TAB44" s="9"/>
      <c r="TAC44" s="9"/>
      <c r="TAD44" s="9"/>
      <c r="TAE44" s="9"/>
      <c r="TAF44" s="9"/>
      <c r="TAG44" s="9"/>
      <c r="TAH44" s="9"/>
      <c r="TAI44" s="9"/>
      <c r="TAJ44" s="9"/>
      <c r="TAK44" s="9"/>
      <c r="TAL44" s="9"/>
      <c r="TAM44" s="9"/>
      <c r="TAN44" s="9"/>
      <c r="TAO44" s="9"/>
      <c r="TAP44" s="9"/>
      <c r="TAQ44" s="9"/>
      <c r="TAR44" s="9"/>
      <c r="TAS44" s="9"/>
      <c r="TAT44" s="9"/>
      <c r="TAU44" s="9"/>
      <c r="TAV44" s="9"/>
      <c r="TAW44" s="9"/>
      <c r="TAX44" s="9"/>
      <c r="TAY44" s="9"/>
      <c r="TAZ44" s="9"/>
      <c r="TBA44" s="9"/>
      <c r="TBB44" s="9"/>
      <c r="TBC44" s="9"/>
      <c r="TBD44" s="9"/>
      <c r="TBE44" s="9"/>
      <c r="TBF44" s="9"/>
      <c r="TBG44" s="9"/>
      <c r="TBH44" s="9"/>
      <c r="TBI44" s="9"/>
      <c r="TBJ44" s="9"/>
      <c r="TBK44" s="9"/>
      <c r="TBL44" s="9"/>
      <c r="TBM44" s="9"/>
      <c r="TBN44" s="9"/>
      <c r="TBO44" s="9"/>
      <c r="TBP44" s="9"/>
      <c r="TBQ44" s="9"/>
      <c r="TBR44" s="9"/>
      <c r="TBS44" s="9"/>
      <c r="TBT44" s="9"/>
      <c r="TBU44" s="9"/>
      <c r="TBV44" s="9"/>
      <c r="TBW44" s="9"/>
      <c r="TBX44" s="9"/>
      <c r="TBY44" s="9"/>
      <c r="TBZ44" s="9"/>
      <c r="TCA44" s="9"/>
      <c r="TCB44" s="9"/>
      <c r="TCC44" s="9"/>
      <c r="TCD44" s="9"/>
      <c r="TCE44" s="9"/>
      <c r="TCF44" s="9"/>
      <c r="TCG44" s="9"/>
      <c r="TCH44" s="9"/>
      <c r="TCI44" s="9"/>
      <c r="TCJ44" s="9"/>
      <c r="TCK44" s="9"/>
      <c r="TCL44" s="9"/>
      <c r="TCM44" s="9"/>
      <c r="TCN44" s="9"/>
      <c r="TCO44" s="9"/>
      <c r="TCP44" s="9"/>
      <c r="TCQ44" s="9"/>
      <c r="TCR44" s="9"/>
      <c r="TCS44" s="9"/>
      <c r="TCT44" s="9"/>
      <c r="TCU44" s="9"/>
      <c r="TCV44" s="9"/>
      <c r="TCW44" s="9"/>
      <c r="TCX44" s="9"/>
      <c r="TCY44" s="9"/>
      <c r="TCZ44" s="9"/>
      <c r="TDA44" s="9"/>
      <c r="TDB44" s="9"/>
      <c r="TDC44" s="9"/>
      <c r="TDD44" s="9"/>
      <c r="TDE44" s="9"/>
      <c r="TDF44" s="9"/>
      <c r="TDG44" s="9"/>
      <c r="TDH44" s="9"/>
      <c r="TDI44" s="9"/>
      <c r="TDJ44" s="9"/>
      <c r="TDK44" s="9"/>
      <c r="TDL44" s="9"/>
      <c r="TDM44" s="9"/>
      <c r="TDN44" s="9"/>
      <c r="TDO44" s="9"/>
      <c r="TDP44" s="9"/>
      <c r="TDQ44" s="9"/>
      <c r="TDR44" s="9"/>
      <c r="TDS44" s="9"/>
      <c r="TDT44" s="9"/>
      <c r="TDU44" s="9"/>
      <c r="TDV44" s="9"/>
      <c r="TDW44" s="9"/>
      <c r="TDX44" s="9"/>
      <c r="TDY44" s="9"/>
      <c r="TDZ44" s="9"/>
      <c r="TEA44" s="9"/>
      <c r="TEB44" s="9"/>
      <c r="TEC44" s="9"/>
      <c r="TED44" s="9"/>
      <c r="TEE44" s="9"/>
      <c r="TEF44" s="9"/>
      <c r="TEG44" s="9"/>
      <c r="TEH44" s="9"/>
      <c r="TEI44" s="9"/>
      <c r="TEJ44" s="9"/>
      <c r="TEK44" s="9"/>
      <c r="TEL44" s="9"/>
      <c r="TEM44" s="9"/>
      <c r="TEN44" s="9"/>
      <c r="TEO44" s="9"/>
      <c r="TEP44" s="9"/>
      <c r="TEQ44" s="9"/>
      <c r="TER44" s="9"/>
      <c r="TES44" s="9"/>
      <c r="TET44" s="9"/>
      <c r="TEU44" s="9"/>
      <c r="TEV44" s="9"/>
      <c r="TEW44" s="9"/>
      <c r="TEX44" s="9"/>
      <c r="TEY44" s="9"/>
      <c r="TEZ44" s="9"/>
      <c r="TFA44" s="9"/>
      <c r="TFB44" s="9"/>
      <c r="TFC44" s="9"/>
      <c r="TFD44" s="9"/>
      <c r="TFE44" s="9"/>
      <c r="TFF44" s="9"/>
      <c r="TFG44" s="9"/>
      <c r="TFH44" s="9"/>
      <c r="TFI44" s="9"/>
      <c r="TFJ44" s="9"/>
      <c r="TFK44" s="9"/>
      <c r="TFL44" s="9"/>
      <c r="TFM44" s="9"/>
      <c r="TFN44" s="9"/>
      <c r="TFO44" s="9"/>
      <c r="TFP44" s="9"/>
      <c r="TFQ44" s="9"/>
      <c r="TFR44" s="9"/>
      <c r="TFS44" s="9"/>
      <c r="TFT44" s="9"/>
      <c r="TFU44" s="9"/>
      <c r="TFV44" s="9"/>
      <c r="TFW44" s="9"/>
      <c r="TFX44" s="9"/>
      <c r="TFY44" s="9"/>
      <c r="TFZ44" s="9"/>
      <c r="TGA44" s="9"/>
      <c r="TGB44" s="9"/>
      <c r="TGC44" s="9"/>
      <c r="TGD44" s="9"/>
      <c r="TGE44" s="9"/>
      <c r="TGF44" s="9"/>
      <c r="TGG44" s="9"/>
      <c r="TGH44" s="9"/>
      <c r="TGI44" s="9"/>
      <c r="TGJ44" s="9"/>
      <c r="TGK44" s="9"/>
      <c r="TGL44" s="9"/>
      <c r="TGM44" s="9"/>
      <c r="TGN44" s="9"/>
      <c r="TGO44" s="9"/>
      <c r="TGP44" s="9"/>
      <c r="TGQ44" s="9"/>
      <c r="TGR44" s="9"/>
      <c r="TGS44" s="9"/>
      <c r="TGT44" s="9"/>
      <c r="TGU44" s="9"/>
      <c r="TGV44" s="9"/>
      <c r="TGW44" s="9"/>
      <c r="TGX44" s="9"/>
      <c r="TGY44" s="9"/>
      <c r="TGZ44" s="9"/>
      <c r="THA44" s="9"/>
      <c r="THB44" s="9"/>
      <c r="THC44" s="9"/>
      <c r="THD44" s="9"/>
      <c r="THE44" s="9"/>
      <c r="THF44" s="9"/>
      <c r="THG44" s="9"/>
      <c r="THH44" s="9"/>
      <c r="THI44" s="9"/>
      <c r="THJ44" s="9"/>
      <c r="THK44" s="9"/>
      <c r="THL44" s="9"/>
      <c r="THM44" s="9"/>
      <c r="THN44" s="9"/>
      <c r="THO44" s="9"/>
      <c r="THP44" s="9"/>
      <c r="THQ44" s="9"/>
      <c r="THR44" s="9"/>
      <c r="THS44" s="9"/>
      <c r="THT44" s="9"/>
      <c r="THU44" s="9"/>
      <c r="THV44" s="9"/>
      <c r="THW44" s="9"/>
      <c r="THX44" s="9"/>
      <c r="THY44" s="9"/>
      <c r="THZ44" s="9"/>
      <c r="TIA44" s="9"/>
      <c r="TIB44" s="9"/>
      <c r="TIC44" s="9"/>
      <c r="TID44" s="9"/>
      <c r="TIE44" s="9"/>
      <c r="TIF44" s="9"/>
      <c r="TIG44" s="9"/>
      <c r="TIH44" s="9"/>
      <c r="TII44" s="9"/>
      <c r="TIJ44" s="9"/>
      <c r="TIK44" s="9"/>
      <c r="TIL44" s="9"/>
      <c r="TIM44" s="9"/>
      <c r="TIN44" s="9"/>
      <c r="TIO44" s="9"/>
      <c r="TIP44" s="9"/>
      <c r="TIQ44" s="9"/>
      <c r="TIR44" s="9"/>
      <c r="TIS44" s="9"/>
      <c r="TIT44" s="9"/>
      <c r="TIU44" s="9"/>
      <c r="TIV44" s="9"/>
      <c r="TIW44" s="9"/>
      <c r="TIX44" s="9"/>
      <c r="TIY44" s="9"/>
      <c r="TIZ44" s="9"/>
      <c r="TJA44" s="9"/>
      <c r="TJB44" s="9"/>
      <c r="TJC44" s="9"/>
      <c r="TJD44" s="9"/>
      <c r="TJE44" s="9"/>
      <c r="TJF44" s="9"/>
      <c r="TJG44" s="9"/>
      <c r="TJH44" s="9"/>
      <c r="TJI44" s="9"/>
      <c r="TJJ44" s="9"/>
      <c r="TJK44" s="9"/>
      <c r="TJL44" s="9"/>
      <c r="TJM44" s="9"/>
      <c r="TJN44" s="9"/>
      <c r="TJO44" s="9"/>
      <c r="TJP44" s="9"/>
      <c r="TJQ44" s="9"/>
      <c r="TJR44" s="9"/>
      <c r="TJS44" s="9"/>
      <c r="TJT44" s="9"/>
      <c r="TJU44" s="9"/>
      <c r="TJV44" s="9"/>
      <c r="TJW44" s="9"/>
      <c r="TJX44" s="9"/>
      <c r="TJY44" s="9"/>
      <c r="TJZ44" s="9"/>
      <c r="TKA44" s="9"/>
      <c r="TKB44" s="9"/>
      <c r="TKC44" s="9"/>
      <c r="TKD44" s="9"/>
      <c r="TKE44" s="9"/>
      <c r="TKF44" s="9"/>
      <c r="TKG44" s="9"/>
      <c r="TKH44" s="9"/>
      <c r="TKI44" s="9"/>
      <c r="TKJ44" s="9"/>
      <c r="TKK44" s="9"/>
      <c r="TKL44" s="9"/>
      <c r="TKM44" s="9"/>
      <c r="TKN44" s="9"/>
      <c r="TKO44" s="9"/>
      <c r="TKP44" s="9"/>
      <c r="TKQ44" s="9"/>
      <c r="TKR44" s="9"/>
      <c r="TKS44" s="9"/>
      <c r="TKT44" s="9"/>
      <c r="TKU44" s="9"/>
      <c r="TKV44" s="9"/>
      <c r="TKW44" s="9"/>
      <c r="TKX44" s="9"/>
      <c r="TKY44" s="9"/>
      <c r="TKZ44" s="9"/>
      <c r="TLA44" s="9"/>
      <c r="TLB44" s="9"/>
      <c r="TLC44" s="9"/>
      <c r="TLD44" s="9"/>
      <c r="TLE44" s="9"/>
      <c r="TLF44" s="9"/>
      <c r="TLG44" s="9"/>
      <c r="TLH44" s="9"/>
      <c r="TLI44" s="9"/>
      <c r="TLJ44" s="9"/>
      <c r="TLK44" s="9"/>
      <c r="TLL44" s="9"/>
      <c r="TLM44" s="9"/>
      <c r="TLN44" s="9"/>
      <c r="TLO44" s="9"/>
      <c r="TLP44" s="9"/>
      <c r="TLQ44" s="9"/>
      <c r="TLR44" s="9"/>
      <c r="TLS44" s="9"/>
      <c r="TLT44" s="9"/>
      <c r="TLU44" s="9"/>
      <c r="TLV44" s="9"/>
      <c r="TLW44" s="9"/>
      <c r="TLX44" s="9"/>
      <c r="TLY44" s="9"/>
      <c r="TLZ44" s="9"/>
      <c r="TMA44" s="9"/>
      <c r="TMB44" s="9"/>
      <c r="TMC44" s="9"/>
      <c r="TMD44" s="9"/>
      <c r="TME44" s="9"/>
      <c r="TMF44" s="9"/>
      <c r="TMG44" s="9"/>
      <c r="TMH44" s="9"/>
      <c r="TMI44" s="9"/>
      <c r="TMJ44" s="9"/>
      <c r="TMK44" s="9"/>
      <c r="TML44" s="9"/>
      <c r="TMM44" s="9"/>
      <c r="TMN44" s="9"/>
      <c r="TMO44" s="9"/>
      <c r="TMP44" s="9"/>
      <c r="TMQ44" s="9"/>
      <c r="TMR44" s="9"/>
      <c r="TMS44" s="9"/>
      <c r="TMT44" s="9"/>
      <c r="TMU44" s="9"/>
      <c r="TMV44" s="9"/>
      <c r="TMW44" s="9"/>
      <c r="TMX44" s="9"/>
      <c r="TMY44" s="9"/>
      <c r="TMZ44" s="9"/>
      <c r="TNA44" s="9"/>
      <c r="TNB44" s="9"/>
      <c r="TNC44" s="9"/>
      <c r="TND44" s="9"/>
      <c r="TNE44" s="9"/>
      <c r="TNF44" s="9"/>
      <c r="TNG44" s="9"/>
      <c r="TNH44" s="9"/>
      <c r="TNI44" s="9"/>
      <c r="TNJ44" s="9"/>
      <c r="TNK44" s="9"/>
      <c r="TNL44" s="9"/>
      <c r="TNM44" s="9"/>
      <c r="TNN44" s="9"/>
      <c r="TNO44" s="9"/>
      <c r="TNP44" s="9"/>
      <c r="TNQ44" s="9"/>
      <c r="TNR44" s="9"/>
      <c r="TNS44" s="9"/>
      <c r="TNT44" s="9"/>
      <c r="TNU44" s="9"/>
      <c r="TNV44" s="9"/>
      <c r="TNW44" s="9"/>
      <c r="TNX44" s="9"/>
      <c r="TNY44" s="9"/>
      <c r="TNZ44" s="9"/>
      <c r="TOA44" s="9"/>
      <c r="TOB44" s="9"/>
      <c r="TOC44" s="9"/>
      <c r="TOD44" s="9"/>
      <c r="TOE44" s="9"/>
      <c r="TOF44" s="9"/>
      <c r="TOG44" s="9"/>
      <c r="TOH44" s="9"/>
      <c r="TOI44" s="9"/>
      <c r="TOJ44" s="9"/>
      <c r="TOK44" s="9"/>
      <c r="TOL44" s="9"/>
      <c r="TOM44" s="9"/>
      <c r="TON44" s="9"/>
      <c r="TOO44" s="9"/>
      <c r="TOP44" s="9"/>
      <c r="TOQ44" s="9"/>
      <c r="TOR44" s="9"/>
      <c r="TOS44" s="9"/>
      <c r="TOT44" s="9"/>
      <c r="TOU44" s="9"/>
      <c r="TOV44" s="9"/>
      <c r="TOW44" s="9"/>
      <c r="TOX44" s="9"/>
      <c r="TOY44" s="9"/>
      <c r="TOZ44" s="9"/>
      <c r="TPA44" s="9"/>
      <c r="TPB44" s="9"/>
      <c r="TPC44" s="9"/>
      <c r="TPD44" s="9"/>
      <c r="TPE44" s="9"/>
      <c r="TPF44" s="9"/>
      <c r="TPG44" s="9"/>
      <c r="TPH44" s="9"/>
      <c r="TPI44" s="9"/>
      <c r="TPJ44" s="9"/>
      <c r="TPK44" s="9"/>
      <c r="TPL44" s="9"/>
      <c r="TPM44" s="9"/>
      <c r="TPN44" s="9"/>
      <c r="TPO44" s="9"/>
      <c r="TPP44" s="9"/>
      <c r="TPQ44" s="9"/>
      <c r="TPR44" s="9"/>
      <c r="TPS44" s="9"/>
      <c r="TPT44" s="9"/>
      <c r="TPU44" s="9"/>
      <c r="TPV44" s="9"/>
      <c r="TPW44" s="9"/>
      <c r="TPX44" s="9"/>
      <c r="TPY44" s="9"/>
      <c r="TPZ44" s="9"/>
      <c r="TQA44" s="9"/>
      <c r="TQB44" s="9"/>
      <c r="TQC44" s="9"/>
      <c r="TQD44" s="9"/>
      <c r="TQE44" s="9"/>
      <c r="TQF44" s="9"/>
      <c r="TQG44" s="9"/>
      <c r="TQH44" s="9"/>
      <c r="TQI44" s="9"/>
      <c r="TQJ44" s="9"/>
      <c r="TQK44" s="9"/>
      <c r="TQL44" s="9"/>
      <c r="TQM44" s="9"/>
      <c r="TQN44" s="9"/>
      <c r="TQO44" s="9"/>
      <c r="TQP44" s="9"/>
      <c r="TQQ44" s="9"/>
      <c r="TQR44" s="9"/>
      <c r="TQS44" s="9"/>
      <c r="TQT44" s="9"/>
      <c r="TQU44" s="9"/>
      <c r="TQV44" s="9"/>
      <c r="TQW44" s="9"/>
      <c r="TQX44" s="9"/>
      <c r="TQY44" s="9"/>
      <c r="TQZ44" s="9"/>
      <c r="TRA44" s="9"/>
      <c r="TRB44" s="9"/>
      <c r="TRC44" s="9"/>
      <c r="TRD44" s="9"/>
      <c r="TRE44" s="9"/>
      <c r="TRF44" s="9"/>
      <c r="TRG44" s="9"/>
      <c r="TRH44" s="9"/>
      <c r="TRI44" s="9"/>
      <c r="TRJ44" s="9"/>
      <c r="TRK44" s="9"/>
      <c r="TRL44" s="9"/>
      <c r="TRM44" s="9"/>
      <c r="TRN44" s="9"/>
      <c r="TRO44" s="9"/>
      <c r="TRP44" s="9"/>
      <c r="TRQ44" s="9"/>
      <c r="TRR44" s="9"/>
      <c r="TRS44" s="9"/>
      <c r="TRT44" s="9"/>
      <c r="TRU44" s="9"/>
      <c r="TRV44" s="9"/>
      <c r="TRW44" s="9"/>
      <c r="TRX44" s="9"/>
      <c r="TRY44" s="9"/>
      <c r="TRZ44" s="9"/>
      <c r="TSA44" s="9"/>
      <c r="TSB44" s="9"/>
      <c r="TSC44" s="9"/>
      <c r="TSD44" s="9"/>
      <c r="TSE44" s="9"/>
      <c r="TSF44" s="9"/>
      <c r="TSG44" s="9"/>
      <c r="TSH44" s="9"/>
      <c r="TSI44" s="9"/>
      <c r="TSJ44" s="9"/>
      <c r="TSK44" s="9"/>
      <c r="TSL44" s="9"/>
      <c r="TSM44" s="9"/>
      <c r="TSN44" s="9"/>
      <c r="TSO44" s="9"/>
      <c r="TSP44" s="9"/>
      <c r="TSQ44" s="9"/>
      <c r="TSR44" s="9"/>
      <c r="TSS44" s="9"/>
      <c r="TST44" s="9"/>
      <c r="TSU44" s="9"/>
      <c r="TSV44" s="9"/>
      <c r="TSW44" s="9"/>
      <c r="TSX44" s="9"/>
      <c r="TSY44" s="9"/>
      <c r="TSZ44" s="9"/>
      <c r="TTA44" s="9"/>
      <c r="TTB44" s="9"/>
      <c r="TTC44" s="9"/>
      <c r="TTD44" s="9"/>
      <c r="TTE44" s="9"/>
      <c r="TTF44" s="9"/>
      <c r="TTG44" s="9"/>
      <c r="TTH44" s="9"/>
      <c r="TTI44" s="9"/>
      <c r="TTJ44" s="9"/>
      <c r="TTK44" s="9"/>
      <c r="TTL44" s="9"/>
      <c r="TTM44" s="9"/>
      <c r="TTN44" s="9"/>
      <c r="TTO44" s="9"/>
      <c r="TTP44" s="9"/>
      <c r="TTQ44" s="9"/>
      <c r="TTR44" s="9"/>
      <c r="TTS44" s="9"/>
      <c r="TTT44" s="9"/>
      <c r="TTU44" s="9"/>
      <c r="TTV44" s="9"/>
      <c r="TTW44" s="9"/>
      <c r="TTX44" s="9"/>
      <c r="TTY44" s="9"/>
      <c r="TTZ44" s="9"/>
      <c r="TUA44" s="9"/>
      <c r="TUB44" s="9"/>
      <c r="TUC44" s="9"/>
      <c r="TUD44" s="9"/>
      <c r="TUE44" s="9"/>
      <c r="TUF44" s="9"/>
      <c r="TUG44" s="9"/>
      <c r="TUH44" s="9"/>
      <c r="TUI44" s="9"/>
      <c r="TUJ44" s="9"/>
      <c r="TUK44" s="9"/>
      <c r="TUL44" s="9"/>
      <c r="TUM44" s="9"/>
      <c r="TUN44" s="9"/>
      <c r="TUO44" s="9"/>
      <c r="TUP44" s="9"/>
      <c r="TUQ44" s="9"/>
      <c r="TUR44" s="9"/>
      <c r="TUS44" s="9"/>
      <c r="TUT44" s="9"/>
      <c r="TUU44" s="9"/>
      <c r="TUV44" s="9"/>
      <c r="TUW44" s="9"/>
      <c r="TUX44" s="9"/>
      <c r="TUY44" s="9"/>
      <c r="TUZ44" s="9"/>
      <c r="TVA44" s="9"/>
      <c r="TVB44" s="9"/>
      <c r="TVC44" s="9"/>
      <c r="TVD44" s="9"/>
      <c r="TVE44" s="9"/>
      <c r="TVF44" s="9"/>
      <c r="TVG44" s="9"/>
      <c r="TVH44" s="9"/>
      <c r="TVI44" s="9"/>
      <c r="TVJ44" s="9"/>
      <c r="TVK44" s="9"/>
      <c r="TVL44" s="9"/>
      <c r="TVM44" s="9"/>
      <c r="TVN44" s="9"/>
      <c r="TVO44" s="9"/>
      <c r="TVP44" s="9"/>
      <c r="TVQ44" s="9"/>
      <c r="TVR44" s="9"/>
      <c r="TVS44" s="9"/>
      <c r="TVT44" s="9"/>
      <c r="TVU44" s="9"/>
      <c r="TVV44" s="9"/>
      <c r="TVW44" s="9"/>
      <c r="TVX44" s="9"/>
      <c r="TVY44" s="9"/>
      <c r="TVZ44" s="9"/>
      <c r="TWA44" s="9"/>
      <c r="TWB44" s="9"/>
      <c r="TWC44" s="9"/>
      <c r="TWD44" s="9"/>
      <c r="TWE44" s="9"/>
      <c r="TWF44" s="9"/>
      <c r="TWG44" s="9"/>
      <c r="TWH44" s="9"/>
      <c r="TWI44" s="9"/>
      <c r="TWJ44" s="9"/>
      <c r="TWK44" s="9"/>
      <c r="TWL44" s="9"/>
      <c r="TWM44" s="9"/>
      <c r="TWN44" s="9"/>
      <c r="TWO44" s="9"/>
      <c r="TWP44" s="9"/>
      <c r="TWQ44" s="9"/>
      <c r="TWR44" s="9"/>
      <c r="TWS44" s="9"/>
      <c r="TWT44" s="9"/>
      <c r="TWU44" s="9"/>
      <c r="TWV44" s="9"/>
      <c r="TWW44" s="9"/>
      <c r="TWX44" s="9"/>
      <c r="TWY44" s="9"/>
      <c r="TWZ44" s="9"/>
      <c r="TXA44" s="9"/>
      <c r="TXB44" s="9"/>
      <c r="TXC44" s="9"/>
      <c r="TXD44" s="9"/>
      <c r="TXE44" s="9"/>
      <c r="TXF44" s="9"/>
      <c r="TXG44" s="9"/>
      <c r="TXH44" s="9"/>
      <c r="TXI44" s="9"/>
      <c r="TXJ44" s="9"/>
      <c r="TXK44" s="9"/>
      <c r="TXL44" s="9"/>
      <c r="TXM44" s="9"/>
      <c r="TXN44" s="9"/>
      <c r="TXO44" s="9"/>
      <c r="TXP44" s="9"/>
      <c r="TXQ44" s="9"/>
      <c r="TXR44" s="9"/>
      <c r="TXS44" s="9"/>
      <c r="TXT44" s="9"/>
      <c r="TXU44" s="9"/>
      <c r="TXV44" s="9"/>
      <c r="TXW44" s="9"/>
      <c r="TXX44" s="9"/>
      <c r="TXY44" s="9"/>
      <c r="TXZ44" s="9"/>
      <c r="TYA44" s="9"/>
      <c r="TYB44" s="9"/>
      <c r="TYC44" s="9"/>
      <c r="TYD44" s="9"/>
      <c r="TYE44" s="9"/>
      <c r="TYF44" s="9"/>
      <c r="TYG44" s="9"/>
      <c r="TYH44" s="9"/>
      <c r="TYI44" s="9"/>
      <c r="TYJ44" s="9"/>
      <c r="TYK44" s="9"/>
      <c r="TYL44" s="9"/>
      <c r="TYM44" s="9"/>
      <c r="TYN44" s="9"/>
      <c r="TYO44" s="9"/>
      <c r="TYP44" s="9"/>
      <c r="TYQ44" s="9"/>
      <c r="TYR44" s="9"/>
      <c r="TYS44" s="9"/>
      <c r="TYT44" s="9"/>
      <c r="TYU44" s="9"/>
      <c r="TYV44" s="9"/>
      <c r="TYW44" s="9"/>
      <c r="TYX44" s="9"/>
      <c r="TYY44" s="9"/>
      <c r="TYZ44" s="9"/>
      <c r="TZA44" s="9"/>
      <c r="TZB44" s="9"/>
      <c r="TZC44" s="9"/>
      <c r="TZD44" s="9"/>
      <c r="TZE44" s="9"/>
      <c r="TZF44" s="9"/>
      <c r="TZG44" s="9"/>
      <c r="TZH44" s="9"/>
      <c r="TZI44" s="9"/>
      <c r="TZJ44" s="9"/>
      <c r="TZK44" s="9"/>
      <c r="TZL44" s="9"/>
      <c r="TZM44" s="9"/>
      <c r="TZN44" s="9"/>
      <c r="TZO44" s="9"/>
      <c r="TZP44" s="9"/>
      <c r="TZQ44" s="9"/>
      <c r="TZR44" s="9"/>
      <c r="TZS44" s="9"/>
      <c r="TZT44" s="9"/>
      <c r="TZU44" s="9"/>
      <c r="TZV44" s="9"/>
      <c r="TZW44" s="9"/>
      <c r="TZX44" s="9"/>
      <c r="TZY44" s="9"/>
      <c r="TZZ44" s="9"/>
      <c r="UAA44" s="9"/>
      <c r="UAB44" s="9"/>
      <c r="UAC44" s="9"/>
      <c r="UAD44" s="9"/>
      <c r="UAE44" s="9"/>
      <c r="UAF44" s="9"/>
      <c r="UAG44" s="9"/>
      <c r="UAH44" s="9"/>
      <c r="UAI44" s="9"/>
      <c r="UAJ44" s="9"/>
      <c r="UAK44" s="9"/>
      <c r="UAL44" s="9"/>
      <c r="UAM44" s="9"/>
      <c r="UAN44" s="9"/>
      <c r="UAO44" s="9"/>
      <c r="UAP44" s="9"/>
      <c r="UAQ44" s="9"/>
      <c r="UAR44" s="9"/>
      <c r="UAS44" s="9"/>
      <c r="UAT44" s="9"/>
      <c r="UAU44" s="9"/>
      <c r="UAV44" s="9"/>
      <c r="UAW44" s="9"/>
      <c r="UAX44" s="9"/>
      <c r="UAY44" s="9"/>
      <c r="UAZ44" s="9"/>
      <c r="UBA44" s="9"/>
      <c r="UBB44" s="9"/>
      <c r="UBC44" s="9"/>
      <c r="UBD44" s="9"/>
      <c r="UBE44" s="9"/>
      <c r="UBF44" s="9"/>
      <c r="UBG44" s="9"/>
      <c r="UBH44" s="9"/>
      <c r="UBI44" s="9"/>
      <c r="UBJ44" s="9"/>
      <c r="UBK44" s="9"/>
      <c r="UBL44" s="9"/>
      <c r="UBM44" s="9"/>
      <c r="UBN44" s="9"/>
      <c r="UBO44" s="9"/>
      <c r="UBP44" s="9"/>
      <c r="UBQ44" s="9"/>
      <c r="UBR44" s="9"/>
      <c r="UBS44" s="9"/>
      <c r="UBT44" s="9"/>
      <c r="UBU44" s="9"/>
      <c r="UBV44" s="9"/>
      <c r="UBW44" s="9"/>
      <c r="UBX44" s="9"/>
      <c r="UBY44" s="9"/>
      <c r="UBZ44" s="9"/>
      <c r="UCA44" s="9"/>
      <c r="UCB44" s="9"/>
      <c r="UCC44" s="9"/>
      <c r="UCD44" s="9"/>
      <c r="UCE44" s="9"/>
      <c r="UCF44" s="9"/>
      <c r="UCG44" s="9"/>
      <c r="UCH44" s="9"/>
      <c r="UCI44" s="9"/>
      <c r="UCJ44" s="9"/>
      <c r="UCK44" s="9"/>
      <c r="UCL44" s="9"/>
      <c r="UCM44" s="9"/>
      <c r="UCN44" s="9"/>
      <c r="UCO44" s="9"/>
      <c r="UCP44" s="9"/>
      <c r="UCQ44" s="9"/>
      <c r="UCR44" s="9"/>
      <c r="UCS44" s="9"/>
      <c r="UCT44" s="9"/>
      <c r="UCU44" s="9"/>
      <c r="UCV44" s="9"/>
      <c r="UCW44" s="9"/>
      <c r="UCX44" s="9"/>
      <c r="UCY44" s="9"/>
      <c r="UCZ44" s="9"/>
      <c r="UDA44" s="9"/>
      <c r="UDB44" s="9"/>
      <c r="UDC44" s="9"/>
      <c r="UDD44" s="9"/>
      <c r="UDE44" s="9"/>
      <c r="UDF44" s="9"/>
      <c r="UDG44" s="9"/>
      <c r="UDH44" s="9"/>
      <c r="UDI44" s="9"/>
      <c r="UDJ44" s="9"/>
      <c r="UDK44" s="9"/>
      <c r="UDL44" s="9"/>
      <c r="UDM44" s="9"/>
      <c r="UDN44" s="9"/>
      <c r="UDO44" s="9"/>
      <c r="UDP44" s="9"/>
      <c r="UDQ44" s="9"/>
      <c r="UDR44" s="9"/>
      <c r="UDS44" s="9"/>
      <c r="UDT44" s="9"/>
      <c r="UDU44" s="9"/>
      <c r="UDV44" s="9"/>
      <c r="UDW44" s="9"/>
      <c r="UDX44" s="9"/>
      <c r="UDY44" s="9"/>
      <c r="UDZ44" s="9"/>
      <c r="UEA44" s="9"/>
      <c r="UEB44" s="9"/>
      <c r="UEC44" s="9"/>
      <c r="UED44" s="9"/>
      <c r="UEE44" s="9"/>
      <c r="UEF44" s="9"/>
      <c r="UEG44" s="9"/>
      <c r="UEH44" s="9"/>
      <c r="UEI44" s="9"/>
      <c r="UEJ44" s="9"/>
      <c r="UEK44" s="9"/>
      <c r="UEL44" s="9"/>
      <c r="UEM44" s="9"/>
      <c r="UEN44" s="9"/>
      <c r="UEO44" s="9"/>
      <c r="UEP44" s="9"/>
      <c r="UEQ44" s="9"/>
      <c r="UER44" s="9"/>
      <c r="UES44" s="9"/>
      <c r="UET44" s="9"/>
      <c r="UEU44" s="9"/>
      <c r="UEV44" s="9"/>
      <c r="UEW44" s="9"/>
      <c r="UEX44" s="9"/>
      <c r="UEY44" s="9"/>
      <c r="UEZ44" s="9"/>
      <c r="UFA44" s="9"/>
      <c r="UFB44" s="9"/>
      <c r="UFC44" s="9"/>
      <c r="UFD44" s="9"/>
      <c r="UFE44" s="9"/>
      <c r="UFF44" s="9"/>
      <c r="UFG44" s="9"/>
      <c r="UFH44" s="9"/>
      <c r="UFI44" s="9"/>
      <c r="UFJ44" s="9"/>
      <c r="UFK44" s="9"/>
      <c r="UFL44" s="9"/>
      <c r="UFM44" s="9"/>
      <c r="UFN44" s="9"/>
      <c r="UFO44" s="9"/>
      <c r="UFP44" s="9"/>
      <c r="UFQ44" s="9"/>
      <c r="UFR44" s="9"/>
      <c r="UFS44" s="9"/>
      <c r="UFT44" s="9"/>
      <c r="UFU44" s="9"/>
      <c r="UFV44" s="9"/>
      <c r="UFW44" s="9"/>
      <c r="UFX44" s="9"/>
      <c r="UFY44" s="9"/>
      <c r="UFZ44" s="9"/>
      <c r="UGA44" s="9"/>
      <c r="UGB44" s="9"/>
      <c r="UGC44" s="9"/>
      <c r="UGD44" s="9"/>
      <c r="UGE44" s="9"/>
      <c r="UGF44" s="9"/>
      <c r="UGG44" s="9"/>
      <c r="UGH44" s="9"/>
      <c r="UGI44" s="9"/>
      <c r="UGJ44" s="9"/>
      <c r="UGK44" s="9"/>
      <c r="UGL44" s="9"/>
      <c r="UGM44" s="9"/>
      <c r="UGN44" s="9"/>
      <c r="UGO44" s="9"/>
      <c r="UGP44" s="9"/>
      <c r="UGQ44" s="9"/>
      <c r="UGR44" s="9"/>
      <c r="UGS44" s="9"/>
      <c r="UGT44" s="9"/>
      <c r="UGU44" s="9"/>
      <c r="UGV44" s="9"/>
      <c r="UGW44" s="9"/>
      <c r="UGX44" s="9"/>
      <c r="UGY44" s="9"/>
      <c r="UGZ44" s="9"/>
      <c r="UHA44" s="9"/>
      <c r="UHB44" s="9"/>
      <c r="UHC44" s="9"/>
      <c r="UHD44" s="9"/>
      <c r="UHE44" s="9"/>
      <c r="UHF44" s="9"/>
      <c r="UHG44" s="9"/>
      <c r="UHH44" s="9"/>
      <c r="UHI44" s="9"/>
      <c r="UHJ44" s="9"/>
      <c r="UHK44" s="9"/>
      <c r="UHL44" s="9"/>
      <c r="UHM44" s="9"/>
      <c r="UHN44" s="9"/>
      <c r="UHO44" s="9"/>
      <c r="UHP44" s="9"/>
      <c r="UHQ44" s="9"/>
      <c r="UHR44" s="9"/>
      <c r="UHS44" s="9"/>
      <c r="UHT44" s="9"/>
      <c r="UHU44" s="9"/>
      <c r="UHV44" s="9"/>
      <c r="UHW44" s="9"/>
      <c r="UHX44" s="9"/>
      <c r="UHY44" s="9"/>
      <c r="UHZ44" s="9"/>
      <c r="UIA44" s="9"/>
      <c r="UIB44" s="9"/>
      <c r="UIC44" s="9"/>
      <c r="UID44" s="9"/>
      <c r="UIE44" s="9"/>
      <c r="UIF44" s="9"/>
      <c r="UIG44" s="9"/>
      <c r="UIH44" s="9"/>
      <c r="UII44" s="9"/>
      <c r="UIJ44" s="9"/>
      <c r="UIK44" s="9"/>
      <c r="UIL44" s="9"/>
      <c r="UIM44" s="9"/>
      <c r="UIN44" s="9"/>
      <c r="UIO44" s="9"/>
      <c r="UIP44" s="9"/>
      <c r="UIQ44" s="9"/>
      <c r="UIR44" s="9"/>
      <c r="UIS44" s="9"/>
      <c r="UIT44" s="9"/>
      <c r="UIU44" s="9"/>
      <c r="UIV44" s="9"/>
      <c r="UIW44" s="9"/>
      <c r="UIX44" s="9"/>
      <c r="UIY44" s="9"/>
      <c r="UIZ44" s="9"/>
      <c r="UJA44" s="9"/>
      <c r="UJB44" s="9"/>
      <c r="UJC44" s="9"/>
      <c r="UJD44" s="9"/>
      <c r="UJE44" s="9"/>
      <c r="UJF44" s="9"/>
      <c r="UJG44" s="9"/>
      <c r="UJH44" s="9"/>
      <c r="UJI44" s="9"/>
      <c r="UJJ44" s="9"/>
      <c r="UJK44" s="9"/>
      <c r="UJL44" s="9"/>
      <c r="UJM44" s="9"/>
      <c r="UJN44" s="9"/>
      <c r="UJO44" s="9"/>
      <c r="UJP44" s="9"/>
      <c r="UJQ44" s="9"/>
      <c r="UJR44" s="9"/>
      <c r="UJS44" s="9"/>
      <c r="UJT44" s="9"/>
      <c r="UJU44" s="9"/>
      <c r="UJV44" s="9"/>
      <c r="UJW44" s="9"/>
      <c r="UJX44" s="9"/>
      <c r="UJY44" s="9"/>
      <c r="UJZ44" s="9"/>
      <c r="UKA44" s="9"/>
      <c r="UKB44" s="9"/>
      <c r="UKC44" s="9"/>
      <c r="UKD44" s="9"/>
      <c r="UKE44" s="9"/>
      <c r="UKF44" s="9"/>
      <c r="UKG44" s="9"/>
      <c r="UKH44" s="9"/>
      <c r="UKI44" s="9"/>
      <c r="UKJ44" s="9"/>
      <c r="UKK44" s="9"/>
      <c r="UKL44" s="9"/>
      <c r="UKM44" s="9"/>
      <c r="UKN44" s="9"/>
      <c r="UKO44" s="9"/>
      <c r="UKP44" s="9"/>
      <c r="UKQ44" s="9"/>
      <c r="UKR44" s="9"/>
      <c r="UKS44" s="9"/>
      <c r="UKT44" s="9"/>
      <c r="UKU44" s="9"/>
      <c r="UKV44" s="9"/>
      <c r="UKW44" s="9"/>
      <c r="UKX44" s="9"/>
      <c r="UKY44" s="9"/>
      <c r="UKZ44" s="9"/>
      <c r="ULA44" s="9"/>
      <c r="ULB44" s="9"/>
      <c r="ULC44" s="9"/>
      <c r="ULD44" s="9"/>
      <c r="ULE44" s="9"/>
      <c r="ULF44" s="9"/>
      <c r="ULG44" s="9"/>
      <c r="ULH44" s="9"/>
      <c r="ULI44" s="9"/>
      <c r="ULJ44" s="9"/>
      <c r="ULK44" s="9"/>
      <c r="ULL44" s="9"/>
      <c r="ULM44" s="9"/>
      <c r="ULN44" s="9"/>
      <c r="ULO44" s="9"/>
      <c r="ULP44" s="9"/>
      <c r="ULQ44" s="9"/>
      <c r="ULR44" s="9"/>
      <c r="ULS44" s="9"/>
      <c r="ULT44" s="9"/>
      <c r="ULU44" s="9"/>
      <c r="ULV44" s="9"/>
      <c r="ULW44" s="9"/>
      <c r="ULX44" s="9"/>
      <c r="ULY44" s="9"/>
      <c r="ULZ44" s="9"/>
      <c r="UMA44" s="9"/>
      <c r="UMB44" s="9"/>
      <c r="UMC44" s="9"/>
      <c r="UMD44" s="9"/>
      <c r="UME44" s="9"/>
      <c r="UMF44" s="9"/>
      <c r="UMG44" s="9"/>
      <c r="UMH44" s="9"/>
      <c r="UMI44" s="9"/>
      <c r="UMJ44" s="9"/>
      <c r="UMK44" s="9"/>
      <c r="UML44" s="9"/>
      <c r="UMM44" s="9"/>
      <c r="UMN44" s="9"/>
      <c r="UMO44" s="9"/>
      <c r="UMP44" s="9"/>
      <c r="UMQ44" s="9"/>
      <c r="UMR44" s="9"/>
      <c r="UMS44" s="9"/>
      <c r="UMT44" s="9"/>
      <c r="UMU44" s="9"/>
      <c r="UMV44" s="9"/>
      <c r="UMW44" s="9"/>
      <c r="UMX44" s="9"/>
      <c r="UMY44" s="9"/>
      <c r="UMZ44" s="9"/>
      <c r="UNA44" s="9"/>
      <c r="UNB44" s="9"/>
      <c r="UNC44" s="9"/>
      <c r="UND44" s="9"/>
      <c r="UNE44" s="9"/>
      <c r="UNF44" s="9"/>
      <c r="UNG44" s="9"/>
      <c r="UNH44" s="9"/>
      <c r="UNI44" s="9"/>
      <c r="UNJ44" s="9"/>
      <c r="UNK44" s="9"/>
      <c r="UNL44" s="9"/>
      <c r="UNM44" s="9"/>
      <c r="UNN44" s="9"/>
      <c r="UNO44" s="9"/>
      <c r="UNP44" s="9"/>
      <c r="UNQ44" s="9"/>
      <c r="UNR44" s="9"/>
      <c r="UNS44" s="9"/>
      <c r="UNT44" s="9"/>
      <c r="UNU44" s="9"/>
      <c r="UNV44" s="9"/>
      <c r="UNW44" s="9"/>
      <c r="UNX44" s="9"/>
      <c r="UNY44" s="9"/>
      <c r="UNZ44" s="9"/>
      <c r="UOA44" s="9"/>
      <c r="UOB44" s="9"/>
      <c r="UOC44" s="9"/>
      <c r="UOD44" s="9"/>
      <c r="UOE44" s="9"/>
      <c r="UOF44" s="9"/>
      <c r="UOG44" s="9"/>
      <c r="UOH44" s="9"/>
      <c r="UOI44" s="9"/>
      <c r="UOJ44" s="9"/>
      <c r="UOK44" s="9"/>
      <c r="UOL44" s="9"/>
      <c r="UOM44" s="9"/>
      <c r="UON44" s="9"/>
      <c r="UOO44" s="9"/>
      <c r="UOP44" s="9"/>
      <c r="UOQ44" s="9"/>
      <c r="UOR44" s="9"/>
      <c r="UOS44" s="9"/>
      <c r="UOT44" s="9"/>
      <c r="UOU44" s="9"/>
      <c r="UOV44" s="9"/>
      <c r="UOW44" s="9"/>
      <c r="UOX44" s="9"/>
      <c r="UOY44" s="9"/>
      <c r="UOZ44" s="9"/>
      <c r="UPA44" s="9"/>
      <c r="UPB44" s="9"/>
      <c r="UPC44" s="9"/>
      <c r="UPD44" s="9"/>
      <c r="UPE44" s="9"/>
      <c r="UPF44" s="9"/>
      <c r="UPG44" s="9"/>
      <c r="UPH44" s="9"/>
      <c r="UPI44" s="9"/>
      <c r="UPJ44" s="9"/>
      <c r="UPK44" s="9"/>
      <c r="UPL44" s="9"/>
      <c r="UPM44" s="9"/>
      <c r="UPN44" s="9"/>
      <c r="UPO44" s="9"/>
      <c r="UPP44" s="9"/>
      <c r="UPQ44" s="9"/>
      <c r="UPR44" s="9"/>
      <c r="UPS44" s="9"/>
      <c r="UPT44" s="9"/>
      <c r="UPU44" s="9"/>
      <c r="UPV44" s="9"/>
      <c r="UPW44" s="9"/>
      <c r="UPX44" s="9"/>
      <c r="UPY44" s="9"/>
      <c r="UPZ44" s="9"/>
      <c r="UQA44" s="9"/>
      <c r="UQB44" s="9"/>
      <c r="UQC44" s="9"/>
      <c r="UQD44" s="9"/>
      <c r="UQE44" s="9"/>
      <c r="UQF44" s="9"/>
      <c r="UQG44" s="9"/>
      <c r="UQH44" s="9"/>
      <c r="UQI44" s="9"/>
      <c r="UQJ44" s="9"/>
      <c r="UQK44" s="9"/>
      <c r="UQL44" s="9"/>
      <c r="UQM44" s="9"/>
      <c r="UQN44" s="9"/>
      <c r="UQO44" s="9"/>
      <c r="UQP44" s="9"/>
      <c r="UQQ44" s="9"/>
      <c r="UQR44" s="9"/>
      <c r="UQS44" s="9"/>
      <c r="UQT44" s="9"/>
      <c r="UQU44" s="9"/>
      <c r="UQV44" s="9"/>
      <c r="UQW44" s="9"/>
      <c r="UQX44" s="9"/>
      <c r="UQY44" s="9"/>
      <c r="UQZ44" s="9"/>
      <c r="URA44" s="9"/>
      <c r="URB44" s="9"/>
      <c r="URC44" s="9"/>
      <c r="URD44" s="9"/>
      <c r="URE44" s="9"/>
      <c r="URF44" s="9"/>
      <c r="URG44" s="9"/>
      <c r="URH44" s="9"/>
      <c r="URI44" s="9"/>
      <c r="URJ44" s="9"/>
      <c r="URK44" s="9"/>
      <c r="URL44" s="9"/>
      <c r="URM44" s="9"/>
      <c r="URN44" s="9"/>
      <c r="URO44" s="9"/>
      <c r="URP44" s="9"/>
      <c r="URQ44" s="9"/>
      <c r="URR44" s="9"/>
      <c r="URS44" s="9"/>
      <c r="URT44" s="9"/>
      <c r="URU44" s="9"/>
      <c r="URV44" s="9"/>
      <c r="URW44" s="9"/>
      <c r="URX44" s="9"/>
      <c r="URY44" s="9"/>
      <c r="URZ44" s="9"/>
      <c r="USA44" s="9"/>
      <c r="USB44" s="9"/>
      <c r="USC44" s="9"/>
      <c r="USD44" s="9"/>
      <c r="USE44" s="9"/>
      <c r="USF44" s="9"/>
      <c r="USG44" s="9"/>
      <c r="USH44" s="9"/>
      <c r="USI44" s="9"/>
      <c r="USJ44" s="9"/>
      <c r="USK44" s="9"/>
      <c r="USL44" s="9"/>
      <c r="USM44" s="9"/>
      <c r="USN44" s="9"/>
      <c r="USO44" s="9"/>
      <c r="USP44" s="9"/>
      <c r="USQ44" s="9"/>
      <c r="USR44" s="9"/>
      <c r="USS44" s="9"/>
      <c r="UST44" s="9"/>
      <c r="USU44" s="9"/>
      <c r="USV44" s="9"/>
      <c r="USW44" s="9"/>
      <c r="USX44" s="9"/>
      <c r="USY44" s="9"/>
      <c r="USZ44" s="9"/>
      <c r="UTA44" s="9"/>
      <c r="UTB44" s="9"/>
      <c r="UTC44" s="9"/>
      <c r="UTD44" s="9"/>
      <c r="UTE44" s="9"/>
      <c r="UTF44" s="9"/>
      <c r="UTG44" s="9"/>
      <c r="UTH44" s="9"/>
      <c r="UTI44" s="9"/>
      <c r="UTJ44" s="9"/>
      <c r="UTK44" s="9"/>
      <c r="UTL44" s="9"/>
      <c r="UTM44" s="9"/>
      <c r="UTN44" s="9"/>
      <c r="UTO44" s="9"/>
      <c r="UTP44" s="9"/>
      <c r="UTQ44" s="9"/>
      <c r="UTR44" s="9"/>
      <c r="UTS44" s="9"/>
      <c r="UTT44" s="9"/>
      <c r="UTU44" s="9"/>
      <c r="UTV44" s="9"/>
      <c r="UTW44" s="9"/>
      <c r="UTX44" s="9"/>
      <c r="UTY44" s="9"/>
      <c r="UTZ44" s="9"/>
      <c r="UUA44" s="9"/>
      <c r="UUB44" s="9"/>
      <c r="UUC44" s="9"/>
      <c r="UUD44" s="9"/>
      <c r="UUE44" s="9"/>
      <c r="UUF44" s="9"/>
      <c r="UUG44" s="9"/>
      <c r="UUH44" s="9"/>
      <c r="UUI44" s="9"/>
      <c r="UUJ44" s="9"/>
      <c r="UUK44" s="9"/>
      <c r="UUL44" s="9"/>
      <c r="UUM44" s="9"/>
      <c r="UUN44" s="9"/>
      <c r="UUO44" s="9"/>
      <c r="UUP44" s="9"/>
      <c r="UUQ44" s="9"/>
      <c r="UUR44" s="9"/>
      <c r="UUS44" s="9"/>
      <c r="UUT44" s="9"/>
      <c r="UUU44" s="9"/>
      <c r="UUV44" s="9"/>
      <c r="UUW44" s="9"/>
      <c r="UUX44" s="9"/>
      <c r="UUY44" s="9"/>
      <c r="UUZ44" s="9"/>
      <c r="UVA44" s="9"/>
      <c r="UVB44" s="9"/>
      <c r="UVC44" s="9"/>
      <c r="UVD44" s="9"/>
      <c r="UVE44" s="9"/>
      <c r="UVF44" s="9"/>
      <c r="UVG44" s="9"/>
      <c r="UVH44" s="9"/>
      <c r="UVI44" s="9"/>
      <c r="UVJ44" s="9"/>
      <c r="UVK44" s="9"/>
      <c r="UVL44" s="9"/>
      <c r="UVM44" s="9"/>
      <c r="UVN44" s="9"/>
      <c r="UVO44" s="9"/>
      <c r="UVP44" s="9"/>
      <c r="UVQ44" s="9"/>
      <c r="UVR44" s="9"/>
      <c r="UVS44" s="9"/>
      <c r="UVT44" s="9"/>
      <c r="UVU44" s="9"/>
      <c r="UVV44" s="9"/>
      <c r="UVW44" s="9"/>
      <c r="UVX44" s="9"/>
      <c r="UVY44" s="9"/>
      <c r="UVZ44" s="9"/>
      <c r="UWA44" s="9"/>
      <c r="UWB44" s="9"/>
      <c r="UWC44" s="9"/>
      <c r="UWD44" s="9"/>
      <c r="UWE44" s="9"/>
      <c r="UWF44" s="9"/>
      <c r="UWG44" s="9"/>
      <c r="UWH44" s="9"/>
      <c r="UWI44" s="9"/>
      <c r="UWJ44" s="9"/>
      <c r="UWK44" s="9"/>
      <c r="UWL44" s="9"/>
      <c r="UWM44" s="9"/>
      <c r="UWN44" s="9"/>
      <c r="UWO44" s="9"/>
      <c r="UWP44" s="9"/>
      <c r="UWQ44" s="9"/>
      <c r="UWR44" s="9"/>
      <c r="UWS44" s="9"/>
      <c r="UWT44" s="9"/>
      <c r="UWU44" s="9"/>
      <c r="UWV44" s="9"/>
      <c r="UWW44" s="9"/>
      <c r="UWX44" s="9"/>
      <c r="UWY44" s="9"/>
      <c r="UWZ44" s="9"/>
      <c r="UXA44" s="9"/>
      <c r="UXB44" s="9"/>
      <c r="UXC44" s="9"/>
      <c r="UXD44" s="9"/>
      <c r="UXE44" s="9"/>
      <c r="UXF44" s="9"/>
      <c r="UXG44" s="9"/>
      <c r="UXH44" s="9"/>
      <c r="UXI44" s="9"/>
      <c r="UXJ44" s="9"/>
      <c r="UXK44" s="9"/>
      <c r="UXL44" s="9"/>
      <c r="UXM44" s="9"/>
      <c r="UXN44" s="9"/>
      <c r="UXO44" s="9"/>
      <c r="UXP44" s="9"/>
      <c r="UXQ44" s="9"/>
      <c r="UXR44" s="9"/>
      <c r="UXS44" s="9"/>
      <c r="UXT44" s="9"/>
      <c r="UXU44" s="9"/>
      <c r="UXV44" s="9"/>
      <c r="UXW44" s="9"/>
      <c r="UXX44" s="9"/>
      <c r="UXY44" s="9"/>
      <c r="UXZ44" s="9"/>
      <c r="UYA44" s="9"/>
      <c r="UYB44" s="9"/>
      <c r="UYC44" s="9"/>
      <c r="UYD44" s="9"/>
      <c r="UYE44" s="9"/>
      <c r="UYF44" s="9"/>
      <c r="UYG44" s="9"/>
      <c r="UYH44" s="9"/>
      <c r="UYI44" s="9"/>
      <c r="UYJ44" s="9"/>
      <c r="UYK44" s="9"/>
      <c r="UYL44" s="9"/>
      <c r="UYM44" s="9"/>
      <c r="UYN44" s="9"/>
      <c r="UYO44" s="9"/>
      <c r="UYP44" s="9"/>
      <c r="UYQ44" s="9"/>
      <c r="UYR44" s="9"/>
      <c r="UYS44" s="9"/>
      <c r="UYT44" s="9"/>
      <c r="UYU44" s="9"/>
      <c r="UYV44" s="9"/>
      <c r="UYW44" s="9"/>
      <c r="UYX44" s="9"/>
      <c r="UYY44" s="9"/>
      <c r="UYZ44" s="9"/>
      <c r="UZA44" s="9"/>
      <c r="UZB44" s="9"/>
      <c r="UZC44" s="9"/>
      <c r="UZD44" s="9"/>
      <c r="UZE44" s="9"/>
      <c r="UZF44" s="9"/>
      <c r="UZG44" s="9"/>
      <c r="UZH44" s="9"/>
      <c r="UZI44" s="9"/>
      <c r="UZJ44" s="9"/>
      <c r="UZK44" s="9"/>
      <c r="UZL44" s="9"/>
      <c r="UZM44" s="9"/>
      <c r="UZN44" s="9"/>
      <c r="UZO44" s="9"/>
      <c r="UZP44" s="9"/>
      <c r="UZQ44" s="9"/>
      <c r="UZR44" s="9"/>
      <c r="UZS44" s="9"/>
      <c r="UZT44" s="9"/>
      <c r="UZU44" s="9"/>
      <c r="UZV44" s="9"/>
      <c r="UZW44" s="9"/>
      <c r="UZX44" s="9"/>
      <c r="UZY44" s="9"/>
      <c r="UZZ44" s="9"/>
      <c r="VAA44" s="9"/>
      <c r="VAB44" s="9"/>
      <c r="VAC44" s="9"/>
      <c r="VAD44" s="9"/>
      <c r="VAE44" s="9"/>
      <c r="VAF44" s="9"/>
      <c r="VAG44" s="9"/>
      <c r="VAH44" s="9"/>
      <c r="VAI44" s="9"/>
      <c r="VAJ44" s="9"/>
      <c r="VAK44" s="9"/>
      <c r="VAL44" s="9"/>
      <c r="VAM44" s="9"/>
      <c r="VAN44" s="9"/>
      <c r="VAO44" s="9"/>
      <c r="VAP44" s="9"/>
      <c r="VAQ44" s="9"/>
      <c r="VAR44" s="9"/>
      <c r="VAS44" s="9"/>
      <c r="VAT44" s="9"/>
      <c r="VAU44" s="9"/>
      <c r="VAV44" s="9"/>
      <c r="VAW44" s="9"/>
      <c r="VAX44" s="9"/>
      <c r="VAY44" s="9"/>
      <c r="VAZ44" s="9"/>
      <c r="VBA44" s="9"/>
      <c r="VBB44" s="9"/>
      <c r="VBC44" s="9"/>
      <c r="VBD44" s="9"/>
      <c r="VBE44" s="9"/>
      <c r="VBF44" s="9"/>
      <c r="VBG44" s="9"/>
      <c r="VBH44" s="9"/>
      <c r="VBI44" s="9"/>
      <c r="VBJ44" s="9"/>
      <c r="VBK44" s="9"/>
      <c r="VBL44" s="9"/>
      <c r="VBM44" s="9"/>
      <c r="VBN44" s="9"/>
      <c r="VBO44" s="9"/>
      <c r="VBP44" s="9"/>
      <c r="VBQ44" s="9"/>
      <c r="VBR44" s="9"/>
      <c r="VBS44" s="9"/>
      <c r="VBT44" s="9"/>
      <c r="VBU44" s="9"/>
      <c r="VBV44" s="9"/>
      <c r="VBW44" s="9"/>
      <c r="VBX44" s="9"/>
      <c r="VBY44" s="9"/>
      <c r="VBZ44" s="9"/>
      <c r="VCA44" s="9"/>
      <c r="VCB44" s="9"/>
      <c r="VCC44" s="9"/>
      <c r="VCD44" s="9"/>
      <c r="VCE44" s="9"/>
      <c r="VCF44" s="9"/>
      <c r="VCG44" s="9"/>
      <c r="VCH44" s="9"/>
      <c r="VCI44" s="9"/>
      <c r="VCJ44" s="9"/>
      <c r="VCK44" s="9"/>
      <c r="VCL44" s="9"/>
      <c r="VCM44" s="9"/>
      <c r="VCN44" s="9"/>
      <c r="VCO44" s="9"/>
      <c r="VCP44" s="9"/>
      <c r="VCQ44" s="9"/>
      <c r="VCR44" s="9"/>
      <c r="VCS44" s="9"/>
      <c r="VCT44" s="9"/>
      <c r="VCU44" s="9"/>
      <c r="VCV44" s="9"/>
      <c r="VCW44" s="9"/>
      <c r="VCX44" s="9"/>
      <c r="VCY44" s="9"/>
      <c r="VCZ44" s="9"/>
      <c r="VDA44" s="9"/>
      <c r="VDB44" s="9"/>
      <c r="VDC44" s="9"/>
      <c r="VDD44" s="9"/>
      <c r="VDE44" s="9"/>
      <c r="VDF44" s="9"/>
      <c r="VDG44" s="9"/>
      <c r="VDH44" s="9"/>
      <c r="VDI44" s="9"/>
      <c r="VDJ44" s="9"/>
      <c r="VDK44" s="9"/>
      <c r="VDL44" s="9"/>
      <c r="VDM44" s="9"/>
      <c r="VDN44" s="9"/>
      <c r="VDO44" s="9"/>
      <c r="VDP44" s="9"/>
      <c r="VDQ44" s="9"/>
      <c r="VDR44" s="9"/>
      <c r="VDS44" s="9"/>
      <c r="VDT44" s="9"/>
      <c r="VDU44" s="9"/>
      <c r="VDV44" s="9"/>
      <c r="VDW44" s="9"/>
      <c r="VDX44" s="9"/>
      <c r="VDY44" s="9"/>
      <c r="VDZ44" s="9"/>
      <c r="VEA44" s="9"/>
      <c r="VEB44" s="9"/>
      <c r="VEC44" s="9"/>
      <c r="VED44" s="9"/>
      <c r="VEE44" s="9"/>
      <c r="VEF44" s="9"/>
      <c r="VEG44" s="9"/>
      <c r="VEH44" s="9"/>
      <c r="VEI44" s="9"/>
      <c r="VEJ44" s="9"/>
      <c r="VEK44" s="9"/>
      <c r="VEL44" s="9"/>
      <c r="VEM44" s="9"/>
      <c r="VEN44" s="9"/>
      <c r="VEO44" s="9"/>
      <c r="VEP44" s="9"/>
      <c r="VEQ44" s="9"/>
      <c r="VER44" s="9"/>
      <c r="VES44" s="9"/>
      <c r="VET44" s="9"/>
      <c r="VEU44" s="9"/>
      <c r="VEV44" s="9"/>
      <c r="VEW44" s="9"/>
      <c r="VEX44" s="9"/>
      <c r="VEY44" s="9"/>
      <c r="VEZ44" s="9"/>
      <c r="VFA44" s="9"/>
      <c r="VFB44" s="9"/>
      <c r="VFC44" s="9"/>
      <c r="VFD44" s="9"/>
      <c r="VFE44" s="9"/>
      <c r="VFF44" s="9"/>
      <c r="VFG44" s="9"/>
      <c r="VFH44" s="9"/>
      <c r="VFI44" s="9"/>
      <c r="VFJ44" s="9"/>
      <c r="VFK44" s="9"/>
      <c r="VFL44" s="9"/>
      <c r="VFM44" s="9"/>
      <c r="VFN44" s="9"/>
      <c r="VFO44" s="9"/>
      <c r="VFP44" s="9"/>
      <c r="VFQ44" s="9"/>
      <c r="VFR44" s="9"/>
      <c r="VFS44" s="9"/>
      <c r="VFT44" s="9"/>
      <c r="VFU44" s="9"/>
      <c r="VFV44" s="9"/>
      <c r="VFW44" s="9"/>
      <c r="VFX44" s="9"/>
      <c r="VFY44" s="9"/>
      <c r="VFZ44" s="9"/>
      <c r="VGA44" s="9"/>
      <c r="VGB44" s="9"/>
      <c r="VGC44" s="9"/>
      <c r="VGD44" s="9"/>
    </row>
    <row r="45" spans="1:15106" s="1" customFormat="1" ht="14.25">
      <c r="B45" s="55"/>
      <c r="C45" s="200" t="s">
        <v>40</v>
      </c>
      <c r="D45" s="265">
        <f>SUM(D46:D47)</f>
        <v>1162372.9500000002</v>
      </c>
      <c r="E45" s="201" t="s">
        <v>9</v>
      </c>
      <c r="F45" s="49">
        <f>SUM(F46:F47)</f>
        <v>0</v>
      </c>
      <c r="G45" s="49">
        <f t="shared" ref="G45:K45" si="16">SUM(G46:G47)</f>
        <v>0</v>
      </c>
      <c r="H45" s="49">
        <f t="shared" si="16"/>
        <v>0</v>
      </c>
      <c r="I45" s="49">
        <f t="shared" si="16"/>
        <v>0</v>
      </c>
      <c r="J45" s="49">
        <f t="shared" si="16"/>
        <v>0</v>
      </c>
      <c r="K45" s="49">
        <f t="shared" si="16"/>
        <v>0</v>
      </c>
      <c r="L45" s="49">
        <f t="shared" ref="L45:M45" si="17">SUM(L46:L47)</f>
        <v>0</v>
      </c>
      <c r="M45" s="49">
        <f t="shared" si="17"/>
        <v>0</v>
      </c>
      <c r="N45" s="49">
        <f t="shared" ref="N45:O45" si="18">SUM(N46:N47)</f>
        <v>0</v>
      </c>
      <c r="O45" s="49">
        <f t="shared" si="18"/>
        <v>0</v>
      </c>
      <c r="P45" s="49">
        <f t="shared" ref="P45:R45" si="19">SUM(P46:P47)</f>
        <v>0</v>
      </c>
      <c r="Q45" s="49">
        <f t="shared" si="19"/>
        <v>0</v>
      </c>
      <c r="R45" s="49">
        <f t="shared" si="19"/>
        <v>0</v>
      </c>
      <c r="S45" s="49">
        <f t="shared" ref="S45:T45" si="20">SUM(S46:S47)</f>
        <v>0</v>
      </c>
      <c r="T45" s="49">
        <f t="shared" si="20"/>
        <v>0</v>
      </c>
      <c r="U45" s="49">
        <f t="shared" ref="U45:V45" si="21">SUM(U46:U47)</f>
        <v>0</v>
      </c>
      <c r="V45" s="49">
        <f t="shared" si="21"/>
        <v>0</v>
      </c>
      <c r="W45" s="49">
        <f t="shared" ref="W45:Y45" si="22">SUM(W46:W47)</f>
        <v>0</v>
      </c>
      <c r="X45" s="49">
        <f t="shared" si="22"/>
        <v>0</v>
      </c>
      <c r="Y45" s="49">
        <f t="shared" si="22"/>
        <v>0</v>
      </c>
      <c r="Z45" s="49">
        <f t="shared" ref="Z45:AA45" si="23">SUM(Z46:Z47)</f>
        <v>0</v>
      </c>
      <c r="AA45" s="49">
        <f t="shared" si="23"/>
        <v>0</v>
      </c>
      <c r="AB45" s="49">
        <f>SUM(AB46:AB47)</f>
        <v>891600</v>
      </c>
      <c r="AC45" s="49">
        <f>SUM(AC46:AC47)</f>
        <v>419799.99999999901</v>
      </c>
      <c r="AD45" s="49">
        <f t="shared" ref="AD45:AF45" si="24">SUM(AD46:AD47)</f>
        <v>0</v>
      </c>
      <c r="AE45" s="49">
        <f t="shared" si="24"/>
        <v>0</v>
      </c>
      <c r="AF45" s="49">
        <f t="shared" si="24"/>
        <v>0</v>
      </c>
      <c r="AG45" s="49">
        <f t="shared" ref="AG45:AH45" si="25">SUM(AG46:AG47)</f>
        <v>0</v>
      </c>
      <c r="AH45" s="49">
        <f t="shared" si="25"/>
        <v>0</v>
      </c>
      <c r="AI45" s="49">
        <f t="shared" ref="AI45:AJ45" si="26">SUM(AI46:AI47)</f>
        <v>0</v>
      </c>
      <c r="AJ45" s="49">
        <f t="shared" si="26"/>
        <v>0</v>
      </c>
      <c r="AK45" s="105"/>
      <c r="AL45" s="114">
        <f>SUM(F45:AJ45)</f>
        <v>1311399.9999999991</v>
      </c>
      <c r="AM45" s="233"/>
      <c r="AN45" s="106"/>
      <c r="EB45" s="233"/>
      <c r="EC45" s="233"/>
      <c r="FI45" s="233"/>
    </row>
    <row r="46" spans="1:15106" s="1" customFormat="1" ht="14.25">
      <c r="B46" s="55"/>
      <c r="C46" s="200" t="s">
        <v>41</v>
      </c>
      <c r="D46" s="265">
        <f>813.661065*1000</f>
        <v>813661.06500000006</v>
      </c>
      <c r="E46" s="201" t="s">
        <v>9</v>
      </c>
      <c r="F46" s="49">
        <v>0</v>
      </c>
      <c r="G46" s="49">
        <v>0</v>
      </c>
      <c r="H46" s="49">
        <v>0</v>
      </c>
      <c r="I46" s="49">
        <v>0</v>
      </c>
      <c r="J46" s="49">
        <v>0</v>
      </c>
      <c r="K46" s="49">
        <v>0</v>
      </c>
      <c r="L46" s="49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  <c r="W46" s="49">
        <v>0</v>
      </c>
      <c r="X46" s="49">
        <v>0</v>
      </c>
      <c r="Y46" s="49">
        <v>0</v>
      </c>
      <c r="Z46" s="49">
        <v>0</v>
      </c>
      <c r="AA46" s="49">
        <v>0</v>
      </c>
      <c r="AB46" s="49">
        <v>665500</v>
      </c>
      <c r="AC46" s="49">
        <f>296.299999999999*1000</f>
        <v>296299.99999999901</v>
      </c>
      <c r="AD46" s="49">
        <v>0</v>
      </c>
      <c r="AE46" s="49">
        <v>0</v>
      </c>
      <c r="AF46" s="49">
        <v>0</v>
      </c>
      <c r="AG46" s="49">
        <v>0</v>
      </c>
      <c r="AH46" s="49">
        <v>0</v>
      </c>
      <c r="AI46" s="49">
        <v>0</v>
      </c>
      <c r="AJ46" s="49">
        <v>0</v>
      </c>
      <c r="AK46" s="105"/>
      <c r="AL46" s="116">
        <f>SUM(F46:AJ46)</f>
        <v>961799.99999999907</v>
      </c>
      <c r="AM46" s="233"/>
      <c r="AN46" s="106"/>
      <c r="AP46" s="234">
        <f>AP41-AP42</f>
        <v>1126.8826347305367</v>
      </c>
      <c r="EB46" s="233"/>
      <c r="EC46" s="233"/>
      <c r="FI46" s="233"/>
    </row>
    <row r="47" spans="1:15106" s="1" customFormat="1" ht="14.25">
      <c r="B47" s="55"/>
      <c r="C47" s="46" t="s">
        <v>37</v>
      </c>
      <c r="D47" s="265">
        <f>348.711885*1000</f>
        <v>348711.88500000001</v>
      </c>
      <c r="E47" s="201" t="s">
        <v>9</v>
      </c>
      <c r="F47" s="49">
        <v>0</v>
      </c>
      <c r="G47" s="49">
        <v>0</v>
      </c>
      <c r="H47" s="49">
        <v>0</v>
      </c>
      <c r="I47" s="49">
        <v>0</v>
      </c>
      <c r="J47" s="49">
        <v>0</v>
      </c>
      <c r="K47" s="49">
        <v>0</v>
      </c>
      <c r="L47" s="49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  <c r="W47" s="49">
        <v>0</v>
      </c>
      <c r="X47" s="49">
        <v>0</v>
      </c>
      <c r="Y47" s="49">
        <v>0</v>
      </c>
      <c r="Z47" s="49">
        <v>0</v>
      </c>
      <c r="AA47" s="49">
        <v>0</v>
      </c>
      <c r="AB47" s="49">
        <v>226100</v>
      </c>
      <c r="AC47" s="49">
        <v>123500</v>
      </c>
      <c r="AD47" s="49">
        <v>0</v>
      </c>
      <c r="AE47" s="49">
        <v>0</v>
      </c>
      <c r="AF47" s="49">
        <v>0</v>
      </c>
      <c r="AG47" s="49">
        <v>0</v>
      </c>
      <c r="AH47" s="49">
        <v>0</v>
      </c>
      <c r="AI47" s="49">
        <v>0</v>
      </c>
      <c r="AJ47" s="49">
        <v>0</v>
      </c>
      <c r="AK47" s="105"/>
      <c r="AL47" s="114">
        <f>SUM(F47:AJ47)</f>
        <v>349600</v>
      </c>
      <c r="AM47" s="236"/>
      <c r="AN47" s="106"/>
      <c r="AP47" s="233">
        <f>AP36</f>
        <v>1</v>
      </c>
      <c r="EB47" s="233"/>
      <c r="EC47" s="233"/>
      <c r="FI47" s="233"/>
    </row>
    <row r="48" spans="1:15106">
      <c r="B48" s="61"/>
      <c r="C48" s="62" t="s">
        <v>42</v>
      </c>
      <c r="D48" s="266"/>
      <c r="E48" s="64"/>
      <c r="F48" s="43"/>
      <c r="G48" s="43"/>
      <c r="H48" s="43"/>
      <c r="I48" s="86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111"/>
      <c r="AL48" s="112" t="s">
        <v>43</v>
      </c>
      <c r="AP48" s="256">
        <f>AP46/AP47</f>
        <v>1126.8826347305367</v>
      </c>
    </row>
    <row r="49" spans="1:15058" s="4" customFormat="1" hidden="1">
      <c r="A49" s="9"/>
      <c r="B49" s="26"/>
      <c r="C49" s="65" t="s">
        <v>24</v>
      </c>
      <c r="D49" s="267"/>
      <c r="E49" s="66" t="s">
        <v>9</v>
      </c>
      <c r="F49" s="49"/>
      <c r="G49" s="49"/>
      <c r="H49" s="49"/>
      <c r="I49" s="49"/>
      <c r="J49" s="49"/>
      <c r="K49" s="49"/>
      <c r="L49" s="49">
        <f>1140.18000000001*1000</f>
        <v>1140180.00000001</v>
      </c>
      <c r="M49" s="49">
        <f>M31</f>
        <v>1422420</v>
      </c>
      <c r="N49" s="49">
        <v>1260150</v>
      </c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>
        <v>1180000</v>
      </c>
      <c r="AB49" s="49"/>
      <c r="AC49" s="49"/>
      <c r="AD49" s="93"/>
      <c r="AE49" s="93"/>
      <c r="AF49" s="93"/>
      <c r="AG49" s="93">
        <v>1322490</v>
      </c>
      <c r="AH49" s="93">
        <v>383550</v>
      </c>
      <c r="AI49" s="93"/>
      <c r="AJ49" s="93"/>
      <c r="AK49" s="113"/>
      <c r="AL49" s="114">
        <f>SUM(F49:AJ49)</f>
        <v>6708790.0000000102</v>
      </c>
      <c r="AM49" s="9"/>
      <c r="AN49" s="115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242"/>
      <c r="BL49" s="242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235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242"/>
      <c r="EC49" s="242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242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  <c r="LR49" s="9"/>
      <c r="LS49" s="9"/>
      <c r="LT49" s="9"/>
      <c r="LU49" s="9"/>
      <c r="LV49" s="9"/>
      <c r="LW49" s="9"/>
      <c r="LX49" s="9"/>
      <c r="LY49" s="9"/>
      <c r="LZ49" s="9"/>
      <c r="MA49" s="9"/>
      <c r="MB49" s="9"/>
      <c r="MC49" s="9"/>
      <c r="MD49" s="9"/>
      <c r="ME49" s="9"/>
      <c r="MF49" s="9"/>
      <c r="MG49" s="9"/>
      <c r="MH49" s="9"/>
      <c r="MI49" s="9"/>
      <c r="MJ49" s="9"/>
      <c r="MK49" s="9"/>
      <c r="ML49" s="9"/>
      <c r="MM49" s="9"/>
      <c r="MN49" s="9"/>
      <c r="MO49" s="9"/>
      <c r="MP49" s="9"/>
      <c r="MQ49" s="9"/>
      <c r="MR49" s="9"/>
      <c r="MS49" s="9"/>
      <c r="MT49" s="9"/>
      <c r="MU49" s="9"/>
      <c r="MV49" s="9"/>
      <c r="MW49" s="9"/>
      <c r="MX49" s="9"/>
      <c r="MY49" s="9"/>
      <c r="MZ49" s="9"/>
      <c r="NA49" s="9"/>
      <c r="NB49" s="9"/>
      <c r="NC49" s="9"/>
      <c r="ND49" s="9"/>
      <c r="NE49" s="9"/>
      <c r="NF49" s="9"/>
      <c r="NG49" s="9"/>
      <c r="NH49" s="9"/>
      <c r="NI49" s="9"/>
      <c r="NJ49" s="9"/>
      <c r="NK49" s="9"/>
      <c r="NL49" s="9"/>
      <c r="NM49" s="9"/>
      <c r="NN49" s="9"/>
      <c r="NO49" s="9"/>
      <c r="NP49" s="9"/>
      <c r="NQ49" s="9"/>
      <c r="NR49" s="9"/>
      <c r="NS49" s="9"/>
      <c r="NT49" s="9"/>
      <c r="NU49" s="9"/>
      <c r="NV49" s="9"/>
      <c r="NW49" s="9"/>
      <c r="NX49" s="9"/>
      <c r="NY49" s="9"/>
      <c r="NZ49" s="9"/>
      <c r="OA49" s="9"/>
      <c r="OB49" s="9"/>
      <c r="OC49" s="9"/>
      <c r="OD49" s="9"/>
      <c r="OE49" s="9"/>
      <c r="OF49" s="9"/>
      <c r="OG49" s="9"/>
      <c r="OH49" s="9"/>
      <c r="OI49" s="9"/>
      <c r="OJ49" s="9"/>
      <c r="OK49" s="9"/>
      <c r="OL49" s="9"/>
      <c r="OM49" s="9"/>
      <c r="ON49" s="9"/>
      <c r="OO49" s="9"/>
      <c r="OP49" s="9"/>
      <c r="OQ49" s="9"/>
      <c r="OR49" s="9"/>
      <c r="OS49" s="9"/>
      <c r="OT49" s="9"/>
      <c r="OU49" s="9"/>
      <c r="OV49" s="9"/>
      <c r="OW49" s="9"/>
      <c r="OX49" s="9"/>
      <c r="OY49" s="9"/>
      <c r="OZ49" s="9"/>
      <c r="PA49" s="9"/>
      <c r="PB49" s="9"/>
      <c r="PC49" s="9"/>
      <c r="PD49" s="9"/>
      <c r="PE49" s="9"/>
      <c r="PF49" s="9"/>
      <c r="PG49" s="9"/>
      <c r="PH49" s="9"/>
      <c r="PI49" s="9"/>
      <c r="PJ49" s="9"/>
      <c r="PK49" s="9"/>
      <c r="PL49" s="9"/>
      <c r="PM49" s="9"/>
      <c r="PN49" s="9"/>
      <c r="PO49" s="9"/>
      <c r="PP49" s="9"/>
      <c r="PQ49" s="9"/>
      <c r="PR49" s="9"/>
      <c r="PS49" s="9"/>
      <c r="PT49" s="9"/>
      <c r="PU49" s="9"/>
      <c r="PV49" s="9"/>
      <c r="PW49" s="9"/>
      <c r="PX49" s="9"/>
      <c r="PY49" s="9"/>
      <c r="PZ49" s="9"/>
      <c r="QA49" s="9"/>
      <c r="QB49" s="9"/>
      <c r="QC49" s="9"/>
      <c r="QD49" s="9"/>
      <c r="QE49" s="9"/>
      <c r="QF49" s="9"/>
      <c r="QG49" s="9"/>
      <c r="QH49" s="9"/>
      <c r="QI49" s="9"/>
      <c r="QJ49" s="9"/>
      <c r="QK49" s="9"/>
      <c r="QL49" s="9"/>
      <c r="QM49" s="9"/>
      <c r="QN49" s="9"/>
      <c r="QO49" s="9"/>
      <c r="QP49" s="9"/>
      <c r="QQ49" s="9"/>
      <c r="QR49" s="9"/>
      <c r="QS49" s="9"/>
      <c r="QT49" s="9"/>
      <c r="QU49" s="9"/>
      <c r="QV49" s="9"/>
      <c r="QW49" s="9"/>
      <c r="QX49" s="9"/>
      <c r="QY49" s="9"/>
      <c r="QZ49" s="9"/>
      <c r="RA49" s="9"/>
      <c r="RB49" s="9"/>
      <c r="RC49" s="9"/>
      <c r="RD49" s="9"/>
      <c r="RE49" s="9"/>
      <c r="RF49" s="9"/>
      <c r="RG49" s="9"/>
      <c r="RH49" s="9"/>
      <c r="RI49" s="9"/>
      <c r="RJ49" s="9"/>
      <c r="RK49" s="9"/>
      <c r="RL49" s="9"/>
      <c r="RM49" s="9"/>
      <c r="RN49" s="9"/>
      <c r="RO49" s="9"/>
      <c r="RP49" s="9"/>
      <c r="RQ49" s="9"/>
      <c r="RR49" s="9"/>
      <c r="RS49" s="9"/>
      <c r="RT49" s="9"/>
      <c r="RU49" s="9"/>
      <c r="RV49" s="9"/>
      <c r="RW49" s="9"/>
      <c r="RX49" s="9"/>
      <c r="RY49" s="9"/>
      <c r="RZ49" s="9"/>
      <c r="SA49" s="9"/>
      <c r="SB49" s="9"/>
      <c r="SC49" s="9"/>
      <c r="SD49" s="9"/>
      <c r="SE49" s="9"/>
      <c r="SF49" s="9"/>
      <c r="SG49" s="9"/>
      <c r="SH49" s="9"/>
      <c r="SI49" s="9"/>
      <c r="SJ49" s="9"/>
      <c r="SK49" s="9"/>
      <c r="SL49" s="9"/>
      <c r="SM49" s="9"/>
      <c r="SN49" s="9"/>
      <c r="SO49" s="9"/>
      <c r="SP49" s="9"/>
      <c r="SQ49" s="9"/>
      <c r="SR49" s="9"/>
      <c r="SS49" s="9"/>
      <c r="ST49" s="9"/>
      <c r="SU49" s="9"/>
      <c r="SV49" s="9"/>
      <c r="SW49" s="9"/>
      <c r="SX49" s="9"/>
      <c r="SY49" s="9"/>
      <c r="SZ49" s="9"/>
      <c r="TA49" s="9"/>
      <c r="TB49" s="9"/>
      <c r="TC49" s="9"/>
      <c r="TD49" s="9"/>
      <c r="TE49" s="9"/>
      <c r="TF49" s="9"/>
      <c r="TG49" s="9"/>
      <c r="TH49" s="9"/>
      <c r="TI49" s="9"/>
      <c r="TJ49" s="9"/>
      <c r="TK49" s="9"/>
      <c r="TL49" s="9"/>
      <c r="TM49" s="9"/>
      <c r="TN49" s="9"/>
      <c r="TO49" s="9"/>
      <c r="TP49" s="9"/>
      <c r="TQ49" s="9"/>
      <c r="TR49" s="9"/>
      <c r="TS49" s="9"/>
      <c r="TT49" s="9"/>
      <c r="TU49" s="9"/>
      <c r="TV49" s="9"/>
      <c r="TW49" s="9"/>
      <c r="TX49" s="9"/>
      <c r="TY49" s="9"/>
      <c r="TZ49" s="9"/>
      <c r="UA49" s="9"/>
      <c r="UB49" s="9"/>
      <c r="UC49" s="9"/>
      <c r="UD49" s="9"/>
      <c r="UE49" s="9"/>
      <c r="UF49" s="9"/>
      <c r="UG49" s="9"/>
      <c r="UH49" s="9"/>
      <c r="UI49" s="9"/>
      <c r="UJ49" s="9"/>
      <c r="UK49" s="9"/>
      <c r="UL49" s="9"/>
      <c r="UM49" s="9"/>
      <c r="UN49" s="9"/>
      <c r="UO49" s="9"/>
      <c r="UP49" s="9"/>
      <c r="UQ49" s="9"/>
      <c r="UR49" s="9"/>
      <c r="US49" s="9"/>
      <c r="UT49" s="9"/>
      <c r="UU49" s="9"/>
      <c r="UV49" s="9"/>
      <c r="UW49" s="9"/>
      <c r="UX49" s="9"/>
      <c r="UY49" s="9"/>
      <c r="UZ49" s="9"/>
      <c r="VA49" s="9"/>
      <c r="VB49" s="9"/>
      <c r="VC49" s="9"/>
      <c r="VD49" s="9"/>
      <c r="VE49" s="9"/>
      <c r="VF49" s="9"/>
      <c r="VG49" s="9"/>
      <c r="VH49" s="9"/>
      <c r="VI49" s="9"/>
      <c r="VJ49" s="9"/>
      <c r="VK49" s="9"/>
      <c r="VL49" s="9"/>
      <c r="VM49" s="9"/>
      <c r="VN49" s="9"/>
      <c r="VO49" s="9"/>
      <c r="VP49" s="9"/>
      <c r="VQ49" s="9"/>
      <c r="VR49" s="9"/>
      <c r="VS49" s="9"/>
      <c r="VT49" s="9"/>
      <c r="VU49" s="9"/>
      <c r="VV49" s="9"/>
      <c r="VW49" s="9"/>
      <c r="VX49" s="9"/>
      <c r="VY49" s="9"/>
      <c r="VZ49" s="9"/>
      <c r="WA49" s="9"/>
      <c r="WB49" s="9"/>
      <c r="WC49" s="9"/>
      <c r="WD49" s="9"/>
      <c r="WE49" s="9"/>
      <c r="WF49" s="9"/>
      <c r="WG49" s="9"/>
      <c r="WH49" s="9"/>
      <c r="WI49" s="9"/>
      <c r="WJ49" s="9"/>
      <c r="WK49" s="9"/>
      <c r="WL49" s="9"/>
      <c r="WM49" s="9"/>
      <c r="WN49" s="9"/>
      <c r="WO49" s="9"/>
      <c r="WP49" s="9"/>
      <c r="WQ49" s="9"/>
      <c r="WR49" s="9"/>
      <c r="WS49" s="9"/>
      <c r="WT49" s="9"/>
      <c r="WU49" s="9"/>
      <c r="WV49" s="9"/>
      <c r="WW49" s="9"/>
      <c r="WX49" s="9"/>
      <c r="WY49" s="9"/>
      <c r="WZ49" s="9"/>
      <c r="XA49" s="9"/>
      <c r="XB49" s="9"/>
      <c r="XC49" s="9"/>
      <c r="XD49" s="9"/>
      <c r="XE49" s="9"/>
      <c r="XF49" s="9"/>
      <c r="XG49" s="9"/>
      <c r="XH49" s="9"/>
      <c r="XI49" s="9"/>
      <c r="XJ49" s="9"/>
      <c r="XK49" s="9"/>
      <c r="XL49" s="9"/>
      <c r="XM49" s="9"/>
      <c r="XN49" s="9"/>
      <c r="XO49" s="9"/>
      <c r="XP49" s="9"/>
      <c r="XQ49" s="9"/>
      <c r="XR49" s="9"/>
      <c r="XS49" s="9"/>
      <c r="XT49" s="9"/>
      <c r="XU49" s="9"/>
      <c r="XV49" s="9"/>
      <c r="XW49" s="9"/>
      <c r="XX49" s="9"/>
      <c r="XY49" s="9"/>
      <c r="XZ49" s="9"/>
      <c r="YA49" s="9"/>
      <c r="YB49" s="9"/>
      <c r="YC49" s="9"/>
      <c r="YD49" s="9"/>
      <c r="YE49" s="9"/>
      <c r="YF49" s="9"/>
      <c r="YG49" s="9"/>
      <c r="YH49" s="9"/>
      <c r="YI49" s="9"/>
      <c r="YJ49" s="9"/>
      <c r="YK49" s="9"/>
      <c r="YL49" s="9"/>
      <c r="YM49" s="9"/>
      <c r="YN49" s="9"/>
      <c r="YO49" s="9"/>
      <c r="YP49" s="9"/>
      <c r="YQ49" s="9"/>
      <c r="YR49" s="9"/>
      <c r="YS49" s="9"/>
      <c r="YT49" s="9"/>
      <c r="YU49" s="9"/>
      <c r="YV49" s="9"/>
      <c r="YW49" s="9"/>
      <c r="YX49" s="9"/>
      <c r="YY49" s="9"/>
      <c r="YZ49" s="9"/>
      <c r="ZA49" s="9"/>
      <c r="ZB49" s="9"/>
      <c r="ZC49" s="9"/>
      <c r="ZD49" s="9"/>
      <c r="ZE49" s="9"/>
      <c r="ZF49" s="9"/>
      <c r="ZG49" s="9"/>
      <c r="ZH49" s="9"/>
      <c r="ZI49" s="9"/>
      <c r="ZJ49" s="9"/>
      <c r="ZK49" s="9"/>
      <c r="ZL49" s="9"/>
      <c r="ZM49" s="9"/>
      <c r="ZN49" s="9"/>
      <c r="ZO49" s="9"/>
      <c r="ZP49" s="9"/>
      <c r="ZQ49" s="9"/>
      <c r="ZR49" s="9"/>
      <c r="ZS49" s="9"/>
      <c r="ZT49" s="9"/>
      <c r="ZU49" s="9"/>
      <c r="ZV49" s="9"/>
      <c r="ZW49" s="9"/>
      <c r="ZX49" s="9"/>
      <c r="ZY49" s="9"/>
      <c r="ZZ49" s="9"/>
      <c r="AAA49" s="9"/>
      <c r="AAB49" s="9"/>
      <c r="AAC49" s="9"/>
      <c r="AAD49" s="9"/>
      <c r="AAE49" s="9"/>
      <c r="AAF49" s="9"/>
      <c r="AAG49" s="9"/>
      <c r="AAH49" s="9"/>
      <c r="AAI49" s="9"/>
      <c r="AAJ49" s="9"/>
      <c r="AAK49" s="9"/>
      <c r="AAL49" s="9"/>
      <c r="AAM49" s="9"/>
      <c r="AAN49" s="9"/>
      <c r="AAO49" s="9"/>
      <c r="AAP49" s="9"/>
      <c r="AAQ49" s="9"/>
      <c r="AAR49" s="9"/>
      <c r="AAS49" s="9"/>
      <c r="AAT49" s="9"/>
      <c r="AAU49" s="9"/>
      <c r="AAV49" s="9"/>
      <c r="AAW49" s="9"/>
      <c r="AAX49" s="9"/>
      <c r="AAY49" s="9"/>
      <c r="AAZ49" s="9"/>
      <c r="ABA49" s="9"/>
      <c r="ABB49" s="9"/>
      <c r="ABC49" s="9"/>
      <c r="ABD49" s="9"/>
      <c r="ABE49" s="9"/>
      <c r="ABF49" s="9"/>
      <c r="ABG49" s="9"/>
      <c r="ABH49" s="9"/>
      <c r="ABI49" s="9"/>
      <c r="ABJ49" s="9"/>
      <c r="ABK49" s="9"/>
      <c r="ABL49" s="9"/>
      <c r="ABM49" s="9"/>
      <c r="ABN49" s="9"/>
      <c r="ABO49" s="9"/>
      <c r="ABP49" s="9"/>
      <c r="ABQ49" s="9"/>
      <c r="ABR49" s="9"/>
      <c r="ABS49" s="9"/>
      <c r="ABT49" s="9"/>
      <c r="ABU49" s="9"/>
      <c r="ABV49" s="9"/>
      <c r="ABW49" s="9"/>
      <c r="ABX49" s="9"/>
      <c r="ABY49" s="9"/>
      <c r="ABZ49" s="9"/>
      <c r="ACA49" s="9"/>
      <c r="ACB49" s="9"/>
      <c r="ACC49" s="9"/>
      <c r="ACD49" s="9"/>
      <c r="ACE49" s="9"/>
      <c r="ACF49" s="9"/>
      <c r="ACG49" s="9"/>
      <c r="ACH49" s="9"/>
      <c r="ACI49" s="9"/>
      <c r="ACJ49" s="9"/>
      <c r="ACK49" s="9"/>
      <c r="ACL49" s="9"/>
      <c r="ACM49" s="9"/>
      <c r="ACN49" s="9"/>
      <c r="ACO49" s="9"/>
      <c r="ACP49" s="9"/>
      <c r="ACQ49" s="9"/>
      <c r="ACR49" s="9"/>
      <c r="ACS49" s="9"/>
      <c r="ACT49" s="9"/>
      <c r="ACU49" s="9"/>
      <c r="ACV49" s="9"/>
      <c r="ACW49" s="9"/>
      <c r="ACX49" s="9"/>
      <c r="ACY49" s="9"/>
      <c r="ACZ49" s="9"/>
      <c r="ADA49" s="9"/>
      <c r="ADB49" s="9"/>
      <c r="ADC49" s="9"/>
      <c r="ADD49" s="9"/>
      <c r="ADE49" s="9"/>
      <c r="ADF49" s="9"/>
      <c r="ADG49" s="9"/>
      <c r="ADH49" s="9"/>
      <c r="ADI49" s="9"/>
      <c r="ADJ49" s="9"/>
      <c r="ADK49" s="9"/>
      <c r="ADL49" s="9"/>
      <c r="ADM49" s="9"/>
      <c r="ADN49" s="9"/>
      <c r="ADO49" s="9"/>
      <c r="ADP49" s="9"/>
      <c r="ADQ49" s="9"/>
      <c r="ADR49" s="9"/>
      <c r="ADS49" s="9"/>
      <c r="ADT49" s="9"/>
      <c r="ADU49" s="9"/>
      <c r="ADV49" s="9"/>
      <c r="ADW49" s="9"/>
      <c r="ADX49" s="9"/>
      <c r="ADY49" s="9"/>
      <c r="ADZ49" s="9"/>
      <c r="AEA49" s="9"/>
      <c r="AEB49" s="9"/>
      <c r="AEC49" s="9"/>
      <c r="AED49" s="9"/>
      <c r="AEE49" s="9"/>
      <c r="AEF49" s="9"/>
      <c r="AEG49" s="9"/>
      <c r="AEH49" s="9"/>
      <c r="AEI49" s="9"/>
      <c r="AEJ49" s="9"/>
      <c r="AEK49" s="9"/>
      <c r="AEL49" s="9"/>
      <c r="AEM49" s="9"/>
      <c r="AEN49" s="9"/>
      <c r="AEO49" s="9"/>
      <c r="AEP49" s="9"/>
      <c r="AEQ49" s="9"/>
      <c r="AER49" s="9"/>
      <c r="AES49" s="9"/>
      <c r="AET49" s="9"/>
      <c r="AEU49" s="9"/>
      <c r="AEV49" s="9"/>
      <c r="AEW49" s="9"/>
      <c r="AEX49" s="9"/>
      <c r="AEY49" s="9"/>
      <c r="AEZ49" s="9"/>
      <c r="AFA49" s="9"/>
      <c r="AFB49" s="9"/>
      <c r="AFC49" s="9"/>
      <c r="AFD49" s="9"/>
      <c r="AFE49" s="9"/>
      <c r="AFF49" s="9"/>
      <c r="AFG49" s="9"/>
      <c r="AFH49" s="9"/>
      <c r="AFI49" s="9"/>
      <c r="AFJ49" s="9"/>
      <c r="AFK49" s="9"/>
      <c r="AFL49" s="9"/>
      <c r="AFM49" s="9"/>
      <c r="AFN49" s="9"/>
      <c r="AFO49" s="9"/>
      <c r="AFP49" s="9"/>
      <c r="AFQ49" s="9"/>
      <c r="AFR49" s="9"/>
      <c r="AFS49" s="9"/>
      <c r="AFT49" s="9"/>
      <c r="AFU49" s="9"/>
      <c r="AFV49" s="9"/>
      <c r="AFW49" s="9"/>
      <c r="AFX49" s="9"/>
      <c r="AFY49" s="9"/>
      <c r="AFZ49" s="9"/>
      <c r="AGA49" s="9"/>
      <c r="AGB49" s="9"/>
      <c r="AGC49" s="9"/>
      <c r="AGD49" s="9"/>
      <c r="AGE49" s="9"/>
      <c r="AGF49" s="9"/>
      <c r="AGG49" s="9"/>
      <c r="AGH49" s="9"/>
      <c r="AGI49" s="9"/>
      <c r="AGJ49" s="9"/>
      <c r="AGK49" s="9"/>
      <c r="AGL49" s="9"/>
      <c r="AGM49" s="9"/>
      <c r="AGN49" s="9"/>
      <c r="AGO49" s="9"/>
      <c r="AGP49" s="9"/>
      <c r="AGQ49" s="9"/>
      <c r="AGR49" s="9"/>
      <c r="AGS49" s="9"/>
      <c r="AGT49" s="9"/>
      <c r="AGU49" s="9"/>
      <c r="AGV49" s="9"/>
      <c r="AGW49" s="9"/>
      <c r="AGX49" s="9"/>
      <c r="AGY49" s="9"/>
      <c r="AGZ49" s="9"/>
      <c r="AHA49" s="9"/>
      <c r="AHB49" s="9"/>
      <c r="AHC49" s="9"/>
      <c r="AHD49" s="9"/>
      <c r="AHE49" s="9"/>
      <c r="AHF49" s="9"/>
      <c r="AHG49" s="9"/>
      <c r="AHH49" s="9"/>
      <c r="AHI49" s="9"/>
      <c r="AHJ49" s="9"/>
      <c r="AHK49" s="9"/>
      <c r="AHL49" s="9"/>
      <c r="AHM49" s="9"/>
      <c r="AHN49" s="9"/>
      <c r="AHO49" s="9"/>
      <c r="AHP49" s="9"/>
      <c r="AHQ49" s="9"/>
      <c r="AHR49" s="9"/>
      <c r="AHS49" s="9"/>
      <c r="AHT49" s="9"/>
      <c r="AHU49" s="9"/>
      <c r="AHV49" s="9"/>
      <c r="AHW49" s="9"/>
      <c r="AHX49" s="9"/>
      <c r="AHY49" s="9"/>
      <c r="AHZ49" s="9"/>
      <c r="AIA49" s="9"/>
      <c r="AIB49" s="9"/>
      <c r="AIC49" s="9"/>
      <c r="AID49" s="9"/>
      <c r="AIE49" s="9"/>
      <c r="AIF49" s="9"/>
      <c r="AIG49" s="9"/>
      <c r="AIH49" s="9"/>
      <c r="AII49" s="9"/>
      <c r="AIJ49" s="9"/>
      <c r="AIK49" s="9"/>
      <c r="AIL49" s="9"/>
      <c r="AIM49" s="9"/>
      <c r="AIN49" s="9"/>
      <c r="AIO49" s="9"/>
      <c r="AIP49" s="9"/>
      <c r="AIQ49" s="9"/>
      <c r="AIR49" s="9"/>
      <c r="AIS49" s="9"/>
      <c r="AIT49" s="9"/>
      <c r="AIU49" s="9"/>
      <c r="AIV49" s="9"/>
      <c r="AIW49" s="9"/>
      <c r="AIX49" s="9"/>
      <c r="AIY49" s="9"/>
      <c r="AIZ49" s="9"/>
      <c r="AJA49" s="9"/>
      <c r="AJB49" s="9"/>
      <c r="AJC49" s="9"/>
      <c r="AJD49" s="9"/>
      <c r="AJE49" s="9"/>
      <c r="AJF49" s="9"/>
      <c r="AJG49" s="9"/>
      <c r="AJH49" s="9"/>
      <c r="AJI49" s="9"/>
      <c r="AJJ49" s="9"/>
      <c r="AJK49" s="9"/>
      <c r="AJL49" s="9"/>
      <c r="AJM49" s="9"/>
      <c r="AJN49" s="9"/>
      <c r="AJO49" s="9"/>
      <c r="AJP49" s="9"/>
      <c r="AJQ49" s="9"/>
      <c r="AJR49" s="9"/>
      <c r="AJS49" s="9"/>
      <c r="AJT49" s="9"/>
      <c r="AJU49" s="9"/>
      <c r="AJV49" s="9"/>
      <c r="AJW49" s="9"/>
      <c r="AJX49" s="9"/>
      <c r="AJY49" s="9"/>
      <c r="AJZ49" s="9"/>
      <c r="AKA49" s="9"/>
      <c r="AKB49" s="9"/>
      <c r="AKC49" s="9"/>
      <c r="AKD49" s="9"/>
      <c r="AKE49" s="9"/>
      <c r="AKF49" s="9"/>
      <c r="AKG49" s="9"/>
      <c r="AKH49" s="9"/>
      <c r="AKI49" s="9"/>
      <c r="AKJ49" s="9"/>
      <c r="AKK49" s="9"/>
      <c r="AKL49" s="9"/>
      <c r="AKM49" s="9"/>
      <c r="AKN49" s="9"/>
      <c r="AKO49" s="9"/>
      <c r="AKP49" s="9"/>
      <c r="AKQ49" s="9"/>
      <c r="AKR49" s="9"/>
      <c r="AKS49" s="9"/>
      <c r="AKT49" s="9"/>
      <c r="AKU49" s="9"/>
      <c r="AKV49" s="9"/>
      <c r="AKW49" s="9"/>
      <c r="AKX49" s="9"/>
      <c r="AKY49" s="9"/>
      <c r="AKZ49" s="9"/>
      <c r="ALA49" s="9"/>
      <c r="ALB49" s="9"/>
      <c r="ALC49" s="9"/>
      <c r="ALD49" s="9"/>
      <c r="ALE49" s="9"/>
      <c r="ALF49" s="9"/>
      <c r="ALG49" s="9"/>
      <c r="ALH49" s="9"/>
      <c r="ALI49" s="9"/>
      <c r="ALJ49" s="9"/>
      <c r="ALK49" s="9"/>
      <c r="ALL49" s="9"/>
      <c r="ALM49" s="9"/>
      <c r="ALN49" s="9"/>
      <c r="ALO49" s="9"/>
      <c r="ALP49" s="9"/>
      <c r="ALQ49" s="9"/>
      <c r="ALR49" s="9"/>
      <c r="ALS49" s="9"/>
      <c r="ALT49" s="9"/>
      <c r="ALU49" s="9"/>
      <c r="ALV49" s="9"/>
      <c r="ALW49" s="9"/>
      <c r="ALX49" s="9"/>
      <c r="ALY49" s="9"/>
      <c r="ALZ49" s="9"/>
      <c r="AMA49" s="9"/>
      <c r="AMB49" s="9"/>
      <c r="AMC49" s="9"/>
      <c r="AMD49" s="9"/>
      <c r="AME49" s="9"/>
      <c r="AMF49" s="9"/>
      <c r="AMG49" s="9"/>
      <c r="AMH49" s="9"/>
      <c r="AMI49" s="9"/>
      <c r="AMJ49" s="9"/>
      <c r="AMK49" s="9"/>
      <c r="AML49" s="9"/>
      <c r="AMM49" s="9"/>
      <c r="AMN49" s="9"/>
      <c r="AMO49" s="9"/>
      <c r="AMP49" s="9"/>
      <c r="AMQ49" s="9"/>
      <c r="AMR49" s="9"/>
      <c r="AMS49" s="9"/>
      <c r="AMT49" s="9"/>
      <c r="AMU49" s="9"/>
      <c r="AMV49" s="9"/>
      <c r="AMW49" s="9"/>
      <c r="AMX49" s="9"/>
      <c r="AMY49" s="9"/>
      <c r="AMZ49" s="9"/>
      <c r="ANA49" s="9"/>
      <c r="ANB49" s="9"/>
      <c r="ANC49" s="9"/>
      <c r="AND49" s="9"/>
      <c r="ANE49" s="9"/>
      <c r="ANF49" s="9"/>
      <c r="ANG49" s="9"/>
      <c r="ANH49" s="9"/>
      <c r="ANI49" s="9"/>
      <c r="ANJ49" s="9"/>
      <c r="ANK49" s="9"/>
      <c r="ANL49" s="9"/>
      <c r="ANM49" s="9"/>
      <c r="ANN49" s="9"/>
      <c r="ANO49" s="9"/>
      <c r="ANP49" s="9"/>
      <c r="ANQ49" s="9"/>
      <c r="ANR49" s="9"/>
      <c r="ANS49" s="9"/>
      <c r="ANT49" s="9"/>
      <c r="ANU49" s="9"/>
      <c r="ANV49" s="9"/>
      <c r="ANW49" s="9"/>
      <c r="ANX49" s="9"/>
      <c r="ANY49" s="9"/>
      <c r="ANZ49" s="9"/>
      <c r="AOA49" s="9"/>
      <c r="AOB49" s="9"/>
      <c r="AOC49" s="9"/>
      <c r="AOD49" s="9"/>
      <c r="AOE49" s="9"/>
      <c r="AOF49" s="9"/>
      <c r="AOG49" s="9"/>
      <c r="AOH49" s="9"/>
      <c r="AOI49" s="9"/>
      <c r="AOJ49" s="9"/>
      <c r="AOK49" s="9"/>
      <c r="AOL49" s="9"/>
      <c r="AOM49" s="9"/>
      <c r="AON49" s="9"/>
      <c r="AOO49" s="9"/>
      <c r="AOP49" s="9"/>
      <c r="AOQ49" s="9"/>
      <c r="AOR49" s="9"/>
      <c r="AOS49" s="9"/>
      <c r="AOT49" s="9"/>
      <c r="AOU49" s="9"/>
      <c r="AOV49" s="9"/>
      <c r="AOW49" s="9"/>
      <c r="AOX49" s="9"/>
      <c r="AOY49" s="9"/>
      <c r="AOZ49" s="9"/>
      <c r="APA49" s="9"/>
      <c r="APB49" s="9"/>
      <c r="APC49" s="9"/>
      <c r="APD49" s="9"/>
      <c r="APE49" s="9"/>
      <c r="APF49" s="9"/>
      <c r="APG49" s="9"/>
      <c r="APH49" s="9"/>
      <c r="API49" s="9"/>
      <c r="APJ49" s="9"/>
      <c r="APK49" s="9"/>
      <c r="APL49" s="9"/>
      <c r="APM49" s="9"/>
      <c r="APN49" s="9"/>
      <c r="APO49" s="9"/>
      <c r="APP49" s="9"/>
      <c r="APQ49" s="9"/>
      <c r="APR49" s="9"/>
      <c r="APS49" s="9"/>
      <c r="APT49" s="9"/>
      <c r="APU49" s="9"/>
      <c r="APV49" s="9"/>
      <c r="APW49" s="9"/>
      <c r="APX49" s="9"/>
      <c r="APY49" s="9"/>
      <c r="APZ49" s="9"/>
      <c r="AQA49" s="9"/>
      <c r="AQB49" s="9"/>
      <c r="AQC49" s="9"/>
      <c r="AQD49" s="9"/>
      <c r="AQE49" s="9"/>
      <c r="AQF49" s="9"/>
      <c r="AQG49" s="9"/>
      <c r="AQH49" s="9"/>
      <c r="AQI49" s="9"/>
      <c r="AQJ49" s="9"/>
      <c r="AQK49" s="9"/>
      <c r="AQL49" s="9"/>
      <c r="AQM49" s="9"/>
      <c r="AQN49" s="9"/>
      <c r="AQO49" s="9"/>
      <c r="AQP49" s="9"/>
      <c r="AQQ49" s="9"/>
      <c r="AQR49" s="9"/>
      <c r="AQS49" s="9"/>
      <c r="AQT49" s="9"/>
      <c r="AQU49" s="9"/>
      <c r="AQV49" s="9"/>
      <c r="AQW49" s="9"/>
      <c r="AQX49" s="9"/>
      <c r="AQY49" s="9"/>
      <c r="AQZ49" s="9"/>
      <c r="ARA49" s="9"/>
      <c r="ARB49" s="9"/>
      <c r="ARC49" s="9"/>
      <c r="ARD49" s="9"/>
      <c r="ARE49" s="9"/>
      <c r="ARF49" s="9"/>
      <c r="ARG49" s="9"/>
      <c r="ARH49" s="9"/>
      <c r="ARI49" s="9"/>
      <c r="ARJ49" s="9"/>
      <c r="ARK49" s="9"/>
      <c r="ARL49" s="9"/>
      <c r="ARM49" s="9"/>
      <c r="ARN49" s="9"/>
      <c r="ARO49" s="9"/>
      <c r="ARP49" s="9"/>
      <c r="ARQ49" s="9"/>
      <c r="ARR49" s="9"/>
      <c r="ARS49" s="9"/>
      <c r="ART49" s="9"/>
      <c r="ARU49" s="9"/>
      <c r="ARV49" s="9"/>
      <c r="ARW49" s="9"/>
      <c r="ARX49" s="9"/>
      <c r="ARY49" s="9"/>
      <c r="ARZ49" s="9"/>
      <c r="ASA49" s="9"/>
      <c r="ASB49" s="9"/>
      <c r="ASC49" s="9"/>
      <c r="ASD49" s="9"/>
      <c r="ASE49" s="9"/>
      <c r="ASF49" s="9"/>
      <c r="ASG49" s="9"/>
      <c r="ASH49" s="9"/>
      <c r="ASI49" s="9"/>
      <c r="ASJ49" s="9"/>
      <c r="ASK49" s="9"/>
      <c r="ASL49" s="9"/>
      <c r="ASM49" s="9"/>
      <c r="ASN49" s="9"/>
      <c r="ASO49" s="9"/>
      <c r="ASP49" s="9"/>
      <c r="ASQ49" s="9"/>
      <c r="ASR49" s="9"/>
      <c r="ASS49" s="9"/>
      <c r="AST49" s="9"/>
      <c r="ASU49" s="9"/>
      <c r="ASV49" s="9"/>
      <c r="ASW49" s="9"/>
      <c r="ASX49" s="9"/>
      <c r="ASY49" s="9"/>
      <c r="ASZ49" s="9"/>
      <c r="ATA49" s="9"/>
      <c r="ATB49" s="9"/>
      <c r="ATC49" s="9"/>
      <c r="ATD49" s="9"/>
      <c r="ATE49" s="9"/>
      <c r="ATF49" s="9"/>
      <c r="ATG49" s="9"/>
      <c r="ATH49" s="9"/>
      <c r="ATI49" s="9"/>
      <c r="ATJ49" s="9"/>
      <c r="ATK49" s="9"/>
      <c r="ATL49" s="9"/>
      <c r="ATM49" s="9"/>
      <c r="ATN49" s="9"/>
      <c r="ATO49" s="9"/>
      <c r="ATP49" s="9"/>
      <c r="ATQ49" s="9"/>
      <c r="ATR49" s="9"/>
      <c r="ATS49" s="9"/>
      <c r="ATT49" s="9"/>
      <c r="ATU49" s="9"/>
      <c r="ATV49" s="9"/>
      <c r="ATW49" s="9"/>
      <c r="ATX49" s="9"/>
      <c r="ATY49" s="9"/>
      <c r="ATZ49" s="9"/>
      <c r="AUA49" s="9"/>
      <c r="AUB49" s="9"/>
      <c r="AUC49" s="9"/>
      <c r="AUD49" s="9"/>
      <c r="AUE49" s="9"/>
      <c r="AUF49" s="9"/>
      <c r="AUG49" s="9"/>
      <c r="AUH49" s="9"/>
      <c r="AUI49" s="9"/>
      <c r="AUJ49" s="9"/>
      <c r="AUK49" s="9"/>
      <c r="AUL49" s="9"/>
      <c r="AUM49" s="9"/>
      <c r="AUN49" s="9"/>
      <c r="AUO49" s="9"/>
      <c r="AUP49" s="9"/>
      <c r="AUQ49" s="9"/>
      <c r="AUR49" s="9"/>
      <c r="AUS49" s="9"/>
      <c r="AUT49" s="9"/>
      <c r="AUU49" s="9"/>
      <c r="AUV49" s="9"/>
      <c r="AUW49" s="9"/>
      <c r="AUX49" s="9"/>
      <c r="AUY49" s="9"/>
      <c r="AUZ49" s="9"/>
      <c r="AVA49" s="9"/>
      <c r="AVB49" s="9"/>
      <c r="AVC49" s="9"/>
      <c r="AVD49" s="9"/>
      <c r="AVE49" s="9"/>
      <c r="AVF49" s="9"/>
      <c r="AVG49" s="9"/>
      <c r="AVH49" s="9"/>
      <c r="AVI49" s="9"/>
      <c r="AVJ49" s="9"/>
      <c r="AVK49" s="9"/>
      <c r="AVL49" s="9"/>
      <c r="AVM49" s="9"/>
      <c r="AVN49" s="9"/>
      <c r="AVO49" s="9"/>
      <c r="AVP49" s="9"/>
      <c r="AVQ49" s="9"/>
      <c r="AVR49" s="9"/>
      <c r="AVS49" s="9"/>
      <c r="AVT49" s="9"/>
      <c r="AVU49" s="9"/>
      <c r="AVV49" s="9"/>
      <c r="AVW49" s="9"/>
      <c r="AVX49" s="9"/>
      <c r="AVY49" s="9"/>
      <c r="AVZ49" s="9"/>
      <c r="AWA49" s="9"/>
      <c r="AWB49" s="9"/>
      <c r="AWC49" s="9"/>
      <c r="AWD49" s="9"/>
      <c r="AWE49" s="9"/>
      <c r="AWF49" s="9"/>
      <c r="AWG49" s="9"/>
      <c r="AWH49" s="9"/>
      <c r="AWI49" s="9"/>
      <c r="AWJ49" s="9"/>
      <c r="AWK49" s="9"/>
      <c r="AWL49" s="9"/>
      <c r="AWM49" s="9"/>
      <c r="AWN49" s="9"/>
      <c r="AWO49" s="9"/>
      <c r="AWP49" s="9"/>
      <c r="AWQ49" s="9"/>
      <c r="AWR49" s="9"/>
      <c r="AWS49" s="9"/>
      <c r="AWT49" s="9"/>
      <c r="AWU49" s="9"/>
      <c r="AWV49" s="9"/>
      <c r="AWW49" s="9"/>
      <c r="AWX49" s="9"/>
      <c r="AWY49" s="9"/>
      <c r="AWZ49" s="9"/>
      <c r="AXA49" s="9"/>
      <c r="AXB49" s="9"/>
      <c r="AXC49" s="9"/>
      <c r="AXD49" s="9"/>
      <c r="AXE49" s="9"/>
      <c r="AXF49" s="9"/>
      <c r="AXG49" s="9"/>
      <c r="AXH49" s="9"/>
      <c r="AXI49" s="9"/>
      <c r="AXJ49" s="9"/>
      <c r="AXK49" s="9"/>
      <c r="AXL49" s="9"/>
      <c r="AXM49" s="9"/>
      <c r="AXN49" s="9"/>
      <c r="AXO49" s="9"/>
      <c r="AXP49" s="9"/>
      <c r="AXQ49" s="9"/>
      <c r="AXR49" s="9"/>
      <c r="AXS49" s="9"/>
      <c r="AXT49" s="9"/>
      <c r="AXU49" s="9"/>
      <c r="AXV49" s="9"/>
      <c r="AXW49" s="9"/>
      <c r="AXX49" s="9"/>
      <c r="AXY49" s="9"/>
      <c r="AXZ49" s="9"/>
      <c r="AYA49" s="9"/>
      <c r="AYB49" s="9"/>
      <c r="AYC49" s="9"/>
      <c r="AYD49" s="9"/>
      <c r="AYE49" s="9"/>
      <c r="AYF49" s="9"/>
      <c r="AYG49" s="9"/>
      <c r="AYH49" s="9"/>
      <c r="AYI49" s="9"/>
      <c r="AYJ49" s="9"/>
      <c r="AYK49" s="9"/>
      <c r="AYL49" s="9"/>
      <c r="AYM49" s="9"/>
      <c r="AYN49" s="9"/>
      <c r="AYO49" s="9"/>
      <c r="AYP49" s="9"/>
      <c r="AYQ49" s="9"/>
      <c r="AYR49" s="9"/>
      <c r="AYS49" s="9"/>
      <c r="AYT49" s="9"/>
      <c r="AYU49" s="9"/>
      <c r="AYV49" s="9"/>
      <c r="AYW49" s="9"/>
      <c r="AYX49" s="9"/>
      <c r="AYY49" s="9"/>
      <c r="AYZ49" s="9"/>
      <c r="AZA49" s="9"/>
      <c r="AZB49" s="9"/>
      <c r="AZC49" s="9"/>
      <c r="AZD49" s="9"/>
      <c r="AZE49" s="9"/>
      <c r="AZF49" s="9"/>
      <c r="AZG49" s="9"/>
      <c r="AZH49" s="9"/>
      <c r="AZI49" s="9"/>
      <c r="AZJ49" s="9"/>
      <c r="AZK49" s="9"/>
      <c r="AZL49" s="9"/>
      <c r="AZM49" s="9"/>
      <c r="AZN49" s="9"/>
      <c r="AZO49" s="9"/>
      <c r="AZP49" s="9"/>
      <c r="AZQ49" s="9"/>
      <c r="AZR49" s="9"/>
      <c r="AZS49" s="9"/>
      <c r="AZT49" s="9"/>
      <c r="AZU49" s="9"/>
      <c r="AZV49" s="9"/>
      <c r="AZW49" s="9"/>
      <c r="AZX49" s="9"/>
      <c r="AZY49" s="9"/>
      <c r="AZZ49" s="9"/>
      <c r="BAA49" s="9"/>
      <c r="BAB49" s="9"/>
      <c r="BAC49" s="9"/>
      <c r="BAD49" s="9"/>
      <c r="BAE49" s="9"/>
      <c r="BAF49" s="9"/>
      <c r="BAG49" s="9"/>
      <c r="BAH49" s="9"/>
      <c r="BAI49" s="9"/>
      <c r="BAJ49" s="9"/>
      <c r="BAK49" s="9"/>
      <c r="BAL49" s="9"/>
      <c r="BAM49" s="9"/>
      <c r="BAN49" s="9"/>
      <c r="BAO49" s="9"/>
      <c r="BAP49" s="9"/>
      <c r="BAQ49" s="9"/>
      <c r="BAR49" s="9"/>
      <c r="BAS49" s="9"/>
      <c r="BAT49" s="9"/>
      <c r="BAU49" s="9"/>
      <c r="BAV49" s="9"/>
      <c r="BAW49" s="9"/>
      <c r="BAX49" s="9"/>
      <c r="BAY49" s="9"/>
      <c r="BAZ49" s="9"/>
      <c r="BBA49" s="9"/>
      <c r="BBB49" s="9"/>
      <c r="BBC49" s="9"/>
      <c r="BBD49" s="9"/>
      <c r="BBE49" s="9"/>
      <c r="BBF49" s="9"/>
      <c r="BBG49" s="9"/>
      <c r="BBH49" s="9"/>
      <c r="BBI49" s="9"/>
      <c r="BBJ49" s="9"/>
      <c r="BBK49" s="9"/>
      <c r="BBL49" s="9"/>
      <c r="BBM49" s="9"/>
      <c r="BBN49" s="9"/>
      <c r="BBO49" s="9"/>
      <c r="BBP49" s="9"/>
      <c r="BBQ49" s="9"/>
      <c r="BBR49" s="9"/>
      <c r="BBS49" s="9"/>
      <c r="BBT49" s="9"/>
      <c r="BBU49" s="9"/>
      <c r="BBV49" s="9"/>
      <c r="BBW49" s="9"/>
      <c r="BBX49" s="9"/>
      <c r="BBY49" s="9"/>
      <c r="BBZ49" s="9"/>
      <c r="BCA49" s="9"/>
      <c r="BCB49" s="9"/>
      <c r="BCC49" s="9"/>
      <c r="BCD49" s="9"/>
      <c r="BCE49" s="9"/>
      <c r="BCF49" s="9"/>
      <c r="BCG49" s="9"/>
      <c r="BCH49" s="9"/>
      <c r="BCI49" s="9"/>
      <c r="BCJ49" s="9"/>
      <c r="BCK49" s="9"/>
      <c r="BCL49" s="9"/>
      <c r="BCM49" s="9"/>
      <c r="BCN49" s="9"/>
      <c r="BCO49" s="9"/>
      <c r="BCP49" s="9"/>
      <c r="BCQ49" s="9"/>
      <c r="BCR49" s="9"/>
      <c r="BCS49" s="9"/>
      <c r="BCT49" s="9"/>
      <c r="BCU49" s="9"/>
      <c r="BCV49" s="9"/>
      <c r="BCW49" s="9"/>
      <c r="BCX49" s="9"/>
      <c r="BCY49" s="9"/>
      <c r="BCZ49" s="9"/>
      <c r="BDA49" s="9"/>
      <c r="BDB49" s="9"/>
      <c r="BDC49" s="9"/>
      <c r="BDD49" s="9"/>
      <c r="BDE49" s="9"/>
      <c r="BDF49" s="9"/>
      <c r="BDG49" s="9"/>
      <c r="BDH49" s="9"/>
      <c r="BDI49" s="9"/>
      <c r="BDJ49" s="9"/>
      <c r="BDK49" s="9"/>
      <c r="BDL49" s="9"/>
      <c r="BDM49" s="9"/>
      <c r="BDN49" s="9"/>
      <c r="BDO49" s="9"/>
      <c r="BDP49" s="9"/>
      <c r="BDQ49" s="9"/>
      <c r="BDR49" s="9"/>
      <c r="BDS49" s="9"/>
      <c r="BDT49" s="9"/>
      <c r="BDU49" s="9"/>
      <c r="BDV49" s="9"/>
      <c r="BDW49" s="9"/>
      <c r="BDX49" s="9"/>
      <c r="BDY49" s="9"/>
      <c r="BDZ49" s="9"/>
      <c r="BEA49" s="9"/>
      <c r="BEB49" s="9"/>
      <c r="BEC49" s="9"/>
      <c r="BED49" s="9"/>
      <c r="BEE49" s="9"/>
      <c r="BEF49" s="9"/>
      <c r="BEG49" s="9"/>
      <c r="BEH49" s="9"/>
      <c r="BEI49" s="9"/>
      <c r="BEJ49" s="9"/>
      <c r="BEK49" s="9"/>
      <c r="BEL49" s="9"/>
      <c r="BEM49" s="9"/>
      <c r="BEN49" s="9"/>
      <c r="BEO49" s="9"/>
      <c r="BEP49" s="9"/>
      <c r="BEQ49" s="9"/>
      <c r="BER49" s="9"/>
      <c r="BES49" s="9"/>
      <c r="BET49" s="9"/>
      <c r="BEU49" s="9"/>
      <c r="BEV49" s="9"/>
      <c r="BEW49" s="9"/>
      <c r="BEX49" s="9"/>
      <c r="BEY49" s="9"/>
      <c r="BEZ49" s="9"/>
      <c r="BFA49" s="9"/>
      <c r="BFB49" s="9"/>
      <c r="BFC49" s="9"/>
      <c r="BFD49" s="9"/>
      <c r="BFE49" s="9"/>
      <c r="BFF49" s="9"/>
      <c r="BFG49" s="9"/>
      <c r="BFH49" s="9"/>
      <c r="BFI49" s="9"/>
      <c r="BFJ49" s="9"/>
      <c r="BFK49" s="9"/>
      <c r="BFL49" s="9"/>
      <c r="BFM49" s="9"/>
      <c r="BFN49" s="9"/>
      <c r="BFO49" s="9"/>
      <c r="BFP49" s="9"/>
      <c r="BFQ49" s="9"/>
      <c r="BFR49" s="9"/>
      <c r="BFS49" s="9"/>
      <c r="BFT49" s="9"/>
      <c r="BFU49" s="9"/>
      <c r="BFV49" s="9"/>
      <c r="BFW49" s="9"/>
      <c r="BFX49" s="9"/>
      <c r="BFY49" s="9"/>
      <c r="BFZ49" s="9"/>
      <c r="BGA49" s="9"/>
      <c r="BGB49" s="9"/>
      <c r="BGC49" s="9"/>
      <c r="BGD49" s="9"/>
      <c r="BGE49" s="9"/>
      <c r="BGF49" s="9"/>
      <c r="BGG49" s="9"/>
      <c r="BGH49" s="9"/>
      <c r="BGI49" s="9"/>
      <c r="BGJ49" s="9"/>
      <c r="BGK49" s="9"/>
      <c r="BGL49" s="9"/>
      <c r="BGM49" s="9"/>
      <c r="BGN49" s="9"/>
      <c r="BGO49" s="9"/>
      <c r="BGP49" s="9"/>
      <c r="BGQ49" s="9"/>
      <c r="BGR49" s="9"/>
      <c r="BGS49" s="9"/>
      <c r="BGT49" s="9"/>
      <c r="BGU49" s="9"/>
      <c r="BGV49" s="9"/>
      <c r="BGW49" s="9"/>
      <c r="BGX49" s="9"/>
      <c r="BGY49" s="9"/>
      <c r="BGZ49" s="9"/>
      <c r="BHA49" s="9"/>
      <c r="BHB49" s="9"/>
      <c r="BHC49" s="9"/>
      <c r="BHD49" s="9"/>
      <c r="BHE49" s="9"/>
      <c r="BHF49" s="9"/>
      <c r="BHG49" s="9"/>
      <c r="BHH49" s="9"/>
      <c r="BHI49" s="9"/>
      <c r="BHJ49" s="9"/>
      <c r="BHK49" s="9"/>
      <c r="BHL49" s="9"/>
      <c r="BHM49" s="9"/>
      <c r="BHN49" s="9"/>
      <c r="BHO49" s="9"/>
      <c r="BHP49" s="9"/>
      <c r="BHQ49" s="9"/>
      <c r="BHR49" s="9"/>
      <c r="BHS49" s="9"/>
      <c r="BHT49" s="9"/>
      <c r="BHU49" s="9"/>
      <c r="BHV49" s="9"/>
      <c r="BHW49" s="9"/>
      <c r="BHX49" s="9"/>
      <c r="BHY49" s="9"/>
      <c r="BHZ49" s="9"/>
      <c r="BIA49" s="9"/>
      <c r="BIB49" s="9"/>
      <c r="BIC49" s="9"/>
      <c r="BID49" s="9"/>
      <c r="BIE49" s="9"/>
      <c r="BIF49" s="9"/>
      <c r="BIG49" s="9"/>
      <c r="BIH49" s="9"/>
      <c r="BII49" s="9"/>
      <c r="BIJ49" s="9"/>
      <c r="BIK49" s="9"/>
      <c r="BIL49" s="9"/>
      <c r="BIM49" s="9"/>
      <c r="BIN49" s="9"/>
      <c r="BIO49" s="9"/>
      <c r="BIP49" s="9"/>
      <c r="BIQ49" s="9"/>
      <c r="BIR49" s="9"/>
      <c r="BIS49" s="9"/>
      <c r="BIT49" s="9"/>
      <c r="BIU49" s="9"/>
      <c r="BIV49" s="9"/>
      <c r="BIW49" s="9"/>
      <c r="BIX49" s="9"/>
      <c r="BIY49" s="9"/>
      <c r="BIZ49" s="9"/>
      <c r="BJA49" s="9"/>
      <c r="BJB49" s="9"/>
      <c r="BJC49" s="9"/>
      <c r="BJD49" s="9"/>
      <c r="BJE49" s="9"/>
      <c r="BJF49" s="9"/>
      <c r="BJG49" s="9"/>
      <c r="BJH49" s="9"/>
      <c r="BJI49" s="9"/>
      <c r="BJJ49" s="9"/>
      <c r="BJK49" s="9"/>
      <c r="BJL49" s="9"/>
      <c r="BJM49" s="9"/>
      <c r="BJN49" s="9"/>
      <c r="BJO49" s="9"/>
      <c r="BJP49" s="9"/>
      <c r="BJQ49" s="9"/>
      <c r="BJR49" s="9"/>
      <c r="BJS49" s="9"/>
      <c r="BJT49" s="9"/>
      <c r="BJU49" s="9"/>
      <c r="BJV49" s="9"/>
      <c r="BJW49" s="9"/>
      <c r="BJX49" s="9"/>
      <c r="BJY49" s="9"/>
      <c r="BJZ49" s="9"/>
      <c r="BKA49" s="9"/>
      <c r="BKB49" s="9"/>
      <c r="BKC49" s="9"/>
      <c r="BKD49" s="9"/>
      <c r="BKE49" s="9"/>
      <c r="BKF49" s="9"/>
      <c r="BKG49" s="9"/>
      <c r="BKH49" s="9"/>
      <c r="BKI49" s="9"/>
      <c r="BKJ49" s="9"/>
      <c r="BKK49" s="9"/>
      <c r="BKL49" s="9"/>
      <c r="BKM49" s="9"/>
      <c r="BKN49" s="9"/>
      <c r="BKO49" s="9"/>
      <c r="BKP49" s="9"/>
      <c r="BKQ49" s="9"/>
      <c r="BKR49" s="9"/>
      <c r="BKS49" s="9"/>
      <c r="BKT49" s="9"/>
      <c r="BKU49" s="9"/>
      <c r="BKV49" s="9"/>
      <c r="BKW49" s="9"/>
      <c r="BKX49" s="9"/>
      <c r="BKY49" s="9"/>
      <c r="BKZ49" s="9"/>
      <c r="BLA49" s="9"/>
      <c r="BLB49" s="9"/>
      <c r="BLC49" s="9"/>
      <c r="BLD49" s="9"/>
      <c r="BLE49" s="9"/>
      <c r="BLF49" s="9"/>
      <c r="BLG49" s="9"/>
      <c r="BLH49" s="9"/>
      <c r="BLI49" s="9"/>
      <c r="BLJ49" s="9"/>
      <c r="BLK49" s="9"/>
      <c r="BLL49" s="9"/>
      <c r="BLM49" s="9"/>
      <c r="BLN49" s="9"/>
      <c r="BLO49" s="9"/>
      <c r="BLP49" s="9"/>
      <c r="BLQ49" s="9"/>
      <c r="BLR49" s="9"/>
      <c r="BLS49" s="9"/>
      <c r="BLT49" s="9"/>
      <c r="BLU49" s="9"/>
      <c r="BLV49" s="9"/>
      <c r="BLW49" s="9"/>
      <c r="BLX49" s="9"/>
      <c r="BLY49" s="9"/>
      <c r="BLZ49" s="9"/>
      <c r="BMA49" s="9"/>
      <c r="BMB49" s="9"/>
      <c r="BMC49" s="9"/>
      <c r="BMD49" s="9"/>
      <c r="BME49" s="9"/>
      <c r="BMF49" s="9"/>
      <c r="BMG49" s="9"/>
      <c r="BMH49" s="9"/>
      <c r="BMI49" s="9"/>
      <c r="BMJ49" s="9"/>
      <c r="BMK49" s="9"/>
      <c r="BML49" s="9"/>
      <c r="BMM49" s="9"/>
      <c r="BMN49" s="9"/>
      <c r="BMO49" s="9"/>
      <c r="BMP49" s="9"/>
      <c r="BMQ49" s="9"/>
      <c r="BMR49" s="9"/>
      <c r="BMS49" s="9"/>
      <c r="BMT49" s="9"/>
      <c r="BMU49" s="9"/>
      <c r="BMV49" s="9"/>
      <c r="BMW49" s="9"/>
      <c r="BMX49" s="9"/>
      <c r="BMY49" s="9"/>
      <c r="BMZ49" s="9"/>
      <c r="BNA49" s="9"/>
      <c r="BNB49" s="9"/>
      <c r="BNC49" s="9"/>
      <c r="BND49" s="9"/>
      <c r="BNE49" s="9"/>
      <c r="BNF49" s="9"/>
      <c r="BNG49" s="9"/>
      <c r="BNH49" s="9"/>
      <c r="BNI49" s="9"/>
      <c r="BNJ49" s="9"/>
      <c r="BNK49" s="9"/>
      <c r="BNL49" s="9"/>
      <c r="BNM49" s="9"/>
      <c r="BNN49" s="9"/>
      <c r="BNO49" s="9"/>
      <c r="BNP49" s="9"/>
      <c r="BNQ49" s="9"/>
      <c r="BNR49" s="9"/>
      <c r="BNS49" s="9"/>
      <c r="BNT49" s="9"/>
      <c r="BNU49" s="9"/>
      <c r="BNV49" s="9"/>
      <c r="BNW49" s="9"/>
      <c r="BNX49" s="9"/>
      <c r="BNY49" s="9"/>
      <c r="BNZ49" s="9"/>
      <c r="BOA49" s="9"/>
      <c r="BOB49" s="9"/>
      <c r="BOC49" s="9"/>
      <c r="BOD49" s="9"/>
      <c r="BOE49" s="9"/>
      <c r="BOF49" s="9"/>
      <c r="BOG49" s="9"/>
      <c r="BOH49" s="9"/>
      <c r="BOI49" s="9"/>
      <c r="BOJ49" s="9"/>
      <c r="BOK49" s="9"/>
      <c r="BOL49" s="9"/>
      <c r="BOM49" s="9"/>
      <c r="BON49" s="9"/>
      <c r="BOO49" s="9"/>
      <c r="BOP49" s="9"/>
      <c r="BOQ49" s="9"/>
      <c r="BOR49" s="9"/>
      <c r="BOS49" s="9"/>
      <c r="BOT49" s="9"/>
      <c r="BOU49" s="9"/>
      <c r="BOV49" s="9"/>
      <c r="BOW49" s="9"/>
      <c r="BOX49" s="9"/>
      <c r="BOY49" s="9"/>
      <c r="BOZ49" s="9"/>
      <c r="BPA49" s="9"/>
      <c r="BPB49" s="9"/>
      <c r="BPC49" s="9"/>
      <c r="BPD49" s="9"/>
      <c r="BPE49" s="9"/>
      <c r="BPF49" s="9"/>
      <c r="BPG49" s="9"/>
      <c r="BPH49" s="9"/>
      <c r="BPI49" s="9"/>
      <c r="BPJ49" s="9"/>
      <c r="BPK49" s="9"/>
      <c r="BPL49" s="9"/>
      <c r="BPM49" s="9"/>
      <c r="BPN49" s="9"/>
      <c r="BPO49" s="9"/>
      <c r="BPP49" s="9"/>
      <c r="BPQ49" s="9"/>
      <c r="BPR49" s="9"/>
      <c r="BPS49" s="9"/>
      <c r="BPT49" s="9"/>
      <c r="BPU49" s="9"/>
      <c r="BPV49" s="9"/>
      <c r="BPW49" s="9"/>
      <c r="BPX49" s="9"/>
      <c r="BPY49" s="9"/>
      <c r="BPZ49" s="9"/>
      <c r="BQA49" s="9"/>
      <c r="BQB49" s="9"/>
      <c r="BQC49" s="9"/>
      <c r="BQD49" s="9"/>
      <c r="BQE49" s="9"/>
      <c r="BQF49" s="9"/>
      <c r="BQG49" s="9"/>
      <c r="BQH49" s="9"/>
      <c r="BQI49" s="9"/>
      <c r="BQJ49" s="9"/>
      <c r="BQK49" s="9"/>
      <c r="BQL49" s="9"/>
      <c r="BQM49" s="9"/>
      <c r="BQN49" s="9"/>
      <c r="BQO49" s="9"/>
      <c r="BQP49" s="9"/>
      <c r="BQQ49" s="9"/>
      <c r="BQR49" s="9"/>
      <c r="BQS49" s="9"/>
      <c r="BQT49" s="9"/>
      <c r="BQU49" s="9"/>
      <c r="BQV49" s="9"/>
      <c r="BQW49" s="9"/>
      <c r="BQX49" s="9"/>
      <c r="BQY49" s="9"/>
      <c r="BQZ49" s="9"/>
      <c r="BRA49" s="9"/>
      <c r="BRB49" s="9"/>
      <c r="BRC49" s="9"/>
      <c r="BRD49" s="9"/>
      <c r="BRE49" s="9"/>
      <c r="BRF49" s="9"/>
      <c r="BRG49" s="9"/>
      <c r="BRH49" s="9"/>
      <c r="BRI49" s="9"/>
      <c r="BRJ49" s="9"/>
      <c r="BRK49" s="9"/>
      <c r="BRL49" s="9"/>
      <c r="BRM49" s="9"/>
      <c r="BRN49" s="9"/>
      <c r="BRO49" s="9"/>
      <c r="BRP49" s="9"/>
      <c r="BRQ49" s="9"/>
      <c r="BRR49" s="9"/>
      <c r="BRS49" s="9"/>
      <c r="BRT49" s="9"/>
      <c r="BRU49" s="9"/>
      <c r="BRV49" s="9"/>
      <c r="BRW49" s="9"/>
      <c r="BRX49" s="9"/>
      <c r="BRY49" s="9"/>
      <c r="BRZ49" s="9"/>
      <c r="BSA49" s="9"/>
      <c r="BSB49" s="9"/>
      <c r="BSC49" s="9"/>
      <c r="BSD49" s="9"/>
      <c r="BSE49" s="9"/>
      <c r="BSF49" s="9"/>
      <c r="BSG49" s="9"/>
      <c r="BSH49" s="9"/>
      <c r="BSI49" s="9"/>
      <c r="BSJ49" s="9"/>
      <c r="BSK49" s="9"/>
      <c r="BSL49" s="9"/>
      <c r="BSM49" s="9"/>
      <c r="BSN49" s="9"/>
      <c r="BSO49" s="9"/>
      <c r="BSP49" s="9"/>
      <c r="BSQ49" s="9"/>
      <c r="BSR49" s="9"/>
      <c r="BSS49" s="9"/>
      <c r="BST49" s="9"/>
      <c r="BSU49" s="9"/>
      <c r="BSV49" s="9"/>
      <c r="BSW49" s="9"/>
      <c r="BSX49" s="9"/>
      <c r="BSY49" s="9"/>
      <c r="BSZ49" s="9"/>
      <c r="BTA49" s="9"/>
      <c r="BTB49" s="9"/>
      <c r="BTC49" s="9"/>
      <c r="BTD49" s="9"/>
      <c r="BTE49" s="9"/>
      <c r="BTF49" s="9"/>
      <c r="BTG49" s="9"/>
      <c r="BTH49" s="9"/>
      <c r="BTI49" s="9"/>
      <c r="BTJ49" s="9"/>
      <c r="BTK49" s="9"/>
      <c r="BTL49" s="9"/>
      <c r="BTM49" s="9"/>
      <c r="BTN49" s="9"/>
      <c r="BTO49" s="9"/>
      <c r="BTP49" s="9"/>
      <c r="BTQ49" s="9"/>
      <c r="BTR49" s="9"/>
      <c r="BTS49" s="9"/>
      <c r="BTT49" s="9"/>
      <c r="BTU49" s="9"/>
      <c r="BTV49" s="9"/>
      <c r="BTW49" s="9"/>
      <c r="BTX49" s="9"/>
      <c r="BTY49" s="9"/>
      <c r="BTZ49" s="9"/>
      <c r="BUA49" s="9"/>
      <c r="BUB49" s="9"/>
      <c r="BUC49" s="9"/>
      <c r="BUD49" s="9"/>
      <c r="BUE49" s="9"/>
      <c r="BUF49" s="9"/>
      <c r="BUG49" s="9"/>
      <c r="BUH49" s="9"/>
      <c r="BUI49" s="9"/>
      <c r="BUJ49" s="9"/>
      <c r="BUK49" s="9"/>
      <c r="BUL49" s="9"/>
      <c r="BUM49" s="9"/>
      <c r="BUN49" s="9"/>
      <c r="BUO49" s="9"/>
      <c r="BUP49" s="9"/>
      <c r="BUQ49" s="9"/>
      <c r="BUR49" s="9"/>
      <c r="BUS49" s="9"/>
      <c r="BUT49" s="9"/>
      <c r="BUU49" s="9"/>
      <c r="BUV49" s="9"/>
      <c r="BUW49" s="9"/>
      <c r="BUX49" s="9"/>
      <c r="BUY49" s="9"/>
      <c r="BUZ49" s="9"/>
      <c r="BVA49" s="9"/>
      <c r="BVB49" s="9"/>
      <c r="BVC49" s="9"/>
      <c r="BVD49" s="9"/>
      <c r="BVE49" s="9"/>
      <c r="BVF49" s="9"/>
      <c r="BVG49" s="9"/>
      <c r="BVH49" s="9"/>
      <c r="BVI49" s="9"/>
      <c r="BVJ49" s="9"/>
      <c r="BVK49" s="9"/>
      <c r="BVL49" s="9"/>
      <c r="BVM49" s="9"/>
      <c r="BVN49" s="9"/>
      <c r="BVO49" s="9"/>
      <c r="BVP49" s="9"/>
      <c r="BVQ49" s="9"/>
      <c r="BVR49" s="9"/>
      <c r="BVS49" s="9"/>
      <c r="BVT49" s="9"/>
      <c r="BVU49" s="9"/>
      <c r="BVV49" s="9"/>
      <c r="BVW49" s="9"/>
      <c r="BVX49" s="9"/>
      <c r="BVY49" s="9"/>
      <c r="BVZ49" s="9"/>
      <c r="BWA49" s="9"/>
      <c r="BWB49" s="9"/>
      <c r="BWC49" s="9"/>
      <c r="BWD49" s="9"/>
      <c r="BWE49" s="9"/>
      <c r="BWF49" s="9"/>
      <c r="BWG49" s="9"/>
      <c r="BWH49" s="9"/>
      <c r="BWI49" s="9"/>
      <c r="BWJ49" s="9"/>
      <c r="BWK49" s="9"/>
      <c r="BWL49" s="9"/>
      <c r="BWM49" s="9"/>
      <c r="BWN49" s="9"/>
      <c r="BWO49" s="9"/>
      <c r="BWP49" s="9"/>
      <c r="BWQ49" s="9"/>
      <c r="BWR49" s="9"/>
      <c r="BWS49" s="9"/>
      <c r="BWT49" s="9"/>
      <c r="BWU49" s="9"/>
      <c r="BWV49" s="9"/>
      <c r="BWW49" s="9"/>
      <c r="BWX49" s="9"/>
      <c r="BWY49" s="9"/>
      <c r="BWZ49" s="9"/>
      <c r="BXA49" s="9"/>
      <c r="BXB49" s="9"/>
      <c r="BXC49" s="9"/>
      <c r="BXD49" s="9"/>
      <c r="BXE49" s="9"/>
      <c r="BXF49" s="9"/>
      <c r="BXG49" s="9"/>
      <c r="BXH49" s="9"/>
      <c r="BXI49" s="9"/>
      <c r="BXJ49" s="9"/>
      <c r="BXK49" s="9"/>
      <c r="BXL49" s="9"/>
      <c r="BXM49" s="9"/>
      <c r="BXN49" s="9"/>
      <c r="BXO49" s="9"/>
      <c r="BXP49" s="9"/>
      <c r="BXQ49" s="9"/>
      <c r="BXR49" s="9"/>
      <c r="BXS49" s="9"/>
      <c r="BXT49" s="9"/>
      <c r="BXU49" s="9"/>
      <c r="BXV49" s="9"/>
      <c r="BXW49" s="9"/>
      <c r="BXX49" s="9"/>
      <c r="BXY49" s="9"/>
      <c r="BXZ49" s="9"/>
      <c r="BYA49" s="9"/>
      <c r="BYB49" s="9"/>
      <c r="BYC49" s="9"/>
      <c r="BYD49" s="9"/>
      <c r="BYE49" s="9"/>
      <c r="BYF49" s="9"/>
      <c r="BYG49" s="9"/>
      <c r="BYH49" s="9"/>
      <c r="BYI49" s="9"/>
      <c r="BYJ49" s="9"/>
      <c r="BYK49" s="9"/>
      <c r="BYL49" s="9"/>
      <c r="BYM49" s="9"/>
      <c r="BYN49" s="9"/>
      <c r="BYO49" s="9"/>
      <c r="BYP49" s="9"/>
      <c r="BYQ49" s="9"/>
      <c r="BYR49" s="9"/>
      <c r="BYS49" s="9"/>
      <c r="BYT49" s="9"/>
      <c r="BYU49" s="9"/>
      <c r="BYV49" s="9"/>
      <c r="BYW49" s="9"/>
      <c r="BYX49" s="9"/>
      <c r="BYY49" s="9"/>
      <c r="BYZ49" s="9"/>
      <c r="BZA49" s="9"/>
      <c r="BZB49" s="9"/>
      <c r="BZC49" s="9"/>
      <c r="BZD49" s="9"/>
      <c r="BZE49" s="9"/>
      <c r="BZF49" s="9"/>
      <c r="BZG49" s="9"/>
      <c r="BZH49" s="9"/>
      <c r="BZI49" s="9"/>
      <c r="BZJ49" s="9"/>
      <c r="BZK49" s="9"/>
      <c r="BZL49" s="9"/>
      <c r="BZM49" s="9"/>
      <c r="BZN49" s="9"/>
      <c r="BZO49" s="9"/>
      <c r="BZP49" s="9"/>
      <c r="BZQ49" s="9"/>
      <c r="BZR49" s="9"/>
      <c r="BZS49" s="9"/>
      <c r="BZT49" s="9"/>
      <c r="BZU49" s="9"/>
      <c r="BZV49" s="9"/>
      <c r="BZW49" s="9"/>
      <c r="BZX49" s="9"/>
      <c r="BZY49" s="9"/>
      <c r="BZZ49" s="9"/>
      <c r="CAA49" s="9"/>
      <c r="CAB49" s="9"/>
      <c r="CAC49" s="9"/>
      <c r="CAD49" s="9"/>
      <c r="CAE49" s="9"/>
      <c r="CAF49" s="9"/>
      <c r="CAG49" s="9"/>
      <c r="CAH49" s="9"/>
      <c r="CAI49" s="9"/>
      <c r="CAJ49" s="9"/>
      <c r="CAK49" s="9"/>
      <c r="CAL49" s="9"/>
      <c r="CAM49" s="9"/>
      <c r="CAN49" s="9"/>
      <c r="CAO49" s="9"/>
      <c r="CAP49" s="9"/>
      <c r="CAQ49" s="9"/>
      <c r="CAR49" s="9"/>
      <c r="CAS49" s="9"/>
      <c r="CAT49" s="9"/>
      <c r="CAU49" s="9"/>
      <c r="CAV49" s="9"/>
      <c r="CAW49" s="9"/>
      <c r="CAX49" s="9"/>
      <c r="CAY49" s="9"/>
      <c r="CAZ49" s="9"/>
      <c r="CBA49" s="9"/>
      <c r="CBB49" s="9"/>
      <c r="CBC49" s="9"/>
      <c r="CBD49" s="9"/>
      <c r="CBE49" s="9"/>
      <c r="CBF49" s="9"/>
      <c r="CBG49" s="9"/>
      <c r="CBH49" s="9"/>
      <c r="CBI49" s="9"/>
      <c r="CBJ49" s="9"/>
      <c r="CBK49" s="9"/>
      <c r="CBL49" s="9"/>
      <c r="CBM49" s="9"/>
      <c r="CBN49" s="9"/>
      <c r="CBO49" s="9"/>
      <c r="CBP49" s="9"/>
      <c r="CBQ49" s="9"/>
      <c r="CBR49" s="9"/>
      <c r="CBS49" s="9"/>
      <c r="CBT49" s="9"/>
      <c r="CBU49" s="9"/>
      <c r="CBV49" s="9"/>
      <c r="CBW49" s="9"/>
      <c r="CBX49" s="9"/>
      <c r="CBY49" s="9"/>
      <c r="CBZ49" s="9"/>
      <c r="CCA49" s="9"/>
      <c r="CCB49" s="9"/>
      <c r="CCC49" s="9"/>
      <c r="CCD49" s="9"/>
      <c r="CCE49" s="9"/>
      <c r="CCF49" s="9"/>
      <c r="CCG49" s="9"/>
      <c r="CCH49" s="9"/>
      <c r="CCI49" s="9"/>
      <c r="CCJ49" s="9"/>
      <c r="CCK49" s="9"/>
      <c r="CCL49" s="9"/>
      <c r="CCM49" s="9"/>
      <c r="CCN49" s="9"/>
      <c r="CCO49" s="9"/>
      <c r="CCP49" s="9"/>
      <c r="CCQ49" s="9"/>
      <c r="CCR49" s="9"/>
      <c r="CCS49" s="9"/>
      <c r="CCT49" s="9"/>
      <c r="CCU49" s="9"/>
      <c r="CCV49" s="9"/>
      <c r="CCW49" s="9"/>
      <c r="CCX49" s="9"/>
      <c r="CCY49" s="9"/>
      <c r="CCZ49" s="9"/>
      <c r="CDA49" s="9"/>
      <c r="CDB49" s="9"/>
      <c r="CDC49" s="9"/>
      <c r="CDD49" s="9"/>
      <c r="CDE49" s="9"/>
      <c r="CDF49" s="9"/>
      <c r="CDG49" s="9"/>
      <c r="CDH49" s="9"/>
      <c r="CDI49" s="9"/>
      <c r="CDJ49" s="9"/>
      <c r="CDK49" s="9"/>
      <c r="CDL49" s="9"/>
      <c r="CDM49" s="9"/>
      <c r="CDN49" s="9"/>
      <c r="CDO49" s="9"/>
      <c r="CDP49" s="9"/>
      <c r="CDQ49" s="9"/>
      <c r="CDR49" s="9"/>
      <c r="CDS49" s="9"/>
      <c r="CDT49" s="9"/>
      <c r="CDU49" s="9"/>
      <c r="CDV49" s="9"/>
      <c r="CDW49" s="9"/>
      <c r="CDX49" s="9"/>
      <c r="CDY49" s="9"/>
      <c r="CDZ49" s="9"/>
      <c r="CEA49" s="9"/>
      <c r="CEB49" s="9"/>
      <c r="CEC49" s="9"/>
      <c r="CED49" s="9"/>
      <c r="CEE49" s="9"/>
      <c r="CEF49" s="9"/>
      <c r="CEG49" s="9"/>
      <c r="CEH49" s="9"/>
      <c r="CEI49" s="9"/>
      <c r="CEJ49" s="9"/>
      <c r="CEK49" s="9"/>
      <c r="CEL49" s="9"/>
      <c r="CEM49" s="9"/>
      <c r="CEN49" s="9"/>
      <c r="CEO49" s="9"/>
      <c r="CEP49" s="9"/>
      <c r="CEQ49" s="9"/>
      <c r="CER49" s="9"/>
      <c r="CES49" s="9"/>
      <c r="CET49" s="9"/>
      <c r="CEU49" s="9"/>
      <c r="CEV49" s="9"/>
      <c r="CEW49" s="9"/>
      <c r="CEX49" s="9"/>
      <c r="CEY49" s="9"/>
      <c r="CEZ49" s="9"/>
      <c r="CFA49" s="9"/>
      <c r="CFB49" s="9"/>
      <c r="CFC49" s="9"/>
      <c r="CFD49" s="9"/>
      <c r="CFE49" s="9"/>
      <c r="CFF49" s="9"/>
      <c r="CFG49" s="9"/>
      <c r="CFH49" s="9"/>
      <c r="CFI49" s="9"/>
      <c r="CFJ49" s="9"/>
      <c r="CFK49" s="9"/>
      <c r="CFL49" s="9"/>
      <c r="CFM49" s="9"/>
      <c r="CFN49" s="9"/>
      <c r="CFO49" s="9"/>
      <c r="CFP49" s="9"/>
      <c r="CFQ49" s="9"/>
      <c r="CFR49" s="9"/>
      <c r="CFS49" s="9"/>
      <c r="CFT49" s="9"/>
      <c r="CFU49" s="9"/>
      <c r="CFV49" s="9"/>
      <c r="CFW49" s="9"/>
      <c r="CFX49" s="9"/>
      <c r="CFY49" s="9"/>
      <c r="CFZ49" s="9"/>
      <c r="CGA49" s="9"/>
      <c r="CGB49" s="9"/>
      <c r="CGC49" s="9"/>
      <c r="CGD49" s="9"/>
      <c r="CGE49" s="9"/>
      <c r="CGF49" s="9"/>
      <c r="CGG49" s="9"/>
      <c r="CGH49" s="9"/>
      <c r="CGI49" s="9"/>
      <c r="CGJ49" s="9"/>
      <c r="CGK49" s="9"/>
      <c r="CGL49" s="9"/>
      <c r="CGM49" s="9"/>
      <c r="CGN49" s="9"/>
      <c r="CGO49" s="9"/>
      <c r="CGP49" s="9"/>
      <c r="CGQ49" s="9"/>
      <c r="CGR49" s="9"/>
      <c r="CGS49" s="9"/>
      <c r="CGT49" s="9"/>
      <c r="CGU49" s="9"/>
      <c r="CGV49" s="9"/>
      <c r="CGW49" s="9"/>
      <c r="CGX49" s="9"/>
      <c r="CGY49" s="9"/>
      <c r="CGZ49" s="9"/>
      <c r="CHA49" s="9"/>
      <c r="CHB49" s="9"/>
      <c r="CHC49" s="9"/>
      <c r="CHD49" s="9"/>
      <c r="CHE49" s="9"/>
      <c r="CHF49" s="9"/>
      <c r="CHG49" s="9"/>
      <c r="CHH49" s="9"/>
      <c r="CHI49" s="9"/>
      <c r="CHJ49" s="9"/>
      <c r="CHK49" s="9"/>
      <c r="CHL49" s="9"/>
      <c r="CHM49" s="9"/>
      <c r="CHN49" s="9"/>
      <c r="CHO49" s="9"/>
      <c r="CHP49" s="9"/>
      <c r="CHQ49" s="9"/>
      <c r="CHR49" s="9"/>
      <c r="CHS49" s="9"/>
      <c r="CHT49" s="9"/>
      <c r="CHU49" s="9"/>
      <c r="CHV49" s="9"/>
      <c r="CHW49" s="9"/>
      <c r="CHX49" s="9"/>
      <c r="CHY49" s="9"/>
      <c r="CHZ49" s="9"/>
      <c r="CIA49" s="9"/>
      <c r="CIB49" s="9"/>
      <c r="CIC49" s="9"/>
      <c r="CID49" s="9"/>
      <c r="CIE49" s="9"/>
      <c r="CIF49" s="9"/>
      <c r="CIG49" s="9"/>
      <c r="CIH49" s="9"/>
      <c r="CII49" s="9"/>
      <c r="CIJ49" s="9"/>
      <c r="CIK49" s="9"/>
      <c r="CIL49" s="9"/>
      <c r="CIM49" s="9"/>
      <c r="CIN49" s="9"/>
      <c r="CIO49" s="9"/>
      <c r="CIP49" s="9"/>
      <c r="CIQ49" s="9"/>
      <c r="CIR49" s="9"/>
      <c r="CIS49" s="9"/>
      <c r="CIT49" s="9"/>
      <c r="CIU49" s="9"/>
      <c r="CIV49" s="9"/>
      <c r="CIW49" s="9"/>
      <c r="CIX49" s="9"/>
      <c r="CIY49" s="9"/>
      <c r="CIZ49" s="9"/>
      <c r="CJA49" s="9"/>
      <c r="CJB49" s="9"/>
      <c r="CJC49" s="9"/>
      <c r="CJD49" s="9"/>
      <c r="CJE49" s="9"/>
      <c r="CJF49" s="9"/>
      <c r="CJG49" s="9"/>
      <c r="CJH49" s="9"/>
      <c r="CJI49" s="9"/>
      <c r="CJJ49" s="9"/>
      <c r="CJK49" s="9"/>
      <c r="CJL49" s="9"/>
      <c r="CJM49" s="9"/>
      <c r="CJN49" s="9"/>
      <c r="CJO49" s="9"/>
      <c r="CJP49" s="9"/>
      <c r="CJQ49" s="9"/>
      <c r="CJR49" s="9"/>
      <c r="CJS49" s="9"/>
      <c r="CJT49" s="9"/>
      <c r="CJU49" s="9"/>
      <c r="CJV49" s="9"/>
      <c r="CJW49" s="9"/>
      <c r="CJX49" s="9"/>
      <c r="CJY49" s="9"/>
      <c r="CJZ49" s="9"/>
      <c r="CKA49" s="9"/>
      <c r="CKB49" s="9"/>
      <c r="CKC49" s="9"/>
      <c r="CKD49" s="9"/>
      <c r="CKE49" s="9"/>
      <c r="CKF49" s="9"/>
      <c r="CKG49" s="9"/>
      <c r="CKH49" s="9"/>
      <c r="CKI49" s="9"/>
      <c r="CKJ49" s="9"/>
      <c r="CKK49" s="9"/>
      <c r="CKL49" s="9"/>
      <c r="CKM49" s="9"/>
      <c r="CKN49" s="9"/>
      <c r="CKO49" s="9"/>
      <c r="CKP49" s="9"/>
      <c r="CKQ49" s="9"/>
      <c r="CKR49" s="9"/>
      <c r="CKS49" s="9"/>
      <c r="CKT49" s="9"/>
      <c r="CKU49" s="9"/>
      <c r="CKV49" s="9"/>
      <c r="CKW49" s="9"/>
      <c r="CKX49" s="9"/>
      <c r="CKY49" s="9"/>
      <c r="CKZ49" s="9"/>
      <c r="CLA49" s="9"/>
      <c r="CLB49" s="9"/>
      <c r="CLC49" s="9"/>
      <c r="CLD49" s="9"/>
      <c r="CLE49" s="9"/>
      <c r="CLF49" s="9"/>
      <c r="CLG49" s="9"/>
      <c r="CLH49" s="9"/>
      <c r="CLI49" s="9"/>
      <c r="CLJ49" s="9"/>
      <c r="CLK49" s="9"/>
      <c r="CLL49" s="9"/>
      <c r="CLM49" s="9"/>
      <c r="CLN49" s="9"/>
      <c r="CLO49" s="9"/>
      <c r="CLP49" s="9"/>
      <c r="CLQ49" s="9"/>
      <c r="CLR49" s="9"/>
      <c r="CLS49" s="9"/>
      <c r="CLT49" s="9"/>
      <c r="CLU49" s="9"/>
      <c r="CLV49" s="9"/>
      <c r="CLW49" s="9"/>
      <c r="CLX49" s="9"/>
      <c r="CLY49" s="9"/>
      <c r="CLZ49" s="9"/>
      <c r="CMA49" s="9"/>
      <c r="CMB49" s="9"/>
      <c r="CMC49" s="9"/>
      <c r="CMD49" s="9"/>
      <c r="CME49" s="9"/>
      <c r="CMF49" s="9"/>
      <c r="CMG49" s="9"/>
      <c r="CMH49" s="9"/>
      <c r="CMI49" s="9"/>
      <c r="CMJ49" s="9"/>
      <c r="CMK49" s="9"/>
      <c r="CML49" s="9"/>
      <c r="CMM49" s="9"/>
      <c r="CMN49" s="9"/>
      <c r="CMO49" s="9"/>
      <c r="CMP49" s="9"/>
      <c r="CMQ49" s="9"/>
      <c r="CMR49" s="9"/>
      <c r="CMS49" s="9"/>
      <c r="CMT49" s="9"/>
      <c r="CMU49" s="9"/>
      <c r="CMV49" s="9"/>
      <c r="CMW49" s="9"/>
      <c r="CMX49" s="9"/>
      <c r="CMY49" s="9"/>
      <c r="CMZ49" s="9"/>
      <c r="CNA49" s="9"/>
      <c r="CNB49" s="9"/>
      <c r="CNC49" s="9"/>
      <c r="CND49" s="9"/>
      <c r="CNE49" s="9"/>
      <c r="CNF49" s="9"/>
      <c r="CNG49" s="9"/>
      <c r="CNH49" s="9"/>
      <c r="CNI49" s="9"/>
      <c r="CNJ49" s="9"/>
      <c r="CNK49" s="9"/>
      <c r="CNL49" s="9"/>
      <c r="CNM49" s="9"/>
      <c r="CNN49" s="9"/>
      <c r="CNO49" s="9"/>
      <c r="CNP49" s="9"/>
      <c r="CNQ49" s="9"/>
      <c r="CNR49" s="9"/>
      <c r="CNS49" s="9"/>
      <c r="CNT49" s="9"/>
      <c r="CNU49" s="9"/>
      <c r="CNV49" s="9"/>
      <c r="CNW49" s="9"/>
      <c r="CNX49" s="9"/>
      <c r="CNY49" s="9"/>
      <c r="CNZ49" s="9"/>
      <c r="COA49" s="9"/>
      <c r="COB49" s="9"/>
      <c r="COC49" s="9"/>
      <c r="COD49" s="9"/>
      <c r="COE49" s="9"/>
      <c r="COF49" s="9"/>
      <c r="COG49" s="9"/>
      <c r="COH49" s="9"/>
      <c r="COI49" s="9"/>
      <c r="COJ49" s="9"/>
      <c r="COK49" s="9"/>
      <c r="COL49" s="9"/>
      <c r="COM49" s="9"/>
      <c r="CON49" s="9"/>
      <c r="COO49" s="9"/>
      <c r="COP49" s="9"/>
      <c r="COQ49" s="9"/>
      <c r="COR49" s="9"/>
      <c r="COS49" s="9"/>
      <c r="COT49" s="9"/>
      <c r="COU49" s="9"/>
      <c r="COV49" s="9"/>
      <c r="COW49" s="9"/>
      <c r="COX49" s="9"/>
      <c r="COY49" s="9"/>
      <c r="COZ49" s="9"/>
      <c r="CPA49" s="9"/>
      <c r="CPB49" s="9"/>
      <c r="CPC49" s="9"/>
      <c r="CPD49" s="9"/>
      <c r="CPE49" s="9"/>
      <c r="CPF49" s="9"/>
      <c r="CPG49" s="9"/>
      <c r="CPH49" s="9"/>
      <c r="CPI49" s="9"/>
      <c r="CPJ49" s="9"/>
      <c r="CPK49" s="9"/>
      <c r="CPL49" s="9"/>
      <c r="CPM49" s="9"/>
      <c r="CPN49" s="9"/>
      <c r="CPO49" s="9"/>
      <c r="CPP49" s="9"/>
      <c r="CPQ49" s="9"/>
      <c r="CPR49" s="9"/>
      <c r="CPS49" s="9"/>
      <c r="CPT49" s="9"/>
      <c r="CPU49" s="9"/>
      <c r="CPV49" s="9"/>
      <c r="CPW49" s="9"/>
      <c r="CPX49" s="9"/>
      <c r="CPY49" s="9"/>
      <c r="CPZ49" s="9"/>
      <c r="CQA49" s="9"/>
      <c r="CQB49" s="9"/>
      <c r="CQC49" s="9"/>
      <c r="CQD49" s="9"/>
      <c r="CQE49" s="9"/>
      <c r="CQF49" s="9"/>
      <c r="CQG49" s="9"/>
      <c r="CQH49" s="9"/>
      <c r="CQI49" s="9"/>
      <c r="CQJ49" s="9"/>
      <c r="CQK49" s="9"/>
      <c r="CQL49" s="9"/>
      <c r="CQM49" s="9"/>
      <c r="CQN49" s="9"/>
      <c r="CQO49" s="9"/>
      <c r="CQP49" s="9"/>
      <c r="CQQ49" s="9"/>
      <c r="CQR49" s="9"/>
      <c r="CQS49" s="9"/>
      <c r="CQT49" s="9"/>
      <c r="CQU49" s="9"/>
      <c r="CQV49" s="9"/>
      <c r="CQW49" s="9"/>
      <c r="CQX49" s="9"/>
      <c r="CQY49" s="9"/>
      <c r="CQZ49" s="9"/>
      <c r="CRA49" s="9"/>
      <c r="CRB49" s="9"/>
      <c r="CRC49" s="9"/>
      <c r="CRD49" s="9"/>
      <c r="CRE49" s="9"/>
      <c r="CRF49" s="9"/>
      <c r="CRG49" s="9"/>
      <c r="CRH49" s="9"/>
      <c r="CRI49" s="9"/>
      <c r="CRJ49" s="9"/>
      <c r="CRK49" s="9"/>
      <c r="CRL49" s="9"/>
      <c r="CRM49" s="9"/>
      <c r="CRN49" s="9"/>
      <c r="CRO49" s="9"/>
      <c r="CRP49" s="9"/>
      <c r="CRQ49" s="9"/>
      <c r="CRR49" s="9"/>
      <c r="CRS49" s="9"/>
      <c r="CRT49" s="9"/>
      <c r="CRU49" s="9"/>
      <c r="CRV49" s="9"/>
      <c r="CRW49" s="9"/>
      <c r="CRX49" s="9"/>
      <c r="CRY49" s="9"/>
      <c r="CRZ49" s="9"/>
      <c r="CSA49" s="9"/>
      <c r="CSB49" s="9"/>
      <c r="CSC49" s="9"/>
      <c r="CSD49" s="9"/>
      <c r="CSE49" s="9"/>
      <c r="CSF49" s="9"/>
      <c r="CSG49" s="9"/>
      <c r="CSH49" s="9"/>
      <c r="CSI49" s="9"/>
      <c r="CSJ49" s="9"/>
      <c r="CSK49" s="9"/>
      <c r="CSL49" s="9"/>
      <c r="CSM49" s="9"/>
      <c r="CSN49" s="9"/>
      <c r="CSO49" s="9"/>
      <c r="CSP49" s="9"/>
      <c r="CSQ49" s="9"/>
      <c r="CSR49" s="9"/>
      <c r="CSS49" s="9"/>
      <c r="CST49" s="9"/>
      <c r="CSU49" s="9"/>
      <c r="CSV49" s="9"/>
      <c r="CSW49" s="9"/>
      <c r="CSX49" s="9"/>
      <c r="CSY49" s="9"/>
      <c r="CSZ49" s="9"/>
      <c r="CTA49" s="9"/>
      <c r="CTB49" s="9"/>
      <c r="CTC49" s="9"/>
      <c r="CTD49" s="9"/>
      <c r="CTE49" s="9"/>
      <c r="CTF49" s="9"/>
      <c r="CTG49" s="9"/>
      <c r="CTH49" s="9"/>
      <c r="CTI49" s="9"/>
      <c r="CTJ49" s="9"/>
      <c r="CTK49" s="9"/>
      <c r="CTL49" s="9"/>
      <c r="CTM49" s="9"/>
      <c r="CTN49" s="9"/>
      <c r="CTO49" s="9"/>
      <c r="CTP49" s="9"/>
      <c r="CTQ49" s="9"/>
      <c r="CTR49" s="9"/>
      <c r="CTS49" s="9"/>
      <c r="CTT49" s="9"/>
      <c r="CTU49" s="9"/>
      <c r="CTV49" s="9"/>
      <c r="CTW49" s="9"/>
      <c r="CTX49" s="9"/>
      <c r="CTY49" s="9"/>
      <c r="CTZ49" s="9"/>
      <c r="CUA49" s="9"/>
      <c r="CUB49" s="9"/>
      <c r="CUC49" s="9"/>
      <c r="CUD49" s="9"/>
      <c r="CUE49" s="9"/>
      <c r="CUF49" s="9"/>
      <c r="CUG49" s="9"/>
      <c r="CUH49" s="9"/>
      <c r="CUI49" s="9"/>
      <c r="CUJ49" s="9"/>
      <c r="CUK49" s="9"/>
      <c r="CUL49" s="9"/>
      <c r="CUM49" s="9"/>
      <c r="CUN49" s="9"/>
      <c r="CUO49" s="9"/>
      <c r="CUP49" s="9"/>
      <c r="CUQ49" s="9"/>
      <c r="CUR49" s="9"/>
      <c r="CUS49" s="9"/>
      <c r="CUT49" s="9"/>
      <c r="CUU49" s="9"/>
      <c r="CUV49" s="9"/>
      <c r="CUW49" s="9"/>
      <c r="CUX49" s="9"/>
      <c r="CUY49" s="9"/>
      <c r="CUZ49" s="9"/>
      <c r="CVA49" s="9"/>
      <c r="CVB49" s="9"/>
      <c r="CVC49" s="9"/>
      <c r="CVD49" s="9"/>
      <c r="CVE49" s="9"/>
      <c r="CVF49" s="9"/>
      <c r="CVG49" s="9"/>
      <c r="CVH49" s="9"/>
      <c r="CVI49" s="9"/>
      <c r="CVJ49" s="9"/>
      <c r="CVK49" s="9"/>
      <c r="CVL49" s="9"/>
      <c r="CVM49" s="9"/>
      <c r="CVN49" s="9"/>
      <c r="CVO49" s="9"/>
      <c r="CVP49" s="9"/>
      <c r="CVQ49" s="9"/>
      <c r="CVR49" s="9"/>
      <c r="CVS49" s="9"/>
      <c r="CVT49" s="9"/>
      <c r="CVU49" s="9"/>
      <c r="CVV49" s="9"/>
      <c r="CVW49" s="9"/>
      <c r="CVX49" s="9"/>
      <c r="CVY49" s="9"/>
      <c r="CVZ49" s="9"/>
      <c r="CWA49" s="9"/>
      <c r="CWB49" s="9"/>
      <c r="CWC49" s="9"/>
      <c r="CWD49" s="9"/>
      <c r="CWE49" s="9"/>
      <c r="CWF49" s="9"/>
      <c r="CWG49" s="9"/>
      <c r="CWH49" s="9"/>
      <c r="CWI49" s="9"/>
      <c r="CWJ49" s="9"/>
      <c r="CWK49" s="9"/>
      <c r="CWL49" s="9"/>
      <c r="CWM49" s="9"/>
      <c r="CWN49" s="9"/>
      <c r="CWO49" s="9"/>
      <c r="CWP49" s="9"/>
      <c r="CWQ49" s="9"/>
      <c r="CWR49" s="9"/>
      <c r="CWS49" s="9"/>
      <c r="CWT49" s="9"/>
      <c r="CWU49" s="9"/>
      <c r="CWV49" s="9"/>
      <c r="CWW49" s="9"/>
      <c r="CWX49" s="9"/>
      <c r="CWY49" s="9"/>
      <c r="CWZ49" s="9"/>
      <c r="CXA49" s="9"/>
      <c r="CXB49" s="9"/>
      <c r="CXC49" s="9"/>
      <c r="CXD49" s="9"/>
      <c r="CXE49" s="9"/>
      <c r="CXF49" s="9"/>
      <c r="CXG49" s="9"/>
      <c r="CXH49" s="9"/>
      <c r="CXI49" s="9"/>
      <c r="CXJ49" s="9"/>
      <c r="CXK49" s="9"/>
      <c r="CXL49" s="9"/>
      <c r="CXM49" s="9"/>
      <c r="CXN49" s="9"/>
      <c r="CXO49" s="9"/>
      <c r="CXP49" s="9"/>
      <c r="CXQ49" s="9"/>
      <c r="CXR49" s="9"/>
      <c r="CXS49" s="9"/>
      <c r="CXT49" s="9"/>
      <c r="CXU49" s="9"/>
      <c r="CXV49" s="9"/>
      <c r="CXW49" s="9"/>
      <c r="CXX49" s="9"/>
      <c r="CXY49" s="9"/>
      <c r="CXZ49" s="9"/>
      <c r="CYA49" s="9"/>
      <c r="CYB49" s="9"/>
      <c r="CYC49" s="9"/>
      <c r="CYD49" s="9"/>
      <c r="CYE49" s="9"/>
      <c r="CYF49" s="9"/>
      <c r="CYG49" s="9"/>
      <c r="CYH49" s="9"/>
      <c r="CYI49" s="9"/>
      <c r="CYJ49" s="9"/>
      <c r="CYK49" s="9"/>
      <c r="CYL49" s="9"/>
      <c r="CYM49" s="9"/>
      <c r="CYN49" s="9"/>
      <c r="CYO49" s="9"/>
      <c r="CYP49" s="9"/>
      <c r="CYQ49" s="9"/>
      <c r="CYR49" s="9"/>
      <c r="CYS49" s="9"/>
      <c r="CYT49" s="9"/>
      <c r="CYU49" s="9"/>
      <c r="CYV49" s="9"/>
      <c r="CYW49" s="9"/>
      <c r="CYX49" s="9"/>
      <c r="CYY49" s="9"/>
      <c r="CYZ49" s="9"/>
      <c r="CZA49" s="9"/>
      <c r="CZB49" s="9"/>
      <c r="CZC49" s="9"/>
      <c r="CZD49" s="9"/>
      <c r="CZE49" s="9"/>
      <c r="CZF49" s="9"/>
      <c r="CZG49" s="9"/>
      <c r="CZH49" s="9"/>
      <c r="CZI49" s="9"/>
      <c r="CZJ49" s="9"/>
      <c r="CZK49" s="9"/>
      <c r="CZL49" s="9"/>
      <c r="CZM49" s="9"/>
      <c r="CZN49" s="9"/>
      <c r="CZO49" s="9"/>
      <c r="CZP49" s="9"/>
      <c r="CZQ49" s="9"/>
      <c r="CZR49" s="9"/>
      <c r="CZS49" s="9"/>
      <c r="CZT49" s="9"/>
      <c r="CZU49" s="9"/>
      <c r="CZV49" s="9"/>
      <c r="CZW49" s="9"/>
      <c r="CZX49" s="9"/>
      <c r="CZY49" s="9"/>
      <c r="CZZ49" s="9"/>
      <c r="DAA49" s="9"/>
      <c r="DAB49" s="9"/>
      <c r="DAC49" s="9"/>
      <c r="DAD49" s="9"/>
      <c r="DAE49" s="9"/>
      <c r="DAF49" s="9"/>
      <c r="DAG49" s="9"/>
      <c r="DAH49" s="9"/>
      <c r="DAI49" s="9"/>
      <c r="DAJ49" s="9"/>
      <c r="DAK49" s="9"/>
      <c r="DAL49" s="9"/>
      <c r="DAM49" s="9"/>
      <c r="DAN49" s="9"/>
      <c r="DAO49" s="9"/>
      <c r="DAP49" s="9"/>
      <c r="DAQ49" s="9"/>
      <c r="DAR49" s="9"/>
      <c r="DAS49" s="9"/>
      <c r="DAT49" s="9"/>
      <c r="DAU49" s="9"/>
      <c r="DAV49" s="9"/>
      <c r="DAW49" s="9"/>
      <c r="DAX49" s="9"/>
      <c r="DAY49" s="9"/>
      <c r="DAZ49" s="9"/>
      <c r="DBA49" s="9"/>
      <c r="DBB49" s="9"/>
      <c r="DBC49" s="9"/>
      <c r="DBD49" s="9"/>
      <c r="DBE49" s="9"/>
      <c r="DBF49" s="9"/>
      <c r="DBG49" s="9"/>
      <c r="DBH49" s="9"/>
      <c r="DBI49" s="9"/>
      <c r="DBJ49" s="9"/>
      <c r="DBK49" s="9"/>
      <c r="DBL49" s="9"/>
      <c r="DBM49" s="9"/>
      <c r="DBN49" s="9"/>
      <c r="DBO49" s="9"/>
      <c r="DBP49" s="9"/>
      <c r="DBQ49" s="9"/>
      <c r="DBR49" s="9"/>
      <c r="DBS49" s="9"/>
      <c r="DBT49" s="9"/>
      <c r="DBU49" s="9"/>
      <c r="DBV49" s="9"/>
      <c r="DBW49" s="9"/>
      <c r="DBX49" s="9"/>
      <c r="DBY49" s="9"/>
      <c r="DBZ49" s="9"/>
      <c r="DCA49" s="9"/>
      <c r="DCB49" s="9"/>
      <c r="DCC49" s="9"/>
      <c r="DCD49" s="9"/>
      <c r="DCE49" s="9"/>
      <c r="DCF49" s="9"/>
      <c r="DCG49" s="9"/>
      <c r="DCH49" s="9"/>
      <c r="DCI49" s="9"/>
      <c r="DCJ49" s="9"/>
      <c r="DCK49" s="9"/>
      <c r="DCL49" s="9"/>
      <c r="DCM49" s="9"/>
      <c r="DCN49" s="9"/>
      <c r="DCO49" s="9"/>
      <c r="DCP49" s="9"/>
      <c r="DCQ49" s="9"/>
      <c r="DCR49" s="9"/>
      <c r="DCS49" s="9"/>
      <c r="DCT49" s="9"/>
      <c r="DCU49" s="9"/>
      <c r="DCV49" s="9"/>
      <c r="DCW49" s="9"/>
      <c r="DCX49" s="9"/>
      <c r="DCY49" s="9"/>
      <c r="DCZ49" s="9"/>
      <c r="DDA49" s="9"/>
      <c r="DDB49" s="9"/>
      <c r="DDC49" s="9"/>
      <c r="DDD49" s="9"/>
      <c r="DDE49" s="9"/>
      <c r="DDF49" s="9"/>
      <c r="DDG49" s="9"/>
      <c r="DDH49" s="9"/>
      <c r="DDI49" s="9"/>
      <c r="DDJ49" s="9"/>
      <c r="DDK49" s="9"/>
      <c r="DDL49" s="9"/>
      <c r="DDM49" s="9"/>
      <c r="DDN49" s="9"/>
      <c r="DDO49" s="9"/>
      <c r="DDP49" s="9"/>
      <c r="DDQ49" s="9"/>
      <c r="DDR49" s="9"/>
      <c r="DDS49" s="9"/>
      <c r="DDT49" s="9"/>
      <c r="DDU49" s="9"/>
      <c r="DDV49" s="9"/>
      <c r="DDW49" s="9"/>
      <c r="DDX49" s="9"/>
      <c r="DDY49" s="9"/>
      <c r="DDZ49" s="9"/>
      <c r="DEA49" s="9"/>
      <c r="DEB49" s="9"/>
      <c r="DEC49" s="9"/>
      <c r="DED49" s="9"/>
      <c r="DEE49" s="9"/>
      <c r="DEF49" s="9"/>
      <c r="DEG49" s="9"/>
      <c r="DEH49" s="9"/>
      <c r="DEI49" s="9"/>
      <c r="DEJ49" s="9"/>
      <c r="DEK49" s="9"/>
      <c r="DEL49" s="9"/>
      <c r="DEM49" s="9"/>
      <c r="DEN49" s="9"/>
      <c r="DEO49" s="9"/>
      <c r="DEP49" s="9"/>
      <c r="DEQ49" s="9"/>
      <c r="DER49" s="9"/>
      <c r="DES49" s="9"/>
      <c r="DET49" s="9"/>
      <c r="DEU49" s="9"/>
      <c r="DEV49" s="9"/>
      <c r="DEW49" s="9"/>
      <c r="DEX49" s="9"/>
      <c r="DEY49" s="9"/>
      <c r="DEZ49" s="9"/>
      <c r="DFA49" s="9"/>
      <c r="DFB49" s="9"/>
      <c r="DFC49" s="9"/>
      <c r="DFD49" s="9"/>
      <c r="DFE49" s="9"/>
      <c r="DFF49" s="9"/>
      <c r="DFG49" s="9"/>
      <c r="DFH49" s="9"/>
      <c r="DFI49" s="9"/>
      <c r="DFJ49" s="9"/>
      <c r="DFK49" s="9"/>
      <c r="DFL49" s="9"/>
      <c r="DFM49" s="9"/>
      <c r="DFN49" s="9"/>
      <c r="DFO49" s="9"/>
      <c r="DFP49" s="9"/>
      <c r="DFQ49" s="9"/>
      <c r="DFR49" s="9"/>
      <c r="DFS49" s="9"/>
      <c r="DFT49" s="9"/>
      <c r="DFU49" s="9"/>
      <c r="DFV49" s="9"/>
      <c r="DFW49" s="9"/>
      <c r="DFX49" s="9"/>
      <c r="DFY49" s="9"/>
      <c r="DFZ49" s="9"/>
      <c r="DGA49" s="9"/>
      <c r="DGB49" s="9"/>
      <c r="DGC49" s="9"/>
      <c r="DGD49" s="9"/>
      <c r="DGE49" s="9"/>
      <c r="DGF49" s="9"/>
      <c r="DGG49" s="9"/>
      <c r="DGH49" s="9"/>
      <c r="DGI49" s="9"/>
      <c r="DGJ49" s="9"/>
      <c r="DGK49" s="9"/>
      <c r="DGL49" s="9"/>
      <c r="DGM49" s="9"/>
      <c r="DGN49" s="9"/>
      <c r="DGO49" s="9"/>
      <c r="DGP49" s="9"/>
      <c r="DGQ49" s="9"/>
      <c r="DGR49" s="9"/>
      <c r="DGS49" s="9"/>
      <c r="DGT49" s="9"/>
      <c r="DGU49" s="9"/>
      <c r="DGV49" s="9"/>
      <c r="DGW49" s="9"/>
      <c r="DGX49" s="9"/>
      <c r="DGY49" s="9"/>
      <c r="DGZ49" s="9"/>
      <c r="DHA49" s="9"/>
      <c r="DHB49" s="9"/>
      <c r="DHC49" s="9"/>
      <c r="DHD49" s="9"/>
      <c r="DHE49" s="9"/>
      <c r="DHF49" s="9"/>
      <c r="DHG49" s="9"/>
      <c r="DHH49" s="9"/>
      <c r="DHI49" s="9"/>
      <c r="DHJ49" s="9"/>
      <c r="DHK49" s="9"/>
      <c r="DHL49" s="9"/>
      <c r="DHM49" s="9"/>
      <c r="DHN49" s="9"/>
      <c r="DHO49" s="9"/>
      <c r="DHP49" s="9"/>
      <c r="DHQ49" s="9"/>
      <c r="DHR49" s="9"/>
      <c r="DHS49" s="9"/>
      <c r="DHT49" s="9"/>
      <c r="DHU49" s="9"/>
      <c r="DHV49" s="9"/>
      <c r="DHW49" s="9"/>
      <c r="DHX49" s="9"/>
      <c r="DHY49" s="9"/>
      <c r="DHZ49" s="9"/>
      <c r="DIA49" s="9"/>
      <c r="DIB49" s="9"/>
      <c r="DIC49" s="9"/>
      <c r="DID49" s="9"/>
      <c r="DIE49" s="9"/>
      <c r="DIF49" s="9"/>
      <c r="DIG49" s="9"/>
      <c r="DIH49" s="9"/>
      <c r="DII49" s="9"/>
      <c r="DIJ49" s="9"/>
      <c r="DIK49" s="9"/>
      <c r="DIL49" s="9"/>
      <c r="DIM49" s="9"/>
      <c r="DIN49" s="9"/>
      <c r="DIO49" s="9"/>
      <c r="DIP49" s="9"/>
      <c r="DIQ49" s="9"/>
      <c r="DIR49" s="9"/>
      <c r="DIS49" s="9"/>
      <c r="DIT49" s="9"/>
      <c r="DIU49" s="9"/>
      <c r="DIV49" s="9"/>
      <c r="DIW49" s="9"/>
      <c r="DIX49" s="9"/>
      <c r="DIY49" s="9"/>
      <c r="DIZ49" s="9"/>
      <c r="DJA49" s="9"/>
      <c r="DJB49" s="9"/>
      <c r="DJC49" s="9"/>
      <c r="DJD49" s="9"/>
      <c r="DJE49" s="9"/>
      <c r="DJF49" s="9"/>
      <c r="DJG49" s="9"/>
      <c r="DJH49" s="9"/>
      <c r="DJI49" s="9"/>
      <c r="DJJ49" s="9"/>
      <c r="DJK49" s="9"/>
      <c r="DJL49" s="9"/>
      <c r="DJM49" s="9"/>
      <c r="DJN49" s="9"/>
      <c r="DJO49" s="9"/>
      <c r="DJP49" s="9"/>
      <c r="DJQ49" s="9"/>
      <c r="DJR49" s="9"/>
      <c r="DJS49" s="9"/>
      <c r="DJT49" s="9"/>
      <c r="DJU49" s="9"/>
      <c r="DJV49" s="9"/>
      <c r="DJW49" s="9"/>
      <c r="DJX49" s="9"/>
      <c r="DJY49" s="9"/>
      <c r="DJZ49" s="9"/>
      <c r="DKA49" s="9"/>
      <c r="DKB49" s="9"/>
      <c r="DKC49" s="9"/>
      <c r="DKD49" s="9"/>
      <c r="DKE49" s="9"/>
      <c r="DKF49" s="9"/>
      <c r="DKG49" s="9"/>
      <c r="DKH49" s="9"/>
      <c r="DKI49" s="9"/>
      <c r="DKJ49" s="9"/>
      <c r="DKK49" s="9"/>
      <c r="DKL49" s="9"/>
      <c r="DKM49" s="9"/>
      <c r="DKN49" s="9"/>
      <c r="DKO49" s="9"/>
      <c r="DKP49" s="9"/>
      <c r="DKQ49" s="9"/>
      <c r="DKR49" s="9"/>
      <c r="DKS49" s="9"/>
      <c r="DKT49" s="9"/>
      <c r="DKU49" s="9"/>
      <c r="DKV49" s="9"/>
      <c r="DKW49" s="9"/>
      <c r="DKX49" s="9"/>
      <c r="DKY49" s="9"/>
      <c r="DKZ49" s="9"/>
      <c r="DLA49" s="9"/>
      <c r="DLB49" s="9"/>
      <c r="DLC49" s="9"/>
      <c r="DLD49" s="9"/>
      <c r="DLE49" s="9"/>
      <c r="DLF49" s="9"/>
      <c r="DLG49" s="9"/>
      <c r="DLH49" s="9"/>
      <c r="DLI49" s="9"/>
      <c r="DLJ49" s="9"/>
      <c r="DLK49" s="9"/>
      <c r="DLL49" s="9"/>
      <c r="DLM49" s="9"/>
      <c r="DLN49" s="9"/>
      <c r="DLO49" s="9"/>
      <c r="DLP49" s="9"/>
      <c r="DLQ49" s="9"/>
      <c r="DLR49" s="9"/>
      <c r="DLS49" s="9"/>
      <c r="DLT49" s="9"/>
      <c r="DLU49" s="9"/>
      <c r="DLV49" s="9"/>
      <c r="DLW49" s="9"/>
      <c r="DLX49" s="9"/>
      <c r="DLY49" s="9"/>
      <c r="DLZ49" s="9"/>
      <c r="DMA49" s="9"/>
      <c r="DMB49" s="9"/>
      <c r="DMC49" s="9"/>
      <c r="DMD49" s="9"/>
      <c r="DME49" s="9"/>
      <c r="DMF49" s="9"/>
      <c r="DMG49" s="9"/>
      <c r="DMH49" s="9"/>
      <c r="DMI49" s="9"/>
      <c r="DMJ49" s="9"/>
      <c r="DMK49" s="9"/>
      <c r="DML49" s="9"/>
      <c r="DMM49" s="9"/>
      <c r="DMN49" s="9"/>
      <c r="DMO49" s="9"/>
      <c r="DMP49" s="9"/>
      <c r="DMQ49" s="9"/>
      <c r="DMR49" s="9"/>
      <c r="DMS49" s="9"/>
      <c r="DMT49" s="9"/>
      <c r="DMU49" s="9"/>
      <c r="DMV49" s="9"/>
      <c r="DMW49" s="9"/>
      <c r="DMX49" s="9"/>
      <c r="DMY49" s="9"/>
      <c r="DMZ49" s="9"/>
      <c r="DNA49" s="9"/>
      <c r="DNB49" s="9"/>
      <c r="DNC49" s="9"/>
      <c r="DND49" s="9"/>
      <c r="DNE49" s="9"/>
      <c r="DNF49" s="9"/>
      <c r="DNG49" s="9"/>
      <c r="DNH49" s="9"/>
      <c r="DNI49" s="9"/>
      <c r="DNJ49" s="9"/>
      <c r="DNK49" s="9"/>
      <c r="DNL49" s="9"/>
      <c r="DNM49" s="9"/>
      <c r="DNN49" s="9"/>
      <c r="DNO49" s="9"/>
      <c r="DNP49" s="9"/>
      <c r="DNQ49" s="9"/>
      <c r="DNR49" s="9"/>
      <c r="DNS49" s="9"/>
      <c r="DNT49" s="9"/>
      <c r="DNU49" s="9"/>
      <c r="DNV49" s="9"/>
      <c r="DNW49" s="9"/>
      <c r="DNX49" s="9"/>
      <c r="DNY49" s="9"/>
      <c r="DNZ49" s="9"/>
      <c r="DOA49" s="9"/>
      <c r="DOB49" s="9"/>
      <c r="DOC49" s="9"/>
      <c r="DOD49" s="9"/>
      <c r="DOE49" s="9"/>
      <c r="DOF49" s="9"/>
      <c r="DOG49" s="9"/>
      <c r="DOH49" s="9"/>
      <c r="DOI49" s="9"/>
      <c r="DOJ49" s="9"/>
      <c r="DOK49" s="9"/>
      <c r="DOL49" s="9"/>
      <c r="DOM49" s="9"/>
      <c r="DON49" s="9"/>
      <c r="DOO49" s="9"/>
      <c r="DOP49" s="9"/>
      <c r="DOQ49" s="9"/>
      <c r="DOR49" s="9"/>
      <c r="DOS49" s="9"/>
      <c r="DOT49" s="9"/>
      <c r="DOU49" s="9"/>
      <c r="DOV49" s="9"/>
      <c r="DOW49" s="9"/>
      <c r="DOX49" s="9"/>
      <c r="DOY49" s="9"/>
      <c r="DOZ49" s="9"/>
      <c r="DPA49" s="9"/>
      <c r="DPB49" s="9"/>
      <c r="DPC49" s="9"/>
      <c r="DPD49" s="9"/>
      <c r="DPE49" s="9"/>
      <c r="DPF49" s="9"/>
      <c r="DPG49" s="9"/>
      <c r="DPH49" s="9"/>
      <c r="DPI49" s="9"/>
      <c r="DPJ49" s="9"/>
      <c r="DPK49" s="9"/>
      <c r="DPL49" s="9"/>
      <c r="DPM49" s="9"/>
      <c r="DPN49" s="9"/>
      <c r="DPO49" s="9"/>
      <c r="DPP49" s="9"/>
      <c r="DPQ49" s="9"/>
      <c r="DPR49" s="9"/>
      <c r="DPS49" s="9"/>
      <c r="DPT49" s="9"/>
      <c r="DPU49" s="9"/>
      <c r="DPV49" s="9"/>
      <c r="DPW49" s="9"/>
      <c r="DPX49" s="9"/>
      <c r="DPY49" s="9"/>
      <c r="DPZ49" s="9"/>
      <c r="DQA49" s="9"/>
      <c r="DQB49" s="9"/>
      <c r="DQC49" s="9"/>
      <c r="DQD49" s="9"/>
      <c r="DQE49" s="9"/>
      <c r="DQF49" s="9"/>
      <c r="DQG49" s="9"/>
      <c r="DQH49" s="9"/>
      <c r="DQI49" s="9"/>
      <c r="DQJ49" s="9"/>
      <c r="DQK49" s="9"/>
      <c r="DQL49" s="9"/>
      <c r="DQM49" s="9"/>
      <c r="DQN49" s="9"/>
      <c r="DQO49" s="9"/>
      <c r="DQP49" s="9"/>
      <c r="DQQ49" s="9"/>
      <c r="DQR49" s="9"/>
      <c r="DQS49" s="9"/>
      <c r="DQT49" s="9"/>
      <c r="DQU49" s="9"/>
      <c r="DQV49" s="9"/>
      <c r="DQW49" s="9"/>
      <c r="DQX49" s="9"/>
      <c r="DQY49" s="9"/>
      <c r="DQZ49" s="9"/>
      <c r="DRA49" s="9"/>
      <c r="DRB49" s="9"/>
      <c r="DRC49" s="9"/>
      <c r="DRD49" s="9"/>
      <c r="DRE49" s="9"/>
      <c r="DRF49" s="9"/>
      <c r="DRG49" s="9"/>
      <c r="DRH49" s="9"/>
      <c r="DRI49" s="9"/>
      <c r="DRJ49" s="9"/>
      <c r="DRK49" s="9"/>
      <c r="DRL49" s="9"/>
      <c r="DRM49" s="9"/>
      <c r="DRN49" s="9"/>
      <c r="DRO49" s="9"/>
      <c r="DRP49" s="9"/>
      <c r="DRQ49" s="9"/>
      <c r="DRR49" s="9"/>
      <c r="DRS49" s="9"/>
      <c r="DRT49" s="9"/>
      <c r="DRU49" s="9"/>
      <c r="DRV49" s="9"/>
      <c r="DRW49" s="9"/>
      <c r="DRX49" s="9"/>
      <c r="DRY49" s="9"/>
      <c r="DRZ49" s="9"/>
      <c r="DSA49" s="9"/>
      <c r="DSB49" s="9"/>
      <c r="DSC49" s="9"/>
      <c r="DSD49" s="9"/>
      <c r="DSE49" s="9"/>
      <c r="DSF49" s="9"/>
      <c r="DSG49" s="9"/>
      <c r="DSH49" s="9"/>
      <c r="DSI49" s="9"/>
      <c r="DSJ49" s="9"/>
      <c r="DSK49" s="9"/>
      <c r="DSL49" s="9"/>
      <c r="DSM49" s="9"/>
      <c r="DSN49" s="9"/>
      <c r="DSO49" s="9"/>
      <c r="DSP49" s="9"/>
      <c r="DSQ49" s="9"/>
      <c r="DSR49" s="9"/>
      <c r="DSS49" s="9"/>
      <c r="DST49" s="9"/>
      <c r="DSU49" s="9"/>
      <c r="DSV49" s="9"/>
      <c r="DSW49" s="9"/>
      <c r="DSX49" s="9"/>
      <c r="DSY49" s="9"/>
      <c r="DSZ49" s="9"/>
      <c r="DTA49" s="9"/>
      <c r="DTB49" s="9"/>
      <c r="DTC49" s="9"/>
      <c r="DTD49" s="9"/>
      <c r="DTE49" s="9"/>
      <c r="DTF49" s="9"/>
      <c r="DTG49" s="9"/>
      <c r="DTH49" s="9"/>
      <c r="DTI49" s="9"/>
      <c r="DTJ49" s="9"/>
      <c r="DTK49" s="9"/>
      <c r="DTL49" s="9"/>
      <c r="DTM49" s="9"/>
      <c r="DTN49" s="9"/>
      <c r="DTO49" s="9"/>
      <c r="DTP49" s="9"/>
      <c r="DTQ49" s="9"/>
      <c r="DTR49" s="9"/>
      <c r="DTS49" s="9"/>
      <c r="DTT49" s="9"/>
      <c r="DTU49" s="9"/>
      <c r="DTV49" s="9"/>
      <c r="DTW49" s="9"/>
      <c r="DTX49" s="9"/>
      <c r="DTY49" s="9"/>
      <c r="DTZ49" s="9"/>
      <c r="DUA49" s="9"/>
      <c r="DUB49" s="9"/>
      <c r="DUC49" s="9"/>
      <c r="DUD49" s="9"/>
      <c r="DUE49" s="9"/>
      <c r="DUF49" s="9"/>
      <c r="DUG49" s="9"/>
      <c r="DUH49" s="9"/>
      <c r="DUI49" s="9"/>
      <c r="DUJ49" s="9"/>
      <c r="DUK49" s="9"/>
      <c r="DUL49" s="9"/>
      <c r="DUM49" s="9"/>
      <c r="DUN49" s="9"/>
      <c r="DUO49" s="9"/>
      <c r="DUP49" s="9"/>
      <c r="DUQ49" s="9"/>
      <c r="DUR49" s="9"/>
      <c r="DUS49" s="9"/>
      <c r="DUT49" s="9"/>
      <c r="DUU49" s="9"/>
      <c r="DUV49" s="9"/>
      <c r="DUW49" s="9"/>
      <c r="DUX49" s="9"/>
      <c r="DUY49" s="9"/>
      <c r="DUZ49" s="9"/>
      <c r="DVA49" s="9"/>
      <c r="DVB49" s="9"/>
      <c r="DVC49" s="9"/>
      <c r="DVD49" s="9"/>
      <c r="DVE49" s="9"/>
      <c r="DVF49" s="9"/>
      <c r="DVG49" s="9"/>
      <c r="DVH49" s="9"/>
      <c r="DVI49" s="9"/>
      <c r="DVJ49" s="9"/>
      <c r="DVK49" s="9"/>
      <c r="DVL49" s="9"/>
      <c r="DVM49" s="9"/>
      <c r="DVN49" s="9"/>
      <c r="DVO49" s="9"/>
      <c r="DVP49" s="9"/>
      <c r="DVQ49" s="9"/>
      <c r="DVR49" s="9"/>
      <c r="DVS49" s="9"/>
      <c r="DVT49" s="9"/>
      <c r="DVU49" s="9"/>
      <c r="DVV49" s="9"/>
      <c r="DVW49" s="9"/>
      <c r="DVX49" s="9"/>
      <c r="DVY49" s="9"/>
      <c r="DVZ49" s="9"/>
      <c r="DWA49" s="9"/>
      <c r="DWB49" s="9"/>
      <c r="DWC49" s="9"/>
      <c r="DWD49" s="9"/>
      <c r="DWE49" s="9"/>
      <c r="DWF49" s="9"/>
      <c r="DWG49" s="9"/>
      <c r="DWH49" s="9"/>
      <c r="DWI49" s="9"/>
      <c r="DWJ49" s="9"/>
      <c r="DWK49" s="9"/>
      <c r="DWL49" s="9"/>
      <c r="DWM49" s="9"/>
      <c r="DWN49" s="9"/>
      <c r="DWO49" s="9"/>
      <c r="DWP49" s="9"/>
      <c r="DWQ49" s="9"/>
      <c r="DWR49" s="9"/>
      <c r="DWS49" s="9"/>
      <c r="DWT49" s="9"/>
      <c r="DWU49" s="9"/>
      <c r="DWV49" s="9"/>
      <c r="DWW49" s="9"/>
      <c r="DWX49" s="9"/>
      <c r="DWY49" s="9"/>
      <c r="DWZ49" s="9"/>
      <c r="DXA49" s="9"/>
      <c r="DXB49" s="9"/>
      <c r="DXC49" s="9"/>
      <c r="DXD49" s="9"/>
      <c r="DXE49" s="9"/>
      <c r="DXF49" s="9"/>
      <c r="DXG49" s="9"/>
      <c r="DXH49" s="9"/>
      <c r="DXI49" s="9"/>
      <c r="DXJ49" s="9"/>
      <c r="DXK49" s="9"/>
      <c r="DXL49" s="9"/>
      <c r="DXM49" s="9"/>
      <c r="DXN49" s="9"/>
      <c r="DXO49" s="9"/>
      <c r="DXP49" s="9"/>
      <c r="DXQ49" s="9"/>
      <c r="DXR49" s="9"/>
      <c r="DXS49" s="9"/>
      <c r="DXT49" s="9"/>
      <c r="DXU49" s="9"/>
      <c r="DXV49" s="9"/>
      <c r="DXW49" s="9"/>
      <c r="DXX49" s="9"/>
      <c r="DXY49" s="9"/>
      <c r="DXZ49" s="9"/>
      <c r="DYA49" s="9"/>
      <c r="DYB49" s="9"/>
      <c r="DYC49" s="9"/>
      <c r="DYD49" s="9"/>
      <c r="DYE49" s="9"/>
      <c r="DYF49" s="9"/>
      <c r="DYG49" s="9"/>
      <c r="DYH49" s="9"/>
      <c r="DYI49" s="9"/>
      <c r="DYJ49" s="9"/>
      <c r="DYK49" s="9"/>
      <c r="DYL49" s="9"/>
      <c r="DYM49" s="9"/>
      <c r="DYN49" s="9"/>
      <c r="DYO49" s="9"/>
      <c r="DYP49" s="9"/>
      <c r="DYQ49" s="9"/>
      <c r="DYR49" s="9"/>
      <c r="DYS49" s="9"/>
      <c r="DYT49" s="9"/>
      <c r="DYU49" s="9"/>
      <c r="DYV49" s="9"/>
      <c r="DYW49" s="9"/>
      <c r="DYX49" s="9"/>
      <c r="DYY49" s="9"/>
      <c r="DYZ49" s="9"/>
      <c r="DZA49" s="9"/>
      <c r="DZB49" s="9"/>
      <c r="DZC49" s="9"/>
      <c r="DZD49" s="9"/>
      <c r="DZE49" s="9"/>
      <c r="DZF49" s="9"/>
      <c r="DZG49" s="9"/>
      <c r="DZH49" s="9"/>
      <c r="DZI49" s="9"/>
      <c r="DZJ49" s="9"/>
      <c r="DZK49" s="9"/>
      <c r="DZL49" s="9"/>
      <c r="DZM49" s="9"/>
      <c r="DZN49" s="9"/>
      <c r="DZO49" s="9"/>
      <c r="DZP49" s="9"/>
      <c r="DZQ49" s="9"/>
      <c r="DZR49" s="9"/>
      <c r="DZS49" s="9"/>
      <c r="DZT49" s="9"/>
      <c r="DZU49" s="9"/>
      <c r="DZV49" s="9"/>
      <c r="DZW49" s="9"/>
      <c r="DZX49" s="9"/>
      <c r="DZY49" s="9"/>
      <c r="DZZ49" s="9"/>
      <c r="EAA49" s="9"/>
      <c r="EAB49" s="9"/>
      <c r="EAC49" s="9"/>
      <c r="EAD49" s="9"/>
      <c r="EAE49" s="9"/>
      <c r="EAF49" s="9"/>
      <c r="EAG49" s="9"/>
      <c r="EAH49" s="9"/>
      <c r="EAI49" s="9"/>
      <c r="EAJ49" s="9"/>
      <c r="EAK49" s="9"/>
      <c r="EAL49" s="9"/>
      <c r="EAM49" s="9"/>
      <c r="EAN49" s="9"/>
      <c r="EAO49" s="9"/>
      <c r="EAP49" s="9"/>
      <c r="EAQ49" s="9"/>
      <c r="EAR49" s="9"/>
      <c r="EAS49" s="9"/>
      <c r="EAT49" s="9"/>
      <c r="EAU49" s="9"/>
      <c r="EAV49" s="9"/>
      <c r="EAW49" s="9"/>
      <c r="EAX49" s="9"/>
      <c r="EAY49" s="9"/>
      <c r="EAZ49" s="9"/>
      <c r="EBA49" s="9"/>
      <c r="EBB49" s="9"/>
      <c r="EBC49" s="9"/>
      <c r="EBD49" s="9"/>
      <c r="EBE49" s="9"/>
      <c r="EBF49" s="9"/>
      <c r="EBG49" s="9"/>
      <c r="EBH49" s="9"/>
      <c r="EBI49" s="9"/>
      <c r="EBJ49" s="9"/>
      <c r="EBK49" s="9"/>
      <c r="EBL49" s="9"/>
      <c r="EBM49" s="9"/>
      <c r="EBN49" s="9"/>
      <c r="EBO49" s="9"/>
      <c r="EBP49" s="9"/>
      <c r="EBQ49" s="9"/>
      <c r="EBR49" s="9"/>
      <c r="EBS49" s="9"/>
      <c r="EBT49" s="9"/>
      <c r="EBU49" s="9"/>
      <c r="EBV49" s="9"/>
      <c r="EBW49" s="9"/>
      <c r="EBX49" s="9"/>
      <c r="EBY49" s="9"/>
      <c r="EBZ49" s="9"/>
      <c r="ECA49" s="9"/>
      <c r="ECB49" s="9"/>
      <c r="ECC49" s="9"/>
      <c r="ECD49" s="9"/>
      <c r="ECE49" s="9"/>
      <c r="ECF49" s="9"/>
      <c r="ECG49" s="9"/>
      <c r="ECH49" s="9"/>
      <c r="ECI49" s="9"/>
      <c r="ECJ49" s="9"/>
      <c r="ECK49" s="9"/>
      <c r="ECL49" s="9"/>
      <c r="ECM49" s="9"/>
      <c r="ECN49" s="9"/>
      <c r="ECO49" s="9"/>
      <c r="ECP49" s="9"/>
      <c r="ECQ49" s="9"/>
      <c r="ECR49" s="9"/>
      <c r="ECS49" s="9"/>
      <c r="ECT49" s="9"/>
      <c r="ECU49" s="9"/>
      <c r="ECV49" s="9"/>
      <c r="ECW49" s="9"/>
      <c r="ECX49" s="9"/>
      <c r="ECY49" s="9"/>
      <c r="ECZ49" s="9"/>
      <c r="EDA49" s="9"/>
      <c r="EDB49" s="9"/>
      <c r="EDC49" s="9"/>
      <c r="EDD49" s="9"/>
      <c r="EDE49" s="9"/>
      <c r="EDF49" s="9"/>
      <c r="EDG49" s="9"/>
      <c r="EDH49" s="9"/>
      <c r="EDI49" s="9"/>
      <c r="EDJ49" s="9"/>
      <c r="EDK49" s="9"/>
      <c r="EDL49" s="9"/>
      <c r="EDM49" s="9"/>
      <c r="EDN49" s="9"/>
      <c r="EDO49" s="9"/>
      <c r="EDP49" s="9"/>
      <c r="EDQ49" s="9"/>
      <c r="EDR49" s="9"/>
      <c r="EDS49" s="9"/>
      <c r="EDT49" s="9"/>
      <c r="EDU49" s="9"/>
      <c r="EDV49" s="9"/>
      <c r="EDW49" s="9"/>
      <c r="EDX49" s="9"/>
      <c r="EDY49" s="9"/>
      <c r="EDZ49" s="9"/>
      <c r="EEA49" s="9"/>
      <c r="EEB49" s="9"/>
      <c r="EEC49" s="9"/>
      <c r="EED49" s="9"/>
      <c r="EEE49" s="9"/>
      <c r="EEF49" s="9"/>
      <c r="EEG49" s="9"/>
      <c r="EEH49" s="9"/>
      <c r="EEI49" s="9"/>
      <c r="EEJ49" s="9"/>
      <c r="EEK49" s="9"/>
      <c r="EEL49" s="9"/>
      <c r="EEM49" s="9"/>
      <c r="EEN49" s="9"/>
      <c r="EEO49" s="9"/>
      <c r="EEP49" s="9"/>
      <c r="EEQ49" s="9"/>
      <c r="EER49" s="9"/>
      <c r="EES49" s="9"/>
      <c r="EET49" s="9"/>
      <c r="EEU49" s="9"/>
      <c r="EEV49" s="9"/>
      <c r="EEW49" s="9"/>
      <c r="EEX49" s="9"/>
      <c r="EEY49" s="9"/>
      <c r="EEZ49" s="9"/>
      <c r="EFA49" s="9"/>
      <c r="EFB49" s="9"/>
      <c r="EFC49" s="9"/>
      <c r="EFD49" s="9"/>
      <c r="EFE49" s="9"/>
      <c r="EFF49" s="9"/>
      <c r="EFG49" s="9"/>
      <c r="EFH49" s="9"/>
      <c r="EFI49" s="9"/>
      <c r="EFJ49" s="9"/>
      <c r="EFK49" s="9"/>
      <c r="EFL49" s="9"/>
      <c r="EFM49" s="9"/>
      <c r="EFN49" s="9"/>
      <c r="EFO49" s="9"/>
      <c r="EFP49" s="9"/>
      <c r="EFQ49" s="9"/>
      <c r="EFR49" s="9"/>
      <c r="EFS49" s="9"/>
      <c r="EFT49" s="9"/>
      <c r="EFU49" s="9"/>
      <c r="EFV49" s="9"/>
      <c r="EFW49" s="9"/>
      <c r="EFX49" s="9"/>
      <c r="EFY49" s="9"/>
      <c r="EFZ49" s="9"/>
      <c r="EGA49" s="9"/>
      <c r="EGB49" s="9"/>
      <c r="EGC49" s="9"/>
      <c r="EGD49" s="9"/>
      <c r="EGE49" s="9"/>
      <c r="EGF49" s="9"/>
      <c r="EGG49" s="9"/>
      <c r="EGH49" s="9"/>
      <c r="EGI49" s="9"/>
      <c r="EGJ49" s="9"/>
      <c r="EGK49" s="9"/>
      <c r="EGL49" s="9"/>
      <c r="EGM49" s="9"/>
      <c r="EGN49" s="9"/>
      <c r="EGO49" s="9"/>
      <c r="EGP49" s="9"/>
      <c r="EGQ49" s="9"/>
      <c r="EGR49" s="9"/>
      <c r="EGS49" s="9"/>
      <c r="EGT49" s="9"/>
      <c r="EGU49" s="9"/>
      <c r="EGV49" s="9"/>
      <c r="EGW49" s="9"/>
      <c r="EGX49" s="9"/>
      <c r="EGY49" s="9"/>
      <c r="EGZ49" s="9"/>
      <c r="EHA49" s="9"/>
      <c r="EHB49" s="9"/>
      <c r="EHC49" s="9"/>
      <c r="EHD49" s="9"/>
      <c r="EHE49" s="9"/>
      <c r="EHF49" s="9"/>
      <c r="EHG49" s="9"/>
      <c r="EHH49" s="9"/>
      <c r="EHI49" s="9"/>
      <c r="EHJ49" s="9"/>
      <c r="EHK49" s="9"/>
      <c r="EHL49" s="9"/>
      <c r="EHM49" s="9"/>
      <c r="EHN49" s="9"/>
      <c r="EHO49" s="9"/>
      <c r="EHP49" s="9"/>
      <c r="EHQ49" s="9"/>
      <c r="EHR49" s="9"/>
      <c r="EHS49" s="9"/>
      <c r="EHT49" s="9"/>
      <c r="EHU49" s="9"/>
      <c r="EHV49" s="9"/>
      <c r="EHW49" s="9"/>
      <c r="EHX49" s="9"/>
      <c r="EHY49" s="9"/>
      <c r="EHZ49" s="9"/>
      <c r="EIA49" s="9"/>
      <c r="EIB49" s="9"/>
      <c r="EIC49" s="9"/>
      <c r="EID49" s="9"/>
      <c r="EIE49" s="9"/>
      <c r="EIF49" s="9"/>
      <c r="EIG49" s="9"/>
      <c r="EIH49" s="9"/>
      <c r="EII49" s="9"/>
      <c r="EIJ49" s="9"/>
      <c r="EIK49" s="9"/>
      <c r="EIL49" s="9"/>
      <c r="EIM49" s="9"/>
      <c r="EIN49" s="9"/>
      <c r="EIO49" s="9"/>
      <c r="EIP49" s="9"/>
      <c r="EIQ49" s="9"/>
      <c r="EIR49" s="9"/>
      <c r="EIS49" s="9"/>
      <c r="EIT49" s="9"/>
      <c r="EIU49" s="9"/>
      <c r="EIV49" s="9"/>
      <c r="EIW49" s="9"/>
      <c r="EIX49" s="9"/>
      <c r="EIY49" s="9"/>
      <c r="EIZ49" s="9"/>
      <c r="EJA49" s="9"/>
      <c r="EJB49" s="9"/>
      <c r="EJC49" s="9"/>
      <c r="EJD49" s="9"/>
      <c r="EJE49" s="9"/>
      <c r="EJF49" s="9"/>
      <c r="EJG49" s="9"/>
      <c r="EJH49" s="9"/>
      <c r="EJI49" s="9"/>
      <c r="EJJ49" s="9"/>
      <c r="EJK49" s="9"/>
      <c r="EJL49" s="9"/>
      <c r="EJM49" s="9"/>
      <c r="EJN49" s="9"/>
      <c r="EJO49" s="9"/>
      <c r="EJP49" s="9"/>
      <c r="EJQ49" s="9"/>
      <c r="EJR49" s="9"/>
      <c r="EJS49" s="9"/>
      <c r="EJT49" s="9"/>
      <c r="EJU49" s="9"/>
      <c r="EJV49" s="9"/>
      <c r="EJW49" s="9"/>
      <c r="EJX49" s="9"/>
      <c r="EJY49" s="9"/>
      <c r="EJZ49" s="9"/>
      <c r="EKA49" s="9"/>
      <c r="EKB49" s="9"/>
      <c r="EKC49" s="9"/>
      <c r="EKD49" s="9"/>
      <c r="EKE49" s="9"/>
      <c r="EKF49" s="9"/>
      <c r="EKG49" s="9"/>
      <c r="EKH49" s="9"/>
      <c r="EKI49" s="9"/>
      <c r="EKJ49" s="9"/>
      <c r="EKK49" s="9"/>
      <c r="EKL49" s="9"/>
      <c r="EKM49" s="9"/>
      <c r="EKN49" s="9"/>
      <c r="EKO49" s="9"/>
      <c r="EKP49" s="9"/>
      <c r="EKQ49" s="9"/>
      <c r="EKR49" s="9"/>
      <c r="EKS49" s="9"/>
      <c r="EKT49" s="9"/>
      <c r="EKU49" s="9"/>
      <c r="EKV49" s="9"/>
      <c r="EKW49" s="9"/>
      <c r="EKX49" s="9"/>
      <c r="EKY49" s="9"/>
      <c r="EKZ49" s="9"/>
      <c r="ELA49" s="9"/>
      <c r="ELB49" s="9"/>
      <c r="ELC49" s="9"/>
      <c r="ELD49" s="9"/>
      <c r="ELE49" s="9"/>
      <c r="ELF49" s="9"/>
      <c r="ELG49" s="9"/>
      <c r="ELH49" s="9"/>
      <c r="ELI49" s="9"/>
      <c r="ELJ49" s="9"/>
      <c r="ELK49" s="9"/>
      <c r="ELL49" s="9"/>
      <c r="ELM49" s="9"/>
      <c r="ELN49" s="9"/>
      <c r="ELO49" s="9"/>
      <c r="ELP49" s="9"/>
      <c r="ELQ49" s="9"/>
      <c r="ELR49" s="9"/>
      <c r="ELS49" s="9"/>
      <c r="ELT49" s="9"/>
      <c r="ELU49" s="9"/>
      <c r="ELV49" s="9"/>
      <c r="ELW49" s="9"/>
      <c r="ELX49" s="9"/>
      <c r="ELY49" s="9"/>
      <c r="ELZ49" s="9"/>
      <c r="EMA49" s="9"/>
      <c r="EMB49" s="9"/>
      <c r="EMC49" s="9"/>
      <c r="EMD49" s="9"/>
      <c r="EME49" s="9"/>
      <c r="EMF49" s="9"/>
      <c r="EMG49" s="9"/>
      <c r="EMH49" s="9"/>
      <c r="EMI49" s="9"/>
      <c r="EMJ49" s="9"/>
      <c r="EMK49" s="9"/>
      <c r="EML49" s="9"/>
      <c r="EMM49" s="9"/>
      <c r="EMN49" s="9"/>
      <c r="EMO49" s="9"/>
      <c r="EMP49" s="9"/>
      <c r="EMQ49" s="9"/>
      <c r="EMR49" s="9"/>
      <c r="EMS49" s="9"/>
      <c r="EMT49" s="9"/>
      <c r="EMU49" s="9"/>
      <c r="EMV49" s="9"/>
      <c r="EMW49" s="9"/>
      <c r="EMX49" s="9"/>
      <c r="EMY49" s="9"/>
      <c r="EMZ49" s="9"/>
      <c r="ENA49" s="9"/>
      <c r="ENB49" s="9"/>
      <c r="ENC49" s="9"/>
      <c r="END49" s="9"/>
      <c r="ENE49" s="9"/>
      <c r="ENF49" s="9"/>
      <c r="ENG49" s="9"/>
      <c r="ENH49" s="9"/>
      <c r="ENI49" s="9"/>
      <c r="ENJ49" s="9"/>
      <c r="ENK49" s="9"/>
      <c r="ENL49" s="9"/>
      <c r="ENM49" s="9"/>
      <c r="ENN49" s="9"/>
      <c r="ENO49" s="9"/>
      <c r="ENP49" s="9"/>
      <c r="ENQ49" s="9"/>
      <c r="ENR49" s="9"/>
      <c r="ENS49" s="9"/>
      <c r="ENT49" s="9"/>
      <c r="ENU49" s="9"/>
      <c r="ENV49" s="9"/>
      <c r="ENW49" s="9"/>
      <c r="ENX49" s="9"/>
      <c r="ENY49" s="9"/>
      <c r="ENZ49" s="9"/>
      <c r="EOA49" s="9"/>
      <c r="EOB49" s="9"/>
      <c r="EOC49" s="9"/>
      <c r="EOD49" s="9"/>
      <c r="EOE49" s="9"/>
      <c r="EOF49" s="9"/>
      <c r="EOG49" s="9"/>
      <c r="EOH49" s="9"/>
      <c r="EOI49" s="9"/>
      <c r="EOJ49" s="9"/>
      <c r="EOK49" s="9"/>
      <c r="EOL49" s="9"/>
      <c r="EOM49" s="9"/>
      <c r="EON49" s="9"/>
      <c r="EOO49" s="9"/>
      <c r="EOP49" s="9"/>
      <c r="EOQ49" s="9"/>
      <c r="EOR49" s="9"/>
      <c r="EOS49" s="9"/>
      <c r="EOT49" s="9"/>
      <c r="EOU49" s="9"/>
      <c r="EOV49" s="9"/>
      <c r="EOW49" s="9"/>
      <c r="EOX49" s="9"/>
      <c r="EOY49" s="9"/>
      <c r="EOZ49" s="9"/>
      <c r="EPA49" s="9"/>
      <c r="EPB49" s="9"/>
      <c r="EPC49" s="9"/>
      <c r="EPD49" s="9"/>
      <c r="EPE49" s="9"/>
      <c r="EPF49" s="9"/>
      <c r="EPG49" s="9"/>
      <c r="EPH49" s="9"/>
      <c r="EPI49" s="9"/>
      <c r="EPJ49" s="9"/>
      <c r="EPK49" s="9"/>
      <c r="EPL49" s="9"/>
      <c r="EPM49" s="9"/>
      <c r="EPN49" s="9"/>
      <c r="EPO49" s="9"/>
      <c r="EPP49" s="9"/>
      <c r="EPQ49" s="9"/>
      <c r="EPR49" s="9"/>
      <c r="EPS49" s="9"/>
      <c r="EPT49" s="9"/>
      <c r="EPU49" s="9"/>
      <c r="EPV49" s="9"/>
      <c r="EPW49" s="9"/>
      <c r="EPX49" s="9"/>
      <c r="EPY49" s="9"/>
      <c r="EPZ49" s="9"/>
      <c r="EQA49" s="9"/>
      <c r="EQB49" s="9"/>
      <c r="EQC49" s="9"/>
      <c r="EQD49" s="9"/>
      <c r="EQE49" s="9"/>
      <c r="EQF49" s="9"/>
      <c r="EQG49" s="9"/>
      <c r="EQH49" s="9"/>
      <c r="EQI49" s="9"/>
      <c r="EQJ49" s="9"/>
      <c r="EQK49" s="9"/>
      <c r="EQL49" s="9"/>
      <c r="EQM49" s="9"/>
      <c r="EQN49" s="9"/>
      <c r="EQO49" s="9"/>
      <c r="EQP49" s="9"/>
      <c r="EQQ49" s="9"/>
      <c r="EQR49" s="9"/>
      <c r="EQS49" s="9"/>
      <c r="EQT49" s="9"/>
      <c r="EQU49" s="9"/>
      <c r="EQV49" s="9"/>
      <c r="EQW49" s="9"/>
      <c r="EQX49" s="9"/>
      <c r="EQY49" s="9"/>
      <c r="EQZ49" s="9"/>
      <c r="ERA49" s="9"/>
      <c r="ERB49" s="9"/>
      <c r="ERC49" s="9"/>
      <c r="ERD49" s="9"/>
      <c r="ERE49" s="9"/>
      <c r="ERF49" s="9"/>
      <c r="ERG49" s="9"/>
      <c r="ERH49" s="9"/>
      <c r="ERI49" s="9"/>
      <c r="ERJ49" s="9"/>
      <c r="ERK49" s="9"/>
      <c r="ERL49" s="9"/>
      <c r="ERM49" s="9"/>
      <c r="ERN49" s="9"/>
      <c r="ERO49" s="9"/>
      <c r="ERP49" s="9"/>
      <c r="ERQ49" s="9"/>
      <c r="ERR49" s="9"/>
      <c r="ERS49" s="9"/>
      <c r="ERT49" s="9"/>
      <c r="ERU49" s="9"/>
      <c r="ERV49" s="9"/>
      <c r="ERW49" s="9"/>
      <c r="ERX49" s="9"/>
      <c r="ERY49" s="9"/>
      <c r="ERZ49" s="9"/>
      <c r="ESA49" s="9"/>
      <c r="ESB49" s="9"/>
      <c r="ESC49" s="9"/>
      <c r="ESD49" s="9"/>
      <c r="ESE49" s="9"/>
      <c r="ESF49" s="9"/>
      <c r="ESG49" s="9"/>
      <c r="ESH49" s="9"/>
      <c r="ESI49" s="9"/>
      <c r="ESJ49" s="9"/>
      <c r="ESK49" s="9"/>
      <c r="ESL49" s="9"/>
      <c r="ESM49" s="9"/>
      <c r="ESN49" s="9"/>
      <c r="ESO49" s="9"/>
      <c r="ESP49" s="9"/>
      <c r="ESQ49" s="9"/>
      <c r="ESR49" s="9"/>
      <c r="ESS49" s="9"/>
      <c r="EST49" s="9"/>
      <c r="ESU49" s="9"/>
      <c r="ESV49" s="9"/>
      <c r="ESW49" s="9"/>
      <c r="ESX49" s="9"/>
      <c r="ESY49" s="9"/>
      <c r="ESZ49" s="9"/>
      <c r="ETA49" s="9"/>
      <c r="ETB49" s="9"/>
      <c r="ETC49" s="9"/>
      <c r="ETD49" s="9"/>
      <c r="ETE49" s="9"/>
      <c r="ETF49" s="9"/>
      <c r="ETG49" s="9"/>
      <c r="ETH49" s="9"/>
      <c r="ETI49" s="9"/>
      <c r="ETJ49" s="9"/>
      <c r="ETK49" s="9"/>
      <c r="ETL49" s="9"/>
      <c r="ETM49" s="9"/>
      <c r="ETN49" s="9"/>
      <c r="ETO49" s="9"/>
      <c r="ETP49" s="9"/>
      <c r="ETQ49" s="9"/>
      <c r="ETR49" s="9"/>
      <c r="ETS49" s="9"/>
      <c r="ETT49" s="9"/>
      <c r="ETU49" s="9"/>
      <c r="ETV49" s="9"/>
      <c r="ETW49" s="9"/>
      <c r="ETX49" s="9"/>
      <c r="ETY49" s="9"/>
      <c r="ETZ49" s="9"/>
      <c r="EUA49" s="9"/>
      <c r="EUB49" s="9"/>
      <c r="EUC49" s="9"/>
      <c r="EUD49" s="9"/>
      <c r="EUE49" s="9"/>
      <c r="EUF49" s="9"/>
      <c r="EUG49" s="9"/>
      <c r="EUH49" s="9"/>
      <c r="EUI49" s="9"/>
      <c r="EUJ49" s="9"/>
      <c r="EUK49" s="9"/>
      <c r="EUL49" s="9"/>
      <c r="EUM49" s="9"/>
      <c r="EUN49" s="9"/>
      <c r="EUO49" s="9"/>
      <c r="EUP49" s="9"/>
      <c r="EUQ49" s="9"/>
      <c r="EUR49" s="9"/>
      <c r="EUS49" s="9"/>
      <c r="EUT49" s="9"/>
      <c r="EUU49" s="9"/>
      <c r="EUV49" s="9"/>
      <c r="EUW49" s="9"/>
      <c r="EUX49" s="9"/>
      <c r="EUY49" s="9"/>
      <c r="EUZ49" s="9"/>
      <c r="EVA49" s="9"/>
      <c r="EVB49" s="9"/>
      <c r="EVC49" s="9"/>
      <c r="EVD49" s="9"/>
      <c r="EVE49" s="9"/>
      <c r="EVF49" s="9"/>
      <c r="EVG49" s="9"/>
      <c r="EVH49" s="9"/>
      <c r="EVI49" s="9"/>
      <c r="EVJ49" s="9"/>
      <c r="EVK49" s="9"/>
      <c r="EVL49" s="9"/>
      <c r="EVM49" s="9"/>
      <c r="EVN49" s="9"/>
      <c r="EVO49" s="9"/>
      <c r="EVP49" s="9"/>
      <c r="EVQ49" s="9"/>
      <c r="EVR49" s="9"/>
      <c r="EVS49" s="9"/>
      <c r="EVT49" s="9"/>
      <c r="EVU49" s="9"/>
      <c r="EVV49" s="9"/>
      <c r="EVW49" s="9"/>
      <c r="EVX49" s="9"/>
      <c r="EVY49" s="9"/>
      <c r="EVZ49" s="9"/>
      <c r="EWA49" s="9"/>
      <c r="EWB49" s="9"/>
      <c r="EWC49" s="9"/>
      <c r="EWD49" s="9"/>
      <c r="EWE49" s="9"/>
      <c r="EWF49" s="9"/>
      <c r="EWG49" s="9"/>
      <c r="EWH49" s="9"/>
      <c r="EWI49" s="9"/>
      <c r="EWJ49" s="9"/>
      <c r="EWK49" s="9"/>
      <c r="EWL49" s="9"/>
      <c r="EWM49" s="9"/>
      <c r="EWN49" s="9"/>
      <c r="EWO49" s="9"/>
      <c r="EWP49" s="9"/>
      <c r="EWQ49" s="9"/>
      <c r="EWR49" s="9"/>
      <c r="EWS49" s="9"/>
      <c r="EWT49" s="9"/>
      <c r="EWU49" s="9"/>
      <c r="EWV49" s="9"/>
      <c r="EWW49" s="9"/>
      <c r="EWX49" s="9"/>
      <c r="EWY49" s="9"/>
      <c r="EWZ49" s="9"/>
      <c r="EXA49" s="9"/>
      <c r="EXB49" s="9"/>
      <c r="EXC49" s="9"/>
      <c r="EXD49" s="9"/>
      <c r="EXE49" s="9"/>
      <c r="EXF49" s="9"/>
      <c r="EXG49" s="9"/>
      <c r="EXH49" s="9"/>
      <c r="EXI49" s="9"/>
      <c r="EXJ49" s="9"/>
      <c r="EXK49" s="9"/>
      <c r="EXL49" s="9"/>
      <c r="EXM49" s="9"/>
      <c r="EXN49" s="9"/>
      <c r="EXO49" s="9"/>
      <c r="EXP49" s="9"/>
      <c r="EXQ49" s="9"/>
      <c r="EXR49" s="9"/>
      <c r="EXS49" s="9"/>
      <c r="EXT49" s="9"/>
      <c r="EXU49" s="9"/>
      <c r="EXV49" s="9"/>
      <c r="EXW49" s="9"/>
      <c r="EXX49" s="9"/>
      <c r="EXY49" s="9"/>
      <c r="EXZ49" s="9"/>
      <c r="EYA49" s="9"/>
      <c r="EYB49" s="9"/>
      <c r="EYC49" s="9"/>
      <c r="EYD49" s="9"/>
      <c r="EYE49" s="9"/>
      <c r="EYF49" s="9"/>
      <c r="EYG49" s="9"/>
      <c r="EYH49" s="9"/>
      <c r="EYI49" s="9"/>
      <c r="EYJ49" s="9"/>
      <c r="EYK49" s="9"/>
      <c r="EYL49" s="9"/>
      <c r="EYM49" s="9"/>
      <c r="EYN49" s="9"/>
      <c r="EYO49" s="9"/>
      <c r="EYP49" s="9"/>
      <c r="EYQ49" s="9"/>
      <c r="EYR49" s="9"/>
      <c r="EYS49" s="9"/>
      <c r="EYT49" s="9"/>
      <c r="EYU49" s="9"/>
      <c r="EYV49" s="9"/>
      <c r="EYW49" s="9"/>
      <c r="EYX49" s="9"/>
      <c r="EYY49" s="9"/>
      <c r="EYZ49" s="9"/>
      <c r="EZA49" s="9"/>
      <c r="EZB49" s="9"/>
      <c r="EZC49" s="9"/>
      <c r="EZD49" s="9"/>
      <c r="EZE49" s="9"/>
      <c r="EZF49" s="9"/>
      <c r="EZG49" s="9"/>
      <c r="EZH49" s="9"/>
      <c r="EZI49" s="9"/>
      <c r="EZJ49" s="9"/>
      <c r="EZK49" s="9"/>
      <c r="EZL49" s="9"/>
      <c r="EZM49" s="9"/>
      <c r="EZN49" s="9"/>
      <c r="EZO49" s="9"/>
      <c r="EZP49" s="9"/>
      <c r="EZQ49" s="9"/>
      <c r="EZR49" s="9"/>
      <c r="EZS49" s="9"/>
      <c r="EZT49" s="9"/>
      <c r="EZU49" s="9"/>
      <c r="EZV49" s="9"/>
      <c r="EZW49" s="9"/>
      <c r="EZX49" s="9"/>
      <c r="EZY49" s="9"/>
      <c r="EZZ49" s="9"/>
      <c r="FAA49" s="9"/>
      <c r="FAB49" s="9"/>
      <c r="FAC49" s="9"/>
      <c r="FAD49" s="9"/>
      <c r="FAE49" s="9"/>
      <c r="FAF49" s="9"/>
      <c r="FAG49" s="9"/>
      <c r="FAH49" s="9"/>
      <c r="FAI49" s="9"/>
      <c r="FAJ49" s="9"/>
      <c r="FAK49" s="9"/>
      <c r="FAL49" s="9"/>
      <c r="FAM49" s="9"/>
      <c r="FAN49" s="9"/>
      <c r="FAO49" s="9"/>
      <c r="FAP49" s="9"/>
      <c r="FAQ49" s="9"/>
      <c r="FAR49" s="9"/>
      <c r="FAS49" s="9"/>
      <c r="FAT49" s="9"/>
      <c r="FAU49" s="9"/>
      <c r="FAV49" s="9"/>
      <c r="FAW49" s="9"/>
      <c r="FAX49" s="9"/>
      <c r="FAY49" s="9"/>
      <c r="FAZ49" s="9"/>
      <c r="FBA49" s="9"/>
      <c r="FBB49" s="9"/>
      <c r="FBC49" s="9"/>
      <c r="FBD49" s="9"/>
      <c r="FBE49" s="9"/>
      <c r="FBF49" s="9"/>
      <c r="FBG49" s="9"/>
      <c r="FBH49" s="9"/>
      <c r="FBI49" s="9"/>
      <c r="FBJ49" s="9"/>
      <c r="FBK49" s="9"/>
      <c r="FBL49" s="9"/>
      <c r="FBM49" s="9"/>
      <c r="FBN49" s="9"/>
      <c r="FBO49" s="9"/>
      <c r="FBP49" s="9"/>
      <c r="FBQ49" s="9"/>
      <c r="FBR49" s="9"/>
      <c r="FBS49" s="9"/>
      <c r="FBT49" s="9"/>
      <c r="FBU49" s="9"/>
      <c r="FBV49" s="9"/>
      <c r="FBW49" s="9"/>
      <c r="FBX49" s="9"/>
      <c r="FBY49" s="9"/>
      <c r="FBZ49" s="9"/>
      <c r="FCA49" s="9"/>
      <c r="FCB49" s="9"/>
      <c r="FCC49" s="9"/>
      <c r="FCD49" s="9"/>
      <c r="FCE49" s="9"/>
      <c r="FCF49" s="9"/>
      <c r="FCG49" s="9"/>
      <c r="FCH49" s="9"/>
      <c r="FCI49" s="9"/>
      <c r="FCJ49" s="9"/>
      <c r="FCK49" s="9"/>
      <c r="FCL49" s="9"/>
      <c r="FCM49" s="9"/>
      <c r="FCN49" s="9"/>
      <c r="FCO49" s="9"/>
      <c r="FCP49" s="9"/>
      <c r="FCQ49" s="9"/>
      <c r="FCR49" s="9"/>
      <c r="FCS49" s="9"/>
      <c r="FCT49" s="9"/>
      <c r="FCU49" s="9"/>
      <c r="FCV49" s="9"/>
      <c r="FCW49" s="9"/>
      <c r="FCX49" s="9"/>
      <c r="FCY49" s="9"/>
      <c r="FCZ49" s="9"/>
      <c r="FDA49" s="9"/>
      <c r="FDB49" s="9"/>
      <c r="FDC49" s="9"/>
      <c r="FDD49" s="9"/>
      <c r="FDE49" s="9"/>
      <c r="FDF49" s="9"/>
      <c r="FDG49" s="9"/>
      <c r="FDH49" s="9"/>
      <c r="FDI49" s="9"/>
      <c r="FDJ49" s="9"/>
      <c r="FDK49" s="9"/>
      <c r="FDL49" s="9"/>
      <c r="FDM49" s="9"/>
      <c r="FDN49" s="9"/>
      <c r="FDO49" s="9"/>
      <c r="FDP49" s="9"/>
      <c r="FDQ49" s="9"/>
      <c r="FDR49" s="9"/>
      <c r="FDS49" s="9"/>
      <c r="FDT49" s="9"/>
      <c r="FDU49" s="9"/>
      <c r="FDV49" s="9"/>
      <c r="FDW49" s="9"/>
      <c r="FDX49" s="9"/>
      <c r="FDY49" s="9"/>
      <c r="FDZ49" s="9"/>
      <c r="FEA49" s="9"/>
      <c r="FEB49" s="9"/>
      <c r="FEC49" s="9"/>
      <c r="FED49" s="9"/>
      <c r="FEE49" s="9"/>
      <c r="FEF49" s="9"/>
      <c r="FEG49" s="9"/>
      <c r="FEH49" s="9"/>
      <c r="FEI49" s="9"/>
      <c r="FEJ49" s="9"/>
      <c r="FEK49" s="9"/>
      <c r="FEL49" s="9"/>
      <c r="FEM49" s="9"/>
      <c r="FEN49" s="9"/>
      <c r="FEO49" s="9"/>
      <c r="FEP49" s="9"/>
      <c r="FEQ49" s="9"/>
      <c r="FER49" s="9"/>
      <c r="FES49" s="9"/>
      <c r="FET49" s="9"/>
      <c r="FEU49" s="9"/>
      <c r="FEV49" s="9"/>
      <c r="FEW49" s="9"/>
      <c r="FEX49" s="9"/>
      <c r="FEY49" s="9"/>
      <c r="FEZ49" s="9"/>
      <c r="FFA49" s="9"/>
      <c r="FFB49" s="9"/>
      <c r="FFC49" s="9"/>
      <c r="FFD49" s="9"/>
      <c r="FFE49" s="9"/>
      <c r="FFF49" s="9"/>
      <c r="FFG49" s="9"/>
      <c r="FFH49" s="9"/>
      <c r="FFI49" s="9"/>
      <c r="FFJ49" s="9"/>
      <c r="FFK49" s="9"/>
      <c r="FFL49" s="9"/>
      <c r="FFM49" s="9"/>
      <c r="FFN49" s="9"/>
      <c r="FFO49" s="9"/>
      <c r="FFP49" s="9"/>
      <c r="FFQ49" s="9"/>
      <c r="FFR49" s="9"/>
      <c r="FFS49" s="9"/>
      <c r="FFT49" s="9"/>
      <c r="FFU49" s="9"/>
      <c r="FFV49" s="9"/>
      <c r="FFW49" s="9"/>
      <c r="FFX49" s="9"/>
      <c r="FFY49" s="9"/>
      <c r="FFZ49" s="9"/>
      <c r="FGA49" s="9"/>
      <c r="FGB49" s="9"/>
      <c r="FGC49" s="9"/>
      <c r="FGD49" s="9"/>
      <c r="FGE49" s="9"/>
      <c r="FGF49" s="9"/>
      <c r="FGG49" s="9"/>
      <c r="FGH49" s="9"/>
      <c r="FGI49" s="9"/>
      <c r="FGJ49" s="9"/>
      <c r="FGK49" s="9"/>
      <c r="FGL49" s="9"/>
      <c r="FGM49" s="9"/>
      <c r="FGN49" s="9"/>
      <c r="FGO49" s="9"/>
      <c r="FGP49" s="9"/>
      <c r="FGQ49" s="9"/>
      <c r="FGR49" s="9"/>
      <c r="FGS49" s="9"/>
      <c r="FGT49" s="9"/>
      <c r="FGU49" s="9"/>
      <c r="FGV49" s="9"/>
      <c r="FGW49" s="9"/>
      <c r="FGX49" s="9"/>
      <c r="FGY49" s="9"/>
      <c r="FGZ49" s="9"/>
      <c r="FHA49" s="9"/>
      <c r="FHB49" s="9"/>
      <c r="FHC49" s="9"/>
      <c r="FHD49" s="9"/>
      <c r="FHE49" s="9"/>
      <c r="FHF49" s="9"/>
      <c r="FHG49" s="9"/>
      <c r="FHH49" s="9"/>
      <c r="FHI49" s="9"/>
      <c r="FHJ49" s="9"/>
      <c r="FHK49" s="9"/>
      <c r="FHL49" s="9"/>
      <c r="FHM49" s="9"/>
      <c r="FHN49" s="9"/>
      <c r="FHO49" s="9"/>
      <c r="FHP49" s="9"/>
      <c r="FHQ49" s="9"/>
      <c r="FHR49" s="9"/>
      <c r="FHS49" s="9"/>
      <c r="FHT49" s="9"/>
      <c r="FHU49" s="9"/>
      <c r="FHV49" s="9"/>
      <c r="FHW49" s="9"/>
      <c r="FHX49" s="9"/>
      <c r="FHY49" s="9"/>
      <c r="FHZ49" s="9"/>
      <c r="FIA49" s="9"/>
      <c r="FIB49" s="9"/>
      <c r="FIC49" s="9"/>
      <c r="FID49" s="9"/>
      <c r="FIE49" s="9"/>
      <c r="FIF49" s="9"/>
      <c r="FIG49" s="9"/>
      <c r="FIH49" s="9"/>
      <c r="FII49" s="9"/>
      <c r="FIJ49" s="9"/>
      <c r="FIK49" s="9"/>
      <c r="FIL49" s="9"/>
      <c r="FIM49" s="9"/>
      <c r="FIN49" s="9"/>
      <c r="FIO49" s="9"/>
      <c r="FIP49" s="9"/>
      <c r="FIQ49" s="9"/>
      <c r="FIR49" s="9"/>
      <c r="FIS49" s="9"/>
      <c r="FIT49" s="9"/>
      <c r="FIU49" s="9"/>
      <c r="FIV49" s="9"/>
      <c r="FIW49" s="9"/>
      <c r="FIX49" s="9"/>
      <c r="FIY49" s="9"/>
      <c r="FIZ49" s="9"/>
      <c r="FJA49" s="9"/>
      <c r="FJB49" s="9"/>
      <c r="FJC49" s="9"/>
      <c r="FJD49" s="9"/>
      <c r="FJE49" s="9"/>
      <c r="FJF49" s="9"/>
      <c r="FJG49" s="9"/>
      <c r="FJH49" s="9"/>
      <c r="FJI49" s="9"/>
      <c r="FJJ49" s="9"/>
      <c r="FJK49" s="9"/>
      <c r="FJL49" s="9"/>
      <c r="FJM49" s="9"/>
      <c r="FJN49" s="9"/>
      <c r="FJO49" s="9"/>
      <c r="FJP49" s="9"/>
      <c r="FJQ49" s="9"/>
      <c r="FJR49" s="9"/>
      <c r="FJS49" s="9"/>
      <c r="FJT49" s="9"/>
      <c r="FJU49" s="9"/>
      <c r="FJV49" s="9"/>
      <c r="FJW49" s="9"/>
      <c r="FJX49" s="9"/>
      <c r="FJY49" s="9"/>
      <c r="FJZ49" s="9"/>
      <c r="FKA49" s="9"/>
      <c r="FKB49" s="9"/>
      <c r="FKC49" s="9"/>
      <c r="FKD49" s="9"/>
      <c r="FKE49" s="9"/>
      <c r="FKF49" s="9"/>
      <c r="FKG49" s="9"/>
      <c r="FKH49" s="9"/>
      <c r="FKI49" s="9"/>
      <c r="FKJ49" s="9"/>
      <c r="FKK49" s="9"/>
      <c r="FKL49" s="9"/>
      <c r="FKM49" s="9"/>
      <c r="FKN49" s="9"/>
      <c r="FKO49" s="9"/>
      <c r="FKP49" s="9"/>
      <c r="FKQ49" s="9"/>
      <c r="FKR49" s="9"/>
      <c r="FKS49" s="9"/>
      <c r="FKT49" s="9"/>
      <c r="FKU49" s="9"/>
      <c r="FKV49" s="9"/>
      <c r="FKW49" s="9"/>
      <c r="FKX49" s="9"/>
      <c r="FKY49" s="9"/>
      <c r="FKZ49" s="9"/>
      <c r="FLA49" s="9"/>
      <c r="FLB49" s="9"/>
      <c r="FLC49" s="9"/>
      <c r="FLD49" s="9"/>
      <c r="FLE49" s="9"/>
      <c r="FLF49" s="9"/>
      <c r="FLG49" s="9"/>
      <c r="FLH49" s="9"/>
      <c r="FLI49" s="9"/>
      <c r="FLJ49" s="9"/>
      <c r="FLK49" s="9"/>
      <c r="FLL49" s="9"/>
      <c r="FLM49" s="9"/>
      <c r="FLN49" s="9"/>
      <c r="FLO49" s="9"/>
      <c r="FLP49" s="9"/>
      <c r="FLQ49" s="9"/>
      <c r="FLR49" s="9"/>
      <c r="FLS49" s="9"/>
      <c r="FLT49" s="9"/>
      <c r="FLU49" s="9"/>
      <c r="FLV49" s="9"/>
      <c r="FLW49" s="9"/>
      <c r="FLX49" s="9"/>
      <c r="FLY49" s="9"/>
      <c r="FLZ49" s="9"/>
      <c r="FMA49" s="9"/>
      <c r="FMB49" s="9"/>
      <c r="FMC49" s="9"/>
      <c r="FMD49" s="9"/>
      <c r="FME49" s="9"/>
      <c r="FMF49" s="9"/>
      <c r="FMG49" s="9"/>
      <c r="FMH49" s="9"/>
      <c r="FMI49" s="9"/>
      <c r="FMJ49" s="9"/>
      <c r="FMK49" s="9"/>
      <c r="FML49" s="9"/>
      <c r="FMM49" s="9"/>
      <c r="FMN49" s="9"/>
      <c r="FMO49" s="9"/>
      <c r="FMP49" s="9"/>
      <c r="FMQ49" s="9"/>
      <c r="FMR49" s="9"/>
      <c r="FMS49" s="9"/>
      <c r="FMT49" s="9"/>
      <c r="FMU49" s="9"/>
      <c r="FMV49" s="9"/>
      <c r="FMW49" s="9"/>
      <c r="FMX49" s="9"/>
      <c r="FMY49" s="9"/>
      <c r="FMZ49" s="9"/>
      <c r="FNA49" s="9"/>
      <c r="FNB49" s="9"/>
      <c r="FNC49" s="9"/>
      <c r="FND49" s="9"/>
      <c r="FNE49" s="9"/>
      <c r="FNF49" s="9"/>
      <c r="FNG49" s="9"/>
      <c r="FNH49" s="9"/>
      <c r="FNI49" s="9"/>
      <c r="FNJ49" s="9"/>
      <c r="FNK49" s="9"/>
      <c r="FNL49" s="9"/>
      <c r="FNM49" s="9"/>
      <c r="FNN49" s="9"/>
      <c r="FNO49" s="9"/>
      <c r="FNP49" s="9"/>
      <c r="FNQ49" s="9"/>
      <c r="FNR49" s="9"/>
      <c r="FNS49" s="9"/>
      <c r="FNT49" s="9"/>
      <c r="FNU49" s="9"/>
      <c r="FNV49" s="9"/>
      <c r="FNW49" s="9"/>
      <c r="FNX49" s="9"/>
      <c r="FNY49" s="9"/>
      <c r="FNZ49" s="9"/>
      <c r="FOA49" s="9"/>
      <c r="FOB49" s="9"/>
      <c r="FOC49" s="9"/>
      <c r="FOD49" s="9"/>
      <c r="FOE49" s="9"/>
      <c r="FOF49" s="9"/>
      <c r="FOG49" s="9"/>
      <c r="FOH49" s="9"/>
      <c r="FOI49" s="9"/>
      <c r="FOJ49" s="9"/>
      <c r="FOK49" s="9"/>
      <c r="FOL49" s="9"/>
      <c r="FOM49" s="9"/>
      <c r="FON49" s="9"/>
      <c r="FOO49" s="9"/>
      <c r="FOP49" s="9"/>
      <c r="FOQ49" s="9"/>
      <c r="FOR49" s="9"/>
      <c r="FOS49" s="9"/>
      <c r="FOT49" s="9"/>
      <c r="FOU49" s="9"/>
      <c r="FOV49" s="9"/>
      <c r="FOW49" s="9"/>
      <c r="FOX49" s="9"/>
      <c r="FOY49" s="9"/>
      <c r="FOZ49" s="9"/>
      <c r="FPA49" s="9"/>
      <c r="FPB49" s="9"/>
      <c r="FPC49" s="9"/>
      <c r="FPD49" s="9"/>
      <c r="FPE49" s="9"/>
      <c r="FPF49" s="9"/>
      <c r="FPG49" s="9"/>
      <c r="FPH49" s="9"/>
      <c r="FPI49" s="9"/>
      <c r="FPJ49" s="9"/>
      <c r="FPK49" s="9"/>
      <c r="FPL49" s="9"/>
      <c r="FPM49" s="9"/>
      <c r="FPN49" s="9"/>
      <c r="FPO49" s="9"/>
      <c r="FPP49" s="9"/>
      <c r="FPQ49" s="9"/>
      <c r="FPR49" s="9"/>
      <c r="FPS49" s="9"/>
      <c r="FPT49" s="9"/>
      <c r="FPU49" s="9"/>
      <c r="FPV49" s="9"/>
      <c r="FPW49" s="9"/>
      <c r="FPX49" s="9"/>
      <c r="FPY49" s="9"/>
      <c r="FPZ49" s="9"/>
      <c r="FQA49" s="9"/>
      <c r="FQB49" s="9"/>
      <c r="FQC49" s="9"/>
      <c r="FQD49" s="9"/>
      <c r="FQE49" s="9"/>
      <c r="FQF49" s="9"/>
      <c r="FQG49" s="9"/>
      <c r="FQH49" s="9"/>
      <c r="FQI49" s="9"/>
      <c r="FQJ49" s="9"/>
      <c r="FQK49" s="9"/>
      <c r="FQL49" s="9"/>
      <c r="FQM49" s="9"/>
      <c r="FQN49" s="9"/>
      <c r="FQO49" s="9"/>
      <c r="FQP49" s="9"/>
      <c r="FQQ49" s="9"/>
      <c r="FQR49" s="9"/>
      <c r="FQS49" s="9"/>
      <c r="FQT49" s="9"/>
      <c r="FQU49" s="9"/>
      <c r="FQV49" s="9"/>
      <c r="FQW49" s="9"/>
      <c r="FQX49" s="9"/>
      <c r="FQY49" s="9"/>
      <c r="FQZ49" s="9"/>
      <c r="FRA49" s="9"/>
      <c r="FRB49" s="9"/>
      <c r="FRC49" s="9"/>
      <c r="FRD49" s="9"/>
      <c r="FRE49" s="9"/>
      <c r="FRF49" s="9"/>
      <c r="FRG49" s="9"/>
      <c r="FRH49" s="9"/>
      <c r="FRI49" s="9"/>
      <c r="FRJ49" s="9"/>
      <c r="FRK49" s="9"/>
      <c r="FRL49" s="9"/>
      <c r="FRM49" s="9"/>
      <c r="FRN49" s="9"/>
      <c r="FRO49" s="9"/>
      <c r="FRP49" s="9"/>
      <c r="FRQ49" s="9"/>
      <c r="FRR49" s="9"/>
      <c r="FRS49" s="9"/>
      <c r="FRT49" s="9"/>
      <c r="FRU49" s="9"/>
      <c r="FRV49" s="9"/>
      <c r="FRW49" s="9"/>
      <c r="FRX49" s="9"/>
      <c r="FRY49" s="9"/>
      <c r="FRZ49" s="9"/>
      <c r="FSA49" s="9"/>
      <c r="FSB49" s="9"/>
      <c r="FSC49" s="9"/>
      <c r="FSD49" s="9"/>
      <c r="FSE49" s="9"/>
      <c r="FSF49" s="9"/>
      <c r="FSG49" s="9"/>
      <c r="FSH49" s="9"/>
      <c r="FSI49" s="9"/>
      <c r="FSJ49" s="9"/>
      <c r="FSK49" s="9"/>
      <c r="FSL49" s="9"/>
      <c r="FSM49" s="9"/>
      <c r="FSN49" s="9"/>
      <c r="FSO49" s="9"/>
      <c r="FSP49" s="9"/>
      <c r="FSQ49" s="9"/>
      <c r="FSR49" s="9"/>
      <c r="FSS49" s="9"/>
      <c r="FST49" s="9"/>
      <c r="FSU49" s="9"/>
      <c r="FSV49" s="9"/>
      <c r="FSW49" s="9"/>
      <c r="FSX49" s="9"/>
      <c r="FSY49" s="9"/>
      <c r="FSZ49" s="9"/>
      <c r="FTA49" s="9"/>
      <c r="FTB49" s="9"/>
      <c r="FTC49" s="9"/>
      <c r="FTD49" s="9"/>
      <c r="FTE49" s="9"/>
      <c r="FTF49" s="9"/>
      <c r="FTG49" s="9"/>
      <c r="FTH49" s="9"/>
      <c r="FTI49" s="9"/>
      <c r="FTJ49" s="9"/>
      <c r="FTK49" s="9"/>
      <c r="FTL49" s="9"/>
      <c r="FTM49" s="9"/>
      <c r="FTN49" s="9"/>
      <c r="FTO49" s="9"/>
      <c r="FTP49" s="9"/>
      <c r="FTQ49" s="9"/>
      <c r="FTR49" s="9"/>
      <c r="FTS49" s="9"/>
      <c r="FTT49" s="9"/>
      <c r="FTU49" s="9"/>
      <c r="FTV49" s="9"/>
      <c r="FTW49" s="9"/>
      <c r="FTX49" s="9"/>
      <c r="FTY49" s="9"/>
      <c r="FTZ49" s="9"/>
      <c r="FUA49" s="9"/>
      <c r="FUB49" s="9"/>
      <c r="FUC49" s="9"/>
      <c r="FUD49" s="9"/>
      <c r="FUE49" s="9"/>
      <c r="FUF49" s="9"/>
      <c r="FUG49" s="9"/>
      <c r="FUH49" s="9"/>
      <c r="FUI49" s="9"/>
      <c r="FUJ49" s="9"/>
      <c r="FUK49" s="9"/>
      <c r="FUL49" s="9"/>
      <c r="FUM49" s="9"/>
      <c r="FUN49" s="9"/>
      <c r="FUO49" s="9"/>
      <c r="FUP49" s="9"/>
      <c r="FUQ49" s="9"/>
      <c r="FUR49" s="9"/>
      <c r="FUS49" s="9"/>
      <c r="FUT49" s="9"/>
      <c r="FUU49" s="9"/>
      <c r="FUV49" s="9"/>
      <c r="FUW49" s="9"/>
      <c r="FUX49" s="9"/>
      <c r="FUY49" s="9"/>
      <c r="FUZ49" s="9"/>
      <c r="FVA49" s="9"/>
      <c r="FVB49" s="9"/>
      <c r="FVC49" s="9"/>
      <c r="FVD49" s="9"/>
      <c r="FVE49" s="9"/>
      <c r="FVF49" s="9"/>
      <c r="FVG49" s="9"/>
      <c r="FVH49" s="9"/>
      <c r="FVI49" s="9"/>
      <c r="FVJ49" s="9"/>
      <c r="FVK49" s="9"/>
      <c r="FVL49" s="9"/>
      <c r="FVM49" s="9"/>
      <c r="FVN49" s="9"/>
      <c r="FVO49" s="9"/>
      <c r="FVP49" s="9"/>
      <c r="FVQ49" s="9"/>
      <c r="FVR49" s="9"/>
      <c r="FVS49" s="9"/>
      <c r="FVT49" s="9"/>
      <c r="FVU49" s="9"/>
      <c r="FVV49" s="9"/>
      <c r="FVW49" s="9"/>
      <c r="FVX49" s="9"/>
      <c r="FVY49" s="9"/>
      <c r="FVZ49" s="9"/>
      <c r="FWA49" s="9"/>
      <c r="FWB49" s="9"/>
      <c r="FWC49" s="9"/>
      <c r="FWD49" s="9"/>
      <c r="FWE49" s="9"/>
      <c r="FWF49" s="9"/>
      <c r="FWG49" s="9"/>
      <c r="FWH49" s="9"/>
      <c r="FWI49" s="9"/>
      <c r="FWJ49" s="9"/>
      <c r="FWK49" s="9"/>
      <c r="FWL49" s="9"/>
      <c r="FWM49" s="9"/>
      <c r="FWN49" s="9"/>
      <c r="FWO49" s="9"/>
      <c r="FWP49" s="9"/>
      <c r="FWQ49" s="9"/>
      <c r="FWR49" s="9"/>
      <c r="FWS49" s="9"/>
      <c r="FWT49" s="9"/>
      <c r="FWU49" s="9"/>
      <c r="FWV49" s="9"/>
      <c r="FWW49" s="9"/>
      <c r="FWX49" s="9"/>
      <c r="FWY49" s="9"/>
      <c r="FWZ49" s="9"/>
      <c r="FXA49" s="9"/>
      <c r="FXB49" s="9"/>
      <c r="FXC49" s="9"/>
      <c r="FXD49" s="9"/>
      <c r="FXE49" s="9"/>
      <c r="FXF49" s="9"/>
      <c r="FXG49" s="9"/>
      <c r="FXH49" s="9"/>
      <c r="FXI49" s="9"/>
      <c r="FXJ49" s="9"/>
      <c r="FXK49" s="9"/>
      <c r="FXL49" s="9"/>
      <c r="FXM49" s="9"/>
      <c r="FXN49" s="9"/>
      <c r="FXO49" s="9"/>
      <c r="FXP49" s="9"/>
      <c r="FXQ49" s="9"/>
      <c r="FXR49" s="9"/>
      <c r="FXS49" s="9"/>
      <c r="FXT49" s="9"/>
      <c r="FXU49" s="9"/>
      <c r="FXV49" s="9"/>
      <c r="FXW49" s="9"/>
      <c r="FXX49" s="9"/>
      <c r="FXY49" s="9"/>
      <c r="FXZ49" s="9"/>
      <c r="FYA49" s="9"/>
      <c r="FYB49" s="9"/>
      <c r="FYC49" s="9"/>
      <c r="FYD49" s="9"/>
      <c r="FYE49" s="9"/>
      <c r="FYF49" s="9"/>
      <c r="FYG49" s="9"/>
      <c r="FYH49" s="9"/>
      <c r="FYI49" s="9"/>
      <c r="FYJ49" s="9"/>
      <c r="FYK49" s="9"/>
      <c r="FYL49" s="9"/>
      <c r="FYM49" s="9"/>
      <c r="FYN49" s="9"/>
      <c r="FYO49" s="9"/>
      <c r="FYP49" s="9"/>
      <c r="FYQ49" s="9"/>
      <c r="FYR49" s="9"/>
      <c r="FYS49" s="9"/>
      <c r="FYT49" s="9"/>
      <c r="FYU49" s="9"/>
      <c r="FYV49" s="9"/>
      <c r="FYW49" s="9"/>
      <c r="FYX49" s="9"/>
      <c r="FYY49" s="9"/>
      <c r="FYZ49" s="9"/>
      <c r="FZA49" s="9"/>
      <c r="FZB49" s="9"/>
      <c r="FZC49" s="9"/>
      <c r="FZD49" s="9"/>
      <c r="FZE49" s="9"/>
      <c r="FZF49" s="9"/>
      <c r="FZG49" s="9"/>
      <c r="FZH49" s="9"/>
      <c r="FZI49" s="9"/>
      <c r="FZJ49" s="9"/>
      <c r="FZK49" s="9"/>
      <c r="FZL49" s="9"/>
      <c r="FZM49" s="9"/>
      <c r="FZN49" s="9"/>
      <c r="FZO49" s="9"/>
      <c r="FZP49" s="9"/>
      <c r="FZQ49" s="9"/>
      <c r="FZR49" s="9"/>
      <c r="FZS49" s="9"/>
      <c r="FZT49" s="9"/>
      <c r="FZU49" s="9"/>
      <c r="FZV49" s="9"/>
      <c r="FZW49" s="9"/>
      <c r="FZX49" s="9"/>
      <c r="FZY49" s="9"/>
      <c r="FZZ49" s="9"/>
      <c r="GAA49" s="9"/>
      <c r="GAB49" s="9"/>
      <c r="GAC49" s="9"/>
      <c r="GAD49" s="9"/>
      <c r="GAE49" s="9"/>
      <c r="GAF49" s="9"/>
      <c r="GAG49" s="9"/>
      <c r="GAH49" s="9"/>
      <c r="GAI49" s="9"/>
      <c r="GAJ49" s="9"/>
      <c r="GAK49" s="9"/>
      <c r="GAL49" s="9"/>
      <c r="GAM49" s="9"/>
      <c r="GAN49" s="9"/>
      <c r="GAO49" s="9"/>
      <c r="GAP49" s="9"/>
      <c r="GAQ49" s="9"/>
      <c r="GAR49" s="9"/>
      <c r="GAS49" s="9"/>
      <c r="GAT49" s="9"/>
      <c r="GAU49" s="9"/>
      <c r="GAV49" s="9"/>
      <c r="GAW49" s="9"/>
      <c r="GAX49" s="9"/>
      <c r="GAY49" s="9"/>
      <c r="GAZ49" s="9"/>
      <c r="GBA49" s="9"/>
      <c r="GBB49" s="9"/>
      <c r="GBC49" s="9"/>
      <c r="GBD49" s="9"/>
      <c r="GBE49" s="9"/>
      <c r="GBF49" s="9"/>
      <c r="GBG49" s="9"/>
      <c r="GBH49" s="9"/>
      <c r="GBI49" s="9"/>
      <c r="GBJ49" s="9"/>
      <c r="GBK49" s="9"/>
      <c r="GBL49" s="9"/>
      <c r="GBM49" s="9"/>
      <c r="GBN49" s="9"/>
      <c r="GBO49" s="9"/>
      <c r="GBP49" s="9"/>
      <c r="GBQ49" s="9"/>
      <c r="GBR49" s="9"/>
      <c r="GBS49" s="9"/>
      <c r="GBT49" s="9"/>
      <c r="GBU49" s="9"/>
      <c r="GBV49" s="9"/>
      <c r="GBW49" s="9"/>
      <c r="GBX49" s="9"/>
      <c r="GBY49" s="9"/>
      <c r="GBZ49" s="9"/>
      <c r="GCA49" s="9"/>
      <c r="GCB49" s="9"/>
      <c r="GCC49" s="9"/>
      <c r="GCD49" s="9"/>
      <c r="GCE49" s="9"/>
      <c r="GCF49" s="9"/>
      <c r="GCG49" s="9"/>
      <c r="GCH49" s="9"/>
      <c r="GCI49" s="9"/>
      <c r="GCJ49" s="9"/>
      <c r="GCK49" s="9"/>
      <c r="GCL49" s="9"/>
      <c r="GCM49" s="9"/>
      <c r="GCN49" s="9"/>
      <c r="GCO49" s="9"/>
      <c r="GCP49" s="9"/>
      <c r="GCQ49" s="9"/>
      <c r="GCR49" s="9"/>
      <c r="GCS49" s="9"/>
      <c r="GCT49" s="9"/>
      <c r="GCU49" s="9"/>
      <c r="GCV49" s="9"/>
      <c r="GCW49" s="9"/>
      <c r="GCX49" s="9"/>
      <c r="GCY49" s="9"/>
      <c r="GCZ49" s="9"/>
      <c r="GDA49" s="9"/>
      <c r="GDB49" s="9"/>
      <c r="GDC49" s="9"/>
      <c r="GDD49" s="9"/>
      <c r="GDE49" s="9"/>
      <c r="GDF49" s="9"/>
      <c r="GDG49" s="9"/>
      <c r="GDH49" s="9"/>
      <c r="GDI49" s="9"/>
      <c r="GDJ49" s="9"/>
      <c r="GDK49" s="9"/>
      <c r="GDL49" s="9"/>
      <c r="GDM49" s="9"/>
      <c r="GDN49" s="9"/>
      <c r="GDO49" s="9"/>
      <c r="GDP49" s="9"/>
      <c r="GDQ49" s="9"/>
      <c r="GDR49" s="9"/>
      <c r="GDS49" s="9"/>
      <c r="GDT49" s="9"/>
      <c r="GDU49" s="9"/>
      <c r="GDV49" s="9"/>
      <c r="GDW49" s="9"/>
      <c r="GDX49" s="9"/>
      <c r="GDY49" s="9"/>
      <c r="GDZ49" s="9"/>
      <c r="GEA49" s="9"/>
      <c r="GEB49" s="9"/>
      <c r="GEC49" s="9"/>
      <c r="GED49" s="9"/>
      <c r="GEE49" s="9"/>
      <c r="GEF49" s="9"/>
      <c r="GEG49" s="9"/>
      <c r="GEH49" s="9"/>
      <c r="GEI49" s="9"/>
      <c r="GEJ49" s="9"/>
      <c r="GEK49" s="9"/>
      <c r="GEL49" s="9"/>
      <c r="GEM49" s="9"/>
      <c r="GEN49" s="9"/>
      <c r="GEO49" s="9"/>
      <c r="GEP49" s="9"/>
      <c r="GEQ49" s="9"/>
      <c r="GER49" s="9"/>
      <c r="GES49" s="9"/>
      <c r="GET49" s="9"/>
      <c r="GEU49" s="9"/>
      <c r="GEV49" s="9"/>
      <c r="GEW49" s="9"/>
      <c r="GEX49" s="9"/>
      <c r="GEY49" s="9"/>
      <c r="GEZ49" s="9"/>
      <c r="GFA49" s="9"/>
      <c r="GFB49" s="9"/>
      <c r="GFC49" s="9"/>
      <c r="GFD49" s="9"/>
      <c r="GFE49" s="9"/>
      <c r="GFF49" s="9"/>
      <c r="GFG49" s="9"/>
      <c r="GFH49" s="9"/>
      <c r="GFI49" s="9"/>
      <c r="GFJ49" s="9"/>
      <c r="GFK49" s="9"/>
      <c r="GFL49" s="9"/>
      <c r="GFM49" s="9"/>
      <c r="GFN49" s="9"/>
      <c r="GFO49" s="9"/>
      <c r="GFP49" s="9"/>
      <c r="GFQ49" s="9"/>
      <c r="GFR49" s="9"/>
      <c r="GFS49" s="9"/>
      <c r="GFT49" s="9"/>
      <c r="GFU49" s="9"/>
      <c r="GFV49" s="9"/>
      <c r="GFW49" s="9"/>
      <c r="GFX49" s="9"/>
      <c r="GFY49" s="9"/>
      <c r="GFZ49" s="9"/>
      <c r="GGA49" s="9"/>
      <c r="GGB49" s="9"/>
      <c r="GGC49" s="9"/>
      <c r="GGD49" s="9"/>
      <c r="GGE49" s="9"/>
      <c r="GGF49" s="9"/>
      <c r="GGG49" s="9"/>
      <c r="GGH49" s="9"/>
      <c r="GGI49" s="9"/>
      <c r="GGJ49" s="9"/>
      <c r="GGK49" s="9"/>
      <c r="GGL49" s="9"/>
      <c r="GGM49" s="9"/>
      <c r="GGN49" s="9"/>
      <c r="GGO49" s="9"/>
      <c r="GGP49" s="9"/>
      <c r="GGQ49" s="9"/>
      <c r="GGR49" s="9"/>
      <c r="GGS49" s="9"/>
      <c r="GGT49" s="9"/>
      <c r="GGU49" s="9"/>
      <c r="GGV49" s="9"/>
      <c r="GGW49" s="9"/>
      <c r="GGX49" s="9"/>
      <c r="GGY49" s="9"/>
      <c r="GGZ49" s="9"/>
      <c r="GHA49" s="9"/>
      <c r="GHB49" s="9"/>
      <c r="GHC49" s="9"/>
      <c r="GHD49" s="9"/>
      <c r="GHE49" s="9"/>
      <c r="GHF49" s="9"/>
      <c r="GHG49" s="9"/>
      <c r="GHH49" s="9"/>
      <c r="GHI49" s="9"/>
      <c r="GHJ49" s="9"/>
      <c r="GHK49" s="9"/>
      <c r="GHL49" s="9"/>
      <c r="GHM49" s="9"/>
      <c r="GHN49" s="9"/>
      <c r="GHO49" s="9"/>
      <c r="GHP49" s="9"/>
      <c r="GHQ49" s="9"/>
      <c r="GHR49" s="9"/>
      <c r="GHS49" s="9"/>
      <c r="GHT49" s="9"/>
      <c r="GHU49" s="9"/>
      <c r="GHV49" s="9"/>
      <c r="GHW49" s="9"/>
      <c r="GHX49" s="9"/>
      <c r="GHY49" s="9"/>
      <c r="GHZ49" s="9"/>
      <c r="GIA49" s="9"/>
      <c r="GIB49" s="9"/>
      <c r="GIC49" s="9"/>
      <c r="GID49" s="9"/>
      <c r="GIE49" s="9"/>
      <c r="GIF49" s="9"/>
      <c r="GIG49" s="9"/>
      <c r="GIH49" s="9"/>
      <c r="GII49" s="9"/>
      <c r="GIJ49" s="9"/>
      <c r="GIK49" s="9"/>
      <c r="GIL49" s="9"/>
      <c r="GIM49" s="9"/>
      <c r="GIN49" s="9"/>
      <c r="GIO49" s="9"/>
      <c r="GIP49" s="9"/>
      <c r="GIQ49" s="9"/>
      <c r="GIR49" s="9"/>
      <c r="GIS49" s="9"/>
      <c r="GIT49" s="9"/>
      <c r="GIU49" s="9"/>
      <c r="GIV49" s="9"/>
      <c r="GIW49" s="9"/>
      <c r="GIX49" s="9"/>
      <c r="GIY49" s="9"/>
      <c r="GIZ49" s="9"/>
      <c r="GJA49" s="9"/>
      <c r="GJB49" s="9"/>
      <c r="GJC49" s="9"/>
      <c r="GJD49" s="9"/>
      <c r="GJE49" s="9"/>
      <c r="GJF49" s="9"/>
      <c r="GJG49" s="9"/>
      <c r="GJH49" s="9"/>
      <c r="GJI49" s="9"/>
      <c r="GJJ49" s="9"/>
      <c r="GJK49" s="9"/>
      <c r="GJL49" s="9"/>
      <c r="GJM49" s="9"/>
      <c r="GJN49" s="9"/>
      <c r="GJO49" s="9"/>
      <c r="GJP49" s="9"/>
      <c r="GJQ49" s="9"/>
      <c r="GJR49" s="9"/>
      <c r="GJS49" s="9"/>
      <c r="GJT49" s="9"/>
      <c r="GJU49" s="9"/>
      <c r="GJV49" s="9"/>
      <c r="GJW49" s="9"/>
      <c r="GJX49" s="9"/>
      <c r="GJY49" s="9"/>
      <c r="GJZ49" s="9"/>
      <c r="GKA49" s="9"/>
      <c r="GKB49" s="9"/>
      <c r="GKC49" s="9"/>
      <c r="GKD49" s="9"/>
      <c r="GKE49" s="9"/>
      <c r="GKF49" s="9"/>
      <c r="GKG49" s="9"/>
      <c r="GKH49" s="9"/>
      <c r="GKI49" s="9"/>
      <c r="GKJ49" s="9"/>
      <c r="GKK49" s="9"/>
      <c r="GKL49" s="9"/>
      <c r="GKM49" s="9"/>
      <c r="GKN49" s="9"/>
      <c r="GKO49" s="9"/>
      <c r="GKP49" s="9"/>
      <c r="GKQ49" s="9"/>
      <c r="GKR49" s="9"/>
      <c r="GKS49" s="9"/>
      <c r="GKT49" s="9"/>
      <c r="GKU49" s="9"/>
      <c r="GKV49" s="9"/>
      <c r="GKW49" s="9"/>
      <c r="GKX49" s="9"/>
      <c r="GKY49" s="9"/>
      <c r="GKZ49" s="9"/>
      <c r="GLA49" s="9"/>
      <c r="GLB49" s="9"/>
      <c r="GLC49" s="9"/>
      <c r="GLD49" s="9"/>
      <c r="GLE49" s="9"/>
      <c r="GLF49" s="9"/>
      <c r="GLG49" s="9"/>
      <c r="GLH49" s="9"/>
      <c r="GLI49" s="9"/>
      <c r="GLJ49" s="9"/>
      <c r="GLK49" s="9"/>
      <c r="GLL49" s="9"/>
      <c r="GLM49" s="9"/>
      <c r="GLN49" s="9"/>
      <c r="GLO49" s="9"/>
      <c r="GLP49" s="9"/>
      <c r="GLQ49" s="9"/>
      <c r="GLR49" s="9"/>
      <c r="GLS49" s="9"/>
      <c r="GLT49" s="9"/>
      <c r="GLU49" s="9"/>
      <c r="GLV49" s="9"/>
      <c r="GLW49" s="9"/>
      <c r="GLX49" s="9"/>
      <c r="GLY49" s="9"/>
      <c r="GLZ49" s="9"/>
      <c r="GMA49" s="9"/>
      <c r="GMB49" s="9"/>
      <c r="GMC49" s="9"/>
      <c r="GMD49" s="9"/>
      <c r="GME49" s="9"/>
      <c r="GMF49" s="9"/>
      <c r="GMG49" s="9"/>
      <c r="GMH49" s="9"/>
      <c r="GMI49" s="9"/>
      <c r="GMJ49" s="9"/>
      <c r="GMK49" s="9"/>
      <c r="GML49" s="9"/>
      <c r="GMM49" s="9"/>
      <c r="GMN49" s="9"/>
      <c r="GMO49" s="9"/>
      <c r="GMP49" s="9"/>
      <c r="GMQ49" s="9"/>
      <c r="GMR49" s="9"/>
      <c r="GMS49" s="9"/>
      <c r="GMT49" s="9"/>
      <c r="GMU49" s="9"/>
      <c r="GMV49" s="9"/>
      <c r="GMW49" s="9"/>
      <c r="GMX49" s="9"/>
      <c r="GMY49" s="9"/>
      <c r="GMZ49" s="9"/>
      <c r="GNA49" s="9"/>
      <c r="GNB49" s="9"/>
      <c r="GNC49" s="9"/>
      <c r="GND49" s="9"/>
      <c r="GNE49" s="9"/>
      <c r="GNF49" s="9"/>
      <c r="GNG49" s="9"/>
      <c r="GNH49" s="9"/>
      <c r="GNI49" s="9"/>
      <c r="GNJ49" s="9"/>
      <c r="GNK49" s="9"/>
      <c r="GNL49" s="9"/>
      <c r="GNM49" s="9"/>
      <c r="GNN49" s="9"/>
      <c r="GNO49" s="9"/>
      <c r="GNP49" s="9"/>
      <c r="GNQ49" s="9"/>
      <c r="GNR49" s="9"/>
      <c r="GNS49" s="9"/>
      <c r="GNT49" s="9"/>
      <c r="GNU49" s="9"/>
      <c r="GNV49" s="9"/>
      <c r="GNW49" s="9"/>
      <c r="GNX49" s="9"/>
      <c r="GNY49" s="9"/>
      <c r="GNZ49" s="9"/>
      <c r="GOA49" s="9"/>
      <c r="GOB49" s="9"/>
      <c r="GOC49" s="9"/>
      <c r="GOD49" s="9"/>
      <c r="GOE49" s="9"/>
      <c r="GOF49" s="9"/>
      <c r="GOG49" s="9"/>
      <c r="GOH49" s="9"/>
      <c r="GOI49" s="9"/>
      <c r="GOJ49" s="9"/>
      <c r="GOK49" s="9"/>
      <c r="GOL49" s="9"/>
      <c r="GOM49" s="9"/>
      <c r="GON49" s="9"/>
      <c r="GOO49" s="9"/>
      <c r="GOP49" s="9"/>
      <c r="GOQ49" s="9"/>
      <c r="GOR49" s="9"/>
      <c r="GOS49" s="9"/>
      <c r="GOT49" s="9"/>
      <c r="GOU49" s="9"/>
      <c r="GOV49" s="9"/>
      <c r="GOW49" s="9"/>
      <c r="GOX49" s="9"/>
      <c r="GOY49" s="9"/>
      <c r="GOZ49" s="9"/>
      <c r="GPA49" s="9"/>
      <c r="GPB49" s="9"/>
      <c r="GPC49" s="9"/>
      <c r="GPD49" s="9"/>
      <c r="GPE49" s="9"/>
      <c r="GPF49" s="9"/>
      <c r="GPG49" s="9"/>
      <c r="GPH49" s="9"/>
      <c r="GPI49" s="9"/>
      <c r="GPJ49" s="9"/>
      <c r="GPK49" s="9"/>
      <c r="GPL49" s="9"/>
      <c r="GPM49" s="9"/>
      <c r="GPN49" s="9"/>
      <c r="GPO49" s="9"/>
      <c r="GPP49" s="9"/>
      <c r="GPQ49" s="9"/>
      <c r="GPR49" s="9"/>
      <c r="GPS49" s="9"/>
      <c r="GPT49" s="9"/>
      <c r="GPU49" s="9"/>
      <c r="GPV49" s="9"/>
      <c r="GPW49" s="9"/>
      <c r="GPX49" s="9"/>
      <c r="GPY49" s="9"/>
      <c r="GPZ49" s="9"/>
      <c r="GQA49" s="9"/>
      <c r="GQB49" s="9"/>
      <c r="GQC49" s="9"/>
      <c r="GQD49" s="9"/>
      <c r="GQE49" s="9"/>
      <c r="GQF49" s="9"/>
      <c r="GQG49" s="9"/>
      <c r="GQH49" s="9"/>
      <c r="GQI49" s="9"/>
      <c r="GQJ49" s="9"/>
      <c r="GQK49" s="9"/>
      <c r="GQL49" s="9"/>
      <c r="GQM49" s="9"/>
      <c r="GQN49" s="9"/>
      <c r="GQO49" s="9"/>
      <c r="GQP49" s="9"/>
      <c r="GQQ49" s="9"/>
      <c r="GQR49" s="9"/>
      <c r="GQS49" s="9"/>
      <c r="GQT49" s="9"/>
      <c r="GQU49" s="9"/>
      <c r="GQV49" s="9"/>
      <c r="GQW49" s="9"/>
      <c r="GQX49" s="9"/>
      <c r="GQY49" s="9"/>
      <c r="GQZ49" s="9"/>
      <c r="GRA49" s="9"/>
      <c r="GRB49" s="9"/>
      <c r="GRC49" s="9"/>
      <c r="GRD49" s="9"/>
      <c r="GRE49" s="9"/>
      <c r="GRF49" s="9"/>
      <c r="GRG49" s="9"/>
      <c r="GRH49" s="9"/>
      <c r="GRI49" s="9"/>
      <c r="GRJ49" s="9"/>
      <c r="GRK49" s="9"/>
      <c r="GRL49" s="9"/>
      <c r="GRM49" s="9"/>
      <c r="GRN49" s="9"/>
      <c r="GRO49" s="9"/>
      <c r="GRP49" s="9"/>
      <c r="GRQ49" s="9"/>
      <c r="GRR49" s="9"/>
      <c r="GRS49" s="9"/>
      <c r="GRT49" s="9"/>
      <c r="GRU49" s="9"/>
      <c r="GRV49" s="9"/>
      <c r="GRW49" s="9"/>
      <c r="GRX49" s="9"/>
      <c r="GRY49" s="9"/>
      <c r="GRZ49" s="9"/>
      <c r="GSA49" s="9"/>
      <c r="GSB49" s="9"/>
      <c r="GSC49" s="9"/>
      <c r="GSD49" s="9"/>
      <c r="GSE49" s="9"/>
      <c r="GSF49" s="9"/>
      <c r="GSG49" s="9"/>
      <c r="GSH49" s="9"/>
      <c r="GSI49" s="9"/>
      <c r="GSJ49" s="9"/>
      <c r="GSK49" s="9"/>
      <c r="GSL49" s="9"/>
      <c r="GSM49" s="9"/>
      <c r="GSN49" s="9"/>
      <c r="GSO49" s="9"/>
      <c r="GSP49" s="9"/>
      <c r="GSQ49" s="9"/>
      <c r="GSR49" s="9"/>
      <c r="GSS49" s="9"/>
      <c r="GST49" s="9"/>
      <c r="GSU49" s="9"/>
      <c r="GSV49" s="9"/>
      <c r="GSW49" s="9"/>
      <c r="GSX49" s="9"/>
      <c r="GSY49" s="9"/>
      <c r="GSZ49" s="9"/>
      <c r="GTA49" s="9"/>
      <c r="GTB49" s="9"/>
      <c r="GTC49" s="9"/>
      <c r="GTD49" s="9"/>
      <c r="GTE49" s="9"/>
      <c r="GTF49" s="9"/>
      <c r="GTG49" s="9"/>
      <c r="GTH49" s="9"/>
      <c r="GTI49" s="9"/>
      <c r="GTJ49" s="9"/>
      <c r="GTK49" s="9"/>
      <c r="GTL49" s="9"/>
      <c r="GTM49" s="9"/>
      <c r="GTN49" s="9"/>
      <c r="GTO49" s="9"/>
      <c r="GTP49" s="9"/>
      <c r="GTQ49" s="9"/>
      <c r="GTR49" s="9"/>
      <c r="GTS49" s="9"/>
      <c r="GTT49" s="9"/>
      <c r="GTU49" s="9"/>
      <c r="GTV49" s="9"/>
      <c r="GTW49" s="9"/>
      <c r="GTX49" s="9"/>
      <c r="GTY49" s="9"/>
      <c r="GTZ49" s="9"/>
      <c r="GUA49" s="9"/>
      <c r="GUB49" s="9"/>
      <c r="GUC49" s="9"/>
      <c r="GUD49" s="9"/>
      <c r="GUE49" s="9"/>
      <c r="GUF49" s="9"/>
      <c r="GUG49" s="9"/>
      <c r="GUH49" s="9"/>
      <c r="GUI49" s="9"/>
      <c r="GUJ49" s="9"/>
      <c r="GUK49" s="9"/>
      <c r="GUL49" s="9"/>
      <c r="GUM49" s="9"/>
      <c r="GUN49" s="9"/>
      <c r="GUO49" s="9"/>
      <c r="GUP49" s="9"/>
      <c r="GUQ49" s="9"/>
      <c r="GUR49" s="9"/>
      <c r="GUS49" s="9"/>
      <c r="GUT49" s="9"/>
      <c r="GUU49" s="9"/>
      <c r="GUV49" s="9"/>
      <c r="GUW49" s="9"/>
      <c r="GUX49" s="9"/>
      <c r="GUY49" s="9"/>
      <c r="GUZ49" s="9"/>
      <c r="GVA49" s="9"/>
      <c r="GVB49" s="9"/>
      <c r="GVC49" s="9"/>
      <c r="GVD49" s="9"/>
      <c r="GVE49" s="9"/>
      <c r="GVF49" s="9"/>
      <c r="GVG49" s="9"/>
      <c r="GVH49" s="9"/>
      <c r="GVI49" s="9"/>
      <c r="GVJ49" s="9"/>
      <c r="GVK49" s="9"/>
      <c r="GVL49" s="9"/>
      <c r="GVM49" s="9"/>
      <c r="GVN49" s="9"/>
      <c r="GVO49" s="9"/>
      <c r="GVP49" s="9"/>
      <c r="GVQ49" s="9"/>
      <c r="GVR49" s="9"/>
      <c r="GVS49" s="9"/>
      <c r="GVT49" s="9"/>
      <c r="GVU49" s="9"/>
      <c r="GVV49" s="9"/>
      <c r="GVW49" s="9"/>
      <c r="GVX49" s="9"/>
      <c r="GVY49" s="9"/>
      <c r="GVZ49" s="9"/>
      <c r="GWA49" s="9"/>
      <c r="GWB49" s="9"/>
      <c r="GWC49" s="9"/>
      <c r="GWD49" s="9"/>
      <c r="GWE49" s="9"/>
      <c r="GWF49" s="9"/>
      <c r="GWG49" s="9"/>
      <c r="GWH49" s="9"/>
      <c r="GWI49" s="9"/>
      <c r="GWJ49" s="9"/>
      <c r="GWK49" s="9"/>
      <c r="GWL49" s="9"/>
      <c r="GWM49" s="9"/>
      <c r="GWN49" s="9"/>
      <c r="GWO49" s="9"/>
      <c r="GWP49" s="9"/>
      <c r="GWQ49" s="9"/>
      <c r="GWR49" s="9"/>
      <c r="GWS49" s="9"/>
      <c r="GWT49" s="9"/>
      <c r="GWU49" s="9"/>
      <c r="GWV49" s="9"/>
      <c r="GWW49" s="9"/>
      <c r="GWX49" s="9"/>
      <c r="GWY49" s="9"/>
      <c r="GWZ49" s="9"/>
      <c r="GXA49" s="9"/>
      <c r="GXB49" s="9"/>
      <c r="GXC49" s="9"/>
      <c r="GXD49" s="9"/>
      <c r="GXE49" s="9"/>
      <c r="GXF49" s="9"/>
      <c r="GXG49" s="9"/>
      <c r="GXH49" s="9"/>
      <c r="GXI49" s="9"/>
      <c r="GXJ49" s="9"/>
      <c r="GXK49" s="9"/>
      <c r="GXL49" s="9"/>
      <c r="GXM49" s="9"/>
      <c r="GXN49" s="9"/>
      <c r="GXO49" s="9"/>
      <c r="GXP49" s="9"/>
      <c r="GXQ49" s="9"/>
      <c r="GXR49" s="9"/>
      <c r="GXS49" s="9"/>
      <c r="GXT49" s="9"/>
      <c r="GXU49" s="9"/>
      <c r="GXV49" s="9"/>
      <c r="GXW49" s="9"/>
      <c r="GXX49" s="9"/>
      <c r="GXY49" s="9"/>
      <c r="GXZ49" s="9"/>
      <c r="GYA49" s="9"/>
      <c r="GYB49" s="9"/>
      <c r="GYC49" s="9"/>
      <c r="GYD49" s="9"/>
      <c r="GYE49" s="9"/>
      <c r="GYF49" s="9"/>
      <c r="GYG49" s="9"/>
      <c r="GYH49" s="9"/>
      <c r="GYI49" s="9"/>
      <c r="GYJ49" s="9"/>
      <c r="GYK49" s="9"/>
      <c r="GYL49" s="9"/>
      <c r="GYM49" s="9"/>
      <c r="GYN49" s="9"/>
      <c r="GYO49" s="9"/>
      <c r="GYP49" s="9"/>
      <c r="GYQ49" s="9"/>
      <c r="GYR49" s="9"/>
      <c r="GYS49" s="9"/>
      <c r="GYT49" s="9"/>
      <c r="GYU49" s="9"/>
      <c r="GYV49" s="9"/>
      <c r="GYW49" s="9"/>
      <c r="GYX49" s="9"/>
      <c r="GYY49" s="9"/>
      <c r="GYZ49" s="9"/>
      <c r="GZA49" s="9"/>
      <c r="GZB49" s="9"/>
      <c r="GZC49" s="9"/>
      <c r="GZD49" s="9"/>
      <c r="GZE49" s="9"/>
      <c r="GZF49" s="9"/>
      <c r="GZG49" s="9"/>
      <c r="GZH49" s="9"/>
      <c r="GZI49" s="9"/>
      <c r="GZJ49" s="9"/>
      <c r="GZK49" s="9"/>
      <c r="GZL49" s="9"/>
      <c r="GZM49" s="9"/>
      <c r="GZN49" s="9"/>
      <c r="GZO49" s="9"/>
      <c r="GZP49" s="9"/>
      <c r="GZQ49" s="9"/>
      <c r="GZR49" s="9"/>
      <c r="GZS49" s="9"/>
      <c r="GZT49" s="9"/>
      <c r="GZU49" s="9"/>
      <c r="GZV49" s="9"/>
      <c r="GZW49" s="9"/>
      <c r="GZX49" s="9"/>
      <c r="GZY49" s="9"/>
      <c r="GZZ49" s="9"/>
      <c r="HAA49" s="9"/>
      <c r="HAB49" s="9"/>
      <c r="HAC49" s="9"/>
      <c r="HAD49" s="9"/>
      <c r="HAE49" s="9"/>
      <c r="HAF49" s="9"/>
      <c r="HAG49" s="9"/>
      <c r="HAH49" s="9"/>
      <c r="HAI49" s="9"/>
      <c r="HAJ49" s="9"/>
      <c r="HAK49" s="9"/>
      <c r="HAL49" s="9"/>
      <c r="HAM49" s="9"/>
      <c r="HAN49" s="9"/>
      <c r="HAO49" s="9"/>
      <c r="HAP49" s="9"/>
      <c r="HAQ49" s="9"/>
      <c r="HAR49" s="9"/>
      <c r="HAS49" s="9"/>
      <c r="HAT49" s="9"/>
      <c r="HAU49" s="9"/>
      <c r="HAV49" s="9"/>
      <c r="HAW49" s="9"/>
      <c r="HAX49" s="9"/>
      <c r="HAY49" s="9"/>
      <c r="HAZ49" s="9"/>
      <c r="HBA49" s="9"/>
      <c r="HBB49" s="9"/>
      <c r="HBC49" s="9"/>
      <c r="HBD49" s="9"/>
      <c r="HBE49" s="9"/>
      <c r="HBF49" s="9"/>
      <c r="HBG49" s="9"/>
      <c r="HBH49" s="9"/>
      <c r="HBI49" s="9"/>
      <c r="HBJ49" s="9"/>
      <c r="HBK49" s="9"/>
      <c r="HBL49" s="9"/>
      <c r="HBM49" s="9"/>
      <c r="HBN49" s="9"/>
      <c r="HBO49" s="9"/>
      <c r="HBP49" s="9"/>
      <c r="HBQ49" s="9"/>
      <c r="HBR49" s="9"/>
      <c r="HBS49" s="9"/>
      <c r="HBT49" s="9"/>
      <c r="HBU49" s="9"/>
      <c r="HBV49" s="9"/>
      <c r="HBW49" s="9"/>
      <c r="HBX49" s="9"/>
      <c r="HBY49" s="9"/>
      <c r="HBZ49" s="9"/>
      <c r="HCA49" s="9"/>
      <c r="HCB49" s="9"/>
      <c r="HCC49" s="9"/>
      <c r="HCD49" s="9"/>
      <c r="HCE49" s="9"/>
      <c r="HCF49" s="9"/>
      <c r="HCG49" s="9"/>
      <c r="HCH49" s="9"/>
      <c r="HCI49" s="9"/>
      <c r="HCJ49" s="9"/>
      <c r="HCK49" s="9"/>
      <c r="HCL49" s="9"/>
      <c r="HCM49" s="9"/>
      <c r="HCN49" s="9"/>
      <c r="HCO49" s="9"/>
      <c r="HCP49" s="9"/>
      <c r="HCQ49" s="9"/>
      <c r="HCR49" s="9"/>
      <c r="HCS49" s="9"/>
      <c r="HCT49" s="9"/>
      <c r="HCU49" s="9"/>
      <c r="HCV49" s="9"/>
      <c r="HCW49" s="9"/>
      <c r="HCX49" s="9"/>
      <c r="HCY49" s="9"/>
      <c r="HCZ49" s="9"/>
      <c r="HDA49" s="9"/>
      <c r="HDB49" s="9"/>
      <c r="HDC49" s="9"/>
      <c r="HDD49" s="9"/>
      <c r="HDE49" s="9"/>
      <c r="HDF49" s="9"/>
      <c r="HDG49" s="9"/>
      <c r="HDH49" s="9"/>
      <c r="HDI49" s="9"/>
      <c r="HDJ49" s="9"/>
      <c r="HDK49" s="9"/>
      <c r="HDL49" s="9"/>
      <c r="HDM49" s="9"/>
      <c r="HDN49" s="9"/>
      <c r="HDO49" s="9"/>
      <c r="HDP49" s="9"/>
      <c r="HDQ49" s="9"/>
      <c r="HDR49" s="9"/>
      <c r="HDS49" s="9"/>
      <c r="HDT49" s="9"/>
      <c r="HDU49" s="9"/>
      <c r="HDV49" s="9"/>
      <c r="HDW49" s="9"/>
      <c r="HDX49" s="9"/>
      <c r="HDY49" s="9"/>
      <c r="HDZ49" s="9"/>
      <c r="HEA49" s="9"/>
      <c r="HEB49" s="9"/>
      <c r="HEC49" s="9"/>
      <c r="HED49" s="9"/>
      <c r="HEE49" s="9"/>
      <c r="HEF49" s="9"/>
      <c r="HEG49" s="9"/>
      <c r="HEH49" s="9"/>
      <c r="HEI49" s="9"/>
      <c r="HEJ49" s="9"/>
      <c r="HEK49" s="9"/>
      <c r="HEL49" s="9"/>
      <c r="HEM49" s="9"/>
      <c r="HEN49" s="9"/>
      <c r="HEO49" s="9"/>
      <c r="HEP49" s="9"/>
      <c r="HEQ49" s="9"/>
      <c r="HER49" s="9"/>
      <c r="HES49" s="9"/>
      <c r="HET49" s="9"/>
      <c r="HEU49" s="9"/>
      <c r="HEV49" s="9"/>
      <c r="HEW49" s="9"/>
      <c r="HEX49" s="9"/>
      <c r="HEY49" s="9"/>
      <c r="HEZ49" s="9"/>
      <c r="HFA49" s="9"/>
      <c r="HFB49" s="9"/>
      <c r="HFC49" s="9"/>
      <c r="HFD49" s="9"/>
      <c r="HFE49" s="9"/>
      <c r="HFF49" s="9"/>
      <c r="HFG49" s="9"/>
      <c r="HFH49" s="9"/>
      <c r="HFI49" s="9"/>
      <c r="HFJ49" s="9"/>
      <c r="HFK49" s="9"/>
      <c r="HFL49" s="9"/>
      <c r="HFM49" s="9"/>
      <c r="HFN49" s="9"/>
      <c r="HFO49" s="9"/>
      <c r="HFP49" s="9"/>
      <c r="HFQ49" s="9"/>
      <c r="HFR49" s="9"/>
      <c r="HFS49" s="9"/>
      <c r="HFT49" s="9"/>
      <c r="HFU49" s="9"/>
      <c r="HFV49" s="9"/>
      <c r="HFW49" s="9"/>
      <c r="HFX49" s="9"/>
      <c r="HFY49" s="9"/>
      <c r="HFZ49" s="9"/>
      <c r="HGA49" s="9"/>
      <c r="HGB49" s="9"/>
      <c r="HGC49" s="9"/>
      <c r="HGD49" s="9"/>
      <c r="HGE49" s="9"/>
      <c r="HGF49" s="9"/>
      <c r="HGG49" s="9"/>
      <c r="HGH49" s="9"/>
      <c r="HGI49" s="9"/>
      <c r="HGJ49" s="9"/>
      <c r="HGK49" s="9"/>
      <c r="HGL49" s="9"/>
      <c r="HGM49" s="9"/>
      <c r="HGN49" s="9"/>
      <c r="HGO49" s="9"/>
      <c r="HGP49" s="9"/>
      <c r="HGQ49" s="9"/>
      <c r="HGR49" s="9"/>
      <c r="HGS49" s="9"/>
      <c r="HGT49" s="9"/>
      <c r="HGU49" s="9"/>
      <c r="HGV49" s="9"/>
      <c r="HGW49" s="9"/>
      <c r="HGX49" s="9"/>
      <c r="HGY49" s="9"/>
      <c r="HGZ49" s="9"/>
      <c r="HHA49" s="9"/>
      <c r="HHB49" s="9"/>
      <c r="HHC49" s="9"/>
      <c r="HHD49" s="9"/>
      <c r="HHE49" s="9"/>
      <c r="HHF49" s="9"/>
      <c r="HHG49" s="9"/>
      <c r="HHH49" s="9"/>
      <c r="HHI49" s="9"/>
      <c r="HHJ49" s="9"/>
      <c r="HHK49" s="9"/>
      <c r="HHL49" s="9"/>
      <c r="HHM49" s="9"/>
      <c r="HHN49" s="9"/>
      <c r="HHO49" s="9"/>
      <c r="HHP49" s="9"/>
      <c r="HHQ49" s="9"/>
      <c r="HHR49" s="9"/>
      <c r="HHS49" s="9"/>
      <c r="HHT49" s="9"/>
      <c r="HHU49" s="9"/>
      <c r="HHV49" s="9"/>
      <c r="HHW49" s="9"/>
      <c r="HHX49" s="9"/>
      <c r="HHY49" s="9"/>
      <c r="HHZ49" s="9"/>
      <c r="HIA49" s="9"/>
      <c r="HIB49" s="9"/>
      <c r="HIC49" s="9"/>
      <c r="HID49" s="9"/>
      <c r="HIE49" s="9"/>
      <c r="HIF49" s="9"/>
      <c r="HIG49" s="9"/>
      <c r="HIH49" s="9"/>
      <c r="HII49" s="9"/>
      <c r="HIJ49" s="9"/>
      <c r="HIK49" s="9"/>
      <c r="HIL49" s="9"/>
      <c r="HIM49" s="9"/>
      <c r="HIN49" s="9"/>
      <c r="HIO49" s="9"/>
      <c r="HIP49" s="9"/>
      <c r="HIQ49" s="9"/>
      <c r="HIR49" s="9"/>
      <c r="HIS49" s="9"/>
      <c r="HIT49" s="9"/>
      <c r="HIU49" s="9"/>
      <c r="HIV49" s="9"/>
      <c r="HIW49" s="9"/>
      <c r="HIX49" s="9"/>
      <c r="HIY49" s="9"/>
      <c r="HIZ49" s="9"/>
      <c r="HJA49" s="9"/>
      <c r="HJB49" s="9"/>
      <c r="HJC49" s="9"/>
      <c r="HJD49" s="9"/>
      <c r="HJE49" s="9"/>
      <c r="HJF49" s="9"/>
      <c r="HJG49" s="9"/>
      <c r="HJH49" s="9"/>
      <c r="HJI49" s="9"/>
      <c r="HJJ49" s="9"/>
      <c r="HJK49" s="9"/>
      <c r="HJL49" s="9"/>
      <c r="HJM49" s="9"/>
      <c r="HJN49" s="9"/>
      <c r="HJO49" s="9"/>
      <c r="HJP49" s="9"/>
      <c r="HJQ49" s="9"/>
      <c r="HJR49" s="9"/>
      <c r="HJS49" s="9"/>
      <c r="HJT49" s="9"/>
      <c r="HJU49" s="9"/>
      <c r="HJV49" s="9"/>
      <c r="HJW49" s="9"/>
      <c r="HJX49" s="9"/>
      <c r="HJY49" s="9"/>
      <c r="HJZ49" s="9"/>
      <c r="HKA49" s="9"/>
      <c r="HKB49" s="9"/>
      <c r="HKC49" s="9"/>
      <c r="HKD49" s="9"/>
      <c r="HKE49" s="9"/>
      <c r="HKF49" s="9"/>
      <c r="HKG49" s="9"/>
      <c r="HKH49" s="9"/>
      <c r="HKI49" s="9"/>
      <c r="HKJ49" s="9"/>
      <c r="HKK49" s="9"/>
      <c r="HKL49" s="9"/>
      <c r="HKM49" s="9"/>
      <c r="HKN49" s="9"/>
      <c r="HKO49" s="9"/>
      <c r="HKP49" s="9"/>
      <c r="HKQ49" s="9"/>
      <c r="HKR49" s="9"/>
      <c r="HKS49" s="9"/>
      <c r="HKT49" s="9"/>
      <c r="HKU49" s="9"/>
      <c r="HKV49" s="9"/>
      <c r="HKW49" s="9"/>
      <c r="HKX49" s="9"/>
      <c r="HKY49" s="9"/>
      <c r="HKZ49" s="9"/>
      <c r="HLA49" s="9"/>
      <c r="HLB49" s="9"/>
      <c r="HLC49" s="9"/>
      <c r="HLD49" s="9"/>
      <c r="HLE49" s="9"/>
      <c r="HLF49" s="9"/>
      <c r="HLG49" s="9"/>
      <c r="HLH49" s="9"/>
      <c r="HLI49" s="9"/>
      <c r="HLJ49" s="9"/>
      <c r="HLK49" s="9"/>
      <c r="HLL49" s="9"/>
      <c r="HLM49" s="9"/>
      <c r="HLN49" s="9"/>
      <c r="HLO49" s="9"/>
      <c r="HLP49" s="9"/>
      <c r="HLQ49" s="9"/>
      <c r="HLR49" s="9"/>
      <c r="HLS49" s="9"/>
      <c r="HLT49" s="9"/>
      <c r="HLU49" s="9"/>
      <c r="HLV49" s="9"/>
      <c r="HLW49" s="9"/>
      <c r="HLX49" s="9"/>
      <c r="HLY49" s="9"/>
      <c r="HLZ49" s="9"/>
      <c r="HMA49" s="9"/>
      <c r="HMB49" s="9"/>
      <c r="HMC49" s="9"/>
      <c r="HMD49" s="9"/>
      <c r="HME49" s="9"/>
      <c r="HMF49" s="9"/>
      <c r="HMG49" s="9"/>
      <c r="HMH49" s="9"/>
      <c r="HMI49" s="9"/>
      <c r="HMJ49" s="9"/>
      <c r="HMK49" s="9"/>
      <c r="HML49" s="9"/>
      <c r="HMM49" s="9"/>
      <c r="HMN49" s="9"/>
      <c r="HMO49" s="9"/>
      <c r="HMP49" s="9"/>
      <c r="HMQ49" s="9"/>
      <c r="HMR49" s="9"/>
      <c r="HMS49" s="9"/>
      <c r="HMT49" s="9"/>
      <c r="HMU49" s="9"/>
      <c r="HMV49" s="9"/>
      <c r="HMW49" s="9"/>
      <c r="HMX49" s="9"/>
      <c r="HMY49" s="9"/>
      <c r="HMZ49" s="9"/>
      <c r="HNA49" s="9"/>
      <c r="HNB49" s="9"/>
      <c r="HNC49" s="9"/>
      <c r="HND49" s="9"/>
      <c r="HNE49" s="9"/>
      <c r="HNF49" s="9"/>
      <c r="HNG49" s="9"/>
      <c r="HNH49" s="9"/>
      <c r="HNI49" s="9"/>
      <c r="HNJ49" s="9"/>
      <c r="HNK49" s="9"/>
      <c r="HNL49" s="9"/>
      <c r="HNM49" s="9"/>
      <c r="HNN49" s="9"/>
      <c r="HNO49" s="9"/>
      <c r="HNP49" s="9"/>
      <c r="HNQ49" s="9"/>
      <c r="HNR49" s="9"/>
      <c r="HNS49" s="9"/>
      <c r="HNT49" s="9"/>
      <c r="HNU49" s="9"/>
      <c r="HNV49" s="9"/>
      <c r="HNW49" s="9"/>
      <c r="HNX49" s="9"/>
      <c r="HNY49" s="9"/>
      <c r="HNZ49" s="9"/>
      <c r="HOA49" s="9"/>
      <c r="HOB49" s="9"/>
      <c r="HOC49" s="9"/>
      <c r="HOD49" s="9"/>
      <c r="HOE49" s="9"/>
      <c r="HOF49" s="9"/>
      <c r="HOG49" s="9"/>
      <c r="HOH49" s="9"/>
      <c r="HOI49" s="9"/>
      <c r="HOJ49" s="9"/>
      <c r="HOK49" s="9"/>
      <c r="HOL49" s="9"/>
      <c r="HOM49" s="9"/>
      <c r="HON49" s="9"/>
      <c r="HOO49" s="9"/>
      <c r="HOP49" s="9"/>
      <c r="HOQ49" s="9"/>
      <c r="HOR49" s="9"/>
      <c r="HOS49" s="9"/>
      <c r="HOT49" s="9"/>
      <c r="HOU49" s="9"/>
      <c r="HOV49" s="9"/>
      <c r="HOW49" s="9"/>
      <c r="HOX49" s="9"/>
      <c r="HOY49" s="9"/>
      <c r="HOZ49" s="9"/>
      <c r="HPA49" s="9"/>
      <c r="HPB49" s="9"/>
      <c r="HPC49" s="9"/>
      <c r="HPD49" s="9"/>
      <c r="HPE49" s="9"/>
      <c r="HPF49" s="9"/>
      <c r="HPG49" s="9"/>
      <c r="HPH49" s="9"/>
      <c r="HPI49" s="9"/>
      <c r="HPJ49" s="9"/>
      <c r="HPK49" s="9"/>
      <c r="HPL49" s="9"/>
      <c r="HPM49" s="9"/>
      <c r="HPN49" s="9"/>
      <c r="HPO49" s="9"/>
      <c r="HPP49" s="9"/>
      <c r="HPQ49" s="9"/>
      <c r="HPR49" s="9"/>
      <c r="HPS49" s="9"/>
      <c r="HPT49" s="9"/>
      <c r="HPU49" s="9"/>
      <c r="HPV49" s="9"/>
      <c r="HPW49" s="9"/>
      <c r="HPX49" s="9"/>
      <c r="HPY49" s="9"/>
      <c r="HPZ49" s="9"/>
      <c r="HQA49" s="9"/>
      <c r="HQB49" s="9"/>
      <c r="HQC49" s="9"/>
      <c r="HQD49" s="9"/>
      <c r="HQE49" s="9"/>
      <c r="HQF49" s="9"/>
      <c r="HQG49" s="9"/>
      <c r="HQH49" s="9"/>
      <c r="HQI49" s="9"/>
      <c r="HQJ49" s="9"/>
      <c r="HQK49" s="9"/>
      <c r="HQL49" s="9"/>
      <c r="HQM49" s="9"/>
      <c r="HQN49" s="9"/>
      <c r="HQO49" s="9"/>
      <c r="HQP49" s="9"/>
      <c r="HQQ49" s="9"/>
      <c r="HQR49" s="9"/>
      <c r="HQS49" s="9"/>
      <c r="HQT49" s="9"/>
      <c r="HQU49" s="9"/>
      <c r="HQV49" s="9"/>
      <c r="HQW49" s="9"/>
      <c r="HQX49" s="9"/>
      <c r="HQY49" s="9"/>
      <c r="HQZ49" s="9"/>
      <c r="HRA49" s="9"/>
      <c r="HRB49" s="9"/>
      <c r="HRC49" s="9"/>
      <c r="HRD49" s="9"/>
      <c r="HRE49" s="9"/>
      <c r="HRF49" s="9"/>
      <c r="HRG49" s="9"/>
      <c r="HRH49" s="9"/>
      <c r="HRI49" s="9"/>
      <c r="HRJ49" s="9"/>
      <c r="HRK49" s="9"/>
      <c r="HRL49" s="9"/>
      <c r="HRM49" s="9"/>
      <c r="HRN49" s="9"/>
      <c r="HRO49" s="9"/>
      <c r="HRP49" s="9"/>
      <c r="HRQ49" s="9"/>
      <c r="HRR49" s="9"/>
      <c r="HRS49" s="9"/>
      <c r="HRT49" s="9"/>
      <c r="HRU49" s="9"/>
      <c r="HRV49" s="9"/>
      <c r="HRW49" s="9"/>
      <c r="HRX49" s="9"/>
      <c r="HRY49" s="9"/>
      <c r="HRZ49" s="9"/>
      <c r="HSA49" s="9"/>
      <c r="HSB49" s="9"/>
      <c r="HSC49" s="9"/>
      <c r="HSD49" s="9"/>
      <c r="HSE49" s="9"/>
      <c r="HSF49" s="9"/>
      <c r="HSG49" s="9"/>
      <c r="HSH49" s="9"/>
      <c r="HSI49" s="9"/>
      <c r="HSJ49" s="9"/>
      <c r="HSK49" s="9"/>
      <c r="HSL49" s="9"/>
      <c r="HSM49" s="9"/>
      <c r="HSN49" s="9"/>
      <c r="HSO49" s="9"/>
      <c r="HSP49" s="9"/>
      <c r="HSQ49" s="9"/>
      <c r="HSR49" s="9"/>
      <c r="HSS49" s="9"/>
      <c r="HST49" s="9"/>
      <c r="HSU49" s="9"/>
      <c r="HSV49" s="9"/>
      <c r="HSW49" s="9"/>
      <c r="HSX49" s="9"/>
      <c r="HSY49" s="9"/>
      <c r="HSZ49" s="9"/>
      <c r="HTA49" s="9"/>
      <c r="HTB49" s="9"/>
      <c r="HTC49" s="9"/>
      <c r="HTD49" s="9"/>
      <c r="HTE49" s="9"/>
      <c r="HTF49" s="9"/>
      <c r="HTG49" s="9"/>
      <c r="HTH49" s="9"/>
      <c r="HTI49" s="9"/>
      <c r="HTJ49" s="9"/>
      <c r="HTK49" s="9"/>
      <c r="HTL49" s="9"/>
      <c r="HTM49" s="9"/>
      <c r="HTN49" s="9"/>
      <c r="HTO49" s="9"/>
      <c r="HTP49" s="9"/>
      <c r="HTQ49" s="9"/>
      <c r="HTR49" s="9"/>
      <c r="HTS49" s="9"/>
      <c r="HTT49" s="9"/>
      <c r="HTU49" s="9"/>
      <c r="HTV49" s="9"/>
      <c r="HTW49" s="9"/>
      <c r="HTX49" s="9"/>
      <c r="HTY49" s="9"/>
      <c r="HTZ49" s="9"/>
      <c r="HUA49" s="9"/>
      <c r="HUB49" s="9"/>
      <c r="HUC49" s="9"/>
      <c r="HUD49" s="9"/>
      <c r="HUE49" s="9"/>
      <c r="HUF49" s="9"/>
      <c r="HUG49" s="9"/>
      <c r="HUH49" s="9"/>
      <c r="HUI49" s="9"/>
      <c r="HUJ49" s="9"/>
      <c r="HUK49" s="9"/>
      <c r="HUL49" s="9"/>
      <c r="HUM49" s="9"/>
      <c r="HUN49" s="9"/>
      <c r="HUO49" s="9"/>
      <c r="HUP49" s="9"/>
      <c r="HUQ49" s="9"/>
      <c r="HUR49" s="9"/>
      <c r="HUS49" s="9"/>
      <c r="HUT49" s="9"/>
      <c r="HUU49" s="9"/>
      <c r="HUV49" s="9"/>
      <c r="HUW49" s="9"/>
      <c r="HUX49" s="9"/>
      <c r="HUY49" s="9"/>
      <c r="HUZ49" s="9"/>
      <c r="HVA49" s="9"/>
      <c r="HVB49" s="9"/>
      <c r="HVC49" s="9"/>
      <c r="HVD49" s="9"/>
      <c r="HVE49" s="9"/>
      <c r="HVF49" s="9"/>
      <c r="HVG49" s="9"/>
      <c r="HVH49" s="9"/>
      <c r="HVI49" s="9"/>
      <c r="HVJ49" s="9"/>
      <c r="HVK49" s="9"/>
      <c r="HVL49" s="9"/>
      <c r="HVM49" s="9"/>
      <c r="HVN49" s="9"/>
      <c r="HVO49" s="9"/>
      <c r="HVP49" s="9"/>
      <c r="HVQ49" s="9"/>
      <c r="HVR49" s="9"/>
      <c r="HVS49" s="9"/>
      <c r="HVT49" s="9"/>
      <c r="HVU49" s="9"/>
      <c r="HVV49" s="9"/>
      <c r="HVW49" s="9"/>
      <c r="HVX49" s="9"/>
      <c r="HVY49" s="9"/>
      <c r="HVZ49" s="9"/>
      <c r="HWA49" s="9"/>
      <c r="HWB49" s="9"/>
      <c r="HWC49" s="9"/>
      <c r="HWD49" s="9"/>
      <c r="HWE49" s="9"/>
      <c r="HWF49" s="9"/>
      <c r="HWG49" s="9"/>
      <c r="HWH49" s="9"/>
      <c r="HWI49" s="9"/>
      <c r="HWJ49" s="9"/>
      <c r="HWK49" s="9"/>
      <c r="HWL49" s="9"/>
      <c r="HWM49" s="9"/>
      <c r="HWN49" s="9"/>
      <c r="HWO49" s="9"/>
      <c r="HWP49" s="9"/>
      <c r="HWQ49" s="9"/>
      <c r="HWR49" s="9"/>
      <c r="HWS49" s="9"/>
      <c r="HWT49" s="9"/>
      <c r="HWU49" s="9"/>
      <c r="HWV49" s="9"/>
      <c r="HWW49" s="9"/>
      <c r="HWX49" s="9"/>
      <c r="HWY49" s="9"/>
      <c r="HWZ49" s="9"/>
      <c r="HXA49" s="9"/>
      <c r="HXB49" s="9"/>
      <c r="HXC49" s="9"/>
      <c r="HXD49" s="9"/>
      <c r="HXE49" s="9"/>
      <c r="HXF49" s="9"/>
      <c r="HXG49" s="9"/>
      <c r="HXH49" s="9"/>
      <c r="HXI49" s="9"/>
      <c r="HXJ49" s="9"/>
      <c r="HXK49" s="9"/>
      <c r="HXL49" s="9"/>
      <c r="HXM49" s="9"/>
      <c r="HXN49" s="9"/>
      <c r="HXO49" s="9"/>
      <c r="HXP49" s="9"/>
      <c r="HXQ49" s="9"/>
      <c r="HXR49" s="9"/>
      <c r="HXS49" s="9"/>
      <c r="HXT49" s="9"/>
      <c r="HXU49" s="9"/>
      <c r="HXV49" s="9"/>
      <c r="HXW49" s="9"/>
      <c r="HXX49" s="9"/>
      <c r="HXY49" s="9"/>
      <c r="HXZ49" s="9"/>
      <c r="HYA49" s="9"/>
      <c r="HYB49" s="9"/>
      <c r="HYC49" s="9"/>
      <c r="HYD49" s="9"/>
      <c r="HYE49" s="9"/>
      <c r="HYF49" s="9"/>
      <c r="HYG49" s="9"/>
      <c r="HYH49" s="9"/>
      <c r="HYI49" s="9"/>
      <c r="HYJ49" s="9"/>
      <c r="HYK49" s="9"/>
      <c r="HYL49" s="9"/>
      <c r="HYM49" s="9"/>
      <c r="HYN49" s="9"/>
      <c r="HYO49" s="9"/>
      <c r="HYP49" s="9"/>
      <c r="HYQ49" s="9"/>
      <c r="HYR49" s="9"/>
      <c r="HYS49" s="9"/>
      <c r="HYT49" s="9"/>
      <c r="HYU49" s="9"/>
      <c r="HYV49" s="9"/>
      <c r="HYW49" s="9"/>
      <c r="HYX49" s="9"/>
      <c r="HYY49" s="9"/>
      <c r="HYZ49" s="9"/>
      <c r="HZA49" s="9"/>
      <c r="HZB49" s="9"/>
      <c r="HZC49" s="9"/>
      <c r="HZD49" s="9"/>
      <c r="HZE49" s="9"/>
      <c r="HZF49" s="9"/>
      <c r="HZG49" s="9"/>
      <c r="HZH49" s="9"/>
      <c r="HZI49" s="9"/>
      <c r="HZJ49" s="9"/>
      <c r="HZK49" s="9"/>
      <c r="HZL49" s="9"/>
      <c r="HZM49" s="9"/>
      <c r="HZN49" s="9"/>
      <c r="HZO49" s="9"/>
      <c r="HZP49" s="9"/>
      <c r="HZQ49" s="9"/>
      <c r="HZR49" s="9"/>
      <c r="HZS49" s="9"/>
      <c r="HZT49" s="9"/>
      <c r="HZU49" s="9"/>
      <c r="HZV49" s="9"/>
      <c r="HZW49" s="9"/>
      <c r="HZX49" s="9"/>
      <c r="HZY49" s="9"/>
      <c r="HZZ49" s="9"/>
      <c r="IAA49" s="9"/>
      <c r="IAB49" s="9"/>
      <c r="IAC49" s="9"/>
      <c r="IAD49" s="9"/>
      <c r="IAE49" s="9"/>
      <c r="IAF49" s="9"/>
      <c r="IAG49" s="9"/>
      <c r="IAH49" s="9"/>
      <c r="IAI49" s="9"/>
      <c r="IAJ49" s="9"/>
      <c r="IAK49" s="9"/>
      <c r="IAL49" s="9"/>
      <c r="IAM49" s="9"/>
      <c r="IAN49" s="9"/>
      <c r="IAO49" s="9"/>
      <c r="IAP49" s="9"/>
      <c r="IAQ49" s="9"/>
      <c r="IAR49" s="9"/>
      <c r="IAS49" s="9"/>
      <c r="IAT49" s="9"/>
      <c r="IAU49" s="9"/>
      <c r="IAV49" s="9"/>
      <c r="IAW49" s="9"/>
      <c r="IAX49" s="9"/>
      <c r="IAY49" s="9"/>
      <c r="IAZ49" s="9"/>
      <c r="IBA49" s="9"/>
      <c r="IBB49" s="9"/>
      <c r="IBC49" s="9"/>
      <c r="IBD49" s="9"/>
      <c r="IBE49" s="9"/>
      <c r="IBF49" s="9"/>
      <c r="IBG49" s="9"/>
      <c r="IBH49" s="9"/>
      <c r="IBI49" s="9"/>
      <c r="IBJ49" s="9"/>
      <c r="IBK49" s="9"/>
      <c r="IBL49" s="9"/>
      <c r="IBM49" s="9"/>
      <c r="IBN49" s="9"/>
      <c r="IBO49" s="9"/>
      <c r="IBP49" s="9"/>
      <c r="IBQ49" s="9"/>
      <c r="IBR49" s="9"/>
      <c r="IBS49" s="9"/>
      <c r="IBT49" s="9"/>
      <c r="IBU49" s="9"/>
      <c r="IBV49" s="9"/>
      <c r="IBW49" s="9"/>
      <c r="IBX49" s="9"/>
      <c r="IBY49" s="9"/>
      <c r="IBZ49" s="9"/>
      <c r="ICA49" s="9"/>
      <c r="ICB49" s="9"/>
      <c r="ICC49" s="9"/>
      <c r="ICD49" s="9"/>
      <c r="ICE49" s="9"/>
      <c r="ICF49" s="9"/>
      <c r="ICG49" s="9"/>
      <c r="ICH49" s="9"/>
      <c r="ICI49" s="9"/>
      <c r="ICJ49" s="9"/>
      <c r="ICK49" s="9"/>
      <c r="ICL49" s="9"/>
      <c r="ICM49" s="9"/>
      <c r="ICN49" s="9"/>
      <c r="ICO49" s="9"/>
      <c r="ICP49" s="9"/>
      <c r="ICQ49" s="9"/>
      <c r="ICR49" s="9"/>
      <c r="ICS49" s="9"/>
      <c r="ICT49" s="9"/>
      <c r="ICU49" s="9"/>
      <c r="ICV49" s="9"/>
      <c r="ICW49" s="9"/>
      <c r="ICX49" s="9"/>
      <c r="ICY49" s="9"/>
      <c r="ICZ49" s="9"/>
      <c r="IDA49" s="9"/>
      <c r="IDB49" s="9"/>
      <c r="IDC49" s="9"/>
      <c r="IDD49" s="9"/>
      <c r="IDE49" s="9"/>
      <c r="IDF49" s="9"/>
      <c r="IDG49" s="9"/>
      <c r="IDH49" s="9"/>
      <c r="IDI49" s="9"/>
      <c r="IDJ49" s="9"/>
      <c r="IDK49" s="9"/>
      <c r="IDL49" s="9"/>
      <c r="IDM49" s="9"/>
      <c r="IDN49" s="9"/>
      <c r="IDO49" s="9"/>
      <c r="IDP49" s="9"/>
      <c r="IDQ49" s="9"/>
      <c r="IDR49" s="9"/>
      <c r="IDS49" s="9"/>
      <c r="IDT49" s="9"/>
      <c r="IDU49" s="9"/>
      <c r="IDV49" s="9"/>
      <c r="IDW49" s="9"/>
      <c r="IDX49" s="9"/>
      <c r="IDY49" s="9"/>
      <c r="IDZ49" s="9"/>
      <c r="IEA49" s="9"/>
      <c r="IEB49" s="9"/>
      <c r="IEC49" s="9"/>
      <c r="IED49" s="9"/>
      <c r="IEE49" s="9"/>
      <c r="IEF49" s="9"/>
      <c r="IEG49" s="9"/>
      <c r="IEH49" s="9"/>
      <c r="IEI49" s="9"/>
      <c r="IEJ49" s="9"/>
      <c r="IEK49" s="9"/>
      <c r="IEL49" s="9"/>
      <c r="IEM49" s="9"/>
      <c r="IEN49" s="9"/>
      <c r="IEO49" s="9"/>
      <c r="IEP49" s="9"/>
      <c r="IEQ49" s="9"/>
      <c r="IER49" s="9"/>
      <c r="IES49" s="9"/>
      <c r="IET49" s="9"/>
      <c r="IEU49" s="9"/>
      <c r="IEV49" s="9"/>
      <c r="IEW49" s="9"/>
      <c r="IEX49" s="9"/>
      <c r="IEY49" s="9"/>
      <c r="IEZ49" s="9"/>
      <c r="IFA49" s="9"/>
      <c r="IFB49" s="9"/>
      <c r="IFC49" s="9"/>
      <c r="IFD49" s="9"/>
      <c r="IFE49" s="9"/>
      <c r="IFF49" s="9"/>
      <c r="IFG49" s="9"/>
      <c r="IFH49" s="9"/>
      <c r="IFI49" s="9"/>
      <c r="IFJ49" s="9"/>
      <c r="IFK49" s="9"/>
      <c r="IFL49" s="9"/>
      <c r="IFM49" s="9"/>
      <c r="IFN49" s="9"/>
      <c r="IFO49" s="9"/>
      <c r="IFP49" s="9"/>
      <c r="IFQ49" s="9"/>
      <c r="IFR49" s="9"/>
      <c r="IFS49" s="9"/>
      <c r="IFT49" s="9"/>
      <c r="IFU49" s="9"/>
      <c r="IFV49" s="9"/>
      <c r="IFW49" s="9"/>
      <c r="IFX49" s="9"/>
      <c r="IFY49" s="9"/>
      <c r="IFZ49" s="9"/>
      <c r="IGA49" s="9"/>
      <c r="IGB49" s="9"/>
      <c r="IGC49" s="9"/>
      <c r="IGD49" s="9"/>
      <c r="IGE49" s="9"/>
      <c r="IGF49" s="9"/>
      <c r="IGG49" s="9"/>
      <c r="IGH49" s="9"/>
      <c r="IGI49" s="9"/>
      <c r="IGJ49" s="9"/>
      <c r="IGK49" s="9"/>
      <c r="IGL49" s="9"/>
      <c r="IGM49" s="9"/>
      <c r="IGN49" s="9"/>
      <c r="IGO49" s="9"/>
      <c r="IGP49" s="9"/>
      <c r="IGQ49" s="9"/>
      <c r="IGR49" s="9"/>
      <c r="IGS49" s="9"/>
      <c r="IGT49" s="9"/>
      <c r="IGU49" s="9"/>
      <c r="IGV49" s="9"/>
      <c r="IGW49" s="9"/>
      <c r="IGX49" s="9"/>
      <c r="IGY49" s="9"/>
      <c r="IGZ49" s="9"/>
      <c r="IHA49" s="9"/>
      <c r="IHB49" s="9"/>
      <c r="IHC49" s="9"/>
      <c r="IHD49" s="9"/>
      <c r="IHE49" s="9"/>
      <c r="IHF49" s="9"/>
      <c r="IHG49" s="9"/>
      <c r="IHH49" s="9"/>
      <c r="IHI49" s="9"/>
      <c r="IHJ49" s="9"/>
      <c r="IHK49" s="9"/>
      <c r="IHL49" s="9"/>
      <c r="IHM49" s="9"/>
      <c r="IHN49" s="9"/>
      <c r="IHO49" s="9"/>
      <c r="IHP49" s="9"/>
      <c r="IHQ49" s="9"/>
      <c r="IHR49" s="9"/>
      <c r="IHS49" s="9"/>
      <c r="IHT49" s="9"/>
      <c r="IHU49" s="9"/>
      <c r="IHV49" s="9"/>
      <c r="IHW49" s="9"/>
      <c r="IHX49" s="9"/>
      <c r="IHY49" s="9"/>
      <c r="IHZ49" s="9"/>
      <c r="IIA49" s="9"/>
      <c r="IIB49" s="9"/>
      <c r="IIC49" s="9"/>
      <c r="IID49" s="9"/>
      <c r="IIE49" s="9"/>
      <c r="IIF49" s="9"/>
      <c r="IIG49" s="9"/>
      <c r="IIH49" s="9"/>
      <c r="III49" s="9"/>
      <c r="IIJ49" s="9"/>
      <c r="IIK49" s="9"/>
      <c r="IIL49" s="9"/>
      <c r="IIM49" s="9"/>
      <c r="IIN49" s="9"/>
      <c r="IIO49" s="9"/>
      <c r="IIP49" s="9"/>
      <c r="IIQ49" s="9"/>
      <c r="IIR49" s="9"/>
      <c r="IIS49" s="9"/>
      <c r="IIT49" s="9"/>
      <c r="IIU49" s="9"/>
      <c r="IIV49" s="9"/>
      <c r="IIW49" s="9"/>
      <c r="IIX49" s="9"/>
      <c r="IIY49" s="9"/>
      <c r="IIZ49" s="9"/>
      <c r="IJA49" s="9"/>
      <c r="IJB49" s="9"/>
      <c r="IJC49" s="9"/>
      <c r="IJD49" s="9"/>
      <c r="IJE49" s="9"/>
      <c r="IJF49" s="9"/>
      <c r="IJG49" s="9"/>
      <c r="IJH49" s="9"/>
      <c r="IJI49" s="9"/>
      <c r="IJJ49" s="9"/>
      <c r="IJK49" s="9"/>
      <c r="IJL49" s="9"/>
      <c r="IJM49" s="9"/>
      <c r="IJN49" s="9"/>
      <c r="IJO49" s="9"/>
      <c r="IJP49" s="9"/>
      <c r="IJQ49" s="9"/>
      <c r="IJR49" s="9"/>
      <c r="IJS49" s="9"/>
      <c r="IJT49" s="9"/>
      <c r="IJU49" s="9"/>
      <c r="IJV49" s="9"/>
      <c r="IJW49" s="9"/>
      <c r="IJX49" s="9"/>
      <c r="IJY49" s="9"/>
      <c r="IJZ49" s="9"/>
      <c r="IKA49" s="9"/>
      <c r="IKB49" s="9"/>
      <c r="IKC49" s="9"/>
      <c r="IKD49" s="9"/>
      <c r="IKE49" s="9"/>
      <c r="IKF49" s="9"/>
      <c r="IKG49" s="9"/>
      <c r="IKH49" s="9"/>
      <c r="IKI49" s="9"/>
      <c r="IKJ49" s="9"/>
      <c r="IKK49" s="9"/>
      <c r="IKL49" s="9"/>
      <c r="IKM49" s="9"/>
      <c r="IKN49" s="9"/>
      <c r="IKO49" s="9"/>
      <c r="IKP49" s="9"/>
      <c r="IKQ49" s="9"/>
      <c r="IKR49" s="9"/>
      <c r="IKS49" s="9"/>
      <c r="IKT49" s="9"/>
      <c r="IKU49" s="9"/>
      <c r="IKV49" s="9"/>
      <c r="IKW49" s="9"/>
      <c r="IKX49" s="9"/>
      <c r="IKY49" s="9"/>
      <c r="IKZ49" s="9"/>
      <c r="ILA49" s="9"/>
      <c r="ILB49" s="9"/>
      <c r="ILC49" s="9"/>
      <c r="ILD49" s="9"/>
      <c r="ILE49" s="9"/>
      <c r="ILF49" s="9"/>
      <c r="ILG49" s="9"/>
      <c r="ILH49" s="9"/>
      <c r="ILI49" s="9"/>
      <c r="ILJ49" s="9"/>
      <c r="ILK49" s="9"/>
      <c r="ILL49" s="9"/>
      <c r="ILM49" s="9"/>
      <c r="ILN49" s="9"/>
      <c r="ILO49" s="9"/>
      <c r="ILP49" s="9"/>
      <c r="ILQ49" s="9"/>
      <c r="ILR49" s="9"/>
      <c r="ILS49" s="9"/>
      <c r="ILT49" s="9"/>
      <c r="ILU49" s="9"/>
      <c r="ILV49" s="9"/>
      <c r="ILW49" s="9"/>
      <c r="ILX49" s="9"/>
      <c r="ILY49" s="9"/>
      <c r="ILZ49" s="9"/>
      <c r="IMA49" s="9"/>
      <c r="IMB49" s="9"/>
      <c r="IMC49" s="9"/>
      <c r="IMD49" s="9"/>
      <c r="IME49" s="9"/>
      <c r="IMF49" s="9"/>
      <c r="IMG49" s="9"/>
      <c r="IMH49" s="9"/>
      <c r="IMI49" s="9"/>
      <c r="IMJ49" s="9"/>
      <c r="IMK49" s="9"/>
      <c r="IML49" s="9"/>
      <c r="IMM49" s="9"/>
      <c r="IMN49" s="9"/>
      <c r="IMO49" s="9"/>
      <c r="IMP49" s="9"/>
      <c r="IMQ49" s="9"/>
      <c r="IMR49" s="9"/>
      <c r="IMS49" s="9"/>
      <c r="IMT49" s="9"/>
      <c r="IMU49" s="9"/>
      <c r="IMV49" s="9"/>
      <c r="IMW49" s="9"/>
      <c r="IMX49" s="9"/>
      <c r="IMY49" s="9"/>
      <c r="IMZ49" s="9"/>
      <c r="INA49" s="9"/>
      <c r="INB49" s="9"/>
      <c r="INC49" s="9"/>
      <c r="IND49" s="9"/>
      <c r="INE49" s="9"/>
      <c r="INF49" s="9"/>
      <c r="ING49" s="9"/>
      <c r="INH49" s="9"/>
      <c r="INI49" s="9"/>
      <c r="INJ49" s="9"/>
      <c r="INK49" s="9"/>
      <c r="INL49" s="9"/>
      <c r="INM49" s="9"/>
      <c r="INN49" s="9"/>
      <c r="INO49" s="9"/>
      <c r="INP49" s="9"/>
      <c r="INQ49" s="9"/>
      <c r="INR49" s="9"/>
      <c r="INS49" s="9"/>
      <c r="INT49" s="9"/>
      <c r="INU49" s="9"/>
      <c r="INV49" s="9"/>
      <c r="INW49" s="9"/>
      <c r="INX49" s="9"/>
      <c r="INY49" s="9"/>
      <c r="INZ49" s="9"/>
      <c r="IOA49" s="9"/>
      <c r="IOB49" s="9"/>
      <c r="IOC49" s="9"/>
      <c r="IOD49" s="9"/>
      <c r="IOE49" s="9"/>
      <c r="IOF49" s="9"/>
      <c r="IOG49" s="9"/>
      <c r="IOH49" s="9"/>
      <c r="IOI49" s="9"/>
      <c r="IOJ49" s="9"/>
      <c r="IOK49" s="9"/>
      <c r="IOL49" s="9"/>
      <c r="IOM49" s="9"/>
      <c r="ION49" s="9"/>
      <c r="IOO49" s="9"/>
      <c r="IOP49" s="9"/>
      <c r="IOQ49" s="9"/>
      <c r="IOR49" s="9"/>
      <c r="IOS49" s="9"/>
      <c r="IOT49" s="9"/>
      <c r="IOU49" s="9"/>
      <c r="IOV49" s="9"/>
      <c r="IOW49" s="9"/>
      <c r="IOX49" s="9"/>
      <c r="IOY49" s="9"/>
      <c r="IOZ49" s="9"/>
      <c r="IPA49" s="9"/>
      <c r="IPB49" s="9"/>
      <c r="IPC49" s="9"/>
      <c r="IPD49" s="9"/>
      <c r="IPE49" s="9"/>
      <c r="IPF49" s="9"/>
      <c r="IPG49" s="9"/>
      <c r="IPH49" s="9"/>
      <c r="IPI49" s="9"/>
      <c r="IPJ49" s="9"/>
      <c r="IPK49" s="9"/>
      <c r="IPL49" s="9"/>
      <c r="IPM49" s="9"/>
      <c r="IPN49" s="9"/>
      <c r="IPO49" s="9"/>
      <c r="IPP49" s="9"/>
      <c r="IPQ49" s="9"/>
      <c r="IPR49" s="9"/>
      <c r="IPS49" s="9"/>
      <c r="IPT49" s="9"/>
      <c r="IPU49" s="9"/>
      <c r="IPV49" s="9"/>
      <c r="IPW49" s="9"/>
      <c r="IPX49" s="9"/>
      <c r="IPY49" s="9"/>
      <c r="IPZ49" s="9"/>
      <c r="IQA49" s="9"/>
      <c r="IQB49" s="9"/>
      <c r="IQC49" s="9"/>
      <c r="IQD49" s="9"/>
      <c r="IQE49" s="9"/>
      <c r="IQF49" s="9"/>
      <c r="IQG49" s="9"/>
      <c r="IQH49" s="9"/>
      <c r="IQI49" s="9"/>
      <c r="IQJ49" s="9"/>
      <c r="IQK49" s="9"/>
      <c r="IQL49" s="9"/>
      <c r="IQM49" s="9"/>
      <c r="IQN49" s="9"/>
      <c r="IQO49" s="9"/>
      <c r="IQP49" s="9"/>
      <c r="IQQ49" s="9"/>
      <c r="IQR49" s="9"/>
      <c r="IQS49" s="9"/>
      <c r="IQT49" s="9"/>
      <c r="IQU49" s="9"/>
      <c r="IQV49" s="9"/>
      <c r="IQW49" s="9"/>
      <c r="IQX49" s="9"/>
      <c r="IQY49" s="9"/>
      <c r="IQZ49" s="9"/>
      <c r="IRA49" s="9"/>
      <c r="IRB49" s="9"/>
      <c r="IRC49" s="9"/>
      <c r="IRD49" s="9"/>
      <c r="IRE49" s="9"/>
      <c r="IRF49" s="9"/>
      <c r="IRG49" s="9"/>
      <c r="IRH49" s="9"/>
      <c r="IRI49" s="9"/>
      <c r="IRJ49" s="9"/>
      <c r="IRK49" s="9"/>
      <c r="IRL49" s="9"/>
      <c r="IRM49" s="9"/>
      <c r="IRN49" s="9"/>
      <c r="IRO49" s="9"/>
      <c r="IRP49" s="9"/>
      <c r="IRQ49" s="9"/>
      <c r="IRR49" s="9"/>
      <c r="IRS49" s="9"/>
      <c r="IRT49" s="9"/>
      <c r="IRU49" s="9"/>
      <c r="IRV49" s="9"/>
      <c r="IRW49" s="9"/>
      <c r="IRX49" s="9"/>
      <c r="IRY49" s="9"/>
      <c r="IRZ49" s="9"/>
      <c r="ISA49" s="9"/>
      <c r="ISB49" s="9"/>
      <c r="ISC49" s="9"/>
      <c r="ISD49" s="9"/>
      <c r="ISE49" s="9"/>
      <c r="ISF49" s="9"/>
      <c r="ISG49" s="9"/>
      <c r="ISH49" s="9"/>
      <c r="ISI49" s="9"/>
      <c r="ISJ49" s="9"/>
      <c r="ISK49" s="9"/>
      <c r="ISL49" s="9"/>
      <c r="ISM49" s="9"/>
      <c r="ISN49" s="9"/>
      <c r="ISO49" s="9"/>
      <c r="ISP49" s="9"/>
      <c r="ISQ49" s="9"/>
      <c r="ISR49" s="9"/>
      <c r="ISS49" s="9"/>
      <c r="IST49" s="9"/>
      <c r="ISU49" s="9"/>
      <c r="ISV49" s="9"/>
      <c r="ISW49" s="9"/>
      <c r="ISX49" s="9"/>
      <c r="ISY49" s="9"/>
      <c r="ISZ49" s="9"/>
      <c r="ITA49" s="9"/>
      <c r="ITB49" s="9"/>
      <c r="ITC49" s="9"/>
      <c r="ITD49" s="9"/>
      <c r="ITE49" s="9"/>
      <c r="ITF49" s="9"/>
      <c r="ITG49" s="9"/>
      <c r="ITH49" s="9"/>
      <c r="ITI49" s="9"/>
      <c r="ITJ49" s="9"/>
      <c r="ITK49" s="9"/>
      <c r="ITL49" s="9"/>
      <c r="ITM49" s="9"/>
      <c r="ITN49" s="9"/>
      <c r="ITO49" s="9"/>
      <c r="ITP49" s="9"/>
      <c r="ITQ49" s="9"/>
      <c r="ITR49" s="9"/>
      <c r="ITS49" s="9"/>
      <c r="ITT49" s="9"/>
      <c r="ITU49" s="9"/>
      <c r="ITV49" s="9"/>
      <c r="ITW49" s="9"/>
      <c r="ITX49" s="9"/>
      <c r="ITY49" s="9"/>
      <c r="ITZ49" s="9"/>
      <c r="IUA49" s="9"/>
      <c r="IUB49" s="9"/>
      <c r="IUC49" s="9"/>
      <c r="IUD49" s="9"/>
      <c r="IUE49" s="9"/>
      <c r="IUF49" s="9"/>
      <c r="IUG49" s="9"/>
      <c r="IUH49" s="9"/>
      <c r="IUI49" s="9"/>
      <c r="IUJ49" s="9"/>
      <c r="IUK49" s="9"/>
      <c r="IUL49" s="9"/>
      <c r="IUM49" s="9"/>
      <c r="IUN49" s="9"/>
      <c r="IUO49" s="9"/>
      <c r="IUP49" s="9"/>
      <c r="IUQ49" s="9"/>
      <c r="IUR49" s="9"/>
      <c r="IUS49" s="9"/>
      <c r="IUT49" s="9"/>
      <c r="IUU49" s="9"/>
      <c r="IUV49" s="9"/>
      <c r="IUW49" s="9"/>
      <c r="IUX49" s="9"/>
      <c r="IUY49" s="9"/>
      <c r="IUZ49" s="9"/>
      <c r="IVA49" s="9"/>
      <c r="IVB49" s="9"/>
      <c r="IVC49" s="9"/>
      <c r="IVD49" s="9"/>
      <c r="IVE49" s="9"/>
      <c r="IVF49" s="9"/>
      <c r="IVG49" s="9"/>
      <c r="IVH49" s="9"/>
      <c r="IVI49" s="9"/>
      <c r="IVJ49" s="9"/>
      <c r="IVK49" s="9"/>
      <c r="IVL49" s="9"/>
      <c r="IVM49" s="9"/>
      <c r="IVN49" s="9"/>
      <c r="IVO49" s="9"/>
      <c r="IVP49" s="9"/>
      <c r="IVQ49" s="9"/>
      <c r="IVR49" s="9"/>
      <c r="IVS49" s="9"/>
      <c r="IVT49" s="9"/>
      <c r="IVU49" s="9"/>
      <c r="IVV49" s="9"/>
      <c r="IVW49" s="9"/>
      <c r="IVX49" s="9"/>
      <c r="IVY49" s="9"/>
      <c r="IVZ49" s="9"/>
      <c r="IWA49" s="9"/>
      <c r="IWB49" s="9"/>
      <c r="IWC49" s="9"/>
      <c r="IWD49" s="9"/>
      <c r="IWE49" s="9"/>
      <c r="IWF49" s="9"/>
      <c r="IWG49" s="9"/>
      <c r="IWH49" s="9"/>
      <c r="IWI49" s="9"/>
      <c r="IWJ49" s="9"/>
      <c r="IWK49" s="9"/>
      <c r="IWL49" s="9"/>
      <c r="IWM49" s="9"/>
      <c r="IWN49" s="9"/>
      <c r="IWO49" s="9"/>
      <c r="IWP49" s="9"/>
      <c r="IWQ49" s="9"/>
      <c r="IWR49" s="9"/>
      <c r="IWS49" s="9"/>
      <c r="IWT49" s="9"/>
      <c r="IWU49" s="9"/>
      <c r="IWV49" s="9"/>
      <c r="IWW49" s="9"/>
      <c r="IWX49" s="9"/>
      <c r="IWY49" s="9"/>
      <c r="IWZ49" s="9"/>
      <c r="IXA49" s="9"/>
      <c r="IXB49" s="9"/>
      <c r="IXC49" s="9"/>
      <c r="IXD49" s="9"/>
      <c r="IXE49" s="9"/>
      <c r="IXF49" s="9"/>
      <c r="IXG49" s="9"/>
      <c r="IXH49" s="9"/>
      <c r="IXI49" s="9"/>
      <c r="IXJ49" s="9"/>
      <c r="IXK49" s="9"/>
      <c r="IXL49" s="9"/>
      <c r="IXM49" s="9"/>
      <c r="IXN49" s="9"/>
      <c r="IXO49" s="9"/>
      <c r="IXP49" s="9"/>
      <c r="IXQ49" s="9"/>
      <c r="IXR49" s="9"/>
      <c r="IXS49" s="9"/>
      <c r="IXT49" s="9"/>
      <c r="IXU49" s="9"/>
      <c r="IXV49" s="9"/>
      <c r="IXW49" s="9"/>
      <c r="IXX49" s="9"/>
      <c r="IXY49" s="9"/>
      <c r="IXZ49" s="9"/>
      <c r="IYA49" s="9"/>
      <c r="IYB49" s="9"/>
      <c r="IYC49" s="9"/>
      <c r="IYD49" s="9"/>
      <c r="IYE49" s="9"/>
      <c r="IYF49" s="9"/>
      <c r="IYG49" s="9"/>
      <c r="IYH49" s="9"/>
      <c r="IYI49" s="9"/>
      <c r="IYJ49" s="9"/>
      <c r="IYK49" s="9"/>
      <c r="IYL49" s="9"/>
      <c r="IYM49" s="9"/>
      <c r="IYN49" s="9"/>
      <c r="IYO49" s="9"/>
      <c r="IYP49" s="9"/>
      <c r="IYQ49" s="9"/>
      <c r="IYR49" s="9"/>
      <c r="IYS49" s="9"/>
      <c r="IYT49" s="9"/>
      <c r="IYU49" s="9"/>
      <c r="IYV49" s="9"/>
      <c r="IYW49" s="9"/>
      <c r="IYX49" s="9"/>
      <c r="IYY49" s="9"/>
      <c r="IYZ49" s="9"/>
      <c r="IZA49" s="9"/>
      <c r="IZB49" s="9"/>
      <c r="IZC49" s="9"/>
      <c r="IZD49" s="9"/>
      <c r="IZE49" s="9"/>
      <c r="IZF49" s="9"/>
      <c r="IZG49" s="9"/>
      <c r="IZH49" s="9"/>
      <c r="IZI49" s="9"/>
      <c r="IZJ49" s="9"/>
      <c r="IZK49" s="9"/>
      <c r="IZL49" s="9"/>
      <c r="IZM49" s="9"/>
      <c r="IZN49" s="9"/>
      <c r="IZO49" s="9"/>
      <c r="IZP49" s="9"/>
      <c r="IZQ49" s="9"/>
      <c r="IZR49" s="9"/>
      <c r="IZS49" s="9"/>
      <c r="IZT49" s="9"/>
      <c r="IZU49" s="9"/>
      <c r="IZV49" s="9"/>
      <c r="IZW49" s="9"/>
      <c r="IZX49" s="9"/>
      <c r="IZY49" s="9"/>
      <c r="IZZ49" s="9"/>
      <c r="JAA49" s="9"/>
      <c r="JAB49" s="9"/>
      <c r="JAC49" s="9"/>
      <c r="JAD49" s="9"/>
      <c r="JAE49" s="9"/>
      <c r="JAF49" s="9"/>
      <c r="JAG49" s="9"/>
      <c r="JAH49" s="9"/>
      <c r="JAI49" s="9"/>
      <c r="JAJ49" s="9"/>
      <c r="JAK49" s="9"/>
      <c r="JAL49" s="9"/>
      <c r="JAM49" s="9"/>
      <c r="JAN49" s="9"/>
      <c r="JAO49" s="9"/>
      <c r="JAP49" s="9"/>
      <c r="JAQ49" s="9"/>
      <c r="JAR49" s="9"/>
      <c r="JAS49" s="9"/>
      <c r="JAT49" s="9"/>
      <c r="JAU49" s="9"/>
      <c r="JAV49" s="9"/>
      <c r="JAW49" s="9"/>
      <c r="JAX49" s="9"/>
      <c r="JAY49" s="9"/>
      <c r="JAZ49" s="9"/>
      <c r="JBA49" s="9"/>
      <c r="JBB49" s="9"/>
      <c r="JBC49" s="9"/>
      <c r="JBD49" s="9"/>
      <c r="JBE49" s="9"/>
      <c r="JBF49" s="9"/>
      <c r="JBG49" s="9"/>
      <c r="JBH49" s="9"/>
      <c r="JBI49" s="9"/>
      <c r="JBJ49" s="9"/>
      <c r="JBK49" s="9"/>
      <c r="JBL49" s="9"/>
      <c r="JBM49" s="9"/>
      <c r="JBN49" s="9"/>
      <c r="JBO49" s="9"/>
      <c r="JBP49" s="9"/>
      <c r="JBQ49" s="9"/>
      <c r="JBR49" s="9"/>
      <c r="JBS49" s="9"/>
      <c r="JBT49" s="9"/>
      <c r="JBU49" s="9"/>
      <c r="JBV49" s="9"/>
      <c r="JBW49" s="9"/>
      <c r="JBX49" s="9"/>
      <c r="JBY49" s="9"/>
      <c r="JBZ49" s="9"/>
      <c r="JCA49" s="9"/>
      <c r="JCB49" s="9"/>
      <c r="JCC49" s="9"/>
      <c r="JCD49" s="9"/>
      <c r="JCE49" s="9"/>
      <c r="JCF49" s="9"/>
      <c r="JCG49" s="9"/>
      <c r="JCH49" s="9"/>
      <c r="JCI49" s="9"/>
      <c r="JCJ49" s="9"/>
      <c r="JCK49" s="9"/>
      <c r="JCL49" s="9"/>
      <c r="JCM49" s="9"/>
      <c r="JCN49" s="9"/>
      <c r="JCO49" s="9"/>
      <c r="JCP49" s="9"/>
      <c r="JCQ49" s="9"/>
      <c r="JCR49" s="9"/>
      <c r="JCS49" s="9"/>
      <c r="JCT49" s="9"/>
      <c r="JCU49" s="9"/>
      <c r="JCV49" s="9"/>
      <c r="JCW49" s="9"/>
      <c r="JCX49" s="9"/>
      <c r="JCY49" s="9"/>
      <c r="JCZ49" s="9"/>
      <c r="JDA49" s="9"/>
      <c r="JDB49" s="9"/>
      <c r="JDC49" s="9"/>
      <c r="JDD49" s="9"/>
      <c r="JDE49" s="9"/>
      <c r="JDF49" s="9"/>
      <c r="JDG49" s="9"/>
      <c r="JDH49" s="9"/>
      <c r="JDI49" s="9"/>
      <c r="JDJ49" s="9"/>
      <c r="JDK49" s="9"/>
      <c r="JDL49" s="9"/>
      <c r="JDM49" s="9"/>
      <c r="JDN49" s="9"/>
      <c r="JDO49" s="9"/>
      <c r="JDP49" s="9"/>
      <c r="JDQ49" s="9"/>
      <c r="JDR49" s="9"/>
      <c r="JDS49" s="9"/>
      <c r="JDT49" s="9"/>
      <c r="JDU49" s="9"/>
      <c r="JDV49" s="9"/>
      <c r="JDW49" s="9"/>
      <c r="JDX49" s="9"/>
      <c r="JDY49" s="9"/>
      <c r="JDZ49" s="9"/>
      <c r="JEA49" s="9"/>
      <c r="JEB49" s="9"/>
      <c r="JEC49" s="9"/>
      <c r="JED49" s="9"/>
      <c r="JEE49" s="9"/>
      <c r="JEF49" s="9"/>
      <c r="JEG49" s="9"/>
      <c r="JEH49" s="9"/>
      <c r="JEI49" s="9"/>
      <c r="JEJ49" s="9"/>
      <c r="JEK49" s="9"/>
      <c r="JEL49" s="9"/>
      <c r="JEM49" s="9"/>
      <c r="JEN49" s="9"/>
      <c r="JEO49" s="9"/>
      <c r="JEP49" s="9"/>
      <c r="JEQ49" s="9"/>
      <c r="JER49" s="9"/>
      <c r="JES49" s="9"/>
      <c r="JET49" s="9"/>
      <c r="JEU49" s="9"/>
      <c r="JEV49" s="9"/>
      <c r="JEW49" s="9"/>
      <c r="JEX49" s="9"/>
      <c r="JEY49" s="9"/>
      <c r="JEZ49" s="9"/>
      <c r="JFA49" s="9"/>
      <c r="JFB49" s="9"/>
      <c r="JFC49" s="9"/>
      <c r="JFD49" s="9"/>
      <c r="JFE49" s="9"/>
      <c r="JFF49" s="9"/>
      <c r="JFG49" s="9"/>
      <c r="JFH49" s="9"/>
      <c r="JFI49" s="9"/>
      <c r="JFJ49" s="9"/>
      <c r="JFK49" s="9"/>
      <c r="JFL49" s="9"/>
      <c r="JFM49" s="9"/>
      <c r="JFN49" s="9"/>
      <c r="JFO49" s="9"/>
      <c r="JFP49" s="9"/>
      <c r="JFQ49" s="9"/>
      <c r="JFR49" s="9"/>
      <c r="JFS49" s="9"/>
      <c r="JFT49" s="9"/>
      <c r="JFU49" s="9"/>
      <c r="JFV49" s="9"/>
      <c r="JFW49" s="9"/>
      <c r="JFX49" s="9"/>
      <c r="JFY49" s="9"/>
      <c r="JFZ49" s="9"/>
      <c r="JGA49" s="9"/>
      <c r="JGB49" s="9"/>
      <c r="JGC49" s="9"/>
      <c r="JGD49" s="9"/>
      <c r="JGE49" s="9"/>
      <c r="JGF49" s="9"/>
      <c r="JGG49" s="9"/>
      <c r="JGH49" s="9"/>
      <c r="JGI49" s="9"/>
      <c r="JGJ49" s="9"/>
      <c r="JGK49" s="9"/>
      <c r="JGL49" s="9"/>
      <c r="JGM49" s="9"/>
      <c r="JGN49" s="9"/>
      <c r="JGO49" s="9"/>
      <c r="JGP49" s="9"/>
      <c r="JGQ49" s="9"/>
      <c r="JGR49" s="9"/>
      <c r="JGS49" s="9"/>
      <c r="JGT49" s="9"/>
      <c r="JGU49" s="9"/>
      <c r="JGV49" s="9"/>
      <c r="JGW49" s="9"/>
      <c r="JGX49" s="9"/>
      <c r="JGY49" s="9"/>
      <c r="JGZ49" s="9"/>
      <c r="JHA49" s="9"/>
      <c r="JHB49" s="9"/>
      <c r="JHC49" s="9"/>
      <c r="JHD49" s="9"/>
      <c r="JHE49" s="9"/>
      <c r="JHF49" s="9"/>
      <c r="JHG49" s="9"/>
      <c r="JHH49" s="9"/>
      <c r="JHI49" s="9"/>
      <c r="JHJ49" s="9"/>
      <c r="JHK49" s="9"/>
      <c r="JHL49" s="9"/>
      <c r="JHM49" s="9"/>
      <c r="JHN49" s="9"/>
      <c r="JHO49" s="9"/>
      <c r="JHP49" s="9"/>
      <c r="JHQ49" s="9"/>
      <c r="JHR49" s="9"/>
      <c r="JHS49" s="9"/>
      <c r="JHT49" s="9"/>
      <c r="JHU49" s="9"/>
      <c r="JHV49" s="9"/>
      <c r="JHW49" s="9"/>
      <c r="JHX49" s="9"/>
      <c r="JHY49" s="9"/>
      <c r="JHZ49" s="9"/>
      <c r="JIA49" s="9"/>
      <c r="JIB49" s="9"/>
      <c r="JIC49" s="9"/>
      <c r="JID49" s="9"/>
      <c r="JIE49" s="9"/>
      <c r="JIF49" s="9"/>
      <c r="JIG49" s="9"/>
      <c r="JIH49" s="9"/>
      <c r="JII49" s="9"/>
      <c r="JIJ49" s="9"/>
      <c r="JIK49" s="9"/>
      <c r="JIL49" s="9"/>
      <c r="JIM49" s="9"/>
      <c r="JIN49" s="9"/>
      <c r="JIO49" s="9"/>
      <c r="JIP49" s="9"/>
      <c r="JIQ49" s="9"/>
      <c r="JIR49" s="9"/>
      <c r="JIS49" s="9"/>
      <c r="JIT49" s="9"/>
      <c r="JIU49" s="9"/>
      <c r="JIV49" s="9"/>
      <c r="JIW49" s="9"/>
      <c r="JIX49" s="9"/>
      <c r="JIY49" s="9"/>
      <c r="JIZ49" s="9"/>
      <c r="JJA49" s="9"/>
      <c r="JJB49" s="9"/>
      <c r="JJC49" s="9"/>
      <c r="JJD49" s="9"/>
      <c r="JJE49" s="9"/>
      <c r="JJF49" s="9"/>
      <c r="JJG49" s="9"/>
      <c r="JJH49" s="9"/>
      <c r="JJI49" s="9"/>
      <c r="JJJ49" s="9"/>
      <c r="JJK49" s="9"/>
      <c r="JJL49" s="9"/>
      <c r="JJM49" s="9"/>
      <c r="JJN49" s="9"/>
      <c r="JJO49" s="9"/>
      <c r="JJP49" s="9"/>
      <c r="JJQ49" s="9"/>
      <c r="JJR49" s="9"/>
      <c r="JJS49" s="9"/>
      <c r="JJT49" s="9"/>
      <c r="JJU49" s="9"/>
      <c r="JJV49" s="9"/>
      <c r="JJW49" s="9"/>
      <c r="JJX49" s="9"/>
      <c r="JJY49" s="9"/>
      <c r="JJZ49" s="9"/>
      <c r="JKA49" s="9"/>
      <c r="JKB49" s="9"/>
      <c r="JKC49" s="9"/>
      <c r="JKD49" s="9"/>
      <c r="JKE49" s="9"/>
      <c r="JKF49" s="9"/>
      <c r="JKG49" s="9"/>
      <c r="JKH49" s="9"/>
      <c r="JKI49" s="9"/>
      <c r="JKJ49" s="9"/>
      <c r="JKK49" s="9"/>
      <c r="JKL49" s="9"/>
      <c r="JKM49" s="9"/>
      <c r="JKN49" s="9"/>
      <c r="JKO49" s="9"/>
      <c r="JKP49" s="9"/>
      <c r="JKQ49" s="9"/>
      <c r="JKR49" s="9"/>
      <c r="JKS49" s="9"/>
      <c r="JKT49" s="9"/>
      <c r="JKU49" s="9"/>
      <c r="JKV49" s="9"/>
      <c r="JKW49" s="9"/>
      <c r="JKX49" s="9"/>
      <c r="JKY49" s="9"/>
      <c r="JKZ49" s="9"/>
      <c r="JLA49" s="9"/>
      <c r="JLB49" s="9"/>
      <c r="JLC49" s="9"/>
      <c r="JLD49" s="9"/>
      <c r="JLE49" s="9"/>
      <c r="JLF49" s="9"/>
      <c r="JLG49" s="9"/>
      <c r="JLH49" s="9"/>
      <c r="JLI49" s="9"/>
      <c r="JLJ49" s="9"/>
      <c r="JLK49" s="9"/>
      <c r="JLL49" s="9"/>
      <c r="JLM49" s="9"/>
      <c r="JLN49" s="9"/>
      <c r="JLO49" s="9"/>
      <c r="JLP49" s="9"/>
      <c r="JLQ49" s="9"/>
      <c r="JLR49" s="9"/>
      <c r="JLS49" s="9"/>
      <c r="JLT49" s="9"/>
      <c r="JLU49" s="9"/>
      <c r="JLV49" s="9"/>
      <c r="JLW49" s="9"/>
      <c r="JLX49" s="9"/>
      <c r="JLY49" s="9"/>
      <c r="JLZ49" s="9"/>
      <c r="JMA49" s="9"/>
      <c r="JMB49" s="9"/>
      <c r="JMC49" s="9"/>
      <c r="JMD49" s="9"/>
      <c r="JME49" s="9"/>
      <c r="JMF49" s="9"/>
      <c r="JMG49" s="9"/>
      <c r="JMH49" s="9"/>
      <c r="JMI49" s="9"/>
      <c r="JMJ49" s="9"/>
      <c r="JMK49" s="9"/>
      <c r="JML49" s="9"/>
      <c r="JMM49" s="9"/>
      <c r="JMN49" s="9"/>
      <c r="JMO49" s="9"/>
      <c r="JMP49" s="9"/>
      <c r="JMQ49" s="9"/>
      <c r="JMR49" s="9"/>
      <c r="JMS49" s="9"/>
      <c r="JMT49" s="9"/>
      <c r="JMU49" s="9"/>
      <c r="JMV49" s="9"/>
      <c r="JMW49" s="9"/>
      <c r="JMX49" s="9"/>
      <c r="JMY49" s="9"/>
      <c r="JMZ49" s="9"/>
      <c r="JNA49" s="9"/>
      <c r="JNB49" s="9"/>
      <c r="JNC49" s="9"/>
      <c r="JND49" s="9"/>
      <c r="JNE49" s="9"/>
      <c r="JNF49" s="9"/>
      <c r="JNG49" s="9"/>
      <c r="JNH49" s="9"/>
      <c r="JNI49" s="9"/>
      <c r="JNJ49" s="9"/>
      <c r="JNK49" s="9"/>
      <c r="JNL49" s="9"/>
      <c r="JNM49" s="9"/>
      <c r="JNN49" s="9"/>
      <c r="JNO49" s="9"/>
      <c r="JNP49" s="9"/>
      <c r="JNQ49" s="9"/>
      <c r="JNR49" s="9"/>
      <c r="JNS49" s="9"/>
      <c r="JNT49" s="9"/>
      <c r="JNU49" s="9"/>
      <c r="JNV49" s="9"/>
      <c r="JNW49" s="9"/>
      <c r="JNX49" s="9"/>
      <c r="JNY49" s="9"/>
      <c r="JNZ49" s="9"/>
      <c r="JOA49" s="9"/>
      <c r="JOB49" s="9"/>
      <c r="JOC49" s="9"/>
      <c r="JOD49" s="9"/>
      <c r="JOE49" s="9"/>
      <c r="JOF49" s="9"/>
      <c r="JOG49" s="9"/>
      <c r="JOH49" s="9"/>
      <c r="JOI49" s="9"/>
      <c r="JOJ49" s="9"/>
      <c r="JOK49" s="9"/>
      <c r="JOL49" s="9"/>
      <c r="JOM49" s="9"/>
      <c r="JON49" s="9"/>
      <c r="JOO49" s="9"/>
      <c r="JOP49" s="9"/>
      <c r="JOQ49" s="9"/>
      <c r="JOR49" s="9"/>
      <c r="JOS49" s="9"/>
      <c r="JOT49" s="9"/>
      <c r="JOU49" s="9"/>
      <c r="JOV49" s="9"/>
      <c r="JOW49" s="9"/>
      <c r="JOX49" s="9"/>
      <c r="JOY49" s="9"/>
      <c r="JOZ49" s="9"/>
      <c r="JPA49" s="9"/>
      <c r="JPB49" s="9"/>
      <c r="JPC49" s="9"/>
      <c r="JPD49" s="9"/>
      <c r="JPE49" s="9"/>
      <c r="JPF49" s="9"/>
      <c r="JPG49" s="9"/>
      <c r="JPH49" s="9"/>
      <c r="JPI49" s="9"/>
      <c r="JPJ49" s="9"/>
      <c r="JPK49" s="9"/>
      <c r="JPL49" s="9"/>
      <c r="JPM49" s="9"/>
      <c r="JPN49" s="9"/>
      <c r="JPO49" s="9"/>
      <c r="JPP49" s="9"/>
      <c r="JPQ49" s="9"/>
      <c r="JPR49" s="9"/>
      <c r="JPS49" s="9"/>
      <c r="JPT49" s="9"/>
      <c r="JPU49" s="9"/>
      <c r="JPV49" s="9"/>
      <c r="JPW49" s="9"/>
      <c r="JPX49" s="9"/>
      <c r="JPY49" s="9"/>
      <c r="JPZ49" s="9"/>
      <c r="JQA49" s="9"/>
      <c r="JQB49" s="9"/>
      <c r="JQC49" s="9"/>
      <c r="JQD49" s="9"/>
      <c r="JQE49" s="9"/>
      <c r="JQF49" s="9"/>
      <c r="JQG49" s="9"/>
      <c r="JQH49" s="9"/>
      <c r="JQI49" s="9"/>
      <c r="JQJ49" s="9"/>
      <c r="JQK49" s="9"/>
      <c r="JQL49" s="9"/>
      <c r="JQM49" s="9"/>
      <c r="JQN49" s="9"/>
      <c r="JQO49" s="9"/>
      <c r="JQP49" s="9"/>
      <c r="JQQ49" s="9"/>
      <c r="JQR49" s="9"/>
      <c r="JQS49" s="9"/>
      <c r="JQT49" s="9"/>
      <c r="JQU49" s="9"/>
      <c r="JQV49" s="9"/>
      <c r="JQW49" s="9"/>
      <c r="JQX49" s="9"/>
      <c r="JQY49" s="9"/>
      <c r="JQZ49" s="9"/>
      <c r="JRA49" s="9"/>
      <c r="JRB49" s="9"/>
      <c r="JRC49" s="9"/>
      <c r="JRD49" s="9"/>
      <c r="JRE49" s="9"/>
      <c r="JRF49" s="9"/>
      <c r="JRG49" s="9"/>
      <c r="JRH49" s="9"/>
      <c r="JRI49" s="9"/>
      <c r="JRJ49" s="9"/>
      <c r="JRK49" s="9"/>
      <c r="JRL49" s="9"/>
      <c r="JRM49" s="9"/>
      <c r="JRN49" s="9"/>
      <c r="JRO49" s="9"/>
      <c r="JRP49" s="9"/>
      <c r="JRQ49" s="9"/>
      <c r="JRR49" s="9"/>
      <c r="JRS49" s="9"/>
      <c r="JRT49" s="9"/>
      <c r="JRU49" s="9"/>
      <c r="JRV49" s="9"/>
      <c r="JRW49" s="9"/>
      <c r="JRX49" s="9"/>
      <c r="JRY49" s="9"/>
      <c r="JRZ49" s="9"/>
      <c r="JSA49" s="9"/>
      <c r="JSB49" s="9"/>
      <c r="JSC49" s="9"/>
      <c r="JSD49" s="9"/>
      <c r="JSE49" s="9"/>
      <c r="JSF49" s="9"/>
      <c r="JSG49" s="9"/>
      <c r="JSH49" s="9"/>
      <c r="JSI49" s="9"/>
      <c r="JSJ49" s="9"/>
      <c r="JSK49" s="9"/>
      <c r="JSL49" s="9"/>
      <c r="JSM49" s="9"/>
      <c r="JSN49" s="9"/>
      <c r="JSO49" s="9"/>
      <c r="JSP49" s="9"/>
      <c r="JSQ49" s="9"/>
      <c r="JSR49" s="9"/>
      <c r="JSS49" s="9"/>
      <c r="JST49" s="9"/>
      <c r="JSU49" s="9"/>
      <c r="JSV49" s="9"/>
      <c r="JSW49" s="9"/>
      <c r="JSX49" s="9"/>
      <c r="JSY49" s="9"/>
      <c r="JSZ49" s="9"/>
      <c r="JTA49" s="9"/>
      <c r="JTB49" s="9"/>
      <c r="JTC49" s="9"/>
      <c r="JTD49" s="9"/>
      <c r="JTE49" s="9"/>
      <c r="JTF49" s="9"/>
      <c r="JTG49" s="9"/>
      <c r="JTH49" s="9"/>
      <c r="JTI49" s="9"/>
      <c r="JTJ49" s="9"/>
      <c r="JTK49" s="9"/>
      <c r="JTL49" s="9"/>
      <c r="JTM49" s="9"/>
      <c r="JTN49" s="9"/>
      <c r="JTO49" s="9"/>
      <c r="JTP49" s="9"/>
      <c r="JTQ49" s="9"/>
      <c r="JTR49" s="9"/>
      <c r="JTS49" s="9"/>
      <c r="JTT49" s="9"/>
      <c r="JTU49" s="9"/>
      <c r="JTV49" s="9"/>
      <c r="JTW49" s="9"/>
      <c r="JTX49" s="9"/>
      <c r="JTY49" s="9"/>
      <c r="JTZ49" s="9"/>
      <c r="JUA49" s="9"/>
      <c r="JUB49" s="9"/>
      <c r="JUC49" s="9"/>
      <c r="JUD49" s="9"/>
      <c r="JUE49" s="9"/>
      <c r="JUF49" s="9"/>
      <c r="JUG49" s="9"/>
      <c r="JUH49" s="9"/>
      <c r="JUI49" s="9"/>
      <c r="JUJ49" s="9"/>
      <c r="JUK49" s="9"/>
      <c r="JUL49" s="9"/>
      <c r="JUM49" s="9"/>
      <c r="JUN49" s="9"/>
      <c r="JUO49" s="9"/>
      <c r="JUP49" s="9"/>
      <c r="JUQ49" s="9"/>
      <c r="JUR49" s="9"/>
      <c r="JUS49" s="9"/>
      <c r="JUT49" s="9"/>
      <c r="JUU49" s="9"/>
      <c r="JUV49" s="9"/>
      <c r="JUW49" s="9"/>
      <c r="JUX49" s="9"/>
      <c r="JUY49" s="9"/>
      <c r="JUZ49" s="9"/>
      <c r="JVA49" s="9"/>
      <c r="JVB49" s="9"/>
      <c r="JVC49" s="9"/>
      <c r="JVD49" s="9"/>
      <c r="JVE49" s="9"/>
      <c r="JVF49" s="9"/>
      <c r="JVG49" s="9"/>
      <c r="JVH49" s="9"/>
      <c r="JVI49" s="9"/>
      <c r="JVJ49" s="9"/>
      <c r="JVK49" s="9"/>
      <c r="JVL49" s="9"/>
      <c r="JVM49" s="9"/>
      <c r="JVN49" s="9"/>
      <c r="JVO49" s="9"/>
      <c r="JVP49" s="9"/>
      <c r="JVQ49" s="9"/>
      <c r="JVR49" s="9"/>
      <c r="JVS49" s="9"/>
      <c r="JVT49" s="9"/>
      <c r="JVU49" s="9"/>
      <c r="JVV49" s="9"/>
      <c r="JVW49" s="9"/>
      <c r="JVX49" s="9"/>
      <c r="JVY49" s="9"/>
      <c r="JVZ49" s="9"/>
      <c r="JWA49" s="9"/>
      <c r="JWB49" s="9"/>
      <c r="JWC49" s="9"/>
      <c r="JWD49" s="9"/>
      <c r="JWE49" s="9"/>
      <c r="JWF49" s="9"/>
      <c r="JWG49" s="9"/>
      <c r="JWH49" s="9"/>
      <c r="JWI49" s="9"/>
      <c r="JWJ49" s="9"/>
      <c r="JWK49" s="9"/>
      <c r="JWL49" s="9"/>
      <c r="JWM49" s="9"/>
      <c r="JWN49" s="9"/>
      <c r="JWO49" s="9"/>
      <c r="JWP49" s="9"/>
      <c r="JWQ49" s="9"/>
      <c r="JWR49" s="9"/>
      <c r="JWS49" s="9"/>
      <c r="JWT49" s="9"/>
      <c r="JWU49" s="9"/>
      <c r="JWV49" s="9"/>
      <c r="JWW49" s="9"/>
      <c r="JWX49" s="9"/>
      <c r="JWY49" s="9"/>
      <c r="JWZ49" s="9"/>
      <c r="JXA49" s="9"/>
      <c r="JXB49" s="9"/>
      <c r="JXC49" s="9"/>
      <c r="JXD49" s="9"/>
      <c r="JXE49" s="9"/>
      <c r="JXF49" s="9"/>
      <c r="JXG49" s="9"/>
      <c r="JXH49" s="9"/>
      <c r="JXI49" s="9"/>
      <c r="JXJ49" s="9"/>
      <c r="JXK49" s="9"/>
      <c r="JXL49" s="9"/>
      <c r="JXM49" s="9"/>
      <c r="JXN49" s="9"/>
      <c r="JXO49" s="9"/>
      <c r="JXP49" s="9"/>
      <c r="JXQ49" s="9"/>
      <c r="JXR49" s="9"/>
      <c r="JXS49" s="9"/>
      <c r="JXT49" s="9"/>
      <c r="JXU49" s="9"/>
      <c r="JXV49" s="9"/>
      <c r="JXW49" s="9"/>
      <c r="JXX49" s="9"/>
      <c r="JXY49" s="9"/>
      <c r="JXZ49" s="9"/>
      <c r="JYA49" s="9"/>
      <c r="JYB49" s="9"/>
      <c r="JYC49" s="9"/>
      <c r="JYD49" s="9"/>
      <c r="JYE49" s="9"/>
      <c r="JYF49" s="9"/>
      <c r="JYG49" s="9"/>
      <c r="JYH49" s="9"/>
      <c r="JYI49" s="9"/>
      <c r="JYJ49" s="9"/>
      <c r="JYK49" s="9"/>
      <c r="JYL49" s="9"/>
      <c r="JYM49" s="9"/>
      <c r="JYN49" s="9"/>
      <c r="JYO49" s="9"/>
      <c r="JYP49" s="9"/>
      <c r="JYQ49" s="9"/>
      <c r="JYR49" s="9"/>
      <c r="JYS49" s="9"/>
      <c r="JYT49" s="9"/>
      <c r="JYU49" s="9"/>
      <c r="JYV49" s="9"/>
      <c r="JYW49" s="9"/>
      <c r="JYX49" s="9"/>
      <c r="JYY49" s="9"/>
      <c r="JYZ49" s="9"/>
      <c r="JZA49" s="9"/>
      <c r="JZB49" s="9"/>
      <c r="JZC49" s="9"/>
      <c r="JZD49" s="9"/>
      <c r="JZE49" s="9"/>
      <c r="JZF49" s="9"/>
      <c r="JZG49" s="9"/>
      <c r="JZH49" s="9"/>
      <c r="JZI49" s="9"/>
      <c r="JZJ49" s="9"/>
      <c r="JZK49" s="9"/>
      <c r="JZL49" s="9"/>
      <c r="JZM49" s="9"/>
      <c r="JZN49" s="9"/>
      <c r="JZO49" s="9"/>
      <c r="JZP49" s="9"/>
      <c r="JZQ49" s="9"/>
      <c r="JZR49" s="9"/>
      <c r="JZS49" s="9"/>
      <c r="JZT49" s="9"/>
      <c r="JZU49" s="9"/>
      <c r="JZV49" s="9"/>
      <c r="JZW49" s="9"/>
      <c r="JZX49" s="9"/>
      <c r="JZY49" s="9"/>
      <c r="JZZ49" s="9"/>
      <c r="KAA49" s="9"/>
      <c r="KAB49" s="9"/>
      <c r="KAC49" s="9"/>
      <c r="KAD49" s="9"/>
      <c r="KAE49" s="9"/>
      <c r="KAF49" s="9"/>
      <c r="KAG49" s="9"/>
      <c r="KAH49" s="9"/>
      <c r="KAI49" s="9"/>
      <c r="KAJ49" s="9"/>
      <c r="KAK49" s="9"/>
      <c r="KAL49" s="9"/>
      <c r="KAM49" s="9"/>
      <c r="KAN49" s="9"/>
      <c r="KAO49" s="9"/>
      <c r="KAP49" s="9"/>
      <c r="KAQ49" s="9"/>
      <c r="KAR49" s="9"/>
      <c r="KAS49" s="9"/>
      <c r="KAT49" s="9"/>
      <c r="KAU49" s="9"/>
      <c r="KAV49" s="9"/>
      <c r="KAW49" s="9"/>
      <c r="KAX49" s="9"/>
      <c r="KAY49" s="9"/>
      <c r="KAZ49" s="9"/>
      <c r="KBA49" s="9"/>
      <c r="KBB49" s="9"/>
      <c r="KBC49" s="9"/>
      <c r="KBD49" s="9"/>
      <c r="KBE49" s="9"/>
      <c r="KBF49" s="9"/>
      <c r="KBG49" s="9"/>
      <c r="KBH49" s="9"/>
      <c r="KBI49" s="9"/>
      <c r="KBJ49" s="9"/>
      <c r="KBK49" s="9"/>
      <c r="KBL49" s="9"/>
      <c r="KBM49" s="9"/>
      <c r="KBN49" s="9"/>
      <c r="KBO49" s="9"/>
      <c r="KBP49" s="9"/>
      <c r="KBQ49" s="9"/>
      <c r="KBR49" s="9"/>
      <c r="KBS49" s="9"/>
      <c r="KBT49" s="9"/>
      <c r="KBU49" s="9"/>
      <c r="KBV49" s="9"/>
      <c r="KBW49" s="9"/>
      <c r="KBX49" s="9"/>
      <c r="KBY49" s="9"/>
      <c r="KBZ49" s="9"/>
      <c r="KCA49" s="9"/>
      <c r="KCB49" s="9"/>
      <c r="KCC49" s="9"/>
      <c r="KCD49" s="9"/>
      <c r="KCE49" s="9"/>
      <c r="KCF49" s="9"/>
      <c r="KCG49" s="9"/>
      <c r="KCH49" s="9"/>
      <c r="KCI49" s="9"/>
      <c r="KCJ49" s="9"/>
      <c r="KCK49" s="9"/>
      <c r="KCL49" s="9"/>
      <c r="KCM49" s="9"/>
      <c r="KCN49" s="9"/>
      <c r="KCO49" s="9"/>
      <c r="KCP49" s="9"/>
      <c r="KCQ49" s="9"/>
      <c r="KCR49" s="9"/>
      <c r="KCS49" s="9"/>
      <c r="KCT49" s="9"/>
      <c r="KCU49" s="9"/>
      <c r="KCV49" s="9"/>
      <c r="KCW49" s="9"/>
      <c r="KCX49" s="9"/>
      <c r="KCY49" s="9"/>
      <c r="KCZ49" s="9"/>
      <c r="KDA49" s="9"/>
      <c r="KDB49" s="9"/>
      <c r="KDC49" s="9"/>
      <c r="KDD49" s="9"/>
      <c r="KDE49" s="9"/>
      <c r="KDF49" s="9"/>
      <c r="KDG49" s="9"/>
      <c r="KDH49" s="9"/>
      <c r="KDI49" s="9"/>
      <c r="KDJ49" s="9"/>
      <c r="KDK49" s="9"/>
      <c r="KDL49" s="9"/>
      <c r="KDM49" s="9"/>
      <c r="KDN49" s="9"/>
      <c r="KDO49" s="9"/>
      <c r="KDP49" s="9"/>
      <c r="KDQ49" s="9"/>
      <c r="KDR49" s="9"/>
      <c r="KDS49" s="9"/>
      <c r="KDT49" s="9"/>
      <c r="KDU49" s="9"/>
      <c r="KDV49" s="9"/>
      <c r="KDW49" s="9"/>
      <c r="KDX49" s="9"/>
      <c r="KDY49" s="9"/>
      <c r="KDZ49" s="9"/>
      <c r="KEA49" s="9"/>
      <c r="KEB49" s="9"/>
      <c r="KEC49" s="9"/>
      <c r="KED49" s="9"/>
      <c r="KEE49" s="9"/>
      <c r="KEF49" s="9"/>
      <c r="KEG49" s="9"/>
      <c r="KEH49" s="9"/>
      <c r="KEI49" s="9"/>
      <c r="KEJ49" s="9"/>
      <c r="KEK49" s="9"/>
      <c r="KEL49" s="9"/>
      <c r="KEM49" s="9"/>
      <c r="KEN49" s="9"/>
      <c r="KEO49" s="9"/>
      <c r="KEP49" s="9"/>
      <c r="KEQ49" s="9"/>
      <c r="KER49" s="9"/>
      <c r="KES49" s="9"/>
      <c r="KET49" s="9"/>
      <c r="KEU49" s="9"/>
      <c r="KEV49" s="9"/>
      <c r="KEW49" s="9"/>
      <c r="KEX49" s="9"/>
      <c r="KEY49" s="9"/>
      <c r="KEZ49" s="9"/>
      <c r="KFA49" s="9"/>
      <c r="KFB49" s="9"/>
      <c r="KFC49" s="9"/>
      <c r="KFD49" s="9"/>
      <c r="KFE49" s="9"/>
      <c r="KFF49" s="9"/>
      <c r="KFG49" s="9"/>
      <c r="KFH49" s="9"/>
      <c r="KFI49" s="9"/>
      <c r="KFJ49" s="9"/>
      <c r="KFK49" s="9"/>
      <c r="KFL49" s="9"/>
      <c r="KFM49" s="9"/>
      <c r="KFN49" s="9"/>
      <c r="KFO49" s="9"/>
      <c r="KFP49" s="9"/>
      <c r="KFQ49" s="9"/>
      <c r="KFR49" s="9"/>
      <c r="KFS49" s="9"/>
      <c r="KFT49" s="9"/>
      <c r="KFU49" s="9"/>
      <c r="KFV49" s="9"/>
      <c r="KFW49" s="9"/>
      <c r="KFX49" s="9"/>
      <c r="KFY49" s="9"/>
      <c r="KFZ49" s="9"/>
      <c r="KGA49" s="9"/>
      <c r="KGB49" s="9"/>
      <c r="KGC49" s="9"/>
      <c r="KGD49" s="9"/>
      <c r="KGE49" s="9"/>
      <c r="KGF49" s="9"/>
      <c r="KGG49" s="9"/>
      <c r="KGH49" s="9"/>
      <c r="KGI49" s="9"/>
      <c r="KGJ49" s="9"/>
      <c r="KGK49" s="9"/>
      <c r="KGL49" s="9"/>
      <c r="KGM49" s="9"/>
      <c r="KGN49" s="9"/>
      <c r="KGO49" s="9"/>
      <c r="KGP49" s="9"/>
      <c r="KGQ49" s="9"/>
      <c r="KGR49" s="9"/>
      <c r="KGS49" s="9"/>
      <c r="KGT49" s="9"/>
      <c r="KGU49" s="9"/>
      <c r="KGV49" s="9"/>
      <c r="KGW49" s="9"/>
      <c r="KGX49" s="9"/>
      <c r="KGY49" s="9"/>
      <c r="KGZ49" s="9"/>
      <c r="KHA49" s="9"/>
      <c r="KHB49" s="9"/>
      <c r="KHC49" s="9"/>
      <c r="KHD49" s="9"/>
      <c r="KHE49" s="9"/>
      <c r="KHF49" s="9"/>
      <c r="KHG49" s="9"/>
      <c r="KHH49" s="9"/>
      <c r="KHI49" s="9"/>
      <c r="KHJ49" s="9"/>
      <c r="KHK49" s="9"/>
      <c r="KHL49" s="9"/>
      <c r="KHM49" s="9"/>
      <c r="KHN49" s="9"/>
      <c r="KHO49" s="9"/>
      <c r="KHP49" s="9"/>
      <c r="KHQ49" s="9"/>
      <c r="KHR49" s="9"/>
      <c r="KHS49" s="9"/>
      <c r="KHT49" s="9"/>
      <c r="KHU49" s="9"/>
      <c r="KHV49" s="9"/>
      <c r="KHW49" s="9"/>
      <c r="KHX49" s="9"/>
      <c r="KHY49" s="9"/>
      <c r="KHZ49" s="9"/>
      <c r="KIA49" s="9"/>
      <c r="KIB49" s="9"/>
      <c r="KIC49" s="9"/>
      <c r="KID49" s="9"/>
      <c r="KIE49" s="9"/>
      <c r="KIF49" s="9"/>
      <c r="KIG49" s="9"/>
      <c r="KIH49" s="9"/>
      <c r="KII49" s="9"/>
      <c r="KIJ49" s="9"/>
      <c r="KIK49" s="9"/>
      <c r="KIL49" s="9"/>
      <c r="KIM49" s="9"/>
      <c r="KIN49" s="9"/>
      <c r="KIO49" s="9"/>
      <c r="KIP49" s="9"/>
      <c r="KIQ49" s="9"/>
      <c r="KIR49" s="9"/>
      <c r="KIS49" s="9"/>
      <c r="KIT49" s="9"/>
      <c r="KIU49" s="9"/>
      <c r="KIV49" s="9"/>
      <c r="KIW49" s="9"/>
      <c r="KIX49" s="9"/>
      <c r="KIY49" s="9"/>
      <c r="KIZ49" s="9"/>
      <c r="KJA49" s="9"/>
      <c r="KJB49" s="9"/>
      <c r="KJC49" s="9"/>
      <c r="KJD49" s="9"/>
      <c r="KJE49" s="9"/>
      <c r="KJF49" s="9"/>
      <c r="KJG49" s="9"/>
      <c r="KJH49" s="9"/>
      <c r="KJI49" s="9"/>
      <c r="KJJ49" s="9"/>
      <c r="KJK49" s="9"/>
      <c r="KJL49" s="9"/>
      <c r="KJM49" s="9"/>
      <c r="KJN49" s="9"/>
      <c r="KJO49" s="9"/>
      <c r="KJP49" s="9"/>
      <c r="KJQ49" s="9"/>
      <c r="KJR49" s="9"/>
      <c r="KJS49" s="9"/>
      <c r="KJT49" s="9"/>
      <c r="KJU49" s="9"/>
      <c r="KJV49" s="9"/>
      <c r="KJW49" s="9"/>
      <c r="KJX49" s="9"/>
      <c r="KJY49" s="9"/>
      <c r="KJZ49" s="9"/>
      <c r="KKA49" s="9"/>
      <c r="KKB49" s="9"/>
      <c r="KKC49" s="9"/>
      <c r="KKD49" s="9"/>
      <c r="KKE49" s="9"/>
      <c r="KKF49" s="9"/>
      <c r="KKG49" s="9"/>
      <c r="KKH49" s="9"/>
      <c r="KKI49" s="9"/>
      <c r="KKJ49" s="9"/>
      <c r="KKK49" s="9"/>
      <c r="KKL49" s="9"/>
      <c r="KKM49" s="9"/>
      <c r="KKN49" s="9"/>
      <c r="KKO49" s="9"/>
      <c r="KKP49" s="9"/>
      <c r="KKQ49" s="9"/>
      <c r="KKR49" s="9"/>
      <c r="KKS49" s="9"/>
      <c r="KKT49" s="9"/>
      <c r="KKU49" s="9"/>
      <c r="KKV49" s="9"/>
      <c r="KKW49" s="9"/>
      <c r="KKX49" s="9"/>
      <c r="KKY49" s="9"/>
      <c r="KKZ49" s="9"/>
      <c r="KLA49" s="9"/>
      <c r="KLB49" s="9"/>
      <c r="KLC49" s="9"/>
      <c r="KLD49" s="9"/>
      <c r="KLE49" s="9"/>
      <c r="KLF49" s="9"/>
      <c r="KLG49" s="9"/>
      <c r="KLH49" s="9"/>
      <c r="KLI49" s="9"/>
      <c r="KLJ49" s="9"/>
      <c r="KLK49" s="9"/>
      <c r="KLL49" s="9"/>
      <c r="KLM49" s="9"/>
      <c r="KLN49" s="9"/>
      <c r="KLO49" s="9"/>
      <c r="KLP49" s="9"/>
      <c r="KLQ49" s="9"/>
      <c r="KLR49" s="9"/>
      <c r="KLS49" s="9"/>
      <c r="KLT49" s="9"/>
      <c r="KLU49" s="9"/>
      <c r="KLV49" s="9"/>
      <c r="KLW49" s="9"/>
      <c r="KLX49" s="9"/>
      <c r="KLY49" s="9"/>
      <c r="KLZ49" s="9"/>
      <c r="KMA49" s="9"/>
      <c r="KMB49" s="9"/>
      <c r="KMC49" s="9"/>
      <c r="KMD49" s="9"/>
      <c r="KME49" s="9"/>
      <c r="KMF49" s="9"/>
      <c r="KMG49" s="9"/>
      <c r="KMH49" s="9"/>
      <c r="KMI49" s="9"/>
      <c r="KMJ49" s="9"/>
      <c r="KMK49" s="9"/>
      <c r="KML49" s="9"/>
      <c r="KMM49" s="9"/>
      <c r="KMN49" s="9"/>
      <c r="KMO49" s="9"/>
      <c r="KMP49" s="9"/>
      <c r="KMQ49" s="9"/>
      <c r="KMR49" s="9"/>
      <c r="KMS49" s="9"/>
      <c r="KMT49" s="9"/>
      <c r="KMU49" s="9"/>
      <c r="KMV49" s="9"/>
      <c r="KMW49" s="9"/>
      <c r="KMX49" s="9"/>
      <c r="KMY49" s="9"/>
      <c r="KMZ49" s="9"/>
      <c r="KNA49" s="9"/>
      <c r="KNB49" s="9"/>
      <c r="KNC49" s="9"/>
      <c r="KND49" s="9"/>
      <c r="KNE49" s="9"/>
      <c r="KNF49" s="9"/>
      <c r="KNG49" s="9"/>
      <c r="KNH49" s="9"/>
      <c r="KNI49" s="9"/>
      <c r="KNJ49" s="9"/>
      <c r="KNK49" s="9"/>
      <c r="KNL49" s="9"/>
      <c r="KNM49" s="9"/>
      <c r="KNN49" s="9"/>
      <c r="KNO49" s="9"/>
      <c r="KNP49" s="9"/>
      <c r="KNQ49" s="9"/>
      <c r="KNR49" s="9"/>
      <c r="KNS49" s="9"/>
      <c r="KNT49" s="9"/>
      <c r="KNU49" s="9"/>
      <c r="KNV49" s="9"/>
      <c r="KNW49" s="9"/>
      <c r="KNX49" s="9"/>
      <c r="KNY49" s="9"/>
      <c r="KNZ49" s="9"/>
      <c r="KOA49" s="9"/>
      <c r="KOB49" s="9"/>
      <c r="KOC49" s="9"/>
      <c r="KOD49" s="9"/>
      <c r="KOE49" s="9"/>
      <c r="KOF49" s="9"/>
      <c r="KOG49" s="9"/>
      <c r="KOH49" s="9"/>
      <c r="KOI49" s="9"/>
      <c r="KOJ49" s="9"/>
      <c r="KOK49" s="9"/>
      <c r="KOL49" s="9"/>
      <c r="KOM49" s="9"/>
      <c r="KON49" s="9"/>
      <c r="KOO49" s="9"/>
      <c r="KOP49" s="9"/>
      <c r="KOQ49" s="9"/>
      <c r="KOR49" s="9"/>
      <c r="KOS49" s="9"/>
      <c r="KOT49" s="9"/>
      <c r="KOU49" s="9"/>
      <c r="KOV49" s="9"/>
      <c r="KOW49" s="9"/>
      <c r="KOX49" s="9"/>
      <c r="KOY49" s="9"/>
      <c r="KOZ49" s="9"/>
      <c r="KPA49" s="9"/>
      <c r="KPB49" s="9"/>
      <c r="KPC49" s="9"/>
      <c r="KPD49" s="9"/>
      <c r="KPE49" s="9"/>
      <c r="KPF49" s="9"/>
      <c r="KPG49" s="9"/>
      <c r="KPH49" s="9"/>
      <c r="KPI49" s="9"/>
      <c r="KPJ49" s="9"/>
      <c r="KPK49" s="9"/>
      <c r="KPL49" s="9"/>
      <c r="KPM49" s="9"/>
      <c r="KPN49" s="9"/>
      <c r="KPO49" s="9"/>
      <c r="KPP49" s="9"/>
      <c r="KPQ49" s="9"/>
      <c r="KPR49" s="9"/>
      <c r="KPS49" s="9"/>
      <c r="KPT49" s="9"/>
      <c r="KPU49" s="9"/>
      <c r="KPV49" s="9"/>
      <c r="KPW49" s="9"/>
      <c r="KPX49" s="9"/>
      <c r="KPY49" s="9"/>
      <c r="KPZ49" s="9"/>
      <c r="KQA49" s="9"/>
      <c r="KQB49" s="9"/>
      <c r="KQC49" s="9"/>
      <c r="KQD49" s="9"/>
      <c r="KQE49" s="9"/>
      <c r="KQF49" s="9"/>
      <c r="KQG49" s="9"/>
      <c r="KQH49" s="9"/>
      <c r="KQI49" s="9"/>
      <c r="KQJ49" s="9"/>
      <c r="KQK49" s="9"/>
      <c r="KQL49" s="9"/>
      <c r="KQM49" s="9"/>
      <c r="KQN49" s="9"/>
      <c r="KQO49" s="9"/>
      <c r="KQP49" s="9"/>
      <c r="KQQ49" s="9"/>
      <c r="KQR49" s="9"/>
      <c r="KQS49" s="9"/>
      <c r="KQT49" s="9"/>
      <c r="KQU49" s="9"/>
      <c r="KQV49" s="9"/>
      <c r="KQW49" s="9"/>
      <c r="KQX49" s="9"/>
      <c r="KQY49" s="9"/>
      <c r="KQZ49" s="9"/>
      <c r="KRA49" s="9"/>
      <c r="KRB49" s="9"/>
      <c r="KRC49" s="9"/>
      <c r="KRD49" s="9"/>
      <c r="KRE49" s="9"/>
      <c r="KRF49" s="9"/>
      <c r="KRG49" s="9"/>
      <c r="KRH49" s="9"/>
      <c r="KRI49" s="9"/>
      <c r="KRJ49" s="9"/>
      <c r="KRK49" s="9"/>
      <c r="KRL49" s="9"/>
      <c r="KRM49" s="9"/>
      <c r="KRN49" s="9"/>
      <c r="KRO49" s="9"/>
      <c r="KRP49" s="9"/>
      <c r="KRQ49" s="9"/>
      <c r="KRR49" s="9"/>
      <c r="KRS49" s="9"/>
      <c r="KRT49" s="9"/>
      <c r="KRU49" s="9"/>
      <c r="KRV49" s="9"/>
      <c r="KRW49" s="9"/>
      <c r="KRX49" s="9"/>
      <c r="KRY49" s="9"/>
      <c r="KRZ49" s="9"/>
      <c r="KSA49" s="9"/>
      <c r="KSB49" s="9"/>
      <c r="KSC49" s="9"/>
      <c r="KSD49" s="9"/>
      <c r="KSE49" s="9"/>
      <c r="KSF49" s="9"/>
      <c r="KSG49" s="9"/>
      <c r="KSH49" s="9"/>
      <c r="KSI49" s="9"/>
      <c r="KSJ49" s="9"/>
      <c r="KSK49" s="9"/>
      <c r="KSL49" s="9"/>
      <c r="KSM49" s="9"/>
      <c r="KSN49" s="9"/>
      <c r="KSO49" s="9"/>
      <c r="KSP49" s="9"/>
      <c r="KSQ49" s="9"/>
      <c r="KSR49" s="9"/>
      <c r="KSS49" s="9"/>
      <c r="KST49" s="9"/>
      <c r="KSU49" s="9"/>
      <c r="KSV49" s="9"/>
      <c r="KSW49" s="9"/>
      <c r="KSX49" s="9"/>
      <c r="KSY49" s="9"/>
      <c r="KSZ49" s="9"/>
      <c r="KTA49" s="9"/>
      <c r="KTB49" s="9"/>
      <c r="KTC49" s="9"/>
      <c r="KTD49" s="9"/>
      <c r="KTE49" s="9"/>
      <c r="KTF49" s="9"/>
      <c r="KTG49" s="9"/>
      <c r="KTH49" s="9"/>
      <c r="KTI49" s="9"/>
      <c r="KTJ49" s="9"/>
      <c r="KTK49" s="9"/>
      <c r="KTL49" s="9"/>
      <c r="KTM49" s="9"/>
      <c r="KTN49" s="9"/>
      <c r="KTO49" s="9"/>
      <c r="KTP49" s="9"/>
      <c r="KTQ49" s="9"/>
      <c r="KTR49" s="9"/>
      <c r="KTS49" s="9"/>
      <c r="KTT49" s="9"/>
      <c r="KTU49" s="9"/>
      <c r="KTV49" s="9"/>
      <c r="KTW49" s="9"/>
      <c r="KTX49" s="9"/>
      <c r="KTY49" s="9"/>
      <c r="KTZ49" s="9"/>
      <c r="KUA49" s="9"/>
      <c r="KUB49" s="9"/>
      <c r="KUC49" s="9"/>
      <c r="KUD49" s="9"/>
      <c r="KUE49" s="9"/>
      <c r="KUF49" s="9"/>
      <c r="KUG49" s="9"/>
      <c r="KUH49" s="9"/>
      <c r="KUI49" s="9"/>
      <c r="KUJ49" s="9"/>
      <c r="KUK49" s="9"/>
      <c r="KUL49" s="9"/>
      <c r="KUM49" s="9"/>
      <c r="KUN49" s="9"/>
      <c r="KUO49" s="9"/>
      <c r="KUP49" s="9"/>
      <c r="KUQ49" s="9"/>
      <c r="KUR49" s="9"/>
      <c r="KUS49" s="9"/>
      <c r="KUT49" s="9"/>
      <c r="KUU49" s="9"/>
      <c r="KUV49" s="9"/>
      <c r="KUW49" s="9"/>
      <c r="KUX49" s="9"/>
      <c r="KUY49" s="9"/>
      <c r="KUZ49" s="9"/>
      <c r="KVA49" s="9"/>
      <c r="KVB49" s="9"/>
      <c r="KVC49" s="9"/>
      <c r="KVD49" s="9"/>
      <c r="KVE49" s="9"/>
      <c r="KVF49" s="9"/>
      <c r="KVG49" s="9"/>
      <c r="KVH49" s="9"/>
      <c r="KVI49" s="9"/>
      <c r="KVJ49" s="9"/>
      <c r="KVK49" s="9"/>
      <c r="KVL49" s="9"/>
      <c r="KVM49" s="9"/>
      <c r="KVN49" s="9"/>
      <c r="KVO49" s="9"/>
      <c r="KVP49" s="9"/>
      <c r="KVQ49" s="9"/>
      <c r="KVR49" s="9"/>
      <c r="KVS49" s="9"/>
      <c r="KVT49" s="9"/>
      <c r="KVU49" s="9"/>
      <c r="KVV49" s="9"/>
      <c r="KVW49" s="9"/>
      <c r="KVX49" s="9"/>
      <c r="KVY49" s="9"/>
      <c r="KVZ49" s="9"/>
      <c r="KWA49" s="9"/>
      <c r="KWB49" s="9"/>
      <c r="KWC49" s="9"/>
      <c r="KWD49" s="9"/>
      <c r="KWE49" s="9"/>
      <c r="KWF49" s="9"/>
      <c r="KWG49" s="9"/>
      <c r="KWH49" s="9"/>
      <c r="KWI49" s="9"/>
      <c r="KWJ49" s="9"/>
      <c r="KWK49" s="9"/>
      <c r="KWL49" s="9"/>
      <c r="KWM49" s="9"/>
      <c r="KWN49" s="9"/>
      <c r="KWO49" s="9"/>
      <c r="KWP49" s="9"/>
      <c r="KWQ49" s="9"/>
      <c r="KWR49" s="9"/>
      <c r="KWS49" s="9"/>
      <c r="KWT49" s="9"/>
      <c r="KWU49" s="9"/>
      <c r="KWV49" s="9"/>
      <c r="KWW49" s="9"/>
      <c r="KWX49" s="9"/>
      <c r="KWY49" s="9"/>
      <c r="KWZ49" s="9"/>
      <c r="KXA49" s="9"/>
      <c r="KXB49" s="9"/>
      <c r="KXC49" s="9"/>
      <c r="KXD49" s="9"/>
      <c r="KXE49" s="9"/>
      <c r="KXF49" s="9"/>
      <c r="KXG49" s="9"/>
      <c r="KXH49" s="9"/>
      <c r="KXI49" s="9"/>
      <c r="KXJ49" s="9"/>
      <c r="KXK49" s="9"/>
      <c r="KXL49" s="9"/>
      <c r="KXM49" s="9"/>
      <c r="KXN49" s="9"/>
      <c r="KXO49" s="9"/>
      <c r="KXP49" s="9"/>
      <c r="KXQ49" s="9"/>
      <c r="KXR49" s="9"/>
      <c r="KXS49" s="9"/>
      <c r="KXT49" s="9"/>
      <c r="KXU49" s="9"/>
      <c r="KXV49" s="9"/>
      <c r="KXW49" s="9"/>
      <c r="KXX49" s="9"/>
      <c r="KXY49" s="9"/>
      <c r="KXZ49" s="9"/>
      <c r="KYA49" s="9"/>
      <c r="KYB49" s="9"/>
      <c r="KYC49" s="9"/>
      <c r="KYD49" s="9"/>
      <c r="KYE49" s="9"/>
      <c r="KYF49" s="9"/>
      <c r="KYG49" s="9"/>
      <c r="KYH49" s="9"/>
      <c r="KYI49" s="9"/>
      <c r="KYJ49" s="9"/>
      <c r="KYK49" s="9"/>
      <c r="KYL49" s="9"/>
      <c r="KYM49" s="9"/>
      <c r="KYN49" s="9"/>
      <c r="KYO49" s="9"/>
      <c r="KYP49" s="9"/>
      <c r="KYQ49" s="9"/>
      <c r="KYR49" s="9"/>
      <c r="KYS49" s="9"/>
      <c r="KYT49" s="9"/>
      <c r="KYU49" s="9"/>
      <c r="KYV49" s="9"/>
      <c r="KYW49" s="9"/>
      <c r="KYX49" s="9"/>
      <c r="KYY49" s="9"/>
      <c r="KYZ49" s="9"/>
      <c r="KZA49" s="9"/>
      <c r="KZB49" s="9"/>
      <c r="KZC49" s="9"/>
      <c r="KZD49" s="9"/>
      <c r="KZE49" s="9"/>
      <c r="KZF49" s="9"/>
      <c r="KZG49" s="9"/>
      <c r="KZH49" s="9"/>
      <c r="KZI49" s="9"/>
      <c r="KZJ49" s="9"/>
      <c r="KZK49" s="9"/>
      <c r="KZL49" s="9"/>
      <c r="KZM49" s="9"/>
      <c r="KZN49" s="9"/>
      <c r="KZO49" s="9"/>
      <c r="KZP49" s="9"/>
      <c r="KZQ49" s="9"/>
      <c r="KZR49" s="9"/>
      <c r="KZS49" s="9"/>
      <c r="KZT49" s="9"/>
      <c r="KZU49" s="9"/>
      <c r="KZV49" s="9"/>
      <c r="KZW49" s="9"/>
      <c r="KZX49" s="9"/>
      <c r="KZY49" s="9"/>
      <c r="KZZ49" s="9"/>
      <c r="LAA49" s="9"/>
      <c r="LAB49" s="9"/>
      <c r="LAC49" s="9"/>
      <c r="LAD49" s="9"/>
      <c r="LAE49" s="9"/>
      <c r="LAF49" s="9"/>
      <c r="LAG49" s="9"/>
      <c r="LAH49" s="9"/>
      <c r="LAI49" s="9"/>
      <c r="LAJ49" s="9"/>
      <c r="LAK49" s="9"/>
      <c r="LAL49" s="9"/>
      <c r="LAM49" s="9"/>
      <c r="LAN49" s="9"/>
      <c r="LAO49" s="9"/>
      <c r="LAP49" s="9"/>
      <c r="LAQ49" s="9"/>
      <c r="LAR49" s="9"/>
      <c r="LAS49" s="9"/>
      <c r="LAT49" s="9"/>
      <c r="LAU49" s="9"/>
      <c r="LAV49" s="9"/>
      <c r="LAW49" s="9"/>
      <c r="LAX49" s="9"/>
      <c r="LAY49" s="9"/>
      <c r="LAZ49" s="9"/>
      <c r="LBA49" s="9"/>
      <c r="LBB49" s="9"/>
      <c r="LBC49" s="9"/>
      <c r="LBD49" s="9"/>
      <c r="LBE49" s="9"/>
      <c r="LBF49" s="9"/>
      <c r="LBG49" s="9"/>
      <c r="LBH49" s="9"/>
      <c r="LBI49" s="9"/>
      <c r="LBJ49" s="9"/>
      <c r="LBK49" s="9"/>
      <c r="LBL49" s="9"/>
      <c r="LBM49" s="9"/>
      <c r="LBN49" s="9"/>
      <c r="LBO49" s="9"/>
      <c r="LBP49" s="9"/>
      <c r="LBQ49" s="9"/>
      <c r="LBR49" s="9"/>
      <c r="LBS49" s="9"/>
      <c r="LBT49" s="9"/>
      <c r="LBU49" s="9"/>
      <c r="LBV49" s="9"/>
      <c r="LBW49" s="9"/>
      <c r="LBX49" s="9"/>
      <c r="LBY49" s="9"/>
      <c r="LBZ49" s="9"/>
      <c r="LCA49" s="9"/>
      <c r="LCB49" s="9"/>
      <c r="LCC49" s="9"/>
      <c r="LCD49" s="9"/>
      <c r="LCE49" s="9"/>
      <c r="LCF49" s="9"/>
      <c r="LCG49" s="9"/>
      <c r="LCH49" s="9"/>
      <c r="LCI49" s="9"/>
      <c r="LCJ49" s="9"/>
      <c r="LCK49" s="9"/>
      <c r="LCL49" s="9"/>
      <c r="LCM49" s="9"/>
      <c r="LCN49" s="9"/>
      <c r="LCO49" s="9"/>
      <c r="LCP49" s="9"/>
      <c r="LCQ49" s="9"/>
      <c r="LCR49" s="9"/>
      <c r="LCS49" s="9"/>
      <c r="LCT49" s="9"/>
      <c r="LCU49" s="9"/>
      <c r="LCV49" s="9"/>
      <c r="LCW49" s="9"/>
      <c r="LCX49" s="9"/>
      <c r="LCY49" s="9"/>
      <c r="LCZ49" s="9"/>
      <c r="LDA49" s="9"/>
      <c r="LDB49" s="9"/>
      <c r="LDC49" s="9"/>
      <c r="LDD49" s="9"/>
      <c r="LDE49" s="9"/>
      <c r="LDF49" s="9"/>
      <c r="LDG49" s="9"/>
      <c r="LDH49" s="9"/>
      <c r="LDI49" s="9"/>
      <c r="LDJ49" s="9"/>
      <c r="LDK49" s="9"/>
      <c r="LDL49" s="9"/>
      <c r="LDM49" s="9"/>
      <c r="LDN49" s="9"/>
      <c r="LDO49" s="9"/>
      <c r="LDP49" s="9"/>
      <c r="LDQ49" s="9"/>
      <c r="LDR49" s="9"/>
      <c r="LDS49" s="9"/>
      <c r="LDT49" s="9"/>
      <c r="LDU49" s="9"/>
      <c r="LDV49" s="9"/>
      <c r="LDW49" s="9"/>
      <c r="LDX49" s="9"/>
      <c r="LDY49" s="9"/>
      <c r="LDZ49" s="9"/>
      <c r="LEA49" s="9"/>
      <c r="LEB49" s="9"/>
      <c r="LEC49" s="9"/>
      <c r="LED49" s="9"/>
      <c r="LEE49" s="9"/>
      <c r="LEF49" s="9"/>
      <c r="LEG49" s="9"/>
      <c r="LEH49" s="9"/>
      <c r="LEI49" s="9"/>
      <c r="LEJ49" s="9"/>
      <c r="LEK49" s="9"/>
      <c r="LEL49" s="9"/>
      <c r="LEM49" s="9"/>
      <c r="LEN49" s="9"/>
      <c r="LEO49" s="9"/>
      <c r="LEP49" s="9"/>
      <c r="LEQ49" s="9"/>
      <c r="LER49" s="9"/>
      <c r="LES49" s="9"/>
      <c r="LET49" s="9"/>
      <c r="LEU49" s="9"/>
      <c r="LEV49" s="9"/>
      <c r="LEW49" s="9"/>
      <c r="LEX49" s="9"/>
      <c r="LEY49" s="9"/>
      <c r="LEZ49" s="9"/>
      <c r="LFA49" s="9"/>
      <c r="LFB49" s="9"/>
      <c r="LFC49" s="9"/>
      <c r="LFD49" s="9"/>
      <c r="LFE49" s="9"/>
      <c r="LFF49" s="9"/>
      <c r="LFG49" s="9"/>
      <c r="LFH49" s="9"/>
      <c r="LFI49" s="9"/>
      <c r="LFJ49" s="9"/>
      <c r="LFK49" s="9"/>
      <c r="LFL49" s="9"/>
      <c r="LFM49" s="9"/>
      <c r="LFN49" s="9"/>
      <c r="LFO49" s="9"/>
      <c r="LFP49" s="9"/>
      <c r="LFQ49" s="9"/>
      <c r="LFR49" s="9"/>
      <c r="LFS49" s="9"/>
      <c r="LFT49" s="9"/>
      <c r="LFU49" s="9"/>
      <c r="LFV49" s="9"/>
      <c r="LFW49" s="9"/>
      <c r="LFX49" s="9"/>
      <c r="LFY49" s="9"/>
      <c r="LFZ49" s="9"/>
      <c r="LGA49" s="9"/>
      <c r="LGB49" s="9"/>
      <c r="LGC49" s="9"/>
      <c r="LGD49" s="9"/>
      <c r="LGE49" s="9"/>
      <c r="LGF49" s="9"/>
      <c r="LGG49" s="9"/>
      <c r="LGH49" s="9"/>
      <c r="LGI49" s="9"/>
      <c r="LGJ49" s="9"/>
      <c r="LGK49" s="9"/>
      <c r="LGL49" s="9"/>
      <c r="LGM49" s="9"/>
      <c r="LGN49" s="9"/>
      <c r="LGO49" s="9"/>
      <c r="LGP49" s="9"/>
      <c r="LGQ49" s="9"/>
      <c r="LGR49" s="9"/>
      <c r="LGS49" s="9"/>
      <c r="LGT49" s="9"/>
      <c r="LGU49" s="9"/>
      <c r="LGV49" s="9"/>
      <c r="LGW49" s="9"/>
      <c r="LGX49" s="9"/>
      <c r="LGY49" s="9"/>
      <c r="LGZ49" s="9"/>
      <c r="LHA49" s="9"/>
      <c r="LHB49" s="9"/>
      <c r="LHC49" s="9"/>
      <c r="LHD49" s="9"/>
      <c r="LHE49" s="9"/>
      <c r="LHF49" s="9"/>
      <c r="LHG49" s="9"/>
      <c r="LHH49" s="9"/>
      <c r="LHI49" s="9"/>
      <c r="LHJ49" s="9"/>
      <c r="LHK49" s="9"/>
      <c r="LHL49" s="9"/>
      <c r="LHM49" s="9"/>
      <c r="LHN49" s="9"/>
      <c r="LHO49" s="9"/>
      <c r="LHP49" s="9"/>
      <c r="LHQ49" s="9"/>
      <c r="LHR49" s="9"/>
      <c r="LHS49" s="9"/>
      <c r="LHT49" s="9"/>
      <c r="LHU49" s="9"/>
      <c r="LHV49" s="9"/>
      <c r="LHW49" s="9"/>
      <c r="LHX49" s="9"/>
      <c r="LHY49" s="9"/>
      <c r="LHZ49" s="9"/>
      <c r="LIA49" s="9"/>
      <c r="LIB49" s="9"/>
      <c r="LIC49" s="9"/>
      <c r="LID49" s="9"/>
      <c r="LIE49" s="9"/>
      <c r="LIF49" s="9"/>
      <c r="LIG49" s="9"/>
      <c r="LIH49" s="9"/>
      <c r="LII49" s="9"/>
      <c r="LIJ49" s="9"/>
      <c r="LIK49" s="9"/>
      <c r="LIL49" s="9"/>
      <c r="LIM49" s="9"/>
      <c r="LIN49" s="9"/>
      <c r="LIO49" s="9"/>
      <c r="LIP49" s="9"/>
      <c r="LIQ49" s="9"/>
      <c r="LIR49" s="9"/>
      <c r="LIS49" s="9"/>
      <c r="LIT49" s="9"/>
      <c r="LIU49" s="9"/>
      <c r="LIV49" s="9"/>
      <c r="LIW49" s="9"/>
      <c r="LIX49" s="9"/>
      <c r="LIY49" s="9"/>
      <c r="LIZ49" s="9"/>
      <c r="LJA49" s="9"/>
      <c r="LJB49" s="9"/>
      <c r="LJC49" s="9"/>
      <c r="LJD49" s="9"/>
      <c r="LJE49" s="9"/>
      <c r="LJF49" s="9"/>
      <c r="LJG49" s="9"/>
      <c r="LJH49" s="9"/>
      <c r="LJI49" s="9"/>
      <c r="LJJ49" s="9"/>
      <c r="LJK49" s="9"/>
      <c r="LJL49" s="9"/>
      <c r="LJM49" s="9"/>
      <c r="LJN49" s="9"/>
      <c r="LJO49" s="9"/>
      <c r="LJP49" s="9"/>
      <c r="LJQ49" s="9"/>
      <c r="LJR49" s="9"/>
      <c r="LJS49" s="9"/>
      <c r="LJT49" s="9"/>
      <c r="LJU49" s="9"/>
      <c r="LJV49" s="9"/>
      <c r="LJW49" s="9"/>
      <c r="LJX49" s="9"/>
      <c r="LJY49" s="9"/>
      <c r="LJZ49" s="9"/>
      <c r="LKA49" s="9"/>
      <c r="LKB49" s="9"/>
      <c r="LKC49" s="9"/>
      <c r="LKD49" s="9"/>
      <c r="LKE49" s="9"/>
      <c r="LKF49" s="9"/>
      <c r="LKG49" s="9"/>
      <c r="LKH49" s="9"/>
      <c r="LKI49" s="9"/>
      <c r="LKJ49" s="9"/>
      <c r="LKK49" s="9"/>
      <c r="LKL49" s="9"/>
      <c r="LKM49" s="9"/>
      <c r="LKN49" s="9"/>
      <c r="LKO49" s="9"/>
      <c r="LKP49" s="9"/>
      <c r="LKQ49" s="9"/>
      <c r="LKR49" s="9"/>
      <c r="LKS49" s="9"/>
      <c r="LKT49" s="9"/>
      <c r="LKU49" s="9"/>
      <c r="LKV49" s="9"/>
      <c r="LKW49" s="9"/>
      <c r="LKX49" s="9"/>
      <c r="LKY49" s="9"/>
      <c r="LKZ49" s="9"/>
      <c r="LLA49" s="9"/>
      <c r="LLB49" s="9"/>
      <c r="LLC49" s="9"/>
      <c r="LLD49" s="9"/>
      <c r="LLE49" s="9"/>
      <c r="LLF49" s="9"/>
      <c r="LLG49" s="9"/>
      <c r="LLH49" s="9"/>
      <c r="LLI49" s="9"/>
      <c r="LLJ49" s="9"/>
      <c r="LLK49" s="9"/>
      <c r="LLL49" s="9"/>
      <c r="LLM49" s="9"/>
      <c r="LLN49" s="9"/>
      <c r="LLO49" s="9"/>
      <c r="LLP49" s="9"/>
      <c r="LLQ49" s="9"/>
      <c r="LLR49" s="9"/>
      <c r="LLS49" s="9"/>
      <c r="LLT49" s="9"/>
      <c r="LLU49" s="9"/>
      <c r="LLV49" s="9"/>
      <c r="LLW49" s="9"/>
      <c r="LLX49" s="9"/>
      <c r="LLY49" s="9"/>
      <c r="LLZ49" s="9"/>
      <c r="LMA49" s="9"/>
      <c r="LMB49" s="9"/>
      <c r="LMC49" s="9"/>
      <c r="LMD49" s="9"/>
      <c r="LME49" s="9"/>
      <c r="LMF49" s="9"/>
      <c r="LMG49" s="9"/>
      <c r="LMH49" s="9"/>
      <c r="LMI49" s="9"/>
      <c r="LMJ49" s="9"/>
      <c r="LMK49" s="9"/>
      <c r="LML49" s="9"/>
      <c r="LMM49" s="9"/>
      <c r="LMN49" s="9"/>
      <c r="LMO49" s="9"/>
      <c r="LMP49" s="9"/>
      <c r="LMQ49" s="9"/>
      <c r="LMR49" s="9"/>
      <c r="LMS49" s="9"/>
      <c r="LMT49" s="9"/>
      <c r="LMU49" s="9"/>
      <c r="LMV49" s="9"/>
      <c r="LMW49" s="9"/>
      <c r="LMX49" s="9"/>
      <c r="LMY49" s="9"/>
      <c r="LMZ49" s="9"/>
      <c r="LNA49" s="9"/>
      <c r="LNB49" s="9"/>
      <c r="LNC49" s="9"/>
      <c r="LND49" s="9"/>
      <c r="LNE49" s="9"/>
      <c r="LNF49" s="9"/>
      <c r="LNG49" s="9"/>
      <c r="LNH49" s="9"/>
      <c r="LNI49" s="9"/>
      <c r="LNJ49" s="9"/>
      <c r="LNK49" s="9"/>
      <c r="LNL49" s="9"/>
      <c r="LNM49" s="9"/>
      <c r="LNN49" s="9"/>
      <c r="LNO49" s="9"/>
      <c r="LNP49" s="9"/>
      <c r="LNQ49" s="9"/>
      <c r="LNR49" s="9"/>
      <c r="LNS49" s="9"/>
      <c r="LNT49" s="9"/>
      <c r="LNU49" s="9"/>
      <c r="LNV49" s="9"/>
      <c r="LNW49" s="9"/>
      <c r="LNX49" s="9"/>
      <c r="LNY49" s="9"/>
      <c r="LNZ49" s="9"/>
      <c r="LOA49" s="9"/>
      <c r="LOB49" s="9"/>
      <c r="LOC49" s="9"/>
      <c r="LOD49" s="9"/>
      <c r="LOE49" s="9"/>
      <c r="LOF49" s="9"/>
      <c r="LOG49" s="9"/>
      <c r="LOH49" s="9"/>
      <c r="LOI49" s="9"/>
      <c r="LOJ49" s="9"/>
      <c r="LOK49" s="9"/>
      <c r="LOL49" s="9"/>
      <c r="LOM49" s="9"/>
      <c r="LON49" s="9"/>
      <c r="LOO49" s="9"/>
      <c r="LOP49" s="9"/>
      <c r="LOQ49" s="9"/>
      <c r="LOR49" s="9"/>
      <c r="LOS49" s="9"/>
      <c r="LOT49" s="9"/>
      <c r="LOU49" s="9"/>
      <c r="LOV49" s="9"/>
      <c r="LOW49" s="9"/>
      <c r="LOX49" s="9"/>
      <c r="LOY49" s="9"/>
      <c r="LOZ49" s="9"/>
      <c r="LPA49" s="9"/>
      <c r="LPB49" s="9"/>
      <c r="LPC49" s="9"/>
      <c r="LPD49" s="9"/>
      <c r="LPE49" s="9"/>
      <c r="LPF49" s="9"/>
      <c r="LPG49" s="9"/>
      <c r="LPH49" s="9"/>
      <c r="LPI49" s="9"/>
      <c r="LPJ49" s="9"/>
      <c r="LPK49" s="9"/>
      <c r="LPL49" s="9"/>
      <c r="LPM49" s="9"/>
      <c r="LPN49" s="9"/>
      <c r="LPO49" s="9"/>
      <c r="LPP49" s="9"/>
      <c r="LPQ49" s="9"/>
      <c r="LPR49" s="9"/>
      <c r="LPS49" s="9"/>
      <c r="LPT49" s="9"/>
      <c r="LPU49" s="9"/>
      <c r="LPV49" s="9"/>
      <c r="LPW49" s="9"/>
      <c r="LPX49" s="9"/>
      <c r="LPY49" s="9"/>
      <c r="LPZ49" s="9"/>
      <c r="LQA49" s="9"/>
      <c r="LQB49" s="9"/>
      <c r="LQC49" s="9"/>
      <c r="LQD49" s="9"/>
      <c r="LQE49" s="9"/>
      <c r="LQF49" s="9"/>
      <c r="LQG49" s="9"/>
      <c r="LQH49" s="9"/>
      <c r="LQI49" s="9"/>
      <c r="LQJ49" s="9"/>
      <c r="LQK49" s="9"/>
      <c r="LQL49" s="9"/>
      <c r="LQM49" s="9"/>
      <c r="LQN49" s="9"/>
      <c r="LQO49" s="9"/>
      <c r="LQP49" s="9"/>
      <c r="LQQ49" s="9"/>
      <c r="LQR49" s="9"/>
      <c r="LQS49" s="9"/>
      <c r="LQT49" s="9"/>
      <c r="LQU49" s="9"/>
      <c r="LQV49" s="9"/>
      <c r="LQW49" s="9"/>
      <c r="LQX49" s="9"/>
      <c r="LQY49" s="9"/>
      <c r="LQZ49" s="9"/>
      <c r="LRA49" s="9"/>
      <c r="LRB49" s="9"/>
      <c r="LRC49" s="9"/>
      <c r="LRD49" s="9"/>
      <c r="LRE49" s="9"/>
      <c r="LRF49" s="9"/>
      <c r="LRG49" s="9"/>
      <c r="LRH49" s="9"/>
      <c r="LRI49" s="9"/>
      <c r="LRJ49" s="9"/>
      <c r="LRK49" s="9"/>
      <c r="LRL49" s="9"/>
      <c r="LRM49" s="9"/>
      <c r="LRN49" s="9"/>
      <c r="LRO49" s="9"/>
      <c r="LRP49" s="9"/>
      <c r="LRQ49" s="9"/>
      <c r="LRR49" s="9"/>
      <c r="LRS49" s="9"/>
      <c r="LRT49" s="9"/>
      <c r="LRU49" s="9"/>
      <c r="LRV49" s="9"/>
      <c r="LRW49" s="9"/>
      <c r="LRX49" s="9"/>
      <c r="LRY49" s="9"/>
      <c r="LRZ49" s="9"/>
      <c r="LSA49" s="9"/>
      <c r="LSB49" s="9"/>
      <c r="LSC49" s="9"/>
      <c r="LSD49" s="9"/>
      <c r="LSE49" s="9"/>
      <c r="LSF49" s="9"/>
      <c r="LSG49" s="9"/>
      <c r="LSH49" s="9"/>
      <c r="LSI49" s="9"/>
      <c r="LSJ49" s="9"/>
      <c r="LSK49" s="9"/>
      <c r="LSL49" s="9"/>
      <c r="LSM49" s="9"/>
      <c r="LSN49" s="9"/>
      <c r="LSO49" s="9"/>
      <c r="LSP49" s="9"/>
      <c r="LSQ49" s="9"/>
      <c r="LSR49" s="9"/>
      <c r="LSS49" s="9"/>
      <c r="LST49" s="9"/>
      <c r="LSU49" s="9"/>
      <c r="LSV49" s="9"/>
      <c r="LSW49" s="9"/>
      <c r="LSX49" s="9"/>
      <c r="LSY49" s="9"/>
      <c r="LSZ49" s="9"/>
      <c r="LTA49" s="9"/>
      <c r="LTB49" s="9"/>
      <c r="LTC49" s="9"/>
      <c r="LTD49" s="9"/>
      <c r="LTE49" s="9"/>
      <c r="LTF49" s="9"/>
      <c r="LTG49" s="9"/>
      <c r="LTH49" s="9"/>
      <c r="LTI49" s="9"/>
      <c r="LTJ49" s="9"/>
      <c r="LTK49" s="9"/>
      <c r="LTL49" s="9"/>
      <c r="LTM49" s="9"/>
      <c r="LTN49" s="9"/>
      <c r="LTO49" s="9"/>
      <c r="LTP49" s="9"/>
      <c r="LTQ49" s="9"/>
      <c r="LTR49" s="9"/>
      <c r="LTS49" s="9"/>
      <c r="LTT49" s="9"/>
      <c r="LTU49" s="9"/>
      <c r="LTV49" s="9"/>
      <c r="LTW49" s="9"/>
      <c r="LTX49" s="9"/>
      <c r="LTY49" s="9"/>
      <c r="LTZ49" s="9"/>
      <c r="LUA49" s="9"/>
      <c r="LUB49" s="9"/>
      <c r="LUC49" s="9"/>
      <c r="LUD49" s="9"/>
      <c r="LUE49" s="9"/>
      <c r="LUF49" s="9"/>
      <c r="LUG49" s="9"/>
      <c r="LUH49" s="9"/>
      <c r="LUI49" s="9"/>
      <c r="LUJ49" s="9"/>
      <c r="LUK49" s="9"/>
      <c r="LUL49" s="9"/>
      <c r="LUM49" s="9"/>
      <c r="LUN49" s="9"/>
      <c r="LUO49" s="9"/>
      <c r="LUP49" s="9"/>
      <c r="LUQ49" s="9"/>
      <c r="LUR49" s="9"/>
      <c r="LUS49" s="9"/>
      <c r="LUT49" s="9"/>
      <c r="LUU49" s="9"/>
      <c r="LUV49" s="9"/>
      <c r="LUW49" s="9"/>
      <c r="LUX49" s="9"/>
      <c r="LUY49" s="9"/>
      <c r="LUZ49" s="9"/>
      <c r="LVA49" s="9"/>
      <c r="LVB49" s="9"/>
      <c r="LVC49" s="9"/>
      <c r="LVD49" s="9"/>
      <c r="LVE49" s="9"/>
      <c r="LVF49" s="9"/>
      <c r="LVG49" s="9"/>
      <c r="LVH49" s="9"/>
      <c r="LVI49" s="9"/>
      <c r="LVJ49" s="9"/>
      <c r="LVK49" s="9"/>
      <c r="LVL49" s="9"/>
      <c r="LVM49" s="9"/>
      <c r="LVN49" s="9"/>
      <c r="LVO49" s="9"/>
      <c r="LVP49" s="9"/>
      <c r="LVQ49" s="9"/>
      <c r="LVR49" s="9"/>
      <c r="LVS49" s="9"/>
      <c r="LVT49" s="9"/>
      <c r="LVU49" s="9"/>
      <c r="LVV49" s="9"/>
      <c r="LVW49" s="9"/>
      <c r="LVX49" s="9"/>
      <c r="LVY49" s="9"/>
      <c r="LVZ49" s="9"/>
      <c r="LWA49" s="9"/>
      <c r="LWB49" s="9"/>
      <c r="LWC49" s="9"/>
      <c r="LWD49" s="9"/>
      <c r="LWE49" s="9"/>
      <c r="LWF49" s="9"/>
      <c r="LWG49" s="9"/>
      <c r="LWH49" s="9"/>
      <c r="LWI49" s="9"/>
      <c r="LWJ49" s="9"/>
      <c r="LWK49" s="9"/>
      <c r="LWL49" s="9"/>
      <c r="LWM49" s="9"/>
      <c r="LWN49" s="9"/>
      <c r="LWO49" s="9"/>
      <c r="LWP49" s="9"/>
      <c r="LWQ49" s="9"/>
      <c r="LWR49" s="9"/>
      <c r="LWS49" s="9"/>
      <c r="LWT49" s="9"/>
      <c r="LWU49" s="9"/>
      <c r="LWV49" s="9"/>
      <c r="LWW49" s="9"/>
      <c r="LWX49" s="9"/>
      <c r="LWY49" s="9"/>
      <c r="LWZ49" s="9"/>
      <c r="LXA49" s="9"/>
      <c r="LXB49" s="9"/>
      <c r="LXC49" s="9"/>
      <c r="LXD49" s="9"/>
      <c r="LXE49" s="9"/>
      <c r="LXF49" s="9"/>
      <c r="LXG49" s="9"/>
      <c r="LXH49" s="9"/>
      <c r="LXI49" s="9"/>
      <c r="LXJ49" s="9"/>
      <c r="LXK49" s="9"/>
      <c r="LXL49" s="9"/>
      <c r="LXM49" s="9"/>
      <c r="LXN49" s="9"/>
      <c r="LXO49" s="9"/>
      <c r="LXP49" s="9"/>
      <c r="LXQ49" s="9"/>
      <c r="LXR49" s="9"/>
      <c r="LXS49" s="9"/>
      <c r="LXT49" s="9"/>
      <c r="LXU49" s="9"/>
      <c r="LXV49" s="9"/>
      <c r="LXW49" s="9"/>
      <c r="LXX49" s="9"/>
      <c r="LXY49" s="9"/>
      <c r="LXZ49" s="9"/>
      <c r="LYA49" s="9"/>
      <c r="LYB49" s="9"/>
      <c r="LYC49" s="9"/>
      <c r="LYD49" s="9"/>
      <c r="LYE49" s="9"/>
      <c r="LYF49" s="9"/>
      <c r="LYG49" s="9"/>
      <c r="LYH49" s="9"/>
      <c r="LYI49" s="9"/>
      <c r="LYJ49" s="9"/>
      <c r="LYK49" s="9"/>
      <c r="LYL49" s="9"/>
      <c r="LYM49" s="9"/>
      <c r="LYN49" s="9"/>
      <c r="LYO49" s="9"/>
      <c r="LYP49" s="9"/>
      <c r="LYQ49" s="9"/>
      <c r="LYR49" s="9"/>
      <c r="LYS49" s="9"/>
      <c r="LYT49" s="9"/>
      <c r="LYU49" s="9"/>
      <c r="LYV49" s="9"/>
      <c r="LYW49" s="9"/>
      <c r="LYX49" s="9"/>
      <c r="LYY49" s="9"/>
      <c r="LYZ49" s="9"/>
      <c r="LZA49" s="9"/>
      <c r="LZB49" s="9"/>
      <c r="LZC49" s="9"/>
      <c r="LZD49" s="9"/>
      <c r="LZE49" s="9"/>
      <c r="LZF49" s="9"/>
      <c r="LZG49" s="9"/>
      <c r="LZH49" s="9"/>
      <c r="LZI49" s="9"/>
      <c r="LZJ49" s="9"/>
      <c r="LZK49" s="9"/>
      <c r="LZL49" s="9"/>
      <c r="LZM49" s="9"/>
      <c r="LZN49" s="9"/>
      <c r="LZO49" s="9"/>
      <c r="LZP49" s="9"/>
      <c r="LZQ49" s="9"/>
      <c r="LZR49" s="9"/>
      <c r="LZS49" s="9"/>
      <c r="LZT49" s="9"/>
      <c r="LZU49" s="9"/>
      <c r="LZV49" s="9"/>
      <c r="LZW49" s="9"/>
      <c r="LZX49" s="9"/>
      <c r="LZY49" s="9"/>
      <c r="LZZ49" s="9"/>
      <c r="MAA49" s="9"/>
      <c r="MAB49" s="9"/>
      <c r="MAC49" s="9"/>
      <c r="MAD49" s="9"/>
      <c r="MAE49" s="9"/>
      <c r="MAF49" s="9"/>
      <c r="MAG49" s="9"/>
      <c r="MAH49" s="9"/>
      <c r="MAI49" s="9"/>
      <c r="MAJ49" s="9"/>
      <c r="MAK49" s="9"/>
      <c r="MAL49" s="9"/>
      <c r="MAM49" s="9"/>
      <c r="MAN49" s="9"/>
      <c r="MAO49" s="9"/>
      <c r="MAP49" s="9"/>
      <c r="MAQ49" s="9"/>
      <c r="MAR49" s="9"/>
      <c r="MAS49" s="9"/>
      <c r="MAT49" s="9"/>
      <c r="MAU49" s="9"/>
      <c r="MAV49" s="9"/>
      <c r="MAW49" s="9"/>
      <c r="MAX49" s="9"/>
      <c r="MAY49" s="9"/>
      <c r="MAZ49" s="9"/>
      <c r="MBA49" s="9"/>
      <c r="MBB49" s="9"/>
      <c r="MBC49" s="9"/>
      <c r="MBD49" s="9"/>
      <c r="MBE49" s="9"/>
      <c r="MBF49" s="9"/>
      <c r="MBG49" s="9"/>
      <c r="MBH49" s="9"/>
      <c r="MBI49" s="9"/>
      <c r="MBJ49" s="9"/>
      <c r="MBK49" s="9"/>
      <c r="MBL49" s="9"/>
      <c r="MBM49" s="9"/>
      <c r="MBN49" s="9"/>
      <c r="MBO49" s="9"/>
      <c r="MBP49" s="9"/>
      <c r="MBQ49" s="9"/>
      <c r="MBR49" s="9"/>
      <c r="MBS49" s="9"/>
      <c r="MBT49" s="9"/>
      <c r="MBU49" s="9"/>
      <c r="MBV49" s="9"/>
      <c r="MBW49" s="9"/>
      <c r="MBX49" s="9"/>
      <c r="MBY49" s="9"/>
      <c r="MBZ49" s="9"/>
      <c r="MCA49" s="9"/>
      <c r="MCB49" s="9"/>
      <c r="MCC49" s="9"/>
      <c r="MCD49" s="9"/>
      <c r="MCE49" s="9"/>
      <c r="MCF49" s="9"/>
      <c r="MCG49" s="9"/>
      <c r="MCH49" s="9"/>
      <c r="MCI49" s="9"/>
      <c r="MCJ49" s="9"/>
      <c r="MCK49" s="9"/>
      <c r="MCL49" s="9"/>
      <c r="MCM49" s="9"/>
      <c r="MCN49" s="9"/>
      <c r="MCO49" s="9"/>
      <c r="MCP49" s="9"/>
      <c r="MCQ49" s="9"/>
      <c r="MCR49" s="9"/>
      <c r="MCS49" s="9"/>
      <c r="MCT49" s="9"/>
      <c r="MCU49" s="9"/>
      <c r="MCV49" s="9"/>
      <c r="MCW49" s="9"/>
      <c r="MCX49" s="9"/>
      <c r="MCY49" s="9"/>
      <c r="MCZ49" s="9"/>
      <c r="MDA49" s="9"/>
      <c r="MDB49" s="9"/>
      <c r="MDC49" s="9"/>
      <c r="MDD49" s="9"/>
      <c r="MDE49" s="9"/>
      <c r="MDF49" s="9"/>
      <c r="MDG49" s="9"/>
      <c r="MDH49" s="9"/>
      <c r="MDI49" s="9"/>
      <c r="MDJ49" s="9"/>
      <c r="MDK49" s="9"/>
      <c r="MDL49" s="9"/>
      <c r="MDM49" s="9"/>
      <c r="MDN49" s="9"/>
      <c r="MDO49" s="9"/>
      <c r="MDP49" s="9"/>
      <c r="MDQ49" s="9"/>
      <c r="MDR49" s="9"/>
      <c r="MDS49" s="9"/>
      <c r="MDT49" s="9"/>
      <c r="MDU49" s="9"/>
      <c r="MDV49" s="9"/>
      <c r="MDW49" s="9"/>
      <c r="MDX49" s="9"/>
      <c r="MDY49" s="9"/>
      <c r="MDZ49" s="9"/>
      <c r="MEA49" s="9"/>
      <c r="MEB49" s="9"/>
      <c r="MEC49" s="9"/>
      <c r="MED49" s="9"/>
      <c r="MEE49" s="9"/>
      <c r="MEF49" s="9"/>
      <c r="MEG49" s="9"/>
      <c r="MEH49" s="9"/>
      <c r="MEI49" s="9"/>
      <c r="MEJ49" s="9"/>
      <c r="MEK49" s="9"/>
      <c r="MEL49" s="9"/>
      <c r="MEM49" s="9"/>
      <c r="MEN49" s="9"/>
      <c r="MEO49" s="9"/>
      <c r="MEP49" s="9"/>
      <c r="MEQ49" s="9"/>
      <c r="MER49" s="9"/>
      <c r="MES49" s="9"/>
      <c r="MET49" s="9"/>
      <c r="MEU49" s="9"/>
      <c r="MEV49" s="9"/>
      <c r="MEW49" s="9"/>
      <c r="MEX49" s="9"/>
      <c r="MEY49" s="9"/>
      <c r="MEZ49" s="9"/>
      <c r="MFA49" s="9"/>
      <c r="MFB49" s="9"/>
      <c r="MFC49" s="9"/>
      <c r="MFD49" s="9"/>
      <c r="MFE49" s="9"/>
      <c r="MFF49" s="9"/>
      <c r="MFG49" s="9"/>
      <c r="MFH49" s="9"/>
      <c r="MFI49" s="9"/>
      <c r="MFJ49" s="9"/>
      <c r="MFK49" s="9"/>
      <c r="MFL49" s="9"/>
      <c r="MFM49" s="9"/>
      <c r="MFN49" s="9"/>
      <c r="MFO49" s="9"/>
      <c r="MFP49" s="9"/>
      <c r="MFQ49" s="9"/>
      <c r="MFR49" s="9"/>
      <c r="MFS49" s="9"/>
      <c r="MFT49" s="9"/>
      <c r="MFU49" s="9"/>
      <c r="MFV49" s="9"/>
      <c r="MFW49" s="9"/>
      <c r="MFX49" s="9"/>
      <c r="MFY49" s="9"/>
      <c r="MFZ49" s="9"/>
      <c r="MGA49" s="9"/>
      <c r="MGB49" s="9"/>
      <c r="MGC49" s="9"/>
      <c r="MGD49" s="9"/>
      <c r="MGE49" s="9"/>
      <c r="MGF49" s="9"/>
      <c r="MGG49" s="9"/>
      <c r="MGH49" s="9"/>
      <c r="MGI49" s="9"/>
      <c r="MGJ49" s="9"/>
      <c r="MGK49" s="9"/>
      <c r="MGL49" s="9"/>
      <c r="MGM49" s="9"/>
      <c r="MGN49" s="9"/>
      <c r="MGO49" s="9"/>
      <c r="MGP49" s="9"/>
      <c r="MGQ49" s="9"/>
      <c r="MGR49" s="9"/>
      <c r="MGS49" s="9"/>
      <c r="MGT49" s="9"/>
      <c r="MGU49" s="9"/>
      <c r="MGV49" s="9"/>
      <c r="MGW49" s="9"/>
      <c r="MGX49" s="9"/>
      <c r="MGY49" s="9"/>
      <c r="MGZ49" s="9"/>
      <c r="MHA49" s="9"/>
      <c r="MHB49" s="9"/>
      <c r="MHC49" s="9"/>
      <c r="MHD49" s="9"/>
      <c r="MHE49" s="9"/>
      <c r="MHF49" s="9"/>
      <c r="MHG49" s="9"/>
      <c r="MHH49" s="9"/>
      <c r="MHI49" s="9"/>
      <c r="MHJ49" s="9"/>
      <c r="MHK49" s="9"/>
      <c r="MHL49" s="9"/>
      <c r="MHM49" s="9"/>
      <c r="MHN49" s="9"/>
      <c r="MHO49" s="9"/>
      <c r="MHP49" s="9"/>
      <c r="MHQ49" s="9"/>
      <c r="MHR49" s="9"/>
      <c r="MHS49" s="9"/>
      <c r="MHT49" s="9"/>
      <c r="MHU49" s="9"/>
      <c r="MHV49" s="9"/>
      <c r="MHW49" s="9"/>
      <c r="MHX49" s="9"/>
      <c r="MHY49" s="9"/>
      <c r="MHZ49" s="9"/>
      <c r="MIA49" s="9"/>
      <c r="MIB49" s="9"/>
      <c r="MIC49" s="9"/>
      <c r="MID49" s="9"/>
      <c r="MIE49" s="9"/>
      <c r="MIF49" s="9"/>
      <c r="MIG49" s="9"/>
      <c r="MIH49" s="9"/>
      <c r="MII49" s="9"/>
      <c r="MIJ49" s="9"/>
      <c r="MIK49" s="9"/>
      <c r="MIL49" s="9"/>
      <c r="MIM49" s="9"/>
      <c r="MIN49" s="9"/>
      <c r="MIO49" s="9"/>
      <c r="MIP49" s="9"/>
      <c r="MIQ49" s="9"/>
      <c r="MIR49" s="9"/>
      <c r="MIS49" s="9"/>
      <c r="MIT49" s="9"/>
      <c r="MIU49" s="9"/>
      <c r="MIV49" s="9"/>
      <c r="MIW49" s="9"/>
      <c r="MIX49" s="9"/>
      <c r="MIY49" s="9"/>
      <c r="MIZ49" s="9"/>
      <c r="MJA49" s="9"/>
      <c r="MJB49" s="9"/>
      <c r="MJC49" s="9"/>
      <c r="MJD49" s="9"/>
      <c r="MJE49" s="9"/>
      <c r="MJF49" s="9"/>
      <c r="MJG49" s="9"/>
      <c r="MJH49" s="9"/>
      <c r="MJI49" s="9"/>
      <c r="MJJ49" s="9"/>
      <c r="MJK49" s="9"/>
      <c r="MJL49" s="9"/>
      <c r="MJM49" s="9"/>
      <c r="MJN49" s="9"/>
      <c r="MJO49" s="9"/>
      <c r="MJP49" s="9"/>
      <c r="MJQ49" s="9"/>
      <c r="MJR49" s="9"/>
      <c r="MJS49" s="9"/>
      <c r="MJT49" s="9"/>
      <c r="MJU49" s="9"/>
      <c r="MJV49" s="9"/>
      <c r="MJW49" s="9"/>
      <c r="MJX49" s="9"/>
      <c r="MJY49" s="9"/>
      <c r="MJZ49" s="9"/>
      <c r="MKA49" s="9"/>
      <c r="MKB49" s="9"/>
      <c r="MKC49" s="9"/>
      <c r="MKD49" s="9"/>
      <c r="MKE49" s="9"/>
      <c r="MKF49" s="9"/>
      <c r="MKG49" s="9"/>
      <c r="MKH49" s="9"/>
      <c r="MKI49" s="9"/>
      <c r="MKJ49" s="9"/>
      <c r="MKK49" s="9"/>
      <c r="MKL49" s="9"/>
      <c r="MKM49" s="9"/>
      <c r="MKN49" s="9"/>
      <c r="MKO49" s="9"/>
      <c r="MKP49" s="9"/>
      <c r="MKQ49" s="9"/>
      <c r="MKR49" s="9"/>
      <c r="MKS49" s="9"/>
      <c r="MKT49" s="9"/>
      <c r="MKU49" s="9"/>
      <c r="MKV49" s="9"/>
      <c r="MKW49" s="9"/>
      <c r="MKX49" s="9"/>
      <c r="MKY49" s="9"/>
      <c r="MKZ49" s="9"/>
      <c r="MLA49" s="9"/>
      <c r="MLB49" s="9"/>
      <c r="MLC49" s="9"/>
      <c r="MLD49" s="9"/>
      <c r="MLE49" s="9"/>
      <c r="MLF49" s="9"/>
      <c r="MLG49" s="9"/>
      <c r="MLH49" s="9"/>
      <c r="MLI49" s="9"/>
      <c r="MLJ49" s="9"/>
      <c r="MLK49" s="9"/>
      <c r="MLL49" s="9"/>
      <c r="MLM49" s="9"/>
      <c r="MLN49" s="9"/>
      <c r="MLO49" s="9"/>
      <c r="MLP49" s="9"/>
      <c r="MLQ49" s="9"/>
      <c r="MLR49" s="9"/>
      <c r="MLS49" s="9"/>
      <c r="MLT49" s="9"/>
      <c r="MLU49" s="9"/>
      <c r="MLV49" s="9"/>
      <c r="MLW49" s="9"/>
      <c r="MLX49" s="9"/>
      <c r="MLY49" s="9"/>
      <c r="MLZ49" s="9"/>
      <c r="MMA49" s="9"/>
      <c r="MMB49" s="9"/>
      <c r="MMC49" s="9"/>
      <c r="MMD49" s="9"/>
      <c r="MME49" s="9"/>
      <c r="MMF49" s="9"/>
      <c r="MMG49" s="9"/>
      <c r="MMH49" s="9"/>
      <c r="MMI49" s="9"/>
      <c r="MMJ49" s="9"/>
      <c r="MMK49" s="9"/>
      <c r="MML49" s="9"/>
      <c r="MMM49" s="9"/>
      <c r="MMN49" s="9"/>
      <c r="MMO49" s="9"/>
      <c r="MMP49" s="9"/>
      <c r="MMQ49" s="9"/>
      <c r="MMR49" s="9"/>
      <c r="MMS49" s="9"/>
      <c r="MMT49" s="9"/>
      <c r="MMU49" s="9"/>
      <c r="MMV49" s="9"/>
      <c r="MMW49" s="9"/>
      <c r="MMX49" s="9"/>
      <c r="MMY49" s="9"/>
      <c r="MMZ49" s="9"/>
      <c r="MNA49" s="9"/>
      <c r="MNB49" s="9"/>
      <c r="MNC49" s="9"/>
      <c r="MND49" s="9"/>
      <c r="MNE49" s="9"/>
      <c r="MNF49" s="9"/>
      <c r="MNG49" s="9"/>
      <c r="MNH49" s="9"/>
      <c r="MNI49" s="9"/>
      <c r="MNJ49" s="9"/>
      <c r="MNK49" s="9"/>
      <c r="MNL49" s="9"/>
      <c r="MNM49" s="9"/>
      <c r="MNN49" s="9"/>
      <c r="MNO49" s="9"/>
      <c r="MNP49" s="9"/>
      <c r="MNQ49" s="9"/>
      <c r="MNR49" s="9"/>
      <c r="MNS49" s="9"/>
      <c r="MNT49" s="9"/>
      <c r="MNU49" s="9"/>
      <c r="MNV49" s="9"/>
      <c r="MNW49" s="9"/>
      <c r="MNX49" s="9"/>
      <c r="MNY49" s="9"/>
      <c r="MNZ49" s="9"/>
      <c r="MOA49" s="9"/>
      <c r="MOB49" s="9"/>
      <c r="MOC49" s="9"/>
      <c r="MOD49" s="9"/>
      <c r="MOE49" s="9"/>
      <c r="MOF49" s="9"/>
      <c r="MOG49" s="9"/>
      <c r="MOH49" s="9"/>
      <c r="MOI49" s="9"/>
      <c r="MOJ49" s="9"/>
      <c r="MOK49" s="9"/>
      <c r="MOL49" s="9"/>
      <c r="MOM49" s="9"/>
      <c r="MON49" s="9"/>
      <c r="MOO49" s="9"/>
      <c r="MOP49" s="9"/>
      <c r="MOQ49" s="9"/>
      <c r="MOR49" s="9"/>
      <c r="MOS49" s="9"/>
      <c r="MOT49" s="9"/>
      <c r="MOU49" s="9"/>
      <c r="MOV49" s="9"/>
      <c r="MOW49" s="9"/>
      <c r="MOX49" s="9"/>
      <c r="MOY49" s="9"/>
      <c r="MOZ49" s="9"/>
      <c r="MPA49" s="9"/>
      <c r="MPB49" s="9"/>
      <c r="MPC49" s="9"/>
      <c r="MPD49" s="9"/>
      <c r="MPE49" s="9"/>
      <c r="MPF49" s="9"/>
      <c r="MPG49" s="9"/>
      <c r="MPH49" s="9"/>
      <c r="MPI49" s="9"/>
      <c r="MPJ49" s="9"/>
      <c r="MPK49" s="9"/>
      <c r="MPL49" s="9"/>
      <c r="MPM49" s="9"/>
      <c r="MPN49" s="9"/>
      <c r="MPO49" s="9"/>
      <c r="MPP49" s="9"/>
      <c r="MPQ49" s="9"/>
      <c r="MPR49" s="9"/>
      <c r="MPS49" s="9"/>
      <c r="MPT49" s="9"/>
      <c r="MPU49" s="9"/>
      <c r="MPV49" s="9"/>
      <c r="MPW49" s="9"/>
      <c r="MPX49" s="9"/>
      <c r="MPY49" s="9"/>
      <c r="MPZ49" s="9"/>
      <c r="MQA49" s="9"/>
      <c r="MQB49" s="9"/>
      <c r="MQC49" s="9"/>
      <c r="MQD49" s="9"/>
      <c r="MQE49" s="9"/>
      <c r="MQF49" s="9"/>
      <c r="MQG49" s="9"/>
      <c r="MQH49" s="9"/>
      <c r="MQI49" s="9"/>
      <c r="MQJ49" s="9"/>
      <c r="MQK49" s="9"/>
      <c r="MQL49" s="9"/>
      <c r="MQM49" s="9"/>
      <c r="MQN49" s="9"/>
      <c r="MQO49" s="9"/>
      <c r="MQP49" s="9"/>
      <c r="MQQ49" s="9"/>
      <c r="MQR49" s="9"/>
      <c r="MQS49" s="9"/>
      <c r="MQT49" s="9"/>
      <c r="MQU49" s="9"/>
      <c r="MQV49" s="9"/>
      <c r="MQW49" s="9"/>
      <c r="MQX49" s="9"/>
      <c r="MQY49" s="9"/>
      <c r="MQZ49" s="9"/>
      <c r="MRA49" s="9"/>
      <c r="MRB49" s="9"/>
      <c r="MRC49" s="9"/>
      <c r="MRD49" s="9"/>
      <c r="MRE49" s="9"/>
      <c r="MRF49" s="9"/>
      <c r="MRG49" s="9"/>
      <c r="MRH49" s="9"/>
      <c r="MRI49" s="9"/>
      <c r="MRJ49" s="9"/>
      <c r="MRK49" s="9"/>
      <c r="MRL49" s="9"/>
      <c r="MRM49" s="9"/>
      <c r="MRN49" s="9"/>
      <c r="MRO49" s="9"/>
      <c r="MRP49" s="9"/>
      <c r="MRQ49" s="9"/>
      <c r="MRR49" s="9"/>
      <c r="MRS49" s="9"/>
      <c r="MRT49" s="9"/>
      <c r="MRU49" s="9"/>
      <c r="MRV49" s="9"/>
      <c r="MRW49" s="9"/>
      <c r="MRX49" s="9"/>
      <c r="MRY49" s="9"/>
      <c r="MRZ49" s="9"/>
      <c r="MSA49" s="9"/>
      <c r="MSB49" s="9"/>
      <c r="MSC49" s="9"/>
      <c r="MSD49" s="9"/>
      <c r="MSE49" s="9"/>
      <c r="MSF49" s="9"/>
      <c r="MSG49" s="9"/>
      <c r="MSH49" s="9"/>
      <c r="MSI49" s="9"/>
      <c r="MSJ49" s="9"/>
      <c r="MSK49" s="9"/>
      <c r="MSL49" s="9"/>
      <c r="MSM49" s="9"/>
      <c r="MSN49" s="9"/>
      <c r="MSO49" s="9"/>
      <c r="MSP49" s="9"/>
      <c r="MSQ49" s="9"/>
      <c r="MSR49" s="9"/>
      <c r="MSS49" s="9"/>
      <c r="MST49" s="9"/>
      <c r="MSU49" s="9"/>
      <c r="MSV49" s="9"/>
      <c r="MSW49" s="9"/>
      <c r="MSX49" s="9"/>
      <c r="MSY49" s="9"/>
      <c r="MSZ49" s="9"/>
      <c r="MTA49" s="9"/>
      <c r="MTB49" s="9"/>
      <c r="MTC49" s="9"/>
      <c r="MTD49" s="9"/>
      <c r="MTE49" s="9"/>
      <c r="MTF49" s="9"/>
      <c r="MTG49" s="9"/>
      <c r="MTH49" s="9"/>
      <c r="MTI49" s="9"/>
      <c r="MTJ49" s="9"/>
      <c r="MTK49" s="9"/>
      <c r="MTL49" s="9"/>
      <c r="MTM49" s="9"/>
      <c r="MTN49" s="9"/>
      <c r="MTO49" s="9"/>
      <c r="MTP49" s="9"/>
      <c r="MTQ49" s="9"/>
      <c r="MTR49" s="9"/>
      <c r="MTS49" s="9"/>
      <c r="MTT49" s="9"/>
      <c r="MTU49" s="9"/>
      <c r="MTV49" s="9"/>
      <c r="MTW49" s="9"/>
      <c r="MTX49" s="9"/>
      <c r="MTY49" s="9"/>
      <c r="MTZ49" s="9"/>
      <c r="MUA49" s="9"/>
      <c r="MUB49" s="9"/>
      <c r="MUC49" s="9"/>
      <c r="MUD49" s="9"/>
      <c r="MUE49" s="9"/>
      <c r="MUF49" s="9"/>
      <c r="MUG49" s="9"/>
      <c r="MUH49" s="9"/>
      <c r="MUI49" s="9"/>
      <c r="MUJ49" s="9"/>
      <c r="MUK49" s="9"/>
      <c r="MUL49" s="9"/>
      <c r="MUM49" s="9"/>
      <c r="MUN49" s="9"/>
      <c r="MUO49" s="9"/>
      <c r="MUP49" s="9"/>
      <c r="MUQ49" s="9"/>
      <c r="MUR49" s="9"/>
      <c r="MUS49" s="9"/>
      <c r="MUT49" s="9"/>
      <c r="MUU49" s="9"/>
      <c r="MUV49" s="9"/>
      <c r="MUW49" s="9"/>
      <c r="MUX49" s="9"/>
      <c r="MUY49" s="9"/>
      <c r="MUZ49" s="9"/>
      <c r="MVA49" s="9"/>
      <c r="MVB49" s="9"/>
      <c r="MVC49" s="9"/>
      <c r="MVD49" s="9"/>
      <c r="MVE49" s="9"/>
      <c r="MVF49" s="9"/>
      <c r="MVG49" s="9"/>
      <c r="MVH49" s="9"/>
      <c r="MVI49" s="9"/>
      <c r="MVJ49" s="9"/>
      <c r="MVK49" s="9"/>
      <c r="MVL49" s="9"/>
      <c r="MVM49" s="9"/>
      <c r="MVN49" s="9"/>
      <c r="MVO49" s="9"/>
      <c r="MVP49" s="9"/>
      <c r="MVQ49" s="9"/>
      <c r="MVR49" s="9"/>
      <c r="MVS49" s="9"/>
      <c r="MVT49" s="9"/>
      <c r="MVU49" s="9"/>
      <c r="MVV49" s="9"/>
      <c r="MVW49" s="9"/>
      <c r="MVX49" s="9"/>
      <c r="MVY49" s="9"/>
      <c r="MVZ49" s="9"/>
      <c r="MWA49" s="9"/>
      <c r="MWB49" s="9"/>
      <c r="MWC49" s="9"/>
      <c r="MWD49" s="9"/>
      <c r="MWE49" s="9"/>
      <c r="MWF49" s="9"/>
      <c r="MWG49" s="9"/>
      <c r="MWH49" s="9"/>
      <c r="MWI49" s="9"/>
      <c r="MWJ49" s="9"/>
      <c r="MWK49" s="9"/>
      <c r="MWL49" s="9"/>
      <c r="MWM49" s="9"/>
      <c r="MWN49" s="9"/>
      <c r="MWO49" s="9"/>
      <c r="MWP49" s="9"/>
      <c r="MWQ49" s="9"/>
      <c r="MWR49" s="9"/>
      <c r="MWS49" s="9"/>
      <c r="MWT49" s="9"/>
      <c r="MWU49" s="9"/>
      <c r="MWV49" s="9"/>
      <c r="MWW49" s="9"/>
      <c r="MWX49" s="9"/>
      <c r="MWY49" s="9"/>
      <c r="MWZ49" s="9"/>
      <c r="MXA49" s="9"/>
      <c r="MXB49" s="9"/>
      <c r="MXC49" s="9"/>
      <c r="MXD49" s="9"/>
      <c r="MXE49" s="9"/>
      <c r="MXF49" s="9"/>
      <c r="MXG49" s="9"/>
      <c r="MXH49" s="9"/>
      <c r="MXI49" s="9"/>
      <c r="MXJ49" s="9"/>
      <c r="MXK49" s="9"/>
      <c r="MXL49" s="9"/>
      <c r="MXM49" s="9"/>
      <c r="MXN49" s="9"/>
      <c r="MXO49" s="9"/>
      <c r="MXP49" s="9"/>
      <c r="MXQ49" s="9"/>
      <c r="MXR49" s="9"/>
      <c r="MXS49" s="9"/>
      <c r="MXT49" s="9"/>
      <c r="MXU49" s="9"/>
      <c r="MXV49" s="9"/>
      <c r="MXW49" s="9"/>
      <c r="MXX49" s="9"/>
      <c r="MXY49" s="9"/>
      <c r="MXZ49" s="9"/>
      <c r="MYA49" s="9"/>
      <c r="MYB49" s="9"/>
      <c r="MYC49" s="9"/>
      <c r="MYD49" s="9"/>
      <c r="MYE49" s="9"/>
      <c r="MYF49" s="9"/>
      <c r="MYG49" s="9"/>
      <c r="MYH49" s="9"/>
      <c r="MYI49" s="9"/>
      <c r="MYJ49" s="9"/>
      <c r="MYK49" s="9"/>
      <c r="MYL49" s="9"/>
      <c r="MYM49" s="9"/>
      <c r="MYN49" s="9"/>
      <c r="MYO49" s="9"/>
      <c r="MYP49" s="9"/>
      <c r="MYQ49" s="9"/>
      <c r="MYR49" s="9"/>
      <c r="MYS49" s="9"/>
      <c r="MYT49" s="9"/>
      <c r="MYU49" s="9"/>
      <c r="MYV49" s="9"/>
      <c r="MYW49" s="9"/>
      <c r="MYX49" s="9"/>
      <c r="MYY49" s="9"/>
      <c r="MYZ49" s="9"/>
      <c r="MZA49" s="9"/>
      <c r="MZB49" s="9"/>
      <c r="MZC49" s="9"/>
      <c r="MZD49" s="9"/>
      <c r="MZE49" s="9"/>
      <c r="MZF49" s="9"/>
      <c r="MZG49" s="9"/>
      <c r="MZH49" s="9"/>
      <c r="MZI49" s="9"/>
      <c r="MZJ49" s="9"/>
      <c r="MZK49" s="9"/>
      <c r="MZL49" s="9"/>
      <c r="MZM49" s="9"/>
      <c r="MZN49" s="9"/>
      <c r="MZO49" s="9"/>
      <c r="MZP49" s="9"/>
      <c r="MZQ49" s="9"/>
      <c r="MZR49" s="9"/>
      <c r="MZS49" s="9"/>
      <c r="MZT49" s="9"/>
      <c r="MZU49" s="9"/>
      <c r="MZV49" s="9"/>
      <c r="MZW49" s="9"/>
      <c r="MZX49" s="9"/>
      <c r="MZY49" s="9"/>
      <c r="MZZ49" s="9"/>
      <c r="NAA49" s="9"/>
      <c r="NAB49" s="9"/>
      <c r="NAC49" s="9"/>
      <c r="NAD49" s="9"/>
      <c r="NAE49" s="9"/>
      <c r="NAF49" s="9"/>
      <c r="NAG49" s="9"/>
      <c r="NAH49" s="9"/>
      <c r="NAI49" s="9"/>
      <c r="NAJ49" s="9"/>
      <c r="NAK49" s="9"/>
      <c r="NAL49" s="9"/>
      <c r="NAM49" s="9"/>
      <c r="NAN49" s="9"/>
      <c r="NAO49" s="9"/>
      <c r="NAP49" s="9"/>
      <c r="NAQ49" s="9"/>
      <c r="NAR49" s="9"/>
      <c r="NAS49" s="9"/>
      <c r="NAT49" s="9"/>
      <c r="NAU49" s="9"/>
      <c r="NAV49" s="9"/>
      <c r="NAW49" s="9"/>
      <c r="NAX49" s="9"/>
      <c r="NAY49" s="9"/>
      <c r="NAZ49" s="9"/>
      <c r="NBA49" s="9"/>
      <c r="NBB49" s="9"/>
      <c r="NBC49" s="9"/>
      <c r="NBD49" s="9"/>
      <c r="NBE49" s="9"/>
      <c r="NBF49" s="9"/>
      <c r="NBG49" s="9"/>
      <c r="NBH49" s="9"/>
      <c r="NBI49" s="9"/>
      <c r="NBJ49" s="9"/>
      <c r="NBK49" s="9"/>
      <c r="NBL49" s="9"/>
      <c r="NBM49" s="9"/>
      <c r="NBN49" s="9"/>
      <c r="NBO49" s="9"/>
      <c r="NBP49" s="9"/>
      <c r="NBQ49" s="9"/>
      <c r="NBR49" s="9"/>
      <c r="NBS49" s="9"/>
      <c r="NBT49" s="9"/>
      <c r="NBU49" s="9"/>
      <c r="NBV49" s="9"/>
      <c r="NBW49" s="9"/>
      <c r="NBX49" s="9"/>
      <c r="NBY49" s="9"/>
      <c r="NBZ49" s="9"/>
      <c r="NCA49" s="9"/>
      <c r="NCB49" s="9"/>
      <c r="NCC49" s="9"/>
      <c r="NCD49" s="9"/>
      <c r="NCE49" s="9"/>
      <c r="NCF49" s="9"/>
      <c r="NCG49" s="9"/>
      <c r="NCH49" s="9"/>
      <c r="NCI49" s="9"/>
      <c r="NCJ49" s="9"/>
      <c r="NCK49" s="9"/>
      <c r="NCL49" s="9"/>
      <c r="NCM49" s="9"/>
      <c r="NCN49" s="9"/>
      <c r="NCO49" s="9"/>
      <c r="NCP49" s="9"/>
      <c r="NCQ49" s="9"/>
      <c r="NCR49" s="9"/>
      <c r="NCS49" s="9"/>
      <c r="NCT49" s="9"/>
      <c r="NCU49" s="9"/>
      <c r="NCV49" s="9"/>
      <c r="NCW49" s="9"/>
      <c r="NCX49" s="9"/>
      <c r="NCY49" s="9"/>
      <c r="NCZ49" s="9"/>
      <c r="NDA49" s="9"/>
      <c r="NDB49" s="9"/>
      <c r="NDC49" s="9"/>
      <c r="NDD49" s="9"/>
      <c r="NDE49" s="9"/>
      <c r="NDF49" s="9"/>
      <c r="NDG49" s="9"/>
      <c r="NDH49" s="9"/>
      <c r="NDI49" s="9"/>
      <c r="NDJ49" s="9"/>
      <c r="NDK49" s="9"/>
      <c r="NDL49" s="9"/>
      <c r="NDM49" s="9"/>
      <c r="NDN49" s="9"/>
      <c r="NDO49" s="9"/>
      <c r="NDP49" s="9"/>
      <c r="NDQ49" s="9"/>
      <c r="NDR49" s="9"/>
      <c r="NDS49" s="9"/>
      <c r="NDT49" s="9"/>
      <c r="NDU49" s="9"/>
      <c r="NDV49" s="9"/>
      <c r="NDW49" s="9"/>
      <c r="NDX49" s="9"/>
      <c r="NDY49" s="9"/>
      <c r="NDZ49" s="9"/>
      <c r="NEA49" s="9"/>
      <c r="NEB49" s="9"/>
      <c r="NEC49" s="9"/>
      <c r="NED49" s="9"/>
      <c r="NEE49" s="9"/>
      <c r="NEF49" s="9"/>
      <c r="NEG49" s="9"/>
      <c r="NEH49" s="9"/>
      <c r="NEI49" s="9"/>
      <c r="NEJ49" s="9"/>
      <c r="NEK49" s="9"/>
      <c r="NEL49" s="9"/>
      <c r="NEM49" s="9"/>
      <c r="NEN49" s="9"/>
      <c r="NEO49" s="9"/>
      <c r="NEP49" s="9"/>
      <c r="NEQ49" s="9"/>
      <c r="NER49" s="9"/>
      <c r="NES49" s="9"/>
      <c r="NET49" s="9"/>
      <c r="NEU49" s="9"/>
      <c r="NEV49" s="9"/>
      <c r="NEW49" s="9"/>
      <c r="NEX49" s="9"/>
      <c r="NEY49" s="9"/>
      <c r="NEZ49" s="9"/>
      <c r="NFA49" s="9"/>
      <c r="NFB49" s="9"/>
      <c r="NFC49" s="9"/>
      <c r="NFD49" s="9"/>
      <c r="NFE49" s="9"/>
      <c r="NFF49" s="9"/>
      <c r="NFG49" s="9"/>
      <c r="NFH49" s="9"/>
      <c r="NFI49" s="9"/>
      <c r="NFJ49" s="9"/>
      <c r="NFK49" s="9"/>
      <c r="NFL49" s="9"/>
      <c r="NFM49" s="9"/>
      <c r="NFN49" s="9"/>
      <c r="NFO49" s="9"/>
      <c r="NFP49" s="9"/>
      <c r="NFQ49" s="9"/>
      <c r="NFR49" s="9"/>
      <c r="NFS49" s="9"/>
      <c r="NFT49" s="9"/>
      <c r="NFU49" s="9"/>
      <c r="NFV49" s="9"/>
      <c r="NFW49" s="9"/>
      <c r="NFX49" s="9"/>
      <c r="NFY49" s="9"/>
      <c r="NFZ49" s="9"/>
      <c r="NGA49" s="9"/>
      <c r="NGB49" s="9"/>
      <c r="NGC49" s="9"/>
      <c r="NGD49" s="9"/>
      <c r="NGE49" s="9"/>
      <c r="NGF49" s="9"/>
      <c r="NGG49" s="9"/>
      <c r="NGH49" s="9"/>
      <c r="NGI49" s="9"/>
      <c r="NGJ49" s="9"/>
      <c r="NGK49" s="9"/>
      <c r="NGL49" s="9"/>
      <c r="NGM49" s="9"/>
      <c r="NGN49" s="9"/>
      <c r="NGO49" s="9"/>
      <c r="NGP49" s="9"/>
      <c r="NGQ49" s="9"/>
      <c r="NGR49" s="9"/>
      <c r="NGS49" s="9"/>
      <c r="NGT49" s="9"/>
      <c r="NGU49" s="9"/>
      <c r="NGV49" s="9"/>
      <c r="NGW49" s="9"/>
      <c r="NGX49" s="9"/>
      <c r="NGY49" s="9"/>
      <c r="NGZ49" s="9"/>
      <c r="NHA49" s="9"/>
      <c r="NHB49" s="9"/>
      <c r="NHC49" s="9"/>
      <c r="NHD49" s="9"/>
      <c r="NHE49" s="9"/>
      <c r="NHF49" s="9"/>
      <c r="NHG49" s="9"/>
      <c r="NHH49" s="9"/>
      <c r="NHI49" s="9"/>
      <c r="NHJ49" s="9"/>
      <c r="NHK49" s="9"/>
      <c r="NHL49" s="9"/>
      <c r="NHM49" s="9"/>
      <c r="NHN49" s="9"/>
      <c r="NHO49" s="9"/>
      <c r="NHP49" s="9"/>
      <c r="NHQ49" s="9"/>
      <c r="NHR49" s="9"/>
      <c r="NHS49" s="9"/>
      <c r="NHT49" s="9"/>
      <c r="NHU49" s="9"/>
      <c r="NHV49" s="9"/>
      <c r="NHW49" s="9"/>
      <c r="NHX49" s="9"/>
      <c r="NHY49" s="9"/>
      <c r="NHZ49" s="9"/>
      <c r="NIA49" s="9"/>
      <c r="NIB49" s="9"/>
      <c r="NIC49" s="9"/>
      <c r="NID49" s="9"/>
      <c r="NIE49" s="9"/>
      <c r="NIF49" s="9"/>
      <c r="NIG49" s="9"/>
      <c r="NIH49" s="9"/>
      <c r="NII49" s="9"/>
      <c r="NIJ49" s="9"/>
      <c r="NIK49" s="9"/>
      <c r="NIL49" s="9"/>
      <c r="NIM49" s="9"/>
      <c r="NIN49" s="9"/>
      <c r="NIO49" s="9"/>
      <c r="NIP49" s="9"/>
      <c r="NIQ49" s="9"/>
      <c r="NIR49" s="9"/>
      <c r="NIS49" s="9"/>
      <c r="NIT49" s="9"/>
      <c r="NIU49" s="9"/>
      <c r="NIV49" s="9"/>
      <c r="NIW49" s="9"/>
      <c r="NIX49" s="9"/>
      <c r="NIY49" s="9"/>
      <c r="NIZ49" s="9"/>
      <c r="NJA49" s="9"/>
      <c r="NJB49" s="9"/>
      <c r="NJC49" s="9"/>
      <c r="NJD49" s="9"/>
      <c r="NJE49" s="9"/>
      <c r="NJF49" s="9"/>
      <c r="NJG49" s="9"/>
      <c r="NJH49" s="9"/>
      <c r="NJI49" s="9"/>
      <c r="NJJ49" s="9"/>
      <c r="NJK49" s="9"/>
      <c r="NJL49" s="9"/>
      <c r="NJM49" s="9"/>
      <c r="NJN49" s="9"/>
      <c r="NJO49" s="9"/>
      <c r="NJP49" s="9"/>
      <c r="NJQ49" s="9"/>
      <c r="NJR49" s="9"/>
      <c r="NJS49" s="9"/>
      <c r="NJT49" s="9"/>
      <c r="NJU49" s="9"/>
      <c r="NJV49" s="9"/>
      <c r="NJW49" s="9"/>
      <c r="NJX49" s="9"/>
      <c r="NJY49" s="9"/>
      <c r="NJZ49" s="9"/>
      <c r="NKA49" s="9"/>
      <c r="NKB49" s="9"/>
      <c r="NKC49" s="9"/>
      <c r="NKD49" s="9"/>
      <c r="NKE49" s="9"/>
      <c r="NKF49" s="9"/>
      <c r="NKG49" s="9"/>
      <c r="NKH49" s="9"/>
      <c r="NKI49" s="9"/>
      <c r="NKJ49" s="9"/>
      <c r="NKK49" s="9"/>
      <c r="NKL49" s="9"/>
      <c r="NKM49" s="9"/>
      <c r="NKN49" s="9"/>
      <c r="NKO49" s="9"/>
      <c r="NKP49" s="9"/>
      <c r="NKQ49" s="9"/>
      <c r="NKR49" s="9"/>
      <c r="NKS49" s="9"/>
      <c r="NKT49" s="9"/>
      <c r="NKU49" s="9"/>
      <c r="NKV49" s="9"/>
      <c r="NKW49" s="9"/>
      <c r="NKX49" s="9"/>
      <c r="NKY49" s="9"/>
      <c r="NKZ49" s="9"/>
      <c r="NLA49" s="9"/>
      <c r="NLB49" s="9"/>
      <c r="NLC49" s="9"/>
      <c r="NLD49" s="9"/>
      <c r="NLE49" s="9"/>
      <c r="NLF49" s="9"/>
      <c r="NLG49" s="9"/>
      <c r="NLH49" s="9"/>
      <c r="NLI49" s="9"/>
      <c r="NLJ49" s="9"/>
      <c r="NLK49" s="9"/>
      <c r="NLL49" s="9"/>
      <c r="NLM49" s="9"/>
      <c r="NLN49" s="9"/>
      <c r="NLO49" s="9"/>
      <c r="NLP49" s="9"/>
      <c r="NLQ49" s="9"/>
      <c r="NLR49" s="9"/>
      <c r="NLS49" s="9"/>
      <c r="NLT49" s="9"/>
      <c r="NLU49" s="9"/>
      <c r="NLV49" s="9"/>
      <c r="NLW49" s="9"/>
      <c r="NLX49" s="9"/>
      <c r="NLY49" s="9"/>
      <c r="NLZ49" s="9"/>
      <c r="NMA49" s="9"/>
      <c r="NMB49" s="9"/>
      <c r="NMC49" s="9"/>
      <c r="NMD49" s="9"/>
      <c r="NME49" s="9"/>
      <c r="NMF49" s="9"/>
      <c r="NMG49" s="9"/>
      <c r="NMH49" s="9"/>
      <c r="NMI49" s="9"/>
      <c r="NMJ49" s="9"/>
      <c r="NMK49" s="9"/>
      <c r="NML49" s="9"/>
      <c r="NMM49" s="9"/>
      <c r="NMN49" s="9"/>
      <c r="NMO49" s="9"/>
      <c r="NMP49" s="9"/>
      <c r="NMQ49" s="9"/>
      <c r="NMR49" s="9"/>
      <c r="NMS49" s="9"/>
      <c r="NMT49" s="9"/>
      <c r="NMU49" s="9"/>
      <c r="NMV49" s="9"/>
      <c r="NMW49" s="9"/>
      <c r="NMX49" s="9"/>
      <c r="NMY49" s="9"/>
      <c r="NMZ49" s="9"/>
      <c r="NNA49" s="9"/>
      <c r="NNB49" s="9"/>
      <c r="NNC49" s="9"/>
      <c r="NND49" s="9"/>
      <c r="NNE49" s="9"/>
      <c r="NNF49" s="9"/>
      <c r="NNG49" s="9"/>
      <c r="NNH49" s="9"/>
      <c r="NNI49" s="9"/>
      <c r="NNJ49" s="9"/>
      <c r="NNK49" s="9"/>
      <c r="NNL49" s="9"/>
      <c r="NNM49" s="9"/>
      <c r="NNN49" s="9"/>
      <c r="NNO49" s="9"/>
      <c r="NNP49" s="9"/>
      <c r="NNQ49" s="9"/>
      <c r="NNR49" s="9"/>
      <c r="NNS49" s="9"/>
      <c r="NNT49" s="9"/>
      <c r="NNU49" s="9"/>
      <c r="NNV49" s="9"/>
      <c r="NNW49" s="9"/>
      <c r="NNX49" s="9"/>
      <c r="NNY49" s="9"/>
      <c r="NNZ49" s="9"/>
      <c r="NOA49" s="9"/>
      <c r="NOB49" s="9"/>
      <c r="NOC49" s="9"/>
      <c r="NOD49" s="9"/>
      <c r="NOE49" s="9"/>
      <c r="NOF49" s="9"/>
      <c r="NOG49" s="9"/>
      <c r="NOH49" s="9"/>
      <c r="NOI49" s="9"/>
      <c r="NOJ49" s="9"/>
      <c r="NOK49" s="9"/>
      <c r="NOL49" s="9"/>
      <c r="NOM49" s="9"/>
      <c r="NON49" s="9"/>
      <c r="NOO49" s="9"/>
      <c r="NOP49" s="9"/>
      <c r="NOQ49" s="9"/>
      <c r="NOR49" s="9"/>
      <c r="NOS49" s="9"/>
      <c r="NOT49" s="9"/>
      <c r="NOU49" s="9"/>
      <c r="NOV49" s="9"/>
      <c r="NOW49" s="9"/>
      <c r="NOX49" s="9"/>
      <c r="NOY49" s="9"/>
      <c r="NOZ49" s="9"/>
      <c r="NPA49" s="9"/>
      <c r="NPB49" s="9"/>
      <c r="NPC49" s="9"/>
      <c r="NPD49" s="9"/>
      <c r="NPE49" s="9"/>
      <c r="NPF49" s="9"/>
      <c r="NPG49" s="9"/>
      <c r="NPH49" s="9"/>
      <c r="NPI49" s="9"/>
      <c r="NPJ49" s="9"/>
      <c r="NPK49" s="9"/>
      <c r="NPL49" s="9"/>
      <c r="NPM49" s="9"/>
      <c r="NPN49" s="9"/>
      <c r="NPO49" s="9"/>
      <c r="NPP49" s="9"/>
      <c r="NPQ49" s="9"/>
      <c r="NPR49" s="9"/>
      <c r="NPS49" s="9"/>
      <c r="NPT49" s="9"/>
      <c r="NPU49" s="9"/>
      <c r="NPV49" s="9"/>
      <c r="NPW49" s="9"/>
      <c r="NPX49" s="9"/>
      <c r="NPY49" s="9"/>
      <c r="NPZ49" s="9"/>
      <c r="NQA49" s="9"/>
      <c r="NQB49" s="9"/>
      <c r="NQC49" s="9"/>
      <c r="NQD49" s="9"/>
      <c r="NQE49" s="9"/>
      <c r="NQF49" s="9"/>
      <c r="NQG49" s="9"/>
      <c r="NQH49" s="9"/>
      <c r="NQI49" s="9"/>
      <c r="NQJ49" s="9"/>
      <c r="NQK49" s="9"/>
      <c r="NQL49" s="9"/>
      <c r="NQM49" s="9"/>
      <c r="NQN49" s="9"/>
      <c r="NQO49" s="9"/>
      <c r="NQP49" s="9"/>
      <c r="NQQ49" s="9"/>
      <c r="NQR49" s="9"/>
      <c r="NQS49" s="9"/>
      <c r="NQT49" s="9"/>
      <c r="NQU49" s="9"/>
      <c r="NQV49" s="9"/>
      <c r="NQW49" s="9"/>
      <c r="NQX49" s="9"/>
      <c r="NQY49" s="9"/>
      <c r="NQZ49" s="9"/>
      <c r="NRA49" s="9"/>
      <c r="NRB49" s="9"/>
      <c r="NRC49" s="9"/>
      <c r="NRD49" s="9"/>
      <c r="NRE49" s="9"/>
      <c r="NRF49" s="9"/>
      <c r="NRG49" s="9"/>
      <c r="NRH49" s="9"/>
      <c r="NRI49" s="9"/>
      <c r="NRJ49" s="9"/>
      <c r="NRK49" s="9"/>
      <c r="NRL49" s="9"/>
      <c r="NRM49" s="9"/>
      <c r="NRN49" s="9"/>
      <c r="NRO49" s="9"/>
      <c r="NRP49" s="9"/>
      <c r="NRQ49" s="9"/>
      <c r="NRR49" s="9"/>
      <c r="NRS49" s="9"/>
      <c r="NRT49" s="9"/>
      <c r="NRU49" s="9"/>
      <c r="NRV49" s="9"/>
      <c r="NRW49" s="9"/>
      <c r="NRX49" s="9"/>
      <c r="NRY49" s="9"/>
      <c r="NRZ49" s="9"/>
      <c r="NSA49" s="9"/>
      <c r="NSB49" s="9"/>
      <c r="NSC49" s="9"/>
      <c r="NSD49" s="9"/>
      <c r="NSE49" s="9"/>
      <c r="NSF49" s="9"/>
      <c r="NSG49" s="9"/>
      <c r="NSH49" s="9"/>
      <c r="NSI49" s="9"/>
      <c r="NSJ49" s="9"/>
      <c r="NSK49" s="9"/>
      <c r="NSL49" s="9"/>
      <c r="NSM49" s="9"/>
      <c r="NSN49" s="9"/>
      <c r="NSO49" s="9"/>
      <c r="NSP49" s="9"/>
      <c r="NSQ49" s="9"/>
      <c r="NSR49" s="9"/>
      <c r="NSS49" s="9"/>
      <c r="NST49" s="9"/>
      <c r="NSU49" s="9"/>
      <c r="NSV49" s="9"/>
      <c r="NSW49" s="9"/>
      <c r="NSX49" s="9"/>
      <c r="NSY49" s="9"/>
      <c r="NSZ49" s="9"/>
      <c r="NTA49" s="9"/>
      <c r="NTB49" s="9"/>
      <c r="NTC49" s="9"/>
      <c r="NTD49" s="9"/>
      <c r="NTE49" s="9"/>
      <c r="NTF49" s="9"/>
      <c r="NTG49" s="9"/>
      <c r="NTH49" s="9"/>
      <c r="NTI49" s="9"/>
      <c r="NTJ49" s="9"/>
      <c r="NTK49" s="9"/>
      <c r="NTL49" s="9"/>
      <c r="NTM49" s="9"/>
      <c r="NTN49" s="9"/>
      <c r="NTO49" s="9"/>
      <c r="NTP49" s="9"/>
      <c r="NTQ49" s="9"/>
      <c r="NTR49" s="9"/>
      <c r="NTS49" s="9"/>
      <c r="NTT49" s="9"/>
      <c r="NTU49" s="9"/>
      <c r="NTV49" s="9"/>
      <c r="NTW49" s="9"/>
      <c r="NTX49" s="9"/>
      <c r="NTY49" s="9"/>
      <c r="NTZ49" s="9"/>
      <c r="NUA49" s="9"/>
      <c r="NUB49" s="9"/>
      <c r="NUC49" s="9"/>
      <c r="NUD49" s="9"/>
      <c r="NUE49" s="9"/>
      <c r="NUF49" s="9"/>
      <c r="NUG49" s="9"/>
      <c r="NUH49" s="9"/>
      <c r="NUI49" s="9"/>
      <c r="NUJ49" s="9"/>
      <c r="NUK49" s="9"/>
      <c r="NUL49" s="9"/>
      <c r="NUM49" s="9"/>
      <c r="NUN49" s="9"/>
      <c r="NUO49" s="9"/>
      <c r="NUP49" s="9"/>
      <c r="NUQ49" s="9"/>
      <c r="NUR49" s="9"/>
      <c r="NUS49" s="9"/>
      <c r="NUT49" s="9"/>
      <c r="NUU49" s="9"/>
      <c r="NUV49" s="9"/>
      <c r="NUW49" s="9"/>
      <c r="NUX49" s="9"/>
      <c r="NUY49" s="9"/>
      <c r="NUZ49" s="9"/>
      <c r="NVA49" s="9"/>
      <c r="NVB49" s="9"/>
      <c r="NVC49" s="9"/>
      <c r="NVD49" s="9"/>
      <c r="NVE49" s="9"/>
      <c r="NVF49" s="9"/>
      <c r="NVG49" s="9"/>
      <c r="NVH49" s="9"/>
      <c r="NVI49" s="9"/>
      <c r="NVJ49" s="9"/>
      <c r="NVK49" s="9"/>
      <c r="NVL49" s="9"/>
      <c r="NVM49" s="9"/>
      <c r="NVN49" s="9"/>
      <c r="NVO49" s="9"/>
      <c r="NVP49" s="9"/>
      <c r="NVQ49" s="9"/>
      <c r="NVR49" s="9"/>
      <c r="NVS49" s="9"/>
      <c r="NVT49" s="9"/>
      <c r="NVU49" s="9"/>
      <c r="NVV49" s="9"/>
      <c r="NVW49" s="9"/>
      <c r="NVX49" s="9"/>
      <c r="NVY49" s="9"/>
      <c r="NVZ49" s="9"/>
      <c r="NWA49" s="9"/>
      <c r="NWB49" s="9"/>
      <c r="NWC49" s="9"/>
      <c r="NWD49" s="9"/>
      <c r="NWE49" s="9"/>
      <c r="NWF49" s="9"/>
      <c r="NWG49" s="9"/>
      <c r="NWH49" s="9"/>
      <c r="NWI49" s="9"/>
      <c r="NWJ49" s="9"/>
      <c r="NWK49" s="9"/>
      <c r="NWL49" s="9"/>
      <c r="NWM49" s="9"/>
      <c r="NWN49" s="9"/>
      <c r="NWO49" s="9"/>
      <c r="NWP49" s="9"/>
      <c r="NWQ49" s="9"/>
      <c r="NWR49" s="9"/>
      <c r="NWS49" s="9"/>
      <c r="NWT49" s="9"/>
      <c r="NWU49" s="9"/>
      <c r="NWV49" s="9"/>
      <c r="NWW49" s="9"/>
      <c r="NWX49" s="9"/>
      <c r="NWY49" s="9"/>
      <c r="NWZ49" s="9"/>
      <c r="NXA49" s="9"/>
      <c r="NXB49" s="9"/>
      <c r="NXC49" s="9"/>
      <c r="NXD49" s="9"/>
      <c r="NXE49" s="9"/>
      <c r="NXF49" s="9"/>
      <c r="NXG49" s="9"/>
      <c r="NXH49" s="9"/>
      <c r="NXI49" s="9"/>
      <c r="NXJ49" s="9"/>
      <c r="NXK49" s="9"/>
      <c r="NXL49" s="9"/>
      <c r="NXM49" s="9"/>
      <c r="NXN49" s="9"/>
      <c r="NXO49" s="9"/>
      <c r="NXP49" s="9"/>
      <c r="NXQ49" s="9"/>
      <c r="NXR49" s="9"/>
      <c r="NXS49" s="9"/>
      <c r="NXT49" s="9"/>
      <c r="NXU49" s="9"/>
      <c r="NXV49" s="9"/>
      <c r="NXW49" s="9"/>
      <c r="NXX49" s="9"/>
      <c r="NXY49" s="9"/>
      <c r="NXZ49" s="9"/>
      <c r="NYA49" s="9"/>
      <c r="NYB49" s="9"/>
      <c r="NYC49" s="9"/>
      <c r="NYD49" s="9"/>
      <c r="NYE49" s="9"/>
      <c r="NYF49" s="9"/>
      <c r="NYG49" s="9"/>
      <c r="NYH49" s="9"/>
      <c r="NYI49" s="9"/>
      <c r="NYJ49" s="9"/>
      <c r="NYK49" s="9"/>
      <c r="NYL49" s="9"/>
      <c r="NYM49" s="9"/>
      <c r="NYN49" s="9"/>
      <c r="NYO49" s="9"/>
      <c r="NYP49" s="9"/>
      <c r="NYQ49" s="9"/>
      <c r="NYR49" s="9"/>
      <c r="NYS49" s="9"/>
      <c r="NYT49" s="9"/>
      <c r="NYU49" s="9"/>
      <c r="NYV49" s="9"/>
      <c r="NYW49" s="9"/>
      <c r="NYX49" s="9"/>
      <c r="NYY49" s="9"/>
      <c r="NYZ49" s="9"/>
      <c r="NZA49" s="9"/>
      <c r="NZB49" s="9"/>
      <c r="NZC49" s="9"/>
      <c r="NZD49" s="9"/>
      <c r="NZE49" s="9"/>
      <c r="NZF49" s="9"/>
      <c r="NZG49" s="9"/>
      <c r="NZH49" s="9"/>
      <c r="NZI49" s="9"/>
      <c r="NZJ49" s="9"/>
      <c r="NZK49" s="9"/>
      <c r="NZL49" s="9"/>
      <c r="NZM49" s="9"/>
      <c r="NZN49" s="9"/>
      <c r="NZO49" s="9"/>
      <c r="NZP49" s="9"/>
      <c r="NZQ49" s="9"/>
      <c r="NZR49" s="9"/>
      <c r="NZS49" s="9"/>
      <c r="NZT49" s="9"/>
      <c r="NZU49" s="9"/>
      <c r="NZV49" s="9"/>
      <c r="NZW49" s="9"/>
      <c r="NZX49" s="9"/>
      <c r="NZY49" s="9"/>
      <c r="NZZ49" s="9"/>
      <c r="OAA49" s="9"/>
      <c r="OAB49" s="9"/>
      <c r="OAC49" s="9"/>
      <c r="OAD49" s="9"/>
      <c r="OAE49" s="9"/>
      <c r="OAF49" s="9"/>
      <c r="OAG49" s="9"/>
      <c r="OAH49" s="9"/>
      <c r="OAI49" s="9"/>
      <c r="OAJ49" s="9"/>
      <c r="OAK49" s="9"/>
      <c r="OAL49" s="9"/>
      <c r="OAM49" s="9"/>
      <c r="OAN49" s="9"/>
      <c r="OAO49" s="9"/>
      <c r="OAP49" s="9"/>
      <c r="OAQ49" s="9"/>
      <c r="OAR49" s="9"/>
      <c r="OAS49" s="9"/>
      <c r="OAT49" s="9"/>
      <c r="OAU49" s="9"/>
      <c r="OAV49" s="9"/>
      <c r="OAW49" s="9"/>
      <c r="OAX49" s="9"/>
      <c r="OAY49" s="9"/>
      <c r="OAZ49" s="9"/>
      <c r="OBA49" s="9"/>
      <c r="OBB49" s="9"/>
      <c r="OBC49" s="9"/>
      <c r="OBD49" s="9"/>
      <c r="OBE49" s="9"/>
      <c r="OBF49" s="9"/>
      <c r="OBG49" s="9"/>
      <c r="OBH49" s="9"/>
      <c r="OBI49" s="9"/>
      <c r="OBJ49" s="9"/>
      <c r="OBK49" s="9"/>
      <c r="OBL49" s="9"/>
      <c r="OBM49" s="9"/>
      <c r="OBN49" s="9"/>
      <c r="OBO49" s="9"/>
      <c r="OBP49" s="9"/>
      <c r="OBQ49" s="9"/>
      <c r="OBR49" s="9"/>
      <c r="OBS49" s="9"/>
      <c r="OBT49" s="9"/>
      <c r="OBU49" s="9"/>
      <c r="OBV49" s="9"/>
      <c r="OBW49" s="9"/>
      <c r="OBX49" s="9"/>
      <c r="OBY49" s="9"/>
      <c r="OBZ49" s="9"/>
      <c r="OCA49" s="9"/>
      <c r="OCB49" s="9"/>
      <c r="OCC49" s="9"/>
      <c r="OCD49" s="9"/>
      <c r="OCE49" s="9"/>
      <c r="OCF49" s="9"/>
      <c r="OCG49" s="9"/>
      <c r="OCH49" s="9"/>
      <c r="OCI49" s="9"/>
      <c r="OCJ49" s="9"/>
      <c r="OCK49" s="9"/>
      <c r="OCL49" s="9"/>
      <c r="OCM49" s="9"/>
      <c r="OCN49" s="9"/>
      <c r="OCO49" s="9"/>
      <c r="OCP49" s="9"/>
      <c r="OCQ49" s="9"/>
      <c r="OCR49" s="9"/>
      <c r="OCS49" s="9"/>
      <c r="OCT49" s="9"/>
      <c r="OCU49" s="9"/>
      <c r="OCV49" s="9"/>
      <c r="OCW49" s="9"/>
      <c r="OCX49" s="9"/>
      <c r="OCY49" s="9"/>
      <c r="OCZ49" s="9"/>
      <c r="ODA49" s="9"/>
      <c r="ODB49" s="9"/>
      <c r="ODC49" s="9"/>
      <c r="ODD49" s="9"/>
      <c r="ODE49" s="9"/>
      <c r="ODF49" s="9"/>
      <c r="ODG49" s="9"/>
      <c r="ODH49" s="9"/>
      <c r="ODI49" s="9"/>
      <c r="ODJ49" s="9"/>
      <c r="ODK49" s="9"/>
      <c r="ODL49" s="9"/>
      <c r="ODM49" s="9"/>
      <c r="ODN49" s="9"/>
      <c r="ODO49" s="9"/>
      <c r="ODP49" s="9"/>
      <c r="ODQ49" s="9"/>
      <c r="ODR49" s="9"/>
      <c r="ODS49" s="9"/>
      <c r="ODT49" s="9"/>
      <c r="ODU49" s="9"/>
      <c r="ODV49" s="9"/>
      <c r="ODW49" s="9"/>
      <c r="ODX49" s="9"/>
      <c r="ODY49" s="9"/>
      <c r="ODZ49" s="9"/>
      <c r="OEA49" s="9"/>
      <c r="OEB49" s="9"/>
      <c r="OEC49" s="9"/>
      <c r="OED49" s="9"/>
      <c r="OEE49" s="9"/>
      <c r="OEF49" s="9"/>
      <c r="OEG49" s="9"/>
      <c r="OEH49" s="9"/>
      <c r="OEI49" s="9"/>
      <c r="OEJ49" s="9"/>
      <c r="OEK49" s="9"/>
      <c r="OEL49" s="9"/>
      <c r="OEM49" s="9"/>
      <c r="OEN49" s="9"/>
      <c r="OEO49" s="9"/>
      <c r="OEP49" s="9"/>
      <c r="OEQ49" s="9"/>
      <c r="OER49" s="9"/>
      <c r="OES49" s="9"/>
      <c r="OET49" s="9"/>
      <c r="OEU49" s="9"/>
      <c r="OEV49" s="9"/>
      <c r="OEW49" s="9"/>
      <c r="OEX49" s="9"/>
      <c r="OEY49" s="9"/>
      <c r="OEZ49" s="9"/>
      <c r="OFA49" s="9"/>
      <c r="OFB49" s="9"/>
      <c r="OFC49" s="9"/>
      <c r="OFD49" s="9"/>
      <c r="OFE49" s="9"/>
      <c r="OFF49" s="9"/>
      <c r="OFG49" s="9"/>
      <c r="OFH49" s="9"/>
      <c r="OFI49" s="9"/>
      <c r="OFJ49" s="9"/>
      <c r="OFK49" s="9"/>
      <c r="OFL49" s="9"/>
      <c r="OFM49" s="9"/>
      <c r="OFN49" s="9"/>
      <c r="OFO49" s="9"/>
      <c r="OFP49" s="9"/>
      <c r="OFQ49" s="9"/>
      <c r="OFR49" s="9"/>
      <c r="OFS49" s="9"/>
      <c r="OFT49" s="9"/>
      <c r="OFU49" s="9"/>
      <c r="OFV49" s="9"/>
      <c r="OFW49" s="9"/>
      <c r="OFX49" s="9"/>
      <c r="OFY49" s="9"/>
      <c r="OFZ49" s="9"/>
      <c r="OGA49" s="9"/>
      <c r="OGB49" s="9"/>
      <c r="OGC49" s="9"/>
      <c r="OGD49" s="9"/>
      <c r="OGE49" s="9"/>
      <c r="OGF49" s="9"/>
      <c r="OGG49" s="9"/>
      <c r="OGH49" s="9"/>
      <c r="OGI49" s="9"/>
      <c r="OGJ49" s="9"/>
      <c r="OGK49" s="9"/>
      <c r="OGL49" s="9"/>
      <c r="OGM49" s="9"/>
      <c r="OGN49" s="9"/>
      <c r="OGO49" s="9"/>
      <c r="OGP49" s="9"/>
      <c r="OGQ49" s="9"/>
      <c r="OGR49" s="9"/>
      <c r="OGS49" s="9"/>
      <c r="OGT49" s="9"/>
      <c r="OGU49" s="9"/>
      <c r="OGV49" s="9"/>
      <c r="OGW49" s="9"/>
      <c r="OGX49" s="9"/>
      <c r="OGY49" s="9"/>
      <c r="OGZ49" s="9"/>
      <c r="OHA49" s="9"/>
      <c r="OHB49" s="9"/>
      <c r="OHC49" s="9"/>
      <c r="OHD49" s="9"/>
      <c r="OHE49" s="9"/>
      <c r="OHF49" s="9"/>
      <c r="OHG49" s="9"/>
      <c r="OHH49" s="9"/>
      <c r="OHI49" s="9"/>
      <c r="OHJ49" s="9"/>
      <c r="OHK49" s="9"/>
      <c r="OHL49" s="9"/>
      <c r="OHM49" s="9"/>
      <c r="OHN49" s="9"/>
      <c r="OHO49" s="9"/>
      <c r="OHP49" s="9"/>
      <c r="OHQ49" s="9"/>
      <c r="OHR49" s="9"/>
      <c r="OHS49" s="9"/>
      <c r="OHT49" s="9"/>
      <c r="OHU49" s="9"/>
      <c r="OHV49" s="9"/>
      <c r="OHW49" s="9"/>
      <c r="OHX49" s="9"/>
      <c r="OHY49" s="9"/>
      <c r="OHZ49" s="9"/>
      <c r="OIA49" s="9"/>
      <c r="OIB49" s="9"/>
      <c r="OIC49" s="9"/>
      <c r="OID49" s="9"/>
      <c r="OIE49" s="9"/>
      <c r="OIF49" s="9"/>
      <c r="OIG49" s="9"/>
      <c r="OIH49" s="9"/>
      <c r="OII49" s="9"/>
      <c r="OIJ49" s="9"/>
      <c r="OIK49" s="9"/>
      <c r="OIL49" s="9"/>
      <c r="OIM49" s="9"/>
      <c r="OIN49" s="9"/>
      <c r="OIO49" s="9"/>
      <c r="OIP49" s="9"/>
      <c r="OIQ49" s="9"/>
      <c r="OIR49" s="9"/>
      <c r="OIS49" s="9"/>
      <c r="OIT49" s="9"/>
      <c r="OIU49" s="9"/>
      <c r="OIV49" s="9"/>
      <c r="OIW49" s="9"/>
      <c r="OIX49" s="9"/>
      <c r="OIY49" s="9"/>
      <c r="OIZ49" s="9"/>
      <c r="OJA49" s="9"/>
      <c r="OJB49" s="9"/>
      <c r="OJC49" s="9"/>
      <c r="OJD49" s="9"/>
      <c r="OJE49" s="9"/>
      <c r="OJF49" s="9"/>
      <c r="OJG49" s="9"/>
      <c r="OJH49" s="9"/>
      <c r="OJI49" s="9"/>
      <c r="OJJ49" s="9"/>
      <c r="OJK49" s="9"/>
      <c r="OJL49" s="9"/>
      <c r="OJM49" s="9"/>
      <c r="OJN49" s="9"/>
      <c r="OJO49" s="9"/>
      <c r="OJP49" s="9"/>
      <c r="OJQ49" s="9"/>
      <c r="OJR49" s="9"/>
      <c r="OJS49" s="9"/>
      <c r="OJT49" s="9"/>
      <c r="OJU49" s="9"/>
      <c r="OJV49" s="9"/>
      <c r="OJW49" s="9"/>
      <c r="OJX49" s="9"/>
      <c r="OJY49" s="9"/>
      <c r="OJZ49" s="9"/>
      <c r="OKA49" s="9"/>
      <c r="OKB49" s="9"/>
      <c r="OKC49" s="9"/>
      <c r="OKD49" s="9"/>
      <c r="OKE49" s="9"/>
      <c r="OKF49" s="9"/>
      <c r="OKG49" s="9"/>
      <c r="OKH49" s="9"/>
      <c r="OKI49" s="9"/>
      <c r="OKJ49" s="9"/>
      <c r="OKK49" s="9"/>
      <c r="OKL49" s="9"/>
      <c r="OKM49" s="9"/>
      <c r="OKN49" s="9"/>
      <c r="OKO49" s="9"/>
      <c r="OKP49" s="9"/>
      <c r="OKQ49" s="9"/>
      <c r="OKR49" s="9"/>
      <c r="OKS49" s="9"/>
      <c r="OKT49" s="9"/>
      <c r="OKU49" s="9"/>
      <c r="OKV49" s="9"/>
      <c r="OKW49" s="9"/>
      <c r="OKX49" s="9"/>
      <c r="OKY49" s="9"/>
      <c r="OKZ49" s="9"/>
      <c r="OLA49" s="9"/>
      <c r="OLB49" s="9"/>
      <c r="OLC49" s="9"/>
      <c r="OLD49" s="9"/>
      <c r="OLE49" s="9"/>
      <c r="OLF49" s="9"/>
      <c r="OLG49" s="9"/>
      <c r="OLH49" s="9"/>
      <c r="OLI49" s="9"/>
      <c r="OLJ49" s="9"/>
      <c r="OLK49" s="9"/>
      <c r="OLL49" s="9"/>
      <c r="OLM49" s="9"/>
      <c r="OLN49" s="9"/>
      <c r="OLO49" s="9"/>
      <c r="OLP49" s="9"/>
      <c r="OLQ49" s="9"/>
      <c r="OLR49" s="9"/>
      <c r="OLS49" s="9"/>
      <c r="OLT49" s="9"/>
      <c r="OLU49" s="9"/>
      <c r="OLV49" s="9"/>
      <c r="OLW49" s="9"/>
      <c r="OLX49" s="9"/>
      <c r="OLY49" s="9"/>
      <c r="OLZ49" s="9"/>
      <c r="OMA49" s="9"/>
      <c r="OMB49" s="9"/>
      <c r="OMC49" s="9"/>
      <c r="OMD49" s="9"/>
      <c r="OME49" s="9"/>
      <c r="OMF49" s="9"/>
      <c r="OMG49" s="9"/>
      <c r="OMH49" s="9"/>
      <c r="OMI49" s="9"/>
      <c r="OMJ49" s="9"/>
      <c r="OMK49" s="9"/>
      <c r="OML49" s="9"/>
      <c r="OMM49" s="9"/>
      <c r="OMN49" s="9"/>
      <c r="OMO49" s="9"/>
      <c r="OMP49" s="9"/>
      <c r="OMQ49" s="9"/>
      <c r="OMR49" s="9"/>
      <c r="OMS49" s="9"/>
      <c r="OMT49" s="9"/>
      <c r="OMU49" s="9"/>
      <c r="OMV49" s="9"/>
      <c r="OMW49" s="9"/>
      <c r="OMX49" s="9"/>
      <c r="OMY49" s="9"/>
      <c r="OMZ49" s="9"/>
      <c r="ONA49" s="9"/>
      <c r="ONB49" s="9"/>
      <c r="ONC49" s="9"/>
      <c r="OND49" s="9"/>
      <c r="ONE49" s="9"/>
      <c r="ONF49" s="9"/>
      <c r="ONG49" s="9"/>
      <c r="ONH49" s="9"/>
      <c r="ONI49" s="9"/>
      <c r="ONJ49" s="9"/>
      <c r="ONK49" s="9"/>
      <c r="ONL49" s="9"/>
      <c r="ONM49" s="9"/>
      <c r="ONN49" s="9"/>
      <c r="ONO49" s="9"/>
      <c r="ONP49" s="9"/>
      <c r="ONQ49" s="9"/>
      <c r="ONR49" s="9"/>
      <c r="ONS49" s="9"/>
      <c r="ONT49" s="9"/>
      <c r="ONU49" s="9"/>
      <c r="ONV49" s="9"/>
      <c r="ONW49" s="9"/>
      <c r="ONX49" s="9"/>
      <c r="ONY49" s="9"/>
      <c r="ONZ49" s="9"/>
      <c r="OOA49" s="9"/>
      <c r="OOB49" s="9"/>
      <c r="OOC49" s="9"/>
      <c r="OOD49" s="9"/>
      <c r="OOE49" s="9"/>
      <c r="OOF49" s="9"/>
      <c r="OOG49" s="9"/>
      <c r="OOH49" s="9"/>
      <c r="OOI49" s="9"/>
      <c r="OOJ49" s="9"/>
      <c r="OOK49" s="9"/>
      <c r="OOL49" s="9"/>
      <c r="OOM49" s="9"/>
      <c r="OON49" s="9"/>
      <c r="OOO49" s="9"/>
      <c r="OOP49" s="9"/>
      <c r="OOQ49" s="9"/>
      <c r="OOR49" s="9"/>
      <c r="OOS49" s="9"/>
      <c r="OOT49" s="9"/>
      <c r="OOU49" s="9"/>
      <c r="OOV49" s="9"/>
      <c r="OOW49" s="9"/>
      <c r="OOX49" s="9"/>
      <c r="OOY49" s="9"/>
      <c r="OOZ49" s="9"/>
      <c r="OPA49" s="9"/>
      <c r="OPB49" s="9"/>
      <c r="OPC49" s="9"/>
      <c r="OPD49" s="9"/>
      <c r="OPE49" s="9"/>
      <c r="OPF49" s="9"/>
      <c r="OPG49" s="9"/>
      <c r="OPH49" s="9"/>
      <c r="OPI49" s="9"/>
      <c r="OPJ49" s="9"/>
      <c r="OPK49" s="9"/>
      <c r="OPL49" s="9"/>
      <c r="OPM49" s="9"/>
      <c r="OPN49" s="9"/>
      <c r="OPO49" s="9"/>
      <c r="OPP49" s="9"/>
      <c r="OPQ49" s="9"/>
      <c r="OPR49" s="9"/>
      <c r="OPS49" s="9"/>
      <c r="OPT49" s="9"/>
      <c r="OPU49" s="9"/>
      <c r="OPV49" s="9"/>
      <c r="OPW49" s="9"/>
      <c r="OPX49" s="9"/>
      <c r="OPY49" s="9"/>
      <c r="OPZ49" s="9"/>
      <c r="OQA49" s="9"/>
      <c r="OQB49" s="9"/>
      <c r="OQC49" s="9"/>
      <c r="OQD49" s="9"/>
      <c r="OQE49" s="9"/>
      <c r="OQF49" s="9"/>
      <c r="OQG49" s="9"/>
      <c r="OQH49" s="9"/>
      <c r="OQI49" s="9"/>
      <c r="OQJ49" s="9"/>
      <c r="OQK49" s="9"/>
      <c r="OQL49" s="9"/>
      <c r="OQM49" s="9"/>
      <c r="OQN49" s="9"/>
      <c r="OQO49" s="9"/>
      <c r="OQP49" s="9"/>
      <c r="OQQ49" s="9"/>
      <c r="OQR49" s="9"/>
      <c r="OQS49" s="9"/>
      <c r="OQT49" s="9"/>
      <c r="OQU49" s="9"/>
      <c r="OQV49" s="9"/>
      <c r="OQW49" s="9"/>
      <c r="OQX49" s="9"/>
      <c r="OQY49" s="9"/>
      <c r="OQZ49" s="9"/>
      <c r="ORA49" s="9"/>
      <c r="ORB49" s="9"/>
      <c r="ORC49" s="9"/>
      <c r="ORD49" s="9"/>
      <c r="ORE49" s="9"/>
      <c r="ORF49" s="9"/>
      <c r="ORG49" s="9"/>
      <c r="ORH49" s="9"/>
      <c r="ORI49" s="9"/>
      <c r="ORJ49" s="9"/>
      <c r="ORK49" s="9"/>
      <c r="ORL49" s="9"/>
      <c r="ORM49" s="9"/>
      <c r="ORN49" s="9"/>
      <c r="ORO49" s="9"/>
      <c r="ORP49" s="9"/>
      <c r="ORQ49" s="9"/>
      <c r="ORR49" s="9"/>
      <c r="ORS49" s="9"/>
      <c r="ORT49" s="9"/>
      <c r="ORU49" s="9"/>
      <c r="ORV49" s="9"/>
      <c r="ORW49" s="9"/>
      <c r="ORX49" s="9"/>
      <c r="ORY49" s="9"/>
      <c r="ORZ49" s="9"/>
      <c r="OSA49" s="9"/>
      <c r="OSB49" s="9"/>
      <c r="OSC49" s="9"/>
      <c r="OSD49" s="9"/>
      <c r="OSE49" s="9"/>
      <c r="OSF49" s="9"/>
      <c r="OSG49" s="9"/>
      <c r="OSH49" s="9"/>
      <c r="OSI49" s="9"/>
      <c r="OSJ49" s="9"/>
      <c r="OSK49" s="9"/>
      <c r="OSL49" s="9"/>
      <c r="OSM49" s="9"/>
      <c r="OSN49" s="9"/>
      <c r="OSO49" s="9"/>
      <c r="OSP49" s="9"/>
      <c r="OSQ49" s="9"/>
      <c r="OSR49" s="9"/>
      <c r="OSS49" s="9"/>
      <c r="OST49" s="9"/>
      <c r="OSU49" s="9"/>
      <c r="OSV49" s="9"/>
      <c r="OSW49" s="9"/>
      <c r="OSX49" s="9"/>
      <c r="OSY49" s="9"/>
      <c r="OSZ49" s="9"/>
      <c r="OTA49" s="9"/>
      <c r="OTB49" s="9"/>
      <c r="OTC49" s="9"/>
      <c r="OTD49" s="9"/>
      <c r="OTE49" s="9"/>
      <c r="OTF49" s="9"/>
      <c r="OTG49" s="9"/>
      <c r="OTH49" s="9"/>
      <c r="OTI49" s="9"/>
      <c r="OTJ49" s="9"/>
      <c r="OTK49" s="9"/>
      <c r="OTL49" s="9"/>
      <c r="OTM49" s="9"/>
      <c r="OTN49" s="9"/>
      <c r="OTO49" s="9"/>
      <c r="OTP49" s="9"/>
      <c r="OTQ49" s="9"/>
      <c r="OTR49" s="9"/>
      <c r="OTS49" s="9"/>
      <c r="OTT49" s="9"/>
      <c r="OTU49" s="9"/>
      <c r="OTV49" s="9"/>
      <c r="OTW49" s="9"/>
      <c r="OTX49" s="9"/>
      <c r="OTY49" s="9"/>
      <c r="OTZ49" s="9"/>
      <c r="OUA49" s="9"/>
      <c r="OUB49" s="9"/>
      <c r="OUC49" s="9"/>
      <c r="OUD49" s="9"/>
      <c r="OUE49" s="9"/>
      <c r="OUF49" s="9"/>
      <c r="OUG49" s="9"/>
      <c r="OUH49" s="9"/>
      <c r="OUI49" s="9"/>
      <c r="OUJ49" s="9"/>
      <c r="OUK49" s="9"/>
      <c r="OUL49" s="9"/>
      <c r="OUM49" s="9"/>
      <c r="OUN49" s="9"/>
      <c r="OUO49" s="9"/>
      <c r="OUP49" s="9"/>
      <c r="OUQ49" s="9"/>
      <c r="OUR49" s="9"/>
      <c r="OUS49" s="9"/>
      <c r="OUT49" s="9"/>
      <c r="OUU49" s="9"/>
      <c r="OUV49" s="9"/>
      <c r="OUW49" s="9"/>
      <c r="OUX49" s="9"/>
      <c r="OUY49" s="9"/>
      <c r="OUZ49" s="9"/>
      <c r="OVA49" s="9"/>
      <c r="OVB49" s="9"/>
      <c r="OVC49" s="9"/>
      <c r="OVD49" s="9"/>
      <c r="OVE49" s="9"/>
      <c r="OVF49" s="9"/>
      <c r="OVG49" s="9"/>
      <c r="OVH49" s="9"/>
      <c r="OVI49" s="9"/>
      <c r="OVJ49" s="9"/>
      <c r="OVK49" s="9"/>
      <c r="OVL49" s="9"/>
      <c r="OVM49" s="9"/>
      <c r="OVN49" s="9"/>
      <c r="OVO49" s="9"/>
      <c r="OVP49" s="9"/>
      <c r="OVQ49" s="9"/>
      <c r="OVR49" s="9"/>
      <c r="OVS49" s="9"/>
      <c r="OVT49" s="9"/>
      <c r="OVU49" s="9"/>
      <c r="OVV49" s="9"/>
      <c r="OVW49" s="9"/>
      <c r="OVX49" s="9"/>
      <c r="OVY49" s="9"/>
      <c r="OVZ49" s="9"/>
      <c r="OWA49" s="9"/>
      <c r="OWB49" s="9"/>
      <c r="OWC49" s="9"/>
      <c r="OWD49" s="9"/>
      <c r="OWE49" s="9"/>
      <c r="OWF49" s="9"/>
      <c r="OWG49" s="9"/>
      <c r="OWH49" s="9"/>
      <c r="OWI49" s="9"/>
      <c r="OWJ49" s="9"/>
      <c r="OWK49" s="9"/>
      <c r="OWL49" s="9"/>
      <c r="OWM49" s="9"/>
      <c r="OWN49" s="9"/>
      <c r="OWO49" s="9"/>
      <c r="OWP49" s="9"/>
      <c r="OWQ49" s="9"/>
      <c r="OWR49" s="9"/>
      <c r="OWS49" s="9"/>
      <c r="OWT49" s="9"/>
      <c r="OWU49" s="9"/>
      <c r="OWV49" s="9"/>
      <c r="OWW49" s="9"/>
      <c r="OWX49" s="9"/>
      <c r="OWY49" s="9"/>
      <c r="OWZ49" s="9"/>
      <c r="OXA49" s="9"/>
      <c r="OXB49" s="9"/>
      <c r="OXC49" s="9"/>
      <c r="OXD49" s="9"/>
      <c r="OXE49" s="9"/>
      <c r="OXF49" s="9"/>
      <c r="OXG49" s="9"/>
      <c r="OXH49" s="9"/>
      <c r="OXI49" s="9"/>
      <c r="OXJ49" s="9"/>
      <c r="OXK49" s="9"/>
      <c r="OXL49" s="9"/>
      <c r="OXM49" s="9"/>
      <c r="OXN49" s="9"/>
      <c r="OXO49" s="9"/>
      <c r="OXP49" s="9"/>
      <c r="OXQ49" s="9"/>
      <c r="OXR49" s="9"/>
      <c r="OXS49" s="9"/>
      <c r="OXT49" s="9"/>
      <c r="OXU49" s="9"/>
      <c r="OXV49" s="9"/>
      <c r="OXW49" s="9"/>
      <c r="OXX49" s="9"/>
      <c r="OXY49" s="9"/>
      <c r="OXZ49" s="9"/>
      <c r="OYA49" s="9"/>
      <c r="OYB49" s="9"/>
      <c r="OYC49" s="9"/>
      <c r="OYD49" s="9"/>
      <c r="OYE49" s="9"/>
      <c r="OYF49" s="9"/>
      <c r="OYG49" s="9"/>
      <c r="OYH49" s="9"/>
      <c r="OYI49" s="9"/>
      <c r="OYJ49" s="9"/>
      <c r="OYK49" s="9"/>
      <c r="OYL49" s="9"/>
      <c r="OYM49" s="9"/>
      <c r="OYN49" s="9"/>
      <c r="OYO49" s="9"/>
      <c r="OYP49" s="9"/>
      <c r="OYQ49" s="9"/>
      <c r="OYR49" s="9"/>
      <c r="OYS49" s="9"/>
      <c r="OYT49" s="9"/>
      <c r="OYU49" s="9"/>
      <c r="OYV49" s="9"/>
      <c r="OYW49" s="9"/>
      <c r="OYX49" s="9"/>
      <c r="OYY49" s="9"/>
      <c r="OYZ49" s="9"/>
      <c r="OZA49" s="9"/>
      <c r="OZB49" s="9"/>
      <c r="OZC49" s="9"/>
      <c r="OZD49" s="9"/>
      <c r="OZE49" s="9"/>
      <c r="OZF49" s="9"/>
      <c r="OZG49" s="9"/>
      <c r="OZH49" s="9"/>
      <c r="OZI49" s="9"/>
      <c r="OZJ49" s="9"/>
      <c r="OZK49" s="9"/>
      <c r="OZL49" s="9"/>
      <c r="OZM49" s="9"/>
      <c r="OZN49" s="9"/>
      <c r="OZO49" s="9"/>
      <c r="OZP49" s="9"/>
      <c r="OZQ49" s="9"/>
      <c r="OZR49" s="9"/>
      <c r="OZS49" s="9"/>
      <c r="OZT49" s="9"/>
      <c r="OZU49" s="9"/>
      <c r="OZV49" s="9"/>
      <c r="OZW49" s="9"/>
      <c r="OZX49" s="9"/>
      <c r="OZY49" s="9"/>
      <c r="OZZ49" s="9"/>
      <c r="PAA49" s="9"/>
      <c r="PAB49" s="9"/>
      <c r="PAC49" s="9"/>
      <c r="PAD49" s="9"/>
      <c r="PAE49" s="9"/>
      <c r="PAF49" s="9"/>
      <c r="PAG49" s="9"/>
      <c r="PAH49" s="9"/>
      <c r="PAI49" s="9"/>
      <c r="PAJ49" s="9"/>
      <c r="PAK49" s="9"/>
      <c r="PAL49" s="9"/>
      <c r="PAM49" s="9"/>
      <c r="PAN49" s="9"/>
      <c r="PAO49" s="9"/>
      <c r="PAP49" s="9"/>
      <c r="PAQ49" s="9"/>
      <c r="PAR49" s="9"/>
      <c r="PAS49" s="9"/>
      <c r="PAT49" s="9"/>
      <c r="PAU49" s="9"/>
      <c r="PAV49" s="9"/>
      <c r="PAW49" s="9"/>
      <c r="PAX49" s="9"/>
      <c r="PAY49" s="9"/>
      <c r="PAZ49" s="9"/>
      <c r="PBA49" s="9"/>
      <c r="PBB49" s="9"/>
      <c r="PBC49" s="9"/>
      <c r="PBD49" s="9"/>
      <c r="PBE49" s="9"/>
      <c r="PBF49" s="9"/>
      <c r="PBG49" s="9"/>
      <c r="PBH49" s="9"/>
      <c r="PBI49" s="9"/>
      <c r="PBJ49" s="9"/>
      <c r="PBK49" s="9"/>
      <c r="PBL49" s="9"/>
      <c r="PBM49" s="9"/>
      <c r="PBN49" s="9"/>
      <c r="PBO49" s="9"/>
      <c r="PBP49" s="9"/>
      <c r="PBQ49" s="9"/>
      <c r="PBR49" s="9"/>
      <c r="PBS49" s="9"/>
      <c r="PBT49" s="9"/>
      <c r="PBU49" s="9"/>
      <c r="PBV49" s="9"/>
      <c r="PBW49" s="9"/>
      <c r="PBX49" s="9"/>
      <c r="PBY49" s="9"/>
      <c r="PBZ49" s="9"/>
      <c r="PCA49" s="9"/>
      <c r="PCB49" s="9"/>
      <c r="PCC49" s="9"/>
      <c r="PCD49" s="9"/>
      <c r="PCE49" s="9"/>
      <c r="PCF49" s="9"/>
      <c r="PCG49" s="9"/>
      <c r="PCH49" s="9"/>
      <c r="PCI49" s="9"/>
      <c r="PCJ49" s="9"/>
      <c r="PCK49" s="9"/>
      <c r="PCL49" s="9"/>
      <c r="PCM49" s="9"/>
      <c r="PCN49" s="9"/>
      <c r="PCO49" s="9"/>
      <c r="PCP49" s="9"/>
      <c r="PCQ49" s="9"/>
      <c r="PCR49" s="9"/>
      <c r="PCS49" s="9"/>
      <c r="PCT49" s="9"/>
      <c r="PCU49" s="9"/>
      <c r="PCV49" s="9"/>
      <c r="PCW49" s="9"/>
      <c r="PCX49" s="9"/>
      <c r="PCY49" s="9"/>
      <c r="PCZ49" s="9"/>
      <c r="PDA49" s="9"/>
      <c r="PDB49" s="9"/>
      <c r="PDC49" s="9"/>
      <c r="PDD49" s="9"/>
      <c r="PDE49" s="9"/>
      <c r="PDF49" s="9"/>
      <c r="PDG49" s="9"/>
      <c r="PDH49" s="9"/>
      <c r="PDI49" s="9"/>
      <c r="PDJ49" s="9"/>
      <c r="PDK49" s="9"/>
      <c r="PDL49" s="9"/>
      <c r="PDM49" s="9"/>
      <c r="PDN49" s="9"/>
      <c r="PDO49" s="9"/>
      <c r="PDP49" s="9"/>
      <c r="PDQ49" s="9"/>
      <c r="PDR49" s="9"/>
      <c r="PDS49" s="9"/>
      <c r="PDT49" s="9"/>
      <c r="PDU49" s="9"/>
      <c r="PDV49" s="9"/>
      <c r="PDW49" s="9"/>
      <c r="PDX49" s="9"/>
      <c r="PDY49" s="9"/>
      <c r="PDZ49" s="9"/>
      <c r="PEA49" s="9"/>
      <c r="PEB49" s="9"/>
      <c r="PEC49" s="9"/>
      <c r="PED49" s="9"/>
      <c r="PEE49" s="9"/>
      <c r="PEF49" s="9"/>
      <c r="PEG49" s="9"/>
      <c r="PEH49" s="9"/>
      <c r="PEI49" s="9"/>
      <c r="PEJ49" s="9"/>
      <c r="PEK49" s="9"/>
      <c r="PEL49" s="9"/>
      <c r="PEM49" s="9"/>
      <c r="PEN49" s="9"/>
      <c r="PEO49" s="9"/>
      <c r="PEP49" s="9"/>
      <c r="PEQ49" s="9"/>
      <c r="PER49" s="9"/>
      <c r="PES49" s="9"/>
      <c r="PET49" s="9"/>
      <c r="PEU49" s="9"/>
      <c r="PEV49" s="9"/>
      <c r="PEW49" s="9"/>
      <c r="PEX49" s="9"/>
      <c r="PEY49" s="9"/>
      <c r="PEZ49" s="9"/>
      <c r="PFA49" s="9"/>
      <c r="PFB49" s="9"/>
      <c r="PFC49" s="9"/>
      <c r="PFD49" s="9"/>
      <c r="PFE49" s="9"/>
      <c r="PFF49" s="9"/>
      <c r="PFG49" s="9"/>
      <c r="PFH49" s="9"/>
      <c r="PFI49" s="9"/>
      <c r="PFJ49" s="9"/>
      <c r="PFK49" s="9"/>
      <c r="PFL49" s="9"/>
      <c r="PFM49" s="9"/>
      <c r="PFN49" s="9"/>
      <c r="PFO49" s="9"/>
      <c r="PFP49" s="9"/>
      <c r="PFQ49" s="9"/>
      <c r="PFR49" s="9"/>
      <c r="PFS49" s="9"/>
      <c r="PFT49" s="9"/>
      <c r="PFU49" s="9"/>
      <c r="PFV49" s="9"/>
      <c r="PFW49" s="9"/>
      <c r="PFX49" s="9"/>
      <c r="PFY49" s="9"/>
      <c r="PFZ49" s="9"/>
      <c r="PGA49" s="9"/>
      <c r="PGB49" s="9"/>
      <c r="PGC49" s="9"/>
      <c r="PGD49" s="9"/>
      <c r="PGE49" s="9"/>
      <c r="PGF49" s="9"/>
      <c r="PGG49" s="9"/>
      <c r="PGH49" s="9"/>
      <c r="PGI49" s="9"/>
      <c r="PGJ49" s="9"/>
      <c r="PGK49" s="9"/>
      <c r="PGL49" s="9"/>
      <c r="PGM49" s="9"/>
      <c r="PGN49" s="9"/>
      <c r="PGO49" s="9"/>
      <c r="PGP49" s="9"/>
      <c r="PGQ49" s="9"/>
      <c r="PGR49" s="9"/>
      <c r="PGS49" s="9"/>
      <c r="PGT49" s="9"/>
      <c r="PGU49" s="9"/>
      <c r="PGV49" s="9"/>
      <c r="PGW49" s="9"/>
      <c r="PGX49" s="9"/>
      <c r="PGY49" s="9"/>
      <c r="PGZ49" s="9"/>
      <c r="PHA49" s="9"/>
      <c r="PHB49" s="9"/>
      <c r="PHC49" s="9"/>
      <c r="PHD49" s="9"/>
      <c r="PHE49" s="9"/>
      <c r="PHF49" s="9"/>
      <c r="PHG49" s="9"/>
      <c r="PHH49" s="9"/>
      <c r="PHI49" s="9"/>
      <c r="PHJ49" s="9"/>
      <c r="PHK49" s="9"/>
      <c r="PHL49" s="9"/>
      <c r="PHM49" s="9"/>
      <c r="PHN49" s="9"/>
      <c r="PHO49" s="9"/>
      <c r="PHP49" s="9"/>
      <c r="PHQ49" s="9"/>
      <c r="PHR49" s="9"/>
      <c r="PHS49" s="9"/>
      <c r="PHT49" s="9"/>
      <c r="PHU49" s="9"/>
      <c r="PHV49" s="9"/>
      <c r="PHW49" s="9"/>
      <c r="PHX49" s="9"/>
      <c r="PHY49" s="9"/>
      <c r="PHZ49" s="9"/>
      <c r="PIA49" s="9"/>
      <c r="PIB49" s="9"/>
      <c r="PIC49" s="9"/>
      <c r="PID49" s="9"/>
      <c r="PIE49" s="9"/>
      <c r="PIF49" s="9"/>
      <c r="PIG49" s="9"/>
      <c r="PIH49" s="9"/>
      <c r="PII49" s="9"/>
      <c r="PIJ49" s="9"/>
      <c r="PIK49" s="9"/>
      <c r="PIL49" s="9"/>
      <c r="PIM49" s="9"/>
      <c r="PIN49" s="9"/>
      <c r="PIO49" s="9"/>
      <c r="PIP49" s="9"/>
      <c r="PIQ49" s="9"/>
      <c r="PIR49" s="9"/>
      <c r="PIS49" s="9"/>
      <c r="PIT49" s="9"/>
      <c r="PIU49" s="9"/>
      <c r="PIV49" s="9"/>
      <c r="PIW49" s="9"/>
      <c r="PIX49" s="9"/>
      <c r="PIY49" s="9"/>
      <c r="PIZ49" s="9"/>
      <c r="PJA49" s="9"/>
      <c r="PJB49" s="9"/>
      <c r="PJC49" s="9"/>
      <c r="PJD49" s="9"/>
      <c r="PJE49" s="9"/>
      <c r="PJF49" s="9"/>
      <c r="PJG49" s="9"/>
      <c r="PJH49" s="9"/>
      <c r="PJI49" s="9"/>
      <c r="PJJ49" s="9"/>
      <c r="PJK49" s="9"/>
      <c r="PJL49" s="9"/>
      <c r="PJM49" s="9"/>
      <c r="PJN49" s="9"/>
      <c r="PJO49" s="9"/>
      <c r="PJP49" s="9"/>
      <c r="PJQ49" s="9"/>
      <c r="PJR49" s="9"/>
      <c r="PJS49" s="9"/>
      <c r="PJT49" s="9"/>
      <c r="PJU49" s="9"/>
      <c r="PJV49" s="9"/>
      <c r="PJW49" s="9"/>
      <c r="PJX49" s="9"/>
      <c r="PJY49" s="9"/>
      <c r="PJZ49" s="9"/>
      <c r="PKA49" s="9"/>
      <c r="PKB49" s="9"/>
      <c r="PKC49" s="9"/>
      <c r="PKD49" s="9"/>
      <c r="PKE49" s="9"/>
      <c r="PKF49" s="9"/>
      <c r="PKG49" s="9"/>
      <c r="PKH49" s="9"/>
      <c r="PKI49" s="9"/>
      <c r="PKJ49" s="9"/>
      <c r="PKK49" s="9"/>
      <c r="PKL49" s="9"/>
      <c r="PKM49" s="9"/>
      <c r="PKN49" s="9"/>
      <c r="PKO49" s="9"/>
      <c r="PKP49" s="9"/>
      <c r="PKQ49" s="9"/>
      <c r="PKR49" s="9"/>
      <c r="PKS49" s="9"/>
      <c r="PKT49" s="9"/>
      <c r="PKU49" s="9"/>
      <c r="PKV49" s="9"/>
      <c r="PKW49" s="9"/>
      <c r="PKX49" s="9"/>
      <c r="PKY49" s="9"/>
      <c r="PKZ49" s="9"/>
      <c r="PLA49" s="9"/>
      <c r="PLB49" s="9"/>
      <c r="PLC49" s="9"/>
      <c r="PLD49" s="9"/>
      <c r="PLE49" s="9"/>
      <c r="PLF49" s="9"/>
      <c r="PLG49" s="9"/>
      <c r="PLH49" s="9"/>
      <c r="PLI49" s="9"/>
      <c r="PLJ49" s="9"/>
      <c r="PLK49" s="9"/>
      <c r="PLL49" s="9"/>
      <c r="PLM49" s="9"/>
      <c r="PLN49" s="9"/>
      <c r="PLO49" s="9"/>
      <c r="PLP49" s="9"/>
      <c r="PLQ49" s="9"/>
      <c r="PLR49" s="9"/>
      <c r="PLS49" s="9"/>
      <c r="PLT49" s="9"/>
      <c r="PLU49" s="9"/>
      <c r="PLV49" s="9"/>
      <c r="PLW49" s="9"/>
      <c r="PLX49" s="9"/>
      <c r="PLY49" s="9"/>
      <c r="PLZ49" s="9"/>
      <c r="PMA49" s="9"/>
      <c r="PMB49" s="9"/>
      <c r="PMC49" s="9"/>
      <c r="PMD49" s="9"/>
      <c r="PME49" s="9"/>
      <c r="PMF49" s="9"/>
      <c r="PMG49" s="9"/>
      <c r="PMH49" s="9"/>
      <c r="PMI49" s="9"/>
      <c r="PMJ49" s="9"/>
      <c r="PMK49" s="9"/>
      <c r="PML49" s="9"/>
      <c r="PMM49" s="9"/>
      <c r="PMN49" s="9"/>
      <c r="PMO49" s="9"/>
      <c r="PMP49" s="9"/>
      <c r="PMQ49" s="9"/>
      <c r="PMR49" s="9"/>
      <c r="PMS49" s="9"/>
      <c r="PMT49" s="9"/>
      <c r="PMU49" s="9"/>
      <c r="PMV49" s="9"/>
      <c r="PMW49" s="9"/>
      <c r="PMX49" s="9"/>
      <c r="PMY49" s="9"/>
      <c r="PMZ49" s="9"/>
      <c r="PNA49" s="9"/>
      <c r="PNB49" s="9"/>
      <c r="PNC49" s="9"/>
      <c r="PND49" s="9"/>
      <c r="PNE49" s="9"/>
      <c r="PNF49" s="9"/>
      <c r="PNG49" s="9"/>
      <c r="PNH49" s="9"/>
      <c r="PNI49" s="9"/>
      <c r="PNJ49" s="9"/>
      <c r="PNK49" s="9"/>
      <c r="PNL49" s="9"/>
      <c r="PNM49" s="9"/>
      <c r="PNN49" s="9"/>
      <c r="PNO49" s="9"/>
      <c r="PNP49" s="9"/>
      <c r="PNQ49" s="9"/>
      <c r="PNR49" s="9"/>
      <c r="PNS49" s="9"/>
      <c r="PNT49" s="9"/>
      <c r="PNU49" s="9"/>
      <c r="PNV49" s="9"/>
      <c r="PNW49" s="9"/>
      <c r="PNX49" s="9"/>
      <c r="PNY49" s="9"/>
      <c r="PNZ49" s="9"/>
      <c r="POA49" s="9"/>
      <c r="POB49" s="9"/>
      <c r="POC49" s="9"/>
      <c r="POD49" s="9"/>
      <c r="POE49" s="9"/>
      <c r="POF49" s="9"/>
      <c r="POG49" s="9"/>
      <c r="POH49" s="9"/>
      <c r="POI49" s="9"/>
      <c r="POJ49" s="9"/>
      <c r="POK49" s="9"/>
      <c r="POL49" s="9"/>
      <c r="POM49" s="9"/>
      <c r="PON49" s="9"/>
      <c r="POO49" s="9"/>
      <c r="POP49" s="9"/>
      <c r="POQ49" s="9"/>
      <c r="POR49" s="9"/>
      <c r="POS49" s="9"/>
      <c r="POT49" s="9"/>
      <c r="POU49" s="9"/>
      <c r="POV49" s="9"/>
      <c r="POW49" s="9"/>
      <c r="POX49" s="9"/>
      <c r="POY49" s="9"/>
      <c r="POZ49" s="9"/>
      <c r="PPA49" s="9"/>
      <c r="PPB49" s="9"/>
      <c r="PPC49" s="9"/>
      <c r="PPD49" s="9"/>
      <c r="PPE49" s="9"/>
      <c r="PPF49" s="9"/>
      <c r="PPG49" s="9"/>
      <c r="PPH49" s="9"/>
      <c r="PPI49" s="9"/>
      <c r="PPJ49" s="9"/>
      <c r="PPK49" s="9"/>
      <c r="PPL49" s="9"/>
      <c r="PPM49" s="9"/>
      <c r="PPN49" s="9"/>
      <c r="PPO49" s="9"/>
      <c r="PPP49" s="9"/>
      <c r="PPQ49" s="9"/>
      <c r="PPR49" s="9"/>
      <c r="PPS49" s="9"/>
      <c r="PPT49" s="9"/>
      <c r="PPU49" s="9"/>
      <c r="PPV49" s="9"/>
      <c r="PPW49" s="9"/>
      <c r="PPX49" s="9"/>
      <c r="PPY49" s="9"/>
      <c r="PPZ49" s="9"/>
      <c r="PQA49" s="9"/>
      <c r="PQB49" s="9"/>
      <c r="PQC49" s="9"/>
      <c r="PQD49" s="9"/>
      <c r="PQE49" s="9"/>
      <c r="PQF49" s="9"/>
      <c r="PQG49" s="9"/>
      <c r="PQH49" s="9"/>
      <c r="PQI49" s="9"/>
      <c r="PQJ49" s="9"/>
      <c r="PQK49" s="9"/>
      <c r="PQL49" s="9"/>
      <c r="PQM49" s="9"/>
      <c r="PQN49" s="9"/>
      <c r="PQO49" s="9"/>
      <c r="PQP49" s="9"/>
      <c r="PQQ49" s="9"/>
      <c r="PQR49" s="9"/>
      <c r="PQS49" s="9"/>
      <c r="PQT49" s="9"/>
      <c r="PQU49" s="9"/>
      <c r="PQV49" s="9"/>
      <c r="PQW49" s="9"/>
      <c r="PQX49" s="9"/>
      <c r="PQY49" s="9"/>
      <c r="PQZ49" s="9"/>
      <c r="PRA49" s="9"/>
      <c r="PRB49" s="9"/>
      <c r="PRC49" s="9"/>
      <c r="PRD49" s="9"/>
      <c r="PRE49" s="9"/>
      <c r="PRF49" s="9"/>
      <c r="PRG49" s="9"/>
      <c r="PRH49" s="9"/>
      <c r="PRI49" s="9"/>
      <c r="PRJ49" s="9"/>
      <c r="PRK49" s="9"/>
      <c r="PRL49" s="9"/>
      <c r="PRM49" s="9"/>
      <c r="PRN49" s="9"/>
      <c r="PRO49" s="9"/>
      <c r="PRP49" s="9"/>
      <c r="PRQ49" s="9"/>
      <c r="PRR49" s="9"/>
      <c r="PRS49" s="9"/>
      <c r="PRT49" s="9"/>
      <c r="PRU49" s="9"/>
      <c r="PRV49" s="9"/>
      <c r="PRW49" s="9"/>
      <c r="PRX49" s="9"/>
      <c r="PRY49" s="9"/>
      <c r="PRZ49" s="9"/>
      <c r="PSA49" s="9"/>
      <c r="PSB49" s="9"/>
      <c r="PSC49" s="9"/>
      <c r="PSD49" s="9"/>
      <c r="PSE49" s="9"/>
      <c r="PSF49" s="9"/>
      <c r="PSG49" s="9"/>
      <c r="PSH49" s="9"/>
      <c r="PSI49" s="9"/>
      <c r="PSJ49" s="9"/>
      <c r="PSK49" s="9"/>
      <c r="PSL49" s="9"/>
      <c r="PSM49" s="9"/>
      <c r="PSN49" s="9"/>
      <c r="PSO49" s="9"/>
      <c r="PSP49" s="9"/>
      <c r="PSQ49" s="9"/>
      <c r="PSR49" s="9"/>
      <c r="PSS49" s="9"/>
      <c r="PST49" s="9"/>
      <c r="PSU49" s="9"/>
      <c r="PSV49" s="9"/>
      <c r="PSW49" s="9"/>
      <c r="PSX49" s="9"/>
      <c r="PSY49" s="9"/>
      <c r="PSZ49" s="9"/>
      <c r="PTA49" s="9"/>
      <c r="PTB49" s="9"/>
      <c r="PTC49" s="9"/>
      <c r="PTD49" s="9"/>
      <c r="PTE49" s="9"/>
      <c r="PTF49" s="9"/>
      <c r="PTG49" s="9"/>
      <c r="PTH49" s="9"/>
      <c r="PTI49" s="9"/>
      <c r="PTJ49" s="9"/>
      <c r="PTK49" s="9"/>
      <c r="PTL49" s="9"/>
      <c r="PTM49" s="9"/>
      <c r="PTN49" s="9"/>
      <c r="PTO49" s="9"/>
      <c r="PTP49" s="9"/>
      <c r="PTQ49" s="9"/>
      <c r="PTR49" s="9"/>
      <c r="PTS49" s="9"/>
      <c r="PTT49" s="9"/>
      <c r="PTU49" s="9"/>
      <c r="PTV49" s="9"/>
      <c r="PTW49" s="9"/>
      <c r="PTX49" s="9"/>
      <c r="PTY49" s="9"/>
      <c r="PTZ49" s="9"/>
      <c r="PUA49" s="9"/>
      <c r="PUB49" s="9"/>
      <c r="PUC49" s="9"/>
      <c r="PUD49" s="9"/>
      <c r="PUE49" s="9"/>
      <c r="PUF49" s="9"/>
      <c r="PUG49" s="9"/>
      <c r="PUH49" s="9"/>
      <c r="PUI49" s="9"/>
      <c r="PUJ49" s="9"/>
      <c r="PUK49" s="9"/>
      <c r="PUL49" s="9"/>
      <c r="PUM49" s="9"/>
      <c r="PUN49" s="9"/>
      <c r="PUO49" s="9"/>
      <c r="PUP49" s="9"/>
      <c r="PUQ49" s="9"/>
      <c r="PUR49" s="9"/>
      <c r="PUS49" s="9"/>
      <c r="PUT49" s="9"/>
      <c r="PUU49" s="9"/>
      <c r="PUV49" s="9"/>
      <c r="PUW49" s="9"/>
      <c r="PUX49" s="9"/>
      <c r="PUY49" s="9"/>
      <c r="PUZ49" s="9"/>
      <c r="PVA49" s="9"/>
      <c r="PVB49" s="9"/>
      <c r="PVC49" s="9"/>
      <c r="PVD49" s="9"/>
      <c r="PVE49" s="9"/>
      <c r="PVF49" s="9"/>
      <c r="PVG49" s="9"/>
      <c r="PVH49" s="9"/>
      <c r="PVI49" s="9"/>
      <c r="PVJ49" s="9"/>
      <c r="PVK49" s="9"/>
      <c r="PVL49" s="9"/>
      <c r="PVM49" s="9"/>
      <c r="PVN49" s="9"/>
      <c r="PVO49" s="9"/>
      <c r="PVP49" s="9"/>
      <c r="PVQ49" s="9"/>
      <c r="PVR49" s="9"/>
      <c r="PVS49" s="9"/>
      <c r="PVT49" s="9"/>
      <c r="PVU49" s="9"/>
      <c r="PVV49" s="9"/>
      <c r="PVW49" s="9"/>
      <c r="PVX49" s="9"/>
      <c r="PVY49" s="9"/>
      <c r="PVZ49" s="9"/>
      <c r="PWA49" s="9"/>
      <c r="PWB49" s="9"/>
      <c r="PWC49" s="9"/>
      <c r="PWD49" s="9"/>
      <c r="PWE49" s="9"/>
      <c r="PWF49" s="9"/>
      <c r="PWG49" s="9"/>
      <c r="PWH49" s="9"/>
      <c r="PWI49" s="9"/>
      <c r="PWJ49" s="9"/>
      <c r="PWK49" s="9"/>
      <c r="PWL49" s="9"/>
      <c r="PWM49" s="9"/>
      <c r="PWN49" s="9"/>
      <c r="PWO49" s="9"/>
      <c r="PWP49" s="9"/>
      <c r="PWQ49" s="9"/>
      <c r="PWR49" s="9"/>
      <c r="PWS49" s="9"/>
      <c r="PWT49" s="9"/>
      <c r="PWU49" s="9"/>
      <c r="PWV49" s="9"/>
      <c r="PWW49" s="9"/>
      <c r="PWX49" s="9"/>
      <c r="PWY49" s="9"/>
      <c r="PWZ49" s="9"/>
      <c r="PXA49" s="9"/>
      <c r="PXB49" s="9"/>
      <c r="PXC49" s="9"/>
      <c r="PXD49" s="9"/>
      <c r="PXE49" s="9"/>
      <c r="PXF49" s="9"/>
      <c r="PXG49" s="9"/>
      <c r="PXH49" s="9"/>
      <c r="PXI49" s="9"/>
      <c r="PXJ49" s="9"/>
      <c r="PXK49" s="9"/>
      <c r="PXL49" s="9"/>
      <c r="PXM49" s="9"/>
      <c r="PXN49" s="9"/>
      <c r="PXO49" s="9"/>
      <c r="PXP49" s="9"/>
      <c r="PXQ49" s="9"/>
      <c r="PXR49" s="9"/>
      <c r="PXS49" s="9"/>
      <c r="PXT49" s="9"/>
      <c r="PXU49" s="9"/>
      <c r="PXV49" s="9"/>
      <c r="PXW49" s="9"/>
      <c r="PXX49" s="9"/>
      <c r="PXY49" s="9"/>
      <c r="PXZ49" s="9"/>
      <c r="PYA49" s="9"/>
      <c r="PYB49" s="9"/>
      <c r="PYC49" s="9"/>
      <c r="PYD49" s="9"/>
      <c r="PYE49" s="9"/>
      <c r="PYF49" s="9"/>
      <c r="PYG49" s="9"/>
      <c r="PYH49" s="9"/>
      <c r="PYI49" s="9"/>
      <c r="PYJ49" s="9"/>
      <c r="PYK49" s="9"/>
      <c r="PYL49" s="9"/>
      <c r="PYM49" s="9"/>
      <c r="PYN49" s="9"/>
      <c r="PYO49" s="9"/>
      <c r="PYP49" s="9"/>
      <c r="PYQ49" s="9"/>
      <c r="PYR49" s="9"/>
      <c r="PYS49" s="9"/>
      <c r="PYT49" s="9"/>
      <c r="PYU49" s="9"/>
      <c r="PYV49" s="9"/>
      <c r="PYW49" s="9"/>
      <c r="PYX49" s="9"/>
      <c r="PYY49" s="9"/>
      <c r="PYZ49" s="9"/>
      <c r="PZA49" s="9"/>
      <c r="PZB49" s="9"/>
      <c r="PZC49" s="9"/>
      <c r="PZD49" s="9"/>
      <c r="PZE49" s="9"/>
      <c r="PZF49" s="9"/>
      <c r="PZG49" s="9"/>
      <c r="PZH49" s="9"/>
      <c r="PZI49" s="9"/>
      <c r="PZJ49" s="9"/>
      <c r="PZK49" s="9"/>
      <c r="PZL49" s="9"/>
      <c r="PZM49" s="9"/>
      <c r="PZN49" s="9"/>
      <c r="PZO49" s="9"/>
      <c r="PZP49" s="9"/>
      <c r="PZQ49" s="9"/>
      <c r="PZR49" s="9"/>
      <c r="PZS49" s="9"/>
      <c r="PZT49" s="9"/>
      <c r="PZU49" s="9"/>
      <c r="PZV49" s="9"/>
      <c r="PZW49" s="9"/>
      <c r="PZX49" s="9"/>
      <c r="PZY49" s="9"/>
      <c r="PZZ49" s="9"/>
      <c r="QAA49" s="9"/>
      <c r="QAB49" s="9"/>
      <c r="QAC49" s="9"/>
      <c r="QAD49" s="9"/>
      <c r="QAE49" s="9"/>
      <c r="QAF49" s="9"/>
      <c r="QAG49" s="9"/>
      <c r="QAH49" s="9"/>
      <c r="QAI49" s="9"/>
      <c r="QAJ49" s="9"/>
      <c r="QAK49" s="9"/>
      <c r="QAL49" s="9"/>
      <c r="QAM49" s="9"/>
      <c r="QAN49" s="9"/>
      <c r="QAO49" s="9"/>
      <c r="QAP49" s="9"/>
      <c r="QAQ49" s="9"/>
      <c r="QAR49" s="9"/>
      <c r="QAS49" s="9"/>
      <c r="QAT49" s="9"/>
      <c r="QAU49" s="9"/>
      <c r="QAV49" s="9"/>
      <c r="QAW49" s="9"/>
      <c r="QAX49" s="9"/>
      <c r="QAY49" s="9"/>
      <c r="QAZ49" s="9"/>
      <c r="QBA49" s="9"/>
      <c r="QBB49" s="9"/>
      <c r="QBC49" s="9"/>
      <c r="QBD49" s="9"/>
      <c r="QBE49" s="9"/>
      <c r="QBF49" s="9"/>
      <c r="QBG49" s="9"/>
      <c r="QBH49" s="9"/>
      <c r="QBI49" s="9"/>
      <c r="QBJ49" s="9"/>
      <c r="QBK49" s="9"/>
      <c r="QBL49" s="9"/>
      <c r="QBM49" s="9"/>
      <c r="QBN49" s="9"/>
      <c r="QBO49" s="9"/>
      <c r="QBP49" s="9"/>
      <c r="QBQ49" s="9"/>
      <c r="QBR49" s="9"/>
      <c r="QBS49" s="9"/>
      <c r="QBT49" s="9"/>
      <c r="QBU49" s="9"/>
      <c r="QBV49" s="9"/>
      <c r="QBW49" s="9"/>
      <c r="QBX49" s="9"/>
      <c r="QBY49" s="9"/>
      <c r="QBZ49" s="9"/>
      <c r="QCA49" s="9"/>
      <c r="QCB49" s="9"/>
      <c r="QCC49" s="9"/>
      <c r="QCD49" s="9"/>
      <c r="QCE49" s="9"/>
      <c r="QCF49" s="9"/>
      <c r="QCG49" s="9"/>
      <c r="QCH49" s="9"/>
      <c r="QCI49" s="9"/>
      <c r="QCJ49" s="9"/>
      <c r="QCK49" s="9"/>
      <c r="QCL49" s="9"/>
      <c r="QCM49" s="9"/>
      <c r="QCN49" s="9"/>
      <c r="QCO49" s="9"/>
      <c r="QCP49" s="9"/>
      <c r="QCQ49" s="9"/>
      <c r="QCR49" s="9"/>
      <c r="QCS49" s="9"/>
      <c r="QCT49" s="9"/>
      <c r="QCU49" s="9"/>
      <c r="QCV49" s="9"/>
      <c r="QCW49" s="9"/>
      <c r="QCX49" s="9"/>
      <c r="QCY49" s="9"/>
      <c r="QCZ49" s="9"/>
      <c r="QDA49" s="9"/>
      <c r="QDB49" s="9"/>
      <c r="QDC49" s="9"/>
      <c r="QDD49" s="9"/>
      <c r="QDE49" s="9"/>
      <c r="QDF49" s="9"/>
      <c r="QDG49" s="9"/>
      <c r="QDH49" s="9"/>
      <c r="QDI49" s="9"/>
      <c r="QDJ49" s="9"/>
      <c r="QDK49" s="9"/>
      <c r="QDL49" s="9"/>
      <c r="QDM49" s="9"/>
      <c r="QDN49" s="9"/>
      <c r="QDO49" s="9"/>
      <c r="QDP49" s="9"/>
      <c r="QDQ49" s="9"/>
      <c r="QDR49" s="9"/>
      <c r="QDS49" s="9"/>
      <c r="QDT49" s="9"/>
      <c r="QDU49" s="9"/>
      <c r="QDV49" s="9"/>
      <c r="QDW49" s="9"/>
      <c r="QDX49" s="9"/>
      <c r="QDY49" s="9"/>
      <c r="QDZ49" s="9"/>
      <c r="QEA49" s="9"/>
      <c r="QEB49" s="9"/>
      <c r="QEC49" s="9"/>
      <c r="QED49" s="9"/>
      <c r="QEE49" s="9"/>
      <c r="QEF49" s="9"/>
      <c r="QEG49" s="9"/>
      <c r="QEH49" s="9"/>
      <c r="QEI49" s="9"/>
      <c r="QEJ49" s="9"/>
      <c r="QEK49" s="9"/>
      <c r="QEL49" s="9"/>
      <c r="QEM49" s="9"/>
      <c r="QEN49" s="9"/>
      <c r="QEO49" s="9"/>
      <c r="QEP49" s="9"/>
      <c r="QEQ49" s="9"/>
      <c r="QER49" s="9"/>
      <c r="QES49" s="9"/>
      <c r="QET49" s="9"/>
      <c r="QEU49" s="9"/>
      <c r="QEV49" s="9"/>
      <c r="QEW49" s="9"/>
      <c r="QEX49" s="9"/>
      <c r="QEY49" s="9"/>
      <c r="QEZ49" s="9"/>
      <c r="QFA49" s="9"/>
      <c r="QFB49" s="9"/>
      <c r="QFC49" s="9"/>
      <c r="QFD49" s="9"/>
      <c r="QFE49" s="9"/>
      <c r="QFF49" s="9"/>
      <c r="QFG49" s="9"/>
      <c r="QFH49" s="9"/>
      <c r="QFI49" s="9"/>
      <c r="QFJ49" s="9"/>
      <c r="QFK49" s="9"/>
      <c r="QFL49" s="9"/>
      <c r="QFM49" s="9"/>
      <c r="QFN49" s="9"/>
      <c r="QFO49" s="9"/>
      <c r="QFP49" s="9"/>
      <c r="QFQ49" s="9"/>
      <c r="QFR49" s="9"/>
      <c r="QFS49" s="9"/>
      <c r="QFT49" s="9"/>
      <c r="QFU49" s="9"/>
      <c r="QFV49" s="9"/>
      <c r="QFW49" s="9"/>
      <c r="QFX49" s="9"/>
      <c r="QFY49" s="9"/>
      <c r="QFZ49" s="9"/>
      <c r="QGA49" s="9"/>
      <c r="QGB49" s="9"/>
      <c r="QGC49" s="9"/>
      <c r="QGD49" s="9"/>
      <c r="QGE49" s="9"/>
      <c r="QGF49" s="9"/>
      <c r="QGG49" s="9"/>
      <c r="QGH49" s="9"/>
      <c r="QGI49" s="9"/>
      <c r="QGJ49" s="9"/>
      <c r="QGK49" s="9"/>
      <c r="QGL49" s="9"/>
      <c r="QGM49" s="9"/>
      <c r="QGN49" s="9"/>
      <c r="QGO49" s="9"/>
      <c r="QGP49" s="9"/>
      <c r="QGQ49" s="9"/>
      <c r="QGR49" s="9"/>
      <c r="QGS49" s="9"/>
      <c r="QGT49" s="9"/>
      <c r="QGU49" s="9"/>
      <c r="QGV49" s="9"/>
      <c r="QGW49" s="9"/>
      <c r="QGX49" s="9"/>
      <c r="QGY49" s="9"/>
      <c r="QGZ49" s="9"/>
      <c r="QHA49" s="9"/>
      <c r="QHB49" s="9"/>
      <c r="QHC49" s="9"/>
      <c r="QHD49" s="9"/>
      <c r="QHE49" s="9"/>
      <c r="QHF49" s="9"/>
      <c r="QHG49" s="9"/>
      <c r="QHH49" s="9"/>
      <c r="QHI49" s="9"/>
      <c r="QHJ49" s="9"/>
      <c r="QHK49" s="9"/>
      <c r="QHL49" s="9"/>
      <c r="QHM49" s="9"/>
      <c r="QHN49" s="9"/>
      <c r="QHO49" s="9"/>
      <c r="QHP49" s="9"/>
      <c r="QHQ49" s="9"/>
      <c r="QHR49" s="9"/>
      <c r="QHS49" s="9"/>
      <c r="QHT49" s="9"/>
      <c r="QHU49" s="9"/>
      <c r="QHV49" s="9"/>
      <c r="QHW49" s="9"/>
      <c r="QHX49" s="9"/>
      <c r="QHY49" s="9"/>
      <c r="QHZ49" s="9"/>
      <c r="QIA49" s="9"/>
      <c r="QIB49" s="9"/>
      <c r="QIC49" s="9"/>
      <c r="QID49" s="9"/>
      <c r="QIE49" s="9"/>
      <c r="QIF49" s="9"/>
      <c r="QIG49" s="9"/>
      <c r="QIH49" s="9"/>
      <c r="QII49" s="9"/>
      <c r="QIJ49" s="9"/>
      <c r="QIK49" s="9"/>
      <c r="QIL49" s="9"/>
      <c r="QIM49" s="9"/>
      <c r="QIN49" s="9"/>
      <c r="QIO49" s="9"/>
      <c r="QIP49" s="9"/>
      <c r="QIQ49" s="9"/>
      <c r="QIR49" s="9"/>
      <c r="QIS49" s="9"/>
      <c r="QIT49" s="9"/>
      <c r="QIU49" s="9"/>
      <c r="QIV49" s="9"/>
      <c r="QIW49" s="9"/>
      <c r="QIX49" s="9"/>
      <c r="QIY49" s="9"/>
      <c r="QIZ49" s="9"/>
      <c r="QJA49" s="9"/>
      <c r="QJB49" s="9"/>
      <c r="QJC49" s="9"/>
      <c r="QJD49" s="9"/>
      <c r="QJE49" s="9"/>
      <c r="QJF49" s="9"/>
      <c r="QJG49" s="9"/>
      <c r="QJH49" s="9"/>
      <c r="QJI49" s="9"/>
      <c r="QJJ49" s="9"/>
      <c r="QJK49" s="9"/>
      <c r="QJL49" s="9"/>
      <c r="QJM49" s="9"/>
      <c r="QJN49" s="9"/>
      <c r="QJO49" s="9"/>
      <c r="QJP49" s="9"/>
      <c r="QJQ49" s="9"/>
      <c r="QJR49" s="9"/>
      <c r="QJS49" s="9"/>
      <c r="QJT49" s="9"/>
      <c r="QJU49" s="9"/>
      <c r="QJV49" s="9"/>
      <c r="QJW49" s="9"/>
      <c r="QJX49" s="9"/>
      <c r="QJY49" s="9"/>
      <c r="QJZ49" s="9"/>
      <c r="QKA49" s="9"/>
      <c r="QKB49" s="9"/>
      <c r="QKC49" s="9"/>
      <c r="QKD49" s="9"/>
      <c r="QKE49" s="9"/>
      <c r="QKF49" s="9"/>
      <c r="QKG49" s="9"/>
      <c r="QKH49" s="9"/>
      <c r="QKI49" s="9"/>
      <c r="QKJ49" s="9"/>
      <c r="QKK49" s="9"/>
      <c r="QKL49" s="9"/>
      <c r="QKM49" s="9"/>
      <c r="QKN49" s="9"/>
      <c r="QKO49" s="9"/>
      <c r="QKP49" s="9"/>
      <c r="QKQ49" s="9"/>
      <c r="QKR49" s="9"/>
      <c r="QKS49" s="9"/>
      <c r="QKT49" s="9"/>
      <c r="QKU49" s="9"/>
      <c r="QKV49" s="9"/>
      <c r="QKW49" s="9"/>
      <c r="QKX49" s="9"/>
      <c r="QKY49" s="9"/>
      <c r="QKZ49" s="9"/>
      <c r="QLA49" s="9"/>
      <c r="QLB49" s="9"/>
      <c r="QLC49" s="9"/>
      <c r="QLD49" s="9"/>
      <c r="QLE49" s="9"/>
      <c r="QLF49" s="9"/>
      <c r="QLG49" s="9"/>
      <c r="QLH49" s="9"/>
      <c r="QLI49" s="9"/>
      <c r="QLJ49" s="9"/>
      <c r="QLK49" s="9"/>
      <c r="QLL49" s="9"/>
      <c r="QLM49" s="9"/>
      <c r="QLN49" s="9"/>
      <c r="QLO49" s="9"/>
      <c r="QLP49" s="9"/>
      <c r="QLQ49" s="9"/>
      <c r="QLR49" s="9"/>
      <c r="QLS49" s="9"/>
      <c r="QLT49" s="9"/>
      <c r="QLU49" s="9"/>
      <c r="QLV49" s="9"/>
      <c r="QLW49" s="9"/>
      <c r="QLX49" s="9"/>
      <c r="QLY49" s="9"/>
      <c r="QLZ49" s="9"/>
      <c r="QMA49" s="9"/>
      <c r="QMB49" s="9"/>
      <c r="QMC49" s="9"/>
      <c r="QMD49" s="9"/>
      <c r="QME49" s="9"/>
      <c r="QMF49" s="9"/>
      <c r="QMG49" s="9"/>
      <c r="QMH49" s="9"/>
      <c r="QMI49" s="9"/>
      <c r="QMJ49" s="9"/>
      <c r="QMK49" s="9"/>
      <c r="QML49" s="9"/>
      <c r="QMM49" s="9"/>
      <c r="QMN49" s="9"/>
      <c r="QMO49" s="9"/>
      <c r="QMP49" s="9"/>
      <c r="QMQ49" s="9"/>
      <c r="QMR49" s="9"/>
      <c r="QMS49" s="9"/>
      <c r="QMT49" s="9"/>
      <c r="QMU49" s="9"/>
      <c r="QMV49" s="9"/>
      <c r="QMW49" s="9"/>
      <c r="QMX49" s="9"/>
      <c r="QMY49" s="9"/>
      <c r="QMZ49" s="9"/>
      <c r="QNA49" s="9"/>
      <c r="QNB49" s="9"/>
      <c r="QNC49" s="9"/>
      <c r="QND49" s="9"/>
      <c r="QNE49" s="9"/>
      <c r="QNF49" s="9"/>
      <c r="QNG49" s="9"/>
      <c r="QNH49" s="9"/>
      <c r="QNI49" s="9"/>
      <c r="QNJ49" s="9"/>
      <c r="QNK49" s="9"/>
      <c r="QNL49" s="9"/>
      <c r="QNM49" s="9"/>
      <c r="QNN49" s="9"/>
      <c r="QNO49" s="9"/>
      <c r="QNP49" s="9"/>
      <c r="QNQ49" s="9"/>
      <c r="QNR49" s="9"/>
      <c r="QNS49" s="9"/>
      <c r="QNT49" s="9"/>
      <c r="QNU49" s="9"/>
      <c r="QNV49" s="9"/>
      <c r="QNW49" s="9"/>
      <c r="QNX49" s="9"/>
      <c r="QNY49" s="9"/>
      <c r="QNZ49" s="9"/>
      <c r="QOA49" s="9"/>
      <c r="QOB49" s="9"/>
      <c r="QOC49" s="9"/>
      <c r="QOD49" s="9"/>
      <c r="QOE49" s="9"/>
      <c r="QOF49" s="9"/>
      <c r="QOG49" s="9"/>
      <c r="QOH49" s="9"/>
      <c r="QOI49" s="9"/>
      <c r="QOJ49" s="9"/>
      <c r="QOK49" s="9"/>
      <c r="QOL49" s="9"/>
      <c r="QOM49" s="9"/>
      <c r="QON49" s="9"/>
      <c r="QOO49" s="9"/>
      <c r="QOP49" s="9"/>
      <c r="QOQ49" s="9"/>
      <c r="QOR49" s="9"/>
      <c r="QOS49" s="9"/>
      <c r="QOT49" s="9"/>
      <c r="QOU49" s="9"/>
      <c r="QOV49" s="9"/>
      <c r="QOW49" s="9"/>
      <c r="QOX49" s="9"/>
      <c r="QOY49" s="9"/>
      <c r="QOZ49" s="9"/>
      <c r="QPA49" s="9"/>
      <c r="QPB49" s="9"/>
      <c r="QPC49" s="9"/>
      <c r="QPD49" s="9"/>
      <c r="QPE49" s="9"/>
      <c r="QPF49" s="9"/>
      <c r="QPG49" s="9"/>
      <c r="QPH49" s="9"/>
      <c r="QPI49" s="9"/>
      <c r="QPJ49" s="9"/>
      <c r="QPK49" s="9"/>
      <c r="QPL49" s="9"/>
      <c r="QPM49" s="9"/>
      <c r="QPN49" s="9"/>
      <c r="QPO49" s="9"/>
      <c r="QPP49" s="9"/>
      <c r="QPQ49" s="9"/>
      <c r="QPR49" s="9"/>
      <c r="QPS49" s="9"/>
      <c r="QPT49" s="9"/>
      <c r="QPU49" s="9"/>
      <c r="QPV49" s="9"/>
      <c r="QPW49" s="9"/>
      <c r="QPX49" s="9"/>
      <c r="QPY49" s="9"/>
      <c r="QPZ49" s="9"/>
      <c r="QQA49" s="9"/>
      <c r="QQB49" s="9"/>
      <c r="QQC49" s="9"/>
      <c r="QQD49" s="9"/>
      <c r="QQE49" s="9"/>
      <c r="QQF49" s="9"/>
      <c r="QQG49" s="9"/>
      <c r="QQH49" s="9"/>
      <c r="QQI49" s="9"/>
      <c r="QQJ49" s="9"/>
      <c r="QQK49" s="9"/>
      <c r="QQL49" s="9"/>
      <c r="QQM49" s="9"/>
      <c r="QQN49" s="9"/>
      <c r="QQO49" s="9"/>
      <c r="QQP49" s="9"/>
      <c r="QQQ49" s="9"/>
      <c r="QQR49" s="9"/>
      <c r="QQS49" s="9"/>
      <c r="QQT49" s="9"/>
      <c r="QQU49" s="9"/>
      <c r="QQV49" s="9"/>
      <c r="QQW49" s="9"/>
      <c r="QQX49" s="9"/>
      <c r="QQY49" s="9"/>
      <c r="QQZ49" s="9"/>
      <c r="QRA49" s="9"/>
      <c r="QRB49" s="9"/>
      <c r="QRC49" s="9"/>
      <c r="QRD49" s="9"/>
      <c r="QRE49" s="9"/>
      <c r="QRF49" s="9"/>
      <c r="QRG49" s="9"/>
      <c r="QRH49" s="9"/>
      <c r="QRI49" s="9"/>
      <c r="QRJ49" s="9"/>
      <c r="QRK49" s="9"/>
      <c r="QRL49" s="9"/>
      <c r="QRM49" s="9"/>
      <c r="QRN49" s="9"/>
      <c r="QRO49" s="9"/>
      <c r="QRP49" s="9"/>
      <c r="QRQ49" s="9"/>
      <c r="QRR49" s="9"/>
      <c r="QRS49" s="9"/>
      <c r="QRT49" s="9"/>
      <c r="QRU49" s="9"/>
      <c r="QRV49" s="9"/>
      <c r="QRW49" s="9"/>
      <c r="QRX49" s="9"/>
      <c r="QRY49" s="9"/>
      <c r="QRZ49" s="9"/>
      <c r="QSA49" s="9"/>
      <c r="QSB49" s="9"/>
      <c r="QSC49" s="9"/>
      <c r="QSD49" s="9"/>
      <c r="QSE49" s="9"/>
      <c r="QSF49" s="9"/>
      <c r="QSG49" s="9"/>
      <c r="QSH49" s="9"/>
      <c r="QSI49" s="9"/>
      <c r="QSJ49" s="9"/>
      <c r="QSK49" s="9"/>
      <c r="QSL49" s="9"/>
      <c r="QSM49" s="9"/>
      <c r="QSN49" s="9"/>
      <c r="QSO49" s="9"/>
      <c r="QSP49" s="9"/>
      <c r="QSQ49" s="9"/>
      <c r="QSR49" s="9"/>
      <c r="QSS49" s="9"/>
      <c r="QST49" s="9"/>
      <c r="QSU49" s="9"/>
      <c r="QSV49" s="9"/>
      <c r="QSW49" s="9"/>
      <c r="QSX49" s="9"/>
      <c r="QSY49" s="9"/>
      <c r="QSZ49" s="9"/>
      <c r="QTA49" s="9"/>
      <c r="QTB49" s="9"/>
      <c r="QTC49" s="9"/>
      <c r="QTD49" s="9"/>
      <c r="QTE49" s="9"/>
      <c r="QTF49" s="9"/>
      <c r="QTG49" s="9"/>
      <c r="QTH49" s="9"/>
      <c r="QTI49" s="9"/>
      <c r="QTJ49" s="9"/>
      <c r="QTK49" s="9"/>
      <c r="QTL49" s="9"/>
      <c r="QTM49" s="9"/>
      <c r="QTN49" s="9"/>
      <c r="QTO49" s="9"/>
      <c r="QTP49" s="9"/>
      <c r="QTQ49" s="9"/>
      <c r="QTR49" s="9"/>
      <c r="QTS49" s="9"/>
      <c r="QTT49" s="9"/>
      <c r="QTU49" s="9"/>
      <c r="QTV49" s="9"/>
      <c r="QTW49" s="9"/>
      <c r="QTX49" s="9"/>
      <c r="QTY49" s="9"/>
      <c r="QTZ49" s="9"/>
      <c r="QUA49" s="9"/>
      <c r="QUB49" s="9"/>
      <c r="QUC49" s="9"/>
      <c r="QUD49" s="9"/>
      <c r="QUE49" s="9"/>
      <c r="QUF49" s="9"/>
      <c r="QUG49" s="9"/>
      <c r="QUH49" s="9"/>
      <c r="QUI49" s="9"/>
      <c r="QUJ49" s="9"/>
      <c r="QUK49" s="9"/>
      <c r="QUL49" s="9"/>
      <c r="QUM49" s="9"/>
      <c r="QUN49" s="9"/>
      <c r="QUO49" s="9"/>
      <c r="QUP49" s="9"/>
      <c r="QUQ49" s="9"/>
      <c r="QUR49" s="9"/>
      <c r="QUS49" s="9"/>
      <c r="QUT49" s="9"/>
      <c r="QUU49" s="9"/>
      <c r="QUV49" s="9"/>
      <c r="QUW49" s="9"/>
      <c r="QUX49" s="9"/>
      <c r="QUY49" s="9"/>
      <c r="QUZ49" s="9"/>
      <c r="QVA49" s="9"/>
      <c r="QVB49" s="9"/>
      <c r="QVC49" s="9"/>
      <c r="QVD49" s="9"/>
      <c r="QVE49" s="9"/>
      <c r="QVF49" s="9"/>
      <c r="QVG49" s="9"/>
      <c r="QVH49" s="9"/>
      <c r="QVI49" s="9"/>
      <c r="QVJ49" s="9"/>
      <c r="QVK49" s="9"/>
      <c r="QVL49" s="9"/>
      <c r="QVM49" s="9"/>
      <c r="QVN49" s="9"/>
      <c r="QVO49" s="9"/>
      <c r="QVP49" s="9"/>
      <c r="QVQ49" s="9"/>
      <c r="QVR49" s="9"/>
      <c r="QVS49" s="9"/>
      <c r="QVT49" s="9"/>
      <c r="QVU49" s="9"/>
      <c r="QVV49" s="9"/>
      <c r="QVW49" s="9"/>
      <c r="QVX49" s="9"/>
      <c r="QVY49" s="9"/>
      <c r="QVZ49" s="9"/>
      <c r="QWA49" s="9"/>
      <c r="QWB49" s="9"/>
      <c r="QWC49" s="9"/>
      <c r="QWD49" s="9"/>
      <c r="QWE49" s="9"/>
      <c r="QWF49" s="9"/>
      <c r="QWG49" s="9"/>
      <c r="QWH49" s="9"/>
      <c r="QWI49" s="9"/>
      <c r="QWJ49" s="9"/>
      <c r="QWK49" s="9"/>
      <c r="QWL49" s="9"/>
      <c r="QWM49" s="9"/>
      <c r="QWN49" s="9"/>
      <c r="QWO49" s="9"/>
      <c r="QWP49" s="9"/>
      <c r="QWQ49" s="9"/>
      <c r="QWR49" s="9"/>
      <c r="QWS49" s="9"/>
      <c r="QWT49" s="9"/>
      <c r="QWU49" s="9"/>
      <c r="QWV49" s="9"/>
      <c r="QWW49" s="9"/>
      <c r="QWX49" s="9"/>
      <c r="QWY49" s="9"/>
      <c r="QWZ49" s="9"/>
      <c r="QXA49" s="9"/>
      <c r="QXB49" s="9"/>
      <c r="QXC49" s="9"/>
      <c r="QXD49" s="9"/>
      <c r="QXE49" s="9"/>
      <c r="QXF49" s="9"/>
      <c r="QXG49" s="9"/>
      <c r="QXH49" s="9"/>
      <c r="QXI49" s="9"/>
      <c r="QXJ49" s="9"/>
      <c r="QXK49" s="9"/>
      <c r="QXL49" s="9"/>
      <c r="QXM49" s="9"/>
      <c r="QXN49" s="9"/>
      <c r="QXO49" s="9"/>
      <c r="QXP49" s="9"/>
      <c r="QXQ49" s="9"/>
      <c r="QXR49" s="9"/>
      <c r="QXS49" s="9"/>
      <c r="QXT49" s="9"/>
      <c r="QXU49" s="9"/>
      <c r="QXV49" s="9"/>
      <c r="QXW49" s="9"/>
      <c r="QXX49" s="9"/>
      <c r="QXY49" s="9"/>
      <c r="QXZ49" s="9"/>
      <c r="QYA49" s="9"/>
      <c r="QYB49" s="9"/>
      <c r="QYC49" s="9"/>
      <c r="QYD49" s="9"/>
      <c r="QYE49" s="9"/>
      <c r="QYF49" s="9"/>
      <c r="QYG49" s="9"/>
      <c r="QYH49" s="9"/>
      <c r="QYI49" s="9"/>
      <c r="QYJ49" s="9"/>
      <c r="QYK49" s="9"/>
      <c r="QYL49" s="9"/>
      <c r="QYM49" s="9"/>
      <c r="QYN49" s="9"/>
      <c r="QYO49" s="9"/>
      <c r="QYP49" s="9"/>
      <c r="QYQ49" s="9"/>
      <c r="QYR49" s="9"/>
      <c r="QYS49" s="9"/>
      <c r="QYT49" s="9"/>
      <c r="QYU49" s="9"/>
      <c r="QYV49" s="9"/>
      <c r="QYW49" s="9"/>
      <c r="QYX49" s="9"/>
      <c r="QYY49" s="9"/>
      <c r="QYZ49" s="9"/>
      <c r="QZA49" s="9"/>
      <c r="QZB49" s="9"/>
      <c r="QZC49" s="9"/>
      <c r="QZD49" s="9"/>
      <c r="QZE49" s="9"/>
      <c r="QZF49" s="9"/>
      <c r="QZG49" s="9"/>
      <c r="QZH49" s="9"/>
      <c r="QZI49" s="9"/>
      <c r="QZJ49" s="9"/>
      <c r="QZK49" s="9"/>
      <c r="QZL49" s="9"/>
      <c r="QZM49" s="9"/>
      <c r="QZN49" s="9"/>
      <c r="QZO49" s="9"/>
      <c r="QZP49" s="9"/>
      <c r="QZQ49" s="9"/>
      <c r="QZR49" s="9"/>
      <c r="QZS49" s="9"/>
      <c r="QZT49" s="9"/>
      <c r="QZU49" s="9"/>
      <c r="QZV49" s="9"/>
      <c r="QZW49" s="9"/>
      <c r="QZX49" s="9"/>
      <c r="QZY49" s="9"/>
      <c r="QZZ49" s="9"/>
      <c r="RAA49" s="9"/>
      <c r="RAB49" s="9"/>
      <c r="RAC49" s="9"/>
      <c r="RAD49" s="9"/>
      <c r="RAE49" s="9"/>
      <c r="RAF49" s="9"/>
      <c r="RAG49" s="9"/>
      <c r="RAH49" s="9"/>
      <c r="RAI49" s="9"/>
      <c r="RAJ49" s="9"/>
      <c r="RAK49" s="9"/>
      <c r="RAL49" s="9"/>
      <c r="RAM49" s="9"/>
      <c r="RAN49" s="9"/>
      <c r="RAO49" s="9"/>
      <c r="RAP49" s="9"/>
      <c r="RAQ49" s="9"/>
      <c r="RAR49" s="9"/>
      <c r="RAS49" s="9"/>
      <c r="RAT49" s="9"/>
      <c r="RAU49" s="9"/>
      <c r="RAV49" s="9"/>
      <c r="RAW49" s="9"/>
      <c r="RAX49" s="9"/>
      <c r="RAY49" s="9"/>
      <c r="RAZ49" s="9"/>
      <c r="RBA49" s="9"/>
      <c r="RBB49" s="9"/>
      <c r="RBC49" s="9"/>
      <c r="RBD49" s="9"/>
      <c r="RBE49" s="9"/>
      <c r="RBF49" s="9"/>
      <c r="RBG49" s="9"/>
      <c r="RBH49" s="9"/>
      <c r="RBI49" s="9"/>
      <c r="RBJ49" s="9"/>
      <c r="RBK49" s="9"/>
      <c r="RBL49" s="9"/>
      <c r="RBM49" s="9"/>
      <c r="RBN49" s="9"/>
      <c r="RBO49" s="9"/>
      <c r="RBP49" s="9"/>
      <c r="RBQ49" s="9"/>
      <c r="RBR49" s="9"/>
      <c r="RBS49" s="9"/>
      <c r="RBT49" s="9"/>
      <c r="RBU49" s="9"/>
      <c r="RBV49" s="9"/>
      <c r="RBW49" s="9"/>
      <c r="RBX49" s="9"/>
      <c r="RBY49" s="9"/>
      <c r="RBZ49" s="9"/>
      <c r="RCA49" s="9"/>
      <c r="RCB49" s="9"/>
      <c r="RCC49" s="9"/>
      <c r="RCD49" s="9"/>
      <c r="RCE49" s="9"/>
      <c r="RCF49" s="9"/>
      <c r="RCG49" s="9"/>
      <c r="RCH49" s="9"/>
      <c r="RCI49" s="9"/>
      <c r="RCJ49" s="9"/>
      <c r="RCK49" s="9"/>
      <c r="RCL49" s="9"/>
      <c r="RCM49" s="9"/>
      <c r="RCN49" s="9"/>
      <c r="RCO49" s="9"/>
      <c r="RCP49" s="9"/>
      <c r="RCQ49" s="9"/>
      <c r="RCR49" s="9"/>
      <c r="RCS49" s="9"/>
      <c r="RCT49" s="9"/>
      <c r="RCU49" s="9"/>
      <c r="RCV49" s="9"/>
      <c r="RCW49" s="9"/>
      <c r="RCX49" s="9"/>
      <c r="RCY49" s="9"/>
      <c r="RCZ49" s="9"/>
      <c r="RDA49" s="9"/>
      <c r="RDB49" s="9"/>
      <c r="RDC49" s="9"/>
      <c r="RDD49" s="9"/>
      <c r="RDE49" s="9"/>
      <c r="RDF49" s="9"/>
      <c r="RDG49" s="9"/>
      <c r="RDH49" s="9"/>
      <c r="RDI49" s="9"/>
      <c r="RDJ49" s="9"/>
      <c r="RDK49" s="9"/>
      <c r="RDL49" s="9"/>
      <c r="RDM49" s="9"/>
      <c r="RDN49" s="9"/>
      <c r="RDO49" s="9"/>
      <c r="RDP49" s="9"/>
      <c r="RDQ49" s="9"/>
      <c r="RDR49" s="9"/>
      <c r="RDS49" s="9"/>
      <c r="RDT49" s="9"/>
      <c r="RDU49" s="9"/>
      <c r="RDV49" s="9"/>
      <c r="RDW49" s="9"/>
      <c r="RDX49" s="9"/>
      <c r="RDY49" s="9"/>
      <c r="RDZ49" s="9"/>
      <c r="REA49" s="9"/>
      <c r="REB49" s="9"/>
      <c r="REC49" s="9"/>
      <c r="RED49" s="9"/>
      <c r="REE49" s="9"/>
      <c r="REF49" s="9"/>
      <c r="REG49" s="9"/>
      <c r="REH49" s="9"/>
      <c r="REI49" s="9"/>
      <c r="REJ49" s="9"/>
      <c r="REK49" s="9"/>
      <c r="REL49" s="9"/>
      <c r="REM49" s="9"/>
      <c r="REN49" s="9"/>
      <c r="REO49" s="9"/>
      <c r="REP49" s="9"/>
      <c r="REQ49" s="9"/>
      <c r="RER49" s="9"/>
      <c r="RES49" s="9"/>
      <c r="RET49" s="9"/>
      <c r="REU49" s="9"/>
      <c r="REV49" s="9"/>
      <c r="REW49" s="9"/>
      <c r="REX49" s="9"/>
      <c r="REY49" s="9"/>
      <c r="REZ49" s="9"/>
      <c r="RFA49" s="9"/>
      <c r="RFB49" s="9"/>
      <c r="RFC49" s="9"/>
      <c r="RFD49" s="9"/>
      <c r="RFE49" s="9"/>
      <c r="RFF49" s="9"/>
      <c r="RFG49" s="9"/>
      <c r="RFH49" s="9"/>
      <c r="RFI49" s="9"/>
      <c r="RFJ49" s="9"/>
      <c r="RFK49" s="9"/>
      <c r="RFL49" s="9"/>
      <c r="RFM49" s="9"/>
      <c r="RFN49" s="9"/>
      <c r="RFO49" s="9"/>
      <c r="RFP49" s="9"/>
      <c r="RFQ49" s="9"/>
      <c r="RFR49" s="9"/>
      <c r="RFS49" s="9"/>
      <c r="RFT49" s="9"/>
      <c r="RFU49" s="9"/>
      <c r="RFV49" s="9"/>
      <c r="RFW49" s="9"/>
      <c r="RFX49" s="9"/>
      <c r="RFY49" s="9"/>
      <c r="RFZ49" s="9"/>
      <c r="RGA49" s="9"/>
      <c r="RGB49" s="9"/>
      <c r="RGC49" s="9"/>
      <c r="RGD49" s="9"/>
      <c r="RGE49" s="9"/>
      <c r="RGF49" s="9"/>
      <c r="RGG49" s="9"/>
      <c r="RGH49" s="9"/>
      <c r="RGI49" s="9"/>
      <c r="RGJ49" s="9"/>
      <c r="RGK49" s="9"/>
      <c r="RGL49" s="9"/>
      <c r="RGM49" s="9"/>
      <c r="RGN49" s="9"/>
      <c r="RGO49" s="9"/>
      <c r="RGP49" s="9"/>
      <c r="RGQ49" s="9"/>
      <c r="RGR49" s="9"/>
      <c r="RGS49" s="9"/>
      <c r="RGT49" s="9"/>
      <c r="RGU49" s="9"/>
      <c r="RGV49" s="9"/>
      <c r="RGW49" s="9"/>
      <c r="RGX49" s="9"/>
      <c r="RGY49" s="9"/>
      <c r="RGZ49" s="9"/>
      <c r="RHA49" s="9"/>
      <c r="RHB49" s="9"/>
      <c r="RHC49" s="9"/>
      <c r="RHD49" s="9"/>
      <c r="RHE49" s="9"/>
      <c r="RHF49" s="9"/>
      <c r="RHG49" s="9"/>
      <c r="RHH49" s="9"/>
      <c r="RHI49" s="9"/>
      <c r="RHJ49" s="9"/>
      <c r="RHK49" s="9"/>
      <c r="RHL49" s="9"/>
      <c r="RHM49" s="9"/>
      <c r="RHN49" s="9"/>
      <c r="RHO49" s="9"/>
      <c r="RHP49" s="9"/>
      <c r="RHQ49" s="9"/>
      <c r="RHR49" s="9"/>
      <c r="RHS49" s="9"/>
      <c r="RHT49" s="9"/>
      <c r="RHU49" s="9"/>
      <c r="RHV49" s="9"/>
      <c r="RHW49" s="9"/>
      <c r="RHX49" s="9"/>
      <c r="RHY49" s="9"/>
      <c r="RHZ49" s="9"/>
      <c r="RIA49" s="9"/>
      <c r="RIB49" s="9"/>
      <c r="RIC49" s="9"/>
      <c r="RID49" s="9"/>
      <c r="RIE49" s="9"/>
      <c r="RIF49" s="9"/>
      <c r="RIG49" s="9"/>
      <c r="RIH49" s="9"/>
      <c r="RII49" s="9"/>
      <c r="RIJ49" s="9"/>
      <c r="RIK49" s="9"/>
      <c r="RIL49" s="9"/>
      <c r="RIM49" s="9"/>
      <c r="RIN49" s="9"/>
      <c r="RIO49" s="9"/>
      <c r="RIP49" s="9"/>
      <c r="RIQ49" s="9"/>
      <c r="RIR49" s="9"/>
      <c r="RIS49" s="9"/>
      <c r="RIT49" s="9"/>
      <c r="RIU49" s="9"/>
      <c r="RIV49" s="9"/>
      <c r="RIW49" s="9"/>
      <c r="RIX49" s="9"/>
      <c r="RIY49" s="9"/>
      <c r="RIZ49" s="9"/>
      <c r="RJA49" s="9"/>
      <c r="RJB49" s="9"/>
      <c r="RJC49" s="9"/>
      <c r="RJD49" s="9"/>
      <c r="RJE49" s="9"/>
      <c r="RJF49" s="9"/>
      <c r="RJG49" s="9"/>
      <c r="RJH49" s="9"/>
      <c r="RJI49" s="9"/>
      <c r="RJJ49" s="9"/>
      <c r="RJK49" s="9"/>
      <c r="RJL49" s="9"/>
      <c r="RJM49" s="9"/>
      <c r="RJN49" s="9"/>
      <c r="RJO49" s="9"/>
      <c r="RJP49" s="9"/>
      <c r="RJQ49" s="9"/>
      <c r="RJR49" s="9"/>
      <c r="RJS49" s="9"/>
      <c r="RJT49" s="9"/>
      <c r="RJU49" s="9"/>
      <c r="RJV49" s="9"/>
      <c r="RJW49" s="9"/>
      <c r="RJX49" s="9"/>
      <c r="RJY49" s="9"/>
      <c r="RJZ49" s="9"/>
      <c r="RKA49" s="9"/>
      <c r="RKB49" s="9"/>
      <c r="RKC49" s="9"/>
      <c r="RKD49" s="9"/>
      <c r="RKE49" s="9"/>
      <c r="RKF49" s="9"/>
      <c r="RKG49" s="9"/>
      <c r="RKH49" s="9"/>
      <c r="RKI49" s="9"/>
      <c r="RKJ49" s="9"/>
      <c r="RKK49" s="9"/>
      <c r="RKL49" s="9"/>
      <c r="RKM49" s="9"/>
      <c r="RKN49" s="9"/>
      <c r="RKO49" s="9"/>
      <c r="RKP49" s="9"/>
      <c r="RKQ49" s="9"/>
      <c r="RKR49" s="9"/>
      <c r="RKS49" s="9"/>
      <c r="RKT49" s="9"/>
      <c r="RKU49" s="9"/>
      <c r="RKV49" s="9"/>
      <c r="RKW49" s="9"/>
      <c r="RKX49" s="9"/>
      <c r="RKY49" s="9"/>
      <c r="RKZ49" s="9"/>
      <c r="RLA49" s="9"/>
      <c r="RLB49" s="9"/>
      <c r="RLC49" s="9"/>
      <c r="RLD49" s="9"/>
      <c r="RLE49" s="9"/>
      <c r="RLF49" s="9"/>
      <c r="RLG49" s="9"/>
      <c r="RLH49" s="9"/>
      <c r="RLI49" s="9"/>
      <c r="RLJ49" s="9"/>
      <c r="RLK49" s="9"/>
      <c r="RLL49" s="9"/>
      <c r="RLM49" s="9"/>
      <c r="RLN49" s="9"/>
      <c r="RLO49" s="9"/>
      <c r="RLP49" s="9"/>
      <c r="RLQ49" s="9"/>
      <c r="RLR49" s="9"/>
      <c r="RLS49" s="9"/>
      <c r="RLT49" s="9"/>
      <c r="RLU49" s="9"/>
      <c r="RLV49" s="9"/>
      <c r="RLW49" s="9"/>
      <c r="RLX49" s="9"/>
      <c r="RLY49" s="9"/>
      <c r="RLZ49" s="9"/>
      <c r="RMA49" s="9"/>
      <c r="RMB49" s="9"/>
      <c r="RMC49" s="9"/>
      <c r="RMD49" s="9"/>
      <c r="RME49" s="9"/>
      <c r="RMF49" s="9"/>
      <c r="RMG49" s="9"/>
      <c r="RMH49" s="9"/>
      <c r="RMI49" s="9"/>
      <c r="RMJ49" s="9"/>
      <c r="RMK49" s="9"/>
      <c r="RML49" s="9"/>
      <c r="RMM49" s="9"/>
      <c r="RMN49" s="9"/>
      <c r="RMO49" s="9"/>
      <c r="RMP49" s="9"/>
      <c r="RMQ49" s="9"/>
      <c r="RMR49" s="9"/>
      <c r="RMS49" s="9"/>
      <c r="RMT49" s="9"/>
      <c r="RMU49" s="9"/>
      <c r="RMV49" s="9"/>
      <c r="RMW49" s="9"/>
      <c r="RMX49" s="9"/>
      <c r="RMY49" s="9"/>
      <c r="RMZ49" s="9"/>
      <c r="RNA49" s="9"/>
      <c r="RNB49" s="9"/>
      <c r="RNC49" s="9"/>
      <c r="RND49" s="9"/>
      <c r="RNE49" s="9"/>
      <c r="RNF49" s="9"/>
      <c r="RNG49" s="9"/>
      <c r="RNH49" s="9"/>
      <c r="RNI49" s="9"/>
      <c r="RNJ49" s="9"/>
      <c r="RNK49" s="9"/>
      <c r="RNL49" s="9"/>
      <c r="RNM49" s="9"/>
      <c r="RNN49" s="9"/>
      <c r="RNO49" s="9"/>
      <c r="RNP49" s="9"/>
      <c r="RNQ49" s="9"/>
      <c r="RNR49" s="9"/>
      <c r="RNS49" s="9"/>
      <c r="RNT49" s="9"/>
      <c r="RNU49" s="9"/>
      <c r="RNV49" s="9"/>
      <c r="RNW49" s="9"/>
      <c r="RNX49" s="9"/>
      <c r="RNY49" s="9"/>
      <c r="RNZ49" s="9"/>
      <c r="ROA49" s="9"/>
      <c r="ROB49" s="9"/>
      <c r="ROC49" s="9"/>
      <c r="ROD49" s="9"/>
      <c r="ROE49" s="9"/>
      <c r="ROF49" s="9"/>
      <c r="ROG49" s="9"/>
      <c r="ROH49" s="9"/>
      <c r="ROI49" s="9"/>
      <c r="ROJ49" s="9"/>
      <c r="ROK49" s="9"/>
      <c r="ROL49" s="9"/>
      <c r="ROM49" s="9"/>
      <c r="RON49" s="9"/>
      <c r="ROO49" s="9"/>
      <c r="ROP49" s="9"/>
      <c r="ROQ49" s="9"/>
      <c r="ROR49" s="9"/>
      <c r="ROS49" s="9"/>
      <c r="ROT49" s="9"/>
      <c r="ROU49" s="9"/>
      <c r="ROV49" s="9"/>
      <c r="ROW49" s="9"/>
      <c r="ROX49" s="9"/>
      <c r="ROY49" s="9"/>
      <c r="ROZ49" s="9"/>
      <c r="RPA49" s="9"/>
      <c r="RPB49" s="9"/>
      <c r="RPC49" s="9"/>
      <c r="RPD49" s="9"/>
      <c r="RPE49" s="9"/>
      <c r="RPF49" s="9"/>
      <c r="RPG49" s="9"/>
      <c r="RPH49" s="9"/>
      <c r="RPI49" s="9"/>
      <c r="RPJ49" s="9"/>
      <c r="RPK49" s="9"/>
      <c r="RPL49" s="9"/>
      <c r="RPM49" s="9"/>
      <c r="RPN49" s="9"/>
      <c r="RPO49" s="9"/>
      <c r="RPP49" s="9"/>
      <c r="RPQ49" s="9"/>
      <c r="RPR49" s="9"/>
      <c r="RPS49" s="9"/>
      <c r="RPT49" s="9"/>
      <c r="RPU49" s="9"/>
      <c r="RPV49" s="9"/>
      <c r="RPW49" s="9"/>
      <c r="RPX49" s="9"/>
      <c r="RPY49" s="9"/>
      <c r="RPZ49" s="9"/>
      <c r="RQA49" s="9"/>
      <c r="RQB49" s="9"/>
      <c r="RQC49" s="9"/>
      <c r="RQD49" s="9"/>
      <c r="RQE49" s="9"/>
      <c r="RQF49" s="9"/>
      <c r="RQG49" s="9"/>
      <c r="RQH49" s="9"/>
      <c r="RQI49" s="9"/>
      <c r="RQJ49" s="9"/>
      <c r="RQK49" s="9"/>
      <c r="RQL49" s="9"/>
      <c r="RQM49" s="9"/>
      <c r="RQN49" s="9"/>
      <c r="RQO49" s="9"/>
      <c r="RQP49" s="9"/>
      <c r="RQQ49" s="9"/>
      <c r="RQR49" s="9"/>
      <c r="RQS49" s="9"/>
      <c r="RQT49" s="9"/>
      <c r="RQU49" s="9"/>
      <c r="RQV49" s="9"/>
      <c r="RQW49" s="9"/>
      <c r="RQX49" s="9"/>
      <c r="RQY49" s="9"/>
      <c r="RQZ49" s="9"/>
      <c r="RRA49" s="9"/>
      <c r="RRB49" s="9"/>
      <c r="RRC49" s="9"/>
      <c r="RRD49" s="9"/>
      <c r="RRE49" s="9"/>
      <c r="RRF49" s="9"/>
      <c r="RRG49" s="9"/>
      <c r="RRH49" s="9"/>
      <c r="RRI49" s="9"/>
      <c r="RRJ49" s="9"/>
      <c r="RRK49" s="9"/>
      <c r="RRL49" s="9"/>
      <c r="RRM49" s="9"/>
      <c r="RRN49" s="9"/>
      <c r="RRO49" s="9"/>
      <c r="RRP49" s="9"/>
      <c r="RRQ49" s="9"/>
      <c r="RRR49" s="9"/>
      <c r="RRS49" s="9"/>
      <c r="RRT49" s="9"/>
      <c r="RRU49" s="9"/>
      <c r="RRV49" s="9"/>
      <c r="RRW49" s="9"/>
      <c r="RRX49" s="9"/>
      <c r="RRY49" s="9"/>
      <c r="RRZ49" s="9"/>
      <c r="RSA49" s="9"/>
      <c r="RSB49" s="9"/>
      <c r="RSC49" s="9"/>
      <c r="RSD49" s="9"/>
      <c r="RSE49" s="9"/>
      <c r="RSF49" s="9"/>
      <c r="RSG49" s="9"/>
      <c r="RSH49" s="9"/>
      <c r="RSI49" s="9"/>
      <c r="RSJ49" s="9"/>
      <c r="RSK49" s="9"/>
      <c r="RSL49" s="9"/>
      <c r="RSM49" s="9"/>
      <c r="RSN49" s="9"/>
      <c r="RSO49" s="9"/>
      <c r="RSP49" s="9"/>
      <c r="RSQ49" s="9"/>
      <c r="RSR49" s="9"/>
      <c r="RSS49" s="9"/>
      <c r="RST49" s="9"/>
      <c r="RSU49" s="9"/>
      <c r="RSV49" s="9"/>
      <c r="RSW49" s="9"/>
      <c r="RSX49" s="9"/>
      <c r="RSY49" s="9"/>
      <c r="RSZ49" s="9"/>
      <c r="RTA49" s="9"/>
      <c r="RTB49" s="9"/>
      <c r="RTC49" s="9"/>
      <c r="RTD49" s="9"/>
      <c r="RTE49" s="9"/>
      <c r="RTF49" s="9"/>
      <c r="RTG49" s="9"/>
      <c r="RTH49" s="9"/>
      <c r="RTI49" s="9"/>
      <c r="RTJ49" s="9"/>
      <c r="RTK49" s="9"/>
      <c r="RTL49" s="9"/>
      <c r="RTM49" s="9"/>
      <c r="RTN49" s="9"/>
      <c r="RTO49" s="9"/>
      <c r="RTP49" s="9"/>
      <c r="RTQ49" s="9"/>
      <c r="RTR49" s="9"/>
      <c r="RTS49" s="9"/>
      <c r="RTT49" s="9"/>
      <c r="RTU49" s="9"/>
      <c r="RTV49" s="9"/>
      <c r="RTW49" s="9"/>
      <c r="RTX49" s="9"/>
      <c r="RTY49" s="9"/>
      <c r="RTZ49" s="9"/>
      <c r="RUA49" s="9"/>
      <c r="RUB49" s="9"/>
      <c r="RUC49" s="9"/>
      <c r="RUD49" s="9"/>
      <c r="RUE49" s="9"/>
      <c r="RUF49" s="9"/>
      <c r="RUG49" s="9"/>
      <c r="RUH49" s="9"/>
      <c r="RUI49" s="9"/>
      <c r="RUJ49" s="9"/>
      <c r="RUK49" s="9"/>
      <c r="RUL49" s="9"/>
      <c r="RUM49" s="9"/>
      <c r="RUN49" s="9"/>
      <c r="RUO49" s="9"/>
      <c r="RUP49" s="9"/>
      <c r="RUQ49" s="9"/>
      <c r="RUR49" s="9"/>
      <c r="RUS49" s="9"/>
      <c r="RUT49" s="9"/>
      <c r="RUU49" s="9"/>
      <c r="RUV49" s="9"/>
      <c r="RUW49" s="9"/>
      <c r="RUX49" s="9"/>
      <c r="RUY49" s="9"/>
      <c r="RUZ49" s="9"/>
      <c r="RVA49" s="9"/>
      <c r="RVB49" s="9"/>
      <c r="RVC49" s="9"/>
      <c r="RVD49" s="9"/>
      <c r="RVE49" s="9"/>
      <c r="RVF49" s="9"/>
      <c r="RVG49" s="9"/>
      <c r="RVH49" s="9"/>
      <c r="RVI49" s="9"/>
      <c r="RVJ49" s="9"/>
      <c r="RVK49" s="9"/>
      <c r="RVL49" s="9"/>
      <c r="RVM49" s="9"/>
      <c r="RVN49" s="9"/>
      <c r="RVO49" s="9"/>
      <c r="RVP49" s="9"/>
      <c r="RVQ49" s="9"/>
      <c r="RVR49" s="9"/>
      <c r="RVS49" s="9"/>
      <c r="RVT49" s="9"/>
      <c r="RVU49" s="9"/>
      <c r="RVV49" s="9"/>
      <c r="RVW49" s="9"/>
      <c r="RVX49" s="9"/>
      <c r="RVY49" s="9"/>
      <c r="RVZ49" s="9"/>
      <c r="RWA49" s="9"/>
      <c r="RWB49" s="9"/>
      <c r="RWC49" s="9"/>
      <c r="RWD49" s="9"/>
      <c r="RWE49" s="9"/>
      <c r="RWF49" s="9"/>
      <c r="RWG49" s="9"/>
      <c r="RWH49" s="9"/>
      <c r="RWI49" s="9"/>
      <c r="RWJ49" s="9"/>
      <c r="RWK49" s="9"/>
      <c r="RWL49" s="9"/>
      <c r="RWM49" s="9"/>
      <c r="RWN49" s="9"/>
      <c r="RWO49" s="9"/>
      <c r="RWP49" s="9"/>
      <c r="RWQ49" s="9"/>
      <c r="RWR49" s="9"/>
      <c r="RWS49" s="9"/>
      <c r="RWT49" s="9"/>
      <c r="RWU49" s="9"/>
      <c r="RWV49" s="9"/>
      <c r="RWW49" s="9"/>
      <c r="RWX49" s="9"/>
      <c r="RWY49" s="9"/>
      <c r="RWZ49" s="9"/>
      <c r="RXA49" s="9"/>
      <c r="RXB49" s="9"/>
      <c r="RXC49" s="9"/>
      <c r="RXD49" s="9"/>
      <c r="RXE49" s="9"/>
      <c r="RXF49" s="9"/>
      <c r="RXG49" s="9"/>
      <c r="RXH49" s="9"/>
      <c r="RXI49" s="9"/>
      <c r="RXJ49" s="9"/>
      <c r="RXK49" s="9"/>
      <c r="RXL49" s="9"/>
      <c r="RXM49" s="9"/>
      <c r="RXN49" s="9"/>
      <c r="RXO49" s="9"/>
      <c r="RXP49" s="9"/>
      <c r="RXQ49" s="9"/>
      <c r="RXR49" s="9"/>
      <c r="RXS49" s="9"/>
      <c r="RXT49" s="9"/>
      <c r="RXU49" s="9"/>
      <c r="RXV49" s="9"/>
      <c r="RXW49" s="9"/>
      <c r="RXX49" s="9"/>
      <c r="RXY49" s="9"/>
      <c r="RXZ49" s="9"/>
      <c r="RYA49" s="9"/>
      <c r="RYB49" s="9"/>
      <c r="RYC49" s="9"/>
      <c r="RYD49" s="9"/>
      <c r="RYE49" s="9"/>
      <c r="RYF49" s="9"/>
      <c r="RYG49" s="9"/>
      <c r="RYH49" s="9"/>
      <c r="RYI49" s="9"/>
      <c r="RYJ49" s="9"/>
      <c r="RYK49" s="9"/>
      <c r="RYL49" s="9"/>
      <c r="RYM49" s="9"/>
      <c r="RYN49" s="9"/>
      <c r="RYO49" s="9"/>
      <c r="RYP49" s="9"/>
      <c r="RYQ49" s="9"/>
      <c r="RYR49" s="9"/>
      <c r="RYS49" s="9"/>
      <c r="RYT49" s="9"/>
      <c r="RYU49" s="9"/>
      <c r="RYV49" s="9"/>
      <c r="RYW49" s="9"/>
      <c r="RYX49" s="9"/>
      <c r="RYY49" s="9"/>
      <c r="RYZ49" s="9"/>
      <c r="RZA49" s="9"/>
      <c r="RZB49" s="9"/>
      <c r="RZC49" s="9"/>
      <c r="RZD49" s="9"/>
      <c r="RZE49" s="9"/>
      <c r="RZF49" s="9"/>
      <c r="RZG49" s="9"/>
      <c r="RZH49" s="9"/>
      <c r="RZI49" s="9"/>
      <c r="RZJ49" s="9"/>
      <c r="RZK49" s="9"/>
      <c r="RZL49" s="9"/>
      <c r="RZM49" s="9"/>
      <c r="RZN49" s="9"/>
      <c r="RZO49" s="9"/>
      <c r="RZP49" s="9"/>
      <c r="RZQ49" s="9"/>
      <c r="RZR49" s="9"/>
      <c r="RZS49" s="9"/>
      <c r="RZT49" s="9"/>
      <c r="RZU49" s="9"/>
      <c r="RZV49" s="9"/>
      <c r="RZW49" s="9"/>
      <c r="RZX49" s="9"/>
      <c r="RZY49" s="9"/>
      <c r="RZZ49" s="9"/>
      <c r="SAA49" s="9"/>
      <c r="SAB49" s="9"/>
      <c r="SAC49" s="9"/>
      <c r="SAD49" s="9"/>
      <c r="SAE49" s="9"/>
      <c r="SAF49" s="9"/>
      <c r="SAG49" s="9"/>
      <c r="SAH49" s="9"/>
      <c r="SAI49" s="9"/>
      <c r="SAJ49" s="9"/>
      <c r="SAK49" s="9"/>
      <c r="SAL49" s="9"/>
      <c r="SAM49" s="9"/>
      <c r="SAN49" s="9"/>
      <c r="SAO49" s="9"/>
      <c r="SAP49" s="9"/>
      <c r="SAQ49" s="9"/>
      <c r="SAR49" s="9"/>
      <c r="SAS49" s="9"/>
      <c r="SAT49" s="9"/>
      <c r="SAU49" s="9"/>
      <c r="SAV49" s="9"/>
      <c r="SAW49" s="9"/>
      <c r="SAX49" s="9"/>
      <c r="SAY49" s="9"/>
      <c r="SAZ49" s="9"/>
      <c r="SBA49" s="9"/>
      <c r="SBB49" s="9"/>
      <c r="SBC49" s="9"/>
      <c r="SBD49" s="9"/>
      <c r="SBE49" s="9"/>
      <c r="SBF49" s="9"/>
      <c r="SBG49" s="9"/>
      <c r="SBH49" s="9"/>
      <c r="SBI49" s="9"/>
      <c r="SBJ49" s="9"/>
      <c r="SBK49" s="9"/>
      <c r="SBL49" s="9"/>
      <c r="SBM49" s="9"/>
      <c r="SBN49" s="9"/>
      <c r="SBO49" s="9"/>
      <c r="SBP49" s="9"/>
      <c r="SBQ49" s="9"/>
      <c r="SBR49" s="9"/>
      <c r="SBS49" s="9"/>
      <c r="SBT49" s="9"/>
      <c r="SBU49" s="9"/>
      <c r="SBV49" s="9"/>
      <c r="SBW49" s="9"/>
      <c r="SBX49" s="9"/>
      <c r="SBY49" s="9"/>
      <c r="SBZ49" s="9"/>
      <c r="SCA49" s="9"/>
      <c r="SCB49" s="9"/>
      <c r="SCC49" s="9"/>
      <c r="SCD49" s="9"/>
      <c r="SCE49" s="9"/>
      <c r="SCF49" s="9"/>
      <c r="SCG49" s="9"/>
      <c r="SCH49" s="9"/>
      <c r="SCI49" s="9"/>
      <c r="SCJ49" s="9"/>
      <c r="SCK49" s="9"/>
      <c r="SCL49" s="9"/>
      <c r="SCM49" s="9"/>
      <c r="SCN49" s="9"/>
      <c r="SCO49" s="9"/>
      <c r="SCP49" s="9"/>
      <c r="SCQ49" s="9"/>
      <c r="SCR49" s="9"/>
      <c r="SCS49" s="9"/>
      <c r="SCT49" s="9"/>
      <c r="SCU49" s="9"/>
      <c r="SCV49" s="9"/>
      <c r="SCW49" s="9"/>
      <c r="SCX49" s="9"/>
      <c r="SCY49" s="9"/>
      <c r="SCZ49" s="9"/>
      <c r="SDA49" s="9"/>
      <c r="SDB49" s="9"/>
      <c r="SDC49" s="9"/>
      <c r="SDD49" s="9"/>
      <c r="SDE49" s="9"/>
      <c r="SDF49" s="9"/>
      <c r="SDG49" s="9"/>
      <c r="SDH49" s="9"/>
      <c r="SDI49" s="9"/>
      <c r="SDJ49" s="9"/>
      <c r="SDK49" s="9"/>
      <c r="SDL49" s="9"/>
      <c r="SDM49" s="9"/>
      <c r="SDN49" s="9"/>
      <c r="SDO49" s="9"/>
      <c r="SDP49" s="9"/>
      <c r="SDQ49" s="9"/>
      <c r="SDR49" s="9"/>
      <c r="SDS49" s="9"/>
      <c r="SDT49" s="9"/>
      <c r="SDU49" s="9"/>
      <c r="SDV49" s="9"/>
      <c r="SDW49" s="9"/>
      <c r="SDX49" s="9"/>
      <c r="SDY49" s="9"/>
      <c r="SDZ49" s="9"/>
      <c r="SEA49" s="9"/>
      <c r="SEB49" s="9"/>
      <c r="SEC49" s="9"/>
      <c r="SED49" s="9"/>
      <c r="SEE49" s="9"/>
      <c r="SEF49" s="9"/>
      <c r="SEG49" s="9"/>
      <c r="SEH49" s="9"/>
      <c r="SEI49" s="9"/>
      <c r="SEJ49" s="9"/>
      <c r="SEK49" s="9"/>
      <c r="SEL49" s="9"/>
      <c r="SEM49" s="9"/>
      <c r="SEN49" s="9"/>
      <c r="SEO49" s="9"/>
      <c r="SEP49" s="9"/>
      <c r="SEQ49" s="9"/>
      <c r="SER49" s="9"/>
      <c r="SES49" s="9"/>
      <c r="SET49" s="9"/>
      <c r="SEU49" s="9"/>
      <c r="SEV49" s="9"/>
      <c r="SEW49" s="9"/>
      <c r="SEX49" s="9"/>
      <c r="SEY49" s="9"/>
      <c r="SEZ49" s="9"/>
      <c r="SFA49" s="9"/>
      <c r="SFB49" s="9"/>
      <c r="SFC49" s="9"/>
      <c r="SFD49" s="9"/>
      <c r="SFE49" s="9"/>
      <c r="SFF49" s="9"/>
      <c r="SFG49" s="9"/>
      <c r="SFH49" s="9"/>
      <c r="SFI49" s="9"/>
      <c r="SFJ49" s="9"/>
      <c r="SFK49" s="9"/>
      <c r="SFL49" s="9"/>
      <c r="SFM49" s="9"/>
      <c r="SFN49" s="9"/>
      <c r="SFO49" s="9"/>
      <c r="SFP49" s="9"/>
      <c r="SFQ49" s="9"/>
      <c r="SFR49" s="9"/>
      <c r="SFS49" s="9"/>
      <c r="SFT49" s="9"/>
      <c r="SFU49" s="9"/>
      <c r="SFV49" s="9"/>
      <c r="SFW49" s="9"/>
      <c r="SFX49" s="9"/>
      <c r="SFY49" s="9"/>
      <c r="SFZ49" s="9"/>
      <c r="SGA49" s="9"/>
      <c r="SGB49" s="9"/>
      <c r="SGC49" s="9"/>
      <c r="SGD49" s="9"/>
      <c r="SGE49" s="9"/>
      <c r="SGF49" s="9"/>
      <c r="SGG49" s="9"/>
      <c r="SGH49" s="9"/>
      <c r="SGI49" s="9"/>
      <c r="SGJ49" s="9"/>
      <c r="SGK49" s="9"/>
      <c r="SGL49" s="9"/>
      <c r="SGM49" s="9"/>
      <c r="SGN49" s="9"/>
      <c r="SGO49" s="9"/>
      <c r="SGP49" s="9"/>
      <c r="SGQ49" s="9"/>
      <c r="SGR49" s="9"/>
      <c r="SGS49" s="9"/>
      <c r="SGT49" s="9"/>
      <c r="SGU49" s="9"/>
      <c r="SGV49" s="9"/>
      <c r="SGW49" s="9"/>
      <c r="SGX49" s="9"/>
      <c r="SGY49" s="9"/>
      <c r="SGZ49" s="9"/>
      <c r="SHA49" s="9"/>
      <c r="SHB49" s="9"/>
      <c r="SHC49" s="9"/>
      <c r="SHD49" s="9"/>
      <c r="SHE49" s="9"/>
      <c r="SHF49" s="9"/>
      <c r="SHG49" s="9"/>
      <c r="SHH49" s="9"/>
      <c r="SHI49" s="9"/>
      <c r="SHJ49" s="9"/>
      <c r="SHK49" s="9"/>
      <c r="SHL49" s="9"/>
      <c r="SHM49" s="9"/>
      <c r="SHN49" s="9"/>
      <c r="SHO49" s="9"/>
      <c r="SHP49" s="9"/>
      <c r="SHQ49" s="9"/>
      <c r="SHR49" s="9"/>
      <c r="SHS49" s="9"/>
      <c r="SHT49" s="9"/>
      <c r="SHU49" s="9"/>
      <c r="SHV49" s="9"/>
      <c r="SHW49" s="9"/>
      <c r="SHX49" s="9"/>
      <c r="SHY49" s="9"/>
      <c r="SHZ49" s="9"/>
      <c r="SIA49" s="9"/>
      <c r="SIB49" s="9"/>
      <c r="SIC49" s="9"/>
      <c r="SID49" s="9"/>
      <c r="SIE49" s="9"/>
      <c r="SIF49" s="9"/>
      <c r="SIG49" s="9"/>
      <c r="SIH49" s="9"/>
      <c r="SII49" s="9"/>
      <c r="SIJ49" s="9"/>
      <c r="SIK49" s="9"/>
      <c r="SIL49" s="9"/>
      <c r="SIM49" s="9"/>
      <c r="SIN49" s="9"/>
      <c r="SIO49" s="9"/>
      <c r="SIP49" s="9"/>
      <c r="SIQ49" s="9"/>
      <c r="SIR49" s="9"/>
      <c r="SIS49" s="9"/>
      <c r="SIT49" s="9"/>
      <c r="SIU49" s="9"/>
      <c r="SIV49" s="9"/>
      <c r="SIW49" s="9"/>
      <c r="SIX49" s="9"/>
      <c r="SIY49" s="9"/>
      <c r="SIZ49" s="9"/>
      <c r="SJA49" s="9"/>
      <c r="SJB49" s="9"/>
      <c r="SJC49" s="9"/>
      <c r="SJD49" s="9"/>
      <c r="SJE49" s="9"/>
      <c r="SJF49" s="9"/>
      <c r="SJG49" s="9"/>
      <c r="SJH49" s="9"/>
      <c r="SJI49" s="9"/>
      <c r="SJJ49" s="9"/>
      <c r="SJK49" s="9"/>
      <c r="SJL49" s="9"/>
      <c r="SJM49" s="9"/>
      <c r="SJN49" s="9"/>
      <c r="SJO49" s="9"/>
      <c r="SJP49" s="9"/>
      <c r="SJQ49" s="9"/>
      <c r="SJR49" s="9"/>
      <c r="SJS49" s="9"/>
      <c r="SJT49" s="9"/>
      <c r="SJU49" s="9"/>
      <c r="SJV49" s="9"/>
      <c r="SJW49" s="9"/>
      <c r="SJX49" s="9"/>
      <c r="SJY49" s="9"/>
      <c r="SJZ49" s="9"/>
      <c r="SKA49" s="9"/>
      <c r="SKB49" s="9"/>
      <c r="SKC49" s="9"/>
      <c r="SKD49" s="9"/>
      <c r="SKE49" s="9"/>
      <c r="SKF49" s="9"/>
      <c r="SKG49" s="9"/>
      <c r="SKH49" s="9"/>
      <c r="SKI49" s="9"/>
      <c r="SKJ49" s="9"/>
      <c r="SKK49" s="9"/>
      <c r="SKL49" s="9"/>
      <c r="SKM49" s="9"/>
      <c r="SKN49" s="9"/>
      <c r="SKO49" s="9"/>
      <c r="SKP49" s="9"/>
      <c r="SKQ49" s="9"/>
      <c r="SKR49" s="9"/>
      <c r="SKS49" s="9"/>
      <c r="SKT49" s="9"/>
      <c r="SKU49" s="9"/>
      <c r="SKV49" s="9"/>
      <c r="SKW49" s="9"/>
      <c r="SKX49" s="9"/>
      <c r="SKY49" s="9"/>
      <c r="SKZ49" s="9"/>
      <c r="SLA49" s="9"/>
      <c r="SLB49" s="9"/>
      <c r="SLC49" s="9"/>
      <c r="SLD49" s="9"/>
      <c r="SLE49" s="9"/>
      <c r="SLF49" s="9"/>
      <c r="SLG49" s="9"/>
      <c r="SLH49" s="9"/>
      <c r="SLI49" s="9"/>
      <c r="SLJ49" s="9"/>
      <c r="SLK49" s="9"/>
      <c r="SLL49" s="9"/>
      <c r="SLM49" s="9"/>
      <c r="SLN49" s="9"/>
      <c r="SLO49" s="9"/>
      <c r="SLP49" s="9"/>
      <c r="SLQ49" s="9"/>
      <c r="SLR49" s="9"/>
      <c r="SLS49" s="9"/>
      <c r="SLT49" s="9"/>
      <c r="SLU49" s="9"/>
      <c r="SLV49" s="9"/>
      <c r="SLW49" s="9"/>
      <c r="SLX49" s="9"/>
      <c r="SLY49" s="9"/>
      <c r="SLZ49" s="9"/>
      <c r="SMA49" s="9"/>
      <c r="SMB49" s="9"/>
      <c r="SMC49" s="9"/>
      <c r="SMD49" s="9"/>
      <c r="SME49" s="9"/>
      <c r="SMF49" s="9"/>
      <c r="SMG49" s="9"/>
      <c r="SMH49" s="9"/>
      <c r="SMI49" s="9"/>
      <c r="SMJ49" s="9"/>
      <c r="SMK49" s="9"/>
      <c r="SML49" s="9"/>
      <c r="SMM49" s="9"/>
      <c r="SMN49" s="9"/>
      <c r="SMO49" s="9"/>
      <c r="SMP49" s="9"/>
      <c r="SMQ49" s="9"/>
      <c r="SMR49" s="9"/>
      <c r="SMS49" s="9"/>
      <c r="SMT49" s="9"/>
      <c r="SMU49" s="9"/>
      <c r="SMV49" s="9"/>
      <c r="SMW49" s="9"/>
      <c r="SMX49" s="9"/>
      <c r="SMY49" s="9"/>
      <c r="SMZ49" s="9"/>
      <c r="SNA49" s="9"/>
      <c r="SNB49" s="9"/>
      <c r="SNC49" s="9"/>
      <c r="SND49" s="9"/>
      <c r="SNE49" s="9"/>
      <c r="SNF49" s="9"/>
      <c r="SNG49" s="9"/>
      <c r="SNH49" s="9"/>
      <c r="SNI49" s="9"/>
      <c r="SNJ49" s="9"/>
      <c r="SNK49" s="9"/>
      <c r="SNL49" s="9"/>
      <c r="SNM49" s="9"/>
      <c r="SNN49" s="9"/>
      <c r="SNO49" s="9"/>
      <c r="SNP49" s="9"/>
      <c r="SNQ49" s="9"/>
      <c r="SNR49" s="9"/>
      <c r="SNS49" s="9"/>
      <c r="SNT49" s="9"/>
      <c r="SNU49" s="9"/>
      <c r="SNV49" s="9"/>
      <c r="SNW49" s="9"/>
      <c r="SNX49" s="9"/>
      <c r="SNY49" s="9"/>
      <c r="SNZ49" s="9"/>
      <c r="SOA49" s="9"/>
      <c r="SOB49" s="9"/>
      <c r="SOC49" s="9"/>
      <c r="SOD49" s="9"/>
      <c r="SOE49" s="9"/>
      <c r="SOF49" s="9"/>
      <c r="SOG49" s="9"/>
      <c r="SOH49" s="9"/>
      <c r="SOI49" s="9"/>
      <c r="SOJ49" s="9"/>
      <c r="SOK49" s="9"/>
      <c r="SOL49" s="9"/>
      <c r="SOM49" s="9"/>
      <c r="SON49" s="9"/>
      <c r="SOO49" s="9"/>
      <c r="SOP49" s="9"/>
      <c r="SOQ49" s="9"/>
      <c r="SOR49" s="9"/>
      <c r="SOS49" s="9"/>
      <c r="SOT49" s="9"/>
      <c r="SOU49" s="9"/>
      <c r="SOV49" s="9"/>
      <c r="SOW49" s="9"/>
      <c r="SOX49" s="9"/>
      <c r="SOY49" s="9"/>
      <c r="SOZ49" s="9"/>
      <c r="SPA49" s="9"/>
      <c r="SPB49" s="9"/>
      <c r="SPC49" s="9"/>
      <c r="SPD49" s="9"/>
      <c r="SPE49" s="9"/>
      <c r="SPF49" s="9"/>
      <c r="SPG49" s="9"/>
      <c r="SPH49" s="9"/>
      <c r="SPI49" s="9"/>
      <c r="SPJ49" s="9"/>
      <c r="SPK49" s="9"/>
      <c r="SPL49" s="9"/>
      <c r="SPM49" s="9"/>
      <c r="SPN49" s="9"/>
      <c r="SPO49" s="9"/>
      <c r="SPP49" s="9"/>
      <c r="SPQ49" s="9"/>
      <c r="SPR49" s="9"/>
      <c r="SPS49" s="9"/>
      <c r="SPT49" s="9"/>
      <c r="SPU49" s="9"/>
      <c r="SPV49" s="9"/>
      <c r="SPW49" s="9"/>
      <c r="SPX49" s="9"/>
      <c r="SPY49" s="9"/>
      <c r="SPZ49" s="9"/>
      <c r="SQA49" s="9"/>
      <c r="SQB49" s="9"/>
      <c r="SQC49" s="9"/>
      <c r="SQD49" s="9"/>
      <c r="SQE49" s="9"/>
      <c r="SQF49" s="9"/>
      <c r="SQG49" s="9"/>
      <c r="SQH49" s="9"/>
      <c r="SQI49" s="9"/>
      <c r="SQJ49" s="9"/>
      <c r="SQK49" s="9"/>
      <c r="SQL49" s="9"/>
      <c r="SQM49" s="9"/>
      <c r="SQN49" s="9"/>
      <c r="SQO49" s="9"/>
      <c r="SQP49" s="9"/>
      <c r="SQQ49" s="9"/>
      <c r="SQR49" s="9"/>
      <c r="SQS49" s="9"/>
      <c r="SQT49" s="9"/>
      <c r="SQU49" s="9"/>
      <c r="SQV49" s="9"/>
      <c r="SQW49" s="9"/>
      <c r="SQX49" s="9"/>
      <c r="SQY49" s="9"/>
      <c r="SQZ49" s="9"/>
      <c r="SRA49" s="9"/>
      <c r="SRB49" s="9"/>
      <c r="SRC49" s="9"/>
      <c r="SRD49" s="9"/>
      <c r="SRE49" s="9"/>
      <c r="SRF49" s="9"/>
      <c r="SRG49" s="9"/>
      <c r="SRH49" s="9"/>
      <c r="SRI49" s="9"/>
      <c r="SRJ49" s="9"/>
      <c r="SRK49" s="9"/>
      <c r="SRL49" s="9"/>
      <c r="SRM49" s="9"/>
      <c r="SRN49" s="9"/>
      <c r="SRO49" s="9"/>
      <c r="SRP49" s="9"/>
      <c r="SRQ49" s="9"/>
      <c r="SRR49" s="9"/>
      <c r="SRS49" s="9"/>
      <c r="SRT49" s="9"/>
      <c r="SRU49" s="9"/>
      <c r="SRV49" s="9"/>
      <c r="SRW49" s="9"/>
      <c r="SRX49" s="9"/>
      <c r="SRY49" s="9"/>
      <c r="SRZ49" s="9"/>
      <c r="SSA49" s="9"/>
      <c r="SSB49" s="9"/>
      <c r="SSC49" s="9"/>
      <c r="SSD49" s="9"/>
      <c r="SSE49" s="9"/>
      <c r="SSF49" s="9"/>
      <c r="SSG49" s="9"/>
      <c r="SSH49" s="9"/>
      <c r="SSI49" s="9"/>
      <c r="SSJ49" s="9"/>
      <c r="SSK49" s="9"/>
      <c r="SSL49" s="9"/>
      <c r="SSM49" s="9"/>
      <c r="SSN49" s="9"/>
      <c r="SSO49" s="9"/>
      <c r="SSP49" s="9"/>
      <c r="SSQ49" s="9"/>
      <c r="SSR49" s="9"/>
      <c r="SSS49" s="9"/>
      <c r="SST49" s="9"/>
      <c r="SSU49" s="9"/>
      <c r="SSV49" s="9"/>
      <c r="SSW49" s="9"/>
      <c r="SSX49" s="9"/>
      <c r="SSY49" s="9"/>
      <c r="SSZ49" s="9"/>
      <c r="STA49" s="9"/>
      <c r="STB49" s="9"/>
      <c r="STC49" s="9"/>
      <c r="STD49" s="9"/>
      <c r="STE49" s="9"/>
      <c r="STF49" s="9"/>
      <c r="STG49" s="9"/>
      <c r="STH49" s="9"/>
      <c r="STI49" s="9"/>
      <c r="STJ49" s="9"/>
      <c r="STK49" s="9"/>
      <c r="STL49" s="9"/>
      <c r="STM49" s="9"/>
      <c r="STN49" s="9"/>
      <c r="STO49" s="9"/>
      <c r="STP49" s="9"/>
      <c r="STQ49" s="9"/>
      <c r="STR49" s="9"/>
      <c r="STS49" s="9"/>
      <c r="STT49" s="9"/>
      <c r="STU49" s="9"/>
      <c r="STV49" s="9"/>
      <c r="STW49" s="9"/>
      <c r="STX49" s="9"/>
      <c r="STY49" s="9"/>
      <c r="STZ49" s="9"/>
      <c r="SUA49" s="9"/>
      <c r="SUB49" s="9"/>
      <c r="SUC49" s="9"/>
      <c r="SUD49" s="9"/>
      <c r="SUE49" s="9"/>
      <c r="SUF49" s="9"/>
      <c r="SUG49" s="9"/>
      <c r="SUH49" s="9"/>
      <c r="SUI49" s="9"/>
      <c r="SUJ49" s="9"/>
      <c r="SUK49" s="9"/>
      <c r="SUL49" s="9"/>
      <c r="SUM49" s="9"/>
      <c r="SUN49" s="9"/>
      <c r="SUO49" s="9"/>
      <c r="SUP49" s="9"/>
      <c r="SUQ49" s="9"/>
      <c r="SUR49" s="9"/>
      <c r="SUS49" s="9"/>
      <c r="SUT49" s="9"/>
      <c r="SUU49" s="9"/>
      <c r="SUV49" s="9"/>
      <c r="SUW49" s="9"/>
      <c r="SUX49" s="9"/>
      <c r="SUY49" s="9"/>
      <c r="SUZ49" s="9"/>
      <c r="SVA49" s="9"/>
      <c r="SVB49" s="9"/>
      <c r="SVC49" s="9"/>
      <c r="SVD49" s="9"/>
      <c r="SVE49" s="9"/>
      <c r="SVF49" s="9"/>
      <c r="SVG49" s="9"/>
      <c r="SVH49" s="9"/>
      <c r="SVI49" s="9"/>
      <c r="SVJ49" s="9"/>
      <c r="SVK49" s="9"/>
      <c r="SVL49" s="9"/>
      <c r="SVM49" s="9"/>
      <c r="SVN49" s="9"/>
      <c r="SVO49" s="9"/>
      <c r="SVP49" s="9"/>
      <c r="SVQ49" s="9"/>
      <c r="SVR49" s="9"/>
      <c r="SVS49" s="9"/>
      <c r="SVT49" s="9"/>
      <c r="SVU49" s="9"/>
      <c r="SVV49" s="9"/>
      <c r="SVW49" s="9"/>
      <c r="SVX49" s="9"/>
      <c r="SVY49" s="9"/>
      <c r="SVZ49" s="9"/>
      <c r="SWA49" s="9"/>
      <c r="SWB49" s="9"/>
      <c r="SWC49" s="9"/>
      <c r="SWD49" s="9"/>
      <c r="SWE49" s="9"/>
      <c r="SWF49" s="9"/>
      <c r="SWG49" s="9"/>
      <c r="SWH49" s="9"/>
      <c r="SWI49" s="9"/>
      <c r="SWJ49" s="9"/>
      <c r="SWK49" s="9"/>
      <c r="SWL49" s="9"/>
      <c r="SWM49" s="9"/>
      <c r="SWN49" s="9"/>
      <c r="SWO49" s="9"/>
      <c r="SWP49" s="9"/>
      <c r="SWQ49" s="9"/>
      <c r="SWR49" s="9"/>
      <c r="SWS49" s="9"/>
      <c r="SWT49" s="9"/>
      <c r="SWU49" s="9"/>
      <c r="SWV49" s="9"/>
      <c r="SWW49" s="9"/>
      <c r="SWX49" s="9"/>
      <c r="SWY49" s="9"/>
      <c r="SWZ49" s="9"/>
      <c r="SXA49" s="9"/>
      <c r="SXB49" s="9"/>
      <c r="SXC49" s="9"/>
      <c r="SXD49" s="9"/>
      <c r="SXE49" s="9"/>
      <c r="SXF49" s="9"/>
      <c r="SXG49" s="9"/>
      <c r="SXH49" s="9"/>
      <c r="SXI49" s="9"/>
      <c r="SXJ49" s="9"/>
      <c r="SXK49" s="9"/>
      <c r="SXL49" s="9"/>
      <c r="SXM49" s="9"/>
      <c r="SXN49" s="9"/>
      <c r="SXO49" s="9"/>
      <c r="SXP49" s="9"/>
      <c r="SXQ49" s="9"/>
      <c r="SXR49" s="9"/>
      <c r="SXS49" s="9"/>
      <c r="SXT49" s="9"/>
      <c r="SXU49" s="9"/>
      <c r="SXV49" s="9"/>
      <c r="SXW49" s="9"/>
      <c r="SXX49" s="9"/>
      <c r="SXY49" s="9"/>
      <c r="SXZ49" s="9"/>
      <c r="SYA49" s="9"/>
      <c r="SYB49" s="9"/>
      <c r="SYC49" s="9"/>
      <c r="SYD49" s="9"/>
      <c r="SYE49" s="9"/>
      <c r="SYF49" s="9"/>
      <c r="SYG49" s="9"/>
      <c r="SYH49" s="9"/>
      <c r="SYI49" s="9"/>
      <c r="SYJ49" s="9"/>
      <c r="SYK49" s="9"/>
      <c r="SYL49" s="9"/>
      <c r="SYM49" s="9"/>
      <c r="SYN49" s="9"/>
      <c r="SYO49" s="9"/>
      <c r="SYP49" s="9"/>
      <c r="SYQ49" s="9"/>
      <c r="SYR49" s="9"/>
      <c r="SYS49" s="9"/>
      <c r="SYT49" s="9"/>
      <c r="SYU49" s="9"/>
      <c r="SYV49" s="9"/>
      <c r="SYW49" s="9"/>
      <c r="SYX49" s="9"/>
      <c r="SYY49" s="9"/>
      <c r="SYZ49" s="9"/>
      <c r="SZA49" s="9"/>
      <c r="SZB49" s="9"/>
      <c r="SZC49" s="9"/>
      <c r="SZD49" s="9"/>
      <c r="SZE49" s="9"/>
      <c r="SZF49" s="9"/>
      <c r="SZG49" s="9"/>
      <c r="SZH49" s="9"/>
      <c r="SZI49" s="9"/>
      <c r="SZJ49" s="9"/>
      <c r="SZK49" s="9"/>
      <c r="SZL49" s="9"/>
      <c r="SZM49" s="9"/>
      <c r="SZN49" s="9"/>
      <c r="SZO49" s="9"/>
      <c r="SZP49" s="9"/>
      <c r="SZQ49" s="9"/>
      <c r="SZR49" s="9"/>
      <c r="SZS49" s="9"/>
      <c r="SZT49" s="9"/>
      <c r="SZU49" s="9"/>
      <c r="SZV49" s="9"/>
      <c r="SZW49" s="9"/>
      <c r="SZX49" s="9"/>
      <c r="SZY49" s="9"/>
      <c r="SZZ49" s="9"/>
      <c r="TAA49" s="9"/>
      <c r="TAB49" s="9"/>
      <c r="TAC49" s="9"/>
      <c r="TAD49" s="9"/>
      <c r="TAE49" s="9"/>
      <c r="TAF49" s="9"/>
      <c r="TAG49" s="9"/>
      <c r="TAH49" s="9"/>
      <c r="TAI49" s="9"/>
      <c r="TAJ49" s="9"/>
      <c r="TAK49" s="9"/>
      <c r="TAL49" s="9"/>
      <c r="TAM49" s="9"/>
      <c r="TAN49" s="9"/>
      <c r="TAO49" s="9"/>
      <c r="TAP49" s="9"/>
      <c r="TAQ49" s="9"/>
      <c r="TAR49" s="9"/>
      <c r="TAS49" s="9"/>
      <c r="TAT49" s="9"/>
      <c r="TAU49" s="9"/>
      <c r="TAV49" s="9"/>
      <c r="TAW49" s="9"/>
      <c r="TAX49" s="9"/>
      <c r="TAY49" s="9"/>
      <c r="TAZ49" s="9"/>
      <c r="TBA49" s="9"/>
      <c r="TBB49" s="9"/>
      <c r="TBC49" s="9"/>
      <c r="TBD49" s="9"/>
      <c r="TBE49" s="9"/>
      <c r="TBF49" s="9"/>
      <c r="TBG49" s="9"/>
      <c r="TBH49" s="9"/>
      <c r="TBI49" s="9"/>
      <c r="TBJ49" s="9"/>
      <c r="TBK49" s="9"/>
      <c r="TBL49" s="9"/>
      <c r="TBM49" s="9"/>
      <c r="TBN49" s="9"/>
      <c r="TBO49" s="9"/>
      <c r="TBP49" s="9"/>
      <c r="TBQ49" s="9"/>
      <c r="TBR49" s="9"/>
      <c r="TBS49" s="9"/>
      <c r="TBT49" s="9"/>
      <c r="TBU49" s="9"/>
      <c r="TBV49" s="9"/>
      <c r="TBW49" s="9"/>
      <c r="TBX49" s="9"/>
      <c r="TBY49" s="9"/>
      <c r="TBZ49" s="9"/>
      <c r="TCA49" s="9"/>
      <c r="TCB49" s="9"/>
      <c r="TCC49" s="9"/>
      <c r="TCD49" s="9"/>
      <c r="TCE49" s="9"/>
      <c r="TCF49" s="9"/>
      <c r="TCG49" s="9"/>
      <c r="TCH49" s="9"/>
      <c r="TCI49" s="9"/>
      <c r="TCJ49" s="9"/>
      <c r="TCK49" s="9"/>
      <c r="TCL49" s="9"/>
      <c r="TCM49" s="9"/>
      <c r="TCN49" s="9"/>
      <c r="TCO49" s="9"/>
      <c r="TCP49" s="9"/>
      <c r="TCQ49" s="9"/>
      <c r="TCR49" s="9"/>
      <c r="TCS49" s="9"/>
      <c r="TCT49" s="9"/>
      <c r="TCU49" s="9"/>
      <c r="TCV49" s="9"/>
      <c r="TCW49" s="9"/>
      <c r="TCX49" s="9"/>
      <c r="TCY49" s="9"/>
      <c r="TCZ49" s="9"/>
      <c r="TDA49" s="9"/>
      <c r="TDB49" s="9"/>
      <c r="TDC49" s="9"/>
      <c r="TDD49" s="9"/>
      <c r="TDE49" s="9"/>
      <c r="TDF49" s="9"/>
      <c r="TDG49" s="9"/>
      <c r="TDH49" s="9"/>
      <c r="TDI49" s="9"/>
      <c r="TDJ49" s="9"/>
      <c r="TDK49" s="9"/>
      <c r="TDL49" s="9"/>
      <c r="TDM49" s="9"/>
      <c r="TDN49" s="9"/>
      <c r="TDO49" s="9"/>
      <c r="TDP49" s="9"/>
      <c r="TDQ49" s="9"/>
      <c r="TDR49" s="9"/>
      <c r="TDS49" s="9"/>
      <c r="TDT49" s="9"/>
      <c r="TDU49" s="9"/>
      <c r="TDV49" s="9"/>
      <c r="TDW49" s="9"/>
      <c r="TDX49" s="9"/>
      <c r="TDY49" s="9"/>
      <c r="TDZ49" s="9"/>
      <c r="TEA49" s="9"/>
      <c r="TEB49" s="9"/>
      <c r="TEC49" s="9"/>
      <c r="TED49" s="9"/>
      <c r="TEE49" s="9"/>
      <c r="TEF49" s="9"/>
      <c r="TEG49" s="9"/>
      <c r="TEH49" s="9"/>
      <c r="TEI49" s="9"/>
      <c r="TEJ49" s="9"/>
      <c r="TEK49" s="9"/>
      <c r="TEL49" s="9"/>
      <c r="TEM49" s="9"/>
      <c r="TEN49" s="9"/>
      <c r="TEO49" s="9"/>
      <c r="TEP49" s="9"/>
      <c r="TEQ49" s="9"/>
      <c r="TER49" s="9"/>
      <c r="TES49" s="9"/>
      <c r="TET49" s="9"/>
      <c r="TEU49" s="9"/>
      <c r="TEV49" s="9"/>
      <c r="TEW49" s="9"/>
      <c r="TEX49" s="9"/>
      <c r="TEY49" s="9"/>
      <c r="TEZ49" s="9"/>
      <c r="TFA49" s="9"/>
      <c r="TFB49" s="9"/>
      <c r="TFC49" s="9"/>
      <c r="TFD49" s="9"/>
      <c r="TFE49" s="9"/>
      <c r="TFF49" s="9"/>
      <c r="TFG49" s="9"/>
      <c r="TFH49" s="9"/>
      <c r="TFI49" s="9"/>
      <c r="TFJ49" s="9"/>
      <c r="TFK49" s="9"/>
      <c r="TFL49" s="9"/>
      <c r="TFM49" s="9"/>
      <c r="TFN49" s="9"/>
      <c r="TFO49" s="9"/>
      <c r="TFP49" s="9"/>
      <c r="TFQ49" s="9"/>
      <c r="TFR49" s="9"/>
      <c r="TFS49" s="9"/>
      <c r="TFT49" s="9"/>
      <c r="TFU49" s="9"/>
      <c r="TFV49" s="9"/>
      <c r="TFW49" s="9"/>
      <c r="TFX49" s="9"/>
      <c r="TFY49" s="9"/>
      <c r="TFZ49" s="9"/>
      <c r="TGA49" s="9"/>
      <c r="TGB49" s="9"/>
      <c r="TGC49" s="9"/>
      <c r="TGD49" s="9"/>
      <c r="TGE49" s="9"/>
      <c r="TGF49" s="9"/>
      <c r="TGG49" s="9"/>
      <c r="TGH49" s="9"/>
      <c r="TGI49" s="9"/>
      <c r="TGJ49" s="9"/>
      <c r="TGK49" s="9"/>
      <c r="TGL49" s="9"/>
      <c r="TGM49" s="9"/>
      <c r="TGN49" s="9"/>
      <c r="TGO49" s="9"/>
      <c r="TGP49" s="9"/>
      <c r="TGQ49" s="9"/>
      <c r="TGR49" s="9"/>
      <c r="TGS49" s="9"/>
      <c r="TGT49" s="9"/>
      <c r="TGU49" s="9"/>
      <c r="TGV49" s="9"/>
      <c r="TGW49" s="9"/>
      <c r="TGX49" s="9"/>
      <c r="TGY49" s="9"/>
      <c r="TGZ49" s="9"/>
      <c r="THA49" s="9"/>
      <c r="THB49" s="9"/>
      <c r="THC49" s="9"/>
      <c r="THD49" s="9"/>
      <c r="THE49" s="9"/>
      <c r="THF49" s="9"/>
      <c r="THG49" s="9"/>
      <c r="THH49" s="9"/>
      <c r="THI49" s="9"/>
      <c r="THJ49" s="9"/>
      <c r="THK49" s="9"/>
      <c r="THL49" s="9"/>
      <c r="THM49" s="9"/>
      <c r="THN49" s="9"/>
      <c r="THO49" s="9"/>
      <c r="THP49" s="9"/>
      <c r="THQ49" s="9"/>
      <c r="THR49" s="9"/>
      <c r="THS49" s="9"/>
      <c r="THT49" s="9"/>
      <c r="THU49" s="9"/>
      <c r="THV49" s="9"/>
      <c r="THW49" s="9"/>
      <c r="THX49" s="9"/>
      <c r="THY49" s="9"/>
      <c r="THZ49" s="9"/>
      <c r="TIA49" s="9"/>
      <c r="TIB49" s="9"/>
      <c r="TIC49" s="9"/>
      <c r="TID49" s="9"/>
      <c r="TIE49" s="9"/>
      <c r="TIF49" s="9"/>
      <c r="TIG49" s="9"/>
      <c r="TIH49" s="9"/>
      <c r="TII49" s="9"/>
      <c r="TIJ49" s="9"/>
      <c r="TIK49" s="9"/>
      <c r="TIL49" s="9"/>
      <c r="TIM49" s="9"/>
      <c r="TIN49" s="9"/>
      <c r="TIO49" s="9"/>
      <c r="TIP49" s="9"/>
      <c r="TIQ49" s="9"/>
      <c r="TIR49" s="9"/>
      <c r="TIS49" s="9"/>
      <c r="TIT49" s="9"/>
      <c r="TIU49" s="9"/>
      <c r="TIV49" s="9"/>
      <c r="TIW49" s="9"/>
      <c r="TIX49" s="9"/>
      <c r="TIY49" s="9"/>
      <c r="TIZ49" s="9"/>
      <c r="TJA49" s="9"/>
      <c r="TJB49" s="9"/>
      <c r="TJC49" s="9"/>
      <c r="TJD49" s="9"/>
      <c r="TJE49" s="9"/>
      <c r="TJF49" s="9"/>
      <c r="TJG49" s="9"/>
      <c r="TJH49" s="9"/>
      <c r="TJI49" s="9"/>
      <c r="TJJ49" s="9"/>
      <c r="TJK49" s="9"/>
      <c r="TJL49" s="9"/>
      <c r="TJM49" s="9"/>
      <c r="TJN49" s="9"/>
      <c r="TJO49" s="9"/>
      <c r="TJP49" s="9"/>
      <c r="TJQ49" s="9"/>
      <c r="TJR49" s="9"/>
      <c r="TJS49" s="9"/>
      <c r="TJT49" s="9"/>
      <c r="TJU49" s="9"/>
      <c r="TJV49" s="9"/>
      <c r="TJW49" s="9"/>
      <c r="TJX49" s="9"/>
      <c r="TJY49" s="9"/>
      <c r="TJZ49" s="9"/>
      <c r="TKA49" s="9"/>
      <c r="TKB49" s="9"/>
      <c r="TKC49" s="9"/>
      <c r="TKD49" s="9"/>
      <c r="TKE49" s="9"/>
      <c r="TKF49" s="9"/>
      <c r="TKG49" s="9"/>
      <c r="TKH49" s="9"/>
      <c r="TKI49" s="9"/>
      <c r="TKJ49" s="9"/>
      <c r="TKK49" s="9"/>
      <c r="TKL49" s="9"/>
      <c r="TKM49" s="9"/>
      <c r="TKN49" s="9"/>
      <c r="TKO49" s="9"/>
      <c r="TKP49" s="9"/>
      <c r="TKQ49" s="9"/>
      <c r="TKR49" s="9"/>
      <c r="TKS49" s="9"/>
      <c r="TKT49" s="9"/>
      <c r="TKU49" s="9"/>
      <c r="TKV49" s="9"/>
      <c r="TKW49" s="9"/>
      <c r="TKX49" s="9"/>
      <c r="TKY49" s="9"/>
      <c r="TKZ49" s="9"/>
      <c r="TLA49" s="9"/>
      <c r="TLB49" s="9"/>
      <c r="TLC49" s="9"/>
      <c r="TLD49" s="9"/>
      <c r="TLE49" s="9"/>
      <c r="TLF49" s="9"/>
      <c r="TLG49" s="9"/>
      <c r="TLH49" s="9"/>
      <c r="TLI49" s="9"/>
      <c r="TLJ49" s="9"/>
      <c r="TLK49" s="9"/>
      <c r="TLL49" s="9"/>
      <c r="TLM49" s="9"/>
      <c r="TLN49" s="9"/>
      <c r="TLO49" s="9"/>
      <c r="TLP49" s="9"/>
      <c r="TLQ49" s="9"/>
      <c r="TLR49" s="9"/>
      <c r="TLS49" s="9"/>
      <c r="TLT49" s="9"/>
      <c r="TLU49" s="9"/>
      <c r="TLV49" s="9"/>
      <c r="TLW49" s="9"/>
      <c r="TLX49" s="9"/>
      <c r="TLY49" s="9"/>
      <c r="TLZ49" s="9"/>
      <c r="TMA49" s="9"/>
      <c r="TMB49" s="9"/>
      <c r="TMC49" s="9"/>
      <c r="TMD49" s="9"/>
      <c r="TME49" s="9"/>
      <c r="TMF49" s="9"/>
      <c r="TMG49" s="9"/>
      <c r="TMH49" s="9"/>
      <c r="TMI49" s="9"/>
      <c r="TMJ49" s="9"/>
      <c r="TMK49" s="9"/>
      <c r="TML49" s="9"/>
      <c r="TMM49" s="9"/>
      <c r="TMN49" s="9"/>
      <c r="TMO49" s="9"/>
      <c r="TMP49" s="9"/>
      <c r="TMQ49" s="9"/>
      <c r="TMR49" s="9"/>
      <c r="TMS49" s="9"/>
      <c r="TMT49" s="9"/>
      <c r="TMU49" s="9"/>
      <c r="TMV49" s="9"/>
      <c r="TMW49" s="9"/>
      <c r="TMX49" s="9"/>
      <c r="TMY49" s="9"/>
      <c r="TMZ49" s="9"/>
      <c r="TNA49" s="9"/>
      <c r="TNB49" s="9"/>
      <c r="TNC49" s="9"/>
      <c r="TND49" s="9"/>
      <c r="TNE49" s="9"/>
      <c r="TNF49" s="9"/>
      <c r="TNG49" s="9"/>
      <c r="TNH49" s="9"/>
      <c r="TNI49" s="9"/>
      <c r="TNJ49" s="9"/>
      <c r="TNK49" s="9"/>
      <c r="TNL49" s="9"/>
      <c r="TNM49" s="9"/>
      <c r="TNN49" s="9"/>
      <c r="TNO49" s="9"/>
      <c r="TNP49" s="9"/>
      <c r="TNQ49" s="9"/>
      <c r="TNR49" s="9"/>
      <c r="TNS49" s="9"/>
      <c r="TNT49" s="9"/>
      <c r="TNU49" s="9"/>
      <c r="TNV49" s="9"/>
      <c r="TNW49" s="9"/>
      <c r="TNX49" s="9"/>
      <c r="TNY49" s="9"/>
      <c r="TNZ49" s="9"/>
      <c r="TOA49" s="9"/>
      <c r="TOB49" s="9"/>
      <c r="TOC49" s="9"/>
      <c r="TOD49" s="9"/>
      <c r="TOE49" s="9"/>
      <c r="TOF49" s="9"/>
      <c r="TOG49" s="9"/>
      <c r="TOH49" s="9"/>
      <c r="TOI49" s="9"/>
      <c r="TOJ49" s="9"/>
      <c r="TOK49" s="9"/>
      <c r="TOL49" s="9"/>
      <c r="TOM49" s="9"/>
      <c r="TON49" s="9"/>
      <c r="TOO49" s="9"/>
      <c r="TOP49" s="9"/>
      <c r="TOQ49" s="9"/>
      <c r="TOR49" s="9"/>
      <c r="TOS49" s="9"/>
      <c r="TOT49" s="9"/>
      <c r="TOU49" s="9"/>
      <c r="TOV49" s="9"/>
      <c r="TOW49" s="9"/>
      <c r="TOX49" s="9"/>
      <c r="TOY49" s="9"/>
      <c r="TOZ49" s="9"/>
      <c r="TPA49" s="9"/>
      <c r="TPB49" s="9"/>
      <c r="TPC49" s="9"/>
      <c r="TPD49" s="9"/>
      <c r="TPE49" s="9"/>
      <c r="TPF49" s="9"/>
      <c r="TPG49" s="9"/>
      <c r="TPH49" s="9"/>
      <c r="TPI49" s="9"/>
      <c r="TPJ49" s="9"/>
      <c r="TPK49" s="9"/>
      <c r="TPL49" s="9"/>
      <c r="TPM49" s="9"/>
      <c r="TPN49" s="9"/>
      <c r="TPO49" s="9"/>
      <c r="TPP49" s="9"/>
      <c r="TPQ49" s="9"/>
      <c r="TPR49" s="9"/>
      <c r="TPS49" s="9"/>
      <c r="TPT49" s="9"/>
      <c r="TPU49" s="9"/>
      <c r="TPV49" s="9"/>
      <c r="TPW49" s="9"/>
      <c r="TPX49" s="9"/>
      <c r="TPY49" s="9"/>
      <c r="TPZ49" s="9"/>
      <c r="TQA49" s="9"/>
      <c r="TQB49" s="9"/>
      <c r="TQC49" s="9"/>
      <c r="TQD49" s="9"/>
      <c r="TQE49" s="9"/>
      <c r="TQF49" s="9"/>
      <c r="TQG49" s="9"/>
      <c r="TQH49" s="9"/>
      <c r="TQI49" s="9"/>
      <c r="TQJ49" s="9"/>
      <c r="TQK49" s="9"/>
      <c r="TQL49" s="9"/>
      <c r="TQM49" s="9"/>
      <c r="TQN49" s="9"/>
      <c r="TQO49" s="9"/>
      <c r="TQP49" s="9"/>
      <c r="TQQ49" s="9"/>
      <c r="TQR49" s="9"/>
      <c r="TQS49" s="9"/>
      <c r="TQT49" s="9"/>
      <c r="TQU49" s="9"/>
      <c r="TQV49" s="9"/>
      <c r="TQW49" s="9"/>
      <c r="TQX49" s="9"/>
      <c r="TQY49" s="9"/>
      <c r="TQZ49" s="9"/>
      <c r="TRA49" s="9"/>
      <c r="TRB49" s="9"/>
      <c r="TRC49" s="9"/>
      <c r="TRD49" s="9"/>
      <c r="TRE49" s="9"/>
      <c r="TRF49" s="9"/>
      <c r="TRG49" s="9"/>
      <c r="TRH49" s="9"/>
      <c r="TRI49" s="9"/>
      <c r="TRJ49" s="9"/>
      <c r="TRK49" s="9"/>
      <c r="TRL49" s="9"/>
      <c r="TRM49" s="9"/>
      <c r="TRN49" s="9"/>
      <c r="TRO49" s="9"/>
      <c r="TRP49" s="9"/>
      <c r="TRQ49" s="9"/>
      <c r="TRR49" s="9"/>
      <c r="TRS49" s="9"/>
      <c r="TRT49" s="9"/>
      <c r="TRU49" s="9"/>
      <c r="TRV49" s="9"/>
      <c r="TRW49" s="9"/>
      <c r="TRX49" s="9"/>
      <c r="TRY49" s="9"/>
      <c r="TRZ49" s="9"/>
      <c r="TSA49" s="9"/>
      <c r="TSB49" s="9"/>
      <c r="TSC49" s="9"/>
      <c r="TSD49" s="9"/>
      <c r="TSE49" s="9"/>
      <c r="TSF49" s="9"/>
      <c r="TSG49" s="9"/>
      <c r="TSH49" s="9"/>
      <c r="TSI49" s="9"/>
      <c r="TSJ49" s="9"/>
      <c r="TSK49" s="9"/>
      <c r="TSL49" s="9"/>
      <c r="TSM49" s="9"/>
      <c r="TSN49" s="9"/>
      <c r="TSO49" s="9"/>
      <c r="TSP49" s="9"/>
      <c r="TSQ49" s="9"/>
      <c r="TSR49" s="9"/>
      <c r="TSS49" s="9"/>
      <c r="TST49" s="9"/>
      <c r="TSU49" s="9"/>
      <c r="TSV49" s="9"/>
      <c r="TSW49" s="9"/>
      <c r="TSX49" s="9"/>
      <c r="TSY49" s="9"/>
      <c r="TSZ49" s="9"/>
      <c r="TTA49" s="9"/>
      <c r="TTB49" s="9"/>
      <c r="TTC49" s="9"/>
      <c r="TTD49" s="9"/>
      <c r="TTE49" s="9"/>
      <c r="TTF49" s="9"/>
      <c r="TTG49" s="9"/>
      <c r="TTH49" s="9"/>
      <c r="TTI49" s="9"/>
      <c r="TTJ49" s="9"/>
      <c r="TTK49" s="9"/>
      <c r="TTL49" s="9"/>
      <c r="TTM49" s="9"/>
      <c r="TTN49" s="9"/>
      <c r="TTO49" s="9"/>
      <c r="TTP49" s="9"/>
      <c r="TTQ49" s="9"/>
      <c r="TTR49" s="9"/>
      <c r="TTS49" s="9"/>
      <c r="TTT49" s="9"/>
      <c r="TTU49" s="9"/>
      <c r="TTV49" s="9"/>
      <c r="TTW49" s="9"/>
      <c r="TTX49" s="9"/>
      <c r="TTY49" s="9"/>
      <c r="TTZ49" s="9"/>
      <c r="TUA49" s="9"/>
      <c r="TUB49" s="9"/>
      <c r="TUC49" s="9"/>
      <c r="TUD49" s="9"/>
      <c r="TUE49" s="9"/>
      <c r="TUF49" s="9"/>
      <c r="TUG49" s="9"/>
      <c r="TUH49" s="9"/>
      <c r="TUI49" s="9"/>
      <c r="TUJ49" s="9"/>
      <c r="TUK49" s="9"/>
      <c r="TUL49" s="9"/>
      <c r="TUM49" s="9"/>
      <c r="TUN49" s="9"/>
      <c r="TUO49" s="9"/>
      <c r="TUP49" s="9"/>
      <c r="TUQ49" s="9"/>
      <c r="TUR49" s="9"/>
      <c r="TUS49" s="9"/>
      <c r="TUT49" s="9"/>
      <c r="TUU49" s="9"/>
      <c r="TUV49" s="9"/>
      <c r="TUW49" s="9"/>
      <c r="TUX49" s="9"/>
      <c r="TUY49" s="9"/>
      <c r="TUZ49" s="9"/>
      <c r="TVA49" s="9"/>
      <c r="TVB49" s="9"/>
      <c r="TVC49" s="9"/>
      <c r="TVD49" s="9"/>
      <c r="TVE49" s="9"/>
      <c r="TVF49" s="9"/>
      <c r="TVG49" s="9"/>
      <c r="TVH49" s="9"/>
      <c r="TVI49" s="9"/>
      <c r="TVJ49" s="9"/>
      <c r="TVK49" s="9"/>
      <c r="TVL49" s="9"/>
      <c r="TVM49" s="9"/>
      <c r="TVN49" s="9"/>
      <c r="TVO49" s="9"/>
      <c r="TVP49" s="9"/>
      <c r="TVQ49" s="9"/>
      <c r="TVR49" s="9"/>
      <c r="TVS49" s="9"/>
      <c r="TVT49" s="9"/>
      <c r="TVU49" s="9"/>
      <c r="TVV49" s="9"/>
      <c r="TVW49" s="9"/>
      <c r="TVX49" s="9"/>
      <c r="TVY49" s="9"/>
      <c r="TVZ49" s="9"/>
      <c r="TWA49" s="9"/>
      <c r="TWB49" s="9"/>
      <c r="TWC49" s="9"/>
      <c r="TWD49" s="9"/>
      <c r="TWE49" s="9"/>
      <c r="TWF49" s="9"/>
      <c r="TWG49" s="9"/>
      <c r="TWH49" s="9"/>
      <c r="TWI49" s="9"/>
      <c r="TWJ49" s="9"/>
      <c r="TWK49" s="9"/>
      <c r="TWL49" s="9"/>
      <c r="TWM49" s="9"/>
      <c r="TWN49" s="9"/>
      <c r="TWO49" s="9"/>
      <c r="TWP49" s="9"/>
      <c r="TWQ49" s="9"/>
      <c r="TWR49" s="9"/>
      <c r="TWS49" s="9"/>
      <c r="TWT49" s="9"/>
      <c r="TWU49" s="9"/>
      <c r="TWV49" s="9"/>
      <c r="TWW49" s="9"/>
      <c r="TWX49" s="9"/>
      <c r="TWY49" s="9"/>
      <c r="TWZ49" s="9"/>
      <c r="TXA49" s="9"/>
      <c r="TXB49" s="9"/>
      <c r="TXC49" s="9"/>
      <c r="TXD49" s="9"/>
      <c r="TXE49" s="9"/>
      <c r="TXF49" s="9"/>
      <c r="TXG49" s="9"/>
      <c r="TXH49" s="9"/>
      <c r="TXI49" s="9"/>
      <c r="TXJ49" s="9"/>
      <c r="TXK49" s="9"/>
      <c r="TXL49" s="9"/>
      <c r="TXM49" s="9"/>
      <c r="TXN49" s="9"/>
      <c r="TXO49" s="9"/>
      <c r="TXP49" s="9"/>
      <c r="TXQ49" s="9"/>
      <c r="TXR49" s="9"/>
      <c r="TXS49" s="9"/>
      <c r="TXT49" s="9"/>
      <c r="TXU49" s="9"/>
      <c r="TXV49" s="9"/>
      <c r="TXW49" s="9"/>
      <c r="TXX49" s="9"/>
      <c r="TXY49" s="9"/>
      <c r="TXZ49" s="9"/>
      <c r="TYA49" s="9"/>
      <c r="TYB49" s="9"/>
      <c r="TYC49" s="9"/>
      <c r="TYD49" s="9"/>
      <c r="TYE49" s="9"/>
      <c r="TYF49" s="9"/>
      <c r="TYG49" s="9"/>
      <c r="TYH49" s="9"/>
      <c r="TYI49" s="9"/>
      <c r="TYJ49" s="9"/>
      <c r="TYK49" s="9"/>
      <c r="TYL49" s="9"/>
      <c r="TYM49" s="9"/>
      <c r="TYN49" s="9"/>
      <c r="TYO49" s="9"/>
      <c r="TYP49" s="9"/>
      <c r="TYQ49" s="9"/>
      <c r="TYR49" s="9"/>
      <c r="TYS49" s="9"/>
      <c r="TYT49" s="9"/>
      <c r="TYU49" s="9"/>
      <c r="TYV49" s="9"/>
      <c r="TYW49" s="9"/>
      <c r="TYX49" s="9"/>
      <c r="TYY49" s="9"/>
      <c r="TYZ49" s="9"/>
      <c r="TZA49" s="9"/>
      <c r="TZB49" s="9"/>
      <c r="TZC49" s="9"/>
      <c r="TZD49" s="9"/>
      <c r="TZE49" s="9"/>
      <c r="TZF49" s="9"/>
      <c r="TZG49" s="9"/>
      <c r="TZH49" s="9"/>
      <c r="TZI49" s="9"/>
      <c r="TZJ49" s="9"/>
      <c r="TZK49" s="9"/>
      <c r="TZL49" s="9"/>
      <c r="TZM49" s="9"/>
      <c r="TZN49" s="9"/>
      <c r="TZO49" s="9"/>
      <c r="TZP49" s="9"/>
      <c r="TZQ49" s="9"/>
      <c r="TZR49" s="9"/>
      <c r="TZS49" s="9"/>
      <c r="TZT49" s="9"/>
      <c r="TZU49" s="9"/>
      <c r="TZV49" s="9"/>
      <c r="TZW49" s="9"/>
      <c r="TZX49" s="9"/>
      <c r="TZY49" s="9"/>
      <c r="TZZ49" s="9"/>
      <c r="UAA49" s="9"/>
      <c r="UAB49" s="9"/>
      <c r="UAC49" s="9"/>
      <c r="UAD49" s="9"/>
      <c r="UAE49" s="9"/>
      <c r="UAF49" s="9"/>
      <c r="UAG49" s="9"/>
      <c r="UAH49" s="9"/>
      <c r="UAI49" s="9"/>
      <c r="UAJ49" s="9"/>
      <c r="UAK49" s="9"/>
      <c r="UAL49" s="9"/>
      <c r="UAM49" s="9"/>
      <c r="UAN49" s="9"/>
      <c r="UAO49" s="9"/>
      <c r="UAP49" s="9"/>
      <c r="UAQ49" s="9"/>
      <c r="UAR49" s="9"/>
      <c r="UAS49" s="9"/>
      <c r="UAT49" s="9"/>
      <c r="UAU49" s="9"/>
      <c r="UAV49" s="9"/>
      <c r="UAW49" s="9"/>
      <c r="UAX49" s="9"/>
      <c r="UAY49" s="9"/>
      <c r="UAZ49" s="9"/>
      <c r="UBA49" s="9"/>
      <c r="UBB49" s="9"/>
      <c r="UBC49" s="9"/>
      <c r="UBD49" s="9"/>
      <c r="UBE49" s="9"/>
      <c r="UBF49" s="9"/>
      <c r="UBG49" s="9"/>
      <c r="UBH49" s="9"/>
      <c r="UBI49" s="9"/>
      <c r="UBJ49" s="9"/>
      <c r="UBK49" s="9"/>
      <c r="UBL49" s="9"/>
      <c r="UBM49" s="9"/>
      <c r="UBN49" s="9"/>
      <c r="UBO49" s="9"/>
      <c r="UBP49" s="9"/>
      <c r="UBQ49" s="9"/>
      <c r="UBR49" s="9"/>
      <c r="UBS49" s="9"/>
      <c r="UBT49" s="9"/>
      <c r="UBU49" s="9"/>
      <c r="UBV49" s="9"/>
      <c r="UBW49" s="9"/>
      <c r="UBX49" s="9"/>
      <c r="UBY49" s="9"/>
      <c r="UBZ49" s="9"/>
      <c r="UCA49" s="9"/>
      <c r="UCB49" s="9"/>
      <c r="UCC49" s="9"/>
      <c r="UCD49" s="9"/>
      <c r="UCE49" s="9"/>
      <c r="UCF49" s="9"/>
      <c r="UCG49" s="9"/>
      <c r="UCH49" s="9"/>
      <c r="UCI49" s="9"/>
      <c r="UCJ49" s="9"/>
      <c r="UCK49" s="9"/>
      <c r="UCL49" s="9"/>
      <c r="UCM49" s="9"/>
      <c r="UCN49" s="9"/>
      <c r="UCO49" s="9"/>
      <c r="UCP49" s="9"/>
      <c r="UCQ49" s="9"/>
      <c r="UCR49" s="9"/>
      <c r="UCS49" s="9"/>
      <c r="UCT49" s="9"/>
      <c r="UCU49" s="9"/>
      <c r="UCV49" s="9"/>
      <c r="UCW49" s="9"/>
      <c r="UCX49" s="9"/>
      <c r="UCY49" s="9"/>
      <c r="UCZ49" s="9"/>
      <c r="UDA49" s="9"/>
      <c r="UDB49" s="9"/>
      <c r="UDC49" s="9"/>
      <c r="UDD49" s="9"/>
      <c r="UDE49" s="9"/>
      <c r="UDF49" s="9"/>
      <c r="UDG49" s="9"/>
      <c r="UDH49" s="9"/>
      <c r="UDI49" s="9"/>
      <c r="UDJ49" s="9"/>
      <c r="UDK49" s="9"/>
      <c r="UDL49" s="9"/>
      <c r="UDM49" s="9"/>
      <c r="UDN49" s="9"/>
      <c r="UDO49" s="9"/>
      <c r="UDP49" s="9"/>
      <c r="UDQ49" s="9"/>
      <c r="UDR49" s="9"/>
      <c r="UDS49" s="9"/>
      <c r="UDT49" s="9"/>
      <c r="UDU49" s="9"/>
      <c r="UDV49" s="9"/>
      <c r="UDW49" s="9"/>
      <c r="UDX49" s="9"/>
      <c r="UDY49" s="9"/>
      <c r="UDZ49" s="9"/>
      <c r="UEA49" s="9"/>
      <c r="UEB49" s="9"/>
      <c r="UEC49" s="9"/>
      <c r="UED49" s="9"/>
      <c r="UEE49" s="9"/>
      <c r="UEF49" s="9"/>
      <c r="UEG49" s="9"/>
      <c r="UEH49" s="9"/>
      <c r="UEI49" s="9"/>
      <c r="UEJ49" s="9"/>
      <c r="UEK49" s="9"/>
      <c r="UEL49" s="9"/>
      <c r="UEM49" s="9"/>
      <c r="UEN49" s="9"/>
      <c r="UEO49" s="9"/>
      <c r="UEP49" s="9"/>
      <c r="UEQ49" s="9"/>
      <c r="UER49" s="9"/>
      <c r="UES49" s="9"/>
      <c r="UET49" s="9"/>
      <c r="UEU49" s="9"/>
      <c r="UEV49" s="9"/>
      <c r="UEW49" s="9"/>
      <c r="UEX49" s="9"/>
      <c r="UEY49" s="9"/>
      <c r="UEZ49" s="9"/>
      <c r="UFA49" s="9"/>
      <c r="UFB49" s="9"/>
      <c r="UFC49" s="9"/>
      <c r="UFD49" s="9"/>
      <c r="UFE49" s="9"/>
      <c r="UFF49" s="9"/>
      <c r="UFG49" s="9"/>
      <c r="UFH49" s="9"/>
      <c r="UFI49" s="9"/>
      <c r="UFJ49" s="9"/>
      <c r="UFK49" s="9"/>
      <c r="UFL49" s="9"/>
      <c r="UFM49" s="9"/>
      <c r="UFN49" s="9"/>
      <c r="UFO49" s="9"/>
      <c r="UFP49" s="9"/>
      <c r="UFQ49" s="9"/>
      <c r="UFR49" s="9"/>
      <c r="UFS49" s="9"/>
      <c r="UFT49" s="9"/>
      <c r="UFU49" s="9"/>
      <c r="UFV49" s="9"/>
      <c r="UFW49" s="9"/>
      <c r="UFX49" s="9"/>
      <c r="UFY49" s="9"/>
      <c r="UFZ49" s="9"/>
      <c r="UGA49" s="9"/>
      <c r="UGB49" s="9"/>
      <c r="UGC49" s="9"/>
      <c r="UGD49" s="9"/>
      <c r="UGE49" s="9"/>
      <c r="UGF49" s="9"/>
      <c r="UGG49" s="9"/>
      <c r="UGH49" s="9"/>
      <c r="UGI49" s="9"/>
      <c r="UGJ49" s="9"/>
      <c r="UGK49" s="9"/>
      <c r="UGL49" s="9"/>
      <c r="UGM49" s="9"/>
      <c r="UGN49" s="9"/>
      <c r="UGO49" s="9"/>
      <c r="UGP49" s="9"/>
      <c r="UGQ49" s="9"/>
      <c r="UGR49" s="9"/>
      <c r="UGS49" s="9"/>
      <c r="UGT49" s="9"/>
      <c r="UGU49" s="9"/>
      <c r="UGV49" s="9"/>
      <c r="UGW49" s="9"/>
      <c r="UGX49" s="9"/>
      <c r="UGY49" s="9"/>
      <c r="UGZ49" s="9"/>
      <c r="UHA49" s="9"/>
      <c r="UHB49" s="9"/>
      <c r="UHC49" s="9"/>
      <c r="UHD49" s="9"/>
      <c r="UHE49" s="9"/>
      <c r="UHF49" s="9"/>
      <c r="UHG49" s="9"/>
      <c r="UHH49" s="9"/>
      <c r="UHI49" s="9"/>
      <c r="UHJ49" s="9"/>
      <c r="UHK49" s="9"/>
      <c r="UHL49" s="9"/>
      <c r="UHM49" s="9"/>
      <c r="UHN49" s="9"/>
      <c r="UHO49" s="9"/>
      <c r="UHP49" s="9"/>
      <c r="UHQ49" s="9"/>
      <c r="UHR49" s="9"/>
      <c r="UHS49" s="9"/>
      <c r="UHT49" s="9"/>
      <c r="UHU49" s="9"/>
      <c r="UHV49" s="9"/>
      <c r="UHW49" s="9"/>
      <c r="UHX49" s="9"/>
      <c r="UHY49" s="9"/>
      <c r="UHZ49" s="9"/>
      <c r="UIA49" s="9"/>
      <c r="UIB49" s="9"/>
      <c r="UIC49" s="9"/>
      <c r="UID49" s="9"/>
      <c r="UIE49" s="9"/>
      <c r="UIF49" s="9"/>
      <c r="UIG49" s="9"/>
      <c r="UIH49" s="9"/>
      <c r="UII49" s="9"/>
      <c r="UIJ49" s="9"/>
      <c r="UIK49" s="9"/>
      <c r="UIL49" s="9"/>
      <c r="UIM49" s="9"/>
      <c r="UIN49" s="9"/>
      <c r="UIO49" s="9"/>
      <c r="UIP49" s="9"/>
      <c r="UIQ49" s="9"/>
      <c r="UIR49" s="9"/>
      <c r="UIS49" s="9"/>
      <c r="UIT49" s="9"/>
      <c r="UIU49" s="9"/>
      <c r="UIV49" s="9"/>
      <c r="UIW49" s="9"/>
      <c r="UIX49" s="9"/>
      <c r="UIY49" s="9"/>
      <c r="UIZ49" s="9"/>
      <c r="UJA49" s="9"/>
      <c r="UJB49" s="9"/>
      <c r="UJC49" s="9"/>
      <c r="UJD49" s="9"/>
      <c r="UJE49" s="9"/>
      <c r="UJF49" s="9"/>
      <c r="UJG49" s="9"/>
      <c r="UJH49" s="9"/>
      <c r="UJI49" s="9"/>
      <c r="UJJ49" s="9"/>
      <c r="UJK49" s="9"/>
      <c r="UJL49" s="9"/>
      <c r="UJM49" s="9"/>
      <c r="UJN49" s="9"/>
      <c r="UJO49" s="9"/>
      <c r="UJP49" s="9"/>
      <c r="UJQ49" s="9"/>
      <c r="UJR49" s="9"/>
      <c r="UJS49" s="9"/>
      <c r="UJT49" s="9"/>
      <c r="UJU49" s="9"/>
      <c r="UJV49" s="9"/>
      <c r="UJW49" s="9"/>
      <c r="UJX49" s="9"/>
      <c r="UJY49" s="9"/>
      <c r="UJZ49" s="9"/>
      <c r="UKA49" s="9"/>
      <c r="UKB49" s="9"/>
      <c r="UKC49" s="9"/>
      <c r="UKD49" s="9"/>
      <c r="UKE49" s="9"/>
      <c r="UKF49" s="9"/>
      <c r="UKG49" s="9"/>
      <c r="UKH49" s="9"/>
      <c r="UKI49" s="9"/>
      <c r="UKJ49" s="9"/>
      <c r="UKK49" s="9"/>
      <c r="UKL49" s="9"/>
      <c r="UKM49" s="9"/>
      <c r="UKN49" s="9"/>
      <c r="UKO49" s="9"/>
      <c r="UKP49" s="9"/>
      <c r="UKQ49" s="9"/>
      <c r="UKR49" s="9"/>
      <c r="UKS49" s="9"/>
      <c r="UKT49" s="9"/>
      <c r="UKU49" s="9"/>
      <c r="UKV49" s="9"/>
      <c r="UKW49" s="9"/>
      <c r="UKX49" s="9"/>
      <c r="UKY49" s="9"/>
      <c r="UKZ49" s="9"/>
      <c r="ULA49" s="9"/>
      <c r="ULB49" s="9"/>
      <c r="ULC49" s="9"/>
      <c r="ULD49" s="9"/>
      <c r="ULE49" s="9"/>
      <c r="ULF49" s="9"/>
      <c r="ULG49" s="9"/>
      <c r="ULH49" s="9"/>
      <c r="ULI49" s="9"/>
      <c r="ULJ49" s="9"/>
      <c r="ULK49" s="9"/>
      <c r="ULL49" s="9"/>
      <c r="ULM49" s="9"/>
      <c r="ULN49" s="9"/>
      <c r="ULO49" s="9"/>
      <c r="ULP49" s="9"/>
      <c r="ULQ49" s="9"/>
      <c r="ULR49" s="9"/>
      <c r="ULS49" s="9"/>
      <c r="ULT49" s="9"/>
      <c r="ULU49" s="9"/>
      <c r="ULV49" s="9"/>
      <c r="ULW49" s="9"/>
      <c r="ULX49" s="9"/>
      <c r="ULY49" s="9"/>
      <c r="ULZ49" s="9"/>
      <c r="UMA49" s="9"/>
      <c r="UMB49" s="9"/>
      <c r="UMC49" s="9"/>
      <c r="UMD49" s="9"/>
      <c r="UME49" s="9"/>
      <c r="UMF49" s="9"/>
      <c r="UMG49" s="9"/>
      <c r="UMH49" s="9"/>
      <c r="UMI49" s="9"/>
      <c r="UMJ49" s="9"/>
      <c r="UMK49" s="9"/>
      <c r="UML49" s="9"/>
      <c r="UMM49" s="9"/>
      <c r="UMN49" s="9"/>
      <c r="UMO49" s="9"/>
      <c r="UMP49" s="9"/>
      <c r="UMQ49" s="9"/>
      <c r="UMR49" s="9"/>
      <c r="UMS49" s="9"/>
      <c r="UMT49" s="9"/>
      <c r="UMU49" s="9"/>
      <c r="UMV49" s="9"/>
      <c r="UMW49" s="9"/>
      <c r="UMX49" s="9"/>
      <c r="UMY49" s="9"/>
      <c r="UMZ49" s="9"/>
      <c r="UNA49" s="9"/>
      <c r="UNB49" s="9"/>
      <c r="UNC49" s="9"/>
      <c r="UND49" s="9"/>
      <c r="UNE49" s="9"/>
      <c r="UNF49" s="9"/>
      <c r="UNG49" s="9"/>
      <c r="UNH49" s="9"/>
      <c r="UNI49" s="9"/>
      <c r="UNJ49" s="9"/>
      <c r="UNK49" s="9"/>
      <c r="UNL49" s="9"/>
      <c r="UNM49" s="9"/>
      <c r="UNN49" s="9"/>
      <c r="UNO49" s="9"/>
      <c r="UNP49" s="9"/>
      <c r="UNQ49" s="9"/>
      <c r="UNR49" s="9"/>
      <c r="UNS49" s="9"/>
      <c r="UNT49" s="9"/>
      <c r="UNU49" s="9"/>
      <c r="UNV49" s="9"/>
      <c r="UNW49" s="9"/>
      <c r="UNX49" s="9"/>
      <c r="UNY49" s="9"/>
      <c r="UNZ49" s="9"/>
      <c r="UOA49" s="9"/>
      <c r="UOB49" s="9"/>
      <c r="UOC49" s="9"/>
      <c r="UOD49" s="9"/>
      <c r="UOE49" s="9"/>
      <c r="UOF49" s="9"/>
      <c r="UOG49" s="9"/>
      <c r="UOH49" s="9"/>
      <c r="UOI49" s="9"/>
      <c r="UOJ49" s="9"/>
      <c r="UOK49" s="9"/>
      <c r="UOL49" s="9"/>
      <c r="UOM49" s="9"/>
      <c r="UON49" s="9"/>
      <c r="UOO49" s="9"/>
      <c r="UOP49" s="9"/>
      <c r="UOQ49" s="9"/>
      <c r="UOR49" s="9"/>
      <c r="UOS49" s="9"/>
      <c r="UOT49" s="9"/>
      <c r="UOU49" s="9"/>
      <c r="UOV49" s="9"/>
      <c r="UOW49" s="9"/>
      <c r="UOX49" s="9"/>
      <c r="UOY49" s="9"/>
      <c r="UOZ49" s="9"/>
      <c r="UPA49" s="9"/>
      <c r="UPB49" s="9"/>
      <c r="UPC49" s="9"/>
      <c r="UPD49" s="9"/>
      <c r="UPE49" s="9"/>
      <c r="UPF49" s="9"/>
      <c r="UPG49" s="9"/>
      <c r="UPH49" s="9"/>
      <c r="UPI49" s="9"/>
      <c r="UPJ49" s="9"/>
      <c r="UPK49" s="9"/>
      <c r="UPL49" s="9"/>
      <c r="UPM49" s="9"/>
      <c r="UPN49" s="9"/>
      <c r="UPO49" s="9"/>
      <c r="UPP49" s="9"/>
      <c r="UPQ49" s="9"/>
      <c r="UPR49" s="9"/>
      <c r="UPS49" s="9"/>
      <c r="UPT49" s="9"/>
      <c r="UPU49" s="9"/>
      <c r="UPV49" s="9"/>
      <c r="UPW49" s="9"/>
      <c r="UPX49" s="9"/>
      <c r="UPY49" s="9"/>
      <c r="UPZ49" s="9"/>
      <c r="UQA49" s="9"/>
      <c r="UQB49" s="9"/>
      <c r="UQC49" s="9"/>
      <c r="UQD49" s="9"/>
      <c r="UQE49" s="9"/>
      <c r="UQF49" s="9"/>
      <c r="UQG49" s="9"/>
      <c r="UQH49" s="9"/>
      <c r="UQI49" s="9"/>
      <c r="UQJ49" s="9"/>
      <c r="UQK49" s="9"/>
      <c r="UQL49" s="9"/>
      <c r="UQM49" s="9"/>
      <c r="UQN49" s="9"/>
      <c r="UQO49" s="9"/>
      <c r="UQP49" s="9"/>
      <c r="UQQ49" s="9"/>
      <c r="UQR49" s="9"/>
      <c r="UQS49" s="9"/>
      <c r="UQT49" s="9"/>
      <c r="UQU49" s="9"/>
      <c r="UQV49" s="9"/>
      <c r="UQW49" s="9"/>
      <c r="UQX49" s="9"/>
      <c r="UQY49" s="9"/>
      <c r="UQZ49" s="9"/>
      <c r="URA49" s="9"/>
      <c r="URB49" s="9"/>
      <c r="URC49" s="9"/>
      <c r="URD49" s="9"/>
      <c r="URE49" s="9"/>
      <c r="URF49" s="9"/>
      <c r="URG49" s="9"/>
      <c r="URH49" s="9"/>
      <c r="URI49" s="9"/>
      <c r="URJ49" s="9"/>
      <c r="URK49" s="9"/>
      <c r="URL49" s="9"/>
      <c r="URM49" s="9"/>
      <c r="URN49" s="9"/>
      <c r="URO49" s="9"/>
      <c r="URP49" s="9"/>
      <c r="URQ49" s="9"/>
      <c r="URR49" s="9"/>
      <c r="URS49" s="9"/>
      <c r="URT49" s="9"/>
      <c r="URU49" s="9"/>
      <c r="URV49" s="9"/>
      <c r="URW49" s="9"/>
      <c r="URX49" s="9"/>
      <c r="URY49" s="9"/>
      <c r="URZ49" s="9"/>
      <c r="USA49" s="9"/>
      <c r="USB49" s="9"/>
      <c r="USC49" s="9"/>
      <c r="USD49" s="9"/>
      <c r="USE49" s="9"/>
      <c r="USF49" s="9"/>
      <c r="USG49" s="9"/>
      <c r="USH49" s="9"/>
      <c r="USI49" s="9"/>
      <c r="USJ49" s="9"/>
      <c r="USK49" s="9"/>
      <c r="USL49" s="9"/>
      <c r="USM49" s="9"/>
      <c r="USN49" s="9"/>
      <c r="USO49" s="9"/>
      <c r="USP49" s="9"/>
      <c r="USQ49" s="9"/>
      <c r="USR49" s="9"/>
      <c r="USS49" s="9"/>
      <c r="UST49" s="9"/>
      <c r="USU49" s="9"/>
      <c r="USV49" s="9"/>
      <c r="USW49" s="9"/>
      <c r="USX49" s="9"/>
      <c r="USY49" s="9"/>
      <c r="USZ49" s="9"/>
      <c r="UTA49" s="9"/>
      <c r="UTB49" s="9"/>
      <c r="UTC49" s="9"/>
      <c r="UTD49" s="9"/>
      <c r="UTE49" s="9"/>
      <c r="UTF49" s="9"/>
      <c r="UTG49" s="9"/>
      <c r="UTH49" s="9"/>
      <c r="UTI49" s="9"/>
      <c r="UTJ49" s="9"/>
      <c r="UTK49" s="9"/>
      <c r="UTL49" s="9"/>
      <c r="UTM49" s="9"/>
      <c r="UTN49" s="9"/>
      <c r="UTO49" s="9"/>
      <c r="UTP49" s="9"/>
      <c r="UTQ49" s="9"/>
      <c r="UTR49" s="9"/>
      <c r="UTS49" s="9"/>
      <c r="UTT49" s="9"/>
      <c r="UTU49" s="9"/>
      <c r="UTV49" s="9"/>
      <c r="UTW49" s="9"/>
      <c r="UTX49" s="9"/>
      <c r="UTY49" s="9"/>
      <c r="UTZ49" s="9"/>
      <c r="UUA49" s="9"/>
      <c r="UUB49" s="9"/>
      <c r="UUC49" s="9"/>
      <c r="UUD49" s="9"/>
      <c r="UUE49" s="9"/>
      <c r="UUF49" s="9"/>
      <c r="UUG49" s="9"/>
      <c r="UUH49" s="9"/>
      <c r="UUI49" s="9"/>
      <c r="UUJ49" s="9"/>
      <c r="UUK49" s="9"/>
      <c r="UUL49" s="9"/>
      <c r="UUM49" s="9"/>
      <c r="UUN49" s="9"/>
      <c r="UUO49" s="9"/>
      <c r="UUP49" s="9"/>
      <c r="UUQ49" s="9"/>
      <c r="UUR49" s="9"/>
      <c r="UUS49" s="9"/>
      <c r="UUT49" s="9"/>
      <c r="UUU49" s="9"/>
      <c r="UUV49" s="9"/>
      <c r="UUW49" s="9"/>
      <c r="UUX49" s="9"/>
      <c r="UUY49" s="9"/>
      <c r="UUZ49" s="9"/>
      <c r="UVA49" s="9"/>
      <c r="UVB49" s="9"/>
      <c r="UVC49" s="9"/>
      <c r="UVD49" s="9"/>
      <c r="UVE49" s="9"/>
      <c r="UVF49" s="9"/>
      <c r="UVG49" s="9"/>
      <c r="UVH49" s="9"/>
      <c r="UVI49" s="9"/>
      <c r="UVJ49" s="9"/>
      <c r="UVK49" s="9"/>
      <c r="UVL49" s="9"/>
      <c r="UVM49" s="9"/>
      <c r="UVN49" s="9"/>
      <c r="UVO49" s="9"/>
      <c r="UVP49" s="9"/>
      <c r="UVQ49" s="9"/>
      <c r="UVR49" s="9"/>
      <c r="UVS49" s="9"/>
      <c r="UVT49" s="9"/>
      <c r="UVU49" s="9"/>
      <c r="UVV49" s="9"/>
      <c r="UVW49" s="9"/>
      <c r="UVX49" s="9"/>
      <c r="UVY49" s="9"/>
      <c r="UVZ49" s="9"/>
      <c r="UWA49" s="9"/>
      <c r="UWB49" s="9"/>
      <c r="UWC49" s="9"/>
      <c r="UWD49" s="9"/>
      <c r="UWE49" s="9"/>
      <c r="UWF49" s="9"/>
      <c r="UWG49" s="9"/>
      <c r="UWH49" s="9"/>
      <c r="UWI49" s="9"/>
      <c r="UWJ49" s="9"/>
      <c r="UWK49" s="9"/>
      <c r="UWL49" s="9"/>
      <c r="UWM49" s="9"/>
      <c r="UWN49" s="9"/>
      <c r="UWO49" s="9"/>
      <c r="UWP49" s="9"/>
      <c r="UWQ49" s="9"/>
      <c r="UWR49" s="9"/>
      <c r="UWS49" s="9"/>
      <c r="UWT49" s="9"/>
      <c r="UWU49" s="9"/>
      <c r="UWV49" s="9"/>
      <c r="UWW49" s="9"/>
      <c r="UWX49" s="9"/>
      <c r="UWY49" s="9"/>
      <c r="UWZ49" s="9"/>
      <c r="UXA49" s="9"/>
      <c r="UXB49" s="9"/>
      <c r="UXC49" s="9"/>
      <c r="UXD49" s="9"/>
      <c r="UXE49" s="9"/>
      <c r="UXF49" s="9"/>
      <c r="UXG49" s="9"/>
      <c r="UXH49" s="9"/>
      <c r="UXI49" s="9"/>
      <c r="UXJ49" s="9"/>
      <c r="UXK49" s="9"/>
      <c r="UXL49" s="9"/>
      <c r="UXM49" s="9"/>
      <c r="UXN49" s="9"/>
      <c r="UXO49" s="9"/>
      <c r="UXP49" s="9"/>
      <c r="UXQ49" s="9"/>
      <c r="UXR49" s="9"/>
      <c r="UXS49" s="9"/>
      <c r="UXT49" s="9"/>
      <c r="UXU49" s="9"/>
      <c r="UXV49" s="9"/>
      <c r="UXW49" s="9"/>
      <c r="UXX49" s="9"/>
      <c r="UXY49" s="9"/>
      <c r="UXZ49" s="9"/>
      <c r="UYA49" s="9"/>
      <c r="UYB49" s="9"/>
      <c r="UYC49" s="9"/>
      <c r="UYD49" s="9"/>
      <c r="UYE49" s="9"/>
      <c r="UYF49" s="9"/>
      <c r="UYG49" s="9"/>
      <c r="UYH49" s="9"/>
      <c r="UYI49" s="9"/>
      <c r="UYJ49" s="9"/>
      <c r="UYK49" s="9"/>
      <c r="UYL49" s="9"/>
      <c r="UYM49" s="9"/>
      <c r="UYN49" s="9"/>
      <c r="UYO49" s="9"/>
      <c r="UYP49" s="9"/>
      <c r="UYQ49" s="9"/>
      <c r="UYR49" s="9"/>
      <c r="UYS49" s="9"/>
      <c r="UYT49" s="9"/>
      <c r="UYU49" s="9"/>
      <c r="UYV49" s="9"/>
      <c r="UYW49" s="9"/>
      <c r="UYX49" s="9"/>
      <c r="UYY49" s="9"/>
      <c r="UYZ49" s="9"/>
      <c r="UZA49" s="9"/>
      <c r="UZB49" s="9"/>
      <c r="UZC49" s="9"/>
      <c r="UZD49" s="9"/>
      <c r="UZE49" s="9"/>
      <c r="UZF49" s="9"/>
      <c r="UZG49" s="9"/>
      <c r="UZH49" s="9"/>
      <c r="UZI49" s="9"/>
      <c r="UZJ49" s="9"/>
      <c r="UZK49" s="9"/>
      <c r="UZL49" s="9"/>
      <c r="UZM49" s="9"/>
      <c r="UZN49" s="9"/>
      <c r="UZO49" s="9"/>
      <c r="UZP49" s="9"/>
      <c r="UZQ49" s="9"/>
      <c r="UZR49" s="9"/>
      <c r="UZS49" s="9"/>
      <c r="UZT49" s="9"/>
      <c r="UZU49" s="9"/>
      <c r="UZV49" s="9"/>
      <c r="UZW49" s="9"/>
      <c r="UZX49" s="9"/>
      <c r="UZY49" s="9"/>
      <c r="UZZ49" s="9"/>
      <c r="VAA49" s="9"/>
      <c r="VAB49" s="9"/>
      <c r="VAC49" s="9"/>
      <c r="VAD49" s="9"/>
      <c r="VAE49" s="9"/>
      <c r="VAF49" s="9"/>
      <c r="VAG49" s="9"/>
      <c r="VAH49" s="9"/>
      <c r="VAI49" s="9"/>
      <c r="VAJ49" s="9"/>
      <c r="VAK49" s="9"/>
      <c r="VAL49" s="9"/>
      <c r="VAM49" s="9"/>
      <c r="VAN49" s="9"/>
      <c r="VAO49" s="9"/>
      <c r="VAP49" s="9"/>
      <c r="VAQ49" s="9"/>
      <c r="VAR49" s="9"/>
      <c r="VAS49" s="9"/>
      <c r="VAT49" s="9"/>
      <c r="VAU49" s="9"/>
      <c r="VAV49" s="9"/>
      <c r="VAW49" s="9"/>
      <c r="VAX49" s="9"/>
      <c r="VAY49" s="9"/>
      <c r="VAZ49" s="9"/>
      <c r="VBA49" s="9"/>
      <c r="VBB49" s="9"/>
      <c r="VBC49" s="9"/>
      <c r="VBD49" s="9"/>
      <c r="VBE49" s="9"/>
      <c r="VBF49" s="9"/>
      <c r="VBG49" s="9"/>
      <c r="VBH49" s="9"/>
      <c r="VBI49" s="9"/>
      <c r="VBJ49" s="9"/>
      <c r="VBK49" s="9"/>
      <c r="VBL49" s="9"/>
      <c r="VBM49" s="9"/>
      <c r="VBN49" s="9"/>
      <c r="VBO49" s="9"/>
      <c r="VBP49" s="9"/>
      <c r="VBQ49" s="9"/>
      <c r="VBR49" s="9"/>
      <c r="VBS49" s="9"/>
      <c r="VBT49" s="9"/>
      <c r="VBU49" s="9"/>
      <c r="VBV49" s="9"/>
      <c r="VBW49" s="9"/>
      <c r="VBX49" s="9"/>
      <c r="VBY49" s="9"/>
      <c r="VBZ49" s="9"/>
      <c r="VCA49" s="9"/>
      <c r="VCB49" s="9"/>
      <c r="VCC49" s="9"/>
      <c r="VCD49" s="9"/>
      <c r="VCE49" s="9"/>
      <c r="VCF49" s="9"/>
      <c r="VCG49" s="9"/>
      <c r="VCH49" s="9"/>
      <c r="VCI49" s="9"/>
      <c r="VCJ49" s="9"/>
      <c r="VCK49" s="9"/>
      <c r="VCL49" s="9"/>
      <c r="VCM49" s="9"/>
      <c r="VCN49" s="9"/>
      <c r="VCO49" s="9"/>
      <c r="VCP49" s="9"/>
      <c r="VCQ49" s="9"/>
      <c r="VCR49" s="9"/>
      <c r="VCS49" s="9"/>
      <c r="VCT49" s="9"/>
      <c r="VCU49" s="9"/>
      <c r="VCV49" s="9"/>
      <c r="VCW49" s="9"/>
      <c r="VCX49" s="9"/>
      <c r="VCY49" s="9"/>
      <c r="VCZ49" s="9"/>
      <c r="VDA49" s="9"/>
      <c r="VDB49" s="9"/>
      <c r="VDC49" s="9"/>
      <c r="VDD49" s="9"/>
      <c r="VDE49" s="9"/>
      <c r="VDF49" s="9"/>
      <c r="VDG49" s="9"/>
      <c r="VDH49" s="9"/>
      <c r="VDI49" s="9"/>
      <c r="VDJ49" s="9"/>
      <c r="VDK49" s="9"/>
      <c r="VDL49" s="9"/>
      <c r="VDM49" s="9"/>
      <c r="VDN49" s="9"/>
      <c r="VDO49" s="9"/>
      <c r="VDP49" s="9"/>
      <c r="VDQ49" s="9"/>
      <c r="VDR49" s="9"/>
      <c r="VDS49" s="9"/>
      <c r="VDT49" s="9"/>
      <c r="VDU49" s="9"/>
      <c r="VDV49" s="9"/>
      <c r="VDW49" s="9"/>
      <c r="VDX49" s="9"/>
      <c r="VDY49" s="9"/>
      <c r="VDZ49" s="9"/>
      <c r="VEA49" s="9"/>
      <c r="VEB49" s="9"/>
      <c r="VEC49" s="9"/>
      <c r="VED49" s="9"/>
      <c r="VEE49" s="9"/>
      <c r="VEF49" s="9"/>
      <c r="VEG49" s="9"/>
      <c r="VEH49" s="9"/>
      <c r="VEI49" s="9"/>
      <c r="VEJ49" s="9"/>
      <c r="VEK49" s="9"/>
      <c r="VEL49" s="9"/>
      <c r="VEM49" s="9"/>
      <c r="VEN49" s="9"/>
      <c r="VEO49" s="9"/>
      <c r="VEP49" s="9"/>
      <c r="VEQ49" s="9"/>
      <c r="VER49" s="9"/>
      <c r="VES49" s="9"/>
      <c r="VET49" s="9"/>
      <c r="VEU49" s="9"/>
      <c r="VEV49" s="9"/>
      <c r="VEW49" s="9"/>
      <c r="VEX49" s="9"/>
      <c r="VEY49" s="9"/>
      <c r="VEZ49" s="9"/>
      <c r="VFA49" s="9"/>
      <c r="VFB49" s="9"/>
      <c r="VFC49" s="9"/>
      <c r="VFD49" s="9"/>
      <c r="VFE49" s="9"/>
      <c r="VFF49" s="9"/>
      <c r="VFG49" s="9"/>
      <c r="VFH49" s="9"/>
      <c r="VFI49" s="9"/>
      <c r="VFJ49" s="9"/>
      <c r="VFK49" s="9"/>
      <c r="VFL49" s="9"/>
      <c r="VFM49" s="9"/>
      <c r="VFN49" s="9"/>
      <c r="VFO49" s="9"/>
      <c r="VFP49" s="9"/>
      <c r="VFQ49" s="9"/>
      <c r="VFR49" s="9"/>
      <c r="VFS49" s="9"/>
      <c r="VFT49" s="9"/>
      <c r="VFU49" s="9"/>
      <c r="VFV49" s="9"/>
      <c r="VFW49" s="9"/>
      <c r="VFX49" s="9"/>
      <c r="VFY49" s="9"/>
      <c r="VFZ49" s="9"/>
      <c r="VGA49" s="9"/>
      <c r="VGB49" s="9"/>
      <c r="VGC49" s="9"/>
      <c r="VGD49" s="9"/>
    </row>
    <row r="50" spans="1:15058" s="1" customFormat="1" ht="14.25">
      <c r="B50" s="55"/>
      <c r="C50" s="200" t="s">
        <v>40</v>
      </c>
      <c r="D50" s="265">
        <f>SUM(D52:D53)</f>
        <v>3913129.5</v>
      </c>
      <c r="E50" s="201" t="s">
        <v>9</v>
      </c>
      <c r="F50" s="49">
        <f>SUM(F52:F53)</f>
        <v>0</v>
      </c>
      <c r="G50" s="49">
        <f t="shared" ref="G50:K50" si="27">SUM(G52:G53)</f>
        <v>0</v>
      </c>
      <c r="H50" s="49">
        <f t="shared" si="27"/>
        <v>0</v>
      </c>
      <c r="I50" s="49">
        <f t="shared" si="27"/>
        <v>0</v>
      </c>
      <c r="J50" s="49">
        <f t="shared" si="27"/>
        <v>0</v>
      </c>
      <c r="K50" s="49">
        <f t="shared" si="27"/>
        <v>0</v>
      </c>
      <c r="L50" s="49">
        <f t="shared" ref="L50" si="28">SUM(L52:L53)</f>
        <v>0</v>
      </c>
      <c r="M50" s="49">
        <f>SUM(M52:M53)</f>
        <v>871600</v>
      </c>
      <c r="N50" s="49">
        <f>SUM(N52:N53)</f>
        <v>1136500</v>
      </c>
      <c r="O50" s="49">
        <f>SUM(O52:O53)</f>
        <v>1066500.0000000009</v>
      </c>
      <c r="P50" s="49">
        <f>SUM(P52:P53)</f>
        <v>572799.99999999907</v>
      </c>
      <c r="Q50" s="49">
        <f t="shared" ref="Q50" si="29">SUM(Q51:Q52)</f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  <c r="W50" s="49">
        <v>0</v>
      </c>
      <c r="X50" s="49">
        <v>0</v>
      </c>
      <c r="Y50" s="49">
        <v>0</v>
      </c>
      <c r="Z50" s="49">
        <v>0</v>
      </c>
      <c r="AA50" s="49">
        <v>0</v>
      </c>
      <c r="AB50" s="49">
        <f>SUM(AB52:AB53)</f>
        <v>0</v>
      </c>
      <c r="AC50" s="49">
        <v>0</v>
      </c>
      <c r="AD50" s="49">
        <v>0</v>
      </c>
      <c r="AE50" s="49">
        <v>0</v>
      </c>
      <c r="AF50" s="49">
        <v>0</v>
      </c>
      <c r="AG50" s="49">
        <v>0</v>
      </c>
      <c r="AH50" s="49">
        <f>SUM(AH52:AH53)</f>
        <v>438600</v>
      </c>
      <c r="AI50" s="49">
        <f>SUM(AI52:AI53)</f>
        <v>245700.00000000242</v>
      </c>
      <c r="AJ50" s="49">
        <f>SUM(AJ52:AJ53)</f>
        <v>0</v>
      </c>
      <c r="AK50" s="105"/>
      <c r="AL50" s="104">
        <f>SUM(F50:AJ50)</f>
        <v>4331700.0000000028</v>
      </c>
      <c r="AN50" s="106"/>
      <c r="BK50" s="233"/>
      <c r="BL50" s="242"/>
      <c r="CP50" s="236"/>
      <c r="EB50" s="233"/>
      <c r="EC50" s="233"/>
      <c r="FI50" s="233"/>
    </row>
    <row r="51" spans="1:15058" s="1" customFormat="1" ht="14.25" hidden="1">
      <c r="B51" s="55"/>
      <c r="C51" s="200" t="s">
        <v>44</v>
      </c>
      <c r="D51" s="265"/>
      <c r="E51" s="201" t="s">
        <v>9</v>
      </c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>
        <v>0</v>
      </c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>
        <v>0</v>
      </c>
      <c r="AK51" s="105"/>
      <c r="AL51" s="104">
        <f>SUM(F51:AJ51)</f>
        <v>0</v>
      </c>
      <c r="AN51" s="106"/>
      <c r="BK51" s="233"/>
      <c r="BL51" s="233"/>
      <c r="EB51" s="233"/>
      <c r="EC51" s="233"/>
      <c r="FI51" s="233"/>
    </row>
    <row r="52" spans="1:15058" s="1" customFormat="1">
      <c r="B52" s="55"/>
      <c r="C52" s="200" t="s">
        <v>45</v>
      </c>
      <c r="D52" s="265">
        <f>2347.8777*1000</f>
        <v>2347877.7000000002</v>
      </c>
      <c r="E52" s="201" t="s">
        <v>9</v>
      </c>
      <c r="F52" s="49">
        <v>0</v>
      </c>
      <c r="G52" s="49">
        <v>0</v>
      </c>
      <c r="H52" s="49">
        <v>0</v>
      </c>
      <c r="I52" s="49">
        <v>0</v>
      </c>
      <c r="J52" s="49">
        <v>0</v>
      </c>
      <c r="K52" s="49">
        <v>0</v>
      </c>
      <c r="L52" s="49">
        <v>0</v>
      </c>
      <c r="M52" s="49">
        <v>537400</v>
      </c>
      <c r="N52" s="49">
        <v>706800</v>
      </c>
      <c r="O52" s="49">
        <f>648.400000000001*1000</f>
        <v>648400.00000000105</v>
      </c>
      <c r="P52" s="49">
        <f>344.099999999999*1000</f>
        <v>344099.99999999901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>
        <v>0</v>
      </c>
      <c r="AG52" s="49">
        <v>0</v>
      </c>
      <c r="AH52" s="49">
        <v>267500</v>
      </c>
      <c r="AI52" s="49">
        <f>156.600000000002*1000</f>
        <v>156600.00000000201</v>
      </c>
      <c r="AJ52" s="49">
        <v>0</v>
      </c>
      <c r="AK52" s="105"/>
      <c r="AL52" s="104">
        <f>SUM(F52:AJ52)</f>
        <v>2660800.0000000019</v>
      </c>
      <c r="AN52" s="106">
        <f>AL52/13</f>
        <v>204676.92307692321</v>
      </c>
      <c r="BK52" s="233"/>
      <c r="BL52" s="245"/>
      <c r="CP52" s="233"/>
      <c r="EB52" s="233"/>
      <c r="EC52" s="233"/>
      <c r="ED52" s="95">
        <f>AN52/1000</f>
        <v>204.6769230769232</v>
      </c>
      <c r="FI52" s="233"/>
    </row>
    <row r="53" spans="1:15058" s="1" customFormat="1" ht="14.25">
      <c r="B53" s="55"/>
      <c r="C53" s="200" t="s">
        <v>46</v>
      </c>
      <c r="D53" s="265">
        <f>1565.2518*1000</f>
        <v>1565251.8</v>
      </c>
      <c r="E53" s="201" t="s">
        <v>9</v>
      </c>
      <c r="F53" s="49">
        <v>0</v>
      </c>
      <c r="G53" s="49">
        <v>0</v>
      </c>
      <c r="H53" s="49">
        <v>0</v>
      </c>
      <c r="I53" s="49">
        <v>0</v>
      </c>
      <c r="J53" s="49">
        <v>0</v>
      </c>
      <c r="K53" s="49">
        <v>0</v>
      </c>
      <c r="L53" s="49">
        <v>0</v>
      </c>
      <c r="M53" s="49">
        <v>334200</v>
      </c>
      <c r="N53" s="49">
        <v>429700</v>
      </c>
      <c r="O53" s="49">
        <f>418.1*1000</f>
        <v>418100</v>
      </c>
      <c r="P53" s="49">
        <v>228700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  <c r="W53" s="49">
        <v>0</v>
      </c>
      <c r="X53" s="49">
        <v>0</v>
      </c>
      <c r="Y53" s="49">
        <v>0</v>
      </c>
      <c r="Z53" s="49">
        <v>0</v>
      </c>
      <c r="AA53" s="49">
        <v>0</v>
      </c>
      <c r="AB53" s="49">
        <v>0</v>
      </c>
      <c r="AC53" s="49">
        <v>0</v>
      </c>
      <c r="AD53" s="49">
        <v>0</v>
      </c>
      <c r="AE53" s="49">
        <v>0</v>
      </c>
      <c r="AF53" s="49">
        <v>0</v>
      </c>
      <c r="AG53" s="49">
        <v>0</v>
      </c>
      <c r="AH53" s="49">
        <v>171100</v>
      </c>
      <c r="AI53" s="49">
        <f>89.1000000000004*1000</f>
        <v>89100.000000000407</v>
      </c>
      <c r="AJ53" s="49">
        <v>0</v>
      </c>
      <c r="AK53" s="105"/>
      <c r="AL53" s="104">
        <f>SUM(F53:AJ53)</f>
        <v>1670900.0000000005</v>
      </c>
      <c r="AN53" s="106">
        <f>AL53/13</f>
        <v>128530.76923076926</v>
      </c>
      <c r="EB53" s="233"/>
      <c r="EC53" s="233"/>
      <c r="ED53" s="95">
        <f>AN53/1000</f>
        <v>128.53076923076927</v>
      </c>
      <c r="FI53" s="233"/>
    </row>
    <row r="54" spans="1:15058">
      <c r="B54" s="41"/>
      <c r="C54" s="202" t="s">
        <v>47</v>
      </c>
      <c r="D54" s="68"/>
      <c r="E54" s="68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117"/>
      <c r="AL54" s="203" t="s">
        <v>48</v>
      </c>
    </row>
    <row r="55" spans="1:15058">
      <c r="B55" s="61"/>
      <c r="C55" s="204" t="s">
        <v>49</v>
      </c>
      <c r="D55" s="54">
        <v>94.2</v>
      </c>
      <c r="E55" s="205" t="s">
        <v>12</v>
      </c>
      <c r="F55" s="70">
        <f t="shared" ref="F55:AJ55" si="30">(F37/(F31+F32))*100</f>
        <v>94.945278977347087</v>
      </c>
      <c r="G55" s="70">
        <f t="shared" si="30"/>
        <v>94.835393290425472</v>
      </c>
      <c r="H55" s="70">
        <f t="shared" si="30"/>
        <v>94.897255262662796</v>
      </c>
      <c r="I55" s="70">
        <f t="shared" si="30"/>
        <v>94.780796220384914</v>
      </c>
      <c r="J55" s="70">
        <f t="shared" si="30"/>
        <v>94.621110077347154</v>
      </c>
      <c r="K55" s="70">
        <f t="shared" si="30"/>
        <v>94.748632131065648</v>
      </c>
      <c r="L55" s="70">
        <f t="shared" si="30"/>
        <v>94.746599454245597</v>
      </c>
      <c r="M55" s="70">
        <f t="shared" si="30"/>
        <v>94.730810871613173</v>
      </c>
      <c r="N55" s="70">
        <f t="shared" si="30"/>
        <v>94.979134697505188</v>
      </c>
      <c r="O55" s="70">
        <f t="shared" si="30"/>
        <v>94.807160812743916</v>
      </c>
      <c r="P55" s="70">
        <f t="shared" si="30"/>
        <v>94.763270663897828</v>
      </c>
      <c r="Q55" s="70">
        <f t="shared" si="30"/>
        <v>94.979134697505188</v>
      </c>
      <c r="R55" s="70">
        <f t="shared" si="30"/>
        <v>94.817278515730791</v>
      </c>
      <c r="S55" s="70">
        <f t="shared" si="30"/>
        <v>94.896435837435206</v>
      </c>
      <c r="T55" s="70">
        <f t="shared" si="30"/>
        <v>94.846011443958929</v>
      </c>
      <c r="U55" s="70">
        <f t="shared" si="30"/>
        <v>94.547779042391568</v>
      </c>
      <c r="V55" s="70">
        <f t="shared" si="30"/>
        <v>94.854144753630038</v>
      </c>
      <c r="W55" s="70">
        <f t="shared" si="30"/>
        <v>94.887558233906987</v>
      </c>
      <c r="X55" s="70">
        <f t="shared" si="30"/>
        <v>95.060876808245567</v>
      </c>
      <c r="Y55" s="70">
        <f t="shared" si="30"/>
        <v>94.671385030785956</v>
      </c>
      <c r="Z55" s="70">
        <f t="shared" si="30"/>
        <v>94.927829976980121</v>
      </c>
      <c r="AA55" s="70">
        <f t="shared" si="30"/>
        <v>94.834700846512362</v>
      </c>
      <c r="AB55" s="70">
        <f t="shared" si="30"/>
        <v>94.969833539289056</v>
      </c>
      <c r="AC55" s="70">
        <f t="shared" si="30"/>
        <v>94.603977325719967</v>
      </c>
      <c r="AD55" s="70">
        <f t="shared" si="30"/>
        <v>94.880632520995462</v>
      </c>
      <c r="AE55" s="70">
        <f t="shared" ref="AE55:AG55" si="31">(AE37/(AE31+AE32))*100</f>
        <v>95.157525371944928</v>
      </c>
      <c r="AF55" s="70">
        <f t="shared" si="31"/>
        <v>95.037465739096319</v>
      </c>
      <c r="AG55" s="70">
        <f t="shared" si="31"/>
        <v>95.065301104202845</v>
      </c>
      <c r="AH55" s="70">
        <f t="shared" si="30"/>
        <v>94.890733112838078</v>
      </c>
      <c r="AI55" s="70">
        <f t="shared" si="30"/>
        <v>94.98541029814605</v>
      </c>
      <c r="AJ55" s="70">
        <f t="shared" si="30"/>
        <v>94.932092118516991</v>
      </c>
      <c r="AK55" s="109"/>
      <c r="AL55" s="119">
        <f>AL37/(SUM(AL31:AL32))*100</f>
        <v>94.869503042639963</v>
      </c>
      <c r="AM55" s="253"/>
    </row>
    <row r="56" spans="1:15058">
      <c r="B56" s="61"/>
      <c r="C56" s="204" t="s">
        <v>32</v>
      </c>
      <c r="D56" s="54">
        <v>5</v>
      </c>
      <c r="E56" s="205" t="s">
        <v>12</v>
      </c>
      <c r="F56" s="70">
        <f t="shared" ref="F56:AJ56" si="32">(F38/(F31+F32))*100</f>
        <v>4.4417353692721999</v>
      </c>
      <c r="G56" s="70">
        <f t="shared" si="32"/>
        <v>4.5558751495130148</v>
      </c>
      <c r="H56" s="70">
        <f t="shared" si="32"/>
        <v>4.4797959738277902</v>
      </c>
      <c r="I56" s="70">
        <f t="shared" si="32"/>
        <v>4.5341485444313205</v>
      </c>
      <c r="J56" s="70">
        <f t="shared" si="32"/>
        <v>4.6276366767111563</v>
      </c>
      <c r="K56" s="70">
        <f t="shared" si="32"/>
        <v>4.6417783466932931</v>
      </c>
      <c r="L56" s="70">
        <f t="shared" si="32"/>
        <v>4.5014268752473559</v>
      </c>
      <c r="M56" s="70">
        <f t="shared" si="32"/>
        <v>4.4874228427609211</v>
      </c>
      <c r="N56" s="70">
        <f t="shared" si="32"/>
        <v>4.2681868364590789</v>
      </c>
      <c r="O56" s="70">
        <f t="shared" si="32"/>
        <v>4.4484257600377699</v>
      </c>
      <c r="P56" s="70">
        <f t="shared" si="32"/>
        <v>4.5053929977844822</v>
      </c>
      <c r="Q56" s="70">
        <f t="shared" si="32"/>
        <v>4.2688811892875247</v>
      </c>
      <c r="R56" s="70">
        <f t="shared" si="32"/>
        <v>4.4390592777241435</v>
      </c>
      <c r="S56" s="70">
        <f t="shared" si="32"/>
        <v>4.4828041134032413</v>
      </c>
      <c r="T56" s="70">
        <f t="shared" si="32"/>
        <v>4.3819421070346856</v>
      </c>
      <c r="U56" s="70">
        <f t="shared" si="32"/>
        <v>4.6586320335521076</v>
      </c>
      <c r="V56" s="70">
        <f t="shared" si="32"/>
        <v>4.5352984011003654</v>
      </c>
      <c r="W56" s="70">
        <f t="shared" si="32"/>
        <v>4.5021440302656748</v>
      </c>
      <c r="X56" s="70">
        <f t="shared" si="32"/>
        <v>4.3170149214880675</v>
      </c>
      <c r="Y56" s="70">
        <f t="shared" si="32"/>
        <v>4.5669946338835814</v>
      </c>
      <c r="Z56" s="70">
        <f t="shared" si="32"/>
        <v>4.4510879793841767</v>
      </c>
      <c r="AA56" s="70">
        <f t="shared" si="32"/>
        <v>4.3954314338700433</v>
      </c>
      <c r="AB56" s="70">
        <f t="shared" si="32"/>
        <v>4.4248547846716342</v>
      </c>
      <c r="AC56" s="70">
        <f t="shared" si="32"/>
        <v>4.6162056851508186</v>
      </c>
      <c r="AD56" s="70">
        <f t="shared" si="32"/>
        <v>4.34063560016489</v>
      </c>
      <c r="AE56" s="70">
        <f t="shared" ref="AE56:AG56" si="33">(AE38/(AE31+AE32))*100</f>
        <v>4.2047098800598786</v>
      </c>
      <c r="AF56" s="70">
        <f t="shared" si="33"/>
        <v>4.2094648594431368</v>
      </c>
      <c r="AG56" s="70">
        <f t="shared" si="33"/>
        <v>4.3060452816182364</v>
      </c>
      <c r="AH56" s="70">
        <f t="shared" si="32"/>
        <v>4.3260353468741828</v>
      </c>
      <c r="AI56" s="70">
        <f t="shared" si="32"/>
        <v>4.2439159950771961</v>
      </c>
      <c r="AJ56" s="70">
        <f t="shared" si="32"/>
        <v>4.2928102499466663</v>
      </c>
      <c r="AK56" s="109"/>
      <c r="AL56" s="119">
        <f>AL38/(AL31+AL32)*100</f>
        <v>4.423247112709781</v>
      </c>
      <c r="CL56" s="95"/>
    </row>
    <row r="57" spans="1:15058">
      <c r="B57" s="61"/>
      <c r="C57" s="204" t="s">
        <v>34</v>
      </c>
      <c r="D57" s="54">
        <v>82</v>
      </c>
      <c r="E57" s="205" t="s">
        <v>12</v>
      </c>
      <c r="F57" s="71">
        <f t="shared" ref="F57:AJ57" si="34">(F41/F40)*100</f>
        <v>81.673069280699423</v>
      </c>
      <c r="G57" s="71">
        <f t="shared" si="34"/>
        <v>79.733291983253224</v>
      </c>
      <c r="H57" s="71">
        <f t="shared" si="34"/>
        <v>79.210680751173712</v>
      </c>
      <c r="I57" s="71">
        <f t="shared" si="34"/>
        <v>78.039023020774849</v>
      </c>
      <c r="J57" s="71">
        <f t="shared" si="34"/>
        <v>80.57563678129857</v>
      </c>
      <c r="K57" s="71">
        <f t="shared" si="34"/>
        <v>79.462060668557186</v>
      </c>
      <c r="L57" s="71">
        <f t="shared" si="34"/>
        <v>80.029461279461273</v>
      </c>
      <c r="M57" s="71" t="e">
        <f t="shared" si="34"/>
        <v>#DIV/0!</v>
      </c>
      <c r="N57" s="71" t="e">
        <f t="shared" si="34"/>
        <v>#DIV/0!</v>
      </c>
      <c r="O57" s="71" t="e">
        <f t="shared" si="34"/>
        <v>#DIV/0!</v>
      </c>
      <c r="P57" s="71">
        <f t="shared" si="34"/>
        <v>77.999190774833096</v>
      </c>
      <c r="Q57" s="71">
        <f t="shared" si="34"/>
        <v>79.936273518106418</v>
      </c>
      <c r="R57" s="71">
        <f t="shared" si="34"/>
        <v>81.042011745219085</v>
      </c>
      <c r="S57" s="71">
        <f t="shared" si="34"/>
        <v>77.410021171489063</v>
      </c>
      <c r="T57" s="71">
        <f t="shared" si="34"/>
        <v>80.582014550363752</v>
      </c>
      <c r="U57" s="71">
        <f t="shared" si="34"/>
        <v>80.745697896749562</v>
      </c>
      <c r="V57" s="71">
        <f t="shared" si="34"/>
        <v>83.439031421158845</v>
      </c>
      <c r="W57" s="71">
        <f t="shared" si="34"/>
        <v>81.880443054028873</v>
      </c>
      <c r="X57" s="71">
        <f t="shared" si="34"/>
        <v>81.872191332165428</v>
      </c>
      <c r="Y57" s="71">
        <f t="shared" si="34"/>
        <v>81.560283687943254</v>
      </c>
      <c r="Z57" s="71">
        <f t="shared" si="34"/>
        <v>82.641617258375604</v>
      </c>
      <c r="AA57" s="71">
        <f t="shared" si="34"/>
        <v>80.565873705840502</v>
      </c>
      <c r="AB57" s="71" t="e">
        <f t="shared" si="34"/>
        <v>#DIV/0!</v>
      </c>
      <c r="AC57" s="71">
        <f t="shared" si="34"/>
        <v>81.824379601854375</v>
      </c>
      <c r="AD57" s="71">
        <f t="shared" si="34"/>
        <v>83.05068320573703</v>
      </c>
      <c r="AE57" s="71">
        <f t="shared" ref="AE57:AG57" si="35">(AE41/AE40)*100</f>
        <v>85.334415913934848</v>
      </c>
      <c r="AF57" s="71">
        <f t="shared" si="35"/>
        <v>82.970543336914076</v>
      </c>
      <c r="AG57" s="71">
        <f t="shared" si="35"/>
        <v>82.24892703862669</v>
      </c>
      <c r="AH57" s="71" t="e">
        <f t="shared" si="34"/>
        <v>#DIV/0!</v>
      </c>
      <c r="AI57" s="71">
        <f t="shared" si="34"/>
        <v>83.503199810381673</v>
      </c>
      <c r="AJ57" s="71">
        <f t="shared" si="34"/>
        <v>82.407451636016205</v>
      </c>
      <c r="AK57" s="109"/>
      <c r="AL57" s="119">
        <f>AL41/AL40*100</f>
        <v>81.308721181680454</v>
      </c>
    </row>
    <row r="58" spans="1:15058">
      <c r="B58" s="61"/>
      <c r="C58" s="204" t="s">
        <v>50</v>
      </c>
      <c r="D58" s="54">
        <v>18</v>
      </c>
      <c r="E58" s="205" t="s">
        <v>12</v>
      </c>
      <c r="F58" s="71">
        <f t="shared" ref="F58:AJ58" si="36">(F42/F40)*100</f>
        <v>18.32693071930057</v>
      </c>
      <c r="G58" s="71">
        <f t="shared" si="36"/>
        <v>20.266708016746783</v>
      </c>
      <c r="H58" s="71">
        <f t="shared" si="36"/>
        <v>20.789319248826292</v>
      </c>
      <c r="I58" s="71">
        <f t="shared" si="36"/>
        <v>21.960976979225155</v>
      </c>
      <c r="J58" s="71">
        <f t="shared" si="36"/>
        <v>19.424363218701441</v>
      </c>
      <c r="K58" s="71">
        <f t="shared" si="36"/>
        <v>20.537939331442811</v>
      </c>
      <c r="L58" s="71">
        <f t="shared" si="36"/>
        <v>19.970538720538723</v>
      </c>
      <c r="M58" s="71" t="e">
        <f t="shared" si="36"/>
        <v>#DIV/0!</v>
      </c>
      <c r="N58" s="71" t="e">
        <f t="shared" si="36"/>
        <v>#DIV/0!</v>
      </c>
      <c r="O58" s="71" t="e">
        <f t="shared" si="36"/>
        <v>#DIV/0!</v>
      </c>
      <c r="P58" s="71">
        <f t="shared" si="36"/>
        <v>22.000809225166904</v>
      </c>
      <c r="Q58" s="71">
        <f t="shared" si="36"/>
        <v>20.063726481893589</v>
      </c>
      <c r="R58" s="71">
        <f t="shared" si="36"/>
        <v>18.957988254780904</v>
      </c>
      <c r="S58" s="71">
        <f t="shared" si="36"/>
        <v>22.58997882851094</v>
      </c>
      <c r="T58" s="71">
        <f t="shared" si="36"/>
        <v>19.417985449636241</v>
      </c>
      <c r="U58" s="71">
        <f t="shared" si="36"/>
        <v>19.254302103250442</v>
      </c>
      <c r="V58" s="71">
        <f t="shared" si="36"/>
        <v>16.560968578841166</v>
      </c>
      <c r="W58" s="71">
        <f t="shared" si="36"/>
        <v>18.119556945971109</v>
      </c>
      <c r="X58" s="71">
        <f t="shared" si="36"/>
        <v>18.127808667834564</v>
      </c>
      <c r="Y58" s="71">
        <f t="shared" si="36"/>
        <v>18.439716312056735</v>
      </c>
      <c r="Z58" s="71">
        <f t="shared" si="36"/>
        <v>17.3583827416244</v>
      </c>
      <c r="AA58" s="71">
        <f t="shared" si="36"/>
        <v>19.434126294159487</v>
      </c>
      <c r="AB58" s="71" t="e">
        <f t="shared" si="36"/>
        <v>#DIV/0!</v>
      </c>
      <c r="AC58" s="71">
        <f t="shared" si="36"/>
        <v>18.175620398145622</v>
      </c>
      <c r="AD58" s="71">
        <f t="shared" si="36"/>
        <v>16.94931679426297</v>
      </c>
      <c r="AE58" s="71">
        <f t="shared" ref="AE58:AG58" si="37">(AE42/AE40)*100</f>
        <v>14.665584086065159</v>
      </c>
      <c r="AF58" s="71">
        <f t="shared" si="37"/>
        <v>17.029456663085931</v>
      </c>
      <c r="AG58" s="71">
        <f t="shared" si="37"/>
        <v>17.751072961373303</v>
      </c>
      <c r="AH58" s="71" t="e">
        <f t="shared" si="36"/>
        <v>#DIV/0!</v>
      </c>
      <c r="AI58" s="71">
        <f t="shared" si="36"/>
        <v>16.496800189618323</v>
      </c>
      <c r="AJ58" s="71">
        <f t="shared" si="36"/>
        <v>17.592548363983799</v>
      </c>
      <c r="AK58" s="109"/>
      <c r="AL58" s="119">
        <f>AL42/AL40*100</f>
        <v>18.691278818319546</v>
      </c>
    </row>
    <row r="59" spans="1:15058">
      <c r="B59" s="61"/>
      <c r="C59" s="204" t="s">
        <v>39</v>
      </c>
      <c r="D59" s="54">
        <v>70</v>
      </c>
      <c r="E59" s="205" t="s">
        <v>12</v>
      </c>
      <c r="F59" s="71" t="e">
        <f t="shared" ref="F59:AC59" si="38">F46/F45*100</f>
        <v>#DIV/0!</v>
      </c>
      <c r="G59" s="71" t="e">
        <f t="shared" si="38"/>
        <v>#DIV/0!</v>
      </c>
      <c r="H59" s="71" t="e">
        <f t="shared" si="38"/>
        <v>#DIV/0!</v>
      </c>
      <c r="I59" s="71" t="e">
        <f t="shared" si="38"/>
        <v>#DIV/0!</v>
      </c>
      <c r="J59" s="71" t="e">
        <f t="shared" si="38"/>
        <v>#DIV/0!</v>
      </c>
      <c r="K59" s="71" t="e">
        <f t="shared" si="38"/>
        <v>#DIV/0!</v>
      </c>
      <c r="L59" s="71" t="e">
        <f t="shared" si="38"/>
        <v>#DIV/0!</v>
      </c>
      <c r="M59" s="71" t="e">
        <f t="shared" si="38"/>
        <v>#DIV/0!</v>
      </c>
      <c r="N59" s="71" t="e">
        <f t="shared" si="38"/>
        <v>#DIV/0!</v>
      </c>
      <c r="O59" s="71" t="e">
        <f t="shared" si="38"/>
        <v>#DIV/0!</v>
      </c>
      <c r="P59" s="71" t="e">
        <f t="shared" si="38"/>
        <v>#DIV/0!</v>
      </c>
      <c r="Q59" s="71" t="e">
        <f t="shared" si="38"/>
        <v>#DIV/0!</v>
      </c>
      <c r="R59" s="71" t="e">
        <f t="shared" si="38"/>
        <v>#DIV/0!</v>
      </c>
      <c r="S59" s="71" t="e">
        <f t="shared" si="38"/>
        <v>#DIV/0!</v>
      </c>
      <c r="T59" s="71" t="e">
        <f t="shared" si="38"/>
        <v>#DIV/0!</v>
      </c>
      <c r="U59" s="71" t="e">
        <f t="shared" si="38"/>
        <v>#DIV/0!</v>
      </c>
      <c r="V59" s="71" t="e">
        <f t="shared" si="38"/>
        <v>#DIV/0!</v>
      </c>
      <c r="W59" s="71" t="e">
        <f t="shared" si="38"/>
        <v>#DIV/0!</v>
      </c>
      <c r="X59" s="71" t="e">
        <f t="shared" si="38"/>
        <v>#DIV/0!</v>
      </c>
      <c r="Y59" s="71" t="e">
        <f t="shared" si="38"/>
        <v>#DIV/0!</v>
      </c>
      <c r="Z59" s="71" t="e">
        <f t="shared" si="38"/>
        <v>#DIV/0!</v>
      </c>
      <c r="AA59" s="71" t="e">
        <f t="shared" si="38"/>
        <v>#DIV/0!</v>
      </c>
      <c r="AB59" s="71">
        <f t="shared" si="38"/>
        <v>74.641094661283091</v>
      </c>
      <c r="AC59" s="71">
        <f t="shared" si="38"/>
        <v>70.58122915674123</v>
      </c>
      <c r="AD59" s="71" t="e">
        <f t="shared" ref="AD59:AJ59" si="39">AD49/AD48*100</f>
        <v>#DIV/0!</v>
      </c>
      <c r="AE59" s="71" t="e">
        <f t="shared" ref="AE59:AG59" si="40">AE49/AE48*100</f>
        <v>#DIV/0!</v>
      </c>
      <c r="AF59" s="71" t="e">
        <f t="shared" si="40"/>
        <v>#DIV/0!</v>
      </c>
      <c r="AG59" s="71" t="e">
        <f t="shared" si="40"/>
        <v>#DIV/0!</v>
      </c>
      <c r="AH59" s="71" t="e">
        <f t="shared" si="39"/>
        <v>#DIV/0!</v>
      </c>
      <c r="AI59" s="71" t="e">
        <f t="shared" si="39"/>
        <v>#DIV/0!</v>
      </c>
      <c r="AJ59" s="71" t="e">
        <f t="shared" si="39"/>
        <v>#DIV/0!</v>
      </c>
      <c r="AK59" s="109"/>
      <c r="AL59" s="119">
        <f>AL46/AL45*100</f>
        <v>73.341467134360201</v>
      </c>
      <c r="CL59" s="95"/>
    </row>
    <row r="60" spans="1:15058">
      <c r="B60" s="61"/>
      <c r="C60" s="204" t="s">
        <v>50</v>
      </c>
      <c r="D60" s="54">
        <v>30</v>
      </c>
      <c r="E60" s="205" t="s">
        <v>12</v>
      </c>
      <c r="F60" s="71" t="e">
        <f t="shared" ref="F60:AC60" si="41">F47/F45*100</f>
        <v>#DIV/0!</v>
      </c>
      <c r="G60" s="71" t="e">
        <f t="shared" si="41"/>
        <v>#DIV/0!</v>
      </c>
      <c r="H60" s="71" t="e">
        <f t="shared" si="41"/>
        <v>#DIV/0!</v>
      </c>
      <c r="I60" s="71" t="e">
        <f t="shared" si="41"/>
        <v>#DIV/0!</v>
      </c>
      <c r="J60" s="71" t="e">
        <f t="shared" si="41"/>
        <v>#DIV/0!</v>
      </c>
      <c r="K60" s="71" t="e">
        <f t="shared" si="41"/>
        <v>#DIV/0!</v>
      </c>
      <c r="L60" s="71" t="e">
        <f t="shared" si="41"/>
        <v>#DIV/0!</v>
      </c>
      <c r="M60" s="71" t="e">
        <f t="shared" si="41"/>
        <v>#DIV/0!</v>
      </c>
      <c r="N60" s="71" t="e">
        <f t="shared" si="41"/>
        <v>#DIV/0!</v>
      </c>
      <c r="O60" s="71" t="e">
        <f t="shared" si="41"/>
        <v>#DIV/0!</v>
      </c>
      <c r="P60" s="71" t="e">
        <f t="shared" si="41"/>
        <v>#DIV/0!</v>
      </c>
      <c r="Q60" s="71" t="e">
        <f t="shared" si="41"/>
        <v>#DIV/0!</v>
      </c>
      <c r="R60" s="71" t="e">
        <f t="shared" si="41"/>
        <v>#DIV/0!</v>
      </c>
      <c r="S60" s="71" t="e">
        <f t="shared" si="41"/>
        <v>#DIV/0!</v>
      </c>
      <c r="T60" s="71" t="e">
        <f t="shared" si="41"/>
        <v>#DIV/0!</v>
      </c>
      <c r="U60" s="71" t="e">
        <f t="shared" si="41"/>
        <v>#DIV/0!</v>
      </c>
      <c r="V60" s="71" t="e">
        <f t="shared" si="41"/>
        <v>#DIV/0!</v>
      </c>
      <c r="W60" s="71" t="e">
        <f t="shared" si="41"/>
        <v>#DIV/0!</v>
      </c>
      <c r="X60" s="71" t="e">
        <f t="shared" si="41"/>
        <v>#DIV/0!</v>
      </c>
      <c r="Y60" s="71" t="e">
        <f t="shared" si="41"/>
        <v>#DIV/0!</v>
      </c>
      <c r="Z60" s="71" t="e">
        <f t="shared" si="41"/>
        <v>#DIV/0!</v>
      </c>
      <c r="AA60" s="71" t="e">
        <f t="shared" si="41"/>
        <v>#DIV/0!</v>
      </c>
      <c r="AB60" s="71">
        <f t="shared" si="41"/>
        <v>25.358905338716912</v>
      </c>
      <c r="AC60" s="71">
        <f t="shared" si="41"/>
        <v>29.418770843258763</v>
      </c>
      <c r="AD60" s="71" t="e">
        <f t="shared" ref="AD60:AJ60" si="42">AD50/AD48*100</f>
        <v>#DIV/0!</v>
      </c>
      <c r="AE60" s="71" t="e">
        <f t="shared" ref="AE60:AG60" si="43">AE50/AE48*100</f>
        <v>#DIV/0!</v>
      </c>
      <c r="AF60" s="71" t="e">
        <f t="shared" si="43"/>
        <v>#DIV/0!</v>
      </c>
      <c r="AG60" s="71" t="e">
        <f t="shared" si="43"/>
        <v>#DIV/0!</v>
      </c>
      <c r="AH60" s="71" t="e">
        <f t="shared" si="42"/>
        <v>#DIV/0!</v>
      </c>
      <c r="AI60" s="71" t="e">
        <f t="shared" si="42"/>
        <v>#DIV/0!</v>
      </c>
      <c r="AJ60" s="71" t="e">
        <f t="shared" si="42"/>
        <v>#DIV/0!</v>
      </c>
      <c r="AK60" s="120"/>
      <c r="AL60" s="119">
        <f>AL47/AL45*100</f>
        <v>26.658532865639796</v>
      </c>
    </row>
    <row r="61" spans="1:15058">
      <c r="B61" s="61"/>
      <c r="C61" s="204" t="s">
        <v>43</v>
      </c>
      <c r="D61" s="54">
        <v>60</v>
      </c>
      <c r="E61" s="205" t="s">
        <v>12</v>
      </c>
      <c r="F61" s="71" t="e">
        <f t="shared" ref="F61:AJ61" si="44">F52/F50*100</f>
        <v>#DIV/0!</v>
      </c>
      <c r="G61" s="71" t="e">
        <f t="shared" si="44"/>
        <v>#DIV/0!</v>
      </c>
      <c r="H61" s="71" t="e">
        <f t="shared" si="44"/>
        <v>#DIV/0!</v>
      </c>
      <c r="I61" s="71" t="e">
        <f>I52/I50*100</f>
        <v>#DIV/0!</v>
      </c>
      <c r="J61" s="71" t="e">
        <f>J52/J50*100</f>
        <v>#DIV/0!</v>
      </c>
      <c r="K61" s="71" t="e">
        <f>K52/K50*100</f>
        <v>#DIV/0!</v>
      </c>
      <c r="L61" s="71" t="e">
        <f t="shared" si="44"/>
        <v>#DIV/0!</v>
      </c>
      <c r="M61" s="71">
        <f t="shared" si="44"/>
        <v>61.656723267553929</v>
      </c>
      <c r="N61" s="71">
        <f t="shared" si="44"/>
        <v>62.190937087549493</v>
      </c>
      <c r="O61" s="71">
        <f t="shared" si="44"/>
        <v>60.796999531176787</v>
      </c>
      <c r="P61" s="71">
        <f t="shared" si="44"/>
        <v>60.073324022346299</v>
      </c>
      <c r="Q61" s="71" t="e">
        <f t="shared" si="44"/>
        <v>#DIV/0!</v>
      </c>
      <c r="R61" s="71" t="e">
        <f t="shared" si="44"/>
        <v>#DIV/0!</v>
      </c>
      <c r="S61" s="71" t="e">
        <f t="shared" si="44"/>
        <v>#DIV/0!</v>
      </c>
      <c r="T61" s="71" t="e">
        <f t="shared" ref="T61:W61" si="45">(T52+T51)/T50*100</f>
        <v>#DIV/0!</v>
      </c>
      <c r="U61" s="71" t="e">
        <f t="shared" si="45"/>
        <v>#DIV/0!</v>
      </c>
      <c r="V61" s="71" t="e">
        <f>(V52+V51)/V50*100</f>
        <v>#DIV/0!</v>
      </c>
      <c r="W61" s="71" t="e">
        <f t="shared" si="45"/>
        <v>#DIV/0!</v>
      </c>
      <c r="X61" s="71" t="e">
        <f t="shared" si="44"/>
        <v>#DIV/0!</v>
      </c>
      <c r="Y61" s="71" t="e">
        <f t="shared" si="44"/>
        <v>#DIV/0!</v>
      </c>
      <c r="Z61" s="71" t="e">
        <f t="shared" si="44"/>
        <v>#DIV/0!</v>
      </c>
      <c r="AA61" s="71" t="e">
        <f t="shared" si="44"/>
        <v>#DIV/0!</v>
      </c>
      <c r="AB61" s="71" t="e">
        <f t="shared" si="44"/>
        <v>#DIV/0!</v>
      </c>
      <c r="AC61" s="71" t="e">
        <f t="shared" si="44"/>
        <v>#DIV/0!</v>
      </c>
      <c r="AD61" s="71" t="e">
        <f t="shared" si="44"/>
        <v>#DIV/0!</v>
      </c>
      <c r="AE61" s="71" t="e">
        <f t="shared" ref="AE61:AG61" si="46">AE52/AE50*100</f>
        <v>#DIV/0!</v>
      </c>
      <c r="AF61" s="71" t="e">
        <f t="shared" si="46"/>
        <v>#DIV/0!</v>
      </c>
      <c r="AG61" s="71" t="e">
        <f t="shared" si="46"/>
        <v>#DIV/0!</v>
      </c>
      <c r="AH61" s="71">
        <f t="shared" si="44"/>
        <v>60.989512083903328</v>
      </c>
      <c r="AI61" s="71">
        <f t="shared" si="44"/>
        <v>63.736263736263929</v>
      </c>
      <c r="AJ61" s="71" t="e">
        <f t="shared" si="44"/>
        <v>#DIV/0!</v>
      </c>
      <c r="AK61" s="109"/>
      <c r="AL61" s="119">
        <f>(AL52+AL51)/AL50*100</f>
        <v>61.426229886649587</v>
      </c>
    </row>
    <row r="62" spans="1:15058">
      <c r="B62" s="61"/>
      <c r="C62" s="204" t="s">
        <v>51</v>
      </c>
      <c r="D62" s="54">
        <v>40</v>
      </c>
      <c r="E62" s="205" t="s">
        <v>12</v>
      </c>
      <c r="F62" s="71" t="e">
        <f t="shared" ref="F62:AJ62" si="47">F53/F50*100</f>
        <v>#DIV/0!</v>
      </c>
      <c r="G62" s="71" t="e">
        <f t="shared" si="47"/>
        <v>#DIV/0!</v>
      </c>
      <c r="H62" s="71" t="e">
        <f t="shared" si="47"/>
        <v>#DIV/0!</v>
      </c>
      <c r="I62" s="71" t="e">
        <f>I53/I50*100</f>
        <v>#DIV/0!</v>
      </c>
      <c r="J62" s="71" t="e">
        <f>J53/J50*100</f>
        <v>#DIV/0!</v>
      </c>
      <c r="K62" s="71" t="e">
        <f>K53/K50*100</f>
        <v>#DIV/0!</v>
      </c>
      <c r="L62" s="71" t="e">
        <f t="shared" si="47"/>
        <v>#DIV/0!</v>
      </c>
      <c r="M62" s="71">
        <f t="shared" si="47"/>
        <v>38.343276732446071</v>
      </c>
      <c r="N62" s="71">
        <f t="shared" si="47"/>
        <v>37.809062912450507</v>
      </c>
      <c r="O62" s="71">
        <f t="shared" si="47"/>
        <v>39.20300046882322</v>
      </c>
      <c r="P62" s="71">
        <f t="shared" si="47"/>
        <v>39.926675977653694</v>
      </c>
      <c r="Q62" s="71" t="e">
        <f t="shared" si="47"/>
        <v>#DIV/0!</v>
      </c>
      <c r="R62" s="71" t="e">
        <f t="shared" si="47"/>
        <v>#DIV/0!</v>
      </c>
      <c r="S62" s="71" t="e">
        <f t="shared" si="47"/>
        <v>#DIV/0!</v>
      </c>
      <c r="T62" s="71" t="e">
        <f t="shared" si="47"/>
        <v>#DIV/0!</v>
      </c>
      <c r="U62" s="71" t="e">
        <f t="shared" si="47"/>
        <v>#DIV/0!</v>
      </c>
      <c r="V62" s="71" t="e">
        <f t="shared" si="47"/>
        <v>#DIV/0!</v>
      </c>
      <c r="W62" s="71" t="e">
        <f t="shared" si="47"/>
        <v>#DIV/0!</v>
      </c>
      <c r="X62" s="71" t="e">
        <f t="shared" si="47"/>
        <v>#DIV/0!</v>
      </c>
      <c r="Y62" s="71" t="e">
        <f t="shared" si="47"/>
        <v>#DIV/0!</v>
      </c>
      <c r="Z62" s="71" t="e">
        <f t="shared" si="47"/>
        <v>#DIV/0!</v>
      </c>
      <c r="AA62" s="71" t="e">
        <f t="shared" si="47"/>
        <v>#DIV/0!</v>
      </c>
      <c r="AB62" s="71" t="e">
        <f t="shared" si="47"/>
        <v>#DIV/0!</v>
      </c>
      <c r="AC62" s="71" t="e">
        <f t="shared" si="47"/>
        <v>#DIV/0!</v>
      </c>
      <c r="AD62" s="71" t="e">
        <f t="shared" si="47"/>
        <v>#DIV/0!</v>
      </c>
      <c r="AE62" s="71" t="e">
        <f t="shared" ref="AE62:AG62" si="48">AE53/AE50*100</f>
        <v>#DIV/0!</v>
      </c>
      <c r="AF62" s="71" t="e">
        <f t="shared" si="48"/>
        <v>#DIV/0!</v>
      </c>
      <c r="AG62" s="71" t="e">
        <f t="shared" si="48"/>
        <v>#DIV/0!</v>
      </c>
      <c r="AH62" s="71">
        <f t="shared" si="47"/>
        <v>39.010487916096672</v>
      </c>
      <c r="AI62" s="71">
        <f t="shared" si="47"/>
        <v>36.263736263736071</v>
      </c>
      <c r="AJ62" s="71" t="e">
        <f t="shared" si="47"/>
        <v>#DIV/0!</v>
      </c>
      <c r="AK62" s="120"/>
      <c r="AL62" s="119">
        <f>AL53/AL50*100</f>
        <v>38.573770113350406</v>
      </c>
    </row>
    <row r="63" spans="1:15058">
      <c r="B63" s="38">
        <v>3</v>
      </c>
      <c r="C63" s="67" t="s">
        <v>52</v>
      </c>
      <c r="D63" s="68"/>
      <c r="E63" s="68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111"/>
      <c r="AL63" s="118" t="s">
        <v>53</v>
      </c>
      <c r="AM63" s="95"/>
    </row>
    <row r="64" spans="1:15058">
      <c r="B64" s="41"/>
      <c r="C64" s="206" t="s">
        <v>54</v>
      </c>
      <c r="D64" s="54">
        <v>8</v>
      </c>
      <c r="E64" s="207" t="s">
        <v>55</v>
      </c>
      <c r="F64" s="44">
        <v>11408</v>
      </c>
      <c r="G64" s="44">
        <v>11032</v>
      </c>
      <c r="H64" s="44">
        <v>11008</v>
      </c>
      <c r="I64" s="44">
        <v>10760</v>
      </c>
      <c r="J64" s="44">
        <v>10288</v>
      </c>
      <c r="K64" s="44">
        <v>9256</v>
      </c>
      <c r="L64" s="44">
        <v>2264</v>
      </c>
      <c r="M64" s="44">
        <v>0</v>
      </c>
      <c r="N64" s="44">
        <v>1216</v>
      </c>
      <c r="O64" s="44">
        <v>10321</v>
      </c>
      <c r="P64" s="44">
        <v>10071</v>
      </c>
      <c r="Q64" s="44">
        <v>10080</v>
      </c>
      <c r="R64" s="44">
        <v>10112</v>
      </c>
      <c r="S64" s="44">
        <v>9440</v>
      </c>
      <c r="T64" s="44">
        <v>9272</v>
      </c>
      <c r="U64" s="44">
        <v>7984</v>
      </c>
      <c r="V64" s="44">
        <v>11552</v>
      </c>
      <c r="W64" s="44">
        <v>11536</v>
      </c>
      <c r="X64" s="44">
        <v>10816</v>
      </c>
      <c r="Y64" s="44">
        <v>10296</v>
      </c>
      <c r="Z64" s="44">
        <v>11088</v>
      </c>
      <c r="AA64" s="44">
        <v>1820</v>
      </c>
      <c r="AB64" s="44">
        <v>6348</v>
      </c>
      <c r="AC64" s="44">
        <v>16240</v>
      </c>
      <c r="AD64" s="44">
        <v>16080</v>
      </c>
      <c r="AE64" s="44">
        <v>14672</v>
      </c>
      <c r="AF64" s="44">
        <v>13712</v>
      </c>
      <c r="AG64" s="44">
        <v>2952</v>
      </c>
      <c r="AH64" s="44">
        <v>9900</v>
      </c>
      <c r="AI64" s="44">
        <v>14752</v>
      </c>
      <c r="AJ64" s="44">
        <v>15232</v>
      </c>
      <c r="AK64" s="111"/>
      <c r="AL64" s="97">
        <f>SUM(F64:AJ64)</f>
        <v>301508</v>
      </c>
      <c r="AM64" s="95"/>
      <c r="BL64" s="95"/>
    </row>
    <row r="65" spans="2:165 15059:15072">
      <c r="B65" s="61"/>
      <c r="C65" s="72"/>
      <c r="D65" s="59"/>
      <c r="E65" s="207" t="s">
        <v>12</v>
      </c>
      <c r="F65" s="70">
        <f>F64/F31*100</f>
        <v>0.78572363300755554</v>
      </c>
      <c r="G65" s="70">
        <f>G64/(G31-G49)*100</f>
        <v>0.7854417041635815</v>
      </c>
      <c r="H65" s="70">
        <f t="shared" ref="H65:M65" si="49">H64/((H31+H32)-H49)*100</f>
        <v>0.76704921573955998</v>
      </c>
      <c r="I65" s="71">
        <f t="shared" si="49"/>
        <v>0.74758563190439797</v>
      </c>
      <c r="J65" s="70">
        <f t="shared" si="49"/>
        <v>0.71431547081776903</v>
      </c>
      <c r="K65" s="70">
        <f>K64/((K31+K32)-K49)*100</f>
        <v>0.72245334415660445</v>
      </c>
      <c r="L65" s="70">
        <f t="shared" si="49"/>
        <v>0.75459120754591213</v>
      </c>
      <c r="M65" s="70" t="e">
        <f t="shared" si="49"/>
        <v>#DIV/0!</v>
      </c>
      <c r="N65" s="70">
        <f>N64/((N31+N32)-(N49+N44))*100</f>
        <v>0.67540546545212177</v>
      </c>
      <c r="O65" s="70">
        <f t="shared" ref="O65:AJ65" si="50">O64/((O31+O32)-(O49+O44))*100</f>
        <v>0.71670624835076313</v>
      </c>
      <c r="P65" s="70">
        <f t="shared" si="50"/>
        <v>0.69945757485258675</v>
      </c>
      <c r="Q65" s="70">
        <f t="shared" si="50"/>
        <v>0.69990765107381658</v>
      </c>
      <c r="R65" s="70">
        <f t="shared" si="50"/>
        <v>0.70213933077345037</v>
      </c>
      <c r="S65" s="70">
        <f t="shared" si="50"/>
        <v>0.65547817271571651</v>
      </c>
      <c r="T65" s="70">
        <f t="shared" si="50"/>
        <v>0.65017390328733771</v>
      </c>
      <c r="U65" s="70">
        <f t="shared" si="50"/>
        <v>0.62239822884671869</v>
      </c>
      <c r="V65" s="70">
        <f t="shared" si="50"/>
        <v>0.71897580800756811</v>
      </c>
      <c r="W65" s="70">
        <f t="shared" si="50"/>
        <v>0.73721410267061183</v>
      </c>
      <c r="X65" s="70">
        <f t="shared" si="50"/>
        <v>0.70384132334662552</v>
      </c>
      <c r="Y65" s="70">
        <f t="shared" si="50"/>
        <v>0.70202712377523679</v>
      </c>
      <c r="Z65" s="70">
        <f t="shared" si="50"/>
        <v>0.80262910254369146</v>
      </c>
      <c r="AA65" s="70">
        <f t="shared" si="50"/>
        <v>0.64701909061820018</v>
      </c>
      <c r="AB65" s="274">
        <f>AB64/((AB31+AB32)-(AB49+AB44))*100</f>
        <v>0.75233772236510843</v>
      </c>
      <c r="AC65" s="70">
        <f t="shared" si="50"/>
        <v>0.84147693710685312</v>
      </c>
      <c r="AD65" s="70">
        <f t="shared" si="50"/>
        <v>0.79859748799372254</v>
      </c>
      <c r="AE65" s="70">
        <f t="shared" ref="AE65:AF65" si="51">AE64/((AE31+AE32)-(AE49+AE44))*100</f>
        <v>0.73970627530261945</v>
      </c>
      <c r="AF65" s="70">
        <f t="shared" si="51"/>
        <v>0.73547632712390787</v>
      </c>
      <c r="AG65" s="70">
        <f>AG64/((AG31+AG32)-(AG49+AG44))*100</f>
        <v>0.73463902645395474</v>
      </c>
      <c r="AH65" s="70">
        <f t="shared" si="50"/>
        <v>0.62351600042827759</v>
      </c>
      <c r="AI65" s="70">
        <f t="shared" si="50"/>
        <v>0.73206558418356871</v>
      </c>
      <c r="AJ65" s="70">
        <f t="shared" si="50"/>
        <v>0.75584424606620582</v>
      </c>
      <c r="AK65" s="111"/>
      <c r="AL65" s="119">
        <f>AL64/((AL31)-(AL44+AL49))*100</f>
        <v>0.72943707338740582</v>
      </c>
      <c r="AM65" s="12"/>
      <c r="AN65" s="11">
        <f>AL65*10</f>
        <v>7.2943707338740582</v>
      </c>
      <c r="AT65" s="12"/>
      <c r="CK65" s="253">
        <f>K65*10</f>
        <v>7.2245334415660443</v>
      </c>
      <c r="CL65" s="253">
        <f>L65*10</f>
        <v>7.5459120754591211</v>
      </c>
    </row>
    <row r="66" spans="2:165 15059:15072" s="3" customFormat="1">
      <c r="B66" s="41"/>
      <c r="C66" s="208" t="s">
        <v>56</v>
      </c>
      <c r="D66" s="73">
        <v>16</v>
      </c>
      <c r="E66" s="209" t="s">
        <v>55</v>
      </c>
      <c r="F66" s="74">
        <v>0</v>
      </c>
      <c r="G66" s="74">
        <v>0</v>
      </c>
      <c r="H66" s="74">
        <v>0</v>
      </c>
      <c r="I66" s="74">
        <v>0</v>
      </c>
      <c r="J66" s="74">
        <v>0</v>
      </c>
      <c r="K66" s="74">
        <v>0</v>
      </c>
      <c r="L66" s="74">
        <v>18040</v>
      </c>
      <c r="M66" s="74">
        <v>20480</v>
      </c>
      <c r="N66" s="74">
        <v>16912</v>
      </c>
      <c r="O66" s="74">
        <v>0</v>
      </c>
      <c r="P66" s="74">
        <v>0</v>
      </c>
      <c r="Q66" s="74">
        <v>0</v>
      </c>
      <c r="R66" s="74">
        <v>0</v>
      </c>
      <c r="S66" s="74">
        <v>0</v>
      </c>
      <c r="T66" s="74">
        <v>0</v>
      </c>
      <c r="U66" s="74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74">
        <v>17100</v>
      </c>
      <c r="AB66" s="74">
        <v>10036</v>
      </c>
      <c r="AC66" s="74">
        <v>0</v>
      </c>
      <c r="AD66" s="74">
        <v>0</v>
      </c>
      <c r="AE66" s="74">
        <v>0</v>
      </c>
      <c r="AF66" s="74">
        <v>0</v>
      </c>
      <c r="AG66" s="74">
        <v>21056</v>
      </c>
      <c r="AH66" s="74">
        <v>6044</v>
      </c>
      <c r="AI66" s="74">
        <v>0</v>
      </c>
      <c r="AJ66" s="74">
        <v>0</v>
      </c>
      <c r="AK66" s="111"/>
      <c r="AL66" s="121">
        <f>SUM(F66:AJ66)</f>
        <v>109668</v>
      </c>
      <c r="AM66" s="253"/>
      <c r="AN66" s="11"/>
      <c r="EB66" s="252"/>
      <c r="EC66" s="252"/>
      <c r="FI66" s="252"/>
      <c r="VGE66"/>
      <c r="VGF66"/>
      <c r="VGG66"/>
      <c r="VGH66"/>
      <c r="VGI66"/>
      <c r="VGJ66"/>
      <c r="VGK66"/>
      <c r="VGL66"/>
      <c r="VGM66"/>
      <c r="VGN66"/>
      <c r="VGO66"/>
      <c r="VGP66"/>
      <c r="VGQ66"/>
      <c r="VGR66"/>
    </row>
    <row r="67" spans="2:165 15059:15072" s="3" customFormat="1">
      <c r="B67" s="61"/>
      <c r="C67" s="75"/>
      <c r="D67" s="76"/>
      <c r="E67" s="210" t="s">
        <v>12</v>
      </c>
      <c r="F67" s="77" t="e">
        <f>F66/F49*100</f>
        <v>#DIV/0!</v>
      </c>
      <c r="G67" s="77" t="e">
        <f>G66/G49*100</f>
        <v>#DIV/0!</v>
      </c>
      <c r="H67" s="77" t="e">
        <f t="shared" ref="H67:S67" si="52">H66/H49*100</f>
        <v>#DIV/0!</v>
      </c>
      <c r="I67" s="77" t="e">
        <f t="shared" si="52"/>
        <v>#DIV/0!</v>
      </c>
      <c r="J67" s="77" t="e">
        <f t="shared" si="52"/>
        <v>#DIV/0!</v>
      </c>
      <c r="K67" s="77" t="e">
        <f t="shared" si="52"/>
        <v>#DIV/0!</v>
      </c>
      <c r="L67" s="87">
        <f t="shared" si="52"/>
        <v>1.5822063183006052</v>
      </c>
      <c r="M67" s="87">
        <f t="shared" si="52"/>
        <v>1.4397997778433935</v>
      </c>
      <c r="N67" s="87">
        <f>N66/(N44+N49)*100</f>
        <v>1.3420624528825933</v>
      </c>
      <c r="O67" s="87" t="e">
        <f t="shared" si="52"/>
        <v>#DIV/0!</v>
      </c>
      <c r="P67" s="87" t="e">
        <f>P66/(P49+P44)*100</f>
        <v>#DIV/0!</v>
      </c>
      <c r="Q67" s="87" t="e">
        <f>Q66/Q49*100</f>
        <v>#DIV/0!</v>
      </c>
      <c r="R67" s="87" t="e">
        <f>R66/R49*100</f>
        <v>#DIV/0!</v>
      </c>
      <c r="S67" s="87" t="e">
        <f t="shared" si="52"/>
        <v>#DIV/0!</v>
      </c>
      <c r="T67" s="87" t="e">
        <f>T66/(T49+T44)*100</f>
        <v>#DIV/0!</v>
      </c>
      <c r="U67" s="87" t="e">
        <f>U66/U49*100</f>
        <v>#DIV/0!</v>
      </c>
      <c r="V67" s="87" t="e">
        <f t="shared" ref="V67:AA67" si="53">V66/V49*100</f>
        <v>#DIV/0!</v>
      </c>
      <c r="W67" s="87" t="e">
        <f t="shared" si="53"/>
        <v>#DIV/0!</v>
      </c>
      <c r="X67" s="87" t="e">
        <f t="shared" si="53"/>
        <v>#DIV/0!</v>
      </c>
      <c r="Y67" s="87" t="e">
        <f t="shared" si="53"/>
        <v>#DIV/0!</v>
      </c>
      <c r="Z67" s="87" t="e">
        <f t="shared" si="53"/>
        <v>#DIV/0!</v>
      </c>
      <c r="AA67" s="87">
        <f t="shared" si="53"/>
        <v>1.4491525423728815</v>
      </c>
      <c r="AB67" s="87">
        <f>AB66/(AB49+AB44)*100</f>
        <v>1.4990291262135922</v>
      </c>
      <c r="AC67" s="77" t="e">
        <f>AC66/(AC49)*100</f>
        <v>#DIV/0!</v>
      </c>
      <c r="AD67" s="87" t="e">
        <f t="shared" ref="AD67:AJ67" si="54">AD66/AD49*100</f>
        <v>#DIV/0!</v>
      </c>
      <c r="AE67" s="87" t="e">
        <f t="shared" ref="AE67:AF67" si="55">AE66/AE49*100</f>
        <v>#DIV/0!</v>
      </c>
      <c r="AF67" s="87" t="e">
        <f t="shared" si="55"/>
        <v>#DIV/0!</v>
      </c>
      <c r="AG67" s="87">
        <f>AG66/AG49*100</f>
        <v>1.5921481447874843</v>
      </c>
      <c r="AH67" s="87">
        <f t="shared" si="54"/>
        <v>1.5758049797940292</v>
      </c>
      <c r="AI67" s="87" t="e">
        <f t="shared" si="54"/>
        <v>#DIV/0!</v>
      </c>
      <c r="AJ67" s="87" t="e">
        <f t="shared" si="54"/>
        <v>#DIV/0!</v>
      </c>
      <c r="AK67" s="111"/>
      <c r="AL67" s="122">
        <f>AL66/(AL49+AL44)*100</f>
        <v>1.4863606608035174</v>
      </c>
      <c r="AM67" s="12"/>
      <c r="AN67" s="11">
        <f>AL67*10</f>
        <v>14.863606608035173</v>
      </c>
      <c r="EB67" s="252"/>
      <c r="EC67" s="252"/>
      <c r="FI67" s="252"/>
      <c r="VGE67"/>
      <c r="VGF67"/>
      <c r="VGG67"/>
      <c r="VGH67"/>
      <c r="VGI67"/>
      <c r="VGJ67"/>
      <c r="VGK67"/>
      <c r="VGL67"/>
      <c r="VGM67"/>
      <c r="VGN67"/>
      <c r="VGO67"/>
      <c r="VGP67"/>
      <c r="VGQ67"/>
      <c r="VGR67"/>
    </row>
    <row r="68" spans="2:165 15059:15072">
      <c r="B68" s="61"/>
      <c r="C68" s="206" t="s">
        <v>57</v>
      </c>
      <c r="D68" s="54">
        <v>0.55000000000000004</v>
      </c>
      <c r="E68" s="207" t="s">
        <v>9</v>
      </c>
      <c r="F68" s="44">
        <v>754.40000000000009</v>
      </c>
      <c r="G68" s="44">
        <v>700.7</v>
      </c>
      <c r="H68" s="44">
        <v>680.9</v>
      </c>
      <c r="I68" s="44">
        <v>684.43999999999994</v>
      </c>
      <c r="J68" s="44">
        <v>686.8599999999999</v>
      </c>
      <c r="K68" s="44">
        <v>599.40000000000009</v>
      </c>
      <c r="L68" s="44">
        <v>712.5</v>
      </c>
      <c r="M68" s="44">
        <v>699.59999999999991</v>
      </c>
      <c r="N68" s="44">
        <v>739.3</v>
      </c>
      <c r="O68" s="44">
        <v>728.75000000000011</v>
      </c>
      <c r="P68" s="44">
        <v>724.09</v>
      </c>
      <c r="Q68" s="44">
        <v>718.31000000000006</v>
      </c>
      <c r="R68" s="44">
        <v>703.16</v>
      </c>
      <c r="S68" s="44">
        <v>701.89999999999986</v>
      </c>
      <c r="T68" s="44">
        <v>701.90000000000009</v>
      </c>
      <c r="U68" s="44">
        <v>666.90000000000009</v>
      </c>
      <c r="V68" s="44">
        <v>791.71</v>
      </c>
      <c r="W68" s="44">
        <v>817.3</v>
      </c>
      <c r="X68" s="44">
        <v>773.06000000000006</v>
      </c>
      <c r="Y68" s="44">
        <v>731.07999999999993</v>
      </c>
      <c r="Z68" s="44">
        <v>678.57</v>
      </c>
      <c r="AA68" s="44">
        <v>743.90000000000009</v>
      </c>
      <c r="AB68" s="44">
        <v>747.4</v>
      </c>
      <c r="AC68" s="44">
        <v>1052.9000000000001</v>
      </c>
      <c r="AD68" s="44">
        <v>1174.08</v>
      </c>
      <c r="AE68" s="44">
        <v>1161.3700000000001</v>
      </c>
      <c r="AF68" s="44">
        <v>980.6099999999999</v>
      </c>
      <c r="AG68" s="44">
        <v>929.31000000000006</v>
      </c>
      <c r="AH68" s="44">
        <v>1002.7600000000001</v>
      </c>
      <c r="AI68" s="44">
        <v>1007.45</v>
      </c>
      <c r="AJ68" s="44">
        <v>1007.42</v>
      </c>
      <c r="AK68" s="111"/>
      <c r="AL68" s="121">
        <f>SUM(F68:AJ68)</f>
        <v>24802.03</v>
      </c>
    </row>
    <row r="69" spans="2:165 15059:15072">
      <c r="B69" s="78"/>
      <c r="C69" s="79"/>
      <c r="D69" s="59"/>
      <c r="E69" s="211" t="s">
        <v>12</v>
      </c>
      <c r="F69" s="80">
        <f t="shared" ref="F69:AJ69" si="56">F68/(F31+F32)*100</f>
        <v>5.195914347308029E-2</v>
      </c>
      <c r="G69" s="80">
        <f t="shared" si="56"/>
        <v>4.9887509255567584E-2</v>
      </c>
      <c r="H69" s="80">
        <f t="shared" si="56"/>
        <v>4.7445840388541639E-2</v>
      </c>
      <c r="I69" s="94">
        <f t="shared" si="56"/>
        <v>4.7553671923851869E-2</v>
      </c>
      <c r="J69" s="80">
        <f t="shared" si="56"/>
        <v>4.7690000416591438E-2</v>
      </c>
      <c r="K69" s="80">
        <f t="shared" si="56"/>
        <v>4.6784629914376485E-2</v>
      </c>
      <c r="L69" s="80">
        <f t="shared" si="56"/>
        <v>4.947195200699863E-2</v>
      </c>
      <c r="M69" s="80">
        <f t="shared" si="56"/>
        <v>4.9183785379845607E-2</v>
      </c>
      <c r="N69" s="80">
        <f t="shared" si="56"/>
        <v>5.1333504607031018E-2</v>
      </c>
      <c r="O69" s="80">
        <f t="shared" si="56"/>
        <v>5.0605530325125346E-2</v>
      </c>
      <c r="P69" s="80">
        <f t="shared" si="56"/>
        <v>5.0289964787509633E-2</v>
      </c>
      <c r="Q69" s="80">
        <f t="shared" si="56"/>
        <v>4.9876058020122342E-2</v>
      </c>
      <c r="R69" s="80">
        <f t="shared" si="56"/>
        <v>4.8824791517668054E-2</v>
      </c>
      <c r="S69" s="80">
        <f t="shared" si="56"/>
        <v>4.8737301846309464E-2</v>
      </c>
      <c r="T69" s="80">
        <f t="shared" si="56"/>
        <v>4.9218837652866956E-2</v>
      </c>
      <c r="U69" s="80">
        <f t="shared" si="56"/>
        <v>5.1988649651537669E-2</v>
      </c>
      <c r="V69" s="80">
        <f t="shared" si="56"/>
        <v>4.9274613656308155E-2</v>
      </c>
      <c r="W69" s="80">
        <f t="shared" si="56"/>
        <v>5.222998319284769E-2</v>
      </c>
      <c r="X69" s="80">
        <f t="shared" si="56"/>
        <v>5.0306173578618933E-2</v>
      </c>
      <c r="Y69" s="80">
        <f t="shared" si="56"/>
        <v>4.9848289593007002E-2</v>
      </c>
      <c r="Z69" s="80">
        <f t="shared" si="56"/>
        <v>4.9119771835594586E-2</v>
      </c>
      <c r="AA69" s="80">
        <f t="shared" si="56"/>
        <v>5.0907075255424657E-2</v>
      </c>
      <c r="AB69" s="80">
        <f t="shared" si="56"/>
        <v>4.9389732169408292E-2</v>
      </c>
      <c r="AC69" s="80">
        <f t="shared" si="56"/>
        <v>5.4556100189643207E-2</v>
      </c>
      <c r="AD69" s="273">
        <f t="shared" si="56"/>
        <v>5.8309535989034177E-2</v>
      </c>
      <c r="AE69" s="273">
        <f t="shared" ref="AE69:AG69" si="57">AE68/(AE31+AE32)*100</f>
        <v>5.8551845484474049E-2</v>
      </c>
      <c r="AF69" s="80">
        <f t="shared" si="57"/>
        <v>5.2597392148554196E-2</v>
      </c>
      <c r="AG69" s="80">
        <f t="shared" si="57"/>
        <v>5.3894288763106313E-2</v>
      </c>
      <c r="AH69" s="80">
        <f t="shared" si="56"/>
        <v>5.0867439076355193E-2</v>
      </c>
      <c r="AI69" s="80">
        <f t="shared" si="56"/>
        <v>4.9994541268013573E-2</v>
      </c>
      <c r="AJ69" s="80">
        <f t="shared" si="56"/>
        <v>4.9990323685137672E-2</v>
      </c>
      <c r="AK69" s="13"/>
      <c r="AL69" s="123">
        <f>AL68/(AL31)*100</f>
        <v>5.0914988576884444E-2</v>
      </c>
      <c r="AN69" s="11">
        <f>AL69*10</f>
        <v>0.50914988576884446</v>
      </c>
    </row>
    <row r="70" spans="2:165 15059:15072" s="5" customFormat="1">
      <c r="B70" s="81">
        <v>4</v>
      </c>
      <c r="C70" s="212" t="s">
        <v>58</v>
      </c>
      <c r="D70" s="82">
        <v>0.8</v>
      </c>
      <c r="E70" s="213" t="s">
        <v>12</v>
      </c>
      <c r="F70" s="83">
        <f t="shared" ref="F70:AJ70" si="58">((SUM(F37:F38))-(SUM(F31:F32)))/(SUM(F31:F32))*100</f>
        <v>-0.6129856533807192</v>
      </c>
      <c r="G70" s="83">
        <f t="shared" si="58"/>
        <v>-0.60873156006151397</v>
      </c>
      <c r="H70" s="83">
        <f t="shared" si="58"/>
        <v>-0.62294876350941741</v>
      </c>
      <c r="I70" s="83">
        <f t="shared" si="58"/>
        <v>-0.68505523518376987</v>
      </c>
      <c r="J70" s="83">
        <f t="shared" si="58"/>
        <v>-0.75125324594170506</v>
      </c>
      <c r="K70" s="83">
        <f>((SUM(K37:K38))-(SUM(K31:K32)))/(SUM(K31:K32))*100</f>
        <v>-0.60958952224105978</v>
      </c>
      <c r="L70" s="83">
        <f t="shared" si="58"/>
        <v>-0.751973670507042</v>
      </c>
      <c r="M70" s="83">
        <f>((SUM(M37:M38))-(SUM(M31:M32)))/(SUM(M31:M32))*100</f>
        <v>-0.78176628562590511</v>
      </c>
      <c r="N70" s="83">
        <f t="shared" si="58"/>
        <v>-0.75267846603573141</v>
      </c>
      <c r="O70" s="83">
        <f t="shared" si="58"/>
        <v>-0.74441342721831028</v>
      </c>
      <c r="P70" s="83">
        <f t="shared" si="58"/>
        <v>-0.73133633831770184</v>
      </c>
      <c r="Q70" s="83">
        <f t="shared" si="58"/>
        <v>-0.75198411320728509</v>
      </c>
      <c r="R70" s="83">
        <f t="shared" si="58"/>
        <v>-0.74366220654507686</v>
      </c>
      <c r="S70" s="83">
        <f t="shared" si="58"/>
        <v>-0.62076004916155381</v>
      </c>
      <c r="T70" s="83">
        <f t="shared" si="58"/>
        <v>-0.77204644900638797</v>
      </c>
      <c r="U70" s="83">
        <f t="shared" si="58"/>
        <v>-0.79358892405632286</v>
      </c>
      <c r="V70" s="83">
        <f t="shared" si="58"/>
        <v>-0.61055684526958487</v>
      </c>
      <c r="W70" s="83">
        <f t="shared" si="58"/>
        <v>-0.61029773582733793</v>
      </c>
      <c r="X70" s="83">
        <f t="shared" si="58"/>
        <v>-0.62210827026636006</v>
      </c>
      <c r="Y70" s="83">
        <f t="shared" si="58"/>
        <v>-0.76162033533045514</v>
      </c>
      <c r="Z70" s="83">
        <f t="shared" si="58"/>
        <v>-0.62108204363570729</v>
      </c>
      <c r="AA70" s="83">
        <f t="shared" si="58"/>
        <v>-0.76986771961759293</v>
      </c>
      <c r="AB70" s="83">
        <f t="shared" si="58"/>
        <v>-0.60531167603930969</v>
      </c>
      <c r="AC70" s="83">
        <f t="shared" si="58"/>
        <v>-0.77981698912920783</v>
      </c>
      <c r="AD70" s="83">
        <f>((SUM(AD37:AD38))-(SUM(AD31:AD32)))/(SUM(AD31:AD32))*100</f>
        <v>-0.77873187883964978</v>
      </c>
      <c r="AE70" s="83">
        <f t="shared" ref="AE70:AG70" si="59">((SUM(AE37:AE38))-(SUM(AE31:AE32)))/(SUM(AE31:AE32))*100</f>
        <v>-0.63776474799519778</v>
      </c>
      <c r="AF70" s="83">
        <f t="shared" si="59"/>
        <v>-0.75306940146054768</v>
      </c>
      <c r="AG70" s="83">
        <f t="shared" si="59"/>
        <v>-0.62865361417891974</v>
      </c>
      <c r="AH70" s="83">
        <f t="shared" si="58"/>
        <v>-0.78323154028774189</v>
      </c>
      <c r="AI70" s="83">
        <f t="shared" si="58"/>
        <v>-0.77067370677675229</v>
      </c>
      <c r="AJ70" s="83">
        <f t="shared" si="58"/>
        <v>-0.7750976315363397</v>
      </c>
      <c r="AK70" s="124"/>
      <c r="AL70" s="125">
        <f>((SUM(AL37:AL38))-(SUM(AL31:AL32)))/(SUM(AL31:AL32))*100</f>
        <v>-0.70724984465025176</v>
      </c>
      <c r="AM70" s="280"/>
      <c r="AN70" s="126"/>
      <c r="EB70" s="276"/>
      <c r="EC70" s="276"/>
      <c r="FI70" s="276"/>
    </row>
    <row r="71" spans="2:165 15059:15072" s="5" customFormat="1" ht="14.25">
      <c r="B71" s="60"/>
      <c r="C71" s="204" t="s">
        <v>59</v>
      </c>
      <c r="D71" s="84">
        <v>22</v>
      </c>
      <c r="E71" s="205" t="s">
        <v>12</v>
      </c>
      <c r="F71" s="71">
        <v>21.32</v>
      </c>
      <c r="G71" s="71">
        <v>21.32</v>
      </c>
      <c r="H71" s="71">
        <v>21.33</v>
      </c>
      <c r="I71" s="71">
        <v>21.32</v>
      </c>
      <c r="J71" s="71">
        <v>21.35</v>
      </c>
      <c r="K71" s="71">
        <v>21.32</v>
      </c>
      <c r="L71" s="71">
        <v>21.31</v>
      </c>
      <c r="M71" s="71">
        <v>21.27</v>
      </c>
      <c r="N71" s="71">
        <v>21.32</v>
      </c>
      <c r="O71" s="71">
        <v>21.37</v>
      </c>
      <c r="P71" s="71">
        <v>21.35</v>
      </c>
      <c r="Q71" s="71">
        <v>21.34</v>
      </c>
      <c r="R71" s="71">
        <v>21.36</v>
      </c>
      <c r="S71" s="71">
        <v>21.32</v>
      </c>
      <c r="T71" s="71">
        <v>21.29</v>
      </c>
      <c r="U71" s="71">
        <v>21.3</v>
      </c>
      <c r="V71" s="71">
        <v>21.31</v>
      </c>
      <c r="W71" s="71">
        <v>21.4</v>
      </c>
      <c r="X71" s="71">
        <v>21.35</v>
      </c>
      <c r="Y71" s="71">
        <v>21.37</v>
      </c>
      <c r="Z71" s="71">
        <v>21.43</v>
      </c>
      <c r="AA71" s="71">
        <v>21.37</v>
      </c>
      <c r="AB71" s="71">
        <v>21.36</v>
      </c>
      <c r="AC71" s="71">
        <v>21.38</v>
      </c>
      <c r="AD71" s="71">
        <v>21.36</v>
      </c>
      <c r="AE71" s="71">
        <v>21.36</v>
      </c>
      <c r="AF71" s="71">
        <v>21.35</v>
      </c>
      <c r="AG71" s="71">
        <v>21.4</v>
      </c>
      <c r="AH71" s="71">
        <v>21.39</v>
      </c>
      <c r="AI71" s="71">
        <v>21.38</v>
      </c>
      <c r="AJ71" s="71">
        <v>21.36</v>
      </c>
      <c r="AK71" s="127"/>
      <c r="AL71" s="128">
        <f>AVERAGE(F71:AJ71)</f>
        <v>21.347096774193552</v>
      </c>
      <c r="AM71" s="276"/>
      <c r="AN71" s="126"/>
      <c r="EB71" s="276"/>
      <c r="EC71" s="276"/>
      <c r="FI71" s="276"/>
    </row>
    <row r="72" spans="2:165 15059:15072" s="5" customFormat="1" ht="14.25">
      <c r="B72" s="85"/>
      <c r="C72" s="214" t="s">
        <v>60</v>
      </c>
      <c r="D72" s="59"/>
      <c r="E72" s="215" t="s">
        <v>9</v>
      </c>
      <c r="F72" s="71">
        <f t="shared" ref="F72:AJ72" si="60">SUM(F64,F66)+(F71%*SUM(F64,F66))</f>
        <v>13840.185600000001</v>
      </c>
      <c r="G72" s="71">
        <f t="shared" si="60"/>
        <v>13384.0224</v>
      </c>
      <c r="H72" s="71">
        <f t="shared" si="60"/>
        <v>13356.0064</v>
      </c>
      <c r="I72" s="71">
        <f t="shared" si="60"/>
        <v>13054.031999999999</v>
      </c>
      <c r="J72" s="71">
        <f>SUM(J64,J66)+(J71%*SUM(J64,J66))</f>
        <v>12484.488000000001</v>
      </c>
      <c r="K72" s="71">
        <f t="shared" si="60"/>
        <v>11229.379199999999</v>
      </c>
      <c r="L72" s="71">
        <f t="shared" si="60"/>
        <v>24630.7824</v>
      </c>
      <c r="M72" s="71">
        <f t="shared" si="60"/>
        <v>24836.095999999998</v>
      </c>
      <c r="N72" s="71">
        <f t="shared" si="60"/>
        <v>21992.889599999999</v>
      </c>
      <c r="O72" s="71">
        <f t="shared" si="60"/>
        <v>12526.5977</v>
      </c>
      <c r="P72" s="71">
        <f t="shared" si="60"/>
        <v>12221.158500000001</v>
      </c>
      <c r="Q72" s="71">
        <f t="shared" si="60"/>
        <v>12231.072</v>
      </c>
      <c r="R72" s="71">
        <f t="shared" si="60"/>
        <v>12271.923199999999</v>
      </c>
      <c r="S72" s="71">
        <f t="shared" si="60"/>
        <v>11452.608</v>
      </c>
      <c r="T72" s="71">
        <f t="shared" si="60"/>
        <v>11246.0088</v>
      </c>
      <c r="U72" s="71">
        <f t="shared" si="60"/>
        <v>9684.5920000000006</v>
      </c>
      <c r="V72" s="71">
        <f t="shared" si="60"/>
        <v>14013.7312</v>
      </c>
      <c r="W72" s="71">
        <f t="shared" si="60"/>
        <v>14004.704</v>
      </c>
      <c r="X72" s="71">
        <f t="shared" si="60"/>
        <v>13125.216</v>
      </c>
      <c r="Y72" s="71">
        <f>SUM(Y64,Y66)+(Y71%*SUM(Y64,Y66))</f>
        <v>12496.2552</v>
      </c>
      <c r="Z72" s="71">
        <f t="shared" si="60"/>
        <v>13464.1584</v>
      </c>
      <c r="AA72" s="71">
        <f t="shared" si="60"/>
        <v>22963.204000000002</v>
      </c>
      <c r="AB72" s="71">
        <f t="shared" si="60"/>
        <v>19883.6224</v>
      </c>
      <c r="AC72" s="71">
        <f t="shared" si="60"/>
        <v>19712.112000000001</v>
      </c>
      <c r="AD72" s="71">
        <f t="shared" si="60"/>
        <v>19514.687999999998</v>
      </c>
      <c r="AE72" s="71">
        <f t="shared" ref="AE72:AG72" si="61">SUM(AE64,AE66)+(AE71%*SUM(AE64,AE66))</f>
        <v>17805.939200000001</v>
      </c>
      <c r="AF72" s="71">
        <f t="shared" si="61"/>
        <v>16639.511999999999</v>
      </c>
      <c r="AG72" s="71">
        <f t="shared" si="61"/>
        <v>29145.712</v>
      </c>
      <c r="AH72" s="71">
        <f t="shared" si="60"/>
        <v>19354.421600000001</v>
      </c>
      <c r="AI72" s="71">
        <f t="shared" si="60"/>
        <v>17905.977599999998</v>
      </c>
      <c r="AJ72" s="71">
        <f t="shared" si="60"/>
        <v>18485.555199999999</v>
      </c>
      <c r="AK72" s="127"/>
      <c r="AL72" s="128">
        <f>SUM(AL64,AL66)+(AL71%*SUM(AL64,AL66))</f>
        <v>498950.13863225805</v>
      </c>
      <c r="AM72" s="281"/>
      <c r="AN72" s="126"/>
      <c r="EB72" s="276"/>
      <c r="EC72" s="276"/>
      <c r="FI72" s="276"/>
    </row>
    <row r="73" spans="2:165 15059:15072">
      <c r="B73" s="38">
        <v>5</v>
      </c>
      <c r="C73" s="20" t="s">
        <v>61</v>
      </c>
      <c r="D73" s="39"/>
      <c r="E73" s="39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91"/>
      <c r="AD73" s="40"/>
      <c r="AE73" s="40"/>
      <c r="AF73" s="40"/>
      <c r="AG73" s="40"/>
      <c r="AH73" s="40"/>
      <c r="AI73" s="40"/>
      <c r="AJ73" s="40"/>
      <c r="AK73" s="95"/>
      <c r="AL73" s="203" t="s">
        <v>62</v>
      </c>
    </row>
    <row r="74" spans="2:165 15059:15072" s="6" customFormat="1">
      <c r="B74" s="45"/>
      <c r="C74" s="130" t="s">
        <v>63</v>
      </c>
      <c r="D74" s="131"/>
      <c r="E74" s="132" t="s">
        <v>9</v>
      </c>
      <c r="F74" s="133">
        <v>89092</v>
      </c>
      <c r="G74" s="133">
        <v>100772</v>
      </c>
      <c r="H74" s="133">
        <v>92399</v>
      </c>
      <c r="I74" s="133">
        <v>103264</v>
      </c>
      <c r="J74" s="133">
        <v>120727</v>
      </c>
      <c r="K74" s="133">
        <v>146919</v>
      </c>
      <c r="L74" s="133">
        <v>36004</v>
      </c>
      <c r="M74" s="133">
        <v>108186</v>
      </c>
      <c r="N74" s="133">
        <v>122362</v>
      </c>
      <c r="O74" s="133">
        <v>89365</v>
      </c>
      <c r="P74" s="133">
        <v>110170</v>
      </c>
      <c r="Q74" s="133">
        <v>121972</v>
      </c>
      <c r="R74" s="133">
        <v>38184</v>
      </c>
      <c r="S74" s="133">
        <v>142625</v>
      </c>
      <c r="T74" s="133">
        <v>113928</v>
      </c>
      <c r="U74" s="133">
        <v>122323</v>
      </c>
      <c r="V74" s="133">
        <v>110626</v>
      </c>
      <c r="W74" s="133">
        <v>118032</v>
      </c>
      <c r="X74" s="133">
        <v>92721</v>
      </c>
      <c r="Y74" s="133">
        <v>118920</v>
      </c>
      <c r="Z74" s="133">
        <v>72702</v>
      </c>
      <c r="AA74" s="133">
        <v>131027</v>
      </c>
      <c r="AB74" s="133">
        <v>122563</v>
      </c>
      <c r="AC74" s="133">
        <v>117073</v>
      </c>
      <c r="AD74" s="133">
        <v>121725</v>
      </c>
      <c r="AE74" s="133">
        <v>96937</v>
      </c>
      <c r="AF74" s="133">
        <v>0</v>
      </c>
      <c r="AG74" s="133">
        <v>107091</v>
      </c>
      <c r="AH74" s="133">
        <v>112162</v>
      </c>
      <c r="AI74" s="133">
        <v>120724</v>
      </c>
      <c r="AJ74" s="133">
        <v>116871</v>
      </c>
      <c r="AK74" s="148"/>
      <c r="AL74" s="149">
        <f>SUM(F74:AJ74)</f>
        <v>3217466</v>
      </c>
      <c r="AN74" s="150"/>
      <c r="CC74" s="148"/>
      <c r="EB74" s="245"/>
      <c r="EC74" s="245"/>
      <c r="FI74" s="245"/>
    </row>
    <row r="75" spans="2:165 15059:15072" s="1" customFormat="1">
      <c r="B75" s="55"/>
      <c r="C75" s="216" t="s">
        <v>64</v>
      </c>
      <c r="D75" s="134"/>
      <c r="E75" s="217" t="s">
        <v>9</v>
      </c>
      <c r="F75" s="269">
        <v>77111.429999999993</v>
      </c>
      <c r="G75" s="239">
        <v>115688.875</v>
      </c>
      <c r="H75" s="53">
        <v>115688.875</v>
      </c>
      <c r="I75" s="53">
        <v>0</v>
      </c>
      <c r="J75" s="241">
        <v>115667.155</v>
      </c>
      <c r="K75" s="53">
        <v>92315.43</v>
      </c>
      <c r="L75" s="53">
        <v>73310.429999999993</v>
      </c>
      <c r="M75" s="53">
        <v>115688.875</v>
      </c>
      <c r="N75" s="240">
        <v>115667.155</v>
      </c>
      <c r="O75" s="240">
        <v>77112.334999999992</v>
      </c>
      <c r="P75" s="53">
        <v>0</v>
      </c>
      <c r="Q75" s="53">
        <v>77123.194999999992</v>
      </c>
      <c r="R75" s="53">
        <v>91231.25</v>
      </c>
      <c r="S75" s="241">
        <v>115689.785</v>
      </c>
      <c r="T75" s="53">
        <v>115688.875</v>
      </c>
      <c r="U75" s="239">
        <v>118859.995</v>
      </c>
      <c r="V75" s="53">
        <v>119469.065</v>
      </c>
      <c r="W75" s="241">
        <v>0</v>
      </c>
      <c r="X75" s="53">
        <v>79633.675000000003</v>
      </c>
      <c r="Y75" s="53">
        <v>94226.79</v>
      </c>
      <c r="Z75" s="53">
        <v>118186.675</v>
      </c>
      <c r="AA75" s="53">
        <v>119446.435</v>
      </c>
      <c r="AB75" s="239">
        <v>119479.01500000001</v>
      </c>
      <c r="AC75" s="53">
        <v>119457.29500000001</v>
      </c>
      <c r="AD75" s="53">
        <v>0</v>
      </c>
      <c r="AE75" s="53">
        <v>79642.714999999997</v>
      </c>
      <c r="AF75" s="53">
        <v>0</v>
      </c>
      <c r="AG75" s="53">
        <v>119533.315</v>
      </c>
      <c r="AH75" s="53">
        <v>118240.97500000001</v>
      </c>
      <c r="AI75" s="53">
        <v>119458.20500000002</v>
      </c>
      <c r="AJ75" s="53">
        <v>119469.065</v>
      </c>
      <c r="AK75" s="151"/>
      <c r="AL75" s="149">
        <f>SUM(F75:AJ75)</f>
        <v>2743086.8849999998</v>
      </c>
      <c r="AM75" s="246"/>
      <c r="AN75" s="106">
        <f>SUM(AL76,AL103)/1000</f>
        <v>3228.1241400000008</v>
      </c>
      <c r="AP75" s="1">
        <v>2318</v>
      </c>
      <c r="EB75" s="233"/>
      <c r="EC75" s="233"/>
      <c r="FI75" s="233"/>
    </row>
    <row r="76" spans="2:165 15059:15072" s="1" customFormat="1" ht="14.25">
      <c r="B76" s="55"/>
      <c r="C76" s="218" t="s">
        <v>65</v>
      </c>
      <c r="D76" s="59"/>
      <c r="E76" s="219" t="s">
        <v>9</v>
      </c>
      <c r="F76" s="71">
        <f t="shared" ref="F76:AJ76" si="62">SUM(F80:F81)*10.86</f>
        <v>77106</v>
      </c>
      <c r="G76" s="71">
        <f t="shared" si="62"/>
        <v>115680.72</v>
      </c>
      <c r="H76" s="71">
        <f t="shared" si="62"/>
        <v>115680.72</v>
      </c>
      <c r="I76" s="71">
        <f t="shared" si="62"/>
        <v>0</v>
      </c>
      <c r="J76" s="71">
        <f t="shared" si="62"/>
        <v>115659</v>
      </c>
      <c r="K76" s="71">
        <f t="shared" si="62"/>
        <v>92310</v>
      </c>
      <c r="L76" s="71">
        <f t="shared" si="62"/>
        <v>73305</v>
      </c>
      <c r="M76" s="71">
        <f t="shared" si="62"/>
        <v>115680.72</v>
      </c>
      <c r="N76" s="71">
        <f t="shared" si="62"/>
        <v>115659</v>
      </c>
      <c r="O76" s="71">
        <f t="shared" si="62"/>
        <v>77106</v>
      </c>
      <c r="P76" s="71">
        <f t="shared" si="62"/>
        <v>0</v>
      </c>
      <c r="Q76" s="71">
        <f t="shared" si="62"/>
        <v>77116.86</v>
      </c>
      <c r="R76" s="71">
        <f t="shared" si="62"/>
        <v>91224</v>
      </c>
      <c r="S76" s="71">
        <f t="shared" si="62"/>
        <v>115680.72</v>
      </c>
      <c r="T76" s="71">
        <f t="shared" si="62"/>
        <v>115680.72</v>
      </c>
      <c r="U76" s="71">
        <f t="shared" si="62"/>
        <v>118851.84</v>
      </c>
      <c r="V76" s="71">
        <f t="shared" si="62"/>
        <v>119460</v>
      </c>
      <c r="W76" s="71">
        <f t="shared" si="62"/>
        <v>0</v>
      </c>
      <c r="X76" s="71">
        <f t="shared" si="62"/>
        <v>79625.51999999999</v>
      </c>
      <c r="Y76" s="71">
        <f t="shared" si="62"/>
        <v>94221.36</v>
      </c>
      <c r="Z76" s="71">
        <f t="shared" si="62"/>
        <v>118178.51999999999</v>
      </c>
      <c r="AA76" s="71">
        <f t="shared" si="62"/>
        <v>119438.28</v>
      </c>
      <c r="AB76" s="71">
        <f t="shared" si="62"/>
        <v>119470.86</v>
      </c>
      <c r="AC76" s="71">
        <f t="shared" si="62"/>
        <v>119449.14</v>
      </c>
      <c r="AD76" s="71">
        <f t="shared" si="62"/>
        <v>0</v>
      </c>
      <c r="AE76" s="71">
        <f t="shared" ref="AE76:AG76" si="63">SUM(AE80:AE81)*10.86</f>
        <v>79636.37999999999</v>
      </c>
      <c r="AF76" s="249">
        <f t="shared" si="63"/>
        <v>0</v>
      </c>
      <c r="AG76" s="71">
        <f t="shared" si="63"/>
        <v>119525.15999999999</v>
      </c>
      <c r="AH76" s="71">
        <f t="shared" si="62"/>
        <v>118232.81999999999</v>
      </c>
      <c r="AI76" s="249">
        <f t="shared" si="62"/>
        <v>119449.14</v>
      </c>
      <c r="AJ76" s="71">
        <f t="shared" si="62"/>
        <v>119460</v>
      </c>
      <c r="AK76" s="105"/>
      <c r="AL76" s="107">
        <f>SUM(F76:AJ76)</f>
        <v>2742888.4800000004</v>
      </c>
      <c r="AM76" s="152"/>
      <c r="AN76" s="248">
        <f>AN75/AP75*100</f>
        <v>139.2633364969802</v>
      </c>
      <c r="EB76" s="233"/>
      <c r="EC76" s="233"/>
      <c r="FI76" s="233"/>
    </row>
    <row r="77" spans="2:165 15059:15072" s="1" customFormat="1" ht="14.25">
      <c r="B77" s="55"/>
      <c r="C77" s="218" t="s">
        <v>66</v>
      </c>
      <c r="D77" s="59"/>
      <c r="E77" s="219" t="s">
        <v>9</v>
      </c>
      <c r="F77" s="71">
        <f>F75-F76</f>
        <v>5.4299999999930151</v>
      </c>
      <c r="G77" s="71">
        <f t="shared" ref="G77:AJ77" si="64">G75-G76</f>
        <v>8.1549999999988358</v>
      </c>
      <c r="H77" s="71">
        <f t="shared" si="64"/>
        <v>8.1549999999988358</v>
      </c>
      <c r="I77" s="71">
        <f t="shared" si="64"/>
        <v>0</v>
      </c>
      <c r="J77" s="71">
        <f t="shared" si="64"/>
        <v>8.1549999999988358</v>
      </c>
      <c r="K77" s="71">
        <f t="shared" si="64"/>
        <v>5.4299999999930151</v>
      </c>
      <c r="L77" s="71">
        <f t="shared" si="64"/>
        <v>5.4299999999930151</v>
      </c>
      <c r="M77" s="71">
        <f t="shared" si="64"/>
        <v>8.1549999999988358</v>
      </c>
      <c r="N77" s="71">
        <f t="shared" si="64"/>
        <v>8.1549999999988358</v>
      </c>
      <c r="O77" s="71">
        <f t="shared" si="64"/>
        <v>6.3349999999918509</v>
      </c>
      <c r="P77" s="71">
        <f t="shared" si="64"/>
        <v>0</v>
      </c>
      <c r="Q77" s="71">
        <f t="shared" si="64"/>
        <v>6.3349999999918509</v>
      </c>
      <c r="R77" s="71">
        <f t="shared" si="64"/>
        <v>7.25</v>
      </c>
      <c r="S77" s="71">
        <f t="shared" si="64"/>
        <v>9.0650000000023283</v>
      </c>
      <c r="T77" s="71">
        <f t="shared" si="64"/>
        <v>8.1549999999988358</v>
      </c>
      <c r="U77" s="71">
        <f t="shared" si="64"/>
        <v>8.1549999999988358</v>
      </c>
      <c r="V77" s="71">
        <f t="shared" si="64"/>
        <v>9.0650000000023283</v>
      </c>
      <c r="W77" s="71">
        <f t="shared" si="64"/>
        <v>0</v>
      </c>
      <c r="X77" s="71">
        <f t="shared" si="64"/>
        <v>8.1550000000133878</v>
      </c>
      <c r="Y77" s="71">
        <f t="shared" si="64"/>
        <v>5.4299999999930151</v>
      </c>
      <c r="Z77" s="71">
        <f t="shared" si="64"/>
        <v>8.1550000000133878</v>
      </c>
      <c r="AA77" s="71">
        <f t="shared" si="64"/>
        <v>8.1549999999988358</v>
      </c>
      <c r="AB77" s="71">
        <f t="shared" si="64"/>
        <v>8.1550000000133878</v>
      </c>
      <c r="AC77" s="71">
        <f t="shared" si="64"/>
        <v>8.1550000000133878</v>
      </c>
      <c r="AD77" s="71">
        <f t="shared" si="64"/>
        <v>0</v>
      </c>
      <c r="AE77" s="71">
        <f t="shared" ref="AE77:AG77" si="65">AE75-AE76</f>
        <v>6.3350000000064028</v>
      </c>
      <c r="AF77" s="71">
        <f t="shared" si="65"/>
        <v>0</v>
      </c>
      <c r="AG77" s="71">
        <f t="shared" si="65"/>
        <v>8.1550000000133878</v>
      </c>
      <c r="AH77" s="71">
        <f t="shared" si="64"/>
        <v>8.1550000000133878</v>
      </c>
      <c r="AI77" s="71">
        <f t="shared" si="64"/>
        <v>9.0650000000168802</v>
      </c>
      <c r="AJ77" s="71">
        <f t="shared" si="64"/>
        <v>9.0650000000023283</v>
      </c>
      <c r="AK77" s="105"/>
      <c r="AL77" s="107">
        <f>SUM(F77:AJ77)</f>
        <v>198.40500000005704</v>
      </c>
      <c r="AM77" s="246"/>
      <c r="AN77" s="106"/>
      <c r="EB77" s="233"/>
      <c r="EC77" s="233"/>
      <c r="FI77" s="233"/>
    </row>
    <row r="78" spans="2:165 15059:15072" s="1" customFormat="1" ht="14.25" hidden="1">
      <c r="B78" s="55"/>
      <c r="C78" s="218" t="s">
        <v>119</v>
      </c>
      <c r="D78" s="59"/>
      <c r="E78" s="55" t="s">
        <v>9</v>
      </c>
      <c r="F78" s="71">
        <v>0</v>
      </c>
      <c r="G78" s="71">
        <v>102.26</v>
      </c>
      <c r="H78" s="71">
        <v>0</v>
      </c>
      <c r="I78" s="71">
        <v>0</v>
      </c>
      <c r="J78" s="71">
        <v>0</v>
      </c>
      <c r="K78" s="71">
        <v>0</v>
      </c>
      <c r="L78" s="71">
        <v>0</v>
      </c>
      <c r="M78" s="71">
        <v>0</v>
      </c>
      <c r="N78" s="71">
        <v>0</v>
      </c>
      <c r="O78" s="71">
        <v>0</v>
      </c>
      <c r="P78" s="71">
        <v>0</v>
      </c>
      <c r="Q78" s="71">
        <v>0</v>
      </c>
      <c r="R78" s="71">
        <v>0</v>
      </c>
      <c r="S78" s="71">
        <v>6.56</v>
      </c>
      <c r="T78" s="71">
        <v>0</v>
      </c>
      <c r="U78" s="71">
        <v>0</v>
      </c>
      <c r="V78" s="71">
        <v>0</v>
      </c>
      <c r="W78" s="71">
        <v>0</v>
      </c>
      <c r="X78" s="71">
        <v>0</v>
      </c>
      <c r="Y78" s="71">
        <v>0</v>
      </c>
      <c r="Z78" s="71">
        <v>0</v>
      </c>
      <c r="AA78" s="71">
        <v>0</v>
      </c>
      <c r="AB78" s="71">
        <v>0</v>
      </c>
      <c r="AC78" s="71">
        <v>0</v>
      </c>
      <c r="AD78" s="71">
        <v>0</v>
      </c>
      <c r="AE78" s="71">
        <v>460</v>
      </c>
      <c r="AF78" s="71">
        <v>0</v>
      </c>
      <c r="AG78" s="71">
        <v>0</v>
      </c>
      <c r="AH78" s="71">
        <v>460</v>
      </c>
      <c r="AI78" s="71">
        <v>0</v>
      </c>
      <c r="AJ78" s="71">
        <v>0</v>
      </c>
      <c r="AK78" s="105"/>
      <c r="AL78" s="107">
        <f>SUM(F78:AJ78)</f>
        <v>1028.8200000000002</v>
      </c>
      <c r="AN78" s="106"/>
      <c r="EB78" s="233"/>
      <c r="EC78" s="233"/>
      <c r="FI78" s="233"/>
    </row>
    <row r="79" spans="2:165 15059:15072" s="1" customFormat="1" ht="14.25">
      <c r="B79" s="55"/>
      <c r="C79" s="218" t="s">
        <v>67</v>
      </c>
      <c r="D79" s="59"/>
      <c r="E79" s="55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105"/>
      <c r="AL79" s="153" t="s">
        <v>67</v>
      </c>
      <c r="AN79" s="106"/>
      <c r="EB79" s="233"/>
      <c r="EC79" s="233"/>
      <c r="FI79" s="233"/>
    </row>
    <row r="80" spans="2:165 15059:15072" s="7" customFormat="1" ht="14.25">
      <c r="B80" s="136"/>
      <c r="C80" s="220" t="s">
        <v>68</v>
      </c>
      <c r="D80" s="25"/>
      <c r="E80" s="221" t="s">
        <v>69</v>
      </c>
      <c r="F80" s="138">
        <v>7100</v>
      </c>
      <c r="G80" s="138">
        <v>3550</v>
      </c>
      <c r="H80" s="138">
        <v>3550</v>
      </c>
      <c r="I80" s="138">
        <v>0</v>
      </c>
      <c r="J80" s="138">
        <v>3550</v>
      </c>
      <c r="K80" s="138">
        <v>0</v>
      </c>
      <c r="L80" s="138">
        <v>6750</v>
      </c>
      <c r="M80" s="138">
        <v>3551</v>
      </c>
      <c r="N80" s="138">
        <v>3551</v>
      </c>
      <c r="O80" s="138">
        <v>7100</v>
      </c>
      <c r="P80" s="138">
        <v>0</v>
      </c>
      <c r="Q80" s="138">
        <v>7101</v>
      </c>
      <c r="R80" s="138">
        <v>0</v>
      </c>
      <c r="S80" s="138">
        <v>3550</v>
      </c>
      <c r="T80" s="138">
        <v>3550</v>
      </c>
      <c r="U80" s="138">
        <v>3611</v>
      </c>
      <c r="V80" s="138">
        <v>3667</v>
      </c>
      <c r="W80" s="138">
        <v>0</v>
      </c>
      <c r="X80" s="138">
        <v>7332</v>
      </c>
      <c r="Y80" s="138">
        <v>0</v>
      </c>
      <c r="Z80" s="138">
        <v>3628</v>
      </c>
      <c r="AA80" s="138">
        <v>3666</v>
      </c>
      <c r="AB80" s="138">
        <v>3669</v>
      </c>
      <c r="AC80" s="138">
        <v>3667</v>
      </c>
      <c r="AD80" s="138">
        <v>0</v>
      </c>
      <c r="AE80" s="138">
        <v>7333</v>
      </c>
      <c r="AF80" s="138">
        <v>0</v>
      </c>
      <c r="AG80" s="138">
        <v>3667</v>
      </c>
      <c r="AH80" s="138">
        <v>3555</v>
      </c>
      <c r="AI80" s="138">
        <v>3667</v>
      </c>
      <c r="AJ80" s="138">
        <v>3668</v>
      </c>
      <c r="AK80" s="154"/>
      <c r="AL80" s="155">
        <f>SUM(F80:AJ80)</f>
        <v>104033</v>
      </c>
      <c r="AN80" s="156"/>
      <c r="EB80" s="270"/>
      <c r="EC80" s="270"/>
      <c r="FI80" s="270"/>
    </row>
    <row r="81" spans="2:165" s="7" customFormat="1" ht="14.25">
      <c r="B81" s="136"/>
      <c r="C81" s="220" t="s">
        <v>70</v>
      </c>
      <c r="D81" s="25"/>
      <c r="E81" s="221" t="s">
        <v>69</v>
      </c>
      <c r="F81" s="138">
        <v>0</v>
      </c>
      <c r="G81" s="138">
        <v>7102</v>
      </c>
      <c r="H81" s="138">
        <v>7102</v>
      </c>
      <c r="I81" s="138">
        <v>0</v>
      </c>
      <c r="J81" s="138">
        <v>7100</v>
      </c>
      <c r="K81" s="138">
        <v>8500</v>
      </c>
      <c r="L81" s="138">
        <v>0</v>
      </c>
      <c r="M81" s="138">
        <v>7101</v>
      </c>
      <c r="N81" s="138">
        <v>7099</v>
      </c>
      <c r="O81" s="138">
        <v>0</v>
      </c>
      <c r="P81" s="138">
        <v>0</v>
      </c>
      <c r="Q81" s="138">
        <v>0</v>
      </c>
      <c r="R81" s="138">
        <v>8400</v>
      </c>
      <c r="S81" s="138">
        <v>7102</v>
      </c>
      <c r="T81" s="138">
        <v>7102</v>
      </c>
      <c r="U81" s="138">
        <v>7333</v>
      </c>
      <c r="V81" s="138">
        <v>7333</v>
      </c>
      <c r="W81" s="138">
        <v>0</v>
      </c>
      <c r="X81" s="138">
        <v>0</v>
      </c>
      <c r="Y81" s="138">
        <v>8676</v>
      </c>
      <c r="Z81" s="138">
        <v>7254</v>
      </c>
      <c r="AA81" s="138">
        <v>7332</v>
      </c>
      <c r="AB81" s="138">
        <v>7332</v>
      </c>
      <c r="AC81" s="138">
        <v>7332</v>
      </c>
      <c r="AD81" s="138">
        <v>0</v>
      </c>
      <c r="AE81" s="138">
        <v>0</v>
      </c>
      <c r="AF81" s="138">
        <v>0</v>
      </c>
      <c r="AG81" s="138">
        <v>7339</v>
      </c>
      <c r="AH81" s="138">
        <v>7332</v>
      </c>
      <c r="AI81" s="138">
        <v>7332</v>
      </c>
      <c r="AJ81" s="138">
        <v>7332</v>
      </c>
      <c r="AK81" s="154"/>
      <c r="AL81" s="155">
        <f>SUM(F81:AJ81)</f>
        <v>148535</v>
      </c>
      <c r="AN81" s="156"/>
      <c r="EB81" s="270"/>
      <c r="EC81" s="270"/>
      <c r="FI81" s="270"/>
    </row>
    <row r="82" spans="2:165" s="1" customFormat="1" ht="14.25">
      <c r="B82" s="55"/>
      <c r="C82" s="218" t="s">
        <v>71</v>
      </c>
      <c r="D82" s="59"/>
      <c r="E82" s="55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>
        <v>0</v>
      </c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105"/>
      <c r="AL82" s="153" t="s">
        <v>71</v>
      </c>
      <c r="AN82" s="106"/>
      <c r="EB82" s="233"/>
      <c r="EC82" s="233"/>
      <c r="FI82" s="233"/>
    </row>
    <row r="83" spans="2:165" s="1" customFormat="1" ht="14.25">
      <c r="B83" s="55"/>
      <c r="C83" s="199" t="s">
        <v>68</v>
      </c>
      <c r="D83" s="59"/>
      <c r="E83" s="219" t="s">
        <v>71</v>
      </c>
      <c r="F83" s="44">
        <f t="shared" ref="F83:AJ83" si="66">F80*12</f>
        <v>85200</v>
      </c>
      <c r="G83" s="44">
        <f t="shared" si="66"/>
        <v>42600</v>
      </c>
      <c r="H83" s="44">
        <f t="shared" si="66"/>
        <v>42600</v>
      </c>
      <c r="I83" s="44">
        <f t="shared" si="66"/>
        <v>0</v>
      </c>
      <c r="J83" s="44">
        <f t="shared" si="66"/>
        <v>42600</v>
      </c>
      <c r="K83" s="44">
        <f t="shared" si="66"/>
        <v>0</v>
      </c>
      <c r="L83" s="44">
        <f t="shared" si="66"/>
        <v>81000</v>
      </c>
      <c r="M83" s="44">
        <f t="shared" si="66"/>
        <v>42612</v>
      </c>
      <c r="N83" s="44">
        <f t="shared" si="66"/>
        <v>42612</v>
      </c>
      <c r="O83" s="44">
        <f t="shared" si="66"/>
        <v>85200</v>
      </c>
      <c r="P83" s="44">
        <f t="shared" si="66"/>
        <v>0</v>
      </c>
      <c r="Q83" s="44">
        <f t="shared" si="66"/>
        <v>85212</v>
      </c>
      <c r="R83" s="44">
        <f t="shared" si="66"/>
        <v>0</v>
      </c>
      <c r="S83" s="44">
        <f t="shared" si="66"/>
        <v>42600</v>
      </c>
      <c r="T83" s="44">
        <f t="shared" si="66"/>
        <v>42600</v>
      </c>
      <c r="U83" s="44">
        <f t="shared" si="66"/>
        <v>43332</v>
      </c>
      <c r="V83" s="44">
        <f t="shared" si="66"/>
        <v>44004</v>
      </c>
      <c r="W83" s="44">
        <f t="shared" si="66"/>
        <v>0</v>
      </c>
      <c r="X83" s="44">
        <f t="shared" si="66"/>
        <v>87984</v>
      </c>
      <c r="Y83" s="44">
        <f t="shared" si="66"/>
        <v>0</v>
      </c>
      <c r="Z83" s="44">
        <f t="shared" si="66"/>
        <v>43536</v>
      </c>
      <c r="AA83" s="44">
        <f t="shared" si="66"/>
        <v>43992</v>
      </c>
      <c r="AB83" s="44">
        <f t="shared" si="66"/>
        <v>44028</v>
      </c>
      <c r="AC83" s="44">
        <f t="shared" si="66"/>
        <v>44004</v>
      </c>
      <c r="AD83" s="44">
        <f t="shared" si="66"/>
        <v>0</v>
      </c>
      <c r="AE83" s="44">
        <f t="shared" ref="AE83:AG83" si="67">AE80*12</f>
        <v>87996</v>
      </c>
      <c r="AF83" s="44">
        <f t="shared" si="67"/>
        <v>0</v>
      </c>
      <c r="AG83" s="44">
        <f t="shared" si="67"/>
        <v>44004</v>
      </c>
      <c r="AH83" s="44">
        <f t="shared" si="66"/>
        <v>42660</v>
      </c>
      <c r="AI83" s="44">
        <f t="shared" si="66"/>
        <v>44004</v>
      </c>
      <c r="AJ83" s="44">
        <f t="shared" si="66"/>
        <v>44016</v>
      </c>
      <c r="AK83" s="105"/>
      <c r="AL83" s="155">
        <f>AL80*12</f>
        <v>1248396</v>
      </c>
      <c r="AN83" s="106"/>
      <c r="EB83" s="233"/>
      <c r="EC83" s="233"/>
      <c r="FI83" s="233"/>
    </row>
    <row r="84" spans="2:165" s="1" customFormat="1" ht="14.25">
      <c r="B84" s="55"/>
      <c r="C84" s="199" t="s">
        <v>70</v>
      </c>
      <c r="D84" s="59"/>
      <c r="E84" s="219" t="s">
        <v>71</v>
      </c>
      <c r="F84" s="44">
        <f t="shared" ref="F84:AJ84" si="68">F81*6</f>
        <v>0</v>
      </c>
      <c r="G84" s="44">
        <f t="shared" si="68"/>
        <v>42612</v>
      </c>
      <c r="H84" s="44">
        <v>0</v>
      </c>
      <c r="I84" s="44">
        <f t="shared" si="68"/>
        <v>0</v>
      </c>
      <c r="J84" s="44">
        <f t="shared" si="68"/>
        <v>42600</v>
      </c>
      <c r="K84" s="44">
        <f t="shared" si="68"/>
        <v>51000</v>
      </c>
      <c r="L84" s="44">
        <f t="shared" si="68"/>
        <v>0</v>
      </c>
      <c r="M84" s="44">
        <f t="shared" si="68"/>
        <v>42606</v>
      </c>
      <c r="N84" s="44">
        <f t="shared" si="68"/>
        <v>42594</v>
      </c>
      <c r="O84" s="44">
        <f t="shared" si="68"/>
        <v>0</v>
      </c>
      <c r="P84" s="44">
        <f t="shared" si="68"/>
        <v>0</v>
      </c>
      <c r="Q84" s="44">
        <f t="shared" si="68"/>
        <v>0</v>
      </c>
      <c r="R84" s="44">
        <f t="shared" si="68"/>
        <v>50400</v>
      </c>
      <c r="S84" s="44">
        <f t="shared" si="68"/>
        <v>42612</v>
      </c>
      <c r="T84" s="44">
        <f t="shared" si="68"/>
        <v>42612</v>
      </c>
      <c r="U84" s="44">
        <f t="shared" si="68"/>
        <v>43998</v>
      </c>
      <c r="V84" s="44">
        <f t="shared" si="68"/>
        <v>43998</v>
      </c>
      <c r="W84" s="44">
        <f t="shared" si="68"/>
        <v>0</v>
      </c>
      <c r="X84" s="44">
        <f t="shared" si="68"/>
        <v>0</v>
      </c>
      <c r="Y84" s="44">
        <f t="shared" si="68"/>
        <v>52056</v>
      </c>
      <c r="Z84" s="44">
        <f t="shared" si="68"/>
        <v>43524</v>
      </c>
      <c r="AA84" s="44">
        <f t="shared" si="68"/>
        <v>43992</v>
      </c>
      <c r="AB84" s="44">
        <f t="shared" si="68"/>
        <v>43992</v>
      </c>
      <c r="AC84" s="44">
        <f t="shared" si="68"/>
        <v>43992</v>
      </c>
      <c r="AD84" s="44">
        <f t="shared" si="68"/>
        <v>0</v>
      </c>
      <c r="AE84" s="44">
        <f t="shared" ref="AE84:AG84" si="69">AE81*6</f>
        <v>0</v>
      </c>
      <c r="AF84" s="44">
        <f t="shared" si="69"/>
        <v>0</v>
      </c>
      <c r="AG84" s="44">
        <f t="shared" si="69"/>
        <v>44034</v>
      </c>
      <c r="AH84" s="44">
        <f t="shared" si="68"/>
        <v>43992</v>
      </c>
      <c r="AI84" s="44">
        <f t="shared" si="68"/>
        <v>43992</v>
      </c>
      <c r="AJ84" s="44">
        <f t="shared" si="68"/>
        <v>43992</v>
      </c>
      <c r="AK84" s="105"/>
      <c r="AL84" s="155">
        <f>AL81*6</f>
        <v>891210</v>
      </c>
      <c r="AN84" s="106"/>
      <c r="EB84" s="233"/>
      <c r="EC84" s="233"/>
      <c r="FI84" s="233"/>
    </row>
    <row r="85" spans="2:165" s="1" customFormat="1" ht="14.25">
      <c r="B85" s="55"/>
      <c r="C85" s="218" t="s">
        <v>72</v>
      </c>
      <c r="D85" s="59"/>
      <c r="E85" s="219" t="s">
        <v>73</v>
      </c>
      <c r="F85" s="139">
        <f>(F75*45)/1700</f>
        <v>2041.1849117647057</v>
      </c>
      <c r="G85" s="139">
        <f>(G75*45)/1700</f>
        <v>3062.352573529412</v>
      </c>
      <c r="H85" s="139">
        <f t="shared" ref="H85:AJ85" si="70">(H75*45)/1700</f>
        <v>3062.352573529412</v>
      </c>
      <c r="I85" s="139">
        <f t="shared" si="70"/>
        <v>0</v>
      </c>
      <c r="J85" s="139">
        <f t="shared" si="70"/>
        <v>3061.7776323529411</v>
      </c>
      <c r="K85" s="139">
        <f t="shared" si="70"/>
        <v>2443.6437352941175</v>
      </c>
      <c r="L85" s="139">
        <f t="shared" si="70"/>
        <v>1940.5702058823526</v>
      </c>
      <c r="M85" s="139">
        <f t="shared" si="70"/>
        <v>3062.352573529412</v>
      </c>
      <c r="N85" s="139">
        <f t="shared" si="70"/>
        <v>3061.7776323529411</v>
      </c>
      <c r="O85" s="139">
        <f t="shared" si="70"/>
        <v>2041.2088676470587</v>
      </c>
      <c r="P85" s="139">
        <f t="shared" si="70"/>
        <v>0</v>
      </c>
      <c r="Q85" s="139">
        <f t="shared" si="70"/>
        <v>2041.4963382352937</v>
      </c>
      <c r="R85" s="139">
        <f t="shared" si="70"/>
        <v>2414.9448529411766</v>
      </c>
      <c r="S85" s="139">
        <f t="shared" si="70"/>
        <v>3062.3766617647061</v>
      </c>
      <c r="T85" s="139">
        <f t="shared" si="70"/>
        <v>3062.352573529412</v>
      </c>
      <c r="U85" s="139">
        <f t="shared" si="70"/>
        <v>3146.2939852941172</v>
      </c>
      <c r="V85" s="139">
        <f t="shared" si="70"/>
        <v>3162.4164264705882</v>
      </c>
      <c r="W85" s="139">
        <f t="shared" si="70"/>
        <v>0</v>
      </c>
      <c r="X85" s="139">
        <f t="shared" si="70"/>
        <v>2107.9502205882354</v>
      </c>
      <c r="Y85" s="139">
        <f t="shared" si="70"/>
        <v>2494.2385588235293</v>
      </c>
      <c r="Z85" s="139">
        <f t="shared" si="70"/>
        <v>3128.4708088235293</v>
      </c>
      <c r="AA85" s="139">
        <f t="shared" si="70"/>
        <v>3161.8173970588236</v>
      </c>
      <c r="AB85" s="139">
        <f t="shared" si="70"/>
        <v>3162.67980882353</v>
      </c>
      <c r="AC85" s="139">
        <f t="shared" si="70"/>
        <v>3162.1048676470591</v>
      </c>
      <c r="AD85" s="139">
        <f>(AD75*45)/1700</f>
        <v>0</v>
      </c>
      <c r="AE85" s="139">
        <f t="shared" ref="AE85:AG85" si="71">(AE75*45)/1700</f>
        <v>2108.1895147058822</v>
      </c>
      <c r="AF85" s="139">
        <f t="shared" si="71"/>
        <v>0</v>
      </c>
      <c r="AG85" s="139">
        <f t="shared" si="71"/>
        <v>3164.117161764706</v>
      </c>
      <c r="AH85" s="139">
        <f t="shared" si="70"/>
        <v>3129.9081617647057</v>
      </c>
      <c r="AI85" s="139">
        <f t="shared" si="70"/>
        <v>3162.1289558823532</v>
      </c>
      <c r="AJ85" s="139">
        <f t="shared" si="70"/>
        <v>3162.4164264705882</v>
      </c>
      <c r="AK85" s="105"/>
      <c r="AL85" s="155">
        <f>SUM(F85:AJ85)</f>
        <v>72611.123426470585</v>
      </c>
      <c r="AN85" s="106"/>
      <c r="EB85" s="233"/>
      <c r="EC85" s="233"/>
      <c r="FI85" s="233"/>
    </row>
    <row r="86" spans="2:165" s="1" customFormat="1" ht="14.25">
      <c r="B86" s="55"/>
      <c r="C86" s="218" t="s">
        <v>74</v>
      </c>
      <c r="D86" s="59"/>
      <c r="E86" s="219" t="s">
        <v>75</v>
      </c>
      <c r="F86" s="44">
        <f t="shared" ref="F86:AJ86" si="72">SUM(F80:F81)/500</f>
        <v>14.2</v>
      </c>
      <c r="G86" s="44">
        <f t="shared" si="72"/>
        <v>21.303999999999998</v>
      </c>
      <c r="H86" s="44">
        <f t="shared" si="72"/>
        <v>21.303999999999998</v>
      </c>
      <c r="I86" s="44">
        <f t="shared" si="72"/>
        <v>0</v>
      </c>
      <c r="J86" s="44">
        <f t="shared" si="72"/>
        <v>21.3</v>
      </c>
      <c r="K86" s="44">
        <f t="shared" si="72"/>
        <v>17</v>
      </c>
      <c r="L86" s="44">
        <f t="shared" si="72"/>
        <v>13.5</v>
      </c>
      <c r="M86" s="44">
        <f t="shared" si="72"/>
        <v>21.303999999999998</v>
      </c>
      <c r="N86" s="44">
        <f t="shared" si="72"/>
        <v>21.3</v>
      </c>
      <c r="O86" s="44">
        <f t="shared" si="72"/>
        <v>14.2</v>
      </c>
      <c r="P86" s="44">
        <f t="shared" si="72"/>
        <v>0</v>
      </c>
      <c r="Q86" s="44">
        <f t="shared" si="72"/>
        <v>14.202</v>
      </c>
      <c r="R86" s="44">
        <f t="shared" si="72"/>
        <v>16.8</v>
      </c>
      <c r="S86" s="44">
        <f t="shared" si="72"/>
        <v>21.303999999999998</v>
      </c>
      <c r="T86" s="44">
        <f t="shared" si="72"/>
        <v>21.303999999999998</v>
      </c>
      <c r="U86" s="44">
        <f t="shared" si="72"/>
        <v>21.888000000000002</v>
      </c>
      <c r="V86" s="44">
        <f t="shared" si="72"/>
        <v>22</v>
      </c>
      <c r="W86" s="44">
        <f t="shared" si="72"/>
        <v>0</v>
      </c>
      <c r="X86" s="44">
        <f t="shared" si="72"/>
        <v>14.664</v>
      </c>
      <c r="Y86" s="44">
        <f t="shared" si="72"/>
        <v>17.352</v>
      </c>
      <c r="Z86" s="44">
        <f t="shared" si="72"/>
        <v>21.763999999999999</v>
      </c>
      <c r="AA86" s="44">
        <f t="shared" si="72"/>
        <v>21.995999999999999</v>
      </c>
      <c r="AB86" s="44">
        <f t="shared" si="72"/>
        <v>22.001999999999999</v>
      </c>
      <c r="AC86" s="44">
        <f t="shared" si="72"/>
        <v>21.998000000000001</v>
      </c>
      <c r="AD86" s="44">
        <f t="shared" si="72"/>
        <v>0</v>
      </c>
      <c r="AE86" s="44">
        <f t="shared" ref="AE86:AG86" si="73">SUM(AE80:AE81)/500</f>
        <v>14.666</v>
      </c>
      <c r="AF86" s="44">
        <f t="shared" si="73"/>
        <v>0</v>
      </c>
      <c r="AG86" s="44">
        <f t="shared" si="73"/>
        <v>22.012</v>
      </c>
      <c r="AH86" s="44">
        <f t="shared" si="72"/>
        <v>21.774000000000001</v>
      </c>
      <c r="AI86" s="44">
        <f t="shared" si="72"/>
        <v>21.998000000000001</v>
      </c>
      <c r="AJ86" s="44">
        <f t="shared" si="72"/>
        <v>22</v>
      </c>
      <c r="AK86" s="105"/>
      <c r="AL86" s="155">
        <f>SUM(F86:AJ86)</f>
        <v>505.13599999999991</v>
      </c>
      <c r="AN86" s="106"/>
      <c r="EB86" s="233"/>
      <c r="EC86" s="233"/>
      <c r="FI86" s="233"/>
    </row>
    <row r="87" spans="2:165">
      <c r="B87" s="41"/>
      <c r="C87" s="20" t="s">
        <v>76</v>
      </c>
      <c r="D87" s="39"/>
      <c r="E87" s="39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91"/>
      <c r="AD87" s="40"/>
      <c r="AE87" s="40"/>
      <c r="AF87" s="40"/>
      <c r="AG87" s="40"/>
      <c r="AH87" s="40"/>
      <c r="AI87" s="40"/>
      <c r="AJ87" s="40"/>
      <c r="AK87" s="95"/>
      <c r="AL87" s="203" t="s">
        <v>77</v>
      </c>
    </row>
    <row r="88" spans="2:165" s="1" customFormat="1" ht="14.25">
      <c r="B88" s="55"/>
      <c r="C88" s="218" t="s">
        <v>67</v>
      </c>
      <c r="D88" s="59"/>
      <c r="E88" s="55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105"/>
      <c r="AL88" s="153" t="s">
        <v>67</v>
      </c>
      <c r="AN88" s="106"/>
      <c r="EB88" s="233"/>
      <c r="EC88" s="233"/>
      <c r="FI88" s="233"/>
    </row>
    <row r="89" spans="2:165" s="1" customFormat="1" ht="14.25">
      <c r="B89" s="55"/>
      <c r="C89" s="199" t="s">
        <v>68</v>
      </c>
      <c r="D89" s="59"/>
      <c r="E89" s="219" t="s">
        <v>69</v>
      </c>
      <c r="F89" s="44">
        <v>7</v>
      </c>
      <c r="G89" s="44">
        <v>2</v>
      </c>
      <c r="H89" s="44">
        <v>3</v>
      </c>
      <c r="I89" s="44">
        <v>0</v>
      </c>
      <c r="J89" s="44">
        <v>4</v>
      </c>
      <c r="K89" s="44">
        <v>0</v>
      </c>
      <c r="L89" s="44">
        <v>6</v>
      </c>
      <c r="M89" s="44">
        <v>2</v>
      </c>
      <c r="N89" s="44">
        <v>6</v>
      </c>
      <c r="O89" s="44">
        <v>16</v>
      </c>
      <c r="P89" s="44">
        <v>0</v>
      </c>
      <c r="Q89" s="44">
        <v>2</v>
      </c>
      <c r="R89" s="44">
        <v>0</v>
      </c>
      <c r="S89" s="44">
        <v>6</v>
      </c>
      <c r="T89" s="44">
        <v>4</v>
      </c>
      <c r="U89" s="44">
        <v>5</v>
      </c>
      <c r="V89" s="44">
        <v>6</v>
      </c>
      <c r="W89" s="44">
        <v>0</v>
      </c>
      <c r="X89" s="44">
        <v>5</v>
      </c>
      <c r="Y89" s="44">
        <v>0</v>
      </c>
      <c r="Z89" s="44">
        <v>4</v>
      </c>
      <c r="AA89" s="44">
        <v>2</v>
      </c>
      <c r="AB89" s="44">
        <v>5</v>
      </c>
      <c r="AC89" s="44">
        <v>16</v>
      </c>
      <c r="AD89" s="44">
        <v>0</v>
      </c>
      <c r="AE89" s="44">
        <v>4</v>
      </c>
      <c r="AF89" s="44">
        <v>0</v>
      </c>
      <c r="AG89" s="44">
        <v>3</v>
      </c>
      <c r="AH89" s="44">
        <v>4</v>
      </c>
      <c r="AI89" s="44">
        <v>8</v>
      </c>
      <c r="AJ89" s="44">
        <v>5</v>
      </c>
      <c r="AK89" s="105"/>
      <c r="AL89" s="155">
        <f>SUM(F89:AJ89)</f>
        <v>125</v>
      </c>
      <c r="AN89" s="106"/>
      <c r="EB89" s="233"/>
      <c r="EC89" s="233"/>
      <c r="FI89" s="233"/>
    </row>
    <row r="90" spans="2:165" s="1" customFormat="1" ht="14.25">
      <c r="B90" s="55"/>
      <c r="C90" s="199" t="s">
        <v>70</v>
      </c>
      <c r="D90" s="59"/>
      <c r="E90" s="219" t="s">
        <v>69</v>
      </c>
      <c r="F90" s="44">
        <v>0</v>
      </c>
      <c r="G90" s="44">
        <v>4</v>
      </c>
      <c r="H90" s="44">
        <v>5</v>
      </c>
      <c r="I90" s="44">
        <v>0</v>
      </c>
      <c r="J90" s="44">
        <v>11</v>
      </c>
      <c r="K90" s="44">
        <v>24</v>
      </c>
      <c r="L90" s="44">
        <v>0</v>
      </c>
      <c r="M90" s="44">
        <v>2</v>
      </c>
      <c r="N90" s="44">
        <v>8</v>
      </c>
      <c r="O90" s="44">
        <v>0</v>
      </c>
      <c r="P90" s="44">
        <v>0</v>
      </c>
      <c r="Q90" s="44">
        <v>0</v>
      </c>
      <c r="R90" s="44">
        <v>8</v>
      </c>
      <c r="S90" s="44">
        <v>7</v>
      </c>
      <c r="T90" s="44">
        <v>8</v>
      </c>
      <c r="U90" s="44">
        <v>16</v>
      </c>
      <c r="V90" s="44">
        <v>19</v>
      </c>
      <c r="W90" s="44">
        <v>0</v>
      </c>
      <c r="X90" s="44">
        <v>0</v>
      </c>
      <c r="Y90" s="44">
        <v>24</v>
      </c>
      <c r="Z90" s="44">
        <v>17</v>
      </c>
      <c r="AA90" s="44">
        <v>13</v>
      </c>
      <c r="AB90" s="44">
        <v>3</v>
      </c>
      <c r="AC90" s="44">
        <v>13</v>
      </c>
      <c r="AD90" s="44">
        <v>0</v>
      </c>
      <c r="AE90" s="44">
        <v>0</v>
      </c>
      <c r="AF90" s="44">
        <v>0</v>
      </c>
      <c r="AG90" s="44">
        <v>7</v>
      </c>
      <c r="AH90" s="44">
        <v>4</v>
      </c>
      <c r="AI90" s="44">
        <v>19</v>
      </c>
      <c r="AJ90" s="44">
        <v>13</v>
      </c>
      <c r="AK90" s="105"/>
      <c r="AL90" s="155">
        <f>SUM(F90:AJ90)</f>
        <v>225</v>
      </c>
      <c r="AN90" s="106"/>
      <c r="EB90" s="233"/>
      <c r="EC90" s="233"/>
      <c r="FI90" s="233"/>
    </row>
    <row r="91" spans="2:165" s="1" customFormat="1" ht="14.25">
      <c r="B91" s="55"/>
      <c r="C91" s="218" t="s">
        <v>71</v>
      </c>
      <c r="D91" s="59"/>
      <c r="E91" s="55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105"/>
      <c r="AL91" s="153" t="s">
        <v>71</v>
      </c>
      <c r="AN91" s="106"/>
      <c r="DE91" s="233"/>
      <c r="DF91" s="233"/>
      <c r="DG91" s="233"/>
      <c r="DH91" s="233"/>
      <c r="DI91" s="233"/>
      <c r="DJ91" s="233"/>
      <c r="DK91" s="233"/>
      <c r="DL91" s="233"/>
      <c r="DM91" s="233"/>
      <c r="DN91" s="233"/>
      <c r="EB91" s="233"/>
      <c r="EC91" s="233"/>
      <c r="FI91" s="233"/>
    </row>
    <row r="92" spans="2:165" s="1" customFormat="1">
      <c r="B92" s="55"/>
      <c r="C92" s="199" t="s">
        <v>68</v>
      </c>
      <c r="D92" s="59"/>
      <c r="E92" s="219" t="s">
        <v>71</v>
      </c>
      <c r="F92" s="44">
        <v>81</v>
      </c>
      <c r="G92" s="44">
        <v>30</v>
      </c>
      <c r="H92" s="138">
        <v>29</v>
      </c>
      <c r="I92" s="44">
        <v>0</v>
      </c>
      <c r="J92" s="44">
        <v>38</v>
      </c>
      <c r="K92" s="44">
        <v>0</v>
      </c>
      <c r="L92" s="44">
        <v>72</v>
      </c>
      <c r="M92" s="44">
        <v>21</v>
      </c>
      <c r="N92" s="144">
        <v>25</v>
      </c>
      <c r="O92" s="44">
        <v>58</v>
      </c>
      <c r="P92" s="44">
        <v>0</v>
      </c>
      <c r="Q92" s="44">
        <v>57</v>
      </c>
      <c r="R92" s="44">
        <v>0</v>
      </c>
      <c r="S92" s="44">
        <v>22</v>
      </c>
      <c r="T92" s="44">
        <v>22</v>
      </c>
      <c r="U92" s="144">
        <v>11</v>
      </c>
      <c r="V92" s="44">
        <v>21</v>
      </c>
      <c r="W92" s="44">
        <v>0</v>
      </c>
      <c r="X92" s="44">
        <v>87</v>
      </c>
      <c r="Y92" s="44">
        <v>0</v>
      </c>
      <c r="Z92" s="44">
        <v>22</v>
      </c>
      <c r="AA92" s="44">
        <v>27</v>
      </c>
      <c r="AB92" s="144">
        <v>19</v>
      </c>
      <c r="AC92" s="44">
        <v>23</v>
      </c>
      <c r="AD92" s="44">
        <v>0</v>
      </c>
      <c r="AE92" s="44">
        <v>50</v>
      </c>
      <c r="AF92" s="44">
        <v>0</v>
      </c>
      <c r="AG92" s="138">
        <v>24</v>
      </c>
      <c r="AH92" s="44">
        <v>35</v>
      </c>
      <c r="AI92" s="44">
        <v>25</v>
      </c>
      <c r="AJ92" s="138">
        <v>21</v>
      </c>
      <c r="AK92" s="105"/>
      <c r="AL92" s="155">
        <f>SUM(F92:AJ92)</f>
        <v>820</v>
      </c>
      <c r="AN92" s="106"/>
      <c r="DE92" s="245"/>
      <c r="DF92" s="233"/>
      <c r="DG92" s="233"/>
      <c r="DH92" s="233"/>
      <c r="DI92" s="272"/>
      <c r="DJ92" s="233"/>
      <c r="DK92" s="233"/>
      <c r="DL92" s="233"/>
      <c r="DM92" s="233"/>
      <c r="DN92" s="233"/>
      <c r="EB92" s="233"/>
      <c r="EC92" s="233"/>
      <c r="FI92" s="233"/>
    </row>
    <row r="93" spans="2:165" s="1" customFormat="1" ht="14.25">
      <c r="B93" s="55"/>
      <c r="C93" s="199" t="s">
        <v>70</v>
      </c>
      <c r="D93" s="59"/>
      <c r="E93" s="219" t="s">
        <v>71</v>
      </c>
      <c r="F93" s="247">
        <v>0</v>
      </c>
      <c r="G93" s="247">
        <v>11</v>
      </c>
      <c r="H93" s="138">
        <v>5</v>
      </c>
      <c r="I93" s="138">
        <v>0</v>
      </c>
      <c r="J93" s="138">
        <v>10</v>
      </c>
      <c r="K93" s="44">
        <v>31</v>
      </c>
      <c r="L93" s="44">
        <v>0</v>
      </c>
      <c r="M93" s="44">
        <v>3</v>
      </c>
      <c r="N93" s="44">
        <v>4</v>
      </c>
      <c r="O93" s="44">
        <v>0</v>
      </c>
      <c r="P93" s="44">
        <v>0</v>
      </c>
      <c r="Q93" s="44">
        <v>0</v>
      </c>
      <c r="R93" s="44">
        <v>22</v>
      </c>
      <c r="S93" s="44">
        <v>8</v>
      </c>
      <c r="T93" s="44">
        <v>5</v>
      </c>
      <c r="U93" s="144">
        <v>5</v>
      </c>
      <c r="V93" s="44">
        <v>12</v>
      </c>
      <c r="W93" s="44">
        <v>0</v>
      </c>
      <c r="X93" s="44">
        <v>0</v>
      </c>
      <c r="Y93" s="44">
        <v>17</v>
      </c>
      <c r="Z93" s="44">
        <v>2</v>
      </c>
      <c r="AA93" s="44">
        <v>3</v>
      </c>
      <c r="AB93" s="144">
        <v>1</v>
      </c>
      <c r="AC93" s="44">
        <v>6</v>
      </c>
      <c r="AD93" s="44">
        <v>0</v>
      </c>
      <c r="AE93" s="44">
        <v>0</v>
      </c>
      <c r="AF93" s="44">
        <v>0</v>
      </c>
      <c r="AG93" s="238">
        <v>5</v>
      </c>
      <c r="AH93" s="44">
        <v>1</v>
      </c>
      <c r="AI93" s="44">
        <v>6</v>
      </c>
      <c r="AJ93" s="238">
        <v>9</v>
      </c>
      <c r="AK93" s="105"/>
      <c r="AL93" s="155">
        <f>SUM(F93:AJ93)</f>
        <v>166</v>
      </c>
      <c r="AN93" s="106"/>
      <c r="DE93" s="252"/>
      <c r="DF93" s="233"/>
      <c r="DG93" s="233"/>
      <c r="DH93" s="233"/>
      <c r="DI93" s="233"/>
      <c r="DJ93" s="233"/>
      <c r="DK93" s="233"/>
      <c r="DL93" s="233"/>
      <c r="DM93" s="233"/>
      <c r="DN93" s="233"/>
      <c r="EB93" s="233"/>
      <c r="EC93" s="233"/>
      <c r="FI93" s="233"/>
    </row>
    <row r="94" spans="2:165" hidden="1">
      <c r="B94" s="41"/>
      <c r="C94" s="20" t="s">
        <v>78</v>
      </c>
      <c r="D94" s="39"/>
      <c r="E94" s="39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91"/>
      <c r="AD94" s="40"/>
      <c r="AE94" s="40"/>
      <c r="AF94" s="40"/>
      <c r="AG94" s="40"/>
      <c r="AH94" s="40"/>
      <c r="AI94" s="40"/>
      <c r="AJ94" s="40"/>
      <c r="AK94" s="95"/>
      <c r="AL94" s="203" t="s">
        <v>77</v>
      </c>
      <c r="DE94" s="252"/>
      <c r="DF94" s="252"/>
      <c r="DG94" s="252"/>
      <c r="DH94" s="252"/>
      <c r="DI94" s="252"/>
      <c r="DJ94" s="252"/>
      <c r="DK94" s="252"/>
      <c r="DL94" s="252"/>
      <c r="DM94" s="252"/>
      <c r="DN94" s="252"/>
    </row>
    <row r="95" spans="2:165" s="1" customFormat="1" ht="14.25" hidden="1">
      <c r="B95" s="55"/>
      <c r="C95" s="218" t="s">
        <v>67</v>
      </c>
      <c r="D95" s="59"/>
      <c r="E95" s="55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105"/>
      <c r="AL95" s="153" t="s">
        <v>67</v>
      </c>
      <c r="AN95" s="106"/>
      <c r="DE95" s="233"/>
      <c r="DF95" s="233"/>
      <c r="DG95" s="233"/>
      <c r="DH95" s="233"/>
      <c r="DI95" s="233"/>
      <c r="DJ95" s="233"/>
      <c r="DK95" s="233"/>
      <c r="DL95" s="233"/>
      <c r="DM95" s="233"/>
      <c r="DN95" s="233"/>
      <c r="EB95" s="233"/>
      <c r="EC95" s="233"/>
      <c r="FI95" s="233"/>
    </row>
    <row r="96" spans="2:165" s="1" customFormat="1" ht="14.25" hidden="1">
      <c r="B96" s="55"/>
      <c r="C96" s="199" t="s">
        <v>68</v>
      </c>
      <c r="D96" s="54">
        <v>0.3</v>
      </c>
      <c r="E96" s="219" t="s">
        <v>12</v>
      </c>
      <c r="F96" s="71">
        <f t="shared" ref="F96:AJ97" si="74">F89/F80*100</f>
        <v>9.8591549295774641E-2</v>
      </c>
      <c r="G96" s="71">
        <f t="shared" si="74"/>
        <v>5.6338028169014086E-2</v>
      </c>
      <c r="H96" s="71">
        <f t="shared" si="74"/>
        <v>8.4507042253521125E-2</v>
      </c>
      <c r="I96" s="71" t="e">
        <f t="shared" si="74"/>
        <v>#DIV/0!</v>
      </c>
      <c r="J96" s="71">
        <f t="shared" si="74"/>
        <v>0.11267605633802817</v>
      </c>
      <c r="K96" s="71" t="e">
        <f t="shared" si="74"/>
        <v>#DIV/0!</v>
      </c>
      <c r="L96" s="71">
        <f t="shared" si="74"/>
        <v>8.8888888888888892E-2</v>
      </c>
      <c r="M96" s="71">
        <f t="shared" si="74"/>
        <v>5.6322162771050406E-2</v>
      </c>
      <c r="N96" s="71">
        <f t="shared" si="74"/>
        <v>0.16896648831315123</v>
      </c>
      <c r="O96" s="71">
        <f t="shared" si="74"/>
        <v>0.22535211267605634</v>
      </c>
      <c r="P96" s="71" t="e">
        <f t="shared" si="74"/>
        <v>#DIV/0!</v>
      </c>
      <c r="Q96" s="71">
        <f t="shared" si="74"/>
        <v>2.8165047176454017E-2</v>
      </c>
      <c r="R96" s="71" t="e">
        <f t="shared" si="74"/>
        <v>#DIV/0!</v>
      </c>
      <c r="S96" s="71">
        <f t="shared" si="74"/>
        <v>0.16901408450704225</v>
      </c>
      <c r="T96" s="71">
        <f t="shared" si="74"/>
        <v>0.11267605633802817</v>
      </c>
      <c r="U96" s="71">
        <f t="shared" si="74"/>
        <v>0.13846579894765992</v>
      </c>
      <c r="V96" s="71">
        <f t="shared" si="74"/>
        <v>0.16362148895554951</v>
      </c>
      <c r="W96" s="71" t="e">
        <f t="shared" si="74"/>
        <v>#DIV/0!</v>
      </c>
      <c r="X96" s="71">
        <f t="shared" si="74"/>
        <v>6.8194217130387341E-2</v>
      </c>
      <c r="Y96" s="71" t="e">
        <f t="shared" si="74"/>
        <v>#DIV/0!</v>
      </c>
      <c r="Z96" s="71">
        <f t="shared" si="74"/>
        <v>0.11025358324145534</v>
      </c>
      <c r="AA96" s="71">
        <f t="shared" si="74"/>
        <v>5.4555373704309872E-2</v>
      </c>
      <c r="AB96" s="71">
        <f t="shared" si="74"/>
        <v>0.1362769146906514</v>
      </c>
      <c r="AC96" s="71">
        <f t="shared" si="74"/>
        <v>0.43632397054813199</v>
      </c>
      <c r="AD96" s="71" t="e">
        <f t="shared" si="74"/>
        <v>#DIV/0!</v>
      </c>
      <c r="AE96" s="71">
        <f t="shared" ref="AE96:AG96" si="75">AE89/AE80*100</f>
        <v>5.4547933996999864E-2</v>
      </c>
      <c r="AF96" s="71" t="e">
        <f t="shared" si="75"/>
        <v>#DIV/0!</v>
      </c>
      <c r="AG96" s="71">
        <f t="shared" si="75"/>
        <v>8.1810744477774755E-2</v>
      </c>
      <c r="AH96" s="71">
        <f t="shared" si="74"/>
        <v>0.11251758087201125</v>
      </c>
      <c r="AI96" s="71">
        <f t="shared" si="74"/>
        <v>0.21816198527406599</v>
      </c>
      <c r="AJ96" s="71">
        <f t="shared" si="74"/>
        <v>0.13631406761177753</v>
      </c>
      <c r="AK96" s="105"/>
      <c r="AL96" s="107">
        <f>AL89/AL80*100</f>
        <v>0.12015418184614496</v>
      </c>
      <c r="AN96" s="106"/>
      <c r="DE96" s="233"/>
      <c r="DF96" s="233"/>
      <c r="DG96" s="233"/>
      <c r="DH96" s="233"/>
      <c r="DI96" s="233"/>
      <c r="DJ96" s="233"/>
      <c r="DK96" s="233"/>
      <c r="DL96" s="233"/>
      <c r="DM96" s="233"/>
      <c r="DN96" s="233"/>
      <c r="EB96" s="233"/>
      <c r="EC96" s="233"/>
      <c r="FI96" s="233"/>
    </row>
    <row r="97" spans="1:15451" s="1" customFormat="1" ht="14.25" hidden="1">
      <c r="B97" s="55"/>
      <c r="C97" s="199" t="s">
        <v>70</v>
      </c>
      <c r="D97" s="54">
        <v>0.3</v>
      </c>
      <c r="E97" s="219" t="s">
        <v>12</v>
      </c>
      <c r="F97" s="71" t="e">
        <f t="shared" si="74"/>
        <v>#DIV/0!</v>
      </c>
      <c r="G97" s="71">
        <f t="shared" si="74"/>
        <v>5.6322162771050406E-2</v>
      </c>
      <c r="H97" s="71">
        <f t="shared" si="74"/>
        <v>7.0402703463813013E-2</v>
      </c>
      <c r="I97" s="71" t="e">
        <f t="shared" si="74"/>
        <v>#DIV/0!</v>
      </c>
      <c r="J97" s="71">
        <f t="shared" si="74"/>
        <v>0.15492957746478872</v>
      </c>
      <c r="K97" s="71">
        <f t="shared" si="74"/>
        <v>0.28235294117647058</v>
      </c>
      <c r="L97" s="71" t="e">
        <f t="shared" si="74"/>
        <v>#DIV/0!</v>
      </c>
      <c r="M97" s="71">
        <f t="shared" si="74"/>
        <v>2.8165047176454017E-2</v>
      </c>
      <c r="N97" s="71">
        <f t="shared" si="74"/>
        <v>0.11269192844062545</v>
      </c>
      <c r="O97" s="71" t="e">
        <f t="shared" si="74"/>
        <v>#DIV/0!</v>
      </c>
      <c r="P97" s="71" t="e">
        <f t="shared" si="74"/>
        <v>#DIV/0!</v>
      </c>
      <c r="Q97" s="71" t="e">
        <f t="shared" si="74"/>
        <v>#DIV/0!</v>
      </c>
      <c r="R97" s="71">
        <f t="shared" si="74"/>
        <v>9.5238095238095233E-2</v>
      </c>
      <c r="S97" s="71">
        <f t="shared" si="74"/>
        <v>9.8563784849338226E-2</v>
      </c>
      <c r="T97" s="71">
        <f t="shared" si="74"/>
        <v>0.11264432554210081</v>
      </c>
      <c r="U97" s="71">
        <f t="shared" si="74"/>
        <v>0.21819173598799946</v>
      </c>
      <c r="V97" s="71">
        <f t="shared" si="74"/>
        <v>0.25910268648574936</v>
      </c>
      <c r="W97" s="71" t="e">
        <f t="shared" si="74"/>
        <v>#DIV/0!</v>
      </c>
      <c r="X97" s="71" t="e">
        <f t="shared" si="74"/>
        <v>#DIV/0!</v>
      </c>
      <c r="Y97" s="71">
        <f t="shared" si="74"/>
        <v>0.27662517289073307</v>
      </c>
      <c r="Z97" s="71">
        <f t="shared" si="74"/>
        <v>0.23435346015991176</v>
      </c>
      <c r="AA97" s="71">
        <f t="shared" si="74"/>
        <v>0.1773049645390071</v>
      </c>
      <c r="AB97" s="71">
        <f t="shared" si="74"/>
        <v>4.0916530278232409E-2</v>
      </c>
      <c r="AC97" s="71">
        <f t="shared" si="74"/>
        <v>0.1773049645390071</v>
      </c>
      <c r="AD97" s="71" t="e">
        <f t="shared" si="74"/>
        <v>#DIV/0!</v>
      </c>
      <c r="AE97" s="71" t="e">
        <f t="shared" ref="AE97:AG97" si="76">AE90/AE81*100</f>
        <v>#DIV/0!</v>
      </c>
      <c r="AF97" s="71" t="e">
        <f t="shared" si="76"/>
        <v>#DIV/0!</v>
      </c>
      <c r="AG97" s="71">
        <f t="shared" si="76"/>
        <v>9.5380842076577196E-2</v>
      </c>
      <c r="AH97" s="71">
        <f t="shared" si="74"/>
        <v>5.4555373704309872E-2</v>
      </c>
      <c r="AI97" s="71">
        <f t="shared" si="74"/>
        <v>0.2591380250954719</v>
      </c>
      <c r="AJ97" s="71">
        <f t="shared" si="74"/>
        <v>0.1773049645390071</v>
      </c>
      <c r="AK97" s="105"/>
      <c r="AL97" s="107">
        <f>AL90/AL81*100</f>
        <v>0.1514794492880466</v>
      </c>
      <c r="AN97" s="106"/>
      <c r="DE97" s="233"/>
      <c r="DF97" s="233"/>
      <c r="DG97" s="233"/>
      <c r="DH97" s="233"/>
      <c r="DI97" s="233"/>
      <c r="DJ97" s="233"/>
      <c r="DK97" s="233"/>
      <c r="DL97" s="233"/>
      <c r="DM97" s="233"/>
      <c r="DN97" s="233"/>
      <c r="EB97" s="233"/>
      <c r="EC97" s="233"/>
      <c r="FI97" s="233"/>
    </row>
    <row r="98" spans="1:15451" s="1" customFormat="1" ht="14.25" hidden="1">
      <c r="B98" s="55"/>
      <c r="C98" s="218" t="s">
        <v>71</v>
      </c>
      <c r="D98" s="54"/>
      <c r="E98" s="55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105"/>
      <c r="AL98" s="153" t="s">
        <v>71</v>
      </c>
      <c r="AN98" s="106"/>
      <c r="DE98" s="233"/>
      <c r="DF98" s="233"/>
      <c r="DG98" s="233"/>
      <c r="DH98" s="233"/>
      <c r="DI98" s="233"/>
      <c r="DJ98" s="233"/>
      <c r="DK98" s="233"/>
      <c r="DL98" s="233"/>
      <c r="DM98" s="233"/>
      <c r="DN98" s="233"/>
      <c r="EB98" s="233"/>
      <c r="EC98" s="233"/>
      <c r="FI98" s="233"/>
    </row>
    <row r="99" spans="1:15451" s="1" customFormat="1" ht="14.25" hidden="1">
      <c r="B99" s="55"/>
      <c r="C99" s="199" t="s">
        <v>68</v>
      </c>
      <c r="D99" s="54">
        <v>0.5</v>
      </c>
      <c r="E99" s="219" t="s">
        <v>12</v>
      </c>
      <c r="F99" s="71">
        <f t="shared" ref="F99:AJ100" si="77">F92/F83*100</f>
        <v>9.5070422535211266E-2</v>
      </c>
      <c r="G99" s="71">
        <f t="shared" si="77"/>
        <v>7.0422535211267609E-2</v>
      </c>
      <c r="H99" s="71">
        <f t="shared" si="77"/>
        <v>6.8075117370892016E-2</v>
      </c>
      <c r="I99" s="71" t="e">
        <f t="shared" si="77"/>
        <v>#DIV/0!</v>
      </c>
      <c r="J99" s="71">
        <f t="shared" si="77"/>
        <v>8.9201877934272297E-2</v>
      </c>
      <c r="K99" s="71" t="e">
        <f t="shared" si="77"/>
        <v>#DIV/0!</v>
      </c>
      <c r="L99" s="71">
        <f t="shared" si="77"/>
        <v>8.8888888888888892E-2</v>
      </c>
      <c r="M99" s="71">
        <f t="shared" si="77"/>
        <v>4.9281892424669113E-2</v>
      </c>
      <c r="N99" s="71">
        <f t="shared" si="77"/>
        <v>5.8668919553177504E-2</v>
      </c>
      <c r="O99" s="71">
        <f t="shared" si="77"/>
        <v>6.8075117370892016E-2</v>
      </c>
      <c r="P99" s="71" t="e">
        <f t="shared" si="77"/>
        <v>#DIV/0!</v>
      </c>
      <c r="Q99" s="71">
        <f t="shared" si="77"/>
        <v>6.6891987044078297E-2</v>
      </c>
      <c r="R99" s="71" t="e">
        <f t="shared" si="77"/>
        <v>#DIV/0!</v>
      </c>
      <c r="S99" s="71">
        <f t="shared" si="77"/>
        <v>5.1643192488262907E-2</v>
      </c>
      <c r="T99" s="71">
        <f t="shared" si="77"/>
        <v>5.1643192488262907E-2</v>
      </c>
      <c r="U99" s="71">
        <f t="shared" si="77"/>
        <v>2.5385396473737654E-2</v>
      </c>
      <c r="V99" s="71">
        <f t="shared" si="77"/>
        <v>4.7722934278701938E-2</v>
      </c>
      <c r="W99" s="71" t="e">
        <f t="shared" si="77"/>
        <v>#DIV/0!</v>
      </c>
      <c r="X99" s="71">
        <f t="shared" si="77"/>
        <v>9.8881614839061646E-2</v>
      </c>
      <c r="Y99" s="71" t="e">
        <f t="shared" si="77"/>
        <v>#DIV/0!</v>
      </c>
      <c r="Z99" s="71">
        <f t="shared" si="77"/>
        <v>5.0532892319000371E-2</v>
      </c>
      <c r="AA99" s="71">
        <f t="shared" si="77"/>
        <v>6.137479541734861E-2</v>
      </c>
      <c r="AB99" s="71">
        <f t="shared" si="77"/>
        <v>4.3154356318706281E-2</v>
      </c>
      <c r="AC99" s="71">
        <f t="shared" si="77"/>
        <v>5.226797563857831E-2</v>
      </c>
      <c r="AD99" s="71" t="e">
        <f t="shared" si="77"/>
        <v>#DIV/0!</v>
      </c>
      <c r="AE99" s="71">
        <f t="shared" ref="AE99:AG99" si="78">AE92/AE83*100</f>
        <v>5.682076458020819E-2</v>
      </c>
      <c r="AF99" s="71" t="e">
        <f t="shared" si="78"/>
        <v>#DIV/0!</v>
      </c>
      <c r="AG99" s="71">
        <f t="shared" si="78"/>
        <v>5.4540496318516499E-2</v>
      </c>
      <c r="AH99" s="71">
        <f t="shared" si="77"/>
        <v>8.2044069385841537E-2</v>
      </c>
      <c r="AI99" s="71">
        <f t="shared" si="77"/>
        <v>5.6813016998454688E-2</v>
      </c>
      <c r="AJ99" s="71">
        <f t="shared" si="77"/>
        <v>4.7709923664122134E-2</v>
      </c>
      <c r="AK99" s="105"/>
      <c r="AL99" s="107">
        <f>AL92/AL83*100</f>
        <v>6.5684286075892592E-2</v>
      </c>
      <c r="AN99" s="106"/>
      <c r="DE99" s="233"/>
      <c r="DF99" s="233"/>
      <c r="DG99" s="233"/>
      <c r="DH99" s="233"/>
      <c r="DI99" s="233"/>
      <c r="DJ99" s="233"/>
      <c r="DK99" s="233"/>
      <c r="DL99" s="233"/>
      <c r="DM99" s="233"/>
      <c r="DN99" s="233"/>
      <c r="EB99" s="233"/>
      <c r="EC99" s="233"/>
      <c r="FI99" s="233"/>
    </row>
    <row r="100" spans="1:15451" s="1" customFormat="1" ht="14.25" hidden="1">
      <c r="B100" s="55"/>
      <c r="C100" s="199" t="s">
        <v>70</v>
      </c>
      <c r="D100" s="54">
        <v>0.5</v>
      </c>
      <c r="E100" s="219" t="s">
        <v>12</v>
      </c>
      <c r="F100" s="71" t="e">
        <f t="shared" si="77"/>
        <v>#DIV/0!</v>
      </c>
      <c r="G100" s="71">
        <f t="shared" si="77"/>
        <v>2.5814324603398102E-2</v>
      </c>
      <c r="H100" s="71" t="e">
        <f t="shared" si="77"/>
        <v>#DIV/0!</v>
      </c>
      <c r="I100" s="71" t="e">
        <f t="shared" si="77"/>
        <v>#DIV/0!</v>
      </c>
      <c r="J100" s="71">
        <f t="shared" si="77"/>
        <v>2.3474178403755867E-2</v>
      </c>
      <c r="K100" s="71">
        <f t="shared" si="77"/>
        <v>6.0784313725490195E-2</v>
      </c>
      <c r="L100" s="71" t="e">
        <f t="shared" si="77"/>
        <v>#DIV/0!</v>
      </c>
      <c r="M100" s="71">
        <f t="shared" si="77"/>
        <v>7.0412617941135042E-3</v>
      </c>
      <c r="N100" s="71">
        <f t="shared" si="77"/>
        <v>9.3909940367187875E-3</v>
      </c>
      <c r="O100" s="71" t="e">
        <f t="shared" si="77"/>
        <v>#DIV/0!</v>
      </c>
      <c r="P100" s="71" t="e">
        <f t="shared" si="77"/>
        <v>#DIV/0!</v>
      </c>
      <c r="Q100" s="71" t="e">
        <f t="shared" si="77"/>
        <v>#DIV/0!</v>
      </c>
      <c r="R100" s="71">
        <f t="shared" si="77"/>
        <v>4.3650793650793648E-2</v>
      </c>
      <c r="S100" s="71">
        <f t="shared" si="77"/>
        <v>1.8774054257016802E-2</v>
      </c>
      <c r="T100" s="71">
        <f t="shared" si="77"/>
        <v>1.1733783910635502E-2</v>
      </c>
      <c r="U100" s="71">
        <f t="shared" si="77"/>
        <v>1.1364152916041637E-2</v>
      </c>
      <c r="V100" s="71">
        <f t="shared" si="77"/>
        <v>2.7273966998499932E-2</v>
      </c>
      <c r="W100" s="71" t="e">
        <f t="shared" si="77"/>
        <v>#DIV/0!</v>
      </c>
      <c r="X100" s="71" t="e">
        <f t="shared" si="77"/>
        <v>#DIV/0!</v>
      </c>
      <c r="Y100" s="71">
        <f t="shared" si="77"/>
        <v>3.2657138466267097E-2</v>
      </c>
      <c r="Z100" s="71">
        <f t="shared" si="77"/>
        <v>4.5951658854884656E-3</v>
      </c>
      <c r="AA100" s="71">
        <f t="shared" si="77"/>
        <v>6.8194217130387339E-3</v>
      </c>
      <c r="AB100" s="71">
        <f t="shared" si="77"/>
        <v>2.2731405710129113E-3</v>
      </c>
      <c r="AC100" s="71">
        <f t="shared" si="77"/>
        <v>1.3638843426077468E-2</v>
      </c>
      <c r="AD100" s="71" t="e">
        <f t="shared" si="77"/>
        <v>#DIV/0!</v>
      </c>
      <c r="AE100" s="71" t="e">
        <f t="shared" ref="AE100:AG100" si="79">AE93/AE84*100</f>
        <v>#DIV/0!</v>
      </c>
      <c r="AF100" s="71" t="e">
        <f t="shared" si="79"/>
        <v>#DIV/0!</v>
      </c>
      <c r="AG100" s="71">
        <f t="shared" si="79"/>
        <v>1.1354862151973474E-2</v>
      </c>
      <c r="AH100" s="71">
        <f t="shared" si="77"/>
        <v>2.2731405710129113E-3</v>
      </c>
      <c r="AI100" s="71">
        <f t="shared" si="77"/>
        <v>1.3638843426077468E-2</v>
      </c>
      <c r="AJ100" s="71">
        <f t="shared" si="77"/>
        <v>2.0458265139116204E-2</v>
      </c>
      <c r="AK100" s="105"/>
      <c r="AL100" s="107">
        <f>AL93/AL84*100</f>
        <v>1.8626361912456098E-2</v>
      </c>
      <c r="AN100" s="106"/>
      <c r="DE100" s="233"/>
      <c r="DF100" s="233"/>
      <c r="DG100" s="233"/>
      <c r="DH100" s="233"/>
      <c r="DI100" s="233"/>
      <c r="DJ100" s="233"/>
      <c r="DK100" s="233"/>
      <c r="DL100" s="233"/>
      <c r="DM100" s="233"/>
      <c r="DN100" s="233"/>
      <c r="EB100" s="233"/>
      <c r="EC100" s="233"/>
      <c r="FI100" s="233"/>
    </row>
    <row r="101" spans="1:15451" s="1" customFormat="1">
      <c r="A101" s="3"/>
      <c r="B101" s="38">
        <v>6</v>
      </c>
      <c r="C101" s="20" t="s">
        <v>79</v>
      </c>
      <c r="D101" s="39"/>
      <c r="E101" s="39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91"/>
      <c r="AD101" s="40"/>
      <c r="AE101" s="40"/>
      <c r="AF101" s="40"/>
      <c r="AG101" s="40"/>
      <c r="AH101" s="40"/>
      <c r="AI101" s="40"/>
      <c r="AJ101" s="40"/>
      <c r="AK101" s="95"/>
      <c r="AL101" s="203" t="s">
        <v>62</v>
      </c>
      <c r="AM101" s="3"/>
      <c r="AN101" s="14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252"/>
      <c r="DF101" s="252"/>
      <c r="DG101" s="233"/>
      <c r="DH101" s="233"/>
      <c r="DI101" s="252"/>
      <c r="DJ101" s="233"/>
      <c r="DK101" s="252"/>
      <c r="DL101" s="252"/>
      <c r="DM101" s="252"/>
      <c r="DN101" s="252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252"/>
      <c r="EC101" s="252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252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/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WP101" s="3"/>
      <c r="WQ101" s="3"/>
      <c r="WR101" s="3"/>
      <c r="WS101" s="3"/>
      <c r="WT101" s="3"/>
      <c r="WU101" s="3"/>
      <c r="WV101" s="3"/>
      <c r="WW101" s="3"/>
      <c r="WX101" s="3"/>
      <c r="WY101" s="3"/>
      <c r="WZ101" s="3"/>
      <c r="XA101" s="3"/>
      <c r="XB101" s="3"/>
      <c r="XC101" s="3"/>
      <c r="XD101" s="3"/>
      <c r="XE101" s="3"/>
      <c r="XF101" s="3"/>
      <c r="XG101" s="3"/>
      <c r="XH101" s="3"/>
      <c r="XI101" s="3"/>
      <c r="XJ101" s="3"/>
      <c r="XK101" s="3"/>
      <c r="XL101" s="3"/>
      <c r="XM101" s="3"/>
      <c r="XN101" s="3"/>
      <c r="XO101" s="3"/>
      <c r="XP101" s="3"/>
      <c r="XQ101" s="3"/>
      <c r="XR101" s="3"/>
      <c r="XS101" s="3"/>
      <c r="XT101" s="3"/>
      <c r="XU101" s="3"/>
      <c r="XV101" s="3"/>
      <c r="XW101" s="3"/>
      <c r="XX101" s="3"/>
      <c r="XY101" s="3"/>
      <c r="XZ101" s="3"/>
      <c r="YA101" s="3"/>
      <c r="YB101" s="3"/>
      <c r="YC101" s="3"/>
      <c r="YD101" s="3"/>
      <c r="YE101" s="3"/>
      <c r="YF101" s="3"/>
      <c r="YG101" s="3"/>
      <c r="YH101" s="3"/>
      <c r="YI101" s="3"/>
      <c r="YJ101" s="3"/>
      <c r="YK101" s="3"/>
      <c r="YL101" s="3"/>
      <c r="YM101" s="3"/>
      <c r="YN101" s="3"/>
      <c r="YO101" s="3"/>
      <c r="YP101" s="3"/>
      <c r="YQ101" s="3"/>
      <c r="YR101" s="3"/>
      <c r="YS101" s="3"/>
      <c r="YT101" s="3"/>
      <c r="YU101" s="3"/>
      <c r="YV101" s="3"/>
      <c r="YW101" s="3"/>
      <c r="YX101" s="3"/>
      <c r="YY101" s="3"/>
      <c r="YZ101" s="3"/>
      <c r="ZA101" s="3"/>
      <c r="ZB101" s="3"/>
      <c r="ZC101" s="3"/>
      <c r="ZD101" s="3"/>
      <c r="ZE101" s="3"/>
      <c r="ZF101" s="3"/>
      <c r="ZG101" s="3"/>
      <c r="ZH101" s="3"/>
      <c r="ZI101" s="3"/>
      <c r="ZJ101" s="3"/>
      <c r="ZK101" s="3"/>
      <c r="ZL101" s="3"/>
      <c r="ZM101" s="3"/>
      <c r="ZN101" s="3"/>
      <c r="ZO101" s="3"/>
      <c r="ZP101" s="3"/>
      <c r="ZQ101" s="3"/>
      <c r="ZR101" s="3"/>
      <c r="ZS101" s="3"/>
      <c r="ZT101" s="3"/>
      <c r="ZU101" s="3"/>
      <c r="ZV101" s="3"/>
      <c r="ZW101" s="3"/>
      <c r="ZX101" s="3"/>
      <c r="ZY101" s="3"/>
      <c r="ZZ101" s="3"/>
      <c r="AAA101" s="3"/>
      <c r="AAB101" s="3"/>
      <c r="AAC101" s="3"/>
      <c r="AAD101" s="3"/>
      <c r="AAE101" s="3"/>
      <c r="AAF101" s="3"/>
      <c r="AAG101" s="3"/>
      <c r="AAH101" s="3"/>
      <c r="AAI101" s="3"/>
      <c r="AAJ101" s="3"/>
      <c r="AAK101" s="3"/>
      <c r="AAL101" s="3"/>
      <c r="AAM101" s="3"/>
      <c r="AAN101" s="3"/>
      <c r="AAO101" s="3"/>
      <c r="AAP101" s="3"/>
      <c r="AAQ101" s="3"/>
      <c r="AAR101" s="3"/>
      <c r="AAS101" s="3"/>
      <c r="AAT101" s="3"/>
      <c r="AAU101" s="3"/>
      <c r="AAV101" s="3"/>
      <c r="AAW101" s="3"/>
      <c r="AAX101" s="3"/>
      <c r="AAY101" s="3"/>
      <c r="AAZ101" s="3"/>
      <c r="ABA101" s="3"/>
      <c r="ABB101" s="3"/>
      <c r="ABC101" s="3"/>
      <c r="ABD101" s="3"/>
      <c r="ABE101" s="3"/>
      <c r="ABF101" s="3"/>
      <c r="ABG101" s="3"/>
      <c r="ABH101" s="3"/>
      <c r="ABI101" s="3"/>
      <c r="ABJ101" s="3"/>
      <c r="ABK101" s="3"/>
      <c r="ABL101" s="3"/>
      <c r="ABM101" s="3"/>
      <c r="ABN101" s="3"/>
      <c r="ABO101" s="3"/>
      <c r="ABP101" s="3"/>
      <c r="ABQ101" s="3"/>
      <c r="ABR101" s="3"/>
      <c r="ABS101" s="3"/>
      <c r="ABT101" s="3"/>
      <c r="ABU101" s="3"/>
      <c r="ABV101" s="3"/>
      <c r="ABW101" s="3"/>
      <c r="ABX101" s="3"/>
      <c r="ABY101" s="3"/>
      <c r="ABZ101" s="3"/>
      <c r="ACA101" s="3"/>
      <c r="ACB101" s="3"/>
      <c r="ACC101" s="3"/>
      <c r="ACD101" s="3"/>
      <c r="ACE101" s="3"/>
      <c r="ACF101" s="3"/>
      <c r="ACG101" s="3"/>
      <c r="ACH101" s="3"/>
      <c r="ACI101" s="3"/>
      <c r="ACJ101" s="3"/>
      <c r="ACK101" s="3"/>
      <c r="ACL101" s="3"/>
      <c r="ACM101" s="3"/>
      <c r="ACN101" s="3"/>
      <c r="ACO101" s="3"/>
      <c r="ACP101" s="3"/>
      <c r="ACQ101" s="3"/>
      <c r="ACR101" s="3"/>
      <c r="ACS101" s="3"/>
      <c r="ACT101" s="3"/>
      <c r="ACU101" s="3"/>
      <c r="ACV101" s="3"/>
      <c r="ACW101" s="3"/>
      <c r="ACX101" s="3"/>
      <c r="ACY101" s="3"/>
      <c r="ACZ101" s="3"/>
      <c r="ADA101" s="3"/>
      <c r="ADB101" s="3"/>
      <c r="ADC101" s="3"/>
      <c r="ADD101" s="3"/>
      <c r="ADE101" s="3"/>
      <c r="ADF101" s="3"/>
      <c r="ADG101" s="3"/>
      <c r="ADH101" s="3"/>
      <c r="ADI101" s="3"/>
      <c r="ADJ101" s="3"/>
      <c r="ADK101" s="3"/>
      <c r="ADL101" s="3"/>
      <c r="ADM101" s="3"/>
      <c r="ADN101" s="3"/>
      <c r="ADO101" s="3"/>
      <c r="ADP101" s="3"/>
      <c r="ADQ101" s="3"/>
      <c r="ADR101" s="3"/>
      <c r="ADS101" s="3"/>
      <c r="ADT101" s="3"/>
      <c r="ADU101" s="3"/>
      <c r="ADV101" s="3"/>
      <c r="ADW101" s="3"/>
      <c r="ADX101" s="3"/>
      <c r="ADY101" s="3"/>
      <c r="ADZ101" s="3"/>
      <c r="AEA101" s="3"/>
      <c r="AEB101" s="3"/>
      <c r="AEC101" s="3"/>
      <c r="AED101" s="3"/>
      <c r="AEE101" s="3"/>
      <c r="AEF101" s="3"/>
      <c r="AEG101" s="3"/>
      <c r="AEH101" s="3"/>
      <c r="AEI101" s="3"/>
      <c r="AEJ101" s="3"/>
      <c r="AEK101" s="3"/>
      <c r="AEL101" s="3"/>
      <c r="AEM101" s="3"/>
      <c r="AEN101" s="3"/>
      <c r="AEO101" s="3"/>
      <c r="AEP101" s="3"/>
      <c r="AEQ101" s="3"/>
      <c r="AER101" s="3"/>
      <c r="AES101" s="3"/>
      <c r="AET101" s="3"/>
      <c r="AEU101" s="3"/>
      <c r="AEV101" s="3"/>
      <c r="AEW101" s="3"/>
      <c r="AEX101" s="3"/>
      <c r="AEY101" s="3"/>
      <c r="AEZ101" s="3"/>
      <c r="AFA101" s="3"/>
      <c r="AFB101" s="3"/>
      <c r="AFC101" s="3"/>
      <c r="AFD101" s="3"/>
      <c r="AFE101" s="3"/>
      <c r="AFF101" s="3"/>
      <c r="AFG101" s="3"/>
      <c r="AFH101" s="3"/>
      <c r="AFI101" s="3"/>
      <c r="AFJ101" s="3"/>
      <c r="AFK101" s="3"/>
      <c r="AFL101" s="3"/>
      <c r="AFM101" s="3"/>
      <c r="AFN101" s="3"/>
      <c r="AFO101" s="3"/>
      <c r="AFP101" s="3"/>
      <c r="AFQ101" s="3"/>
      <c r="AFR101" s="3"/>
      <c r="AFS101" s="3"/>
      <c r="AFT101" s="3"/>
      <c r="AFU101" s="3"/>
      <c r="AFV101" s="3"/>
      <c r="AFW101" s="3"/>
      <c r="AFX101" s="3"/>
      <c r="AFY101" s="3"/>
      <c r="AFZ101" s="3"/>
      <c r="AGA101" s="3"/>
      <c r="AGB101" s="3"/>
      <c r="AGC101" s="3"/>
      <c r="AGD101" s="3"/>
      <c r="AGE101" s="3"/>
      <c r="AGF101" s="3"/>
      <c r="AGG101" s="3"/>
      <c r="AGH101" s="3"/>
      <c r="AGI101" s="3"/>
      <c r="AGJ101" s="3"/>
      <c r="AGK101" s="3"/>
      <c r="AGL101" s="3"/>
      <c r="AGM101" s="3"/>
      <c r="AGN101" s="3"/>
      <c r="AGO101" s="3"/>
      <c r="AGP101" s="3"/>
      <c r="AGQ101" s="3"/>
      <c r="AGR101" s="3"/>
      <c r="AGS101" s="3"/>
      <c r="AGT101" s="3"/>
      <c r="AGU101" s="3"/>
      <c r="AGV101" s="3"/>
      <c r="AGW101" s="3"/>
      <c r="AGX101" s="3"/>
      <c r="AGY101" s="3"/>
      <c r="AGZ101" s="3"/>
      <c r="AHA101" s="3"/>
      <c r="AHB101" s="3"/>
      <c r="AHC101" s="3"/>
      <c r="AHD101" s="3"/>
      <c r="AHE101" s="3"/>
      <c r="AHF101" s="3"/>
      <c r="AHG101" s="3"/>
      <c r="AHH101" s="3"/>
      <c r="AHI101" s="3"/>
      <c r="AHJ101" s="3"/>
      <c r="AHK101" s="3"/>
      <c r="AHL101" s="3"/>
      <c r="AHM101" s="3"/>
      <c r="AHN101" s="3"/>
      <c r="AHO101" s="3"/>
      <c r="AHP101" s="3"/>
      <c r="AHQ101" s="3"/>
      <c r="AHR101" s="3"/>
      <c r="AHS101" s="3"/>
      <c r="AHT101" s="3"/>
      <c r="AHU101" s="3"/>
      <c r="AHV101" s="3"/>
      <c r="AHW101" s="3"/>
      <c r="AHX101" s="3"/>
      <c r="AHY101" s="3"/>
      <c r="AHZ101" s="3"/>
      <c r="AIA101" s="3"/>
      <c r="AIB101" s="3"/>
      <c r="AIC101" s="3"/>
      <c r="AID101" s="3"/>
      <c r="AIE101" s="3"/>
      <c r="AIF101" s="3"/>
      <c r="AIG101" s="3"/>
      <c r="AIH101" s="3"/>
      <c r="AII101" s="3"/>
      <c r="AIJ101" s="3"/>
      <c r="AIK101" s="3"/>
      <c r="AIL101" s="3"/>
      <c r="AIM101" s="3"/>
      <c r="AIN101" s="3"/>
      <c r="AIO101" s="3"/>
      <c r="AIP101" s="3"/>
      <c r="AIQ101" s="3"/>
      <c r="AIR101" s="3"/>
      <c r="AIS101" s="3"/>
      <c r="AIT101" s="3"/>
      <c r="AIU101" s="3"/>
      <c r="AIV101" s="3"/>
      <c r="AIW101" s="3"/>
      <c r="AIX101" s="3"/>
      <c r="AIY101" s="3"/>
      <c r="AIZ101" s="3"/>
      <c r="AJA101" s="3"/>
      <c r="AJB101" s="3"/>
      <c r="AJC101" s="3"/>
      <c r="AJD101" s="3"/>
      <c r="AJE101" s="3"/>
      <c r="AJF101" s="3"/>
      <c r="AJG101" s="3"/>
      <c r="AJH101" s="3"/>
      <c r="AJI101" s="3"/>
      <c r="AJJ101" s="3"/>
      <c r="AJK101" s="3"/>
      <c r="AJL101" s="3"/>
      <c r="AJM101" s="3"/>
      <c r="AJN101" s="3"/>
      <c r="AJO101" s="3"/>
      <c r="AJP101" s="3"/>
      <c r="AJQ101" s="3"/>
      <c r="AJR101" s="3"/>
      <c r="AJS101" s="3"/>
      <c r="AJT101" s="3"/>
      <c r="AJU101" s="3"/>
      <c r="AJV101" s="3"/>
      <c r="AJW101" s="3"/>
      <c r="AJX101" s="3"/>
      <c r="AJY101" s="3"/>
      <c r="AJZ101" s="3"/>
      <c r="AKA101" s="3"/>
      <c r="AKB101" s="3"/>
      <c r="AKC101" s="3"/>
      <c r="AKD101" s="3"/>
      <c r="AKE101" s="3"/>
      <c r="AKF101" s="3"/>
      <c r="AKG101" s="3"/>
      <c r="AKH101" s="3"/>
      <c r="AKI101" s="3"/>
      <c r="AKJ101" s="3"/>
      <c r="AKK101" s="3"/>
      <c r="AKL101" s="3"/>
      <c r="AKM101" s="3"/>
      <c r="AKN101" s="3"/>
      <c r="AKO101" s="3"/>
      <c r="AKP101" s="3"/>
      <c r="AKQ101" s="3"/>
      <c r="AKR101" s="3"/>
      <c r="AKS101" s="3"/>
      <c r="AKT101" s="3"/>
      <c r="AKU101" s="3"/>
      <c r="AKV101" s="3"/>
      <c r="AKW101" s="3"/>
      <c r="AKX101" s="3"/>
      <c r="AKY101" s="3"/>
      <c r="AKZ101" s="3"/>
      <c r="ALA101" s="3"/>
      <c r="ALB101" s="3"/>
      <c r="ALC101" s="3"/>
      <c r="ALD101" s="3"/>
      <c r="ALE101" s="3"/>
      <c r="ALF101" s="3"/>
      <c r="ALG101" s="3"/>
      <c r="ALH101" s="3"/>
      <c r="ALI101" s="3"/>
      <c r="ALJ101" s="3"/>
      <c r="ALK101" s="3"/>
      <c r="ALL101" s="3"/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  <c r="AQB101" s="3"/>
      <c r="AQC101" s="3"/>
      <c r="AQD101" s="3"/>
      <c r="AQE101" s="3"/>
      <c r="AQF101" s="3"/>
      <c r="AQG101" s="3"/>
      <c r="AQH101" s="3"/>
      <c r="AQI101" s="3"/>
      <c r="AQJ101" s="3"/>
      <c r="AQK101" s="3"/>
      <c r="AQL101" s="3"/>
      <c r="AQM101" s="3"/>
      <c r="AQN101" s="3"/>
      <c r="AQO101" s="3"/>
      <c r="AQP101" s="3"/>
      <c r="AQQ101" s="3"/>
      <c r="AQR101" s="3"/>
      <c r="AQS101" s="3"/>
      <c r="AQT101" s="3"/>
      <c r="AQU101" s="3"/>
      <c r="AQV101" s="3"/>
      <c r="AQW101" s="3"/>
      <c r="AQX101" s="3"/>
      <c r="AQY101" s="3"/>
      <c r="AQZ101" s="3"/>
      <c r="ARA101" s="3"/>
      <c r="ARB101" s="3"/>
      <c r="ARC101" s="3"/>
      <c r="ARD101" s="3"/>
      <c r="ARE101" s="3"/>
      <c r="ARF101" s="3"/>
      <c r="ARG101" s="3"/>
      <c r="ARH101" s="3"/>
      <c r="ARI101" s="3"/>
      <c r="ARJ101" s="3"/>
      <c r="ARK101" s="3"/>
      <c r="ARL101" s="3"/>
      <c r="ARM101" s="3"/>
      <c r="ARN101" s="3"/>
      <c r="ARO101" s="3"/>
      <c r="ARP101" s="3"/>
      <c r="ARQ101" s="3"/>
      <c r="ARR101" s="3"/>
      <c r="ARS101" s="3"/>
      <c r="ART101" s="3"/>
      <c r="ARU101" s="3"/>
      <c r="ARV101" s="3"/>
      <c r="ARW101" s="3"/>
      <c r="ARX101" s="3"/>
      <c r="ARY101" s="3"/>
      <c r="ARZ101" s="3"/>
      <c r="ASA101" s="3"/>
      <c r="ASB101" s="3"/>
      <c r="ASC101" s="3"/>
      <c r="ASD101" s="3"/>
      <c r="ASE101" s="3"/>
      <c r="ASF101" s="3"/>
      <c r="ASG101" s="3"/>
      <c r="ASH101" s="3"/>
      <c r="ASI101" s="3"/>
      <c r="ASJ101" s="3"/>
      <c r="ASK101" s="3"/>
      <c r="ASL101" s="3"/>
      <c r="ASM101" s="3"/>
      <c r="ASN101" s="3"/>
      <c r="ASO101" s="3"/>
      <c r="ASP101" s="3"/>
      <c r="ASQ101" s="3"/>
      <c r="ASR101" s="3"/>
      <c r="ASS101" s="3"/>
      <c r="AST101" s="3"/>
      <c r="ASU101" s="3"/>
      <c r="ASV101" s="3"/>
      <c r="ASW101" s="3"/>
      <c r="ASX101" s="3"/>
      <c r="ASY101" s="3"/>
      <c r="ASZ101" s="3"/>
      <c r="ATA101" s="3"/>
      <c r="ATB101" s="3"/>
      <c r="ATC101" s="3"/>
      <c r="ATD101" s="3"/>
      <c r="ATE101" s="3"/>
      <c r="ATF101" s="3"/>
      <c r="ATG101" s="3"/>
      <c r="ATH101" s="3"/>
      <c r="ATI101" s="3"/>
      <c r="ATJ101" s="3"/>
      <c r="ATK101" s="3"/>
      <c r="ATL101" s="3"/>
      <c r="ATM101" s="3"/>
      <c r="ATN101" s="3"/>
      <c r="ATO101" s="3"/>
      <c r="ATP101" s="3"/>
      <c r="ATQ101" s="3"/>
      <c r="ATR101" s="3"/>
      <c r="ATS101" s="3"/>
      <c r="ATT101" s="3"/>
      <c r="ATU101" s="3"/>
      <c r="ATV101" s="3"/>
      <c r="ATW101" s="3"/>
      <c r="ATX101" s="3"/>
      <c r="ATY101" s="3"/>
      <c r="ATZ101" s="3"/>
      <c r="AUA101" s="3"/>
      <c r="AUB101" s="3"/>
      <c r="AUC101" s="3"/>
      <c r="AUD101" s="3"/>
      <c r="AUE101" s="3"/>
      <c r="AUF101" s="3"/>
      <c r="AUG101" s="3"/>
      <c r="AUH101" s="3"/>
      <c r="AUI101" s="3"/>
      <c r="AUJ101" s="3"/>
      <c r="AUK101" s="3"/>
      <c r="AUL101" s="3"/>
      <c r="AUM101" s="3"/>
      <c r="AUN101" s="3"/>
      <c r="AUO101" s="3"/>
      <c r="AUP101" s="3"/>
      <c r="AUQ101" s="3"/>
      <c r="AUR101" s="3"/>
      <c r="AUS101" s="3"/>
      <c r="AUT101" s="3"/>
      <c r="AUU101" s="3"/>
      <c r="AUV101" s="3"/>
      <c r="AUW101" s="3"/>
      <c r="AUX101" s="3"/>
      <c r="AUY101" s="3"/>
      <c r="AUZ101" s="3"/>
      <c r="AVA101" s="3"/>
      <c r="AVB101" s="3"/>
      <c r="AVC101" s="3"/>
      <c r="AVD101" s="3"/>
      <c r="AVE101" s="3"/>
      <c r="AVF101" s="3"/>
      <c r="AVG101" s="3"/>
      <c r="AVH101" s="3"/>
      <c r="AVI101" s="3"/>
      <c r="AVJ101" s="3"/>
      <c r="AVK101" s="3"/>
      <c r="AVL101" s="3"/>
      <c r="AVM101" s="3"/>
      <c r="AVN101" s="3"/>
      <c r="AVO101" s="3"/>
      <c r="AVP101" s="3"/>
      <c r="AVQ101" s="3"/>
      <c r="AVR101" s="3"/>
      <c r="AVS101" s="3"/>
      <c r="AVT101" s="3"/>
      <c r="AVU101" s="3"/>
      <c r="AVV101" s="3"/>
      <c r="AVW101" s="3"/>
      <c r="AVX101" s="3"/>
      <c r="AVY101" s="3"/>
      <c r="AVZ101" s="3"/>
      <c r="AWA101" s="3"/>
      <c r="AWB101" s="3"/>
      <c r="AWC101" s="3"/>
      <c r="AWD101" s="3"/>
      <c r="AWE101" s="3"/>
      <c r="AWF101" s="3"/>
      <c r="AWG101" s="3"/>
      <c r="AWH101" s="3"/>
      <c r="AWI101" s="3"/>
      <c r="AWJ101" s="3"/>
      <c r="AWK101" s="3"/>
      <c r="AWL101" s="3"/>
      <c r="AWM101" s="3"/>
      <c r="AWN101" s="3"/>
      <c r="AWO101" s="3"/>
      <c r="AWP101" s="3"/>
      <c r="AWQ101" s="3"/>
      <c r="AWR101" s="3"/>
      <c r="AWS101" s="3"/>
      <c r="AWT101" s="3"/>
      <c r="AWU101" s="3"/>
      <c r="AWV101" s="3"/>
      <c r="AWW101" s="3"/>
      <c r="AWX101" s="3"/>
      <c r="AWY101" s="3"/>
      <c r="AWZ101" s="3"/>
      <c r="AXA101" s="3"/>
      <c r="AXB101" s="3"/>
      <c r="AXC101" s="3"/>
      <c r="AXD101" s="3"/>
      <c r="AXE101" s="3"/>
      <c r="AXF101" s="3"/>
      <c r="AXG101" s="3"/>
      <c r="AXH101" s="3"/>
      <c r="AXI101" s="3"/>
      <c r="AXJ101" s="3"/>
      <c r="AXK101" s="3"/>
      <c r="AXL101" s="3"/>
      <c r="AXM101" s="3"/>
      <c r="AXN101" s="3"/>
      <c r="AXO101" s="3"/>
      <c r="AXP101" s="3"/>
      <c r="AXQ101" s="3"/>
      <c r="AXR101" s="3"/>
      <c r="AXS101" s="3"/>
      <c r="AXT101" s="3"/>
      <c r="AXU101" s="3"/>
      <c r="AXV101" s="3"/>
      <c r="AXW101" s="3"/>
      <c r="AXX101" s="3"/>
      <c r="AXY101" s="3"/>
      <c r="AXZ101" s="3"/>
      <c r="AYA101" s="3"/>
      <c r="AYB101" s="3"/>
      <c r="AYC101" s="3"/>
      <c r="AYD101" s="3"/>
      <c r="AYE101" s="3"/>
      <c r="AYF101" s="3"/>
      <c r="AYG101" s="3"/>
      <c r="AYH101" s="3"/>
      <c r="AYI101" s="3"/>
      <c r="AYJ101" s="3"/>
      <c r="AYK101" s="3"/>
      <c r="AYL101" s="3"/>
      <c r="AYM101" s="3"/>
      <c r="AYN101" s="3"/>
      <c r="AYO101" s="3"/>
      <c r="AYP101" s="3"/>
      <c r="AYQ101" s="3"/>
      <c r="AYR101" s="3"/>
      <c r="AYS101" s="3"/>
      <c r="AYT101" s="3"/>
      <c r="AYU101" s="3"/>
      <c r="AYV101" s="3"/>
      <c r="AYW101" s="3"/>
      <c r="AYX101" s="3"/>
      <c r="AYY101" s="3"/>
      <c r="AYZ101" s="3"/>
      <c r="AZA101" s="3"/>
      <c r="AZB101" s="3"/>
      <c r="AZC101" s="3"/>
      <c r="AZD101" s="3"/>
      <c r="AZE101" s="3"/>
      <c r="AZF101" s="3"/>
      <c r="AZG101" s="3"/>
      <c r="AZH101" s="3"/>
      <c r="AZI101" s="3"/>
      <c r="AZJ101" s="3"/>
      <c r="AZK101" s="3"/>
      <c r="AZL101" s="3"/>
      <c r="AZM101" s="3"/>
      <c r="AZN101" s="3"/>
      <c r="AZO101" s="3"/>
      <c r="AZP101" s="3"/>
      <c r="AZQ101" s="3"/>
      <c r="AZR101" s="3"/>
      <c r="AZS101" s="3"/>
      <c r="AZT101" s="3"/>
      <c r="AZU101" s="3"/>
      <c r="AZV101" s="3"/>
      <c r="AZW101" s="3"/>
      <c r="AZX101" s="3"/>
      <c r="AZY101" s="3"/>
      <c r="AZZ101" s="3"/>
      <c r="BAA101" s="3"/>
      <c r="BAB101" s="3"/>
      <c r="BAC101" s="3"/>
      <c r="BAD101" s="3"/>
      <c r="BAE101" s="3"/>
      <c r="BAF101" s="3"/>
      <c r="BAG101" s="3"/>
      <c r="BAH101" s="3"/>
      <c r="BAI101" s="3"/>
      <c r="BAJ101" s="3"/>
      <c r="BAK101" s="3"/>
      <c r="BAL101" s="3"/>
      <c r="BAM101" s="3"/>
      <c r="BAN101" s="3"/>
      <c r="BAO101" s="3"/>
      <c r="BAP101" s="3"/>
      <c r="BAQ101" s="3"/>
      <c r="BAR101" s="3"/>
      <c r="BAS101" s="3"/>
      <c r="BAT101" s="3"/>
      <c r="BAU101" s="3"/>
      <c r="BAV101" s="3"/>
      <c r="BAW101" s="3"/>
      <c r="BAX101" s="3"/>
      <c r="BAY101" s="3"/>
      <c r="BAZ101" s="3"/>
      <c r="BBA101" s="3"/>
      <c r="BBB101" s="3"/>
      <c r="BBC101" s="3"/>
      <c r="BBD101" s="3"/>
      <c r="BBE101" s="3"/>
      <c r="BBF101" s="3"/>
      <c r="BBG101" s="3"/>
      <c r="BBH101" s="3"/>
      <c r="BBI101" s="3"/>
      <c r="BBJ101" s="3"/>
      <c r="BBK101" s="3"/>
      <c r="BBL101" s="3"/>
      <c r="BBM101" s="3"/>
      <c r="BBN101" s="3"/>
      <c r="BBO101" s="3"/>
      <c r="BBP101" s="3"/>
      <c r="BBQ101" s="3"/>
      <c r="BBR101" s="3"/>
      <c r="BBS101" s="3"/>
      <c r="BBT101" s="3"/>
      <c r="BBU101" s="3"/>
      <c r="BBV101" s="3"/>
      <c r="BBW101" s="3"/>
      <c r="BBX101" s="3"/>
      <c r="BBY101" s="3"/>
      <c r="BBZ101" s="3"/>
      <c r="BCA101" s="3"/>
      <c r="BCB101" s="3"/>
      <c r="BCC101" s="3"/>
      <c r="BCD101" s="3"/>
      <c r="BCE101" s="3"/>
      <c r="BCF101" s="3"/>
      <c r="BCG101" s="3"/>
      <c r="BCH101" s="3"/>
      <c r="BCI101" s="3"/>
      <c r="BCJ101" s="3"/>
      <c r="BCK101" s="3"/>
      <c r="BCL101" s="3"/>
      <c r="BCM101" s="3"/>
      <c r="BCN101" s="3"/>
      <c r="BCO101" s="3"/>
      <c r="BCP101" s="3"/>
      <c r="BCQ101" s="3"/>
      <c r="BCR101" s="3"/>
      <c r="BCS101" s="3"/>
      <c r="BCT101" s="3"/>
      <c r="BCU101" s="3"/>
      <c r="BCV101" s="3"/>
      <c r="BCW101" s="3"/>
      <c r="BCX101" s="3"/>
      <c r="BCY101" s="3"/>
      <c r="BCZ101" s="3"/>
      <c r="BDA101" s="3"/>
      <c r="BDB101" s="3"/>
      <c r="BDC101" s="3"/>
      <c r="BDD101" s="3"/>
      <c r="BDE101" s="3"/>
      <c r="BDF101" s="3"/>
      <c r="BDG101" s="3"/>
      <c r="BDH101" s="3"/>
      <c r="BDI101" s="3"/>
      <c r="BDJ101" s="3"/>
      <c r="BDK101" s="3"/>
      <c r="BDL101" s="3"/>
      <c r="BDM101" s="3"/>
      <c r="BDN101" s="3"/>
      <c r="BDO101" s="3"/>
      <c r="BDP101" s="3"/>
      <c r="BDQ101" s="3"/>
      <c r="BDR101" s="3"/>
      <c r="BDS101" s="3"/>
      <c r="BDT101" s="3"/>
      <c r="BDU101" s="3"/>
      <c r="BDV101" s="3"/>
      <c r="BDW101" s="3"/>
      <c r="BDX101" s="3"/>
      <c r="BDY101" s="3"/>
      <c r="BDZ101" s="3"/>
      <c r="BEA101" s="3"/>
      <c r="BEB101" s="3"/>
      <c r="BEC101" s="3"/>
      <c r="BED101" s="3"/>
      <c r="BEE101" s="3"/>
      <c r="BEF101" s="3"/>
      <c r="BEG101" s="3"/>
      <c r="BEH101" s="3"/>
      <c r="BEI101" s="3"/>
      <c r="BEJ101" s="3"/>
      <c r="BEK101" s="3"/>
      <c r="BEL101" s="3"/>
      <c r="BEM101" s="3"/>
      <c r="BEN101" s="3"/>
      <c r="BEO101" s="3"/>
      <c r="BEP101" s="3"/>
      <c r="BEQ101" s="3"/>
      <c r="BER101" s="3"/>
      <c r="BES101" s="3"/>
      <c r="BET101" s="3"/>
      <c r="BEU101" s="3"/>
      <c r="BEV101" s="3"/>
      <c r="BEW101" s="3"/>
      <c r="BEX101" s="3"/>
      <c r="BEY101" s="3"/>
      <c r="BEZ101" s="3"/>
      <c r="BFA101" s="3"/>
      <c r="BFB101" s="3"/>
      <c r="BFC101" s="3"/>
      <c r="BFD101" s="3"/>
      <c r="BFE101" s="3"/>
      <c r="BFF101" s="3"/>
      <c r="BFG101" s="3"/>
      <c r="BFH101" s="3"/>
      <c r="BFI101" s="3"/>
      <c r="BFJ101" s="3"/>
      <c r="BFK101" s="3"/>
      <c r="BFL101" s="3"/>
      <c r="BFM101" s="3"/>
      <c r="BFN101" s="3"/>
      <c r="BFO101" s="3"/>
      <c r="BFP101" s="3"/>
      <c r="BFQ101" s="3"/>
      <c r="BFR101" s="3"/>
      <c r="BFS101" s="3"/>
      <c r="BFT101" s="3"/>
      <c r="BFU101" s="3"/>
      <c r="BFV101" s="3"/>
      <c r="BFW101" s="3"/>
      <c r="BFX101" s="3"/>
      <c r="BFY101" s="3"/>
      <c r="BFZ101" s="3"/>
      <c r="BGA101" s="3"/>
      <c r="BGB101" s="3"/>
      <c r="BGC101" s="3"/>
      <c r="BGD101" s="3"/>
      <c r="BGE101" s="3"/>
      <c r="BGF101" s="3"/>
      <c r="BGG101" s="3"/>
      <c r="BGH101" s="3"/>
      <c r="BGI101" s="3"/>
      <c r="BGJ101" s="3"/>
      <c r="BGK101" s="3"/>
      <c r="BGL101" s="3"/>
      <c r="BGM101" s="3"/>
      <c r="BGN101" s="3"/>
      <c r="BGO101" s="3"/>
      <c r="BGP101" s="3"/>
      <c r="BGQ101" s="3"/>
      <c r="BGR101" s="3"/>
      <c r="BGS101" s="3"/>
      <c r="BGT101" s="3"/>
      <c r="BGU101" s="3"/>
      <c r="BGV101" s="3"/>
      <c r="BGW101" s="3"/>
      <c r="BGX101" s="3"/>
      <c r="BGY101" s="3"/>
      <c r="BGZ101" s="3"/>
      <c r="BHA101" s="3"/>
      <c r="BHB101" s="3"/>
      <c r="BHC101" s="3"/>
      <c r="BHD101" s="3"/>
      <c r="BHE101" s="3"/>
      <c r="BHF101" s="3"/>
      <c r="BHG101" s="3"/>
      <c r="BHH101" s="3"/>
      <c r="BHI101" s="3"/>
      <c r="BHJ101" s="3"/>
      <c r="BHK101" s="3"/>
      <c r="BHL101" s="3"/>
      <c r="BHM101" s="3"/>
      <c r="BHN101" s="3"/>
      <c r="BHO101" s="3"/>
      <c r="BHP101" s="3"/>
      <c r="BHQ101" s="3"/>
      <c r="BHR101" s="3"/>
      <c r="BHS101" s="3"/>
      <c r="BHT101" s="3"/>
      <c r="BHU101" s="3"/>
      <c r="BHV101" s="3"/>
      <c r="BHW101" s="3"/>
      <c r="BHX101" s="3"/>
      <c r="BHY101" s="3"/>
      <c r="BHZ101" s="3"/>
      <c r="BIA101" s="3"/>
      <c r="BIB101" s="3"/>
      <c r="BIC101" s="3"/>
      <c r="BID101" s="3"/>
      <c r="BIE101" s="3"/>
      <c r="BIF101" s="3"/>
      <c r="BIG101" s="3"/>
      <c r="BIH101" s="3"/>
      <c r="BII101" s="3"/>
      <c r="BIJ101" s="3"/>
      <c r="BIK101" s="3"/>
      <c r="BIL101" s="3"/>
      <c r="BIM101" s="3"/>
      <c r="BIN101" s="3"/>
      <c r="BIO101" s="3"/>
      <c r="BIP101" s="3"/>
      <c r="BIQ101" s="3"/>
      <c r="BIR101" s="3"/>
      <c r="BIS101" s="3"/>
      <c r="BIT101" s="3"/>
      <c r="BIU101" s="3"/>
      <c r="BIV101" s="3"/>
      <c r="BIW101" s="3"/>
      <c r="BIX101" s="3"/>
      <c r="BIY101" s="3"/>
      <c r="BIZ101" s="3"/>
      <c r="BJA101" s="3"/>
      <c r="BJB101" s="3"/>
      <c r="BJC101" s="3"/>
      <c r="BJD101" s="3"/>
      <c r="BJE101" s="3"/>
      <c r="BJF101" s="3"/>
      <c r="BJG101" s="3"/>
      <c r="BJH101" s="3"/>
      <c r="BJI101" s="3"/>
      <c r="BJJ101" s="3"/>
      <c r="BJK101" s="3"/>
      <c r="BJL101" s="3"/>
      <c r="BJM101" s="3"/>
      <c r="BJN101" s="3"/>
      <c r="BJO101" s="3"/>
      <c r="BJP101" s="3"/>
      <c r="BJQ101" s="3"/>
      <c r="BJR101" s="3"/>
      <c r="BJS101" s="3"/>
      <c r="BJT101" s="3"/>
      <c r="BJU101" s="3"/>
      <c r="BJV101" s="3"/>
      <c r="BJW101" s="3"/>
      <c r="BJX101" s="3"/>
      <c r="BJY101" s="3"/>
      <c r="BJZ101" s="3"/>
      <c r="BKA101" s="3"/>
      <c r="BKB101" s="3"/>
      <c r="BKC101" s="3"/>
      <c r="BKD101" s="3"/>
      <c r="BKE101" s="3"/>
      <c r="BKF101" s="3"/>
      <c r="BKG101" s="3"/>
      <c r="BKH101" s="3"/>
      <c r="BKI101" s="3"/>
      <c r="BKJ101" s="3"/>
      <c r="BKK101" s="3"/>
      <c r="BKL101" s="3"/>
      <c r="BKM101" s="3"/>
      <c r="BKN101" s="3"/>
      <c r="BKO101" s="3"/>
      <c r="BKP101" s="3"/>
      <c r="BKQ101" s="3"/>
      <c r="BKR101" s="3"/>
      <c r="BKS101" s="3"/>
      <c r="BKT101" s="3"/>
      <c r="BKU101" s="3"/>
      <c r="BKV101" s="3"/>
      <c r="BKW101" s="3"/>
      <c r="BKX101" s="3"/>
      <c r="BKY101" s="3"/>
      <c r="BKZ101" s="3"/>
      <c r="BLA101" s="3"/>
      <c r="BLB101" s="3"/>
      <c r="BLC101" s="3"/>
      <c r="BLD101" s="3"/>
      <c r="BLE101" s="3"/>
      <c r="BLF101" s="3"/>
      <c r="BLG101" s="3"/>
      <c r="BLH101" s="3"/>
      <c r="BLI101" s="3"/>
      <c r="BLJ101" s="3"/>
      <c r="BLK101" s="3"/>
      <c r="BLL101" s="3"/>
      <c r="BLM101" s="3"/>
      <c r="BLN101" s="3"/>
      <c r="BLO101" s="3"/>
      <c r="BLP101" s="3"/>
      <c r="BLQ101" s="3"/>
      <c r="BLR101" s="3"/>
      <c r="BLS101" s="3"/>
      <c r="BLT101" s="3"/>
      <c r="BLU101" s="3"/>
      <c r="BLV101" s="3"/>
      <c r="BLW101" s="3"/>
      <c r="BLX101" s="3"/>
      <c r="BLY101" s="3"/>
      <c r="BLZ101" s="3"/>
      <c r="BMA101" s="3"/>
      <c r="BMB101" s="3"/>
      <c r="BMC101" s="3"/>
      <c r="BMD101" s="3"/>
      <c r="BME101" s="3"/>
      <c r="BMF101" s="3"/>
      <c r="BMG101" s="3"/>
      <c r="BMH101" s="3"/>
      <c r="BMI101" s="3"/>
      <c r="BMJ101" s="3"/>
      <c r="BMK101" s="3"/>
      <c r="BML101" s="3"/>
      <c r="BMM101" s="3"/>
      <c r="BMN101" s="3"/>
      <c r="BMO101" s="3"/>
      <c r="BMP101" s="3"/>
      <c r="BMQ101" s="3"/>
      <c r="BMR101" s="3"/>
      <c r="BMS101" s="3"/>
      <c r="BMT101" s="3"/>
      <c r="BMU101" s="3"/>
      <c r="BMV101" s="3"/>
      <c r="BMW101" s="3"/>
      <c r="BMX101" s="3"/>
      <c r="BMY101" s="3"/>
      <c r="BMZ101" s="3"/>
      <c r="BNA101" s="3"/>
      <c r="BNB101" s="3"/>
      <c r="BNC101" s="3"/>
      <c r="BND101" s="3"/>
      <c r="BNE101" s="3"/>
      <c r="BNF101" s="3"/>
      <c r="BNG101" s="3"/>
      <c r="BNH101" s="3"/>
      <c r="BNI101" s="3"/>
      <c r="BNJ101" s="3"/>
      <c r="BNK101" s="3"/>
      <c r="BNL101" s="3"/>
      <c r="BNM101" s="3"/>
      <c r="BNN101" s="3"/>
      <c r="BNO101" s="3"/>
      <c r="BNP101" s="3"/>
      <c r="BNQ101" s="3"/>
      <c r="BNR101" s="3"/>
      <c r="BNS101" s="3"/>
      <c r="BNT101" s="3"/>
      <c r="BNU101" s="3"/>
      <c r="BNV101" s="3"/>
      <c r="BNW101" s="3"/>
      <c r="BNX101" s="3"/>
      <c r="BNY101" s="3"/>
      <c r="BNZ101" s="3"/>
      <c r="BOA101" s="3"/>
      <c r="BOB101" s="3"/>
      <c r="BOC101" s="3"/>
      <c r="BOD101" s="3"/>
      <c r="BOE101" s="3"/>
      <c r="BOF101" s="3"/>
      <c r="BOG101" s="3"/>
      <c r="BOH101" s="3"/>
      <c r="BOI101" s="3"/>
      <c r="BOJ101" s="3"/>
      <c r="BOK101" s="3"/>
      <c r="BOL101" s="3"/>
      <c r="BOM101" s="3"/>
      <c r="BON101" s="3"/>
      <c r="BOO101" s="3"/>
      <c r="BOP101" s="3"/>
      <c r="BOQ101" s="3"/>
      <c r="BOR101" s="3"/>
      <c r="BOS101" s="3"/>
      <c r="BOT101" s="3"/>
      <c r="BOU101" s="3"/>
      <c r="BOV101" s="3"/>
      <c r="BOW101" s="3"/>
      <c r="BOX101" s="3"/>
      <c r="BOY101" s="3"/>
      <c r="BOZ101" s="3"/>
      <c r="BPA101" s="3"/>
      <c r="BPB101" s="3"/>
      <c r="BPC101" s="3"/>
      <c r="BPD101" s="3"/>
      <c r="BPE101" s="3"/>
      <c r="BPF101" s="3"/>
      <c r="BPG101" s="3"/>
      <c r="BPH101" s="3"/>
      <c r="BPI101" s="3"/>
      <c r="BPJ101" s="3"/>
      <c r="BPK101" s="3"/>
      <c r="BPL101" s="3"/>
      <c r="BPM101" s="3"/>
      <c r="BPN101" s="3"/>
      <c r="BPO101" s="3"/>
      <c r="BPP101" s="3"/>
      <c r="BPQ101" s="3"/>
      <c r="BPR101" s="3"/>
      <c r="BPS101" s="3"/>
      <c r="BPT101" s="3"/>
      <c r="BPU101" s="3"/>
      <c r="BPV101" s="3"/>
      <c r="BPW101" s="3"/>
      <c r="BPX101" s="3"/>
      <c r="BPY101" s="3"/>
      <c r="BPZ101" s="3"/>
      <c r="BQA101" s="3"/>
      <c r="BQB101" s="3"/>
      <c r="BQC101" s="3"/>
      <c r="BQD101" s="3"/>
      <c r="BQE101" s="3"/>
      <c r="BQF101" s="3"/>
      <c r="BQG101" s="3"/>
      <c r="BQH101" s="3"/>
      <c r="BQI101" s="3"/>
      <c r="BQJ101" s="3"/>
      <c r="BQK101" s="3"/>
      <c r="BQL101" s="3"/>
      <c r="BQM101" s="3"/>
      <c r="BQN101" s="3"/>
      <c r="BQO101" s="3"/>
      <c r="BQP101" s="3"/>
      <c r="BQQ101" s="3"/>
      <c r="BQR101" s="3"/>
      <c r="BQS101" s="3"/>
      <c r="BQT101" s="3"/>
      <c r="BQU101" s="3"/>
      <c r="BQV101" s="3"/>
      <c r="BQW101" s="3"/>
      <c r="BQX101" s="3"/>
      <c r="BQY101" s="3"/>
      <c r="BQZ101" s="3"/>
      <c r="BRA101" s="3"/>
      <c r="BRB101" s="3"/>
      <c r="BRC101" s="3"/>
      <c r="BRD101" s="3"/>
      <c r="BRE101" s="3"/>
      <c r="BRF101" s="3"/>
      <c r="BRG101" s="3"/>
      <c r="BRH101" s="3"/>
      <c r="BRI101" s="3"/>
      <c r="BRJ101" s="3"/>
      <c r="BRK101" s="3"/>
      <c r="BRL101" s="3"/>
      <c r="BRM101" s="3"/>
      <c r="BRN101" s="3"/>
      <c r="BRO101" s="3"/>
      <c r="BRP101" s="3"/>
      <c r="BRQ101" s="3"/>
      <c r="BRR101" s="3"/>
      <c r="BRS101" s="3"/>
      <c r="BRT101" s="3"/>
      <c r="BRU101" s="3"/>
      <c r="BRV101" s="3"/>
      <c r="BRW101" s="3"/>
      <c r="BRX101" s="3"/>
      <c r="BRY101" s="3"/>
      <c r="BRZ101" s="3"/>
      <c r="BSA101" s="3"/>
      <c r="BSB101" s="3"/>
      <c r="BSC101" s="3"/>
      <c r="BSD101" s="3"/>
      <c r="BSE101" s="3"/>
      <c r="BSF101" s="3"/>
      <c r="BSG101" s="3"/>
      <c r="BSH101" s="3"/>
      <c r="BSI101" s="3"/>
      <c r="BSJ101" s="3"/>
      <c r="BSK101" s="3"/>
      <c r="BSL101" s="3"/>
      <c r="BSM101" s="3"/>
      <c r="BSN101" s="3"/>
      <c r="BSO101" s="3"/>
      <c r="BSP101" s="3"/>
      <c r="BSQ101" s="3"/>
      <c r="BSR101" s="3"/>
      <c r="BSS101" s="3"/>
      <c r="BST101" s="3"/>
      <c r="BSU101" s="3"/>
      <c r="BSV101" s="3"/>
      <c r="BSW101" s="3"/>
      <c r="BSX101" s="3"/>
      <c r="BSY101" s="3"/>
      <c r="BSZ101" s="3"/>
      <c r="BTA101" s="3"/>
      <c r="BTB101" s="3"/>
      <c r="BTC101" s="3"/>
      <c r="BTD101" s="3"/>
      <c r="BTE101" s="3"/>
      <c r="BTF101" s="3"/>
      <c r="BTG101" s="3"/>
      <c r="BTH101" s="3"/>
      <c r="BTI101" s="3"/>
      <c r="BTJ101" s="3"/>
      <c r="BTK101" s="3"/>
      <c r="BTL101" s="3"/>
      <c r="BTM101" s="3"/>
      <c r="BTN101" s="3"/>
      <c r="BTO101" s="3"/>
      <c r="BTP101" s="3"/>
      <c r="BTQ101" s="3"/>
      <c r="BTR101" s="3"/>
      <c r="BTS101" s="3"/>
      <c r="BTT101" s="3"/>
      <c r="BTU101" s="3"/>
      <c r="BTV101" s="3"/>
      <c r="BTW101" s="3"/>
      <c r="BTX101" s="3"/>
      <c r="BTY101" s="3"/>
      <c r="BTZ101" s="3"/>
      <c r="BUA101" s="3"/>
      <c r="BUB101" s="3"/>
      <c r="BUC101" s="3"/>
      <c r="BUD101" s="3"/>
      <c r="BUE101" s="3"/>
      <c r="BUF101" s="3"/>
      <c r="BUG101" s="3"/>
      <c r="BUH101" s="3"/>
      <c r="BUI101" s="3"/>
      <c r="BUJ101" s="3"/>
      <c r="BUK101" s="3"/>
      <c r="BUL101" s="3"/>
      <c r="BUM101" s="3"/>
      <c r="BUN101" s="3"/>
      <c r="BUO101" s="3"/>
      <c r="BUP101" s="3"/>
      <c r="BUQ101" s="3"/>
      <c r="BUR101" s="3"/>
      <c r="BUS101" s="3"/>
      <c r="BUT101" s="3"/>
      <c r="BUU101" s="3"/>
      <c r="BUV101" s="3"/>
      <c r="BUW101" s="3"/>
      <c r="BUX101" s="3"/>
      <c r="BUY101" s="3"/>
      <c r="BUZ101" s="3"/>
      <c r="BVA101" s="3"/>
      <c r="BVB101" s="3"/>
      <c r="BVC101" s="3"/>
      <c r="BVD101" s="3"/>
      <c r="BVE101" s="3"/>
      <c r="BVF101" s="3"/>
      <c r="BVG101" s="3"/>
      <c r="BVH101" s="3"/>
      <c r="BVI101" s="3"/>
      <c r="BVJ101" s="3"/>
      <c r="BVK101" s="3"/>
      <c r="BVL101" s="3"/>
      <c r="BVM101" s="3"/>
      <c r="BVN101" s="3"/>
      <c r="BVO101" s="3"/>
      <c r="BVP101" s="3"/>
      <c r="BVQ101" s="3"/>
      <c r="BVR101" s="3"/>
      <c r="BVS101" s="3"/>
      <c r="BVT101" s="3"/>
      <c r="BVU101" s="3"/>
      <c r="BVV101" s="3"/>
      <c r="BVW101" s="3"/>
      <c r="BVX101" s="3"/>
      <c r="BVY101" s="3"/>
      <c r="BVZ101" s="3"/>
      <c r="BWA101" s="3"/>
      <c r="BWB101" s="3"/>
      <c r="BWC101" s="3"/>
      <c r="BWD101" s="3"/>
      <c r="BWE101" s="3"/>
      <c r="BWF101" s="3"/>
      <c r="BWG101" s="3"/>
      <c r="BWH101" s="3"/>
      <c r="BWI101" s="3"/>
      <c r="BWJ101" s="3"/>
      <c r="BWK101" s="3"/>
      <c r="BWL101" s="3"/>
      <c r="BWM101" s="3"/>
      <c r="BWN101" s="3"/>
      <c r="BWO101" s="3"/>
      <c r="BWP101" s="3"/>
      <c r="BWQ101" s="3"/>
      <c r="BWR101" s="3"/>
      <c r="BWS101" s="3"/>
      <c r="BWT101" s="3"/>
      <c r="BWU101" s="3"/>
      <c r="BWV101" s="3"/>
      <c r="BWW101" s="3"/>
      <c r="BWX101" s="3"/>
      <c r="BWY101" s="3"/>
      <c r="BWZ101" s="3"/>
      <c r="BXA101" s="3"/>
      <c r="BXB101" s="3"/>
      <c r="BXC101" s="3"/>
      <c r="BXD101" s="3"/>
      <c r="BXE101" s="3"/>
      <c r="BXF101" s="3"/>
      <c r="BXG101" s="3"/>
      <c r="BXH101" s="3"/>
      <c r="BXI101" s="3"/>
      <c r="BXJ101" s="3"/>
      <c r="BXK101" s="3"/>
      <c r="BXL101" s="3"/>
      <c r="BXM101" s="3"/>
      <c r="BXN101" s="3"/>
      <c r="BXO101" s="3"/>
      <c r="BXP101" s="3"/>
      <c r="BXQ101" s="3"/>
      <c r="BXR101" s="3"/>
      <c r="BXS101" s="3"/>
      <c r="BXT101" s="3"/>
      <c r="BXU101" s="3"/>
      <c r="BXV101" s="3"/>
      <c r="BXW101" s="3"/>
      <c r="BXX101" s="3"/>
      <c r="BXY101" s="3"/>
      <c r="BXZ101" s="3"/>
      <c r="BYA101" s="3"/>
      <c r="BYB101" s="3"/>
      <c r="BYC101" s="3"/>
      <c r="BYD101" s="3"/>
      <c r="BYE101" s="3"/>
      <c r="BYF101" s="3"/>
      <c r="BYG101" s="3"/>
      <c r="BYH101" s="3"/>
      <c r="BYI101" s="3"/>
      <c r="BYJ101" s="3"/>
      <c r="BYK101" s="3"/>
      <c r="BYL101" s="3"/>
      <c r="BYM101" s="3"/>
      <c r="BYN101" s="3"/>
      <c r="BYO101" s="3"/>
      <c r="BYP101" s="3"/>
      <c r="BYQ101" s="3"/>
      <c r="BYR101" s="3"/>
      <c r="BYS101" s="3"/>
      <c r="BYT101" s="3"/>
      <c r="BYU101" s="3"/>
      <c r="BYV101" s="3"/>
      <c r="BYW101" s="3"/>
      <c r="BYX101" s="3"/>
      <c r="BYY101" s="3"/>
      <c r="BYZ101" s="3"/>
      <c r="BZA101" s="3"/>
      <c r="BZB101" s="3"/>
      <c r="BZC101" s="3"/>
      <c r="BZD101" s="3"/>
      <c r="BZE101" s="3"/>
      <c r="BZF101" s="3"/>
      <c r="BZG101" s="3"/>
      <c r="BZH101" s="3"/>
      <c r="BZI101" s="3"/>
      <c r="BZJ101" s="3"/>
      <c r="BZK101" s="3"/>
      <c r="BZL101" s="3"/>
      <c r="BZM101" s="3"/>
      <c r="BZN101" s="3"/>
      <c r="BZO101" s="3"/>
      <c r="BZP101" s="3"/>
      <c r="BZQ101" s="3"/>
      <c r="BZR101" s="3"/>
      <c r="BZS101" s="3"/>
      <c r="BZT101" s="3"/>
      <c r="BZU101" s="3"/>
      <c r="BZV101" s="3"/>
      <c r="BZW101" s="3"/>
      <c r="BZX101" s="3"/>
      <c r="BZY101" s="3"/>
      <c r="BZZ101" s="3"/>
      <c r="CAA101" s="3"/>
      <c r="CAB101" s="3"/>
      <c r="CAC101" s="3"/>
      <c r="CAD101" s="3"/>
      <c r="CAE101" s="3"/>
      <c r="CAF101" s="3"/>
      <c r="CAG101" s="3"/>
      <c r="CAH101" s="3"/>
      <c r="CAI101" s="3"/>
      <c r="CAJ101" s="3"/>
      <c r="CAK101" s="3"/>
      <c r="CAL101" s="3"/>
      <c r="CAM101" s="3"/>
      <c r="CAN101" s="3"/>
      <c r="CAO101" s="3"/>
      <c r="CAP101" s="3"/>
      <c r="CAQ101" s="3"/>
      <c r="CAR101" s="3"/>
      <c r="CAS101" s="3"/>
      <c r="CAT101" s="3"/>
      <c r="CAU101" s="3"/>
      <c r="CAV101" s="3"/>
      <c r="CAW101" s="3"/>
      <c r="CAX101" s="3"/>
      <c r="CAY101" s="3"/>
      <c r="CAZ101" s="3"/>
      <c r="CBA101" s="3"/>
      <c r="CBB101" s="3"/>
      <c r="CBC101" s="3"/>
      <c r="CBD101" s="3"/>
      <c r="CBE101" s="3"/>
      <c r="CBF101" s="3"/>
      <c r="CBG101" s="3"/>
      <c r="CBH101" s="3"/>
      <c r="CBI101" s="3"/>
      <c r="CBJ101" s="3"/>
      <c r="CBK101" s="3"/>
      <c r="CBL101" s="3"/>
      <c r="CBM101" s="3"/>
      <c r="CBN101" s="3"/>
      <c r="CBO101" s="3"/>
      <c r="CBP101" s="3"/>
      <c r="CBQ101" s="3"/>
      <c r="CBR101" s="3"/>
      <c r="CBS101" s="3"/>
      <c r="CBT101" s="3"/>
      <c r="CBU101" s="3"/>
      <c r="CBV101" s="3"/>
      <c r="CBW101" s="3"/>
      <c r="CBX101" s="3"/>
      <c r="CBY101" s="3"/>
      <c r="CBZ101" s="3"/>
      <c r="CCA101" s="3"/>
      <c r="CCB101" s="3"/>
      <c r="CCC101" s="3"/>
      <c r="CCD101" s="3"/>
      <c r="CCE101" s="3"/>
      <c r="CCF101" s="3"/>
      <c r="CCG101" s="3"/>
      <c r="CCH101" s="3"/>
      <c r="CCI101" s="3"/>
      <c r="CCJ101" s="3"/>
      <c r="CCK101" s="3"/>
      <c r="CCL101" s="3"/>
      <c r="CCM101" s="3"/>
      <c r="CCN101" s="3"/>
      <c r="CCO101" s="3"/>
      <c r="CCP101" s="3"/>
      <c r="CCQ101" s="3"/>
      <c r="CCR101" s="3"/>
      <c r="CCS101" s="3"/>
      <c r="CCT101" s="3"/>
      <c r="CCU101" s="3"/>
      <c r="CCV101" s="3"/>
      <c r="CCW101" s="3"/>
      <c r="CCX101" s="3"/>
      <c r="CCY101" s="3"/>
      <c r="CCZ101" s="3"/>
      <c r="CDA101" s="3"/>
      <c r="CDB101" s="3"/>
      <c r="CDC101" s="3"/>
      <c r="CDD101" s="3"/>
      <c r="CDE101" s="3"/>
      <c r="CDF101" s="3"/>
      <c r="CDG101" s="3"/>
      <c r="CDH101" s="3"/>
      <c r="CDI101" s="3"/>
      <c r="CDJ101" s="3"/>
      <c r="CDK101" s="3"/>
      <c r="CDL101" s="3"/>
      <c r="CDM101" s="3"/>
      <c r="CDN101" s="3"/>
      <c r="CDO101" s="3"/>
      <c r="CDP101" s="3"/>
      <c r="CDQ101" s="3"/>
      <c r="CDR101" s="3"/>
      <c r="CDS101" s="3"/>
      <c r="CDT101" s="3"/>
      <c r="CDU101" s="3"/>
      <c r="CDV101" s="3"/>
      <c r="CDW101" s="3"/>
      <c r="CDX101" s="3"/>
      <c r="CDY101" s="3"/>
      <c r="CDZ101" s="3"/>
      <c r="CEA101" s="3"/>
      <c r="CEB101" s="3"/>
      <c r="CEC101" s="3"/>
      <c r="CED101" s="3"/>
      <c r="CEE101" s="3"/>
      <c r="CEF101" s="3"/>
      <c r="CEG101" s="3"/>
      <c r="CEH101" s="3"/>
      <c r="CEI101" s="3"/>
      <c r="CEJ101" s="3"/>
      <c r="CEK101" s="3"/>
      <c r="CEL101" s="3"/>
      <c r="CEM101" s="3"/>
      <c r="CEN101" s="3"/>
      <c r="CEO101" s="3"/>
      <c r="CEP101" s="3"/>
      <c r="CEQ101" s="3"/>
      <c r="CER101" s="3"/>
      <c r="CES101" s="3"/>
      <c r="CET101" s="3"/>
      <c r="CEU101" s="3"/>
      <c r="CEV101" s="3"/>
      <c r="CEW101" s="3"/>
      <c r="CEX101" s="3"/>
      <c r="CEY101" s="3"/>
      <c r="CEZ101" s="3"/>
      <c r="CFA101" s="3"/>
      <c r="CFB101" s="3"/>
      <c r="CFC101" s="3"/>
      <c r="CFD101" s="3"/>
      <c r="CFE101" s="3"/>
      <c r="CFF101" s="3"/>
      <c r="CFG101" s="3"/>
      <c r="CFH101" s="3"/>
      <c r="CFI101" s="3"/>
      <c r="CFJ101" s="3"/>
      <c r="CFK101" s="3"/>
      <c r="CFL101" s="3"/>
      <c r="CFM101" s="3"/>
      <c r="CFN101" s="3"/>
      <c r="CFO101" s="3"/>
      <c r="CFP101" s="3"/>
      <c r="CFQ101" s="3"/>
      <c r="CFR101" s="3"/>
      <c r="CFS101" s="3"/>
      <c r="CFT101" s="3"/>
      <c r="CFU101" s="3"/>
      <c r="CFV101" s="3"/>
      <c r="CFW101" s="3"/>
      <c r="CFX101" s="3"/>
      <c r="CFY101" s="3"/>
      <c r="CFZ101" s="3"/>
      <c r="CGA101" s="3"/>
      <c r="CGB101" s="3"/>
      <c r="CGC101" s="3"/>
      <c r="CGD101" s="3"/>
      <c r="CGE101" s="3"/>
      <c r="CGF101" s="3"/>
      <c r="CGG101" s="3"/>
      <c r="CGH101" s="3"/>
      <c r="CGI101" s="3"/>
      <c r="CGJ101" s="3"/>
      <c r="CGK101" s="3"/>
      <c r="CGL101" s="3"/>
      <c r="CGM101" s="3"/>
      <c r="CGN101" s="3"/>
      <c r="CGO101" s="3"/>
      <c r="CGP101" s="3"/>
      <c r="CGQ101" s="3"/>
      <c r="CGR101" s="3"/>
      <c r="CGS101" s="3"/>
      <c r="CGT101" s="3"/>
      <c r="CGU101" s="3"/>
      <c r="CGV101" s="3"/>
      <c r="CGW101" s="3"/>
      <c r="CGX101" s="3"/>
      <c r="CGY101" s="3"/>
      <c r="CGZ101" s="3"/>
      <c r="CHA101" s="3"/>
      <c r="CHB101" s="3"/>
      <c r="CHC101" s="3"/>
      <c r="CHD101" s="3"/>
      <c r="CHE101" s="3"/>
      <c r="CHF101" s="3"/>
      <c r="CHG101" s="3"/>
      <c r="CHH101" s="3"/>
      <c r="CHI101" s="3"/>
      <c r="CHJ101" s="3"/>
      <c r="CHK101" s="3"/>
      <c r="CHL101" s="3"/>
      <c r="CHM101" s="3"/>
      <c r="CHN101" s="3"/>
      <c r="CHO101" s="3"/>
      <c r="CHP101" s="3"/>
      <c r="CHQ101" s="3"/>
      <c r="CHR101" s="3"/>
      <c r="CHS101" s="3"/>
      <c r="CHT101" s="3"/>
      <c r="CHU101" s="3"/>
      <c r="CHV101" s="3"/>
      <c r="CHW101" s="3"/>
      <c r="CHX101" s="3"/>
      <c r="CHY101" s="3"/>
      <c r="CHZ101" s="3"/>
      <c r="CIA101" s="3"/>
      <c r="CIB101" s="3"/>
      <c r="CIC101" s="3"/>
      <c r="CID101" s="3"/>
      <c r="CIE101" s="3"/>
      <c r="CIF101" s="3"/>
      <c r="CIG101" s="3"/>
      <c r="CIH101" s="3"/>
      <c r="CII101" s="3"/>
      <c r="CIJ101" s="3"/>
      <c r="CIK101" s="3"/>
      <c r="CIL101" s="3"/>
      <c r="CIM101" s="3"/>
      <c r="CIN101" s="3"/>
      <c r="CIO101" s="3"/>
      <c r="CIP101" s="3"/>
      <c r="CIQ101" s="3"/>
      <c r="CIR101" s="3"/>
      <c r="CIS101" s="3"/>
      <c r="CIT101" s="3"/>
      <c r="CIU101" s="3"/>
      <c r="CIV101" s="3"/>
      <c r="CIW101" s="3"/>
      <c r="CIX101" s="3"/>
      <c r="CIY101" s="3"/>
      <c r="CIZ101" s="3"/>
      <c r="CJA101" s="3"/>
      <c r="CJB101" s="3"/>
      <c r="CJC101" s="3"/>
      <c r="CJD101" s="3"/>
      <c r="CJE101" s="3"/>
      <c r="CJF101" s="3"/>
      <c r="CJG101" s="3"/>
      <c r="CJH101" s="3"/>
      <c r="CJI101" s="3"/>
      <c r="CJJ101" s="3"/>
      <c r="CJK101" s="3"/>
      <c r="CJL101" s="3"/>
      <c r="CJM101" s="3"/>
      <c r="CJN101" s="3"/>
      <c r="CJO101" s="3"/>
      <c r="CJP101" s="3"/>
      <c r="CJQ101" s="3"/>
      <c r="CJR101" s="3"/>
      <c r="CJS101" s="3"/>
      <c r="CJT101" s="3"/>
      <c r="CJU101" s="3"/>
      <c r="CJV101" s="3"/>
      <c r="CJW101" s="3"/>
      <c r="CJX101" s="3"/>
      <c r="CJY101" s="3"/>
      <c r="CJZ101" s="3"/>
      <c r="CKA101" s="3"/>
      <c r="CKB101" s="3"/>
      <c r="CKC101" s="3"/>
      <c r="CKD101" s="3"/>
      <c r="CKE101" s="3"/>
      <c r="CKF101" s="3"/>
      <c r="CKG101" s="3"/>
      <c r="CKH101" s="3"/>
      <c r="CKI101" s="3"/>
      <c r="CKJ101" s="3"/>
      <c r="CKK101" s="3"/>
      <c r="CKL101" s="3"/>
      <c r="CKM101" s="3"/>
      <c r="CKN101" s="3"/>
      <c r="CKO101" s="3"/>
      <c r="CKP101" s="3"/>
      <c r="CKQ101" s="3"/>
      <c r="CKR101" s="3"/>
      <c r="CKS101" s="3"/>
      <c r="CKT101" s="3"/>
      <c r="CKU101" s="3"/>
      <c r="CKV101" s="3"/>
      <c r="CKW101" s="3"/>
      <c r="CKX101" s="3"/>
      <c r="CKY101" s="3"/>
      <c r="CKZ101" s="3"/>
      <c r="CLA101" s="3"/>
      <c r="CLB101" s="3"/>
      <c r="CLC101" s="3"/>
      <c r="CLD101" s="3"/>
      <c r="CLE101" s="3"/>
      <c r="CLF101" s="3"/>
      <c r="CLG101" s="3"/>
      <c r="CLH101" s="3"/>
      <c r="CLI101" s="3"/>
      <c r="CLJ101" s="3"/>
      <c r="CLK101" s="3"/>
      <c r="CLL101" s="3"/>
      <c r="CLM101" s="3"/>
      <c r="CLN101" s="3"/>
      <c r="CLO101" s="3"/>
      <c r="CLP101" s="3"/>
      <c r="CLQ101" s="3"/>
      <c r="CLR101" s="3"/>
      <c r="CLS101" s="3"/>
      <c r="CLT101" s="3"/>
      <c r="CLU101" s="3"/>
      <c r="CLV101" s="3"/>
      <c r="CLW101" s="3"/>
      <c r="CLX101" s="3"/>
      <c r="CLY101" s="3"/>
      <c r="CLZ101" s="3"/>
      <c r="CMA101" s="3"/>
      <c r="CMB101" s="3"/>
      <c r="CMC101" s="3"/>
      <c r="CMD101" s="3"/>
      <c r="CME101" s="3"/>
      <c r="CMF101" s="3"/>
      <c r="CMG101" s="3"/>
      <c r="CMH101" s="3"/>
      <c r="CMI101" s="3"/>
      <c r="CMJ101" s="3"/>
      <c r="CMK101" s="3"/>
      <c r="CML101" s="3"/>
      <c r="CMM101" s="3"/>
      <c r="CMN101" s="3"/>
      <c r="CMO101" s="3"/>
      <c r="CMP101" s="3"/>
      <c r="CMQ101" s="3"/>
      <c r="CMR101" s="3"/>
      <c r="CMS101" s="3"/>
      <c r="CMT101" s="3"/>
      <c r="CMU101" s="3"/>
      <c r="CMV101" s="3"/>
      <c r="CMW101" s="3"/>
      <c r="CMX101" s="3"/>
      <c r="CMY101" s="3"/>
      <c r="CMZ101" s="3"/>
      <c r="CNA101" s="3"/>
      <c r="CNB101" s="3"/>
      <c r="CNC101" s="3"/>
      <c r="CND101" s="3"/>
      <c r="CNE101" s="3"/>
      <c r="CNF101" s="3"/>
      <c r="CNG101" s="3"/>
      <c r="CNH101" s="3"/>
      <c r="CNI101" s="3"/>
      <c r="CNJ101" s="3"/>
      <c r="CNK101" s="3"/>
      <c r="CNL101" s="3"/>
      <c r="CNM101" s="3"/>
      <c r="CNN101" s="3"/>
      <c r="CNO101" s="3"/>
      <c r="CNP101" s="3"/>
      <c r="CNQ101" s="3"/>
      <c r="CNR101" s="3"/>
      <c r="CNS101" s="3"/>
      <c r="CNT101" s="3"/>
      <c r="CNU101" s="3"/>
      <c r="CNV101" s="3"/>
      <c r="CNW101" s="3"/>
      <c r="CNX101" s="3"/>
      <c r="CNY101" s="3"/>
      <c r="CNZ101" s="3"/>
      <c r="COA101" s="3"/>
      <c r="COB101" s="3"/>
      <c r="COC101" s="3"/>
      <c r="COD101" s="3"/>
      <c r="COE101" s="3"/>
      <c r="COF101" s="3"/>
      <c r="COG101" s="3"/>
      <c r="COH101" s="3"/>
      <c r="COI101" s="3"/>
      <c r="COJ101" s="3"/>
      <c r="COK101" s="3"/>
      <c r="COL101" s="3"/>
      <c r="COM101" s="3"/>
      <c r="CON101" s="3"/>
      <c r="COO101" s="3"/>
      <c r="COP101" s="3"/>
      <c r="COQ101" s="3"/>
      <c r="COR101" s="3"/>
      <c r="COS101" s="3"/>
      <c r="COT101" s="3"/>
      <c r="COU101" s="3"/>
      <c r="COV101" s="3"/>
      <c r="COW101" s="3"/>
      <c r="COX101" s="3"/>
      <c r="COY101" s="3"/>
      <c r="COZ101" s="3"/>
      <c r="CPA101" s="3"/>
      <c r="CPB101" s="3"/>
      <c r="CPC101" s="3"/>
      <c r="CPD101" s="3"/>
      <c r="CPE101" s="3"/>
      <c r="CPF101" s="3"/>
      <c r="CPG101" s="3"/>
      <c r="CPH101" s="3"/>
      <c r="CPI101" s="3"/>
      <c r="CPJ101" s="3"/>
      <c r="CPK101" s="3"/>
      <c r="CPL101" s="3"/>
      <c r="CPM101" s="3"/>
      <c r="CPN101" s="3"/>
      <c r="CPO101" s="3"/>
      <c r="CPP101" s="3"/>
      <c r="CPQ101" s="3"/>
      <c r="CPR101" s="3"/>
      <c r="CPS101" s="3"/>
      <c r="CPT101" s="3"/>
      <c r="CPU101" s="3"/>
      <c r="CPV101" s="3"/>
      <c r="CPW101" s="3"/>
      <c r="CPX101" s="3"/>
      <c r="CPY101" s="3"/>
      <c r="CPZ101" s="3"/>
      <c r="CQA101" s="3"/>
      <c r="CQB101" s="3"/>
      <c r="CQC101" s="3"/>
      <c r="CQD101" s="3"/>
      <c r="CQE101" s="3"/>
      <c r="CQF101" s="3"/>
      <c r="CQG101" s="3"/>
      <c r="CQH101" s="3"/>
      <c r="CQI101" s="3"/>
      <c r="CQJ101" s="3"/>
      <c r="CQK101" s="3"/>
      <c r="CQL101" s="3"/>
      <c r="CQM101" s="3"/>
      <c r="CQN101" s="3"/>
      <c r="CQO101" s="3"/>
      <c r="CQP101" s="3"/>
      <c r="CQQ101" s="3"/>
      <c r="CQR101" s="3"/>
      <c r="CQS101" s="3"/>
      <c r="CQT101" s="3"/>
      <c r="CQU101" s="3"/>
      <c r="CQV101" s="3"/>
      <c r="CQW101" s="3"/>
      <c r="CQX101" s="3"/>
      <c r="CQY101" s="3"/>
      <c r="CQZ101" s="3"/>
      <c r="CRA101" s="3"/>
      <c r="CRB101" s="3"/>
      <c r="CRC101" s="3"/>
      <c r="CRD101" s="3"/>
      <c r="CRE101" s="3"/>
      <c r="CRF101" s="3"/>
      <c r="CRG101" s="3"/>
      <c r="CRH101" s="3"/>
      <c r="CRI101" s="3"/>
      <c r="CRJ101" s="3"/>
      <c r="CRK101" s="3"/>
      <c r="CRL101" s="3"/>
      <c r="CRM101" s="3"/>
      <c r="CRN101" s="3"/>
      <c r="CRO101" s="3"/>
      <c r="CRP101" s="3"/>
      <c r="CRQ101" s="3"/>
      <c r="CRR101" s="3"/>
      <c r="CRS101" s="3"/>
      <c r="CRT101" s="3"/>
      <c r="CRU101" s="3"/>
      <c r="CRV101" s="3"/>
      <c r="CRW101" s="3"/>
      <c r="CRX101" s="3"/>
      <c r="CRY101" s="3"/>
      <c r="CRZ101" s="3"/>
      <c r="CSA101" s="3"/>
      <c r="CSB101" s="3"/>
      <c r="CSC101" s="3"/>
      <c r="CSD101" s="3"/>
      <c r="CSE101" s="3"/>
      <c r="CSF101" s="3"/>
      <c r="CSG101" s="3"/>
      <c r="CSH101" s="3"/>
      <c r="CSI101" s="3"/>
      <c r="CSJ101" s="3"/>
      <c r="CSK101" s="3"/>
      <c r="CSL101" s="3"/>
      <c r="CSM101" s="3"/>
      <c r="CSN101" s="3"/>
      <c r="CSO101" s="3"/>
      <c r="CSP101" s="3"/>
      <c r="CSQ101" s="3"/>
      <c r="CSR101" s="3"/>
      <c r="CSS101" s="3"/>
      <c r="CST101" s="3"/>
      <c r="CSU101" s="3"/>
      <c r="CSV101" s="3"/>
      <c r="CSW101" s="3"/>
      <c r="CSX101" s="3"/>
      <c r="CSY101" s="3"/>
      <c r="CSZ101" s="3"/>
      <c r="CTA101" s="3"/>
      <c r="CTB101" s="3"/>
      <c r="CTC101" s="3"/>
      <c r="CTD101" s="3"/>
      <c r="CTE101" s="3"/>
      <c r="CTF101" s="3"/>
      <c r="CTG101" s="3"/>
      <c r="CTH101" s="3"/>
      <c r="CTI101" s="3"/>
      <c r="CTJ101" s="3"/>
      <c r="CTK101" s="3"/>
      <c r="CTL101" s="3"/>
      <c r="CTM101" s="3"/>
      <c r="CTN101" s="3"/>
      <c r="CTO101" s="3"/>
      <c r="CTP101" s="3"/>
      <c r="CTQ101" s="3"/>
      <c r="CTR101" s="3"/>
      <c r="CTS101" s="3"/>
      <c r="CTT101" s="3"/>
      <c r="CTU101" s="3"/>
      <c r="CTV101" s="3"/>
      <c r="CTW101" s="3"/>
      <c r="CTX101" s="3"/>
      <c r="CTY101" s="3"/>
      <c r="CTZ101" s="3"/>
      <c r="CUA101" s="3"/>
      <c r="CUB101" s="3"/>
      <c r="CUC101" s="3"/>
      <c r="CUD101" s="3"/>
      <c r="CUE101" s="3"/>
      <c r="CUF101" s="3"/>
      <c r="CUG101" s="3"/>
      <c r="CUH101" s="3"/>
      <c r="CUI101" s="3"/>
      <c r="CUJ101" s="3"/>
      <c r="CUK101" s="3"/>
      <c r="CUL101" s="3"/>
      <c r="CUM101" s="3"/>
      <c r="CUN101" s="3"/>
      <c r="CUO101" s="3"/>
      <c r="CUP101" s="3"/>
      <c r="CUQ101" s="3"/>
      <c r="CUR101" s="3"/>
      <c r="CUS101" s="3"/>
      <c r="CUT101" s="3"/>
      <c r="CUU101" s="3"/>
      <c r="CUV101" s="3"/>
      <c r="CUW101" s="3"/>
      <c r="CUX101" s="3"/>
      <c r="CUY101" s="3"/>
      <c r="CUZ101" s="3"/>
      <c r="CVA101" s="3"/>
      <c r="CVB101" s="3"/>
      <c r="CVC101" s="3"/>
      <c r="CVD101" s="3"/>
      <c r="CVE101" s="3"/>
      <c r="CVF101" s="3"/>
      <c r="CVG101" s="3"/>
      <c r="CVH101" s="3"/>
      <c r="CVI101" s="3"/>
      <c r="CVJ101" s="3"/>
      <c r="CVK101" s="3"/>
      <c r="CVL101" s="3"/>
      <c r="CVM101" s="3"/>
      <c r="CVN101" s="3"/>
      <c r="CVO101" s="3"/>
      <c r="CVP101" s="3"/>
      <c r="CVQ101" s="3"/>
      <c r="CVR101" s="3"/>
      <c r="CVS101" s="3"/>
      <c r="CVT101" s="3"/>
      <c r="CVU101" s="3"/>
      <c r="CVV101" s="3"/>
      <c r="CVW101" s="3"/>
      <c r="CVX101" s="3"/>
      <c r="CVY101" s="3"/>
      <c r="CVZ101" s="3"/>
      <c r="CWA101" s="3"/>
      <c r="CWB101" s="3"/>
      <c r="CWC101" s="3"/>
      <c r="CWD101" s="3"/>
      <c r="CWE101" s="3"/>
      <c r="CWF101" s="3"/>
      <c r="CWG101" s="3"/>
      <c r="CWH101" s="3"/>
      <c r="CWI101" s="3"/>
      <c r="CWJ101" s="3"/>
      <c r="CWK101" s="3"/>
      <c r="CWL101" s="3"/>
      <c r="CWM101" s="3"/>
      <c r="CWN101" s="3"/>
      <c r="CWO101" s="3"/>
      <c r="CWP101" s="3"/>
      <c r="CWQ101" s="3"/>
      <c r="CWR101" s="3"/>
      <c r="CWS101" s="3"/>
      <c r="CWT101" s="3"/>
      <c r="CWU101" s="3"/>
      <c r="CWV101" s="3"/>
      <c r="CWW101" s="3"/>
      <c r="CWX101" s="3"/>
      <c r="CWY101" s="3"/>
      <c r="CWZ101" s="3"/>
      <c r="CXA101" s="3"/>
      <c r="CXB101" s="3"/>
      <c r="CXC101" s="3"/>
      <c r="CXD101" s="3"/>
      <c r="CXE101" s="3"/>
      <c r="CXF101" s="3"/>
      <c r="CXG101" s="3"/>
      <c r="CXH101" s="3"/>
      <c r="CXI101" s="3"/>
      <c r="CXJ101" s="3"/>
      <c r="CXK101" s="3"/>
      <c r="CXL101" s="3"/>
      <c r="CXM101" s="3"/>
      <c r="CXN101" s="3"/>
      <c r="CXO101" s="3"/>
      <c r="CXP101" s="3"/>
      <c r="CXQ101" s="3"/>
      <c r="CXR101" s="3"/>
      <c r="CXS101" s="3"/>
      <c r="CXT101" s="3"/>
      <c r="CXU101" s="3"/>
      <c r="CXV101" s="3"/>
      <c r="CXW101" s="3"/>
      <c r="CXX101" s="3"/>
      <c r="CXY101" s="3"/>
      <c r="CXZ101" s="3"/>
      <c r="CYA101" s="3"/>
      <c r="CYB101" s="3"/>
      <c r="CYC101" s="3"/>
      <c r="CYD101" s="3"/>
      <c r="CYE101" s="3"/>
      <c r="CYF101" s="3"/>
      <c r="CYG101" s="3"/>
      <c r="CYH101" s="3"/>
      <c r="CYI101" s="3"/>
      <c r="CYJ101" s="3"/>
      <c r="CYK101" s="3"/>
      <c r="CYL101" s="3"/>
      <c r="CYM101" s="3"/>
      <c r="CYN101" s="3"/>
      <c r="CYO101" s="3"/>
      <c r="CYP101" s="3"/>
      <c r="CYQ101" s="3"/>
      <c r="CYR101" s="3"/>
      <c r="CYS101" s="3"/>
      <c r="CYT101" s="3"/>
      <c r="CYU101" s="3"/>
      <c r="CYV101" s="3"/>
      <c r="CYW101" s="3"/>
      <c r="CYX101" s="3"/>
      <c r="CYY101" s="3"/>
      <c r="CYZ101" s="3"/>
      <c r="CZA101" s="3"/>
      <c r="CZB101" s="3"/>
      <c r="CZC101" s="3"/>
      <c r="CZD101" s="3"/>
      <c r="CZE101" s="3"/>
      <c r="CZF101" s="3"/>
      <c r="CZG101" s="3"/>
      <c r="CZH101" s="3"/>
      <c r="CZI101" s="3"/>
      <c r="CZJ101" s="3"/>
      <c r="CZK101" s="3"/>
      <c r="CZL101" s="3"/>
      <c r="CZM101" s="3"/>
      <c r="CZN101" s="3"/>
      <c r="CZO101" s="3"/>
      <c r="CZP101" s="3"/>
      <c r="CZQ101" s="3"/>
      <c r="CZR101" s="3"/>
      <c r="CZS101" s="3"/>
      <c r="CZT101" s="3"/>
      <c r="CZU101" s="3"/>
      <c r="CZV101" s="3"/>
      <c r="CZW101" s="3"/>
      <c r="CZX101" s="3"/>
      <c r="CZY101" s="3"/>
      <c r="CZZ101" s="3"/>
      <c r="DAA101" s="3"/>
      <c r="DAB101" s="3"/>
      <c r="DAC101" s="3"/>
      <c r="DAD101" s="3"/>
      <c r="DAE101" s="3"/>
      <c r="DAF101" s="3"/>
      <c r="DAG101" s="3"/>
      <c r="DAH101" s="3"/>
      <c r="DAI101" s="3"/>
      <c r="DAJ101" s="3"/>
      <c r="DAK101" s="3"/>
      <c r="DAL101" s="3"/>
      <c r="DAM101" s="3"/>
      <c r="DAN101" s="3"/>
      <c r="DAO101" s="3"/>
      <c r="DAP101" s="3"/>
      <c r="DAQ101" s="3"/>
      <c r="DAR101" s="3"/>
      <c r="DAS101" s="3"/>
      <c r="DAT101" s="3"/>
      <c r="DAU101" s="3"/>
      <c r="DAV101" s="3"/>
      <c r="DAW101" s="3"/>
      <c r="DAX101" s="3"/>
      <c r="DAY101" s="3"/>
      <c r="DAZ101" s="3"/>
      <c r="DBA101" s="3"/>
      <c r="DBB101" s="3"/>
      <c r="DBC101" s="3"/>
      <c r="DBD101" s="3"/>
      <c r="DBE101" s="3"/>
      <c r="DBF101" s="3"/>
      <c r="DBG101" s="3"/>
      <c r="DBH101" s="3"/>
      <c r="DBI101" s="3"/>
      <c r="DBJ101" s="3"/>
      <c r="DBK101" s="3"/>
      <c r="DBL101" s="3"/>
      <c r="DBM101" s="3"/>
      <c r="DBN101" s="3"/>
      <c r="DBO101" s="3"/>
      <c r="DBP101" s="3"/>
      <c r="DBQ101" s="3"/>
      <c r="DBR101" s="3"/>
      <c r="DBS101" s="3"/>
      <c r="DBT101" s="3"/>
      <c r="DBU101" s="3"/>
      <c r="DBV101" s="3"/>
      <c r="DBW101" s="3"/>
      <c r="DBX101" s="3"/>
      <c r="DBY101" s="3"/>
      <c r="DBZ101" s="3"/>
      <c r="DCA101" s="3"/>
      <c r="DCB101" s="3"/>
      <c r="DCC101" s="3"/>
      <c r="DCD101" s="3"/>
      <c r="DCE101" s="3"/>
      <c r="DCF101" s="3"/>
      <c r="DCG101" s="3"/>
      <c r="DCH101" s="3"/>
      <c r="DCI101" s="3"/>
      <c r="DCJ101" s="3"/>
      <c r="DCK101" s="3"/>
      <c r="DCL101" s="3"/>
      <c r="DCM101" s="3"/>
      <c r="DCN101" s="3"/>
      <c r="DCO101" s="3"/>
      <c r="DCP101" s="3"/>
      <c r="DCQ101" s="3"/>
      <c r="DCR101" s="3"/>
      <c r="DCS101" s="3"/>
      <c r="DCT101" s="3"/>
      <c r="DCU101" s="3"/>
      <c r="DCV101" s="3"/>
      <c r="DCW101" s="3"/>
      <c r="DCX101" s="3"/>
      <c r="DCY101" s="3"/>
      <c r="DCZ101" s="3"/>
      <c r="DDA101" s="3"/>
      <c r="DDB101" s="3"/>
      <c r="DDC101" s="3"/>
      <c r="DDD101" s="3"/>
      <c r="DDE101" s="3"/>
      <c r="DDF101" s="3"/>
      <c r="DDG101" s="3"/>
      <c r="DDH101" s="3"/>
      <c r="DDI101" s="3"/>
      <c r="DDJ101" s="3"/>
      <c r="DDK101" s="3"/>
      <c r="DDL101" s="3"/>
      <c r="DDM101" s="3"/>
      <c r="DDN101" s="3"/>
      <c r="DDO101" s="3"/>
      <c r="DDP101" s="3"/>
      <c r="DDQ101" s="3"/>
      <c r="DDR101" s="3"/>
      <c r="DDS101" s="3"/>
      <c r="DDT101" s="3"/>
      <c r="DDU101" s="3"/>
      <c r="DDV101" s="3"/>
      <c r="DDW101" s="3"/>
      <c r="DDX101" s="3"/>
      <c r="DDY101" s="3"/>
      <c r="DDZ101" s="3"/>
      <c r="DEA101" s="3"/>
      <c r="DEB101" s="3"/>
      <c r="DEC101" s="3"/>
      <c r="DED101" s="3"/>
      <c r="DEE101" s="3"/>
      <c r="DEF101" s="3"/>
      <c r="DEG101" s="3"/>
      <c r="DEH101" s="3"/>
      <c r="DEI101" s="3"/>
      <c r="DEJ101" s="3"/>
      <c r="DEK101" s="3"/>
      <c r="DEL101" s="3"/>
      <c r="DEM101" s="3"/>
      <c r="DEN101" s="3"/>
      <c r="DEO101" s="3"/>
      <c r="DEP101" s="3"/>
      <c r="DEQ101" s="3"/>
      <c r="DER101" s="3"/>
      <c r="DES101" s="3"/>
      <c r="DET101" s="3"/>
      <c r="DEU101" s="3"/>
      <c r="DEV101" s="3"/>
      <c r="DEW101" s="3"/>
      <c r="DEX101" s="3"/>
      <c r="DEY101" s="3"/>
      <c r="DEZ101" s="3"/>
      <c r="DFA101" s="3"/>
      <c r="DFB101" s="3"/>
      <c r="DFC101" s="3"/>
      <c r="DFD101" s="3"/>
      <c r="DFE101" s="3"/>
      <c r="DFF101" s="3"/>
      <c r="DFG101" s="3"/>
      <c r="DFH101" s="3"/>
      <c r="DFI101" s="3"/>
      <c r="DFJ101" s="3"/>
      <c r="DFK101" s="3"/>
      <c r="DFL101" s="3"/>
      <c r="DFM101" s="3"/>
      <c r="DFN101" s="3"/>
      <c r="DFO101" s="3"/>
      <c r="DFP101" s="3"/>
      <c r="DFQ101" s="3"/>
      <c r="DFR101" s="3"/>
      <c r="DFS101" s="3"/>
      <c r="DFT101" s="3"/>
      <c r="DFU101" s="3"/>
      <c r="DFV101" s="3"/>
      <c r="DFW101" s="3"/>
      <c r="DFX101" s="3"/>
      <c r="DFY101" s="3"/>
      <c r="DFZ101" s="3"/>
      <c r="DGA101" s="3"/>
      <c r="DGB101" s="3"/>
      <c r="DGC101" s="3"/>
      <c r="DGD101" s="3"/>
      <c r="DGE101" s="3"/>
      <c r="DGF101" s="3"/>
      <c r="DGG101" s="3"/>
      <c r="DGH101" s="3"/>
      <c r="DGI101" s="3"/>
      <c r="DGJ101" s="3"/>
      <c r="DGK101" s="3"/>
      <c r="DGL101" s="3"/>
      <c r="DGM101" s="3"/>
      <c r="DGN101" s="3"/>
      <c r="DGO101" s="3"/>
      <c r="DGP101" s="3"/>
      <c r="DGQ101" s="3"/>
      <c r="DGR101" s="3"/>
      <c r="DGS101" s="3"/>
      <c r="DGT101" s="3"/>
      <c r="DGU101" s="3"/>
      <c r="DGV101" s="3"/>
      <c r="DGW101" s="3"/>
      <c r="DGX101" s="3"/>
      <c r="DGY101" s="3"/>
      <c r="DGZ101" s="3"/>
      <c r="DHA101" s="3"/>
      <c r="DHB101" s="3"/>
      <c r="DHC101" s="3"/>
      <c r="DHD101" s="3"/>
      <c r="DHE101" s="3"/>
      <c r="DHF101" s="3"/>
      <c r="DHG101" s="3"/>
      <c r="DHH101" s="3"/>
      <c r="DHI101" s="3"/>
      <c r="DHJ101" s="3"/>
      <c r="DHK101" s="3"/>
      <c r="DHL101" s="3"/>
      <c r="DHM101" s="3"/>
      <c r="DHN101" s="3"/>
      <c r="DHO101" s="3"/>
      <c r="DHP101" s="3"/>
      <c r="DHQ101" s="3"/>
      <c r="DHR101" s="3"/>
      <c r="DHS101" s="3"/>
      <c r="DHT101" s="3"/>
      <c r="DHU101" s="3"/>
      <c r="DHV101" s="3"/>
      <c r="DHW101" s="3"/>
      <c r="DHX101" s="3"/>
      <c r="DHY101" s="3"/>
      <c r="DHZ101" s="3"/>
      <c r="DIA101" s="3"/>
      <c r="DIB101" s="3"/>
      <c r="DIC101" s="3"/>
      <c r="DID101" s="3"/>
      <c r="DIE101" s="3"/>
      <c r="DIF101" s="3"/>
      <c r="DIG101" s="3"/>
      <c r="DIH101" s="3"/>
      <c r="DII101" s="3"/>
      <c r="DIJ101" s="3"/>
      <c r="DIK101" s="3"/>
      <c r="DIL101" s="3"/>
      <c r="DIM101" s="3"/>
      <c r="DIN101" s="3"/>
      <c r="DIO101" s="3"/>
      <c r="DIP101" s="3"/>
      <c r="DIQ101" s="3"/>
      <c r="DIR101" s="3"/>
      <c r="DIS101" s="3"/>
      <c r="DIT101" s="3"/>
      <c r="DIU101" s="3"/>
      <c r="DIV101" s="3"/>
      <c r="DIW101" s="3"/>
      <c r="DIX101" s="3"/>
      <c r="DIY101" s="3"/>
      <c r="DIZ101" s="3"/>
      <c r="DJA101" s="3"/>
      <c r="DJB101" s="3"/>
      <c r="DJC101" s="3"/>
      <c r="DJD101" s="3"/>
      <c r="DJE101" s="3"/>
      <c r="DJF101" s="3"/>
      <c r="DJG101" s="3"/>
      <c r="DJH101" s="3"/>
      <c r="DJI101" s="3"/>
      <c r="DJJ101" s="3"/>
      <c r="DJK101" s="3"/>
      <c r="DJL101" s="3"/>
      <c r="DJM101" s="3"/>
      <c r="DJN101" s="3"/>
      <c r="DJO101" s="3"/>
      <c r="DJP101" s="3"/>
      <c r="DJQ101" s="3"/>
      <c r="DJR101" s="3"/>
      <c r="DJS101" s="3"/>
      <c r="DJT101" s="3"/>
      <c r="DJU101" s="3"/>
      <c r="DJV101" s="3"/>
      <c r="DJW101" s="3"/>
      <c r="DJX101" s="3"/>
      <c r="DJY101" s="3"/>
      <c r="DJZ101" s="3"/>
      <c r="DKA101" s="3"/>
      <c r="DKB101" s="3"/>
      <c r="DKC101" s="3"/>
      <c r="DKD101" s="3"/>
      <c r="DKE101" s="3"/>
      <c r="DKF101" s="3"/>
      <c r="DKG101" s="3"/>
      <c r="DKH101" s="3"/>
      <c r="DKI101" s="3"/>
      <c r="DKJ101" s="3"/>
      <c r="DKK101" s="3"/>
      <c r="DKL101" s="3"/>
      <c r="DKM101" s="3"/>
      <c r="DKN101" s="3"/>
      <c r="DKO101" s="3"/>
      <c r="DKP101" s="3"/>
      <c r="DKQ101" s="3"/>
      <c r="DKR101" s="3"/>
      <c r="DKS101" s="3"/>
      <c r="DKT101" s="3"/>
      <c r="DKU101" s="3"/>
      <c r="DKV101" s="3"/>
      <c r="DKW101" s="3"/>
      <c r="DKX101" s="3"/>
      <c r="DKY101" s="3"/>
      <c r="DKZ101" s="3"/>
      <c r="DLA101" s="3"/>
      <c r="DLB101" s="3"/>
      <c r="DLC101" s="3"/>
      <c r="DLD101" s="3"/>
      <c r="DLE101" s="3"/>
      <c r="DLF101" s="3"/>
      <c r="DLG101" s="3"/>
      <c r="DLH101" s="3"/>
      <c r="DLI101" s="3"/>
      <c r="DLJ101" s="3"/>
      <c r="DLK101" s="3"/>
      <c r="DLL101" s="3"/>
      <c r="DLM101" s="3"/>
      <c r="DLN101" s="3"/>
      <c r="DLO101" s="3"/>
      <c r="DLP101" s="3"/>
      <c r="DLQ101" s="3"/>
      <c r="DLR101" s="3"/>
      <c r="DLS101" s="3"/>
      <c r="DLT101" s="3"/>
      <c r="DLU101" s="3"/>
      <c r="DLV101" s="3"/>
      <c r="DLW101" s="3"/>
      <c r="DLX101" s="3"/>
      <c r="DLY101" s="3"/>
      <c r="DLZ101" s="3"/>
      <c r="DMA101" s="3"/>
      <c r="DMB101" s="3"/>
      <c r="DMC101" s="3"/>
      <c r="DMD101" s="3"/>
      <c r="DME101" s="3"/>
      <c r="DMF101" s="3"/>
      <c r="DMG101" s="3"/>
      <c r="DMH101" s="3"/>
      <c r="DMI101" s="3"/>
      <c r="DMJ101" s="3"/>
      <c r="DMK101" s="3"/>
      <c r="DML101" s="3"/>
      <c r="DMM101" s="3"/>
      <c r="DMN101" s="3"/>
      <c r="DMO101" s="3"/>
      <c r="DMP101" s="3"/>
      <c r="DMQ101" s="3"/>
      <c r="DMR101" s="3"/>
      <c r="DMS101" s="3"/>
      <c r="DMT101" s="3"/>
      <c r="DMU101" s="3"/>
      <c r="DMV101" s="3"/>
      <c r="DMW101" s="3"/>
      <c r="DMX101" s="3"/>
      <c r="DMY101" s="3"/>
      <c r="DMZ101" s="3"/>
      <c r="DNA101" s="3"/>
      <c r="DNB101" s="3"/>
      <c r="DNC101" s="3"/>
      <c r="DND101" s="3"/>
      <c r="DNE101" s="3"/>
      <c r="DNF101" s="3"/>
      <c r="DNG101" s="3"/>
      <c r="DNH101" s="3"/>
      <c r="DNI101" s="3"/>
      <c r="DNJ101" s="3"/>
      <c r="DNK101" s="3"/>
      <c r="DNL101" s="3"/>
      <c r="DNM101" s="3"/>
      <c r="DNN101" s="3"/>
      <c r="DNO101" s="3"/>
      <c r="DNP101" s="3"/>
      <c r="DNQ101" s="3"/>
      <c r="DNR101" s="3"/>
      <c r="DNS101" s="3"/>
      <c r="DNT101" s="3"/>
      <c r="DNU101" s="3"/>
      <c r="DNV101" s="3"/>
      <c r="DNW101" s="3"/>
      <c r="DNX101" s="3"/>
      <c r="DNY101" s="3"/>
      <c r="DNZ101" s="3"/>
      <c r="DOA101" s="3"/>
      <c r="DOB101" s="3"/>
      <c r="DOC101" s="3"/>
      <c r="DOD101" s="3"/>
      <c r="DOE101" s="3"/>
      <c r="DOF101" s="3"/>
      <c r="DOG101" s="3"/>
      <c r="DOH101" s="3"/>
      <c r="DOI101" s="3"/>
      <c r="DOJ101" s="3"/>
      <c r="DOK101" s="3"/>
      <c r="DOL101" s="3"/>
      <c r="DOM101" s="3"/>
      <c r="DON101" s="3"/>
      <c r="DOO101" s="3"/>
      <c r="DOP101" s="3"/>
      <c r="DOQ101" s="3"/>
      <c r="DOR101" s="3"/>
      <c r="DOS101" s="3"/>
      <c r="DOT101" s="3"/>
      <c r="DOU101" s="3"/>
      <c r="DOV101" s="3"/>
      <c r="DOW101" s="3"/>
      <c r="DOX101" s="3"/>
      <c r="DOY101" s="3"/>
      <c r="DOZ101" s="3"/>
      <c r="DPA101" s="3"/>
      <c r="DPB101" s="3"/>
      <c r="DPC101" s="3"/>
      <c r="DPD101" s="3"/>
      <c r="DPE101" s="3"/>
      <c r="DPF101" s="3"/>
      <c r="DPG101" s="3"/>
      <c r="DPH101" s="3"/>
      <c r="DPI101" s="3"/>
      <c r="DPJ101" s="3"/>
      <c r="DPK101" s="3"/>
      <c r="DPL101" s="3"/>
      <c r="DPM101" s="3"/>
      <c r="DPN101" s="3"/>
      <c r="DPO101" s="3"/>
      <c r="DPP101" s="3"/>
      <c r="DPQ101" s="3"/>
      <c r="DPR101" s="3"/>
      <c r="DPS101" s="3"/>
      <c r="DPT101" s="3"/>
      <c r="DPU101" s="3"/>
      <c r="DPV101" s="3"/>
      <c r="DPW101" s="3"/>
      <c r="DPX101" s="3"/>
      <c r="DPY101" s="3"/>
      <c r="DPZ101" s="3"/>
      <c r="DQA101" s="3"/>
      <c r="DQB101" s="3"/>
      <c r="DQC101" s="3"/>
      <c r="DQD101" s="3"/>
      <c r="DQE101" s="3"/>
      <c r="DQF101" s="3"/>
      <c r="DQG101" s="3"/>
      <c r="DQH101" s="3"/>
      <c r="DQI101" s="3"/>
      <c r="DQJ101" s="3"/>
      <c r="DQK101" s="3"/>
      <c r="DQL101" s="3"/>
      <c r="DQM101" s="3"/>
      <c r="DQN101" s="3"/>
      <c r="DQO101" s="3"/>
      <c r="DQP101" s="3"/>
      <c r="DQQ101" s="3"/>
      <c r="DQR101" s="3"/>
      <c r="DQS101" s="3"/>
      <c r="DQT101" s="3"/>
      <c r="DQU101" s="3"/>
      <c r="DQV101" s="3"/>
      <c r="DQW101" s="3"/>
      <c r="DQX101" s="3"/>
      <c r="DQY101" s="3"/>
      <c r="DQZ101" s="3"/>
      <c r="DRA101" s="3"/>
      <c r="DRB101" s="3"/>
      <c r="DRC101" s="3"/>
      <c r="DRD101" s="3"/>
      <c r="DRE101" s="3"/>
      <c r="DRF101" s="3"/>
      <c r="DRG101" s="3"/>
      <c r="DRH101" s="3"/>
      <c r="DRI101" s="3"/>
      <c r="DRJ101" s="3"/>
      <c r="DRK101" s="3"/>
      <c r="DRL101" s="3"/>
      <c r="DRM101" s="3"/>
      <c r="DRN101" s="3"/>
      <c r="DRO101" s="3"/>
      <c r="DRP101" s="3"/>
      <c r="DRQ101" s="3"/>
      <c r="DRR101" s="3"/>
      <c r="DRS101" s="3"/>
      <c r="DRT101" s="3"/>
      <c r="DRU101" s="3"/>
      <c r="DRV101" s="3"/>
      <c r="DRW101" s="3"/>
      <c r="DRX101" s="3"/>
      <c r="DRY101" s="3"/>
      <c r="DRZ101" s="3"/>
      <c r="DSA101" s="3"/>
      <c r="DSB101" s="3"/>
      <c r="DSC101" s="3"/>
      <c r="DSD101" s="3"/>
      <c r="DSE101" s="3"/>
      <c r="DSF101" s="3"/>
      <c r="DSG101" s="3"/>
      <c r="DSH101" s="3"/>
      <c r="DSI101" s="3"/>
      <c r="DSJ101" s="3"/>
      <c r="DSK101" s="3"/>
      <c r="DSL101" s="3"/>
      <c r="DSM101" s="3"/>
      <c r="DSN101" s="3"/>
      <c r="DSO101" s="3"/>
      <c r="DSP101" s="3"/>
      <c r="DSQ101" s="3"/>
      <c r="DSR101" s="3"/>
      <c r="DSS101" s="3"/>
      <c r="DST101" s="3"/>
      <c r="DSU101" s="3"/>
      <c r="DSV101" s="3"/>
      <c r="DSW101" s="3"/>
      <c r="DSX101" s="3"/>
      <c r="DSY101" s="3"/>
      <c r="DSZ101" s="3"/>
      <c r="DTA101" s="3"/>
      <c r="DTB101" s="3"/>
      <c r="DTC101" s="3"/>
      <c r="DTD101" s="3"/>
      <c r="DTE101" s="3"/>
      <c r="DTF101" s="3"/>
      <c r="DTG101" s="3"/>
      <c r="DTH101" s="3"/>
      <c r="DTI101" s="3"/>
      <c r="DTJ101" s="3"/>
      <c r="DTK101" s="3"/>
      <c r="DTL101" s="3"/>
      <c r="DTM101" s="3"/>
      <c r="DTN101" s="3"/>
      <c r="DTO101" s="3"/>
      <c r="DTP101" s="3"/>
      <c r="DTQ101" s="3"/>
      <c r="DTR101" s="3"/>
      <c r="DTS101" s="3"/>
      <c r="DTT101" s="3"/>
      <c r="DTU101" s="3"/>
      <c r="DTV101" s="3"/>
      <c r="DTW101" s="3"/>
      <c r="DTX101" s="3"/>
      <c r="DTY101" s="3"/>
      <c r="DTZ101" s="3"/>
      <c r="DUA101" s="3"/>
      <c r="DUB101" s="3"/>
      <c r="DUC101" s="3"/>
      <c r="DUD101" s="3"/>
      <c r="DUE101" s="3"/>
      <c r="DUF101" s="3"/>
      <c r="DUG101" s="3"/>
      <c r="DUH101" s="3"/>
      <c r="DUI101" s="3"/>
      <c r="DUJ101" s="3"/>
      <c r="DUK101" s="3"/>
      <c r="DUL101" s="3"/>
      <c r="DUM101" s="3"/>
      <c r="DUN101" s="3"/>
      <c r="DUO101" s="3"/>
      <c r="DUP101" s="3"/>
      <c r="DUQ101" s="3"/>
      <c r="DUR101" s="3"/>
      <c r="DUS101" s="3"/>
      <c r="DUT101" s="3"/>
      <c r="DUU101" s="3"/>
      <c r="DUV101" s="3"/>
      <c r="DUW101" s="3"/>
      <c r="DUX101" s="3"/>
      <c r="DUY101" s="3"/>
      <c r="DUZ101" s="3"/>
      <c r="DVA101" s="3"/>
      <c r="DVB101" s="3"/>
      <c r="DVC101" s="3"/>
      <c r="DVD101" s="3"/>
      <c r="DVE101" s="3"/>
      <c r="DVF101" s="3"/>
      <c r="DVG101" s="3"/>
      <c r="DVH101" s="3"/>
      <c r="DVI101" s="3"/>
      <c r="DVJ101" s="3"/>
      <c r="DVK101" s="3"/>
      <c r="DVL101" s="3"/>
      <c r="DVM101" s="3"/>
      <c r="DVN101" s="3"/>
      <c r="DVO101" s="3"/>
      <c r="DVP101" s="3"/>
      <c r="DVQ101" s="3"/>
      <c r="DVR101" s="3"/>
      <c r="DVS101" s="3"/>
      <c r="DVT101" s="3"/>
      <c r="DVU101" s="3"/>
      <c r="DVV101" s="3"/>
      <c r="DVW101" s="3"/>
      <c r="DVX101" s="3"/>
      <c r="DVY101" s="3"/>
      <c r="DVZ101" s="3"/>
      <c r="DWA101" s="3"/>
      <c r="DWB101" s="3"/>
      <c r="DWC101" s="3"/>
      <c r="DWD101" s="3"/>
      <c r="DWE101" s="3"/>
      <c r="DWF101" s="3"/>
      <c r="DWG101" s="3"/>
      <c r="DWH101" s="3"/>
      <c r="DWI101" s="3"/>
      <c r="DWJ101" s="3"/>
      <c r="DWK101" s="3"/>
      <c r="DWL101" s="3"/>
      <c r="DWM101" s="3"/>
      <c r="DWN101" s="3"/>
      <c r="DWO101" s="3"/>
      <c r="DWP101" s="3"/>
      <c r="DWQ101" s="3"/>
      <c r="DWR101" s="3"/>
      <c r="DWS101" s="3"/>
      <c r="DWT101" s="3"/>
      <c r="DWU101" s="3"/>
      <c r="DWV101" s="3"/>
      <c r="DWW101" s="3"/>
      <c r="DWX101" s="3"/>
      <c r="DWY101" s="3"/>
      <c r="DWZ101" s="3"/>
      <c r="DXA101" s="3"/>
      <c r="DXB101" s="3"/>
      <c r="DXC101" s="3"/>
      <c r="DXD101" s="3"/>
      <c r="DXE101" s="3"/>
      <c r="DXF101" s="3"/>
      <c r="DXG101" s="3"/>
      <c r="DXH101" s="3"/>
      <c r="DXI101" s="3"/>
      <c r="DXJ101" s="3"/>
      <c r="DXK101" s="3"/>
      <c r="DXL101" s="3"/>
      <c r="DXM101" s="3"/>
      <c r="DXN101" s="3"/>
      <c r="DXO101" s="3"/>
      <c r="DXP101" s="3"/>
      <c r="DXQ101" s="3"/>
      <c r="DXR101" s="3"/>
      <c r="DXS101" s="3"/>
      <c r="DXT101" s="3"/>
      <c r="DXU101" s="3"/>
      <c r="DXV101" s="3"/>
      <c r="DXW101" s="3"/>
      <c r="DXX101" s="3"/>
      <c r="DXY101" s="3"/>
      <c r="DXZ101" s="3"/>
      <c r="DYA101" s="3"/>
      <c r="DYB101" s="3"/>
      <c r="DYC101" s="3"/>
      <c r="DYD101" s="3"/>
      <c r="DYE101" s="3"/>
      <c r="DYF101" s="3"/>
      <c r="DYG101" s="3"/>
      <c r="DYH101" s="3"/>
      <c r="DYI101" s="3"/>
      <c r="DYJ101" s="3"/>
      <c r="DYK101" s="3"/>
      <c r="DYL101" s="3"/>
      <c r="DYM101" s="3"/>
      <c r="DYN101" s="3"/>
      <c r="DYO101" s="3"/>
      <c r="DYP101" s="3"/>
      <c r="DYQ101" s="3"/>
      <c r="DYR101" s="3"/>
      <c r="DYS101" s="3"/>
      <c r="DYT101" s="3"/>
      <c r="DYU101" s="3"/>
      <c r="DYV101" s="3"/>
      <c r="DYW101" s="3"/>
      <c r="DYX101" s="3"/>
      <c r="DYY101" s="3"/>
      <c r="DYZ101" s="3"/>
      <c r="DZA101" s="3"/>
      <c r="DZB101" s="3"/>
      <c r="DZC101" s="3"/>
      <c r="DZD101" s="3"/>
      <c r="DZE101" s="3"/>
      <c r="DZF101" s="3"/>
      <c r="DZG101" s="3"/>
      <c r="DZH101" s="3"/>
      <c r="DZI101" s="3"/>
      <c r="DZJ101" s="3"/>
      <c r="DZK101" s="3"/>
      <c r="DZL101" s="3"/>
      <c r="DZM101" s="3"/>
      <c r="DZN101" s="3"/>
      <c r="DZO101" s="3"/>
      <c r="DZP101" s="3"/>
      <c r="DZQ101" s="3"/>
      <c r="DZR101" s="3"/>
      <c r="DZS101" s="3"/>
      <c r="DZT101" s="3"/>
      <c r="DZU101" s="3"/>
      <c r="DZV101" s="3"/>
      <c r="DZW101" s="3"/>
      <c r="DZX101" s="3"/>
      <c r="DZY101" s="3"/>
      <c r="DZZ101" s="3"/>
      <c r="EAA101" s="3"/>
      <c r="EAB101" s="3"/>
      <c r="EAC101" s="3"/>
      <c r="EAD101" s="3"/>
      <c r="EAE101" s="3"/>
      <c r="EAF101" s="3"/>
      <c r="EAG101" s="3"/>
      <c r="EAH101" s="3"/>
      <c r="EAI101" s="3"/>
      <c r="EAJ101" s="3"/>
      <c r="EAK101" s="3"/>
      <c r="EAL101" s="3"/>
      <c r="EAM101" s="3"/>
      <c r="EAN101" s="3"/>
      <c r="EAO101" s="3"/>
      <c r="EAP101" s="3"/>
      <c r="EAQ101" s="3"/>
      <c r="EAR101" s="3"/>
      <c r="EAS101" s="3"/>
      <c r="EAT101" s="3"/>
      <c r="EAU101" s="3"/>
      <c r="EAV101" s="3"/>
      <c r="EAW101" s="3"/>
      <c r="EAX101" s="3"/>
      <c r="EAY101" s="3"/>
      <c r="EAZ101" s="3"/>
      <c r="EBA101" s="3"/>
      <c r="EBB101" s="3"/>
      <c r="EBC101" s="3"/>
      <c r="EBD101" s="3"/>
      <c r="EBE101" s="3"/>
      <c r="EBF101" s="3"/>
      <c r="EBG101" s="3"/>
      <c r="EBH101" s="3"/>
      <c r="EBI101" s="3"/>
      <c r="EBJ101" s="3"/>
      <c r="EBK101" s="3"/>
      <c r="EBL101" s="3"/>
      <c r="EBM101" s="3"/>
      <c r="EBN101" s="3"/>
      <c r="EBO101" s="3"/>
      <c r="EBP101" s="3"/>
      <c r="EBQ101" s="3"/>
      <c r="EBR101" s="3"/>
      <c r="EBS101" s="3"/>
      <c r="EBT101" s="3"/>
      <c r="EBU101" s="3"/>
      <c r="EBV101" s="3"/>
      <c r="EBW101" s="3"/>
      <c r="EBX101" s="3"/>
      <c r="EBY101" s="3"/>
      <c r="EBZ101" s="3"/>
      <c r="ECA101" s="3"/>
      <c r="ECB101" s="3"/>
      <c r="ECC101" s="3"/>
      <c r="ECD101" s="3"/>
      <c r="ECE101" s="3"/>
      <c r="ECF101" s="3"/>
      <c r="ECG101" s="3"/>
      <c r="ECH101" s="3"/>
      <c r="ECI101" s="3"/>
      <c r="ECJ101" s="3"/>
      <c r="ECK101" s="3"/>
      <c r="ECL101" s="3"/>
      <c r="ECM101" s="3"/>
      <c r="ECN101" s="3"/>
      <c r="ECO101" s="3"/>
      <c r="ECP101" s="3"/>
      <c r="ECQ101" s="3"/>
      <c r="ECR101" s="3"/>
      <c r="ECS101" s="3"/>
      <c r="ECT101" s="3"/>
      <c r="ECU101" s="3"/>
      <c r="ECV101" s="3"/>
      <c r="ECW101" s="3"/>
      <c r="ECX101" s="3"/>
      <c r="ECY101" s="3"/>
      <c r="ECZ101" s="3"/>
      <c r="EDA101" s="3"/>
      <c r="EDB101" s="3"/>
      <c r="EDC101" s="3"/>
      <c r="EDD101" s="3"/>
      <c r="EDE101" s="3"/>
      <c r="EDF101" s="3"/>
      <c r="EDG101" s="3"/>
      <c r="EDH101" s="3"/>
      <c r="EDI101" s="3"/>
      <c r="EDJ101" s="3"/>
      <c r="EDK101" s="3"/>
      <c r="EDL101" s="3"/>
      <c r="EDM101" s="3"/>
      <c r="EDN101" s="3"/>
      <c r="EDO101" s="3"/>
      <c r="EDP101" s="3"/>
      <c r="EDQ101" s="3"/>
      <c r="EDR101" s="3"/>
      <c r="EDS101" s="3"/>
      <c r="EDT101" s="3"/>
      <c r="EDU101" s="3"/>
      <c r="EDV101" s="3"/>
      <c r="EDW101" s="3"/>
      <c r="EDX101" s="3"/>
      <c r="EDY101" s="3"/>
      <c r="EDZ101" s="3"/>
      <c r="EEA101" s="3"/>
      <c r="EEB101" s="3"/>
      <c r="EEC101" s="3"/>
      <c r="EED101" s="3"/>
      <c r="EEE101" s="3"/>
      <c r="EEF101" s="3"/>
      <c r="EEG101" s="3"/>
      <c r="EEH101" s="3"/>
      <c r="EEI101" s="3"/>
      <c r="EEJ101" s="3"/>
      <c r="EEK101" s="3"/>
      <c r="EEL101" s="3"/>
      <c r="EEM101" s="3"/>
      <c r="EEN101" s="3"/>
      <c r="EEO101" s="3"/>
      <c r="EEP101" s="3"/>
      <c r="EEQ101" s="3"/>
      <c r="EER101" s="3"/>
      <c r="EES101" s="3"/>
      <c r="EET101" s="3"/>
      <c r="EEU101" s="3"/>
      <c r="EEV101" s="3"/>
      <c r="EEW101" s="3"/>
      <c r="EEX101" s="3"/>
      <c r="EEY101" s="3"/>
      <c r="EEZ101" s="3"/>
      <c r="EFA101" s="3"/>
      <c r="EFB101" s="3"/>
      <c r="EFC101" s="3"/>
      <c r="EFD101" s="3"/>
      <c r="EFE101" s="3"/>
      <c r="EFF101" s="3"/>
      <c r="EFG101" s="3"/>
      <c r="EFH101" s="3"/>
      <c r="EFI101" s="3"/>
      <c r="EFJ101" s="3"/>
      <c r="EFK101" s="3"/>
      <c r="EFL101" s="3"/>
      <c r="EFM101" s="3"/>
      <c r="EFN101" s="3"/>
      <c r="EFO101" s="3"/>
      <c r="EFP101" s="3"/>
      <c r="EFQ101" s="3"/>
      <c r="EFR101" s="3"/>
      <c r="EFS101" s="3"/>
      <c r="EFT101" s="3"/>
      <c r="EFU101" s="3"/>
      <c r="EFV101" s="3"/>
      <c r="EFW101" s="3"/>
      <c r="EFX101" s="3"/>
      <c r="EFY101" s="3"/>
      <c r="EFZ101" s="3"/>
      <c r="EGA101" s="3"/>
      <c r="EGB101" s="3"/>
      <c r="EGC101" s="3"/>
      <c r="EGD101" s="3"/>
      <c r="EGE101" s="3"/>
      <c r="EGF101" s="3"/>
      <c r="EGG101" s="3"/>
      <c r="EGH101" s="3"/>
      <c r="EGI101" s="3"/>
      <c r="EGJ101" s="3"/>
      <c r="EGK101" s="3"/>
      <c r="EGL101" s="3"/>
      <c r="EGM101" s="3"/>
      <c r="EGN101" s="3"/>
      <c r="EGO101" s="3"/>
      <c r="EGP101" s="3"/>
      <c r="EGQ101" s="3"/>
      <c r="EGR101" s="3"/>
      <c r="EGS101" s="3"/>
      <c r="EGT101" s="3"/>
      <c r="EGU101" s="3"/>
      <c r="EGV101" s="3"/>
      <c r="EGW101" s="3"/>
      <c r="EGX101" s="3"/>
      <c r="EGY101" s="3"/>
      <c r="EGZ101" s="3"/>
      <c r="EHA101" s="3"/>
      <c r="EHB101" s="3"/>
      <c r="EHC101" s="3"/>
      <c r="EHD101" s="3"/>
      <c r="EHE101" s="3"/>
      <c r="EHF101" s="3"/>
      <c r="EHG101" s="3"/>
      <c r="EHH101" s="3"/>
      <c r="EHI101" s="3"/>
      <c r="EHJ101" s="3"/>
      <c r="EHK101" s="3"/>
      <c r="EHL101" s="3"/>
      <c r="EHM101" s="3"/>
      <c r="EHN101" s="3"/>
      <c r="EHO101" s="3"/>
      <c r="EHP101" s="3"/>
      <c r="EHQ101" s="3"/>
      <c r="EHR101" s="3"/>
      <c r="EHS101" s="3"/>
      <c r="EHT101" s="3"/>
      <c r="EHU101" s="3"/>
      <c r="EHV101" s="3"/>
      <c r="EHW101" s="3"/>
      <c r="EHX101" s="3"/>
      <c r="EHY101" s="3"/>
      <c r="EHZ101" s="3"/>
      <c r="EIA101" s="3"/>
      <c r="EIB101" s="3"/>
      <c r="EIC101" s="3"/>
      <c r="EID101" s="3"/>
      <c r="EIE101" s="3"/>
      <c r="EIF101" s="3"/>
      <c r="EIG101" s="3"/>
      <c r="EIH101" s="3"/>
      <c r="EII101" s="3"/>
      <c r="EIJ101" s="3"/>
      <c r="EIK101" s="3"/>
      <c r="EIL101" s="3"/>
      <c r="EIM101" s="3"/>
      <c r="EIN101" s="3"/>
      <c r="EIO101" s="3"/>
      <c r="EIP101" s="3"/>
      <c r="EIQ101" s="3"/>
      <c r="EIR101" s="3"/>
      <c r="EIS101" s="3"/>
      <c r="EIT101" s="3"/>
      <c r="EIU101" s="3"/>
      <c r="EIV101" s="3"/>
      <c r="EIW101" s="3"/>
      <c r="EIX101" s="3"/>
      <c r="EIY101" s="3"/>
      <c r="EIZ101" s="3"/>
      <c r="EJA101" s="3"/>
      <c r="EJB101" s="3"/>
      <c r="EJC101" s="3"/>
      <c r="EJD101" s="3"/>
      <c r="EJE101" s="3"/>
      <c r="EJF101" s="3"/>
      <c r="EJG101" s="3"/>
      <c r="EJH101" s="3"/>
      <c r="EJI101" s="3"/>
      <c r="EJJ101" s="3"/>
      <c r="EJK101" s="3"/>
      <c r="EJL101" s="3"/>
      <c r="EJM101" s="3"/>
      <c r="EJN101" s="3"/>
      <c r="EJO101" s="3"/>
      <c r="EJP101" s="3"/>
      <c r="EJQ101" s="3"/>
      <c r="EJR101" s="3"/>
      <c r="EJS101" s="3"/>
      <c r="EJT101" s="3"/>
      <c r="EJU101" s="3"/>
      <c r="EJV101" s="3"/>
      <c r="EJW101" s="3"/>
      <c r="EJX101" s="3"/>
      <c r="EJY101" s="3"/>
      <c r="EJZ101" s="3"/>
      <c r="EKA101" s="3"/>
      <c r="EKB101" s="3"/>
      <c r="EKC101" s="3"/>
      <c r="EKD101" s="3"/>
      <c r="EKE101" s="3"/>
      <c r="EKF101" s="3"/>
      <c r="EKG101" s="3"/>
      <c r="EKH101" s="3"/>
      <c r="EKI101" s="3"/>
      <c r="EKJ101" s="3"/>
      <c r="EKK101" s="3"/>
      <c r="EKL101" s="3"/>
      <c r="EKM101" s="3"/>
      <c r="EKN101" s="3"/>
      <c r="EKO101" s="3"/>
      <c r="EKP101" s="3"/>
      <c r="EKQ101" s="3"/>
      <c r="EKR101" s="3"/>
      <c r="EKS101" s="3"/>
      <c r="EKT101" s="3"/>
      <c r="EKU101" s="3"/>
      <c r="EKV101" s="3"/>
      <c r="EKW101" s="3"/>
      <c r="EKX101" s="3"/>
      <c r="EKY101" s="3"/>
      <c r="EKZ101" s="3"/>
      <c r="ELA101" s="3"/>
      <c r="ELB101" s="3"/>
      <c r="ELC101" s="3"/>
      <c r="ELD101" s="3"/>
      <c r="ELE101" s="3"/>
      <c r="ELF101" s="3"/>
      <c r="ELG101" s="3"/>
      <c r="ELH101" s="3"/>
      <c r="ELI101" s="3"/>
      <c r="ELJ101" s="3"/>
      <c r="ELK101" s="3"/>
      <c r="ELL101" s="3"/>
      <c r="ELM101" s="3"/>
      <c r="ELN101" s="3"/>
      <c r="ELO101" s="3"/>
      <c r="ELP101" s="3"/>
      <c r="ELQ101" s="3"/>
      <c r="ELR101" s="3"/>
      <c r="ELS101" s="3"/>
      <c r="ELT101" s="3"/>
      <c r="ELU101" s="3"/>
      <c r="ELV101" s="3"/>
      <c r="ELW101" s="3"/>
      <c r="ELX101" s="3"/>
      <c r="ELY101" s="3"/>
      <c r="ELZ101" s="3"/>
      <c r="EMA101" s="3"/>
      <c r="EMB101" s="3"/>
      <c r="EMC101" s="3"/>
      <c r="EMD101" s="3"/>
      <c r="EME101" s="3"/>
      <c r="EMF101" s="3"/>
      <c r="EMG101" s="3"/>
      <c r="EMH101" s="3"/>
      <c r="EMI101" s="3"/>
      <c r="EMJ101" s="3"/>
      <c r="EMK101" s="3"/>
      <c r="EML101" s="3"/>
      <c r="EMM101" s="3"/>
      <c r="EMN101" s="3"/>
      <c r="EMO101" s="3"/>
      <c r="EMP101" s="3"/>
      <c r="EMQ101" s="3"/>
      <c r="EMR101" s="3"/>
      <c r="EMS101" s="3"/>
      <c r="EMT101" s="3"/>
      <c r="EMU101" s="3"/>
      <c r="EMV101" s="3"/>
      <c r="EMW101" s="3"/>
      <c r="EMX101" s="3"/>
      <c r="EMY101" s="3"/>
      <c r="EMZ101" s="3"/>
      <c r="ENA101" s="3"/>
      <c r="ENB101" s="3"/>
      <c r="ENC101" s="3"/>
      <c r="END101" s="3"/>
      <c r="ENE101" s="3"/>
      <c r="ENF101" s="3"/>
      <c r="ENG101" s="3"/>
      <c r="ENH101" s="3"/>
      <c r="ENI101" s="3"/>
      <c r="ENJ101" s="3"/>
      <c r="ENK101" s="3"/>
      <c r="ENL101" s="3"/>
      <c r="ENM101" s="3"/>
      <c r="ENN101" s="3"/>
      <c r="ENO101" s="3"/>
      <c r="ENP101" s="3"/>
      <c r="ENQ101" s="3"/>
      <c r="ENR101" s="3"/>
      <c r="ENS101" s="3"/>
      <c r="ENT101" s="3"/>
      <c r="ENU101" s="3"/>
      <c r="ENV101" s="3"/>
      <c r="ENW101" s="3"/>
      <c r="ENX101" s="3"/>
      <c r="ENY101" s="3"/>
      <c r="ENZ101" s="3"/>
      <c r="EOA101" s="3"/>
      <c r="EOB101" s="3"/>
      <c r="EOC101" s="3"/>
      <c r="EOD101" s="3"/>
      <c r="EOE101" s="3"/>
      <c r="EOF101" s="3"/>
      <c r="EOG101" s="3"/>
      <c r="EOH101" s="3"/>
      <c r="EOI101" s="3"/>
      <c r="EOJ101" s="3"/>
      <c r="EOK101" s="3"/>
      <c r="EOL101" s="3"/>
      <c r="EOM101" s="3"/>
      <c r="EON101" s="3"/>
      <c r="EOO101" s="3"/>
      <c r="EOP101" s="3"/>
      <c r="EOQ101" s="3"/>
      <c r="EOR101" s="3"/>
      <c r="EOS101" s="3"/>
      <c r="EOT101" s="3"/>
      <c r="EOU101" s="3"/>
      <c r="EOV101" s="3"/>
      <c r="EOW101" s="3"/>
      <c r="EOX101" s="3"/>
      <c r="EOY101" s="3"/>
      <c r="EOZ101" s="3"/>
      <c r="EPA101" s="3"/>
      <c r="EPB101" s="3"/>
      <c r="EPC101" s="3"/>
      <c r="EPD101" s="3"/>
      <c r="EPE101" s="3"/>
      <c r="EPF101" s="3"/>
      <c r="EPG101" s="3"/>
      <c r="EPH101" s="3"/>
      <c r="EPI101" s="3"/>
      <c r="EPJ101" s="3"/>
      <c r="EPK101" s="3"/>
      <c r="EPL101" s="3"/>
      <c r="EPM101" s="3"/>
      <c r="EPN101" s="3"/>
      <c r="EPO101" s="3"/>
      <c r="EPP101" s="3"/>
      <c r="EPQ101" s="3"/>
      <c r="EPR101" s="3"/>
      <c r="EPS101" s="3"/>
      <c r="EPT101" s="3"/>
      <c r="EPU101" s="3"/>
      <c r="EPV101" s="3"/>
      <c r="EPW101" s="3"/>
      <c r="EPX101" s="3"/>
      <c r="EPY101" s="3"/>
      <c r="EPZ101" s="3"/>
      <c r="EQA101" s="3"/>
      <c r="EQB101" s="3"/>
      <c r="EQC101" s="3"/>
      <c r="EQD101" s="3"/>
      <c r="EQE101" s="3"/>
      <c r="EQF101" s="3"/>
      <c r="EQG101" s="3"/>
      <c r="EQH101" s="3"/>
      <c r="EQI101" s="3"/>
      <c r="EQJ101" s="3"/>
      <c r="EQK101" s="3"/>
      <c r="EQL101" s="3"/>
      <c r="EQM101" s="3"/>
      <c r="EQN101" s="3"/>
      <c r="EQO101" s="3"/>
      <c r="EQP101" s="3"/>
      <c r="EQQ101" s="3"/>
      <c r="EQR101" s="3"/>
      <c r="EQS101" s="3"/>
      <c r="EQT101" s="3"/>
      <c r="EQU101" s="3"/>
      <c r="EQV101" s="3"/>
      <c r="EQW101" s="3"/>
      <c r="EQX101" s="3"/>
      <c r="EQY101" s="3"/>
      <c r="EQZ101" s="3"/>
      <c r="ERA101" s="3"/>
      <c r="ERB101" s="3"/>
      <c r="ERC101" s="3"/>
      <c r="ERD101" s="3"/>
      <c r="ERE101" s="3"/>
      <c r="ERF101" s="3"/>
      <c r="ERG101" s="3"/>
      <c r="ERH101" s="3"/>
      <c r="ERI101" s="3"/>
      <c r="ERJ101" s="3"/>
      <c r="ERK101" s="3"/>
      <c r="ERL101" s="3"/>
      <c r="ERM101" s="3"/>
      <c r="ERN101" s="3"/>
      <c r="ERO101" s="3"/>
      <c r="ERP101" s="3"/>
      <c r="ERQ101" s="3"/>
      <c r="ERR101" s="3"/>
      <c r="ERS101" s="3"/>
      <c r="ERT101" s="3"/>
      <c r="ERU101" s="3"/>
      <c r="ERV101" s="3"/>
      <c r="ERW101" s="3"/>
      <c r="ERX101" s="3"/>
      <c r="ERY101" s="3"/>
      <c r="ERZ101" s="3"/>
      <c r="ESA101" s="3"/>
      <c r="ESB101" s="3"/>
      <c r="ESC101" s="3"/>
      <c r="ESD101" s="3"/>
      <c r="ESE101" s="3"/>
      <c r="ESF101" s="3"/>
      <c r="ESG101" s="3"/>
      <c r="ESH101" s="3"/>
      <c r="ESI101" s="3"/>
      <c r="ESJ101" s="3"/>
      <c r="ESK101" s="3"/>
      <c r="ESL101" s="3"/>
      <c r="ESM101" s="3"/>
      <c r="ESN101" s="3"/>
      <c r="ESO101" s="3"/>
      <c r="ESP101" s="3"/>
      <c r="ESQ101" s="3"/>
      <c r="ESR101" s="3"/>
      <c r="ESS101" s="3"/>
      <c r="EST101" s="3"/>
      <c r="ESU101" s="3"/>
      <c r="ESV101" s="3"/>
      <c r="ESW101" s="3"/>
      <c r="ESX101" s="3"/>
      <c r="ESY101" s="3"/>
      <c r="ESZ101" s="3"/>
      <c r="ETA101" s="3"/>
      <c r="ETB101" s="3"/>
      <c r="ETC101" s="3"/>
      <c r="ETD101" s="3"/>
      <c r="ETE101" s="3"/>
      <c r="ETF101" s="3"/>
      <c r="ETG101" s="3"/>
      <c r="ETH101" s="3"/>
      <c r="ETI101" s="3"/>
      <c r="ETJ101" s="3"/>
      <c r="ETK101" s="3"/>
      <c r="ETL101" s="3"/>
      <c r="ETM101" s="3"/>
      <c r="ETN101" s="3"/>
      <c r="ETO101" s="3"/>
      <c r="ETP101" s="3"/>
      <c r="ETQ101" s="3"/>
      <c r="ETR101" s="3"/>
      <c r="ETS101" s="3"/>
      <c r="ETT101" s="3"/>
      <c r="ETU101" s="3"/>
      <c r="ETV101" s="3"/>
      <c r="ETW101" s="3"/>
      <c r="ETX101" s="3"/>
      <c r="ETY101" s="3"/>
      <c r="ETZ101" s="3"/>
      <c r="EUA101" s="3"/>
      <c r="EUB101" s="3"/>
      <c r="EUC101" s="3"/>
      <c r="EUD101" s="3"/>
      <c r="EUE101" s="3"/>
      <c r="EUF101" s="3"/>
      <c r="EUG101" s="3"/>
      <c r="EUH101" s="3"/>
      <c r="EUI101" s="3"/>
      <c r="EUJ101" s="3"/>
      <c r="EUK101" s="3"/>
      <c r="EUL101" s="3"/>
      <c r="EUM101" s="3"/>
      <c r="EUN101" s="3"/>
      <c r="EUO101" s="3"/>
      <c r="EUP101" s="3"/>
      <c r="EUQ101" s="3"/>
      <c r="EUR101" s="3"/>
      <c r="EUS101" s="3"/>
      <c r="EUT101" s="3"/>
      <c r="EUU101" s="3"/>
      <c r="EUV101" s="3"/>
      <c r="EUW101" s="3"/>
      <c r="EUX101" s="3"/>
      <c r="EUY101" s="3"/>
      <c r="EUZ101" s="3"/>
      <c r="EVA101" s="3"/>
      <c r="EVB101" s="3"/>
      <c r="EVC101" s="3"/>
      <c r="EVD101" s="3"/>
      <c r="EVE101" s="3"/>
      <c r="EVF101" s="3"/>
      <c r="EVG101" s="3"/>
      <c r="EVH101" s="3"/>
      <c r="EVI101" s="3"/>
      <c r="EVJ101" s="3"/>
      <c r="EVK101" s="3"/>
      <c r="EVL101" s="3"/>
      <c r="EVM101" s="3"/>
      <c r="EVN101" s="3"/>
      <c r="EVO101" s="3"/>
      <c r="EVP101" s="3"/>
      <c r="EVQ101" s="3"/>
      <c r="EVR101" s="3"/>
      <c r="EVS101" s="3"/>
      <c r="EVT101" s="3"/>
      <c r="EVU101" s="3"/>
      <c r="EVV101" s="3"/>
      <c r="EVW101" s="3"/>
      <c r="EVX101" s="3"/>
      <c r="EVY101" s="3"/>
      <c r="EVZ101" s="3"/>
      <c r="EWA101" s="3"/>
      <c r="EWB101" s="3"/>
      <c r="EWC101" s="3"/>
      <c r="EWD101" s="3"/>
      <c r="EWE101" s="3"/>
      <c r="EWF101" s="3"/>
      <c r="EWG101" s="3"/>
      <c r="EWH101" s="3"/>
      <c r="EWI101" s="3"/>
      <c r="EWJ101" s="3"/>
      <c r="EWK101" s="3"/>
      <c r="EWL101" s="3"/>
      <c r="EWM101" s="3"/>
      <c r="EWN101" s="3"/>
      <c r="EWO101" s="3"/>
      <c r="EWP101" s="3"/>
      <c r="EWQ101" s="3"/>
      <c r="EWR101" s="3"/>
      <c r="EWS101" s="3"/>
      <c r="EWT101" s="3"/>
      <c r="EWU101" s="3"/>
      <c r="EWV101" s="3"/>
      <c r="EWW101" s="3"/>
      <c r="EWX101" s="3"/>
      <c r="EWY101" s="3"/>
      <c r="EWZ101" s="3"/>
      <c r="EXA101" s="3"/>
      <c r="EXB101" s="3"/>
      <c r="EXC101" s="3"/>
      <c r="EXD101" s="3"/>
      <c r="EXE101" s="3"/>
      <c r="EXF101" s="3"/>
      <c r="EXG101" s="3"/>
      <c r="EXH101" s="3"/>
      <c r="EXI101" s="3"/>
      <c r="EXJ101" s="3"/>
      <c r="EXK101" s="3"/>
      <c r="EXL101" s="3"/>
      <c r="EXM101" s="3"/>
      <c r="EXN101" s="3"/>
      <c r="EXO101" s="3"/>
      <c r="EXP101" s="3"/>
      <c r="EXQ101" s="3"/>
      <c r="EXR101" s="3"/>
      <c r="EXS101" s="3"/>
      <c r="EXT101" s="3"/>
      <c r="EXU101" s="3"/>
      <c r="EXV101" s="3"/>
      <c r="EXW101" s="3"/>
      <c r="EXX101" s="3"/>
      <c r="EXY101" s="3"/>
      <c r="EXZ101" s="3"/>
      <c r="EYA101" s="3"/>
      <c r="EYB101" s="3"/>
      <c r="EYC101" s="3"/>
      <c r="EYD101" s="3"/>
      <c r="EYE101" s="3"/>
      <c r="EYF101" s="3"/>
      <c r="EYG101" s="3"/>
      <c r="EYH101" s="3"/>
      <c r="EYI101" s="3"/>
      <c r="EYJ101" s="3"/>
      <c r="EYK101" s="3"/>
      <c r="EYL101" s="3"/>
      <c r="EYM101" s="3"/>
      <c r="EYN101" s="3"/>
      <c r="EYO101" s="3"/>
      <c r="EYP101" s="3"/>
      <c r="EYQ101" s="3"/>
      <c r="EYR101" s="3"/>
      <c r="EYS101" s="3"/>
      <c r="EYT101" s="3"/>
      <c r="EYU101" s="3"/>
      <c r="EYV101" s="3"/>
      <c r="EYW101" s="3"/>
      <c r="EYX101" s="3"/>
      <c r="EYY101" s="3"/>
      <c r="EYZ101" s="3"/>
      <c r="EZA101" s="3"/>
      <c r="EZB101" s="3"/>
      <c r="EZC101" s="3"/>
      <c r="EZD101" s="3"/>
      <c r="EZE101" s="3"/>
      <c r="EZF101" s="3"/>
      <c r="EZG101" s="3"/>
      <c r="EZH101" s="3"/>
      <c r="EZI101" s="3"/>
      <c r="EZJ101" s="3"/>
      <c r="EZK101" s="3"/>
      <c r="EZL101" s="3"/>
      <c r="EZM101" s="3"/>
      <c r="EZN101" s="3"/>
      <c r="EZO101" s="3"/>
      <c r="EZP101" s="3"/>
      <c r="EZQ101" s="3"/>
      <c r="EZR101" s="3"/>
      <c r="EZS101" s="3"/>
      <c r="EZT101" s="3"/>
      <c r="EZU101" s="3"/>
      <c r="EZV101" s="3"/>
      <c r="EZW101" s="3"/>
      <c r="EZX101" s="3"/>
      <c r="EZY101" s="3"/>
      <c r="EZZ101" s="3"/>
      <c r="FAA101" s="3"/>
      <c r="FAB101" s="3"/>
      <c r="FAC101" s="3"/>
      <c r="FAD101" s="3"/>
      <c r="FAE101" s="3"/>
      <c r="FAF101" s="3"/>
      <c r="FAG101" s="3"/>
      <c r="FAH101" s="3"/>
      <c r="FAI101" s="3"/>
      <c r="FAJ101" s="3"/>
      <c r="FAK101" s="3"/>
      <c r="FAL101" s="3"/>
      <c r="FAM101" s="3"/>
      <c r="FAN101" s="3"/>
      <c r="FAO101" s="3"/>
      <c r="FAP101" s="3"/>
      <c r="FAQ101" s="3"/>
      <c r="FAR101" s="3"/>
      <c r="FAS101" s="3"/>
      <c r="FAT101" s="3"/>
      <c r="FAU101" s="3"/>
      <c r="FAV101" s="3"/>
      <c r="FAW101" s="3"/>
      <c r="FAX101" s="3"/>
      <c r="FAY101" s="3"/>
      <c r="FAZ101" s="3"/>
      <c r="FBA101" s="3"/>
      <c r="FBB101" s="3"/>
      <c r="FBC101" s="3"/>
      <c r="FBD101" s="3"/>
      <c r="FBE101" s="3"/>
      <c r="FBF101" s="3"/>
      <c r="FBG101" s="3"/>
      <c r="FBH101" s="3"/>
      <c r="FBI101" s="3"/>
      <c r="FBJ101" s="3"/>
      <c r="FBK101" s="3"/>
      <c r="FBL101" s="3"/>
      <c r="FBM101" s="3"/>
      <c r="FBN101" s="3"/>
      <c r="FBO101" s="3"/>
      <c r="FBP101" s="3"/>
      <c r="FBQ101" s="3"/>
      <c r="FBR101" s="3"/>
      <c r="FBS101" s="3"/>
      <c r="FBT101" s="3"/>
      <c r="FBU101" s="3"/>
      <c r="FBV101" s="3"/>
      <c r="FBW101" s="3"/>
      <c r="FBX101" s="3"/>
      <c r="FBY101" s="3"/>
      <c r="FBZ101" s="3"/>
      <c r="FCA101" s="3"/>
      <c r="FCB101" s="3"/>
      <c r="FCC101" s="3"/>
      <c r="FCD101" s="3"/>
      <c r="FCE101" s="3"/>
      <c r="FCF101" s="3"/>
      <c r="FCG101" s="3"/>
      <c r="FCH101" s="3"/>
      <c r="FCI101" s="3"/>
      <c r="FCJ101" s="3"/>
      <c r="FCK101" s="3"/>
      <c r="FCL101" s="3"/>
      <c r="FCM101" s="3"/>
      <c r="FCN101" s="3"/>
      <c r="FCO101" s="3"/>
      <c r="FCP101" s="3"/>
      <c r="FCQ101" s="3"/>
      <c r="FCR101" s="3"/>
      <c r="FCS101" s="3"/>
      <c r="FCT101" s="3"/>
      <c r="FCU101" s="3"/>
      <c r="FCV101" s="3"/>
      <c r="FCW101" s="3"/>
      <c r="FCX101" s="3"/>
      <c r="FCY101" s="3"/>
      <c r="FCZ101" s="3"/>
      <c r="FDA101" s="3"/>
      <c r="FDB101" s="3"/>
      <c r="FDC101" s="3"/>
      <c r="FDD101" s="3"/>
      <c r="FDE101" s="3"/>
      <c r="FDF101" s="3"/>
      <c r="FDG101" s="3"/>
      <c r="FDH101" s="3"/>
      <c r="FDI101" s="3"/>
      <c r="FDJ101" s="3"/>
      <c r="FDK101" s="3"/>
      <c r="FDL101" s="3"/>
      <c r="FDM101" s="3"/>
      <c r="FDN101" s="3"/>
      <c r="FDO101" s="3"/>
      <c r="FDP101" s="3"/>
      <c r="FDQ101" s="3"/>
      <c r="FDR101" s="3"/>
      <c r="FDS101" s="3"/>
      <c r="FDT101" s="3"/>
      <c r="FDU101" s="3"/>
      <c r="FDV101" s="3"/>
      <c r="FDW101" s="3"/>
      <c r="FDX101" s="3"/>
      <c r="FDY101" s="3"/>
      <c r="FDZ101" s="3"/>
      <c r="FEA101" s="3"/>
      <c r="FEB101" s="3"/>
      <c r="FEC101" s="3"/>
      <c r="FED101" s="3"/>
      <c r="FEE101" s="3"/>
      <c r="FEF101" s="3"/>
      <c r="FEG101" s="3"/>
      <c r="FEH101" s="3"/>
      <c r="FEI101" s="3"/>
      <c r="FEJ101" s="3"/>
      <c r="FEK101" s="3"/>
      <c r="FEL101" s="3"/>
      <c r="FEM101" s="3"/>
      <c r="FEN101" s="3"/>
      <c r="FEO101" s="3"/>
      <c r="FEP101" s="3"/>
      <c r="FEQ101" s="3"/>
      <c r="FER101" s="3"/>
      <c r="FES101" s="3"/>
      <c r="FET101" s="3"/>
      <c r="FEU101" s="3"/>
      <c r="FEV101" s="3"/>
      <c r="FEW101" s="3"/>
      <c r="FEX101" s="3"/>
      <c r="FEY101" s="3"/>
      <c r="FEZ101" s="3"/>
      <c r="FFA101" s="3"/>
      <c r="FFB101" s="3"/>
      <c r="FFC101" s="3"/>
      <c r="FFD101" s="3"/>
      <c r="FFE101" s="3"/>
      <c r="FFF101" s="3"/>
      <c r="FFG101" s="3"/>
      <c r="FFH101" s="3"/>
      <c r="FFI101" s="3"/>
      <c r="FFJ101" s="3"/>
      <c r="FFK101" s="3"/>
      <c r="FFL101" s="3"/>
      <c r="FFM101" s="3"/>
      <c r="FFN101" s="3"/>
      <c r="FFO101" s="3"/>
      <c r="FFP101" s="3"/>
      <c r="FFQ101" s="3"/>
      <c r="FFR101" s="3"/>
      <c r="FFS101" s="3"/>
      <c r="FFT101" s="3"/>
      <c r="FFU101" s="3"/>
      <c r="FFV101" s="3"/>
      <c r="FFW101" s="3"/>
      <c r="FFX101" s="3"/>
      <c r="FFY101" s="3"/>
      <c r="FFZ101" s="3"/>
      <c r="FGA101" s="3"/>
      <c r="FGB101" s="3"/>
      <c r="FGC101" s="3"/>
      <c r="FGD101" s="3"/>
      <c r="FGE101" s="3"/>
      <c r="FGF101" s="3"/>
      <c r="FGG101" s="3"/>
      <c r="FGH101" s="3"/>
      <c r="FGI101" s="3"/>
      <c r="FGJ101" s="3"/>
      <c r="FGK101" s="3"/>
      <c r="FGL101" s="3"/>
      <c r="FGM101" s="3"/>
      <c r="FGN101" s="3"/>
      <c r="FGO101" s="3"/>
      <c r="FGP101" s="3"/>
      <c r="FGQ101" s="3"/>
      <c r="FGR101" s="3"/>
      <c r="FGS101" s="3"/>
      <c r="FGT101" s="3"/>
      <c r="FGU101" s="3"/>
      <c r="FGV101" s="3"/>
      <c r="FGW101" s="3"/>
      <c r="FGX101" s="3"/>
      <c r="FGY101" s="3"/>
      <c r="FGZ101" s="3"/>
      <c r="FHA101" s="3"/>
      <c r="FHB101" s="3"/>
      <c r="FHC101" s="3"/>
      <c r="FHD101" s="3"/>
      <c r="FHE101" s="3"/>
      <c r="FHF101" s="3"/>
      <c r="FHG101" s="3"/>
      <c r="FHH101" s="3"/>
      <c r="FHI101" s="3"/>
      <c r="FHJ101" s="3"/>
      <c r="FHK101" s="3"/>
      <c r="FHL101" s="3"/>
      <c r="FHM101" s="3"/>
      <c r="FHN101" s="3"/>
      <c r="FHO101" s="3"/>
      <c r="FHP101" s="3"/>
      <c r="FHQ101" s="3"/>
      <c r="FHR101" s="3"/>
      <c r="FHS101" s="3"/>
      <c r="FHT101" s="3"/>
      <c r="FHU101" s="3"/>
      <c r="FHV101" s="3"/>
      <c r="FHW101" s="3"/>
      <c r="FHX101" s="3"/>
      <c r="FHY101" s="3"/>
      <c r="FHZ101" s="3"/>
      <c r="FIA101" s="3"/>
      <c r="FIB101" s="3"/>
      <c r="FIC101" s="3"/>
      <c r="FID101" s="3"/>
      <c r="FIE101" s="3"/>
      <c r="FIF101" s="3"/>
      <c r="FIG101" s="3"/>
      <c r="FIH101" s="3"/>
      <c r="FII101" s="3"/>
      <c r="FIJ101" s="3"/>
      <c r="FIK101" s="3"/>
      <c r="FIL101" s="3"/>
      <c r="FIM101" s="3"/>
      <c r="FIN101" s="3"/>
      <c r="FIO101" s="3"/>
      <c r="FIP101" s="3"/>
      <c r="FIQ101" s="3"/>
      <c r="FIR101" s="3"/>
      <c r="FIS101" s="3"/>
      <c r="FIT101" s="3"/>
      <c r="FIU101" s="3"/>
      <c r="FIV101" s="3"/>
      <c r="FIW101" s="3"/>
      <c r="FIX101" s="3"/>
      <c r="FIY101" s="3"/>
      <c r="FIZ101" s="3"/>
      <c r="FJA101" s="3"/>
      <c r="FJB101" s="3"/>
      <c r="FJC101" s="3"/>
      <c r="FJD101" s="3"/>
      <c r="FJE101" s="3"/>
      <c r="FJF101" s="3"/>
      <c r="FJG101" s="3"/>
      <c r="FJH101" s="3"/>
      <c r="FJI101" s="3"/>
      <c r="FJJ101" s="3"/>
      <c r="FJK101" s="3"/>
      <c r="FJL101" s="3"/>
      <c r="FJM101" s="3"/>
      <c r="FJN101" s="3"/>
      <c r="FJO101" s="3"/>
      <c r="FJP101" s="3"/>
      <c r="FJQ101" s="3"/>
      <c r="FJR101" s="3"/>
      <c r="FJS101" s="3"/>
      <c r="FJT101" s="3"/>
      <c r="FJU101" s="3"/>
      <c r="FJV101" s="3"/>
      <c r="FJW101" s="3"/>
      <c r="FJX101" s="3"/>
      <c r="FJY101" s="3"/>
      <c r="FJZ101" s="3"/>
      <c r="FKA101" s="3"/>
      <c r="FKB101" s="3"/>
      <c r="FKC101" s="3"/>
      <c r="FKD101" s="3"/>
      <c r="FKE101" s="3"/>
      <c r="FKF101" s="3"/>
      <c r="FKG101" s="3"/>
      <c r="FKH101" s="3"/>
      <c r="FKI101" s="3"/>
      <c r="FKJ101" s="3"/>
      <c r="FKK101" s="3"/>
      <c r="FKL101" s="3"/>
      <c r="FKM101" s="3"/>
      <c r="FKN101" s="3"/>
      <c r="FKO101" s="3"/>
      <c r="FKP101" s="3"/>
      <c r="FKQ101" s="3"/>
      <c r="FKR101" s="3"/>
      <c r="FKS101" s="3"/>
      <c r="FKT101" s="3"/>
      <c r="FKU101" s="3"/>
      <c r="FKV101" s="3"/>
      <c r="FKW101" s="3"/>
      <c r="FKX101" s="3"/>
      <c r="FKY101" s="3"/>
      <c r="FKZ101" s="3"/>
      <c r="FLA101" s="3"/>
      <c r="FLB101" s="3"/>
      <c r="FLC101" s="3"/>
      <c r="FLD101" s="3"/>
      <c r="FLE101" s="3"/>
      <c r="FLF101" s="3"/>
      <c r="FLG101" s="3"/>
      <c r="FLH101" s="3"/>
      <c r="FLI101" s="3"/>
      <c r="FLJ101" s="3"/>
      <c r="FLK101" s="3"/>
      <c r="FLL101" s="3"/>
      <c r="FLM101" s="3"/>
      <c r="FLN101" s="3"/>
      <c r="FLO101" s="3"/>
      <c r="FLP101" s="3"/>
      <c r="FLQ101" s="3"/>
      <c r="FLR101" s="3"/>
      <c r="FLS101" s="3"/>
      <c r="FLT101" s="3"/>
      <c r="FLU101" s="3"/>
      <c r="FLV101" s="3"/>
      <c r="FLW101" s="3"/>
      <c r="FLX101" s="3"/>
      <c r="FLY101" s="3"/>
      <c r="FLZ101" s="3"/>
      <c r="FMA101" s="3"/>
      <c r="FMB101" s="3"/>
      <c r="FMC101" s="3"/>
      <c r="FMD101" s="3"/>
      <c r="FME101" s="3"/>
      <c r="FMF101" s="3"/>
      <c r="FMG101" s="3"/>
      <c r="FMH101" s="3"/>
      <c r="FMI101" s="3"/>
      <c r="FMJ101" s="3"/>
      <c r="FMK101" s="3"/>
      <c r="FML101" s="3"/>
      <c r="FMM101" s="3"/>
      <c r="FMN101" s="3"/>
      <c r="FMO101" s="3"/>
      <c r="FMP101" s="3"/>
      <c r="FMQ101" s="3"/>
      <c r="FMR101" s="3"/>
      <c r="FMS101" s="3"/>
      <c r="FMT101" s="3"/>
      <c r="FMU101" s="3"/>
      <c r="FMV101" s="3"/>
      <c r="FMW101" s="3"/>
      <c r="FMX101" s="3"/>
      <c r="FMY101" s="3"/>
      <c r="FMZ101" s="3"/>
      <c r="FNA101" s="3"/>
      <c r="FNB101" s="3"/>
      <c r="FNC101" s="3"/>
      <c r="FND101" s="3"/>
      <c r="FNE101" s="3"/>
      <c r="FNF101" s="3"/>
      <c r="FNG101" s="3"/>
      <c r="FNH101" s="3"/>
      <c r="FNI101" s="3"/>
      <c r="FNJ101" s="3"/>
      <c r="FNK101" s="3"/>
      <c r="FNL101" s="3"/>
      <c r="FNM101" s="3"/>
      <c r="FNN101" s="3"/>
      <c r="FNO101" s="3"/>
      <c r="FNP101" s="3"/>
      <c r="FNQ101" s="3"/>
      <c r="FNR101" s="3"/>
      <c r="FNS101" s="3"/>
      <c r="FNT101" s="3"/>
      <c r="FNU101" s="3"/>
      <c r="FNV101" s="3"/>
      <c r="FNW101" s="3"/>
      <c r="FNX101" s="3"/>
      <c r="FNY101" s="3"/>
      <c r="FNZ101" s="3"/>
      <c r="FOA101" s="3"/>
      <c r="FOB101" s="3"/>
      <c r="FOC101" s="3"/>
      <c r="FOD101" s="3"/>
      <c r="FOE101" s="3"/>
      <c r="FOF101" s="3"/>
      <c r="FOG101" s="3"/>
      <c r="FOH101" s="3"/>
      <c r="FOI101" s="3"/>
      <c r="FOJ101" s="3"/>
      <c r="FOK101" s="3"/>
      <c r="FOL101" s="3"/>
      <c r="FOM101" s="3"/>
      <c r="FON101" s="3"/>
      <c r="FOO101" s="3"/>
      <c r="FOP101" s="3"/>
      <c r="FOQ101" s="3"/>
      <c r="FOR101" s="3"/>
      <c r="FOS101" s="3"/>
      <c r="FOT101" s="3"/>
      <c r="FOU101" s="3"/>
      <c r="FOV101" s="3"/>
      <c r="FOW101" s="3"/>
      <c r="FOX101" s="3"/>
      <c r="FOY101" s="3"/>
      <c r="FOZ101" s="3"/>
      <c r="FPA101" s="3"/>
      <c r="FPB101" s="3"/>
      <c r="FPC101" s="3"/>
      <c r="FPD101" s="3"/>
      <c r="FPE101" s="3"/>
      <c r="FPF101" s="3"/>
      <c r="FPG101" s="3"/>
      <c r="FPH101" s="3"/>
      <c r="FPI101" s="3"/>
      <c r="FPJ101" s="3"/>
      <c r="FPK101" s="3"/>
      <c r="FPL101" s="3"/>
      <c r="FPM101" s="3"/>
      <c r="FPN101" s="3"/>
      <c r="FPO101" s="3"/>
      <c r="FPP101" s="3"/>
      <c r="FPQ101" s="3"/>
      <c r="FPR101" s="3"/>
      <c r="FPS101" s="3"/>
      <c r="FPT101" s="3"/>
      <c r="FPU101" s="3"/>
      <c r="FPV101" s="3"/>
      <c r="FPW101" s="3"/>
      <c r="FPX101" s="3"/>
      <c r="FPY101" s="3"/>
      <c r="FPZ101" s="3"/>
      <c r="FQA101" s="3"/>
      <c r="FQB101" s="3"/>
      <c r="FQC101" s="3"/>
      <c r="FQD101" s="3"/>
      <c r="FQE101" s="3"/>
      <c r="FQF101" s="3"/>
      <c r="FQG101" s="3"/>
      <c r="FQH101" s="3"/>
      <c r="FQI101" s="3"/>
      <c r="FQJ101" s="3"/>
      <c r="FQK101" s="3"/>
      <c r="FQL101" s="3"/>
      <c r="FQM101" s="3"/>
      <c r="FQN101" s="3"/>
      <c r="FQO101" s="3"/>
      <c r="FQP101" s="3"/>
      <c r="FQQ101" s="3"/>
      <c r="FQR101" s="3"/>
      <c r="FQS101" s="3"/>
      <c r="FQT101" s="3"/>
      <c r="FQU101" s="3"/>
      <c r="FQV101" s="3"/>
      <c r="FQW101" s="3"/>
      <c r="FQX101" s="3"/>
      <c r="FQY101" s="3"/>
      <c r="FQZ101" s="3"/>
      <c r="FRA101" s="3"/>
      <c r="FRB101" s="3"/>
      <c r="FRC101" s="3"/>
      <c r="FRD101" s="3"/>
      <c r="FRE101" s="3"/>
      <c r="FRF101" s="3"/>
      <c r="FRG101" s="3"/>
      <c r="FRH101" s="3"/>
      <c r="FRI101" s="3"/>
      <c r="FRJ101" s="3"/>
      <c r="FRK101" s="3"/>
      <c r="FRL101" s="3"/>
      <c r="FRM101" s="3"/>
      <c r="FRN101" s="3"/>
      <c r="FRO101" s="3"/>
      <c r="FRP101" s="3"/>
      <c r="FRQ101" s="3"/>
      <c r="FRR101" s="3"/>
      <c r="FRS101" s="3"/>
      <c r="FRT101" s="3"/>
      <c r="FRU101" s="3"/>
      <c r="FRV101" s="3"/>
      <c r="FRW101" s="3"/>
      <c r="FRX101" s="3"/>
      <c r="FRY101" s="3"/>
      <c r="FRZ101" s="3"/>
      <c r="FSA101" s="3"/>
      <c r="FSB101" s="3"/>
      <c r="FSC101" s="3"/>
      <c r="FSD101" s="3"/>
      <c r="FSE101" s="3"/>
      <c r="FSF101" s="3"/>
      <c r="FSG101" s="3"/>
      <c r="FSH101" s="3"/>
      <c r="FSI101" s="3"/>
      <c r="FSJ101" s="3"/>
      <c r="FSK101" s="3"/>
      <c r="FSL101" s="3"/>
      <c r="FSM101" s="3"/>
      <c r="FSN101" s="3"/>
      <c r="FSO101" s="3"/>
      <c r="FSP101" s="3"/>
      <c r="FSQ101" s="3"/>
      <c r="FSR101" s="3"/>
      <c r="FSS101" s="3"/>
      <c r="FST101" s="3"/>
      <c r="FSU101" s="3"/>
      <c r="FSV101" s="3"/>
      <c r="FSW101" s="3"/>
      <c r="FSX101" s="3"/>
      <c r="FSY101" s="3"/>
      <c r="FSZ101" s="3"/>
      <c r="FTA101" s="3"/>
      <c r="FTB101" s="3"/>
      <c r="FTC101" s="3"/>
      <c r="FTD101" s="3"/>
      <c r="FTE101" s="3"/>
      <c r="FTF101" s="3"/>
      <c r="FTG101" s="3"/>
      <c r="FTH101" s="3"/>
      <c r="FTI101" s="3"/>
      <c r="FTJ101" s="3"/>
      <c r="FTK101" s="3"/>
      <c r="FTL101" s="3"/>
      <c r="FTM101" s="3"/>
      <c r="FTN101" s="3"/>
      <c r="FTO101" s="3"/>
      <c r="FTP101" s="3"/>
      <c r="FTQ101" s="3"/>
      <c r="FTR101" s="3"/>
      <c r="FTS101" s="3"/>
      <c r="FTT101" s="3"/>
      <c r="FTU101" s="3"/>
      <c r="FTV101" s="3"/>
      <c r="FTW101" s="3"/>
      <c r="FTX101" s="3"/>
      <c r="FTY101" s="3"/>
      <c r="FTZ101" s="3"/>
      <c r="FUA101" s="3"/>
      <c r="FUB101" s="3"/>
      <c r="FUC101" s="3"/>
      <c r="FUD101" s="3"/>
      <c r="FUE101" s="3"/>
      <c r="FUF101" s="3"/>
      <c r="FUG101" s="3"/>
      <c r="FUH101" s="3"/>
      <c r="FUI101" s="3"/>
      <c r="FUJ101" s="3"/>
      <c r="FUK101" s="3"/>
      <c r="FUL101" s="3"/>
      <c r="FUM101" s="3"/>
      <c r="FUN101" s="3"/>
      <c r="FUO101" s="3"/>
      <c r="FUP101" s="3"/>
      <c r="FUQ101" s="3"/>
      <c r="FUR101" s="3"/>
      <c r="FUS101" s="3"/>
      <c r="FUT101" s="3"/>
      <c r="FUU101" s="3"/>
      <c r="FUV101" s="3"/>
      <c r="FUW101" s="3"/>
      <c r="FUX101" s="3"/>
      <c r="FUY101" s="3"/>
      <c r="FUZ101" s="3"/>
      <c r="FVA101" s="3"/>
      <c r="FVB101" s="3"/>
      <c r="FVC101" s="3"/>
      <c r="FVD101" s="3"/>
      <c r="FVE101" s="3"/>
      <c r="FVF101" s="3"/>
      <c r="FVG101" s="3"/>
      <c r="FVH101" s="3"/>
      <c r="FVI101" s="3"/>
      <c r="FVJ101" s="3"/>
      <c r="FVK101" s="3"/>
      <c r="FVL101" s="3"/>
      <c r="FVM101" s="3"/>
      <c r="FVN101" s="3"/>
      <c r="FVO101" s="3"/>
      <c r="FVP101" s="3"/>
      <c r="FVQ101" s="3"/>
      <c r="FVR101" s="3"/>
      <c r="FVS101" s="3"/>
      <c r="FVT101" s="3"/>
      <c r="FVU101" s="3"/>
      <c r="FVV101" s="3"/>
      <c r="FVW101" s="3"/>
      <c r="FVX101" s="3"/>
      <c r="FVY101" s="3"/>
      <c r="FVZ101" s="3"/>
      <c r="FWA101" s="3"/>
      <c r="FWB101" s="3"/>
      <c r="FWC101" s="3"/>
      <c r="FWD101" s="3"/>
      <c r="FWE101" s="3"/>
      <c r="FWF101" s="3"/>
      <c r="FWG101" s="3"/>
      <c r="FWH101" s="3"/>
      <c r="FWI101" s="3"/>
      <c r="FWJ101" s="3"/>
      <c r="FWK101" s="3"/>
      <c r="FWL101" s="3"/>
      <c r="FWM101" s="3"/>
      <c r="FWN101" s="3"/>
      <c r="FWO101" s="3"/>
      <c r="FWP101" s="3"/>
      <c r="FWQ101" s="3"/>
      <c r="FWR101" s="3"/>
      <c r="FWS101" s="3"/>
      <c r="FWT101" s="3"/>
      <c r="FWU101" s="3"/>
      <c r="FWV101" s="3"/>
      <c r="FWW101" s="3"/>
      <c r="FWX101" s="3"/>
      <c r="FWY101" s="3"/>
      <c r="FWZ101" s="3"/>
      <c r="FXA101" s="3"/>
      <c r="FXB101" s="3"/>
      <c r="FXC101" s="3"/>
      <c r="FXD101" s="3"/>
      <c r="FXE101" s="3"/>
      <c r="FXF101" s="3"/>
      <c r="FXG101" s="3"/>
      <c r="FXH101" s="3"/>
      <c r="FXI101" s="3"/>
      <c r="FXJ101" s="3"/>
      <c r="FXK101" s="3"/>
      <c r="FXL101" s="3"/>
      <c r="FXM101" s="3"/>
      <c r="FXN101" s="3"/>
      <c r="FXO101" s="3"/>
      <c r="FXP101" s="3"/>
      <c r="FXQ101" s="3"/>
      <c r="FXR101" s="3"/>
      <c r="FXS101" s="3"/>
      <c r="FXT101" s="3"/>
      <c r="FXU101" s="3"/>
      <c r="FXV101" s="3"/>
      <c r="FXW101" s="3"/>
      <c r="FXX101" s="3"/>
      <c r="FXY101" s="3"/>
      <c r="FXZ101" s="3"/>
      <c r="FYA101" s="3"/>
      <c r="FYB101" s="3"/>
      <c r="FYC101" s="3"/>
      <c r="FYD101" s="3"/>
      <c r="FYE101" s="3"/>
      <c r="FYF101" s="3"/>
      <c r="FYG101" s="3"/>
      <c r="FYH101" s="3"/>
      <c r="FYI101" s="3"/>
      <c r="FYJ101" s="3"/>
      <c r="FYK101" s="3"/>
      <c r="FYL101" s="3"/>
      <c r="FYM101" s="3"/>
      <c r="FYN101" s="3"/>
      <c r="FYO101" s="3"/>
      <c r="FYP101" s="3"/>
      <c r="FYQ101" s="3"/>
      <c r="FYR101" s="3"/>
      <c r="FYS101" s="3"/>
      <c r="FYT101" s="3"/>
      <c r="FYU101" s="3"/>
      <c r="FYV101" s="3"/>
      <c r="FYW101" s="3"/>
      <c r="FYX101" s="3"/>
      <c r="FYY101" s="3"/>
      <c r="FYZ101" s="3"/>
      <c r="FZA101" s="3"/>
      <c r="FZB101" s="3"/>
      <c r="FZC101" s="3"/>
      <c r="FZD101" s="3"/>
      <c r="FZE101" s="3"/>
      <c r="FZF101" s="3"/>
      <c r="FZG101" s="3"/>
      <c r="FZH101" s="3"/>
      <c r="FZI101" s="3"/>
      <c r="FZJ101" s="3"/>
      <c r="FZK101" s="3"/>
      <c r="FZL101" s="3"/>
      <c r="FZM101" s="3"/>
      <c r="FZN101" s="3"/>
      <c r="FZO101" s="3"/>
      <c r="FZP101" s="3"/>
      <c r="FZQ101" s="3"/>
      <c r="FZR101" s="3"/>
      <c r="FZS101" s="3"/>
      <c r="FZT101" s="3"/>
      <c r="FZU101" s="3"/>
      <c r="FZV101" s="3"/>
      <c r="FZW101" s="3"/>
      <c r="FZX101" s="3"/>
      <c r="FZY101" s="3"/>
      <c r="FZZ101" s="3"/>
      <c r="GAA101" s="3"/>
      <c r="GAB101" s="3"/>
      <c r="GAC101" s="3"/>
      <c r="GAD101" s="3"/>
      <c r="GAE101" s="3"/>
      <c r="GAF101" s="3"/>
      <c r="GAG101" s="3"/>
      <c r="GAH101" s="3"/>
      <c r="GAI101" s="3"/>
      <c r="GAJ101" s="3"/>
      <c r="GAK101" s="3"/>
      <c r="GAL101" s="3"/>
      <c r="GAM101" s="3"/>
      <c r="GAN101" s="3"/>
      <c r="GAO101" s="3"/>
      <c r="GAP101" s="3"/>
      <c r="GAQ101" s="3"/>
      <c r="GAR101" s="3"/>
      <c r="GAS101" s="3"/>
      <c r="GAT101" s="3"/>
      <c r="GAU101" s="3"/>
      <c r="GAV101" s="3"/>
      <c r="GAW101" s="3"/>
      <c r="GAX101" s="3"/>
      <c r="GAY101" s="3"/>
      <c r="GAZ101" s="3"/>
      <c r="GBA101" s="3"/>
      <c r="GBB101" s="3"/>
      <c r="GBC101" s="3"/>
      <c r="GBD101" s="3"/>
      <c r="GBE101" s="3"/>
      <c r="GBF101" s="3"/>
      <c r="GBG101" s="3"/>
      <c r="GBH101" s="3"/>
      <c r="GBI101" s="3"/>
      <c r="GBJ101" s="3"/>
      <c r="GBK101" s="3"/>
      <c r="GBL101" s="3"/>
      <c r="GBM101" s="3"/>
      <c r="GBN101" s="3"/>
      <c r="GBO101" s="3"/>
      <c r="GBP101" s="3"/>
      <c r="GBQ101" s="3"/>
      <c r="GBR101" s="3"/>
      <c r="GBS101" s="3"/>
      <c r="GBT101" s="3"/>
      <c r="GBU101" s="3"/>
      <c r="GBV101" s="3"/>
      <c r="GBW101" s="3"/>
      <c r="GBX101" s="3"/>
      <c r="GBY101" s="3"/>
      <c r="GBZ101" s="3"/>
      <c r="GCA101" s="3"/>
      <c r="GCB101" s="3"/>
      <c r="GCC101" s="3"/>
      <c r="GCD101" s="3"/>
      <c r="GCE101" s="3"/>
      <c r="GCF101" s="3"/>
      <c r="GCG101" s="3"/>
      <c r="GCH101" s="3"/>
      <c r="GCI101" s="3"/>
      <c r="GCJ101" s="3"/>
      <c r="GCK101" s="3"/>
      <c r="GCL101" s="3"/>
      <c r="GCM101" s="3"/>
      <c r="GCN101" s="3"/>
      <c r="GCO101" s="3"/>
      <c r="GCP101" s="3"/>
      <c r="GCQ101" s="3"/>
      <c r="GCR101" s="3"/>
      <c r="GCS101" s="3"/>
      <c r="GCT101" s="3"/>
      <c r="GCU101" s="3"/>
      <c r="GCV101" s="3"/>
      <c r="GCW101" s="3"/>
      <c r="GCX101" s="3"/>
      <c r="GCY101" s="3"/>
      <c r="GCZ101" s="3"/>
      <c r="GDA101" s="3"/>
      <c r="GDB101" s="3"/>
      <c r="GDC101" s="3"/>
      <c r="GDD101" s="3"/>
      <c r="GDE101" s="3"/>
      <c r="GDF101" s="3"/>
      <c r="GDG101" s="3"/>
      <c r="GDH101" s="3"/>
      <c r="GDI101" s="3"/>
      <c r="GDJ101" s="3"/>
      <c r="GDK101" s="3"/>
      <c r="GDL101" s="3"/>
      <c r="GDM101" s="3"/>
      <c r="GDN101" s="3"/>
      <c r="GDO101" s="3"/>
      <c r="GDP101" s="3"/>
      <c r="GDQ101" s="3"/>
      <c r="GDR101" s="3"/>
      <c r="GDS101" s="3"/>
      <c r="GDT101" s="3"/>
      <c r="GDU101" s="3"/>
      <c r="GDV101" s="3"/>
      <c r="GDW101" s="3"/>
      <c r="GDX101" s="3"/>
      <c r="GDY101" s="3"/>
      <c r="GDZ101" s="3"/>
      <c r="GEA101" s="3"/>
      <c r="GEB101" s="3"/>
      <c r="GEC101" s="3"/>
      <c r="GED101" s="3"/>
      <c r="GEE101" s="3"/>
      <c r="GEF101" s="3"/>
      <c r="GEG101" s="3"/>
      <c r="GEH101" s="3"/>
      <c r="GEI101" s="3"/>
      <c r="GEJ101" s="3"/>
      <c r="GEK101" s="3"/>
      <c r="GEL101" s="3"/>
      <c r="GEM101" s="3"/>
      <c r="GEN101" s="3"/>
      <c r="GEO101" s="3"/>
      <c r="GEP101" s="3"/>
      <c r="GEQ101" s="3"/>
      <c r="GER101" s="3"/>
      <c r="GES101" s="3"/>
      <c r="GET101" s="3"/>
      <c r="GEU101" s="3"/>
      <c r="GEV101" s="3"/>
      <c r="GEW101" s="3"/>
      <c r="GEX101" s="3"/>
      <c r="GEY101" s="3"/>
      <c r="GEZ101" s="3"/>
      <c r="GFA101" s="3"/>
      <c r="GFB101" s="3"/>
      <c r="GFC101" s="3"/>
      <c r="GFD101" s="3"/>
      <c r="GFE101" s="3"/>
      <c r="GFF101" s="3"/>
      <c r="GFG101" s="3"/>
      <c r="GFH101" s="3"/>
      <c r="GFI101" s="3"/>
      <c r="GFJ101" s="3"/>
      <c r="GFK101" s="3"/>
      <c r="GFL101" s="3"/>
      <c r="GFM101" s="3"/>
      <c r="GFN101" s="3"/>
      <c r="GFO101" s="3"/>
      <c r="GFP101" s="3"/>
      <c r="GFQ101" s="3"/>
      <c r="GFR101" s="3"/>
      <c r="GFS101" s="3"/>
      <c r="GFT101" s="3"/>
      <c r="GFU101" s="3"/>
      <c r="GFV101" s="3"/>
      <c r="GFW101" s="3"/>
      <c r="GFX101" s="3"/>
      <c r="GFY101" s="3"/>
      <c r="GFZ101" s="3"/>
      <c r="GGA101" s="3"/>
      <c r="GGB101" s="3"/>
      <c r="GGC101" s="3"/>
      <c r="GGD101" s="3"/>
      <c r="GGE101" s="3"/>
      <c r="GGF101" s="3"/>
      <c r="GGG101" s="3"/>
      <c r="GGH101" s="3"/>
      <c r="GGI101" s="3"/>
      <c r="GGJ101" s="3"/>
      <c r="GGK101" s="3"/>
      <c r="GGL101" s="3"/>
      <c r="GGM101" s="3"/>
      <c r="GGN101" s="3"/>
      <c r="GGO101" s="3"/>
      <c r="GGP101" s="3"/>
      <c r="GGQ101" s="3"/>
      <c r="GGR101" s="3"/>
      <c r="GGS101" s="3"/>
      <c r="GGT101" s="3"/>
      <c r="GGU101" s="3"/>
      <c r="GGV101" s="3"/>
      <c r="GGW101" s="3"/>
      <c r="GGX101" s="3"/>
      <c r="GGY101" s="3"/>
      <c r="GGZ101" s="3"/>
      <c r="GHA101" s="3"/>
      <c r="GHB101" s="3"/>
      <c r="GHC101" s="3"/>
      <c r="GHD101" s="3"/>
      <c r="GHE101" s="3"/>
      <c r="GHF101" s="3"/>
      <c r="GHG101" s="3"/>
      <c r="GHH101" s="3"/>
      <c r="GHI101" s="3"/>
      <c r="GHJ101" s="3"/>
      <c r="GHK101" s="3"/>
      <c r="GHL101" s="3"/>
      <c r="GHM101" s="3"/>
      <c r="GHN101" s="3"/>
      <c r="GHO101" s="3"/>
      <c r="GHP101" s="3"/>
      <c r="GHQ101" s="3"/>
      <c r="GHR101" s="3"/>
      <c r="GHS101" s="3"/>
      <c r="GHT101" s="3"/>
      <c r="GHU101" s="3"/>
      <c r="GHV101" s="3"/>
      <c r="GHW101" s="3"/>
      <c r="GHX101" s="3"/>
      <c r="GHY101" s="3"/>
      <c r="GHZ101" s="3"/>
      <c r="GIA101" s="3"/>
      <c r="GIB101" s="3"/>
      <c r="GIC101" s="3"/>
      <c r="GID101" s="3"/>
      <c r="GIE101" s="3"/>
      <c r="GIF101" s="3"/>
      <c r="GIG101" s="3"/>
      <c r="GIH101" s="3"/>
      <c r="GII101" s="3"/>
      <c r="GIJ101" s="3"/>
      <c r="GIK101" s="3"/>
      <c r="GIL101" s="3"/>
      <c r="GIM101" s="3"/>
      <c r="GIN101" s="3"/>
      <c r="GIO101" s="3"/>
      <c r="GIP101" s="3"/>
      <c r="GIQ101" s="3"/>
      <c r="GIR101" s="3"/>
      <c r="GIS101" s="3"/>
      <c r="GIT101" s="3"/>
      <c r="GIU101" s="3"/>
      <c r="GIV101" s="3"/>
      <c r="GIW101" s="3"/>
      <c r="GIX101" s="3"/>
      <c r="GIY101" s="3"/>
      <c r="GIZ101" s="3"/>
      <c r="GJA101" s="3"/>
      <c r="GJB101" s="3"/>
      <c r="GJC101" s="3"/>
      <c r="GJD101" s="3"/>
      <c r="GJE101" s="3"/>
      <c r="GJF101" s="3"/>
      <c r="GJG101" s="3"/>
      <c r="GJH101" s="3"/>
      <c r="GJI101" s="3"/>
      <c r="GJJ101" s="3"/>
      <c r="GJK101" s="3"/>
      <c r="GJL101" s="3"/>
      <c r="GJM101" s="3"/>
      <c r="GJN101" s="3"/>
      <c r="GJO101" s="3"/>
      <c r="GJP101" s="3"/>
      <c r="GJQ101" s="3"/>
      <c r="GJR101" s="3"/>
      <c r="GJS101" s="3"/>
      <c r="GJT101" s="3"/>
      <c r="GJU101" s="3"/>
      <c r="GJV101" s="3"/>
      <c r="GJW101" s="3"/>
      <c r="GJX101" s="3"/>
      <c r="GJY101" s="3"/>
      <c r="GJZ101" s="3"/>
      <c r="GKA101" s="3"/>
      <c r="GKB101" s="3"/>
      <c r="GKC101" s="3"/>
      <c r="GKD101" s="3"/>
      <c r="GKE101" s="3"/>
      <c r="GKF101" s="3"/>
      <c r="GKG101" s="3"/>
      <c r="GKH101" s="3"/>
      <c r="GKI101" s="3"/>
      <c r="GKJ101" s="3"/>
      <c r="GKK101" s="3"/>
      <c r="GKL101" s="3"/>
      <c r="GKM101" s="3"/>
      <c r="GKN101" s="3"/>
      <c r="GKO101" s="3"/>
      <c r="GKP101" s="3"/>
      <c r="GKQ101" s="3"/>
      <c r="GKR101" s="3"/>
      <c r="GKS101" s="3"/>
      <c r="GKT101" s="3"/>
      <c r="GKU101" s="3"/>
      <c r="GKV101" s="3"/>
      <c r="GKW101" s="3"/>
      <c r="GKX101" s="3"/>
      <c r="GKY101" s="3"/>
      <c r="GKZ101" s="3"/>
      <c r="GLA101" s="3"/>
      <c r="GLB101" s="3"/>
      <c r="GLC101" s="3"/>
      <c r="GLD101" s="3"/>
      <c r="GLE101" s="3"/>
      <c r="GLF101" s="3"/>
      <c r="GLG101" s="3"/>
      <c r="GLH101" s="3"/>
      <c r="GLI101" s="3"/>
      <c r="GLJ101" s="3"/>
      <c r="GLK101" s="3"/>
      <c r="GLL101" s="3"/>
      <c r="GLM101" s="3"/>
      <c r="GLN101" s="3"/>
      <c r="GLO101" s="3"/>
      <c r="GLP101" s="3"/>
      <c r="GLQ101" s="3"/>
      <c r="GLR101" s="3"/>
      <c r="GLS101" s="3"/>
      <c r="GLT101" s="3"/>
      <c r="GLU101" s="3"/>
      <c r="GLV101" s="3"/>
      <c r="GLW101" s="3"/>
      <c r="GLX101" s="3"/>
      <c r="GLY101" s="3"/>
      <c r="GLZ101" s="3"/>
      <c r="GMA101" s="3"/>
      <c r="GMB101" s="3"/>
      <c r="GMC101" s="3"/>
      <c r="GMD101" s="3"/>
      <c r="GME101" s="3"/>
      <c r="GMF101" s="3"/>
      <c r="GMG101" s="3"/>
      <c r="GMH101" s="3"/>
      <c r="GMI101" s="3"/>
      <c r="GMJ101" s="3"/>
      <c r="GMK101" s="3"/>
      <c r="GML101" s="3"/>
      <c r="GMM101" s="3"/>
      <c r="GMN101" s="3"/>
      <c r="GMO101" s="3"/>
      <c r="GMP101" s="3"/>
      <c r="GMQ101" s="3"/>
      <c r="GMR101" s="3"/>
      <c r="GMS101" s="3"/>
      <c r="GMT101" s="3"/>
      <c r="GMU101" s="3"/>
      <c r="GMV101" s="3"/>
      <c r="GMW101" s="3"/>
      <c r="GMX101" s="3"/>
      <c r="GMY101" s="3"/>
      <c r="GMZ101" s="3"/>
      <c r="GNA101" s="3"/>
      <c r="GNB101" s="3"/>
      <c r="GNC101" s="3"/>
      <c r="GND101" s="3"/>
      <c r="GNE101" s="3"/>
      <c r="GNF101" s="3"/>
      <c r="GNG101" s="3"/>
      <c r="GNH101" s="3"/>
      <c r="GNI101" s="3"/>
      <c r="GNJ101" s="3"/>
      <c r="GNK101" s="3"/>
      <c r="GNL101" s="3"/>
      <c r="GNM101" s="3"/>
      <c r="GNN101" s="3"/>
      <c r="GNO101" s="3"/>
      <c r="GNP101" s="3"/>
      <c r="GNQ101" s="3"/>
      <c r="GNR101" s="3"/>
      <c r="GNS101" s="3"/>
      <c r="GNT101" s="3"/>
      <c r="GNU101" s="3"/>
      <c r="GNV101" s="3"/>
      <c r="GNW101" s="3"/>
      <c r="GNX101" s="3"/>
      <c r="GNY101" s="3"/>
      <c r="GNZ101" s="3"/>
      <c r="GOA101" s="3"/>
      <c r="GOB101" s="3"/>
      <c r="GOC101" s="3"/>
      <c r="GOD101" s="3"/>
      <c r="GOE101" s="3"/>
      <c r="GOF101" s="3"/>
      <c r="GOG101" s="3"/>
      <c r="GOH101" s="3"/>
      <c r="GOI101" s="3"/>
      <c r="GOJ101" s="3"/>
      <c r="GOK101" s="3"/>
      <c r="GOL101" s="3"/>
      <c r="GOM101" s="3"/>
      <c r="GON101" s="3"/>
      <c r="GOO101" s="3"/>
      <c r="GOP101" s="3"/>
      <c r="GOQ101" s="3"/>
      <c r="GOR101" s="3"/>
      <c r="GOS101" s="3"/>
      <c r="GOT101" s="3"/>
      <c r="GOU101" s="3"/>
      <c r="GOV101" s="3"/>
      <c r="GOW101" s="3"/>
      <c r="GOX101" s="3"/>
      <c r="GOY101" s="3"/>
      <c r="GOZ101" s="3"/>
      <c r="GPA101" s="3"/>
      <c r="GPB101" s="3"/>
      <c r="GPC101" s="3"/>
      <c r="GPD101" s="3"/>
      <c r="GPE101" s="3"/>
      <c r="GPF101" s="3"/>
      <c r="GPG101" s="3"/>
      <c r="GPH101" s="3"/>
      <c r="GPI101" s="3"/>
      <c r="GPJ101" s="3"/>
      <c r="GPK101" s="3"/>
      <c r="GPL101" s="3"/>
      <c r="GPM101" s="3"/>
      <c r="GPN101" s="3"/>
      <c r="GPO101" s="3"/>
      <c r="GPP101" s="3"/>
      <c r="GPQ101" s="3"/>
      <c r="GPR101" s="3"/>
      <c r="GPS101" s="3"/>
      <c r="GPT101" s="3"/>
      <c r="GPU101" s="3"/>
      <c r="GPV101" s="3"/>
      <c r="GPW101" s="3"/>
      <c r="GPX101" s="3"/>
      <c r="GPY101" s="3"/>
      <c r="GPZ101" s="3"/>
      <c r="GQA101" s="3"/>
      <c r="GQB101" s="3"/>
      <c r="GQC101" s="3"/>
      <c r="GQD101" s="3"/>
      <c r="GQE101" s="3"/>
      <c r="GQF101" s="3"/>
      <c r="GQG101" s="3"/>
      <c r="GQH101" s="3"/>
      <c r="GQI101" s="3"/>
      <c r="GQJ101" s="3"/>
      <c r="GQK101" s="3"/>
      <c r="GQL101" s="3"/>
      <c r="GQM101" s="3"/>
      <c r="GQN101" s="3"/>
      <c r="GQO101" s="3"/>
      <c r="GQP101" s="3"/>
      <c r="GQQ101" s="3"/>
      <c r="GQR101" s="3"/>
      <c r="GQS101" s="3"/>
      <c r="GQT101" s="3"/>
      <c r="GQU101" s="3"/>
      <c r="GQV101" s="3"/>
      <c r="GQW101" s="3"/>
      <c r="GQX101" s="3"/>
      <c r="GQY101" s="3"/>
      <c r="GQZ101" s="3"/>
      <c r="GRA101" s="3"/>
      <c r="GRB101" s="3"/>
      <c r="GRC101" s="3"/>
      <c r="GRD101" s="3"/>
      <c r="GRE101" s="3"/>
      <c r="GRF101" s="3"/>
      <c r="GRG101" s="3"/>
      <c r="GRH101" s="3"/>
      <c r="GRI101" s="3"/>
      <c r="GRJ101" s="3"/>
      <c r="GRK101" s="3"/>
      <c r="GRL101" s="3"/>
      <c r="GRM101" s="3"/>
      <c r="GRN101" s="3"/>
      <c r="GRO101" s="3"/>
      <c r="GRP101" s="3"/>
      <c r="GRQ101" s="3"/>
      <c r="GRR101" s="3"/>
      <c r="GRS101" s="3"/>
      <c r="GRT101" s="3"/>
      <c r="GRU101" s="3"/>
      <c r="GRV101" s="3"/>
      <c r="GRW101" s="3"/>
      <c r="GRX101" s="3"/>
      <c r="GRY101" s="3"/>
      <c r="GRZ101" s="3"/>
      <c r="GSA101" s="3"/>
      <c r="GSB101" s="3"/>
      <c r="GSC101" s="3"/>
      <c r="GSD101" s="3"/>
      <c r="GSE101" s="3"/>
      <c r="GSF101" s="3"/>
      <c r="GSG101" s="3"/>
      <c r="GSH101" s="3"/>
      <c r="GSI101" s="3"/>
      <c r="GSJ101" s="3"/>
      <c r="GSK101" s="3"/>
      <c r="GSL101" s="3"/>
      <c r="GSM101" s="3"/>
      <c r="GSN101" s="3"/>
      <c r="GSO101" s="3"/>
      <c r="GSP101" s="3"/>
      <c r="GSQ101" s="3"/>
      <c r="GSR101" s="3"/>
      <c r="GSS101" s="3"/>
      <c r="GST101" s="3"/>
      <c r="GSU101" s="3"/>
      <c r="GSV101" s="3"/>
      <c r="GSW101" s="3"/>
      <c r="GSX101" s="3"/>
      <c r="GSY101" s="3"/>
      <c r="GSZ101" s="3"/>
      <c r="GTA101" s="3"/>
      <c r="GTB101" s="3"/>
      <c r="GTC101" s="3"/>
      <c r="GTD101" s="3"/>
      <c r="GTE101" s="3"/>
      <c r="GTF101" s="3"/>
      <c r="GTG101" s="3"/>
      <c r="GTH101" s="3"/>
      <c r="GTI101" s="3"/>
      <c r="GTJ101" s="3"/>
      <c r="GTK101" s="3"/>
      <c r="GTL101" s="3"/>
      <c r="GTM101" s="3"/>
      <c r="GTN101" s="3"/>
      <c r="GTO101" s="3"/>
      <c r="GTP101" s="3"/>
      <c r="GTQ101" s="3"/>
      <c r="GTR101" s="3"/>
      <c r="GTS101" s="3"/>
      <c r="GTT101" s="3"/>
      <c r="GTU101" s="3"/>
      <c r="GTV101" s="3"/>
      <c r="GTW101" s="3"/>
      <c r="GTX101" s="3"/>
      <c r="GTY101" s="3"/>
      <c r="GTZ101" s="3"/>
      <c r="GUA101" s="3"/>
      <c r="GUB101" s="3"/>
      <c r="GUC101" s="3"/>
      <c r="GUD101" s="3"/>
      <c r="GUE101" s="3"/>
      <c r="GUF101" s="3"/>
      <c r="GUG101" s="3"/>
      <c r="GUH101" s="3"/>
      <c r="GUI101" s="3"/>
      <c r="GUJ101" s="3"/>
      <c r="GUK101" s="3"/>
      <c r="GUL101" s="3"/>
      <c r="GUM101" s="3"/>
      <c r="GUN101" s="3"/>
      <c r="GUO101" s="3"/>
      <c r="GUP101" s="3"/>
      <c r="GUQ101" s="3"/>
      <c r="GUR101" s="3"/>
      <c r="GUS101" s="3"/>
      <c r="GUT101" s="3"/>
      <c r="GUU101" s="3"/>
      <c r="GUV101" s="3"/>
      <c r="GUW101" s="3"/>
      <c r="GUX101" s="3"/>
      <c r="GUY101" s="3"/>
      <c r="GUZ101" s="3"/>
      <c r="GVA101" s="3"/>
      <c r="GVB101" s="3"/>
      <c r="GVC101" s="3"/>
      <c r="GVD101" s="3"/>
      <c r="GVE101" s="3"/>
      <c r="GVF101" s="3"/>
      <c r="GVG101" s="3"/>
      <c r="GVH101" s="3"/>
      <c r="GVI101" s="3"/>
      <c r="GVJ101" s="3"/>
      <c r="GVK101" s="3"/>
      <c r="GVL101" s="3"/>
      <c r="GVM101" s="3"/>
      <c r="GVN101" s="3"/>
      <c r="GVO101" s="3"/>
      <c r="GVP101" s="3"/>
      <c r="GVQ101" s="3"/>
      <c r="GVR101" s="3"/>
      <c r="GVS101" s="3"/>
      <c r="GVT101" s="3"/>
      <c r="GVU101" s="3"/>
      <c r="GVV101" s="3"/>
      <c r="GVW101" s="3"/>
      <c r="GVX101" s="3"/>
      <c r="GVY101" s="3"/>
      <c r="GVZ101" s="3"/>
      <c r="GWA101" s="3"/>
      <c r="GWB101" s="3"/>
      <c r="GWC101" s="3"/>
      <c r="GWD101" s="3"/>
      <c r="GWE101" s="3"/>
      <c r="GWF101" s="3"/>
      <c r="GWG101" s="3"/>
      <c r="GWH101" s="3"/>
      <c r="GWI101" s="3"/>
      <c r="GWJ101" s="3"/>
      <c r="GWK101" s="3"/>
      <c r="GWL101" s="3"/>
      <c r="GWM101" s="3"/>
      <c r="GWN101" s="3"/>
      <c r="GWO101" s="3"/>
      <c r="GWP101" s="3"/>
      <c r="GWQ101" s="3"/>
      <c r="GWR101" s="3"/>
      <c r="GWS101" s="3"/>
      <c r="GWT101" s="3"/>
      <c r="GWU101" s="3"/>
      <c r="GWV101" s="3"/>
      <c r="GWW101" s="3"/>
      <c r="GWX101" s="3"/>
      <c r="GWY101" s="3"/>
      <c r="GWZ101" s="3"/>
      <c r="GXA101" s="3"/>
      <c r="GXB101" s="3"/>
      <c r="GXC101" s="3"/>
      <c r="GXD101" s="3"/>
      <c r="GXE101" s="3"/>
      <c r="GXF101" s="3"/>
      <c r="GXG101" s="3"/>
      <c r="GXH101" s="3"/>
      <c r="GXI101" s="3"/>
      <c r="GXJ101" s="3"/>
      <c r="GXK101" s="3"/>
      <c r="GXL101" s="3"/>
      <c r="GXM101" s="3"/>
      <c r="GXN101" s="3"/>
      <c r="GXO101" s="3"/>
      <c r="GXP101" s="3"/>
      <c r="GXQ101" s="3"/>
      <c r="GXR101" s="3"/>
      <c r="GXS101" s="3"/>
      <c r="GXT101" s="3"/>
      <c r="GXU101" s="3"/>
      <c r="GXV101" s="3"/>
      <c r="GXW101" s="3"/>
      <c r="GXX101" s="3"/>
      <c r="GXY101" s="3"/>
      <c r="GXZ101" s="3"/>
      <c r="GYA101" s="3"/>
      <c r="GYB101" s="3"/>
      <c r="GYC101" s="3"/>
      <c r="GYD101" s="3"/>
      <c r="GYE101" s="3"/>
      <c r="GYF101" s="3"/>
      <c r="GYG101" s="3"/>
      <c r="GYH101" s="3"/>
      <c r="GYI101" s="3"/>
      <c r="GYJ101" s="3"/>
      <c r="GYK101" s="3"/>
      <c r="GYL101" s="3"/>
      <c r="GYM101" s="3"/>
      <c r="GYN101" s="3"/>
      <c r="GYO101" s="3"/>
      <c r="GYP101" s="3"/>
      <c r="GYQ101" s="3"/>
      <c r="GYR101" s="3"/>
      <c r="GYS101" s="3"/>
      <c r="GYT101" s="3"/>
      <c r="GYU101" s="3"/>
      <c r="GYV101" s="3"/>
      <c r="GYW101" s="3"/>
      <c r="GYX101" s="3"/>
      <c r="GYY101" s="3"/>
      <c r="GYZ101" s="3"/>
      <c r="GZA101" s="3"/>
      <c r="GZB101" s="3"/>
      <c r="GZC101" s="3"/>
      <c r="GZD101" s="3"/>
      <c r="GZE101" s="3"/>
      <c r="GZF101" s="3"/>
      <c r="GZG101" s="3"/>
      <c r="GZH101" s="3"/>
      <c r="GZI101" s="3"/>
      <c r="GZJ101" s="3"/>
      <c r="GZK101" s="3"/>
      <c r="GZL101" s="3"/>
      <c r="GZM101" s="3"/>
      <c r="GZN101" s="3"/>
      <c r="GZO101" s="3"/>
      <c r="GZP101" s="3"/>
      <c r="GZQ101" s="3"/>
      <c r="GZR101" s="3"/>
      <c r="GZS101" s="3"/>
      <c r="GZT101" s="3"/>
      <c r="GZU101" s="3"/>
      <c r="GZV101" s="3"/>
      <c r="GZW101" s="3"/>
      <c r="GZX101" s="3"/>
      <c r="GZY101" s="3"/>
      <c r="GZZ101" s="3"/>
      <c r="HAA101" s="3"/>
      <c r="HAB101" s="3"/>
      <c r="HAC101" s="3"/>
      <c r="HAD101" s="3"/>
      <c r="HAE101" s="3"/>
      <c r="HAF101" s="3"/>
      <c r="HAG101" s="3"/>
      <c r="HAH101" s="3"/>
      <c r="HAI101" s="3"/>
      <c r="HAJ101" s="3"/>
      <c r="HAK101" s="3"/>
      <c r="HAL101" s="3"/>
      <c r="HAM101" s="3"/>
      <c r="HAN101" s="3"/>
      <c r="HAO101" s="3"/>
      <c r="HAP101" s="3"/>
      <c r="HAQ101" s="3"/>
      <c r="HAR101" s="3"/>
      <c r="HAS101" s="3"/>
      <c r="HAT101" s="3"/>
      <c r="HAU101" s="3"/>
      <c r="HAV101" s="3"/>
      <c r="HAW101" s="3"/>
      <c r="HAX101" s="3"/>
      <c r="HAY101" s="3"/>
      <c r="HAZ101" s="3"/>
      <c r="HBA101" s="3"/>
      <c r="HBB101" s="3"/>
      <c r="HBC101" s="3"/>
      <c r="HBD101" s="3"/>
      <c r="HBE101" s="3"/>
      <c r="HBF101" s="3"/>
      <c r="HBG101" s="3"/>
      <c r="HBH101" s="3"/>
      <c r="HBI101" s="3"/>
      <c r="HBJ101" s="3"/>
      <c r="HBK101" s="3"/>
      <c r="HBL101" s="3"/>
      <c r="HBM101" s="3"/>
      <c r="HBN101" s="3"/>
      <c r="HBO101" s="3"/>
      <c r="HBP101" s="3"/>
      <c r="HBQ101" s="3"/>
      <c r="HBR101" s="3"/>
      <c r="HBS101" s="3"/>
      <c r="HBT101" s="3"/>
      <c r="HBU101" s="3"/>
      <c r="HBV101" s="3"/>
      <c r="HBW101" s="3"/>
      <c r="HBX101" s="3"/>
      <c r="HBY101" s="3"/>
      <c r="HBZ101" s="3"/>
      <c r="HCA101" s="3"/>
      <c r="HCB101" s="3"/>
      <c r="HCC101" s="3"/>
      <c r="HCD101" s="3"/>
      <c r="HCE101" s="3"/>
      <c r="HCF101" s="3"/>
      <c r="HCG101" s="3"/>
      <c r="HCH101" s="3"/>
      <c r="HCI101" s="3"/>
      <c r="HCJ101" s="3"/>
      <c r="HCK101" s="3"/>
      <c r="HCL101" s="3"/>
      <c r="HCM101" s="3"/>
      <c r="HCN101" s="3"/>
      <c r="HCO101" s="3"/>
      <c r="HCP101" s="3"/>
      <c r="HCQ101" s="3"/>
      <c r="HCR101" s="3"/>
      <c r="HCS101" s="3"/>
      <c r="HCT101" s="3"/>
      <c r="HCU101" s="3"/>
      <c r="HCV101" s="3"/>
      <c r="HCW101" s="3"/>
      <c r="HCX101" s="3"/>
      <c r="HCY101" s="3"/>
      <c r="HCZ101" s="3"/>
      <c r="HDA101" s="3"/>
      <c r="HDB101" s="3"/>
      <c r="HDC101" s="3"/>
      <c r="HDD101" s="3"/>
      <c r="HDE101" s="3"/>
      <c r="HDF101" s="3"/>
      <c r="HDG101" s="3"/>
      <c r="HDH101" s="3"/>
      <c r="HDI101" s="3"/>
      <c r="HDJ101" s="3"/>
      <c r="HDK101" s="3"/>
      <c r="HDL101" s="3"/>
      <c r="HDM101" s="3"/>
      <c r="HDN101" s="3"/>
      <c r="HDO101" s="3"/>
      <c r="HDP101" s="3"/>
      <c r="HDQ101" s="3"/>
      <c r="HDR101" s="3"/>
      <c r="HDS101" s="3"/>
      <c r="HDT101" s="3"/>
      <c r="HDU101" s="3"/>
      <c r="HDV101" s="3"/>
      <c r="HDW101" s="3"/>
      <c r="HDX101" s="3"/>
      <c r="HDY101" s="3"/>
      <c r="HDZ101" s="3"/>
      <c r="HEA101" s="3"/>
      <c r="HEB101" s="3"/>
      <c r="HEC101" s="3"/>
      <c r="HED101" s="3"/>
      <c r="HEE101" s="3"/>
      <c r="HEF101" s="3"/>
      <c r="HEG101" s="3"/>
      <c r="HEH101" s="3"/>
      <c r="HEI101" s="3"/>
      <c r="HEJ101" s="3"/>
      <c r="HEK101" s="3"/>
      <c r="HEL101" s="3"/>
      <c r="HEM101" s="3"/>
      <c r="HEN101" s="3"/>
      <c r="HEO101" s="3"/>
      <c r="HEP101" s="3"/>
      <c r="HEQ101" s="3"/>
      <c r="HER101" s="3"/>
      <c r="HES101" s="3"/>
      <c r="HET101" s="3"/>
      <c r="HEU101" s="3"/>
      <c r="HEV101" s="3"/>
      <c r="HEW101" s="3"/>
      <c r="HEX101" s="3"/>
      <c r="HEY101" s="3"/>
      <c r="HEZ101" s="3"/>
      <c r="HFA101" s="3"/>
      <c r="HFB101" s="3"/>
      <c r="HFC101" s="3"/>
      <c r="HFD101" s="3"/>
      <c r="HFE101" s="3"/>
      <c r="HFF101" s="3"/>
      <c r="HFG101" s="3"/>
      <c r="HFH101" s="3"/>
      <c r="HFI101" s="3"/>
      <c r="HFJ101" s="3"/>
      <c r="HFK101" s="3"/>
      <c r="HFL101" s="3"/>
      <c r="HFM101" s="3"/>
      <c r="HFN101" s="3"/>
      <c r="HFO101" s="3"/>
      <c r="HFP101" s="3"/>
      <c r="HFQ101" s="3"/>
      <c r="HFR101" s="3"/>
      <c r="HFS101" s="3"/>
      <c r="HFT101" s="3"/>
      <c r="HFU101" s="3"/>
      <c r="HFV101" s="3"/>
      <c r="HFW101" s="3"/>
      <c r="HFX101" s="3"/>
      <c r="HFY101" s="3"/>
      <c r="HFZ101" s="3"/>
      <c r="HGA101" s="3"/>
      <c r="HGB101" s="3"/>
      <c r="HGC101" s="3"/>
      <c r="HGD101" s="3"/>
      <c r="HGE101" s="3"/>
      <c r="HGF101" s="3"/>
      <c r="HGG101" s="3"/>
      <c r="HGH101" s="3"/>
      <c r="HGI101" s="3"/>
      <c r="HGJ101" s="3"/>
      <c r="HGK101" s="3"/>
      <c r="HGL101" s="3"/>
      <c r="HGM101" s="3"/>
      <c r="HGN101" s="3"/>
      <c r="HGO101" s="3"/>
      <c r="HGP101" s="3"/>
      <c r="HGQ101" s="3"/>
      <c r="HGR101" s="3"/>
      <c r="HGS101" s="3"/>
      <c r="HGT101" s="3"/>
      <c r="HGU101" s="3"/>
      <c r="HGV101" s="3"/>
      <c r="HGW101" s="3"/>
      <c r="HGX101" s="3"/>
      <c r="HGY101" s="3"/>
      <c r="HGZ101" s="3"/>
      <c r="HHA101" s="3"/>
      <c r="HHB101" s="3"/>
      <c r="HHC101" s="3"/>
      <c r="HHD101" s="3"/>
      <c r="HHE101" s="3"/>
      <c r="HHF101" s="3"/>
      <c r="HHG101" s="3"/>
      <c r="HHH101" s="3"/>
      <c r="HHI101" s="3"/>
      <c r="HHJ101" s="3"/>
      <c r="HHK101" s="3"/>
      <c r="HHL101" s="3"/>
      <c r="HHM101" s="3"/>
      <c r="HHN101" s="3"/>
      <c r="HHO101" s="3"/>
      <c r="HHP101" s="3"/>
      <c r="HHQ101" s="3"/>
      <c r="HHR101" s="3"/>
      <c r="HHS101" s="3"/>
      <c r="HHT101" s="3"/>
      <c r="HHU101" s="3"/>
      <c r="HHV101" s="3"/>
      <c r="HHW101" s="3"/>
      <c r="HHX101" s="3"/>
      <c r="HHY101" s="3"/>
      <c r="HHZ101" s="3"/>
      <c r="HIA101" s="3"/>
      <c r="HIB101" s="3"/>
      <c r="HIC101" s="3"/>
      <c r="HID101" s="3"/>
      <c r="HIE101" s="3"/>
      <c r="HIF101" s="3"/>
      <c r="HIG101" s="3"/>
      <c r="HIH101" s="3"/>
      <c r="HII101" s="3"/>
      <c r="HIJ101" s="3"/>
      <c r="HIK101" s="3"/>
      <c r="HIL101" s="3"/>
      <c r="HIM101" s="3"/>
      <c r="HIN101" s="3"/>
      <c r="HIO101" s="3"/>
      <c r="HIP101" s="3"/>
      <c r="HIQ101" s="3"/>
      <c r="HIR101" s="3"/>
      <c r="HIS101" s="3"/>
      <c r="HIT101" s="3"/>
      <c r="HIU101" s="3"/>
      <c r="HIV101" s="3"/>
      <c r="HIW101" s="3"/>
      <c r="HIX101" s="3"/>
      <c r="HIY101" s="3"/>
      <c r="HIZ101" s="3"/>
      <c r="HJA101" s="3"/>
      <c r="HJB101" s="3"/>
      <c r="HJC101" s="3"/>
      <c r="HJD101" s="3"/>
      <c r="HJE101" s="3"/>
      <c r="HJF101" s="3"/>
      <c r="HJG101" s="3"/>
      <c r="HJH101" s="3"/>
      <c r="HJI101" s="3"/>
      <c r="HJJ101" s="3"/>
      <c r="HJK101" s="3"/>
      <c r="HJL101" s="3"/>
      <c r="HJM101" s="3"/>
      <c r="HJN101" s="3"/>
      <c r="HJO101" s="3"/>
      <c r="HJP101" s="3"/>
      <c r="HJQ101" s="3"/>
      <c r="HJR101" s="3"/>
      <c r="HJS101" s="3"/>
      <c r="HJT101" s="3"/>
      <c r="HJU101" s="3"/>
      <c r="HJV101" s="3"/>
      <c r="HJW101" s="3"/>
      <c r="HJX101" s="3"/>
      <c r="HJY101" s="3"/>
      <c r="HJZ101" s="3"/>
      <c r="HKA101" s="3"/>
      <c r="HKB101" s="3"/>
      <c r="HKC101" s="3"/>
      <c r="HKD101" s="3"/>
      <c r="HKE101" s="3"/>
      <c r="HKF101" s="3"/>
      <c r="HKG101" s="3"/>
      <c r="HKH101" s="3"/>
      <c r="HKI101" s="3"/>
      <c r="HKJ101" s="3"/>
      <c r="HKK101" s="3"/>
      <c r="HKL101" s="3"/>
      <c r="HKM101" s="3"/>
      <c r="HKN101" s="3"/>
      <c r="HKO101" s="3"/>
      <c r="HKP101" s="3"/>
      <c r="HKQ101" s="3"/>
      <c r="HKR101" s="3"/>
      <c r="HKS101" s="3"/>
      <c r="HKT101" s="3"/>
      <c r="HKU101" s="3"/>
      <c r="HKV101" s="3"/>
      <c r="HKW101" s="3"/>
      <c r="HKX101" s="3"/>
      <c r="HKY101" s="3"/>
      <c r="HKZ101" s="3"/>
      <c r="HLA101" s="3"/>
      <c r="HLB101" s="3"/>
      <c r="HLC101" s="3"/>
      <c r="HLD101" s="3"/>
      <c r="HLE101" s="3"/>
      <c r="HLF101" s="3"/>
      <c r="HLG101" s="3"/>
      <c r="HLH101" s="3"/>
      <c r="HLI101" s="3"/>
      <c r="HLJ101" s="3"/>
      <c r="HLK101" s="3"/>
      <c r="HLL101" s="3"/>
      <c r="HLM101" s="3"/>
      <c r="HLN101" s="3"/>
      <c r="HLO101" s="3"/>
      <c r="HLP101" s="3"/>
      <c r="HLQ101" s="3"/>
      <c r="HLR101" s="3"/>
      <c r="HLS101" s="3"/>
      <c r="HLT101" s="3"/>
      <c r="HLU101" s="3"/>
      <c r="HLV101" s="3"/>
      <c r="HLW101" s="3"/>
      <c r="HLX101" s="3"/>
      <c r="HLY101" s="3"/>
      <c r="HLZ101" s="3"/>
      <c r="HMA101" s="3"/>
      <c r="HMB101" s="3"/>
      <c r="HMC101" s="3"/>
      <c r="HMD101" s="3"/>
      <c r="HME101" s="3"/>
      <c r="HMF101" s="3"/>
      <c r="HMG101" s="3"/>
      <c r="HMH101" s="3"/>
      <c r="HMI101" s="3"/>
      <c r="HMJ101" s="3"/>
      <c r="HMK101" s="3"/>
      <c r="HML101" s="3"/>
      <c r="HMM101" s="3"/>
      <c r="HMN101" s="3"/>
      <c r="HMO101" s="3"/>
      <c r="HMP101" s="3"/>
      <c r="HMQ101" s="3"/>
      <c r="HMR101" s="3"/>
      <c r="HMS101" s="3"/>
      <c r="HMT101" s="3"/>
      <c r="HMU101" s="3"/>
      <c r="HMV101" s="3"/>
      <c r="HMW101" s="3"/>
      <c r="HMX101" s="3"/>
      <c r="HMY101" s="3"/>
      <c r="HMZ101" s="3"/>
      <c r="HNA101" s="3"/>
      <c r="HNB101" s="3"/>
      <c r="HNC101" s="3"/>
      <c r="HND101" s="3"/>
      <c r="HNE101" s="3"/>
      <c r="HNF101" s="3"/>
      <c r="HNG101" s="3"/>
      <c r="HNH101" s="3"/>
      <c r="HNI101" s="3"/>
      <c r="HNJ101" s="3"/>
      <c r="HNK101" s="3"/>
      <c r="HNL101" s="3"/>
      <c r="HNM101" s="3"/>
      <c r="HNN101" s="3"/>
      <c r="HNO101" s="3"/>
      <c r="HNP101" s="3"/>
      <c r="HNQ101" s="3"/>
      <c r="HNR101" s="3"/>
      <c r="HNS101" s="3"/>
      <c r="HNT101" s="3"/>
      <c r="HNU101" s="3"/>
      <c r="HNV101" s="3"/>
      <c r="HNW101" s="3"/>
      <c r="HNX101" s="3"/>
      <c r="HNY101" s="3"/>
      <c r="HNZ101" s="3"/>
      <c r="HOA101" s="3"/>
      <c r="HOB101" s="3"/>
      <c r="HOC101" s="3"/>
      <c r="HOD101" s="3"/>
      <c r="HOE101" s="3"/>
      <c r="HOF101" s="3"/>
      <c r="HOG101" s="3"/>
      <c r="HOH101" s="3"/>
      <c r="HOI101" s="3"/>
      <c r="HOJ101" s="3"/>
      <c r="HOK101" s="3"/>
      <c r="HOL101" s="3"/>
      <c r="HOM101" s="3"/>
      <c r="HON101" s="3"/>
      <c r="HOO101" s="3"/>
      <c r="HOP101" s="3"/>
      <c r="HOQ101" s="3"/>
      <c r="HOR101" s="3"/>
      <c r="HOS101" s="3"/>
      <c r="HOT101" s="3"/>
      <c r="HOU101" s="3"/>
      <c r="HOV101" s="3"/>
      <c r="HOW101" s="3"/>
      <c r="HOX101" s="3"/>
      <c r="HOY101" s="3"/>
      <c r="HOZ101" s="3"/>
      <c r="HPA101" s="3"/>
      <c r="HPB101" s="3"/>
      <c r="HPC101" s="3"/>
      <c r="HPD101" s="3"/>
      <c r="HPE101" s="3"/>
      <c r="HPF101" s="3"/>
      <c r="HPG101" s="3"/>
      <c r="HPH101" s="3"/>
      <c r="HPI101" s="3"/>
      <c r="HPJ101" s="3"/>
      <c r="HPK101" s="3"/>
      <c r="HPL101" s="3"/>
      <c r="HPM101" s="3"/>
      <c r="HPN101" s="3"/>
      <c r="HPO101" s="3"/>
      <c r="HPP101" s="3"/>
      <c r="HPQ101" s="3"/>
      <c r="HPR101" s="3"/>
      <c r="HPS101" s="3"/>
      <c r="HPT101" s="3"/>
      <c r="HPU101" s="3"/>
      <c r="HPV101" s="3"/>
      <c r="HPW101" s="3"/>
      <c r="HPX101" s="3"/>
      <c r="HPY101" s="3"/>
      <c r="HPZ101" s="3"/>
      <c r="HQA101" s="3"/>
      <c r="HQB101" s="3"/>
      <c r="HQC101" s="3"/>
      <c r="HQD101" s="3"/>
      <c r="HQE101" s="3"/>
      <c r="HQF101" s="3"/>
      <c r="HQG101" s="3"/>
      <c r="HQH101" s="3"/>
      <c r="HQI101" s="3"/>
      <c r="HQJ101" s="3"/>
      <c r="HQK101" s="3"/>
      <c r="HQL101" s="3"/>
      <c r="HQM101" s="3"/>
      <c r="HQN101" s="3"/>
      <c r="HQO101" s="3"/>
      <c r="HQP101" s="3"/>
      <c r="HQQ101" s="3"/>
      <c r="HQR101" s="3"/>
      <c r="HQS101" s="3"/>
      <c r="HQT101" s="3"/>
      <c r="HQU101" s="3"/>
      <c r="HQV101" s="3"/>
      <c r="HQW101" s="3"/>
      <c r="HQX101" s="3"/>
      <c r="HQY101" s="3"/>
      <c r="HQZ101" s="3"/>
      <c r="HRA101" s="3"/>
      <c r="HRB101" s="3"/>
      <c r="HRC101" s="3"/>
      <c r="HRD101" s="3"/>
      <c r="HRE101" s="3"/>
      <c r="HRF101" s="3"/>
      <c r="HRG101" s="3"/>
      <c r="HRH101" s="3"/>
      <c r="HRI101" s="3"/>
      <c r="HRJ101" s="3"/>
      <c r="HRK101" s="3"/>
      <c r="HRL101" s="3"/>
      <c r="HRM101" s="3"/>
      <c r="HRN101" s="3"/>
      <c r="HRO101" s="3"/>
      <c r="HRP101" s="3"/>
      <c r="HRQ101" s="3"/>
      <c r="HRR101" s="3"/>
      <c r="HRS101" s="3"/>
      <c r="HRT101" s="3"/>
      <c r="HRU101" s="3"/>
      <c r="HRV101" s="3"/>
      <c r="HRW101" s="3"/>
      <c r="HRX101" s="3"/>
      <c r="HRY101" s="3"/>
      <c r="HRZ101" s="3"/>
      <c r="HSA101" s="3"/>
      <c r="HSB101" s="3"/>
      <c r="HSC101" s="3"/>
      <c r="HSD101" s="3"/>
      <c r="HSE101" s="3"/>
      <c r="HSF101" s="3"/>
      <c r="HSG101" s="3"/>
      <c r="HSH101" s="3"/>
      <c r="HSI101" s="3"/>
      <c r="HSJ101" s="3"/>
      <c r="HSK101" s="3"/>
      <c r="HSL101" s="3"/>
      <c r="HSM101" s="3"/>
      <c r="HSN101" s="3"/>
      <c r="HSO101" s="3"/>
      <c r="HSP101" s="3"/>
      <c r="HSQ101" s="3"/>
      <c r="HSR101" s="3"/>
      <c r="HSS101" s="3"/>
      <c r="HST101" s="3"/>
      <c r="HSU101" s="3"/>
      <c r="HSV101" s="3"/>
      <c r="HSW101" s="3"/>
      <c r="HSX101" s="3"/>
      <c r="HSY101" s="3"/>
      <c r="HSZ101" s="3"/>
      <c r="HTA101" s="3"/>
      <c r="HTB101" s="3"/>
      <c r="HTC101" s="3"/>
      <c r="HTD101" s="3"/>
      <c r="HTE101" s="3"/>
      <c r="HTF101" s="3"/>
      <c r="HTG101" s="3"/>
      <c r="HTH101" s="3"/>
      <c r="HTI101" s="3"/>
      <c r="HTJ101" s="3"/>
      <c r="HTK101" s="3"/>
      <c r="HTL101" s="3"/>
      <c r="HTM101" s="3"/>
      <c r="HTN101" s="3"/>
      <c r="HTO101" s="3"/>
      <c r="HTP101" s="3"/>
      <c r="HTQ101" s="3"/>
      <c r="HTR101" s="3"/>
      <c r="HTS101" s="3"/>
      <c r="HTT101" s="3"/>
      <c r="HTU101" s="3"/>
      <c r="HTV101" s="3"/>
      <c r="HTW101" s="3"/>
      <c r="HTX101" s="3"/>
      <c r="HTY101" s="3"/>
      <c r="HTZ101" s="3"/>
      <c r="HUA101" s="3"/>
      <c r="HUB101" s="3"/>
      <c r="HUC101" s="3"/>
      <c r="HUD101" s="3"/>
      <c r="HUE101" s="3"/>
      <c r="HUF101" s="3"/>
      <c r="HUG101" s="3"/>
      <c r="HUH101" s="3"/>
      <c r="HUI101" s="3"/>
      <c r="HUJ101" s="3"/>
      <c r="HUK101" s="3"/>
      <c r="HUL101" s="3"/>
      <c r="HUM101" s="3"/>
      <c r="HUN101" s="3"/>
      <c r="HUO101" s="3"/>
      <c r="HUP101" s="3"/>
      <c r="HUQ101" s="3"/>
      <c r="HUR101" s="3"/>
      <c r="HUS101" s="3"/>
      <c r="HUT101" s="3"/>
      <c r="HUU101" s="3"/>
      <c r="HUV101" s="3"/>
      <c r="HUW101" s="3"/>
      <c r="HUX101" s="3"/>
      <c r="HUY101" s="3"/>
      <c r="HUZ101" s="3"/>
      <c r="HVA101" s="3"/>
      <c r="HVB101" s="3"/>
      <c r="HVC101" s="3"/>
      <c r="HVD101" s="3"/>
      <c r="HVE101" s="3"/>
      <c r="HVF101" s="3"/>
      <c r="HVG101" s="3"/>
      <c r="HVH101" s="3"/>
      <c r="HVI101" s="3"/>
      <c r="HVJ101" s="3"/>
      <c r="HVK101" s="3"/>
      <c r="HVL101" s="3"/>
      <c r="HVM101" s="3"/>
      <c r="HVN101" s="3"/>
      <c r="HVO101" s="3"/>
      <c r="HVP101" s="3"/>
      <c r="HVQ101" s="3"/>
      <c r="HVR101" s="3"/>
      <c r="HVS101" s="3"/>
      <c r="HVT101" s="3"/>
      <c r="HVU101" s="3"/>
      <c r="HVV101" s="3"/>
      <c r="HVW101" s="3"/>
      <c r="HVX101" s="3"/>
      <c r="HVY101" s="3"/>
      <c r="HVZ101" s="3"/>
      <c r="HWA101" s="3"/>
      <c r="HWB101" s="3"/>
      <c r="HWC101" s="3"/>
      <c r="HWD101" s="3"/>
      <c r="HWE101" s="3"/>
      <c r="HWF101" s="3"/>
      <c r="HWG101" s="3"/>
      <c r="HWH101" s="3"/>
      <c r="HWI101" s="3"/>
      <c r="HWJ101" s="3"/>
      <c r="HWK101" s="3"/>
      <c r="HWL101" s="3"/>
      <c r="HWM101" s="3"/>
      <c r="HWN101" s="3"/>
      <c r="HWO101" s="3"/>
      <c r="HWP101" s="3"/>
      <c r="HWQ101" s="3"/>
      <c r="HWR101" s="3"/>
      <c r="HWS101" s="3"/>
      <c r="HWT101" s="3"/>
      <c r="HWU101" s="3"/>
      <c r="HWV101" s="3"/>
      <c r="HWW101" s="3"/>
      <c r="HWX101" s="3"/>
      <c r="HWY101" s="3"/>
      <c r="HWZ101" s="3"/>
      <c r="HXA101" s="3"/>
      <c r="HXB101" s="3"/>
      <c r="HXC101" s="3"/>
      <c r="HXD101" s="3"/>
      <c r="HXE101" s="3"/>
      <c r="HXF101" s="3"/>
      <c r="HXG101" s="3"/>
      <c r="HXH101" s="3"/>
      <c r="HXI101" s="3"/>
      <c r="HXJ101" s="3"/>
      <c r="HXK101" s="3"/>
      <c r="HXL101" s="3"/>
      <c r="HXM101" s="3"/>
      <c r="HXN101" s="3"/>
      <c r="HXO101" s="3"/>
      <c r="HXP101" s="3"/>
      <c r="HXQ101" s="3"/>
      <c r="HXR101" s="3"/>
      <c r="HXS101" s="3"/>
      <c r="HXT101" s="3"/>
      <c r="HXU101" s="3"/>
      <c r="HXV101" s="3"/>
      <c r="HXW101" s="3"/>
      <c r="HXX101" s="3"/>
      <c r="HXY101" s="3"/>
      <c r="HXZ101" s="3"/>
      <c r="HYA101" s="3"/>
      <c r="HYB101" s="3"/>
      <c r="HYC101" s="3"/>
      <c r="HYD101" s="3"/>
      <c r="HYE101" s="3"/>
      <c r="HYF101" s="3"/>
      <c r="HYG101" s="3"/>
      <c r="HYH101" s="3"/>
      <c r="HYI101" s="3"/>
      <c r="HYJ101" s="3"/>
      <c r="HYK101" s="3"/>
      <c r="HYL101" s="3"/>
      <c r="HYM101" s="3"/>
      <c r="HYN101" s="3"/>
      <c r="HYO101" s="3"/>
      <c r="HYP101" s="3"/>
      <c r="HYQ101" s="3"/>
      <c r="HYR101" s="3"/>
      <c r="HYS101" s="3"/>
      <c r="HYT101" s="3"/>
      <c r="HYU101" s="3"/>
      <c r="HYV101" s="3"/>
      <c r="HYW101" s="3"/>
      <c r="HYX101" s="3"/>
      <c r="HYY101" s="3"/>
      <c r="HYZ101" s="3"/>
      <c r="HZA101" s="3"/>
      <c r="HZB101" s="3"/>
      <c r="HZC101" s="3"/>
      <c r="HZD101" s="3"/>
      <c r="HZE101" s="3"/>
      <c r="HZF101" s="3"/>
      <c r="HZG101" s="3"/>
      <c r="HZH101" s="3"/>
      <c r="HZI101" s="3"/>
      <c r="HZJ101" s="3"/>
      <c r="HZK101" s="3"/>
      <c r="HZL101" s="3"/>
      <c r="HZM101" s="3"/>
      <c r="HZN101" s="3"/>
      <c r="HZO101" s="3"/>
      <c r="HZP101" s="3"/>
      <c r="HZQ101" s="3"/>
      <c r="HZR101" s="3"/>
      <c r="HZS101" s="3"/>
      <c r="HZT101" s="3"/>
      <c r="HZU101" s="3"/>
      <c r="HZV101" s="3"/>
      <c r="HZW101" s="3"/>
      <c r="HZX101" s="3"/>
      <c r="HZY101" s="3"/>
      <c r="HZZ101" s="3"/>
      <c r="IAA101" s="3"/>
      <c r="IAB101" s="3"/>
      <c r="IAC101" s="3"/>
      <c r="IAD101" s="3"/>
      <c r="IAE101" s="3"/>
      <c r="IAF101" s="3"/>
      <c r="IAG101" s="3"/>
      <c r="IAH101" s="3"/>
      <c r="IAI101" s="3"/>
      <c r="IAJ101" s="3"/>
      <c r="IAK101" s="3"/>
      <c r="IAL101" s="3"/>
      <c r="IAM101" s="3"/>
      <c r="IAN101" s="3"/>
      <c r="IAO101" s="3"/>
      <c r="IAP101" s="3"/>
      <c r="IAQ101" s="3"/>
      <c r="IAR101" s="3"/>
      <c r="IAS101" s="3"/>
      <c r="IAT101" s="3"/>
      <c r="IAU101" s="3"/>
      <c r="IAV101" s="3"/>
      <c r="IAW101" s="3"/>
      <c r="IAX101" s="3"/>
      <c r="IAY101" s="3"/>
      <c r="IAZ101" s="3"/>
      <c r="IBA101" s="3"/>
      <c r="IBB101" s="3"/>
      <c r="IBC101" s="3"/>
      <c r="IBD101" s="3"/>
      <c r="IBE101" s="3"/>
      <c r="IBF101" s="3"/>
      <c r="IBG101" s="3"/>
      <c r="IBH101" s="3"/>
      <c r="IBI101" s="3"/>
      <c r="IBJ101" s="3"/>
      <c r="IBK101" s="3"/>
      <c r="IBL101" s="3"/>
      <c r="IBM101" s="3"/>
      <c r="IBN101" s="3"/>
      <c r="IBO101" s="3"/>
      <c r="IBP101" s="3"/>
      <c r="IBQ101" s="3"/>
      <c r="IBR101" s="3"/>
      <c r="IBS101" s="3"/>
      <c r="IBT101" s="3"/>
      <c r="IBU101" s="3"/>
      <c r="IBV101" s="3"/>
      <c r="IBW101" s="3"/>
      <c r="IBX101" s="3"/>
      <c r="IBY101" s="3"/>
      <c r="IBZ101" s="3"/>
      <c r="ICA101" s="3"/>
      <c r="ICB101" s="3"/>
      <c r="ICC101" s="3"/>
      <c r="ICD101" s="3"/>
      <c r="ICE101" s="3"/>
      <c r="ICF101" s="3"/>
      <c r="ICG101" s="3"/>
      <c r="ICH101" s="3"/>
      <c r="ICI101" s="3"/>
      <c r="ICJ101" s="3"/>
      <c r="ICK101" s="3"/>
      <c r="ICL101" s="3"/>
      <c r="ICM101" s="3"/>
      <c r="ICN101" s="3"/>
      <c r="ICO101" s="3"/>
      <c r="ICP101" s="3"/>
      <c r="ICQ101" s="3"/>
      <c r="ICR101" s="3"/>
      <c r="ICS101" s="3"/>
      <c r="ICT101" s="3"/>
      <c r="ICU101" s="3"/>
      <c r="ICV101" s="3"/>
      <c r="ICW101" s="3"/>
      <c r="ICX101" s="3"/>
      <c r="ICY101" s="3"/>
      <c r="ICZ101" s="3"/>
      <c r="IDA101" s="3"/>
      <c r="IDB101" s="3"/>
      <c r="IDC101" s="3"/>
      <c r="IDD101" s="3"/>
      <c r="IDE101" s="3"/>
      <c r="IDF101" s="3"/>
      <c r="IDG101" s="3"/>
      <c r="IDH101" s="3"/>
      <c r="IDI101" s="3"/>
      <c r="IDJ101" s="3"/>
      <c r="IDK101" s="3"/>
      <c r="IDL101" s="3"/>
      <c r="IDM101" s="3"/>
      <c r="IDN101" s="3"/>
      <c r="IDO101" s="3"/>
      <c r="IDP101" s="3"/>
      <c r="IDQ101" s="3"/>
      <c r="IDR101" s="3"/>
      <c r="IDS101" s="3"/>
      <c r="IDT101" s="3"/>
      <c r="IDU101" s="3"/>
      <c r="IDV101" s="3"/>
      <c r="IDW101" s="3"/>
      <c r="IDX101" s="3"/>
      <c r="IDY101" s="3"/>
      <c r="IDZ101" s="3"/>
      <c r="IEA101" s="3"/>
      <c r="IEB101" s="3"/>
      <c r="IEC101" s="3"/>
      <c r="IED101" s="3"/>
      <c r="IEE101" s="3"/>
      <c r="IEF101" s="3"/>
      <c r="IEG101" s="3"/>
      <c r="IEH101" s="3"/>
      <c r="IEI101" s="3"/>
      <c r="IEJ101" s="3"/>
      <c r="IEK101" s="3"/>
      <c r="IEL101" s="3"/>
      <c r="IEM101" s="3"/>
      <c r="IEN101" s="3"/>
      <c r="IEO101" s="3"/>
      <c r="IEP101" s="3"/>
      <c r="IEQ101" s="3"/>
      <c r="IER101" s="3"/>
      <c r="IES101" s="3"/>
      <c r="IET101" s="3"/>
      <c r="IEU101" s="3"/>
      <c r="IEV101" s="3"/>
      <c r="IEW101" s="3"/>
      <c r="IEX101" s="3"/>
      <c r="IEY101" s="3"/>
      <c r="IEZ101" s="3"/>
      <c r="IFA101" s="3"/>
      <c r="IFB101" s="3"/>
      <c r="IFC101" s="3"/>
      <c r="IFD101" s="3"/>
      <c r="IFE101" s="3"/>
      <c r="IFF101" s="3"/>
      <c r="IFG101" s="3"/>
      <c r="IFH101" s="3"/>
      <c r="IFI101" s="3"/>
      <c r="IFJ101" s="3"/>
      <c r="IFK101" s="3"/>
      <c r="IFL101" s="3"/>
      <c r="IFM101" s="3"/>
      <c r="IFN101" s="3"/>
      <c r="IFO101" s="3"/>
      <c r="IFP101" s="3"/>
      <c r="IFQ101" s="3"/>
      <c r="IFR101" s="3"/>
      <c r="IFS101" s="3"/>
      <c r="IFT101" s="3"/>
      <c r="IFU101" s="3"/>
      <c r="IFV101" s="3"/>
      <c r="IFW101" s="3"/>
      <c r="IFX101" s="3"/>
      <c r="IFY101" s="3"/>
      <c r="IFZ101" s="3"/>
      <c r="IGA101" s="3"/>
      <c r="IGB101" s="3"/>
      <c r="IGC101" s="3"/>
      <c r="IGD101" s="3"/>
      <c r="IGE101" s="3"/>
      <c r="IGF101" s="3"/>
      <c r="IGG101" s="3"/>
      <c r="IGH101" s="3"/>
      <c r="IGI101" s="3"/>
      <c r="IGJ101" s="3"/>
      <c r="IGK101" s="3"/>
      <c r="IGL101" s="3"/>
      <c r="IGM101" s="3"/>
      <c r="IGN101" s="3"/>
      <c r="IGO101" s="3"/>
      <c r="IGP101" s="3"/>
      <c r="IGQ101" s="3"/>
      <c r="IGR101" s="3"/>
      <c r="IGS101" s="3"/>
      <c r="IGT101" s="3"/>
      <c r="IGU101" s="3"/>
      <c r="IGV101" s="3"/>
      <c r="IGW101" s="3"/>
      <c r="IGX101" s="3"/>
      <c r="IGY101" s="3"/>
      <c r="IGZ101" s="3"/>
      <c r="IHA101" s="3"/>
      <c r="IHB101" s="3"/>
      <c r="IHC101" s="3"/>
      <c r="IHD101" s="3"/>
      <c r="IHE101" s="3"/>
      <c r="IHF101" s="3"/>
      <c r="IHG101" s="3"/>
      <c r="IHH101" s="3"/>
      <c r="IHI101" s="3"/>
      <c r="IHJ101" s="3"/>
      <c r="IHK101" s="3"/>
      <c r="IHL101" s="3"/>
      <c r="IHM101" s="3"/>
      <c r="IHN101" s="3"/>
      <c r="IHO101" s="3"/>
      <c r="IHP101" s="3"/>
      <c r="IHQ101" s="3"/>
      <c r="IHR101" s="3"/>
      <c r="IHS101" s="3"/>
      <c r="IHT101" s="3"/>
      <c r="IHU101" s="3"/>
      <c r="IHV101" s="3"/>
      <c r="IHW101" s="3"/>
      <c r="IHX101" s="3"/>
      <c r="IHY101" s="3"/>
      <c r="IHZ101" s="3"/>
      <c r="IIA101" s="3"/>
      <c r="IIB101" s="3"/>
      <c r="IIC101" s="3"/>
      <c r="IID101" s="3"/>
      <c r="IIE101" s="3"/>
      <c r="IIF101" s="3"/>
      <c r="IIG101" s="3"/>
      <c r="IIH101" s="3"/>
      <c r="III101" s="3"/>
      <c r="IIJ101" s="3"/>
      <c r="IIK101" s="3"/>
      <c r="IIL101" s="3"/>
      <c r="IIM101" s="3"/>
      <c r="IIN101" s="3"/>
      <c r="IIO101" s="3"/>
      <c r="IIP101" s="3"/>
      <c r="IIQ101" s="3"/>
      <c r="IIR101" s="3"/>
      <c r="IIS101" s="3"/>
      <c r="IIT101" s="3"/>
      <c r="IIU101" s="3"/>
      <c r="IIV101" s="3"/>
      <c r="IIW101" s="3"/>
      <c r="IIX101" s="3"/>
      <c r="IIY101" s="3"/>
      <c r="IIZ101" s="3"/>
      <c r="IJA101" s="3"/>
      <c r="IJB101" s="3"/>
      <c r="IJC101" s="3"/>
      <c r="IJD101" s="3"/>
      <c r="IJE101" s="3"/>
      <c r="IJF101" s="3"/>
      <c r="IJG101" s="3"/>
      <c r="IJH101" s="3"/>
      <c r="IJI101" s="3"/>
      <c r="IJJ101" s="3"/>
      <c r="IJK101" s="3"/>
      <c r="IJL101" s="3"/>
      <c r="IJM101" s="3"/>
      <c r="IJN101" s="3"/>
      <c r="IJO101" s="3"/>
      <c r="IJP101" s="3"/>
      <c r="IJQ101" s="3"/>
      <c r="IJR101" s="3"/>
      <c r="IJS101" s="3"/>
      <c r="IJT101" s="3"/>
      <c r="IJU101" s="3"/>
      <c r="IJV101" s="3"/>
      <c r="IJW101" s="3"/>
      <c r="IJX101" s="3"/>
      <c r="IJY101" s="3"/>
      <c r="IJZ101" s="3"/>
      <c r="IKA101" s="3"/>
      <c r="IKB101" s="3"/>
      <c r="IKC101" s="3"/>
      <c r="IKD101" s="3"/>
      <c r="IKE101" s="3"/>
      <c r="IKF101" s="3"/>
      <c r="IKG101" s="3"/>
      <c r="IKH101" s="3"/>
      <c r="IKI101" s="3"/>
      <c r="IKJ101" s="3"/>
      <c r="IKK101" s="3"/>
      <c r="IKL101" s="3"/>
      <c r="IKM101" s="3"/>
      <c r="IKN101" s="3"/>
      <c r="IKO101" s="3"/>
      <c r="IKP101" s="3"/>
      <c r="IKQ101" s="3"/>
      <c r="IKR101" s="3"/>
      <c r="IKS101" s="3"/>
      <c r="IKT101" s="3"/>
      <c r="IKU101" s="3"/>
      <c r="IKV101" s="3"/>
      <c r="IKW101" s="3"/>
      <c r="IKX101" s="3"/>
      <c r="IKY101" s="3"/>
      <c r="IKZ101" s="3"/>
      <c r="ILA101" s="3"/>
      <c r="ILB101" s="3"/>
      <c r="ILC101" s="3"/>
      <c r="ILD101" s="3"/>
      <c r="ILE101" s="3"/>
      <c r="ILF101" s="3"/>
      <c r="ILG101" s="3"/>
      <c r="ILH101" s="3"/>
      <c r="ILI101" s="3"/>
      <c r="ILJ101" s="3"/>
      <c r="ILK101" s="3"/>
      <c r="ILL101" s="3"/>
      <c r="ILM101" s="3"/>
      <c r="ILN101" s="3"/>
      <c r="ILO101" s="3"/>
      <c r="ILP101" s="3"/>
      <c r="ILQ101" s="3"/>
      <c r="ILR101" s="3"/>
      <c r="ILS101" s="3"/>
      <c r="ILT101" s="3"/>
      <c r="ILU101" s="3"/>
      <c r="ILV101" s="3"/>
      <c r="ILW101" s="3"/>
      <c r="ILX101" s="3"/>
      <c r="ILY101" s="3"/>
      <c r="ILZ101" s="3"/>
      <c r="IMA101" s="3"/>
      <c r="IMB101" s="3"/>
      <c r="IMC101" s="3"/>
      <c r="IMD101" s="3"/>
      <c r="IME101" s="3"/>
      <c r="IMF101" s="3"/>
      <c r="IMG101" s="3"/>
      <c r="IMH101" s="3"/>
      <c r="IMI101" s="3"/>
      <c r="IMJ101" s="3"/>
      <c r="IMK101" s="3"/>
      <c r="IML101" s="3"/>
      <c r="IMM101" s="3"/>
      <c r="IMN101" s="3"/>
      <c r="IMO101" s="3"/>
      <c r="IMP101" s="3"/>
      <c r="IMQ101" s="3"/>
      <c r="IMR101" s="3"/>
      <c r="IMS101" s="3"/>
      <c r="IMT101" s="3"/>
      <c r="IMU101" s="3"/>
      <c r="IMV101" s="3"/>
      <c r="IMW101" s="3"/>
      <c r="IMX101" s="3"/>
      <c r="IMY101" s="3"/>
      <c r="IMZ101" s="3"/>
      <c r="INA101" s="3"/>
      <c r="INB101" s="3"/>
      <c r="INC101" s="3"/>
      <c r="IND101" s="3"/>
      <c r="INE101" s="3"/>
      <c r="INF101" s="3"/>
      <c r="ING101" s="3"/>
      <c r="INH101" s="3"/>
      <c r="INI101" s="3"/>
      <c r="INJ101" s="3"/>
      <c r="INK101" s="3"/>
      <c r="INL101" s="3"/>
      <c r="INM101" s="3"/>
      <c r="INN101" s="3"/>
      <c r="INO101" s="3"/>
      <c r="INP101" s="3"/>
      <c r="INQ101" s="3"/>
      <c r="INR101" s="3"/>
      <c r="INS101" s="3"/>
      <c r="INT101" s="3"/>
      <c r="INU101" s="3"/>
      <c r="INV101" s="3"/>
      <c r="INW101" s="3"/>
      <c r="INX101" s="3"/>
      <c r="INY101" s="3"/>
      <c r="INZ101" s="3"/>
      <c r="IOA101" s="3"/>
      <c r="IOB101" s="3"/>
      <c r="IOC101" s="3"/>
      <c r="IOD101" s="3"/>
      <c r="IOE101" s="3"/>
      <c r="IOF101" s="3"/>
      <c r="IOG101" s="3"/>
      <c r="IOH101" s="3"/>
      <c r="IOI101" s="3"/>
      <c r="IOJ101" s="3"/>
      <c r="IOK101" s="3"/>
      <c r="IOL101" s="3"/>
      <c r="IOM101" s="3"/>
      <c r="ION101" s="3"/>
      <c r="IOO101" s="3"/>
      <c r="IOP101" s="3"/>
      <c r="IOQ101" s="3"/>
      <c r="IOR101" s="3"/>
      <c r="IOS101" s="3"/>
      <c r="IOT101" s="3"/>
      <c r="IOU101" s="3"/>
      <c r="IOV101" s="3"/>
      <c r="IOW101" s="3"/>
      <c r="IOX101" s="3"/>
      <c r="IOY101" s="3"/>
      <c r="IOZ101" s="3"/>
      <c r="IPA101" s="3"/>
      <c r="IPB101" s="3"/>
      <c r="IPC101" s="3"/>
      <c r="IPD101" s="3"/>
      <c r="IPE101" s="3"/>
      <c r="IPF101" s="3"/>
      <c r="IPG101" s="3"/>
      <c r="IPH101" s="3"/>
      <c r="IPI101" s="3"/>
      <c r="IPJ101" s="3"/>
      <c r="IPK101" s="3"/>
      <c r="IPL101" s="3"/>
      <c r="IPM101" s="3"/>
      <c r="IPN101" s="3"/>
      <c r="IPO101" s="3"/>
      <c r="IPP101" s="3"/>
      <c r="IPQ101" s="3"/>
      <c r="IPR101" s="3"/>
      <c r="IPS101" s="3"/>
      <c r="IPT101" s="3"/>
      <c r="IPU101" s="3"/>
      <c r="IPV101" s="3"/>
      <c r="IPW101" s="3"/>
      <c r="IPX101" s="3"/>
      <c r="IPY101" s="3"/>
      <c r="IPZ101" s="3"/>
      <c r="IQA101" s="3"/>
      <c r="IQB101" s="3"/>
      <c r="IQC101" s="3"/>
      <c r="IQD101" s="3"/>
      <c r="IQE101" s="3"/>
      <c r="IQF101" s="3"/>
      <c r="IQG101" s="3"/>
      <c r="IQH101" s="3"/>
      <c r="IQI101" s="3"/>
      <c r="IQJ101" s="3"/>
      <c r="IQK101" s="3"/>
      <c r="IQL101" s="3"/>
      <c r="IQM101" s="3"/>
      <c r="IQN101" s="3"/>
      <c r="IQO101" s="3"/>
      <c r="IQP101" s="3"/>
      <c r="IQQ101" s="3"/>
      <c r="IQR101" s="3"/>
      <c r="IQS101" s="3"/>
      <c r="IQT101" s="3"/>
      <c r="IQU101" s="3"/>
      <c r="IQV101" s="3"/>
      <c r="IQW101" s="3"/>
      <c r="IQX101" s="3"/>
      <c r="IQY101" s="3"/>
      <c r="IQZ101" s="3"/>
      <c r="IRA101" s="3"/>
      <c r="IRB101" s="3"/>
      <c r="IRC101" s="3"/>
      <c r="IRD101" s="3"/>
      <c r="IRE101" s="3"/>
      <c r="IRF101" s="3"/>
      <c r="IRG101" s="3"/>
      <c r="IRH101" s="3"/>
      <c r="IRI101" s="3"/>
      <c r="IRJ101" s="3"/>
      <c r="IRK101" s="3"/>
      <c r="IRL101" s="3"/>
      <c r="IRM101" s="3"/>
      <c r="IRN101" s="3"/>
      <c r="IRO101" s="3"/>
      <c r="IRP101" s="3"/>
      <c r="IRQ101" s="3"/>
      <c r="IRR101" s="3"/>
      <c r="IRS101" s="3"/>
      <c r="IRT101" s="3"/>
      <c r="IRU101" s="3"/>
      <c r="IRV101" s="3"/>
      <c r="IRW101" s="3"/>
      <c r="IRX101" s="3"/>
      <c r="IRY101" s="3"/>
      <c r="IRZ101" s="3"/>
      <c r="ISA101" s="3"/>
      <c r="ISB101" s="3"/>
      <c r="ISC101" s="3"/>
      <c r="ISD101" s="3"/>
      <c r="ISE101" s="3"/>
      <c r="ISF101" s="3"/>
      <c r="ISG101" s="3"/>
      <c r="ISH101" s="3"/>
      <c r="ISI101" s="3"/>
      <c r="ISJ101" s="3"/>
      <c r="ISK101" s="3"/>
      <c r="ISL101" s="3"/>
      <c r="ISM101" s="3"/>
      <c r="ISN101" s="3"/>
      <c r="ISO101" s="3"/>
      <c r="ISP101" s="3"/>
      <c r="ISQ101" s="3"/>
      <c r="ISR101" s="3"/>
      <c r="ISS101" s="3"/>
      <c r="IST101" s="3"/>
      <c r="ISU101" s="3"/>
      <c r="ISV101" s="3"/>
      <c r="ISW101" s="3"/>
      <c r="ISX101" s="3"/>
      <c r="ISY101" s="3"/>
      <c r="ISZ101" s="3"/>
      <c r="ITA101" s="3"/>
      <c r="ITB101" s="3"/>
      <c r="ITC101" s="3"/>
      <c r="ITD101" s="3"/>
      <c r="ITE101" s="3"/>
      <c r="ITF101" s="3"/>
      <c r="ITG101" s="3"/>
      <c r="ITH101" s="3"/>
      <c r="ITI101" s="3"/>
      <c r="ITJ101" s="3"/>
      <c r="ITK101" s="3"/>
      <c r="ITL101" s="3"/>
      <c r="ITM101" s="3"/>
      <c r="ITN101" s="3"/>
      <c r="ITO101" s="3"/>
      <c r="ITP101" s="3"/>
      <c r="ITQ101" s="3"/>
      <c r="ITR101" s="3"/>
      <c r="ITS101" s="3"/>
      <c r="ITT101" s="3"/>
      <c r="ITU101" s="3"/>
      <c r="ITV101" s="3"/>
      <c r="ITW101" s="3"/>
      <c r="ITX101" s="3"/>
      <c r="ITY101" s="3"/>
      <c r="ITZ101" s="3"/>
      <c r="IUA101" s="3"/>
      <c r="IUB101" s="3"/>
      <c r="IUC101" s="3"/>
      <c r="IUD101" s="3"/>
      <c r="IUE101" s="3"/>
      <c r="IUF101" s="3"/>
      <c r="IUG101" s="3"/>
      <c r="IUH101" s="3"/>
      <c r="IUI101" s="3"/>
      <c r="IUJ101" s="3"/>
      <c r="IUK101" s="3"/>
      <c r="IUL101" s="3"/>
      <c r="IUM101" s="3"/>
      <c r="IUN101" s="3"/>
      <c r="IUO101" s="3"/>
      <c r="IUP101" s="3"/>
      <c r="IUQ101" s="3"/>
      <c r="IUR101" s="3"/>
      <c r="IUS101" s="3"/>
      <c r="IUT101" s="3"/>
      <c r="IUU101" s="3"/>
      <c r="IUV101" s="3"/>
      <c r="IUW101" s="3"/>
      <c r="IUX101" s="3"/>
      <c r="IUY101" s="3"/>
      <c r="IUZ101" s="3"/>
      <c r="IVA101" s="3"/>
      <c r="IVB101" s="3"/>
      <c r="IVC101" s="3"/>
      <c r="IVD101" s="3"/>
      <c r="IVE101" s="3"/>
      <c r="IVF101" s="3"/>
      <c r="IVG101" s="3"/>
      <c r="IVH101" s="3"/>
      <c r="IVI101" s="3"/>
      <c r="IVJ101" s="3"/>
      <c r="IVK101" s="3"/>
      <c r="IVL101" s="3"/>
      <c r="IVM101" s="3"/>
      <c r="IVN101" s="3"/>
      <c r="IVO101" s="3"/>
      <c r="IVP101" s="3"/>
      <c r="IVQ101" s="3"/>
      <c r="IVR101" s="3"/>
      <c r="IVS101" s="3"/>
      <c r="IVT101" s="3"/>
      <c r="IVU101" s="3"/>
      <c r="IVV101" s="3"/>
      <c r="IVW101" s="3"/>
      <c r="IVX101" s="3"/>
      <c r="IVY101" s="3"/>
      <c r="IVZ101" s="3"/>
      <c r="IWA101" s="3"/>
      <c r="IWB101" s="3"/>
      <c r="IWC101" s="3"/>
      <c r="IWD101" s="3"/>
      <c r="IWE101" s="3"/>
      <c r="IWF101" s="3"/>
      <c r="IWG101" s="3"/>
      <c r="IWH101" s="3"/>
      <c r="IWI101" s="3"/>
      <c r="IWJ101" s="3"/>
      <c r="IWK101" s="3"/>
      <c r="IWL101" s="3"/>
      <c r="IWM101" s="3"/>
      <c r="IWN101" s="3"/>
      <c r="IWO101" s="3"/>
      <c r="IWP101" s="3"/>
      <c r="IWQ101" s="3"/>
      <c r="IWR101" s="3"/>
      <c r="IWS101" s="3"/>
      <c r="IWT101" s="3"/>
      <c r="IWU101" s="3"/>
      <c r="IWV101" s="3"/>
      <c r="IWW101" s="3"/>
      <c r="IWX101" s="3"/>
      <c r="IWY101" s="3"/>
      <c r="IWZ101" s="3"/>
      <c r="IXA101" s="3"/>
      <c r="IXB101" s="3"/>
      <c r="IXC101" s="3"/>
      <c r="IXD101" s="3"/>
      <c r="IXE101" s="3"/>
      <c r="IXF101" s="3"/>
      <c r="IXG101" s="3"/>
      <c r="IXH101" s="3"/>
      <c r="IXI101" s="3"/>
      <c r="IXJ101" s="3"/>
      <c r="IXK101" s="3"/>
      <c r="IXL101" s="3"/>
      <c r="IXM101" s="3"/>
      <c r="IXN101" s="3"/>
      <c r="IXO101" s="3"/>
      <c r="IXP101" s="3"/>
      <c r="IXQ101" s="3"/>
      <c r="IXR101" s="3"/>
      <c r="IXS101" s="3"/>
      <c r="IXT101" s="3"/>
      <c r="IXU101" s="3"/>
      <c r="IXV101" s="3"/>
      <c r="IXW101" s="3"/>
      <c r="IXX101" s="3"/>
      <c r="IXY101" s="3"/>
      <c r="IXZ101" s="3"/>
      <c r="IYA101" s="3"/>
      <c r="IYB101" s="3"/>
      <c r="IYC101" s="3"/>
      <c r="IYD101" s="3"/>
      <c r="IYE101" s="3"/>
      <c r="IYF101" s="3"/>
      <c r="IYG101" s="3"/>
      <c r="IYH101" s="3"/>
      <c r="IYI101" s="3"/>
      <c r="IYJ101" s="3"/>
      <c r="IYK101" s="3"/>
      <c r="IYL101" s="3"/>
      <c r="IYM101" s="3"/>
      <c r="IYN101" s="3"/>
      <c r="IYO101" s="3"/>
      <c r="IYP101" s="3"/>
      <c r="IYQ101" s="3"/>
      <c r="IYR101" s="3"/>
      <c r="IYS101" s="3"/>
      <c r="IYT101" s="3"/>
      <c r="IYU101" s="3"/>
      <c r="IYV101" s="3"/>
      <c r="IYW101" s="3"/>
      <c r="IYX101" s="3"/>
      <c r="IYY101" s="3"/>
      <c r="IYZ101" s="3"/>
      <c r="IZA101" s="3"/>
      <c r="IZB101" s="3"/>
      <c r="IZC101" s="3"/>
      <c r="IZD101" s="3"/>
      <c r="IZE101" s="3"/>
      <c r="IZF101" s="3"/>
      <c r="IZG101" s="3"/>
      <c r="IZH101" s="3"/>
      <c r="IZI101" s="3"/>
      <c r="IZJ101" s="3"/>
      <c r="IZK101" s="3"/>
      <c r="IZL101" s="3"/>
      <c r="IZM101" s="3"/>
      <c r="IZN101" s="3"/>
      <c r="IZO101" s="3"/>
      <c r="IZP101" s="3"/>
      <c r="IZQ101" s="3"/>
      <c r="IZR101" s="3"/>
      <c r="IZS101" s="3"/>
      <c r="IZT101" s="3"/>
      <c r="IZU101" s="3"/>
      <c r="IZV101" s="3"/>
      <c r="IZW101" s="3"/>
      <c r="IZX101" s="3"/>
      <c r="IZY101" s="3"/>
      <c r="IZZ101" s="3"/>
      <c r="JAA101" s="3"/>
      <c r="JAB101" s="3"/>
      <c r="JAC101" s="3"/>
      <c r="JAD101" s="3"/>
      <c r="JAE101" s="3"/>
      <c r="JAF101" s="3"/>
      <c r="JAG101" s="3"/>
      <c r="JAH101" s="3"/>
      <c r="JAI101" s="3"/>
      <c r="JAJ101" s="3"/>
      <c r="JAK101" s="3"/>
      <c r="JAL101" s="3"/>
      <c r="JAM101" s="3"/>
      <c r="JAN101" s="3"/>
      <c r="JAO101" s="3"/>
      <c r="JAP101" s="3"/>
      <c r="JAQ101" s="3"/>
      <c r="JAR101" s="3"/>
      <c r="JAS101" s="3"/>
      <c r="JAT101" s="3"/>
      <c r="JAU101" s="3"/>
      <c r="JAV101" s="3"/>
      <c r="JAW101" s="3"/>
      <c r="JAX101" s="3"/>
      <c r="JAY101" s="3"/>
      <c r="JAZ101" s="3"/>
      <c r="JBA101" s="3"/>
      <c r="JBB101" s="3"/>
      <c r="JBC101" s="3"/>
      <c r="JBD101" s="3"/>
      <c r="JBE101" s="3"/>
      <c r="JBF101" s="3"/>
      <c r="JBG101" s="3"/>
      <c r="JBH101" s="3"/>
      <c r="JBI101" s="3"/>
      <c r="JBJ101" s="3"/>
      <c r="JBK101" s="3"/>
      <c r="JBL101" s="3"/>
      <c r="JBM101" s="3"/>
      <c r="JBN101" s="3"/>
      <c r="JBO101" s="3"/>
      <c r="JBP101" s="3"/>
      <c r="JBQ101" s="3"/>
      <c r="JBR101" s="3"/>
      <c r="JBS101" s="3"/>
      <c r="JBT101" s="3"/>
      <c r="JBU101" s="3"/>
      <c r="JBV101" s="3"/>
      <c r="JBW101" s="3"/>
      <c r="JBX101" s="3"/>
      <c r="JBY101" s="3"/>
      <c r="JBZ101" s="3"/>
      <c r="JCA101" s="3"/>
      <c r="JCB101" s="3"/>
      <c r="JCC101" s="3"/>
      <c r="JCD101" s="3"/>
      <c r="JCE101" s="3"/>
      <c r="JCF101" s="3"/>
      <c r="JCG101" s="3"/>
      <c r="JCH101" s="3"/>
      <c r="JCI101" s="3"/>
      <c r="JCJ101" s="3"/>
      <c r="JCK101" s="3"/>
      <c r="JCL101" s="3"/>
      <c r="JCM101" s="3"/>
      <c r="JCN101" s="3"/>
      <c r="JCO101" s="3"/>
      <c r="JCP101" s="3"/>
      <c r="JCQ101" s="3"/>
      <c r="JCR101" s="3"/>
      <c r="JCS101" s="3"/>
      <c r="JCT101" s="3"/>
      <c r="JCU101" s="3"/>
      <c r="JCV101" s="3"/>
      <c r="JCW101" s="3"/>
      <c r="JCX101" s="3"/>
      <c r="JCY101" s="3"/>
      <c r="JCZ101" s="3"/>
      <c r="JDA101" s="3"/>
      <c r="JDB101" s="3"/>
      <c r="JDC101" s="3"/>
      <c r="JDD101" s="3"/>
      <c r="JDE101" s="3"/>
      <c r="JDF101" s="3"/>
      <c r="JDG101" s="3"/>
      <c r="JDH101" s="3"/>
      <c r="JDI101" s="3"/>
      <c r="JDJ101" s="3"/>
      <c r="JDK101" s="3"/>
      <c r="JDL101" s="3"/>
      <c r="JDM101" s="3"/>
      <c r="JDN101" s="3"/>
      <c r="JDO101" s="3"/>
      <c r="JDP101" s="3"/>
      <c r="JDQ101" s="3"/>
      <c r="JDR101" s="3"/>
      <c r="JDS101" s="3"/>
      <c r="JDT101" s="3"/>
      <c r="JDU101" s="3"/>
      <c r="JDV101" s="3"/>
      <c r="JDW101" s="3"/>
      <c r="JDX101" s="3"/>
      <c r="JDY101" s="3"/>
      <c r="JDZ101" s="3"/>
      <c r="JEA101" s="3"/>
      <c r="JEB101" s="3"/>
      <c r="JEC101" s="3"/>
      <c r="JED101" s="3"/>
      <c r="JEE101" s="3"/>
      <c r="JEF101" s="3"/>
      <c r="JEG101" s="3"/>
      <c r="JEH101" s="3"/>
      <c r="JEI101" s="3"/>
      <c r="JEJ101" s="3"/>
      <c r="JEK101" s="3"/>
      <c r="JEL101" s="3"/>
      <c r="JEM101" s="3"/>
      <c r="JEN101" s="3"/>
      <c r="JEO101" s="3"/>
      <c r="JEP101" s="3"/>
      <c r="JEQ101" s="3"/>
      <c r="JER101" s="3"/>
      <c r="JES101" s="3"/>
      <c r="JET101" s="3"/>
      <c r="JEU101" s="3"/>
      <c r="JEV101" s="3"/>
      <c r="JEW101" s="3"/>
      <c r="JEX101" s="3"/>
      <c r="JEY101" s="3"/>
      <c r="JEZ101" s="3"/>
      <c r="JFA101" s="3"/>
      <c r="JFB101" s="3"/>
      <c r="JFC101" s="3"/>
      <c r="JFD101" s="3"/>
      <c r="JFE101" s="3"/>
      <c r="JFF101" s="3"/>
      <c r="JFG101" s="3"/>
      <c r="JFH101" s="3"/>
      <c r="JFI101" s="3"/>
      <c r="JFJ101" s="3"/>
      <c r="JFK101" s="3"/>
      <c r="JFL101" s="3"/>
      <c r="JFM101" s="3"/>
      <c r="JFN101" s="3"/>
      <c r="JFO101" s="3"/>
      <c r="JFP101" s="3"/>
      <c r="JFQ101" s="3"/>
      <c r="JFR101" s="3"/>
      <c r="JFS101" s="3"/>
      <c r="JFT101" s="3"/>
      <c r="JFU101" s="3"/>
      <c r="JFV101" s="3"/>
      <c r="JFW101" s="3"/>
      <c r="JFX101" s="3"/>
      <c r="JFY101" s="3"/>
      <c r="JFZ101" s="3"/>
      <c r="JGA101" s="3"/>
      <c r="JGB101" s="3"/>
      <c r="JGC101" s="3"/>
      <c r="JGD101" s="3"/>
      <c r="JGE101" s="3"/>
      <c r="JGF101" s="3"/>
      <c r="JGG101" s="3"/>
      <c r="JGH101" s="3"/>
      <c r="JGI101" s="3"/>
      <c r="JGJ101" s="3"/>
      <c r="JGK101" s="3"/>
      <c r="JGL101" s="3"/>
      <c r="JGM101" s="3"/>
      <c r="JGN101" s="3"/>
      <c r="JGO101" s="3"/>
      <c r="JGP101" s="3"/>
      <c r="JGQ101" s="3"/>
      <c r="JGR101" s="3"/>
      <c r="JGS101" s="3"/>
      <c r="JGT101" s="3"/>
      <c r="JGU101" s="3"/>
      <c r="JGV101" s="3"/>
      <c r="JGW101" s="3"/>
      <c r="JGX101" s="3"/>
      <c r="JGY101" s="3"/>
      <c r="JGZ101" s="3"/>
      <c r="JHA101" s="3"/>
      <c r="JHB101" s="3"/>
      <c r="JHC101" s="3"/>
      <c r="JHD101" s="3"/>
      <c r="JHE101" s="3"/>
      <c r="JHF101" s="3"/>
      <c r="JHG101" s="3"/>
      <c r="JHH101" s="3"/>
      <c r="JHI101" s="3"/>
      <c r="JHJ101" s="3"/>
      <c r="JHK101" s="3"/>
      <c r="JHL101" s="3"/>
      <c r="JHM101" s="3"/>
      <c r="JHN101" s="3"/>
      <c r="JHO101" s="3"/>
      <c r="JHP101" s="3"/>
      <c r="JHQ101" s="3"/>
      <c r="JHR101" s="3"/>
      <c r="JHS101" s="3"/>
      <c r="JHT101" s="3"/>
      <c r="JHU101" s="3"/>
      <c r="JHV101" s="3"/>
      <c r="JHW101" s="3"/>
      <c r="JHX101" s="3"/>
      <c r="JHY101" s="3"/>
      <c r="JHZ101" s="3"/>
      <c r="JIA101" s="3"/>
      <c r="JIB101" s="3"/>
      <c r="JIC101" s="3"/>
      <c r="JID101" s="3"/>
      <c r="JIE101" s="3"/>
      <c r="JIF101" s="3"/>
      <c r="JIG101" s="3"/>
      <c r="JIH101" s="3"/>
      <c r="JII101" s="3"/>
      <c r="JIJ101" s="3"/>
      <c r="JIK101" s="3"/>
      <c r="JIL101" s="3"/>
      <c r="JIM101" s="3"/>
      <c r="JIN101" s="3"/>
      <c r="JIO101" s="3"/>
      <c r="JIP101" s="3"/>
      <c r="JIQ101" s="3"/>
      <c r="JIR101" s="3"/>
      <c r="JIS101" s="3"/>
      <c r="JIT101" s="3"/>
      <c r="JIU101" s="3"/>
      <c r="JIV101" s="3"/>
      <c r="JIW101" s="3"/>
      <c r="JIX101" s="3"/>
      <c r="JIY101" s="3"/>
      <c r="JIZ101" s="3"/>
      <c r="JJA101" s="3"/>
      <c r="JJB101" s="3"/>
      <c r="JJC101" s="3"/>
      <c r="JJD101" s="3"/>
      <c r="JJE101" s="3"/>
      <c r="JJF101" s="3"/>
      <c r="JJG101" s="3"/>
      <c r="JJH101" s="3"/>
      <c r="JJI101" s="3"/>
      <c r="JJJ101" s="3"/>
      <c r="JJK101" s="3"/>
      <c r="JJL101" s="3"/>
      <c r="JJM101" s="3"/>
      <c r="JJN101" s="3"/>
      <c r="JJO101" s="3"/>
      <c r="JJP101" s="3"/>
      <c r="JJQ101" s="3"/>
      <c r="JJR101" s="3"/>
      <c r="JJS101" s="3"/>
      <c r="JJT101" s="3"/>
      <c r="JJU101" s="3"/>
      <c r="JJV101" s="3"/>
      <c r="JJW101" s="3"/>
      <c r="JJX101" s="3"/>
      <c r="JJY101" s="3"/>
      <c r="JJZ101" s="3"/>
      <c r="JKA101" s="3"/>
      <c r="JKB101" s="3"/>
      <c r="JKC101" s="3"/>
      <c r="JKD101" s="3"/>
      <c r="JKE101" s="3"/>
      <c r="JKF101" s="3"/>
      <c r="JKG101" s="3"/>
      <c r="JKH101" s="3"/>
      <c r="JKI101" s="3"/>
      <c r="JKJ101" s="3"/>
      <c r="JKK101" s="3"/>
      <c r="JKL101" s="3"/>
      <c r="JKM101" s="3"/>
      <c r="JKN101" s="3"/>
      <c r="JKO101" s="3"/>
      <c r="JKP101" s="3"/>
      <c r="JKQ101" s="3"/>
      <c r="JKR101" s="3"/>
      <c r="JKS101" s="3"/>
      <c r="JKT101" s="3"/>
      <c r="JKU101" s="3"/>
      <c r="JKV101" s="3"/>
      <c r="JKW101" s="3"/>
      <c r="JKX101" s="3"/>
      <c r="JKY101" s="3"/>
      <c r="JKZ101" s="3"/>
      <c r="JLA101" s="3"/>
      <c r="JLB101" s="3"/>
      <c r="JLC101" s="3"/>
      <c r="JLD101" s="3"/>
      <c r="JLE101" s="3"/>
      <c r="JLF101" s="3"/>
      <c r="JLG101" s="3"/>
      <c r="JLH101" s="3"/>
      <c r="JLI101" s="3"/>
      <c r="JLJ101" s="3"/>
      <c r="JLK101" s="3"/>
      <c r="JLL101" s="3"/>
      <c r="JLM101" s="3"/>
      <c r="JLN101" s="3"/>
      <c r="JLO101" s="3"/>
      <c r="JLP101" s="3"/>
      <c r="JLQ101" s="3"/>
      <c r="JLR101" s="3"/>
      <c r="JLS101" s="3"/>
      <c r="JLT101" s="3"/>
      <c r="JLU101" s="3"/>
      <c r="JLV101" s="3"/>
      <c r="JLW101" s="3"/>
      <c r="JLX101" s="3"/>
      <c r="JLY101" s="3"/>
      <c r="JLZ101" s="3"/>
      <c r="JMA101" s="3"/>
      <c r="JMB101" s="3"/>
      <c r="JMC101" s="3"/>
      <c r="JMD101" s="3"/>
      <c r="JME101" s="3"/>
      <c r="JMF101" s="3"/>
      <c r="JMG101" s="3"/>
      <c r="JMH101" s="3"/>
      <c r="JMI101" s="3"/>
      <c r="JMJ101" s="3"/>
      <c r="JMK101" s="3"/>
      <c r="JML101" s="3"/>
      <c r="JMM101" s="3"/>
      <c r="JMN101" s="3"/>
      <c r="JMO101" s="3"/>
      <c r="JMP101" s="3"/>
      <c r="JMQ101" s="3"/>
      <c r="JMR101" s="3"/>
      <c r="JMS101" s="3"/>
      <c r="JMT101" s="3"/>
      <c r="JMU101" s="3"/>
      <c r="JMV101" s="3"/>
      <c r="JMW101" s="3"/>
      <c r="JMX101" s="3"/>
      <c r="JMY101" s="3"/>
      <c r="JMZ101" s="3"/>
      <c r="JNA101" s="3"/>
      <c r="JNB101" s="3"/>
      <c r="JNC101" s="3"/>
      <c r="JND101" s="3"/>
      <c r="JNE101" s="3"/>
      <c r="JNF101" s="3"/>
      <c r="JNG101" s="3"/>
      <c r="JNH101" s="3"/>
      <c r="JNI101" s="3"/>
      <c r="JNJ101" s="3"/>
      <c r="JNK101" s="3"/>
      <c r="JNL101" s="3"/>
      <c r="JNM101" s="3"/>
      <c r="JNN101" s="3"/>
      <c r="JNO101" s="3"/>
      <c r="JNP101" s="3"/>
      <c r="JNQ101" s="3"/>
      <c r="JNR101" s="3"/>
      <c r="JNS101" s="3"/>
      <c r="JNT101" s="3"/>
      <c r="JNU101" s="3"/>
      <c r="JNV101" s="3"/>
      <c r="JNW101" s="3"/>
      <c r="JNX101" s="3"/>
      <c r="JNY101" s="3"/>
      <c r="JNZ101" s="3"/>
      <c r="JOA101" s="3"/>
      <c r="JOB101" s="3"/>
      <c r="JOC101" s="3"/>
      <c r="JOD101" s="3"/>
      <c r="JOE101" s="3"/>
      <c r="JOF101" s="3"/>
      <c r="JOG101" s="3"/>
      <c r="JOH101" s="3"/>
      <c r="JOI101" s="3"/>
      <c r="JOJ101" s="3"/>
      <c r="JOK101" s="3"/>
      <c r="JOL101" s="3"/>
      <c r="JOM101" s="3"/>
      <c r="JON101" s="3"/>
      <c r="JOO101" s="3"/>
      <c r="JOP101" s="3"/>
      <c r="JOQ101" s="3"/>
      <c r="JOR101" s="3"/>
      <c r="JOS101" s="3"/>
      <c r="JOT101" s="3"/>
      <c r="JOU101" s="3"/>
      <c r="JOV101" s="3"/>
      <c r="JOW101" s="3"/>
      <c r="JOX101" s="3"/>
      <c r="JOY101" s="3"/>
      <c r="JOZ101" s="3"/>
      <c r="JPA101" s="3"/>
      <c r="JPB101" s="3"/>
      <c r="JPC101" s="3"/>
      <c r="JPD101" s="3"/>
      <c r="JPE101" s="3"/>
      <c r="JPF101" s="3"/>
      <c r="JPG101" s="3"/>
      <c r="JPH101" s="3"/>
      <c r="JPI101" s="3"/>
      <c r="JPJ101" s="3"/>
      <c r="JPK101" s="3"/>
      <c r="JPL101" s="3"/>
      <c r="JPM101" s="3"/>
      <c r="JPN101" s="3"/>
      <c r="JPO101" s="3"/>
      <c r="JPP101" s="3"/>
      <c r="JPQ101" s="3"/>
      <c r="JPR101" s="3"/>
      <c r="JPS101" s="3"/>
      <c r="JPT101" s="3"/>
      <c r="JPU101" s="3"/>
      <c r="JPV101" s="3"/>
      <c r="JPW101" s="3"/>
      <c r="JPX101" s="3"/>
      <c r="JPY101" s="3"/>
      <c r="JPZ101" s="3"/>
      <c r="JQA101" s="3"/>
      <c r="JQB101" s="3"/>
      <c r="JQC101" s="3"/>
      <c r="JQD101" s="3"/>
      <c r="JQE101" s="3"/>
      <c r="JQF101" s="3"/>
      <c r="JQG101" s="3"/>
      <c r="JQH101" s="3"/>
      <c r="JQI101" s="3"/>
      <c r="JQJ101" s="3"/>
      <c r="JQK101" s="3"/>
      <c r="JQL101" s="3"/>
      <c r="JQM101" s="3"/>
      <c r="JQN101" s="3"/>
      <c r="JQO101" s="3"/>
      <c r="JQP101" s="3"/>
      <c r="JQQ101" s="3"/>
      <c r="JQR101" s="3"/>
      <c r="JQS101" s="3"/>
      <c r="JQT101" s="3"/>
      <c r="JQU101" s="3"/>
      <c r="JQV101" s="3"/>
      <c r="JQW101" s="3"/>
      <c r="JQX101" s="3"/>
      <c r="JQY101" s="3"/>
      <c r="JQZ101" s="3"/>
      <c r="JRA101" s="3"/>
      <c r="JRB101" s="3"/>
      <c r="JRC101" s="3"/>
      <c r="JRD101" s="3"/>
      <c r="JRE101" s="3"/>
      <c r="JRF101" s="3"/>
      <c r="JRG101" s="3"/>
      <c r="JRH101" s="3"/>
      <c r="JRI101" s="3"/>
      <c r="JRJ101" s="3"/>
      <c r="JRK101" s="3"/>
      <c r="JRL101" s="3"/>
      <c r="JRM101" s="3"/>
      <c r="JRN101" s="3"/>
      <c r="JRO101" s="3"/>
      <c r="JRP101" s="3"/>
      <c r="JRQ101" s="3"/>
      <c r="JRR101" s="3"/>
      <c r="JRS101" s="3"/>
      <c r="JRT101" s="3"/>
      <c r="JRU101" s="3"/>
      <c r="JRV101" s="3"/>
      <c r="JRW101" s="3"/>
      <c r="JRX101" s="3"/>
      <c r="JRY101" s="3"/>
      <c r="JRZ101" s="3"/>
      <c r="JSA101" s="3"/>
      <c r="JSB101" s="3"/>
      <c r="JSC101" s="3"/>
      <c r="JSD101" s="3"/>
      <c r="JSE101" s="3"/>
      <c r="JSF101" s="3"/>
      <c r="JSG101" s="3"/>
      <c r="JSH101" s="3"/>
      <c r="JSI101" s="3"/>
      <c r="JSJ101" s="3"/>
      <c r="JSK101" s="3"/>
      <c r="JSL101" s="3"/>
      <c r="JSM101" s="3"/>
      <c r="JSN101" s="3"/>
      <c r="JSO101" s="3"/>
      <c r="JSP101" s="3"/>
      <c r="JSQ101" s="3"/>
      <c r="JSR101" s="3"/>
      <c r="JSS101" s="3"/>
      <c r="JST101" s="3"/>
      <c r="JSU101" s="3"/>
      <c r="JSV101" s="3"/>
      <c r="JSW101" s="3"/>
      <c r="JSX101" s="3"/>
      <c r="JSY101" s="3"/>
      <c r="JSZ101" s="3"/>
      <c r="JTA101" s="3"/>
      <c r="JTB101" s="3"/>
      <c r="JTC101" s="3"/>
      <c r="JTD101" s="3"/>
      <c r="JTE101" s="3"/>
      <c r="JTF101" s="3"/>
      <c r="JTG101" s="3"/>
      <c r="JTH101" s="3"/>
      <c r="JTI101" s="3"/>
      <c r="JTJ101" s="3"/>
      <c r="JTK101" s="3"/>
      <c r="JTL101" s="3"/>
      <c r="JTM101" s="3"/>
      <c r="JTN101" s="3"/>
      <c r="JTO101" s="3"/>
      <c r="JTP101" s="3"/>
      <c r="JTQ101" s="3"/>
      <c r="JTR101" s="3"/>
      <c r="JTS101" s="3"/>
      <c r="JTT101" s="3"/>
      <c r="JTU101" s="3"/>
      <c r="JTV101" s="3"/>
      <c r="JTW101" s="3"/>
      <c r="JTX101" s="3"/>
      <c r="JTY101" s="3"/>
      <c r="JTZ101" s="3"/>
      <c r="JUA101" s="3"/>
      <c r="JUB101" s="3"/>
      <c r="JUC101" s="3"/>
      <c r="JUD101" s="3"/>
      <c r="JUE101" s="3"/>
      <c r="JUF101" s="3"/>
      <c r="JUG101" s="3"/>
      <c r="JUH101" s="3"/>
      <c r="JUI101" s="3"/>
      <c r="JUJ101" s="3"/>
      <c r="JUK101" s="3"/>
      <c r="JUL101" s="3"/>
      <c r="JUM101" s="3"/>
      <c r="JUN101" s="3"/>
      <c r="JUO101" s="3"/>
      <c r="JUP101" s="3"/>
      <c r="JUQ101" s="3"/>
      <c r="JUR101" s="3"/>
      <c r="JUS101" s="3"/>
      <c r="JUT101" s="3"/>
      <c r="JUU101" s="3"/>
      <c r="JUV101" s="3"/>
      <c r="JUW101" s="3"/>
      <c r="JUX101" s="3"/>
      <c r="JUY101" s="3"/>
      <c r="JUZ101" s="3"/>
      <c r="JVA101" s="3"/>
      <c r="JVB101" s="3"/>
      <c r="JVC101" s="3"/>
      <c r="JVD101" s="3"/>
      <c r="JVE101" s="3"/>
      <c r="JVF101" s="3"/>
      <c r="JVG101" s="3"/>
      <c r="JVH101" s="3"/>
      <c r="JVI101" s="3"/>
      <c r="JVJ101" s="3"/>
      <c r="JVK101" s="3"/>
      <c r="JVL101" s="3"/>
      <c r="JVM101" s="3"/>
      <c r="JVN101" s="3"/>
      <c r="JVO101" s="3"/>
      <c r="JVP101" s="3"/>
      <c r="JVQ101" s="3"/>
      <c r="JVR101" s="3"/>
      <c r="JVS101" s="3"/>
      <c r="JVT101" s="3"/>
      <c r="JVU101" s="3"/>
      <c r="JVV101" s="3"/>
      <c r="JVW101" s="3"/>
      <c r="JVX101" s="3"/>
      <c r="JVY101" s="3"/>
      <c r="JVZ101" s="3"/>
      <c r="JWA101" s="3"/>
      <c r="JWB101" s="3"/>
      <c r="JWC101" s="3"/>
      <c r="JWD101" s="3"/>
      <c r="JWE101" s="3"/>
      <c r="JWF101" s="3"/>
      <c r="JWG101" s="3"/>
      <c r="JWH101" s="3"/>
      <c r="JWI101" s="3"/>
      <c r="JWJ101" s="3"/>
      <c r="JWK101" s="3"/>
      <c r="JWL101" s="3"/>
      <c r="JWM101" s="3"/>
      <c r="JWN101" s="3"/>
      <c r="JWO101" s="3"/>
      <c r="JWP101" s="3"/>
      <c r="JWQ101" s="3"/>
      <c r="JWR101" s="3"/>
      <c r="JWS101" s="3"/>
      <c r="JWT101" s="3"/>
      <c r="JWU101" s="3"/>
      <c r="JWV101" s="3"/>
      <c r="JWW101" s="3"/>
      <c r="JWX101" s="3"/>
      <c r="JWY101" s="3"/>
      <c r="JWZ101" s="3"/>
      <c r="JXA101" s="3"/>
      <c r="JXB101" s="3"/>
      <c r="JXC101" s="3"/>
      <c r="JXD101" s="3"/>
      <c r="JXE101" s="3"/>
      <c r="JXF101" s="3"/>
      <c r="JXG101" s="3"/>
      <c r="JXH101" s="3"/>
      <c r="JXI101" s="3"/>
      <c r="JXJ101" s="3"/>
      <c r="JXK101" s="3"/>
      <c r="JXL101" s="3"/>
      <c r="JXM101" s="3"/>
      <c r="JXN101" s="3"/>
      <c r="JXO101" s="3"/>
      <c r="JXP101" s="3"/>
      <c r="JXQ101" s="3"/>
      <c r="JXR101" s="3"/>
      <c r="JXS101" s="3"/>
      <c r="JXT101" s="3"/>
      <c r="JXU101" s="3"/>
      <c r="JXV101" s="3"/>
      <c r="JXW101" s="3"/>
      <c r="JXX101" s="3"/>
      <c r="JXY101" s="3"/>
      <c r="JXZ101" s="3"/>
      <c r="JYA101" s="3"/>
      <c r="JYB101" s="3"/>
      <c r="JYC101" s="3"/>
      <c r="JYD101" s="3"/>
      <c r="JYE101" s="3"/>
      <c r="JYF101" s="3"/>
      <c r="JYG101" s="3"/>
      <c r="JYH101" s="3"/>
      <c r="JYI101" s="3"/>
      <c r="JYJ101" s="3"/>
      <c r="JYK101" s="3"/>
      <c r="JYL101" s="3"/>
      <c r="JYM101" s="3"/>
      <c r="JYN101" s="3"/>
      <c r="JYO101" s="3"/>
      <c r="JYP101" s="3"/>
      <c r="JYQ101" s="3"/>
      <c r="JYR101" s="3"/>
      <c r="JYS101" s="3"/>
      <c r="JYT101" s="3"/>
      <c r="JYU101" s="3"/>
      <c r="JYV101" s="3"/>
      <c r="JYW101" s="3"/>
      <c r="JYX101" s="3"/>
      <c r="JYY101" s="3"/>
      <c r="JYZ101" s="3"/>
      <c r="JZA101" s="3"/>
      <c r="JZB101" s="3"/>
      <c r="JZC101" s="3"/>
      <c r="JZD101" s="3"/>
      <c r="JZE101" s="3"/>
      <c r="JZF101" s="3"/>
      <c r="JZG101" s="3"/>
      <c r="JZH101" s="3"/>
      <c r="JZI101" s="3"/>
      <c r="JZJ101" s="3"/>
      <c r="JZK101" s="3"/>
      <c r="JZL101" s="3"/>
      <c r="JZM101" s="3"/>
      <c r="JZN101" s="3"/>
      <c r="JZO101" s="3"/>
      <c r="JZP101" s="3"/>
      <c r="JZQ101" s="3"/>
      <c r="JZR101" s="3"/>
      <c r="JZS101" s="3"/>
      <c r="JZT101" s="3"/>
      <c r="JZU101" s="3"/>
      <c r="JZV101" s="3"/>
      <c r="JZW101" s="3"/>
      <c r="JZX101" s="3"/>
      <c r="JZY101" s="3"/>
      <c r="JZZ101" s="3"/>
      <c r="KAA101" s="3"/>
      <c r="KAB101" s="3"/>
      <c r="KAC101" s="3"/>
      <c r="KAD101" s="3"/>
      <c r="KAE101" s="3"/>
      <c r="KAF101" s="3"/>
      <c r="KAG101" s="3"/>
      <c r="KAH101" s="3"/>
      <c r="KAI101" s="3"/>
      <c r="KAJ101" s="3"/>
      <c r="KAK101" s="3"/>
      <c r="KAL101" s="3"/>
      <c r="KAM101" s="3"/>
      <c r="KAN101" s="3"/>
      <c r="KAO101" s="3"/>
      <c r="KAP101" s="3"/>
      <c r="KAQ101" s="3"/>
      <c r="KAR101" s="3"/>
      <c r="KAS101" s="3"/>
      <c r="KAT101" s="3"/>
      <c r="KAU101" s="3"/>
      <c r="KAV101" s="3"/>
      <c r="KAW101" s="3"/>
      <c r="KAX101" s="3"/>
      <c r="KAY101" s="3"/>
      <c r="KAZ101" s="3"/>
      <c r="KBA101" s="3"/>
      <c r="KBB101" s="3"/>
      <c r="KBC101" s="3"/>
      <c r="KBD101" s="3"/>
      <c r="KBE101" s="3"/>
      <c r="KBF101" s="3"/>
      <c r="KBG101" s="3"/>
      <c r="KBH101" s="3"/>
      <c r="KBI101" s="3"/>
      <c r="KBJ101" s="3"/>
      <c r="KBK101" s="3"/>
      <c r="KBL101" s="3"/>
      <c r="KBM101" s="3"/>
      <c r="KBN101" s="3"/>
      <c r="KBO101" s="3"/>
      <c r="KBP101" s="3"/>
      <c r="KBQ101" s="3"/>
      <c r="KBR101" s="3"/>
      <c r="KBS101" s="3"/>
      <c r="KBT101" s="3"/>
      <c r="KBU101" s="3"/>
      <c r="KBV101" s="3"/>
      <c r="KBW101" s="3"/>
      <c r="KBX101" s="3"/>
      <c r="KBY101" s="3"/>
      <c r="KBZ101" s="3"/>
      <c r="KCA101" s="3"/>
      <c r="KCB101" s="3"/>
      <c r="KCC101" s="3"/>
      <c r="KCD101" s="3"/>
      <c r="KCE101" s="3"/>
      <c r="KCF101" s="3"/>
      <c r="KCG101" s="3"/>
      <c r="KCH101" s="3"/>
      <c r="KCI101" s="3"/>
      <c r="KCJ101" s="3"/>
      <c r="KCK101" s="3"/>
      <c r="KCL101" s="3"/>
      <c r="KCM101" s="3"/>
      <c r="KCN101" s="3"/>
      <c r="KCO101" s="3"/>
      <c r="KCP101" s="3"/>
      <c r="KCQ101" s="3"/>
      <c r="KCR101" s="3"/>
      <c r="KCS101" s="3"/>
      <c r="KCT101" s="3"/>
      <c r="KCU101" s="3"/>
      <c r="KCV101" s="3"/>
      <c r="KCW101" s="3"/>
      <c r="KCX101" s="3"/>
      <c r="KCY101" s="3"/>
      <c r="KCZ101" s="3"/>
      <c r="KDA101" s="3"/>
      <c r="KDB101" s="3"/>
      <c r="KDC101" s="3"/>
      <c r="KDD101" s="3"/>
      <c r="KDE101" s="3"/>
      <c r="KDF101" s="3"/>
      <c r="KDG101" s="3"/>
      <c r="KDH101" s="3"/>
      <c r="KDI101" s="3"/>
      <c r="KDJ101" s="3"/>
      <c r="KDK101" s="3"/>
      <c r="KDL101" s="3"/>
      <c r="KDM101" s="3"/>
      <c r="KDN101" s="3"/>
      <c r="KDO101" s="3"/>
      <c r="KDP101" s="3"/>
      <c r="KDQ101" s="3"/>
      <c r="KDR101" s="3"/>
      <c r="KDS101" s="3"/>
      <c r="KDT101" s="3"/>
      <c r="KDU101" s="3"/>
      <c r="KDV101" s="3"/>
      <c r="KDW101" s="3"/>
      <c r="KDX101" s="3"/>
      <c r="KDY101" s="3"/>
      <c r="KDZ101" s="3"/>
      <c r="KEA101" s="3"/>
      <c r="KEB101" s="3"/>
      <c r="KEC101" s="3"/>
      <c r="KED101" s="3"/>
      <c r="KEE101" s="3"/>
      <c r="KEF101" s="3"/>
      <c r="KEG101" s="3"/>
      <c r="KEH101" s="3"/>
      <c r="KEI101" s="3"/>
      <c r="KEJ101" s="3"/>
      <c r="KEK101" s="3"/>
      <c r="KEL101" s="3"/>
      <c r="KEM101" s="3"/>
      <c r="KEN101" s="3"/>
      <c r="KEO101" s="3"/>
      <c r="KEP101" s="3"/>
      <c r="KEQ101" s="3"/>
      <c r="KER101" s="3"/>
      <c r="KES101" s="3"/>
      <c r="KET101" s="3"/>
      <c r="KEU101" s="3"/>
      <c r="KEV101" s="3"/>
      <c r="KEW101" s="3"/>
      <c r="KEX101" s="3"/>
      <c r="KEY101" s="3"/>
      <c r="KEZ101" s="3"/>
      <c r="KFA101" s="3"/>
      <c r="KFB101" s="3"/>
      <c r="KFC101" s="3"/>
      <c r="KFD101" s="3"/>
      <c r="KFE101" s="3"/>
      <c r="KFF101" s="3"/>
      <c r="KFG101" s="3"/>
      <c r="KFH101" s="3"/>
      <c r="KFI101" s="3"/>
      <c r="KFJ101" s="3"/>
      <c r="KFK101" s="3"/>
      <c r="KFL101" s="3"/>
      <c r="KFM101" s="3"/>
      <c r="KFN101" s="3"/>
      <c r="KFO101" s="3"/>
      <c r="KFP101" s="3"/>
      <c r="KFQ101" s="3"/>
      <c r="KFR101" s="3"/>
      <c r="KFS101" s="3"/>
      <c r="KFT101" s="3"/>
      <c r="KFU101" s="3"/>
      <c r="KFV101" s="3"/>
      <c r="KFW101" s="3"/>
      <c r="KFX101" s="3"/>
      <c r="KFY101" s="3"/>
      <c r="KFZ101" s="3"/>
      <c r="KGA101" s="3"/>
      <c r="KGB101" s="3"/>
      <c r="KGC101" s="3"/>
      <c r="KGD101" s="3"/>
      <c r="KGE101" s="3"/>
      <c r="KGF101" s="3"/>
      <c r="KGG101" s="3"/>
      <c r="KGH101" s="3"/>
      <c r="KGI101" s="3"/>
      <c r="KGJ101" s="3"/>
      <c r="KGK101" s="3"/>
      <c r="KGL101" s="3"/>
      <c r="KGM101" s="3"/>
      <c r="KGN101" s="3"/>
      <c r="KGO101" s="3"/>
      <c r="KGP101" s="3"/>
      <c r="KGQ101" s="3"/>
      <c r="KGR101" s="3"/>
      <c r="KGS101" s="3"/>
      <c r="KGT101" s="3"/>
      <c r="KGU101" s="3"/>
      <c r="KGV101" s="3"/>
      <c r="KGW101" s="3"/>
      <c r="KGX101" s="3"/>
      <c r="KGY101" s="3"/>
      <c r="KGZ101" s="3"/>
      <c r="KHA101" s="3"/>
      <c r="KHB101" s="3"/>
      <c r="KHC101" s="3"/>
      <c r="KHD101" s="3"/>
      <c r="KHE101" s="3"/>
      <c r="KHF101" s="3"/>
      <c r="KHG101" s="3"/>
      <c r="KHH101" s="3"/>
      <c r="KHI101" s="3"/>
      <c r="KHJ101" s="3"/>
      <c r="KHK101" s="3"/>
      <c r="KHL101" s="3"/>
      <c r="KHM101" s="3"/>
      <c r="KHN101" s="3"/>
      <c r="KHO101" s="3"/>
      <c r="KHP101" s="3"/>
      <c r="KHQ101" s="3"/>
      <c r="KHR101" s="3"/>
      <c r="KHS101" s="3"/>
      <c r="KHT101" s="3"/>
      <c r="KHU101" s="3"/>
      <c r="KHV101" s="3"/>
      <c r="KHW101" s="3"/>
      <c r="KHX101" s="3"/>
      <c r="KHY101" s="3"/>
      <c r="KHZ101" s="3"/>
      <c r="KIA101" s="3"/>
      <c r="KIB101" s="3"/>
      <c r="KIC101" s="3"/>
      <c r="KID101" s="3"/>
      <c r="KIE101" s="3"/>
      <c r="KIF101" s="3"/>
      <c r="KIG101" s="3"/>
      <c r="KIH101" s="3"/>
      <c r="KII101" s="3"/>
      <c r="KIJ101" s="3"/>
      <c r="KIK101" s="3"/>
      <c r="KIL101" s="3"/>
      <c r="KIM101" s="3"/>
      <c r="KIN101" s="3"/>
      <c r="KIO101" s="3"/>
      <c r="KIP101" s="3"/>
      <c r="KIQ101" s="3"/>
      <c r="KIR101" s="3"/>
      <c r="KIS101" s="3"/>
      <c r="KIT101" s="3"/>
      <c r="KIU101" s="3"/>
      <c r="KIV101" s="3"/>
      <c r="KIW101" s="3"/>
      <c r="KIX101" s="3"/>
      <c r="KIY101" s="3"/>
      <c r="KIZ101" s="3"/>
      <c r="KJA101" s="3"/>
      <c r="KJB101" s="3"/>
      <c r="KJC101" s="3"/>
      <c r="KJD101" s="3"/>
      <c r="KJE101" s="3"/>
      <c r="KJF101" s="3"/>
      <c r="KJG101" s="3"/>
      <c r="KJH101" s="3"/>
      <c r="KJI101" s="3"/>
      <c r="KJJ101" s="3"/>
      <c r="KJK101" s="3"/>
      <c r="KJL101" s="3"/>
      <c r="KJM101" s="3"/>
      <c r="KJN101" s="3"/>
      <c r="KJO101" s="3"/>
      <c r="KJP101" s="3"/>
      <c r="KJQ101" s="3"/>
      <c r="KJR101" s="3"/>
      <c r="KJS101" s="3"/>
      <c r="KJT101" s="3"/>
      <c r="KJU101" s="3"/>
      <c r="KJV101" s="3"/>
      <c r="KJW101" s="3"/>
      <c r="KJX101" s="3"/>
      <c r="KJY101" s="3"/>
      <c r="KJZ101" s="3"/>
      <c r="KKA101" s="3"/>
      <c r="KKB101" s="3"/>
      <c r="KKC101" s="3"/>
      <c r="KKD101" s="3"/>
      <c r="KKE101" s="3"/>
      <c r="KKF101" s="3"/>
      <c r="KKG101" s="3"/>
      <c r="KKH101" s="3"/>
      <c r="KKI101" s="3"/>
      <c r="KKJ101" s="3"/>
      <c r="KKK101" s="3"/>
      <c r="KKL101" s="3"/>
      <c r="KKM101" s="3"/>
      <c r="KKN101" s="3"/>
      <c r="KKO101" s="3"/>
      <c r="KKP101" s="3"/>
      <c r="KKQ101" s="3"/>
      <c r="KKR101" s="3"/>
      <c r="KKS101" s="3"/>
      <c r="KKT101" s="3"/>
      <c r="KKU101" s="3"/>
      <c r="KKV101" s="3"/>
      <c r="KKW101" s="3"/>
      <c r="KKX101" s="3"/>
      <c r="KKY101" s="3"/>
      <c r="KKZ101" s="3"/>
      <c r="KLA101" s="3"/>
      <c r="KLB101" s="3"/>
      <c r="KLC101" s="3"/>
      <c r="KLD101" s="3"/>
      <c r="KLE101" s="3"/>
      <c r="KLF101" s="3"/>
      <c r="KLG101" s="3"/>
      <c r="KLH101" s="3"/>
      <c r="KLI101" s="3"/>
      <c r="KLJ101" s="3"/>
      <c r="KLK101" s="3"/>
      <c r="KLL101" s="3"/>
      <c r="KLM101" s="3"/>
      <c r="KLN101" s="3"/>
      <c r="KLO101" s="3"/>
      <c r="KLP101" s="3"/>
      <c r="KLQ101" s="3"/>
      <c r="KLR101" s="3"/>
      <c r="KLS101" s="3"/>
      <c r="KLT101" s="3"/>
      <c r="KLU101" s="3"/>
      <c r="KLV101" s="3"/>
      <c r="KLW101" s="3"/>
      <c r="KLX101" s="3"/>
      <c r="KLY101" s="3"/>
      <c r="KLZ101" s="3"/>
      <c r="KMA101" s="3"/>
      <c r="KMB101" s="3"/>
      <c r="KMC101" s="3"/>
      <c r="KMD101" s="3"/>
      <c r="KME101" s="3"/>
      <c r="KMF101" s="3"/>
      <c r="KMG101" s="3"/>
      <c r="KMH101" s="3"/>
      <c r="KMI101" s="3"/>
      <c r="KMJ101" s="3"/>
      <c r="KMK101" s="3"/>
      <c r="KML101" s="3"/>
      <c r="KMM101" s="3"/>
      <c r="KMN101" s="3"/>
      <c r="KMO101" s="3"/>
      <c r="KMP101" s="3"/>
      <c r="KMQ101" s="3"/>
      <c r="KMR101" s="3"/>
      <c r="KMS101" s="3"/>
      <c r="KMT101" s="3"/>
      <c r="KMU101" s="3"/>
      <c r="KMV101" s="3"/>
      <c r="KMW101" s="3"/>
      <c r="KMX101" s="3"/>
      <c r="KMY101" s="3"/>
      <c r="KMZ101" s="3"/>
      <c r="KNA101" s="3"/>
      <c r="KNB101" s="3"/>
      <c r="KNC101" s="3"/>
      <c r="KND101" s="3"/>
      <c r="KNE101" s="3"/>
      <c r="KNF101" s="3"/>
      <c r="KNG101" s="3"/>
      <c r="KNH101" s="3"/>
      <c r="KNI101" s="3"/>
      <c r="KNJ101" s="3"/>
      <c r="KNK101" s="3"/>
      <c r="KNL101" s="3"/>
      <c r="KNM101" s="3"/>
      <c r="KNN101" s="3"/>
      <c r="KNO101" s="3"/>
      <c r="KNP101" s="3"/>
      <c r="KNQ101" s="3"/>
      <c r="KNR101" s="3"/>
      <c r="KNS101" s="3"/>
      <c r="KNT101" s="3"/>
      <c r="KNU101" s="3"/>
      <c r="KNV101" s="3"/>
      <c r="KNW101" s="3"/>
      <c r="KNX101" s="3"/>
      <c r="KNY101" s="3"/>
      <c r="KNZ101" s="3"/>
      <c r="KOA101" s="3"/>
      <c r="KOB101" s="3"/>
      <c r="KOC101" s="3"/>
      <c r="KOD101" s="3"/>
      <c r="KOE101" s="3"/>
      <c r="KOF101" s="3"/>
      <c r="KOG101" s="3"/>
      <c r="KOH101" s="3"/>
      <c r="KOI101" s="3"/>
      <c r="KOJ101" s="3"/>
      <c r="KOK101" s="3"/>
      <c r="KOL101" s="3"/>
      <c r="KOM101" s="3"/>
      <c r="KON101" s="3"/>
      <c r="KOO101" s="3"/>
      <c r="KOP101" s="3"/>
      <c r="KOQ101" s="3"/>
      <c r="KOR101" s="3"/>
      <c r="KOS101" s="3"/>
      <c r="KOT101" s="3"/>
      <c r="KOU101" s="3"/>
      <c r="KOV101" s="3"/>
      <c r="KOW101" s="3"/>
      <c r="KOX101" s="3"/>
      <c r="KOY101" s="3"/>
      <c r="KOZ101" s="3"/>
      <c r="KPA101" s="3"/>
      <c r="KPB101" s="3"/>
      <c r="KPC101" s="3"/>
      <c r="KPD101" s="3"/>
      <c r="KPE101" s="3"/>
      <c r="KPF101" s="3"/>
      <c r="KPG101" s="3"/>
      <c r="KPH101" s="3"/>
      <c r="KPI101" s="3"/>
      <c r="KPJ101" s="3"/>
      <c r="KPK101" s="3"/>
      <c r="KPL101" s="3"/>
      <c r="KPM101" s="3"/>
      <c r="KPN101" s="3"/>
      <c r="KPO101" s="3"/>
      <c r="KPP101" s="3"/>
      <c r="KPQ101" s="3"/>
      <c r="KPR101" s="3"/>
      <c r="KPS101" s="3"/>
      <c r="KPT101" s="3"/>
      <c r="KPU101" s="3"/>
      <c r="KPV101" s="3"/>
      <c r="KPW101" s="3"/>
      <c r="KPX101" s="3"/>
      <c r="KPY101" s="3"/>
      <c r="KPZ101" s="3"/>
      <c r="KQA101" s="3"/>
      <c r="KQB101" s="3"/>
      <c r="KQC101" s="3"/>
      <c r="KQD101" s="3"/>
      <c r="KQE101" s="3"/>
      <c r="KQF101" s="3"/>
      <c r="KQG101" s="3"/>
      <c r="KQH101" s="3"/>
      <c r="KQI101" s="3"/>
      <c r="KQJ101" s="3"/>
      <c r="KQK101" s="3"/>
      <c r="KQL101" s="3"/>
      <c r="KQM101" s="3"/>
      <c r="KQN101" s="3"/>
      <c r="KQO101" s="3"/>
      <c r="KQP101" s="3"/>
      <c r="KQQ101" s="3"/>
      <c r="KQR101" s="3"/>
      <c r="KQS101" s="3"/>
      <c r="KQT101" s="3"/>
      <c r="KQU101" s="3"/>
      <c r="KQV101" s="3"/>
      <c r="KQW101" s="3"/>
      <c r="KQX101" s="3"/>
      <c r="KQY101" s="3"/>
      <c r="KQZ101" s="3"/>
      <c r="KRA101" s="3"/>
      <c r="KRB101" s="3"/>
      <c r="KRC101" s="3"/>
      <c r="KRD101" s="3"/>
      <c r="KRE101" s="3"/>
      <c r="KRF101" s="3"/>
      <c r="KRG101" s="3"/>
      <c r="KRH101" s="3"/>
      <c r="KRI101" s="3"/>
      <c r="KRJ101" s="3"/>
      <c r="KRK101" s="3"/>
      <c r="KRL101" s="3"/>
      <c r="KRM101" s="3"/>
      <c r="KRN101" s="3"/>
      <c r="KRO101" s="3"/>
      <c r="KRP101" s="3"/>
      <c r="KRQ101" s="3"/>
      <c r="KRR101" s="3"/>
      <c r="KRS101" s="3"/>
      <c r="KRT101" s="3"/>
      <c r="KRU101" s="3"/>
      <c r="KRV101" s="3"/>
      <c r="KRW101" s="3"/>
      <c r="KRX101" s="3"/>
      <c r="KRY101" s="3"/>
      <c r="KRZ101" s="3"/>
      <c r="KSA101" s="3"/>
      <c r="KSB101" s="3"/>
      <c r="KSC101" s="3"/>
      <c r="KSD101" s="3"/>
      <c r="KSE101" s="3"/>
      <c r="KSF101" s="3"/>
      <c r="KSG101" s="3"/>
      <c r="KSH101" s="3"/>
      <c r="KSI101" s="3"/>
      <c r="KSJ101" s="3"/>
      <c r="KSK101" s="3"/>
      <c r="KSL101" s="3"/>
      <c r="KSM101" s="3"/>
      <c r="KSN101" s="3"/>
      <c r="KSO101" s="3"/>
      <c r="KSP101" s="3"/>
      <c r="KSQ101" s="3"/>
      <c r="KSR101" s="3"/>
      <c r="KSS101" s="3"/>
      <c r="KST101" s="3"/>
      <c r="KSU101" s="3"/>
      <c r="KSV101" s="3"/>
      <c r="KSW101" s="3"/>
      <c r="KSX101" s="3"/>
      <c r="KSY101" s="3"/>
      <c r="KSZ101" s="3"/>
      <c r="KTA101" s="3"/>
      <c r="KTB101" s="3"/>
      <c r="KTC101" s="3"/>
      <c r="KTD101" s="3"/>
      <c r="KTE101" s="3"/>
      <c r="KTF101" s="3"/>
      <c r="KTG101" s="3"/>
      <c r="KTH101" s="3"/>
      <c r="KTI101" s="3"/>
      <c r="KTJ101" s="3"/>
      <c r="KTK101" s="3"/>
      <c r="KTL101" s="3"/>
      <c r="KTM101" s="3"/>
      <c r="KTN101" s="3"/>
      <c r="KTO101" s="3"/>
      <c r="KTP101" s="3"/>
      <c r="KTQ101" s="3"/>
      <c r="KTR101" s="3"/>
      <c r="KTS101" s="3"/>
      <c r="KTT101" s="3"/>
      <c r="KTU101" s="3"/>
      <c r="KTV101" s="3"/>
      <c r="KTW101" s="3"/>
      <c r="KTX101" s="3"/>
      <c r="KTY101" s="3"/>
      <c r="KTZ101" s="3"/>
      <c r="KUA101" s="3"/>
      <c r="KUB101" s="3"/>
      <c r="KUC101" s="3"/>
      <c r="KUD101" s="3"/>
      <c r="KUE101" s="3"/>
      <c r="KUF101" s="3"/>
      <c r="KUG101" s="3"/>
      <c r="KUH101" s="3"/>
      <c r="KUI101" s="3"/>
      <c r="KUJ101" s="3"/>
      <c r="KUK101" s="3"/>
      <c r="KUL101" s="3"/>
      <c r="KUM101" s="3"/>
      <c r="KUN101" s="3"/>
      <c r="KUO101" s="3"/>
      <c r="KUP101" s="3"/>
      <c r="KUQ101" s="3"/>
      <c r="KUR101" s="3"/>
      <c r="KUS101" s="3"/>
      <c r="KUT101" s="3"/>
      <c r="KUU101" s="3"/>
      <c r="KUV101" s="3"/>
      <c r="KUW101" s="3"/>
      <c r="KUX101" s="3"/>
      <c r="KUY101" s="3"/>
      <c r="KUZ101" s="3"/>
      <c r="KVA101" s="3"/>
      <c r="KVB101" s="3"/>
      <c r="KVC101" s="3"/>
      <c r="KVD101" s="3"/>
      <c r="KVE101" s="3"/>
      <c r="KVF101" s="3"/>
      <c r="KVG101" s="3"/>
      <c r="KVH101" s="3"/>
      <c r="KVI101" s="3"/>
      <c r="KVJ101" s="3"/>
      <c r="KVK101" s="3"/>
      <c r="KVL101" s="3"/>
      <c r="KVM101" s="3"/>
      <c r="KVN101" s="3"/>
      <c r="KVO101" s="3"/>
      <c r="KVP101" s="3"/>
      <c r="KVQ101" s="3"/>
      <c r="KVR101" s="3"/>
      <c r="KVS101" s="3"/>
      <c r="KVT101" s="3"/>
      <c r="KVU101" s="3"/>
      <c r="KVV101" s="3"/>
      <c r="KVW101" s="3"/>
      <c r="KVX101" s="3"/>
      <c r="KVY101" s="3"/>
      <c r="KVZ101" s="3"/>
      <c r="KWA101" s="3"/>
      <c r="KWB101" s="3"/>
      <c r="KWC101" s="3"/>
      <c r="KWD101" s="3"/>
      <c r="KWE101" s="3"/>
      <c r="KWF101" s="3"/>
      <c r="KWG101" s="3"/>
      <c r="KWH101" s="3"/>
      <c r="KWI101" s="3"/>
      <c r="KWJ101" s="3"/>
      <c r="KWK101" s="3"/>
      <c r="KWL101" s="3"/>
      <c r="KWM101" s="3"/>
      <c r="KWN101" s="3"/>
      <c r="KWO101" s="3"/>
      <c r="KWP101" s="3"/>
      <c r="KWQ101" s="3"/>
      <c r="KWR101" s="3"/>
      <c r="KWS101" s="3"/>
      <c r="KWT101" s="3"/>
      <c r="KWU101" s="3"/>
      <c r="KWV101" s="3"/>
      <c r="KWW101" s="3"/>
      <c r="KWX101" s="3"/>
      <c r="KWY101" s="3"/>
      <c r="KWZ101" s="3"/>
      <c r="KXA101" s="3"/>
      <c r="KXB101" s="3"/>
      <c r="KXC101" s="3"/>
      <c r="KXD101" s="3"/>
      <c r="KXE101" s="3"/>
      <c r="KXF101" s="3"/>
      <c r="KXG101" s="3"/>
      <c r="KXH101" s="3"/>
      <c r="KXI101" s="3"/>
      <c r="KXJ101" s="3"/>
      <c r="KXK101" s="3"/>
      <c r="KXL101" s="3"/>
      <c r="KXM101" s="3"/>
      <c r="KXN101" s="3"/>
      <c r="KXO101" s="3"/>
      <c r="KXP101" s="3"/>
      <c r="KXQ101" s="3"/>
      <c r="KXR101" s="3"/>
      <c r="KXS101" s="3"/>
      <c r="KXT101" s="3"/>
      <c r="KXU101" s="3"/>
      <c r="KXV101" s="3"/>
      <c r="KXW101" s="3"/>
      <c r="KXX101" s="3"/>
      <c r="KXY101" s="3"/>
      <c r="KXZ101" s="3"/>
      <c r="KYA101" s="3"/>
      <c r="KYB101" s="3"/>
      <c r="KYC101" s="3"/>
      <c r="KYD101" s="3"/>
      <c r="KYE101" s="3"/>
      <c r="KYF101" s="3"/>
      <c r="KYG101" s="3"/>
      <c r="KYH101" s="3"/>
      <c r="KYI101" s="3"/>
      <c r="KYJ101" s="3"/>
      <c r="KYK101" s="3"/>
      <c r="KYL101" s="3"/>
      <c r="KYM101" s="3"/>
      <c r="KYN101" s="3"/>
      <c r="KYO101" s="3"/>
      <c r="KYP101" s="3"/>
      <c r="KYQ101" s="3"/>
      <c r="KYR101" s="3"/>
      <c r="KYS101" s="3"/>
      <c r="KYT101" s="3"/>
      <c r="KYU101" s="3"/>
      <c r="KYV101" s="3"/>
      <c r="KYW101" s="3"/>
      <c r="KYX101" s="3"/>
      <c r="KYY101" s="3"/>
      <c r="KYZ101" s="3"/>
      <c r="KZA101" s="3"/>
      <c r="KZB101" s="3"/>
      <c r="KZC101" s="3"/>
      <c r="KZD101" s="3"/>
      <c r="KZE101" s="3"/>
      <c r="KZF101" s="3"/>
      <c r="KZG101" s="3"/>
      <c r="KZH101" s="3"/>
      <c r="KZI101" s="3"/>
      <c r="KZJ101" s="3"/>
      <c r="KZK101" s="3"/>
      <c r="KZL101" s="3"/>
      <c r="KZM101" s="3"/>
      <c r="KZN101" s="3"/>
      <c r="KZO101" s="3"/>
      <c r="KZP101" s="3"/>
      <c r="KZQ101" s="3"/>
      <c r="KZR101" s="3"/>
      <c r="KZS101" s="3"/>
      <c r="KZT101" s="3"/>
      <c r="KZU101" s="3"/>
      <c r="KZV101" s="3"/>
      <c r="KZW101" s="3"/>
      <c r="KZX101" s="3"/>
      <c r="KZY101" s="3"/>
      <c r="KZZ101" s="3"/>
      <c r="LAA101" s="3"/>
      <c r="LAB101" s="3"/>
      <c r="LAC101" s="3"/>
      <c r="LAD101" s="3"/>
      <c r="LAE101" s="3"/>
      <c r="LAF101" s="3"/>
      <c r="LAG101" s="3"/>
      <c r="LAH101" s="3"/>
      <c r="LAI101" s="3"/>
      <c r="LAJ101" s="3"/>
      <c r="LAK101" s="3"/>
      <c r="LAL101" s="3"/>
      <c r="LAM101" s="3"/>
      <c r="LAN101" s="3"/>
      <c r="LAO101" s="3"/>
      <c r="LAP101" s="3"/>
      <c r="LAQ101" s="3"/>
      <c r="LAR101" s="3"/>
      <c r="LAS101" s="3"/>
      <c r="LAT101" s="3"/>
      <c r="LAU101" s="3"/>
      <c r="LAV101" s="3"/>
      <c r="LAW101" s="3"/>
      <c r="LAX101" s="3"/>
      <c r="LAY101" s="3"/>
      <c r="LAZ101" s="3"/>
      <c r="LBA101" s="3"/>
      <c r="LBB101" s="3"/>
      <c r="LBC101" s="3"/>
      <c r="LBD101" s="3"/>
      <c r="LBE101" s="3"/>
      <c r="LBF101" s="3"/>
      <c r="LBG101" s="3"/>
      <c r="LBH101" s="3"/>
      <c r="LBI101" s="3"/>
      <c r="LBJ101" s="3"/>
      <c r="LBK101" s="3"/>
      <c r="LBL101" s="3"/>
      <c r="LBM101" s="3"/>
      <c r="LBN101" s="3"/>
      <c r="LBO101" s="3"/>
      <c r="LBP101" s="3"/>
      <c r="LBQ101" s="3"/>
      <c r="LBR101" s="3"/>
      <c r="LBS101" s="3"/>
      <c r="LBT101" s="3"/>
      <c r="LBU101" s="3"/>
      <c r="LBV101" s="3"/>
      <c r="LBW101" s="3"/>
      <c r="LBX101" s="3"/>
      <c r="LBY101" s="3"/>
      <c r="LBZ101" s="3"/>
      <c r="LCA101" s="3"/>
      <c r="LCB101" s="3"/>
      <c r="LCC101" s="3"/>
      <c r="LCD101" s="3"/>
      <c r="LCE101" s="3"/>
      <c r="LCF101" s="3"/>
      <c r="LCG101" s="3"/>
      <c r="LCH101" s="3"/>
      <c r="LCI101" s="3"/>
      <c r="LCJ101" s="3"/>
      <c r="LCK101" s="3"/>
      <c r="LCL101" s="3"/>
      <c r="LCM101" s="3"/>
      <c r="LCN101" s="3"/>
      <c r="LCO101" s="3"/>
      <c r="LCP101" s="3"/>
      <c r="LCQ101" s="3"/>
      <c r="LCR101" s="3"/>
      <c r="LCS101" s="3"/>
      <c r="LCT101" s="3"/>
      <c r="LCU101" s="3"/>
      <c r="LCV101" s="3"/>
      <c r="LCW101" s="3"/>
      <c r="LCX101" s="3"/>
      <c r="LCY101" s="3"/>
      <c r="LCZ101" s="3"/>
      <c r="LDA101" s="3"/>
      <c r="LDB101" s="3"/>
      <c r="LDC101" s="3"/>
      <c r="LDD101" s="3"/>
      <c r="LDE101" s="3"/>
      <c r="LDF101" s="3"/>
      <c r="LDG101" s="3"/>
      <c r="LDH101" s="3"/>
      <c r="LDI101" s="3"/>
      <c r="LDJ101" s="3"/>
      <c r="LDK101" s="3"/>
      <c r="LDL101" s="3"/>
      <c r="LDM101" s="3"/>
      <c r="LDN101" s="3"/>
      <c r="LDO101" s="3"/>
      <c r="LDP101" s="3"/>
      <c r="LDQ101" s="3"/>
      <c r="LDR101" s="3"/>
      <c r="LDS101" s="3"/>
      <c r="LDT101" s="3"/>
      <c r="LDU101" s="3"/>
      <c r="LDV101" s="3"/>
      <c r="LDW101" s="3"/>
      <c r="LDX101" s="3"/>
      <c r="LDY101" s="3"/>
      <c r="LDZ101" s="3"/>
      <c r="LEA101" s="3"/>
      <c r="LEB101" s="3"/>
      <c r="LEC101" s="3"/>
      <c r="LED101" s="3"/>
      <c r="LEE101" s="3"/>
      <c r="LEF101" s="3"/>
      <c r="LEG101" s="3"/>
      <c r="LEH101" s="3"/>
      <c r="LEI101" s="3"/>
      <c r="LEJ101" s="3"/>
      <c r="LEK101" s="3"/>
      <c r="LEL101" s="3"/>
      <c r="LEM101" s="3"/>
      <c r="LEN101" s="3"/>
      <c r="LEO101" s="3"/>
      <c r="LEP101" s="3"/>
      <c r="LEQ101" s="3"/>
      <c r="LER101" s="3"/>
      <c r="LES101" s="3"/>
      <c r="LET101" s="3"/>
      <c r="LEU101" s="3"/>
      <c r="LEV101" s="3"/>
      <c r="LEW101" s="3"/>
      <c r="LEX101" s="3"/>
      <c r="LEY101" s="3"/>
      <c r="LEZ101" s="3"/>
      <c r="LFA101" s="3"/>
      <c r="LFB101" s="3"/>
      <c r="LFC101" s="3"/>
      <c r="LFD101" s="3"/>
      <c r="LFE101" s="3"/>
      <c r="LFF101" s="3"/>
      <c r="LFG101" s="3"/>
      <c r="LFH101" s="3"/>
      <c r="LFI101" s="3"/>
      <c r="LFJ101" s="3"/>
      <c r="LFK101" s="3"/>
      <c r="LFL101" s="3"/>
      <c r="LFM101" s="3"/>
      <c r="LFN101" s="3"/>
      <c r="LFO101" s="3"/>
      <c r="LFP101" s="3"/>
      <c r="LFQ101" s="3"/>
      <c r="LFR101" s="3"/>
      <c r="LFS101" s="3"/>
      <c r="LFT101" s="3"/>
      <c r="LFU101" s="3"/>
      <c r="LFV101" s="3"/>
      <c r="LFW101" s="3"/>
      <c r="LFX101" s="3"/>
      <c r="LFY101" s="3"/>
      <c r="LFZ101" s="3"/>
      <c r="LGA101" s="3"/>
      <c r="LGB101" s="3"/>
      <c r="LGC101" s="3"/>
      <c r="LGD101" s="3"/>
      <c r="LGE101" s="3"/>
      <c r="LGF101" s="3"/>
      <c r="LGG101" s="3"/>
      <c r="LGH101" s="3"/>
      <c r="LGI101" s="3"/>
      <c r="LGJ101" s="3"/>
      <c r="LGK101" s="3"/>
      <c r="LGL101" s="3"/>
      <c r="LGM101" s="3"/>
      <c r="LGN101" s="3"/>
      <c r="LGO101" s="3"/>
      <c r="LGP101" s="3"/>
      <c r="LGQ101" s="3"/>
      <c r="LGR101" s="3"/>
      <c r="LGS101" s="3"/>
      <c r="LGT101" s="3"/>
      <c r="LGU101" s="3"/>
      <c r="LGV101" s="3"/>
      <c r="LGW101" s="3"/>
      <c r="LGX101" s="3"/>
      <c r="LGY101" s="3"/>
      <c r="LGZ101" s="3"/>
      <c r="LHA101" s="3"/>
      <c r="LHB101" s="3"/>
      <c r="LHC101" s="3"/>
      <c r="LHD101" s="3"/>
      <c r="LHE101" s="3"/>
      <c r="LHF101" s="3"/>
      <c r="LHG101" s="3"/>
      <c r="LHH101" s="3"/>
      <c r="LHI101" s="3"/>
      <c r="LHJ101" s="3"/>
      <c r="LHK101" s="3"/>
      <c r="LHL101" s="3"/>
      <c r="LHM101" s="3"/>
      <c r="LHN101" s="3"/>
      <c r="LHO101" s="3"/>
      <c r="LHP101" s="3"/>
      <c r="LHQ101" s="3"/>
      <c r="LHR101" s="3"/>
      <c r="LHS101" s="3"/>
      <c r="LHT101" s="3"/>
      <c r="LHU101" s="3"/>
      <c r="LHV101" s="3"/>
      <c r="LHW101" s="3"/>
      <c r="LHX101" s="3"/>
      <c r="LHY101" s="3"/>
      <c r="LHZ101" s="3"/>
      <c r="LIA101" s="3"/>
      <c r="LIB101" s="3"/>
      <c r="LIC101" s="3"/>
      <c r="LID101" s="3"/>
      <c r="LIE101" s="3"/>
      <c r="LIF101" s="3"/>
      <c r="LIG101" s="3"/>
      <c r="LIH101" s="3"/>
      <c r="LII101" s="3"/>
      <c r="LIJ101" s="3"/>
      <c r="LIK101" s="3"/>
      <c r="LIL101" s="3"/>
      <c r="LIM101" s="3"/>
      <c r="LIN101" s="3"/>
      <c r="LIO101" s="3"/>
      <c r="LIP101" s="3"/>
      <c r="LIQ101" s="3"/>
      <c r="LIR101" s="3"/>
      <c r="LIS101" s="3"/>
      <c r="LIT101" s="3"/>
      <c r="LIU101" s="3"/>
      <c r="LIV101" s="3"/>
      <c r="LIW101" s="3"/>
      <c r="LIX101" s="3"/>
      <c r="LIY101" s="3"/>
      <c r="LIZ101" s="3"/>
      <c r="LJA101" s="3"/>
      <c r="LJB101" s="3"/>
      <c r="LJC101" s="3"/>
      <c r="LJD101" s="3"/>
      <c r="LJE101" s="3"/>
      <c r="LJF101" s="3"/>
      <c r="LJG101" s="3"/>
      <c r="LJH101" s="3"/>
      <c r="LJI101" s="3"/>
      <c r="LJJ101" s="3"/>
      <c r="LJK101" s="3"/>
      <c r="LJL101" s="3"/>
      <c r="LJM101" s="3"/>
      <c r="LJN101" s="3"/>
      <c r="LJO101" s="3"/>
      <c r="LJP101" s="3"/>
      <c r="LJQ101" s="3"/>
      <c r="LJR101" s="3"/>
      <c r="LJS101" s="3"/>
      <c r="LJT101" s="3"/>
      <c r="LJU101" s="3"/>
      <c r="LJV101" s="3"/>
      <c r="LJW101" s="3"/>
      <c r="LJX101" s="3"/>
      <c r="LJY101" s="3"/>
      <c r="LJZ101" s="3"/>
      <c r="LKA101" s="3"/>
      <c r="LKB101" s="3"/>
      <c r="LKC101" s="3"/>
      <c r="LKD101" s="3"/>
      <c r="LKE101" s="3"/>
      <c r="LKF101" s="3"/>
      <c r="LKG101" s="3"/>
      <c r="LKH101" s="3"/>
      <c r="LKI101" s="3"/>
      <c r="LKJ101" s="3"/>
      <c r="LKK101" s="3"/>
      <c r="LKL101" s="3"/>
      <c r="LKM101" s="3"/>
      <c r="LKN101" s="3"/>
      <c r="LKO101" s="3"/>
      <c r="LKP101" s="3"/>
      <c r="LKQ101" s="3"/>
      <c r="LKR101" s="3"/>
      <c r="LKS101" s="3"/>
      <c r="LKT101" s="3"/>
      <c r="LKU101" s="3"/>
      <c r="LKV101" s="3"/>
      <c r="LKW101" s="3"/>
      <c r="LKX101" s="3"/>
      <c r="LKY101" s="3"/>
      <c r="LKZ101" s="3"/>
      <c r="LLA101" s="3"/>
      <c r="LLB101" s="3"/>
      <c r="LLC101" s="3"/>
      <c r="LLD101" s="3"/>
      <c r="LLE101" s="3"/>
      <c r="LLF101" s="3"/>
      <c r="LLG101" s="3"/>
      <c r="LLH101" s="3"/>
      <c r="LLI101" s="3"/>
      <c r="LLJ101" s="3"/>
      <c r="LLK101" s="3"/>
      <c r="LLL101" s="3"/>
      <c r="LLM101" s="3"/>
      <c r="LLN101" s="3"/>
      <c r="LLO101" s="3"/>
      <c r="LLP101" s="3"/>
      <c r="LLQ101" s="3"/>
      <c r="LLR101" s="3"/>
      <c r="LLS101" s="3"/>
      <c r="LLT101" s="3"/>
      <c r="LLU101" s="3"/>
      <c r="LLV101" s="3"/>
      <c r="LLW101" s="3"/>
      <c r="LLX101" s="3"/>
      <c r="LLY101" s="3"/>
      <c r="LLZ101" s="3"/>
      <c r="LMA101" s="3"/>
      <c r="LMB101" s="3"/>
      <c r="LMC101" s="3"/>
      <c r="LMD101" s="3"/>
      <c r="LME101" s="3"/>
      <c r="LMF101" s="3"/>
      <c r="LMG101" s="3"/>
      <c r="LMH101" s="3"/>
      <c r="LMI101" s="3"/>
      <c r="LMJ101" s="3"/>
      <c r="LMK101" s="3"/>
      <c r="LML101" s="3"/>
      <c r="LMM101" s="3"/>
      <c r="LMN101" s="3"/>
      <c r="LMO101" s="3"/>
      <c r="LMP101" s="3"/>
      <c r="LMQ101" s="3"/>
      <c r="LMR101" s="3"/>
      <c r="LMS101" s="3"/>
      <c r="LMT101" s="3"/>
      <c r="LMU101" s="3"/>
      <c r="LMV101" s="3"/>
      <c r="LMW101" s="3"/>
      <c r="LMX101" s="3"/>
      <c r="LMY101" s="3"/>
      <c r="LMZ101" s="3"/>
      <c r="LNA101" s="3"/>
      <c r="LNB101" s="3"/>
      <c r="LNC101" s="3"/>
      <c r="LND101" s="3"/>
      <c r="LNE101" s="3"/>
      <c r="LNF101" s="3"/>
      <c r="LNG101" s="3"/>
      <c r="LNH101" s="3"/>
      <c r="LNI101" s="3"/>
      <c r="LNJ101" s="3"/>
      <c r="LNK101" s="3"/>
      <c r="LNL101" s="3"/>
      <c r="LNM101" s="3"/>
      <c r="LNN101" s="3"/>
      <c r="LNO101" s="3"/>
      <c r="LNP101" s="3"/>
      <c r="LNQ101" s="3"/>
      <c r="LNR101" s="3"/>
      <c r="LNS101" s="3"/>
      <c r="LNT101" s="3"/>
      <c r="LNU101" s="3"/>
      <c r="LNV101" s="3"/>
      <c r="LNW101" s="3"/>
      <c r="LNX101" s="3"/>
      <c r="LNY101" s="3"/>
      <c r="LNZ101" s="3"/>
      <c r="LOA101" s="3"/>
      <c r="LOB101" s="3"/>
      <c r="LOC101" s="3"/>
      <c r="LOD101" s="3"/>
      <c r="LOE101" s="3"/>
      <c r="LOF101" s="3"/>
      <c r="LOG101" s="3"/>
      <c r="LOH101" s="3"/>
      <c r="LOI101" s="3"/>
      <c r="LOJ101" s="3"/>
      <c r="LOK101" s="3"/>
      <c r="LOL101" s="3"/>
      <c r="LOM101" s="3"/>
      <c r="LON101" s="3"/>
      <c r="LOO101" s="3"/>
      <c r="LOP101" s="3"/>
      <c r="LOQ101" s="3"/>
      <c r="LOR101" s="3"/>
      <c r="LOS101" s="3"/>
      <c r="LOT101" s="3"/>
      <c r="LOU101" s="3"/>
      <c r="LOV101" s="3"/>
      <c r="LOW101" s="3"/>
      <c r="LOX101" s="3"/>
      <c r="LOY101" s="3"/>
      <c r="LOZ101" s="3"/>
      <c r="LPA101" s="3"/>
      <c r="LPB101" s="3"/>
      <c r="LPC101" s="3"/>
      <c r="LPD101" s="3"/>
      <c r="LPE101" s="3"/>
      <c r="LPF101" s="3"/>
      <c r="LPG101" s="3"/>
      <c r="LPH101" s="3"/>
      <c r="LPI101" s="3"/>
      <c r="LPJ101" s="3"/>
      <c r="LPK101" s="3"/>
      <c r="LPL101" s="3"/>
      <c r="LPM101" s="3"/>
      <c r="LPN101" s="3"/>
      <c r="LPO101" s="3"/>
      <c r="LPP101" s="3"/>
      <c r="LPQ101" s="3"/>
      <c r="LPR101" s="3"/>
      <c r="LPS101" s="3"/>
      <c r="LPT101" s="3"/>
      <c r="LPU101" s="3"/>
      <c r="LPV101" s="3"/>
      <c r="LPW101" s="3"/>
      <c r="LPX101" s="3"/>
      <c r="LPY101" s="3"/>
      <c r="LPZ101" s="3"/>
      <c r="LQA101" s="3"/>
      <c r="LQB101" s="3"/>
      <c r="LQC101" s="3"/>
      <c r="LQD101" s="3"/>
      <c r="LQE101" s="3"/>
      <c r="LQF101" s="3"/>
      <c r="LQG101" s="3"/>
      <c r="LQH101" s="3"/>
      <c r="LQI101" s="3"/>
      <c r="LQJ101" s="3"/>
      <c r="LQK101" s="3"/>
      <c r="LQL101" s="3"/>
      <c r="LQM101" s="3"/>
      <c r="LQN101" s="3"/>
      <c r="LQO101" s="3"/>
      <c r="LQP101" s="3"/>
      <c r="LQQ101" s="3"/>
      <c r="LQR101" s="3"/>
      <c r="LQS101" s="3"/>
      <c r="LQT101" s="3"/>
      <c r="LQU101" s="3"/>
      <c r="LQV101" s="3"/>
      <c r="LQW101" s="3"/>
      <c r="LQX101" s="3"/>
      <c r="LQY101" s="3"/>
      <c r="LQZ101" s="3"/>
      <c r="LRA101" s="3"/>
      <c r="LRB101" s="3"/>
      <c r="LRC101" s="3"/>
      <c r="LRD101" s="3"/>
      <c r="LRE101" s="3"/>
      <c r="LRF101" s="3"/>
      <c r="LRG101" s="3"/>
      <c r="LRH101" s="3"/>
      <c r="LRI101" s="3"/>
      <c r="LRJ101" s="3"/>
      <c r="LRK101" s="3"/>
      <c r="LRL101" s="3"/>
      <c r="LRM101" s="3"/>
      <c r="LRN101" s="3"/>
      <c r="LRO101" s="3"/>
      <c r="LRP101" s="3"/>
      <c r="LRQ101" s="3"/>
      <c r="LRR101" s="3"/>
      <c r="LRS101" s="3"/>
      <c r="LRT101" s="3"/>
      <c r="LRU101" s="3"/>
      <c r="LRV101" s="3"/>
      <c r="LRW101" s="3"/>
      <c r="LRX101" s="3"/>
      <c r="LRY101" s="3"/>
      <c r="LRZ101" s="3"/>
      <c r="LSA101" s="3"/>
      <c r="LSB101" s="3"/>
      <c r="LSC101" s="3"/>
      <c r="LSD101" s="3"/>
      <c r="LSE101" s="3"/>
      <c r="LSF101" s="3"/>
      <c r="LSG101" s="3"/>
      <c r="LSH101" s="3"/>
      <c r="LSI101" s="3"/>
      <c r="LSJ101" s="3"/>
      <c r="LSK101" s="3"/>
      <c r="LSL101" s="3"/>
      <c r="LSM101" s="3"/>
      <c r="LSN101" s="3"/>
      <c r="LSO101" s="3"/>
      <c r="LSP101" s="3"/>
      <c r="LSQ101" s="3"/>
      <c r="LSR101" s="3"/>
      <c r="LSS101" s="3"/>
      <c r="LST101" s="3"/>
      <c r="LSU101" s="3"/>
      <c r="LSV101" s="3"/>
      <c r="LSW101" s="3"/>
      <c r="LSX101" s="3"/>
      <c r="LSY101" s="3"/>
      <c r="LSZ101" s="3"/>
      <c r="LTA101" s="3"/>
      <c r="LTB101" s="3"/>
      <c r="LTC101" s="3"/>
      <c r="LTD101" s="3"/>
      <c r="LTE101" s="3"/>
      <c r="LTF101" s="3"/>
      <c r="LTG101" s="3"/>
      <c r="LTH101" s="3"/>
      <c r="LTI101" s="3"/>
      <c r="LTJ101" s="3"/>
      <c r="LTK101" s="3"/>
      <c r="LTL101" s="3"/>
      <c r="LTM101" s="3"/>
      <c r="LTN101" s="3"/>
      <c r="LTO101" s="3"/>
      <c r="LTP101" s="3"/>
      <c r="LTQ101" s="3"/>
      <c r="LTR101" s="3"/>
      <c r="LTS101" s="3"/>
      <c r="LTT101" s="3"/>
      <c r="LTU101" s="3"/>
      <c r="LTV101" s="3"/>
      <c r="LTW101" s="3"/>
      <c r="LTX101" s="3"/>
      <c r="LTY101" s="3"/>
      <c r="LTZ101" s="3"/>
      <c r="LUA101" s="3"/>
      <c r="LUB101" s="3"/>
      <c r="LUC101" s="3"/>
      <c r="LUD101" s="3"/>
      <c r="LUE101" s="3"/>
      <c r="LUF101" s="3"/>
      <c r="LUG101" s="3"/>
      <c r="LUH101" s="3"/>
      <c r="LUI101" s="3"/>
      <c r="LUJ101" s="3"/>
      <c r="LUK101" s="3"/>
      <c r="LUL101" s="3"/>
      <c r="LUM101" s="3"/>
      <c r="LUN101" s="3"/>
      <c r="LUO101" s="3"/>
      <c r="LUP101" s="3"/>
      <c r="LUQ101" s="3"/>
      <c r="LUR101" s="3"/>
      <c r="LUS101" s="3"/>
      <c r="LUT101" s="3"/>
      <c r="LUU101" s="3"/>
      <c r="LUV101" s="3"/>
      <c r="LUW101" s="3"/>
      <c r="LUX101" s="3"/>
      <c r="LUY101" s="3"/>
      <c r="LUZ101" s="3"/>
      <c r="LVA101" s="3"/>
      <c r="LVB101" s="3"/>
      <c r="LVC101" s="3"/>
      <c r="LVD101" s="3"/>
      <c r="LVE101" s="3"/>
      <c r="LVF101" s="3"/>
      <c r="LVG101" s="3"/>
      <c r="LVH101" s="3"/>
      <c r="LVI101" s="3"/>
      <c r="LVJ101" s="3"/>
      <c r="LVK101" s="3"/>
      <c r="LVL101" s="3"/>
      <c r="LVM101" s="3"/>
      <c r="LVN101" s="3"/>
      <c r="LVO101" s="3"/>
      <c r="LVP101" s="3"/>
      <c r="LVQ101" s="3"/>
      <c r="LVR101" s="3"/>
      <c r="LVS101" s="3"/>
      <c r="LVT101" s="3"/>
      <c r="LVU101" s="3"/>
      <c r="LVV101" s="3"/>
      <c r="LVW101" s="3"/>
      <c r="LVX101" s="3"/>
      <c r="LVY101" s="3"/>
      <c r="LVZ101" s="3"/>
      <c r="LWA101" s="3"/>
      <c r="LWB101" s="3"/>
      <c r="LWC101" s="3"/>
      <c r="LWD101" s="3"/>
      <c r="LWE101" s="3"/>
      <c r="LWF101" s="3"/>
      <c r="LWG101" s="3"/>
      <c r="LWH101" s="3"/>
      <c r="LWI101" s="3"/>
      <c r="LWJ101" s="3"/>
      <c r="LWK101" s="3"/>
      <c r="LWL101" s="3"/>
      <c r="LWM101" s="3"/>
      <c r="LWN101" s="3"/>
      <c r="LWO101" s="3"/>
      <c r="LWP101" s="3"/>
      <c r="LWQ101" s="3"/>
      <c r="LWR101" s="3"/>
      <c r="LWS101" s="3"/>
      <c r="LWT101" s="3"/>
      <c r="LWU101" s="3"/>
      <c r="LWV101" s="3"/>
      <c r="LWW101" s="3"/>
      <c r="LWX101" s="3"/>
      <c r="LWY101" s="3"/>
      <c r="LWZ101" s="3"/>
      <c r="LXA101" s="3"/>
      <c r="LXB101" s="3"/>
      <c r="LXC101" s="3"/>
      <c r="LXD101" s="3"/>
      <c r="LXE101" s="3"/>
      <c r="LXF101" s="3"/>
      <c r="LXG101" s="3"/>
      <c r="LXH101" s="3"/>
      <c r="LXI101" s="3"/>
      <c r="LXJ101" s="3"/>
      <c r="LXK101" s="3"/>
      <c r="LXL101" s="3"/>
      <c r="LXM101" s="3"/>
      <c r="LXN101" s="3"/>
      <c r="LXO101" s="3"/>
      <c r="LXP101" s="3"/>
      <c r="LXQ101" s="3"/>
      <c r="LXR101" s="3"/>
      <c r="LXS101" s="3"/>
      <c r="LXT101" s="3"/>
      <c r="LXU101" s="3"/>
      <c r="LXV101" s="3"/>
      <c r="LXW101" s="3"/>
      <c r="LXX101" s="3"/>
      <c r="LXY101" s="3"/>
      <c r="LXZ101" s="3"/>
      <c r="LYA101" s="3"/>
      <c r="LYB101" s="3"/>
      <c r="LYC101" s="3"/>
      <c r="LYD101" s="3"/>
      <c r="LYE101" s="3"/>
      <c r="LYF101" s="3"/>
      <c r="LYG101" s="3"/>
      <c r="LYH101" s="3"/>
      <c r="LYI101" s="3"/>
      <c r="LYJ101" s="3"/>
      <c r="LYK101" s="3"/>
      <c r="LYL101" s="3"/>
      <c r="LYM101" s="3"/>
      <c r="LYN101" s="3"/>
      <c r="LYO101" s="3"/>
      <c r="LYP101" s="3"/>
      <c r="LYQ101" s="3"/>
      <c r="LYR101" s="3"/>
      <c r="LYS101" s="3"/>
      <c r="LYT101" s="3"/>
      <c r="LYU101" s="3"/>
      <c r="LYV101" s="3"/>
      <c r="LYW101" s="3"/>
      <c r="LYX101" s="3"/>
      <c r="LYY101" s="3"/>
      <c r="LYZ101" s="3"/>
      <c r="LZA101" s="3"/>
      <c r="LZB101" s="3"/>
      <c r="LZC101" s="3"/>
      <c r="LZD101" s="3"/>
      <c r="LZE101" s="3"/>
      <c r="LZF101" s="3"/>
      <c r="LZG101" s="3"/>
      <c r="LZH101" s="3"/>
      <c r="LZI101" s="3"/>
      <c r="LZJ101" s="3"/>
      <c r="LZK101" s="3"/>
      <c r="LZL101" s="3"/>
      <c r="LZM101" s="3"/>
      <c r="LZN101" s="3"/>
      <c r="LZO101" s="3"/>
      <c r="LZP101" s="3"/>
      <c r="LZQ101" s="3"/>
      <c r="LZR101" s="3"/>
      <c r="LZS101" s="3"/>
      <c r="LZT101" s="3"/>
      <c r="LZU101" s="3"/>
      <c r="LZV101" s="3"/>
      <c r="LZW101" s="3"/>
      <c r="LZX101" s="3"/>
      <c r="LZY101" s="3"/>
      <c r="LZZ101" s="3"/>
      <c r="MAA101" s="3"/>
      <c r="MAB101" s="3"/>
      <c r="MAC101" s="3"/>
      <c r="MAD101" s="3"/>
      <c r="MAE101" s="3"/>
      <c r="MAF101" s="3"/>
      <c r="MAG101" s="3"/>
      <c r="MAH101" s="3"/>
      <c r="MAI101" s="3"/>
      <c r="MAJ101" s="3"/>
      <c r="MAK101" s="3"/>
      <c r="MAL101" s="3"/>
      <c r="MAM101" s="3"/>
      <c r="MAN101" s="3"/>
      <c r="MAO101" s="3"/>
      <c r="MAP101" s="3"/>
      <c r="MAQ101" s="3"/>
      <c r="MAR101" s="3"/>
      <c r="MAS101" s="3"/>
      <c r="MAT101" s="3"/>
      <c r="MAU101" s="3"/>
      <c r="MAV101" s="3"/>
      <c r="MAW101" s="3"/>
      <c r="MAX101" s="3"/>
      <c r="MAY101" s="3"/>
      <c r="MAZ101" s="3"/>
      <c r="MBA101" s="3"/>
      <c r="MBB101" s="3"/>
      <c r="MBC101" s="3"/>
      <c r="MBD101" s="3"/>
      <c r="MBE101" s="3"/>
      <c r="MBF101" s="3"/>
      <c r="MBG101" s="3"/>
      <c r="MBH101" s="3"/>
      <c r="MBI101" s="3"/>
      <c r="MBJ101" s="3"/>
      <c r="MBK101" s="3"/>
      <c r="MBL101" s="3"/>
      <c r="MBM101" s="3"/>
      <c r="MBN101" s="3"/>
      <c r="MBO101" s="3"/>
      <c r="MBP101" s="3"/>
      <c r="MBQ101" s="3"/>
      <c r="MBR101" s="3"/>
      <c r="MBS101" s="3"/>
      <c r="MBT101" s="3"/>
      <c r="MBU101" s="3"/>
      <c r="MBV101" s="3"/>
      <c r="MBW101" s="3"/>
      <c r="MBX101" s="3"/>
      <c r="MBY101" s="3"/>
      <c r="MBZ101" s="3"/>
      <c r="MCA101" s="3"/>
      <c r="MCB101" s="3"/>
      <c r="MCC101" s="3"/>
      <c r="MCD101" s="3"/>
      <c r="MCE101" s="3"/>
      <c r="MCF101" s="3"/>
      <c r="MCG101" s="3"/>
      <c r="MCH101" s="3"/>
      <c r="MCI101" s="3"/>
      <c r="MCJ101" s="3"/>
      <c r="MCK101" s="3"/>
      <c r="MCL101" s="3"/>
      <c r="MCM101" s="3"/>
      <c r="MCN101" s="3"/>
      <c r="MCO101" s="3"/>
      <c r="MCP101" s="3"/>
      <c r="MCQ101" s="3"/>
      <c r="MCR101" s="3"/>
      <c r="MCS101" s="3"/>
      <c r="MCT101" s="3"/>
      <c r="MCU101" s="3"/>
      <c r="MCV101" s="3"/>
      <c r="MCW101" s="3"/>
      <c r="MCX101" s="3"/>
      <c r="MCY101" s="3"/>
      <c r="MCZ101" s="3"/>
      <c r="MDA101" s="3"/>
      <c r="MDB101" s="3"/>
      <c r="MDC101" s="3"/>
      <c r="MDD101" s="3"/>
      <c r="MDE101" s="3"/>
      <c r="MDF101" s="3"/>
      <c r="MDG101" s="3"/>
      <c r="MDH101" s="3"/>
      <c r="MDI101" s="3"/>
      <c r="MDJ101" s="3"/>
      <c r="MDK101" s="3"/>
      <c r="MDL101" s="3"/>
      <c r="MDM101" s="3"/>
      <c r="MDN101" s="3"/>
      <c r="MDO101" s="3"/>
      <c r="MDP101" s="3"/>
      <c r="MDQ101" s="3"/>
      <c r="MDR101" s="3"/>
      <c r="MDS101" s="3"/>
      <c r="MDT101" s="3"/>
      <c r="MDU101" s="3"/>
      <c r="MDV101" s="3"/>
      <c r="MDW101" s="3"/>
      <c r="MDX101" s="3"/>
      <c r="MDY101" s="3"/>
      <c r="MDZ101" s="3"/>
      <c r="MEA101" s="3"/>
      <c r="MEB101" s="3"/>
      <c r="MEC101" s="3"/>
      <c r="MED101" s="3"/>
      <c r="MEE101" s="3"/>
      <c r="MEF101" s="3"/>
      <c r="MEG101" s="3"/>
      <c r="MEH101" s="3"/>
      <c r="MEI101" s="3"/>
      <c r="MEJ101" s="3"/>
      <c r="MEK101" s="3"/>
      <c r="MEL101" s="3"/>
      <c r="MEM101" s="3"/>
      <c r="MEN101" s="3"/>
      <c r="MEO101" s="3"/>
      <c r="MEP101" s="3"/>
      <c r="MEQ101" s="3"/>
      <c r="MER101" s="3"/>
      <c r="MES101" s="3"/>
      <c r="MET101" s="3"/>
      <c r="MEU101" s="3"/>
      <c r="MEV101" s="3"/>
      <c r="MEW101" s="3"/>
      <c r="MEX101" s="3"/>
      <c r="MEY101" s="3"/>
      <c r="MEZ101" s="3"/>
      <c r="MFA101" s="3"/>
      <c r="MFB101" s="3"/>
      <c r="MFC101" s="3"/>
      <c r="MFD101" s="3"/>
      <c r="MFE101" s="3"/>
      <c r="MFF101" s="3"/>
      <c r="MFG101" s="3"/>
      <c r="MFH101" s="3"/>
      <c r="MFI101" s="3"/>
      <c r="MFJ101" s="3"/>
      <c r="MFK101" s="3"/>
      <c r="MFL101" s="3"/>
      <c r="MFM101" s="3"/>
      <c r="MFN101" s="3"/>
      <c r="MFO101" s="3"/>
      <c r="MFP101" s="3"/>
      <c r="MFQ101" s="3"/>
      <c r="MFR101" s="3"/>
      <c r="MFS101" s="3"/>
      <c r="MFT101" s="3"/>
      <c r="MFU101" s="3"/>
      <c r="MFV101" s="3"/>
      <c r="MFW101" s="3"/>
      <c r="MFX101" s="3"/>
      <c r="MFY101" s="3"/>
      <c r="MFZ101" s="3"/>
      <c r="MGA101" s="3"/>
      <c r="MGB101" s="3"/>
      <c r="MGC101" s="3"/>
      <c r="MGD101" s="3"/>
      <c r="MGE101" s="3"/>
      <c r="MGF101" s="3"/>
      <c r="MGG101" s="3"/>
      <c r="MGH101" s="3"/>
      <c r="MGI101" s="3"/>
      <c r="MGJ101" s="3"/>
      <c r="MGK101" s="3"/>
      <c r="MGL101" s="3"/>
      <c r="MGM101" s="3"/>
      <c r="MGN101" s="3"/>
      <c r="MGO101" s="3"/>
      <c r="MGP101" s="3"/>
      <c r="MGQ101" s="3"/>
      <c r="MGR101" s="3"/>
      <c r="MGS101" s="3"/>
      <c r="MGT101" s="3"/>
      <c r="MGU101" s="3"/>
      <c r="MGV101" s="3"/>
      <c r="MGW101" s="3"/>
      <c r="MGX101" s="3"/>
      <c r="MGY101" s="3"/>
      <c r="MGZ101" s="3"/>
      <c r="MHA101" s="3"/>
      <c r="MHB101" s="3"/>
      <c r="MHC101" s="3"/>
      <c r="MHD101" s="3"/>
      <c r="MHE101" s="3"/>
      <c r="MHF101" s="3"/>
      <c r="MHG101" s="3"/>
      <c r="MHH101" s="3"/>
      <c r="MHI101" s="3"/>
      <c r="MHJ101" s="3"/>
      <c r="MHK101" s="3"/>
      <c r="MHL101" s="3"/>
      <c r="MHM101" s="3"/>
      <c r="MHN101" s="3"/>
      <c r="MHO101" s="3"/>
      <c r="MHP101" s="3"/>
      <c r="MHQ101" s="3"/>
      <c r="MHR101" s="3"/>
      <c r="MHS101" s="3"/>
      <c r="MHT101" s="3"/>
      <c r="MHU101" s="3"/>
      <c r="MHV101" s="3"/>
      <c r="MHW101" s="3"/>
      <c r="MHX101" s="3"/>
      <c r="MHY101" s="3"/>
      <c r="MHZ101" s="3"/>
      <c r="MIA101" s="3"/>
      <c r="MIB101" s="3"/>
      <c r="MIC101" s="3"/>
      <c r="MID101" s="3"/>
      <c r="MIE101" s="3"/>
      <c r="MIF101" s="3"/>
      <c r="MIG101" s="3"/>
      <c r="MIH101" s="3"/>
      <c r="MII101" s="3"/>
      <c r="MIJ101" s="3"/>
      <c r="MIK101" s="3"/>
      <c r="MIL101" s="3"/>
      <c r="MIM101" s="3"/>
      <c r="MIN101" s="3"/>
      <c r="MIO101" s="3"/>
      <c r="MIP101" s="3"/>
      <c r="MIQ101" s="3"/>
      <c r="MIR101" s="3"/>
      <c r="MIS101" s="3"/>
      <c r="MIT101" s="3"/>
      <c r="MIU101" s="3"/>
      <c r="MIV101" s="3"/>
      <c r="MIW101" s="3"/>
      <c r="MIX101" s="3"/>
      <c r="MIY101" s="3"/>
      <c r="MIZ101" s="3"/>
      <c r="MJA101" s="3"/>
      <c r="MJB101" s="3"/>
      <c r="MJC101" s="3"/>
      <c r="MJD101" s="3"/>
      <c r="MJE101" s="3"/>
      <c r="MJF101" s="3"/>
      <c r="MJG101" s="3"/>
      <c r="MJH101" s="3"/>
      <c r="MJI101" s="3"/>
      <c r="MJJ101" s="3"/>
      <c r="MJK101" s="3"/>
      <c r="MJL101" s="3"/>
      <c r="MJM101" s="3"/>
      <c r="MJN101" s="3"/>
      <c r="MJO101" s="3"/>
      <c r="MJP101" s="3"/>
      <c r="MJQ101" s="3"/>
      <c r="MJR101" s="3"/>
      <c r="MJS101" s="3"/>
      <c r="MJT101" s="3"/>
      <c r="MJU101" s="3"/>
      <c r="MJV101" s="3"/>
      <c r="MJW101" s="3"/>
      <c r="MJX101" s="3"/>
      <c r="MJY101" s="3"/>
      <c r="MJZ101" s="3"/>
      <c r="MKA101" s="3"/>
      <c r="MKB101" s="3"/>
      <c r="MKC101" s="3"/>
      <c r="MKD101" s="3"/>
      <c r="MKE101" s="3"/>
      <c r="MKF101" s="3"/>
      <c r="MKG101" s="3"/>
      <c r="MKH101" s="3"/>
      <c r="MKI101" s="3"/>
      <c r="MKJ101" s="3"/>
      <c r="MKK101" s="3"/>
      <c r="MKL101" s="3"/>
      <c r="MKM101" s="3"/>
      <c r="MKN101" s="3"/>
      <c r="MKO101" s="3"/>
      <c r="MKP101" s="3"/>
      <c r="MKQ101" s="3"/>
      <c r="MKR101" s="3"/>
      <c r="MKS101" s="3"/>
      <c r="MKT101" s="3"/>
      <c r="MKU101" s="3"/>
      <c r="MKV101" s="3"/>
      <c r="MKW101" s="3"/>
      <c r="MKX101" s="3"/>
      <c r="MKY101" s="3"/>
      <c r="MKZ101" s="3"/>
      <c r="MLA101" s="3"/>
      <c r="MLB101" s="3"/>
      <c r="MLC101" s="3"/>
      <c r="MLD101" s="3"/>
      <c r="MLE101" s="3"/>
      <c r="MLF101" s="3"/>
      <c r="MLG101" s="3"/>
      <c r="MLH101" s="3"/>
      <c r="MLI101" s="3"/>
      <c r="MLJ101" s="3"/>
      <c r="MLK101" s="3"/>
      <c r="MLL101" s="3"/>
      <c r="MLM101" s="3"/>
      <c r="MLN101" s="3"/>
      <c r="MLO101" s="3"/>
      <c r="MLP101" s="3"/>
      <c r="MLQ101" s="3"/>
      <c r="MLR101" s="3"/>
      <c r="MLS101" s="3"/>
      <c r="MLT101" s="3"/>
      <c r="MLU101" s="3"/>
      <c r="MLV101" s="3"/>
      <c r="MLW101" s="3"/>
      <c r="MLX101" s="3"/>
      <c r="MLY101" s="3"/>
      <c r="MLZ101" s="3"/>
      <c r="MMA101" s="3"/>
      <c r="MMB101" s="3"/>
      <c r="MMC101" s="3"/>
      <c r="MMD101" s="3"/>
      <c r="MME101" s="3"/>
      <c r="MMF101" s="3"/>
      <c r="MMG101" s="3"/>
      <c r="MMH101" s="3"/>
      <c r="MMI101" s="3"/>
      <c r="MMJ101" s="3"/>
      <c r="MMK101" s="3"/>
      <c r="MML101" s="3"/>
      <c r="MMM101" s="3"/>
      <c r="MMN101" s="3"/>
      <c r="MMO101" s="3"/>
      <c r="MMP101" s="3"/>
      <c r="MMQ101" s="3"/>
      <c r="MMR101" s="3"/>
      <c r="MMS101" s="3"/>
      <c r="MMT101" s="3"/>
      <c r="MMU101" s="3"/>
      <c r="MMV101" s="3"/>
      <c r="MMW101" s="3"/>
      <c r="MMX101" s="3"/>
      <c r="MMY101" s="3"/>
      <c r="MMZ101" s="3"/>
      <c r="MNA101" s="3"/>
      <c r="MNB101" s="3"/>
      <c r="MNC101" s="3"/>
      <c r="MND101" s="3"/>
      <c r="MNE101" s="3"/>
      <c r="MNF101" s="3"/>
      <c r="MNG101" s="3"/>
      <c r="MNH101" s="3"/>
      <c r="MNI101" s="3"/>
      <c r="MNJ101" s="3"/>
      <c r="MNK101" s="3"/>
      <c r="MNL101" s="3"/>
      <c r="MNM101" s="3"/>
      <c r="MNN101" s="3"/>
      <c r="MNO101" s="3"/>
      <c r="MNP101" s="3"/>
      <c r="MNQ101" s="3"/>
      <c r="MNR101" s="3"/>
      <c r="MNS101" s="3"/>
      <c r="MNT101" s="3"/>
      <c r="MNU101" s="3"/>
      <c r="MNV101" s="3"/>
      <c r="MNW101" s="3"/>
      <c r="MNX101" s="3"/>
      <c r="MNY101" s="3"/>
      <c r="MNZ101" s="3"/>
      <c r="MOA101" s="3"/>
      <c r="MOB101" s="3"/>
      <c r="MOC101" s="3"/>
      <c r="MOD101" s="3"/>
      <c r="MOE101" s="3"/>
      <c r="MOF101" s="3"/>
      <c r="MOG101" s="3"/>
      <c r="MOH101" s="3"/>
      <c r="MOI101" s="3"/>
      <c r="MOJ101" s="3"/>
      <c r="MOK101" s="3"/>
      <c r="MOL101" s="3"/>
      <c r="MOM101" s="3"/>
      <c r="MON101" s="3"/>
      <c r="MOO101" s="3"/>
      <c r="MOP101" s="3"/>
      <c r="MOQ101" s="3"/>
      <c r="MOR101" s="3"/>
      <c r="MOS101" s="3"/>
      <c r="MOT101" s="3"/>
      <c r="MOU101" s="3"/>
      <c r="MOV101" s="3"/>
      <c r="MOW101" s="3"/>
      <c r="MOX101" s="3"/>
      <c r="MOY101" s="3"/>
      <c r="MOZ101" s="3"/>
      <c r="MPA101" s="3"/>
      <c r="MPB101" s="3"/>
      <c r="MPC101" s="3"/>
      <c r="MPD101" s="3"/>
      <c r="MPE101" s="3"/>
      <c r="MPF101" s="3"/>
      <c r="MPG101" s="3"/>
      <c r="MPH101" s="3"/>
      <c r="MPI101" s="3"/>
      <c r="MPJ101" s="3"/>
      <c r="MPK101" s="3"/>
      <c r="MPL101" s="3"/>
      <c r="MPM101" s="3"/>
      <c r="MPN101" s="3"/>
      <c r="MPO101" s="3"/>
      <c r="MPP101" s="3"/>
      <c r="MPQ101" s="3"/>
      <c r="MPR101" s="3"/>
      <c r="MPS101" s="3"/>
      <c r="MPT101" s="3"/>
      <c r="MPU101" s="3"/>
      <c r="MPV101" s="3"/>
      <c r="MPW101" s="3"/>
      <c r="MPX101" s="3"/>
      <c r="MPY101" s="3"/>
      <c r="MPZ101" s="3"/>
      <c r="MQA101" s="3"/>
      <c r="MQB101" s="3"/>
      <c r="MQC101" s="3"/>
      <c r="MQD101" s="3"/>
      <c r="MQE101" s="3"/>
      <c r="MQF101" s="3"/>
      <c r="MQG101" s="3"/>
      <c r="MQH101" s="3"/>
      <c r="MQI101" s="3"/>
      <c r="MQJ101" s="3"/>
      <c r="MQK101" s="3"/>
      <c r="MQL101" s="3"/>
      <c r="MQM101" s="3"/>
      <c r="MQN101" s="3"/>
      <c r="MQO101" s="3"/>
      <c r="MQP101" s="3"/>
      <c r="MQQ101" s="3"/>
      <c r="MQR101" s="3"/>
      <c r="MQS101" s="3"/>
      <c r="MQT101" s="3"/>
      <c r="MQU101" s="3"/>
      <c r="MQV101" s="3"/>
      <c r="MQW101" s="3"/>
      <c r="MQX101" s="3"/>
      <c r="MQY101" s="3"/>
      <c r="MQZ101" s="3"/>
      <c r="MRA101" s="3"/>
      <c r="MRB101" s="3"/>
      <c r="MRC101" s="3"/>
      <c r="MRD101" s="3"/>
      <c r="MRE101" s="3"/>
      <c r="MRF101" s="3"/>
      <c r="MRG101" s="3"/>
      <c r="MRH101" s="3"/>
      <c r="MRI101" s="3"/>
      <c r="MRJ101" s="3"/>
      <c r="MRK101" s="3"/>
      <c r="MRL101" s="3"/>
      <c r="MRM101" s="3"/>
      <c r="MRN101" s="3"/>
      <c r="MRO101" s="3"/>
      <c r="MRP101" s="3"/>
      <c r="MRQ101" s="3"/>
      <c r="MRR101" s="3"/>
      <c r="MRS101" s="3"/>
      <c r="MRT101" s="3"/>
      <c r="MRU101" s="3"/>
      <c r="MRV101" s="3"/>
      <c r="MRW101" s="3"/>
      <c r="MRX101" s="3"/>
      <c r="MRY101" s="3"/>
      <c r="MRZ101" s="3"/>
      <c r="MSA101" s="3"/>
      <c r="MSB101" s="3"/>
      <c r="MSC101" s="3"/>
      <c r="MSD101" s="3"/>
      <c r="MSE101" s="3"/>
      <c r="MSF101" s="3"/>
      <c r="MSG101" s="3"/>
      <c r="MSH101" s="3"/>
      <c r="MSI101" s="3"/>
      <c r="MSJ101" s="3"/>
      <c r="MSK101" s="3"/>
      <c r="MSL101" s="3"/>
      <c r="MSM101" s="3"/>
      <c r="MSN101" s="3"/>
      <c r="MSO101" s="3"/>
      <c r="MSP101" s="3"/>
      <c r="MSQ101" s="3"/>
      <c r="MSR101" s="3"/>
      <c r="MSS101" s="3"/>
      <c r="MST101" s="3"/>
      <c r="MSU101" s="3"/>
      <c r="MSV101" s="3"/>
      <c r="MSW101" s="3"/>
      <c r="MSX101" s="3"/>
      <c r="MSY101" s="3"/>
      <c r="MSZ101" s="3"/>
      <c r="MTA101" s="3"/>
      <c r="MTB101" s="3"/>
      <c r="MTC101" s="3"/>
      <c r="MTD101" s="3"/>
      <c r="MTE101" s="3"/>
      <c r="MTF101" s="3"/>
      <c r="MTG101" s="3"/>
      <c r="MTH101" s="3"/>
      <c r="MTI101" s="3"/>
      <c r="MTJ101" s="3"/>
      <c r="MTK101" s="3"/>
      <c r="MTL101" s="3"/>
      <c r="MTM101" s="3"/>
      <c r="MTN101" s="3"/>
      <c r="MTO101" s="3"/>
      <c r="MTP101" s="3"/>
      <c r="MTQ101" s="3"/>
      <c r="MTR101" s="3"/>
      <c r="MTS101" s="3"/>
      <c r="MTT101" s="3"/>
      <c r="MTU101" s="3"/>
      <c r="MTV101" s="3"/>
      <c r="MTW101" s="3"/>
      <c r="MTX101" s="3"/>
      <c r="MTY101" s="3"/>
      <c r="MTZ101" s="3"/>
      <c r="MUA101" s="3"/>
      <c r="MUB101" s="3"/>
      <c r="MUC101" s="3"/>
      <c r="MUD101" s="3"/>
      <c r="MUE101" s="3"/>
      <c r="MUF101" s="3"/>
      <c r="MUG101" s="3"/>
      <c r="MUH101" s="3"/>
      <c r="MUI101" s="3"/>
      <c r="MUJ101" s="3"/>
      <c r="MUK101" s="3"/>
      <c r="MUL101" s="3"/>
      <c r="MUM101" s="3"/>
      <c r="MUN101" s="3"/>
      <c r="MUO101" s="3"/>
      <c r="MUP101" s="3"/>
      <c r="MUQ101" s="3"/>
      <c r="MUR101" s="3"/>
      <c r="MUS101" s="3"/>
      <c r="MUT101" s="3"/>
      <c r="MUU101" s="3"/>
      <c r="MUV101" s="3"/>
      <c r="MUW101" s="3"/>
      <c r="MUX101" s="3"/>
      <c r="MUY101" s="3"/>
      <c r="MUZ101" s="3"/>
      <c r="MVA101" s="3"/>
      <c r="MVB101" s="3"/>
      <c r="MVC101" s="3"/>
      <c r="MVD101" s="3"/>
      <c r="MVE101" s="3"/>
      <c r="MVF101" s="3"/>
      <c r="MVG101" s="3"/>
      <c r="MVH101" s="3"/>
      <c r="MVI101" s="3"/>
      <c r="MVJ101" s="3"/>
      <c r="MVK101" s="3"/>
      <c r="MVL101" s="3"/>
      <c r="MVM101" s="3"/>
      <c r="MVN101" s="3"/>
      <c r="MVO101" s="3"/>
      <c r="MVP101" s="3"/>
      <c r="MVQ101" s="3"/>
      <c r="MVR101" s="3"/>
      <c r="MVS101" s="3"/>
      <c r="MVT101" s="3"/>
      <c r="MVU101" s="3"/>
      <c r="MVV101" s="3"/>
      <c r="MVW101" s="3"/>
      <c r="MVX101" s="3"/>
      <c r="MVY101" s="3"/>
      <c r="MVZ101" s="3"/>
      <c r="MWA101" s="3"/>
      <c r="MWB101" s="3"/>
      <c r="MWC101" s="3"/>
      <c r="MWD101" s="3"/>
      <c r="MWE101" s="3"/>
      <c r="MWF101" s="3"/>
      <c r="MWG101" s="3"/>
      <c r="MWH101" s="3"/>
      <c r="MWI101" s="3"/>
      <c r="MWJ101" s="3"/>
      <c r="MWK101" s="3"/>
      <c r="MWL101" s="3"/>
      <c r="MWM101" s="3"/>
      <c r="MWN101" s="3"/>
      <c r="MWO101" s="3"/>
      <c r="MWP101" s="3"/>
      <c r="MWQ101" s="3"/>
      <c r="MWR101" s="3"/>
      <c r="MWS101" s="3"/>
      <c r="MWT101" s="3"/>
      <c r="MWU101" s="3"/>
      <c r="MWV101" s="3"/>
      <c r="MWW101" s="3"/>
      <c r="MWX101" s="3"/>
      <c r="MWY101" s="3"/>
      <c r="MWZ101" s="3"/>
      <c r="MXA101" s="3"/>
      <c r="MXB101" s="3"/>
      <c r="MXC101" s="3"/>
      <c r="MXD101" s="3"/>
      <c r="MXE101" s="3"/>
      <c r="MXF101" s="3"/>
      <c r="MXG101" s="3"/>
      <c r="MXH101" s="3"/>
      <c r="MXI101" s="3"/>
      <c r="MXJ101" s="3"/>
      <c r="MXK101" s="3"/>
      <c r="MXL101" s="3"/>
      <c r="MXM101" s="3"/>
      <c r="MXN101" s="3"/>
      <c r="MXO101" s="3"/>
      <c r="MXP101" s="3"/>
      <c r="MXQ101" s="3"/>
      <c r="MXR101" s="3"/>
      <c r="MXS101" s="3"/>
      <c r="MXT101" s="3"/>
      <c r="MXU101" s="3"/>
      <c r="MXV101" s="3"/>
      <c r="MXW101" s="3"/>
      <c r="MXX101" s="3"/>
      <c r="MXY101" s="3"/>
      <c r="MXZ101" s="3"/>
      <c r="MYA101" s="3"/>
      <c r="MYB101" s="3"/>
      <c r="MYC101" s="3"/>
      <c r="MYD101" s="3"/>
      <c r="MYE101" s="3"/>
      <c r="MYF101" s="3"/>
      <c r="MYG101" s="3"/>
      <c r="MYH101" s="3"/>
      <c r="MYI101" s="3"/>
      <c r="MYJ101" s="3"/>
      <c r="MYK101" s="3"/>
      <c r="MYL101" s="3"/>
      <c r="MYM101" s="3"/>
      <c r="MYN101" s="3"/>
      <c r="MYO101" s="3"/>
      <c r="MYP101" s="3"/>
      <c r="MYQ101" s="3"/>
      <c r="MYR101" s="3"/>
      <c r="MYS101" s="3"/>
      <c r="MYT101" s="3"/>
      <c r="MYU101" s="3"/>
      <c r="MYV101" s="3"/>
      <c r="MYW101" s="3"/>
      <c r="MYX101" s="3"/>
      <c r="MYY101" s="3"/>
      <c r="MYZ101" s="3"/>
      <c r="MZA101" s="3"/>
      <c r="MZB101" s="3"/>
      <c r="MZC101" s="3"/>
      <c r="MZD101" s="3"/>
      <c r="MZE101" s="3"/>
      <c r="MZF101" s="3"/>
      <c r="MZG101" s="3"/>
      <c r="MZH101" s="3"/>
      <c r="MZI101" s="3"/>
      <c r="MZJ101" s="3"/>
      <c r="MZK101" s="3"/>
      <c r="MZL101" s="3"/>
      <c r="MZM101" s="3"/>
      <c r="MZN101" s="3"/>
      <c r="MZO101" s="3"/>
      <c r="MZP101" s="3"/>
      <c r="MZQ101" s="3"/>
      <c r="MZR101" s="3"/>
      <c r="MZS101" s="3"/>
      <c r="MZT101" s="3"/>
      <c r="MZU101" s="3"/>
      <c r="MZV101" s="3"/>
      <c r="MZW101" s="3"/>
      <c r="MZX101" s="3"/>
      <c r="MZY101" s="3"/>
      <c r="MZZ101" s="3"/>
      <c r="NAA101" s="3"/>
      <c r="NAB101" s="3"/>
      <c r="NAC101" s="3"/>
      <c r="NAD101" s="3"/>
      <c r="NAE101" s="3"/>
      <c r="NAF101" s="3"/>
      <c r="NAG101" s="3"/>
      <c r="NAH101" s="3"/>
      <c r="NAI101" s="3"/>
      <c r="NAJ101" s="3"/>
      <c r="NAK101" s="3"/>
      <c r="NAL101" s="3"/>
      <c r="NAM101" s="3"/>
      <c r="NAN101" s="3"/>
      <c r="NAO101" s="3"/>
      <c r="NAP101" s="3"/>
      <c r="NAQ101" s="3"/>
      <c r="NAR101" s="3"/>
      <c r="NAS101" s="3"/>
      <c r="NAT101" s="3"/>
      <c r="NAU101" s="3"/>
      <c r="NAV101" s="3"/>
      <c r="NAW101" s="3"/>
      <c r="NAX101" s="3"/>
      <c r="NAY101" s="3"/>
      <c r="NAZ101" s="3"/>
      <c r="NBA101" s="3"/>
      <c r="NBB101" s="3"/>
      <c r="NBC101" s="3"/>
      <c r="NBD101" s="3"/>
      <c r="NBE101" s="3"/>
      <c r="NBF101" s="3"/>
      <c r="NBG101" s="3"/>
      <c r="NBH101" s="3"/>
      <c r="NBI101" s="3"/>
      <c r="NBJ101" s="3"/>
      <c r="NBK101" s="3"/>
      <c r="NBL101" s="3"/>
      <c r="NBM101" s="3"/>
      <c r="NBN101" s="3"/>
      <c r="NBO101" s="3"/>
      <c r="NBP101" s="3"/>
      <c r="NBQ101" s="3"/>
      <c r="NBR101" s="3"/>
      <c r="NBS101" s="3"/>
      <c r="NBT101" s="3"/>
      <c r="NBU101" s="3"/>
      <c r="NBV101" s="3"/>
      <c r="NBW101" s="3"/>
      <c r="NBX101" s="3"/>
      <c r="NBY101" s="3"/>
      <c r="NBZ101" s="3"/>
      <c r="NCA101" s="3"/>
      <c r="NCB101" s="3"/>
      <c r="NCC101" s="3"/>
      <c r="NCD101" s="3"/>
      <c r="NCE101" s="3"/>
      <c r="NCF101" s="3"/>
      <c r="NCG101" s="3"/>
      <c r="NCH101" s="3"/>
      <c r="NCI101" s="3"/>
      <c r="NCJ101" s="3"/>
      <c r="NCK101" s="3"/>
      <c r="NCL101" s="3"/>
      <c r="NCM101" s="3"/>
      <c r="NCN101" s="3"/>
      <c r="NCO101" s="3"/>
      <c r="NCP101" s="3"/>
      <c r="NCQ101" s="3"/>
      <c r="NCR101" s="3"/>
      <c r="NCS101" s="3"/>
      <c r="NCT101" s="3"/>
      <c r="NCU101" s="3"/>
      <c r="NCV101" s="3"/>
      <c r="NCW101" s="3"/>
      <c r="NCX101" s="3"/>
      <c r="NCY101" s="3"/>
      <c r="NCZ101" s="3"/>
      <c r="NDA101" s="3"/>
      <c r="NDB101" s="3"/>
      <c r="NDC101" s="3"/>
      <c r="NDD101" s="3"/>
      <c r="NDE101" s="3"/>
      <c r="NDF101" s="3"/>
      <c r="NDG101" s="3"/>
      <c r="NDH101" s="3"/>
      <c r="NDI101" s="3"/>
      <c r="NDJ101" s="3"/>
      <c r="NDK101" s="3"/>
      <c r="NDL101" s="3"/>
      <c r="NDM101" s="3"/>
      <c r="NDN101" s="3"/>
      <c r="NDO101" s="3"/>
      <c r="NDP101" s="3"/>
      <c r="NDQ101" s="3"/>
      <c r="NDR101" s="3"/>
      <c r="NDS101" s="3"/>
      <c r="NDT101" s="3"/>
      <c r="NDU101" s="3"/>
      <c r="NDV101" s="3"/>
      <c r="NDW101" s="3"/>
      <c r="NDX101" s="3"/>
      <c r="NDY101" s="3"/>
      <c r="NDZ101" s="3"/>
      <c r="NEA101" s="3"/>
      <c r="NEB101" s="3"/>
      <c r="NEC101" s="3"/>
      <c r="NED101" s="3"/>
      <c r="NEE101" s="3"/>
      <c r="NEF101" s="3"/>
      <c r="NEG101" s="3"/>
      <c r="NEH101" s="3"/>
      <c r="NEI101" s="3"/>
      <c r="NEJ101" s="3"/>
      <c r="NEK101" s="3"/>
      <c r="NEL101" s="3"/>
      <c r="NEM101" s="3"/>
      <c r="NEN101" s="3"/>
      <c r="NEO101" s="3"/>
      <c r="NEP101" s="3"/>
      <c r="NEQ101" s="3"/>
      <c r="NER101" s="3"/>
      <c r="NES101" s="3"/>
      <c r="NET101" s="3"/>
      <c r="NEU101" s="3"/>
      <c r="NEV101" s="3"/>
      <c r="NEW101" s="3"/>
      <c r="NEX101" s="3"/>
      <c r="NEY101" s="3"/>
      <c r="NEZ101" s="3"/>
      <c r="NFA101" s="3"/>
      <c r="NFB101" s="3"/>
      <c r="NFC101" s="3"/>
      <c r="NFD101" s="3"/>
      <c r="NFE101" s="3"/>
      <c r="NFF101" s="3"/>
      <c r="NFG101" s="3"/>
      <c r="NFH101" s="3"/>
      <c r="NFI101" s="3"/>
      <c r="NFJ101" s="3"/>
      <c r="NFK101" s="3"/>
      <c r="NFL101" s="3"/>
      <c r="NFM101" s="3"/>
      <c r="NFN101" s="3"/>
      <c r="NFO101" s="3"/>
      <c r="NFP101" s="3"/>
      <c r="NFQ101" s="3"/>
      <c r="NFR101" s="3"/>
      <c r="NFS101" s="3"/>
      <c r="NFT101" s="3"/>
      <c r="NFU101" s="3"/>
      <c r="NFV101" s="3"/>
      <c r="NFW101" s="3"/>
      <c r="NFX101" s="3"/>
      <c r="NFY101" s="3"/>
      <c r="NFZ101" s="3"/>
      <c r="NGA101" s="3"/>
      <c r="NGB101" s="3"/>
      <c r="NGC101" s="3"/>
      <c r="NGD101" s="3"/>
      <c r="NGE101" s="3"/>
      <c r="NGF101" s="3"/>
      <c r="NGG101" s="3"/>
      <c r="NGH101" s="3"/>
      <c r="NGI101" s="3"/>
      <c r="NGJ101" s="3"/>
      <c r="NGK101" s="3"/>
      <c r="NGL101" s="3"/>
      <c r="NGM101" s="3"/>
      <c r="NGN101" s="3"/>
      <c r="NGO101" s="3"/>
      <c r="NGP101" s="3"/>
      <c r="NGQ101" s="3"/>
      <c r="NGR101" s="3"/>
      <c r="NGS101" s="3"/>
      <c r="NGT101" s="3"/>
      <c r="NGU101" s="3"/>
      <c r="NGV101" s="3"/>
      <c r="NGW101" s="3"/>
      <c r="NGX101" s="3"/>
      <c r="NGY101" s="3"/>
      <c r="NGZ101" s="3"/>
      <c r="NHA101" s="3"/>
      <c r="NHB101" s="3"/>
      <c r="NHC101" s="3"/>
      <c r="NHD101" s="3"/>
      <c r="NHE101" s="3"/>
      <c r="NHF101" s="3"/>
      <c r="NHG101" s="3"/>
      <c r="NHH101" s="3"/>
      <c r="NHI101" s="3"/>
      <c r="NHJ101" s="3"/>
      <c r="NHK101" s="3"/>
      <c r="NHL101" s="3"/>
      <c r="NHM101" s="3"/>
      <c r="NHN101" s="3"/>
      <c r="NHO101" s="3"/>
      <c r="NHP101" s="3"/>
      <c r="NHQ101" s="3"/>
      <c r="NHR101" s="3"/>
      <c r="NHS101" s="3"/>
      <c r="NHT101" s="3"/>
      <c r="NHU101" s="3"/>
      <c r="NHV101" s="3"/>
      <c r="NHW101" s="3"/>
      <c r="NHX101" s="3"/>
      <c r="NHY101" s="3"/>
      <c r="NHZ101" s="3"/>
      <c r="NIA101" s="3"/>
      <c r="NIB101" s="3"/>
      <c r="NIC101" s="3"/>
      <c r="NID101" s="3"/>
      <c r="NIE101" s="3"/>
      <c r="NIF101" s="3"/>
      <c r="NIG101" s="3"/>
      <c r="NIH101" s="3"/>
      <c r="NII101" s="3"/>
      <c r="NIJ101" s="3"/>
      <c r="NIK101" s="3"/>
      <c r="NIL101" s="3"/>
      <c r="NIM101" s="3"/>
      <c r="NIN101" s="3"/>
      <c r="NIO101" s="3"/>
      <c r="NIP101" s="3"/>
      <c r="NIQ101" s="3"/>
      <c r="NIR101" s="3"/>
      <c r="NIS101" s="3"/>
      <c r="NIT101" s="3"/>
      <c r="NIU101" s="3"/>
      <c r="NIV101" s="3"/>
      <c r="NIW101" s="3"/>
      <c r="NIX101" s="3"/>
      <c r="NIY101" s="3"/>
      <c r="NIZ101" s="3"/>
      <c r="NJA101" s="3"/>
      <c r="NJB101" s="3"/>
      <c r="NJC101" s="3"/>
      <c r="NJD101" s="3"/>
      <c r="NJE101" s="3"/>
      <c r="NJF101" s="3"/>
      <c r="NJG101" s="3"/>
      <c r="NJH101" s="3"/>
      <c r="NJI101" s="3"/>
      <c r="NJJ101" s="3"/>
      <c r="NJK101" s="3"/>
      <c r="NJL101" s="3"/>
      <c r="NJM101" s="3"/>
      <c r="NJN101" s="3"/>
      <c r="NJO101" s="3"/>
      <c r="NJP101" s="3"/>
      <c r="NJQ101" s="3"/>
      <c r="NJR101" s="3"/>
      <c r="NJS101" s="3"/>
      <c r="NJT101" s="3"/>
      <c r="NJU101" s="3"/>
      <c r="NJV101" s="3"/>
      <c r="NJW101" s="3"/>
      <c r="NJX101" s="3"/>
      <c r="NJY101" s="3"/>
      <c r="NJZ101" s="3"/>
      <c r="NKA101" s="3"/>
      <c r="NKB101" s="3"/>
      <c r="NKC101" s="3"/>
      <c r="NKD101" s="3"/>
      <c r="NKE101" s="3"/>
      <c r="NKF101" s="3"/>
      <c r="NKG101" s="3"/>
      <c r="NKH101" s="3"/>
      <c r="NKI101" s="3"/>
      <c r="NKJ101" s="3"/>
      <c r="NKK101" s="3"/>
      <c r="NKL101" s="3"/>
      <c r="NKM101" s="3"/>
      <c r="NKN101" s="3"/>
      <c r="NKO101" s="3"/>
      <c r="NKP101" s="3"/>
      <c r="NKQ101" s="3"/>
      <c r="NKR101" s="3"/>
      <c r="NKS101" s="3"/>
      <c r="NKT101" s="3"/>
      <c r="NKU101" s="3"/>
      <c r="NKV101" s="3"/>
      <c r="NKW101" s="3"/>
      <c r="NKX101" s="3"/>
      <c r="NKY101" s="3"/>
      <c r="NKZ101" s="3"/>
      <c r="NLA101" s="3"/>
      <c r="NLB101" s="3"/>
      <c r="NLC101" s="3"/>
      <c r="NLD101" s="3"/>
      <c r="NLE101" s="3"/>
      <c r="NLF101" s="3"/>
      <c r="NLG101" s="3"/>
      <c r="NLH101" s="3"/>
      <c r="NLI101" s="3"/>
      <c r="NLJ101" s="3"/>
      <c r="NLK101" s="3"/>
      <c r="NLL101" s="3"/>
      <c r="NLM101" s="3"/>
      <c r="NLN101" s="3"/>
      <c r="NLO101" s="3"/>
      <c r="NLP101" s="3"/>
      <c r="NLQ101" s="3"/>
      <c r="NLR101" s="3"/>
      <c r="NLS101" s="3"/>
      <c r="NLT101" s="3"/>
      <c r="NLU101" s="3"/>
      <c r="NLV101" s="3"/>
      <c r="NLW101" s="3"/>
      <c r="NLX101" s="3"/>
      <c r="NLY101" s="3"/>
      <c r="NLZ101" s="3"/>
      <c r="NMA101" s="3"/>
      <c r="NMB101" s="3"/>
      <c r="NMC101" s="3"/>
      <c r="NMD101" s="3"/>
      <c r="NME101" s="3"/>
      <c r="NMF101" s="3"/>
      <c r="NMG101" s="3"/>
      <c r="NMH101" s="3"/>
      <c r="NMI101" s="3"/>
      <c r="NMJ101" s="3"/>
      <c r="NMK101" s="3"/>
      <c r="NML101" s="3"/>
      <c r="NMM101" s="3"/>
      <c r="NMN101" s="3"/>
      <c r="NMO101" s="3"/>
      <c r="NMP101" s="3"/>
      <c r="NMQ101" s="3"/>
      <c r="NMR101" s="3"/>
      <c r="NMS101" s="3"/>
      <c r="NMT101" s="3"/>
      <c r="NMU101" s="3"/>
      <c r="NMV101" s="3"/>
      <c r="NMW101" s="3"/>
      <c r="NMX101" s="3"/>
      <c r="NMY101" s="3"/>
      <c r="NMZ101" s="3"/>
      <c r="NNA101" s="3"/>
      <c r="NNB101" s="3"/>
      <c r="NNC101" s="3"/>
      <c r="NND101" s="3"/>
      <c r="NNE101" s="3"/>
      <c r="NNF101" s="3"/>
      <c r="NNG101" s="3"/>
      <c r="NNH101" s="3"/>
      <c r="NNI101" s="3"/>
      <c r="NNJ101" s="3"/>
      <c r="NNK101" s="3"/>
      <c r="NNL101" s="3"/>
      <c r="NNM101" s="3"/>
      <c r="NNN101" s="3"/>
      <c r="NNO101" s="3"/>
      <c r="NNP101" s="3"/>
      <c r="NNQ101" s="3"/>
      <c r="NNR101" s="3"/>
      <c r="NNS101" s="3"/>
      <c r="NNT101" s="3"/>
      <c r="NNU101" s="3"/>
      <c r="NNV101" s="3"/>
      <c r="NNW101" s="3"/>
      <c r="NNX101" s="3"/>
      <c r="NNY101" s="3"/>
      <c r="NNZ101" s="3"/>
      <c r="NOA101" s="3"/>
      <c r="NOB101" s="3"/>
      <c r="NOC101" s="3"/>
      <c r="NOD101" s="3"/>
      <c r="NOE101" s="3"/>
      <c r="NOF101" s="3"/>
      <c r="NOG101" s="3"/>
      <c r="NOH101" s="3"/>
      <c r="NOI101" s="3"/>
      <c r="NOJ101" s="3"/>
      <c r="NOK101" s="3"/>
      <c r="NOL101" s="3"/>
      <c r="NOM101" s="3"/>
      <c r="NON101" s="3"/>
      <c r="NOO101" s="3"/>
      <c r="NOP101" s="3"/>
      <c r="NOQ101" s="3"/>
      <c r="NOR101" s="3"/>
      <c r="NOS101" s="3"/>
      <c r="NOT101" s="3"/>
      <c r="NOU101" s="3"/>
      <c r="NOV101" s="3"/>
      <c r="NOW101" s="3"/>
      <c r="NOX101" s="3"/>
      <c r="NOY101" s="3"/>
      <c r="NOZ101" s="3"/>
      <c r="NPA101" s="3"/>
      <c r="NPB101" s="3"/>
      <c r="NPC101" s="3"/>
      <c r="NPD101" s="3"/>
      <c r="NPE101" s="3"/>
      <c r="NPF101" s="3"/>
      <c r="NPG101" s="3"/>
      <c r="NPH101" s="3"/>
      <c r="NPI101" s="3"/>
      <c r="NPJ101" s="3"/>
      <c r="NPK101" s="3"/>
      <c r="NPL101" s="3"/>
      <c r="NPM101" s="3"/>
      <c r="NPN101" s="3"/>
      <c r="NPO101" s="3"/>
      <c r="NPP101" s="3"/>
      <c r="NPQ101" s="3"/>
      <c r="NPR101" s="3"/>
      <c r="NPS101" s="3"/>
      <c r="NPT101" s="3"/>
      <c r="NPU101" s="3"/>
      <c r="NPV101" s="3"/>
      <c r="NPW101" s="3"/>
      <c r="NPX101" s="3"/>
      <c r="NPY101" s="3"/>
      <c r="NPZ101" s="3"/>
      <c r="NQA101" s="3"/>
      <c r="NQB101" s="3"/>
      <c r="NQC101" s="3"/>
      <c r="NQD101" s="3"/>
      <c r="NQE101" s="3"/>
      <c r="NQF101" s="3"/>
      <c r="NQG101" s="3"/>
      <c r="NQH101" s="3"/>
      <c r="NQI101" s="3"/>
      <c r="NQJ101" s="3"/>
      <c r="NQK101" s="3"/>
      <c r="NQL101" s="3"/>
      <c r="NQM101" s="3"/>
      <c r="NQN101" s="3"/>
      <c r="NQO101" s="3"/>
      <c r="NQP101" s="3"/>
      <c r="NQQ101" s="3"/>
      <c r="NQR101" s="3"/>
      <c r="NQS101" s="3"/>
      <c r="NQT101" s="3"/>
      <c r="NQU101" s="3"/>
      <c r="NQV101" s="3"/>
      <c r="NQW101" s="3"/>
      <c r="NQX101" s="3"/>
      <c r="NQY101" s="3"/>
      <c r="NQZ101" s="3"/>
      <c r="NRA101" s="3"/>
      <c r="NRB101" s="3"/>
      <c r="NRC101" s="3"/>
      <c r="NRD101" s="3"/>
      <c r="NRE101" s="3"/>
      <c r="NRF101" s="3"/>
      <c r="NRG101" s="3"/>
      <c r="NRH101" s="3"/>
      <c r="NRI101" s="3"/>
      <c r="NRJ101" s="3"/>
      <c r="NRK101" s="3"/>
      <c r="NRL101" s="3"/>
      <c r="NRM101" s="3"/>
      <c r="NRN101" s="3"/>
      <c r="NRO101" s="3"/>
      <c r="NRP101" s="3"/>
      <c r="NRQ101" s="3"/>
      <c r="NRR101" s="3"/>
      <c r="NRS101" s="3"/>
      <c r="NRT101" s="3"/>
      <c r="NRU101" s="3"/>
      <c r="NRV101" s="3"/>
      <c r="NRW101" s="3"/>
      <c r="NRX101" s="3"/>
      <c r="NRY101" s="3"/>
      <c r="NRZ101" s="3"/>
      <c r="NSA101" s="3"/>
      <c r="NSB101" s="3"/>
      <c r="NSC101" s="3"/>
      <c r="NSD101" s="3"/>
      <c r="NSE101" s="3"/>
      <c r="NSF101" s="3"/>
      <c r="NSG101" s="3"/>
      <c r="NSH101" s="3"/>
      <c r="NSI101" s="3"/>
      <c r="NSJ101" s="3"/>
      <c r="NSK101" s="3"/>
      <c r="NSL101" s="3"/>
      <c r="NSM101" s="3"/>
      <c r="NSN101" s="3"/>
      <c r="NSO101" s="3"/>
      <c r="NSP101" s="3"/>
      <c r="NSQ101" s="3"/>
      <c r="NSR101" s="3"/>
      <c r="NSS101" s="3"/>
      <c r="NST101" s="3"/>
      <c r="NSU101" s="3"/>
      <c r="NSV101" s="3"/>
      <c r="NSW101" s="3"/>
      <c r="NSX101" s="3"/>
      <c r="NSY101" s="3"/>
      <c r="NSZ101" s="3"/>
      <c r="NTA101" s="3"/>
      <c r="NTB101" s="3"/>
      <c r="NTC101" s="3"/>
      <c r="NTD101" s="3"/>
      <c r="NTE101" s="3"/>
      <c r="NTF101" s="3"/>
      <c r="NTG101" s="3"/>
      <c r="NTH101" s="3"/>
      <c r="NTI101" s="3"/>
      <c r="NTJ101" s="3"/>
      <c r="NTK101" s="3"/>
      <c r="NTL101" s="3"/>
      <c r="NTM101" s="3"/>
      <c r="NTN101" s="3"/>
      <c r="NTO101" s="3"/>
      <c r="NTP101" s="3"/>
      <c r="NTQ101" s="3"/>
      <c r="NTR101" s="3"/>
      <c r="NTS101" s="3"/>
      <c r="NTT101" s="3"/>
      <c r="NTU101" s="3"/>
      <c r="NTV101" s="3"/>
      <c r="NTW101" s="3"/>
      <c r="NTX101" s="3"/>
      <c r="NTY101" s="3"/>
      <c r="NTZ101" s="3"/>
      <c r="NUA101" s="3"/>
      <c r="NUB101" s="3"/>
      <c r="NUC101" s="3"/>
      <c r="NUD101" s="3"/>
      <c r="NUE101" s="3"/>
      <c r="NUF101" s="3"/>
      <c r="NUG101" s="3"/>
      <c r="NUH101" s="3"/>
      <c r="NUI101" s="3"/>
      <c r="NUJ101" s="3"/>
      <c r="NUK101" s="3"/>
      <c r="NUL101" s="3"/>
      <c r="NUM101" s="3"/>
      <c r="NUN101" s="3"/>
      <c r="NUO101" s="3"/>
      <c r="NUP101" s="3"/>
      <c r="NUQ101" s="3"/>
      <c r="NUR101" s="3"/>
      <c r="NUS101" s="3"/>
      <c r="NUT101" s="3"/>
      <c r="NUU101" s="3"/>
      <c r="NUV101" s="3"/>
      <c r="NUW101" s="3"/>
      <c r="NUX101" s="3"/>
      <c r="NUY101" s="3"/>
      <c r="NUZ101" s="3"/>
      <c r="NVA101" s="3"/>
      <c r="NVB101" s="3"/>
      <c r="NVC101" s="3"/>
      <c r="NVD101" s="3"/>
      <c r="NVE101" s="3"/>
      <c r="NVF101" s="3"/>
      <c r="NVG101" s="3"/>
      <c r="NVH101" s="3"/>
      <c r="NVI101" s="3"/>
      <c r="NVJ101" s="3"/>
      <c r="NVK101" s="3"/>
      <c r="NVL101" s="3"/>
      <c r="NVM101" s="3"/>
      <c r="NVN101" s="3"/>
      <c r="NVO101" s="3"/>
      <c r="NVP101" s="3"/>
      <c r="NVQ101" s="3"/>
      <c r="NVR101" s="3"/>
      <c r="NVS101" s="3"/>
      <c r="NVT101" s="3"/>
      <c r="NVU101" s="3"/>
      <c r="NVV101" s="3"/>
      <c r="NVW101" s="3"/>
      <c r="NVX101" s="3"/>
      <c r="NVY101" s="3"/>
      <c r="NVZ101" s="3"/>
      <c r="NWA101" s="3"/>
      <c r="NWB101" s="3"/>
      <c r="NWC101" s="3"/>
      <c r="NWD101" s="3"/>
      <c r="NWE101" s="3"/>
      <c r="NWF101" s="3"/>
      <c r="NWG101" s="3"/>
      <c r="NWH101" s="3"/>
      <c r="NWI101" s="3"/>
      <c r="NWJ101" s="3"/>
      <c r="NWK101" s="3"/>
      <c r="NWL101" s="3"/>
      <c r="NWM101" s="3"/>
      <c r="NWN101" s="3"/>
      <c r="NWO101" s="3"/>
      <c r="NWP101" s="3"/>
      <c r="NWQ101" s="3"/>
      <c r="NWR101" s="3"/>
      <c r="NWS101" s="3"/>
      <c r="NWT101" s="3"/>
      <c r="NWU101" s="3"/>
      <c r="NWV101" s="3"/>
      <c r="NWW101" s="3"/>
      <c r="NWX101" s="3"/>
      <c r="NWY101" s="3"/>
      <c r="NWZ101" s="3"/>
      <c r="NXA101" s="3"/>
      <c r="NXB101" s="3"/>
      <c r="NXC101" s="3"/>
      <c r="NXD101" s="3"/>
      <c r="NXE101" s="3"/>
      <c r="NXF101" s="3"/>
      <c r="NXG101" s="3"/>
      <c r="NXH101" s="3"/>
      <c r="NXI101" s="3"/>
      <c r="NXJ101" s="3"/>
      <c r="NXK101" s="3"/>
      <c r="NXL101" s="3"/>
      <c r="NXM101" s="3"/>
      <c r="NXN101" s="3"/>
      <c r="NXO101" s="3"/>
      <c r="NXP101" s="3"/>
      <c r="NXQ101" s="3"/>
      <c r="NXR101" s="3"/>
      <c r="NXS101" s="3"/>
      <c r="NXT101" s="3"/>
      <c r="NXU101" s="3"/>
      <c r="NXV101" s="3"/>
      <c r="NXW101" s="3"/>
      <c r="NXX101" s="3"/>
      <c r="NXY101" s="3"/>
      <c r="NXZ101" s="3"/>
      <c r="NYA101" s="3"/>
      <c r="NYB101" s="3"/>
      <c r="NYC101" s="3"/>
      <c r="NYD101" s="3"/>
      <c r="NYE101" s="3"/>
      <c r="NYF101" s="3"/>
      <c r="NYG101" s="3"/>
      <c r="NYH101" s="3"/>
      <c r="NYI101" s="3"/>
      <c r="NYJ101" s="3"/>
      <c r="NYK101" s="3"/>
      <c r="NYL101" s="3"/>
      <c r="NYM101" s="3"/>
      <c r="NYN101" s="3"/>
      <c r="NYO101" s="3"/>
      <c r="NYP101" s="3"/>
      <c r="NYQ101" s="3"/>
      <c r="NYR101" s="3"/>
      <c r="NYS101" s="3"/>
      <c r="NYT101" s="3"/>
      <c r="NYU101" s="3"/>
      <c r="NYV101" s="3"/>
      <c r="NYW101" s="3"/>
      <c r="NYX101" s="3"/>
      <c r="NYY101" s="3"/>
      <c r="NYZ101" s="3"/>
      <c r="NZA101" s="3"/>
      <c r="NZB101" s="3"/>
      <c r="NZC101" s="3"/>
      <c r="NZD101" s="3"/>
      <c r="NZE101" s="3"/>
      <c r="NZF101" s="3"/>
      <c r="NZG101" s="3"/>
      <c r="NZH101" s="3"/>
      <c r="NZI101" s="3"/>
      <c r="NZJ101" s="3"/>
      <c r="NZK101" s="3"/>
      <c r="NZL101" s="3"/>
      <c r="NZM101" s="3"/>
      <c r="NZN101" s="3"/>
      <c r="NZO101" s="3"/>
      <c r="NZP101" s="3"/>
      <c r="NZQ101" s="3"/>
      <c r="NZR101" s="3"/>
      <c r="NZS101" s="3"/>
      <c r="NZT101" s="3"/>
      <c r="NZU101" s="3"/>
      <c r="NZV101" s="3"/>
      <c r="NZW101" s="3"/>
      <c r="NZX101" s="3"/>
      <c r="NZY101" s="3"/>
      <c r="NZZ101" s="3"/>
      <c r="OAA101" s="3"/>
      <c r="OAB101" s="3"/>
      <c r="OAC101" s="3"/>
      <c r="OAD101" s="3"/>
      <c r="OAE101" s="3"/>
      <c r="OAF101" s="3"/>
      <c r="OAG101" s="3"/>
      <c r="OAH101" s="3"/>
      <c r="OAI101" s="3"/>
      <c r="OAJ101" s="3"/>
      <c r="OAK101" s="3"/>
      <c r="OAL101" s="3"/>
      <c r="OAM101" s="3"/>
      <c r="OAN101" s="3"/>
      <c r="OAO101" s="3"/>
      <c r="OAP101" s="3"/>
      <c r="OAQ101" s="3"/>
      <c r="OAR101" s="3"/>
      <c r="OAS101" s="3"/>
      <c r="OAT101" s="3"/>
      <c r="OAU101" s="3"/>
      <c r="OAV101" s="3"/>
      <c r="OAW101" s="3"/>
      <c r="OAX101" s="3"/>
      <c r="OAY101" s="3"/>
      <c r="OAZ101" s="3"/>
      <c r="OBA101" s="3"/>
      <c r="OBB101" s="3"/>
      <c r="OBC101" s="3"/>
      <c r="OBD101" s="3"/>
      <c r="OBE101" s="3"/>
      <c r="OBF101" s="3"/>
      <c r="OBG101" s="3"/>
      <c r="OBH101" s="3"/>
      <c r="OBI101" s="3"/>
      <c r="OBJ101" s="3"/>
      <c r="OBK101" s="3"/>
      <c r="OBL101" s="3"/>
      <c r="OBM101" s="3"/>
      <c r="OBN101" s="3"/>
      <c r="OBO101" s="3"/>
      <c r="OBP101" s="3"/>
      <c r="OBQ101" s="3"/>
      <c r="OBR101" s="3"/>
      <c r="OBS101" s="3"/>
      <c r="OBT101" s="3"/>
      <c r="OBU101" s="3"/>
      <c r="OBV101" s="3"/>
      <c r="OBW101" s="3"/>
      <c r="OBX101" s="3"/>
      <c r="OBY101" s="3"/>
      <c r="OBZ101" s="3"/>
      <c r="OCA101" s="3"/>
      <c r="OCB101" s="3"/>
      <c r="OCC101" s="3"/>
      <c r="OCD101" s="3"/>
      <c r="OCE101" s="3"/>
      <c r="OCF101" s="3"/>
      <c r="OCG101" s="3"/>
      <c r="OCH101" s="3"/>
      <c r="OCI101" s="3"/>
      <c r="OCJ101" s="3"/>
      <c r="OCK101" s="3"/>
      <c r="OCL101" s="3"/>
      <c r="OCM101" s="3"/>
      <c r="OCN101" s="3"/>
      <c r="OCO101" s="3"/>
      <c r="OCP101" s="3"/>
      <c r="OCQ101" s="3"/>
      <c r="OCR101" s="3"/>
      <c r="OCS101" s="3"/>
      <c r="OCT101" s="3"/>
      <c r="OCU101" s="3"/>
      <c r="OCV101" s="3"/>
      <c r="OCW101" s="3"/>
      <c r="OCX101" s="3"/>
      <c r="OCY101" s="3"/>
      <c r="OCZ101" s="3"/>
      <c r="ODA101" s="3"/>
      <c r="ODB101" s="3"/>
      <c r="ODC101" s="3"/>
      <c r="ODD101" s="3"/>
      <c r="ODE101" s="3"/>
      <c r="ODF101" s="3"/>
      <c r="ODG101" s="3"/>
      <c r="ODH101" s="3"/>
      <c r="ODI101" s="3"/>
      <c r="ODJ101" s="3"/>
      <c r="ODK101" s="3"/>
      <c r="ODL101" s="3"/>
      <c r="ODM101" s="3"/>
      <c r="ODN101" s="3"/>
      <c r="ODO101" s="3"/>
      <c r="ODP101" s="3"/>
      <c r="ODQ101" s="3"/>
      <c r="ODR101" s="3"/>
      <c r="ODS101" s="3"/>
      <c r="ODT101" s="3"/>
      <c r="ODU101" s="3"/>
      <c r="ODV101" s="3"/>
      <c r="ODW101" s="3"/>
      <c r="ODX101" s="3"/>
      <c r="ODY101" s="3"/>
      <c r="ODZ101" s="3"/>
      <c r="OEA101" s="3"/>
      <c r="OEB101" s="3"/>
      <c r="OEC101" s="3"/>
      <c r="OED101" s="3"/>
      <c r="OEE101" s="3"/>
      <c r="OEF101" s="3"/>
      <c r="OEG101" s="3"/>
      <c r="OEH101" s="3"/>
      <c r="OEI101" s="3"/>
      <c r="OEJ101" s="3"/>
      <c r="OEK101" s="3"/>
      <c r="OEL101" s="3"/>
      <c r="OEM101" s="3"/>
      <c r="OEN101" s="3"/>
      <c r="OEO101" s="3"/>
      <c r="OEP101" s="3"/>
      <c r="OEQ101" s="3"/>
      <c r="OER101" s="3"/>
      <c r="OES101" s="3"/>
      <c r="OET101" s="3"/>
      <c r="OEU101" s="3"/>
      <c r="OEV101" s="3"/>
      <c r="OEW101" s="3"/>
      <c r="OEX101" s="3"/>
      <c r="OEY101" s="3"/>
      <c r="OEZ101" s="3"/>
      <c r="OFA101" s="3"/>
      <c r="OFB101" s="3"/>
      <c r="OFC101" s="3"/>
      <c r="OFD101" s="3"/>
      <c r="OFE101" s="3"/>
      <c r="OFF101" s="3"/>
      <c r="OFG101" s="3"/>
      <c r="OFH101" s="3"/>
      <c r="OFI101" s="3"/>
      <c r="OFJ101" s="3"/>
      <c r="OFK101" s="3"/>
      <c r="OFL101" s="3"/>
      <c r="OFM101" s="3"/>
      <c r="OFN101" s="3"/>
      <c r="OFO101" s="3"/>
      <c r="OFP101" s="3"/>
      <c r="OFQ101" s="3"/>
      <c r="OFR101" s="3"/>
      <c r="OFS101" s="3"/>
      <c r="OFT101" s="3"/>
      <c r="OFU101" s="3"/>
      <c r="OFV101" s="3"/>
      <c r="OFW101" s="3"/>
      <c r="OFX101" s="3"/>
      <c r="OFY101" s="3"/>
      <c r="OFZ101" s="3"/>
      <c r="OGA101" s="3"/>
      <c r="OGB101" s="3"/>
      <c r="OGC101" s="3"/>
      <c r="OGD101" s="3"/>
      <c r="OGE101" s="3"/>
      <c r="OGF101" s="3"/>
      <c r="OGG101" s="3"/>
      <c r="OGH101" s="3"/>
      <c r="OGI101" s="3"/>
      <c r="OGJ101" s="3"/>
      <c r="OGK101" s="3"/>
      <c r="OGL101" s="3"/>
      <c r="OGM101" s="3"/>
      <c r="OGN101" s="3"/>
      <c r="OGO101" s="3"/>
      <c r="OGP101" s="3"/>
      <c r="OGQ101" s="3"/>
      <c r="OGR101" s="3"/>
      <c r="OGS101" s="3"/>
      <c r="OGT101" s="3"/>
      <c r="OGU101" s="3"/>
      <c r="OGV101" s="3"/>
      <c r="OGW101" s="3"/>
      <c r="OGX101" s="3"/>
      <c r="OGY101" s="3"/>
      <c r="OGZ101" s="3"/>
      <c r="OHA101" s="3"/>
      <c r="OHB101" s="3"/>
      <c r="OHC101" s="3"/>
      <c r="OHD101" s="3"/>
      <c r="OHE101" s="3"/>
      <c r="OHF101" s="3"/>
      <c r="OHG101" s="3"/>
      <c r="OHH101" s="3"/>
      <c r="OHI101" s="3"/>
      <c r="OHJ101" s="3"/>
      <c r="OHK101" s="3"/>
      <c r="OHL101" s="3"/>
      <c r="OHM101" s="3"/>
      <c r="OHN101" s="3"/>
      <c r="OHO101" s="3"/>
      <c r="OHP101" s="3"/>
      <c r="OHQ101" s="3"/>
      <c r="OHR101" s="3"/>
      <c r="OHS101" s="3"/>
      <c r="OHT101" s="3"/>
      <c r="OHU101" s="3"/>
      <c r="OHV101" s="3"/>
      <c r="OHW101" s="3"/>
      <c r="OHX101" s="3"/>
      <c r="OHY101" s="3"/>
      <c r="OHZ101" s="3"/>
      <c r="OIA101" s="3"/>
      <c r="OIB101" s="3"/>
      <c r="OIC101" s="3"/>
      <c r="OID101" s="3"/>
      <c r="OIE101" s="3"/>
      <c r="OIF101" s="3"/>
      <c r="OIG101" s="3"/>
      <c r="OIH101" s="3"/>
      <c r="OII101" s="3"/>
      <c r="OIJ101" s="3"/>
      <c r="OIK101" s="3"/>
      <c r="OIL101" s="3"/>
      <c r="OIM101" s="3"/>
      <c r="OIN101" s="3"/>
      <c r="OIO101" s="3"/>
      <c r="OIP101" s="3"/>
      <c r="OIQ101" s="3"/>
      <c r="OIR101" s="3"/>
      <c r="OIS101" s="3"/>
      <c r="OIT101" s="3"/>
      <c r="OIU101" s="3"/>
      <c r="OIV101" s="3"/>
      <c r="OIW101" s="3"/>
      <c r="OIX101" s="3"/>
      <c r="OIY101" s="3"/>
      <c r="OIZ101" s="3"/>
      <c r="OJA101" s="3"/>
      <c r="OJB101" s="3"/>
      <c r="OJC101" s="3"/>
      <c r="OJD101" s="3"/>
      <c r="OJE101" s="3"/>
      <c r="OJF101" s="3"/>
      <c r="OJG101" s="3"/>
      <c r="OJH101" s="3"/>
      <c r="OJI101" s="3"/>
      <c r="OJJ101" s="3"/>
      <c r="OJK101" s="3"/>
      <c r="OJL101" s="3"/>
      <c r="OJM101" s="3"/>
      <c r="OJN101" s="3"/>
      <c r="OJO101" s="3"/>
      <c r="OJP101" s="3"/>
      <c r="OJQ101" s="3"/>
      <c r="OJR101" s="3"/>
      <c r="OJS101" s="3"/>
      <c r="OJT101" s="3"/>
      <c r="OJU101" s="3"/>
      <c r="OJV101" s="3"/>
      <c r="OJW101" s="3"/>
      <c r="OJX101" s="3"/>
      <c r="OJY101" s="3"/>
      <c r="OJZ101" s="3"/>
      <c r="OKA101" s="3"/>
      <c r="OKB101" s="3"/>
      <c r="OKC101" s="3"/>
      <c r="OKD101" s="3"/>
      <c r="OKE101" s="3"/>
      <c r="OKF101" s="3"/>
      <c r="OKG101" s="3"/>
      <c r="OKH101" s="3"/>
      <c r="OKI101" s="3"/>
      <c r="OKJ101" s="3"/>
      <c r="OKK101" s="3"/>
      <c r="OKL101" s="3"/>
      <c r="OKM101" s="3"/>
      <c r="OKN101" s="3"/>
      <c r="OKO101" s="3"/>
      <c r="OKP101" s="3"/>
      <c r="OKQ101" s="3"/>
      <c r="OKR101" s="3"/>
      <c r="OKS101" s="3"/>
      <c r="OKT101" s="3"/>
      <c r="OKU101" s="3"/>
      <c r="OKV101" s="3"/>
      <c r="OKW101" s="3"/>
      <c r="OKX101" s="3"/>
      <c r="OKY101" s="3"/>
      <c r="OKZ101" s="3"/>
      <c r="OLA101" s="3"/>
      <c r="OLB101" s="3"/>
      <c r="OLC101" s="3"/>
      <c r="OLD101" s="3"/>
      <c r="OLE101" s="3"/>
      <c r="OLF101" s="3"/>
      <c r="OLG101" s="3"/>
      <c r="OLH101" s="3"/>
      <c r="OLI101" s="3"/>
      <c r="OLJ101" s="3"/>
      <c r="OLK101" s="3"/>
      <c r="OLL101" s="3"/>
      <c r="OLM101" s="3"/>
      <c r="OLN101" s="3"/>
      <c r="OLO101" s="3"/>
      <c r="OLP101" s="3"/>
      <c r="OLQ101" s="3"/>
      <c r="OLR101" s="3"/>
      <c r="OLS101" s="3"/>
      <c r="OLT101" s="3"/>
      <c r="OLU101" s="3"/>
      <c r="OLV101" s="3"/>
      <c r="OLW101" s="3"/>
      <c r="OLX101" s="3"/>
      <c r="OLY101" s="3"/>
      <c r="OLZ101" s="3"/>
      <c r="OMA101" s="3"/>
      <c r="OMB101" s="3"/>
      <c r="OMC101" s="3"/>
      <c r="OMD101" s="3"/>
      <c r="OME101" s="3"/>
      <c r="OMF101" s="3"/>
      <c r="OMG101" s="3"/>
      <c r="OMH101" s="3"/>
      <c r="OMI101" s="3"/>
      <c r="OMJ101" s="3"/>
      <c r="OMK101" s="3"/>
      <c r="OML101" s="3"/>
      <c r="OMM101" s="3"/>
      <c r="OMN101" s="3"/>
      <c r="OMO101" s="3"/>
      <c r="OMP101" s="3"/>
      <c r="OMQ101" s="3"/>
      <c r="OMR101" s="3"/>
      <c r="OMS101" s="3"/>
      <c r="OMT101" s="3"/>
      <c r="OMU101" s="3"/>
      <c r="OMV101" s="3"/>
      <c r="OMW101" s="3"/>
      <c r="OMX101" s="3"/>
      <c r="OMY101" s="3"/>
      <c r="OMZ101" s="3"/>
      <c r="ONA101" s="3"/>
      <c r="ONB101" s="3"/>
      <c r="ONC101" s="3"/>
      <c r="OND101" s="3"/>
      <c r="ONE101" s="3"/>
      <c r="ONF101" s="3"/>
      <c r="ONG101" s="3"/>
      <c r="ONH101" s="3"/>
      <c r="ONI101" s="3"/>
      <c r="ONJ101" s="3"/>
      <c r="ONK101" s="3"/>
      <c r="ONL101" s="3"/>
      <c r="ONM101" s="3"/>
      <c r="ONN101" s="3"/>
      <c r="ONO101" s="3"/>
      <c r="ONP101" s="3"/>
      <c r="ONQ101" s="3"/>
      <c r="ONR101" s="3"/>
      <c r="ONS101" s="3"/>
      <c r="ONT101" s="3"/>
      <c r="ONU101" s="3"/>
      <c r="ONV101" s="3"/>
      <c r="ONW101" s="3"/>
      <c r="ONX101" s="3"/>
      <c r="ONY101" s="3"/>
      <c r="ONZ101" s="3"/>
      <c r="OOA101" s="3"/>
      <c r="OOB101" s="3"/>
      <c r="OOC101" s="3"/>
      <c r="OOD101" s="3"/>
      <c r="OOE101" s="3"/>
      <c r="OOF101" s="3"/>
      <c r="OOG101" s="3"/>
      <c r="OOH101" s="3"/>
      <c r="OOI101" s="3"/>
      <c r="OOJ101" s="3"/>
      <c r="OOK101" s="3"/>
      <c r="OOL101" s="3"/>
      <c r="OOM101" s="3"/>
      <c r="OON101" s="3"/>
      <c r="OOO101" s="3"/>
      <c r="OOP101" s="3"/>
      <c r="OOQ101" s="3"/>
      <c r="OOR101" s="3"/>
      <c r="OOS101" s="3"/>
      <c r="OOT101" s="3"/>
      <c r="OOU101" s="3"/>
      <c r="OOV101" s="3"/>
      <c r="OOW101" s="3"/>
      <c r="OOX101" s="3"/>
      <c r="OOY101" s="3"/>
      <c r="OOZ101" s="3"/>
      <c r="OPA101" s="3"/>
      <c r="OPB101" s="3"/>
      <c r="OPC101" s="3"/>
      <c r="OPD101" s="3"/>
      <c r="OPE101" s="3"/>
      <c r="OPF101" s="3"/>
      <c r="OPG101" s="3"/>
      <c r="OPH101" s="3"/>
      <c r="OPI101" s="3"/>
      <c r="OPJ101" s="3"/>
      <c r="OPK101" s="3"/>
      <c r="OPL101" s="3"/>
      <c r="OPM101" s="3"/>
      <c r="OPN101" s="3"/>
      <c r="OPO101" s="3"/>
      <c r="OPP101" s="3"/>
      <c r="OPQ101" s="3"/>
      <c r="OPR101" s="3"/>
      <c r="OPS101" s="3"/>
      <c r="OPT101" s="3"/>
      <c r="OPU101" s="3"/>
      <c r="OPV101" s="3"/>
      <c r="OPW101" s="3"/>
      <c r="OPX101" s="3"/>
      <c r="OPY101" s="3"/>
      <c r="OPZ101" s="3"/>
      <c r="OQA101" s="3"/>
      <c r="OQB101" s="3"/>
      <c r="OQC101" s="3"/>
      <c r="OQD101" s="3"/>
      <c r="OQE101" s="3"/>
      <c r="OQF101" s="3"/>
      <c r="OQG101" s="3"/>
      <c r="OQH101" s="3"/>
      <c r="OQI101" s="3"/>
      <c r="OQJ101" s="3"/>
      <c r="OQK101" s="3"/>
      <c r="OQL101" s="3"/>
      <c r="OQM101" s="3"/>
      <c r="OQN101" s="3"/>
      <c r="OQO101" s="3"/>
      <c r="OQP101" s="3"/>
      <c r="OQQ101" s="3"/>
      <c r="OQR101" s="3"/>
      <c r="OQS101" s="3"/>
      <c r="OQT101" s="3"/>
      <c r="OQU101" s="3"/>
      <c r="OQV101" s="3"/>
      <c r="OQW101" s="3"/>
      <c r="OQX101" s="3"/>
      <c r="OQY101" s="3"/>
      <c r="OQZ101" s="3"/>
      <c r="ORA101" s="3"/>
      <c r="ORB101" s="3"/>
      <c r="ORC101" s="3"/>
      <c r="ORD101" s="3"/>
      <c r="ORE101" s="3"/>
      <c r="ORF101" s="3"/>
      <c r="ORG101" s="3"/>
      <c r="ORH101" s="3"/>
      <c r="ORI101" s="3"/>
      <c r="ORJ101" s="3"/>
      <c r="ORK101" s="3"/>
      <c r="ORL101" s="3"/>
      <c r="ORM101" s="3"/>
      <c r="ORN101" s="3"/>
      <c r="ORO101" s="3"/>
      <c r="ORP101" s="3"/>
      <c r="ORQ101" s="3"/>
      <c r="ORR101" s="3"/>
      <c r="ORS101" s="3"/>
      <c r="ORT101" s="3"/>
      <c r="ORU101" s="3"/>
      <c r="ORV101" s="3"/>
      <c r="ORW101" s="3"/>
      <c r="ORX101" s="3"/>
      <c r="ORY101" s="3"/>
      <c r="ORZ101" s="3"/>
      <c r="OSA101" s="3"/>
      <c r="OSB101" s="3"/>
      <c r="OSC101" s="3"/>
      <c r="OSD101" s="3"/>
      <c r="OSE101" s="3"/>
      <c r="OSF101" s="3"/>
      <c r="OSG101" s="3"/>
      <c r="OSH101" s="3"/>
      <c r="OSI101" s="3"/>
      <c r="OSJ101" s="3"/>
      <c r="OSK101" s="3"/>
      <c r="OSL101" s="3"/>
      <c r="OSM101" s="3"/>
      <c r="OSN101" s="3"/>
      <c r="OSO101" s="3"/>
      <c r="OSP101" s="3"/>
      <c r="OSQ101" s="3"/>
      <c r="OSR101" s="3"/>
      <c r="OSS101" s="3"/>
      <c r="OST101" s="3"/>
      <c r="OSU101" s="3"/>
      <c r="OSV101" s="3"/>
      <c r="OSW101" s="3"/>
      <c r="OSX101" s="3"/>
      <c r="OSY101" s="3"/>
      <c r="OSZ101" s="3"/>
      <c r="OTA101" s="3"/>
      <c r="OTB101" s="3"/>
      <c r="OTC101" s="3"/>
      <c r="OTD101" s="3"/>
      <c r="OTE101" s="3"/>
      <c r="OTF101" s="3"/>
      <c r="OTG101" s="3"/>
      <c r="OTH101" s="3"/>
      <c r="OTI101" s="3"/>
      <c r="OTJ101" s="3"/>
      <c r="OTK101" s="3"/>
      <c r="OTL101" s="3"/>
      <c r="OTM101" s="3"/>
      <c r="OTN101" s="3"/>
      <c r="OTO101" s="3"/>
      <c r="OTP101" s="3"/>
      <c r="OTQ101" s="3"/>
      <c r="OTR101" s="3"/>
      <c r="OTS101" s="3"/>
      <c r="OTT101" s="3"/>
      <c r="OTU101" s="3"/>
      <c r="OTV101" s="3"/>
      <c r="OTW101" s="3"/>
      <c r="OTX101" s="3"/>
      <c r="OTY101" s="3"/>
      <c r="OTZ101" s="3"/>
      <c r="OUA101" s="3"/>
      <c r="OUB101" s="3"/>
      <c r="OUC101" s="3"/>
      <c r="OUD101" s="3"/>
      <c r="OUE101" s="3"/>
      <c r="OUF101" s="3"/>
      <c r="OUG101" s="3"/>
      <c r="OUH101" s="3"/>
      <c r="OUI101" s="3"/>
      <c r="OUJ101" s="3"/>
      <c r="OUK101" s="3"/>
      <c r="OUL101" s="3"/>
      <c r="OUM101" s="3"/>
      <c r="OUN101" s="3"/>
      <c r="OUO101" s="3"/>
      <c r="OUP101" s="3"/>
      <c r="OUQ101" s="3"/>
      <c r="OUR101" s="3"/>
      <c r="OUS101" s="3"/>
      <c r="OUT101" s="3"/>
      <c r="OUU101" s="3"/>
      <c r="OUV101" s="3"/>
      <c r="OUW101" s="3"/>
      <c r="OUX101" s="3"/>
      <c r="OUY101" s="3"/>
      <c r="OUZ101" s="3"/>
      <c r="OVA101" s="3"/>
      <c r="OVB101" s="3"/>
      <c r="OVC101" s="3"/>
      <c r="OVD101" s="3"/>
      <c r="OVE101" s="3"/>
      <c r="OVF101" s="3"/>
      <c r="OVG101" s="3"/>
      <c r="OVH101" s="3"/>
      <c r="OVI101" s="3"/>
      <c r="OVJ101" s="3"/>
      <c r="OVK101" s="3"/>
      <c r="OVL101" s="3"/>
      <c r="OVM101" s="3"/>
      <c r="OVN101" s="3"/>
      <c r="OVO101" s="3"/>
      <c r="OVP101" s="3"/>
      <c r="OVQ101" s="3"/>
      <c r="OVR101" s="3"/>
      <c r="OVS101" s="3"/>
      <c r="OVT101" s="3"/>
      <c r="OVU101" s="3"/>
      <c r="OVV101" s="3"/>
      <c r="OVW101" s="3"/>
      <c r="OVX101" s="3"/>
      <c r="OVY101" s="3"/>
      <c r="OVZ101" s="3"/>
      <c r="OWA101" s="3"/>
      <c r="OWB101" s="3"/>
      <c r="OWC101" s="3"/>
      <c r="OWD101" s="3"/>
      <c r="OWE101" s="3"/>
      <c r="OWF101" s="3"/>
      <c r="OWG101" s="3"/>
      <c r="OWH101" s="3"/>
      <c r="OWI101" s="3"/>
      <c r="OWJ101" s="3"/>
      <c r="OWK101" s="3"/>
      <c r="OWL101" s="3"/>
      <c r="OWM101" s="3"/>
      <c r="OWN101" s="3"/>
      <c r="OWO101" s="3"/>
      <c r="OWP101" s="3"/>
      <c r="OWQ101" s="3"/>
      <c r="OWR101" s="3"/>
      <c r="OWS101" s="3"/>
      <c r="OWT101" s="3"/>
      <c r="OWU101" s="3"/>
      <c r="OWV101" s="3"/>
      <c r="OWW101" s="3"/>
      <c r="OWX101" s="3"/>
      <c r="OWY101" s="3"/>
      <c r="OWZ101" s="3"/>
      <c r="OXA101" s="3"/>
      <c r="OXB101" s="3"/>
      <c r="OXC101" s="3"/>
      <c r="OXD101" s="3"/>
      <c r="OXE101" s="3"/>
      <c r="OXF101" s="3"/>
      <c r="OXG101" s="3"/>
      <c r="OXH101" s="3"/>
      <c r="OXI101" s="3"/>
      <c r="OXJ101" s="3"/>
      <c r="OXK101" s="3"/>
      <c r="OXL101" s="3"/>
      <c r="OXM101" s="3"/>
      <c r="OXN101" s="3"/>
      <c r="OXO101" s="3"/>
      <c r="OXP101" s="3"/>
      <c r="OXQ101" s="3"/>
      <c r="OXR101" s="3"/>
      <c r="OXS101" s="3"/>
      <c r="OXT101" s="3"/>
      <c r="OXU101" s="3"/>
      <c r="OXV101" s="3"/>
      <c r="OXW101" s="3"/>
      <c r="OXX101" s="3"/>
      <c r="OXY101" s="3"/>
      <c r="OXZ101" s="3"/>
      <c r="OYA101" s="3"/>
      <c r="OYB101" s="3"/>
      <c r="OYC101" s="3"/>
      <c r="OYD101" s="3"/>
      <c r="OYE101" s="3"/>
      <c r="OYF101" s="3"/>
      <c r="OYG101" s="3"/>
      <c r="OYH101" s="3"/>
      <c r="OYI101" s="3"/>
      <c r="OYJ101" s="3"/>
      <c r="OYK101" s="3"/>
      <c r="OYL101" s="3"/>
      <c r="OYM101" s="3"/>
      <c r="OYN101" s="3"/>
      <c r="OYO101" s="3"/>
      <c r="OYP101" s="3"/>
      <c r="OYQ101" s="3"/>
      <c r="OYR101" s="3"/>
      <c r="OYS101" s="3"/>
      <c r="OYT101" s="3"/>
      <c r="OYU101" s="3"/>
      <c r="OYV101" s="3"/>
      <c r="OYW101" s="3"/>
      <c r="OYX101" s="3"/>
      <c r="OYY101" s="3"/>
      <c r="OYZ101" s="3"/>
      <c r="OZA101" s="3"/>
      <c r="OZB101" s="3"/>
      <c r="OZC101" s="3"/>
      <c r="OZD101" s="3"/>
      <c r="OZE101" s="3"/>
      <c r="OZF101" s="3"/>
      <c r="OZG101" s="3"/>
      <c r="OZH101" s="3"/>
      <c r="OZI101" s="3"/>
      <c r="OZJ101" s="3"/>
      <c r="OZK101" s="3"/>
      <c r="OZL101" s="3"/>
      <c r="OZM101" s="3"/>
      <c r="OZN101" s="3"/>
      <c r="OZO101" s="3"/>
      <c r="OZP101" s="3"/>
      <c r="OZQ101" s="3"/>
      <c r="OZR101" s="3"/>
      <c r="OZS101" s="3"/>
      <c r="OZT101" s="3"/>
      <c r="OZU101" s="3"/>
      <c r="OZV101" s="3"/>
      <c r="OZW101" s="3"/>
      <c r="OZX101" s="3"/>
      <c r="OZY101" s="3"/>
      <c r="OZZ101" s="3"/>
      <c r="PAA101" s="3"/>
      <c r="PAB101" s="3"/>
      <c r="PAC101" s="3"/>
      <c r="PAD101" s="3"/>
      <c r="PAE101" s="3"/>
      <c r="PAF101" s="3"/>
      <c r="PAG101" s="3"/>
      <c r="PAH101" s="3"/>
      <c r="PAI101" s="3"/>
      <c r="PAJ101" s="3"/>
      <c r="PAK101" s="3"/>
      <c r="PAL101" s="3"/>
      <c r="PAM101" s="3"/>
      <c r="PAN101" s="3"/>
      <c r="PAO101" s="3"/>
      <c r="PAP101" s="3"/>
      <c r="PAQ101" s="3"/>
      <c r="PAR101" s="3"/>
      <c r="PAS101" s="3"/>
      <c r="PAT101" s="3"/>
      <c r="PAU101" s="3"/>
      <c r="PAV101" s="3"/>
      <c r="PAW101" s="3"/>
      <c r="PAX101" s="3"/>
      <c r="PAY101" s="3"/>
      <c r="PAZ101" s="3"/>
      <c r="PBA101" s="3"/>
      <c r="PBB101" s="3"/>
      <c r="PBC101" s="3"/>
      <c r="PBD101" s="3"/>
      <c r="PBE101" s="3"/>
      <c r="PBF101" s="3"/>
      <c r="PBG101" s="3"/>
      <c r="PBH101" s="3"/>
      <c r="PBI101" s="3"/>
      <c r="PBJ101" s="3"/>
      <c r="PBK101" s="3"/>
      <c r="PBL101" s="3"/>
      <c r="PBM101" s="3"/>
      <c r="PBN101" s="3"/>
      <c r="PBO101" s="3"/>
      <c r="PBP101" s="3"/>
      <c r="PBQ101" s="3"/>
      <c r="PBR101" s="3"/>
      <c r="PBS101" s="3"/>
      <c r="PBT101" s="3"/>
      <c r="PBU101" s="3"/>
      <c r="PBV101" s="3"/>
      <c r="PBW101" s="3"/>
      <c r="PBX101" s="3"/>
      <c r="PBY101" s="3"/>
      <c r="PBZ101" s="3"/>
      <c r="PCA101" s="3"/>
      <c r="PCB101" s="3"/>
      <c r="PCC101" s="3"/>
      <c r="PCD101" s="3"/>
      <c r="PCE101" s="3"/>
      <c r="PCF101" s="3"/>
      <c r="PCG101" s="3"/>
      <c r="PCH101" s="3"/>
      <c r="PCI101" s="3"/>
      <c r="PCJ101" s="3"/>
      <c r="PCK101" s="3"/>
      <c r="PCL101" s="3"/>
      <c r="PCM101" s="3"/>
      <c r="PCN101" s="3"/>
      <c r="PCO101" s="3"/>
      <c r="PCP101" s="3"/>
      <c r="PCQ101" s="3"/>
      <c r="PCR101" s="3"/>
      <c r="PCS101" s="3"/>
      <c r="PCT101" s="3"/>
      <c r="PCU101" s="3"/>
      <c r="PCV101" s="3"/>
      <c r="PCW101" s="3"/>
      <c r="PCX101" s="3"/>
      <c r="PCY101" s="3"/>
      <c r="PCZ101" s="3"/>
      <c r="PDA101" s="3"/>
      <c r="PDB101" s="3"/>
      <c r="PDC101" s="3"/>
      <c r="PDD101" s="3"/>
      <c r="PDE101" s="3"/>
      <c r="PDF101" s="3"/>
      <c r="PDG101" s="3"/>
      <c r="PDH101" s="3"/>
      <c r="PDI101" s="3"/>
      <c r="PDJ101" s="3"/>
      <c r="PDK101" s="3"/>
      <c r="PDL101" s="3"/>
      <c r="PDM101" s="3"/>
      <c r="PDN101" s="3"/>
      <c r="PDO101" s="3"/>
      <c r="PDP101" s="3"/>
      <c r="PDQ101" s="3"/>
      <c r="PDR101" s="3"/>
      <c r="PDS101" s="3"/>
      <c r="PDT101" s="3"/>
      <c r="PDU101" s="3"/>
      <c r="PDV101" s="3"/>
      <c r="PDW101" s="3"/>
      <c r="PDX101" s="3"/>
      <c r="PDY101" s="3"/>
      <c r="PDZ101" s="3"/>
      <c r="PEA101" s="3"/>
      <c r="PEB101" s="3"/>
      <c r="PEC101" s="3"/>
      <c r="PED101" s="3"/>
      <c r="PEE101" s="3"/>
      <c r="PEF101" s="3"/>
      <c r="PEG101" s="3"/>
      <c r="PEH101" s="3"/>
      <c r="PEI101" s="3"/>
      <c r="PEJ101" s="3"/>
      <c r="PEK101" s="3"/>
      <c r="PEL101" s="3"/>
      <c r="PEM101" s="3"/>
      <c r="PEN101" s="3"/>
      <c r="PEO101" s="3"/>
      <c r="PEP101" s="3"/>
      <c r="PEQ101" s="3"/>
      <c r="PER101" s="3"/>
      <c r="PES101" s="3"/>
      <c r="PET101" s="3"/>
      <c r="PEU101" s="3"/>
      <c r="PEV101" s="3"/>
      <c r="PEW101" s="3"/>
      <c r="PEX101" s="3"/>
      <c r="PEY101" s="3"/>
      <c r="PEZ101" s="3"/>
      <c r="PFA101" s="3"/>
      <c r="PFB101" s="3"/>
      <c r="PFC101" s="3"/>
      <c r="PFD101" s="3"/>
      <c r="PFE101" s="3"/>
      <c r="PFF101" s="3"/>
      <c r="PFG101" s="3"/>
      <c r="PFH101" s="3"/>
      <c r="PFI101" s="3"/>
      <c r="PFJ101" s="3"/>
      <c r="PFK101" s="3"/>
      <c r="PFL101" s="3"/>
      <c r="PFM101" s="3"/>
      <c r="PFN101" s="3"/>
      <c r="PFO101" s="3"/>
      <c r="PFP101" s="3"/>
      <c r="PFQ101" s="3"/>
      <c r="PFR101" s="3"/>
      <c r="PFS101" s="3"/>
      <c r="PFT101" s="3"/>
      <c r="PFU101" s="3"/>
      <c r="PFV101" s="3"/>
      <c r="PFW101" s="3"/>
      <c r="PFX101" s="3"/>
      <c r="PFY101" s="3"/>
      <c r="PFZ101" s="3"/>
      <c r="PGA101" s="3"/>
      <c r="PGB101" s="3"/>
      <c r="PGC101" s="3"/>
      <c r="PGD101" s="3"/>
      <c r="PGE101" s="3"/>
      <c r="PGF101" s="3"/>
      <c r="PGG101" s="3"/>
      <c r="PGH101" s="3"/>
      <c r="PGI101" s="3"/>
      <c r="PGJ101" s="3"/>
      <c r="PGK101" s="3"/>
      <c r="PGL101" s="3"/>
      <c r="PGM101" s="3"/>
      <c r="PGN101" s="3"/>
      <c r="PGO101" s="3"/>
      <c r="PGP101" s="3"/>
      <c r="PGQ101" s="3"/>
      <c r="PGR101" s="3"/>
      <c r="PGS101" s="3"/>
      <c r="PGT101" s="3"/>
      <c r="PGU101" s="3"/>
      <c r="PGV101" s="3"/>
      <c r="PGW101" s="3"/>
      <c r="PGX101" s="3"/>
      <c r="PGY101" s="3"/>
      <c r="PGZ101" s="3"/>
      <c r="PHA101" s="3"/>
      <c r="PHB101" s="3"/>
      <c r="PHC101" s="3"/>
      <c r="PHD101" s="3"/>
      <c r="PHE101" s="3"/>
      <c r="PHF101" s="3"/>
      <c r="PHG101" s="3"/>
      <c r="PHH101" s="3"/>
      <c r="PHI101" s="3"/>
      <c r="PHJ101" s="3"/>
      <c r="PHK101" s="3"/>
      <c r="PHL101" s="3"/>
      <c r="PHM101" s="3"/>
      <c r="PHN101" s="3"/>
      <c r="PHO101" s="3"/>
      <c r="PHP101" s="3"/>
      <c r="PHQ101" s="3"/>
      <c r="PHR101" s="3"/>
      <c r="PHS101" s="3"/>
      <c r="PHT101" s="3"/>
      <c r="PHU101" s="3"/>
      <c r="PHV101" s="3"/>
      <c r="PHW101" s="3"/>
      <c r="PHX101" s="3"/>
      <c r="PHY101" s="3"/>
      <c r="PHZ101" s="3"/>
      <c r="PIA101" s="3"/>
      <c r="PIB101" s="3"/>
      <c r="PIC101" s="3"/>
      <c r="PID101" s="3"/>
      <c r="PIE101" s="3"/>
      <c r="PIF101" s="3"/>
      <c r="PIG101" s="3"/>
      <c r="PIH101" s="3"/>
      <c r="PII101" s="3"/>
      <c r="PIJ101" s="3"/>
      <c r="PIK101" s="3"/>
      <c r="PIL101" s="3"/>
      <c r="PIM101" s="3"/>
      <c r="PIN101" s="3"/>
      <c r="PIO101" s="3"/>
      <c r="PIP101" s="3"/>
      <c r="PIQ101" s="3"/>
      <c r="PIR101" s="3"/>
      <c r="PIS101" s="3"/>
      <c r="PIT101" s="3"/>
      <c r="PIU101" s="3"/>
      <c r="PIV101" s="3"/>
      <c r="PIW101" s="3"/>
      <c r="PIX101" s="3"/>
      <c r="PIY101" s="3"/>
      <c r="PIZ101" s="3"/>
      <c r="PJA101" s="3"/>
      <c r="PJB101" s="3"/>
      <c r="PJC101" s="3"/>
      <c r="PJD101" s="3"/>
      <c r="PJE101" s="3"/>
      <c r="PJF101" s="3"/>
      <c r="PJG101" s="3"/>
      <c r="PJH101" s="3"/>
      <c r="PJI101" s="3"/>
      <c r="PJJ101" s="3"/>
      <c r="PJK101" s="3"/>
      <c r="PJL101" s="3"/>
      <c r="PJM101" s="3"/>
      <c r="PJN101" s="3"/>
      <c r="PJO101" s="3"/>
      <c r="PJP101" s="3"/>
      <c r="PJQ101" s="3"/>
      <c r="PJR101" s="3"/>
      <c r="PJS101" s="3"/>
      <c r="PJT101" s="3"/>
      <c r="PJU101" s="3"/>
      <c r="PJV101" s="3"/>
      <c r="PJW101" s="3"/>
      <c r="PJX101" s="3"/>
      <c r="PJY101" s="3"/>
      <c r="PJZ101" s="3"/>
      <c r="PKA101" s="3"/>
      <c r="PKB101" s="3"/>
      <c r="PKC101" s="3"/>
      <c r="PKD101" s="3"/>
      <c r="PKE101" s="3"/>
      <c r="PKF101" s="3"/>
      <c r="PKG101" s="3"/>
      <c r="PKH101" s="3"/>
      <c r="PKI101" s="3"/>
      <c r="PKJ101" s="3"/>
      <c r="PKK101" s="3"/>
      <c r="PKL101" s="3"/>
      <c r="PKM101" s="3"/>
      <c r="PKN101" s="3"/>
      <c r="PKO101" s="3"/>
      <c r="PKP101" s="3"/>
      <c r="PKQ101" s="3"/>
      <c r="PKR101" s="3"/>
      <c r="PKS101" s="3"/>
      <c r="PKT101" s="3"/>
      <c r="PKU101" s="3"/>
      <c r="PKV101" s="3"/>
      <c r="PKW101" s="3"/>
      <c r="PKX101" s="3"/>
      <c r="PKY101" s="3"/>
      <c r="PKZ101" s="3"/>
      <c r="PLA101" s="3"/>
      <c r="PLB101" s="3"/>
      <c r="PLC101" s="3"/>
      <c r="PLD101" s="3"/>
      <c r="PLE101" s="3"/>
      <c r="PLF101" s="3"/>
      <c r="PLG101" s="3"/>
      <c r="PLH101" s="3"/>
      <c r="PLI101" s="3"/>
      <c r="PLJ101" s="3"/>
      <c r="PLK101" s="3"/>
      <c r="PLL101" s="3"/>
      <c r="PLM101" s="3"/>
      <c r="PLN101" s="3"/>
      <c r="PLO101" s="3"/>
      <c r="PLP101" s="3"/>
      <c r="PLQ101" s="3"/>
      <c r="PLR101" s="3"/>
      <c r="PLS101" s="3"/>
      <c r="PLT101" s="3"/>
      <c r="PLU101" s="3"/>
      <c r="PLV101" s="3"/>
      <c r="PLW101" s="3"/>
      <c r="PLX101" s="3"/>
      <c r="PLY101" s="3"/>
      <c r="PLZ101" s="3"/>
      <c r="PMA101" s="3"/>
      <c r="PMB101" s="3"/>
      <c r="PMC101" s="3"/>
      <c r="PMD101" s="3"/>
      <c r="PME101" s="3"/>
      <c r="PMF101" s="3"/>
      <c r="PMG101" s="3"/>
      <c r="PMH101" s="3"/>
      <c r="PMI101" s="3"/>
      <c r="PMJ101" s="3"/>
      <c r="PMK101" s="3"/>
      <c r="PML101" s="3"/>
      <c r="PMM101" s="3"/>
      <c r="PMN101" s="3"/>
      <c r="PMO101" s="3"/>
      <c r="PMP101" s="3"/>
      <c r="PMQ101" s="3"/>
      <c r="PMR101" s="3"/>
      <c r="PMS101" s="3"/>
      <c r="PMT101" s="3"/>
      <c r="PMU101" s="3"/>
      <c r="PMV101" s="3"/>
      <c r="PMW101" s="3"/>
      <c r="PMX101" s="3"/>
      <c r="PMY101" s="3"/>
      <c r="PMZ101" s="3"/>
      <c r="PNA101" s="3"/>
      <c r="PNB101" s="3"/>
      <c r="PNC101" s="3"/>
      <c r="PND101" s="3"/>
      <c r="PNE101" s="3"/>
      <c r="PNF101" s="3"/>
      <c r="PNG101" s="3"/>
      <c r="PNH101" s="3"/>
      <c r="PNI101" s="3"/>
      <c r="PNJ101" s="3"/>
      <c r="PNK101" s="3"/>
      <c r="PNL101" s="3"/>
      <c r="PNM101" s="3"/>
      <c r="PNN101" s="3"/>
      <c r="PNO101" s="3"/>
      <c r="PNP101" s="3"/>
      <c r="PNQ101" s="3"/>
      <c r="PNR101" s="3"/>
      <c r="PNS101" s="3"/>
      <c r="PNT101" s="3"/>
      <c r="PNU101" s="3"/>
      <c r="PNV101" s="3"/>
      <c r="PNW101" s="3"/>
      <c r="PNX101" s="3"/>
      <c r="PNY101" s="3"/>
      <c r="PNZ101" s="3"/>
      <c r="POA101" s="3"/>
      <c r="POB101" s="3"/>
      <c r="POC101" s="3"/>
      <c r="POD101" s="3"/>
      <c r="POE101" s="3"/>
      <c r="POF101" s="3"/>
      <c r="POG101" s="3"/>
      <c r="POH101" s="3"/>
      <c r="POI101" s="3"/>
      <c r="POJ101" s="3"/>
      <c r="POK101" s="3"/>
      <c r="POL101" s="3"/>
      <c r="POM101" s="3"/>
      <c r="PON101" s="3"/>
      <c r="POO101" s="3"/>
      <c r="POP101" s="3"/>
      <c r="POQ101" s="3"/>
      <c r="POR101" s="3"/>
      <c r="POS101" s="3"/>
      <c r="POT101" s="3"/>
      <c r="POU101" s="3"/>
      <c r="POV101" s="3"/>
      <c r="POW101" s="3"/>
      <c r="POX101" s="3"/>
      <c r="POY101" s="3"/>
      <c r="POZ101" s="3"/>
      <c r="PPA101" s="3"/>
      <c r="PPB101" s="3"/>
      <c r="PPC101" s="3"/>
      <c r="PPD101" s="3"/>
      <c r="PPE101" s="3"/>
      <c r="PPF101" s="3"/>
      <c r="PPG101" s="3"/>
      <c r="PPH101" s="3"/>
      <c r="PPI101" s="3"/>
      <c r="PPJ101" s="3"/>
      <c r="PPK101" s="3"/>
      <c r="PPL101" s="3"/>
      <c r="PPM101" s="3"/>
      <c r="PPN101" s="3"/>
      <c r="PPO101" s="3"/>
      <c r="PPP101" s="3"/>
      <c r="PPQ101" s="3"/>
      <c r="PPR101" s="3"/>
      <c r="PPS101" s="3"/>
      <c r="PPT101" s="3"/>
      <c r="PPU101" s="3"/>
      <c r="PPV101" s="3"/>
      <c r="PPW101" s="3"/>
      <c r="PPX101" s="3"/>
      <c r="PPY101" s="3"/>
      <c r="PPZ101" s="3"/>
      <c r="PQA101" s="3"/>
      <c r="PQB101" s="3"/>
      <c r="PQC101" s="3"/>
      <c r="PQD101" s="3"/>
      <c r="PQE101" s="3"/>
      <c r="PQF101" s="3"/>
      <c r="PQG101" s="3"/>
      <c r="PQH101" s="3"/>
      <c r="PQI101" s="3"/>
      <c r="PQJ101" s="3"/>
      <c r="PQK101" s="3"/>
      <c r="PQL101" s="3"/>
      <c r="PQM101" s="3"/>
      <c r="PQN101" s="3"/>
      <c r="PQO101" s="3"/>
      <c r="PQP101" s="3"/>
      <c r="PQQ101" s="3"/>
      <c r="PQR101" s="3"/>
      <c r="PQS101" s="3"/>
      <c r="PQT101" s="3"/>
      <c r="PQU101" s="3"/>
      <c r="PQV101" s="3"/>
      <c r="PQW101" s="3"/>
      <c r="PQX101" s="3"/>
      <c r="PQY101" s="3"/>
      <c r="PQZ101" s="3"/>
      <c r="PRA101" s="3"/>
      <c r="PRB101" s="3"/>
      <c r="PRC101" s="3"/>
      <c r="PRD101" s="3"/>
      <c r="PRE101" s="3"/>
      <c r="PRF101" s="3"/>
      <c r="PRG101" s="3"/>
      <c r="PRH101" s="3"/>
      <c r="PRI101" s="3"/>
      <c r="PRJ101" s="3"/>
      <c r="PRK101" s="3"/>
      <c r="PRL101" s="3"/>
      <c r="PRM101" s="3"/>
      <c r="PRN101" s="3"/>
      <c r="PRO101" s="3"/>
      <c r="PRP101" s="3"/>
      <c r="PRQ101" s="3"/>
      <c r="PRR101" s="3"/>
      <c r="PRS101" s="3"/>
      <c r="PRT101" s="3"/>
      <c r="PRU101" s="3"/>
      <c r="PRV101" s="3"/>
      <c r="PRW101" s="3"/>
      <c r="PRX101" s="3"/>
      <c r="PRY101" s="3"/>
      <c r="PRZ101" s="3"/>
      <c r="PSA101" s="3"/>
      <c r="PSB101" s="3"/>
      <c r="PSC101" s="3"/>
      <c r="PSD101" s="3"/>
      <c r="PSE101" s="3"/>
      <c r="PSF101" s="3"/>
      <c r="PSG101" s="3"/>
      <c r="PSH101" s="3"/>
      <c r="PSI101" s="3"/>
      <c r="PSJ101" s="3"/>
      <c r="PSK101" s="3"/>
      <c r="PSL101" s="3"/>
      <c r="PSM101" s="3"/>
      <c r="PSN101" s="3"/>
      <c r="PSO101" s="3"/>
      <c r="PSP101" s="3"/>
      <c r="PSQ101" s="3"/>
      <c r="PSR101" s="3"/>
      <c r="PSS101" s="3"/>
      <c r="PST101" s="3"/>
      <c r="PSU101" s="3"/>
      <c r="PSV101" s="3"/>
      <c r="PSW101" s="3"/>
      <c r="PSX101" s="3"/>
      <c r="PSY101" s="3"/>
      <c r="PSZ101" s="3"/>
      <c r="PTA101" s="3"/>
      <c r="PTB101" s="3"/>
      <c r="PTC101" s="3"/>
      <c r="PTD101" s="3"/>
      <c r="PTE101" s="3"/>
      <c r="PTF101" s="3"/>
      <c r="PTG101" s="3"/>
      <c r="PTH101" s="3"/>
      <c r="PTI101" s="3"/>
      <c r="PTJ101" s="3"/>
      <c r="PTK101" s="3"/>
      <c r="PTL101" s="3"/>
      <c r="PTM101" s="3"/>
      <c r="PTN101" s="3"/>
      <c r="PTO101" s="3"/>
      <c r="PTP101" s="3"/>
      <c r="PTQ101" s="3"/>
      <c r="PTR101" s="3"/>
      <c r="PTS101" s="3"/>
      <c r="PTT101" s="3"/>
      <c r="PTU101" s="3"/>
      <c r="PTV101" s="3"/>
      <c r="PTW101" s="3"/>
      <c r="PTX101" s="3"/>
      <c r="PTY101" s="3"/>
      <c r="PTZ101" s="3"/>
      <c r="PUA101" s="3"/>
      <c r="PUB101" s="3"/>
      <c r="PUC101" s="3"/>
      <c r="PUD101" s="3"/>
      <c r="PUE101" s="3"/>
      <c r="PUF101" s="3"/>
      <c r="PUG101" s="3"/>
      <c r="PUH101" s="3"/>
      <c r="PUI101" s="3"/>
      <c r="PUJ101" s="3"/>
      <c r="PUK101" s="3"/>
      <c r="PUL101" s="3"/>
      <c r="PUM101" s="3"/>
      <c r="PUN101" s="3"/>
      <c r="PUO101" s="3"/>
      <c r="PUP101" s="3"/>
      <c r="PUQ101" s="3"/>
      <c r="PUR101" s="3"/>
      <c r="PUS101" s="3"/>
      <c r="PUT101" s="3"/>
      <c r="PUU101" s="3"/>
      <c r="PUV101" s="3"/>
      <c r="PUW101" s="3"/>
      <c r="PUX101" s="3"/>
      <c r="PUY101" s="3"/>
      <c r="PUZ101" s="3"/>
      <c r="PVA101" s="3"/>
      <c r="PVB101" s="3"/>
      <c r="PVC101" s="3"/>
      <c r="PVD101" s="3"/>
      <c r="PVE101" s="3"/>
      <c r="PVF101" s="3"/>
      <c r="PVG101" s="3"/>
      <c r="PVH101" s="3"/>
      <c r="PVI101" s="3"/>
      <c r="PVJ101" s="3"/>
      <c r="PVK101" s="3"/>
      <c r="PVL101" s="3"/>
      <c r="PVM101" s="3"/>
      <c r="PVN101" s="3"/>
      <c r="PVO101" s="3"/>
      <c r="PVP101" s="3"/>
      <c r="PVQ101" s="3"/>
      <c r="PVR101" s="3"/>
      <c r="PVS101" s="3"/>
      <c r="PVT101" s="3"/>
      <c r="PVU101" s="3"/>
      <c r="PVV101" s="3"/>
      <c r="PVW101" s="3"/>
      <c r="PVX101" s="3"/>
      <c r="PVY101" s="3"/>
      <c r="PVZ101" s="3"/>
      <c r="PWA101" s="3"/>
      <c r="PWB101" s="3"/>
      <c r="PWC101" s="3"/>
      <c r="PWD101" s="3"/>
      <c r="PWE101" s="3"/>
      <c r="PWF101" s="3"/>
      <c r="PWG101" s="3"/>
      <c r="PWH101" s="3"/>
      <c r="PWI101" s="3"/>
      <c r="PWJ101" s="3"/>
      <c r="PWK101" s="3"/>
      <c r="PWL101" s="3"/>
      <c r="PWM101" s="3"/>
      <c r="PWN101" s="3"/>
      <c r="PWO101" s="3"/>
      <c r="PWP101" s="3"/>
      <c r="PWQ101" s="3"/>
      <c r="PWR101" s="3"/>
      <c r="PWS101" s="3"/>
      <c r="PWT101" s="3"/>
      <c r="PWU101" s="3"/>
      <c r="PWV101" s="3"/>
      <c r="PWW101" s="3"/>
      <c r="PWX101" s="3"/>
      <c r="PWY101" s="3"/>
      <c r="PWZ101" s="3"/>
      <c r="PXA101" s="3"/>
      <c r="PXB101" s="3"/>
      <c r="PXC101" s="3"/>
      <c r="PXD101" s="3"/>
      <c r="PXE101" s="3"/>
      <c r="PXF101" s="3"/>
      <c r="PXG101" s="3"/>
      <c r="PXH101" s="3"/>
      <c r="PXI101" s="3"/>
      <c r="PXJ101" s="3"/>
      <c r="PXK101" s="3"/>
      <c r="PXL101" s="3"/>
      <c r="PXM101" s="3"/>
      <c r="PXN101" s="3"/>
      <c r="PXO101" s="3"/>
      <c r="PXP101" s="3"/>
      <c r="PXQ101" s="3"/>
      <c r="PXR101" s="3"/>
      <c r="PXS101" s="3"/>
      <c r="PXT101" s="3"/>
      <c r="PXU101" s="3"/>
      <c r="PXV101" s="3"/>
      <c r="PXW101" s="3"/>
      <c r="PXX101" s="3"/>
      <c r="PXY101" s="3"/>
      <c r="PXZ101" s="3"/>
      <c r="PYA101" s="3"/>
      <c r="PYB101" s="3"/>
      <c r="PYC101" s="3"/>
      <c r="PYD101" s="3"/>
      <c r="PYE101" s="3"/>
      <c r="PYF101" s="3"/>
      <c r="PYG101" s="3"/>
      <c r="PYH101" s="3"/>
      <c r="PYI101" s="3"/>
      <c r="PYJ101" s="3"/>
      <c r="PYK101" s="3"/>
      <c r="PYL101" s="3"/>
      <c r="PYM101" s="3"/>
      <c r="PYN101" s="3"/>
      <c r="PYO101" s="3"/>
      <c r="PYP101" s="3"/>
      <c r="PYQ101" s="3"/>
      <c r="PYR101" s="3"/>
      <c r="PYS101" s="3"/>
      <c r="PYT101" s="3"/>
      <c r="PYU101" s="3"/>
      <c r="PYV101" s="3"/>
      <c r="PYW101" s="3"/>
      <c r="PYX101" s="3"/>
      <c r="PYY101" s="3"/>
      <c r="PYZ101" s="3"/>
      <c r="PZA101" s="3"/>
      <c r="PZB101" s="3"/>
      <c r="PZC101" s="3"/>
      <c r="PZD101" s="3"/>
      <c r="PZE101" s="3"/>
      <c r="PZF101" s="3"/>
      <c r="PZG101" s="3"/>
      <c r="PZH101" s="3"/>
      <c r="PZI101" s="3"/>
      <c r="PZJ101" s="3"/>
      <c r="PZK101" s="3"/>
      <c r="PZL101" s="3"/>
      <c r="PZM101" s="3"/>
      <c r="PZN101" s="3"/>
      <c r="PZO101" s="3"/>
      <c r="PZP101" s="3"/>
      <c r="PZQ101" s="3"/>
      <c r="PZR101" s="3"/>
      <c r="PZS101" s="3"/>
      <c r="PZT101" s="3"/>
      <c r="PZU101" s="3"/>
      <c r="PZV101" s="3"/>
      <c r="PZW101" s="3"/>
      <c r="PZX101" s="3"/>
      <c r="PZY101" s="3"/>
      <c r="PZZ101" s="3"/>
      <c r="QAA101" s="3"/>
      <c r="QAB101" s="3"/>
      <c r="QAC101" s="3"/>
      <c r="QAD101" s="3"/>
      <c r="QAE101" s="3"/>
      <c r="QAF101" s="3"/>
      <c r="QAG101" s="3"/>
      <c r="QAH101" s="3"/>
      <c r="QAI101" s="3"/>
      <c r="QAJ101" s="3"/>
      <c r="QAK101" s="3"/>
      <c r="QAL101" s="3"/>
      <c r="QAM101" s="3"/>
      <c r="QAN101" s="3"/>
      <c r="QAO101" s="3"/>
      <c r="QAP101" s="3"/>
      <c r="QAQ101" s="3"/>
      <c r="QAR101" s="3"/>
      <c r="QAS101" s="3"/>
      <c r="QAT101" s="3"/>
      <c r="QAU101" s="3"/>
      <c r="QAV101" s="3"/>
      <c r="QAW101" s="3"/>
      <c r="QAX101" s="3"/>
      <c r="QAY101" s="3"/>
      <c r="QAZ101" s="3"/>
      <c r="QBA101" s="3"/>
      <c r="QBB101" s="3"/>
      <c r="QBC101" s="3"/>
      <c r="QBD101" s="3"/>
      <c r="QBE101" s="3"/>
      <c r="QBF101" s="3"/>
      <c r="QBG101" s="3"/>
      <c r="QBH101" s="3"/>
      <c r="QBI101" s="3"/>
      <c r="QBJ101" s="3"/>
      <c r="QBK101" s="3"/>
      <c r="QBL101" s="3"/>
      <c r="QBM101" s="3"/>
      <c r="QBN101" s="3"/>
      <c r="QBO101" s="3"/>
      <c r="QBP101" s="3"/>
      <c r="QBQ101" s="3"/>
      <c r="QBR101" s="3"/>
      <c r="QBS101" s="3"/>
      <c r="QBT101" s="3"/>
      <c r="QBU101" s="3"/>
      <c r="QBV101" s="3"/>
      <c r="QBW101" s="3"/>
      <c r="QBX101" s="3"/>
      <c r="QBY101" s="3"/>
      <c r="QBZ101" s="3"/>
      <c r="QCA101" s="3"/>
      <c r="QCB101" s="3"/>
      <c r="QCC101" s="3"/>
      <c r="QCD101" s="3"/>
      <c r="QCE101" s="3"/>
      <c r="QCF101" s="3"/>
      <c r="QCG101" s="3"/>
      <c r="QCH101" s="3"/>
      <c r="QCI101" s="3"/>
      <c r="QCJ101" s="3"/>
      <c r="QCK101" s="3"/>
      <c r="QCL101" s="3"/>
      <c r="QCM101" s="3"/>
      <c r="QCN101" s="3"/>
      <c r="QCO101" s="3"/>
      <c r="QCP101" s="3"/>
      <c r="QCQ101" s="3"/>
      <c r="QCR101" s="3"/>
      <c r="QCS101" s="3"/>
      <c r="QCT101" s="3"/>
      <c r="QCU101" s="3"/>
      <c r="QCV101" s="3"/>
      <c r="QCW101" s="3"/>
      <c r="QCX101" s="3"/>
      <c r="QCY101" s="3"/>
      <c r="QCZ101" s="3"/>
      <c r="QDA101" s="3"/>
      <c r="QDB101" s="3"/>
      <c r="QDC101" s="3"/>
      <c r="QDD101" s="3"/>
      <c r="QDE101" s="3"/>
      <c r="QDF101" s="3"/>
      <c r="QDG101" s="3"/>
      <c r="QDH101" s="3"/>
      <c r="QDI101" s="3"/>
      <c r="QDJ101" s="3"/>
      <c r="QDK101" s="3"/>
      <c r="QDL101" s="3"/>
      <c r="QDM101" s="3"/>
      <c r="QDN101" s="3"/>
      <c r="QDO101" s="3"/>
      <c r="QDP101" s="3"/>
      <c r="QDQ101" s="3"/>
      <c r="QDR101" s="3"/>
      <c r="QDS101" s="3"/>
      <c r="QDT101" s="3"/>
      <c r="QDU101" s="3"/>
      <c r="QDV101" s="3"/>
      <c r="QDW101" s="3"/>
      <c r="QDX101" s="3"/>
      <c r="QDY101" s="3"/>
      <c r="QDZ101" s="3"/>
      <c r="QEA101" s="3"/>
      <c r="QEB101" s="3"/>
      <c r="QEC101" s="3"/>
      <c r="QED101" s="3"/>
      <c r="QEE101" s="3"/>
      <c r="QEF101" s="3"/>
      <c r="QEG101" s="3"/>
      <c r="QEH101" s="3"/>
      <c r="QEI101" s="3"/>
      <c r="QEJ101" s="3"/>
      <c r="QEK101" s="3"/>
      <c r="QEL101" s="3"/>
      <c r="QEM101" s="3"/>
      <c r="QEN101" s="3"/>
      <c r="QEO101" s="3"/>
      <c r="QEP101" s="3"/>
      <c r="QEQ101" s="3"/>
      <c r="QER101" s="3"/>
      <c r="QES101" s="3"/>
      <c r="QET101" s="3"/>
      <c r="QEU101" s="3"/>
      <c r="QEV101" s="3"/>
      <c r="QEW101" s="3"/>
      <c r="QEX101" s="3"/>
      <c r="QEY101" s="3"/>
      <c r="QEZ101" s="3"/>
      <c r="QFA101" s="3"/>
      <c r="QFB101" s="3"/>
      <c r="QFC101" s="3"/>
      <c r="QFD101" s="3"/>
      <c r="QFE101" s="3"/>
      <c r="QFF101" s="3"/>
      <c r="QFG101" s="3"/>
      <c r="QFH101" s="3"/>
      <c r="QFI101" s="3"/>
      <c r="QFJ101" s="3"/>
      <c r="QFK101" s="3"/>
      <c r="QFL101" s="3"/>
      <c r="QFM101" s="3"/>
      <c r="QFN101" s="3"/>
      <c r="QFO101" s="3"/>
      <c r="QFP101" s="3"/>
      <c r="QFQ101" s="3"/>
      <c r="QFR101" s="3"/>
      <c r="QFS101" s="3"/>
      <c r="QFT101" s="3"/>
      <c r="QFU101" s="3"/>
      <c r="QFV101" s="3"/>
      <c r="QFW101" s="3"/>
      <c r="QFX101" s="3"/>
      <c r="QFY101" s="3"/>
      <c r="QFZ101" s="3"/>
      <c r="QGA101" s="3"/>
      <c r="QGB101" s="3"/>
      <c r="QGC101" s="3"/>
      <c r="QGD101" s="3"/>
      <c r="QGE101" s="3"/>
      <c r="QGF101" s="3"/>
      <c r="QGG101" s="3"/>
      <c r="QGH101" s="3"/>
      <c r="QGI101" s="3"/>
      <c r="QGJ101" s="3"/>
      <c r="QGK101" s="3"/>
      <c r="QGL101" s="3"/>
      <c r="QGM101" s="3"/>
      <c r="QGN101" s="3"/>
      <c r="QGO101" s="3"/>
      <c r="QGP101" s="3"/>
      <c r="QGQ101" s="3"/>
      <c r="QGR101" s="3"/>
      <c r="QGS101" s="3"/>
      <c r="QGT101" s="3"/>
      <c r="QGU101" s="3"/>
      <c r="QGV101" s="3"/>
      <c r="QGW101" s="3"/>
      <c r="QGX101" s="3"/>
      <c r="QGY101" s="3"/>
      <c r="QGZ101" s="3"/>
      <c r="QHA101" s="3"/>
      <c r="QHB101" s="3"/>
      <c r="QHC101" s="3"/>
      <c r="QHD101" s="3"/>
      <c r="QHE101" s="3"/>
      <c r="QHF101" s="3"/>
      <c r="QHG101" s="3"/>
      <c r="QHH101" s="3"/>
      <c r="QHI101" s="3"/>
      <c r="QHJ101" s="3"/>
      <c r="QHK101" s="3"/>
      <c r="QHL101" s="3"/>
      <c r="QHM101" s="3"/>
      <c r="QHN101" s="3"/>
      <c r="QHO101" s="3"/>
      <c r="QHP101" s="3"/>
      <c r="QHQ101" s="3"/>
      <c r="QHR101" s="3"/>
      <c r="QHS101" s="3"/>
      <c r="QHT101" s="3"/>
      <c r="QHU101" s="3"/>
      <c r="QHV101" s="3"/>
      <c r="QHW101" s="3"/>
      <c r="QHX101" s="3"/>
      <c r="QHY101" s="3"/>
      <c r="QHZ101" s="3"/>
      <c r="QIA101" s="3"/>
      <c r="QIB101" s="3"/>
      <c r="QIC101" s="3"/>
      <c r="QID101" s="3"/>
      <c r="QIE101" s="3"/>
      <c r="QIF101" s="3"/>
      <c r="QIG101" s="3"/>
      <c r="QIH101" s="3"/>
      <c r="QII101" s="3"/>
      <c r="QIJ101" s="3"/>
      <c r="QIK101" s="3"/>
      <c r="QIL101" s="3"/>
      <c r="QIM101" s="3"/>
      <c r="QIN101" s="3"/>
      <c r="QIO101" s="3"/>
      <c r="QIP101" s="3"/>
      <c r="QIQ101" s="3"/>
      <c r="QIR101" s="3"/>
      <c r="QIS101" s="3"/>
      <c r="QIT101" s="3"/>
      <c r="QIU101" s="3"/>
      <c r="QIV101" s="3"/>
      <c r="QIW101" s="3"/>
      <c r="QIX101" s="3"/>
      <c r="QIY101" s="3"/>
      <c r="QIZ101" s="3"/>
      <c r="QJA101" s="3"/>
      <c r="QJB101" s="3"/>
      <c r="QJC101" s="3"/>
      <c r="QJD101" s="3"/>
      <c r="QJE101" s="3"/>
      <c r="QJF101" s="3"/>
      <c r="QJG101" s="3"/>
      <c r="QJH101" s="3"/>
      <c r="QJI101" s="3"/>
      <c r="QJJ101" s="3"/>
      <c r="QJK101" s="3"/>
      <c r="QJL101" s="3"/>
      <c r="QJM101" s="3"/>
      <c r="QJN101" s="3"/>
      <c r="QJO101" s="3"/>
      <c r="QJP101" s="3"/>
      <c r="QJQ101" s="3"/>
      <c r="QJR101" s="3"/>
      <c r="QJS101" s="3"/>
      <c r="QJT101" s="3"/>
      <c r="QJU101" s="3"/>
      <c r="QJV101" s="3"/>
      <c r="QJW101" s="3"/>
      <c r="QJX101" s="3"/>
      <c r="QJY101" s="3"/>
      <c r="QJZ101" s="3"/>
      <c r="QKA101" s="3"/>
      <c r="QKB101" s="3"/>
      <c r="QKC101" s="3"/>
      <c r="QKD101" s="3"/>
      <c r="QKE101" s="3"/>
      <c r="QKF101" s="3"/>
      <c r="QKG101" s="3"/>
      <c r="QKH101" s="3"/>
      <c r="QKI101" s="3"/>
      <c r="QKJ101" s="3"/>
      <c r="QKK101" s="3"/>
      <c r="QKL101" s="3"/>
      <c r="QKM101" s="3"/>
      <c r="QKN101" s="3"/>
      <c r="QKO101" s="3"/>
      <c r="QKP101" s="3"/>
      <c r="QKQ101" s="3"/>
      <c r="QKR101" s="3"/>
      <c r="QKS101" s="3"/>
      <c r="QKT101" s="3"/>
      <c r="QKU101" s="3"/>
      <c r="QKV101" s="3"/>
      <c r="QKW101" s="3"/>
      <c r="QKX101" s="3"/>
      <c r="QKY101" s="3"/>
      <c r="QKZ101" s="3"/>
      <c r="QLA101" s="3"/>
      <c r="QLB101" s="3"/>
      <c r="QLC101" s="3"/>
      <c r="QLD101" s="3"/>
      <c r="QLE101" s="3"/>
      <c r="QLF101" s="3"/>
      <c r="QLG101" s="3"/>
      <c r="QLH101" s="3"/>
      <c r="QLI101" s="3"/>
      <c r="QLJ101" s="3"/>
      <c r="QLK101" s="3"/>
      <c r="QLL101" s="3"/>
      <c r="QLM101" s="3"/>
      <c r="QLN101" s="3"/>
      <c r="QLO101" s="3"/>
      <c r="QLP101" s="3"/>
      <c r="QLQ101" s="3"/>
      <c r="QLR101" s="3"/>
      <c r="QLS101" s="3"/>
      <c r="QLT101" s="3"/>
      <c r="QLU101" s="3"/>
      <c r="QLV101" s="3"/>
      <c r="QLW101" s="3"/>
      <c r="QLX101" s="3"/>
      <c r="QLY101" s="3"/>
      <c r="QLZ101" s="3"/>
      <c r="QMA101" s="3"/>
      <c r="QMB101" s="3"/>
      <c r="QMC101" s="3"/>
      <c r="QMD101" s="3"/>
      <c r="QME101" s="3"/>
      <c r="QMF101" s="3"/>
      <c r="QMG101" s="3"/>
      <c r="QMH101" s="3"/>
      <c r="QMI101" s="3"/>
      <c r="QMJ101" s="3"/>
      <c r="QMK101" s="3"/>
      <c r="QML101" s="3"/>
      <c r="QMM101" s="3"/>
      <c r="QMN101" s="3"/>
      <c r="QMO101" s="3"/>
      <c r="QMP101" s="3"/>
      <c r="QMQ101" s="3"/>
      <c r="QMR101" s="3"/>
      <c r="QMS101" s="3"/>
      <c r="QMT101" s="3"/>
      <c r="QMU101" s="3"/>
      <c r="QMV101" s="3"/>
      <c r="QMW101" s="3"/>
      <c r="QMX101" s="3"/>
      <c r="QMY101" s="3"/>
      <c r="QMZ101" s="3"/>
      <c r="QNA101" s="3"/>
      <c r="QNB101" s="3"/>
      <c r="QNC101" s="3"/>
      <c r="QND101" s="3"/>
      <c r="QNE101" s="3"/>
      <c r="QNF101" s="3"/>
      <c r="QNG101" s="3"/>
      <c r="QNH101" s="3"/>
      <c r="QNI101" s="3"/>
      <c r="QNJ101" s="3"/>
      <c r="QNK101" s="3"/>
      <c r="QNL101" s="3"/>
      <c r="QNM101" s="3"/>
      <c r="QNN101" s="3"/>
      <c r="QNO101" s="3"/>
      <c r="QNP101" s="3"/>
      <c r="QNQ101" s="3"/>
      <c r="QNR101" s="3"/>
      <c r="QNS101" s="3"/>
      <c r="QNT101" s="3"/>
      <c r="QNU101" s="3"/>
      <c r="QNV101" s="3"/>
      <c r="QNW101" s="3"/>
      <c r="QNX101" s="3"/>
      <c r="QNY101" s="3"/>
      <c r="QNZ101" s="3"/>
      <c r="QOA101" s="3"/>
      <c r="QOB101" s="3"/>
      <c r="QOC101" s="3"/>
      <c r="QOD101" s="3"/>
      <c r="QOE101" s="3"/>
      <c r="QOF101" s="3"/>
      <c r="QOG101" s="3"/>
      <c r="QOH101" s="3"/>
      <c r="QOI101" s="3"/>
      <c r="QOJ101" s="3"/>
      <c r="QOK101" s="3"/>
      <c r="QOL101" s="3"/>
      <c r="QOM101" s="3"/>
      <c r="QON101" s="3"/>
      <c r="QOO101" s="3"/>
      <c r="QOP101" s="3"/>
      <c r="QOQ101" s="3"/>
      <c r="QOR101" s="3"/>
      <c r="QOS101" s="3"/>
      <c r="QOT101" s="3"/>
      <c r="QOU101" s="3"/>
      <c r="QOV101" s="3"/>
      <c r="QOW101" s="3"/>
      <c r="QOX101" s="3"/>
      <c r="QOY101" s="3"/>
      <c r="QOZ101" s="3"/>
      <c r="QPA101" s="3"/>
      <c r="QPB101" s="3"/>
      <c r="QPC101" s="3"/>
      <c r="QPD101" s="3"/>
      <c r="QPE101" s="3"/>
      <c r="QPF101" s="3"/>
      <c r="QPG101" s="3"/>
      <c r="QPH101" s="3"/>
      <c r="QPI101" s="3"/>
      <c r="QPJ101" s="3"/>
      <c r="QPK101" s="3"/>
      <c r="QPL101" s="3"/>
      <c r="QPM101" s="3"/>
      <c r="QPN101" s="3"/>
      <c r="QPO101" s="3"/>
      <c r="QPP101" s="3"/>
      <c r="QPQ101" s="3"/>
      <c r="QPR101" s="3"/>
      <c r="QPS101" s="3"/>
      <c r="QPT101" s="3"/>
      <c r="QPU101" s="3"/>
      <c r="QPV101" s="3"/>
      <c r="QPW101" s="3"/>
      <c r="QPX101" s="3"/>
      <c r="QPY101" s="3"/>
      <c r="QPZ101" s="3"/>
      <c r="QQA101" s="3"/>
      <c r="QQB101" s="3"/>
      <c r="QQC101" s="3"/>
      <c r="QQD101" s="3"/>
      <c r="QQE101" s="3"/>
      <c r="QQF101" s="3"/>
      <c r="QQG101" s="3"/>
      <c r="QQH101" s="3"/>
      <c r="QQI101" s="3"/>
      <c r="QQJ101" s="3"/>
      <c r="QQK101" s="3"/>
      <c r="QQL101" s="3"/>
      <c r="QQM101" s="3"/>
      <c r="QQN101" s="3"/>
      <c r="QQO101" s="3"/>
      <c r="QQP101" s="3"/>
      <c r="QQQ101" s="3"/>
      <c r="QQR101" s="3"/>
      <c r="QQS101" s="3"/>
      <c r="QQT101" s="3"/>
      <c r="QQU101" s="3"/>
      <c r="QQV101" s="3"/>
      <c r="QQW101" s="3"/>
      <c r="QQX101" s="3"/>
      <c r="QQY101" s="3"/>
      <c r="QQZ101" s="3"/>
      <c r="QRA101" s="3"/>
      <c r="QRB101" s="3"/>
      <c r="QRC101" s="3"/>
      <c r="QRD101" s="3"/>
      <c r="QRE101" s="3"/>
      <c r="QRF101" s="3"/>
      <c r="QRG101" s="3"/>
      <c r="QRH101" s="3"/>
      <c r="QRI101" s="3"/>
      <c r="QRJ101" s="3"/>
      <c r="QRK101" s="3"/>
      <c r="QRL101" s="3"/>
      <c r="QRM101" s="3"/>
      <c r="QRN101" s="3"/>
      <c r="QRO101" s="3"/>
      <c r="QRP101" s="3"/>
      <c r="QRQ101" s="3"/>
      <c r="QRR101" s="3"/>
      <c r="QRS101" s="3"/>
      <c r="QRT101" s="3"/>
      <c r="QRU101" s="3"/>
      <c r="QRV101" s="3"/>
      <c r="QRW101" s="3"/>
      <c r="QRX101" s="3"/>
      <c r="QRY101" s="3"/>
      <c r="QRZ101" s="3"/>
      <c r="QSA101" s="3"/>
      <c r="QSB101" s="3"/>
      <c r="QSC101" s="3"/>
      <c r="QSD101" s="3"/>
      <c r="QSE101" s="3"/>
      <c r="QSF101" s="3"/>
      <c r="QSG101" s="3"/>
      <c r="QSH101" s="3"/>
      <c r="QSI101" s="3"/>
      <c r="QSJ101" s="3"/>
      <c r="QSK101" s="3"/>
      <c r="QSL101" s="3"/>
      <c r="QSM101" s="3"/>
      <c r="QSN101" s="3"/>
      <c r="QSO101" s="3"/>
      <c r="QSP101" s="3"/>
      <c r="QSQ101" s="3"/>
      <c r="QSR101" s="3"/>
      <c r="QSS101" s="3"/>
      <c r="QST101" s="3"/>
      <c r="QSU101" s="3"/>
      <c r="QSV101" s="3"/>
      <c r="QSW101" s="3"/>
      <c r="QSX101" s="3"/>
      <c r="QSY101" s="3"/>
      <c r="QSZ101" s="3"/>
      <c r="QTA101" s="3"/>
      <c r="QTB101" s="3"/>
      <c r="QTC101" s="3"/>
      <c r="QTD101" s="3"/>
      <c r="QTE101" s="3"/>
      <c r="QTF101" s="3"/>
      <c r="QTG101" s="3"/>
      <c r="QTH101" s="3"/>
      <c r="QTI101" s="3"/>
      <c r="QTJ101" s="3"/>
      <c r="QTK101" s="3"/>
      <c r="QTL101" s="3"/>
      <c r="QTM101" s="3"/>
      <c r="QTN101" s="3"/>
      <c r="QTO101" s="3"/>
      <c r="QTP101" s="3"/>
      <c r="QTQ101" s="3"/>
      <c r="QTR101" s="3"/>
      <c r="QTS101" s="3"/>
      <c r="QTT101" s="3"/>
      <c r="QTU101" s="3"/>
      <c r="QTV101" s="3"/>
      <c r="QTW101" s="3"/>
      <c r="QTX101" s="3"/>
      <c r="QTY101" s="3"/>
      <c r="QTZ101" s="3"/>
      <c r="QUA101" s="3"/>
      <c r="QUB101" s="3"/>
      <c r="QUC101" s="3"/>
      <c r="QUD101" s="3"/>
      <c r="QUE101" s="3"/>
      <c r="QUF101" s="3"/>
      <c r="QUG101" s="3"/>
      <c r="QUH101" s="3"/>
      <c r="QUI101" s="3"/>
      <c r="QUJ101" s="3"/>
      <c r="QUK101" s="3"/>
      <c r="QUL101" s="3"/>
      <c r="QUM101" s="3"/>
      <c r="QUN101" s="3"/>
      <c r="QUO101" s="3"/>
      <c r="QUP101" s="3"/>
      <c r="QUQ101" s="3"/>
      <c r="QUR101" s="3"/>
      <c r="QUS101" s="3"/>
      <c r="QUT101" s="3"/>
      <c r="QUU101" s="3"/>
      <c r="QUV101" s="3"/>
      <c r="QUW101" s="3"/>
      <c r="QUX101" s="3"/>
      <c r="QUY101" s="3"/>
      <c r="QUZ101" s="3"/>
      <c r="QVA101" s="3"/>
      <c r="QVB101" s="3"/>
      <c r="QVC101" s="3"/>
      <c r="QVD101" s="3"/>
      <c r="QVE101" s="3"/>
      <c r="QVF101" s="3"/>
      <c r="QVG101" s="3"/>
      <c r="QVH101" s="3"/>
      <c r="QVI101" s="3"/>
      <c r="QVJ101" s="3"/>
      <c r="QVK101" s="3"/>
      <c r="QVL101" s="3"/>
      <c r="QVM101" s="3"/>
      <c r="QVN101" s="3"/>
      <c r="QVO101" s="3"/>
      <c r="QVP101" s="3"/>
      <c r="QVQ101" s="3"/>
      <c r="QVR101" s="3"/>
      <c r="QVS101" s="3"/>
      <c r="QVT101" s="3"/>
      <c r="QVU101" s="3"/>
      <c r="QVV101" s="3"/>
      <c r="QVW101" s="3"/>
      <c r="QVX101" s="3"/>
      <c r="QVY101" s="3"/>
      <c r="QVZ101" s="3"/>
      <c r="QWA101" s="3"/>
      <c r="QWB101" s="3"/>
      <c r="QWC101" s="3"/>
      <c r="QWD101" s="3"/>
      <c r="QWE101" s="3"/>
      <c r="QWF101" s="3"/>
      <c r="QWG101" s="3"/>
      <c r="QWH101" s="3"/>
      <c r="QWI101" s="3"/>
      <c r="QWJ101" s="3"/>
      <c r="QWK101" s="3"/>
      <c r="QWL101" s="3"/>
      <c r="QWM101" s="3"/>
      <c r="QWN101" s="3"/>
      <c r="QWO101" s="3"/>
      <c r="QWP101" s="3"/>
      <c r="QWQ101" s="3"/>
      <c r="QWR101" s="3"/>
      <c r="QWS101" s="3"/>
      <c r="QWT101" s="3"/>
      <c r="QWU101" s="3"/>
      <c r="QWV101" s="3"/>
      <c r="QWW101" s="3"/>
      <c r="QWX101" s="3"/>
      <c r="QWY101" s="3"/>
      <c r="QWZ101" s="3"/>
      <c r="QXA101" s="3"/>
      <c r="QXB101" s="3"/>
      <c r="QXC101" s="3"/>
      <c r="QXD101" s="3"/>
      <c r="QXE101" s="3"/>
      <c r="QXF101" s="3"/>
      <c r="QXG101" s="3"/>
      <c r="QXH101" s="3"/>
      <c r="QXI101" s="3"/>
      <c r="QXJ101" s="3"/>
      <c r="QXK101" s="3"/>
      <c r="QXL101" s="3"/>
      <c r="QXM101" s="3"/>
      <c r="QXN101" s="3"/>
      <c r="QXO101" s="3"/>
      <c r="QXP101" s="3"/>
      <c r="QXQ101" s="3"/>
      <c r="QXR101" s="3"/>
      <c r="QXS101" s="3"/>
      <c r="QXT101" s="3"/>
      <c r="QXU101" s="3"/>
      <c r="QXV101" s="3"/>
      <c r="QXW101" s="3"/>
      <c r="QXX101" s="3"/>
      <c r="QXY101" s="3"/>
      <c r="QXZ101" s="3"/>
      <c r="QYA101" s="3"/>
      <c r="QYB101" s="3"/>
      <c r="QYC101" s="3"/>
      <c r="QYD101" s="3"/>
      <c r="QYE101" s="3"/>
      <c r="QYF101" s="3"/>
      <c r="QYG101" s="3"/>
      <c r="QYH101" s="3"/>
      <c r="QYI101" s="3"/>
      <c r="QYJ101" s="3"/>
      <c r="QYK101" s="3"/>
      <c r="QYL101" s="3"/>
      <c r="QYM101" s="3"/>
      <c r="QYN101" s="3"/>
      <c r="QYO101" s="3"/>
      <c r="QYP101" s="3"/>
      <c r="QYQ101" s="3"/>
      <c r="QYR101" s="3"/>
      <c r="QYS101" s="3"/>
      <c r="QYT101" s="3"/>
      <c r="QYU101" s="3"/>
      <c r="QYV101" s="3"/>
      <c r="QYW101" s="3"/>
      <c r="QYX101" s="3"/>
      <c r="QYY101" s="3"/>
      <c r="QYZ101" s="3"/>
      <c r="QZA101" s="3"/>
      <c r="QZB101" s="3"/>
      <c r="QZC101" s="3"/>
      <c r="QZD101" s="3"/>
      <c r="QZE101" s="3"/>
      <c r="QZF101" s="3"/>
      <c r="QZG101" s="3"/>
      <c r="QZH101" s="3"/>
      <c r="QZI101" s="3"/>
      <c r="QZJ101" s="3"/>
      <c r="QZK101" s="3"/>
      <c r="QZL101" s="3"/>
      <c r="QZM101" s="3"/>
      <c r="QZN101" s="3"/>
      <c r="QZO101" s="3"/>
      <c r="QZP101" s="3"/>
      <c r="QZQ101" s="3"/>
      <c r="QZR101" s="3"/>
      <c r="QZS101" s="3"/>
      <c r="QZT101" s="3"/>
      <c r="QZU101" s="3"/>
      <c r="QZV101" s="3"/>
      <c r="QZW101" s="3"/>
      <c r="QZX101" s="3"/>
      <c r="QZY101" s="3"/>
      <c r="QZZ101" s="3"/>
      <c r="RAA101" s="3"/>
      <c r="RAB101" s="3"/>
      <c r="RAC101" s="3"/>
      <c r="RAD101" s="3"/>
      <c r="RAE101" s="3"/>
      <c r="RAF101" s="3"/>
      <c r="RAG101" s="3"/>
      <c r="RAH101" s="3"/>
      <c r="RAI101" s="3"/>
      <c r="RAJ101" s="3"/>
      <c r="RAK101" s="3"/>
      <c r="RAL101" s="3"/>
      <c r="RAM101" s="3"/>
      <c r="RAN101" s="3"/>
      <c r="RAO101" s="3"/>
      <c r="RAP101" s="3"/>
      <c r="RAQ101" s="3"/>
      <c r="RAR101" s="3"/>
      <c r="RAS101" s="3"/>
      <c r="RAT101" s="3"/>
      <c r="RAU101" s="3"/>
      <c r="RAV101" s="3"/>
      <c r="RAW101" s="3"/>
      <c r="RAX101" s="3"/>
      <c r="RAY101" s="3"/>
      <c r="RAZ101" s="3"/>
      <c r="RBA101" s="3"/>
      <c r="RBB101" s="3"/>
      <c r="RBC101" s="3"/>
      <c r="RBD101" s="3"/>
      <c r="RBE101" s="3"/>
      <c r="RBF101" s="3"/>
      <c r="RBG101" s="3"/>
      <c r="RBH101" s="3"/>
      <c r="RBI101" s="3"/>
      <c r="RBJ101" s="3"/>
      <c r="RBK101" s="3"/>
      <c r="RBL101" s="3"/>
      <c r="RBM101" s="3"/>
      <c r="RBN101" s="3"/>
      <c r="RBO101" s="3"/>
      <c r="RBP101" s="3"/>
      <c r="RBQ101" s="3"/>
      <c r="RBR101" s="3"/>
      <c r="RBS101" s="3"/>
      <c r="RBT101" s="3"/>
      <c r="RBU101" s="3"/>
      <c r="RBV101" s="3"/>
      <c r="RBW101" s="3"/>
      <c r="RBX101" s="3"/>
      <c r="RBY101" s="3"/>
      <c r="RBZ101" s="3"/>
      <c r="RCA101" s="3"/>
      <c r="RCB101" s="3"/>
      <c r="RCC101" s="3"/>
      <c r="RCD101" s="3"/>
      <c r="RCE101" s="3"/>
      <c r="RCF101" s="3"/>
      <c r="RCG101" s="3"/>
      <c r="RCH101" s="3"/>
      <c r="RCI101" s="3"/>
      <c r="RCJ101" s="3"/>
      <c r="RCK101" s="3"/>
      <c r="RCL101" s="3"/>
      <c r="RCM101" s="3"/>
      <c r="RCN101" s="3"/>
      <c r="RCO101" s="3"/>
      <c r="RCP101" s="3"/>
      <c r="RCQ101" s="3"/>
      <c r="RCR101" s="3"/>
      <c r="RCS101" s="3"/>
      <c r="RCT101" s="3"/>
      <c r="RCU101" s="3"/>
      <c r="RCV101" s="3"/>
      <c r="RCW101" s="3"/>
      <c r="RCX101" s="3"/>
      <c r="RCY101" s="3"/>
      <c r="RCZ101" s="3"/>
      <c r="RDA101" s="3"/>
      <c r="RDB101" s="3"/>
      <c r="RDC101" s="3"/>
      <c r="RDD101" s="3"/>
      <c r="RDE101" s="3"/>
      <c r="RDF101" s="3"/>
      <c r="RDG101" s="3"/>
      <c r="RDH101" s="3"/>
      <c r="RDI101" s="3"/>
      <c r="RDJ101" s="3"/>
      <c r="RDK101" s="3"/>
      <c r="RDL101" s="3"/>
      <c r="RDM101" s="3"/>
      <c r="RDN101" s="3"/>
      <c r="RDO101" s="3"/>
      <c r="RDP101" s="3"/>
      <c r="RDQ101" s="3"/>
      <c r="RDR101" s="3"/>
      <c r="RDS101" s="3"/>
      <c r="RDT101" s="3"/>
      <c r="RDU101" s="3"/>
      <c r="RDV101" s="3"/>
      <c r="RDW101" s="3"/>
      <c r="RDX101" s="3"/>
      <c r="RDY101" s="3"/>
      <c r="RDZ101" s="3"/>
      <c r="REA101" s="3"/>
      <c r="REB101" s="3"/>
      <c r="REC101" s="3"/>
      <c r="RED101" s="3"/>
      <c r="REE101" s="3"/>
      <c r="REF101" s="3"/>
      <c r="REG101" s="3"/>
      <c r="REH101" s="3"/>
      <c r="REI101" s="3"/>
      <c r="REJ101" s="3"/>
      <c r="REK101" s="3"/>
      <c r="REL101" s="3"/>
      <c r="REM101" s="3"/>
      <c r="REN101" s="3"/>
      <c r="REO101" s="3"/>
      <c r="REP101" s="3"/>
      <c r="REQ101" s="3"/>
      <c r="RER101" s="3"/>
      <c r="RES101" s="3"/>
      <c r="RET101" s="3"/>
      <c r="REU101" s="3"/>
      <c r="REV101" s="3"/>
      <c r="REW101" s="3"/>
      <c r="REX101" s="3"/>
      <c r="REY101" s="3"/>
      <c r="REZ101" s="3"/>
      <c r="RFA101" s="3"/>
      <c r="RFB101" s="3"/>
      <c r="RFC101" s="3"/>
      <c r="RFD101" s="3"/>
      <c r="RFE101" s="3"/>
      <c r="RFF101" s="3"/>
      <c r="RFG101" s="3"/>
      <c r="RFH101" s="3"/>
      <c r="RFI101" s="3"/>
      <c r="RFJ101" s="3"/>
      <c r="RFK101" s="3"/>
      <c r="RFL101" s="3"/>
      <c r="RFM101" s="3"/>
      <c r="RFN101" s="3"/>
      <c r="RFO101" s="3"/>
      <c r="RFP101" s="3"/>
      <c r="RFQ101" s="3"/>
      <c r="RFR101" s="3"/>
      <c r="RFS101" s="3"/>
      <c r="RFT101" s="3"/>
      <c r="RFU101" s="3"/>
      <c r="RFV101" s="3"/>
      <c r="RFW101" s="3"/>
      <c r="RFX101" s="3"/>
      <c r="RFY101" s="3"/>
      <c r="RFZ101" s="3"/>
      <c r="RGA101" s="3"/>
      <c r="RGB101" s="3"/>
      <c r="RGC101" s="3"/>
      <c r="RGD101" s="3"/>
      <c r="RGE101" s="3"/>
      <c r="RGF101" s="3"/>
      <c r="RGG101" s="3"/>
      <c r="RGH101" s="3"/>
      <c r="RGI101" s="3"/>
      <c r="RGJ101" s="3"/>
      <c r="RGK101" s="3"/>
      <c r="RGL101" s="3"/>
      <c r="RGM101" s="3"/>
      <c r="RGN101" s="3"/>
      <c r="RGO101" s="3"/>
      <c r="RGP101" s="3"/>
      <c r="RGQ101" s="3"/>
      <c r="RGR101" s="3"/>
      <c r="RGS101" s="3"/>
      <c r="RGT101" s="3"/>
      <c r="RGU101" s="3"/>
      <c r="RGV101" s="3"/>
      <c r="RGW101" s="3"/>
      <c r="RGX101" s="3"/>
      <c r="RGY101" s="3"/>
      <c r="RGZ101" s="3"/>
      <c r="RHA101" s="3"/>
      <c r="RHB101" s="3"/>
      <c r="RHC101" s="3"/>
      <c r="RHD101" s="3"/>
      <c r="RHE101" s="3"/>
      <c r="RHF101" s="3"/>
      <c r="RHG101" s="3"/>
      <c r="RHH101" s="3"/>
      <c r="RHI101" s="3"/>
      <c r="RHJ101" s="3"/>
      <c r="RHK101" s="3"/>
      <c r="RHL101" s="3"/>
      <c r="RHM101" s="3"/>
      <c r="RHN101" s="3"/>
      <c r="RHO101" s="3"/>
      <c r="RHP101" s="3"/>
      <c r="RHQ101" s="3"/>
      <c r="RHR101" s="3"/>
      <c r="RHS101" s="3"/>
      <c r="RHT101" s="3"/>
      <c r="RHU101" s="3"/>
      <c r="RHV101" s="3"/>
      <c r="RHW101" s="3"/>
      <c r="RHX101" s="3"/>
      <c r="RHY101" s="3"/>
      <c r="RHZ101" s="3"/>
      <c r="RIA101" s="3"/>
      <c r="RIB101" s="3"/>
      <c r="RIC101" s="3"/>
      <c r="RID101" s="3"/>
      <c r="RIE101" s="3"/>
      <c r="RIF101" s="3"/>
      <c r="RIG101" s="3"/>
      <c r="RIH101" s="3"/>
      <c r="RII101" s="3"/>
      <c r="RIJ101" s="3"/>
      <c r="RIK101" s="3"/>
      <c r="RIL101" s="3"/>
      <c r="RIM101" s="3"/>
      <c r="RIN101" s="3"/>
      <c r="RIO101" s="3"/>
      <c r="RIP101" s="3"/>
      <c r="RIQ101" s="3"/>
      <c r="RIR101" s="3"/>
      <c r="RIS101" s="3"/>
      <c r="RIT101" s="3"/>
      <c r="RIU101" s="3"/>
      <c r="RIV101" s="3"/>
      <c r="RIW101" s="3"/>
      <c r="RIX101" s="3"/>
      <c r="RIY101" s="3"/>
      <c r="RIZ101" s="3"/>
      <c r="RJA101" s="3"/>
      <c r="RJB101" s="3"/>
      <c r="RJC101" s="3"/>
      <c r="RJD101" s="3"/>
      <c r="RJE101" s="3"/>
      <c r="RJF101" s="3"/>
      <c r="RJG101" s="3"/>
      <c r="RJH101" s="3"/>
      <c r="RJI101" s="3"/>
      <c r="RJJ101" s="3"/>
      <c r="RJK101" s="3"/>
      <c r="RJL101" s="3"/>
      <c r="RJM101" s="3"/>
      <c r="RJN101" s="3"/>
      <c r="RJO101" s="3"/>
      <c r="RJP101" s="3"/>
      <c r="RJQ101" s="3"/>
      <c r="RJR101" s="3"/>
      <c r="RJS101" s="3"/>
      <c r="RJT101" s="3"/>
      <c r="RJU101" s="3"/>
      <c r="RJV101" s="3"/>
      <c r="RJW101" s="3"/>
      <c r="RJX101" s="3"/>
      <c r="RJY101" s="3"/>
      <c r="RJZ101" s="3"/>
      <c r="RKA101" s="3"/>
      <c r="RKB101" s="3"/>
      <c r="RKC101" s="3"/>
      <c r="RKD101" s="3"/>
      <c r="RKE101" s="3"/>
      <c r="RKF101" s="3"/>
      <c r="RKG101" s="3"/>
      <c r="RKH101" s="3"/>
      <c r="RKI101" s="3"/>
      <c r="RKJ101" s="3"/>
      <c r="RKK101" s="3"/>
      <c r="RKL101" s="3"/>
      <c r="RKM101" s="3"/>
      <c r="RKN101" s="3"/>
      <c r="RKO101" s="3"/>
      <c r="RKP101" s="3"/>
      <c r="RKQ101" s="3"/>
      <c r="RKR101" s="3"/>
      <c r="RKS101" s="3"/>
      <c r="RKT101" s="3"/>
      <c r="RKU101" s="3"/>
      <c r="RKV101" s="3"/>
      <c r="RKW101" s="3"/>
      <c r="RKX101" s="3"/>
      <c r="RKY101" s="3"/>
      <c r="RKZ101" s="3"/>
      <c r="RLA101" s="3"/>
      <c r="RLB101" s="3"/>
      <c r="RLC101" s="3"/>
      <c r="RLD101" s="3"/>
      <c r="RLE101" s="3"/>
      <c r="RLF101" s="3"/>
      <c r="RLG101" s="3"/>
      <c r="RLH101" s="3"/>
      <c r="RLI101" s="3"/>
      <c r="RLJ101" s="3"/>
      <c r="RLK101" s="3"/>
      <c r="RLL101" s="3"/>
      <c r="RLM101" s="3"/>
      <c r="RLN101" s="3"/>
      <c r="RLO101" s="3"/>
      <c r="RLP101" s="3"/>
      <c r="RLQ101" s="3"/>
      <c r="RLR101" s="3"/>
      <c r="RLS101" s="3"/>
      <c r="RLT101" s="3"/>
      <c r="RLU101" s="3"/>
      <c r="RLV101" s="3"/>
      <c r="RLW101" s="3"/>
      <c r="RLX101" s="3"/>
      <c r="RLY101" s="3"/>
      <c r="RLZ101" s="3"/>
      <c r="RMA101" s="3"/>
      <c r="RMB101" s="3"/>
      <c r="RMC101" s="3"/>
      <c r="RMD101" s="3"/>
      <c r="RME101" s="3"/>
      <c r="RMF101" s="3"/>
      <c r="RMG101" s="3"/>
      <c r="RMH101" s="3"/>
      <c r="RMI101" s="3"/>
      <c r="RMJ101" s="3"/>
      <c r="RMK101" s="3"/>
      <c r="RML101" s="3"/>
      <c r="RMM101" s="3"/>
      <c r="RMN101" s="3"/>
      <c r="RMO101" s="3"/>
      <c r="RMP101" s="3"/>
      <c r="RMQ101" s="3"/>
      <c r="RMR101" s="3"/>
      <c r="RMS101" s="3"/>
      <c r="RMT101" s="3"/>
      <c r="RMU101" s="3"/>
      <c r="RMV101" s="3"/>
      <c r="RMW101" s="3"/>
      <c r="RMX101" s="3"/>
      <c r="RMY101" s="3"/>
      <c r="RMZ101" s="3"/>
      <c r="RNA101" s="3"/>
      <c r="RNB101" s="3"/>
      <c r="RNC101" s="3"/>
      <c r="RND101" s="3"/>
      <c r="RNE101" s="3"/>
      <c r="RNF101" s="3"/>
      <c r="RNG101" s="3"/>
      <c r="RNH101" s="3"/>
      <c r="RNI101" s="3"/>
      <c r="RNJ101" s="3"/>
      <c r="RNK101" s="3"/>
      <c r="RNL101" s="3"/>
      <c r="RNM101" s="3"/>
      <c r="RNN101" s="3"/>
      <c r="RNO101" s="3"/>
      <c r="RNP101" s="3"/>
      <c r="RNQ101" s="3"/>
      <c r="RNR101" s="3"/>
      <c r="RNS101" s="3"/>
      <c r="RNT101" s="3"/>
      <c r="RNU101" s="3"/>
      <c r="RNV101" s="3"/>
      <c r="RNW101" s="3"/>
      <c r="RNX101" s="3"/>
      <c r="RNY101" s="3"/>
      <c r="RNZ101" s="3"/>
      <c r="ROA101" s="3"/>
      <c r="ROB101" s="3"/>
      <c r="ROC101" s="3"/>
      <c r="ROD101" s="3"/>
      <c r="ROE101" s="3"/>
      <c r="ROF101" s="3"/>
      <c r="ROG101" s="3"/>
      <c r="ROH101" s="3"/>
      <c r="ROI101" s="3"/>
      <c r="ROJ101" s="3"/>
      <c r="ROK101" s="3"/>
      <c r="ROL101" s="3"/>
      <c r="ROM101" s="3"/>
      <c r="RON101" s="3"/>
      <c r="ROO101" s="3"/>
      <c r="ROP101" s="3"/>
      <c r="ROQ101" s="3"/>
      <c r="ROR101" s="3"/>
      <c r="ROS101" s="3"/>
      <c r="ROT101" s="3"/>
      <c r="ROU101" s="3"/>
      <c r="ROV101" s="3"/>
      <c r="ROW101" s="3"/>
      <c r="ROX101" s="3"/>
      <c r="ROY101" s="3"/>
      <c r="ROZ101" s="3"/>
      <c r="RPA101" s="3"/>
      <c r="RPB101" s="3"/>
      <c r="RPC101" s="3"/>
      <c r="RPD101" s="3"/>
      <c r="RPE101" s="3"/>
      <c r="RPF101" s="3"/>
      <c r="RPG101" s="3"/>
      <c r="RPH101" s="3"/>
      <c r="RPI101" s="3"/>
      <c r="RPJ101" s="3"/>
      <c r="RPK101" s="3"/>
      <c r="RPL101" s="3"/>
      <c r="RPM101" s="3"/>
      <c r="RPN101" s="3"/>
      <c r="RPO101" s="3"/>
      <c r="RPP101" s="3"/>
      <c r="RPQ101" s="3"/>
      <c r="RPR101" s="3"/>
      <c r="RPS101" s="3"/>
      <c r="RPT101" s="3"/>
      <c r="RPU101" s="3"/>
      <c r="RPV101" s="3"/>
      <c r="RPW101" s="3"/>
      <c r="RPX101" s="3"/>
      <c r="RPY101" s="3"/>
      <c r="RPZ101" s="3"/>
      <c r="RQA101" s="3"/>
      <c r="RQB101" s="3"/>
      <c r="RQC101" s="3"/>
      <c r="RQD101" s="3"/>
      <c r="RQE101" s="3"/>
      <c r="RQF101" s="3"/>
      <c r="RQG101" s="3"/>
      <c r="RQH101" s="3"/>
      <c r="RQI101" s="3"/>
      <c r="RQJ101" s="3"/>
      <c r="RQK101" s="3"/>
      <c r="RQL101" s="3"/>
      <c r="RQM101" s="3"/>
      <c r="RQN101" s="3"/>
      <c r="RQO101" s="3"/>
      <c r="RQP101" s="3"/>
      <c r="RQQ101" s="3"/>
      <c r="RQR101" s="3"/>
      <c r="RQS101" s="3"/>
      <c r="RQT101" s="3"/>
      <c r="RQU101" s="3"/>
      <c r="RQV101" s="3"/>
      <c r="RQW101" s="3"/>
      <c r="RQX101" s="3"/>
      <c r="RQY101" s="3"/>
      <c r="RQZ101" s="3"/>
      <c r="RRA101" s="3"/>
      <c r="RRB101" s="3"/>
      <c r="RRC101" s="3"/>
      <c r="RRD101" s="3"/>
      <c r="RRE101" s="3"/>
      <c r="RRF101" s="3"/>
      <c r="RRG101" s="3"/>
      <c r="RRH101" s="3"/>
      <c r="RRI101" s="3"/>
      <c r="RRJ101" s="3"/>
      <c r="RRK101" s="3"/>
      <c r="RRL101" s="3"/>
      <c r="RRM101" s="3"/>
      <c r="RRN101" s="3"/>
      <c r="RRO101" s="3"/>
      <c r="RRP101" s="3"/>
      <c r="RRQ101" s="3"/>
      <c r="RRR101" s="3"/>
      <c r="RRS101" s="3"/>
      <c r="RRT101" s="3"/>
      <c r="RRU101" s="3"/>
      <c r="RRV101" s="3"/>
      <c r="RRW101" s="3"/>
      <c r="RRX101" s="3"/>
      <c r="RRY101" s="3"/>
      <c r="RRZ101" s="3"/>
      <c r="RSA101" s="3"/>
      <c r="RSB101" s="3"/>
      <c r="RSC101" s="3"/>
      <c r="RSD101" s="3"/>
      <c r="RSE101" s="3"/>
      <c r="RSF101" s="3"/>
      <c r="RSG101" s="3"/>
      <c r="RSH101" s="3"/>
      <c r="RSI101" s="3"/>
      <c r="RSJ101" s="3"/>
      <c r="RSK101" s="3"/>
      <c r="RSL101" s="3"/>
      <c r="RSM101" s="3"/>
      <c r="RSN101" s="3"/>
      <c r="RSO101" s="3"/>
      <c r="RSP101" s="3"/>
      <c r="RSQ101" s="3"/>
      <c r="RSR101" s="3"/>
      <c r="RSS101" s="3"/>
      <c r="RST101" s="3"/>
      <c r="RSU101" s="3"/>
      <c r="RSV101" s="3"/>
      <c r="RSW101" s="3"/>
      <c r="RSX101" s="3"/>
      <c r="RSY101" s="3"/>
      <c r="RSZ101" s="3"/>
      <c r="RTA101" s="3"/>
      <c r="RTB101" s="3"/>
      <c r="RTC101" s="3"/>
      <c r="RTD101" s="3"/>
      <c r="RTE101" s="3"/>
      <c r="RTF101" s="3"/>
      <c r="RTG101" s="3"/>
      <c r="RTH101" s="3"/>
      <c r="RTI101" s="3"/>
      <c r="RTJ101" s="3"/>
      <c r="RTK101" s="3"/>
      <c r="RTL101" s="3"/>
      <c r="RTM101" s="3"/>
      <c r="RTN101" s="3"/>
      <c r="RTO101" s="3"/>
      <c r="RTP101" s="3"/>
      <c r="RTQ101" s="3"/>
      <c r="RTR101" s="3"/>
      <c r="RTS101" s="3"/>
      <c r="RTT101" s="3"/>
      <c r="RTU101" s="3"/>
      <c r="RTV101" s="3"/>
      <c r="RTW101" s="3"/>
      <c r="RTX101" s="3"/>
      <c r="RTY101" s="3"/>
      <c r="RTZ101" s="3"/>
      <c r="RUA101" s="3"/>
      <c r="RUB101" s="3"/>
      <c r="RUC101" s="3"/>
      <c r="RUD101" s="3"/>
      <c r="RUE101" s="3"/>
      <c r="RUF101" s="3"/>
      <c r="RUG101" s="3"/>
      <c r="RUH101" s="3"/>
      <c r="RUI101" s="3"/>
      <c r="RUJ101" s="3"/>
      <c r="RUK101" s="3"/>
      <c r="RUL101" s="3"/>
      <c r="RUM101" s="3"/>
      <c r="RUN101" s="3"/>
      <c r="RUO101" s="3"/>
      <c r="RUP101" s="3"/>
      <c r="RUQ101" s="3"/>
      <c r="RUR101" s="3"/>
      <c r="RUS101" s="3"/>
      <c r="RUT101" s="3"/>
      <c r="RUU101" s="3"/>
      <c r="RUV101" s="3"/>
      <c r="RUW101" s="3"/>
      <c r="RUX101" s="3"/>
      <c r="RUY101" s="3"/>
      <c r="RUZ101" s="3"/>
      <c r="RVA101" s="3"/>
      <c r="RVB101" s="3"/>
      <c r="RVC101" s="3"/>
      <c r="RVD101" s="3"/>
      <c r="RVE101" s="3"/>
      <c r="RVF101" s="3"/>
      <c r="RVG101" s="3"/>
      <c r="RVH101" s="3"/>
      <c r="RVI101" s="3"/>
      <c r="RVJ101" s="3"/>
      <c r="RVK101" s="3"/>
      <c r="RVL101" s="3"/>
      <c r="RVM101" s="3"/>
      <c r="RVN101" s="3"/>
      <c r="RVO101" s="3"/>
      <c r="RVP101" s="3"/>
      <c r="RVQ101" s="3"/>
      <c r="RVR101" s="3"/>
      <c r="RVS101" s="3"/>
      <c r="RVT101" s="3"/>
      <c r="RVU101" s="3"/>
      <c r="RVV101" s="3"/>
      <c r="RVW101" s="3"/>
      <c r="RVX101" s="3"/>
      <c r="RVY101" s="3"/>
      <c r="RVZ101" s="3"/>
      <c r="RWA101" s="3"/>
      <c r="RWB101" s="3"/>
      <c r="RWC101" s="3"/>
      <c r="RWD101" s="3"/>
      <c r="RWE101" s="3"/>
      <c r="RWF101" s="3"/>
      <c r="RWG101" s="3"/>
      <c r="RWH101" s="3"/>
      <c r="RWI101" s="3"/>
      <c r="RWJ101" s="3"/>
      <c r="RWK101" s="3"/>
      <c r="RWL101" s="3"/>
      <c r="RWM101" s="3"/>
      <c r="RWN101" s="3"/>
      <c r="RWO101" s="3"/>
      <c r="RWP101" s="3"/>
      <c r="RWQ101" s="3"/>
      <c r="RWR101" s="3"/>
      <c r="RWS101" s="3"/>
      <c r="RWT101" s="3"/>
      <c r="RWU101" s="3"/>
      <c r="RWV101" s="3"/>
      <c r="RWW101" s="3"/>
      <c r="RWX101" s="3"/>
      <c r="RWY101" s="3"/>
      <c r="RWZ101" s="3"/>
      <c r="RXA101" s="3"/>
      <c r="RXB101" s="3"/>
      <c r="RXC101" s="3"/>
      <c r="RXD101" s="3"/>
      <c r="RXE101" s="3"/>
      <c r="RXF101" s="3"/>
      <c r="RXG101" s="3"/>
      <c r="RXH101" s="3"/>
      <c r="RXI101" s="3"/>
      <c r="RXJ101" s="3"/>
      <c r="RXK101" s="3"/>
      <c r="RXL101" s="3"/>
      <c r="RXM101" s="3"/>
      <c r="RXN101" s="3"/>
      <c r="RXO101" s="3"/>
      <c r="RXP101" s="3"/>
      <c r="RXQ101" s="3"/>
      <c r="RXR101" s="3"/>
      <c r="RXS101" s="3"/>
      <c r="RXT101" s="3"/>
      <c r="RXU101" s="3"/>
      <c r="RXV101" s="3"/>
      <c r="RXW101" s="3"/>
      <c r="RXX101" s="3"/>
      <c r="RXY101" s="3"/>
      <c r="RXZ101" s="3"/>
      <c r="RYA101" s="3"/>
      <c r="RYB101" s="3"/>
      <c r="RYC101" s="3"/>
      <c r="RYD101" s="3"/>
      <c r="RYE101" s="3"/>
      <c r="RYF101" s="3"/>
      <c r="RYG101" s="3"/>
      <c r="RYH101" s="3"/>
      <c r="RYI101" s="3"/>
      <c r="RYJ101" s="3"/>
      <c r="RYK101" s="3"/>
      <c r="RYL101" s="3"/>
      <c r="RYM101" s="3"/>
      <c r="RYN101" s="3"/>
      <c r="RYO101" s="3"/>
      <c r="RYP101" s="3"/>
      <c r="RYQ101" s="3"/>
      <c r="RYR101" s="3"/>
      <c r="RYS101" s="3"/>
      <c r="RYT101" s="3"/>
      <c r="RYU101" s="3"/>
      <c r="RYV101" s="3"/>
      <c r="RYW101" s="3"/>
      <c r="RYX101" s="3"/>
      <c r="RYY101" s="3"/>
      <c r="RYZ101" s="3"/>
      <c r="RZA101" s="3"/>
      <c r="RZB101" s="3"/>
      <c r="RZC101" s="3"/>
      <c r="RZD101" s="3"/>
      <c r="RZE101" s="3"/>
      <c r="RZF101" s="3"/>
      <c r="RZG101" s="3"/>
      <c r="RZH101" s="3"/>
      <c r="RZI101" s="3"/>
      <c r="RZJ101" s="3"/>
      <c r="RZK101" s="3"/>
      <c r="RZL101" s="3"/>
      <c r="RZM101" s="3"/>
      <c r="RZN101" s="3"/>
      <c r="RZO101" s="3"/>
      <c r="RZP101" s="3"/>
      <c r="RZQ101" s="3"/>
      <c r="RZR101" s="3"/>
      <c r="RZS101" s="3"/>
      <c r="RZT101" s="3"/>
      <c r="RZU101" s="3"/>
      <c r="RZV101" s="3"/>
      <c r="RZW101" s="3"/>
      <c r="RZX101" s="3"/>
      <c r="RZY101" s="3"/>
      <c r="RZZ101" s="3"/>
      <c r="SAA101" s="3"/>
      <c r="SAB101" s="3"/>
      <c r="SAC101" s="3"/>
      <c r="SAD101" s="3"/>
      <c r="SAE101" s="3"/>
      <c r="SAF101" s="3"/>
      <c r="SAG101" s="3"/>
      <c r="SAH101" s="3"/>
      <c r="SAI101" s="3"/>
      <c r="SAJ101" s="3"/>
      <c r="SAK101" s="3"/>
      <c r="SAL101" s="3"/>
      <c r="SAM101" s="3"/>
      <c r="SAN101" s="3"/>
      <c r="SAO101" s="3"/>
      <c r="SAP101" s="3"/>
      <c r="SAQ101" s="3"/>
      <c r="SAR101" s="3"/>
      <c r="SAS101" s="3"/>
      <c r="SAT101" s="3"/>
      <c r="SAU101" s="3"/>
      <c r="SAV101" s="3"/>
      <c r="SAW101" s="3"/>
      <c r="SAX101" s="3"/>
      <c r="SAY101" s="3"/>
      <c r="SAZ101" s="3"/>
      <c r="SBA101" s="3"/>
      <c r="SBB101" s="3"/>
      <c r="SBC101" s="3"/>
      <c r="SBD101" s="3"/>
      <c r="SBE101" s="3"/>
      <c r="SBF101" s="3"/>
      <c r="SBG101" s="3"/>
      <c r="SBH101" s="3"/>
      <c r="SBI101" s="3"/>
      <c r="SBJ101" s="3"/>
      <c r="SBK101" s="3"/>
      <c r="SBL101" s="3"/>
      <c r="SBM101" s="3"/>
      <c r="SBN101" s="3"/>
      <c r="SBO101" s="3"/>
      <c r="SBP101" s="3"/>
      <c r="SBQ101" s="3"/>
      <c r="SBR101" s="3"/>
      <c r="SBS101" s="3"/>
      <c r="SBT101" s="3"/>
      <c r="SBU101" s="3"/>
      <c r="SBV101" s="3"/>
      <c r="SBW101" s="3"/>
      <c r="SBX101" s="3"/>
      <c r="SBY101" s="3"/>
      <c r="SBZ101" s="3"/>
      <c r="SCA101" s="3"/>
      <c r="SCB101" s="3"/>
      <c r="SCC101" s="3"/>
      <c r="SCD101" s="3"/>
      <c r="SCE101" s="3"/>
      <c r="SCF101" s="3"/>
      <c r="SCG101" s="3"/>
      <c r="SCH101" s="3"/>
      <c r="SCI101" s="3"/>
      <c r="SCJ101" s="3"/>
      <c r="SCK101" s="3"/>
      <c r="SCL101" s="3"/>
      <c r="SCM101" s="3"/>
      <c r="SCN101" s="3"/>
      <c r="SCO101" s="3"/>
      <c r="SCP101" s="3"/>
      <c r="SCQ101" s="3"/>
      <c r="SCR101" s="3"/>
      <c r="SCS101" s="3"/>
      <c r="SCT101" s="3"/>
      <c r="SCU101" s="3"/>
      <c r="SCV101" s="3"/>
      <c r="SCW101" s="3"/>
      <c r="SCX101" s="3"/>
      <c r="SCY101" s="3"/>
      <c r="SCZ101" s="3"/>
      <c r="SDA101" s="3"/>
      <c r="SDB101" s="3"/>
      <c r="SDC101" s="3"/>
      <c r="SDD101" s="3"/>
      <c r="SDE101" s="3"/>
      <c r="SDF101" s="3"/>
      <c r="SDG101" s="3"/>
      <c r="SDH101" s="3"/>
      <c r="SDI101" s="3"/>
      <c r="SDJ101" s="3"/>
      <c r="SDK101" s="3"/>
      <c r="SDL101" s="3"/>
      <c r="SDM101" s="3"/>
      <c r="SDN101" s="3"/>
      <c r="SDO101" s="3"/>
      <c r="SDP101" s="3"/>
      <c r="SDQ101" s="3"/>
      <c r="SDR101" s="3"/>
      <c r="SDS101" s="3"/>
      <c r="SDT101" s="3"/>
      <c r="SDU101" s="3"/>
      <c r="SDV101" s="3"/>
      <c r="SDW101" s="3"/>
      <c r="SDX101" s="3"/>
      <c r="SDY101" s="3"/>
      <c r="SDZ101" s="3"/>
      <c r="SEA101" s="3"/>
      <c r="SEB101" s="3"/>
      <c r="SEC101" s="3"/>
      <c r="SED101" s="3"/>
      <c r="SEE101" s="3"/>
      <c r="SEF101" s="3"/>
      <c r="SEG101" s="3"/>
      <c r="SEH101" s="3"/>
      <c r="SEI101" s="3"/>
      <c r="SEJ101" s="3"/>
      <c r="SEK101" s="3"/>
      <c r="SEL101" s="3"/>
      <c r="SEM101" s="3"/>
      <c r="SEN101" s="3"/>
      <c r="SEO101" s="3"/>
      <c r="SEP101" s="3"/>
      <c r="SEQ101" s="3"/>
      <c r="SER101" s="3"/>
      <c r="SES101" s="3"/>
      <c r="SET101" s="3"/>
      <c r="SEU101" s="3"/>
      <c r="SEV101" s="3"/>
      <c r="SEW101" s="3"/>
      <c r="SEX101" s="3"/>
      <c r="SEY101" s="3"/>
      <c r="SEZ101" s="3"/>
      <c r="SFA101" s="3"/>
      <c r="SFB101" s="3"/>
      <c r="SFC101" s="3"/>
      <c r="SFD101" s="3"/>
      <c r="SFE101" s="3"/>
      <c r="SFF101" s="3"/>
      <c r="SFG101" s="3"/>
      <c r="SFH101" s="3"/>
      <c r="SFI101" s="3"/>
      <c r="SFJ101" s="3"/>
      <c r="SFK101" s="3"/>
      <c r="SFL101" s="3"/>
      <c r="SFM101" s="3"/>
      <c r="SFN101" s="3"/>
      <c r="SFO101" s="3"/>
      <c r="SFP101" s="3"/>
      <c r="SFQ101" s="3"/>
      <c r="SFR101" s="3"/>
      <c r="SFS101" s="3"/>
      <c r="SFT101" s="3"/>
      <c r="SFU101" s="3"/>
      <c r="SFV101" s="3"/>
      <c r="SFW101" s="3"/>
      <c r="SFX101" s="3"/>
      <c r="SFY101" s="3"/>
      <c r="SFZ101" s="3"/>
      <c r="SGA101" s="3"/>
      <c r="SGB101" s="3"/>
      <c r="SGC101" s="3"/>
      <c r="SGD101" s="3"/>
      <c r="SGE101" s="3"/>
      <c r="SGF101" s="3"/>
      <c r="SGG101" s="3"/>
      <c r="SGH101" s="3"/>
      <c r="SGI101" s="3"/>
      <c r="SGJ101" s="3"/>
      <c r="SGK101" s="3"/>
      <c r="SGL101" s="3"/>
      <c r="SGM101" s="3"/>
      <c r="SGN101" s="3"/>
      <c r="SGO101" s="3"/>
      <c r="SGP101" s="3"/>
      <c r="SGQ101" s="3"/>
      <c r="SGR101" s="3"/>
      <c r="SGS101" s="3"/>
      <c r="SGT101" s="3"/>
      <c r="SGU101" s="3"/>
      <c r="SGV101" s="3"/>
      <c r="SGW101" s="3"/>
      <c r="SGX101" s="3"/>
      <c r="SGY101" s="3"/>
      <c r="SGZ101" s="3"/>
      <c r="SHA101" s="3"/>
      <c r="SHB101" s="3"/>
      <c r="SHC101" s="3"/>
      <c r="SHD101" s="3"/>
      <c r="SHE101" s="3"/>
      <c r="SHF101" s="3"/>
      <c r="SHG101" s="3"/>
      <c r="SHH101" s="3"/>
      <c r="SHI101" s="3"/>
      <c r="SHJ101" s="3"/>
      <c r="SHK101" s="3"/>
      <c r="SHL101" s="3"/>
      <c r="SHM101" s="3"/>
      <c r="SHN101" s="3"/>
      <c r="SHO101" s="3"/>
      <c r="SHP101" s="3"/>
      <c r="SHQ101" s="3"/>
      <c r="SHR101" s="3"/>
      <c r="SHS101" s="3"/>
      <c r="SHT101" s="3"/>
      <c r="SHU101" s="3"/>
      <c r="SHV101" s="3"/>
      <c r="SHW101" s="3"/>
      <c r="SHX101" s="3"/>
      <c r="SHY101" s="3"/>
      <c r="SHZ101" s="3"/>
      <c r="SIA101" s="3"/>
      <c r="SIB101" s="3"/>
      <c r="SIC101" s="3"/>
      <c r="SID101" s="3"/>
      <c r="SIE101" s="3"/>
      <c r="SIF101" s="3"/>
      <c r="SIG101" s="3"/>
      <c r="SIH101" s="3"/>
      <c r="SII101" s="3"/>
      <c r="SIJ101" s="3"/>
      <c r="SIK101" s="3"/>
      <c r="SIL101" s="3"/>
      <c r="SIM101" s="3"/>
      <c r="SIN101" s="3"/>
      <c r="SIO101" s="3"/>
      <c r="SIP101" s="3"/>
      <c r="SIQ101" s="3"/>
      <c r="SIR101" s="3"/>
      <c r="SIS101" s="3"/>
      <c r="SIT101" s="3"/>
      <c r="SIU101" s="3"/>
      <c r="SIV101" s="3"/>
      <c r="SIW101" s="3"/>
      <c r="SIX101" s="3"/>
      <c r="SIY101" s="3"/>
      <c r="SIZ101" s="3"/>
      <c r="SJA101" s="3"/>
      <c r="SJB101" s="3"/>
      <c r="SJC101" s="3"/>
      <c r="SJD101" s="3"/>
      <c r="SJE101" s="3"/>
      <c r="SJF101" s="3"/>
      <c r="SJG101" s="3"/>
      <c r="SJH101" s="3"/>
      <c r="SJI101" s="3"/>
      <c r="SJJ101" s="3"/>
      <c r="SJK101" s="3"/>
      <c r="SJL101" s="3"/>
      <c r="SJM101" s="3"/>
      <c r="SJN101" s="3"/>
      <c r="SJO101" s="3"/>
      <c r="SJP101" s="3"/>
      <c r="SJQ101" s="3"/>
      <c r="SJR101" s="3"/>
      <c r="SJS101" s="3"/>
      <c r="SJT101" s="3"/>
      <c r="SJU101" s="3"/>
      <c r="SJV101" s="3"/>
      <c r="SJW101" s="3"/>
      <c r="SJX101" s="3"/>
      <c r="SJY101" s="3"/>
      <c r="SJZ101" s="3"/>
      <c r="SKA101" s="3"/>
      <c r="SKB101" s="3"/>
      <c r="SKC101" s="3"/>
      <c r="SKD101" s="3"/>
      <c r="SKE101" s="3"/>
      <c r="SKF101" s="3"/>
      <c r="SKG101" s="3"/>
      <c r="SKH101" s="3"/>
      <c r="SKI101" s="3"/>
      <c r="SKJ101" s="3"/>
      <c r="SKK101" s="3"/>
      <c r="SKL101" s="3"/>
      <c r="SKM101" s="3"/>
      <c r="SKN101" s="3"/>
      <c r="SKO101" s="3"/>
      <c r="SKP101" s="3"/>
      <c r="SKQ101" s="3"/>
      <c r="SKR101" s="3"/>
      <c r="SKS101" s="3"/>
      <c r="SKT101" s="3"/>
      <c r="SKU101" s="3"/>
      <c r="SKV101" s="3"/>
      <c r="SKW101" s="3"/>
      <c r="SKX101" s="3"/>
      <c r="SKY101" s="3"/>
      <c r="SKZ101" s="3"/>
      <c r="SLA101" s="3"/>
      <c r="SLB101" s="3"/>
      <c r="SLC101" s="3"/>
      <c r="SLD101" s="3"/>
      <c r="SLE101" s="3"/>
      <c r="SLF101" s="3"/>
      <c r="SLG101" s="3"/>
      <c r="SLH101" s="3"/>
      <c r="SLI101" s="3"/>
      <c r="SLJ101" s="3"/>
      <c r="SLK101" s="3"/>
      <c r="SLL101" s="3"/>
      <c r="SLM101" s="3"/>
      <c r="SLN101" s="3"/>
      <c r="SLO101" s="3"/>
      <c r="SLP101" s="3"/>
      <c r="SLQ101" s="3"/>
      <c r="SLR101" s="3"/>
      <c r="SLS101" s="3"/>
      <c r="SLT101" s="3"/>
      <c r="SLU101" s="3"/>
      <c r="SLV101" s="3"/>
      <c r="SLW101" s="3"/>
      <c r="SLX101" s="3"/>
      <c r="SLY101" s="3"/>
      <c r="SLZ101" s="3"/>
      <c r="SMA101" s="3"/>
      <c r="SMB101" s="3"/>
      <c r="SMC101" s="3"/>
      <c r="SMD101" s="3"/>
      <c r="SME101" s="3"/>
      <c r="SMF101" s="3"/>
      <c r="SMG101" s="3"/>
      <c r="SMH101" s="3"/>
      <c r="SMI101" s="3"/>
      <c r="SMJ101" s="3"/>
      <c r="SMK101" s="3"/>
      <c r="SML101" s="3"/>
      <c r="SMM101" s="3"/>
      <c r="SMN101" s="3"/>
      <c r="SMO101" s="3"/>
      <c r="SMP101" s="3"/>
      <c r="SMQ101" s="3"/>
      <c r="SMR101" s="3"/>
      <c r="SMS101" s="3"/>
      <c r="SMT101" s="3"/>
      <c r="SMU101" s="3"/>
      <c r="SMV101" s="3"/>
      <c r="SMW101" s="3"/>
      <c r="SMX101" s="3"/>
      <c r="SMY101" s="3"/>
      <c r="SMZ101" s="3"/>
      <c r="SNA101" s="3"/>
      <c r="SNB101" s="3"/>
      <c r="SNC101" s="3"/>
      <c r="SND101" s="3"/>
      <c r="SNE101" s="3"/>
      <c r="SNF101" s="3"/>
      <c r="SNG101" s="3"/>
      <c r="SNH101" s="3"/>
      <c r="SNI101" s="3"/>
      <c r="SNJ101" s="3"/>
      <c r="SNK101" s="3"/>
      <c r="SNL101" s="3"/>
      <c r="SNM101" s="3"/>
      <c r="SNN101" s="3"/>
      <c r="SNO101" s="3"/>
      <c r="SNP101" s="3"/>
      <c r="SNQ101" s="3"/>
      <c r="SNR101" s="3"/>
      <c r="SNS101" s="3"/>
      <c r="SNT101" s="3"/>
      <c r="SNU101" s="3"/>
      <c r="SNV101" s="3"/>
      <c r="SNW101" s="3"/>
      <c r="SNX101" s="3"/>
      <c r="SNY101" s="3"/>
      <c r="SNZ101" s="3"/>
      <c r="SOA101" s="3"/>
      <c r="SOB101" s="3"/>
      <c r="SOC101" s="3"/>
      <c r="SOD101" s="3"/>
      <c r="SOE101" s="3"/>
      <c r="SOF101" s="3"/>
      <c r="SOG101" s="3"/>
      <c r="SOH101" s="3"/>
      <c r="SOI101" s="3"/>
      <c r="SOJ101" s="3"/>
      <c r="SOK101" s="3"/>
      <c r="SOL101" s="3"/>
      <c r="SOM101" s="3"/>
      <c r="SON101" s="3"/>
      <c r="SOO101" s="3"/>
      <c r="SOP101" s="3"/>
      <c r="SOQ101" s="3"/>
      <c r="SOR101" s="3"/>
      <c r="SOS101" s="3"/>
      <c r="SOT101" s="3"/>
      <c r="SOU101" s="3"/>
      <c r="SOV101" s="3"/>
      <c r="SOW101" s="3"/>
      <c r="SOX101" s="3"/>
      <c r="SOY101" s="3"/>
      <c r="SOZ101" s="3"/>
      <c r="SPA101" s="3"/>
      <c r="SPB101" s="3"/>
      <c r="SPC101" s="3"/>
      <c r="SPD101" s="3"/>
      <c r="SPE101" s="3"/>
      <c r="SPF101" s="3"/>
      <c r="SPG101" s="3"/>
      <c r="SPH101" s="3"/>
      <c r="SPI101" s="3"/>
      <c r="SPJ101" s="3"/>
      <c r="SPK101" s="3"/>
      <c r="SPL101" s="3"/>
      <c r="SPM101" s="3"/>
      <c r="SPN101" s="3"/>
      <c r="SPO101" s="3"/>
      <c r="SPP101" s="3"/>
      <c r="SPQ101" s="3"/>
      <c r="SPR101" s="3"/>
      <c r="SPS101" s="3"/>
      <c r="SPT101" s="3"/>
      <c r="SPU101" s="3"/>
      <c r="SPV101" s="3"/>
      <c r="SPW101" s="3"/>
      <c r="SPX101" s="3"/>
      <c r="SPY101" s="3"/>
      <c r="SPZ101" s="3"/>
      <c r="SQA101" s="3"/>
      <c r="SQB101" s="3"/>
      <c r="SQC101" s="3"/>
      <c r="SQD101" s="3"/>
      <c r="SQE101" s="3"/>
      <c r="SQF101" s="3"/>
      <c r="SQG101" s="3"/>
      <c r="SQH101" s="3"/>
      <c r="SQI101" s="3"/>
      <c r="SQJ101" s="3"/>
      <c r="SQK101" s="3"/>
      <c r="SQL101" s="3"/>
      <c r="SQM101" s="3"/>
      <c r="SQN101" s="3"/>
      <c r="SQO101" s="3"/>
      <c r="SQP101" s="3"/>
      <c r="SQQ101" s="3"/>
      <c r="SQR101" s="3"/>
      <c r="SQS101" s="3"/>
      <c r="SQT101" s="3"/>
      <c r="SQU101" s="3"/>
      <c r="SQV101" s="3"/>
      <c r="SQW101" s="3"/>
      <c r="SQX101" s="3"/>
      <c r="SQY101" s="3"/>
      <c r="SQZ101" s="3"/>
      <c r="SRA101" s="3"/>
      <c r="SRB101" s="3"/>
      <c r="SRC101" s="3"/>
      <c r="SRD101" s="3"/>
      <c r="SRE101" s="3"/>
      <c r="SRF101" s="3"/>
      <c r="SRG101" s="3"/>
      <c r="SRH101" s="3"/>
      <c r="SRI101" s="3"/>
      <c r="SRJ101" s="3"/>
      <c r="SRK101" s="3"/>
      <c r="SRL101" s="3"/>
      <c r="SRM101" s="3"/>
      <c r="SRN101" s="3"/>
      <c r="SRO101" s="3"/>
      <c r="SRP101" s="3"/>
      <c r="SRQ101" s="3"/>
      <c r="SRR101" s="3"/>
      <c r="SRS101" s="3"/>
      <c r="SRT101" s="3"/>
      <c r="SRU101" s="3"/>
      <c r="SRV101" s="3"/>
      <c r="SRW101" s="3"/>
      <c r="SRX101" s="3"/>
      <c r="SRY101" s="3"/>
      <c r="SRZ101" s="3"/>
      <c r="SSA101" s="3"/>
      <c r="SSB101" s="3"/>
      <c r="SSC101" s="3"/>
      <c r="SSD101" s="3"/>
      <c r="SSE101" s="3"/>
      <c r="SSF101" s="3"/>
      <c r="SSG101" s="3"/>
      <c r="SSH101" s="3"/>
      <c r="SSI101" s="3"/>
      <c r="SSJ101" s="3"/>
      <c r="SSK101" s="3"/>
      <c r="SSL101" s="3"/>
      <c r="SSM101" s="3"/>
      <c r="SSN101" s="3"/>
      <c r="SSO101" s="3"/>
      <c r="SSP101" s="3"/>
      <c r="SSQ101" s="3"/>
      <c r="SSR101" s="3"/>
      <c r="SSS101" s="3"/>
      <c r="SST101" s="3"/>
      <c r="SSU101" s="3"/>
      <c r="SSV101" s="3"/>
      <c r="SSW101" s="3"/>
      <c r="SSX101" s="3"/>
      <c r="SSY101" s="3"/>
      <c r="SSZ101" s="3"/>
      <c r="STA101" s="3"/>
      <c r="STB101" s="3"/>
      <c r="STC101" s="3"/>
      <c r="STD101" s="3"/>
      <c r="STE101" s="3"/>
      <c r="STF101" s="3"/>
      <c r="STG101" s="3"/>
      <c r="STH101" s="3"/>
      <c r="STI101" s="3"/>
      <c r="STJ101" s="3"/>
      <c r="STK101" s="3"/>
      <c r="STL101" s="3"/>
      <c r="STM101" s="3"/>
      <c r="STN101" s="3"/>
      <c r="STO101" s="3"/>
      <c r="STP101" s="3"/>
      <c r="STQ101" s="3"/>
      <c r="STR101" s="3"/>
      <c r="STS101" s="3"/>
      <c r="STT101" s="3"/>
      <c r="STU101" s="3"/>
      <c r="STV101" s="3"/>
      <c r="STW101" s="3"/>
      <c r="STX101" s="3"/>
      <c r="STY101" s="3"/>
      <c r="STZ101" s="3"/>
      <c r="SUA101" s="3"/>
      <c r="SUB101" s="3"/>
      <c r="SUC101" s="3"/>
      <c r="SUD101" s="3"/>
      <c r="SUE101" s="3"/>
      <c r="SUF101" s="3"/>
      <c r="SUG101" s="3"/>
      <c r="SUH101" s="3"/>
      <c r="SUI101" s="3"/>
      <c r="SUJ101" s="3"/>
      <c r="SUK101" s="3"/>
      <c r="SUL101" s="3"/>
      <c r="SUM101" s="3"/>
      <c r="SUN101" s="3"/>
      <c r="SUO101" s="3"/>
      <c r="SUP101" s="3"/>
      <c r="SUQ101" s="3"/>
      <c r="SUR101" s="3"/>
      <c r="SUS101" s="3"/>
      <c r="SUT101" s="3"/>
      <c r="SUU101" s="3"/>
      <c r="SUV101" s="3"/>
      <c r="SUW101" s="3"/>
      <c r="SUX101" s="3"/>
      <c r="SUY101" s="3"/>
      <c r="SUZ101" s="3"/>
      <c r="SVA101" s="3"/>
      <c r="SVB101" s="3"/>
      <c r="SVC101" s="3"/>
      <c r="SVD101" s="3"/>
      <c r="SVE101" s="3"/>
      <c r="SVF101" s="3"/>
      <c r="SVG101" s="3"/>
      <c r="SVH101" s="3"/>
      <c r="SVI101" s="3"/>
      <c r="SVJ101" s="3"/>
      <c r="SVK101" s="3"/>
      <c r="SVL101" s="3"/>
      <c r="SVM101" s="3"/>
      <c r="SVN101" s="3"/>
      <c r="SVO101" s="3"/>
      <c r="SVP101" s="3"/>
      <c r="SVQ101" s="3"/>
      <c r="SVR101" s="3"/>
      <c r="SVS101" s="3"/>
      <c r="SVT101" s="3"/>
      <c r="SVU101" s="3"/>
      <c r="SVV101" s="3"/>
      <c r="SVW101" s="3"/>
      <c r="SVX101" s="3"/>
      <c r="SVY101" s="3"/>
      <c r="SVZ101" s="3"/>
      <c r="SWA101" s="3"/>
      <c r="SWB101" s="3"/>
      <c r="SWC101" s="3"/>
      <c r="SWD101" s="3"/>
      <c r="SWE101" s="3"/>
      <c r="SWF101" s="3"/>
      <c r="SWG101" s="3"/>
      <c r="SWH101" s="3"/>
      <c r="SWI101" s="3"/>
      <c r="SWJ101" s="3"/>
      <c r="SWK101" s="3"/>
      <c r="SWL101" s="3"/>
      <c r="SWM101" s="3"/>
      <c r="SWN101" s="3"/>
      <c r="SWO101" s="3"/>
      <c r="SWP101" s="3"/>
      <c r="SWQ101" s="3"/>
      <c r="SWR101" s="3"/>
      <c r="SWS101" s="3"/>
      <c r="SWT101" s="3"/>
      <c r="SWU101" s="3"/>
      <c r="SWV101" s="3"/>
      <c r="SWW101" s="3"/>
      <c r="SWX101" s="3"/>
      <c r="SWY101" s="3"/>
      <c r="SWZ101" s="3"/>
      <c r="SXA101" s="3"/>
      <c r="SXB101" s="3"/>
      <c r="SXC101" s="3"/>
      <c r="SXD101" s="3"/>
      <c r="SXE101" s="3"/>
      <c r="SXF101" s="3"/>
      <c r="SXG101" s="3"/>
      <c r="SXH101" s="3"/>
      <c r="SXI101" s="3"/>
      <c r="SXJ101" s="3"/>
      <c r="SXK101" s="3"/>
      <c r="SXL101" s="3"/>
      <c r="SXM101" s="3"/>
      <c r="SXN101" s="3"/>
      <c r="SXO101" s="3"/>
      <c r="SXP101" s="3"/>
      <c r="SXQ101" s="3"/>
      <c r="SXR101" s="3"/>
      <c r="SXS101" s="3"/>
      <c r="SXT101" s="3"/>
      <c r="SXU101" s="3"/>
      <c r="SXV101" s="3"/>
      <c r="SXW101" s="3"/>
      <c r="SXX101" s="3"/>
      <c r="SXY101" s="3"/>
      <c r="SXZ101" s="3"/>
      <c r="SYA101" s="3"/>
      <c r="SYB101" s="3"/>
      <c r="SYC101" s="3"/>
      <c r="SYD101" s="3"/>
      <c r="SYE101" s="3"/>
      <c r="SYF101" s="3"/>
      <c r="SYG101" s="3"/>
      <c r="SYH101" s="3"/>
      <c r="SYI101" s="3"/>
      <c r="SYJ101" s="3"/>
      <c r="SYK101" s="3"/>
      <c r="SYL101" s="3"/>
      <c r="SYM101" s="3"/>
      <c r="SYN101" s="3"/>
      <c r="SYO101" s="3"/>
      <c r="SYP101" s="3"/>
      <c r="SYQ101" s="3"/>
      <c r="SYR101" s="3"/>
      <c r="SYS101" s="3"/>
      <c r="SYT101" s="3"/>
      <c r="SYU101" s="3"/>
      <c r="SYV101" s="3"/>
      <c r="SYW101" s="3"/>
      <c r="SYX101" s="3"/>
      <c r="SYY101" s="3"/>
      <c r="SYZ101" s="3"/>
      <c r="SZA101" s="3"/>
      <c r="SZB101" s="3"/>
      <c r="SZC101" s="3"/>
      <c r="SZD101" s="3"/>
      <c r="SZE101" s="3"/>
      <c r="SZF101" s="3"/>
      <c r="SZG101" s="3"/>
      <c r="SZH101" s="3"/>
      <c r="SZI101" s="3"/>
      <c r="SZJ101" s="3"/>
      <c r="SZK101" s="3"/>
      <c r="SZL101" s="3"/>
      <c r="SZM101" s="3"/>
      <c r="SZN101" s="3"/>
      <c r="SZO101" s="3"/>
      <c r="SZP101" s="3"/>
      <c r="SZQ101" s="3"/>
      <c r="SZR101" s="3"/>
      <c r="SZS101" s="3"/>
      <c r="SZT101" s="3"/>
      <c r="SZU101" s="3"/>
      <c r="SZV101" s="3"/>
      <c r="SZW101" s="3"/>
      <c r="SZX101" s="3"/>
      <c r="SZY101" s="3"/>
      <c r="SZZ101" s="3"/>
      <c r="TAA101" s="3"/>
      <c r="TAB101" s="3"/>
      <c r="TAC101" s="3"/>
      <c r="TAD101" s="3"/>
      <c r="TAE101" s="3"/>
      <c r="TAF101" s="3"/>
      <c r="TAG101" s="3"/>
      <c r="TAH101" s="3"/>
      <c r="TAI101" s="3"/>
      <c r="TAJ101" s="3"/>
      <c r="TAK101" s="3"/>
      <c r="TAL101" s="3"/>
      <c r="TAM101" s="3"/>
      <c r="TAN101" s="3"/>
      <c r="TAO101" s="3"/>
      <c r="TAP101" s="3"/>
      <c r="TAQ101" s="3"/>
      <c r="TAR101" s="3"/>
      <c r="TAS101" s="3"/>
      <c r="TAT101" s="3"/>
      <c r="TAU101" s="3"/>
      <c r="TAV101" s="3"/>
      <c r="TAW101" s="3"/>
      <c r="TAX101" s="3"/>
      <c r="TAY101" s="3"/>
      <c r="TAZ101" s="3"/>
      <c r="TBA101" s="3"/>
      <c r="TBB101" s="3"/>
      <c r="TBC101" s="3"/>
      <c r="TBD101" s="3"/>
      <c r="TBE101" s="3"/>
      <c r="TBF101" s="3"/>
      <c r="TBG101" s="3"/>
      <c r="TBH101" s="3"/>
      <c r="TBI101" s="3"/>
      <c r="TBJ101" s="3"/>
      <c r="TBK101" s="3"/>
      <c r="TBL101" s="3"/>
      <c r="TBM101" s="3"/>
      <c r="TBN101" s="3"/>
      <c r="TBO101" s="3"/>
      <c r="TBP101" s="3"/>
      <c r="TBQ101" s="3"/>
      <c r="TBR101" s="3"/>
      <c r="TBS101" s="3"/>
      <c r="TBT101" s="3"/>
      <c r="TBU101" s="3"/>
      <c r="TBV101" s="3"/>
      <c r="TBW101" s="3"/>
      <c r="TBX101" s="3"/>
      <c r="TBY101" s="3"/>
      <c r="TBZ101" s="3"/>
      <c r="TCA101" s="3"/>
      <c r="TCB101" s="3"/>
      <c r="TCC101" s="3"/>
      <c r="TCD101" s="3"/>
      <c r="TCE101" s="3"/>
      <c r="TCF101" s="3"/>
      <c r="TCG101" s="3"/>
      <c r="TCH101" s="3"/>
      <c r="TCI101" s="3"/>
      <c r="TCJ101" s="3"/>
      <c r="TCK101" s="3"/>
      <c r="TCL101" s="3"/>
      <c r="TCM101" s="3"/>
      <c r="TCN101" s="3"/>
      <c r="TCO101" s="3"/>
      <c r="TCP101" s="3"/>
      <c r="TCQ101" s="3"/>
      <c r="TCR101" s="3"/>
      <c r="TCS101" s="3"/>
      <c r="TCT101" s="3"/>
      <c r="TCU101" s="3"/>
      <c r="TCV101" s="3"/>
      <c r="TCW101" s="3"/>
      <c r="TCX101" s="3"/>
      <c r="TCY101" s="3"/>
      <c r="TCZ101" s="3"/>
      <c r="TDA101" s="3"/>
      <c r="TDB101" s="3"/>
      <c r="TDC101" s="3"/>
      <c r="TDD101" s="3"/>
      <c r="TDE101" s="3"/>
      <c r="TDF101" s="3"/>
      <c r="TDG101" s="3"/>
      <c r="TDH101" s="3"/>
      <c r="TDI101" s="3"/>
      <c r="TDJ101" s="3"/>
      <c r="TDK101" s="3"/>
      <c r="TDL101" s="3"/>
      <c r="TDM101" s="3"/>
      <c r="TDN101" s="3"/>
      <c r="TDO101" s="3"/>
      <c r="TDP101" s="3"/>
      <c r="TDQ101" s="3"/>
      <c r="TDR101" s="3"/>
      <c r="TDS101" s="3"/>
      <c r="TDT101" s="3"/>
      <c r="TDU101" s="3"/>
      <c r="TDV101" s="3"/>
      <c r="TDW101" s="3"/>
      <c r="TDX101" s="3"/>
      <c r="TDY101" s="3"/>
      <c r="TDZ101" s="3"/>
      <c r="TEA101" s="3"/>
      <c r="TEB101" s="3"/>
      <c r="TEC101" s="3"/>
      <c r="TED101" s="3"/>
      <c r="TEE101" s="3"/>
      <c r="TEF101" s="3"/>
      <c r="TEG101" s="3"/>
      <c r="TEH101" s="3"/>
      <c r="TEI101" s="3"/>
      <c r="TEJ101" s="3"/>
      <c r="TEK101" s="3"/>
      <c r="TEL101" s="3"/>
      <c r="TEM101" s="3"/>
      <c r="TEN101" s="3"/>
      <c r="TEO101" s="3"/>
      <c r="TEP101" s="3"/>
      <c r="TEQ101" s="3"/>
      <c r="TER101" s="3"/>
      <c r="TES101" s="3"/>
      <c r="TET101" s="3"/>
      <c r="TEU101" s="3"/>
      <c r="TEV101" s="3"/>
      <c r="TEW101" s="3"/>
      <c r="TEX101" s="3"/>
      <c r="TEY101" s="3"/>
      <c r="TEZ101" s="3"/>
      <c r="TFA101" s="3"/>
      <c r="TFB101" s="3"/>
      <c r="TFC101" s="3"/>
      <c r="TFD101" s="3"/>
      <c r="TFE101" s="3"/>
      <c r="TFF101" s="3"/>
      <c r="TFG101" s="3"/>
      <c r="TFH101" s="3"/>
      <c r="TFI101" s="3"/>
      <c r="TFJ101" s="3"/>
      <c r="TFK101" s="3"/>
      <c r="TFL101" s="3"/>
      <c r="TFM101" s="3"/>
      <c r="TFN101" s="3"/>
      <c r="TFO101" s="3"/>
      <c r="TFP101" s="3"/>
      <c r="TFQ101" s="3"/>
      <c r="TFR101" s="3"/>
      <c r="TFS101" s="3"/>
      <c r="TFT101" s="3"/>
      <c r="TFU101" s="3"/>
      <c r="TFV101" s="3"/>
      <c r="TFW101" s="3"/>
      <c r="TFX101" s="3"/>
      <c r="TFY101" s="3"/>
      <c r="TFZ101" s="3"/>
      <c r="TGA101" s="3"/>
      <c r="TGB101" s="3"/>
      <c r="TGC101" s="3"/>
      <c r="TGD101" s="3"/>
      <c r="TGE101" s="3"/>
      <c r="TGF101" s="3"/>
      <c r="TGG101" s="3"/>
      <c r="TGH101" s="3"/>
      <c r="TGI101" s="3"/>
      <c r="TGJ101" s="3"/>
      <c r="TGK101" s="3"/>
      <c r="TGL101" s="3"/>
      <c r="TGM101" s="3"/>
      <c r="TGN101" s="3"/>
      <c r="TGO101" s="3"/>
      <c r="TGP101" s="3"/>
      <c r="TGQ101" s="3"/>
      <c r="TGR101" s="3"/>
      <c r="TGS101" s="3"/>
      <c r="TGT101" s="3"/>
      <c r="TGU101" s="3"/>
      <c r="TGV101" s="3"/>
      <c r="TGW101" s="3"/>
      <c r="TGX101" s="3"/>
      <c r="TGY101" s="3"/>
      <c r="TGZ101" s="3"/>
      <c r="THA101" s="3"/>
      <c r="THB101" s="3"/>
      <c r="THC101" s="3"/>
      <c r="THD101" s="3"/>
      <c r="THE101" s="3"/>
      <c r="THF101" s="3"/>
      <c r="THG101" s="3"/>
      <c r="THH101" s="3"/>
      <c r="THI101" s="3"/>
      <c r="THJ101" s="3"/>
      <c r="THK101" s="3"/>
      <c r="THL101" s="3"/>
      <c r="THM101" s="3"/>
      <c r="THN101" s="3"/>
      <c r="THO101" s="3"/>
      <c r="THP101" s="3"/>
      <c r="THQ101" s="3"/>
      <c r="THR101" s="3"/>
      <c r="THS101" s="3"/>
      <c r="THT101" s="3"/>
      <c r="THU101" s="3"/>
      <c r="THV101" s="3"/>
      <c r="THW101" s="3"/>
      <c r="THX101" s="3"/>
      <c r="THY101" s="3"/>
      <c r="THZ101" s="3"/>
      <c r="TIA101" s="3"/>
      <c r="TIB101" s="3"/>
      <c r="TIC101" s="3"/>
      <c r="TID101" s="3"/>
      <c r="TIE101" s="3"/>
      <c r="TIF101" s="3"/>
      <c r="TIG101" s="3"/>
      <c r="TIH101" s="3"/>
      <c r="TII101" s="3"/>
      <c r="TIJ101" s="3"/>
      <c r="TIK101" s="3"/>
      <c r="TIL101" s="3"/>
      <c r="TIM101" s="3"/>
      <c r="TIN101" s="3"/>
      <c r="TIO101" s="3"/>
      <c r="TIP101" s="3"/>
      <c r="TIQ101" s="3"/>
      <c r="TIR101" s="3"/>
      <c r="TIS101" s="3"/>
      <c r="TIT101" s="3"/>
      <c r="TIU101" s="3"/>
      <c r="TIV101" s="3"/>
      <c r="TIW101" s="3"/>
      <c r="TIX101" s="3"/>
      <c r="TIY101" s="3"/>
      <c r="TIZ101" s="3"/>
      <c r="TJA101" s="3"/>
      <c r="TJB101" s="3"/>
      <c r="TJC101" s="3"/>
      <c r="TJD101" s="3"/>
      <c r="TJE101" s="3"/>
      <c r="TJF101" s="3"/>
      <c r="TJG101" s="3"/>
      <c r="TJH101" s="3"/>
      <c r="TJI101" s="3"/>
      <c r="TJJ101" s="3"/>
      <c r="TJK101" s="3"/>
      <c r="TJL101" s="3"/>
      <c r="TJM101" s="3"/>
      <c r="TJN101" s="3"/>
      <c r="TJO101" s="3"/>
      <c r="TJP101" s="3"/>
      <c r="TJQ101" s="3"/>
      <c r="TJR101" s="3"/>
      <c r="TJS101" s="3"/>
      <c r="TJT101" s="3"/>
      <c r="TJU101" s="3"/>
      <c r="TJV101" s="3"/>
      <c r="TJW101" s="3"/>
      <c r="TJX101" s="3"/>
      <c r="TJY101" s="3"/>
      <c r="TJZ101" s="3"/>
      <c r="TKA101" s="3"/>
      <c r="TKB101" s="3"/>
      <c r="TKC101" s="3"/>
      <c r="TKD101" s="3"/>
      <c r="TKE101" s="3"/>
      <c r="TKF101" s="3"/>
      <c r="TKG101" s="3"/>
      <c r="TKH101" s="3"/>
      <c r="TKI101" s="3"/>
      <c r="TKJ101" s="3"/>
      <c r="TKK101" s="3"/>
      <c r="TKL101" s="3"/>
      <c r="TKM101" s="3"/>
      <c r="TKN101" s="3"/>
      <c r="TKO101" s="3"/>
      <c r="TKP101" s="3"/>
      <c r="TKQ101" s="3"/>
      <c r="TKR101" s="3"/>
      <c r="TKS101" s="3"/>
      <c r="TKT101" s="3"/>
      <c r="TKU101" s="3"/>
      <c r="TKV101" s="3"/>
      <c r="TKW101" s="3"/>
      <c r="TKX101" s="3"/>
      <c r="TKY101" s="3"/>
      <c r="TKZ101" s="3"/>
      <c r="TLA101" s="3"/>
      <c r="TLB101" s="3"/>
      <c r="TLC101" s="3"/>
      <c r="TLD101" s="3"/>
      <c r="TLE101" s="3"/>
      <c r="TLF101" s="3"/>
      <c r="TLG101" s="3"/>
      <c r="TLH101" s="3"/>
      <c r="TLI101" s="3"/>
      <c r="TLJ101" s="3"/>
      <c r="TLK101" s="3"/>
      <c r="TLL101" s="3"/>
      <c r="TLM101" s="3"/>
      <c r="TLN101" s="3"/>
      <c r="TLO101" s="3"/>
      <c r="TLP101" s="3"/>
      <c r="TLQ101" s="3"/>
      <c r="TLR101" s="3"/>
      <c r="TLS101" s="3"/>
      <c r="TLT101" s="3"/>
      <c r="TLU101" s="3"/>
      <c r="TLV101" s="3"/>
      <c r="TLW101" s="3"/>
      <c r="TLX101" s="3"/>
      <c r="TLY101" s="3"/>
      <c r="TLZ101" s="3"/>
      <c r="TMA101" s="3"/>
      <c r="TMB101" s="3"/>
      <c r="TMC101" s="3"/>
      <c r="TMD101" s="3"/>
      <c r="TME101" s="3"/>
      <c r="TMF101" s="3"/>
      <c r="TMG101" s="3"/>
      <c r="TMH101" s="3"/>
      <c r="TMI101" s="3"/>
      <c r="TMJ101" s="3"/>
      <c r="TMK101" s="3"/>
      <c r="TML101" s="3"/>
      <c r="TMM101" s="3"/>
      <c r="TMN101" s="3"/>
      <c r="TMO101" s="3"/>
      <c r="TMP101" s="3"/>
      <c r="TMQ101" s="3"/>
      <c r="TMR101" s="3"/>
      <c r="TMS101" s="3"/>
      <c r="TMT101" s="3"/>
      <c r="TMU101" s="3"/>
      <c r="TMV101" s="3"/>
      <c r="TMW101" s="3"/>
      <c r="TMX101" s="3"/>
      <c r="TMY101" s="3"/>
      <c r="TMZ101" s="3"/>
      <c r="TNA101" s="3"/>
      <c r="TNB101" s="3"/>
      <c r="TNC101" s="3"/>
      <c r="TND101" s="3"/>
      <c r="TNE101" s="3"/>
      <c r="TNF101" s="3"/>
      <c r="TNG101" s="3"/>
      <c r="TNH101" s="3"/>
      <c r="TNI101" s="3"/>
      <c r="TNJ101" s="3"/>
      <c r="TNK101" s="3"/>
      <c r="TNL101" s="3"/>
      <c r="TNM101" s="3"/>
      <c r="TNN101" s="3"/>
      <c r="TNO101" s="3"/>
      <c r="TNP101" s="3"/>
      <c r="TNQ101" s="3"/>
      <c r="TNR101" s="3"/>
      <c r="TNS101" s="3"/>
      <c r="TNT101" s="3"/>
      <c r="TNU101" s="3"/>
      <c r="TNV101" s="3"/>
      <c r="TNW101" s="3"/>
      <c r="TNX101" s="3"/>
      <c r="TNY101" s="3"/>
      <c r="TNZ101" s="3"/>
      <c r="TOA101" s="3"/>
      <c r="TOB101" s="3"/>
      <c r="TOC101" s="3"/>
      <c r="TOD101" s="3"/>
      <c r="TOE101" s="3"/>
      <c r="TOF101" s="3"/>
      <c r="TOG101" s="3"/>
      <c r="TOH101" s="3"/>
      <c r="TOI101" s="3"/>
      <c r="TOJ101" s="3"/>
      <c r="TOK101" s="3"/>
      <c r="TOL101" s="3"/>
      <c r="TOM101" s="3"/>
      <c r="TON101" s="3"/>
      <c r="TOO101" s="3"/>
      <c r="TOP101" s="3"/>
      <c r="TOQ101" s="3"/>
      <c r="TOR101" s="3"/>
      <c r="TOS101" s="3"/>
      <c r="TOT101" s="3"/>
      <c r="TOU101" s="3"/>
      <c r="TOV101" s="3"/>
      <c r="TOW101" s="3"/>
      <c r="TOX101" s="3"/>
      <c r="TOY101" s="3"/>
      <c r="TOZ101" s="3"/>
      <c r="TPA101" s="3"/>
      <c r="TPB101" s="3"/>
      <c r="TPC101" s="3"/>
      <c r="TPD101" s="3"/>
      <c r="TPE101" s="3"/>
      <c r="TPF101" s="3"/>
      <c r="TPG101" s="3"/>
      <c r="TPH101" s="3"/>
      <c r="TPI101" s="3"/>
      <c r="TPJ101" s="3"/>
      <c r="TPK101" s="3"/>
      <c r="TPL101" s="3"/>
      <c r="TPM101" s="3"/>
      <c r="TPN101" s="3"/>
      <c r="TPO101" s="3"/>
      <c r="TPP101" s="3"/>
      <c r="TPQ101" s="3"/>
      <c r="TPR101" s="3"/>
      <c r="TPS101" s="3"/>
      <c r="TPT101" s="3"/>
      <c r="TPU101" s="3"/>
      <c r="TPV101" s="3"/>
      <c r="TPW101" s="3"/>
      <c r="TPX101" s="3"/>
      <c r="TPY101" s="3"/>
      <c r="TPZ101" s="3"/>
      <c r="TQA101" s="3"/>
      <c r="TQB101" s="3"/>
      <c r="TQC101" s="3"/>
      <c r="TQD101" s="3"/>
      <c r="TQE101" s="3"/>
      <c r="TQF101" s="3"/>
      <c r="TQG101" s="3"/>
      <c r="TQH101" s="3"/>
      <c r="TQI101" s="3"/>
      <c r="TQJ101" s="3"/>
      <c r="TQK101" s="3"/>
      <c r="TQL101" s="3"/>
      <c r="TQM101" s="3"/>
      <c r="TQN101" s="3"/>
      <c r="TQO101" s="3"/>
      <c r="TQP101" s="3"/>
      <c r="TQQ101" s="3"/>
      <c r="TQR101" s="3"/>
      <c r="TQS101" s="3"/>
      <c r="TQT101" s="3"/>
      <c r="TQU101" s="3"/>
      <c r="TQV101" s="3"/>
      <c r="TQW101" s="3"/>
      <c r="TQX101" s="3"/>
      <c r="TQY101" s="3"/>
      <c r="TQZ101" s="3"/>
      <c r="TRA101" s="3"/>
      <c r="TRB101" s="3"/>
      <c r="TRC101" s="3"/>
      <c r="TRD101" s="3"/>
      <c r="TRE101" s="3"/>
      <c r="TRF101" s="3"/>
      <c r="TRG101" s="3"/>
      <c r="TRH101" s="3"/>
      <c r="TRI101" s="3"/>
      <c r="TRJ101" s="3"/>
      <c r="TRK101" s="3"/>
      <c r="TRL101" s="3"/>
      <c r="TRM101" s="3"/>
      <c r="TRN101" s="3"/>
      <c r="TRO101" s="3"/>
      <c r="TRP101" s="3"/>
      <c r="TRQ101" s="3"/>
      <c r="TRR101" s="3"/>
      <c r="TRS101" s="3"/>
      <c r="TRT101" s="3"/>
      <c r="TRU101" s="3"/>
      <c r="TRV101" s="3"/>
      <c r="TRW101" s="3"/>
      <c r="TRX101" s="3"/>
      <c r="TRY101" s="3"/>
      <c r="TRZ101" s="3"/>
      <c r="TSA101" s="3"/>
      <c r="TSB101" s="3"/>
      <c r="TSC101" s="3"/>
      <c r="TSD101" s="3"/>
      <c r="TSE101" s="3"/>
      <c r="TSF101" s="3"/>
      <c r="TSG101" s="3"/>
      <c r="TSH101" s="3"/>
      <c r="TSI101" s="3"/>
      <c r="TSJ101" s="3"/>
      <c r="TSK101" s="3"/>
      <c r="TSL101" s="3"/>
      <c r="TSM101" s="3"/>
      <c r="TSN101" s="3"/>
      <c r="TSO101" s="3"/>
      <c r="TSP101" s="3"/>
      <c r="TSQ101" s="3"/>
      <c r="TSR101" s="3"/>
      <c r="TSS101" s="3"/>
      <c r="TST101" s="3"/>
      <c r="TSU101" s="3"/>
      <c r="TSV101" s="3"/>
      <c r="TSW101" s="3"/>
      <c r="TSX101" s="3"/>
      <c r="TSY101" s="3"/>
      <c r="TSZ101" s="3"/>
      <c r="TTA101" s="3"/>
      <c r="TTB101" s="3"/>
      <c r="TTC101" s="3"/>
      <c r="TTD101" s="3"/>
      <c r="TTE101" s="3"/>
      <c r="TTF101" s="3"/>
      <c r="TTG101" s="3"/>
      <c r="TTH101" s="3"/>
      <c r="TTI101" s="3"/>
      <c r="TTJ101" s="3"/>
      <c r="TTK101" s="3"/>
      <c r="TTL101" s="3"/>
      <c r="TTM101" s="3"/>
      <c r="TTN101" s="3"/>
      <c r="TTO101" s="3"/>
      <c r="TTP101" s="3"/>
      <c r="TTQ101" s="3"/>
      <c r="TTR101" s="3"/>
      <c r="TTS101" s="3"/>
      <c r="TTT101" s="3"/>
      <c r="TTU101" s="3"/>
      <c r="TTV101" s="3"/>
      <c r="TTW101" s="3"/>
      <c r="TTX101" s="3"/>
      <c r="TTY101" s="3"/>
      <c r="TTZ101" s="3"/>
      <c r="TUA101" s="3"/>
      <c r="TUB101" s="3"/>
      <c r="TUC101" s="3"/>
      <c r="TUD101" s="3"/>
      <c r="TUE101" s="3"/>
      <c r="TUF101" s="3"/>
      <c r="TUG101" s="3"/>
      <c r="TUH101" s="3"/>
      <c r="TUI101" s="3"/>
      <c r="TUJ101" s="3"/>
      <c r="TUK101" s="3"/>
      <c r="TUL101" s="3"/>
      <c r="TUM101" s="3"/>
      <c r="TUN101" s="3"/>
      <c r="TUO101" s="3"/>
      <c r="TUP101" s="3"/>
      <c r="TUQ101" s="3"/>
      <c r="TUR101" s="3"/>
      <c r="TUS101" s="3"/>
      <c r="TUT101" s="3"/>
      <c r="TUU101" s="3"/>
      <c r="TUV101" s="3"/>
      <c r="TUW101" s="3"/>
      <c r="TUX101" s="3"/>
      <c r="TUY101" s="3"/>
      <c r="TUZ101" s="3"/>
      <c r="TVA101" s="3"/>
      <c r="TVB101" s="3"/>
      <c r="TVC101" s="3"/>
      <c r="TVD101" s="3"/>
      <c r="TVE101" s="3"/>
      <c r="TVF101" s="3"/>
      <c r="TVG101" s="3"/>
      <c r="TVH101" s="3"/>
      <c r="TVI101" s="3"/>
      <c r="TVJ101" s="3"/>
      <c r="TVK101" s="3"/>
      <c r="TVL101" s="3"/>
      <c r="TVM101" s="3"/>
      <c r="TVN101" s="3"/>
      <c r="TVO101" s="3"/>
      <c r="TVP101" s="3"/>
      <c r="TVQ101" s="3"/>
      <c r="TVR101" s="3"/>
      <c r="TVS101" s="3"/>
      <c r="TVT101" s="3"/>
      <c r="TVU101" s="3"/>
      <c r="TVV101" s="3"/>
      <c r="TVW101" s="3"/>
      <c r="TVX101" s="3"/>
      <c r="TVY101" s="3"/>
      <c r="TVZ101" s="3"/>
      <c r="TWA101" s="3"/>
      <c r="TWB101" s="3"/>
      <c r="TWC101" s="3"/>
      <c r="TWD101" s="3"/>
      <c r="TWE101" s="3"/>
      <c r="TWF101" s="3"/>
      <c r="TWG101" s="3"/>
      <c r="TWH101" s="3"/>
      <c r="TWI101" s="3"/>
      <c r="TWJ101" s="3"/>
      <c r="TWK101" s="3"/>
      <c r="TWL101" s="3"/>
      <c r="TWM101" s="3"/>
      <c r="TWN101" s="3"/>
      <c r="TWO101" s="3"/>
      <c r="TWP101" s="3"/>
      <c r="TWQ101" s="3"/>
      <c r="TWR101" s="3"/>
      <c r="TWS101" s="3"/>
      <c r="TWT101" s="3"/>
      <c r="TWU101" s="3"/>
      <c r="TWV101" s="3"/>
      <c r="TWW101" s="3"/>
      <c r="TWX101" s="3"/>
      <c r="TWY101" s="3"/>
      <c r="TWZ101" s="3"/>
      <c r="TXA101" s="3"/>
      <c r="TXB101" s="3"/>
      <c r="TXC101" s="3"/>
      <c r="TXD101" s="3"/>
      <c r="TXE101" s="3"/>
      <c r="TXF101" s="3"/>
      <c r="TXG101" s="3"/>
      <c r="TXH101" s="3"/>
      <c r="TXI101" s="3"/>
      <c r="TXJ101" s="3"/>
      <c r="TXK101" s="3"/>
      <c r="TXL101" s="3"/>
      <c r="TXM101" s="3"/>
      <c r="TXN101" s="3"/>
      <c r="TXO101" s="3"/>
      <c r="TXP101" s="3"/>
      <c r="TXQ101" s="3"/>
      <c r="TXR101" s="3"/>
      <c r="TXS101" s="3"/>
      <c r="TXT101" s="3"/>
      <c r="TXU101" s="3"/>
      <c r="TXV101" s="3"/>
      <c r="TXW101" s="3"/>
      <c r="TXX101" s="3"/>
      <c r="TXY101" s="3"/>
      <c r="TXZ101" s="3"/>
      <c r="TYA101" s="3"/>
      <c r="TYB101" s="3"/>
      <c r="TYC101" s="3"/>
      <c r="TYD101" s="3"/>
      <c r="TYE101" s="3"/>
      <c r="TYF101" s="3"/>
      <c r="TYG101" s="3"/>
      <c r="TYH101" s="3"/>
      <c r="TYI101" s="3"/>
      <c r="TYJ101" s="3"/>
      <c r="TYK101" s="3"/>
      <c r="TYL101" s="3"/>
      <c r="TYM101" s="3"/>
      <c r="TYN101" s="3"/>
      <c r="TYO101" s="3"/>
      <c r="TYP101" s="3"/>
      <c r="TYQ101" s="3"/>
      <c r="TYR101" s="3"/>
      <c r="TYS101" s="3"/>
      <c r="TYT101" s="3"/>
      <c r="TYU101" s="3"/>
      <c r="TYV101" s="3"/>
      <c r="TYW101" s="3"/>
      <c r="TYX101" s="3"/>
      <c r="TYY101" s="3"/>
      <c r="TYZ101" s="3"/>
      <c r="TZA101" s="3"/>
      <c r="TZB101" s="3"/>
      <c r="TZC101" s="3"/>
      <c r="TZD101" s="3"/>
      <c r="TZE101" s="3"/>
      <c r="TZF101" s="3"/>
      <c r="TZG101" s="3"/>
      <c r="TZH101" s="3"/>
      <c r="TZI101" s="3"/>
      <c r="TZJ101" s="3"/>
      <c r="TZK101" s="3"/>
      <c r="TZL101" s="3"/>
      <c r="TZM101" s="3"/>
      <c r="TZN101" s="3"/>
      <c r="TZO101" s="3"/>
      <c r="TZP101" s="3"/>
      <c r="TZQ101" s="3"/>
      <c r="TZR101" s="3"/>
      <c r="TZS101" s="3"/>
      <c r="TZT101" s="3"/>
      <c r="TZU101" s="3"/>
      <c r="TZV101" s="3"/>
      <c r="TZW101" s="3"/>
      <c r="TZX101" s="3"/>
      <c r="TZY101" s="3"/>
      <c r="TZZ101" s="3"/>
      <c r="UAA101" s="3"/>
      <c r="UAB101" s="3"/>
      <c r="UAC101" s="3"/>
      <c r="UAD101" s="3"/>
      <c r="UAE101" s="3"/>
      <c r="UAF101" s="3"/>
      <c r="UAG101" s="3"/>
      <c r="UAH101" s="3"/>
      <c r="UAI101" s="3"/>
      <c r="UAJ101" s="3"/>
      <c r="UAK101" s="3"/>
      <c r="UAL101" s="3"/>
      <c r="UAM101" s="3"/>
      <c r="UAN101" s="3"/>
      <c r="UAO101" s="3"/>
      <c r="UAP101" s="3"/>
      <c r="UAQ101" s="3"/>
      <c r="UAR101" s="3"/>
      <c r="UAS101" s="3"/>
      <c r="UAT101" s="3"/>
      <c r="UAU101" s="3"/>
      <c r="UAV101" s="3"/>
      <c r="UAW101" s="3"/>
      <c r="UAX101" s="3"/>
      <c r="UAY101" s="3"/>
      <c r="UAZ101" s="3"/>
      <c r="UBA101" s="3"/>
      <c r="UBB101" s="3"/>
      <c r="UBC101" s="3"/>
      <c r="UBD101" s="3"/>
      <c r="UBE101" s="3"/>
      <c r="UBF101" s="3"/>
      <c r="UBG101" s="3"/>
      <c r="UBH101" s="3"/>
      <c r="UBI101" s="3"/>
      <c r="UBJ101" s="3"/>
      <c r="UBK101" s="3"/>
      <c r="UBL101" s="3"/>
      <c r="UBM101" s="3"/>
      <c r="UBN101" s="3"/>
      <c r="UBO101" s="3"/>
      <c r="UBP101" s="3"/>
      <c r="UBQ101" s="3"/>
      <c r="UBR101" s="3"/>
      <c r="UBS101" s="3"/>
      <c r="UBT101" s="3"/>
      <c r="UBU101" s="3"/>
      <c r="UBV101" s="3"/>
      <c r="UBW101" s="3"/>
      <c r="UBX101" s="3"/>
      <c r="UBY101" s="3"/>
      <c r="UBZ101" s="3"/>
      <c r="UCA101" s="3"/>
      <c r="UCB101" s="3"/>
      <c r="UCC101" s="3"/>
      <c r="UCD101" s="3"/>
      <c r="UCE101" s="3"/>
      <c r="UCF101" s="3"/>
      <c r="UCG101" s="3"/>
      <c r="UCH101" s="3"/>
      <c r="UCI101" s="3"/>
      <c r="UCJ101" s="3"/>
      <c r="UCK101" s="3"/>
      <c r="UCL101" s="3"/>
      <c r="UCM101" s="3"/>
      <c r="UCN101" s="3"/>
      <c r="UCO101" s="3"/>
      <c r="UCP101" s="3"/>
      <c r="UCQ101" s="3"/>
      <c r="UCR101" s="3"/>
      <c r="UCS101" s="3"/>
      <c r="UCT101" s="3"/>
      <c r="UCU101" s="3"/>
      <c r="UCV101" s="3"/>
      <c r="UCW101" s="3"/>
      <c r="UCX101" s="3"/>
      <c r="UCY101" s="3"/>
      <c r="UCZ101" s="3"/>
      <c r="UDA101" s="3"/>
      <c r="UDB101" s="3"/>
      <c r="UDC101" s="3"/>
      <c r="UDD101" s="3"/>
      <c r="UDE101" s="3"/>
      <c r="UDF101" s="3"/>
      <c r="UDG101" s="3"/>
      <c r="UDH101" s="3"/>
      <c r="UDI101" s="3"/>
      <c r="UDJ101" s="3"/>
      <c r="UDK101" s="3"/>
      <c r="UDL101" s="3"/>
      <c r="UDM101" s="3"/>
      <c r="UDN101" s="3"/>
      <c r="UDO101" s="3"/>
      <c r="UDP101" s="3"/>
      <c r="UDQ101" s="3"/>
      <c r="UDR101" s="3"/>
      <c r="UDS101" s="3"/>
      <c r="UDT101" s="3"/>
      <c r="UDU101" s="3"/>
      <c r="UDV101" s="3"/>
      <c r="UDW101" s="3"/>
      <c r="UDX101" s="3"/>
      <c r="UDY101" s="3"/>
      <c r="UDZ101" s="3"/>
      <c r="UEA101" s="3"/>
      <c r="UEB101" s="3"/>
      <c r="UEC101" s="3"/>
      <c r="UED101" s="3"/>
      <c r="UEE101" s="3"/>
      <c r="UEF101" s="3"/>
      <c r="UEG101" s="3"/>
      <c r="UEH101" s="3"/>
      <c r="UEI101" s="3"/>
      <c r="UEJ101" s="3"/>
      <c r="UEK101" s="3"/>
      <c r="UEL101" s="3"/>
      <c r="UEM101" s="3"/>
      <c r="UEN101" s="3"/>
      <c r="UEO101" s="3"/>
      <c r="UEP101" s="3"/>
      <c r="UEQ101" s="3"/>
      <c r="UER101" s="3"/>
      <c r="UES101" s="3"/>
      <c r="UET101" s="3"/>
      <c r="UEU101" s="3"/>
      <c r="UEV101" s="3"/>
      <c r="UEW101" s="3"/>
      <c r="UEX101" s="3"/>
      <c r="UEY101" s="3"/>
      <c r="UEZ101" s="3"/>
      <c r="UFA101" s="3"/>
      <c r="UFB101" s="3"/>
      <c r="UFC101" s="3"/>
      <c r="UFD101" s="3"/>
      <c r="UFE101" s="3"/>
      <c r="UFF101" s="3"/>
      <c r="UFG101" s="3"/>
      <c r="UFH101" s="3"/>
      <c r="UFI101" s="3"/>
      <c r="UFJ101" s="3"/>
      <c r="UFK101" s="3"/>
      <c r="UFL101" s="3"/>
      <c r="UFM101" s="3"/>
      <c r="UFN101" s="3"/>
      <c r="UFO101" s="3"/>
      <c r="UFP101" s="3"/>
      <c r="UFQ101" s="3"/>
      <c r="UFR101" s="3"/>
      <c r="UFS101" s="3"/>
      <c r="UFT101" s="3"/>
      <c r="UFU101" s="3"/>
      <c r="UFV101" s="3"/>
      <c r="UFW101" s="3"/>
      <c r="UFX101" s="3"/>
      <c r="UFY101" s="3"/>
      <c r="UFZ101" s="3"/>
      <c r="UGA101" s="3"/>
      <c r="UGB101" s="3"/>
      <c r="UGC101" s="3"/>
      <c r="UGD101" s="3"/>
      <c r="UGE101" s="3"/>
      <c r="UGF101" s="3"/>
      <c r="UGG101" s="3"/>
      <c r="UGH101" s="3"/>
      <c r="UGI101" s="3"/>
      <c r="UGJ101" s="3"/>
      <c r="UGK101" s="3"/>
      <c r="UGL101" s="3"/>
      <c r="UGM101" s="3"/>
      <c r="UGN101" s="3"/>
      <c r="UGO101" s="3"/>
      <c r="UGP101" s="3"/>
      <c r="UGQ101" s="3"/>
      <c r="UGR101" s="3"/>
      <c r="UGS101" s="3"/>
      <c r="UGT101" s="3"/>
      <c r="UGU101" s="3"/>
      <c r="UGV101" s="3"/>
      <c r="UGW101" s="3"/>
      <c r="UGX101" s="3"/>
      <c r="UGY101" s="3"/>
      <c r="UGZ101" s="3"/>
      <c r="UHA101" s="3"/>
      <c r="UHB101" s="3"/>
      <c r="UHC101" s="3"/>
      <c r="UHD101" s="3"/>
      <c r="UHE101" s="3"/>
      <c r="UHF101" s="3"/>
      <c r="UHG101" s="3"/>
      <c r="UHH101" s="3"/>
      <c r="UHI101" s="3"/>
      <c r="UHJ101" s="3"/>
      <c r="UHK101" s="3"/>
      <c r="UHL101" s="3"/>
      <c r="UHM101" s="3"/>
      <c r="UHN101" s="3"/>
      <c r="UHO101" s="3"/>
      <c r="UHP101" s="3"/>
      <c r="UHQ101" s="3"/>
      <c r="UHR101" s="3"/>
      <c r="UHS101" s="3"/>
      <c r="UHT101" s="3"/>
      <c r="UHU101" s="3"/>
      <c r="UHV101" s="3"/>
      <c r="UHW101" s="3"/>
      <c r="UHX101" s="3"/>
      <c r="UHY101" s="3"/>
      <c r="UHZ101" s="3"/>
      <c r="UIA101" s="3"/>
      <c r="UIB101" s="3"/>
      <c r="UIC101" s="3"/>
      <c r="UID101" s="3"/>
      <c r="UIE101" s="3"/>
      <c r="UIF101" s="3"/>
      <c r="UIG101" s="3"/>
      <c r="UIH101" s="3"/>
      <c r="UII101" s="3"/>
      <c r="UIJ101" s="3"/>
      <c r="UIK101" s="3"/>
      <c r="UIL101" s="3"/>
      <c r="UIM101" s="3"/>
      <c r="UIN101" s="3"/>
      <c r="UIO101" s="3"/>
      <c r="UIP101" s="3"/>
      <c r="UIQ101" s="3"/>
      <c r="UIR101" s="3"/>
      <c r="UIS101" s="3"/>
      <c r="UIT101" s="3"/>
      <c r="UIU101" s="3"/>
      <c r="UIV101" s="3"/>
      <c r="UIW101" s="3"/>
      <c r="UIX101" s="3"/>
      <c r="UIY101" s="3"/>
      <c r="UIZ101" s="3"/>
      <c r="UJA101" s="3"/>
      <c r="UJB101" s="3"/>
      <c r="UJC101" s="3"/>
      <c r="UJD101" s="3"/>
      <c r="UJE101" s="3"/>
      <c r="UJF101" s="3"/>
      <c r="UJG101" s="3"/>
      <c r="UJH101" s="3"/>
      <c r="UJI101" s="3"/>
      <c r="UJJ101" s="3"/>
      <c r="UJK101" s="3"/>
      <c r="UJL101" s="3"/>
      <c r="UJM101" s="3"/>
      <c r="UJN101" s="3"/>
      <c r="UJO101" s="3"/>
      <c r="UJP101" s="3"/>
      <c r="UJQ101" s="3"/>
      <c r="UJR101" s="3"/>
      <c r="UJS101" s="3"/>
      <c r="UJT101" s="3"/>
      <c r="UJU101" s="3"/>
      <c r="UJV101" s="3"/>
      <c r="UJW101" s="3"/>
      <c r="UJX101" s="3"/>
      <c r="UJY101" s="3"/>
      <c r="UJZ101" s="3"/>
      <c r="UKA101" s="3"/>
      <c r="UKB101" s="3"/>
      <c r="UKC101" s="3"/>
      <c r="UKD101" s="3"/>
      <c r="UKE101" s="3"/>
      <c r="UKF101" s="3"/>
      <c r="UKG101" s="3"/>
      <c r="UKH101" s="3"/>
      <c r="UKI101" s="3"/>
      <c r="UKJ101" s="3"/>
      <c r="UKK101" s="3"/>
      <c r="UKL101" s="3"/>
      <c r="UKM101" s="3"/>
      <c r="UKN101" s="3"/>
      <c r="UKO101" s="3"/>
      <c r="UKP101" s="3"/>
      <c r="UKQ101" s="3"/>
      <c r="UKR101" s="3"/>
      <c r="UKS101" s="3"/>
      <c r="UKT101" s="3"/>
      <c r="UKU101" s="3"/>
      <c r="UKV101" s="3"/>
      <c r="UKW101" s="3"/>
      <c r="UKX101" s="3"/>
      <c r="UKY101" s="3"/>
      <c r="UKZ101" s="3"/>
      <c r="ULA101" s="3"/>
      <c r="ULB101" s="3"/>
      <c r="ULC101" s="3"/>
      <c r="ULD101" s="3"/>
      <c r="ULE101" s="3"/>
      <c r="ULF101" s="3"/>
      <c r="ULG101" s="3"/>
      <c r="ULH101" s="3"/>
      <c r="ULI101" s="3"/>
      <c r="ULJ101" s="3"/>
      <c r="ULK101" s="3"/>
      <c r="ULL101" s="3"/>
      <c r="ULM101" s="3"/>
      <c r="ULN101" s="3"/>
      <c r="ULO101" s="3"/>
      <c r="ULP101" s="3"/>
      <c r="ULQ101" s="3"/>
      <c r="ULR101" s="3"/>
      <c r="ULS101" s="3"/>
      <c r="ULT101" s="3"/>
      <c r="ULU101" s="3"/>
      <c r="ULV101" s="3"/>
      <c r="ULW101" s="3"/>
      <c r="ULX101" s="3"/>
      <c r="ULY101" s="3"/>
      <c r="ULZ101" s="3"/>
      <c r="UMA101" s="3"/>
      <c r="UMB101" s="3"/>
      <c r="UMC101" s="3"/>
      <c r="UMD101" s="3"/>
      <c r="UME101" s="3"/>
      <c r="UMF101" s="3"/>
      <c r="UMG101" s="3"/>
      <c r="UMH101" s="3"/>
      <c r="UMI101" s="3"/>
      <c r="UMJ101" s="3"/>
      <c r="UMK101" s="3"/>
      <c r="UML101" s="3"/>
      <c r="UMM101" s="3"/>
      <c r="UMN101" s="3"/>
      <c r="UMO101" s="3"/>
      <c r="UMP101" s="3"/>
      <c r="UMQ101" s="3"/>
      <c r="UMR101" s="3"/>
      <c r="UMS101" s="3"/>
      <c r="UMT101" s="3"/>
      <c r="UMU101" s="3"/>
      <c r="UMV101" s="3"/>
      <c r="UMW101" s="3"/>
      <c r="UMX101" s="3"/>
      <c r="UMY101" s="3"/>
      <c r="UMZ101" s="3"/>
      <c r="UNA101" s="3"/>
      <c r="UNB101" s="3"/>
      <c r="UNC101" s="3"/>
      <c r="UND101" s="3"/>
      <c r="UNE101" s="3"/>
      <c r="UNF101" s="3"/>
      <c r="UNG101" s="3"/>
      <c r="UNH101" s="3"/>
      <c r="UNI101" s="3"/>
      <c r="UNJ101" s="3"/>
      <c r="UNK101" s="3"/>
      <c r="UNL101" s="3"/>
      <c r="UNM101" s="3"/>
      <c r="UNN101" s="3"/>
      <c r="UNO101" s="3"/>
      <c r="UNP101" s="3"/>
      <c r="UNQ101" s="3"/>
      <c r="UNR101" s="3"/>
      <c r="UNS101" s="3"/>
      <c r="UNT101" s="3"/>
      <c r="UNU101" s="3"/>
      <c r="UNV101" s="3"/>
      <c r="UNW101" s="3"/>
      <c r="UNX101" s="3"/>
      <c r="UNY101" s="3"/>
      <c r="UNZ101" s="3"/>
      <c r="UOA101" s="3"/>
      <c r="UOB101" s="3"/>
      <c r="UOC101" s="3"/>
      <c r="UOD101" s="3"/>
      <c r="UOE101" s="3"/>
      <c r="UOF101" s="3"/>
      <c r="UOG101" s="3"/>
      <c r="UOH101" s="3"/>
      <c r="UOI101" s="3"/>
      <c r="UOJ101" s="3"/>
      <c r="UOK101" s="3"/>
      <c r="UOL101" s="3"/>
      <c r="UOM101" s="3"/>
      <c r="UON101" s="3"/>
      <c r="UOO101" s="3"/>
      <c r="UOP101" s="3"/>
      <c r="UOQ101" s="3"/>
      <c r="UOR101" s="3"/>
      <c r="UOS101" s="3"/>
      <c r="UOT101" s="3"/>
      <c r="UOU101" s="3"/>
      <c r="UOV101" s="3"/>
      <c r="UOW101" s="3"/>
      <c r="UOX101" s="3"/>
      <c r="UOY101" s="3"/>
      <c r="UOZ101" s="3"/>
      <c r="UPA101" s="3"/>
      <c r="UPB101" s="3"/>
      <c r="UPC101" s="3"/>
      <c r="UPD101" s="3"/>
      <c r="UPE101" s="3"/>
      <c r="UPF101" s="3"/>
      <c r="UPG101" s="3"/>
      <c r="UPH101" s="3"/>
      <c r="UPI101" s="3"/>
      <c r="UPJ101" s="3"/>
      <c r="UPK101" s="3"/>
      <c r="UPL101" s="3"/>
      <c r="UPM101" s="3"/>
      <c r="UPN101" s="3"/>
      <c r="UPO101" s="3"/>
      <c r="UPP101" s="3"/>
      <c r="UPQ101" s="3"/>
      <c r="UPR101" s="3"/>
      <c r="UPS101" s="3"/>
      <c r="UPT101" s="3"/>
      <c r="UPU101" s="3"/>
      <c r="UPV101" s="3"/>
      <c r="UPW101" s="3"/>
      <c r="UPX101" s="3"/>
      <c r="UPY101" s="3"/>
      <c r="UPZ101" s="3"/>
      <c r="UQA101" s="3"/>
      <c r="UQB101" s="3"/>
      <c r="UQC101" s="3"/>
      <c r="UQD101" s="3"/>
      <c r="UQE101" s="3"/>
      <c r="UQF101" s="3"/>
      <c r="UQG101" s="3"/>
      <c r="UQH101" s="3"/>
      <c r="UQI101" s="3"/>
      <c r="UQJ101" s="3"/>
      <c r="UQK101" s="3"/>
      <c r="UQL101" s="3"/>
      <c r="UQM101" s="3"/>
      <c r="UQN101" s="3"/>
      <c r="UQO101" s="3"/>
      <c r="UQP101" s="3"/>
      <c r="UQQ101" s="3"/>
      <c r="UQR101" s="3"/>
      <c r="UQS101" s="3"/>
      <c r="UQT101" s="3"/>
      <c r="UQU101" s="3"/>
      <c r="UQV101" s="3"/>
      <c r="UQW101" s="3"/>
      <c r="UQX101" s="3"/>
      <c r="UQY101" s="3"/>
      <c r="UQZ101" s="3"/>
      <c r="URA101" s="3"/>
      <c r="URB101" s="3"/>
      <c r="URC101" s="3"/>
      <c r="URD101" s="3"/>
      <c r="URE101" s="3"/>
      <c r="URF101" s="3"/>
      <c r="URG101" s="3"/>
      <c r="URH101" s="3"/>
      <c r="URI101" s="3"/>
      <c r="URJ101" s="3"/>
      <c r="URK101" s="3"/>
      <c r="URL101" s="3"/>
      <c r="URM101" s="3"/>
      <c r="URN101" s="3"/>
      <c r="URO101" s="3"/>
      <c r="URP101" s="3"/>
      <c r="URQ101" s="3"/>
      <c r="URR101" s="3"/>
      <c r="URS101" s="3"/>
      <c r="URT101" s="3"/>
      <c r="URU101" s="3"/>
      <c r="URV101" s="3"/>
      <c r="URW101" s="3"/>
      <c r="URX101" s="3"/>
      <c r="URY101" s="3"/>
      <c r="URZ101" s="3"/>
      <c r="USA101" s="3"/>
      <c r="USB101" s="3"/>
      <c r="USC101" s="3"/>
      <c r="USD101" s="3"/>
      <c r="USE101" s="3"/>
      <c r="USF101" s="3"/>
      <c r="USG101" s="3"/>
      <c r="USH101" s="3"/>
      <c r="USI101" s="3"/>
      <c r="USJ101" s="3"/>
      <c r="USK101" s="3"/>
      <c r="USL101" s="3"/>
      <c r="USM101" s="3"/>
      <c r="USN101" s="3"/>
      <c r="USO101" s="3"/>
      <c r="USP101" s="3"/>
      <c r="USQ101" s="3"/>
      <c r="USR101" s="3"/>
      <c r="USS101" s="3"/>
      <c r="UST101" s="3"/>
      <c r="USU101" s="3"/>
      <c r="USV101" s="3"/>
      <c r="USW101" s="3"/>
      <c r="USX101" s="3"/>
      <c r="USY101" s="3"/>
      <c r="USZ101" s="3"/>
      <c r="UTA101" s="3"/>
      <c r="UTB101" s="3"/>
      <c r="UTC101" s="3"/>
      <c r="UTD101" s="3"/>
      <c r="UTE101" s="3"/>
      <c r="UTF101" s="3"/>
      <c r="UTG101" s="3"/>
      <c r="UTH101" s="3"/>
      <c r="UTI101" s="3"/>
      <c r="UTJ101" s="3"/>
      <c r="UTK101" s="3"/>
      <c r="UTL101" s="3"/>
      <c r="UTM101" s="3"/>
      <c r="UTN101" s="3"/>
      <c r="UTO101" s="3"/>
      <c r="UTP101" s="3"/>
      <c r="UTQ101" s="3"/>
      <c r="UTR101" s="3"/>
      <c r="UTS101" s="3"/>
      <c r="UTT101" s="3"/>
      <c r="UTU101" s="3"/>
      <c r="UTV101" s="3"/>
      <c r="UTW101" s="3"/>
      <c r="UTX101" s="3"/>
      <c r="UTY101" s="3"/>
      <c r="UTZ101" s="3"/>
      <c r="UUA101" s="3"/>
      <c r="UUB101" s="3"/>
      <c r="UUC101" s="3"/>
      <c r="UUD101" s="3"/>
      <c r="UUE101" s="3"/>
      <c r="UUF101" s="3"/>
      <c r="UUG101" s="3"/>
      <c r="UUH101" s="3"/>
      <c r="UUI101" s="3"/>
      <c r="UUJ101" s="3"/>
      <c r="UUK101" s="3"/>
      <c r="UUL101" s="3"/>
      <c r="UUM101" s="3"/>
      <c r="UUN101" s="3"/>
      <c r="UUO101" s="3"/>
      <c r="UUP101" s="3"/>
      <c r="UUQ101" s="3"/>
      <c r="UUR101" s="3"/>
      <c r="UUS101" s="3"/>
      <c r="UUT101" s="3"/>
      <c r="UUU101" s="3"/>
      <c r="UUV101" s="3"/>
      <c r="UUW101" s="3"/>
      <c r="UUX101" s="3"/>
      <c r="UUY101" s="3"/>
      <c r="UUZ101" s="3"/>
      <c r="UVA101" s="3"/>
      <c r="UVB101" s="3"/>
      <c r="UVC101" s="3"/>
      <c r="UVD101" s="3"/>
      <c r="UVE101" s="3"/>
      <c r="UVF101" s="3"/>
      <c r="UVG101" s="3"/>
      <c r="UVH101" s="3"/>
      <c r="UVI101" s="3"/>
      <c r="UVJ101" s="3"/>
      <c r="UVK101" s="3"/>
      <c r="UVL101" s="3"/>
      <c r="UVM101" s="3"/>
      <c r="UVN101" s="3"/>
      <c r="UVO101" s="3"/>
      <c r="UVP101" s="3"/>
      <c r="UVQ101" s="3"/>
      <c r="UVR101" s="3"/>
      <c r="UVS101" s="3"/>
      <c r="UVT101" s="3"/>
      <c r="UVU101" s="3"/>
      <c r="UVV101" s="3"/>
      <c r="UVW101" s="3"/>
      <c r="UVX101" s="3"/>
      <c r="UVY101" s="3"/>
      <c r="UVZ101" s="3"/>
      <c r="UWA101" s="3"/>
      <c r="UWB101" s="3"/>
      <c r="UWC101" s="3"/>
      <c r="UWD101" s="3"/>
      <c r="UWE101" s="3"/>
      <c r="UWF101" s="3"/>
      <c r="UWG101" s="3"/>
      <c r="UWH101" s="3"/>
      <c r="UWI101" s="3"/>
      <c r="UWJ101" s="3"/>
      <c r="UWK101" s="3"/>
      <c r="UWL101" s="3"/>
      <c r="UWM101" s="3"/>
      <c r="UWN101" s="3"/>
      <c r="UWO101" s="3"/>
      <c r="UWP101" s="3"/>
      <c r="UWQ101" s="3"/>
      <c r="UWR101" s="3"/>
      <c r="UWS101" s="3"/>
      <c r="UWT101" s="3"/>
      <c r="UWU101" s="3"/>
      <c r="UWV101" s="3"/>
      <c r="UWW101" s="3"/>
      <c r="UWX101" s="3"/>
      <c r="UWY101" s="3"/>
      <c r="UWZ101" s="3"/>
      <c r="UXA101" s="3"/>
      <c r="UXB101" s="3"/>
      <c r="UXC101" s="3"/>
      <c r="UXD101" s="3"/>
      <c r="UXE101" s="3"/>
      <c r="UXF101" s="3"/>
      <c r="UXG101" s="3"/>
      <c r="UXH101" s="3"/>
      <c r="UXI101" s="3"/>
      <c r="UXJ101" s="3"/>
      <c r="UXK101" s="3"/>
      <c r="UXL101" s="3"/>
      <c r="UXM101" s="3"/>
      <c r="UXN101" s="3"/>
      <c r="UXO101" s="3"/>
      <c r="UXP101" s="3"/>
      <c r="UXQ101" s="3"/>
      <c r="UXR101" s="3"/>
      <c r="UXS101" s="3"/>
      <c r="UXT101" s="3"/>
      <c r="UXU101" s="3"/>
      <c r="UXV101" s="3"/>
      <c r="UXW101" s="3"/>
      <c r="UXX101" s="3"/>
      <c r="UXY101" s="3"/>
      <c r="UXZ101" s="3"/>
      <c r="UYA101" s="3"/>
      <c r="UYB101" s="3"/>
      <c r="UYC101" s="3"/>
      <c r="UYD101" s="3"/>
      <c r="UYE101" s="3"/>
      <c r="UYF101" s="3"/>
      <c r="UYG101" s="3"/>
      <c r="UYH101" s="3"/>
      <c r="UYI101" s="3"/>
      <c r="UYJ101" s="3"/>
      <c r="UYK101" s="3"/>
      <c r="UYL101" s="3"/>
      <c r="UYM101" s="3"/>
      <c r="UYN101" s="3"/>
      <c r="UYO101" s="3"/>
      <c r="UYP101" s="3"/>
      <c r="UYQ101" s="3"/>
      <c r="UYR101" s="3"/>
      <c r="UYS101" s="3"/>
      <c r="UYT101" s="3"/>
      <c r="UYU101" s="3"/>
      <c r="UYV101" s="3"/>
      <c r="UYW101" s="3"/>
      <c r="UYX101" s="3"/>
      <c r="UYY101" s="3"/>
      <c r="UYZ101" s="3"/>
      <c r="UZA101" s="3"/>
      <c r="UZB101" s="3"/>
      <c r="UZC101" s="3"/>
      <c r="UZD101" s="3"/>
      <c r="UZE101" s="3"/>
      <c r="UZF101" s="3"/>
      <c r="UZG101" s="3"/>
      <c r="UZH101" s="3"/>
      <c r="UZI101" s="3"/>
      <c r="UZJ101" s="3"/>
      <c r="UZK101" s="3"/>
      <c r="UZL101" s="3"/>
      <c r="UZM101" s="3"/>
      <c r="UZN101" s="3"/>
      <c r="UZO101" s="3"/>
      <c r="UZP101" s="3"/>
      <c r="UZQ101" s="3"/>
      <c r="UZR101" s="3"/>
      <c r="UZS101" s="3"/>
      <c r="UZT101" s="3"/>
      <c r="UZU101" s="3"/>
      <c r="UZV101" s="3"/>
      <c r="UZW101" s="3"/>
      <c r="UZX101" s="3"/>
      <c r="UZY101" s="3"/>
      <c r="UZZ101" s="3"/>
      <c r="VAA101" s="3"/>
      <c r="VAB101" s="3"/>
      <c r="VAC101" s="3"/>
      <c r="VAD101" s="3"/>
      <c r="VAE101" s="3"/>
      <c r="VAF101" s="3"/>
      <c r="VAG101" s="3"/>
      <c r="VAH101" s="3"/>
      <c r="VAI101" s="3"/>
      <c r="VAJ101" s="3"/>
      <c r="VAK101" s="3"/>
      <c r="VAL101" s="3"/>
      <c r="VAM101" s="3"/>
      <c r="VAN101" s="3"/>
      <c r="VAO101" s="3"/>
      <c r="VAP101" s="3"/>
      <c r="VAQ101" s="3"/>
      <c r="VAR101" s="3"/>
      <c r="VAS101" s="3"/>
      <c r="VAT101" s="3"/>
      <c r="VAU101" s="3"/>
      <c r="VAV101" s="3"/>
      <c r="VAW101" s="3"/>
      <c r="VAX101" s="3"/>
      <c r="VAY101" s="3"/>
      <c r="VAZ101" s="3"/>
      <c r="VBA101" s="3"/>
      <c r="VBB101" s="3"/>
      <c r="VBC101" s="3"/>
      <c r="VBD101" s="3"/>
      <c r="VBE101" s="3"/>
      <c r="VBF101" s="3"/>
      <c r="VBG101" s="3"/>
      <c r="VBH101" s="3"/>
      <c r="VBI101" s="3"/>
      <c r="VBJ101" s="3"/>
      <c r="VBK101" s="3"/>
      <c r="VBL101" s="3"/>
      <c r="VBM101" s="3"/>
      <c r="VBN101" s="3"/>
      <c r="VBO101" s="3"/>
      <c r="VBP101" s="3"/>
      <c r="VBQ101" s="3"/>
      <c r="VBR101" s="3"/>
      <c r="VBS101" s="3"/>
      <c r="VBT101" s="3"/>
      <c r="VBU101" s="3"/>
      <c r="VBV101" s="3"/>
      <c r="VBW101" s="3"/>
      <c r="VBX101" s="3"/>
      <c r="VBY101" s="3"/>
      <c r="VBZ101" s="3"/>
      <c r="VCA101" s="3"/>
      <c r="VCB101" s="3"/>
      <c r="VCC101" s="3"/>
      <c r="VCD101" s="3"/>
      <c r="VCE101" s="3"/>
      <c r="VCF101" s="3"/>
      <c r="VCG101" s="3"/>
      <c r="VCH101" s="3"/>
      <c r="VCI101" s="3"/>
      <c r="VCJ101" s="3"/>
      <c r="VCK101" s="3"/>
      <c r="VCL101" s="3"/>
      <c r="VCM101" s="3"/>
      <c r="VCN101" s="3"/>
      <c r="VCO101" s="3"/>
      <c r="VCP101" s="3"/>
      <c r="VCQ101" s="3"/>
      <c r="VCR101" s="3"/>
      <c r="VCS101" s="3"/>
      <c r="VCT101" s="3"/>
      <c r="VCU101" s="3"/>
      <c r="VCV101" s="3"/>
      <c r="VCW101" s="3"/>
      <c r="VCX101" s="3"/>
      <c r="VCY101" s="3"/>
      <c r="VCZ101" s="3"/>
      <c r="VDA101" s="3"/>
      <c r="VDB101" s="3"/>
      <c r="VDC101" s="3"/>
      <c r="VDD101" s="3"/>
      <c r="VDE101" s="3"/>
      <c r="VDF101" s="3"/>
      <c r="VDG101" s="3"/>
      <c r="VDH101" s="3"/>
      <c r="VDI101" s="3"/>
      <c r="VDJ101" s="3"/>
      <c r="VDK101" s="3"/>
      <c r="VDL101" s="3"/>
      <c r="VDM101" s="3"/>
      <c r="VDN101" s="3"/>
      <c r="VDO101" s="3"/>
      <c r="VDP101" s="3"/>
      <c r="VDQ101" s="3"/>
      <c r="VDR101" s="3"/>
      <c r="VDS101" s="3"/>
      <c r="VDT101" s="3"/>
      <c r="VDU101" s="3"/>
      <c r="VDV101" s="3"/>
      <c r="VDW101" s="3"/>
      <c r="VDX101" s="3"/>
      <c r="VDY101" s="3"/>
      <c r="VDZ101" s="3"/>
      <c r="VEA101" s="3"/>
      <c r="VEB101" s="3"/>
      <c r="VEC101" s="3"/>
      <c r="VED101" s="3"/>
      <c r="VEE101" s="3"/>
      <c r="VEF101" s="3"/>
      <c r="VEG101" s="3"/>
      <c r="VEH101" s="3"/>
      <c r="VEI101" s="3"/>
      <c r="VEJ101" s="3"/>
      <c r="VEK101" s="3"/>
      <c r="VEL101" s="3"/>
      <c r="VEM101" s="3"/>
      <c r="VEN101" s="3"/>
      <c r="VEO101" s="3"/>
      <c r="VEP101" s="3"/>
      <c r="VEQ101" s="3"/>
      <c r="VER101" s="3"/>
      <c r="VES101" s="3"/>
      <c r="VET101" s="3"/>
      <c r="VEU101" s="3"/>
      <c r="VEV101" s="3"/>
      <c r="VEW101" s="3"/>
      <c r="VEX101" s="3"/>
      <c r="VEY101" s="3"/>
      <c r="VEZ101" s="3"/>
      <c r="VFA101" s="3"/>
      <c r="VFB101" s="3"/>
      <c r="VFC101" s="3"/>
      <c r="VFD101" s="3"/>
      <c r="VFE101" s="3"/>
      <c r="VFF101" s="3"/>
      <c r="VFG101" s="3"/>
      <c r="VFH101" s="3"/>
      <c r="VFI101" s="3"/>
      <c r="VFJ101" s="3"/>
      <c r="VFK101" s="3"/>
      <c r="VFL101" s="3"/>
      <c r="VFM101" s="3"/>
      <c r="VFN101" s="3"/>
      <c r="VFO101" s="3"/>
      <c r="VFP101" s="3"/>
      <c r="VFQ101" s="3"/>
      <c r="VFR101" s="3"/>
      <c r="VFS101" s="3"/>
      <c r="VFT101" s="3"/>
      <c r="VFU101" s="3"/>
      <c r="VFV101" s="3"/>
      <c r="VFW101" s="3"/>
      <c r="VFX101" s="3"/>
      <c r="VFY101" s="3"/>
      <c r="VFZ101" s="3"/>
      <c r="VGA101" s="3"/>
      <c r="VGB101" s="3"/>
      <c r="VGC101" s="3"/>
      <c r="VGD101" s="3"/>
      <c r="VGE101"/>
      <c r="VGF101"/>
      <c r="VGG101"/>
      <c r="VGH101"/>
      <c r="VGI101"/>
      <c r="VGJ101"/>
      <c r="VGK101"/>
      <c r="VGL101"/>
      <c r="VGM101"/>
      <c r="VGN101"/>
      <c r="VGO101"/>
      <c r="VGP101"/>
      <c r="VGQ101"/>
      <c r="VGR101"/>
      <c r="VGS101"/>
      <c r="VGT101"/>
      <c r="VGU101"/>
      <c r="VGV101"/>
      <c r="VGW101"/>
      <c r="VGX101"/>
      <c r="VGY101"/>
      <c r="VGZ101"/>
      <c r="VHA101"/>
      <c r="VHB101"/>
      <c r="VHC101"/>
      <c r="VHD101"/>
      <c r="VHE101"/>
      <c r="VHF101"/>
      <c r="VHG101"/>
      <c r="VHH101"/>
      <c r="VHI101"/>
      <c r="VHJ101"/>
      <c r="VHK101"/>
      <c r="VHL101"/>
      <c r="VHM101"/>
      <c r="VHN101"/>
      <c r="VHO101"/>
      <c r="VHP101"/>
      <c r="VHQ101"/>
      <c r="VHR101"/>
      <c r="VHS101"/>
      <c r="VHT101"/>
      <c r="VHU101"/>
      <c r="VHV101"/>
      <c r="VHW101"/>
      <c r="VHX101"/>
      <c r="VHY101"/>
      <c r="VHZ101"/>
      <c r="VIA101"/>
      <c r="VIB101"/>
      <c r="VIC101"/>
      <c r="VID101"/>
      <c r="VIE101"/>
      <c r="VIF101"/>
      <c r="VIG101"/>
      <c r="VIH101"/>
      <c r="VII101"/>
      <c r="VIJ101"/>
      <c r="VIK101"/>
      <c r="VIL101"/>
      <c r="VIM101"/>
      <c r="VIN101"/>
      <c r="VIO101"/>
      <c r="VIP101"/>
      <c r="VIQ101"/>
      <c r="VIR101"/>
      <c r="VIS101"/>
      <c r="VIT101"/>
      <c r="VIU101"/>
      <c r="VIV101"/>
      <c r="VIW101"/>
      <c r="VIX101"/>
      <c r="VIY101"/>
      <c r="VIZ101"/>
      <c r="VJA101"/>
      <c r="VJB101"/>
      <c r="VJC101"/>
      <c r="VJD101"/>
      <c r="VJE101"/>
      <c r="VJF101"/>
      <c r="VJG101"/>
      <c r="VJH101"/>
      <c r="VJI101"/>
      <c r="VJJ101"/>
      <c r="VJK101"/>
      <c r="VJL101"/>
      <c r="VJM101"/>
      <c r="VJN101"/>
      <c r="VJO101"/>
      <c r="VJP101"/>
      <c r="VJQ101"/>
      <c r="VJR101"/>
      <c r="VJS101"/>
      <c r="VJT101"/>
      <c r="VJU101"/>
      <c r="VJV101"/>
      <c r="VJW101"/>
      <c r="VJX101"/>
      <c r="VJY101"/>
      <c r="VJZ101"/>
      <c r="VKA101"/>
      <c r="VKB101"/>
      <c r="VKC101"/>
      <c r="VKD101"/>
      <c r="VKE101"/>
      <c r="VKF101"/>
      <c r="VKG101"/>
      <c r="VKH101"/>
      <c r="VKI101"/>
      <c r="VKJ101"/>
      <c r="VKK101"/>
      <c r="VKL101"/>
      <c r="VKM101"/>
      <c r="VKN101"/>
      <c r="VKO101"/>
      <c r="VKP101"/>
      <c r="VKQ101"/>
      <c r="VKR101"/>
      <c r="VKS101"/>
      <c r="VKT101"/>
      <c r="VKU101"/>
      <c r="VKV101"/>
      <c r="VKW101"/>
      <c r="VKX101"/>
      <c r="VKY101"/>
      <c r="VKZ101"/>
      <c r="VLA101"/>
      <c r="VLB101"/>
      <c r="VLC101"/>
      <c r="VLD101"/>
      <c r="VLE101"/>
      <c r="VLF101"/>
      <c r="VLG101"/>
      <c r="VLH101"/>
      <c r="VLI101"/>
      <c r="VLJ101"/>
      <c r="VLK101"/>
      <c r="VLL101"/>
      <c r="VLM101"/>
      <c r="VLN101"/>
      <c r="VLO101"/>
      <c r="VLP101"/>
      <c r="VLQ101"/>
      <c r="VLR101"/>
      <c r="VLS101"/>
      <c r="VLT101"/>
      <c r="VLU101"/>
      <c r="VLV101"/>
      <c r="VLW101"/>
      <c r="VLX101"/>
      <c r="VLY101"/>
      <c r="VLZ101"/>
      <c r="VMA101"/>
      <c r="VMB101"/>
      <c r="VMC101"/>
      <c r="VMD101"/>
      <c r="VME101"/>
      <c r="VMF101"/>
      <c r="VMG101"/>
      <c r="VMH101"/>
      <c r="VMI101"/>
      <c r="VMJ101"/>
      <c r="VMK101"/>
      <c r="VML101"/>
      <c r="VMM101"/>
      <c r="VMN101"/>
      <c r="VMO101"/>
      <c r="VMP101"/>
      <c r="VMQ101"/>
      <c r="VMR101"/>
      <c r="VMS101"/>
      <c r="VMT101"/>
      <c r="VMU101"/>
      <c r="VMV101"/>
      <c r="VMW101"/>
      <c r="VMX101"/>
      <c r="VMY101"/>
      <c r="VMZ101"/>
      <c r="VNA101"/>
      <c r="VNB101"/>
      <c r="VNC101"/>
      <c r="VND101"/>
      <c r="VNE101"/>
      <c r="VNF101"/>
      <c r="VNG101"/>
      <c r="VNH101"/>
      <c r="VNI101"/>
      <c r="VNJ101"/>
      <c r="VNK101"/>
      <c r="VNL101"/>
      <c r="VNM101"/>
      <c r="VNN101"/>
      <c r="VNO101"/>
      <c r="VNP101"/>
      <c r="VNQ101"/>
      <c r="VNR101"/>
      <c r="VNS101"/>
      <c r="VNT101"/>
      <c r="VNU101"/>
      <c r="VNV101"/>
      <c r="VNW101"/>
      <c r="VNX101"/>
      <c r="VNY101"/>
      <c r="VNZ101"/>
      <c r="VOA101"/>
      <c r="VOB101"/>
      <c r="VOC101"/>
      <c r="VOD101"/>
      <c r="VOE101"/>
      <c r="VOF101"/>
      <c r="VOG101"/>
      <c r="VOH101"/>
      <c r="VOI101"/>
      <c r="VOJ101"/>
      <c r="VOK101"/>
      <c r="VOL101"/>
      <c r="VOM101"/>
      <c r="VON101"/>
      <c r="VOO101"/>
      <c r="VOP101"/>
      <c r="VOQ101"/>
      <c r="VOR101"/>
      <c r="VOS101"/>
      <c r="VOT101"/>
      <c r="VOU101"/>
      <c r="VOV101"/>
      <c r="VOW101"/>
      <c r="VOX101"/>
      <c r="VOY101"/>
      <c r="VOZ101"/>
      <c r="VPA101"/>
      <c r="VPB101"/>
      <c r="VPC101"/>
      <c r="VPD101"/>
      <c r="VPE101"/>
      <c r="VPF101"/>
      <c r="VPG101"/>
      <c r="VPH101"/>
      <c r="VPI101"/>
      <c r="VPJ101"/>
      <c r="VPK101"/>
      <c r="VPL101"/>
      <c r="VPM101"/>
      <c r="VPN101"/>
      <c r="VPO101"/>
      <c r="VPP101"/>
      <c r="VPQ101"/>
      <c r="VPR101"/>
      <c r="VPS101"/>
      <c r="VPT101"/>
      <c r="VPU101"/>
      <c r="VPV101"/>
      <c r="VPW101"/>
      <c r="VPX101"/>
      <c r="VPY101"/>
      <c r="VPZ101"/>
      <c r="VQA101"/>
      <c r="VQB101"/>
      <c r="VQC101"/>
      <c r="VQD101"/>
      <c r="VQE101"/>
      <c r="VQF101"/>
      <c r="VQG101"/>
      <c r="VQH101"/>
      <c r="VQI101"/>
      <c r="VQJ101"/>
      <c r="VQK101"/>
      <c r="VQL101"/>
      <c r="VQM101"/>
      <c r="VQN101"/>
      <c r="VQO101"/>
      <c r="VQP101"/>
      <c r="VQQ101"/>
      <c r="VQR101"/>
      <c r="VQS101"/>
      <c r="VQT101"/>
      <c r="VQU101"/>
      <c r="VQV101"/>
      <c r="VQW101"/>
      <c r="VQX101"/>
      <c r="VQY101"/>
      <c r="VQZ101"/>
      <c r="VRA101"/>
      <c r="VRB101"/>
      <c r="VRC101"/>
      <c r="VRD101"/>
      <c r="VRE101"/>
      <c r="VRF101"/>
      <c r="VRG101"/>
      <c r="VRH101"/>
      <c r="VRI101"/>
      <c r="VRJ101"/>
      <c r="VRK101"/>
      <c r="VRL101"/>
      <c r="VRM101"/>
      <c r="VRN101"/>
      <c r="VRO101"/>
      <c r="VRP101"/>
      <c r="VRQ101"/>
      <c r="VRR101"/>
      <c r="VRS101"/>
      <c r="VRT101"/>
      <c r="VRU101"/>
      <c r="VRV101"/>
      <c r="VRW101"/>
      <c r="VRX101"/>
      <c r="VRY101"/>
      <c r="VRZ101"/>
      <c r="VSA101"/>
      <c r="VSB101"/>
      <c r="VSC101"/>
      <c r="VSD101"/>
      <c r="VSE101"/>
      <c r="VSF101"/>
      <c r="VSG101"/>
      <c r="VSH101"/>
      <c r="VSI101"/>
      <c r="VSJ101"/>
      <c r="VSK101"/>
      <c r="VSL101"/>
      <c r="VSM101"/>
      <c r="VSN101"/>
      <c r="VSO101"/>
      <c r="VSP101"/>
      <c r="VSQ101"/>
      <c r="VSR101"/>
      <c r="VSS101"/>
      <c r="VST101"/>
      <c r="VSU101"/>
      <c r="VSV101"/>
      <c r="VSW101"/>
      <c r="VSX101"/>
      <c r="VSY101"/>
      <c r="VSZ101"/>
      <c r="VTA101"/>
      <c r="VTB101"/>
      <c r="VTC101"/>
      <c r="VTD101"/>
      <c r="VTE101"/>
      <c r="VTF101"/>
      <c r="VTG101"/>
      <c r="VTH101"/>
      <c r="VTI101"/>
      <c r="VTJ101"/>
      <c r="VTK101"/>
      <c r="VTL101"/>
      <c r="VTM101"/>
      <c r="VTN101"/>
      <c r="VTO101"/>
      <c r="VTP101"/>
      <c r="VTQ101"/>
      <c r="VTR101"/>
      <c r="VTS101"/>
      <c r="VTT101"/>
      <c r="VTU101"/>
      <c r="VTV101"/>
      <c r="VTW101"/>
      <c r="VTX101"/>
      <c r="VTY101"/>
      <c r="VTZ101"/>
      <c r="VUA101"/>
      <c r="VUB101"/>
      <c r="VUC101"/>
      <c r="VUD101"/>
      <c r="VUE101"/>
      <c r="VUF101"/>
      <c r="VUG101"/>
      <c r="VUH101"/>
      <c r="VUI101"/>
      <c r="VUJ101"/>
      <c r="VUK101"/>
      <c r="VUL101"/>
      <c r="VUM101"/>
      <c r="VUN101"/>
      <c r="VUO101"/>
      <c r="VUP101"/>
      <c r="VUQ101"/>
      <c r="VUR101"/>
      <c r="VUS101"/>
      <c r="VUT101"/>
      <c r="VUU101"/>
      <c r="VUV101"/>
      <c r="VUW101"/>
      <c r="VUX101"/>
      <c r="VUY101"/>
      <c r="VUZ101"/>
      <c r="VVA101"/>
      <c r="VVB101"/>
      <c r="VVC101"/>
      <c r="VVD101"/>
      <c r="VVE101"/>
      <c r="VVF101"/>
      <c r="VVG101"/>
    </row>
    <row r="102" spans="1:15451" s="1" customFormat="1">
      <c r="B102" s="55"/>
      <c r="C102" s="216" t="s">
        <v>64</v>
      </c>
      <c r="D102" s="134"/>
      <c r="E102" s="217" t="s">
        <v>9</v>
      </c>
      <c r="F102" s="138">
        <v>0</v>
      </c>
      <c r="G102" s="138">
        <v>0</v>
      </c>
      <c r="H102" s="138">
        <v>0</v>
      </c>
      <c r="I102" s="135">
        <v>111604.605</v>
      </c>
      <c r="J102" s="138">
        <v>0</v>
      </c>
      <c r="K102" s="138">
        <v>10862.72</v>
      </c>
      <c r="L102" s="138">
        <v>0</v>
      </c>
      <c r="M102" s="138">
        <v>0</v>
      </c>
      <c r="N102" s="138">
        <v>0</v>
      </c>
      <c r="O102" s="138">
        <v>0</v>
      </c>
      <c r="P102" s="135">
        <v>109845.285</v>
      </c>
      <c r="Q102" s="138">
        <v>0</v>
      </c>
      <c r="R102" s="167">
        <v>10860.905000000001</v>
      </c>
      <c r="S102" s="138">
        <v>0</v>
      </c>
      <c r="T102" s="138">
        <v>0</v>
      </c>
      <c r="U102" s="138">
        <v>0</v>
      </c>
      <c r="V102" s="138">
        <v>0</v>
      </c>
      <c r="W102" s="135">
        <v>114982.97500000001</v>
      </c>
      <c r="X102" s="138">
        <v>0</v>
      </c>
      <c r="Y102" s="138">
        <v>11949.62</v>
      </c>
      <c r="Z102" s="138">
        <v>0</v>
      </c>
      <c r="AA102" s="138">
        <v>0</v>
      </c>
      <c r="AB102" s="138">
        <v>0</v>
      </c>
      <c r="AC102" s="138">
        <v>0</v>
      </c>
      <c r="AD102" s="135">
        <v>115167.595</v>
      </c>
      <c r="AE102" s="138">
        <v>0</v>
      </c>
      <c r="AF102" s="138">
        <v>0</v>
      </c>
      <c r="AG102" s="138">
        <v>0</v>
      </c>
      <c r="AH102" s="138">
        <v>0</v>
      </c>
      <c r="AI102" s="138">
        <v>0</v>
      </c>
      <c r="AJ102" s="138">
        <v>0</v>
      </c>
      <c r="AK102" s="151"/>
      <c r="AL102" s="149">
        <f>SUM(AL103:AL104)</f>
        <v>485273.70500000002</v>
      </c>
      <c r="AN102" s="106"/>
      <c r="DE102" s="252"/>
      <c r="DF102" s="233"/>
      <c r="DG102" s="233"/>
      <c r="DH102" s="233"/>
      <c r="DI102" s="252"/>
      <c r="DJ102" s="233"/>
      <c r="DK102" s="233"/>
      <c r="DL102" s="233"/>
      <c r="DM102" s="233"/>
      <c r="DN102" s="233"/>
      <c r="EB102" s="233"/>
      <c r="EC102" s="233"/>
      <c r="FI102" s="233"/>
    </row>
    <row r="103" spans="1:15451" s="1" customFormat="1">
      <c r="B103" s="55"/>
      <c r="C103" s="218" t="s">
        <v>65</v>
      </c>
      <c r="D103" s="59"/>
      <c r="E103" s="219" t="s">
        <v>9</v>
      </c>
      <c r="F103" s="71">
        <f t="shared" ref="F103:AJ103" si="80">SUM(F106:F107)*10.86</f>
        <v>0</v>
      </c>
      <c r="G103" s="71">
        <f t="shared" si="80"/>
        <v>0</v>
      </c>
      <c r="H103" s="71">
        <f t="shared" si="80"/>
        <v>0</v>
      </c>
      <c r="I103" s="71">
        <f t="shared" si="80"/>
        <v>111597.36</v>
      </c>
      <c r="J103" s="71">
        <f t="shared" si="80"/>
        <v>0</v>
      </c>
      <c r="K103" s="71">
        <f t="shared" si="80"/>
        <v>10860</v>
      </c>
      <c r="L103" s="71">
        <f t="shared" si="80"/>
        <v>0</v>
      </c>
      <c r="M103" s="71">
        <f t="shared" si="80"/>
        <v>0</v>
      </c>
      <c r="N103" s="71">
        <f t="shared" si="80"/>
        <v>0</v>
      </c>
      <c r="O103" s="71">
        <f t="shared" si="80"/>
        <v>0</v>
      </c>
      <c r="P103" s="71">
        <f t="shared" si="80"/>
        <v>109838.04</v>
      </c>
      <c r="Q103" s="71">
        <f>SUM(Q106:Q107)*10.86</f>
        <v>0</v>
      </c>
      <c r="R103" s="71">
        <f t="shared" si="80"/>
        <v>10860</v>
      </c>
      <c r="S103" s="71">
        <f t="shared" si="80"/>
        <v>0</v>
      </c>
      <c r="T103" s="71">
        <f t="shared" si="80"/>
        <v>0</v>
      </c>
      <c r="U103" s="71">
        <f t="shared" si="80"/>
        <v>0</v>
      </c>
      <c r="V103" s="71">
        <f t="shared" si="80"/>
        <v>0</v>
      </c>
      <c r="W103" s="71">
        <f t="shared" si="80"/>
        <v>114974.81999999999</v>
      </c>
      <c r="X103" s="71">
        <f t="shared" si="80"/>
        <v>0</v>
      </c>
      <c r="Y103" s="71">
        <f t="shared" si="80"/>
        <v>11946</v>
      </c>
      <c r="Z103" s="71">
        <f t="shared" si="80"/>
        <v>0</v>
      </c>
      <c r="AA103" s="71">
        <f t="shared" si="80"/>
        <v>0</v>
      </c>
      <c r="AB103" s="138">
        <v>0</v>
      </c>
      <c r="AC103" s="138">
        <v>0</v>
      </c>
      <c r="AD103" s="71">
        <f t="shared" si="80"/>
        <v>115159.43999999999</v>
      </c>
      <c r="AE103" s="71">
        <f t="shared" ref="AE103:AG103" si="81">SUM(AE106:AE107)*10.86</f>
        <v>0</v>
      </c>
      <c r="AF103" s="71">
        <f t="shared" si="81"/>
        <v>0</v>
      </c>
      <c r="AG103" s="71">
        <f t="shared" si="81"/>
        <v>0</v>
      </c>
      <c r="AH103" s="71">
        <f t="shared" si="80"/>
        <v>0</v>
      </c>
      <c r="AI103" s="71">
        <f t="shared" si="80"/>
        <v>0</v>
      </c>
      <c r="AJ103" s="71">
        <f t="shared" si="80"/>
        <v>0</v>
      </c>
      <c r="AK103" s="105"/>
      <c r="AL103" s="107">
        <f>SUM(F103:AJ103)</f>
        <v>485235.66</v>
      </c>
      <c r="AN103" s="106"/>
      <c r="DE103" s="271"/>
      <c r="DF103" s="245"/>
      <c r="DG103" s="245"/>
      <c r="DH103" s="245"/>
      <c r="DI103" s="245"/>
      <c r="DJ103" s="245"/>
      <c r="DK103" s="233"/>
      <c r="DL103" s="233"/>
      <c r="DM103" s="233"/>
      <c r="DN103" s="233"/>
      <c r="EB103" s="233"/>
      <c r="EC103" s="233"/>
      <c r="FI103" s="233"/>
    </row>
    <row r="104" spans="1:15451" s="1" customFormat="1" ht="14.25">
      <c r="B104" s="55"/>
      <c r="C104" s="218" t="s">
        <v>66</v>
      </c>
      <c r="D104" s="59"/>
      <c r="E104" s="219" t="s">
        <v>9</v>
      </c>
      <c r="F104" s="71">
        <f t="shared" ref="F104:AJ104" si="82">F102-F103</f>
        <v>0</v>
      </c>
      <c r="G104" s="71">
        <f t="shared" si="82"/>
        <v>0</v>
      </c>
      <c r="H104" s="71">
        <f t="shared" si="82"/>
        <v>0</v>
      </c>
      <c r="I104" s="71">
        <f t="shared" si="82"/>
        <v>7.2449999999953434</v>
      </c>
      <c r="J104" s="71">
        <f t="shared" si="82"/>
        <v>0</v>
      </c>
      <c r="K104" s="71">
        <f t="shared" si="82"/>
        <v>2.7199999999993452</v>
      </c>
      <c r="L104" s="71">
        <f t="shared" si="82"/>
        <v>0</v>
      </c>
      <c r="M104" s="71">
        <f t="shared" si="82"/>
        <v>0</v>
      </c>
      <c r="N104" s="71">
        <f t="shared" si="82"/>
        <v>0</v>
      </c>
      <c r="O104" s="71">
        <f t="shared" si="82"/>
        <v>0</v>
      </c>
      <c r="P104" s="71">
        <f t="shared" si="82"/>
        <v>7.2450000000098953</v>
      </c>
      <c r="Q104" s="71">
        <f t="shared" si="82"/>
        <v>0</v>
      </c>
      <c r="R104" s="71">
        <f t="shared" si="82"/>
        <v>0.90500000000065484</v>
      </c>
      <c r="S104" s="71">
        <f t="shared" si="82"/>
        <v>0</v>
      </c>
      <c r="T104" s="71">
        <f t="shared" si="82"/>
        <v>0</v>
      </c>
      <c r="U104" s="71">
        <f t="shared" si="82"/>
        <v>0</v>
      </c>
      <c r="V104" s="71">
        <f t="shared" si="82"/>
        <v>0</v>
      </c>
      <c r="W104" s="71">
        <f t="shared" si="82"/>
        <v>8.1550000000133878</v>
      </c>
      <c r="X104" s="71">
        <f t="shared" si="82"/>
        <v>0</v>
      </c>
      <c r="Y104" s="71">
        <f t="shared" si="82"/>
        <v>3.6200000000008004</v>
      </c>
      <c r="Z104" s="71">
        <f t="shared" si="82"/>
        <v>0</v>
      </c>
      <c r="AA104" s="71">
        <f t="shared" si="82"/>
        <v>0</v>
      </c>
      <c r="AB104" s="71">
        <f t="shared" si="82"/>
        <v>0</v>
      </c>
      <c r="AC104" s="71">
        <f t="shared" si="82"/>
        <v>0</v>
      </c>
      <c r="AD104" s="71">
        <f t="shared" si="82"/>
        <v>8.1550000000133878</v>
      </c>
      <c r="AE104" s="71">
        <f t="shared" ref="AE104:AG104" si="83">AE102-AE103</f>
        <v>0</v>
      </c>
      <c r="AF104" s="71">
        <f t="shared" si="83"/>
        <v>0</v>
      </c>
      <c r="AG104" s="71">
        <f t="shared" si="83"/>
        <v>0</v>
      </c>
      <c r="AH104" s="71">
        <f t="shared" si="82"/>
        <v>0</v>
      </c>
      <c r="AI104" s="71">
        <f t="shared" si="82"/>
        <v>0</v>
      </c>
      <c r="AJ104" s="71">
        <f t="shared" si="82"/>
        <v>0</v>
      </c>
      <c r="AK104" s="105"/>
      <c r="AL104" s="107">
        <f>SUM(F104:AJ104)</f>
        <v>38.045000000032815</v>
      </c>
      <c r="AN104" s="106"/>
      <c r="DE104" s="233"/>
      <c r="DF104" s="233"/>
      <c r="DG104" s="233"/>
      <c r="DH104" s="233"/>
      <c r="DI104" s="233"/>
      <c r="DJ104" s="233"/>
      <c r="DK104" s="233"/>
      <c r="DL104" s="233"/>
      <c r="DM104" s="233"/>
      <c r="DN104" s="233"/>
      <c r="EB104" s="233"/>
      <c r="EC104" s="233"/>
      <c r="FI104" s="233"/>
    </row>
    <row r="105" spans="1:15451" s="1" customFormat="1" ht="14.25">
      <c r="B105" s="55"/>
      <c r="C105" s="218" t="s">
        <v>67</v>
      </c>
      <c r="D105" s="59"/>
      <c r="E105" s="55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105"/>
      <c r="AL105" s="153" t="s">
        <v>67</v>
      </c>
      <c r="AN105" s="106"/>
      <c r="DE105" s="233"/>
      <c r="DF105" s="233"/>
      <c r="DG105" s="233"/>
      <c r="DH105" s="233"/>
      <c r="DI105" s="233"/>
      <c r="DJ105" s="233"/>
      <c r="DK105" s="233"/>
      <c r="DL105" s="233"/>
      <c r="DM105" s="233"/>
      <c r="DN105" s="233"/>
      <c r="EB105" s="233"/>
      <c r="EC105" s="233"/>
      <c r="FI105" s="233"/>
    </row>
    <row r="106" spans="1:15451" s="7" customFormat="1" ht="14.25">
      <c r="B106" s="136"/>
      <c r="C106" s="137" t="s">
        <v>80</v>
      </c>
      <c r="D106" s="25"/>
      <c r="E106" s="221" t="s">
        <v>69</v>
      </c>
      <c r="F106" s="138">
        <v>0</v>
      </c>
      <c r="G106" s="138">
        <v>0</v>
      </c>
      <c r="H106" s="138">
        <v>0</v>
      </c>
      <c r="I106" s="138">
        <v>3426</v>
      </c>
      <c r="J106" s="138">
        <v>0</v>
      </c>
      <c r="K106" s="138">
        <v>0</v>
      </c>
      <c r="L106" s="138">
        <v>0</v>
      </c>
      <c r="M106" s="138">
        <v>0</v>
      </c>
      <c r="N106" s="138">
        <v>0</v>
      </c>
      <c r="O106" s="138">
        <v>0</v>
      </c>
      <c r="P106" s="138">
        <v>3263</v>
      </c>
      <c r="Q106" s="138">
        <v>0</v>
      </c>
      <c r="R106" s="138">
        <v>0</v>
      </c>
      <c r="S106" s="138">
        <v>0</v>
      </c>
      <c r="T106" s="138">
        <v>0</v>
      </c>
      <c r="U106" s="138">
        <v>0</v>
      </c>
      <c r="V106" s="138">
        <v>0</v>
      </c>
      <c r="W106" s="138">
        <v>3529</v>
      </c>
      <c r="X106" s="138">
        <v>0</v>
      </c>
      <c r="Y106" s="138">
        <v>0</v>
      </c>
      <c r="Z106" s="138">
        <v>0</v>
      </c>
      <c r="AA106" s="138">
        <v>0</v>
      </c>
      <c r="AB106" s="138">
        <v>0</v>
      </c>
      <c r="AC106" s="138">
        <v>0</v>
      </c>
      <c r="AD106" s="138">
        <v>3535</v>
      </c>
      <c r="AE106" s="138">
        <v>0</v>
      </c>
      <c r="AF106" s="138">
        <v>0</v>
      </c>
      <c r="AG106" s="138">
        <v>0</v>
      </c>
      <c r="AH106" s="138">
        <v>0</v>
      </c>
      <c r="AI106" s="138">
        <v>0</v>
      </c>
      <c r="AJ106" s="138">
        <v>0</v>
      </c>
      <c r="AK106" s="154"/>
      <c r="AL106" s="157">
        <f>SUM(F106:AJ106)</f>
        <v>13753</v>
      </c>
      <c r="AN106" s="156"/>
      <c r="DE106" s="270"/>
      <c r="DF106" s="270"/>
      <c r="DG106" s="270"/>
      <c r="DH106" s="270"/>
      <c r="DI106" s="270"/>
      <c r="DJ106" s="270"/>
      <c r="DK106" s="270"/>
      <c r="DL106" s="270"/>
      <c r="DM106" s="270"/>
      <c r="DN106" s="270"/>
      <c r="EB106" s="270"/>
      <c r="EC106" s="270"/>
      <c r="FI106" s="270"/>
    </row>
    <row r="107" spans="1:15451" s="7" customFormat="1" ht="14.25">
      <c r="B107" s="136"/>
      <c r="C107" s="137" t="s">
        <v>81</v>
      </c>
      <c r="D107" s="25"/>
      <c r="E107" s="221" t="s">
        <v>69</v>
      </c>
      <c r="F107" s="138">
        <v>0</v>
      </c>
      <c r="G107" s="138">
        <v>0</v>
      </c>
      <c r="H107" s="138">
        <v>0</v>
      </c>
      <c r="I107" s="138">
        <v>6850</v>
      </c>
      <c r="J107" s="138">
        <v>0</v>
      </c>
      <c r="K107" s="138">
        <v>1000</v>
      </c>
      <c r="L107" s="138">
        <v>0</v>
      </c>
      <c r="M107" s="138">
        <v>0</v>
      </c>
      <c r="N107" s="138">
        <v>0</v>
      </c>
      <c r="O107" s="138">
        <v>0</v>
      </c>
      <c r="P107" s="138">
        <v>6851</v>
      </c>
      <c r="Q107" s="138">
        <v>0</v>
      </c>
      <c r="R107" s="138">
        <v>1000</v>
      </c>
      <c r="S107" s="138">
        <v>0</v>
      </c>
      <c r="T107" s="138">
        <v>0</v>
      </c>
      <c r="U107" s="138">
        <v>0</v>
      </c>
      <c r="V107" s="138">
        <v>0</v>
      </c>
      <c r="W107" s="138">
        <v>7058</v>
      </c>
      <c r="X107" s="138">
        <v>0</v>
      </c>
      <c r="Y107" s="138">
        <v>1100</v>
      </c>
      <c r="Z107" s="138">
        <v>0</v>
      </c>
      <c r="AA107" s="138">
        <v>0</v>
      </c>
      <c r="AB107" s="138">
        <v>0</v>
      </c>
      <c r="AC107" s="138">
        <v>0</v>
      </c>
      <c r="AD107" s="44">
        <v>7069</v>
      </c>
      <c r="AE107" s="138">
        <v>0</v>
      </c>
      <c r="AF107" s="138">
        <v>0</v>
      </c>
      <c r="AG107" s="138">
        <v>0</v>
      </c>
      <c r="AH107" s="138">
        <v>0</v>
      </c>
      <c r="AI107" s="138">
        <v>0</v>
      </c>
      <c r="AJ107" s="138">
        <v>0</v>
      </c>
      <c r="AK107" s="154"/>
      <c r="AL107" s="157">
        <f>SUM(F107:AJ107)</f>
        <v>30928</v>
      </c>
      <c r="AN107" s="156"/>
      <c r="DE107" s="270"/>
      <c r="DF107" s="270"/>
      <c r="DG107" s="270"/>
      <c r="DH107" s="270"/>
      <c r="DI107" s="270"/>
      <c r="DJ107" s="270"/>
      <c r="DK107" s="270"/>
      <c r="DL107" s="270"/>
      <c r="DM107" s="270"/>
      <c r="DN107" s="270"/>
      <c r="EB107" s="270"/>
      <c r="EC107" s="270"/>
      <c r="FI107" s="270"/>
    </row>
    <row r="108" spans="1:15451" s="1" customFormat="1" ht="14.25">
      <c r="B108" s="55"/>
      <c r="C108" s="218" t="s">
        <v>71</v>
      </c>
      <c r="D108" s="59"/>
      <c r="E108" s="55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105"/>
      <c r="AL108" s="153" t="s">
        <v>71</v>
      </c>
      <c r="AN108" s="106"/>
      <c r="DE108" s="233"/>
      <c r="DF108" s="233"/>
      <c r="DG108" s="233"/>
      <c r="DH108" s="233"/>
      <c r="DI108" s="233"/>
      <c r="DJ108" s="233"/>
      <c r="DK108" s="233"/>
      <c r="DL108" s="233"/>
      <c r="DM108" s="233"/>
      <c r="DN108" s="233"/>
      <c r="EB108" s="233"/>
      <c r="EC108" s="233"/>
      <c r="FI108" s="233"/>
    </row>
    <row r="109" spans="1:15451" s="1" customFormat="1" ht="14.25">
      <c r="B109" s="55"/>
      <c r="C109" s="137" t="s">
        <v>80</v>
      </c>
      <c r="D109" s="59"/>
      <c r="E109" s="219" t="s">
        <v>71</v>
      </c>
      <c r="F109" s="44">
        <f t="shared" ref="F109:AJ109" si="84">F106*12</f>
        <v>0</v>
      </c>
      <c r="G109" s="44">
        <f t="shared" si="84"/>
        <v>0</v>
      </c>
      <c r="H109" s="44">
        <f t="shared" si="84"/>
        <v>0</v>
      </c>
      <c r="I109" s="44">
        <f t="shared" si="84"/>
        <v>41112</v>
      </c>
      <c r="J109" s="44">
        <f t="shared" si="84"/>
        <v>0</v>
      </c>
      <c r="K109" s="44">
        <f t="shared" si="84"/>
        <v>0</v>
      </c>
      <c r="L109" s="44">
        <f t="shared" si="84"/>
        <v>0</v>
      </c>
      <c r="M109" s="44">
        <f t="shared" si="84"/>
        <v>0</v>
      </c>
      <c r="N109" s="44">
        <f t="shared" si="84"/>
        <v>0</v>
      </c>
      <c r="O109" s="44">
        <f t="shared" si="84"/>
        <v>0</v>
      </c>
      <c r="P109" s="44">
        <f t="shared" si="84"/>
        <v>39156</v>
      </c>
      <c r="Q109" s="44">
        <f t="shared" si="84"/>
        <v>0</v>
      </c>
      <c r="R109" s="44">
        <f t="shared" si="84"/>
        <v>0</v>
      </c>
      <c r="S109" s="44">
        <f t="shared" si="84"/>
        <v>0</v>
      </c>
      <c r="T109" s="44">
        <f t="shared" si="84"/>
        <v>0</v>
      </c>
      <c r="U109" s="44">
        <f t="shared" si="84"/>
        <v>0</v>
      </c>
      <c r="V109" s="44">
        <f t="shared" si="84"/>
        <v>0</v>
      </c>
      <c r="W109" s="44">
        <f t="shared" si="84"/>
        <v>42348</v>
      </c>
      <c r="X109" s="44">
        <f t="shared" si="84"/>
        <v>0</v>
      </c>
      <c r="Y109" s="44">
        <f t="shared" si="84"/>
        <v>0</v>
      </c>
      <c r="Z109" s="44">
        <f t="shared" si="84"/>
        <v>0</v>
      </c>
      <c r="AA109" s="44">
        <f t="shared" si="84"/>
        <v>0</v>
      </c>
      <c r="AB109" s="44">
        <f t="shared" si="84"/>
        <v>0</v>
      </c>
      <c r="AC109" s="44">
        <f t="shared" si="84"/>
        <v>0</v>
      </c>
      <c r="AD109" s="44">
        <f t="shared" si="84"/>
        <v>42420</v>
      </c>
      <c r="AE109" s="44">
        <f t="shared" ref="AE109:AG109" si="85">AE106*12</f>
        <v>0</v>
      </c>
      <c r="AF109" s="44">
        <f t="shared" si="85"/>
        <v>0</v>
      </c>
      <c r="AG109" s="44">
        <f t="shared" si="85"/>
        <v>0</v>
      </c>
      <c r="AH109" s="44">
        <f t="shared" si="84"/>
        <v>0</v>
      </c>
      <c r="AI109" s="44">
        <f t="shared" si="84"/>
        <v>0</v>
      </c>
      <c r="AJ109" s="44">
        <f t="shared" si="84"/>
        <v>0</v>
      </c>
      <c r="AK109" s="105"/>
      <c r="AL109" s="155">
        <f>AL106*12</f>
        <v>165036</v>
      </c>
      <c r="AN109" s="106"/>
      <c r="DE109" s="233"/>
      <c r="DF109" s="233"/>
      <c r="DG109" s="233"/>
      <c r="DH109" s="233"/>
      <c r="DI109" s="233"/>
      <c r="DJ109" s="233"/>
      <c r="DK109" s="233"/>
      <c r="DL109" s="233"/>
      <c r="DM109" s="233"/>
      <c r="DN109" s="233"/>
      <c r="EB109" s="233"/>
      <c r="EC109" s="233"/>
      <c r="FI109" s="233"/>
    </row>
    <row r="110" spans="1:15451" s="1" customFormat="1" ht="14.25">
      <c r="B110" s="55"/>
      <c r="C110" s="137" t="s">
        <v>81</v>
      </c>
      <c r="D110" s="59"/>
      <c r="E110" s="219" t="s">
        <v>71</v>
      </c>
      <c r="F110" s="44">
        <f t="shared" ref="F110:AJ110" si="86">F107*6</f>
        <v>0</v>
      </c>
      <c r="G110" s="44">
        <f t="shared" si="86"/>
        <v>0</v>
      </c>
      <c r="H110" s="44">
        <f t="shared" si="86"/>
        <v>0</v>
      </c>
      <c r="I110" s="44">
        <f t="shared" si="86"/>
        <v>41100</v>
      </c>
      <c r="J110" s="44">
        <f t="shared" si="86"/>
        <v>0</v>
      </c>
      <c r="K110" s="44">
        <f t="shared" si="86"/>
        <v>6000</v>
      </c>
      <c r="L110" s="44">
        <f t="shared" si="86"/>
        <v>0</v>
      </c>
      <c r="M110" s="44">
        <f t="shared" si="86"/>
        <v>0</v>
      </c>
      <c r="N110" s="44">
        <f t="shared" si="86"/>
        <v>0</v>
      </c>
      <c r="O110" s="44">
        <f t="shared" si="86"/>
        <v>0</v>
      </c>
      <c r="P110" s="44">
        <f t="shared" si="86"/>
        <v>41106</v>
      </c>
      <c r="Q110" s="44">
        <f t="shared" si="86"/>
        <v>0</v>
      </c>
      <c r="R110" s="44">
        <f t="shared" si="86"/>
        <v>6000</v>
      </c>
      <c r="S110" s="44">
        <f t="shared" si="86"/>
        <v>0</v>
      </c>
      <c r="T110" s="44">
        <f t="shared" si="86"/>
        <v>0</v>
      </c>
      <c r="U110" s="44">
        <f t="shared" si="86"/>
        <v>0</v>
      </c>
      <c r="V110" s="44">
        <f t="shared" si="86"/>
        <v>0</v>
      </c>
      <c r="W110" s="44">
        <f t="shared" si="86"/>
        <v>42348</v>
      </c>
      <c r="X110" s="44">
        <f t="shared" si="86"/>
        <v>0</v>
      </c>
      <c r="Y110" s="44">
        <f t="shared" si="86"/>
        <v>6600</v>
      </c>
      <c r="Z110" s="44">
        <f t="shared" si="86"/>
        <v>0</v>
      </c>
      <c r="AA110" s="44">
        <f t="shared" si="86"/>
        <v>0</v>
      </c>
      <c r="AB110" s="44">
        <f t="shared" si="86"/>
        <v>0</v>
      </c>
      <c r="AC110" s="44">
        <f t="shared" si="86"/>
        <v>0</v>
      </c>
      <c r="AD110" s="44">
        <f t="shared" si="86"/>
        <v>42414</v>
      </c>
      <c r="AE110" s="44">
        <f t="shared" ref="AE110:AG110" si="87">AE107*6</f>
        <v>0</v>
      </c>
      <c r="AF110" s="44">
        <f t="shared" si="87"/>
        <v>0</v>
      </c>
      <c r="AG110" s="44">
        <f t="shared" si="87"/>
        <v>0</v>
      </c>
      <c r="AH110" s="44">
        <f t="shared" si="86"/>
        <v>0</v>
      </c>
      <c r="AI110" s="44">
        <f t="shared" si="86"/>
        <v>0</v>
      </c>
      <c r="AJ110" s="44">
        <f t="shared" si="86"/>
        <v>0</v>
      </c>
      <c r="AK110" s="105"/>
      <c r="AL110" s="155">
        <f>AL107*6</f>
        <v>185568</v>
      </c>
      <c r="AN110" s="106"/>
      <c r="DE110" s="233"/>
      <c r="DF110" s="233"/>
      <c r="DG110" s="233"/>
      <c r="DH110" s="233"/>
      <c r="DI110" s="233"/>
      <c r="DJ110" s="233"/>
      <c r="DK110" s="233"/>
      <c r="DL110" s="233"/>
      <c r="DM110" s="233"/>
      <c r="DN110" s="233"/>
      <c r="EB110" s="233"/>
      <c r="EC110" s="233"/>
      <c r="FI110" s="233"/>
    </row>
    <row r="111" spans="1:15451" s="1" customFormat="1" ht="14.25">
      <c r="B111" s="55"/>
      <c r="C111" s="218" t="s">
        <v>72</v>
      </c>
      <c r="D111" s="59"/>
      <c r="E111" s="219" t="s">
        <v>73</v>
      </c>
      <c r="F111" s="44">
        <v>0</v>
      </c>
      <c r="G111" s="44">
        <f>(G102*45)/1700</f>
        <v>0</v>
      </c>
      <c r="H111" s="44">
        <f t="shared" ref="H111:Y111" si="88">(H102*45)/1700</f>
        <v>0</v>
      </c>
      <c r="I111" s="44">
        <f t="shared" si="88"/>
        <v>2954.2395441176468</v>
      </c>
      <c r="J111" s="44">
        <f t="shared" si="88"/>
        <v>0</v>
      </c>
      <c r="K111" s="44">
        <f t="shared" si="88"/>
        <v>287.54258823529409</v>
      </c>
      <c r="L111" s="44">
        <f t="shared" si="88"/>
        <v>0</v>
      </c>
      <c r="M111" s="44">
        <f t="shared" si="88"/>
        <v>0</v>
      </c>
      <c r="N111" s="44">
        <f t="shared" si="88"/>
        <v>0</v>
      </c>
      <c r="O111" s="44">
        <f t="shared" si="88"/>
        <v>0</v>
      </c>
      <c r="P111" s="44">
        <f t="shared" si="88"/>
        <v>2907.6693088235297</v>
      </c>
      <c r="Q111" s="44">
        <f t="shared" si="88"/>
        <v>0</v>
      </c>
      <c r="R111" s="44">
        <f t="shared" si="88"/>
        <v>287.49454411764708</v>
      </c>
      <c r="S111" s="44">
        <f t="shared" si="88"/>
        <v>0</v>
      </c>
      <c r="T111" s="44">
        <f t="shared" si="88"/>
        <v>0</v>
      </c>
      <c r="U111" s="44">
        <f t="shared" si="88"/>
        <v>0</v>
      </c>
      <c r="V111" s="44">
        <f t="shared" si="88"/>
        <v>0</v>
      </c>
      <c r="W111" s="44">
        <f t="shared" si="88"/>
        <v>3043.6669852941177</v>
      </c>
      <c r="X111" s="44">
        <f t="shared" si="88"/>
        <v>0</v>
      </c>
      <c r="Y111" s="44">
        <f t="shared" si="88"/>
        <v>316.3134705882353</v>
      </c>
      <c r="Z111" s="44">
        <f t="shared" ref="Z111:AJ111" si="89">Z102*45/1700</f>
        <v>0</v>
      </c>
      <c r="AA111" s="44">
        <f t="shared" si="89"/>
        <v>0</v>
      </c>
      <c r="AB111" s="44">
        <f t="shared" si="89"/>
        <v>0</v>
      </c>
      <c r="AC111" s="44">
        <f t="shared" si="89"/>
        <v>0</v>
      </c>
      <c r="AD111" s="44">
        <f t="shared" si="89"/>
        <v>3048.5539852941179</v>
      </c>
      <c r="AE111" s="44">
        <f t="shared" ref="AE111:AG111" si="90">AE102*45/1700</f>
        <v>0</v>
      </c>
      <c r="AF111" s="44">
        <f t="shared" si="90"/>
        <v>0</v>
      </c>
      <c r="AG111" s="44">
        <f t="shared" si="90"/>
        <v>0</v>
      </c>
      <c r="AH111" s="44">
        <f t="shared" si="89"/>
        <v>0</v>
      </c>
      <c r="AI111" s="44">
        <f t="shared" si="89"/>
        <v>0</v>
      </c>
      <c r="AJ111" s="44">
        <f t="shared" si="89"/>
        <v>0</v>
      </c>
      <c r="AK111" s="105"/>
      <c r="AL111" s="155">
        <f>SUM(F111:AJ111)</f>
        <v>12845.480426470587</v>
      </c>
      <c r="AN111" s="106"/>
      <c r="DE111" s="233"/>
      <c r="DF111" s="233"/>
      <c r="DG111" s="233"/>
      <c r="DH111" s="233"/>
      <c r="DI111" s="233"/>
      <c r="DJ111" s="233"/>
      <c r="DK111" s="233"/>
      <c r="DL111" s="233"/>
      <c r="DM111" s="233"/>
      <c r="DN111" s="233"/>
      <c r="EB111" s="233"/>
      <c r="EC111" s="233"/>
      <c r="FI111" s="233"/>
    </row>
    <row r="112" spans="1:15451" s="1" customFormat="1" ht="14.25">
      <c r="B112" s="55"/>
      <c r="C112" s="218" t="s">
        <v>74</v>
      </c>
      <c r="D112" s="59"/>
      <c r="E112" s="219" t="s">
        <v>75</v>
      </c>
      <c r="F112" s="44">
        <f t="shared" ref="F112:AJ112" si="91">SUM(F106:F107)/500</f>
        <v>0</v>
      </c>
      <c r="G112" s="44">
        <f t="shared" si="91"/>
        <v>0</v>
      </c>
      <c r="H112" s="44">
        <f t="shared" si="91"/>
        <v>0</v>
      </c>
      <c r="I112" s="44">
        <f t="shared" si="91"/>
        <v>20.552</v>
      </c>
      <c r="J112" s="44">
        <f t="shared" si="91"/>
        <v>0</v>
      </c>
      <c r="K112" s="44">
        <f t="shared" si="91"/>
        <v>2</v>
      </c>
      <c r="L112" s="44">
        <f t="shared" si="91"/>
        <v>0</v>
      </c>
      <c r="M112" s="44">
        <f t="shared" si="91"/>
        <v>0</v>
      </c>
      <c r="N112" s="44">
        <f t="shared" si="91"/>
        <v>0</v>
      </c>
      <c r="O112" s="44">
        <f t="shared" si="91"/>
        <v>0</v>
      </c>
      <c r="P112" s="44">
        <f t="shared" si="91"/>
        <v>20.228000000000002</v>
      </c>
      <c r="Q112" s="44">
        <f t="shared" si="91"/>
        <v>0</v>
      </c>
      <c r="R112" s="44">
        <f t="shared" si="91"/>
        <v>2</v>
      </c>
      <c r="S112" s="44">
        <f t="shared" si="91"/>
        <v>0</v>
      </c>
      <c r="T112" s="44">
        <f t="shared" si="91"/>
        <v>0</v>
      </c>
      <c r="U112" s="44">
        <f t="shared" si="91"/>
        <v>0</v>
      </c>
      <c r="V112" s="44">
        <f t="shared" si="91"/>
        <v>0</v>
      </c>
      <c r="W112" s="44">
        <f t="shared" si="91"/>
        <v>21.173999999999999</v>
      </c>
      <c r="X112" s="44">
        <f t="shared" si="91"/>
        <v>0</v>
      </c>
      <c r="Y112" s="44">
        <f t="shared" si="91"/>
        <v>2.2000000000000002</v>
      </c>
      <c r="Z112" s="44">
        <f t="shared" si="91"/>
        <v>0</v>
      </c>
      <c r="AA112" s="44">
        <f t="shared" si="91"/>
        <v>0</v>
      </c>
      <c r="AB112" s="44">
        <f t="shared" si="91"/>
        <v>0</v>
      </c>
      <c r="AC112" s="44">
        <f t="shared" si="91"/>
        <v>0</v>
      </c>
      <c r="AD112" s="44">
        <f t="shared" si="91"/>
        <v>21.207999999999998</v>
      </c>
      <c r="AE112" s="44">
        <f t="shared" ref="AE112:AG112" si="92">SUM(AE106:AE107)/500</f>
        <v>0</v>
      </c>
      <c r="AF112" s="241">
        <f t="shared" si="92"/>
        <v>0</v>
      </c>
      <c r="AG112" s="44">
        <f t="shared" si="92"/>
        <v>0</v>
      </c>
      <c r="AH112" s="44">
        <f t="shared" si="91"/>
        <v>0</v>
      </c>
      <c r="AI112" s="241">
        <f t="shared" si="91"/>
        <v>0</v>
      </c>
      <c r="AJ112" s="44">
        <f t="shared" si="91"/>
        <v>0</v>
      </c>
      <c r="AK112" s="105"/>
      <c r="AL112" s="155">
        <f>SUM(F112:AJ112)</f>
        <v>89.362000000000009</v>
      </c>
      <c r="AN112" s="106"/>
      <c r="DE112" s="233"/>
      <c r="DF112" s="233"/>
      <c r="DG112" s="233"/>
      <c r="DH112" s="233"/>
      <c r="DI112" s="233"/>
      <c r="DJ112" s="233"/>
      <c r="DK112" s="233"/>
      <c r="DL112" s="233"/>
      <c r="DM112" s="233"/>
      <c r="DN112" s="233"/>
      <c r="EB112" s="233"/>
      <c r="EC112" s="233"/>
      <c r="FI112" s="233"/>
    </row>
    <row r="113" spans="1:15451" s="1" customFormat="1">
      <c r="A113" s="3"/>
      <c r="B113" s="41"/>
      <c r="C113" s="20" t="s">
        <v>76</v>
      </c>
      <c r="D113" s="39"/>
      <c r="E113" s="39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91"/>
      <c r="AD113" s="40"/>
      <c r="AE113" s="40"/>
      <c r="AF113" s="40"/>
      <c r="AG113" s="40"/>
      <c r="AH113" s="40"/>
      <c r="AI113" s="40"/>
      <c r="AJ113" s="40"/>
      <c r="AK113" s="95"/>
      <c r="AL113" s="203" t="s">
        <v>77</v>
      </c>
      <c r="AM113" s="3"/>
      <c r="AN113" s="14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252"/>
      <c r="DF113" s="252"/>
      <c r="DG113" s="252"/>
      <c r="DH113" s="252"/>
      <c r="DI113" s="252"/>
      <c r="DJ113" s="252"/>
      <c r="DK113" s="252"/>
      <c r="DL113" s="252"/>
      <c r="DM113" s="252"/>
      <c r="DN113" s="252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252"/>
      <c r="EC113" s="252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252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/>
      <c r="WD113" s="3"/>
      <c r="WE113" s="3"/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WP113" s="3"/>
      <c r="WQ113" s="3"/>
      <c r="WR113" s="3"/>
      <c r="WS113" s="3"/>
      <c r="WT113" s="3"/>
      <c r="WU113" s="3"/>
      <c r="WV113" s="3"/>
      <c r="WW113" s="3"/>
      <c r="WX113" s="3"/>
      <c r="WY113" s="3"/>
      <c r="WZ113" s="3"/>
      <c r="XA113" s="3"/>
      <c r="XB113" s="3"/>
      <c r="XC113" s="3"/>
      <c r="XD113" s="3"/>
      <c r="XE113" s="3"/>
      <c r="XF113" s="3"/>
      <c r="XG113" s="3"/>
      <c r="XH113" s="3"/>
      <c r="XI113" s="3"/>
      <c r="XJ113" s="3"/>
      <c r="XK113" s="3"/>
      <c r="XL113" s="3"/>
      <c r="XM113" s="3"/>
      <c r="XN113" s="3"/>
      <c r="XO113" s="3"/>
      <c r="XP113" s="3"/>
      <c r="XQ113" s="3"/>
      <c r="XR113" s="3"/>
      <c r="XS113" s="3"/>
      <c r="XT113" s="3"/>
      <c r="XU113" s="3"/>
      <c r="XV113" s="3"/>
      <c r="XW113" s="3"/>
      <c r="XX113" s="3"/>
      <c r="XY113" s="3"/>
      <c r="XZ113" s="3"/>
      <c r="YA113" s="3"/>
      <c r="YB113" s="3"/>
      <c r="YC113" s="3"/>
      <c r="YD113" s="3"/>
      <c r="YE113" s="3"/>
      <c r="YF113" s="3"/>
      <c r="YG113" s="3"/>
      <c r="YH113" s="3"/>
      <c r="YI113" s="3"/>
      <c r="YJ113" s="3"/>
      <c r="YK113" s="3"/>
      <c r="YL113" s="3"/>
      <c r="YM113" s="3"/>
      <c r="YN113" s="3"/>
      <c r="YO113" s="3"/>
      <c r="YP113" s="3"/>
      <c r="YQ113" s="3"/>
      <c r="YR113" s="3"/>
      <c r="YS113" s="3"/>
      <c r="YT113" s="3"/>
      <c r="YU113" s="3"/>
      <c r="YV113" s="3"/>
      <c r="YW113" s="3"/>
      <c r="YX113" s="3"/>
      <c r="YY113" s="3"/>
      <c r="YZ113" s="3"/>
      <c r="ZA113" s="3"/>
      <c r="ZB113" s="3"/>
      <c r="ZC113" s="3"/>
      <c r="ZD113" s="3"/>
      <c r="ZE113" s="3"/>
      <c r="ZF113" s="3"/>
      <c r="ZG113" s="3"/>
      <c r="ZH113" s="3"/>
      <c r="ZI113" s="3"/>
      <c r="ZJ113" s="3"/>
      <c r="ZK113" s="3"/>
      <c r="ZL113" s="3"/>
      <c r="ZM113" s="3"/>
      <c r="ZN113" s="3"/>
      <c r="ZO113" s="3"/>
      <c r="ZP113" s="3"/>
      <c r="ZQ113" s="3"/>
      <c r="ZR113" s="3"/>
      <c r="ZS113" s="3"/>
      <c r="ZT113" s="3"/>
      <c r="ZU113" s="3"/>
      <c r="ZV113" s="3"/>
      <c r="ZW113" s="3"/>
      <c r="ZX113" s="3"/>
      <c r="ZY113" s="3"/>
      <c r="ZZ113" s="3"/>
      <c r="AAA113" s="3"/>
      <c r="AAB113" s="3"/>
      <c r="AAC113" s="3"/>
      <c r="AAD113" s="3"/>
      <c r="AAE113" s="3"/>
      <c r="AAF113" s="3"/>
      <c r="AAG113" s="3"/>
      <c r="AAH113" s="3"/>
      <c r="AAI113" s="3"/>
      <c r="AAJ113" s="3"/>
      <c r="AAK113" s="3"/>
      <c r="AAL113" s="3"/>
      <c r="AAM113" s="3"/>
      <c r="AAN113" s="3"/>
      <c r="AAO113" s="3"/>
      <c r="AAP113" s="3"/>
      <c r="AAQ113" s="3"/>
      <c r="AAR113" s="3"/>
      <c r="AAS113" s="3"/>
      <c r="AAT113" s="3"/>
      <c r="AAU113" s="3"/>
      <c r="AAV113" s="3"/>
      <c r="AAW113" s="3"/>
      <c r="AAX113" s="3"/>
      <c r="AAY113" s="3"/>
      <c r="AAZ113" s="3"/>
      <c r="ABA113" s="3"/>
      <c r="ABB113" s="3"/>
      <c r="ABC113" s="3"/>
      <c r="ABD113" s="3"/>
      <c r="ABE113" s="3"/>
      <c r="ABF113" s="3"/>
      <c r="ABG113" s="3"/>
      <c r="ABH113" s="3"/>
      <c r="ABI113" s="3"/>
      <c r="ABJ113" s="3"/>
      <c r="ABK113" s="3"/>
      <c r="ABL113" s="3"/>
      <c r="ABM113" s="3"/>
      <c r="ABN113" s="3"/>
      <c r="ABO113" s="3"/>
      <c r="ABP113" s="3"/>
      <c r="ABQ113" s="3"/>
      <c r="ABR113" s="3"/>
      <c r="ABS113" s="3"/>
      <c r="ABT113" s="3"/>
      <c r="ABU113" s="3"/>
      <c r="ABV113" s="3"/>
      <c r="ABW113" s="3"/>
      <c r="ABX113" s="3"/>
      <c r="ABY113" s="3"/>
      <c r="ABZ113" s="3"/>
      <c r="ACA113" s="3"/>
      <c r="ACB113" s="3"/>
      <c r="ACC113" s="3"/>
      <c r="ACD113" s="3"/>
      <c r="ACE113" s="3"/>
      <c r="ACF113" s="3"/>
      <c r="ACG113" s="3"/>
      <c r="ACH113" s="3"/>
      <c r="ACI113" s="3"/>
      <c r="ACJ113" s="3"/>
      <c r="ACK113" s="3"/>
      <c r="ACL113" s="3"/>
      <c r="ACM113" s="3"/>
      <c r="ACN113" s="3"/>
      <c r="ACO113" s="3"/>
      <c r="ACP113" s="3"/>
      <c r="ACQ113" s="3"/>
      <c r="ACR113" s="3"/>
      <c r="ACS113" s="3"/>
      <c r="ACT113" s="3"/>
      <c r="ACU113" s="3"/>
      <c r="ACV113" s="3"/>
      <c r="ACW113" s="3"/>
      <c r="ACX113" s="3"/>
      <c r="ACY113" s="3"/>
      <c r="ACZ113" s="3"/>
      <c r="ADA113" s="3"/>
      <c r="ADB113" s="3"/>
      <c r="ADC113" s="3"/>
      <c r="ADD113" s="3"/>
      <c r="ADE113" s="3"/>
      <c r="ADF113" s="3"/>
      <c r="ADG113" s="3"/>
      <c r="ADH113" s="3"/>
      <c r="ADI113" s="3"/>
      <c r="ADJ113" s="3"/>
      <c r="ADK113" s="3"/>
      <c r="ADL113" s="3"/>
      <c r="ADM113" s="3"/>
      <c r="ADN113" s="3"/>
      <c r="ADO113" s="3"/>
      <c r="ADP113" s="3"/>
      <c r="ADQ113" s="3"/>
      <c r="ADR113" s="3"/>
      <c r="ADS113" s="3"/>
      <c r="ADT113" s="3"/>
      <c r="ADU113" s="3"/>
      <c r="ADV113" s="3"/>
      <c r="ADW113" s="3"/>
      <c r="ADX113" s="3"/>
      <c r="ADY113" s="3"/>
      <c r="ADZ113" s="3"/>
      <c r="AEA113" s="3"/>
      <c r="AEB113" s="3"/>
      <c r="AEC113" s="3"/>
      <c r="AED113" s="3"/>
      <c r="AEE113" s="3"/>
      <c r="AEF113" s="3"/>
      <c r="AEG113" s="3"/>
      <c r="AEH113" s="3"/>
      <c r="AEI113" s="3"/>
      <c r="AEJ113" s="3"/>
      <c r="AEK113" s="3"/>
      <c r="AEL113" s="3"/>
      <c r="AEM113" s="3"/>
      <c r="AEN113" s="3"/>
      <c r="AEO113" s="3"/>
      <c r="AEP113" s="3"/>
      <c r="AEQ113" s="3"/>
      <c r="AER113" s="3"/>
      <c r="AES113" s="3"/>
      <c r="AET113" s="3"/>
      <c r="AEU113" s="3"/>
      <c r="AEV113" s="3"/>
      <c r="AEW113" s="3"/>
      <c r="AEX113" s="3"/>
      <c r="AEY113" s="3"/>
      <c r="AEZ113" s="3"/>
      <c r="AFA113" s="3"/>
      <c r="AFB113" s="3"/>
      <c r="AFC113" s="3"/>
      <c r="AFD113" s="3"/>
      <c r="AFE113" s="3"/>
      <c r="AFF113" s="3"/>
      <c r="AFG113" s="3"/>
      <c r="AFH113" s="3"/>
      <c r="AFI113" s="3"/>
      <c r="AFJ113" s="3"/>
      <c r="AFK113" s="3"/>
      <c r="AFL113" s="3"/>
      <c r="AFM113" s="3"/>
      <c r="AFN113" s="3"/>
      <c r="AFO113" s="3"/>
      <c r="AFP113" s="3"/>
      <c r="AFQ113" s="3"/>
      <c r="AFR113" s="3"/>
      <c r="AFS113" s="3"/>
      <c r="AFT113" s="3"/>
      <c r="AFU113" s="3"/>
      <c r="AFV113" s="3"/>
      <c r="AFW113" s="3"/>
      <c r="AFX113" s="3"/>
      <c r="AFY113" s="3"/>
      <c r="AFZ113" s="3"/>
      <c r="AGA113" s="3"/>
      <c r="AGB113" s="3"/>
      <c r="AGC113" s="3"/>
      <c r="AGD113" s="3"/>
      <c r="AGE113" s="3"/>
      <c r="AGF113" s="3"/>
      <c r="AGG113" s="3"/>
      <c r="AGH113" s="3"/>
      <c r="AGI113" s="3"/>
      <c r="AGJ113" s="3"/>
      <c r="AGK113" s="3"/>
      <c r="AGL113" s="3"/>
      <c r="AGM113" s="3"/>
      <c r="AGN113" s="3"/>
      <c r="AGO113" s="3"/>
      <c r="AGP113" s="3"/>
      <c r="AGQ113" s="3"/>
      <c r="AGR113" s="3"/>
      <c r="AGS113" s="3"/>
      <c r="AGT113" s="3"/>
      <c r="AGU113" s="3"/>
      <c r="AGV113" s="3"/>
      <c r="AGW113" s="3"/>
      <c r="AGX113" s="3"/>
      <c r="AGY113" s="3"/>
      <c r="AGZ113" s="3"/>
      <c r="AHA113" s="3"/>
      <c r="AHB113" s="3"/>
      <c r="AHC113" s="3"/>
      <c r="AHD113" s="3"/>
      <c r="AHE113" s="3"/>
      <c r="AHF113" s="3"/>
      <c r="AHG113" s="3"/>
      <c r="AHH113" s="3"/>
      <c r="AHI113" s="3"/>
      <c r="AHJ113" s="3"/>
      <c r="AHK113" s="3"/>
      <c r="AHL113" s="3"/>
      <c r="AHM113" s="3"/>
      <c r="AHN113" s="3"/>
      <c r="AHO113" s="3"/>
      <c r="AHP113" s="3"/>
      <c r="AHQ113" s="3"/>
      <c r="AHR113" s="3"/>
      <c r="AHS113" s="3"/>
      <c r="AHT113" s="3"/>
      <c r="AHU113" s="3"/>
      <c r="AHV113" s="3"/>
      <c r="AHW113" s="3"/>
      <c r="AHX113" s="3"/>
      <c r="AHY113" s="3"/>
      <c r="AHZ113" s="3"/>
      <c r="AIA113" s="3"/>
      <c r="AIB113" s="3"/>
      <c r="AIC113" s="3"/>
      <c r="AID113" s="3"/>
      <c r="AIE113" s="3"/>
      <c r="AIF113" s="3"/>
      <c r="AIG113" s="3"/>
      <c r="AIH113" s="3"/>
      <c r="AII113" s="3"/>
      <c r="AIJ113" s="3"/>
      <c r="AIK113" s="3"/>
      <c r="AIL113" s="3"/>
      <c r="AIM113" s="3"/>
      <c r="AIN113" s="3"/>
      <c r="AIO113" s="3"/>
      <c r="AIP113" s="3"/>
      <c r="AIQ113" s="3"/>
      <c r="AIR113" s="3"/>
      <c r="AIS113" s="3"/>
      <c r="AIT113" s="3"/>
      <c r="AIU113" s="3"/>
      <c r="AIV113" s="3"/>
      <c r="AIW113" s="3"/>
      <c r="AIX113" s="3"/>
      <c r="AIY113" s="3"/>
      <c r="AIZ113" s="3"/>
      <c r="AJA113" s="3"/>
      <c r="AJB113" s="3"/>
      <c r="AJC113" s="3"/>
      <c r="AJD113" s="3"/>
      <c r="AJE113" s="3"/>
      <c r="AJF113" s="3"/>
      <c r="AJG113" s="3"/>
      <c r="AJH113" s="3"/>
      <c r="AJI113" s="3"/>
      <c r="AJJ113" s="3"/>
      <c r="AJK113" s="3"/>
      <c r="AJL113" s="3"/>
      <c r="AJM113" s="3"/>
      <c r="AJN113" s="3"/>
      <c r="AJO113" s="3"/>
      <c r="AJP113" s="3"/>
      <c r="AJQ113" s="3"/>
      <c r="AJR113" s="3"/>
      <c r="AJS113" s="3"/>
      <c r="AJT113" s="3"/>
      <c r="AJU113" s="3"/>
      <c r="AJV113" s="3"/>
      <c r="AJW113" s="3"/>
      <c r="AJX113" s="3"/>
      <c r="AJY113" s="3"/>
      <c r="AJZ113" s="3"/>
      <c r="AKA113" s="3"/>
      <c r="AKB113" s="3"/>
      <c r="AKC113" s="3"/>
      <c r="AKD113" s="3"/>
      <c r="AKE113" s="3"/>
      <c r="AKF113" s="3"/>
      <c r="AKG113" s="3"/>
      <c r="AKH113" s="3"/>
      <c r="AKI113" s="3"/>
      <c r="AKJ113" s="3"/>
      <c r="AKK113" s="3"/>
      <c r="AKL113" s="3"/>
      <c r="AKM113" s="3"/>
      <c r="AKN113" s="3"/>
      <c r="AKO113" s="3"/>
      <c r="AKP113" s="3"/>
      <c r="AKQ113" s="3"/>
      <c r="AKR113" s="3"/>
      <c r="AKS113" s="3"/>
      <c r="AKT113" s="3"/>
      <c r="AKU113" s="3"/>
      <c r="AKV113" s="3"/>
      <c r="AKW113" s="3"/>
      <c r="AKX113" s="3"/>
      <c r="AKY113" s="3"/>
      <c r="AKZ113" s="3"/>
      <c r="ALA113" s="3"/>
      <c r="ALB113" s="3"/>
      <c r="ALC113" s="3"/>
      <c r="ALD113" s="3"/>
      <c r="ALE113" s="3"/>
      <c r="ALF113" s="3"/>
      <c r="ALG113" s="3"/>
      <c r="ALH113" s="3"/>
      <c r="ALI113" s="3"/>
      <c r="ALJ113" s="3"/>
      <c r="ALK113" s="3"/>
      <c r="ALL113" s="3"/>
      <c r="ALM113" s="3"/>
      <c r="ALN113" s="3"/>
      <c r="ALO113" s="3"/>
      <c r="ALP113" s="3"/>
      <c r="ALQ113" s="3"/>
      <c r="ALR113" s="3"/>
      <c r="ALS113" s="3"/>
      <c r="ALT113" s="3"/>
      <c r="ALU113" s="3"/>
      <c r="ALV113" s="3"/>
      <c r="ALW113" s="3"/>
      <c r="ALX113" s="3"/>
      <c r="ALY113" s="3"/>
      <c r="ALZ113" s="3"/>
      <c r="AMA113" s="3"/>
      <c r="AMB113" s="3"/>
      <c r="AMC113" s="3"/>
      <c r="AMD113" s="3"/>
      <c r="AME113" s="3"/>
      <c r="AMF113" s="3"/>
      <c r="AMG113" s="3"/>
      <c r="AMH113" s="3"/>
      <c r="AMI113" s="3"/>
      <c r="AMJ113" s="3"/>
      <c r="AMK113" s="3"/>
      <c r="AML113" s="3"/>
      <c r="AMM113" s="3"/>
      <c r="AMN113" s="3"/>
      <c r="AMO113" s="3"/>
      <c r="AMP113" s="3"/>
      <c r="AMQ113" s="3"/>
      <c r="AMR113" s="3"/>
      <c r="AMS113" s="3"/>
      <c r="AMT113" s="3"/>
      <c r="AMU113" s="3"/>
      <c r="AMV113" s="3"/>
      <c r="AMW113" s="3"/>
      <c r="AMX113" s="3"/>
      <c r="AMY113" s="3"/>
      <c r="AMZ113" s="3"/>
      <c r="ANA113" s="3"/>
      <c r="ANB113" s="3"/>
      <c r="ANC113" s="3"/>
      <c r="AND113" s="3"/>
      <c r="ANE113" s="3"/>
      <c r="ANF113" s="3"/>
      <c r="ANG113" s="3"/>
      <c r="ANH113" s="3"/>
      <c r="ANI113" s="3"/>
      <c r="ANJ113" s="3"/>
      <c r="ANK113" s="3"/>
      <c r="ANL113" s="3"/>
      <c r="ANM113" s="3"/>
      <c r="ANN113" s="3"/>
      <c r="ANO113" s="3"/>
      <c r="ANP113" s="3"/>
      <c r="ANQ113" s="3"/>
      <c r="ANR113" s="3"/>
      <c r="ANS113" s="3"/>
      <c r="ANT113" s="3"/>
      <c r="ANU113" s="3"/>
      <c r="ANV113" s="3"/>
      <c r="ANW113" s="3"/>
      <c r="ANX113" s="3"/>
      <c r="ANY113" s="3"/>
      <c r="ANZ113" s="3"/>
      <c r="AOA113" s="3"/>
      <c r="AOB113" s="3"/>
      <c r="AOC113" s="3"/>
      <c r="AOD113" s="3"/>
      <c r="AOE113" s="3"/>
      <c r="AOF113" s="3"/>
      <c r="AOG113" s="3"/>
      <c r="AOH113" s="3"/>
      <c r="AOI113" s="3"/>
      <c r="AOJ113" s="3"/>
      <c r="AOK113" s="3"/>
      <c r="AOL113" s="3"/>
      <c r="AOM113" s="3"/>
      <c r="AON113" s="3"/>
      <c r="AOO113" s="3"/>
      <c r="AOP113" s="3"/>
      <c r="AOQ113" s="3"/>
      <c r="AOR113" s="3"/>
      <c r="AOS113" s="3"/>
      <c r="AOT113" s="3"/>
      <c r="AOU113" s="3"/>
      <c r="AOV113" s="3"/>
      <c r="AOW113" s="3"/>
      <c r="AOX113" s="3"/>
      <c r="AOY113" s="3"/>
      <c r="AOZ113" s="3"/>
      <c r="APA113" s="3"/>
      <c r="APB113" s="3"/>
      <c r="APC113" s="3"/>
      <c r="APD113" s="3"/>
      <c r="APE113" s="3"/>
      <c r="APF113" s="3"/>
      <c r="APG113" s="3"/>
      <c r="APH113" s="3"/>
      <c r="API113" s="3"/>
      <c r="APJ113" s="3"/>
      <c r="APK113" s="3"/>
      <c r="APL113" s="3"/>
      <c r="APM113" s="3"/>
      <c r="APN113" s="3"/>
      <c r="APO113" s="3"/>
      <c r="APP113" s="3"/>
      <c r="APQ113" s="3"/>
      <c r="APR113" s="3"/>
      <c r="APS113" s="3"/>
      <c r="APT113" s="3"/>
      <c r="APU113" s="3"/>
      <c r="APV113" s="3"/>
      <c r="APW113" s="3"/>
      <c r="APX113" s="3"/>
      <c r="APY113" s="3"/>
      <c r="APZ113" s="3"/>
      <c r="AQA113" s="3"/>
      <c r="AQB113" s="3"/>
      <c r="AQC113" s="3"/>
      <c r="AQD113" s="3"/>
      <c r="AQE113" s="3"/>
      <c r="AQF113" s="3"/>
      <c r="AQG113" s="3"/>
      <c r="AQH113" s="3"/>
      <c r="AQI113" s="3"/>
      <c r="AQJ113" s="3"/>
      <c r="AQK113" s="3"/>
      <c r="AQL113" s="3"/>
      <c r="AQM113" s="3"/>
      <c r="AQN113" s="3"/>
      <c r="AQO113" s="3"/>
      <c r="AQP113" s="3"/>
      <c r="AQQ113" s="3"/>
      <c r="AQR113" s="3"/>
      <c r="AQS113" s="3"/>
      <c r="AQT113" s="3"/>
      <c r="AQU113" s="3"/>
      <c r="AQV113" s="3"/>
      <c r="AQW113" s="3"/>
      <c r="AQX113" s="3"/>
      <c r="AQY113" s="3"/>
      <c r="AQZ113" s="3"/>
      <c r="ARA113" s="3"/>
      <c r="ARB113" s="3"/>
      <c r="ARC113" s="3"/>
      <c r="ARD113" s="3"/>
      <c r="ARE113" s="3"/>
      <c r="ARF113" s="3"/>
      <c r="ARG113" s="3"/>
      <c r="ARH113" s="3"/>
      <c r="ARI113" s="3"/>
      <c r="ARJ113" s="3"/>
      <c r="ARK113" s="3"/>
      <c r="ARL113" s="3"/>
      <c r="ARM113" s="3"/>
      <c r="ARN113" s="3"/>
      <c r="ARO113" s="3"/>
      <c r="ARP113" s="3"/>
      <c r="ARQ113" s="3"/>
      <c r="ARR113" s="3"/>
      <c r="ARS113" s="3"/>
      <c r="ART113" s="3"/>
      <c r="ARU113" s="3"/>
      <c r="ARV113" s="3"/>
      <c r="ARW113" s="3"/>
      <c r="ARX113" s="3"/>
      <c r="ARY113" s="3"/>
      <c r="ARZ113" s="3"/>
      <c r="ASA113" s="3"/>
      <c r="ASB113" s="3"/>
      <c r="ASC113" s="3"/>
      <c r="ASD113" s="3"/>
      <c r="ASE113" s="3"/>
      <c r="ASF113" s="3"/>
      <c r="ASG113" s="3"/>
      <c r="ASH113" s="3"/>
      <c r="ASI113" s="3"/>
      <c r="ASJ113" s="3"/>
      <c r="ASK113" s="3"/>
      <c r="ASL113" s="3"/>
      <c r="ASM113" s="3"/>
      <c r="ASN113" s="3"/>
      <c r="ASO113" s="3"/>
      <c r="ASP113" s="3"/>
      <c r="ASQ113" s="3"/>
      <c r="ASR113" s="3"/>
      <c r="ASS113" s="3"/>
      <c r="AST113" s="3"/>
      <c r="ASU113" s="3"/>
      <c r="ASV113" s="3"/>
      <c r="ASW113" s="3"/>
      <c r="ASX113" s="3"/>
      <c r="ASY113" s="3"/>
      <c r="ASZ113" s="3"/>
      <c r="ATA113" s="3"/>
      <c r="ATB113" s="3"/>
      <c r="ATC113" s="3"/>
      <c r="ATD113" s="3"/>
      <c r="ATE113" s="3"/>
      <c r="ATF113" s="3"/>
      <c r="ATG113" s="3"/>
      <c r="ATH113" s="3"/>
      <c r="ATI113" s="3"/>
      <c r="ATJ113" s="3"/>
      <c r="ATK113" s="3"/>
      <c r="ATL113" s="3"/>
      <c r="ATM113" s="3"/>
      <c r="ATN113" s="3"/>
      <c r="ATO113" s="3"/>
      <c r="ATP113" s="3"/>
      <c r="ATQ113" s="3"/>
      <c r="ATR113" s="3"/>
      <c r="ATS113" s="3"/>
      <c r="ATT113" s="3"/>
      <c r="ATU113" s="3"/>
      <c r="ATV113" s="3"/>
      <c r="ATW113" s="3"/>
      <c r="ATX113" s="3"/>
      <c r="ATY113" s="3"/>
      <c r="ATZ113" s="3"/>
      <c r="AUA113" s="3"/>
      <c r="AUB113" s="3"/>
      <c r="AUC113" s="3"/>
      <c r="AUD113" s="3"/>
      <c r="AUE113" s="3"/>
      <c r="AUF113" s="3"/>
      <c r="AUG113" s="3"/>
      <c r="AUH113" s="3"/>
      <c r="AUI113" s="3"/>
      <c r="AUJ113" s="3"/>
      <c r="AUK113" s="3"/>
      <c r="AUL113" s="3"/>
      <c r="AUM113" s="3"/>
      <c r="AUN113" s="3"/>
      <c r="AUO113" s="3"/>
      <c r="AUP113" s="3"/>
      <c r="AUQ113" s="3"/>
      <c r="AUR113" s="3"/>
      <c r="AUS113" s="3"/>
      <c r="AUT113" s="3"/>
      <c r="AUU113" s="3"/>
      <c r="AUV113" s="3"/>
      <c r="AUW113" s="3"/>
      <c r="AUX113" s="3"/>
      <c r="AUY113" s="3"/>
      <c r="AUZ113" s="3"/>
      <c r="AVA113" s="3"/>
      <c r="AVB113" s="3"/>
      <c r="AVC113" s="3"/>
      <c r="AVD113" s="3"/>
      <c r="AVE113" s="3"/>
      <c r="AVF113" s="3"/>
      <c r="AVG113" s="3"/>
      <c r="AVH113" s="3"/>
      <c r="AVI113" s="3"/>
      <c r="AVJ113" s="3"/>
      <c r="AVK113" s="3"/>
      <c r="AVL113" s="3"/>
      <c r="AVM113" s="3"/>
      <c r="AVN113" s="3"/>
      <c r="AVO113" s="3"/>
      <c r="AVP113" s="3"/>
      <c r="AVQ113" s="3"/>
      <c r="AVR113" s="3"/>
      <c r="AVS113" s="3"/>
      <c r="AVT113" s="3"/>
      <c r="AVU113" s="3"/>
      <c r="AVV113" s="3"/>
      <c r="AVW113" s="3"/>
      <c r="AVX113" s="3"/>
      <c r="AVY113" s="3"/>
      <c r="AVZ113" s="3"/>
      <c r="AWA113" s="3"/>
      <c r="AWB113" s="3"/>
      <c r="AWC113" s="3"/>
      <c r="AWD113" s="3"/>
      <c r="AWE113" s="3"/>
      <c r="AWF113" s="3"/>
      <c r="AWG113" s="3"/>
      <c r="AWH113" s="3"/>
      <c r="AWI113" s="3"/>
      <c r="AWJ113" s="3"/>
      <c r="AWK113" s="3"/>
      <c r="AWL113" s="3"/>
      <c r="AWM113" s="3"/>
      <c r="AWN113" s="3"/>
      <c r="AWO113" s="3"/>
      <c r="AWP113" s="3"/>
      <c r="AWQ113" s="3"/>
      <c r="AWR113" s="3"/>
      <c r="AWS113" s="3"/>
      <c r="AWT113" s="3"/>
      <c r="AWU113" s="3"/>
      <c r="AWV113" s="3"/>
      <c r="AWW113" s="3"/>
      <c r="AWX113" s="3"/>
      <c r="AWY113" s="3"/>
      <c r="AWZ113" s="3"/>
      <c r="AXA113" s="3"/>
      <c r="AXB113" s="3"/>
      <c r="AXC113" s="3"/>
      <c r="AXD113" s="3"/>
      <c r="AXE113" s="3"/>
      <c r="AXF113" s="3"/>
      <c r="AXG113" s="3"/>
      <c r="AXH113" s="3"/>
      <c r="AXI113" s="3"/>
      <c r="AXJ113" s="3"/>
      <c r="AXK113" s="3"/>
      <c r="AXL113" s="3"/>
      <c r="AXM113" s="3"/>
      <c r="AXN113" s="3"/>
      <c r="AXO113" s="3"/>
      <c r="AXP113" s="3"/>
      <c r="AXQ113" s="3"/>
      <c r="AXR113" s="3"/>
      <c r="AXS113" s="3"/>
      <c r="AXT113" s="3"/>
      <c r="AXU113" s="3"/>
      <c r="AXV113" s="3"/>
      <c r="AXW113" s="3"/>
      <c r="AXX113" s="3"/>
      <c r="AXY113" s="3"/>
      <c r="AXZ113" s="3"/>
      <c r="AYA113" s="3"/>
      <c r="AYB113" s="3"/>
      <c r="AYC113" s="3"/>
      <c r="AYD113" s="3"/>
      <c r="AYE113" s="3"/>
      <c r="AYF113" s="3"/>
      <c r="AYG113" s="3"/>
      <c r="AYH113" s="3"/>
      <c r="AYI113" s="3"/>
      <c r="AYJ113" s="3"/>
      <c r="AYK113" s="3"/>
      <c r="AYL113" s="3"/>
      <c r="AYM113" s="3"/>
      <c r="AYN113" s="3"/>
      <c r="AYO113" s="3"/>
      <c r="AYP113" s="3"/>
      <c r="AYQ113" s="3"/>
      <c r="AYR113" s="3"/>
      <c r="AYS113" s="3"/>
      <c r="AYT113" s="3"/>
      <c r="AYU113" s="3"/>
      <c r="AYV113" s="3"/>
      <c r="AYW113" s="3"/>
      <c r="AYX113" s="3"/>
      <c r="AYY113" s="3"/>
      <c r="AYZ113" s="3"/>
      <c r="AZA113" s="3"/>
      <c r="AZB113" s="3"/>
      <c r="AZC113" s="3"/>
      <c r="AZD113" s="3"/>
      <c r="AZE113" s="3"/>
      <c r="AZF113" s="3"/>
      <c r="AZG113" s="3"/>
      <c r="AZH113" s="3"/>
      <c r="AZI113" s="3"/>
      <c r="AZJ113" s="3"/>
      <c r="AZK113" s="3"/>
      <c r="AZL113" s="3"/>
      <c r="AZM113" s="3"/>
      <c r="AZN113" s="3"/>
      <c r="AZO113" s="3"/>
      <c r="AZP113" s="3"/>
      <c r="AZQ113" s="3"/>
      <c r="AZR113" s="3"/>
      <c r="AZS113" s="3"/>
      <c r="AZT113" s="3"/>
      <c r="AZU113" s="3"/>
      <c r="AZV113" s="3"/>
      <c r="AZW113" s="3"/>
      <c r="AZX113" s="3"/>
      <c r="AZY113" s="3"/>
      <c r="AZZ113" s="3"/>
      <c r="BAA113" s="3"/>
      <c r="BAB113" s="3"/>
      <c r="BAC113" s="3"/>
      <c r="BAD113" s="3"/>
      <c r="BAE113" s="3"/>
      <c r="BAF113" s="3"/>
      <c r="BAG113" s="3"/>
      <c r="BAH113" s="3"/>
      <c r="BAI113" s="3"/>
      <c r="BAJ113" s="3"/>
      <c r="BAK113" s="3"/>
      <c r="BAL113" s="3"/>
      <c r="BAM113" s="3"/>
      <c r="BAN113" s="3"/>
      <c r="BAO113" s="3"/>
      <c r="BAP113" s="3"/>
      <c r="BAQ113" s="3"/>
      <c r="BAR113" s="3"/>
      <c r="BAS113" s="3"/>
      <c r="BAT113" s="3"/>
      <c r="BAU113" s="3"/>
      <c r="BAV113" s="3"/>
      <c r="BAW113" s="3"/>
      <c r="BAX113" s="3"/>
      <c r="BAY113" s="3"/>
      <c r="BAZ113" s="3"/>
      <c r="BBA113" s="3"/>
      <c r="BBB113" s="3"/>
      <c r="BBC113" s="3"/>
      <c r="BBD113" s="3"/>
      <c r="BBE113" s="3"/>
      <c r="BBF113" s="3"/>
      <c r="BBG113" s="3"/>
      <c r="BBH113" s="3"/>
      <c r="BBI113" s="3"/>
      <c r="BBJ113" s="3"/>
      <c r="BBK113" s="3"/>
      <c r="BBL113" s="3"/>
      <c r="BBM113" s="3"/>
      <c r="BBN113" s="3"/>
      <c r="BBO113" s="3"/>
      <c r="BBP113" s="3"/>
      <c r="BBQ113" s="3"/>
      <c r="BBR113" s="3"/>
      <c r="BBS113" s="3"/>
      <c r="BBT113" s="3"/>
      <c r="BBU113" s="3"/>
      <c r="BBV113" s="3"/>
      <c r="BBW113" s="3"/>
      <c r="BBX113" s="3"/>
      <c r="BBY113" s="3"/>
      <c r="BBZ113" s="3"/>
      <c r="BCA113" s="3"/>
      <c r="BCB113" s="3"/>
      <c r="BCC113" s="3"/>
      <c r="BCD113" s="3"/>
      <c r="BCE113" s="3"/>
      <c r="BCF113" s="3"/>
      <c r="BCG113" s="3"/>
      <c r="BCH113" s="3"/>
      <c r="BCI113" s="3"/>
      <c r="BCJ113" s="3"/>
      <c r="BCK113" s="3"/>
      <c r="BCL113" s="3"/>
      <c r="BCM113" s="3"/>
      <c r="BCN113" s="3"/>
      <c r="BCO113" s="3"/>
      <c r="BCP113" s="3"/>
      <c r="BCQ113" s="3"/>
      <c r="BCR113" s="3"/>
      <c r="BCS113" s="3"/>
      <c r="BCT113" s="3"/>
      <c r="BCU113" s="3"/>
      <c r="BCV113" s="3"/>
      <c r="BCW113" s="3"/>
      <c r="BCX113" s="3"/>
      <c r="BCY113" s="3"/>
      <c r="BCZ113" s="3"/>
      <c r="BDA113" s="3"/>
      <c r="BDB113" s="3"/>
      <c r="BDC113" s="3"/>
      <c r="BDD113" s="3"/>
      <c r="BDE113" s="3"/>
      <c r="BDF113" s="3"/>
      <c r="BDG113" s="3"/>
      <c r="BDH113" s="3"/>
      <c r="BDI113" s="3"/>
      <c r="BDJ113" s="3"/>
      <c r="BDK113" s="3"/>
      <c r="BDL113" s="3"/>
      <c r="BDM113" s="3"/>
      <c r="BDN113" s="3"/>
      <c r="BDO113" s="3"/>
      <c r="BDP113" s="3"/>
      <c r="BDQ113" s="3"/>
      <c r="BDR113" s="3"/>
      <c r="BDS113" s="3"/>
      <c r="BDT113" s="3"/>
      <c r="BDU113" s="3"/>
      <c r="BDV113" s="3"/>
      <c r="BDW113" s="3"/>
      <c r="BDX113" s="3"/>
      <c r="BDY113" s="3"/>
      <c r="BDZ113" s="3"/>
      <c r="BEA113" s="3"/>
      <c r="BEB113" s="3"/>
      <c r="BEC113" s="3"/>
      <c r="BED113" s="3"/>
      <c r="BEE113" s="3"/>
      <c r="BEF113" s="3"/>
      <c r="BEG113" s="3"/>
      <c r="BEH113" s="3"/>
      <c r="BEI113" s="3"/>
      <c r="BEJ113" s="3"/>
      <c r="BEK113" s="3"/>
      <c r="BEL113" s="3"/>
      <c r="BEM113" s="3"/>
      <c r="BEN113" s="3"/>
      <c r="BEO113" s="3"/>
      <c r="BEP113" s="3"/>
      <c r="BEQ113" s="3"/>
      <c r="BER113" s="3"/>
      <c r="BES113" s="3"/>
      <c r="BET113" s="3"/>
      <c r="BEU113" s="3"/>
      <c r="BEV113" s="3"/>
      <c r="BEW113" s="3"/>
      <c r="BEX113" s="3"/>
      <c r="BEY113" s="3"/>
      <c r="BEZ113" s="3"/>
      <c r="BFA113" s="3"/>
      <c r="BFB113" s="3"/>
      <c r="BFC113" s="3"/>
      <c r="BFD113" s="3"/>
      <c r="BFE113" s="3"/>
      <c r="BFF113" s="3"/>
      <c r="BFG113" s="3"/>
      <c r="BFH113" s="3"/>
      <c r="BFI113" s="3"/>
      <c r="BFJ113" s="3"/>
      <c r="BFK113" s="3"/>
      <c r="BFL113" s="3"/>
      <c r="BFM113" s="3"/>
      <c r="BFN113" s="3"/>
      <c r="BFO113" s="3"/>
      <c r="BFP113" s="3"/>
      <c r="BFQ113" s="3"/>
      <c r="BFR113" s="3"/>
      <c r="BFS113" s="3"/>
      <c r="BFT113" s="3"/>
      <c r="BFU113" s="3"/>
      <c r="BFV113" s="3"/>
      <c r="BFW113" s="3"/>
      <c r="BFX113" s="3"/>
      <c r="BFY113" s="3"/>
      <c r="BFZ113" s="3"/>
      <c r="BGA113" s="3"/>
      <c r="BGB113" s="3"/>
      <c r="BGC113" s="3"/>
      <c r="BGD113" s="3"/>
      <c r="BGE113" s="3"/>
      <c r="BGF113" s="3"/>
      <c r="BGG113" s="3"/>
      <c r="BGH113" s="3"/>
      <c r="BGI113" s="3"/>
      <c r="BGJ113" s="3"/>
      <c r="BGK113" s="3"/>
      <c r="BGL113" s="3"/>
      <c r="BGM113" s="3"/>
      <c r="BGN113" s="3"/>
      <c r="BGO113" s="3"/>
      <c r="BGP113" s="3"/>
      <c r="BGQ113" s="3"/>
      <c r="BGR113" s="3"/>
      <c r="BGS113" s="3"/>
      <c r="BGT113" s="3"/>
      <c r="BGU113" s="3"/>
      <c r="BGV113" s="3"/>
      <c r="BGW113" s="3"/>
      <c r="BGX113" s="3"/>
      <c r="BGY113" s="3"/>
      <c r="BGZ113" s="3"/>
      <c r="BHA113" s="3"/>
      <c r="BHB113" s="3"/>
      <c r="BHC113" s="3"/>
      <c r="BHD113" s="3"/>
      <c r="BHE113" s="3"/>
      <c r="BHF113" s="3"/>
      <c r="BHG113" s="3"/>
      <c r="BHH113" s="3"/>
      <c r="BHI113" s="3"/>
      <c r="BHJ113" s="3"/>
      <c r="BHK113" s="3"/>
      <c r="BHL113" s="3"/>
      <c r="BHM113" s="3"/>
      <c r="BHN113" s="3"/>
      <c r="BHO113" s="3"/>
      <c r="BHP113" s="3"/>
      <c r="BHQ113" s="3"/>
      <c r="BHR113" s="3"/>
      <c r="BHS113" s="3"/>
      <c r="BHT113" s="3"/>
      <c r="BHU113" s="3"/>
      <c r="BHV113" s="3"/>
      <c r="BHW113" s="3"/>
      <c r="BHX113" s="3"/>
      <c r="BHY113" s="3"/>
      <c r="BHZ113" s="3"/>
      <c r="BIA113" s="3"/>
      <c r="BIB113" s="3"/>
      <c r="BIC113" s="3"/>
      <c r="BID113" s="3"/>
      <c r="BIE113" s="3"/>
      <c r="BIF113" s="3"/>
      <c r="BIG113" s="3"/>
      <c r="BIH113" s="3"/>
      <c r="BII113" s="3"/>
      <c r="BIJ113" s="3"/>
      <c r="BIK113" s="3"/>
      <c r="BIL113" s="3"/>
      <c r="BIM113" s="3"/>
      <c r="BIN113" s="3"/>
      <c r="BIO113" s="3"/>
      <c r="BIP113" s="3"/>
      <c r="BIQ113" s="3"/>
      <c r="BIR113" s="3"/>
      <c r="BIS113" s="3"/>
      <c r="BIT113" s="3"/>
      <c r="BIU113" s="3"/>
      <c r="BIV113" s="3"/>
      <c r="BIW113" s="3"/>
      <c r="BIX113" s="3"/>
      <c r="BIY113" s="3"/>
      <c r="BIZ113" s="3"/>
      <c r="BJA113" s="3"/>
      <c r="BJB113" s="3"/>
      <c r="BJC113" s="3"/>
      <c r="BJD113" s="3"/>
      <c r="BJE113" s="3"/>
      <c r="BJF113" s="3"/>
      <c r="BJG113" s="3"/>
      <c r="BJH113" s="3"/>
      <c r="BJI113" s="3"/>
      <c r="BJJ113" s="3"/>
      <c r="BJK113" s="3"/>
      <c r="BJL113" s="3"/>
      <c r="BJM113" s="3"/>
      <c r="BJN113" s="3"/>
      <c r="BJO113" s="3"/>
      <c r="BJP113" s="3"/>
      <c r="BJQ113" s="3"/>
      <c r="BJR113" s="3"/>
      <c r="BJS113" s="3"/>
      <c r="BJT113" s="3"/>
      <c r="BJU113" s="3"/>
      <c r="BJV113" s="3"/>
      <c r="BJW113" s="3"/>
      <c r="BJX113" s="3"/>
      <c r="BJY113" s="3"/>
      <c r="BJZ113" s="3"/>
      <c r="BKA113" s="3"/>
      <c r="BKB113" s="3"/>
      <c r="BKC113" s="3"/>
      <c r="BKD113" s="3"/>
      <c r="BKE113" s="3"/>
      <c r="BKF113" s="3"/>
      <c r="BKG113" s="3"/>
      <c r="BKH113" s="3"/>
      <c r="BKI113" s="3"/>
      <c r="BKJ113" s="3"/>
      <c r="BKK113" s="3"/>
      <c r="BKL113" s="3"/>
      <c r="BKM113" s="3"/>
      <c r="BKN113" s="3"/>
      <c r="BKO113" s="3"/>
      <c r="BKP113" s="3"/>
      <c r="BKQ113" s="3"/>
      <c r="BKR113" s="3"/>
      <c r="BKS113" s="3"/>
      <c r="BKT113" s="3"/>
      <c r="BKU113" s="3"/>
      <c r="BKV113" s="3"/>
      <c r="BKW113" s="3"/>
      <c r="BKX113" s="3"/>
      <c r="BKY113" s="3"/>
      <c r="BKZ113" s="3"/>
      <c r="BLA113" s="3"/>
      <c r="BLB113" s="3"/>
      <c r="BLC113" s="3"/>
      <c r="BLD113" s="3"/>
      <c r="BLE113" s="3"/>
      <c r="BLF113" s="3"/>
      <c r="BLG113" s="3"/>
      <c r="BLH113" s="3"/>
      <c r="BLI113" s="3"/>
      <c r="BLJ113" s="3"/>
      <c r="BLK113" s="3"/>
      <c r="BLL113" s="3"/>
      <c r="BLM113" s="3"/>
      <c r="BLN113" s="3"/>
      <c r="BLO113" s="3"/>
      <c r="BLP113" s="3"/>
      <c r="BLQ113" s="3"/>
      <c r="BLR113" s="3"/>
      <c r="BLS113" s="3"/>
      <c r="BLT113" s="3"/>
      <c r="BLU113" s="3"/>
      <c r="BLV113" s="3"/>
      <c r="BLW113" s="3"/>
      <c r="BLX113" s="3"/>
      <c r="BLY113" s="3"/>
      <c r="BLZ113" s="3"/>
      <c r="BMA113" s="3"/>
      <c r="BMB113" s="3"/>
      <c r="BMC113" s="3"/>
      <c r="BMD113" s="3"/>
      <c r="BME113" s="3"/>
      <c r="BMF113" s="3"/>
      <c r="BMG113" s="3"/>
      <c r="BMH113" s="3"/>
      <c r="BMI113" s="3"/>
      <c r="BMJ113" s="3"/>
      <c r="BMK113" s="3"/>
      <c r="BML113" s="3"/>
      <c r="BMM113" s="3"/>
      <c r="BMN113" s="3"/>
      <c r="BMO113" s="3"/>
      <c r="BMP113" s="3"/>
      <c r="BMQ113" s="3"/>
      <c r="BMR113" s="3"/>
      <c r="BMS113" s="3"/>
      <c r="BMT113" s="3"/>
      <c r="BMU113" s="3"/>
      <c r="BMV113" s="3"/>
      <c r="BMW113" s="3"/>
      <c r="BMX113" s="3"/>
      <c r="BMY113" s="3"/>
      <c r="BMZ113" s="3"/>
      <c r="BNA113" s="3"/>
      <c r="BNB113" s="3"/>
      <c r="BNC113" s="3"/>
      <c r="BND113" s="3"/>
      <c r="BNE113" s="3"/>
      <c r="BNF113" s="3"/>
      <c r="BNG113" s="3"/>
      <c r="BNH113" s="3"/>
      <c r="BNI113" s="3"/>
      <c r="BNJ113" s="3"/>
      <c r="BNK113" s="3"/>
      <c r="BNL113" s="3"/>
      <c r="BNM113" s="3"/>
      <c r="BNN113" s="3"/>
      <c r="BNO113" s="3"/>
      <c r="BNP113" s="3"/>
      <c r="BNQ113" s="3"/>
      <c r="BNR113" s="3"/>
      <c r="BNS113" s="3"/>
      <c r="BNT113" s="3"/>
      <c r="BNU113" s="3"/>
      <c r="BNV113" s="3"/>
      <c r="BNW113" s="3"/>
      <c r="BNX113" s="3"/>
      <c r="BNY113" s="3"/>
      <c r="BNZ113" s="3"/>
      <c r="BOA113" s="3"/>
      <c r="BOB113" s="3"/>
      <c r="BOC113" s="3"/>
      <c r="BOD113" s="3"/>
      <c r="BOE113" s="3"/>
      <c r="BOF113" s="3"/>
      <c r="BOG113" s="3"/>
      <c r="BOH113" s="3"/>
      <c r="BOI113" s="3"/>
      <c r="BOJ113" s="3"/>
      <c r="BOK113" s="3"/>
      <c r="BOL113" s="3"/>
      <c r="BOM113" s="3"/>
      <c r="BON113" s="3"/>
      <c r="BOO113" s="3"/>
      <c r="BOP113" s="3"/>
      <c r="BOQ113" s="3"/>
      <c r="BOR113" s="3"/>
      <c r="BOS113" s="3"/>
      <c r="BOT113" s="3"/>
      <c r="BOU113" s="3"/>
      <c r="BOV113" s="3"/>
      <c r="BOW113" s="3"/>
      <c r="BOX113" s="3"/>
      <c r="BOY113" s="3"/>
      <c r="BOZ113" s="3"/>
      <c r="BPA113" s="3"/>
      <c r="BPB113" s="3"/>
      <c r="BPC113" s="3"/>
      <c r="BPD113" s="3"/>
      <c r="BPE113" s="3"/>
      <c r="BPF113" s="3"/>
      <c r="BPG113" s="3"/>
      <c r="BPH113" s="3"/>
      <c r="BPI113" s="3"/>
      <c r="BPJ113" s="3"/>
      <c r="BPK113" s="3"/>
      <c r="BPL113" s="3"/>
      <c r="BPM113" s="3"/>
      <c r="BPN113" s="3"/>
      <c r="BPO113" s="3"/>
      <c r="BPP113" s="3"/>
      <c r="BPQ113" s="3"/>
      <c r="BPR113" s="3"/>
      <c r="BPS113" s="3"/>
      <c r="BPT113" s="3"/>
      <c r="BPU113" s="3"/>
      <c r="BPV113" s="3"/>
      <c r="BPW113" s="3"/>
      <c r="BPX113" s="3"/>
      <c r="BPY113" s="3"/>
      <c r="BPZ113" s="3"/>
      <c r="BQA113" s="3"/>
      <c r="BQB113" s="3"/>
      <c r="BQC113" s="3"/>
      <c r="BQD113" s="3"/>
      <c r="BQE113" s="3"/>
      <c r="BQF113" s="3"/>
      <c r="BQG113" s="3"/>
      <c r="BQH113" s="3"/>
      <c r="BQI113" s="3"/>
      <c r="BQJ113" s="3"/>
      <c r="BQK113" s="3"/>
      <c r="BQL113" s="3"/>
      <c r="BQM113" s="3"/>
      <c r="BQN113" s="3"/>
      <c r="BQO113" s="3"/>
      <c r="BQP113" s="3"/>
      <c r="BQQ113" s="3"/>
      <c r="BQR113" s="3"/>
      <c r="BQS113" s="3"/>
      <c r="BQT113" s="3"/>
      <c r="BQU113" s="3"/>
      <c r="BQV113" s="3"/>
      <c r="BQW113" s="3"/>
      <c r="BQX113" s="3"/>
      <c r="BQY113" s="3"/>
      <c r="BQZ113" s="3"/>
      <c r="BRA113" s="3"/>
      <c r="BRB113" s="3"/>
      <c r="BRC113" s="3"/>
      <c r="BRD113" s="3"/>
      <c r="BRE113" s="3"/>
      <c r="BRF113" s="3"/>
      <c r="BRG113" s="3"/>
      <c r="BRH113" s="3"/>
      <c r="BRI113" s="3"/>
      <c r="BRJ113" s="3"/>
      <c r="BRK113" s="3"/>
      <c r="BRL113" s="3"/>
      <c r="BRM113" s="3"/>
      <c r="BRN113" s="3"/>
      <c r="BRO113" s="3"/>
      <c r="BRP113" s="3"/>
      <c r="BRQ113" s="3"/>
      <c r="BRR113" s="3"/>
      <c r="BRS113" s="3"/>
      <c r="BRT113" s="3"/>
      <c r="BRU113" s="3"/>
      <c r="BRV113" s="3"/>
      <c r="BRW113" s="3"/>
      <c r="BRX113" s="3"/>
      <c r="BRY113" s="3"/>
      <c r="BRZ113" s="3"/>
      <c r="BSA113" s="3"/>
      <c r="BSB113" s="3"/>
      <c r="BSC113" s="3"/>
      <c r="BSD113" s="3"/>
      <c r="BSE113" s="3"/>
      <c r="BSF113" s="3"/>
      <c r="BSG113" s="3"/>
      <c r="BSH113" s="3"/>
      <c r="BSI113" s="3"/>
      <c r="BSJ113" s="3"/>
      <c r="BSK113" s="3"/>
      <c r="BSL113" s="3"/>
      <c r="BSM113" s="3"/>
      <c r="BSN113" s="3"/>
      <c r="BSO113" s="3"/>
      <c r="BSP113" s="3"/>
      <c r="BSQ113" s="3"/>
      <c r="BSR113" s="3"/>
      <c r="BSS113" s="3"/>
      <c r="BST113" s="3"/>
      <c r="BSU113" s="3"/>
      <c r="BSV113" s="3"/>
      <c r="BSW113" s="3"/>
      <c r="BSX113" s="3"/>
      <c r="BSY113" s="3"/>
      <c r="BSZ113" s="3"/>
      <c r="BTA113" s="3"/>
      <c r="BTB113" s="3"/>
      <c r="BTC113" s="3"/>
      <c r="BTD113" s="3"/>
      <c r="BTE113" s="3"/>
      <c r="BTF113" s="3"/>
      <c r="BTG113" s="3"/>
      <c r="BTH113" s="3"/>
      <c r="BTI113" s="3"/>
      <c r="BTJ113" s="3"/>
      <c r="BTK113" s="3"/>
      <c r="BTL113" s="3"/>
      <c r="BTM113" s="3"/>
      <c r="BTN113" s="3"/>
      <c r="BTO113" s="3"/>
      <c r="BTP113" s="3"/>
      <c r="BTQ113" s="3"/>
      <c r="BTR113" s="3"/>
      <c r="BTS113" s="3"/>
      <c r="BTT113" s="3"/>
      <c r="BTU113" s="3"/>
      <c r="BTV113" s="3"/>
      <c r="BTW113" s="3"/>
      <c r="BTX113" s="3"/>
      <c r="BTY113" s="3"/>
      <c r="BTZ113" s="3"/>
      <c r="BUA113" s="3"/>
      <c r="BUB113" s="3"/>
      <c r="BUC113" s="3"/>
      <c r="BUD113" s="3"/>
      <c r="BUE113" s="3"/>
      <c r="BUF113" s="3"/>
      <c r="BUG113" s="3"/>
      <c r="BUH113" s="3"/>
      <c r="BUI113" s="3"/>
      <c r="BUJ113" s="3"/>
      <c r="BUK113" s="3"/>
      <c r="BUL113" s="3"/>
      <c r="BUM113" s="3"/>
      <c r="BUN113" s="3"/>
      <c r="BUO113" s="3"/>
      <c r="BUP113" s="3"/>
      <c r="BUQ113" s="3"/>
      <c r="BUR113" s="3"/>
      <c r="BUS113" s="3"/>
      <c r="BUT113" s="3"/>
      <c r="BUU113" s="3"/>
      <c r="BUV113" s="3"/>
      <c r="BUW113" s="3"/>
      <c r="BUX113" s="3"/>
      <c r="BUY113" s="3"/>
      <c r="BUZ113" s="3"/>
      <c r="BVA113" s="3"/>
      <c r="BVB113" s="3"/>
      <c r="BVC113" s="3"/>
      <c r="BVD113" s="3"/>
      <c r="BVE113" s="3"/>
      <c r="BVF113" s="3"/>
      <c r="BVG113" s="3"/>
      <c r="BVH113" s="3"/>
      <c r="BVI113" s="3"/>
      <c r="BVJ113" s="3"/>
      <c r="BVK113" s="3"/>
      <c r="BVL113" s="3"/>
      <c r="BVM113" s="3"/>
      <c r="BVN113" s="3"/>
      <c r="BVO113" s="3"/>
      <c r="BVP113" s="3"/>
      <c r="BVQ113" s="3"/>
      <c r="BVR113" s="3"/>
      <c r="BVS113" s="3"/>
      <c r="BVT113" s="3"/>
      <c r="BVU113" s="3"/>
      <c r="BVV113" s="3"/>
      <c r="BVW113" s="3"/>
      <c r="BVX113" s="3"/>
      <c r="BVY113" s="3"/>
      <c r="BVZ113" s="3"/>
      <c r="BWA113" s="3"/>
      <c r="BWB113" s="3"/>
      <c r="BWC113" s="3"/>
      <c r="BWD113" s="3"/>
      <c r="BWE113" s="3"/>
      <c r="BWF113" s="3"/>
      <c r="BWG113" s="3"/>
      <c r="BWH113" s="3"/>
      <c r="BWI113" s="3"/>
      <c r="BWJ113" s="3"/>
      <c r="BWK113" s="3"/>
      <c r="BWL113" s="3"/>
      <c r="BWM113" s="3"/>
      <c r="BWN113" s="3"/>
      <c r="BWO113" s="3"/>
      <c r="BWP113" s="3"/>
      <c r="BWQ113" s="3"/>
      <c r="BWR113" s="3"/>
      <c r="BWS113" s="3"/>
      <c r="BWT113" s="3"/>
      <c r="BWU113" s="3"/>
      <c r="BWV113" s="3"/>
      <c r="BWW113" s="3"/>
      <c r="BWX113" s="3"/>
      <c r="BWY113" s="3"/>
      <c r="BWZ113" s="3"/>
      <c r="BXA113" s="3"/>
      <c r="BXB113" s="3"/>
      <c r="BXC113" s="3"/>
      <c r="BXD113" s="3"/>
      <c r="BXE113" s="3"/>
      <c r="BXF113" s="3"/>
      <c r="BXG113" s="3"/>
      <c r="BXH113" s="3"/>
      <c r="BXI113" s="3"/>
      <c r="BXJ113" s="3"/>
      <c r="BXK113" s="3"/>
      <c r="BXL113" s="3"/>
      <c r="BXM113" s="3"/>
      <c r="BXN113" s="3"/>
      <c r="BXO113" s="3"/>
      <c r="BXP113" s="3"/>
      <c r="BXQ113" s="3"/>
      <c r="BXR113" s="3"/>
      <c r="BXS113" s="3"/>
      <c r="BXT113" s="3"/>
      <c r="BXU113" s="3"/>
      <c r="BXV113" s="3"/>
      <c r="BXW113" s="3"/>
      <c r="BXX113" s="3"/>
      <c r="BXY113" s="3"/>
      <c r="BXZ113" s="3"/>
      <c r="BYA113" s="3"/>
      <c r="BYB113" s="3"/>
      <c r="BYC113" s="3"/>
      <c r="BYD113" s="3"/>
      <c r="BYE113" s="3"/>
      <c r="BYF113" s="3"/>
      <c r="BYG113" s="3"/>
      <c r="BYH113" s="3"/>
      <c r="BYI113" s="3"/>
      <c r="BYJ113" s="3"/>
      <c r="BYK113" s="3"/>
      <c r="BYL113" s="3"/>
      <c r="BYM113" s="3"/>
      <c r="BYN113" s="3"/>
      <c r="BYO113" s="3"/>
      <c r="BYP113" s="3"/>
      <c r="BYQ113" s="3"/>
      <c r="BYR113" s="3"/>
      <c r="BYS113" s="3"/>
      <c r="BYT113" s="3"/>
      <c r="BYU113" s="3"/>
      <c r="BYV113" s="3"/>
      <c r="BYW113" s="3"/>
      <c r="BYX113" s="3"/>
      <c r="BYY113" s="3"/>
      <c r="BYZ113" s="3"/>
      <c r="BZA113" s="3"/>
      <c r="BZB113" s="3"/>
      <c r="BZC113" s="3"/>
      <c r="BZD113" s="3"/>
      <c r="BZE113" s="3"/>
      <c r="BZF113" s="3"/>
      <c r="BZG113" s="3"/>
      <c r="BZH113" s="3"/>
      <c r="BZI113" s="3"/>
      <c r="BZJ113" s="3"/>
      <c r="BZK113" s="3"/>
      <c r="BZL113" s="3"/>
      <c r="BZM113" s="3"/>
      <c r="BZN113" s="3"/>
      <c r="BZO113" s="3"/>
      <c r="BZP113" s="3"/>
      <c r="BZQ113" s="3"/>
      <c r="BZR113" s="3"/>
      <c r="BZS113" s="3"/>
      <c r="BZT113" s="3"/>
      <c r="BZU113" s="3"/>
      <c r="BZV113" s="3"/>
      <c r="BZW113" s="3"/>
      <c r="BZX113" s="3"/>
      <c r="BZY113" s="3"/>
      <c r="BZZ113" s="3"/>
      <c r="CAA113" s="3"/>
      <c r="CAB113" s="3"/>
      <c r="CAC113" s="3"/>
      <c r="CAD113" s="3"/>
      <c r="CAE113" s="3"/>
      <c r="CAF113" s="3"/>
      <c r="CAG113" s="3"/>
      <c r="CAH113" s="3"/>
      <c r="CAI113" s="3"/>
      <c r="CAJ113" s="3"/>
      <c r="CAK113" s="3"/>
      <c r="CAL113" s="3"/>
      <c r="CAM113" s="3"/>
      <c r="CAN113" s="3"/>
      <c r="CAO113" s="3"/>
      <c r="CAP113" s="3"/>
      <c r="CAQ113" s="3"/>
      <c r="CAR113" s="3"/>
      <c r="CAS113" s="3"/>
      <c r="CAT113" s="3"/>
      <c r="CAU113" s="3"/>
      <c r="CAV113" s="3"/>
      <c r="CAW113" s="3"/>
      <c r="CAX113" s="3"/>
      <c r="CAY113" s="3"/>
      <c r="CAZ113" s="3"/>
      <c r="CBA113" s="3"/>
      <c r="CBB113" s="3"/>
      <c r="CBC113" s="3"/>
      <c r="CBD113" s="3"/>
      <c r="CBE113" s="3"/>
      <c r="CBF113" s="3"/>
      <c r="CBG113" s="3"/>
      <c r="CBH113" s="3"/>
      <c r="CBI113" s="3"/>
      <c r="CBJ113" s="3"/>
      <c r="CBK113" s="3"/>
      <c r="CBL113" s="3"/>
      <c r="CBM113" s="3"/>
      <c r="CBN113" s="3"/>
      <c r="CBO113" s="3"/>
      <c r="CBP113" s="3"/>
      <c r="CBQ113" s="3"/>
      <c r="CBR113" s="3"/>
      <c r="CBS113" s="3"/>
      <c r="CBT113" s="3"/>
      <c r="CBU113" s="3"/>
      <c r="CBV113" s="3"/>
      <c r="CBW113" s="3"/>
      <c r="CBX113" s="3"/>
      <c r="CBY113" s="3"/>
      <c r="CBZ113" s="3"/>
      <c r="CCA113" s="3"/>
      <c r="CCB113" s="3"/>
      <c r="CCC113" s="3"/>
      <c r="CCD113" s="3"/>
      <c r="CCE113" s="3"/>
      <c r="CCF113" s="3"/>
      <c r="CCG113" s="3"/>
      <c r="CCH113" s="3"/>
      <c r="CCI113" s="3"/>
      <c r="CCJ113" s="3"/>
      <c r="CCK113" s="3"/>
      <c r="CCL113" s="3"/>
      <c r="CCM113" s="3"/>
      <c r="CCN113" s="3"/>
      <c r="CCO113" s="3"/>
      <c r="CCP113" s="3"/>
      <c r="CCQ113" s="3"/>
      <c r="CCR113" s="3"/>
      <c r="CCS113" s="3"/>
      <c r="CCT113" s="3"/>
      <c r="CCU113" s="3"/>
      <c r="CCV113" s="3"/>
      <c r="CCW113" s="3"/>
      <c r="CCX113" s="3"/>
      <c r="CCY113" s="3"/>
      <c r="CCZ113" s="3"/>
      <c r="CDA113" s="3"/>
      <c r="CDB113" s="3"/>
      <c r="CDC113" s="3"/>
      <c r="CDD113" s="3"/>
      <c r="CDE113" s="3"/>
      <c r="CDF113" s="3"/>
      <c r="CDG113" s="3"/>
      <c r="CDH113" s="3"/>
      <c r="CDI113" s="3"/>
      <c r="CDJ113" s="3"/>
      <c r="CDK113" s="3"/>
      <c r="CDL113" s="3"/>
      <c r="CDM113" s="3"/>
      <c r="CDN113" s="3"/>
      <c r="CDO113" s="3"/>
      <c r="CDP113" s="3"/>
      <c r="CDQ113" s="3"/>
      <c r="CDR113" s="3"/>
      <c r="CDS113" s="3"/>
      <c r="CDT113" s="3"/>
      <c r="CDU113" s="3"/>
      <c r="CDV113" s="3"/>
      <c r="CDW113" s="3"/>
      <c r="CDX113" s="3"/>
      <c r="CDY113" s="3"/>
      <c r="CDZ113" s="3"/>
      <c r="CEA113" s="3"/>
      <c r="CEB113" s="3"/>
      <c r="CEC113" s="3"/>
      <c r="CED113" s="3"/>
      <c r="CEE113" s="3"/>
      <c r="CEF113" s="3"/>
      <c r="CEG113" s="3"/>
      <c r="CEH113" s="3"/>
      <c r="CEI113" s="3"/>
      <c r="CEJ113" s="3"/>
      <c r="CEK113" s="3"/>
      <c r="CEL113" s="3"/>
      <c r="CEM113" s="3"/>
      <c r="CEN113" s="3"/>
      <c r="CEO113" s="3"/>
      <c r="CEP113" s="3"/>
      <c r="CEQ113" s="3"/>
      <c r="CER113" s="3"/>
      <c r="CES113" s="3"/>
      <c r="CET113" s="3"/>
      <c r="CEU113" s="3"/>
      <c r="CEV113" s="3"/>
      <c r="CEW113" s="3"/>
      <c r="CEX113" s="3"/>
      <c r="CEY113" s="3"/>
      <c r="CEZ113" s="3"/>
      <c r="CFA113" s="3"/>
      <c r="CFB113" s="3"/>
      <c r="CFC113" s="3"/>
      <c r="CFD113" s="3"/>
      <c r="CFE113" s="3"/>
      <c r="CFF113" s="3"/>
      <c r="CFG113" s="3"/>
      <c r="CFH113" s="3"/>
      <c r="CFI113" s="3"/>
      <c r="CFJ113" s="3"/>
      <c r="CFK113" s="3"/>
      <c r="CFL113" s="3"/>
      <c r="CFM113" s="3"/>
      <c r="CFN113" s="3"/>
      <c r="CFO113" s="3"/>
      <c r="CFP113" s="3"/>
      <c r="CFQ113" s="3"/>
      <c r="CFR113" s="3"/>
      <c r="CFS113" s="3"/>
      <c r="CFT113" s="3"/>
      <c r="CFU113" s="3"/>
      <c r="CFV113" s="3"/>
      <c r="CFW113" s="3"/>
      <c r="CFX113" s="3"/>
      <c r="CFY113" s="3"/>
      <c r="CFZ113" s="3"/>
      <c r="CGA113" s="3"/>
      <c r="CGB113" s="3"/>
      <c r="CGC113" s="3"/>
      <c r="CGD113" s="3"/>
      <c r="CGE113" s="3"/>
      <c r="CGF113" s="3"/>
      <c r="CGG113" s="3"/>
      <c r="CGH113" s="3"/>
      <c r="CGI113" s="3"/>
      <c r="CGJ113" s="3"/>
      <c r="CGK113" s="3"/>
      <c r="CGL113" s="3"/>
      <c r="CGM113" s="3"/>
      <c r="CGN113" s="3"/>
      <c r="CGO113" s="3"/>
      <c r="CGP113" s="3"/>
      <c r="CGQ113" s="3"/>
      <c r="CGR113" s="3"/>
      <c r="CGS113" s="3"/>
      <c r="CGT113" s="3"/>
      <c r="CGU113" s="3"/>
      <c r="CGV113" s="3"/>
      <c r="CGW113" s="3"/>
      <c r="CGX113" s="3"/>
      <c r="CGY113" s="3"/>
      <c r="CGZ113" s="3"/>
      <c r="CHA113" s="3"/>
      <c r="CHB113" s="3"/>
      <c r="CHC113" s="3"/>
      <c r="CHD113" s="3"/>
      <c r="CHE113" s="3"/>
      <c r="CHF113" s="3"/>
      <c r="CHG113" s="3"/>
      <c r="CHH113" s="3"/>
      <c r="CHI113" s="3"/>
      <c r="CHJ113" s="3"/>
      <c r="CHK113" s="3"/>
      <c r="CHL113" s="3"/>
      <c r="CHM113" s="3"/>
      <c r="CHN113" s="3"/>
      <c r="CHO113" s="3"/>
      <c r="CHP113" s="3"/>
      <c r="CHQ113" s="3"/>
      <c r="CHR113" s="3"/>
      <c r="CHS113" s="3"/>
      <c r="CHT113" s="3"/>
      <c r="CHU113" s="3"/>
      <c r="CHV113" s="3"/>
      <c r="CHW113" s="3"/>
      <c r="CHX113" s="3"/>
      <c r="CHY113" s="3"/>
      <c r="CHZ113" s="3"/>
      <c r="CIA113" s="3"/>
      <c r="CIB113" s="3"/>
      <c r="CIC113" s="3"/>
      <c r="CID113" s="3"/>
      <c r="CIE113" s="3"/>
      <c r="CIF113" s="3"/>
      <c r="CIG113" s="3"/>
      <c r="CIH113" s="3"/>
      <c r="CII113" s="3"/>
      <c r="CIJ113" s="3"/>
      <c r="CIK113" s="3"/>
      <c r="CIL113" s="3"/>
      <c r="CIM113" s="3"/>
      <c r="CIN113" s="3"/>
      <c r="CIO113" s="3"/>
      <c r="CIP113" s="3"/>
      <c r="CIQ113" s="3"/>
      <c r="CIR113" s="3"/>
      <c r="CIS113" s="3"/>
      <c r="CIT113" s="3"/>
      <c r="CIU113" s="3"/>
      <c r="CIV113" s="3"/>
      <c r="CIW113" s="3"/>
      <c r="CIX113" s="3"/>
      <c r="CIY113" s="3"/>
      <c r="CIZ113" s="3"/>
      <c r="CJA113" s="3"/>
      <c r="CJB113" s="3"/>
      <c r="CJC113" s="3"/>
      <c r="CJD113" s="3"/>
      <c r="CJE113" s="3"/>
      <c r="CJF113" s="3"/>
      <c r="CJG113" s="3"/>
      <c r="CJH113" s="3"/>
      <c r="CJI113" s="3"/>
      <c r="CJJ113" s="3"/>
      <c r="CJK113" s="3"/>
      <c r="CJL113" s="3"/>
      <c r="CJM113" s="3"/>
      <c r="CJN113" s="3"/>
      <c r="CJO113" s="3"/>
      <c r="CJP113" s="3"/>
      <c r="CJQ113" s="3"/>
      <c r="CJR113" s="3"/>
      <c r="CJS113" s="3"/>
      <c r="CJT113" s="3"/>
      <c r="CJU113" s="3"/>
      <c r="CJV113" s="3"/>
      <c r="CJW113" s="3"/>
      <c r="CJX113" s="3"/>
      <c r="CJY113" s="3"/>
      <c r="CJZ113" s="3"/>
      <c r="CKA113" s="3"/>
      <c r="CKB113" s="3"/>
      <c r="CKC113" s="3"/>
      <c r="CKD113" s="3"/>
      <c r="CKE113" s="3"/>
      <c r="CKF113" s="3"/>
      <c r="CKG113" s="3"/>
      <c r="CKH113" s="3"/>
      <c r="CKI113" s="3"/>
      <c r="CKJ113" s="3"/>
      <c r="CKK113" s="3"/>
      <c r="CKL113" s="3"/>
      <c r="CKM113" s="3"/>
      <c r="CKN113" s="3"/>
      <c r="CKO113" s="3"/>
      <c r="CKP113" s="3"/>
      <c r="CKQ113" s="3"/>
      <c r="CKR113" s="3"/>
      <c r="CKS113" s="3"/>
      <c r="CKT113" s="3"/>
      <c r="CKU113" s="3"/>
      <c r="CKV113" s="3"/>
      <c r="CKW113" s="3"/>
      <c r="CKX113" s="3"/>
      <c r="CKY113" s="3"/>
      <c r="CKZ113" s="3"/>
      <c r="CLA113" s="3"/>
      <c r="CLB113" s="3"/>
      <c r="CLC113" s="3"/>
      <c r="CLD113" s="3"/>
      <c r="CLE113" s="3"/>
      <c r="CLF113" s="3"/>
      <c r="CLG113" s="3"/>
      <c r="CLH113" s="3"/>
      <c r="CLI113" s="3"/>
      <c r="CLJ113" s="3"/>
      <c r="CLK113" s="3"/>
      <c r="CLL113" s="3"/>
      <c r="CLM113" s="3"/>
      <c r="CLN113" s="3"/>
      <c r="CLO113" s="3"/>
      <c r="CLP113" s="3"/>
      <c r="CLQ113" s="3"/>
      <c r="CLR113" s="3"/>
      <c r="CLS113" s="3"/>
      <c r="CLT113" s="3"/>
      <c r="CLU113" s="3"/>
      <c r="CLV113" s="3"/>
      <c r="CLW113" s="3"/>
      <c r="CLX113" s="3"/>
      <c r="CLY113" s="3"/>
      <c r="CLZ113" s="3"/>
      <c r="CMA113" s="3"/>
      <c r="CMB113" s="3"/>
      <c r="CMC113" s="3"/>
      <c r="CMD113" s="3"/>
      <c r="CME113" s="3"/>
      <c r="CMF113" s="3"/>
      <c r="CMG113" s="3"/>
      <c r="CMH113" s="3"/>
      <c r="CMI113" s="3"/>
      <c r="CMJ113" s="3"/>
      <c r="CMK113" s="3"/>
      <c r="CML113" s="3"/>
      <c r="CMM113" s="3"/>
      <c r="CMN113" s="3"/>
      <c r="CMO113" s="3"/>
      <c r="CMP113" s="3"/>
      <c r="CMQ113" s="3"/>
      <c r="CMR113" s="3"/>
      <c r="CMS113" s="3"/>
      <c r="CMT113" s="3"/>
      <c r="CMU113" s="3"/>
      <c r="CMV113" s="3"/>
      <c r="CMW113" s="3"/>
      <c r="CMX113" s="3"/>
      <c r="CMY113" s="3"/>
      <c r="CMZ113" s="3"/>
      <c r="CNA113" s="3"/>
      <c r="CNB113" s="3"/>
      <c r="CNC113" s="3"/>
      <c r="CND113" s="3"/>
      <c r="CNE113" s="3"/>
      <c r="CNF113" s="3"/>
      <c r="CNG113" s="3"/>
      <c r="CNH113" s="3"/>
      <c r="CNI113" s="3"/>
      <c r="CNJ113" s="3"/>
      <c r="CNK113" s="3"/>
      <c r="CNL113" s="3"/>
      <c r="CNM113" s="3"/>
      <c r="CNN113" s="3"/>
      <c r="CNO113" s="3"/>
      <c r="CNP113" s="3"/>
      <c r="CNQ113" s="3"/>
      <c r="CNR113" s="3"/>
      <c r="CNS113" s="3"/>
      <c r="CNT113" s="3"/>
      <c r="CNU113" s="3"/>
      <c r="CNV113" s="3"/>
      <c r="CNW113" s="3"/>
      <c r="CNX113" s="3"/>
      <c r="CNY113" s="3"/>
      <c r="CNZ113" s="3"/>
      <c r="COA113" s="3"/>
      <c r="COB113" s="3"/>
      <c r="COC113" s="3"/>
      <c r="COD113" s="3"/>
      <c r="COE113" s="3"/>
      <c r="COF113" s="3"/>
      <c r="COG113" s="3"/>
      <c r="COH113" s="3"/>
      <c r="COI113" s="3"/>
      <c r="COJ113" s="3"/>
      <c r="COK113" s="3"/>
      <c r="COL113" s="3"/>
      <c r="COM113" s="3"/>
      <c r="CON113" s="3"/>
      <c r="COO113" s="3"/>
      <c r="COP113" s="3"/>
      <c r="COQ113" s="3"/>
      <c r="COR113" s="3"/>
      <c r="COS113" s="3"/>
      <c r="COT113" s="3"/>
      <c r="COU113" s="3"/>
      <c r="COV113" s="3"/>
      <c r="COW113" s="3"/>
      <c r="COX113" s="3"/>
      <c r="COY113" s="3"/>
      <c r="COZ113" s="3"/>
      <c r="CPA113" s="3"/>
      <c r="CPB113" s="3"/>
      <c r="CPC113" s="3"/>
      <c r="CPD113" s="3"/>
      <c r="CPE113" s="3"/>
      <c r="CPF113" s="3"/>
      <c r="CPG113" s="3"/>
      <c r="CPH113" s="3"/>
      <c r="CPI113" s="3"/>
      <c r="CPJ113" s="3"/>
      <c r="CPK113" s="3"/>
      <c r="CPL113" s="3"/>
      <c r="CPM113" s="3"/>
      <c r="CPN113" s="3"/>
      <c r="CPO113" s="3"/>
      <c r="CPP113" s="3"/>
      <c r="CPQ113" s="3"/>
      <c r="CPR113" s="3"/>
      <c r="CPS113" s="3"/>
      <c r="CPT113" s="3"/>
      <c r="CPU113" s="3"/>
      <c r="CPV113" s="3"/>
      <c r="CPW113" s="3"/>
      <c r="CPX113" s="3"/>
      <c r="CPY113" s="3"/>
      <c r="CPZ113" s="3"/>
      <c r="CQA113" s="3"/>
      <c r="CQB113" s="3"/>
      <c r="CQC113" s="3"/>
      <c r="CQD113" s="3"/>
      <c r="CQE113" s="3"/>
      <c r="CQF113" s="3"/>
      <c r="CQG113" s="3"/>
      <c r="CQH113" s="3"/>
      <c r="CQI113" s="3"/>
      <c r="CQJ113" s="3"/>
      <c r="CQK113" s="3"/>
      <c r="CQL113" s="3"/>
      <c r="CQM113" s="3"/>
      <c r="CQN113" s="3"/>
      <c r="CQO113" s="3"/>
      <c r="CQP113" s="3"/>
      <c r="CQQ113" s="3"/>
      <c r="CQR113" s="3"/>
      <c r="CQS113" s="3"/>
      <c r="CQT113" s="3"/>
      <c r="CQU113" s="3"/>
      <c r="CQV113" s="3"/>
      <c r="CQW113" s="3"/>
      <c r="CQX113" s="3"/>
      <c r="CQY113" s="3"/>
      <c r="CQZ113" s="3"/>
      <c r="CRA113" s="3"/>
      <c r="CRB113" s="3"/>
      <c r="CRC113" s="3"/>
      <c r="CRD113" s="3"/>
      <c r="CRE113" s="3"/>
      <c r="CRF113" s="3"/>
      <c r="CRG113" s="3"/>
      <c r="CRH113" s="3"/>
      <c r="CRI113" s="3"/>
      <c r="CRJ113" s="3"/>
      <c r="CRK113" s="3"/>
      <c r="CRL113" s="3"/>
      <c r="CRM113" s="3"/>
      <c r="CRN113" s="3"/>
      <c r="CRO113" s="3"/>
      <c r="CRP113" s="3"/>
      <c r="CRQ113" s="3"/>
      <c r="CRR113" s="3"/>
      <c r="CRS113" s="3"/>
      <c r="CRT113" s="3"/>
      <c r="CRU113" s="3"/>
      <c r="CRV113" s="3"/>
      <c r="CRW113" s="3"/>
      <c r="CRX113" s="3"/>
      <c r="CRY113" s="3"/>
      <c r="CRZ113" s="3"/>
      <c r="CSA113" s="3"/>
      <c r="CSB113" s="3"/>
      <c r="CSC113" s="3"/>
      <c r="CSD113" s="3"/>
      <c r="CSE113" s="3"/>
      <c r="CSF113" s="3"/>
      <c r="CSG113" s="3"/>
      <c r="CSH113" s="3"/>
      <c r="CSI113" s="3"/>
      <c r="CSJ113" s="3"/>
      <c r="CSK113" s="3"/>
      <c r="CSL113" s="3"/>
      <c r="CSM113" s="3"/>
      <c r="CSN113" s="3"/>
      <c r="CSO113" s="3"/>
      <c r="CSP113" s="3"/>
      <c r="CSQ113" s="3"/>
      <c r="CSR113" s="3"/>
      <c r="CSS113" s="3"/>
      <c r="CST113" s="3"/>
      <c r="CSU113" s="3"/>
      <c r="CSV113" s="3"/>
      <c r="CSW113" s="3"/>
      <c r="CSX113" s="3"/>
      <c r="CSY113" s="3"/>
      <c r="CSZ113" s="3"/>
      <c r="CTA113" s="3"/>
      <c r="CTB113" s="3"/>
      <c r="CTC113" s="3"/>
      <c r="CTD113" s="3"/>
      <c r="CTE113" s="3"/>
      <c r="CTF113" s="3"/>
      <c r="CTG113" s="3"/>
      <c r="CTH113" s="3"/>
      <c r="CTI113" s="3"/>
      <c r="CTJ113" s="3"/>
      <c r="CTK113" s="3"/>
      <c r="CTL113" s="3"/>
      <c r="CTM113" s="3"/>
      <c r="CTN113" s="3"/>
      <c r="CTO113" s="3"/>
      <c r="CTP113" s="3"/>
      <c r="CTQ113" s="3"/>
      <c r="CTR113" s="3"/>
      <c r="CTS113" s="3"/>
      <c r="CTT113" s="3"/>
      <c r="CTU113" s="3"/>
      <c r="CTV113" s="3"/>
      <c r="CTW113" s="3"/>
      <c r="CTX113" s="3"/>
      <c r="CTY113" s="3"/>
      <c r="CTZ113" s="3"/>
      <c r="CUA113" s="3"/>
      <c r="CUB113" s="3"/>
      <c r="CUC113" s="3"/>
      <c r="CUD113" s="3"/>
      <c r="CUE113" s="3"/>
      <c r="CUF113" s="3"/>
      <c r="CUG113" s="3"/>
      <c r="CUH113" s="3"/>
      <c r="CUI113" s="3"/>
      <c r="CUJ113" s="3"/>
      <c r="CUK113" s="3"/>
      <c r="CUL113" s="3"/>
      <c r="CUM113" s="3"/>
      <c r="CUN113" s="3"/>
      <c r="CUO113" s="3"/>
      <c r="CUP113" s="3"/>
      <c r="CUQ113" s="3"/>
      <c r="CUR113" s="3"/>
      <c r="CUS113" s="3"/>
      <c r="CUT113" s="3"/>
      <c r="CUU113" s="3"/>
      <c r="CUV113" s="3"/>
      <c r="CUW113" s="3"/>
      <c r="CUX113" s="3"/>
      <c r="CUY113" s="3"/>
      <c r="CUZ113" s="3"/>
      <c r="CVA113" s="3"/>
      <c r="CVB113" s="3"/>
      <c r="CVC113" s="3"/>
      <c r="CVD113" s="3"/>
      <c r="CVE113" s="3"/>
      <c r="CVF113" s="3"/>
      <c r="CVG113" s="3"/>
      <c r="CVH113" s="3"/>
      <c r="CVI113" s="3"/>
      <c r="CVJ113" s="3"/>
      <c r="CVK113" s="3"/>
      <c r="CVL113" s="3"/>
      <c r="CVM113" s="3"/>
      <c r="CVN113" s="3"/>
      <c r="CVO113" s="3"/>
      <c r="CVP113" s="3"/>
      <c r="CVQ113" s="3"/>
      <c r="CVR113" s="3"/>
      <c r="CVS113" s="3"/>
      <c r="CVT113" s="3"/>
      <c r="CVU113" s="3"/>
      <c r="CVV113" s="3"/>
      <c r="CVW113" s="3"/>
      <c r="CVX113" s="3"/>
      <c r="CVY113" s="3"/>
      <c r="CVZ113" s="3"/>
      <c r="CWA113" s="3"/>
      <c r="CWB113" s="3"/>
      <c r="CWC113" s="3"/>
      <c r="CWD113" s="3"/>
      <c r="CWE113" s="3"/>
      <c r="CWF113" s="3"/>
      <c r="CWG113" s="3"/>
      <c r="CWH113" s="3"/>
      <c r="CWI113" s="3"/>
      <c r="CWJ113" s="3"/>
      <c r="CWK113" s="3"/>
      <c r="CWL113" s="3"/>
      <c r="CWM113" s="3"/>
      <c r="CWN113" s="3"/>
      <c r="CWO113" s="3"/>
      <c r="CWP113" s="3"/>
      <c r="CWQ113" s="3"/>
      <c r="CWR113" s="3"/>
      <c r="CWS113" s="3"/>
      <c r="CWT113" s="3"/>
      <c r="CWU113" s="3"/>
      <c r="CWV113" s="3"/>
      <c r="CWW113" s="3"/>
      <c r="CWX113" s="3"/>
      <c r="CWY113" s="3"/>
      <c r="CWZ113" s="3"/>
      <c r="CXA113" s="3"/>
      <c r="CXB113" s="3"/>
      <c r="CXC113" s="3"/>
      <c r="CXD113" s="3"/>
      <c r="CXE113" s="3"/>
      <c r="CXF113" s="3"/>
      <c r="CXG113" s="3"/>
      <c r="CXH113" s="3"/>
      <c r="CXI113" s="3"/>
      <c r="CXJ113" s="3"/>
      <c r="CXK113" s="3"/>
      <c r="CXL113" s="3"/>
      <c r="CXM113" s="3"/>
      <c r="CXN113" s="3"/>
      <c r="CXO113" s="3"/>
      <c r="CXP113" s="3"/>
      <c r="CXQ113" s="3"/>
      <c r="CXR113" s="3"/>
      <c r="CXS113" s="3"/>
      <c r="CXT113" s="3"/>
      <c r="CXU113" s="3"/>
      <c r="CXV113" s="3"/>
      <c r="CXW113" s="3"/>
      <c r="CXX113" s="3"/>
      <c r="CXY113" s="3"/>
      <c r="CXZ113" s="3"/>
      <c r="CYA113" s="3"/>
      <c r="CYB113" s="3"/>
      <c r="CYC113" s="3"/>
      <c r="CYD113" s="3"/>
      <c r="CYE113" s="3"/>
      <c r="CYF113" s="3"/>
      <c r="CYG113" s="3"/>
      <c r="CYH113" s="3"/>
      <c r="CYI113" s="3"/>
      <c r="CYJ113" s="3"/>
      <c r="CYK113" s="3"/>
      <c r="CYL113" s="3"/>
      <c r="CYM113" s="3"/>
      <c r="CYN113" s="3"/>
      <c r="CYO113" s="3"/>
      <c r="CYP113" s="3"/>
      <c r="CYQ113" s="3"/>
      <c r="CYR113" s="3"/>
      <c r="CYS113" s="3"/>
      <c r="CYT113" s="3"/>
      <c r="CYU113" s="3"/>
      <c r="CYV113" s="3"/>
      <c r="CYW113" s="3"/>
      <c r="CYX113" s="3"/>
      <c r="CYY113" s="3"/>
      <c r="CYZ113" s="3"/>
      <c r="CZA113" s="3"/>
      <c r="CZB113" s="3"/>
      <c r="CZC113" s="3"/>
      <c r="CZD113" s="3"/>
      <c r="CZE113" s="3"/>
      <c r="CZF113" s="3"/>
      <c r="CZG113" s="3"/>
      <c r="CZH113" s="3"/>
      <c r="CZI113" s="3"/>
      <c r="CZJ113" s="3"/>
      <c r="CZK113" s="3"/>
      <c r="CZL113" s="3"/>
      <c r="CZM113" s="3"/>
      <c r="CZN113" s="3"/>
      <c r="CZO113" s="3"/>
      <c r="CZP113" s="3"/>
      <c r="CZQ113" s="3"/>
      <c r="CZR113" s="3"/>
      <c r="CZS113" s="3"/>
      <c r="CZT113" s="3"/>
      <c r="CZU113" s="3"/>
      <c r="CZV113" s="3"/>
      <c r="CZW113" s="3"/>
      <c r="CZX113" s="3"/>
      <c r="CZY113" s="3"/>
      <c r="CZZ113" s="3"/>
      <c r="DAA113" s="3"/>
      <c r="DAB113" s="3"/>
      <c r="DAC113" s="3"/>
      <c r="DAD113" s="3"/>
      <c r="DAE113" s="3"/>
      <c r="DAF113" s="3"/>
      <c r="DAG113" s="3"/>
      <c r="DAH113" s="3"/>
      <c r="DAI113" s="3"/>
      <c r="DAJ113" s="3"/>
      <c r="DAK113" s="3"/>
      <c r="DAL113" s="3"/>
      <c r="DAM113" s="3"/>
      <c r="DAN113" s="3"/>
      <c r="DAO113" s="3"/>
      <c r="DAP113" s="3"/>
      <c r="DAQ113" s="3"/>
      <c r="DAR113" s="3"/>
      <c r="DAS113" s="3"/>
      <c r="DAT113" s="3"/>
      <c r="DAU113" s="3"/>
      <c r="DAV113" s="3"/>
      <c r="DAW113" s="3"/>
      <c r="DAX113" s="3"/>
      <c r="DAY113" s="3"/>
      <c r="DAZ113" s="3"/>
      <c r="DBA113" s="3"/>
      <c r="DBB113" s="3"/>
      <c r="DBC113" s="3"/>
      <c r="DBD113" s="3"/>
      <c r="DBE113" s="3"/>
      <c r="DBF113" s="3"/>
      <c r="DBG113" s="3"/>
      <c r="DBH113" s="3"/>
      <c r="DBI113" s="3"/>
      <c r="DBJ113" s="3"/>
      <c r="DBK113" s="3"/>
      <c r="DBL113" s="3"/>
      <c r="DBM113" s="3"/>
      <c r="DBN113" s="3"/>
      <c r="DBO113" s="3"/>
      <c r="DBP113" s="3"/>
      <c r="DBQ113" s="3"/>
      <c r="DBR113" s="3"/>
      <c r="DBS113" s="3"/>
      <c r="DBT113" s="3"/>
      <c r="DBU113" s="3"/>
      <c r="DBV113" s="3"/>
      <c r="DBW113" s="3"/>
      <c r="DBX113" s="3"/>
      <c r="DBY113" s="3"/>
      <c r="DBZ113" s="3"/>
      <c r="DCA113" s="3"/>
      <c r="DCB113" s="3"/>
      <c r="DCC113" s="3"/>
      <c r="DCD113" s="3"/>
      <c r="DCE113" s="3"/>
      <c r="DCF113" s="3"/>
      <c r="DCG113" s="3"/>
      <c r="DCH113" s="3"/>
      <c r="DCI113" s="3"/>
      <c r="DCJ113" s="3"/>
      <c r="DCK113" s="3"/>
      <c r="DCL113" s="3"/>
      <c r="DCM113" s="3"/>
      <c r="DCN113" s="3"/>
      <c r="DCO113" s="3"/>
      <c r="DCP113" s="3"/>
      <c r="DCQ113" s="3"/>
      <c r="DCR113" s="3"/>
      <c r="DCS113" s="3"/>
      <c r="DCT113" s="3"/>
      <c r="DCU113" s="3"/>
      <c r="DCV113" s="3"/>
      <c r="DCW113" s="3"/>
      <c r="DCX113" s="3"/>
      <c r="DCY113" s="3"/>
      <c r="DCZ113" s="3"/>
      <c r="DDA113" s="3"/>
      <c r="DDB113" s="3"/>
      <c r="DDC113" s="3"/>
      <c r="DDD113" s="3"/>
      <c r="DDE113" s="3"/>
      <c r="DDF113" s="3"/>
      <c r="DDG113" s="3"/>
      <c r="DDH113" s="3"/>
      <c r="DDI113" s="3"/>
      <c r="DDJ113" s="3"/>
      <c r="DDK113" s="3"/>
      <c r="DDL113" s="3"/>
      <c r="DDM113" s="3"/>
      <c r="DDN113" s="3"/>
      <c r="DDO113" s="3"/>
      <c r="DDP113" s="3"/>
      <c r="DDQ113" s="3"/>
      <c r="DDR113" s="3"/>
      <c r="DDS113" s="3"/>
      <c r="DDT113" s="3"/>
      <c r="DDU113" s="3"/>
      <c r="DDV113" s="3"/>
      <c r="DDW113" s="3"/>
      <c r="DDX113" s="3"/>
      <c r="DDY113" s="3"/>
      <c r="DDZ113" s="3"/>
      <c r="DEA113" s="3"/>
      <c r="DEB113" s="3"/>
      <c r="DEC113" s="3"/>
      <c r="DED113" s="3"/>
      <c r="DEE113" s="3"/>
      <c r="DEF113" s="3"/>
      <c r="DEG113" s="3"/>
      <c r="DEH113" s="3"/>
      <c r="DEI113" s="3"/>
      <c r="DEJ113" s="3"/>
      <c r="DEK113" s="3"/>
      <c r="DEL113" s="3"/>
      <c r="DEM113" s="3"/>
      <c r="DEN113" s="3"/>
      <c r="DEO113" s="3"/>
      <c r="DEP113" s="3"/>
      <c r="DEQ113" s="3"/>
      <c r="DER113" s="3"/>
      <c r="DES113" s="3"/>
      <c r="DET113" s="3"/>
      <c r="DEU113" s="3"/>
      <c r="DEV113" s="3"/>
      <c r="DEW113" s="3"/>
      <c r="DEX113" s="3"/>
      <c r="DEY113" s="3"/>
      <c r="DEZ113" s="3"/>
      <c r="DFA113" s="3"/>
      <c r="DFB113" s="3"/>
      <c r="DFC113" s="3"/>
      <c r="DFD113" s="3"/>
      <c r="DFE113" s="3"/>
      <c r="DFF113" s="3"/>
      <c r="DFG113" s="3"/>
      <c r="DFH113" s="3"/>
      <c r="DFI113" s="3"/>
      <c r="DFJ113" s="3"/>
      <c r="DFK113" s="3"/>
      <c r="DFL113" s="3"/>
      <c r="DFM113" s="3"/>
      <c r="DFN113" s="3"/>
      <c r="DFO113" s="3"/>
      <c r="DFP113" s="3"/>
      <c r="DFQ113" s="3"/>
      <c r="DFR113" s="3"/>
      <c r="DFS113" s="3"/>
      <c r="DFT113" s="3"/>
      <c r="DFU113" s="3"/>
      <c r="DFV113" s="3"/>
      <c r="DFW113" s="3"/>
      <c r="DFX113" s="3"/>
      <c r="DFY113" s="3"/>
      <c r="DFZ113" s="3"/>
      <c r="DGA113" s="3"/>
      <c r="DGB113" s="3"/>
      <c r="DGC113" s="3"/>
      <c r="DGD113" s="3"/>
      <c r="DGE113" s="3"/>
      <c r="DGF113" s="3"/>
      <c r="DGG113" s="3"/>
      <c r="DGH113" s="3"/>
      <c r="DGI113" s="3"/>
      <c r="DGJ113" s="3"/>
      <c r="DGK113" s="3"/>
      <c r="DGL113" s="3"/>
      <c r="DGM113" s="3"/>
      <c r="DGN113" s="3"/>
      <c r="DGO113" s="3"/>
      <c r="DGP113" s="3"/>
      <c r="DGQ113" s="3"/>
      <c r="DGR113" s="3"/>
      <c r="DGS113" s="3"/>
      <c r="DGT113" s="3"/>
      <c r="DGU113" s="3"/>
      <c r="DGV113" s="3"/>
      <c r="DGW113" s="3"/>
      <c r="DGX113" s="3"/>
      <c r="DGY113" s="3"/>
      <c r="DGZ113" s="3"/>
      <c r="DHA113" s="3"/>
      <c r="DHB113" s="3"/>
      <c r="DHC113" s="3"/>
      <c r="DHD113" s="3"/>
      <c r="DHE113" s="3"/>
      <c r="DHF113" s="3"/>
      <c r="DHG113" s="3"/>
      <c r="DHH113" s="3"/>
      <c r="DHI113" s="3"/>
      <c r="DHJ113" s="3"/>
      <c r="DHK113" s="3"/>
      <c r="DHL113" s="3"/>
      <c r="DHM113" s="3"/>
      <c r="DHN113" s="3"/>
      <c r="DHO113" s="3"/>
      <c r="DHP113" s="3"/>
      <c r="DHQ113" s="3"/>
      <c r="DHR113" s="3"/>
      <c r="DHS113" s="3"/>
      <c r="DHT113" s="3"/>
      <c r="DHU113" s="3"/>
      <c r="DHV113" s="3"/>
      <c r="DHW113" s="3"/>
      <c r="DHX113" s="3"/>
      <c r="DHY113" s="3"/>
      <c r="DHZ113" s="3"/>
      <c r="DIA113" s="3"/>
      <c r="DIB113" s="3"/>
      <c r="DIC113" s="3"/>
      <c r="DID113" s="3"/>
      <c r="DIE113" s="3"/>
      <c r="DIF113" s="3"/>
      <c r="DIG113" s="3"/>
      <c r="DIH113" s="3"/>
      <c r="DII113" s="3"/>
      <c r="DIJ113" s="3"/>
      <c r="DIK113" s="3"/>
      <c r="DIL113" s="3"/>
      <c r="DIM113" s="3"/>
      <c r="DIN113" s="3"/>
      <c r="DIO113" s="3"/>
      <c r="DIP113" s="3"/>
      <c r="DIQ113" s="3"/>
      <c r="DIR113" s="3"/>
      <c r="DIS113" s="3"/>
      <c r="DIT113" s="3"/>
      <c r="DIU113" s="3"/>
      <c r="DIV113" s="3"/>
      <c r="DIW113" s="3"/>
      <c r="DIX113" s="3"/>
      <c r="DIY113" s="3"/>
      <c r="DIZ113" s="3"/>
      <c r="DJA113" s="3"/>
      <c r="DJB113" s="3"/>
      <c r="DJC113" s="3"/>
      <c r="DJD113" s="3"/>
      <c r="DJE113" s="3"/>
      <c r="DJF113" s="3"/>
      <c r="DJG113" s="3"/>
      <c r="DJH113" s="3"/>
      <c r="DJI113" s="3"/>
      <c r="DJJ113" s="3"/>
      <c r="DJK113" s="3"/>
      <c r="DJL113" s="3"/>
      <c r="DJM113" s="3"/>
      <c r="DJN113" s="3"/>
      <c r="DJO113" s="3"/>
      <c r="DJP113" s="3"/>
      <c r="DJQ113" s="3"/>
      <c r="DJR113" s="3"/>
      <c r="DJS113" s="3"/>
      <c r="DJT113" s="3"/>
      <c r="DJU113" s="3"/>
      <c r="DJV113" s="3"/>
      <c r="DJW113" s="3"/>
      <c r="DJX113" s="3"/>
      <c r="DJY113" s="3"/>
      <c r="DJZ113" s="3"/>
      <c r="DKA113" s="3"/>
      <c r="DKB113" s="3"/>
      <c r="DKC113" s="3"/>
      <c r="DKD113" s="3"/>
      <c r="DKE113" s="3"/>
      <c r="DKF113" s="3"/>
      <c r="DKG113" s="3"/>
      <c r="DKH113" s="3"/>
      <c r="DKI113" s="3"/>
      <c r="DKJ113" s="3"/>
      <c r="DKK113" s="3"/>
      <c r="DKL113" s="3"/>
      <c r="DKM113" s="3"/>
      <c r="DKN113" s="3"/>
      <c r="DKO113" s="3"/>
      <c r="DKP113" s="3"/>
      <c r="DKQ113" s="3"/>
      <c r="DKR113" s="3"/>
      <c r="DKS113" s="3"/>
      <c r="DKT113" s="3"/>
      <c r="DKU113" s="3"/>
      <c r="DKV113" s="3"/>
      <c r="DKW113" s="3"/>
      <c r="DKX113" s="3"/>
      <c r="DKY113" s="3"/>
      <c r="DKZ113" s="3"/>
      <c r="DLA113" s="3"/>
      <c r="DLB113" s="3"/>
      <c r="DLC113" s="3"/>
      <c r="DLD113" s="3"/>
      <c r="DLE113" s="3"/>
      <c r="DLF113" s="3"/>
      <c r="DLG113" s="3"/>
      <c r="DLH113" s="3"/>
      <c r="DLI113" s="3"/>
      <c r="DLJ113" s="3"/>
      <c r="DLK113" s="3"/>
      <c r="DLL113" s="3"/>
      <c r="DLM113" s="3"/>
      <c r="DLN113" s="3"/>
      <c r="DLO113" s="3"/>
      <c r="DLP113" s="3"/>
      <c r="DLQ113" s="3"/>
      <c r="DLR113" s="3"/>
      <c r="DLS113" s="3"/>
      <c r="DLT113" s="3"/>
      <c r="DLU113" s="3"/>
      <c r="DLV113" s="3"/>
      <c r="DLW113" s="3"/>
      <c r="DLX113" s="3"/>
      <c r="DLY113" s="3"/>
      <c r="DLZ113" s="3"/>
      <c r="DMA113" s="3"/>
      <c r="DMB113" s="3"/>
      <c r="DMC113" s="3"/>
      <c r="DMD113" s="3"/>
      <c r="DME113" s="3"/>
      <c r="DMF113" s="3"/>
      <c r="DMG113" s="3"/>
      <c r="DMH113" s="3"/>
      <c r="DMI113" s="3"/>
      <c r="DMJ113" s="3"/>
      <c r="DMK113" s="3"/>
      <c r="DML113" s="3"/>
      <c r="DMM113" s="3"/>
      <c r="DMN113" s="3"/>
      <c r="DMO113" s="3"/>
      <c r="DMP113" s="3"/>
      <c r="DMQ113" s="3"/>
      <c r="DMR113" s="3"/>
      <c r="DMS113" s="3"/>
      <c r="DMT113" s="3"/>
      <c r="DMU113" s="3"/>
      <c r="DMV113" s="3"/>
      <c r="DMW113" s="3"/>
      <c r="DMX113" s="3"/>
      <c r="DMY113" s="3"/>
      <c r="DMZ113" s="3"/>
      <c r="DNA113" s="3"/>
      <c r="DNB113" s="3"/>
      <c r="DNC113" s="3"/>
      <c r="DND113" s="3"/>
      <c r="DNE113" s="3"/>
      <c r="DNF113" s="3"/>
      <c r="DNG113" s="3"/>
      <c r="DNH113" s="3"/>
      <c r="DNI113" s="3"/>
      <c r="DNJ113" s="3"/>
      <c r="DNK113" s="3"/>
      <c r="DNL113" s="3"/>
      <c r="DNM113" s="3"/>
      <c r="DNN113" s="3"/>
      <c r="DNO113" s="3"/>
      <c r="DNP113" s="3"/>
      <c r="DNQ113" s="3"/>
      <c r="DNR113" s="3"/>
      <c r="DNS113" s="3"/>
      <c r="DNT113" s="3"/>
      <c r="DNU113" s="3"/>
      <c r="DNV113" s="3"/>
      <c r="DNW113" s="3"/>
      <c r="DNX113" s="3"/>
      <c r="DNY113" s="3"/>
      <c r="DNZ113" s="3"/>
      <c r="DOA113" s="3"/>
      <c r="DOB113" s="3"/>
      <c r="DOC113" s="3"/>
      <c r="DOD113" s="3"/>
      <c r="DOE113" s="3"/>
      <c r="DOF113" s="3"/>
      <c r="DOG113" s="3"/>
      <c r="DOH113" s="3"/>
      <c r="DOI113" s="3"/>
      <c r="DOJ113" s="3"/>
      <c r="DOK113" s="3"/>
      <c r="DOL113" s="3"/>
      <c r="DOM113" s="3"/>
      <c r="DON113" s="3"/>
      <c r="DOO113" s="3"/>
      <c r="DOP113" s="3"/>
      <c r="DOQ113" s="3"/>
      <c r="DOR113" s="3"/>
      <c r="DOS113" s="3"/>
      <c r="DOT113" s="3"/>
      <c r="DOU113" s="3"/>
      <c r="DOV113" s="3"/>
      <c r="DOW113" s="3"/>
      <c r="DOX113" s="3"/>
      <c r="DOY113" s="3"/>
      <c r="DOZ113" s="3"/>
      <c r="DPA113" s="3"/>
      <c r="DPB113" s="3"/>
      <c r="DPC113" s="3"/>
      <c r="DPD113" s="3"/>
      <c r="DPE113" s="3"/>
      <c r="DPF113" s="3"/>
      <c r="DPG113" s="3"/>
      <c r="DPH113" s="3"/>
      <c r="DPI113" s="3"/>
      <c r="DPJ113" s="3"/>
      <c r="DPK113" s="3"/>
      <c r="DPL113" s="3"/>
      <c r="DPM113" s="3"/>
      <c r="DPN113" s="3"/>
      <c r="DPO113" s="3"/>
      <c r="DPP113" s="3"/>
      <c r="DPQ113" s="3"/>
      <c r="DPR113" s="3"/>
      <c r="DPS113" s="3"/>
      <c r="DPT113" s="3"/>
      <c r="DPU113" s="3"/>
      <c r="DPV113" s="3"/>
      <c r="DPW113" s="3"/>
      <c r="DPX113" s="3"/>
      <c r="DPY113" s="3"/>
      <c r="DPZ113" s="3"/>
      <c r="DQA113" s="3"/>
      <c r="DQB113" s="3"/>
      <c r="DQC113" s="3"/>
      <c r="DQD113" s="3"/>
      <c r="DQE113" s="3"/>
      <c r="DQF113" s="3"/>
      <c r="DQG113" s="3"/>
      <c r="DQH113" s="3"/>
      <c r="DQI113" s="3"/>
      <c r="DQJ113" s="3"/>
      <c r="DQK113" s="3"/>
      <c r="DQL113" s="3"/>
      <c r="DQM113" s="3"/>
      <c r="DQN113" s="3"/>
      <c r="DQO113" s="3"/>
      <c r="DQP113" s="3"/>
      <c r="DQQ113" s="3"/>
      <c r="DQR113" s="3"/>
      <c r="DQS113" s="3"/>
      <c r="DQT113" s="3"/>
      <c r="DQU113" s="3"/>
      <c r="DQV113" s="3"/>
      <c r="DQW113" s="3"/>
      <c r="DQX113" s="3"/>
      <c r="DQY113" s="3"/>
      <c r="DQZ113" s="3"/>
      <c r="DRA113" s="3"/>
      <c r="DRB113" s="3"/>
      <c r="DRC113" s="3"/>
      <c r="DRD113" s="3"/>
      <c r="DRE113" s="3"/>
      <c r="DRF113" s="3"/>
      <c r="DRG113" s="3"/>
      <c r="DRH113" s="3"/>
      <c r="DRI113" s="3"/>
      <c r="DRJ113" s="3"/>
      <c r="DRK113" s="3"/>
      <c r="DRL113" s="3"/>
      <c r="DRM113" s="3"/>
      <c r="DRN113" s="3"/>
      <c r="DRO113" s="3"/>
      <c r="DRP113" s="3"/>
      <c r="DRQ113" s="3"/>
      <c r="DRR113" s="3"/>
      <c r="DRS113" s="3"/>
      <c r="DRT113" s="3"/>
      <c r="DRU113" s="3"/>
      <c r="DRV113" s="3"/>
      <c r="DRW113" s="3"/>
      <c r="DRX113" s="3"/>
      <c r="DRY113" s="3"/>
      <c r="DRZ113" s="3"/>
      <c r="DSA113" s="3"/>
      <c r="DSB113" s="3"/>
      <c r="DSC113" s="3"/>
      <c r="DSD113" s="3"/>
      <c r="DSE113" s="3"/>
      <c r="DSF113" s="3"/>
      <c r="DSG113" s="3"/>
      <c r="DSH113" s="3"/>
      <c r="DSI113" s="3"/>
      <c r="DSJ113" s="3"/>
      <c r="DSK113" s="3"/>
      <c r="DSL113" s="3"/>
      <c r="DSM113" s="3"/>
      <c r="DSN113" s="3"/>
      <c r="DSO113" s="3"/>
      <c r="DSP113" s="3"/>
      <c r="DSQ113" s="3"/>
      <c r="DSR113" s="3"/>
      <c r="DSS113" s="3"/>
      <c r="DST113" s="3"/>
      <c r="DSU113" s="3"/>
      <c r="DSV113" s="3"/>
      <c r="DSW113" s="3"/>
      <c r="DSX113" s="3"/>
      <c r="DSY113" s="3"/>
      <c r="DSZ113" s="3"/>
      <c r="DTA113" s="3"/>
      <c r="DTB113" s="3"/>
      <c r="DTC113" s="3"/>
      <c r="DTD113" s="3"/>
      <c r="DTE113" s="3"/>
      <c r="DTF113" s="3"/>
      <c r="DTG113" s="3"/>
      <c r="DTH113" s="3"/>
      <c r="DTI113" s="3"/>
      <c r="DTJ113" s="3"/>
      <c r="DTK113" s="3"/>
      <c r="DTL113" s="3"/>
      <c r="DTM113" s="3"/>
      <c r="DTN113" s="3"/>
      <c r="DTO113" s="3"/>
      <c r="DTP113" s="3"/>
      <c r="DTQ113" s="3"/>
      <c r="DTR113" s="3"/>
      <c r="DTS113" s="3"/>
      <c r="DTT113" s="3"/>
      <c r="DTU113" s="3"/>
      <c r="DTV113" s="3"/>
      <c r="DTW113" s="3"/>
      <c r="DTX113" s="3"/>
      <c r="DTY113" s="3"/>
      <c r="DTZ113" s="3"/>
      <c r="DUA113" s="3"/>
      <c r="DUB113" s="3"/>
      <c r="DUC113" s="3"/>
      <c r="DUD113" s="3"/>
      <c r="DUE113" s="3"/>
      <c r="DUF113" s="3"/>
      <c r="DUG113" s="3"/>
      <c r="DUH113" s="3"/>
      <c r="DUI113" s="3"/>
      <c r="DUJ113" s="3"/>
      <c r="DUK113" s="3"/>
      <c r="DUL113" s="3"/>
      <c r="DUM113" s="3"/>
      <c r="DUN113" s="3"/>
      <c r="DUO113" s="3"/>
      <c r="DUP113" s="3"/>
      <c r="DUQ113" s="3"/>
      <c r="DUR113" s="3"/>
      <c r="DUS113" s="3"/>
      <c r="DUT113" s="3"/>
      <c r="DUU113" s="3"/>
      <c r="DUV113" s="3"/>
      <c r="DUW113" s="3"/>
      <c r="DUX113" s="3"/>
      <c r="DUY113" s="3"/>
      <c r="DUZ113" s="3"/>
      <c r="DVA113" s="3"/>
      <c r="DVB113" s="3"/>
      <c r="DVC113" s="3"/>
      <c r="DVD113" s="3"/>
      <c r="DVE113" s="3"/>
      <c r="DVF113" s="3"/>
      <c r="DVG113" s="3"/>
      <c r="DVH113" s="3"/>
      <c r="DVI113" s="3"/>
      <c r="DVJ113" s="3"/>
      <c r="DVK113" s="3"/>
      <c r="DVL113" s="3"/>
      <c r="DVM113" s="3"/>
      <c r="DVN113" s="3"/>
      <c r="DVO113" s="3"/>
      <c r="DVP113" s="3"/>
      <c r="DVQ113" s="3"/>
      <c r="DVR113" s="3"/>
      <c r="DVS113" s="3"/>
      <c r="DVT113" s="3"/>
      <c r="DVU113" s="3"/>
      <c r="DVV113" s="3"/>
      <c r="DVW113" s="3"/>
      <c r="DVX113" s="3"/>
      <c r="DVY113" s="3"/>
      <c r="DVZ113" s="3"/>
      <c r="DWA113" s="3"/>
      <c r="DWB113" s="3"/>
      <c r="DWC113" s="3"/>
      <c r="DWD113" s="3"/>
      <c r="DWE113" s="3"/>
      <c r="DWF113" s="3"/>
      <c r="DWG113" s="3"/>
      <c r="DWH113" s="3"/>
      <c r="DWI113" s="3"/>
      <c r="DWJ113" s="3"/>
      <c r="DWK113" s="3"/>
      <c r="DWL113" s="3"/>
      <c r="DWM113" s="3"/>
      <c r="DWN113" s="3"/>
      <c r="DWO113" s="3"/>
      <c r="DWP113" s="3"/>
      <c r="DWQ113" s="3"/>
      <c r="DWR113" s="3"/>
      <c r="DWS113" s="3"/>
      <c r="DWT113" s="3"/>
      <c r="DWU113" s="3"/>
      <c r="DWV113" s="3"/>
      <c r="DWW113" s="3"/>
      <c r="DWX113" s="3"/>
      <c r="DWY113" s="3"/>
      <c r="DWZ113" s="3"/>
      <c r="DXA113" s="3"/>
      <c r="DXB113" s="3"/>
      <c r="DXC113" s="3"/>
      <c r="DXD113" s="3"/>
      <c r="DXE113" s="3"/>
      <c r="DXF113" s="3"/>
      <c r="DXG113" s="3"/>
      <c r="DXH113" s="3"/>
      <c r="DXI113" s="3"/>
      <c r="DXJ113" s="3"/>
      <c r="DXK113" s="3"/>
      <c r="DXL113" s="3"/>
      <c r="DXM113" s="3"/>
      <c r="DXN113" s="3"/>
      <c r="DXO113" s="3"/>
      <c r="DXP113" s="3"/>
      <c r="DXQ113" s="3"/>
      <c r="DXR113" s="3"/>
      <c r="DXS113" s="3"/>
      <c r="DXT113" s="3"/>
      <c r="DXU113" s="3"/>
      <c r="DXV113" s="3"/>
      <c r="DXW113" s="3"/>
      <c r="DXX113" s="3"/>
      <c r="DXY113" s="3"/>
      <c r="DXZ113" s="3"/>
      <c r="DYA113" s="3"/>
      <c r="DYB113" s="3"/>
      <c r="DYC113" s="3"/>
      <c r="DYD113" s="3"/>
      <c r="DYE113" s="3"/>
      <c r="DYF113" s="3"/>
      <c r="DYG113" s="3"/>
      <c r="DYH113" s="3"/>
      <c r="DYI113" s="3"/>
      <c r="DYJ113" s="3"/>
      <c r="DYK113" s="3"/>
      <c r="DYL113" s="3"/>
      <c r="DYM113" s="3"/>
      <c r="DYN113" s="3"/>
      <c r="DYO113" s="3"/>
      <c r="DYP113" s="3"/>
      <c r="DYQ113" s="3"/>
      <c r="DYR113" s="3"/>
      <c r="DYS113" s="3"/>
      <c r="DYT113" s="3"/>
      <c r="DYU113" s="3"/>
      <c r="DYV113" s="3"/>
      <c r="DYW113" s="3"/>
      <c r="DYX113" s="3"/>
      <c r="DYY113" s="3"/>
      <c r="DYZ113" s="3"/>
      <c r="DZA113" s="3"/>
      <c r="DZB113" s="3"/>
      <c r="DZC113" s="3"/>
      <c r="DZD113" s="3"/>
      <c r="DZE113" s="3"/>
      <c r="DZF113" s="3"/>
      <c r="DZG113" s="3"/>
      <c r="DZH113" s="3"/>
      <c r="DZI113" s="3"/>
      <c r="DZJ113" s="3"/>
      <c r="DZK113" s="3"/>
      <c r="DZL113" s="3"/>
      <c r="DZM113" s="3"/>
      <c r="DZN113" s="3"/>
      <c r="DZO113" s="3"/>
      <c r="DZP113" s="3"/>
      <c r="DZQ113" s="3"/>
      <c r="DZR113" s="3"/>
      <c r="DZS113" s="3"/>
      <c r="DZT113" s="3"/>
      <c r="DZU113" s="3"/>
      <c r="DZV113" s="3"/>
      <c r="DZW113" s="3"/>
      <c r="DZX113" s="3"/>
      <c r="DZY113" s="3"/>
      <c r="DZZ113" s="3"/>
      <c r="EAA113" s="3"/>
      <c r="EAB113" s="3"/>
      <c r="EAC113" s="3"/>
      <c r="EAD113" s="3"/>
      <c r="EAE113" s="3"/>
      <c r="EAF113" s="3"/>
      <c r="EAG113" s="3"/>
      <c r="EAH113" s="3"/>
      <c r="EAI113" s="3"/>
      <c r="EAJ113" s="3"/>
      <c r="EAK113" s="3"/>
      <c r="EAL113" s="3"/>
      <c r="EAM113" s="3"/>
      <c r="EAN113" s="3"/>
      <c r="EAO113" s="3"/>
      <c r="EAP113" s="3"/>
      <c r="EAQ113" s="3"/>
      <c r="EAR113" s="3"/>
      <c r="EAS113" s="3"/>
      <c r="EAT113" s="3"/>
      <c r="EAU113" s="3"/>
      <c r="EAV113" s="3"/>
      <c r="EAW113" s="3"/>
      <c r="EAX113" s="3"/>
      <c r="EAY113" s="3"/>
      <c r="EAZ113" s="3"/>
      <c r="EBA113" s="3"/>
      <c r="EBB113" s="3"/>
      <c r="EBC113" s="3"/>
      <c r="EBD113" s="3"/>
      <c r="EBE113" s="3"/>
      <c r="EBF113" s="3"/>
      <c r="EBG113" s="3"/>
      <c r="EBH113" s="3"/>
      <c r="EBI113" s="3"/>
      <c r="EBJ113" s="3"/>
      <c r="EBK113" s="3"/>
      <c r="EBL113" s="3"/>
      <c r="EBM113" s="3"/>
      <c r="EBN113" s="3"/>
      <c r="EBO113" s="3"/>
      <c r="EBP113" s="3"/>
      <c r="EBQ113" s="3"/>
      <c r="EBR113" s="3"/>
      <c r="EBS113" s="3"/>
      <c r="EBT113" s="3"/>
      <c r="EBU113" s="3"/>
      <c r="EBV113" s="3"/>
      <c r="EBW113" s="3"/>
      <c r="EBX113" s="3"/>
      <c r="EBY113" s="3"/>
      <c r="EBZ113" s="3"/>
      <c r="ECA113" s="3"/>
      <c r="ECB113" s="3"/>
      <c r="ECC113" s="3"/>
      <c r="ECD113" s="3"/>
      <c r="ECE113" s="3"/>
      <c r="ECF113" s="3"/>
      <c r="ECG113" s="3"/>
      <c r="ECH113" s="3"/>
      <c r="ECI113" s="3"/>
      <c r="ECJ113" s="3"/>
      <c r="ECK113" s="3"/>
      <c r="ECL113" s="3"/>
      <c r="ECM113" s="3"/>
      <c r="ECN113" s="3"/>
      <c r="ECO113" s="3"/>
      <c r="ECP113" s="3"/>
      <c r="ECQ113" s="3"/>
      <c r="ECR113" s="3"/>
      <c r="ECS113" s="3"/>
      <c r="ECT113" s="3"/>
      <c r="ECU113" s="3"/>
      <c r="ECV113" s="3"/>
      <c r="ECW113" s="3"/>
      <c r="ECX113" s="3"/>
      <c r="ECY113" s="3"/>
      <c r="ECZ113" s="3"/>
      <c r="EDA113" s="3"/>
      <c r="EDB113" s="3"/>
      <c r="EDC113" s="3"/>
      <c r="EDD113" s="3"/>
      <c r="EDE113" s="3"/>
      <c r="EDF113" s="3"/>
      <c r="EDG113" s="3"/>
      <c r="EDH113" s="3"/>
      <c r="EDI113" s="3"/>
      <c r="EDJ113" s="3"/>
      <c r="EDK113" s="3"/>
      <c r="EDL113" s="3"/>
      <c r="EDM113" s="3"/>
      <c r="EDN113" s="3"/>
      <c r="EDO113" s="3"/>
      <c r="EDP113" s="3"/>
      <c r="EDQ113" s="3"/>
      <c r="EDR113" s="3"/>
      <c r="EDS113" s="3"/>
      <c r="EDT113" s="3"/>
      <c r="EDU113" s="3"/>
      <c r="EDV113" s="3"/>
      <c r="EDW113" s="3"/>
      <c r="EDX113" s="3"/>
      <c r="EDY113" s="3"/>
      <c r="EDZ113" s="3"/>
      <c r="EEA113" s="3"/>
      <c r="EEB113" s="3"/>
      <c r="EEC113" s="3"/>
      <c r="EED113" s="3"/>
      <c r="EEE113" s="3"/>
      <c r="EEF113" s="3"/>
      <c r="EEG113" s="3"/>
      <c r="EEH113" s="3"/>
      <c r="EEI113" s="3"/>
      <c r="EEJ113" s="3"/>
      <c r="EEK113" s="3"/>
      <c r="EEL113" s="3"/>
      <c r="EEM113" s="3"/>
      <c r="EEN113" s="3"/>
      <c r="EEO113" s="3"/>
      <c r="EEP113" s="3"/>
      <c r="EEQ113" s="3"/>
      <c r="EER113" s="3"/>
      <c r="EES113" s="3"/>
      <c r="EET113" s="3"/>
      <c r="EEU113" s="3"/>
      <c r="EEV113" s="3"/>
      <c r="EEW113" s="3"/>
      <c r="EEX113" s="3"/>
      <c r="EEY113" s="3"/>
      <c r="EEZ113" s="3"/>
      <c r="EFA113" s="3"/>
      <c r="EFB113" s="3"/>
      <c r="EFC113" s="3"/>
      <c r="EFD113" s="3"/>
      <c r="EFE113" s="3"/>
      <c r="EFF113" s="3"/>
      <c r="EFG113" s="3"/>
      <c r="EFH113" s="3"/>
      <c r="EFI113" s="3"/>
      <c r="EFJ113" s="3"/>
      <c r="EFK113" s="3"/>
      <c r="EFL113" s="3"/>
      <c r="EFM113" s="3"/>
      <c r="EFN113" s="3"/>
      <c r="EFO113" s="3"/>
      <c r="EFP113" s="3"/>
      <c r="EFQ113" s="3"/>
      <c r="EFR113" s="3"/>
      <c r="EFS113" s="3"/>
      <c r="EFT113" s="3"/>
      <c r="EFU113" s="3"/>
      <c r="EFV113" s="3"/>
      <c r="EFW113" s="3"/>
      <c r="EFX113" s="3"/>
      <c r="EFY113" s="3"/>
      <c r="EFZ113" s="3"/>
      <c r="EGA113" s="3"/>
      <c r="EGB113" s="3"/>
      <c r="EGC113" s="3"/>
      <c r="EGD113" s="3"/>
      <c r="EGE113" s="3"/>
      <c r="EGF113" s="3"/>
      <c r="EGG113" s="3"/>
      <c r="EGH113" s="3"/>
      <c r="EGI113" s="3"/>
      <c r="EGJ113" s="3"/>
      <c r="EGK113" s="3"/>
      <c r="EGL113" s="3"/>
      <c r="EGM113" s="3"/>
      <c r="EGN113" s="3"/>
      <c r="EGO113" s="3"/>
      <c r="EGP113" s="3"/>
      <c r="EGQ113" s="3"/>
      <c r="EGR113" s="3"/>
      <c r="EGS113" s="3"/>
      <c r="EGT113" s="3"/>
      <c r="EGU113" s="3"/>
      <c r="EGV113" s="3"/>
      <c r="EGW113" s="3"/>
      <c r="EGX113" s="3"/>
      <c r="EGY113" s="3"/>
      <c r="EGZ113" s="3"/>
      <c r="EHA113" s="3"/>
      <c r="EHB113" s="3"/>
      <c r="EHC113" s="3"/>
      <c r="EHD113" s="3"/>
      <c r="EHE113" s="3"/>
      <c r="EHF113" s="3"/>
      <c r="EHG113" s="3"/>
      <c r="EHH113" s="3"/>
      <c r="EHI113" s="3"/>
      <c r="EHJ113" s="3"/>
      <c r="EHK113" s="3"/>
      <c r="EHL113" s="3"/>
      <c r="EHM113" s="3"/>
      <c r="EHN113" s="3"/>
      <c r="EHO113" s="3"/>
      <c r="EHP113" s="3"/>
      <c r="EHQ113" s="3"/>
      <c r="EHR113" s="3"/>
      <c r="EHS113" s="3"/>
      <c r="EHT113" s="3"/>
      <c r="EHU113" s="3"/>
      <c r="EHV113" s="3"/>
      <c r="EHW113" s="3"/>
      <c r="EHX113" s="3"/>
      <c r="EHY113" s="3"/>
      <c r="EHZ113" s="3"/>
      <c r="EIA113" s="3"/>
      <c r="EIB113" s="3"/>
      <c r="EIC113" s="3"/>
      <c r="EID113" s="3"/>
      <c r="EIE113" s="3"/>
      <c r="EIF113" s="3"/>
      <c r="EIG113" s="3"/>
      <c r="EIH113" s="3"/>
      <c r="EII113" s="3"/>
      <c r="EIJ113" s="3"/>
      <c r="EIK113" s="3"/>
      <c r="EIL113" s="3"/>
      <c r="EIM113" s="3"/>
      <c r="EIN113" s="3"/>
      <c r="EIO113" s="3"/>
      <c r="EIP113" s="3"/>
      <c r="EIQ113" s="3"/>
      <c r="EIR113" s="3"/>
      <c r="EIS113" s="3"/>
      <c r="EIT113" s="3"/>
      <c r="EIU113" s="3"/>
      <c r="EIV113" s="3"/>
      <c r="EIW113" s="3"/>
      <c r="EIX113" s="3"/>
      <c r="EIY113" s="3"/>
      <c r="EIZ113" s="3"/>
      <c r="EJA113" s="3"/>
      <c r="EJB113" s="3"/>
      <c r="EJC113" s="3"/>
      <c r="EJD113" s="3"/>
      <c r="EJE113" s="3"/>
      <c r="EJF113" s="3"/>
      <c r="EJG113" s="3"/>
      <c r="EJH113" s="3"/>
      <c r="EJI113" s="3"/>
      <c r="EJJ113" s="3"/>
      <c r="EJK113" s="3"/>
      <c r="EJL113" s="3"/>
      <c r="EJM113" s="3"/>
      <c r="EJN113" s="3"/>
      <c r="EJO113" s="3"/>
      <c r="EJP113" s="3"/>
      <c r="EJQ113" s="3"/>
      <c r="EJR113" s="3"/>
      <c r="EJS113" s="3"/>
      <c r="EJT113" s="3"/>
      <c r="EJU113" s="3"/>
      <c r="EJV113" s="3"/>
      <c r="EJW113" s="3"/>
      <c r="EJX113" s="3"/>
      <c r="EJY113" s="3"/>
      <c r="EJZ113" s="3"/>
      <c r="EKA113" s="3"/>
      <c r="EKB113" s="3"/>
      <c r="EKC113" s="3"/>
      <c r="EKD113" s="3"/>
      <c r="EKE113" s="3"/>
      <c r="EKF113" s="3"/>
      <c r="EKG113" s="3"/>
      <c r="EKH113" s="3"/>
      <c r="EKI113" s="3"/>
      <c r="EKJ113" s="3"/>
      <c r="EKK113" s="3"/>
      <c r="EKL113" s="3"/>
      <c r="EKM113" s="3"/>
      <c r="EKN113" s="3"/>
      <c r="EKO113" s="3"/>
      <c r="EKP113" s="3"/>
      <c r="EKQ113" s="3"/>
      <c r="EKR113" s="3"/>
      <c r="EKS113" s="3"/>
      <c r="EKT113" s="3"/>
      <c r="EKU113" s="3"/>
      <c r="EKV113" s="3"/>
      <c r="EKW113" s="3"/>
      <c r="EKX113" s="3"/>
      <c r="EKY113" s="3"/>
      <c r="EKZ113" s="3"/>
      <c r="ELA113" s="3"/>
      <c r="ELB113" s="3"/>
      <c r="ELC113" s="3"/>
      <c r="ELD113" s="3"/>
      <c r="ELE113" s="3"/>
      <c r="ELF113" s="3"/>
      <c r="ELG113" s="3"/>
      <c r="ELH113" s="3"/>
      <c r="ELI113" s="3"/>
      <c r="ELJ113" s="3"/>
      <c r="ELK113" s="3"/>
      <c r="ELL113" s="3"/>
      <c r="ELM113" s="3"/>
      <c r="ELN113" s="3"/>
      <c r="ELO113" s="3"/>
      <c r="ELP113" s="3"/>
      <c r="ELQ113" s="3"/>
      <c r="ELR113" s="3"/>
      <c r="ELS113" s="3"/>
      <c r="ELT113" s="3"/>
      <c r="ELU113" s="3"/>
      <c r="ELV113" s="3"/>
      <c r="ELW113" s="3"/>
      <c r="ELX113" s="3"/>
      <c r="ELY113" s="3"/>
      <c r="ELZ113" s="3"/>
      <c r="EMA113" s="3"/>
      <c r="EMB113" s="3"/>
      <c r="EMC113" s="3"/>
      <c r="EMD113" s="3"/>
      <c r="EME113" s="3"/>
      <c r="EMF113" s="3"/>
      <c r="EMG113" s="3"/>
      <c r="EMH113" s="3"/>
      <c r="EMI113" s="3"/>
      <c r="EMJ113" s="3"/>
      <c r="EMK113" s="3"/>
      <c r="EML113" s="3"/>
      <c r="EMM113" s="3"/>
      <c r="EMN113" s="3"/>
      <c r="EMO113" s="3"/>
      <c r="EMP113" s="3"/>
      <c r="EMQ113" s="3"/>
      <c r="EMR113" s="3"/>
      <c r="EMS113" s="3"/>
      <c r="EMT113" s="3"/>
      <c r="EMU113" s="3"/>
      <c r="EMV113" s="3"/>
      <c r="EMW113" s="3"/>
      <c r="EMX113" s="3"/>
      <c r="EMY113" s="3"/>
      <c r="EMZ113" s="3"/>
      <c r="ENA113" s="3"/>
      <c r="ENB113" s="3"/>
      <c r="ENC113" s="3"/>
      <c r="END113" s="3"/>
      <c r="ENE113" s="3"/>
      <c r="ENF113" s="3"/>
      <c r="ENG113" s="3"/>
      <c r="ENH113" s="3"/>
      <c r="ENI113" s="3"/>
      <c r="ENJ113" s="3"/>
      <c r="ENK113" s="3"/>
      <c r="ENL113" s="3"/>
      <c r="ENM113" s="3"/>
      <c r="ENN113" s="3"/>
      <c r="ENO113" s="3"/>
      <c r="ENP113" s="3"/>
      <c r="ENQ113" s="3"/>
      <c r="ENR113" s="3"/>
      <c r="ENS113" s="3"/>
      <c r="ENT113" s="3"/>
      <c r="ENU113" s="3"/>
      <c r="ENV113" s="3"/>
      <c r="ENW113" s="3"/>
      <c r="ENX113" s="3"/>
      <c r="ENY113" s="3"/>
      <c r="ENZ113" s="3"/>
      <c r="EOA113" s="3"/>
      <c r="EOB113" s="3"/>
      <c r="EOC113" s="3"/>
      <c r="EOD113" s="3"/>
      <c r="EOE113" s="3"/>
      <c r="EOF113" s="3"/>
      <c r="EOG113" s="3"/>
      <c r="EOH113" s="3"/>
      <c r="EOI113" s="3"/>
      <c r="EOJ113" s="3"/>
      <c r="EOK113" s="3"/>
      <c r="EOL113" s="3"/>
      <c r="EOM113" s="3"/>
      <c r="EON113" s="3"/>
      <c r="EOO113" s="3"/>
      <c r="EOP113" s="3"/>
      <c r="EOQ113" s="3"/>
      <c r="EOR113" s="3"/>
      <c r="EOS113" s="3"/>
      <c r="EOT113" s="3"/>
      <c r="EOU113" s="3"/>
      <c r="EOV113" s="3"/>
      <c r="EOW113" s="3"/>
      <c r="EOX113" s="3"/>
      <c r="EOY113" s="3"/>
      <c r="EOZ113" s="3"/>
      <c r="EPA113" s="3"/>
      <c r="EPB113" s="3"/>
      <c r="EPC113" s="3"/>
      <c r="EPD113" s="3"/>
      <c r="EPE113" s="3"/>
      <c r="EPF113" s="3"/>
      <c r="EPG113" s="3"/>
      <c r="EPH113" s="3"/>
      <c r="EPI113" s="3"/>
      <c r="EPJ113" s="3"/>
      <c r="EPK113" s="3"/>
      <c r="EPL113" s="3"/>
      <c r="EPM113" s="3"/>
      <c r="EPN113" s="3"/>
      <c r="EPO113" s="3"/>
      <c r="EPP113" s="3"/>
      <c r="EPQ113" s="3"/>
      <c r="EPR113" s="3"/>
      <c r="EPS113" s="3"/>
      <c r="EPT113" s="3"/>
      <c r="EPU113" s="3"/>
      <c r="EPV113" s="3"/>
      <c r="EPW113" s="3"/>
      <c r="EPX113" s="3"/>
      <c r="EPY113" s="3"/>
      <c r="EPZ113" s="3"/>
      <c r="EQA113" s="3"/>
      <c r="EQB113" s="3"/>
      <c r="EQC113" s="3"/>
      <c r="EQD113" s="3"/>
      <c r="EQE113" s="3"/>
      <c r="EQF113" s="3"/>
      <c r="EQG113" s="3"/>
      <c r="EQH113" s="3"/>
      <c r="EQI113" s="3"/>
      <c r="EQJ113" s="3"/>
      <c r="EQK113" s="3"/>
      <c r="EQL113" s="3"/>
      <c r="EQM113" s="3"/>
      <c r="EQN113" s="3"/>
      <c r="EQO113" s="3"/>
      <c r="EQP113" s="3"/>
      <c r="EQQ113" s="3"/>
      <c r="EQR113" s="3"/>
      <c r="EQS113" s="3"/>
      <c r="EQT113" s="3"/>
      <c r="EQU113" s="3"/>
      <c r="EQV113" s="3"/>
      <c r="EQW113" s="3"/>
      <c r="EQX113" s="3"/>
      <c r="EQY113" s="3"/>
      <c r="EQZ113" s="3"/>
      <c r="ERA113" s="3"/>
      <c r="ERB113" s="3"/>
      <c r="ERC113" s="3"/>
      <c r="ERD113" s="3"/>
      <c r="ERE113" s="3"/>
      <c r="ERF113" s="3"/>
      <c r="ERG113" s="3"/>
      <c r="ERH113" s="3"/>
      <c r="ERI113" s="3"/>
      <c r="ERJ113" s="3"/>
      <c r="ERK113" s="3"/>
      <c r="ERL113" s="3"/>
      <c r="ERM113" s="3"/>
      <c r="ERN113" s="3"/>
      <c r="ERO113" s="3"/>
      <c r="ERP113" s="3"/>
      <c r="ERQ113" s="3"/>
      <c r="ERR113" s="3"/>
      <c r="ERS113" s="3"/>
      <c r="ERT113" s="3"/>
      <c r="ERU113" s="3"/>
      <c r="ERV113" s="3"/>
      <c r="ERW113" s="3"/>
      <c r="ERX113" s="3"/>
      <c r="ERY113" s="3"/>
      <c r="ERZ113" s="3"/>
      <c r="ESA113" s="3"/>
      <c r="ESB113" s="3"/>
      <c r="ESC113" s="3"/>
      <c r="ESD113" s="3"/>
      <c r="ESE113" s="3"/>
      <c r="ESF113" s="3"/>
      <c r="ESG113" s="3"/>
      <c r="ESH113" s="3"/>
      <c r="ESI113" s="3"/>
      <c r="ESJ113" s="3"/>
      <c r="ESK113" s="3"/>
      <c r="ESL113" s="3"/>
      <c r="ESM113" s="3"/>
      <c r="ESN113" s="3"/>
      <c r="ESO113" s="3"/>
      <c r="ESP113" s="3"/>
      <c r="ESQ113" s="3"/>
      <c r="ESR113" s="3"/>
      <c r="ESS113" s="3"/>
      <c r="EST113" s="3"/>
      <c r="ESU113" s="3"/>
      <c r="ESV113" s="3"/>
      <c r="ESW113" s="3"/>
      <c r="ESX113" s="3"/>
      <c r="ESY113" s="3"/>
      <c r="ESZ113" s="3"/>
      <c r="ETA113" s="3"/>
      <c r="ETB113" s="3"/>
      <c r="ETC113" s="3"/>
      <c r="ETD113" s="3"/>
      <c r="ETE113" s="3"/>
      <c r="ETF113" s="3"/>
      <c r="ETG113" s="3"/>
      <c r="ETH113" s="3"/>
      <c r="ETI113" s="3"/>
      <c r="ETJ113" s="3"/>
      <c r="ETK113" s="3"/>
      <c r="ETL113" s="3"/>
      <c r="ETM113" s="3"/>
      <c r="ETN113" s="3"/>
      <c r="ETO113" s="3"/>
      <c r="ETP113" s="3"/>
      <c r="ETQ113" s="3"/>
      <c r="ETR113" s="3"/>
      <c r="ETS113" s="3"/>
      <c r="ETT113" s="3"/>
      <c r="ETU113" s="3"/>
      <c r="ETV113" s="3"/>
      <c r="ETW113" s="3"/>
      <c r="ETX113" s="3"/>
      <c r="ETY113" s="3"/>
      <c r="ETZ113" s="3"/>
      <c r="EUA113" s="3"/>
      <c r="EUB113" s="3"/>
      <c r="EUC113" s="3"/>
      <c r="EUD113" s="3"/>
      <c r="EUE113" s="3"/>
      <c r="EUF113" s="3"/>
      <c r="EUG113" s="3"/>
      <c r="EUH113" s="3"/>
      <c r="EUI113" s="3"/>
      <c r="EUJ113" s="3"/>
      <c r="EUK113" s="3"/>
      <c r="EUL113" s="3"/>
      <c r="EUM113" s="3"/>
      <c r="EUN113" s="3"/>
      <c r="EUO113" s="3"/>
      <c r="EUP113" s="3"/>
      <c r="EUQ113" s="3"/>
      <c r="EUR113" s="3"/>
      <c r="EUS113" s="3"/>
      <c r="EUT113" s="3"/>
      <c r="EUU113" s="3"/>
      <c r="EUV113" s="3"/>
      <c r="EUW113" s="3"/>
      <c r="EUX113" s="3"/>
      <c r="EUY113" s="3"/>
      <c r="EUZ113" s="3"/>
      <c r="EVA113" s="3"/>
      <c r="EVB113" s="3"/>
      <c r="EVC113" s="3"/>
      <c r="EVD113" s="3"/>
      <c r="EVE113" s="3"/>
      <c r="EVF113" s="3"/>
      <c r="EVG113" s="3"/>
      <c r="EVH113" s="3"/>
      <c r="EVI113" s="3"/>
      <c r="EVJ113" s="3"/>
      <c r="EVK113" s="3"/>
      <c r="EVL113" s="3"/>
      <c r="EVM113" s="3"/>
      <c r="EVN113" s="3"/>
      <c r="EVO113" s="3"/>
      <c r="EVP113" s="3"/>
      <c r="EVQ113" s="3"/>
      <c r="EVR113" s="3"/>
      <c r="EVS113" s="3"/>
      <c r="EVT113" s="3"/>
      <c r="EVU113" s="3"/>
      <c r="EVV113" s="3"/>
      <c r="EVW113" s="3"/>
      <c r="EVX113" s="3"/>
      <c r="EVY113" s="3"/>
      <c r="EVZ113" s="3"/>
      <c r="EWA113" s="3"/>
      <c r="EWB113" s="3"/>
      <c r="EWC113" s="3"/>
      <c r="EWD113" s="3"/>
      <c r="EWE113" s="3"/>
      <c r="EWF113" s="3"/>
      <c r="EWG113" s="3"/>
      <c r="EWH113" s="3"/>
      <c r="EWI113" s="3"/>
      <c r="EWJ113" s="3"/>
      <c r="EWK113" s="3"/>
      <c r="EWL113" s="3"/>
      <c r="EWM113" s="3"/>
      <c r="EWN113" s="3"/>
      <c r="EWO113" s="3"/>
      <c r="EWP113" s="3"/>
      <c r="EWQ113" s="3"/>
      <c r="EWR113" s="3"/>
      <c r="EWS113" s="3"/>
      <c r="EWT113" s="3"/>
      <c r="EWU113" s="3"/>
      <c r="EWV113" s="3"/>
      <c r="EWW113" s="3"/>
      <c r="EWX113" s="3"/>
      <c r="EWY113" s="3"/>
      <c r="EWZ113" s="3"/>
      <c r="EXA113" s="3"/>
      <c r="EXB113" s="3"/>
      <c r="EXC113" s="3"/>
      <c r="EXD113" s="3"/>
      <c r="EXE113" s="3"/>
      <c r="EXF113" s="3"/>
      <c r="EXG113" s="3"/>
      <c r="EXH113" s="3"/>
      <c r="EXI113" s="3"/>
      <c r="EXJ113" s="3"/>
      <c r="EXK113" s="3"/>
      <c r="EXL113" s="3"/>
      <c r="EXM113" s="3"/>
      <c r="EXN113" s="3"/>
      <c r="EXO113" s="3"/>
      <c r="EXP113" s="3"/>
      <c r="EXQ113" s="3"/>
      <c r="EXR113" s="3"/>
      <c r="EXS113" s="3"/>
      <c r="EXT113" s="3"/>
      <c r="EXU113" s="3"/>
      <c r="EXV113" s="3"/>
      <c r="EXW113" s="3"/>
      <c r="EXX113" s="3"/>
      <c r="EXY113" s="3"/>
      <c r="EXZ113" s="3"/>
      <c r="EYA113" s="3"/>
      <c r="EYB113" s="3"/>
      <c r="EYC113" s="3"/>
      <c r="EYD113" s="3"/>
      <c r="EYE113" s="3"/>
      <c r="EYF113" s="3"/>
      <c r="EYG113" s="3"/>
      <c r="EYH113" s="3"/>
      <c r="EYI113" s="3"/>
      <c r="EYJ113" s="3"/>
      <c r="EYK113" s="3"/>
      <c r="EYL113" s="3"/>
      <c r="EYM113" s="3"/>
      <c r="EYN113" s="3"/>
      <c r="EYO113" s="3"/>
      <c r="EYP113" s="3"/>
      <c r="EYQ113" s="3"/>
      <c r="EYR113" s="3"/>
      <c r="EYS113" s="3"/>
      <c r="EYT113" s="3"/>
      <c r="EYU113" s="3"/>
      <c r="EYV113" s="3"/>
      <c r="EYW113" s="3"/>
      <c r="EYX113" s="3"/>
      <c r="EYY113" s="3"/>
      <c r="EYZ113" s="3"/>
      <c r="EZA113" s="3"/>
      <c r="EZB113" s="3"/>
      <c r="EZC113" s="3"/>
      <c r="EZD113" s="3"/>
      <c r="EZE113" s="3"/>
      <c r="EZF113" s="3"/>
      <c r="EZG113" s="3"/>
      <c r="EZH113" s="3"/>
      <c r="EZI113" s="3"/>
      <c r="EZJ113" s="3"/>
      <c r="EZK113" s="3"/>
      <c r="EZL113" s="3"/>
      <c r="EZM113" s="3"/>
      <c r="EZN113" s="3"/>
      <c r="EZO113" s="3"/>
      <c r="EZP113" s="3"/>
      <c r="EZQ113" s="3"/>
      <c r="EZR113" s="3"/>
      <c r="EZS113" s="3"/>
      <c r="EZT113" s="3"/>
      <c r="EZU113" s="3"/>
      <c r="EZV113" s="3"/>
      <c r="EZW113" s="3"/>
      <c r="EZX113" s="3"/>
      <c r="EZY113" s="3"/>
      <c r="EZZ113" s="3"/>
      <c r="FAA113" s="3"/>
      <c r="FAB113" s="3"/>
      <c r="FAC113" s="3"/>
      <c r="FAD113" s="3"/>
      <c r="FAE113" s="3"/>
      <c r="FAF113" s="3"/>
      <c r="FAG113" s="3"/>
      <c r="FAH113" s="3"/>
      <c r="FAI113" s="3"/>
      <c r="FAJ113" s="3"/>
      <c r="FAK113" s="3"/>
      <c r="FAL113" s="3"/>
      <c r="FAM113" s="3"/>
      <c r="FAN113" s="3"/>
      <c r="FAO113" s="3"/>
      <c r="FAP113" s="3"/>
      <c r="FAQ113" s="3"/>
      <c r="FAR113" s="3"/>
      <c r="FAS113" s="3"/>
      <c r="FAT113" s="3"/>
      <c r="FAU113" s="3"/>
      <c r="FAV113" s="3"/>
      <c r="FAW113" s="3"/>
      <c r="FAX113" s="3"/>
      <c r="FAY113" s="3"/>
      <c r="FAZ113" s="3"/>
      <c r="FBA113" s="3"/>
      <c r="FBB113" s="3"/>
      <c r="FBC113" s="3"/>
      <c r="FBD113" s="3"/>
      <c r="FBE113" s="3"/>
      <c r="FBF113" s="3"/>
      <c r="FBG113" s="3"/>
      <c r="FBH113" s="3"/>
      <c r="FBI113" s="3"/>
      <c r="FBJ113" s="3"/>
      <c r="FBK113" s="3"/>
      <c r="FBL113" s="3"/>
      <c r="FBM113" s="3"/>
      <c r="FBN113" s="3"/>
      <c r="FBO113" s="3"/>
      <c r="FBP113" s="3"/>
      <c r="FBQ113" s="3"/>
      <c r="FBR113" s="3"/>
      <c r="FBS113" s="3"/>
      <c r="FBT113" s="3"/>
      <c r="FBU113" s="3"/>
      <c r="FBV113" s="3"/>
      <c r="FBW113" s="3"/>
      <c r="FBX113" s="3"/>
      <c r="FBY113" s="3"/>
      <c r="FBZ113" s="3"/>
      <c r="FCA113" s="3"/>
      <c r="FCB113" s="3"/>
      <c r="FCC113" s="3"/>
      <c r="FCD113" s="3"/>
      <c r="FCE113" s="3"/>
      <c r="FCF113" s="3"/>
      <c r="FCG113" s="3"/>
      <c r="FCH113" s="3"/>
      <c r="FCI113" s="3"/>
      <c r="FCJ113" s="3"/>
      <c r="FCK113" s="3"/>
      <c r="FCL113" s="3"/>
      <c r="FCM113" s="3"/>
      <c r="FCN113" s="3"/>
      <c r="FCO113" s="3"/>
      <c r="FCP113" s="3"/>
      <c r="FCQ113" s="3"/>
      <c r="FCR113" s="3"/>
      <c r="FCS113" s="3"/>
      <c r="FCT113" s="3"/>
      <c r="FCU113" s="3"/>
      <c r="FCV113" s="3"/>
      <c r="FCW113" s="3"/>
      <c r="FCX113" s="3"/>
      <c r="FCY113" s="3"/>
      <c r="FCZ113" s="3"/>
      <c r="FDA113" s="3"/>
      <c r="FDB113" s="3"/>
      <c r="FDC113" s="3"/>
      <c r="FDD113" s="3"/>
      <c r="FDE113" s="3"/>
      <c r="FDF113" s="3"/>
      <c r="FDG113" s="3"/>
      <c r="FDH113" s="3"/>
      <c r="FDI113" s="3"/>
      <c r="FDJ113" s="3"/>
      <c r="FDK113" s="3"/>
      <c r="FDL113" s="3"/>
      <c r="FDM113" s="3"/>
      <c r="FDN113" s="3"/>
      <c r="FDO113" s="3"/>
      <c r="FDP113" s="3"/>
      <c r="FDQ113" s="3"/>
      <c r="FDR113" s="3"/>
      <c r="FDS113" s="3"/>
      <c r="FDT113" s="3"/>
      <c r="FDU113" s="3"/>
      <c r="FDV113" s="3"/>
      <c r="FDW113" s="3"/>
      <c r="FDX113" s="3"/>
      <c r="FDY113" s="3"/>
      <c r="FDZ113" s="3"/>
      <c r="FEA113" s="3"/>
      <c r="FEB113" s="3"/>
      <c r="FEC113" s="3"/>
      <c r="FED113" s="3"/>
      <c r="FEE113" s="3"/>
      <c r="FEF113" s="3"/>
      <c r="FEG113" s="3"/>
      <c r="FEH113" s="3"/>
      <c r="FEI113" s="3"/>
      <c r="FEJ113" s="3"/>
      <c r="FEK113" s="3"/>
      <c r="FEL113" s="3"/>
      <c r="FEM113" s="3"/>
      <c r="FEN113" s="3"/>
      <c r="FEO113" s="3"/>
      <c r="FEP113" s="3"/>
      <c r="FEQ113" s="3"/>
      <c r="FER113" s="3"/>
      <c r="FES113" s="3"/>
      <c r="FET113" s="3"/>
      <c r="FEU113" s="3"/>
      <c r="FEV113" s="3"/>
      <c r="FEW113" s="3"/>
      <c r="FEX113" s="3"/>
      <c r="FEY113" s="3"/>
      <c r="FEZ113" s="3"/>
      <c r="FFA113" s="3"/>
      <c r="FFB113" s="3"/>
      <c r="FFC113" s="3"/>
      <c r="FFD113" s="3"/>
      <c r="FFE113" s="3"/>
      <c r="FFF113" s="3"/>
      <c r="FFG113" s="3"/>
      <c r="FFH113" s="3"/>
      <c r="FFI113" s="3"/>
      <c r="FFJ113" s="3"/>
      <c r="FFK113" s="3"/>
      <c r="FFL113" s="3"/>
      <c r="FFM113" s="3"/>
      <c r="FFN113" s="3"/>
      <c r="FFO113" s="3"/>
      <c r="FFP113" s="3"/>
      <c r="FFQ113" s="3"/>
      <c r="FFR113" s="3"/>
      <c r="FFS113" s="3"/>
      <c r="FFT113" s="3"/>
      <c r="FFU113" s="3"/>
      <c r="FFV113" s="3"/>
      <c r="FFW113" s="3"/>
      <c r="FFX113" s="3"/>
      <c r="FFY113" s="3"/>
      <c r="FFZ113" s="3"/>
      <c r="FGA113" s="3"/>
      <c r="FGB113" s="3"/>
      <c r="FGC113" s="3"/>
      <c r="FGD113" s="3"/>
      <c r="FGE113" s="3"/>
      <c r="FGF113" s="3"/>
      <c r="FGG113" s="3"/>
      <c r="FGH113" s="3"/>
      <c r="FGI113" s="3"/>
      <c r="FGJ113" s="3"/>
      <c r="FGK113" s="3"/>
      <c r="FGL113" s="3"/>
      <c r="FGM113" s="3"/>
      <c r="FGN113" s="3"/>
      <c r="FGO113" s="3"/>
      <c r="FGP113" s="3"/>
      <c r="FGQ113" s="3"/>
      <c r="FGR113" s="3"/>
      <c r="FGS113" s="3"/>
      <c r="FGT113" s="3"/>
      <c r="FGU113" s="3"/>
      <c r="FGV113" s="3"/>
      <c r="FGW113" s="3"/>
      <c r="FGX113" s="3"/>
      <c r="FGY113" s="3"/>
      <c r="FGZ113" s="3"/>
      <c r="FHA113" s="3"/>
      <c r="FHB113" s="3"/>
      <c r="FHC113" s="3"/>
      <c r="FHD113" s="3"/>
      <c r="FHE113" s="3"/>
      <c r="FHF113" s="3"/>
      <c r="FHG113" s="3"/>
      <c r="FHH113" s="3"/>
      <c r="FHI113" s="3"/>
      <c r="FHJ113" s="3"/>
      <c r="FHK113" s="3"/>
      <c r="FHL113" s="3"/>
      <c r="FHM113" s="3"/>
      <c r="FHN113" s="3"/>
      <c r="FHO113" s="3"/>
      <c r="FHP113" s="3"/>
      <c r="FHQ113" s="3"/>
      <c r="FHR113" s="3"/>
      <c r="FHS113" s="3"/>
      <c r="FHT113" s="3"/>
      <c r="FHU113" s="3"/>
      <c r="FHV113" s="3"/>
      <c r="FHW113" s="3"/>
      <c r="FHX113" s="3"/>
      <c r="FHY113" s="3"/>
      <c r="FHZ113" s="3"/>
      <c r="FIA113" s="3"/>
      <c r="FIB113" s="3"/>
      <c r="FIC113" s="3"/>
      <c r="FID113" s="3"/>
      <c r="FIE113" s="3"/>
      <c r="FIF113" s="3"/>
      <c r="FIG113" s="3"/>
      <c r="FIH113" s="3"/>
      <c r="FII113" s="3"/>
      <c r="FIJ113" s="3"/>
      <c r="FIK113" s="3"/>
      <c r="FIL113" s="3"/>
      <c r="FIM113" s="3"/>
      <c r="FIN113" s="3"/>
      <c r="FIO113" s="3"/>
      <c r="FIP113" s="3"/>
      <c r="FIQ113" s="3"/>
      <c r="FIR113" s="3"/>
      <c r="FIS113" s="3"/>
      <c r="FIT113" s="3"/>
      <c r="FIU113" s="3"/>
      <c r="FIV113" s="3"/>
      <c r="FIW113" s="3"/>
      <c r="FIX113" s="3"/>
      <c r="FIY113" s="3"/>
      <c r="FIZ113" s="3"/>
      <c r="FJA113" s="3"/>
      <c r="FJB113" s="3"/>
      <c r="FJC113" s="3"/>
      <c r="FJD113" s="3"/>
      <c r="FJE113" s="3"/>
      <c r="FJF113" s="3"/>
      <c r="FJG113" s="3"/>
      <c r="FJH113" s="3"/>
      <c r="FJI113" s="3"/>
      <c r="FJJ113" s="3"/>
      <c r="FJK113" s="3"/>
      <c r="FJL113" s="3"/>
      <c r="FJM113" s="3"/>
      <c r="FJN113" s="3"/>
      <c r="FJO113" s="3"/>
      <c r="FJP113" s="3"/>
      <c r="FJQ113" s="3"/>
      <c r="FJR113" s="3"/>
      <c r="FJS113" s="3"/>
      <c r="FJT113" s="3"/>
      <c r="FJU113" s="3"/>
      <c r="FJV113" s="3"/>
      <c r="FJW113" s="3"/>
      <c r="FJX113" s="3"/>
      <c r="FJY113" s="3"/>
      <c r="FJZ113" s="3"/>
      <c r="FKA113" s="3"/>
      <c r="FKB113" s="3"/>
      <c r="FKC113" s="3"/>
      <c r="FKD113" s="3"/>
      <c r="FKE113" s="3"/>
      <c r="FKF113" s="3"/>
      <c r="FKG113" s="3"/>
      <c r="FKH113" s="3"/>
      <c r="FKI113" s="3"/>
      <c r="FKJ113" s="3"/>
      <c r="FKK113" s="3"/>
      <c r="FKL113" s="3"/>
      <c r="FKM113" s="3"/>
      <c r="FKN113" s="3"/>
      <c r="FKO113" s="3"/>
      <c r="FKP113" s="3"/>
      <c r="FKQ113" s="3"/>
      <c r="FKR113" s="3"/>
      <c r="FKS113" s="3"/>
      <c r="FKT113" s="3"/>
      <c r="FKU113" s="3"/>
      <c r="FKV113" s="3"/>
      <c r="FKW113" s="3"/>
      <c r="FKX113" s="3"/>
      <c r="FKY113" s="3"/>
      <c r="FKZ113" s="3"/>
      <c r="FLA113" s="3"/>
      <c r="FLB113" s="3"/>
      <c r="FLC113" s="3"/>
      <c r="FLD113" s="3"/>
      <c r="FLE113" s="3"/>
      <c r="FLF113" s="3"/>
      <c r="FLG113" s="3"/>
      <c r="FLH113" s="3"/>
      <c r="FLI113" s="3"/>
      <c r="FLJ113" s="3"/>
      <c r="FLK113" s="3"/>
      <c r="FLL113" s="3"/>
      <c r="FLM113" s="3"/>
      <c r="FLN113" s="3"/>
      <c r="FLO113" s="3"/>
      <c r="FLP113" s="3"/>
      <c r="FLQ113" s="3"/>
      <c r="FLR113" s="3"/>
      <c r="FLS113" s="3"/>
      <c r="FLT113" s="3"/>
      <c r="FLU113" s="3"/>
      <c r="FLV113" s="3"/>
      <c r="FLW113" s="3"/>
      <c r="FLX113" s="3"/>
      <c r="FLY113" s="3"/>
      <c r="FLZ113" s="3"/>
      <c r="FMA113" s="3"/>
      <c r="FMB113" s="3"/>
      <c r="FMC113" s="3"/>
      <c r="FMD113" s="3"/>
      <c r="FME113" s="3"/>
      <c r="FMF113" s="3"/>
      <c r="FMG113" s="3"/>
      <c r="FMH113" s="3"/>
      <c r="FMI113" s="3"/>
      <c r="FMJ113" s="3"/>
      <c r="FMK113" s="3"/>
      <c r="FML113" s="3"/>
      <c r="FMM113" s="3"/>
      <c r="FMN113" s="3"/>
      <c r="FMO113" s="3"/>
      <c r="FMP113" s="3"/>
      <c r="FMQ113" s="3"/>
      <c r="FMR113" s="3"/>
      <c r="FMS113" s="3"/>
      <c r="FMT113" s="3"/>
      <c r="FMU113" s="3"/>
      <c r="FMV113" s="3"/>
      <c r="FMW113" s="3"/>
      <c r="FMX113" s="3"/>
      <c r="FMY113" s="3"/>
      <c r="FMZ113" s="3"/>
      <c r="FNA113" s="3"/>
      <c r="FNB113" s="3"/>
      <c r="FNC113" s="3"/>
      <c r="FND113" s="3"/>
      <c r="FNE113" s="3"/>
      <c r="FNF113" s="3"/>
      <c r="FNG113" s="3"/>
      <c r="FNH113" s="3"/>
      <c r="FNI113" s="3"/>
      <c r="FNJ113" s="3"/>
      <c r="FNK113" s="3"/>
      <c r="FNL113" s="3"/>
      <c r="FNM113" s="3"/>
      <c r="FNN113" s="3"/>
      <c r="FNO113" s="3"/>
      <c r="FNP113" s="3"/>
      <c r="FNQ113" s="3"/>
      <c r="FNR113" s="3"/>
      <c r="FNS113" s="3"/>
      <c r="FNT113" s="3"/>
      <c r="FNU113" s="3"/>
      <c r="FNV113" s="3"/>
      <c r="FNW113" s="3"/>
      <c r="FNX113" s="3"/>
      <c r="FNY113" s="3"/>
      <c r="FNZ113" s="3"/>
      <c r="FOA113" s="3"/>
      <c r="FOB113" s="3"/>
      <c r="FOC113" s="3"/>
      <c r="FOD113" s="3"/>
      <c r="FOE113" s="3"/>
      <c r="FOF113" s="3"/>
      <c r="FOG113" s="3"/>
      <c r="FOH113" s="3"/>
      <c r="FOI113" s="3"/>
      <c r="FOJ113" s="3"/>
      <c r="FOK113" s="3"/>
      <c r="FOL113" s="3"/>
      <c r="FOM113" s="3"/>
      <c r="FON113" s="3"/>
      <c r="FOO113" s="3"/>
      <c r="FOP113" s="3"/>
      <c r="FOQ113" s="3"/>
      <c r="FOR113" s="3"/>
      <c r="FOS113" s="3"/>
      <c r="FOT113" s="3"/>
      <c r="FOU113" s="3"/>
      <c r="FOV113" s="3"/>
      <c r="FOW113" s="3"/>
      <c r="FOX113" s="3"/>
      <c r="FOY113" s="3"/>
      <c r="FOZ113" s="3"/>
      <c r="FPA113" s="3"/>
      <c r="FPB113" s="3"/>
      <c r="FPC113" s="3"/>
      <c r="FPD113" s="3"/>
      <c r="FPE113" s="3"/>
      <c r="FPF113" s="3"/>
      <c r="FPG113" s="3"/>
      <c r="FPH113" s="3"/>
      <c r="FPI113" s="3"/>
      <c r="FPJ113" s="3"/>
      <c r="FPK113" s="3"/>
      <c r="FPL113" s="3"/>
      <c r="FPM113" s="3"/>
      <c r="FPN113" s="3"/>
      <c r="FPO113" s="3"/>
      <c r="FPP113" s="3"/>
      <c r="FPQ113" s="3"/>
      <c r="FPR113" s="3"/>
      <c r="FPS113" s="3"/>
      <c r="FPT113" s="3"/>
      <c r="FPU113" s="3"/>
      <c r="FPV113" s="3"/>
      <c r="FPW113" s="3"/>
      <c r="FPX113" s="3"/>
      <c r="FPY113" s="3"/>
      <c r="FPZ113" s="3"/>
      <c r="FQA113" s="3"/>
      <c r="FQB113" s="3"/>
      <c r="FQC113" s="3"/>
      <c r="FQD113" s="3"/>
      <c r="FQE113" s="3"/>
      <c r="FQF113" s="3"/>
      <c r="FQG113" s="3"/>
      <c r="FQH113" s="3"/>
      <c r="FQI113" s="3"/>
      <c r="FQJ113" s="3"/>
      <c r="FQK113" s="3"/>
      <c r="FQL113" s="3"/>
      <c r="FQM113" s="3"/>
      <c r="FQN113" s="3"/>
      <c r="FQO113" s="3"/>
      <c r="FQP113" s="3"/>
      <c r="FQQ113" s="3"/>
      <c r="FQR113" s="3"/>
      <c r="FQS113" s="3"/>
      <c r="FQT113" s="3"/>
      <c r="FQU113" s="3"/>
      <c r="FQV113" s="3"/>
      <c r="FQW113" s="3"/>
      <c r="FQX113" s="3"/>
      <c r="FQY113" s="3"/>
      <c r="FQZ113" s="3"/>
      <c r="FRA113" s="3"/>
      <c r="FRB113" s="3"/>
      <c r="FRC113" s="3"/>
      <c r="FRD113" s="3"/>
      <c r="FRE113" s="3"/>
      <c r="FRF113" s="3"/>
      <c r="FRG113" s="3"/>
      <c r="FRH113" s="3"/>
      <c r="FRI113" s="3"/>
      <c r="FRJ113" s="3"/>
      <c r="FRK113" s="3"/>
      <c r="FRL113" s="3"/>
      <c r="FRM113" s="3"/>
      <c r="FRN113" s="3"/>
      <c r="FRO113" s="3"/>
      <c r="FRP113" s="3"/>
      <c r="FRQ113" s="3"/>
      <c r="FRR113" s="3"/>
      <c r="FRS113" s="3"/>
      <c r="FRT113" s="3"/>
      <c r="FRU113" s="3"/>
      <c r="FRV113" s="3"/>
      <c r="FRW113" s="3"/>
      <c r="FRX113" s="3"/>
      <c r="FRY113" s="3"/>
      <c r="FRZ113" s="3"/>
      <c r="FSA113" s="3"/>
      <c r="FSB113" s="3"/>
      <c r="FSC113" s="3"/>
      <c r="FSD113" s="3"/>
      <c r="FSE113" s="3"/>
      <c r="FSF113" s="3"/>
      <c r="FSG113" s="3"/>
      <c r="FSH113" s="3"/>
      <c r="FSI113" s="3"/>
      <c r="FSJ113" s="3"/>
      <c r="FSK113" s="3"/>
      <c r="FSL113" s="3"/>
      <c r="FSM113" s="3"/>
      <c r="FSN113" s="3"/>
      <c r="FSO113" s="3"/>
      <c r="FSP113" s="3"/>
      <c r="FSQ113" s="3"/>
      <c r="FSR113" s="3"/>
      <c r="FSS113" s="3"/>
      <c r="FST113" s="3"/>
      <c r="FSU113" s="3"/>
      <c r="FSV113" s="3"/>
      <c r="FSW113" s="3"/>
      <c r="FSX113" s="3"/>
      <c r="FSY113" s="3"/>
      <c r="FSZ113" s="3"/>
      <c r="FTA113" s="3"/>
      <c r="FTB113" s="3"/>
      <c r="FTC113" s="3"/>
      <c r="FTD113" s="3"/>
      <c r="FTE113" s="3"/>
      <c r="FTF113" s="3"/>
      <c r="FTG113" s="3"/>
      <c r="FTH113" s="3"/>
      <c r="FTI113" s="3"/>
      <c r="FTJ113" s="3"/>
      <c r="FTK113" s="3"/>
      <c r="FTL113" s="3"/>
      <c r="FTM113" s="3"/>
      <c r="FTN113" s="3"/>
      <c r="FTO113" s="3"/>
      <c r="FTP113" s="3"/>
      <c r="FTQ113" s="3"/>
      <c r="FTR113" s="3"/>
      <c r="FTS113" s="3"/>
      <c r="FTT113" s="3"/>
      <c r="FTU113" s="3"/>
      <c r="FTV113" s="3"/>
      <c r="FTW113" s="3"/>
      <c r="FTX113" s="3"/>
      <c r="FTY113" s="3"/>
      <c r="FTZ113" s="3"/>
      <c r="FUA113" s="3"/>
      <c r="FUB113" s="3"/>
      <c r="FUC113" s="3"/>
      <c r="FUD113" s="3"/>
      <c r="FUE113" s="3"/>
      <c r="FUF113" s="3"/>
      <c r="FUG113" s="3"/>
      <c r="FUH113" s="3"/>
      <c r="FUI113" s="3"/>
      <c r="FUJ113" s="3"/>
      <c r="FUK113" s="3"/>
      <c r="FUL113" s="3"/>
      <c r="FUM113" s="3"/>
      <c r="FUN113" s="3"/>
      <c r="FUO113" s="3"/>
      <c r="FUP113" s="3"/>
      <c r="FUQ113" s="3"/>
      <c r="FUR113" s="3"/>
      <c r="FUS113" s="3"/>
      <c r="FUT113" s="3"/>
      <c r="FUU113" s="3"/>
      <c r="FUV113" s="3"/>
      <c r="FUW113" s="3"/>
      <c r="FUX113" s="3"/>
      <c r="FUY113" s="3"/>
      <c r="FUZ113" s="3"/>
      <c r="FVA113" s="3"/>
      <c r="FVB113" s="3"/>
      <c r="FVC113" s="3"/>
      <c r="FVD113" s="3"/>
      <c r="FVE113" s="3"/>
      <c r="FVF113" s="3"/>
      <c r="FVG113" s="3"/>
      <c r="FVH113" s="3"/>
      <c r="FVI113" s="3"/>
      <c r="FVJ113" s="3"/>
      <c r="FVK113" s="3"/>
      <c r="FVL113" s="3"/>
      <c r="FVM113" s="3"/>
      <c r="FVN113" s="3"/>
      <c r="FVO113" s="3"/>
      <c r="FVP113" s="3"/>
      <c r="FVQ113" s="3"/>
      <c r="FVR113" s="3"/>
      <c r="FVS113" s="3"/>
      <c r="FVT113" s="3"/>
      <c r="FVU113" s="3"/>
      <c r="FVV113" s="3"/>
      <c r="FVW113" s="3"/>
      <c r="FVX113" s="3"/>
      <c r="FVY113" s="3"/>
      <c r="FVZ113" s="3"/>
      <c r="FWA113" s="3"/>
      <c r="FWB113" s="3"/>
      <c r="FWC113" s="3"/>
      <c r="FWD113" s="3"/>
      <c r="FWE113" s="3"/>
      <c r="FWF113" s="3"/>
      <c r="FWG113" s="3"/>
      <c r="FWH113" s="3"/>
      <c r="FWI113" s="3"/>
      <c r="FWJ113" s="3"/>
      <c r="FWK113" s="3"/>
      <c r="FWL113" s="3"/>
      <c r="FWM113" s="3"/>
      <c r="FWN113" s="3"/>
      <c r="FWO113" s="3"/>
      <c r="FWP113" s="3"/>
      <c r="FWQ113" s="3"/>
      <c r="FWR113" s="3"/>
      <c r="FWS113" s="3"/>
      <c r="FWT113" s="3"/>
      <c r="FWU113" s="3"/>
      <c r="FWV113" s="3"/>
      <c r="FWW113" s="3"/>
      <c r="FWX113" s="3"/>
      <c r="FWY113" s="3"/>
      <c r="FWZ113" s="3"/>
      <c r="FXA113" s="3"/>
      <c r="FXB113" s="3"/>
      <c r="FXC113" s="3"/>
      <c r="FXD113" s="3"/>
      <c r="FXE113" s="3"/>
      <c r="FXF113" s="3"/>
      <c r="FXG113" s="3"/>
      <c r="FXH113" s="3"/>
      <c r="FXI113" s="3"/>
      <c r="FXJ113" s="3"/>
      <c r="FXK113" s="3"/>
      <c r="FXL113" s="3"/>
      <c r="FXM113" s="3"/>
      <c r="FXN113" s="3"/>
      <c r="FXO113" s="3"/>
      <c r="FXP113" s="3"/>
      <c r="FXQ113" s="3"/>
      <c r="FXR113" s="3"/>
      <c r="FXS113" s="3"/>
      <c r="FXT113" s="3"/>
      <c r="FXU113" s="3"/>
      <c r="FXV113" s="3"/>
      <c r="FXW113" s="3"/>
      <c r="FXX113" s="3"/>
      <c r="FXY113" s="3"/>
      <c r="FXZ113" s="3"/>
      <c r="FYA113" s="3"/>
      <c r="FYB113" s="3"/>
      <c r="FYC113" s="3"/>
      <c r="FYD113" s="3"/>
      <c r="FYE113" s="3"/>
      <c r="FYF113" s="3"/>
      <c r="FYG113" s="3"/>
      <c r="FYH113" s="3"/>
      <c r="FYI113" s="3"/>
      <c r="FYJ113" s="3"/>
      <c r="FYK113" s="3"/>
      <c r="FYL113" s="3"/>
      <c r="FYM113" s="3"/>
      <c r="FYN113" s="3"/>
      <c r="FYO113" s="3"/>
      <c r="FYP113" s="3"/>
      <c r="FYQ113" s="3"/>
      <c r="FYR113" s="3"/>
      <c r="FYS113" s="3"/>
      <c r="FYT113" s="3"/>
      <c r="FYU113" s="3"/>
      <c r="FYV113" s="3"/>
      <c r="FYW113" s="3"/>
      <c r="FYX113" s="3"/>
      <c r="FYY113" s="3"/>
      <c r="FYZ113" s="3"/>
      <c r="FZA113" s="3"/>
      <c r="FZB113" s="3"/>
      <c r="FZC113" s="3"/>
      <c r="FZD113" s="3"/>
      <c r="FZE113" s="3"/>
      <c r="FZF113" s="3"/>
      <c r="FZG113" s="3"/>
      <c r="FZH113" s="3"/>
      <c r="FZI113" s="3"/>
      <c r="FZJ113" s="3"/>
      <c r="FZK113" s="3"/>
      <c r="FZL113" s="3"/>
      <c r="FZM113" s="3"/>
      <c r="FZN113" s="3"/>
      <c r="FZO113" s="3"/>
      <c r="FZP113" s="3"/>
      <c r="FZQ113" s="3"/>
      <c r="FZR113" s="3"/>
      <c r="FZS113" s="3"/>
      <c r="FZT113" s="3"/>
      <c r="FZU113" s="3"/>
      <c r="FZV113" s="3"/>
      <c r="FZW113" s="3"/>
      <c r="FZX113" s="3"/>
      <c r="FZY113" s="3"/>
      <c r="FZZ113" s="3"/>
      <c r="GAA113" s="3"/>
      <c r="GAB113" s="3"/>
      <c r="GAC113" s="3"/>
      <c r="GAD113" s="3"/>
      <c r="GAE113" s="3"/>
      <c r="GAF113" s="3"/>
      <c r="GAG113" s="3"/>
      <c r="GAH113" s="3"/>
      <c r="GAI113" s="3"/>
      <c r="GAJ113" s="3"/>
      <c r="GAK113" s="3"/>
      <c r="GAL113" s="3"/>
      <c r="GAM113" s="3"/>
      <c r="GAN113" s="3"/>
      <c r="GAO113" s="3"/>
      <c r="GAP113" s="3"/>
      <c r="GAQ113" s="3"/>
      <c r="GAR113" s="3"/>
      <c r="GAS113" s="3"/>
      <c r="GAT113" s="3"/>
      <c r="GAU113" s="3"/>
      <c r="GAV113" s="3"/>
      <c r="GAW113" s="3"/>
      <c r="GAX113" s="3"/>
      <c r="GAY113" s="3"/>
      <c r="GAZ113" s="3"/>
      <c r="GBA113" s="3"/>
      <c r="GBB113" s="3"/>
      <c r="GBC113" s="3"/>
      <c r="GBD113" s="3"/>
      <c r="GBE113" s="3"/>
      <c r="GBF113" s="3"/>
      <c r="GBG113" s="3"/>
      <c r="GBH113" s="3"/>
      <c r="GBI113" s="3"/>
      <c r="GBJ113" s="3"/>
      <c r="GBK113" s="3"/>
      <c r="GBL113" s="3"/>
      <c r="GBM113" s="3"/>
      <c r="GBN113" s="3"/>
      <c r="GBO113" s="3"/>
      <c r="GBP113" s="3"/>
      <c r="GBQ113" s="3"/>
      <c r="GBR113" s="3"/>
      <c r="GBS113" s="3"/>
      <c r="GBT113" s="3"/>
      <c r="GBU113" s="3"/>
      <c r="GBV113" s="3"/>
      <c r="GBW113" s="3"/>
      <c r="GBX113" s="3"/>
      <c r="GBY113" s="3"/>
      <c r="GBZ113" s="3"/>
      <c r="GCA113" s="3"/>
      <c r="GCB113" s="3"/>
      <c r="GCC113" s="3"/>
      <c r="GCD113" s="3"/>
      <c r="GCE113" s="3"/>
      <c r="GCF113" s="3"/>
      <c r="GCG113" s="3"/>
      <c r="GCH113" s="3"/>
      <c r="GCI113" s="3"/>
      <c r="GCJ113" s="3"/>
      <c r="GCK113" s="3"/>
      <c r="GCL113" s="3"/>
      <c r="GCM113" s="3"/>
      <c r="GCN113" s="3"/>
      <c r="GCO113" s="3"/>
      <c r="GCP113" s="3"/>
      <c r="GCQ113" s="3"/>
      <c r="GCR113" s="3"/>
      <c r="GCS113" s="3"/>
      <c r="GCT113" s="3"/>
      <c r="GCU113" s="3"/>
      <c r="GCV113" s="3"/>
      <c r="GCW113" s="3"/>
      <c r="GCX113" s="3"/>
      <c r="GCY113" s="3"/>
      <c r="GCZ113" s="3"/>
      <c r="GDA113" s="3"/>
      <c r="GDB113" s="3"/>
      <c r="GDC113" s="3"/>
      <c r="GDD113" s="3"/>
      <c r="GDE113" s="3"/>
      <c r="GDF113" s="3"/>
      <c r="GDG113" s="3"/>
      <c r="GDH113" s="3"/>
      <c r="GDI113" s="3"/>
      <c r="GDJ113" s="3"/>
      <c r="GDK113" s="3"/>
      <c r="GDL113" s="3"/>
      <c r="GDM113" s="3"/>
      <c r="GDN113" s="3"/>
      <c r="GDO113" s="3"/>
      <c r="GDP113" s="3"/>
      <c r="GDQ113" s="3"/>
      <c r="GDR113" s="3"/>
      <c r="GDS113" s="3"/>
      <c r="GDT113" s="3"/>
      <c r="GDU113" s="3"/>
      <c r="GDV113" s="3"/>
      <c r="GDW113" s="3"/>
      <c r="GDX113" s="3"/>
      <c r="GDY113" s="3"/>
      <c r="GDZ113" s="3"/>
      <c r="GEA113" s="3"/>
      <c r="GEB113" s="3"/>
      <c r="GEC113" s="3"/>
      <c r="GED113" s="3"/>
      <c r="GEE113" s="3"/>
      <c r="GEF113" s="3"/>
      <c r="GEG113" s="3"/>
      <c r="GEH113" s="3"/>
      <c r="GEI113" s="3"/>
      <c r="GEJ113" s="3"/>
      <c r="GEK113" s="3"/>
      <c r="GEL113" s="3"/>
      <c r="GEM113" s="3"/>
      <c r="GEN113" s="3"/>
      <c r="GEO113" s="3"/>
      <c r="GEP113" s="3"/>
      <c r="GEQ113" s="3"/>
      <c r="GER113" s="3"/>
      <c r="GES113" s="3"/>
      <c r="GET113" s="3"/>
      <c r="GEU113" s="3"/>
      <c r="GEV113" s="3"/>
      <c r="GEW113" s="3"/>
      <c r="GEX113" s="3"/>
      <c r="GEY113" s="3"/>
      <c r="GEZ113" s="3"/>
      <c r="GFA113" s="3"/>
      <c r="GFB113" s="3"/>
      <c r="GFC113" s="3"/>
      <c r="GFD113" s="3"/>
      <c r="GFE113" s="3"/>
      <c r="GFF113" s="3"/>
      <c r="GFG113" s="3"/>
      <c r="GFH113" s="3"/>
      <c r="GFI113" s="3"/>
      <c r="GFJ113" s="3"/>
      <c r="GFK113" s="3"/>
      <c r="GFL113" s="3"/>
      <c r="GFM113" s="3"/>
      <c r="GFN113" s="3"/>
      <c r="GFO113" s="3"/>
      <c r="GFP113" s="3"/>
      <c r="GFQ113" s="3"/>
      <c r="GFR113" s="3"/>
      <c r="GFS113" s="3"/>
      <c r="GFT113" s="3"/>
      <c r="GFU113" s="3"/>
      <c r="GFV113" s="3"/>
      <c r="GFW113" s="3"/>
      <c r="GFX113" s="3"/>
      <c r="GFY113" s="3"/>
      <c r="GFZ113" s="3"/>
      <c r="GGA113" s="3"/>
      <c r="GGB113" s="3"/>
      <c r="GGC113" s="3"/>
      <c r="GGD113" s="3"/>
      <c r="GGE113" s="3"/>
      <c r="GGF113" s="3"/>
      <c r="GGG113" s="3"/>
      <c r="GGH113" s="3"/>
      <c r="GGI113" s="3"/>
      <c r="GGJ113" s="3"/>
      <c r="GGK113" s="3"/>
      <c r="GGL113" s="3"/>
      <c r="GGM113" s="3"/>
      <c r="GGN113" s="3"/>
      <c r="GGO113" s="3"/>
      <c r="GGP113" s="3"/>
      <c r="GGQ113" s="3"/>
      <c r="GGR113" s="3"/>
      <c r="GGS113" s="3"/>
      <c r="GGT113" s="3"/>
      <c r="GGU113" s="3"/>
      <c r="GGV113" s="3"/>
      <c r="GGW113" s="3"/>
      <c r="GGX113" s="3"/>
      <c r="GGY113" s="3"/>
      <c r="GGZ113" s="3"/>
      <c r="GHA113" s="3"/>
      <c r="GHB113" s="3"/>
      <c r="GHC113" s="3"/>
      <c r="GHD113" s="3"/>
      <c r="GHE113" s="3"/>
      <c r="GHF113" s="3"/>
      <c r="GHG113" s="3"/>
      <c r="GHH113" s="3"/>
      <c r="GHI113" s="3"/>
      <c r="GHJ113" s="3"/>
      <c r="GHK113" s="3"/>
      <c r="GHL113" s="3"/>
      <c r="GHM113" s="3"/>
      <c r="GHN113" s="3"/>
      <c r="GHO113" s="3"/>
      <c r="GHP113" s="3"/>
      <c r="GHQ113" s="3"/>
      <c r="GHR113" s="3"/>
      <c r="GHS113" s="3"/>
      <c r="GHT113" s="3"/>
      <c r="GHU113" s="3"/>
      <c r="GHV113" s="3"/>
      <c r="GHW113" s="3"/>
      <c r="GHX113" s="3"/>
      <c r="GHY113" s="3"/>
      <c r="GHZ113" s="3"/>
      <c r="GIA113" s="3"/>
      <c r="GIB113" s="3"/>
      <c r="GIC113" s="3"/>
      <c r="GID113" s="3"/>
      <c r="GIE113" s="3"/>
      <c r="GIF113" s="3"/>
      <c r="GIG113" s="3"/>
      <c r="GIH113" s="3"/>
      <c r="GII113" s="3"/>
      <c r="GIJ113" s="3"/>
      <c r="GIK113" s="3"/>
      <c r="GIL113" s="3"/>
      <c r="GIM113" s="3"/>
      <c r="GIN113" s="3"/>
      <c r="GIO113" s="3"/>
      <c r="GIP113" s="3"/>
      <c r="GIQ113" s="3"/>
      <c r="GIR113" s="3"/>
      <c r="GIS113" s="3"/>
      <c r="GIT113" s="3"/>
      <c r="GIU113" s="3"/>
      <c r="GIV113" s="3"/>
      <c r="GIW113" s="3"/>
      <c r="GIX113" s="3"/>
      <c r="GIY113" s="3"/>
      <c r="GIZ113" s="3"/>
      <c r="GJA113" s="3"/>
      <c r="GJB113" s="3"/>
      <c r="GJC113" s="3"/>
      <c r="GJD113" s="3"/>
      <c r="GJE113" s="3"/>
      <c r="GJF113" s="3"/>
      <c r="GJG113" s="3"/>
      <c r="GJH113" s="3"/>
      <c r="GJI113" s="3"/>
      <c r="GJJ113" s="3"/>
      <c r="GJK113" s="3"/>
      <c r="GJL113" s="3"/>
      <c r="GJM113" s="3"/>
      <c r="GJN113" s="3"/>
      <c r="GJO113" s="3"/>
      <c r="GJP113" s="3"/>
      <c r="GJQ113" s="3"/>
      <c r="GJR113" s="3"/>
      <c r="GJS113" s="3"/>
      <c r="GJT113" s="3"/>
      <c r="GJU113" s="3"/>
      <c r="GJV113" s="3"/>
      <c r="GJW113" s="3"/>
      <c r="GJX113" s="3"/>
      <c r="GJY113" s="3"/>
      <c r="GJZ113" s="3"/>
      <c r="GKA113" s="3"/>
      <c r="GKB113" s="3"/>
      <c r="GKC113" s="3"/>
      <c r="GKD113" s="3"/>
      <c r="GKE113" s="3"/>
      <c r="GKF113" s="3"/>
      <c r="GKG113" s="3"/>
      <c r="GKH113" s="3"/>
      <c r="GKI113" s="3"/>
      <c r="GKJ113" s="3"/>
      <c r="GKK113" s="3"/>
      <c r="GKL113" s="3"/>
      <c r="GKM113" s="3"/>
      <c r="GKN113" s="3"/>
      <c r="GKO113" s="3"/>
      <c r="GKP113" s="3"/>
      <c r="GKQ113" s="3"/>
      <c r="GKR113" s="3"/>
      <c r="GKS113" s="3"/>
      <c r="GKT113" s="3"/>
      <c r="GKU113" s="3"/>
      <c r="GKV113" s="3"/>
      <c r="GKW113" s="3"/>
      <c r="GKX113" s="3"/>
      <c r="GKY113" s="3"/>
      <c r="GKZ113" s="3"/>
      <c r="GLA113" s="3"/>
      <c r="GLB113" s="3"/>
      <c r="GLC113" s="3"/>
      <c r="GLD113" s="3"/>
      <c r="GLE113" s="3"/>
      <c r="GLF113" s="3"/>
      <c r="GLG113" s="3"/>
      <c r="GLH113" s="3"/>
      <c r="GLI113" s="3"/>
      <c r="GLJ113" s="3"/>
      <c r="GLK113" s="3"/>
      <c r="GLL113" s="3"/>
      <c r="GLM113" s="3"/>
      <c r="GLN113" s="3"/>
      <c r="GLO113" s="3"/>
      <c r="GLP113" s="3"/>
      <c r="GLQ113" s="3"/>
      <c r="GLR113" s="3"/>
      <c r="GLS113" s="3"/>
      <c r="GLT113" s="3"/>
      <c r="GLU113" s="3"/>
      <c r="GLV113" s="3"/>
      <c r="GLW113" s="3"/>
      <c r="GLX113" s="3"/>
      <c r="GLY113" s="3"/>
      <c r="GLZ113" s="3"/>
      <c r="GMA113" s="3"/>
      <c r="GMB113" s="3"/>
      <c r="GMC113" s="3"/>
      <c r="GMD113" s="3"/>
      <c r="GME113" s="3"/>
      <c r="GMF113" s="3"/>
      <c r="GMG113" s="3"/>
      <c r="GMH113" s="3"/>
      <c r="GMI113" s="3"/>
      <c r="GMJ113" s="3"/>
      <c r="GMK113" s="3"/>
      <c r="GML113" s="3"/>
      <c r="GMM113" s="3"/>
      <c r="GMN113" s="3"/>
      <c r="GMO113" s="3"/>
      <c r="GMP113" s="3"/>
      <c r="GMQ113" s="3"/>
      <c r="GMR113" s="3"/>
      <c r="GMS113" s="3"/>
      <c r="GMT113" s="3"/>
      <c r="GMU113" s="3"/>
      <c r="GMV113" s="3"/>
      <c r="GMW113" s="3"/>
      <c r="GMX113" s="3"/>
      <c r="GMY113" s="3"/>
      <c r="GMZ113" s="3"/>
      <c r="GNA113" s="3"/>
      <c r="GNB113" s="3"/>
      <c r="GNC113" s="3"/>
      <c r="GND113" s="3"/>
      <c r="GNE113" s="3"/>
      <c r="GNF113" s="3"/>
      <c r="GNG113" s="3"/>
      <c r="GNH113" s="3"/>
      <c r="GNI113" s="3"/>
      <c r="GNJ113" s="3"/>
      <c r="GNK113" s="3"/>
      <c r="GNL113" s="3"/>
      <c r="GNM113" s="3"/>
      <c r="GNN113" s="3"/>
      <c r="GNO113" s="3"/>
      <c r="GNP113" s="3"/>
      <c r="GNQ113" s="3"/>
      <c r="GNR113" s="3"/>
      <c r="GNS113" s="3"/>
      <c r="GNT113" s="3"/>
      <c r="GNU113" s="3"/>
      <c r="GNV113" s="3"/>
      <c r="GNW113" s="3"/>
      <c r="GNX113" s="3"/>
      <c r="GNY113" s="3"/>
      <c r="GNZ113" s="3"/>
      <c r="GOA113" s="3"/>
      <c r="GOB113" s="3"/>
      <c r="GOC113" s="3"/>
      <c r="GOD113" s="3"/>
      <c r="GOE113" s="3"/>
      <c r="GOF113" s="3"/>
      <c r="GOG113" s="3"/>
      <c r="GOH113" s="3"/>
      <c r="GOI113" s="3"/>
      <c r="GOJ113" s="3"/>
      <c r="GOK113" s="3"/>
      <c r="GOL113" s="3"/>
      <c r="GOM113" s="3"/>
      <c r="GON113" s="3"/>
      <c r="GOO113" s="3"/>
      <c r="GOP113" s="3"/>
      <c r="GOQ113" s="3"/>
      <c r="GOR113" s="3"/>
      <c r="GOS113" s="3"/>
      <c r="GOT113" s="3"/>
      <c r="GOU113" s="3"/>
      <c r="GOV113" s="3"/>
      <c r="GOW113" s="3"/>
      <c r="GOX113" s="3"/>
      <c r="GOY113" s="3"/>
      <c r="GOZ113" s="3"/>
      <c r="GPA113" s="3"/>
      <c r="GPB113" s="3"/>
      <c r="GPC113" s="3"/>
      <c r="GPD113" s="3"/>
      <c r="GPE113" s="3"/>
      <c r="GPF113" s="3"/>
      <c r="GPG113" s="3"/>
      <c r="GPH113" s="3"/>
      <c r="GPI113" s="3"/>
      <c r="GPJ113" s="3"/>
      <c r="GPK113" s="3"/>
      <c r="GPL113" s="3"/>
      <c r="GPM113" s="3"/>
      <c r="GPN113" s="3"/>
      <c r="GPO113" s="3"/>
      <c r="GPP113" s="3"/>
      <c r="GPQ113" s="3"/>
      <c r="GPR113" s="3"/>
      <c r="GPS113" s="3"/>
      <c r="GPT113" s="3"/>
      <c r="GPU113" s="3"/>
      <c r="GPV113" s="3"/>
      <c r="GPW113" s="3"/>
      <c r="GPX113" s="3"/>
      <c r="GPY113" s="3"/>
      <c r="GPZ113" s="3"/>
      <c r="GQA113" s="3"/>
      <c r="GQB113" s="3"/>
      <c r="GQC113" s="3"/>
      <c r="GQD113" s="3"/>
      <c r="GQE113" s="3"/>
      <c r="GQF113" s="3"/>
      <c r="GQG113" s="3"/>
      <c r="GQH113" s="3"/>
      <c r="GQI113" s="3"/>
      <c r="GQJ113" s="3"/>
      <c r="GQK113" s="3"/>
      <c r="GQL113" s="3"/>
      <c r="GQM113" s="3"/>
      <c r="GQN113" s="3"/>
      <c r="GQO113" s="3"/>
      <c r="GQP113" s="3"/>
      <c r="GQQ113" s="3"/>
      <c r="GQR113" s="3"/>
      <c r="GQS113" s="3"/>
      <c r="GQT113" s="3"/>
      <c r="GQU113" s="3"/>
      <c r="GQV113" s="3"/>
      <c r="GQW113" s="3"/>
      <c r="GQX113" s="3"/>
      <c r="GQY113" s="3"/>
      <c r="GQZ113" s="3"/>
      <c r="GRA113" s="3"/>
      <c r="GRB113" s="3"/>
      <c r="GRC113" s="3"/>
      <c r="GRD113" s="3"/>
      <c r="GRE113" s="3"/>
      <c r="GRF113" s="3"/>
      <c r="GRG113" s="3"/>
      <c r="GRH113" s="3"/>
      <c r="GRI113" s="3"/>
      <c r="GRJ113" s="3"/>
      <c r="GRK113" s="3"/>
      <c r="GRL113" s="3"/>
      <c r="GRM113" s="3"/>
      <c r="GRN113" s="3"/>
      <c r="GRO113" s="3"/>
      <c r="GRP113" s="3"/>
      <c r="GRQ113" s="3"/>
      <c r="GRR113" s="3"/>
      <c r="GRS113" s="3"/>
      <c r="GRT113" s="3"/>
      <c r="GRU113" s="3"/>
      <c r="GRV113" s="3"/>
      <c r="GRW113" s="3"/>
      <c r="GRX113" s="3"/>
      <c r="GRY113" s="3"/>
      <c r="GRZ113" s="3"/>
      <c r="GSA113" s="3"/>
      <c r="GSB113" s="3"/>
      <c r="GSC113" s="3"/>
      <c r="GSD113" s="3"/>
      <c r="GSE113" s="3"/>
      <c r="GSF113" s="3"/>
      <c r="GSG113" s="3"/>
      <c r="GSH113" s="3"/>
      <c r="GSI113" s="3"/>
      <c r="GSJ113" s="3"/>
      <c r="GSK113" s="3"/>
      <c r="GSL113" s="3"/>
      <c r="GSM113" s="3"/>
      <c r="GSN113" s="3"/>
      <c r="GSO113" s="3"/>
      <c r="GSP113" s="3"/>
      <c r="GSQ113" s="3"/>
      <c r="GSR113" s="3"/>
      <c r="GSS113" s="3"/>
      <c r="GST113" s="3"/>
      <c r="GSU113" s="3"/>
      <c r="GSV113" s="3"/>
      <c r="GSW113" s="3"/>
      <c r="GSX113" s="3"/>
      <c r="GSY113" s="3"/>
      <c r="GSZ113" s="3"/>
      <c r="GTA113" s="3"/>
      <c r="GTB113" s="3"/>
      <c r="GTC113" s="3"/>
      <c r="GTD113" s="3"/>
      <c r="GTE113" s="3"/>
      <c r="GTF113" s="3"/>
      <c r="GTG113" s="3"/>
      <c r="GTH113" s="3"/>
      <c r="GTI113" s="3"/>
      <c r="GTJ113" s="3"/>
      <c r="GTK113" s="3"/>
      <c r="GTL113" s="3"/>
      <c r="GTM113" s="3"/>
      <c r="GTN113" s="3"/>
      <c r="GTO113" s="3"/>
      <c r="GTP113" s="3"/>
      <c r="GTQ113" s="3"/>
      <c r="GTR113" s="3"/>
      <c r="GTS113" s="3"/>
      <c r="GTT113" s="3"/>
      <c r="GTU113" s="3"/>
      <c r="GTV113" s="3"/>
      <c r="GTW113" s="3"/>
      <c r="GTX113" s="3"/>
      <c r="GTY113" s="3"/>
      <c r="GTZ113" s="3"/>
      <c r="GUA113" s="3"/>
      <c r="GUB113" s="3"/>
      <c r="GUC113" s="3"/>
      <c r="GUD113" s="3"/>
      <c r="GUE113" s="3"/>
      <c r="GUF113" s="3"/>
      <c r="GUG113" s="3"/>
      <c r="GUH113" s="3"/>
      <c r="GUI113" s="3"/>
      <c r="GUJ113" s="3"/>
      <c r="GUK113" s="3"/>
      <c r="GUL113" s="3"/>
      <c r="GUM113" s="3"/>
      <c r="GUN113" s="3"/>
      <c r="GUO113" s="3"/>
      <c r="GUP113" s="3"/>
      <c r="GUQ113" s="3"/>
      <c r="GUR113" s="3"/>
      <c r="GUS113" s="3"/>
      <c r="GUT113" s="3"/>
      <c r="GUU113" s="3"/>
      <c r="GUV113" s="3"/>
      <c r="GUW113" s="3"/>
      <c r="GUX113" s="3"/>
      <c r="GUY113" s="3"/>
      <c r="GUZ113" s="3"/>
      <c r="GVA113" s="3"/>
      <c r="GVB113" s="3"/>
      <c r="GVC113" s="3"/>
      <c r="GVD113" s="3"/>
      <c r="GVE113" s="3"/>
      <c r="GVF113" s="3"/>
      <c r="GVG113" s="3"/>
      <c r="GVH113" s="3"/>
      <c r="GVI113" s="3"/>
      <c r="GVJ113" s="3"/>
      <c r="GVK113" s="3"/>
      <c r="GVL113" s="3"/>
      <c r="GVM113" s="3"/>
      <c r="GVN113" s="3"/>
      <c r="GVO113" s="3"/>
      <c r="GVP113" s="3"/>
      <c r="GVQ113" s="3"/>
      <c r="GVR113" s="3"/>
      <c r="GVS113" s="3"/>
      <c r="GVT113" s="3"/>
      <c r="GVU113" s="3"/>
      <c r="GVV113" s="3"/>
      <c r="GVW113" s="3"/>
      <c r="GVX113" s="3"/>
      <c r="GVY113" s="3"/>
      <c r="GVZ113" s="3"/>
      <c r="GWA113" s="3"/>
      <c r="GWB113" s="3"/>
      <c r="GWC113" s="3"/>
      <c r="GWD113" s="3"/>
      <c r="GWE113" s="3"/>
      <c r="GWF113" s="3"/>
      <c r="GWG113" s="3"/>
      <c r="GWH113" s="3"/>
      <c r="GWI113" s="3"/>
      <c r="GWJ113" s="3"/>
      <c r="GWK113" s="3"/>
      <c r="GWL113" s="3"/>
      <c r="GWM113" s="3"/>
      <c r="GWN113" s="3"/>
      <c r="GWO113" s="3"/>
      <c r="GWP113" s="3"/>
      <c r="GWQ113" s="3"/>
      <c r="GWR113" s="3"/>
      <c r="GWS113" s="3"/>
      <c r="GWT113" s="3"/>
      <c r="GWU113" s="3"/>
      <c r="GWV113" s="3"/>
      <c r="GWW113" s="3"/>
      <c r="GWX113" s="3"/>
      <c r="GWY113" s="3"/>
      <c r="GWZ113" s="3"/>
      <c r="GXA113" s="3"/>
      <c r="GXB113" s="3"/>
      <c r="GXC113" s="3"/>
      <c r="GXD113" s="3"/>
      <c r="GXE113" s="3"/>
      <c r="GXF113" s="3"/>
      <c r="GXG113" s="3"/>
      <c r="GXH113" s="3"/>
      <c r="GXI113" s="3"/>
      <c r="GXJ113" s="3"/>
      <c r="GXK113" s="3"/>
      <c r="GXL113" s="3"/>
      <c r="GXM113" s="3"/>
      <c r="GXN113" s="3"/>
      <c r="GXO113" s="3"/>
      <c r="GXP113" s="3"/>
      <c r="GXQ113" s="3"/>
      <c r="GXR113" s="3"/>
      <c r="GXS113" s="3"/>
      <c r="GXT113" s="3"/>
      <c r="GXU113" s="3"/>
      <c r="GXV113" s="3"/>
      <c r="GXW113" s="3"/>
      <c r="GXX113" s="3"/>
      <c r="GXY113" s="3"/>
      <c r="GXZ113" s="3"/>
      <c r="GYA113" s="3"/>
      <c r="GYB113" s="3"/>
      <c r="GYC113" s="3"/>
      <c r="GYD113" s="3"/>
      <c r="GYE113" s="3"/>
      <c r="GYF113" s="3"/>
      <c r="GYG113" s="3"/>
      <c r="GYH113" s="3"/>
      <c r="GYI113" s="3"/>
      <c r="GYJ113" s="3"/>
      <c r="GYK113" s="3"/>
      <c r="GYL113" s="3"/>
      <c r="GYM113" s="3"/>
      <c r="GYN113" s="3"/>
      <c r="GYO113" s="3"/>
      <c r="GYP113" s="3"/>
      <c r="GYQ113" s="3"/>
      <c r="GYR113" s="3"/>
      <c r="GYS113" s="3"/>
      <c r="GYT113" s="3"/>
      <c r="GYU113" s="3"/>
      <c r="GYV113" s="3"/>
      <c r="GYW113" s="3"/>
      <c r="GYX113" s="3"/>
      <c r="GYY113" s="3"/>
      <c r="GYZ113" s="3"/>
      <c r="GZA113" s="3"/>
      <c r="GZB113" s="3"/>
      <c r="GZC113" s="3"/>
      <c r="GZD113" s="3"/>
      <c r="GZE113" s="3"/>
      <c r="GZF113" s="3"/>
      <c r="GZG113" s="3"/>
      <c r="GZH113" s="3"/>
      <c r="GZI113" s="3"/>
      <c r="GZJ113" s="3"/>
      <c r="GZK113" s="3"/>
      <c r="GZL113" s="3"/>
      <c r="GZM113" s="3"/>
      <c r="GZN113" s="3"/>
      <c r="GZO113" s="3"/>
      <c r="GZP113" s="3"/>
      <c r="GZQ113" s="3"/>
      <c r="GZR113" s="3"/>
      <c r="GZS113" s="3"/>
      <c r="GZT113" s="3"/>
      <c r="GZU113" s="3"/>
      <c r="GZV113" s="3"/>
      <c r="GZW113" s="3"/>
      <c r="GZX113" s="3"/>
      <c r="GZY113" s="3"/>
      <c r="GZZ113" s="3"/>
      <c r="HAA113" s="3"/>
      <c r="HAB113" s="3"/>
      <c r="HAC113" s="3"/>
      <c r="HAD113" s="3"/>
      <c r="HAE113" s="3"/>
      <c r="HAF113" s="3"/>
      <c r="HAG113" s="3"/>
      <c r="HAH113" s="3"/>
      <c r="HAI113" s="3"/>
      <c r="HAJ113" s="3"/>
      <c r="HAK113" s="3"/>
      <c r="HAL113" s="3"/>
      <c r="HAM113" s="3"/>
      <c r="HAN113" s="3"/>
      <c r="HAO113" s="3"/>
      <c r="HAP113" s="3"/>
      <c r="HAQ113" s="3"/>
      <c r="HAR113" s="3"/>
      <c r="HAS113" s="3"/>
      <c r="HAT113" s="3"/>
      <c r="HAU113" s="3"/>
      <c r="HAV113" s="3"/>
      <c r="HAW113" s="3"/>
      <c r="HAX113" s="3"/>
      <c r="HAY113" s="3"/>
      <c r="HAZ113" s="3"/>
      <c r="HBA113" s="3"/>
      <c r="HBB113" s="3"/>
      <c r="HBC113" s="3"/>
      <c r="HBD113" s="3"/>
      <c r="HBE113" s="3"/>
      <c r="HBF113" s="3"/>
      <c r="HBG113" s="3"/>
      <c r="HBH113" s="3"/>
      <c r="HBI113" s="3"/>
      <c r="HBJ113" s="3"/>
      <c r="HBK113" s="3"/>
      <c r="HBL113" s="3"/>
      <c r="HBM113" s="3"/>
      <c r="HBN113" s="3"/>
      <c r="HBO113" s="3"/>
      <c r="HBP113" s="3"/>
      <c r="HBQ113" s="3"/>
      <c r="HBR113" s="3"/>
      <c r="HBS113" s="3"/>
      <c r="HBT113" s="3"/>
      <c r="HBU113" s="3"/>
      <c r="HBV113" s="3"/>
      <c r="HBW113" s="3"/>
      <c r="HBX113" s="3"/>
      <c r="HBY113" s="3"/>
      <c r="HBZ113" s="3"/>
      <c r="HCA113" s="3"/>
      <c r="HCB113" s="3"/>
      <c r="HCC113" s="3"/>
      <c r="HCD113" s="3"/>
      <c r="HCE113" s="3"/>
      <c r="HCF113" s="3"/>
      <c r="HCG113" s="3"/>
      <c r="HCH113" s="3"/>
      <c r="HCI113" s="3"/>
      <c r="HCJ113" s="3"/>
      <c r="HCK113" s="3"/>
      <c r="HCL113" s="3"/>
      <c r="HCM113" s="3"/>
      <c r="HCN113" s="3"/>
      <c r="HCO113" s="3"/>
      <c r="HCP113" s="3"/>
      <c r="HCQ113" s="3"/>
      <c r="HCR113" s="3"/>
      <c r="HCS113" s="3"/>
      <c r="HCT113" s="3"/>
      <c r="HCU113" s="3"/>
      <c r="HCV113" s="3"/>
      <c r="HCW113" s="3"/>
      <c r="HCX113" s="3"/>
      <c r="HCY113" s="3"/>
      <c r="HCZ113" s="3"/>
      <c r="HDA113" s="3"/>
      <c r="HDB113" s="3"/>
      <c r="HDC113" s="3"/>
      <c r="HDD113" s="3"/>
      <c r="HDE113" s="3"/>
      <c r="HDF113" s="3"/>
      <c r="HDG113" s="3"/>
      <c r="HDH113" s="3"/>
      <c r="HDI113" s="3"/>
      <c r="HDJ113" s="3"/>
      <c r="HDK113" s="3"/>
      <c r="HDL113" s="3"/>
      <c r="HDM113" s="3"/>
      <c r="HDN113" s="3"/>
      <c r="HDO113" s="3"/>
      <c r="HDP113" s="3"/>
      <c r="HDQ113" s="3"/>
      <c r="HDR113" s="3"/>
      <c r="HDS113" s="3"/>
      <c r="HDT113" s="3"/>
      <c r="HDU113" s="3"/>
      <c r="HDV113" s="3"/>
      <c r="HDW113" s="3"/>
      <c r="HDX113" s="3"/>
      <c r="HDY113" s="3"/>
      <c r="HDZ113" s="3"/>
      <c r="HEA113" s="3"/>
      <c r="HEB113" s="3"/>
      <c r="HEC113" s="3"/>
      <c r="HED113" s="3"/>
      <c r="HEE113" s="3"/>
      <c r="HEF113" s="3"/>
      <c r="HEG113" s="3"/>
      <c r="HEH113" s="3"/>
      <c r="HEI113" s="3"/>
      <c r="HEJ113" s="3"/>
      <c r="HEK113" s="3"/>
      <c r="HEL113" s="3"/>
      <c r="HEM113" s="3"/>
      <c r="HEN113" s="3"/>
      <c r="HEO113" s="3"/>
      <c r="HEP113" s="3"/>
      <c r="HEQ113" s="3"/>
      <c r="HER113" s="3"/>
      <c r="HES113" s="3"/>
      <c r="HET113" s="3"/>
      <c r="HEU113" s="3"/>
      <c r="HEV113" s="3"/>
      <c r="HEW113" s="3"/>
      <c r="HEX113" s="3"/>
      <c r="HEY113" s="3"/>
      <c r="HEZ113" s="3"/>
      <c r="HFA113" s="3"/>
      <c r="HFB113" s="3"/>
      <c r="HFC113" s="3"/>
      <c r="HFD113" s="3"/>
      <c r="HFE113" s="3"/>
      <c r="HFF113" s="3"/>
      <c r="HFG113" s="3"/>
      <c r="HFH113" s="3"/>
      <c r="HFI113" s="3"/>
      <c r="HFJ113" s="3"/>
      <c r="HFK113" s="3"/>
      <c r="HFL113" s="3"/>
      <c r="HFM113" s="3"/>
      <c r="HFN113" s="3"/>
      <c r="HFO113" s="3"/>
      <c r="HFP113" s="3"/>
      <c r="HFQ113" s="3"/>
      <c r="HFR113" s="3"/>
      <c r="HFS113" s="3"/>
      <c r="HFT113" s="3"/>
      <c r="HFU113" s="3"/>
      <c r="HFV113" s="3"/>
      <c r="HFW113" s="3"/>
      <c r="HFX113" s="3"/>
      <c r="HFY113" s="3"/>
      <c r="HFZ113" s="3"/>
      <c r="HGA113" s="3"/>
      <c r="HGB113" s="3"/>
      <c r="HGC113" s="3"/>
      <c r="HGD113" s="3"/>
      <c r="HGE113" s="3"/>
      <c r="HGF113" s="3"/>
      <c r="HGG113" s="3"/>
      <c r="HGH113" s="3"/>
      <c r="HGI113" s="3"/>
      <c r="HGJ113" s="3"/>
      <c r="HGK113" s="3"/>
      <c r="HGL113" s="3"/>
      <c r="HGM113" s="3"/>
      <c r="HGN113" s="3"/>
      <c r="HGO113" s="3"/>
      <c r="HGP113" s="3"/>
      <c r="HGQ113" s="3"/>
      <c r="HGR113" s="3"/>
      <c r="HGS113" s="3"/>
      <c r="HGT113" s="3"/>
      <c r="HGU113" s="3"/>
      <c r="HGV113" s="3"/>
      <c r="HGW113" s="3"/>
      <c r="HGX113" s="3"/>
      <c r="HGY113" s="3"/>
      <c r="HGZ113" s="3"/>
      <c r="HHA113" s="3"/>
      <c r="HHB113" s="3"/>
      <c r="HHC113" s="3"/>
      <c r="HHD113" s="3"/>
      <c r="HHE113" s="3"/>
      <c r="HHF113" s="3"/>
      <c r="HHG113" s="3"/>
      <c r="HHH113" s="3"/>
      <c r="HHI113" s="3"/>
      <c r="HHJ113" s="3"/>
      <c r="HHK113" s="3"/>
      <c r="HHL113" s="3"/>
      <c r="HHM113" s="3"/>
      <c r="HHN113" s="3"/>
      <c r="HHO113" s="3"/>
      <c r="HHP113" s="3"/>
      <c r="HHQ113" s="3"/>
      <c r="HHR113" s="3"/>
      <c r="HHS113" s="3"/>
      <c r="HHT113" s="3"/>
      <c r="HHU113" s="3"/>
      <c r="HHV113" s="3"/>
      <c r="HHW113" s="3"/>
      <c r="HHX113" s="3"/>
      <c r="HHY113" s="3"/>
      <c r="HHZ113" s="3"/>
      <c r="HIA113" s="3"/>
      <c r="HIB113" s="3"/>
      <c r="HIC113" s="3"/>
      <c r="HID113" s="3"/>
      <c r="HIE113" s="3"/>
      <c r="HIF113" s="3"/>
      <c r="HIG113" s="3"/>
      <c r="HIH113" s="3"/>
      <c r="HII113" s="3"/>
      <c r="HIJ113" s="3"/>
      <c r="HIK113" s="3"/>
      <c r="HIL113" s="3"/>
      <c r="HIM113" s="3"/>
      <c r="HIN113" s="3"/>
      <c r="HIO113" s="3"/>
      <c r="HIP113" s="3"/>
      <c r="HIQ113" s="3"/>
      <c r="HIR113" s="3"/>
      <c r="HIS113" s="3"/>
      <c r="HIT113" s="3"/>
      <c r="HIU113" s="3"/>
      <c r="HIV113" s="3"/>
      <c r="HIW113" s="3"/>
      <c r="HIX113" s="3"/>
      <c r="HIY113" s="3"/>
      <c r="HIZ113" s="3"/>
      <c r="HJA113" s="3"/>
      <c r="HJB113" s="3"/>
      <c r="HJC113" s="3"/>
      <c r="HJD113" s="3"/>
      <c r="HJE113" s="3"/>
      <c r="HJF113" s="3"/>
      <c r="HJG113" s="3"/>
      <c r="HJH113" s="3"/>
      <c r="HJI113" s="3"/>
      <c r="HJJ113" s="3"/>
      <c r="HJK113" s="3"/>
      <c r="HJL113" s="3"/>
      <c r="HJM113" s="3"/>
      <c r="HJN113" s="3"/>
      <c r="HJO113" s="3"/>
      <c r="HJP113" s="3"/>
      <c r="HJQ113" s="3"/>
      <c r="HJR113" s="3"/>
      <c r="HJS113" s="3"/>
      <c r="HJT113" s="3"/>
      <c r="HJU113" s="3"/>
      <c r="HJV113" s="3"/>
      <c r="HJW113" s="3"/>
      <c r="HJX113" s="3"/>
      <c r="HJY113" s="3"/>
      <c r="HJZ113" s="3"/>
      <c r="HKA113" s="3"/>
      <c r="HKB113" s="3"/>
      <c r="HKC113" s="3"/>
      <c r="HKD113" s="3"/>
      <c r="HKE113" s="3"/>
      <c r="HKF113" s="3"/>
      <c r="HKG113" s="3"/>
      <c r="HKH113" s="3"/>
      <c r="HKI113" s="3"/>
      <c r="HKJ113" s="3"/>
      <c r="HKK113" s="3"/>
      <c r="HKL113" s="3"/>
      <c r="HKM113" s="3"/>
      <c r="HKN113" s="3"/>
      <c r="HKO113" s="3"/>
      <c r="HKP113" s="3"/>
      <c r="HKQ113" s="3"/>
      <c r="HKR113" s="3"/>
      <c r="HKS113" s="3"/>
      <c r="HKT113" s="3"/>
      <c r="HKU113" s="3"/>
      <c r="HKV113" s="3"/>
      <c r="HKW113" s="3"/>
      <c r="HKX113" s="3"/>
      <c r="HKY113" s="3"/>
      <c r="HKZ113" s="3"/>
      <c r="HLA113" s="3"/>
      <c r="HLB113" s="3"/>
      <c r="HLC113" s="3"/>
      <c r="HLD113" s="3"/>
      <c r="HLE113" s="3"/>
      <c r="HLF113" s="3"/>
      <c r="HLG113" s="3"/>
      <c r="HLH113" s="3"/>
      <c r="HLI113" s="3"/>
      <c r="HLJ113" s="3"/>
      <c r="HLK113" s="3"/>
      <c r="HLL113" s="3"/>
      <c r="HLM113" s="3"/>
      <c r="HLN113" s="3"/>
      <c r="HLO113" s="3"/>
      <c r="HLP113" s="3"/>
      <c r="HLQ113" s="3"/>
      <c r="HLR113" s="3"/>
      <c r="HLS113" s="3"/>
      <c r="HLT113" s="3"/>
      <c r="HLU113" s="3"/>
      <c r="HLV113" s="3"/>
      <c r="HLW113" s="3"/>
      <c r="HLX113" s="3"/>
      <c r="HLY113" s="3"/>
      <c r="HLZ113" s="3"/>
      <c r="HMA113" s="3"/>
      <c r="HMB113" s="3"/>
      <c r="HMC113" s="3"/>
      <c r="HMD113" s="3"/>
      <c r="HME113" s="3"/>
      <c r="HMF113" s="3"/>
      <c r="HMG113" s="3"/>
      <c r="HMH113" s="3"/>
      <c r="HMI113" s="3"/>
      <c r="HMJ113" s="3"/>
      <c r="HMK113" s="3"/>
      <c r="HML113" s="3"/>
      <c r="HMM113" s="3"/>
      <c r="HMN113" s="3"/>
      <c r="HMO113" s="3"/>
      <c r="HMP113" s="3"/>
      <c r="HMQ113" s="3"/>
      <c r="HMR113" s="3"/>
      <c r="HMS113" s="3"/>
      <c r="HMT113" s="3"/>
      <c r="HMU113" s="3"/>
      <c r="HMV113" s="3"/>
      <c r="HMW113" s="3"/>
      <c r="HMX113" s="3"/>
      <c r="HMY113" s="3"/>
      <c r="HMZ113" s="3"/>
      <c r="HNA113" s="3"/>
      <c r="HNB113" s="3"/>
      <c r="HNC113" s="3"/>
      <c r="HND113" s="3"/>
      <c r="HNE113" s="3"/>
      <c r="HNF113" s="3"/>
      <c r="HNG113" s="3"/>
      <c r="HNH113" s="3"/>
      <c r="HNI113" s="3"/>
      <c r="HNJ113" s="3"/>
      <c r="HNK113" s="3"/>
      <c r="HNL113" s="3"/>
      <c r="HNM113" s="3"/>
      <c r="HNN113" s="3"/>
      <c r="HNO113" s="3"/>
      <c r="HNP113" s="3"/>
      <c r="HNQ113" s="3"/>
      <c r="HNR113" s="3"/>
      <c r="HNS113" s="3"/>
      <c r="HNT113" s="3"/>
      <c r="HNU113" s="3"/>
      <c r="HNV113" s="3"/>
      <c r="HNW113" s="3"/>
      <c r="HNX113" s="3"/>
      <c r="HNY113" s="3"/>
      <c r="HNZ113" s="3"/>
      <c r="HOA113" s="3"/>
      <c r="HOB113" s="3"/>
      <c r="HOC113" s="3"/>
      <c r="HOD113" s="3"/>
      <c r="HOE113" s="3"/>
      <c r="HOF113" s="3"/>
      <c r="HOG113" s="3"/>
      <c r="HOH113" s="3"/>
      <c r="HOI113" s="3"/>
      <c r="HOJ113" s="3"/>
      <c r="HOK113" s="3"/>
      <c r="HOL113" s="3"/>
      <c r="HOM113" s="3"/>
      <c r="HON113" s="3"/>
      <c r="HOO113" s="3"/>
      <c r="HOP113" s="3"/>
      <c r="HOQ113" s="3"/>
      <c r="HOR113" s="3"/>
      <c r="HOS113" s="3"/>
      <c r="HOT113" s="3"/>
      <c r="HOU113" s="3"/>
      <c r="HOV113" s="3"/>
      <c r="HOW113" s="3"/>
      <c r="HOX113" s="3"/>
      <c r="HOY113" s="3"/>
      <c r="HOZ113" s="3"/>
      <c r="HPA113" s="3"/>
      <c r="HPB113" s="3"/>
      <c r="HPC113" s="3"/>
      <c r="HPD113" s="3"/>
      <c r="HPE113" s="3"/>
      <c r="HPF113" s="3"/>
      <c r="HPG113" s="3"/>
      <c r="HPH113" s="3"/>
      <c r="HPI113" s="3"/>
      <c r="HPJ113" s="3"/>
      <c r="HPK113" s="3"/>
      <c r="HPL113" s="3"/>
      <c r="HPM113" s="3"/>
      <c r="HPN113" s="3"/>
      <c r="HPO113" s="3"/>
      <c r="HPP113" s="3"/>
      <c r="HPQ113" s="3"/>
      <c r="HPR113" s="3"/>
      <c r="HPS113" s="3"/>
      <c r="HPT113" s="3"/>
      <c r="HPU113" s="3"/>
      <c r="HPV113" s="3"/>
      <c r="HPW113" s="3"/>
      <c r="HPX113" s="3"/>
      <c r="HPY113" s="3"/>
      <c r="HPZ113" s="3"/>
      <c r="HQA113" s="3"/>
      <c r="HQB113" s="3"/>
      <c r="HQC113" s="3"/>
      <c r="HQD113" s="3"/>
      <c r="HQE113" s="3"/>
      <c r="HQF113" s="3"/>
      <c r="HQG113" s="3"/>
      <c r="HQH113" s="3"/>
      <c r="HQI113" s="3"/>
      <c r="HQJ113" s="3"/>
      <c r="HQK113" s="3"/>
      <c r="HQL113" s="3"/>
      <c r="HQM113" s="3"/>
      <c r="HQN113" s="3"/>
      <c r="HQO113" s="3"/>
      <c r="HQP113" s="3"/>
      <c r="HQQ113" s="3"/>
      <c r="HQR113" s="3"/>
      <c r="HQS113" s="3"/>
      <c r="HQT113" s="3"/>
      <c r="HQU113" s="3"/>
      <c r="HQV113" s="3"/>
      <c r="HQW113" s="3"/>
      <c r="HQX113" s="3"/>
      <c r="HQY113" s="3"/>
      <c r="HQZ113" s="3"/>
      <c r="HRA113" s="3"/>
      <c r="HRB113" s="3"/>
      <c r="HRC113" s="3"/>
      <c r="HRD113" s="3"/>
      <c r="HRE113" s="3"/>
      <c r="HRF113" s="3"/>
      <c r="HRG113" s="3"/>
      <c r="HRH113" s="3"/>
      <c r="HRI113" s="3"/>
      <c r="HRJ113" s="3"/>
      <c r="HRK113" s="3"/>
      <c r="HRL113" s="3"/>
      <c r="HRM113" s="3"/>
      <c r="HRN113" s="3"/>
      <c r="HRO113" s="3"/>
      <c r="HRP113" s="3"/>
      <c r="HRQ113" s="3"/>
      <c r="HRR113" s="3"/>
      <c r="HRS113" s="3"/>
      <c r="HRT113" s="3"/>
      <c r="HRU113" s="3"/>
      <c r="HRV113" s="3"/>
      <c r="HRW113" s="3"/>
      <c r="HRX113" s="3"/>
      <c r="HRY113" s="3"/>
      <c r="HRZ113" s="3"/>
      <c r="HSA113" s="3"/>
      <c r="HSB113" s="3"/>
      <c r="HSC113" s="3"/>
      <c r="HSD113" s="3"/>
      <c r="HSE113" s="3"/>
      <c r="HSF113" s="3"/>
      <c r="HSG113" s="3"/>
      <c r="HSH113" s="3"/>
      <c r="HSI113" s="3"/>
      <c r="HSJ113" s="3"/>
      <c r="HSK113" s="3"/>
      <c r="HSL113" s="3"/>
      <c r="HSM113" s="3"/>
      <c r="HSN113" s="3"/>
      <c r="HSO113" s="3"/>
      <c r="HSP113" s="3"/>
      <c r="HSQ113" s="3"/>
      <c r="HSR113" s="3"/>
      <c r="HSS113" s="3"/>
      <c r="HST113" s="3"/>
      <c r="HSU113" s="3"/>
      <c r="HSV113" s="3"/>
      <c r="HSW113" s="3"/>
      <c r="HSX113" s="3"/>
      <c r="HSY113" s="3"/>
      <c r="HSZ113" s="3"/>
      <c r="HTA113" s="3"/>
      <c r="HTB113" s="3"/>
      <c r="HTC113" s="3"/>
      <c r="HTD113" s="3"/>
      <c r="HTE113" s="3"/>
      <c r="HTF113" s="3"/>
      <c r="HTG113" s="3"/>
      <c r="HTH113" s="3"/>
      <c r="HTI113" s="3"/>
      <c r="HTJ113" s="3"/>
      <c r="HTK113" s="3"/>
      <c r="HTL113" s="3"/>
      <c r="HTM113" s="3"/>
      <c r="HTN113" s="3"/>
      <c r="HTO113" s="3"/>
      <c r="HTP113" s="3"/>
      <c r="HTQ113" s="3"/>
      <c r="HTR113" s="3"/>
      <c r="HTS113" s="3"/>
      <c r="HTT113" s="3"/>
      <c r="HTU113" s="3"/>
      <c r="HTV113" s="3"/>
      <c r="HTW113" s="3"/>
      <c r="HTX113" s="3"/>
      <c r="HTY113" s="3"/>
      <c r="HTZ113" s="3"/>
      <c r="HUA113" s="3"/>
      <c r="HUB113" s="3"/>
      <c r="HUC113" s="3"/>
      <c r="HUD113" s="3"/>
      <c r="HUE113" s="3"/>
      <c r="HUF113" s="3"/>
      <c r="HUG113" s="3"/>
      <c r="HUH113" s="3"/>
      <c r="HUI113" s="3"/>
      <c r="HUJ113" s="3"/>
      <c r="HUK113" s="3"/>
      <c r="HUL113" s="3"/>
      <c r="HUM113" s="3"/>
      <c r="HUN113" s="3"/>
      <c r="HUO113" s="3"/>
      <c r="HUP113" s="3"/>
      <c r="HUQ113" s="3"/>
      <c r="HUR113" s="3"/>
      <c r="HUS113" s="3"/>
      <c r="HUT113" s="3"/>
      <c r="HUU113" s="3"/>
      <c r="HUV113" s="3"/>
      <c r="HUW113" s="3"/>
      <c r="HUX113" s="3"/>
      <c r="HUY113" s="3"/>
      <c r="HUZ113" s="3"/>
      <c r="HVA113" s="3"/>
      <c r="HVB113" s="3"/>
      <c r="HVC113" s="3"/>
      <c r="HVD113" s="3"/>
      <c r="HVE113" s="3"/>
      <c r="HVF113" s="3"/>
      <c r="HVG113" s="3"/>
      <c r="HVH113" s="3"/>
      <c r="HVI113" s="3"/>
      <c r="HVJ113" s="3"/>
      <c r="HVK113" s="3"/>
      <c r="HVL113" s="3"/>
      <c r="HVM113" s="3"/>
      <c r="HVN113" s="3"/>
      <c r="HVO113" s="3"/>
      <c r="HVP113" s="3"/>
      <c r="HVQ113" s="3"/>
      <c r="HVR113" s="3"/>
      <c r="HVS113" s="3"/>
      <c r="HVT113" s="3"/>
      <c r="HVU113" s="3"/>
      <c r="HVV113" s="3"/>
      <c r="HVW113" s="3"/>
      <c r="HVX113" s="3"/>
      <c r="HVY113" s="3"/>
      <c r="HVZ113" s="3"/>
      <c r="HWA113" s="3"/>
      <c r="HWB113" s="3"/>
      <c r="HWC113" s="3"/>
      <c r="HWD113" s="3"/>
      <c r="HWE113" s="3"/>
      <c r="HWF113" s="3"/>
      <c r="HWG113" s="3"/>
      <c r="HWH113" s="3"/>
      <c r="HWI113" s="3"/>
      <c r="HWJ113" s="3"/>
      <c r="HWK113" s="3"/>
      <c r="HWL113" s="3"/>
      <c r="HWM113" s="3"/>
      <c r="HWN113" s="3"/>
      <c r="HWO113" s="3"/>
      <c r="HWP113" s="3"/>
      <c r="HWQ113" s="3"/>
      <c r="HWR113" s="3"/>
      <c r="HWS113" s="3"/>
      <c r="HWT113" s="3"/>
      <c r="HWU113" s="3"/>
      <c r="HWV113" s="3"/>
      <c r="HWW113" s="3"/>
      <c r="HWX113" s="3"/>
      <c r="HWY113" s="3"/>
      <c r="HWZ113" s="3"/>
      <c r="HXA113" s="3"/>
      <c r="HXB113" s="3"/>
      <c r="HXC113" s="3"/>
      <c r="HXD113" s="3"/>
      <c r="HXE113" s="3"/>
      <c r="HXF113" s="3"/>
      <c r="HXG113" s="3"/>
      <c r="HXH113" s="3"/>
      <c r="HXI113" s="3"/>
      <c r="HXJ113" s="3"/>
      <c r="HXK113" s="3"/>
      <c r="HXL113" s="3"/>
      <c r="HXM113" s="3"/>
      <c r="HXN113" s="3"/>
      <c r="HXO113" s="3"/>
      <c r="HXP113" s="3"/>
      <c r="HXQ113" s="3"/>
      <c r="HXR113" s="3"/>
      <c r="HXS113" s="3"/>
      <c r="HXT113" s="3"/>
      <c r="HXU113" s="3"/>
      <c r="HXV113" s="3"/>
      <c r="HXW113" s="3"/>
      <c r="HXX113" s="3"/>
      <c r="HXY113" s="3"/>
      <c r="HXZ113" s="3"/>
      <c r="HYA113" s="3"/>
      <c r="HYB113" s="3"/>
      <c r="HYC113" s="3"/>
      <c r="HYD113" s="3"/>
      <c r="HYE113" s="3"/>
      <c r="HYF113" s="3"/>
      <c r="HYG113" s="3"/>
      <c r="HYH113" s="3"/>
      <c r="HYI113" s="3"/>
      <c r="HYJ113" s="3"/>
      <c r="HYK113" s="3"/>
      <c r="HYL113" s="3"/>
      <c r="HYM113" s="3"/>
      <c r="HYN113" s="3"/>
      <c r="HYO113" s="3"/>
      <c r="HYP113" s="3"/>
      <c r="HYQ113" s="3"/>
      <c r="HYR113" s="3"/>
      <c r="HYS113" s="3"/>
      <c r="HYT113" s="3"/>
      <c r="HYU113" s="3"/>
      <c r="HYV113" s="3"/>
      <c r="HYW113" s="3"/>
      <c r="HYX113" s="3"/>
      <c r="HYY113" s="3"/>
      <c r="HYZ113" s="3"/>
      <c r="HZA113" s="3"/>
      <c r="HZB113" s="3"/>
      <c r="HZC113" s="3"/>
      <c r="HZD113" s="3"/>
      <c r="HZE113" s="3"/>
      <c r="HZF113" s="3"/>
      <c r="HZG113" s="3"/>
      <c r="HZH113" s="3"/>
      <c r="HZI113" s="3"/>
      <c r="HZJ113" s="3"/>
      <c r="HZK113" s="3"/>
      <c r="HZL113" s="3"/>
      <c r="HZM113" s="3"/>
      <c r="HZN113" s="3"/>
      <c r="HZO113" s="3"/>
      <c r="HZP113" s="3"/>
      <c r="HZQ113" s="3"/>
      <c r="HZR113" s="3"/>
      <c r="HZS113" s="3"/>
      <c r="HZT113" s="3"/>
      <c r="HZU113" s="3"/>
      <c r="HZV113" s="3"/>
      <c r="HZW113" s="3"/>
      <c r="HZX113" s="3"/>
      <c r="HZY113" s="3"/>
      <c r="HZZ113" s="3"/>
      <c r="IAA113" s="3"/>
      <c r="IAB113" s="3"/>
      <c r="IAC113" s="3"/>
      <c r="IAD113" s="3"/>
      <c r="IAE113" s="3"/>
      <c r="IAF113" s="3"/>
      <c r="IAG113" s="3"/>
      <c r="IAH113" s="3"/>
      <c r="IAI113" s="3"/>
      <c r="IAJ113" s="3"/>
      <c r="IAK113" s="3"/>
      <c r="IAL113" s="3"/>
      <c r="IAM113" s="3"/>
      <c r="IAN113" s="3"/>
      <c r="IAO113" s="3"/>
      <c r="IAP113" s="3"/>
      <c r="IAQ113" s="3"/>
      <c r="IAR113" s="3"/>
      <c r="IAS113" s="3"/>
      <c r="IAT113" s="3"/>
      <c r="IAU113" s="3"/>
      <c r="IAV113" s="3"/>
      <c r="IAW113" s="3"/>
      <c r="IAX113" s="3"/>
      <c r="IAY113" s="3"/>
      <c r="IAZ113" s="3"/>
      <c r="IBA113" s="3"/>
      <c r="IBB113" s="3"/>
      <c r="IBC113" s="3"/>
      <c r="IBD113" s="3"/>
      <c r="IBE113" s="3"/>
      <c r="IBF113" s="3"/>
      <c r="IBG113" s="3"/>
      <c r="IBH113" s="3"/>
      <c r="IBI113" s="3"/>
      <c r="IBJ113" s="3"/>
      <c r="IBK113" s="3"/>
      <c r="IBL113" s="3"/>
      <c r="IBM113" s="3"/>
      <c r="IBN113" s="3"/>
      <c r="IBO113" s="3"/>
      <c r="IBP113" s="3"/>
      <c r="IBQ113" s="3"/>
      <c r="IBR113" s="3"/>
      <c r="IBS113" s="3"/>
      <c r="IBT113" s="3"/>
      <c r="IBU113" s="3"/>
      <c r="IBV113" s="3"/>
      <c r="IBW113" s="3"/>
      <c r="IBX113" s="3"/>
      <c r="IBY113" s="3"/>
      <c r="IBZ113" s="3"/>
      <c r="ICA113" s="3"/>
      <c r="ICB113" s="3"/>
      <c r="ICC113" s="3"/>
      <c r="ICD113" s="3"/>
      <c r="ICE113" s="3"/>
      <c r="ICF113" s="3"/>
      <c r="ICG113" s="3"/>
      <c r="ICH113" s="3"/>
      <c r="ICI113" s="3"/>
      <c r="ICJ113" s="3"/>
      <c r="ICK113" s="3"/>
      <c r="ICL113" s="3"/>
      <c r="ICM113" s="3"/>
      <c r="ICN113" s="3"/>
      <c r="ICO113" s="3"/>
      <c r="ICP113" s="3"/>
      <c r="ICQ113" s="3"/>
      <c r="ICR113" s="3"/>
      <c r="ICS113" s="3"/>
      <c r="ICT113" s="3"/>
      <c r="ICU113" s="3"/>
      <c r="ICV113" s="3"/>
      <c r="ICW113" s="3"/>
      <c r="ICX113" s="3"/>
      <c r="ICY113" s="3"/>
      <c r="ICZ113" s="3"/>
      <c r="IDA113" s="3"/>
      <c r="IDB113" s="3"/>
      <c r="IDC113" s="3"/>
      <c r="IDD113" s="3"/>
      <c r="IDE113" s="3"/>
      <c r="IDF113" s="3"/>
      <c r="IDG113" s="3"/>
      <c r="IDH113" s="3"/>
      <c r="IDI113" s="3"/>
      <c r="IDJ113" s="3"/>
      <c r="IDK113" s="3"/>
      <c r="IDL113" s="3"/>
      <c r="IDM113" s="3"/>
      <c r="IDN113" s="3"/>
      <c r="IDO113" s="3"/>
      <c r="IDP113" s="3"/>
      <c r="IDQ113" s="3"/>
      <c r="IDR113" s="3"/>
      <c r="IDS113" s="3"/>
      <c r="IDT113" s="3"/>
      <c r="IDU113" s="3"/>
      <c r="IDV113" s="3"/>
      <c r="IDW113" s="3"/>
      <c r="IDX113" s="3"/>
      <c r="IDY113" s="3"/>
      <c r="IDZ113" s="3"/>
      <c r="IEA113" s="3"/>
      <c r="IEB113" s="3"/>
      <c r="IEC113" s="3"/>
      <c r="IED113" s="3"/>
      <c r="IEE113" s="3"/>
      <c r="IEF113" s="3"/>
      <c r="IEG113" s="3"/>
      <c r="IEH113" s="3"/>
      <c r="IEI113" s="3"/>
      <c r="IEJ113" s="3"/>
      <c r="IEK113" s="3"/>
      <c r="IEL113" s="3"/>
      <c r="IEM113" s="3"/>
      <c r="IEN113" s="3"/>
      <c r="IEO113" s="3"/>
      <c r="IEP113" s="3"/>
      <c r="IEQ113" s="3"/>
      <c r="IER113" s="3"/>
      <c r="IES113" s="3"/>
      <c r="IET113" s="3"/>
      <c r="IEU113" s="3"/>
      <c r="IEV113" s="3"/>
      <c r="IEW113" s="3"/>
      <c r="IEX113" s="3"/>
      <c r="IEY113" s="3"/>
      <c r="IEZ113" s="3"/>
      <c r="IFA113" s="3"/>
      <c r="IFB113" s="3"/>
      <c r="IFC113" s="3"/>
      <c r="IFD113" s="3"/>
      <c r="IFE113" s="3"/>
      <c r="IFF113" s="3"/>
      <c r="IFG113" s="3"/>
      <c r="IFH113" s="3"/>
      <c r="IFI113" s="3"/>
      <c r="IFJ113" s="3"/>
      <c r="IFK113" s="3"/>
      <c r="IFL113" s="3"/>
      <c r="IFM113" s="3"/>
      <c r="IFN113" s="3"/>
      <c r="IFO113" s="3"/>
      <c r="IFP113" s="3"/>
      <c r="IFQ113" s="3"/>
      <c r="IFR113" s="3"/>
      <c r="IFS113" s="3"/>
      <c r="IFT113" s="3"/>
      <c r="IFU113" s="3"/>
      <c r="IFV113" s="3"/>
      <c r="IFW113" s="3"/>
      <c r="IFX113" s="3"/>
      <c r="IFY113" s="3"/>
      <c r="IFZ113" s="3"/>
      <c r="IGA113" s="3"/>
      <c r="IGB113" s="3"/>
      <c r="IGC113" s="3"/>
      <c r="IGD113" s="3"/>
      <c r="IGE113" s="3"/>
      <c r="IGF113" s="3"/>
      <c r="IGG113" s="3"/>
      <c r="IGH113" s="3"/>
      <c r="IGI113" s="3"/>
      <c r="IGJ113" s="3"/>
      <c r="IGK113" s="3"/>
      <c r="IGL113" s="3"/>
      <c r="IGM113" s="3"/>
      <c r="IGN113" s="3"/>
      <c r="IGO113" s="3"/>
      <c r="IGP113" s="3"/>
      <c r="IGQ113" s="3"/>
      <c r="IGR113" s="3"/>
      <c r="IGS113" s="3"/>
      <c r="IGT113" s="3"/>
      <c r="IGU113" s="3"/>
      <c r="IGV113" s="3"/>
      <c r="IGW113" s="3"/>
      <c r="IGX113" s="3"/>
      <c r="IGY113" s="3"/>
      <c r="IGZ113" s="3"/>
      <c r="IHA113" s="3"/>
      <c r="IHB113" s="3"/>
      <c r="IHC113" s="3"/>
      <c r="IHD113" s="3"/>
      <c r="IHE113" s="3"/>
      <c r="IHF113" s="3"/>
      <c r="IHG113" s="3"/>
      <c r="IHH113" s="3"/>
      <c r="IHI113" s="3"/>
      <c r="IHJ113" s="3"/>
      <c r="IHK113" s="3"/>
      <c r="IHL113" s="3"/>
      <c r="IHM113" s="3"/>
      <c r="IHN113" s="3"/>
      <c r="IHO113" s="3"/>
      <c r="IHP113" s="3"/>
      <c r="IHQ113" s="3"/>
      <c r="IHR113" s="3"/>
      <c r="IHS113" s="3"/>
      <c r="IHT113" s="3"/>
      <c r="IHU113" s="3"/>
      <c r="IHV113" s="3"/>
      <c r="IHW113" s="3"/>
      <c r="IHX113" s="3"/>
      <c r="IHY113" s="3"/>
      <c r="IHZ113" s="3"/>
      <c r="IIA113" s="3"/>
      <c r="IIB113" s="3"/>
      <c r="IIC113" s="3"/>
      <c r="IID113" s="3"/>
      <c r="IIE113" s="3"/>
      <c r="IIF113" s="3"/>
      <c r="IIG113" s="3"/>
      <c r="IIH113" s="3"/>
      <c r="III113" s="3"/>
      <c r="IIJ113" s="3"/>
      <c r="IIK113" s="3"/>
      <c r="IIL113" s="3"/>
      <c r="IIM113" s="3"/>
      <c r="IIN113" s="3"/>
      <c r="IIO113" s="3"/>
      <c r="IIP113" s="3"/>
      <c r="IIQ113" s="3"/>
      <c r="IIR113" s="3"/>
      <c r="IIS113" s="3"/>
      <c r="IIT113" s="3"/>
      <c r="IIU113" s="3"/>
      <c r="IIV113" s="3"/>
      <c r="IIW113" s="3"/>
      <c r="IIX113" s="3"/>
      <c r="IIY113" s="3"/>
      <c r="IIZ113" s="3"/>
      <c r="IJA113" s="3"/>
      <c r="IJB113" s="3"/>
      <c r="IJC113" s="3"/>
      <c r="IJD113" s="3"/>
      <c r="IJE113" s="3"/>
      <c r="IJF113" s="3"/>
      <c r="IJG113" s="3"/>
      <c r="IJH113" s="3"/>
      <c r="IJI113" s="3"/>
      <c r="IJJ113" s="3"/>
      <c r="IJK113" s="3"/>
      <c r="IJL113" s="3"/>
      <c r="IJM113" s="3"/>
      <c r="IJN113" s="3"/>
      <c r="IJO113" s="3"/>
      <c r="IJP113" s="3"/>
      <c r="IJQ113" s="3"/>
      <c r="IJR113" s="3"/>
      <c r="IJS113" s="3"/>
      <c r="IJT113" s="3"/>
      <c r="IJU113" s="3"/>
      <c r="IJV113" s="3"/>
      <c r="IJW113" s="3"/>
      <c r="IJX113" s="3"/>
      <c r="IJY113" s="3"/>
      <c r="IJZ113" s="3"/>
      <c r="IKA113" s="3"/>
      <c r="IKB113" s="3"/>
      <c r="IKC113" s="3"/>
      <c r="IKD113" s="3"/>
      <c r="IKE113" s="3"/>
      <c r="IKF113" s="3"/>
      <c r="IKG113" s="3"/>
      <c r="IKH113" s="3"/>
      <c r="IKI113" s="3"/>
      <c r="IKJ113" s="3"/>
      <c r="IKK113" s="3"/>
      <c r="IKL113" s="3"/>
      <c r="IKM113" s="3"/>
      <c r="IKN113" s="3"/>
      <c r="IKO113" s="3"/>
      <c r="IKP113" s="3"/>
      <c r="IKQ113" s="3"/>
      <c r="IKR113" s="3"/>
      <c r="IKS113" s="3"/>
      <c r="IKT113" s="3"/>
      <c r="IKU113" s="3"/>
      <c r="IKV113" s="3"/>
      <c r="IKW113" s="3"/>
      <c r="IKX113" s="3"/>
      <c r="IKY113" s="3"/>
      <c r="IKZ113" s="3"/>
      <c r="ILA113" s="3"/>
      <c r="ILB113" s="3"/>
      <c r="ILC113" s="3"/>
      <c r="ILD113" s="3"/>
      <c r="ILE113" s="3"/>
      <c r="ILF113" s="3"/>
      <c r="ILG113" s="3"/>
      <c r="ILH113" s="3"/>
      <c r="ILI113" s="3"/>
      <c r="ILJ113" s="3"/>
      <c r="ILK113" s="3"/>
      <c r="ILL113" s="3"/>
      <c r="ILM113" s="3"/>
      <c r="ILN113" s="3"/>
      <c r="ILO113" s="3"/>
      <c r="ILP113" s="3"/>
      <c r="ILQ113" s="3"/>
      <c r="ILR113" s="3"/>
      <c r="ILS113" s="3"/>
      <c r="ILT113" s="3"/>
      <c r="ILU113" s="3"/>
      <c r="ILV113" s="3"/>
      <c r="ILW113" s="3"/>
      <c r="ILX113" s="3"/>
      <c r="ILY113" s="3"/>
      <c r="ILZ113" s="3"/>
      <c r="IMA113" s="3"/>
      <c r="IMB113" s="3"/>
      <c r="IMC113" s="3"/>
      <c r="IMD113" s="3"/>
      <c r="IME113" s="3"/>
      <c r="IMF113" s="3"/>
      <c r="IMG113" s="3"/>
      <c r="IMH113" s="3"/>
      <c r="IMI113" s="3"/>
      <c r="IMJ113" s="3"/>
      <c r="IMK113" s="3"/>
      <c r="IML113" s="3"/>
      <c r="IMM113" s="3"/>
      <c r="IMN113" s="3"/>
      <c r="IMO113" s="3"/>
      <c r="IMP113" s="3"/>
      <c r="IMQ113" s="3"/>
      <c r="IMR113" s="3"/>
      <c r="IMS113" s="3"/>
      <c r="IMT113" s="3"/>
      <c r="IMU113" s="3"/>
      <c r="IMV113" s="3"/>
      <c r="IMW113" s="3"/>
      <c r="IMX113" s="3"/>
      <c r="IMY113" s="3"/>
      <c r="IMZ113" s="3"/>
      <c r="INA113" s="3"/>
      <c r="INB113" s="3"/>
      <c r="INC113" s="3"/>
      <c r="IND113" s="3"/>
      <c r="INE113" s="3"/>
      <c r="INF113" s="3"/>
      <c r="ING113" s="3"/>
      <c r="INH113" s="3"/>
      <c r="INI113" s="3"/>
      <c r="INJ113" s="3"/>
      <c r="INK113" s="3"/>
      <c r="INL113" s="3"/>
      <c r="INM113" s="3"/>
      <c r="INN113" s="3"/>
      <c r="INO113" s="3"/>
      <c r="INP113" s="3"/>
      <c r="INQ113" s="3"/>
      <c r="INR113" s="3"/>
      <c r="INS113" s="3"/>
      <c r="INT113" s="3"/>
      <c r="INU113" s="3"/>
      <c r="INV113" s="3"/>
      <c r="INW113" s="3"/>
      <c r="INX113" s="3"/>
      <c r="INY113" s="3"/>
      <c r="INZ113" s="3"/>
      <c r="IOA113" s="3"/>
      <c r="IOB113" s="3"/>
      <c r="IOC113" s="3"/>
      <c r="IOD113" s="3"/>
      <c r="IOE113" s="3"/>
      <c r="IOF113" s="3"/>
      <c r="IOG113" s="3"/>
      <c r="IOH113" s="3"/>
      <c r="IOI113" s="3"/>
      <c r="IOJ113" s="3"/>
      <c r="IOK113" s="3"/>
      <c r="IOL113" s="3"/>
      <c r="IOM113" s="3"/>
      <c r="ION113" s="3"/>
      <c r="IOO113" s="3"/>
      <c r="IOP113" s="3"/>
      <c r="IOQ113" s="3"/>
      <c r="IOR113" s="3"/>
      <c r="IOS113" s="3"/>
      <c r="IOT113" s="3"/>
      <c r="IOU113" s="3"/>
      <c r="IOV113" s="3"/>
      <c r="IOW113" s="3"/>
      <c r="IOX113" s="3"/>
      <c r="IOY113" s="3"/>
      <c r="IOZ113" s="3"/>
      <c r="IPA113" s="3"/>
      <c r="IPB113" s="3"/>
      <c r="IPC113" s="3"/>
      <c r="IPD113" s="3"/>
      <c r="IPE113" s="3"/>
      <c r="IPF113" s="3"/>
      <c r="IPG113" s="3"/>
      <c r="IPH113" s="3"/>
      <c r="IPI113" s="3"/>
      <c r="IPJ113" s="3"/>
      <c r="IPK113" s="3"/>
      <c r="IPL113" s="3"/>
      <c r="IPM113" s="3"/>
      <c r="IPN113" s="3"/>
      <c r="IPO113" s="3"/>
      <c r="IPP113" s="3"/>
      <c r="IPQ113" s="3"/>
      <c r="IPR113" s="3"/>
      <c r="IPS113" s="3"/>
      <c r="IPT113" s="3"/>
      <c r="IPU113" s="3"/>
      <c r="IPV113" s="3"/>
      <c r="IPW113" s="3"/>
      <c r="IPX113" s="3"/>
      <c r="IPY113" s="3"/>
      <c r="IPZ113" s="3"/>
      <c r="IQA113" s="3"/>
      <c r="IQB113" s="3"/>
      <c r="IQC113" s="3"/>
      <c r="IQD113" s="3"/>
      <c r="IQE113" s="3"/>
      <c r="IQF113" s="3"/>
      <c r="IQG113" s="3"/>
      <c r="IQH113" s="3"/>
      <c r="IQI113" s="3"/>
      <c r="IQJ113" s="3"/>
      <c r="IQK113" s="3"/>
      <c r="IQL113" s="3"/>
      <c r="IQM113" s="3"/>
      <c r="IQN113" s="3"/>
      <c r="IQO113" s="3"/>
      <c r="IQP113" s="3"/>
      <c r="IQQ113" s="3"/>
      <c r="IQR113" s="3"/>
      <c r="IQS113" s="3"/>
      <c r="IQT113" s="3"/>
      <c r="IQU113" s="3"/>
      <c r="IQV113" s="3"/>
      <c r="IQW113" s="3"/>
      <c r="IQX113" s="3"/>
      <c r="IQY113" s="3"/>
      <c r="IQZ113" s="3"/>
      <c r="IRA113" s="3"/>
      <c r="IRB113" s="3"/>
      <c r="IRC113" s="3"/>
      <c r="IRD113" s="3"/>
      <c r="IRE113" s="3"/>
      <c r="IRF113" s="3"/>
      <c r="IRG113" s="3"/>
      <c r="IRH113" s="3"/>
      <c r="IRI113" s="3"/>
      <c r="IRJ113" s="3"/>
      <c r="IRK113" s="3"/>
      <c r="IRL113" s="3"/>
      <c r="IRM113" s="3"/>
      <c r="IRN113" s="3"/>
      <c r="IRO113" s="3"/>
      <c r="IRP113" s="3"/>
      <c r="IRQ113" s="3"/>
      <c r="IRR113" s="3"/>
      <c r="IRS113" s="3"/>
      <c r="IRT113" s="3"/>
      <c r="IRU113" s="3"/>
      <c r="IRV113" s="3"/>
      <c r="IRW113" s="3"/>
      <c r="IRX113" s="3"/>
      <c r="IRY113" s="3"/>
      <c r="IRZ113" s="3"/>
      <c r="ISA113" s="3"/>
      <c r="ISB113" s="3"/>
      <c r="ISC113" s="3"/>
      <c r="ISD113" s="3"/>
      <c r="ISE113" s="3"/>
      <c r="ISF113" s="3"/>
      <c r="ISG113" s="3"/>
      <c r="ISH113" s="3"/>
      <c r="ISI113" s="3"/>
      <c r="ISJ113" s="3"/>
      <c r="ISK113" s="3"/>
      <c r="ISL113" s="3"/>
      <c r="ISM113" s="3"/>
      <c r="ISN113" s="3"/>
      <c r="ISO113" s="3"/>
      <c r="ISP113" s="3"/>
      <c r="ISQ113" s="3"/>
      <c r="ISR113" s="3"/>
      <c r="ISS113" s="3"/>
      <c r="IST113" s="3"/>
      <c r="ISU113" s="3"/>
      <c r="ISV113" s="3"/>
      <c r="ISW113" s="3"/>
      <c r="ISX113" s="3"/>
      <c r="ISY113" s="3"/>
      <c r="ISZ113" s="3"/>
      <c r="ITA113" s="3"/>
      <c r="ITB113" s="3"/>
      <c r="ITC113" s="3"/>
      <c r="ITD113" s="3"/>
      <c r="ITE113" s="3"/>
      <c r="ITF113" s="3"/>
      <c r="ITG113" s="3"/>
      <c r="ITH113" s="3"/>
      <c r="ITI113" s="3"/>
      <c r="ITJ113" s="3"/>
      <c r="ITK113" s="3"/>
      <c r="ITL113" s="3"/>
      <c r="ITM113" s="3"/>
      <c r="ITN113" s="3"/>
      <c r="ITO113" s="3"/>
      <c r="ITP113" s="3"/>
      <c r="ITQ113" s="3"/>
      <c r="ITR113" s="3"/>
      <c r="ITS113" s="3"/>
      <c r="ITT113" s="3"/>
      <c r="ITU113" s="3"/>
      <c r="ITV113" s="3"/>
      <c r="ITW113" s="3"/>
      <c r="ITX113" s="3"/>
      <c r="ITY113" s="3"/>
      <c r="ITZ113" s="3"/>
      <c r="IUA113" s="3"/>
      <c r="IUB113" s="3"/>
      <c r="IUC113" s="3"/>
      <c r="IUD113" s="3"/>
      <c r="IUE113" s="3"/>
      <c r="IUF113" s="3"/>
      <c r="IUG113" s="3"/>
      <c r="IUH113" s="3"/>
      <c r="IUI113" s="3"/>
      <c r="IUJ113" s="3"/>
      <c r="IUK113" s="3"/>
      <c r="IUL113" s="3"/>
      <c r="IUM113" s="3"/>
      <c r="IUN113" s="3"/>
      <c r="IUO113" s="3"/>
      <c r="IUP113" s="3"/>
      <c r="IUQ113" s="3"/>
      <c r="IUR113" s="3"/>
      <c r="IUS113" s="3"/>
      <c r="IUT113" s="3"/>
      <c r="IUU113" s="3"/>
      <c r="IUV113" s="3"/>
      <c r="IUW113" s="3"/>
      <c r="IUX113" s="3"/>
      <c r="IUY113" s="3"/>
      <c r="IUZ113" s="3"/>
      <c r="IVA113" s="3"/>
      <c r="IVB113" s="3"/>
      <c r="IVC113" s="3"/>
      <c r="IVD113" s="3"/>
      <c r="IVE113" s="3"/>
      <c r="IVF113" s="3"/>
      <c r="IVG113" s="3"/>
      <c r="IVH113" s="3"/>
      <c r="IVI113" s="3"/>
      <c r="IVJ113" s="3"/>
      <c r="IVK113" s="3"/>
      <c r="IVL113" s="3"/>
      <c r="IVM113" s="3"/>
      <c r="IVN113" s="3"/>
      <c r="IVO113" s="3"/>
      <c r="IVP113" s="3"/>
      <c r="IVQ113" s="3"/>
      <c r="IVR113" s="3"/>
      <c r="IVS113" s="3"/>
      <c r="IVT113" s="3"/>
      <c r="IVU113" s="3"/>
      <c r="IVV113" s="3"/>
      <c r="IVW113" s="3"/>
      <c r="IVX113" s="3"/>
      <c r="IVY113" s="3"/>
      <c r="IVZ113" s="3"/>
      <c r="IWA113" s="3"/>
      <c r="IWB113" s="3"/>
      <c r="IWC113" s="3"/>
      <c r="IWD113" s="3"/>
      <c r="IWE113" s="3"/>
      <c r="IWF113" s="3"/>
      <c r="IWG113" s="3"/>
      <c r="IWH113" s="3"/>
      <c r="IWI113" s="3"/>
      <c r="IWJ113" s="3"/>
      <c r="IWK113" s="3"/>
      <c r="IWL113" s="3"/>
      <c r="IWM113" s="3"/>
      <c r="IWN113" s="3"/>
      <c r="IWO113" s="3"/>
      <c r="IWP113" s="3"/>
      <c r="IWQ113" s="3"/>
      <c r="IWR113" s="3"/>
      <c r="IWS113" s="3"/>
      <c r="IWT113" s="3"/>
      <c r="IWU113" s="3"/>
      <c r="IWV113" s="3"/>
      <c r="IWW113" s="3"/>
      <c r="IWX113" s="3"/>
      <c r="IWY113" s="3"/>
      <c r="IWZ113" s="3"/>
      <c r="IXA113" s="3"/>
      <c r="IXB113" s="3"/>
      <c r="IXC113" s="3"/>
      <c r="IXD113" s="3"/>
      <c r="IXE113" s="3"/>
      <c r="IXF113" s="3"/>
      <c r="IXG113" s="3"/>
      <c r="IXH113" s="3"/>
      <c r="IXI113" s="3"/>
      <c r="IXJ113" s="3"/>
      <c r="IXK113" s="3"/>
      <c r="IXL113" s="3"/>
      <c r="IXM113" s="3"/>
      <c r="IXN113" s="3"/>
      <c r="IXO113" s="3"/>
      <c r="IXP113" s="3"/>
      <c r="IXQ113" s="3"/>
      <c r="IXR113" s="3"/>
      <c r="IXS113" s="3"/>
      <c r="IXT113" s="3"/>
      <c r="IXU113" s="3"/>
      <c r="IXV113" s="3"/>
      <c r="IXW113" s="3"/>
      <c r="IXX113" s="3"/>
      <c r="IXY113" s="3"/>
      <c r="IXZ113" s="3"/>
      <c r="IYA113" s="3"/>
      <c r="IYB113" s="3"/>
      <c r="IYC113" s="3"/>
      <c r="IYD113" s="3"/>
      <c r="IYE113" s="3"/>
      <c r="IYF113" s="3"/>
      <c r="IYG113" s="3"/>
      <c r="IYH113" s="3"/>
      <c r="IYI113" s="3"/>
      <c r="IYJ113" s="3"/>
      <c r="IYK113" s="3"/>
      <c r="IYL113" s="3"/>
      <c r="IYM113" s="3"/>
      <c r="IYN113" s="3"/>
      <c r="IYO113" s="3"/>
      <c r="IYP113" s="3"/>
      <c r="IYQ113" s="3"/>
      <c r="IYR113" s="3"/>
      <c r="IYS113" s="3"/>
      <c r="IYT113" s="3"/>
      <c r="IYU113" s="3"/>
      <c r="IYV113" s="3"/>
      <c r="IYW113" s="3"/>
      <c r="IYX113" s="3"/>
      <c r="IYY113" s="3"/>
      <c r="IYZ113" s="3"/>
      <c r="IZA113" s="3"/>
      <c r="IZB113" s="3"/>
      <c r="IZC113" s="3"/>
      <c r="IZD113" s="3"/>
      <c r="IZE113" s="3"/>
      <c r="IZF113" s="3"/>
      <c r="IZG113" s="3"/>
      <c r="IZH113" s="3"/>
      <c r="IZI113" s="3"/>
      <c r="IZJ113" s="3"/>
      <c r="IZK113" s="3"/>
      <c r="IZL113" s="3"/>
      <c r="IZM113" s="3"/>
      <c r="IZN113" s="3"/>
      <c r="IZO113" s="3"/>
      <c r="IZP113" s="3"/>
      <c r="IZQ113" s="3"/>
      <c r="IZR113" s="3"/>
      <c r="IZS113" s="3"/>
      <c r="IZT113" s="3"/>
      <c r="IZU113" s="3"/>
      <c r="IZV113" s="3"/>
      <c r="IZW113" s="3"/>
      <c r="IZX113" s="3"/>
      <c r="IZY113" s="3"/>
      <c r="IZZ113" s="3"/>
      <c r="JAA113" s="3"/>
      <c r="JAB113" s="3"/>
      <c r="JAC113" s="3"/>
      <c r="JAD113" s="3"/>
      <c r="JAE113" s="3"/>
      <c r="JAF113" s="3"/>
      <c r="JAG113" s="3"/>
      <c r="JAH113" s="3"/>
      <c r="JAI113" s="3"/>
      <c r="JAJ113" s="3"/>
      <c r="JAK113" s="3"/>
      <c r="JAL113" s="3"/>
      <c r="JAM113" s="3"/>
      <c r="JAN113" s="3"/>
      <c r="JAO113" s="3"/>
      <c r="JAP113" s="3"/>
      <c r="JAQ113" s="3"/>
      <c r="JAR113" s="3"/>
      <c r="JAS113" s="3"/>
      <c r="JAT113" s="3"/>
      <c r="JAU113" s="3"/>
      <c r="JAV113" s="3"/>
      <c r="JAW113" s="3"/>
      <c r="JAX113" s="3"/>
      <c r="JAY113" s="3"/>
      <c r="JAZ113" s="3"/>
      <c r="JBA113" s="3"/>
      <c r="JBB113" s="3"/>
      <c r="JBC113" s="3"/>
      <c r="JBD113" s="3"/>
      <c r="JBE113" s="3"/>
      <c r="JBF113" s="3"/>
      <c r="JBG113" s="3"/>
      <c r="JBH113" s="3"/>
      <c r="JBI113" s="3"/>
      <c r="JBJ113" s="3"/>
      <c r="JBK113" s="3"/>
      <c r="JBL113" s="3"/>
      <c r="JBM113" s="3"/>
      <c r="JBN113" s="3"/>
      <c r="JBO113" s="3"/>
      <c r="JBP113" s="3"/>
      <c r="JBQ113" s="3"/>
      <c r="JBR113" s="3"/>
      <c r="JBS113" s="3"/>
      <c r="JBT113" s="3"/>
      <c r="JBU113" s="3"/>
      <c r="JBV113" s="3"/>
      <c r="JBW113" s="3"/>
      <c r="JBX113" s="3"/>
      <c r="JBY113" s="3"/>
      <c r="JBZ113" s="3"/>
      <c r="JCA113" s="3"/>
      <c r="JCB113" s="3"/>
      <c r="JCC113" s="3"/>
      <c r="JCD113" s="3"/>
      <c r="JCE113" s="3"/>
      <c r="JCF113" s="3"/>
      <c r="JCG113" s="3"/>
      <c r="JCH113" s="3"/>
      <c r="JCI113" s="3"/>
      <c r="JCJ113" s="3"/>
      <c r="JCK113" s="3"/>
      <c r="JCL113" s="3"/>
      <c r="JCM113" s="3"/>
      <c r="JCN113" s="3"/>
      <c r="JCO113" s="3"/>
      <c r="JCP113" s="3"/>
      <c r="JCQ113" s="3"/>
      <c r="JCR113" s="3"/>
      <c r="JCS113" s="3"/>
      <c r="JCT113" s="3"/>
      <c r="JCU113" s="3"/>
      <c r="JCV113" s="3"/>
      <c r="JCW113" s="3"/>
      <c r="JCX113" s="3"/>
      <c r="JCY113" s="3"/>
      <c r="JCZ113" s="3"/>
      <c r="JDA113" s="3"/>
      <c r="JDB113" s="3"/>
      <c r="JDC113" s="3"/>
      <c r="JDD113" s="3"/>
      <c r="JDE113" s="3"/>
      <c r="JDF113" s="3"/>
      <c r="JDG113" s="3"/>
      <c r="JDH113" s="3"/>
      <c r="JDI113" s="3"/>
      <c r="JDJ113" s="3"/>
      <c r="JDK113" s="3"/>
      <c r="JDL113" s="3"/>
      <c r="JDM113" s="3"/>
      <c r="JDN113" s="3"/>
      <c r="JDO113" s="3"/>
      <c r="JDP113" s="3"/>
      <c r="JDQ113" s="3"/>
      <c r="JDR113" s="3"/>
      <c r="JDS113" s="3"/>
      <c r="JDT113" s="3"/>
      <c r="JDU113" s="3"/>
      <c r="JDV113" s="3"/>
      <c r="JDW113" s="3"/>
      <c r="JDX113" s="3"/>
      <c r="JDY113" s="3"/>
      <c r="JDZ113" s="3"/>
      <c r="JEA113" s="3"/>
      <c r="JEB113" s="3"/>
      <c r="JEC113" s="3"/>
      <c r="JED113" s="3"/>
      <c r="JEE113" s="3"/>
      <c r="JEF113" s="3"/>
      <c r="JEG113" s="3"/>
      <c r="JEH113" s="3"/>
      <c r="JEI113" s="3"/>
      <c r="JEJ113" s="3"/>
      <c r="JEK113" s="3"/>
      <c r="JEL113" s="3"/>
      <c r="JEM113" s="3"/>
      <c r="JEN113" s="3"/>
      <c r="JEO113" s="3"/>
      <c r="JEP113" s="3"/>
      <c r="JEQ113" s="3"/>
      <c r="JER113" s="3"/>
      <c r="JES113" s="3"/>
      <c r="JET113" s="3"/>
      <c r="JEU113" s="3"/>
      <c r="JEV113" s="3"/>
      <c r="JEW113" s="3"/>
      <c r="JEX113" s="3"/>
      <c r="JEY113" s="3"/>
      <c r="JEZ113" s="3"/>
      <c r="JFA113" s="3"/>
      <c r="JFB113" s="3"/>
      <c r="JFC113" s="3"/>
      <c r="JFD113" s="3"/>
      <c r="JFE113" s="3"/>
      <c r="JFF113" s="3"/>
      <c r="JFG113" s="3"/>
      <c r="JFH113" s="3"/>
      <c r="JFI113" s="3"/>
      <c r="JFJ113" s="3"/>
      <c r="JFK113" s="3"/>
      <c r="JFL113" s="3"/>
      <c r="JFM113" s="3"/>
      <c r="JFN113" s="3"/>
      <c r="JFO113" s="3"/>
      <c r="JFP113" s="3"/>
      <c r="JFQ113" s="3"/>
      <c r="JFR113" s="3"/>
      <c r="JFS113" s="3"/>
      <c r="JFT113" s="3"/>
      <c r="JFU113" s="3"/>
      <c r="JFV113" s="3"/>
      <c r="JFW113" s="3"/>
      <c r="JFX113" s="3"/>
      <c r="JFY113" s="3"/>
      <c r="JFZ113" s="3"/>
      <c r="JGA113" s="3"/>
      <c r="JGB113" s="3"/>
      <c r="JGC113" s="3"/>
      <c r="JGD113" s="3"/>
      <c r="JGE113" s="3"/>
      <c r="JGF113" s="3"/>
      <c r="JGG113" s="3"/>
      <c r="JGH113" s="3"/>
      <c r="JGI113" s="3"/>
      <c r="JGJ113" s="3"/>
      <c r="JGK113" s="3"/>
      <c r="JGL113" s="3"/>
      <c r="JGM113" s="3"/>
      <c r="JGN113" s="3"/>
      <c r="JGO113" s="3"/>
      <c r="JGP113" s="3"/>
      <c r="JGQ113" s="3"/>
      <c r="JGR113" s="3"/>
      <c r="JGS113" s="3"/>
      <c r="JGT113" s="3"/>
      <c r="JGU113" s="3"/>
      <c r="JGV113" s="3"/>
      <c r="JGW113" s="3"/>
      <c r="JGX113" s="3"/>
      <c r="JGY113" s="3"/>
      <c r="JGZ113" s="3"/>
      <c r="JHA113" s="3"/>
      <c r="JHB113" s="3"/>
      <c r="JHC113" s="3"/>
      <c r="JHD113" s="3"/>
      <c r="JHE113" s="3"/>
      <c r="JHF113" s="3"/>
      <c r="JHG113" s="3"/>
      <c r="JHH113" s="3"/>
      <c r="JHI113" s="3"/>
      <c r="JHJ113" s="3"/>
      <c r="JHK113" s="3"/>
      <c r="JHL113" s="3"/>
      <c r="JHM113" s="3"/>
      <c r="JHN113" s="3"/>
      <c r="JHO113" s="3"/>
      <c r="JHP113" s="3"/>
      <c r="JHQ113" s="3"/>
      <c r="JHR113" s="3"/>
      <c r="JHS113" s="3"/>
      <c r="JHT113" s="3"/>
      <c r="JHU113" s="3"/>
      <c r="JHV113" s="3"/>
      <c r="JHW113" s="3"/>
      <c r="JHX113" s="3"/>
      <c r="JHY113" s="3"/>
      <c r="JHZ113" s="3"/>
      <c r="JIA113" s="3"/>
      <c r="JIB113" s="3"/>
      <c r="JIC113" s="3"/>
      <c r="JID113" s="3"/>
      <c r="JIE113" s="3"/>
      <c r="JIF113" s="3"/>
      <c r="JIG113" s="3"/>
      <c r="JIH113" s="3"/>
      <c r="JII113" s="3"/>
      <c r="JIJ113" s="3"/>
      <c r="JIK113" s="3"/>
      <c r="JIL113" s="3"/>
      <c r="JIM113" s="3"/>
      <c r="JIN113" s="3"/>
      <c r="JIO113" s="3"/>
      <c r="JIP113" s="3"/>
      <c r="JIQ113" s="3"/>
      <c r="JIR113" s="3"/>
      <c r="JIS113" s="3"/>
      <c r="JIT113" s="3"/>
      <c r="JIU113" s="3"/>
      <c r="JIV113" s="3"/>
      <c r="JIW113" s="3"/>
      <c r="JIX113" s="3"/>
      <c r="JIY113" s="3"/>
      <c r="JIZ113" s="3"/>
      <c r="JJA113" s="3"/>
      <c r="JJB113" s="3"/>
      <c r="JJC113" s="3"/>
      <c r="JJD113" s="3"/>
      <c r="JJE113" s="3"/>
      <c r="JJF113" s="3"/>
      <c r="JJG113" s="3"/>
      <c r="JJH113" s="3"/>
      <c r="JJI113" s="3"/>
      <c r="JJJ113" s="3"/>
      <c r="JJK113" s="3"/>
      <c r="JJL113" s="3"/>
      <c r="JJM113" s="3"/>
      <c r="JJN113" s="3"/>
      <c r="JJO113" s="3"/>
      <c r="JJP113" s="3"/>
      <c r="JJQ113" s="3"/>
      <c r="JJR113" s="3"/>
      <c r="JJS113" s="3"/>
      <c r="JJT113" s="3"/>
      <c r="JJU113" s="3"/>
      <c r="JJV113" s="3"/>
      <c r="JJW113" s="3"/>
      <c r="JJX113" s="3"/>
      <c r="JJY113" s="3"/>
      <c r="JJZ113" s="3"/>
      <c r="JKA113" s="3"/>
      <c r="JKB113" s="3"/>
      <c r="JKC113" s="3"/>
      <c r="JKD113" s="3"/>
      <c r="JKE113" s="3"/>
      <c r="JKF113" s="3"/>
      <c r="JKG113" s="3"/>
      <c r="JKH113" s="3"/>
      <c r="JKI113" s="3"/>
      <c r="JKJ113" s="3"/>
      <c r="JKK113" s="3"/>
      <c r="JKL113" s="3"/>
      <c r="JKM113" s="3"/>
      <c r="JKN113" s="3"/>
      <c r="JKO113" s="3"/>
      <c r="JKP113" s="3"/>
      <c r="JKQ113" s="3"/>
      <c r="JKR113" s="3"/>
      <c r="JKS113" s="3"/>
      <c r="JKT113" s="3"/>
      <c r="JKU113" s="3"/>
      <c r="JKV113" s="3"/>
      <c r="JKW113" s="3"/>
      <c r="JKX113" s="3"/>
      <c r="JKY113" s="3"/>
      <c r="JKZ113" s="3"/>
      <c r="JLA113" s="3"/>
      <c r="JLB113" s="3"/>
      <c r="JLC113" s="3"/>
      <c r="JLD113" s="3"/>
      <c r="JLE113" s="3"/>
      <c r="JLF113" s="3"/>
      <c r="JLG113" s="3"/>
      <c r="JLH113" s="3"/>
      <c r="JLI113" s="3"/>
      <c r="JLJ113" s="3"/>
      <c r="JLK113" s="3"/>
      <c r="JLL113" s="3"/>
      <c r="JLM113" s="3"/>
      <c r="JLN113" s="3"/>
      <c r="JLO113" s="3"/>
      <c r="JLP113" s="3"/>
      <c r="JLQ113" s="3"/>
      <c r="JLR113" s="3"/>
      <c r="JLS113" s="3"/>
      <c r="JLT113" s="3"/>
      <c r="JLU113" s="3"/>
      <c r="JLV113" s="3"/>
      <c r="JLW113" s="3"/>
      <c r="JLX113" s="3"/>
      <c r="JLY113" s="3"/>
      <c r="JLZ113" s="3"/>
      <c r="JMA113" s="3"/>
      <c r="JMB113" s="3"/>
      <c r="JMC113" s="3"/>
      <c r="JMD113" s="3"/>
      <c r="JME113" s="3"/>
      <c r="JMF113" s="3"/>
      <c r="JMG113" s="3"/>
      <c r="JMH113" s="3"/>
      <c r="JMI113" s="3"/>
      <c r="JMJ113" s="3"/>
      <c r="JMK113" s="3"/>
      <c r="JML113" s="3"/>
      <c r="JMM113" s="3"/>
      <c r="JMN113" s="3"/>
      <c r="JMO113" s="3"/>
      <c r="JMP113" s="3"/>
      <c r="JMQ113" s="3"/>
      <c r="JMR113" s="3"/>
      <c r="JMS113" s="3"/>
      <c r="JMT113" s="3"/>
      <c r="JMU113" s="3"/>
      <c r="JMV113" s="3"/>
      <c r="JMW113" s="3"/>
      <c r="JMX113" s="3"/>
      <c r="JMY113" s="3"/>
      <c r="JMZ113" s="3"/>
      <c r="JNA113" s="3"/>
      <c r="JNB113" s="3"/>
      <c r="JNC113" s="3"/>
      <c r="JND113" s="3"/>
      <c r="JNE113" s="3"/>
      <c r="JNF113" s="3"/>
      <c r="JNG113" s="3"/>
      <c r="JNH113" s="3"/>
      <c r="JNI113" s="3"/>
      <c r="JNJ113" s="3"/>
      <c r="JNK113" s="3"/>
      <c r="JNL113" s="3"/>
      <c r="JNM113" s="3"/>
      <c r="JNN113" s="3"/>
      <c r="JNO113" s="3"/>
      <c r="JNP113" s="3"/>
      <c r="JNQ113" s="3"/>
      <c r="JNR113" s="3"/>
      <c r="JNS113" s="3"/>
      <c r="JNT113" s="3"/>
      <c r="JNU113" s="3"/>
      <c r="JNV113" s="3"/>
      <c r="JNW113" s="3"/>
      <c r="JNX113" s="3"/>
      <c r="JNY113" s="3"/>
      <c r="JNZ113" s="3"/>
      <c r="JOA113" s="3"/>
      <c r="JOB113" s="3"/>
      <c r="JOC113" s="3"/>
      <c r="JOD113" s="3"/>
      <c r="JOE113" s="3"/>
      <c r="JOF113" s="3"/>
      <c r="JOG113" s="3"/>
      <c r="JOH113" s="3"/>
      <c r="JOI113" s="3"/>
      <c r="JOJ113" s="3"/>
      <c r="JOK113" s="3"/>
      <c r="JOL113" s="3"/>
      <c r="JOM113" s="3"/>
      <c r="JON113" s="3"/>
      <c r="JOO113" s="3"/>
      <c r="JOP113" s="3"/>
      <c r="JOQ113" s="3"/>
      <c r="JOR113" s="3"/>
      <c r="JOS113" s="3"/>
      <c r="JOT113" s="3"/>
      <c r="JOU113" s="3"/>
      <c r="JOV113" s="3"/>
      <c r="JOW113" s="3"/>
      <c r="JOX113" s="3"/>
      <c r="JOY113" s="3"/>
      <c r="JOZ113" s="3"/>
      <c r="JPA113" s="3"/>
      <c r="JPB113" s="3"/>
      <c r="JPC113" s="3"/>
      <c r="JPD113" s="3"/>
      <c r="JPE113" s="3"/>
      <c r="JPF113" s="3"/>
      <c r="JPG113" s="3"/>
      <c r="JPH113" s="3"/>
      <c r="JPI113" s="3"/>
      <c r="JPJ113" s="3"/>
      <c r="JPK113" s="3"/>
      <c r="JPL113" s="3"/>
      <c r="JPM113" s="3"/>
      <c r="JPN113" s="3"/>
      <c r="JPO113" s="3"/>
      <c r="JPP113" s="3"/>
      <c r="JPQ113" s="3"/>
      <c r="JPR113" s="3"/>
      <c r="JPS113" s="3"/>
      <c r="JPT113" s="3"/>
      <c r="JPU113" s="3"/>
      <c r="JPV113" s="3"/>
      <c r="JPW113" s="3"/>
      <c r="JPX113" s="3"/>
      <c r="JPY113" s="3"/>
      <c r="JPZ113" s="3"/>
      <c r="JQA113" s="3"/>
      <c r="JQB113" s="3"/>
      <c r="JQC113" s="3"/>
      <c r="JQD113" s="3"/>
      <c r="JQE113" s="3"/>
      <c r="JQF113" s="3"/>
      <c r="JQG113" s="3"/>
      <c r="JQH113" s="3"/>
      <c r="JQI113" s="3"/>
      <c r="JQJ113" s="3"/>
      <c r="JQK113" s="3"/>
      <c r="JQL113" s="3"/>
      <c r="JQM113" s="3"/>
      <c r="JQN113" s="3"/>
      <c r="JQO113" s="3"/>
      <c r="JQP113" s="3"/>
      <c r="JQQ113" s="3"/>
      <c r="JQR113" s="3"/>
      <c r="JQS113" s="3"/>
      <c r="JQT113" s="3"/>
      <c r="JQU113" s="3"/>
      <c r="JQV113" s="3"/>
      <c r="JQW113" s="3"/>
      <c r="JQX113" s="3"/>
      <c r="JQY113" s="3"/>
      <c r="JQZ113" s="3"/>
      <c r="JRA113" s="3"/>
      <c r="JRB113" s="3"/>
      <c r="JRC113" s="3"/>
      <c r="JRD113" s="3"/>
      <c r="JRE113" s="3"/>
      <c r="JRF113" s="3"/>
      <c r="JRG113" s="3"/>
      <c r="JRH113" s="3"/>
      <c r="JRI113" s="3"/>
      <c r="JRJ113" s="3"/>
      <c r="JRK113" s="3"/>
      <c r="JRL113" s="3"/>
      <c r="JRM113" s="3"/>
      <c r="JRN113" s="3"/>
      <c r="JRO113" s="3"/>
      <c r="JRP113" s="3"/>
      <c r="JRQ113" s="3"/>
      <c r="JRR113" s="3"/>
      <c r="JRS113" s="3"/>
      <c r="JRT113" s="3"/>
      <c r="JRU113" s="3"/>
      <c r="JRV113" s="3"/>
      <c r="JRW113" s="3"/>
      <c r="JRX113" s="3"/>
      <c r="JRY113" s="3"/>
      <c r="JRZ113" s="3"/>
      <c r="JSA113" s="3"/>
      <c r="JSB113" s="3"/>
      <c r="JSC113" s="3"/>
      <c r="JSD113" s="3"/>
      <c r="JSE113" s="3"/>
      <c r="JSF113" s="3"/>
      <c r="JSG113" s="3"/>
      <c r="JSH113" s="3"/>
      <c r="JSI113" s="3"/>
      <c r="JSJ113" s="3"/>
      <c r="JSK113" s="3"/>
      <c r="JSL113" s="3"/>
      <c r="JSM113" s="3"/>
      <c r="JSN113" s="3"/>
      <c r="JSO113" s="3"/>
      <c r="JSP113" s="3"/>
      <c r="JSQ113" s="3"/>
      <c r="JSR113" s="3"/>
      <c r="JSS113" s="3"/>
      <c r="JST113" s="3"/>
      <c r="JSU113" s="3"/>
      <c r="JSV113" s="3"/>
      <c r="JSW113" s="3"/>
      <c r="JSX113" s="3"/>
      <c r="JSY113" s="3"/>
      <c r="JSZ113" s="3"/>
      <c r="JTA113" s="3"/>
      <c r="JTB113" s="3"/>
      <c r="JTC113" s="3"/>
      <c r="JTD113" s="3"/>
      <c r="JTE113" s="3"/>
      <c r="JTF113" s="3"/>
      <c r="JTG113" s="3"/>
      <c r="JTH113" s="3"/>
      <c r="JTI113" s="3"/>
      <c r="JTJ113" s="3"/>
      <c r="JTK113" s="3"/>
      <c r="JTL113" s="3"/>
      <c r="JTM113" s="3"/>
      <c r="JTN113" s="3"/>
      <c r="JTO113" s="3"/>
      <c r="JTP113" s="3"/>
      <c r="JTQ113" s="3"/>
      <c r="JTR113" s="3"/>
      <c r="JTS113" s="3"/>
      <c r="JTT113" s="3"/>
      <c r="JTU113" s="3"/>
      <c r="JTV113" s="3"/>
      <c r="JTW113" s="3"/>
      <c r="JTX113" s="3"/>
      <c r="JTY113" s="3"/>
      <c r="JTZ113" s="3"/>
      <c r="JUA113" s="3"/>
      <c r="JUB113" s="3"/>
      <c r="JUC113" s="3"/>
      <c r="JUD113" s="3"/>
      <c r="JUE113" s="3"/>
      <c r="JUF113" s="3"/>
      <c r="JUG113" s="3"/>
      <c r="JUH113" s="3"/>
      <c r="JUI113" s="3"/>
      <c r="JUJ113" s="3"/>
      <c r="JUK113" s="3"/>
      <c r="JUL113" s="3"/>
      <c r="JUM113" s="3"/>
      <c r="JUN113" s="3"/>
      <c r="JUO113" s="3"/>
      <c r="JUP113" s="3"/>
      <c r="JUQ113" s="3"/>
      <c r="JUR113" s="3"/>
      <c r="JUS113" s="3"/>
      <c r="JUT113" s="3"/>
      <c r="JUU113" s="3"/>
      <c r="JUV113" s="3"/>
      <c r="JUW113" s="3"/>
      <c r="JUX113" s="3"/>
      <c r="JUY113" s="3"/>
      <c r="JUZ113" s="3"/>
      <c r="JVA113" s="3"/>
      <c r="JVB113" s="3"/>
      <c r="JVC113" s="3"/>
      <c r="JVD113" s="3"/>
      <c r="JVE113" s="3"/>
      <c r="JVF113" s="3"/>
      <c r="JVG113" s="3"/>
      <c r="JVH113" s="3"/>
      <c r="JVI113" s="3"/>
      <c r="JVJ113" s="3"/>
      <c r="JVK113" s="3"/>
      <c r="JVL113" s="3"/>
      <c r="JVM113" s="3"/>
      <c r="JVN113" s="3"/>
      <c r="JVO113" s="3"/>
      <c r="JVP113" s="3"/>
      <c r="JVQ113" s="3"/>
      <c r="JVR113" s="3"/>
      <c r="JVS113" s="3"/>
      <c r="JVT113" s="3"/>
      <c r="JVU113" s="3"/>
      <c r="JVV113" s="3"/>
      <c r="JVW113" s="3"/>
      <c r="JVX113" s="3"/>
      <c r="JVY113" s="3"/>
      <c r="JVZ113" s="3"/>
      <c r="JWA113" s="3"/>
      <c r="JWB113" s="3"/>
      <c r="JWC113" s="3"/>
      <c r="JWD113" s="3"/>
      <c r="JWE113" s="3"/>
      <c r="JWF113" s="3"/>
      <c r="JWG113" s="3"/>
      <c r="JWH113" s="3"/>
      <c r="JWI113" s="3"/>
      <c r="JWJ113" s="3"/>
      <c r="JWK113" s="3"/>
      <c r="JWL113" s="3"/>
      <c r="JWM113" s="3"/>
      <c r="JWN113" s="3"/>
      <c r="JWO113" s="3"/>
      <c r="JWP113" s="3"/>
      <c r="JWQ113" s="3"/>
      <c r="JWR113" s="3"/>
      <c r="JWS113" s="3"/>
      <c r="JWT113" s="3"/>
      <c r="JWU113" s="3"/>
      <c r="JWV113" s="3"/>
      <c r="JWW113" s="3"/>
      <c r="JWX113" s="3"/>
      <c r="JWY113" s="3"/>
      <c r="JWZ113" s="3"/>
      <c r="JXA113" s="3"/>
      <c r="JXB113" s="3"/>
      <c r="JXC113" s="3"/>
      <c r="JXD113" s="3"/>
      <c r="JXE113" s="3"/>
      <c r="JXF113" s="3"/>
      <c r="JXG113" s="3"/>
      <c r="JXH113" s="3"/>
      <c r="JXI113" s="3"/>
      <c r="JXJ113" s="3"/>
      <c r="JXK113" s="3"/>
      <c r="JXL113" s="3"/>
      <c r="JXM113" s="3"/>
      <c r="JXN113" s="3"/>
      <c r="JXO113" s="3"/>
      <c r="JXP113" s="3"/>
      <c r="JXQ113" s="3"/>
      <c r="JXR113" s="3"/>
      <c r="JXS113" s="3"/>
      <c r="JXT113" s="3"/>
      <c r="JXU113" s="3"/>
      <c r="JXV113" s="3"/>
      <c r="JXW113" s="3"/>
      <c r="JXX113" s="3"/>
      <c r="JXY113" s="3"/>
      <c r="JXZ113" s="3"/>
      <c r="JYA113" s="3"/>
      <c r="JYB113" s="3"/>
      <c r="JYC113" s="3"/>
      <c r="JYD113" s="3"/>
      <c r="JYE113" s="3"/>
      <c r="JYF113" s="3"/>
      <c r="JYG113" s="3"/>
      <c r="JYH113" s="3"/>
      <c r="JYI113" s="3"/>
      <c r="JYJ113" s="3"/>
      <c r="JYK113" s="3"/>
      <c r="JYL113" s="3"/>
      <c r="JYM113" s="3"/>
      <c r="JYN113" s="3"/>
      <c r="JYO113" s="3"/>
      <c r="JYP113" s="3"/>
      <c r="JYQ113" s="3"/>
      <c r="JYR113" s="3"/>
      <c r="JYS113" s="3"/>
      <c r="JYT113" s="3"/>
      <c r="JYU113" s="3"/>
      <c r="JYV113" s="3"/>
      <c r="JYW113" s="3"/>
      <c r="JYX113" s="3"/>
      <c r="JYY113" s="3"/>
      <c r="JYZ113" s="3"/>
      <c r="JZA113" s="3"/>
      <c r="JZB113" s="3"/>
      <c r="JZC113" s="3"/>
      <c r="JZD113" s="3"/>
      <c r="JZE113" s="3"/>
      <c r="JZF113" s="3"/>
      <c r="JZG113" s="3"/>
      <c r="JZH113" s="3"/>
      <c r="JZI113" s="3"/>
      <c r="JZJ113" s="3"/>
      <c r="JZK113" s="3"/>
      <c r="JZL113" s="3"/>
      <c r="JZM113" s="3"/>
      <c r="JZN113" s="3"/>
      <c r="JZO113" s="3"/>
      <c r="JZP113" s="3"/>
      <c r="JZQ113" s="3"/>
      <c r="JZR113" s="3"/>
      <c r="JZS113" s="3"/>
      <c r="JZT113" s="3"/>
      <c r="JZU113" s="3"/>
      <c r="JZV113" s="3"/>
      <c r="JZW113" s="3"/>
      <c r="JZX113" s="3"/>
      <c r="JZY113" s="3"/>
      <c r="JZZ113" s="3"/>
      <c r="KAA113" s="3"/>
      <c r="KAB113" s="3"/>
      <c r="KAC113" s="3"/>
      <c r="KAD113" s="3"/>
      <c r="KAE113" s="3"/>
      <c r="KAF113" s="3"/>
      <c r="KAG113" s="3"/>
      <c r="KAH113" s="3"/>
      <c r="KAI113" s="3"/>
      <c r="KAJ113" s="3"/>
      <c r="KAK113" s="3"/>
      <c r="KAL113" s="3"/>
      <c r="KAM113" s="3"/>
      <c r="KAN113" s="3"/>
      <c r="KAO113" s="3"/>
      <c r="KAP113" s="3"/>
      <c r="KAQ113" s="3"/>
      <c r="KAR113" s="3"/>
      <c r="KAS113" s="3"/>
      <c r="KAT113" s="3"/>
      <c r="KAU113" s="3"/>
      <c r="KAV113" s="3"/>
      <c r="KAW113" s="3"/>
      <c r="KAX113" s="3"/>
      <c r="KAY113" s="3"/>
      <c r="KAZ113" s="3"/>
      <c r="KBA113" s="3"/>
      <c r="KBB113" s="3"/>
      <c r="KBC113" s="3"/>
      <c r="KBD113" s="3"/>
      <c r="KBE113" s="3"/>
      <c r="KBF113" s="3"/>
      <c r="KBG113" s="3"/>
      <c r="KBH113" s="3"/>
      <c r="KBI113" s="3"/>
      <c r="KBJ113" s="3"/>
      <c r="KBK113" s="3"/>
      <c r="KBL113" s="3"/>
      <c r="KBM113" s="3"/>
      <c r="KBN113" s="3"/>
      <c r="KBO113" s="3"/>
      <c r="KBP113" s="3"/>
      <c r="KBQ113" s="3"/>
      <c r="KBR113" s="3"/>
      <c r="KBS113" s="3"/>
      <c r="KBT113" s="3"/>
      <c r="KBU113" s="3"/>
      <c r="KBV113" s="3"/>
      <c r="KBW113" s="3"/>
      <c r="KBX113" s="3"/>
      <c r="KBY113" s="3"/>
      <c r="KBZ113" s="3"/>
      <c r="KCA113" s="3"/>
      <c r="KCB113" s="3"/>
      <c r="KCC113" s="3"/>
      <c r="KCD113" s="3"/>
      <c r="KCE113" s="3"/>
      <c r="KCF113" s="3"/>
      <c r="KCG113" s="3"/>
      <c r="KCH113" s="3"/>
      <c r="KCI113" s="3"/>
      <c r="KCJ113" s="3"/>
      <c r="KCK113" s="3"/>
      <c r="KCL113" s="3"/>
      <c r="KCM113" s="3"/>
      <c r="KCN113" s="3"/>
      <c r="KCO113" s="3"/>
      <c r="KCP113" s="3"/>
      <c r="KCQ113" s="3"/>
      <c r="KCR113" s="3"/>
      <c r="KCS113" s="3"/>
      <c r="KCT113" s="3"/>
      <c r="KCU113" s="3"/>
      <c r="KCV113" s="3"/>
      <c r="KCW113" s="3"/>
      <c r="KCX113" s="3"/>
      <c r="KCY113" s="3"/>
      <c r="KCZ113" s="3"/>
      <c r="KDA113" s="3"/>
      <c r="KDB113" s="3"/>
      <c r="KDC113" s="3"/>
      <c r="KDD113" s="3"/>
      <c r="KDE113" s="3"/>
      <c r="KDF113" s="3"/>
      <c r="KDG113" s="3"/>
      <c r="KDH113" s="3"/>
      <c r="KDI113" s="3"/>
      <c r="KDJ113" s="3"/>
      <c r="KDK113" s="3"/>
      <c r="KDL113" s="3"/>
      <c r="KDM113" s="3"/>
      <c r="KDN113" s="3"/>
      <c r="KDO113" s="3"/>
      <c r="KDP113" s="3"/>
      <c r="KDQ113" s="3"/>
      <c r="KDR113" s="3"/>
      <c r="KDS113" s="3"/>
      <c r="KDT113" s="3"/>
      <c r="KDU113" s="3"/>
      <c r="KDV113" s="3"/>
      <c r="KDW113" s="3"/>
      <c r="KDX113" s="3"/>
      <c r="KDY113" s="3"/>
      <c r="KDZ113" s="3"/>
      <c r="KEA113" s="3"/>
      <c r="KEB113" s="3"/>
      <c r="KEC113" s="3"/>
      <c r="KED113" s="3"/>
      <c r="KEE113" s="3"/>
      <c r="KEF113" s="3"/>
      <c r="KEG113" s="3"/>
      <c r="KEH113" s="3"/>
      <c r="KEI113" s="3"/>
      <c r="KEJ113" s="3"/>
      <c r="KEK113" s="3"/>
      <c r="KEL113" s="3"/>
      <c r="KEM113" s="3"/>
      <c r="KEN113" s="3"/>
      <c r="KEO113" s="3"/>
      <c r="KEP113" s="3"/>
      <c r="KEQ113" s="3"/>
      <c r="KER113" s="3"/>
      <c r="KES113" s="3"/>
      <c r="KET113" s="3"/>
      <c r="KEU113" s="3"/>
      <c r="KEV113" s="3"/>
      <c r="KEW113" s="3"/>
      <c r="KEX113" s="3"/>
      <c r="KEY113" s="3"/>
      <c r="KEZ113" s="3"/>
      <c r="KFA113" s="3"/>
      <c r="KFB113" s="3"/>
      <c r="KFC113" s="3"/>
      <c r="KFD113" s="3"/>
      <c r="KFE113" s="3"/>
      <c r="KFF113" s="3"/>
      <c r="KFG113" s="3"/>
      <c r="KFH113" s="3"/>
      <c r="KFI113" s="3"/>
      <c r="KFJ113" s="3"/>
      <c r="KFK113" s="3"/>
      <c r="KFL113" s="3"/>
      <c r="KFM113" s="3"/>
      <c r="KFN113" s="3"/>
      <c r="KFO113" s="3"/>
      <c r="KFP113" s="3"/>
      <c r="KFQ113" s="3"/>
      <c r="KFR113" s="3"/>
      <c r="KFS113" s="3"/>
      <c r="KFT113" s="3"/>
      <c r="KFU113" s="3"/>
      <c r="KFV113" s="3"/>
      <c r="KFW113" s="3"/>
      <c r="KFX113" s="3"/>
      <c r="KFY113" s="3"/>
      <c r="KFZ113" s="3"/>
      <c r="KGA113" s="3"/>
      <c r="KGB113" s="3"/>
      <c r="KGC113" s="3"/>
      <c r="KGD113" s="3"/>
      <c r="KGE113" s="3"/>
      <c r="KGF113" s="3"/>
      <c r="KGG113" s="3"/>
      <c r="KGH113" s="3"/>
      <c r="KGI113" s="3"/>
      <c r="KGJ113" s="3"/>
      <c r="KGK113" s="3"/>
      <c r="KGL113" s="3"/>
      <c r="KGM113" s="3"/>
      <c r="KGN113" s="3"/>
      <c r="KGO113" s="3"/>
      <c r="KGP113" s="3"/>
      <c r="KGQ113" s="3"/>
      <c r="KGR113" s="3"/>
      <c r="KGS113" s="3"/>
      <c r="KGT113" s="3"/>
      <c r="KGU113" s="3"/>
      <c r="KGV113" s="3"/>
      <c r="KGW113" s="3"/>
      <c r="KGX113" s="3"/>
      <c r="KGY113" s="3"/>
      <c r="KGZ113" s="3"/>
      <c r="KHA113" s="3"/>
      <c r="KHB113" s="3"/>
      <c r="KHC113" s="3"/>
      <c r="KHD113" s="3"/>
      <c r="KHE113" s="3"/>
      <c r="KHF113" s="3"/>
      <c r="KHG113" s="3"/>
      <c r="KHH113" s="3"/>
      <c r="KHI113" s="3"/>
      <c r="KHJ113" s="3"/>
      <c r="KHK113" s="3"/>
      <c r="KHL113" s="3"/>
      <c r="KHM113" s="3"/>
      <c r="KHN113" s="3"/>
      <c r="KHO113" s="3"/>
      <c r="KHP113" s="3"/>
      <c r="KHQ113" s="3"/>
      <c r="KHR113" s="3"/>
      <c r="KHS113" s="3"/>
      <c r="KHT113" s="3"/>
      <c r="KHU113" s="3"/>
      <c r="KHV113" s="3"/>
      <c r="KHW113" s="3"/>
      <c r="KHX113" s="3"/>
      <c r="KHY113" s="3"/>
      <c r="KHZ113" s="3"/>
      <c r="KIA113" s="3"/>
      <c r="KIB113" s="3"/>
      <c r="KIC113" s="3"/>
      <c r="KID113" s="3"/>
      <c r="KIE113" s="3"/>
      <c r="KIF113" s="3"/>
      <c r="KIG113" s="3"/>
      <c r="KIH113" s="3"/>
      <c r="KII113" s="3"/>
      <c r="KIJ113" s="3"/>
      <c r="KIK113" s="3"/>
      <c r="KIL113" s="3"/>
      <c r="KIM113" s="3"/>
      <c r="KIN113" s="3"/>
      <c r="KIO113" s="3"/>
      <c r="KIP113" s="3"/>
      <c r="KIQ113" s="3"/>
      <c r="KIR113" s="3"/>
      <c r="KIS113" s="3"/>
      <c r="KIT113" s="3"/>
      <c r="KIU113" s="3"/>
      <c r="KIV113" s="3"/>
      <c r="KIW113" s="3"/>
      <c r="KIX113" s="3"/>
      <c r="KIY113" s="3"/>
      <c r="KIZ113" s="3"/>
      <c r="KJA113" s="3"/>
      <c r="KJB113" s="3"/>
      <c r="KJC113" s="3"/>
      <c r="KJD113" s="3"/>
      <c r="KJE113" s="3"/>
      <c r="KJF113" s="3"/>
      <c r="KJG113" s="3"/>
      <c r="KJH113" s="3"/>
      <c r="KJI113" s="3"/>
      <c r="KJJ113" s="3"/>
      <c r="KJK113" s="3"/>
      <c r="KJL113" s="3"/>
      <c r="KJM113" s="3"/>
      <c r="KJN113" s="3"/>
      <c r="KJO113" s="3"/>
      <c r="KJP113" s="3"/>
      <c r="KJQ113" s="3"/>
      <c r="KJR113" s="3"/>
      <c r="KJS113" s="3"/>
      <c r="KJT113" s="3"/>
      <c r="KJU113" s="3"/>
      <c r="KJV113" s="3"/>
      <c r="KJW113" s="3"/>
      <c r="KJX113" s="3"/>
      <c r="KJY113" s="3"/>
      <c r="KJZ113" s="3"/>
      <c r="KKA113" s="3"/>
      <c r="KKB113" s="3"/>
      <c r="KKC113" s="3"/>
      <c r="KKD113" s="3"/>
      <c r="KKE113" s="3"/>
      <c r="KKF113" s="3"/>
      <c r="KKG113" s="3"/>
      <c r="KKH113" s="3"/>
      <c r="KKI113" s="3"/>
      <c r="KKJ113" s="3"/>
      <c r="KKK113" s="3"/>
      <c r="KKL113" s="3"/>
      <c r="KKM113" s="3"/>
      <c r="KKN113" s="3"/>
      <c r="KKO113" s="3"/>
      <c r="KKP113" s="3"/>
      <c r="KKQ113" s="3"/>
      <c r="KKR113" s="3"/>
      <c r="KKS113" s="3"/>
      <c r="KKT113" s="3"/>
      <c r="KKU113" s="3"/>
      <c r="KKV113" s="3"/>
      <c r="KKW113" s="3"/>
      <c r="KKX113" s="3"/>
      <c r="KKY113" s="3"/>
      <c r="KKZ113" s="3"/>
      <c r="KLA113" s="3"/>
      <c r="KLB113" s="3"/>
      <c r="KLC113" s="3"/>
      <c r="KLD113" s="3"/>
      <c r="KLE113" s="3"/>
      <c r="KLF113" s="3"/>
      <c r="KLG113" s="3"/>
      <c r="KLH113" s="3"/>
      <c r="KLI113" s="3"/>
      <c r="KLJ113" s="3"/>
      <c r="KLK113" s="3"/>
      <c r="KLL113" s="3"/>
      <c r="KLM113" s="3"/>
      <c r="KLN113" s="3"/>
      <c r="KLO113" s="3"/>
      <c r="KLP113" s="3"/>
      <c r="KLQ113" s="3"/>
      <c r="KLR113" s="3"/>
      <c r="KLS113" s="3"/>
      <c r="KLT113" s="3"/>
      <c r="KLU113" s="3"/>
      <c r="KLV113" s="3"/>
      <c r="KLW113" s="3"/>
      <c r="KLX113" s="3"/>
      <c r="KLY113" s="3"/>
      <c r="KLZ113" s="3"/>
      <c r="KMA113" s="3"/>
      <c r="KMB113" s="3"/>
      <c r="KMC113" s="3"/>
      <c r="KMD113" s="3"/>
      <c r="KME113" s="3"/>
      <c r="KMF113" s="3"/>
      <c r="KMG113" s="3"/>
      <c r="KMH113" s="3"/>
      <c r="KMI113" s="3"/>
      <c r="KMJ113" s="3"/>
      <c r="KMK113" s="3"/>
      <c r="KML113" s="3"/>
      <c r="KMM113" s="3"/>
      <c r="KMN113" s="3"/>
      <c r="KMO113" s="3"/>
      <c r="KMP113" s="3"/>
      <c r="KMQ113" s="3"/>
      <c r="KMR113" s="3"/>
      <c r="KMS113" s="3"/>
      <c r="KMT113" s="3"/>
      <c r="KMU113" s="3"/>
      <c r="KMV113" s="3"/>
      <c r="KMW113" s="3"/>
      <c r="KMX113" s="3"/>
      <c r="KMY113" s="3"/>
      <c r="KMZ113" s="3"/>
      <c r="KNA113" s="3"/>
      <c r="KNB113" s="3"/>
      <c r="KNC113" s="3"/>
      <c r="KND113" s="3"/>
      <c r="KNE113" s="3"/>
      <c r="KNF113" s="3"/>
      <c r="KNG113" s="3"/>
      <c r="KNH113" s="3"/>
      <c r="KNI113" s="3"/>
      <c r="KNJ113" s="3"/>
      <c r="KNK113" s="3"/>
      <c r="KNL113" s="3"/>
      <c r="KNM113" s="3"/>
      <c r="KNN113" s="3"/>
      <c r="KNO113" s="3"/>
      <c r="KNP113" s="3"/>
      <c r="KNQ113" s="3"/>
      <c r="KNR113" s="3"/>
      <c r="KNS113" s="3"/>
      <c r="KNT113" s="3"/>
      <c r="KNU113" s="3"/>
      <c r="KNV113" s="3"/>
      <c r="KNW113" s="3"/>
      <c r="KNX113" s="3"/>
      <c r="KNY113" s="3"/>
      <c r="KNZ113" s="3"/>
      <c r="KOA113" s="3"/>
      <c r="KOB113" s="3"/>
      <c r="KOC113" s="3"/>
      <c r="KOD113" s="3"/>
      <c r="KOE113" s="3"/>
      <c r="KOF113" s="3"/>
      <c r="KOG113" s="3"/>
      <c r="KOH113" s="3"/>
      <c r="KOI113" s="3"/>
      <c r="KOJ113" s="3"/>
      <c r="KOK113" s="3"/>
      <c r="KOL113" s="3"/>
      <c r="KOM113" s="3"/>
      <c r="KON113" s="3"/>
      <c r="KOO113" s="3"/>
      <c r="KOP113" s="3"/>
      <c r="KOQ113" s="3"/>
      <c r="KOR113" s="3"/>
      <c r="KOS113" s="3"/>
      <c r="KOT113" s="3"/>
      <c r="KOU113" s="3"/>
      <c r="KOV113" s="3"/>
      <c r="KOW113" s="3"/>
      <c r="KOX113" s="3"/>
      <c r="KOY113" s="3"/>
      <c r="KOZ113" s="3"/>
      <c r="KPA113" s="3"/>
      <c r="KPB113" s="3"/>
      <c r="KPC113" s="3"/>
      <c r="KPD113" s="3"/>
      <c r="KPE113" s="3"/>
      <c r="KPF113" s="3"/>
      <c r="KPG113" s="3"/>
      <c r="KPH113" s="3"/>
      <c r="KPI113" s="3"/>
      <c r="KPJ113" s="3"/>
      <c r="KPK113" s="3"/>
      <c r="KPL113" s="3"/>
      <c r="KPM113" s="3"/>
      <c r="KPN113" s="3"/>
      <c r="KPO113" s="3"/>
      <c r="KPP113" s="3"/>
      <c r="KPQ113" s="3"/>
      <c r="KPR113" s="3"/>
      <c r="KPS113" s="3"/>
      <c r="KPT113" s="3"/>
      <c r="KPU113" s="3"/>
      <c r="KPV113" s="3"/>
      <c r="KPW113" s="3"/>
      <c r="KPX113" s="3"/>
      <c r="KPY113" s="3"/>
      <c r="KPZ113" s="3"/>
      <c r="KQA113" s="3"/>
      <c r="KQB113" s="3"/>
      <c r="KQC113" s="3"/>
      <c r="KQD113" s="3"/>
      <c r="KQE113" s="3"/>
      <c r="KQF113" s="3"/>
      <c r="KQG113" s="3"/>
      <c r="KQH113" s="3"/>
      <c r="KQI113" s="3"/>
      <c r="KQJ113" s="3"/>
      <c r="KQK113" s="3"/>
      <c r="KQL113" s="3"/>
      <c r="KQM113" s="3"/>
      <c r="KQN113" s="3"/>
      <c r="KQO113" s="3"/>
      <c r="KQP113" s="3"/>
      <c r="KQQ113" s="3"/>
      <c r="KQR113" s="3"/>
      <c r="KQS113" s="3"/>
      <c r="KQT113" s="3"/>
      <c r="KQU113" s="3"/>
      <c r="KQV113" s="3"/>
      <c r="KQW113" s="3"/>
      <c r="KQX113" s="3"/>
      <c r="KQY113" s="3"/>
      <c r="KQZ113" s="3"/>
      <c r="KRA113" s="3"/>
      <c r="KRB113" s="3"/>
      <c r="KRC113" s="3"/>
      <c r="KRD113" s="3"/>
      <c r="KRE113" s="3"/>
      <c r="KRF113" s="3"/>
      <c r="KRG113" s="3"/>
      <c r="KRH113" s="3"/>
      <c r="KRI113" s="3"/>
      <c r="KRJ113" s="3"/>
      <c r="KRK113" s="3"/>
      <c r="KRL113" s="3"/>
      <c r="KRM113" s="3"/>
      <c r="KRN113" s="3"/>
      <c r="KRO113" s="3"/>
      <c r="KRP113" s="3"/>
      <c r="KRQ113" s="3"/>
      <c r="KRR113" s="3"/>
      <c r="KRS113" s="3"/>
      <c r="KRT113" s="3"/>
      <c r="KRU113" s="3"/>
      <c r="KRV113" s="3"/>
      <c r="KRW113" s="3"/>
      <c r="KRX113" s="3"/>
      <c r="KRY113" s="3"/>
      <c r="KRZ113" s="3"/>
      <c r="KSA113" s="3"/>
      <c r="KSB113" s="3"/>
      <c r="KSC113" s="3"/>
      <c r="KSD113" s="3"/>
      <c r="KSE113" s="3"/>
      <c r="KSF113" s="3"/>
      <c r="KSG113" s="3"/>
      <c r="KSH113" s="3"/>
      <c r="KSI113" s="3"/>
      <c r="KSJ113" s="3"/>
      <c r="KSK113" s="3"/>
      <c r="KSL113" s="3"/>
      <c r="KSM113" s="3"/>
      <c r="KSN113" s="3"/>
      <c r="KSO113" s="3"/>
      <c r="KSP113" s="3"/>
      <c r="KSQ113" s="3"/>
      <c r="KSR113" s="3"/>
      <c r="KSS113" s="3"/>
      <c r="KST113" s="3"/>
      <c r="KSU113" s="3"/>
      <c r="KSV113" s="3"/>
      <c r="KSW113" s="3"/>
      <c r="KSX113" s="3"/>
      <c r="KSY113" s="3"/>
      <c r="KSZ113" s="3"/>
      <c r="KTA113" s="3"/>
      <c r="KTB113" s="3"/>
      <c r="KTC113" s="3"/>
      <c r="KTD113" s="3"/>
      <c r="KTE113" s="3"/>
      <c r="KTF113" s="3"/>
      <c r="KTG113" s="3"/>
      <c r="KTH113" s="3"/>
      <c r="KTI113" s="3"/>
      <c r="KTJ113" s="3"/>
      <c r="KTK113" s="3"/>
      <c r="KTL113" s="3"/>
      <c r="KTM113" s="3"/>
      <c r="KTN113" s="3"/>
      <c r="KTO113" s="3"/>
      <c r="KTP113" s="3"/>
      <c r="KTQ113" s="3"/>
      <c r="KTR113" s="3"/>
      <c r="KTS113" s="3"/>
      <c r="KTT113" s="3"/>
      <c r="KTU113" s="3"/>
      <c r="KTV113" s="3"/>
      <c r="KTW113" s="3"/>
      <c r="KTX113" s="3"/>
      <c r="KTY113" s="3"/>
      <c r="KTZ113" s="3"/>
      <c r="KUA113" s="3"/>
      <c r="KUB113" s="3"/>
      <c r="KUC113" s="3"/>
      <c r="KUD113" s="3"/>
      <c r="KUE113" s="3"/>
      <c r="KUF113" s="3"/>
      <c r="KUG113" s="3"/>
      <c r="KUH113" s="3"/>
      <c r="KUI113" s="3"/>
      <c r="KUJ113" s="3"/>
      <c r="KUK113" s="3"/>
      <c r="KUL113" s="3"/>
      <c r="KUM113" s="3"/>
      <c r="KUN113" s="3"/>
      <c r="KUO113" s="3"/>
      <c r="KUP113" s="3"/>
      <c r="KUQ113" s="3"/>
      <c r="KUR113" s="3"/>
      <c r="KUS113" s="3"/>
      <c r="KUT113" s="3"/>
      <c r="KUU113" s="3"/>
      <c r="KUV113" s="3"/>
      <c r="KUW113" s="3"/>
      <c r="KUX113" s="3"/>
      <c r="KUY113" s="3"/>
      <c r="KUZ113" s="3"/>
      <c r="KVA113" s="3"/>
      <c r="KVB113" s="3"/>
      <c r="KVC113" s="3"/>
      <c r="KVD113" s="3"/>
      <c r="KVE113" s="3"/>
      <c r="KVF113" s="3"/>
      <c r="KVG113" s="3"/>
      <c r="KVH113" s="3"/>
      <c r="KVI113" s="3"/>
      <c r="KVJ113" s="3"/>
      <c r="KVK113" s="3"/>
      <c r="KVL113" s="3"/>
      <c r="KVM113" s="3"/>
      <c r="KVN113" s="3"/>
      <c r="KVO113" s="3"/>
      <c r="KVP113" s="3"/>
      <c r="KVQ113" s="3"/>
      <c r="KVR113" s="3"/>
      <c r="KVS113" s="3"/>
      <c r="KVT113" s="3"/>
      <c r="KVU113" s="3"/>
      <c r="KVV113" s="3"/>
      <c r="KVW113" s="3"/>
      <c r="KVX113" s="3"/>
      <c r="KVY113" s="3"/>
      <c r="KVZ113" s="3"/>
      <c r="KWA113" s="3"/>
      <c r="KWB113" s="3"/>
      <c r="KWC113" s="3"/>
      <c r="KWD113" s="3"/>
      <c r="KWE113" s="3"/>
      <c r="KWF113" s="3"/>
      <c r="KWG113" s="3"/>
      <c r="KWH113" s="3"/>
      <c r="KWI113" s="3"/>
      <c r="KWJ113" s="3"/>
      <c r="KWK113" s="3"/>
      <c r="KWL113" s="3"/>
      <c r="KWM113" s="3"/>
      <c r="KWN113" s="3"/>
      <c r="KWO113" s="3"/>
      <c r="KWP113" s="3"/>
      <c r="KWQ113" s="3"/>
      <c r="KWR113" s="3"/>
      <c r="KWS113" s="3"/>
      <c r="KWT113" s="3"/>
      <c r="KWU113" s="3"/>
      <c r="KWV113" s="3"/>
      <c r="KWW113" s="3"/>
      <c r="KWX113" s="3"/>
      <c r="KWY113" s="3"/>
      <c r="KWZ113" s="3"/>
      <c r="KXA113" s="3"/>
      <c r="KXB113" s="3"/>
      <c r="KXC113" s="3"/>
      <c r="KXD113" s="3"/>
      <c r="KXE113" s="3"/>
      <c r="KXF113" s="3"/>
      <c r="KXG113" s="3"/>
      <c r="KXH113" s="3"/>
      <c r="KXI113" s="3"/>
      <c r="KXJ113" s="3"/>
      <c r="KXK113" s="3"/>
      <c r="KXL113" s="3"/>
      <c r="KXM113" s="3"/>
      <c r="KXN113" s="3"/>
      <c r="KXO113" s="3"/>
      <c r="KXP113" s="3"/>
      <c r="KXQ113" s="3"/>
      <c r="KXR113" s="3"/>
      <c r="KXS113" s="3"/>
      <c r="KXT113" s="3"/>
      <c r="KXU113" s="3"/>
      <c r="KXV113" s="3"/>
      <c r="KXW113" s="3"/>
      <c r="KXX113" s="3"/>
      <c r="KXY113" s="3"/>
      <c r="KXZ113" s="3"/>
      <c r="KYA113" s="3"/>
      <c r="KYB113" s="3"/>
      <c r="KYC113" s="3"/>
      <c r="KYD113" s="3"/>
      <c r="KYE113" s="3"/>
      <c r="KYF113" s="3"/>
      <c r="KYG113" s="3"/>
      <c r="KYH113" s="3"/>
      <c r="KYI113" s="3"/>
      <c r="KYJ113" s="3"/>
      <c r="KYK113" s="3"/>
      <c r="KYL113" s="3"/>
      <c r="KYM113" s="3"/>
      <c r="KYN113" s="3"/>
      <c r="KYO113" s="3"/>
      <c r="KYP113" s="3"/>
      <c r="KYQ113" s="3"/>
      <c r="KYR113" s="3"/>
      <c r="KYS113" s="3"/>
      <c r="KYT113" s="3"/>
      <c r="KYU113" s="3"/>
      <c r="KYV113" s="3"/>
      <c r="KYW113" s="3"/>
      <c r="KYX113" s="3"/>
      <c r="KYY113" s="3"/>
      <c r="KYZ113" s="3"/>
      <c r="KZA113" s="3"/>
      <c r="KZB113" s="3"/>
      <c r="KZC113" s="3"/>
      <c r="KZD113" s="3"/>
      <c r="KZE113" s="3"/>
      <c r="KZF113" s="3"/>
      <c r="KZG113" s="3"/>
      <c r="KZH113" s="3"/>
      <c r="KZI113" s="3"/>
      <c r="KZJ113" s="3"/>
      <c r="KZK113" s="3"/>
      <c r="KZL113" s="3"/>
      <c r="KZM113" s="3"/>
      <c r="KZN113" s="3"/>
      <c r="KZO113" s="3"/>
      <c r="KZP113" s="3"/>
      <c r="KZQ113" s="3"/>
      <c r="KZR113" s="3"/>
      <c r="KZS113" s="3"/>
      <c r="KZT113" s="3"/>
      <c r="KZU113" s="3"/>
      <c r="KZV113" s="3"/>
      <c r="KZW113" s="3"/>
      <c r="KZX113" s="3"/>
      <c r="KZY113" s="3"/>
      <c r="KZZ113" s="3"/>
      <c r="LAA113" s="3"/>
      <c r="LAB113" s="3"/>
      <c r="LAC113" s="3"/>
      <c r="LAD113" s="3"/>
      <c r="LAE113" s="3"/>
      <c r="LAF113" s="3"/>
      <c r="LAG113" s="3"/>
      <c r="LAH113" s="3"/>
      <c r="LAI113" s="3"/>
      <c r="LAJ113" s="3"/>
      <c r="LAK113" s="3"/>
      <c r="LAL113" s="3"/>
      <c r="LAM113" s="3"/>
      <c r="LAN113" s="3"/>
      <c r="LAO113" s="3"/>
      <c r="LAP113" s="3"/>
      <c r="LAQ113" s="3"/>
      <c r="LAR113" s="3"/>
      <c r="LAS113" s="3"/>
      <c r="LAT113" s="3"/>
      <c r="LAU113" s="3"/>
      <c r="LAV113" s="3"/>
      <c r="LAW113" s="3"/>
      <c r="LAX113" s="3"/>
      <c r="LAY113" s="3"/>
      <c r="LAZ113" s="3"/>
      <c r="LBA113" s="3"/>
      <c r="LBB113" s="3"/>
      <c r="LBC113" s="3"/>
      <c r="LBD113" s="3"/>
      <c r="LBE113" s="3"/>
      <c r="LBF113" s="3"/>
      <c r="LBG113" s="3"/>
      <c r="LBH113" s="3"/>
      <c r="LBI113" s="3"/>
      <c r="LBJ113" s="3"/>
      <c r="LBK113" s="3"/>
      <c r="LBL113" s="3"/>
      <c r="LBM113" s="3"/>
      <c r="LBN113" s="3"/>
      <c r="LBO113" s="3"/>
      <c r="LBP113" s="3"/>
      <c r="LBQ113" s="3"/>
      <c r="LBR113" s="3"/>
      <c r="LBS113" s="3"/>
      <c r="LBT113" s="3"/>
      <c r="LBU113" s="3"/>
      <c r="LBV113" s="3"/>
      <c r="LBW113" s="3"/>
      <c r="LBX113" s="3"/>
      <c r="LBY113" s="3"/>
      <c r="LBZ113" s="3"/>
      <c r="LCA113" s="3"/>
      <c r="LCB113" s="3"/>
      <c r="LCC113" s="3"/>
      <c r="LCD113" s="3"/>
      <c r="LCE113" s="3"/>
      <c r="LCF113" s="3"/>
      <c r="LCG113" s="3"/>
      <c r="LCH113" s="3"/>
      <c r="LCI113" s="3"/>
      <c r="LCJ113" s="3"/>
      <c r="LCK113" s="3"/>
      <c r="LCL113" s="3"/>
      <c r="LCM113" s="3"/>
      <c r="LCN113" s="3"/>
      <c r="LCO113" s="3"/>
      <c r="LCP113" s="3"/>
      <c r="LCQ113" s="3"/>
      <c r="LCR113" s="3"/>
      <c r="LCS113" s="3"/>
      <c r="LCT113" s="3"/>
      <c r="LCU113" s="3"/>
      <c r="LCV113" s="3"/>
      <c r="LCW113" s="3"/>
      <c r="LCX113" s="3"/>
      <c r="LCY113" s="3"/>
      <c r="LCZ113" s="3"/>
      <c r="LDA113" s="3"/>
      <c r="LDB113" s="3"/>
      <c r="LDC113" s="3"/>
      <c r="LDD113" s="3"/>
      <c r="LDE113" s="3"/>
      <c r="LDF113" s="3"/>
      <c r="LDG113" s="3"/>
      <c r="LDH113" s="3"/>
      <c r="LDI113" s="3"/>
      <c r="LDJ113" s="3"/>
      <c r="LDK113" s="3"/>
      <c r="LDL113" s="3"/>
      <c r="LDM113" s="3"/>
      <c r="LDN113" s="3"/>
      <c r="LDO113" s="3"/>
      <c r="LDP113" s="3"/>
      <c r="LDQ113" s="3"/>
      <c r="LDR113" s="3"/>
      <c r="LDS113" s="3"/>
      <c r="LDT113" s="3"/>
      <c r="LDU113" s="3"/>
      <c r="LDV113" s="3"/>
      <c r="LDW113" s="3"/>
      <c r="LDX113" s="3"/>
      <c r="LDY113" s="3"/>
      <c r="LDZ113" s="3"/>
      <c r="LEA113" s="3"/>
      <c r="LEB113" s="3"/>
      <c r="LEC113" s="3"/>
      <c r="LED113" s="3"/>
      <c r="LEE113" s="3"/>
      <c r="LEF113" s="3"/>
      <c r="LEG113" s="3"/>
      <c r="LEH113" s="3"/>
      <c r="LEI113" s="3"/>
      <c r="LEJ113" s="3"/>
      <c r="LEK113" s="3"/>
      <c r="LEL113" s="3"/>
      <c r="LEM113" s="3"/>
      <c r="LEN113" s="3"/>
      <c r="LEO113" s="3"/>
      <c r="LEP113" s="3"/>
      <c r="LEQ113" s="3"/>
      <c r="LER113" s="3"/>
      <c r="LES113" s="3"/>
      <c r="LET113" s="3"/>
      <c r="LEU113" s="3"/>
      <c r="LEV113" s="3"/>
      <c r="LEW113" s="3"/>
      <c r="LEX113" s="3"/>
      <c r="LEY113" s="3"/>
      <c r="LEZ113" s="3"/>
      <c r="LFA113" s="3"/>
      <c r="LFB113" s="3"/>
      <c r="LFC113" s="3"/>
      <c r="LFD113" s="3"/>
      <c r="LFE113" s="3"/>
      <c r="LFF113" s="3"/>
      <c r="LFG113" s="3"/>
      <c r="LFH113" s="3"/>
      <c r="LFI113" s="3"/>
      <c r="LFJ113" s="3"/>
      <c r="LFK113" s="3"/>
      <c r="LFL113" s="3"/>
      <c r="LFM113" s="3"/>
      <c r="LFN113" s="3"/>
      <c r="LFO113" s="3"/>
      <c r="LFP113" s="3"/>
      <c r="LFQ113" s="3"/>
      <c r="LFR113" s="3"/>
      <c r="LFS113" s="3"/>
      <c r="LFT113" s="3"/>
      <c r="LFU113" s="3"/>
      <c r="LFV113" s="3"/>
      <c r="LFW113" s="3"/>
      <c r="LFX113" s="3"/>
      <c r="LFY113" s="3"/>
      <c r="LFZ113" s="3"/>
      <c r="LGA113" s="3"/>
      <c r="LGB113" s="3"/>
      <c r="LGC113" s="3"/>
      <c r="LGD113" s="3"/>
      <c r="LGE113" s="3"/>
      <c r="LGF113" s="3"/>
      <c r="LGG113" s="3"/>
      <c r="LGH113" s="3"/>
      <c r="LGI113" s="3"/>
      <c r="LGJ113" s="3"/>
      <c r="LGK113" s="3"/>
      <c r="LGL113" s="3"/>
      <c r="LGM113" s="3"/>
      <c r="LGN113" s="3"/>
      <c r="LGO113" s="3"/>
      <c r="LGP113" s="3"/>
      <c r="LGQ113" s="3"/>
      <c r="LGR113" s="3"/>
      <c r="LGS113" s="3"/>
      <c r="LGT113" s="3"/>
      <c r="LGU113" s="3"/>
      <c r="LGV113" s="3"/>
      <c r="LGW113" s="3"/>
      <c r="LGX113" s="3"/>
      <c r="LGY113" s="3"/>
      <c r="LGZ113" s="3"/>
      <c r="LHA113" s="3"/>
      <c r="LHB113" s="3"/>
      <c r="LHC113" s="3"/>
      <c r="LHD113" s="3"/>
      <c r="LHE113" s="3"/>
      <c r="LHF113" s="3"/>
      <c r="LHG113" s="3"/>
      <c r="LHH113" s="3"/>
      <c r="LHI113" s="3"/>
      <c r="LHJ113" s="3"/>
      <c r="LHK113" s="3"/>
      <c r="LHL113" s="3"/>
      <c r="LHM113" s="3"/>
      <c r="LHN113" s="3"/>
      <c r="LHO113" s="3"/>
      <c r="LHP113" s="3"/>
      <c r="LHQ113" s="3"/>
      <c r="LHR113" s="3"/>
      <c r="LHS113" s="3"/>
      <c r="LHT113" s="3"/>
      <c r="LHU113" s="3"/>
      <c r="LHV113" s="3"/>
      <c r="LHW113" s="3"/>
      <c r="LHX113" s="3"/>
      <c r="LHY113" s="3"/>
      <c r="LHZ113" s="3"/>
      <c r="LIA113" s="3"/>
      <c r="LIB113" s="3"/>
      <c r="LIC113" s="3"/>
      <c r="LID113" s="3"/>
      <c r="LIE113" s="3"/>
      <c r="LIF113" s="3"/>
      <c r="LIG113" s="3"/>
      <c r="LIH113" s="3"/>
      <c r="LII113" s="3"/>
      <c r="LIJ113" s="3"/>
      <c r="LIK113" s="3"/>
      <c r="LIL113" s="3"/>
      <c r="LIM113" s="3"/>
      <c r="LIN113" s="3"/>
      <c r="LIO113" s="3"/>
      <c r="LIP113" s="3"/>
      <c r="LIQ113" s="3"/>
      <c r="LIR113" s="3"/>
      <c r="LIS113" s="3"/>
      <c r="LIT113" s="3"/>
      <c r="LIU113" s="3"/>
      <c r="LIV113" s="3"/>
      <c r="LIW113" s="3"/>
      <c r="LIX113" s="3"/>
      <c r="LIY113" s="3"/>
      <c r="LIZ113" s="3"/>
      <c r="LJA113" s="3"/>
      <c r="LJB113" s="3"/>
      <c r="LJC113" s="3"/>
      <c r="LJD113" s="3"/>
      <c r="LJE113" s="3"/>
      <c r="LJF113" s="3"/>
      <c r="LJG113" s="3"/>
      <c r="LJH113" s="3"/>
      <c r="LJI113" s="3"/>
      <c r="LJJ113" s="3"/>
      <c r="LJK113" s="3"/>
      <c r="LJL113" s="3"/>
      <c r="LJM113" s="3"/>
      <c r="LJN113" s="3"/>
      <c r="LJO113" s="3"/>
      <c r="LJP113" s="3"/>
      <c r="LJQ113" s="3"/>
      <c r="LJR113" s="3"/>
      <c r="LJS113" s="3"/>
      <c r="LJT113" s="3"/>
      <c r="LJU113" s="3"/>
      <c r="LJV113" s="3"/>
      <c r="LJW113" s="3"/>
      <c r="LJX113" s="3"/>
      <c r="LJY113" s="3"/>
      <c r="LJZ113" s="3"/>
      <c r="LKA113" s="3"/>
      <c r="LKB113" s="3"/>
      <c r="LKC113" s="3"/>
      <c r="LKD113" s="3"/>
      <c r="LKE113" s="3"/>
      <c r="LKF113" s="3"/>
      <c r="LKG113" s="3"/>
      <c r="LKH113" s="3"/>
      <c r="LKI113" s="3"/>
      <c r="LKJ113" s="3"/>
      <c r="LKK113" s="3"/>
      <c r="LKL113" s="3"/>
      <c r="LKM113" s="3"/>
      <c r="LKN113" s="3"/>
      <c r="LKO113" s="3"/>
      <c r="LKP113" s="3"/>
      <c r="LKQ113" s="3"/>
      <c r="LKR113" s="3"/>
      <c r="LKS113" s="3"/>
      <c r="LKT113" s="3"/>
      <c r="LKU113" s="3"/>
      <c r="LKV113" s="3"/>
      <c r="LKW113" s="3"/>
      <c r="LKX113" s="3"/>
      <c r="LKY113" s="3"/>
      <c r="LKZ113" s="3"/>
      <c r="LLA113" s="3"/>
      <c r="LLB113" s="3"/>
      <c r="LLC113" s="3"/>
      <c r="LLD113" s="3"/>
      <c r="LLE113" s="3"/>
      <c r="LLF113" s="3"/>
      <c r="LLG113" s="3"/>
      <c r="LLH113" s="3"/>
      <c r="LLI113" s="3"/>
      <c r="LLJ113" s="3"/>
      <c r="LLK113" s="3"/>
      <c r="LLL113" s="3"/>
      <c r="LLM113" s="3"/>
      <c r="LLN113" s="3"/>
      <c r="LLO113" s="3"/>
      <c r="LLP113" s="3"/>
      <c r="LLQ113" s="3"/>
      <c r="LLR113" s="3"/>
      <c r="LLS113" s="3"/>
      <c r="LLT113" s="3"/>
      <c r="LLU113" s="3"/>
      <c r="LLV113" s="3"/>
      <c r="LLW113" s="3"/>
      <c r="LLX113" s="3"/>
      <c r="LLY113" s="3"/>
      <c r="LLZ113" s="3"/>
      <c r="LMA113" s="3"/>
      <c r="LMB113" s="3"/>
      <c r="LMC113" s="3"/>
      <c r="LMD113" s="3"/>
      <c r="LME113" s="3"/>
      <c r="LMF113" s="3"/>
      <c r="LMG113" s="3"/>
      <c r="LMH113" s="3"/>
      <c r="LMI113" s="3"/>
      <c r="LMJ113" s="3"/>
      <c r="LMK113" s="3"/>
      <c r="LML113" s="3"/>
      <c r="LMM113" s="3"/>
      <c r="LMN113" s="3"/>
      <c r="LMO113" s="3"/>
      <c r="LMP113" s="3"/>
      <c r="LMQ113" s="3"/>
      <c r="LMR113" s="3"/>
      <c r="LMS113" s="3"/>
      <c r="LMT113" s="3"/>
      <c r="LMU113" s="3"/>
      <c r="LMV113" s="3"/>
      <c r="LMW113" s="3"/>
      <c r="LMX113" s="3"/>
      <c r="LMY113" s="3"/>
      <c r="LMZ113" s="3"/>
      <c r="LNA113" s="3"/>
      <c r="LNB113" s="3"/>
      <c r="LNC113" s="3"/>
      <c r="LND113" s="3"/>
      <c r="LNE113" s="3"/>
      <c r="LNF113" s="3"/>
      <c r="LNG113" s="3"/>
      <c r="LNH113" s="3"/>
      <c r="LNI113" s="3"/>
      <c r="LNJ113" s="3"/>
      <c r="LNK113" s="3"/>
      <c r="LNL113" s="3"/>
      <c r="LNM113" s="3"/>
      <c r="LNN113" s="3"/>
      <c r="LNO113" s="3"/>
      <c r="LNP113" s="3"/>
      <c r="LNQ113" s="3"/>
      <c r="LNR113" s="3"/>
      <c r="LNS113" s="3"/>
      <c r="LNT113" s="3"/>
      <c r="LNU113" s="3"/>
      <c r="LNV113" s="3"/>
      <c r="LNW113" s="3"/>
      <c r="LNX113" s="3"/>
      <c r="LNY113" s="3"/>
      <c r="LNZ113" s="3"/>
      <c r="LOA113" s="3"/>
      <c r="LOB113" s="3"/>
      <c r="LOC113" s="3"/>
      <c r="LOD113" s="3"/>
      <c r="LOE113" s="3"/>
      <c r="LOF113" s="3"/>
      <c r="LOG113" s="3"/>
      <c r="LOH113" s="3"/>
      <c r="LOI113" s="3"/>
      <c r="LOJ113" s="3"/>
      <c r="LOK113" s="3"/>
      <c r="LOL113" s="3"/>
      <c r="LOM113" s="3"/>
      <c r="LON113" s="3"/>
      <c r="LOO113" s="3"/>
      <c r="LOP113" s="3"/>
      <c r="LOQ113" s="3"/>
      <c r="LOR113" s="3"/>
      <c r="LOS113" s="3"/>
      <c r="LOT113" s="3"/>
      <c r="LOU113" s="3"/>
      <c r="LOV113" s="3"/>
      <c r="LOW113" s="3"/>
      <c r="LOX113" s="3"/>
      <c r="LOY113" s="3"/>
      <c r="LOZ113" s="3"/>
      <c r="LPA113" s="3"/>
      <c r="LPB113" s="3"/>
      <c r="LPC113" s="3"/>
      <c r="LPD113" s="3"/>
      <c r="LPE113" s="3"/>
      <c r="LPF113" s="3"/>
      <c r="LPG113" s="3"/>
      <c r="LPH113" s="3"/>
      <c r="LPI113" s="3"/>
      <c r="LPJ113" s="3"/>
      <c r="LPK113" s="3"/>
      <c r="LPL113" s="3"/>
      <c r="LPM113" s="3"/>
      <c r="LPN113" s="3"/>
      <c r="LPO113" s="3"/>
      <c r="LPP113" s="3"/>
      <c r="LPQ113" s="3"/>
      <c r="LPR113" s="3"/>
      <c r="LPS113" s="3"/>
      <c r="LPT113" s="3"/>
      <c r="LPU113" s="3"/>
      <c r="LPV113" s="3"/>
      <c r="LPW113" s="3"/>
      <c r="LPX113" s="3"/>
      <c r="LPY113" s="3"/>
      <c r="LPZ113" s="3"/>
      <c r="LQA113" s="3"/>
      <c r="LQB113" s="3"/>
      <c r="LQC113" s="3"/>
      <c r="LQD113" s="3"/>
      <c r="LQE113" s="3"/>
      <c r="LQF113" s="3"/>
      <c r="LQG113" s="3"/>
      <c r="LQH113" s="3"/>
      <c r="LQI113" s="3"/>
      <c r="LQJ113" s="3"/>
      <c r="LQK113" s="3"/>
      <c r="LQL113" s="3"/>
      <c r="LQM113" s="3"/>
      <c r="LQN113" s="3"/>
      <c r="LQO113" s="3"/>
      <c r="LQP113" s="3"/>
      <c r="LQQ113" s="3"/>
      <c r="LQR113" s="3"/>
      <c r="LQS113" s="3"/>
      <c r="LQT113" s="3"/>
      <c r="LQU113" s="3"/>
      <c r="LQV113" s="3"/>
      <c r="LQW113" s="3"/>
      <c r="LQX113" s="3"/>
      <c r="LQY113" s="3"/>
      <c r="LQZ113" s="3"/>
      <c r="LRA113" s="3"/>
      <c r="LRB113" s="3"/>
      <c r="LRC113" s="3"/>
      <c r="LRD113" s="3"/>
      <c r="LRE113" s="3"/>
      <c r="LRF113" s="3"/>
      <c r="LRG113" s="3"/>
      <c r="LRH113" s="3"/>
      <c r="LRI113" s="3"/>
      <c r="LRJ113" s="3"/>
      <c r="LRK113" s="3"/>
      <c r="LRL113" s="3"/>
      <c r="LRM113" s="3"/>
      <c r="LRN113" s="3"/>
      <c r="LRO113" s="3"/>
      <c r="LRP113" s="3"/>
      <c r="LRQ113" s="3"/>
      <c r="LRR113" s="3"/>
      <c r="LRS113" s="3"/>
      <c r="LRT113" s="3"/>
      <c r="LRU113" s="3"/>
      <c r="LRV113" s="3"/>
      <c r="LRW113" s="3"/>
      <c r="LRX113" s="3"/>
      <c r="LRY113" s="3"/>
      <c r="LRZ113" s="3"/>
      <c r="LSA113" s="3"/>
      <c r="LSB113" s="3"/>
      <c r="LSC113" s="3"/>
      <c r="LSD113" s="3"/>
      <c r="LSE113" s="3"/>
      <c r="LSF113" s="3"/>
      <c r="LSG113" s="3"/>
      <c r="LSH113" s="3"/>
      <c r="LSI113" s="3"/>
      <c r="LSJ113" s="3"/>
      <c r="LSK113" s="3"/>
      <c r="LSL113" s="3"/>
      <c r="LSM113" s="3"/>
      <c r="LSN113" s="3"/>
      <c r="LSO113" s="3"/>
      <c r="LSP113" s="3"/>
      <c r="LSQ113" s="3"/>
      <c r="LSR113" s="3"/>
      <c r="LSS113" s="3"/>
      <c r="LST113" s="3"/>
      <c r="LSU113" s="3"/>
      <c r="LSV113" s="3"/>
      <c r="LSW113" s="3"/>
      <c r="LSX113" s="3"/>
      <c r="LSY113" s="3"/>
      <c r="LSZ113" s="3"/>
      <c r="LTA113" s="3"/>
      <c r="LTB113" s="3"/>
      <c r="LTC113" s="3"/>
      <c r="LTD113" s="3"/>
      <c r="LTE113" s="3"/>
      <c r="LTF113" s="3"/>
      <c r="LTG113" s="3"/>
      <c r="LTH113" s="3"/>
      <c r="LTI113" s="3"/>
      <c r="LTJ113" s="3"/>
      <c r="LTK113" s="3"/>
      <c r="LTL113" s="3"/>
      <c r="LTM113" s="3"/>
      <c r="LTN113" s="3"/>
      <c r="LTO113" s="3"/>
      <c r="LTP113" s="3"/>
      <c r="LTQ113" s="3"/>
      <c r="LTR113" s="3"/>
      <c r="LTS113" s="3"/>
      <c r="LTT113" s="3"/>
      <c r="LTU113" s="3"/>
      <c r="LTV113" s="3"/>
      <c r="LTW113" s="3"/>
      <c r="LTX113" s="3"/>
      <c r="LTY113" s="3"/>
      <c r="LTZ113" s="3"/>
      <c r="LUA113" s="3"/>
      <c r="LUB113" s="3"/>
      <c r="LUC113" s="3"/>
      <c r="LUD113" s="3"/>
      <c r="LUE113" s="3"/>
      <c r="LUF113" s="3"/>
      <c r="LUG113" s="3"/>
      <c r="LUH113" s="3"/>
      <c r="LUI113" s="3"/>
      <c r="LUJ113" s="3"/>
      <c r="LUK113" s="3"/>
      <c r="LUL113" s="3"/>
      <c r="LUM113" s="3"/>
      <c r="LUN113" s="3"/>
      <c r="LUO113" s="3"/>
      <c r="LUP113" s="3"/>
      <c r="LUQ113" s="3"/>
      <c r="LUR113" s="3"/>
      <c r="LUS113" s="3"/>
      <c r="LUT113" s="3"/>
      <c r="LUU113" s="3"/>
      <c r="LUV113" s="3"/>
      <c r="LUW113" s="3"/>
      <c r="LUX113" s="3"/>
      <c r="LUY113" s="3"/>
      <c r="LUZ113" s="3"/>
      <c r="LVA113" s="3"/>
      <c r="LVB113" s="3"/>
      <c r="LVC113" s="3"/>
      <c r="LVD113" s="3"/>
      <c r="LVE113" s="3"/>
      <c r="LVF113" s="3"/>
      <c r="LVG113" s="3"/>
      <c r="LVH113" s="3"/>
      <c r="LVI113" s="3"/>
      <c r="LVJ113" s="3"/>
      <c r="LVK113" s="3"/>
      <c r="LVL113" s="3"/>
      <c r="LVM113" s="3"/>
      <c r="LVN113" s="3"/>
      <c r="LVO113" s="3"/>
      <c r="LVP113" s="3"/>
      <c r="LVQ113" s="3"/>
      <c r="LVR113" s="3"/>
      <c r="LVS113" s="3"/>
      <c r="LVT113" s="3"/>
      <c r="LVU113" s="3"/>
      <c r="LVV113" s="3"/>
      <c r="LVW113" s="3"/>
      <c r="LVX113" s="3"/>
      <c r="LVY113" s="3"/>
      <c r="LVZ113" s="3"/>
      <c r="LWA113" s="3"/>
      <c r="LWB113" s="3"/>
      <c r="LWC113" s="3"/>
      <c r="LWD113" s="3"/>
      <c r="LWE113" s="3"/>
      <c r="LWF113" s="3"/>
      <c r="LWG113" s="3"/>
      <c r="LWH113" s="3"/>
      <c r="LWI113" s="3"/>
      <c r="LWJ113" s="3"/>
      <c r="LWK113" s="3"/>
      <c r="LWL113" s="3"/>
      <c r="LWM113" s="3"/>
      <c r="LWN113" s="3"/>
      <c r="LWO113" s="3"/>
      <c r="LWP113" s="3"/>
      <c r="LWQ113" s="3"/>
      <c r="LWR113" s="3"/>
      <c r="LWS113" s="3"/>
      <c r="LWT113" s="3"/>
      <c r="LWU113" s="3"/>
      <c r="LWV113" s="3"/>
      <c r="LWW113" s="3"/>
      <c r="LWX113" s="3"/>
      <c r="LWY113" s="3"/>
      <c r="LWZ113" s="3"/>
      <c r="LXA113" s="3"/>
      <c r="LXB113" s="3"/>
      <c r="LXC113" s="3"/>
      <c r="LXD113" s="3"/>
      <c r="LXE113" s="3"/>
      <c r="LXF113" s="3"/>
      <c r="LXG113" s="3"/>
      <c r="LXH113" s="3"/>
      <c r="LXI113" s="3"/>
      <c r="LXJ113" s="3"/>
      <c r="LXK113" s="3"/>
      <c r="LXL113" s="3"/>
      <c r="LXM113" s="3"/>
      <c r="LXN113" s="3"/>
      <c r="LXO113" s="3"/>
      <c r="LXP113" s="3"/>
      <c r="LXQ113" s="3"/>
      <c r="LXR113" s="3"/>
      <c r="LXS113" s="3"/>
      <c r="LXT113" s="3"/>
      <c r="LXU113" s="3"/>
      <c r="LXV113" s="3"/>
      <c r="LXW113" s="3"/>
      <c r="LXX113" s="3"/>
      <c r="LXY113" s="3"/>
      <c r="LXZ113" s="3"/>
      <c r="LYA113" s="3"/>
      <c r="LYB113" s="3"/>
      <c r="LYC113" s="3"/>
      <c r="LYD113" s="3"/>
      <c r="LYE113" s="3"/>
      <c r="LYF113" s="3"/>
      <c r="LYG113" s="3"/>
      <c r="LYH113" s="3"/>
      <c r="LYI113" s="3"/>
      <c r="LYJ113" s="3"/>
      <c r="LYK113" s="3"/>
      <c r="LYL113" s="3"/>
      <c r="LYM113" s="3"/>
      <c r="LYN113" s="3"/>
      <c r="LYO113" s="3"/>
      <c r="LYP113" s="3"/>
      <c r="LYQ113" s="3"/>
      <c r="LYR113" s="3"/>
      <c r="LYS113" s="3"/>
      <c r="LYT113" s="3"/>
      <c r="LYU113" s="3"/>
      <c r="LYV113" s="3"/>
      <c r="LYW113" s="3"/>
      <c r="LYX113" s="3"/>
      <c r="LYY113" s="3"/>
      <c r="LYZ113" s="3"/>
      <c r="LZA113" s="3"/>
      <c r="LZB113" s="3"/>
      <c r="LZC113" s="3"/>
      <c r="LZD113" s="3"/>
      <c r="LZE113" s="3"/>
      <c r="LZF113" s="3"/>
      <c r="LZG113" s="3"/>
      <c r="LZH113" s="3"/>
      <c r="LZI113" s="3"/>
      <c r="LZJ113" s="3"/>
      <c r="LZK113" s="3"/>
      <c r="LZL113" s="3"/>
      <c r="LZM113" s="3"/>
      <c r="LZN113" s="3"/>
      <c r="LZO113" s="3"/>
      <c r="LZP113" s="3"/>
      <c r="LZQ113" s="3"/>
      <c r="LZR113" s="3"/>
      <c r="LZS113" s="3"/>
      <c r="LZT113" s="3"/>
      <c r="LZU113" s="3"/>
      <c r="LZV113" s="3"/>
      <c r="LZW113" s="3"/>
      <c r="LZX113" s="3"/>
      <c r="LZY113" s="3"/>
      <c r="LZZ113" s="3"/>
      <c r="MAA113" s="3"/>
      <c r="MAB113" s="3"/>
      <c r="MAC113" s="3"/>
      <c r="MAD113" s="3"/>
      <c r="MAE113" s="3"/>
      <c r="MAF113" s="3"/>
      <c r="MAG113" s="3"/>
      <c r="MAH113" s="3"/>
      <c r="MAI113" s="3"/>
      <c r="MAJ113" s="3"/>
      <c r="MAK113" s="3"/>
      <c r="MAL113" s="3"/>
      <c r="MAM113" s="3"/>
      <c r="MAN113" s="3"/>
      <c r="MAO113" s="3"/>
      <c r="MAP113" s="3"/>
      <c r="MAQ113" s="3"/>
      <c r="MAR113" s="3"/>
      <c r="MAS113" s="3"/>
      <c r="MAT113" s="3"/>
      <c r="MAU113" s="3"/>
      <c r="MAV113" s="3"/>
      <c r="MAW113" s="3"/>
      <c r="MAX113" s="3"/>
      <c r="MAY113" s="3"/>
      <c r="MAZ113" s="3"/>
      <c r="MBA113" s="3"/>
      <c r="MBB113" s="3"/>
      <c r="MBC113" s="3"/>
      <c r="MBD113" s="3"/>
      <c r="MBE113" s="3"/>
      <c r="MBF113" s="3"/>
      <c r="MBG113" s="3"/>
      <c r="MBH113" s="3"/>
      <c r="MBI113" s="3"/>
      <c r="MBJ113" s="3"/>
      <c r="MBK113" s="3"/>
      <c r="MBL113" s="3"/>
      <c r="MBM113" s="3"/>
      <c r="MBN113" s="3"/>
      <c r="MBO113" s="3"/>
      <c r="MBP113" s="3"/>
      <c r="MBQ113" s="3"/>
      <c r="MBR113" s="3"/>
      <c r="MBS113" s="3"/>
      <c r="MBT113" s="3"/>
      <c r="MBU113" s="3"/>
      <c r="MBV113" s="3"/>
      <c r="MBW113" s="3"/>
      <c r="MBX113" s="3"/>
      <c r="MBY113" s="3"/>
      <c r="MBZ113" s="3"/>
      <c r="MCA113" s="3"/>
      <c r="MCB113" s="3"/>
      <c r="MCC113" s="3"/>
      <c r="MCD113" s="3"/>
      <c r="MCE113" s="3"/>
      <c r="MCF113" s="3"/>
      <c r="MCG113" s="3"/>
      <c r="MCH113" s="3"/>
      <c r="MCI113" s="3"/>
      <c r="MCJ113" s="3"/>
      <c r="MCK113" s="3"/>
      <c r="MCL113" s="3"/>
      <c r="MCM113" s="3"/>
      <c r="MCN113" s="3"/>
      <c r="MCO113" s="3"/>
      <c r="MCP113" s="3"/>
      <c r="MCQ113" s="3"/>
      <c r="MCR113" s="3"/>
      <c r="MCS113" s="3"/>
      <c r="MCT113" s="3"/>
      <c r="MCU113" s="3"/>
      <c r="MCV113" s="3"/>
      <c r="MCW113" s="3"/>
      <c r="MCX113" s="3"/>
      <c r="MCY113" s="3"/>
      <c r="MCZ113" s="3"/>
      <c r="MDA113" s="3"/>
      <c r="MDB113" s="3"/>
      <c r="MDC113" s="3"/>
      <c r="MDD113" s="3"/>
      <c r="MDE113" s="3"/>
      <c r="MDF113" s="3"/>
      <c r="MDG113" s="3"/>
      <c r="MDH113" s="3"/>
      <c r="MDI113" s="3"/>
      <c r="MDJ113" s="3"/>
      <c r="MDK113" s="3"/>
      <c r="MDL113" s="3"/>
      <c r="MDM113" s="3"/>
      <c r="MDN113" s="3"/>
      <c r="MDO113" s="3"/>
      <c r="MDP113" s="3"/>
      <c r="MDQ113" s="3"/>
      <c r="MDR113" s="3"/>
      <c r="MDS113" s="3"/>
      <c r="MDT113" s="3"/>
      <c r="MDU113" s="3"/>
      <c r="MDV113" s="3"/>
      <c r="MDW113" s="3"/>
      <c r="MDX113" s="3"/>
      <c r="MDY113" s="3"/>
      <c r="MDZ113" s="3"/>
      <c r="MEA113" s="3"/>
      <c r="MEB113" s="3"/>
      <c r="MEC113" s="3"/>
      <c r="MED113" s="3"/>
      <c r="MEE113" s="3"/>
      <c r="MEF113" s="3"/>
      <c r="MEG113" s="3"/>
      <c r="MEH113" s="3"/>
      <c r="MEI113" s="3"/>
      <c r="MEJ113" s="3"/>
      <c r="MEK113" s="3"/>
      <c r="MEL113" s="3"/>
      <c r="MEM113" s="3"/>
      <c r="MEN113" s="3"/>
      <c r="MEO113" s="3"/>
      <c r="MEP113" s="3"/>
      <c r="MEQ113" s="3"/>
      <c r="MER113" s="3"/>
      <c r="MES113" s="3"/>
      <c r="MET113" s="3"/>
      <c r="MEU113" s="3"/>
      <c r="MEV113" s="3"/>
      <c r="MEW113" s="3"/>
      <c r="MEX113" s="3"/>
      <c r="MEY113" s="3"/>
      <c r="MEZ113" s="3"/>
      <c r="MFA113" s="3"/>
      <c r="MFB113" s="3"/>
      <c r="MFC113" s="3"/>
      <c r="MFD113" s="3"/>
      <c r="MFE113" s="3"/>
      <c r="MFF113" s="3"/>
      <c r="MFG113" s="3"/>
      <c r="MFH113" s="3"/>
      <c r="MFI113" s="3"/>
      <c r="MFJ113" s="3"/>
      <c r="MFK113" s="3"/>
      <c r="MFL113" s="3"/>
      <c r="MFM113" s="3"/>
      <c r="MFN113" s="3"/>
      <c r="MFO113" s="3"/>
      <c r="MFP113" s="3"/>
      <c r="MFQ113" s="3"/>
      <c r="MFR113" s="3"/>
      <c r="MFS113" s="3"/>
      <c r="MFT113" s="3"/>
      <c r="MFU113" s="3"/>
      <c r="MFV113" s="3"/>
      <c r="MFW113" s="3"/>
      <c r="MFX113" s="3"/>
      <c r="MFY113" s="3"/>
      <c r="MFZ113" s="3"/>
      <c r="MGA113" s="3"/>
      <c r="MGB113" s="3"/>
      <c r="MGC113" s="3"/>
      <c r="MGD113" s="3"/>
      <c r="MGE113" s="3"/>
      <c r="MGF113" s="3"/>
      <c r="MGG113" s="3"/>
      <c r="MGH113" s="3"/>
      <c r="MGI113" s="3"/>
      <c r="MGJ113" s="3"/>
      <c r="MGK113" s="3"/>
      <c r="MGL113" s="3"/>
      <c r="MGM113" s="3"/>
      <c r="MGN113" s="3"/>
      <c r="MGO113" s="3"/>
      <c r="MGP113" s="3"/>
      <c r="MGQ113" s="3"/>
      <c r="MGR113" s="3"/>
      <c r="MGS113" s="3"/>
      <c r="MGT113" s="3"/>
      <c r="MGU113" s="3"/>
      <c r="MGV113" s="3"/>
      <c r="MGW113" s="3"/>
      <c r="MGX113" s="3"/>
      <c r="MGY113" s="3"/>
      <c r="MGZ113" s="3"/>
      <c r="MHA113" s="3"/>
      <c r="MHB113" s="3"/>
      <c r="MHC113" s="3"/>
      <c r="MHD113" s="3"/>
      <c r="MHE113" s="3"/>
      <c r="MHF113" s="3"/>
      <c r="MHG113" s="3"/>
      <c r="MHH113" s="3"/>
      <c r="MHI113" s="3"/>
      <c r="MHJ113" s="3"/>
      <c r="MHK113" s="3"/>
      <c r="MHL113" s="3"/>
      <c r="MHM113" s="3"/>
      <c r="MHN113" s="3"/>
      <c r="MHO113" s="3"/>
      <c r="MHP113" s="3"/>
      <c r="MHQ113" s="3"/>
      <c r="MHR113" s="3"/>
      <c r="MHS113" s="3"/>
      <c r="MHT113" s="3"/>
      <c r="MHU113" s="3"/>
      <c r="MHV113" s="3"/>
      <c r="MHW113" s="3"/>
      <c r="MHX113" s="3"/>
      <c r="MHY113" s="3"/>
      <c r="MHZ113" s="3"/>
      <c r="MIA113" s="3"/>
      <c r="MIB113" s="3"/>
      <c r="MIC113" s="3"/>
      <c r="MID113" s="3"/>
      <c r="MIE113" s="3"/>
      <c r="MIF113" s="3"/>
      <c r="MIG113" s="3"/>
      <c r="MIH113" s="3"/>
      <c r="MII113" s="3"/>
      <c r="MIJ113" s="3"/>
      <c r="MIK113" s="3"/>
      <c r="MIL113" s="3"/>
      <c r="MIM113" s="3"/>
      <c r="MIN113" s="3"/>
      <c r="MIO113" s="3"/>
      <c r="MIP113" s="3"/>
      <c r="MIQ113" s="3"/>
      <c r="MIR113" s="3"/>
      <c r="MIS113" s="3"/>
      <c r="MIT113" s="3"/>
      <c r="MIU113" s="3"/>
      <c r="MIV113" s="3"/>
      <c r="MIW113" s="3"/>
      <c r="MIX113" s="3"/>
      <c r="MIY113" s="3"/>
      <c r="MIZ113" s="3"/>
      <c r="MJA113" s="3"/>
      <c r="MJB113" s="3"/>
      <c r="MJC113" s="3"/>
      <c r="MJD113" s="3"/>
      <c r="MJE113" s="3"/>
      <c r="MJF113" s="3"/>
      <c r="MJG113" s="3"/>
      <c r="MJH113" s="3"/>
      <c r="MJI113" s="3"/>
      <c r="MJJ113" s="3"/>
      <c r="MJK113" s="3"/>
      <c r="MJL113" s="3"/>
      <c r="MJM113" s="3"/>
      <c r="MJN113" s="3"/>
      <c r="MJO113" s="3"/>
      <c r="MJP113" s="3"/>
      <c r="MJQ113" s="3"/>
      <c r="MJR113" s="3"/>
      <c r="MJS113" s="3"/>
      <c r="MJT113" s="3"/>
      <c r="MJU113" s="3"/>
      <c r="MJV113" s="3"/>
      <c r="MJW113" s="3"/>
      <c r="MJX113" s="3"/>
      <c r="MJY113" s="3"/>
      <c r="MJZ113" s="3"/>
      <c r="MKA113" s="3"/>
      <c r="MKB113" s="3"/>
      <c r="MKC113" s="3"/>
      <c r="MKD113" s="3"/>
      <c r="MKE113" s="3"/>
      <c r="MKF113" s="3"/>
      <c r="MKG113" s="3"/>
      <c r="MKH113" s="3"/>
      <c r="MKI113" s="3"/>
      <c r="MKJ113" s="3"/>
      <c r="MKK113" s="3"/>
      <c r="MKL113" s="3"/>
      <c r="MKM113" s="3"/>
      <c r="MKN113" s="3"/>
      <c r="MKO113" s="3"/>
      <c r="MKP113" s="3"/>
      <c r="MKQ113" s="3"/>
      <c r="MKR113" s="3"/>
      <c r="MKS113" s="3"/>
      <c r="MKT113" s="3"/>
      <c r="MKU113" s="3"/>
      <c r="MKV113" s="3"/>
      <c r="MKW113" s="3"/>
      <c r="MKX113" s="3"/>
      <c r="MKY113" s="3"/>
      <c r="MKZ113" s="3"/>
      <c r="MLA113" s="3"/>
      <c r="MLB113" s="3"/>
      <c r="MLC113" s="3"/>
      <c r="MLD113" s="3"/>
      <c r="MLE113" s="3"/>
      <c r="MLF113" s="3"/>
      <c r="MLG113" s="3"/>
      <c r="MLH113" s="3"/>
      <c r="MLI113" s="3"/>
      <c r="MLJ113" s="3"/>
      <c r="MLK113" s="3"/>
      <c r="MLL113" s="3"/>
      <c r="MLM113" s="3"/>
      <c r="MLN113" s="3"/>
      <c r="MLO113" s="3"/>
      <c r="MLP113" s="3"/>
      <c r="MLQ113" s="3"/>
      <c r="MLR113" s="3"/>
      <c r="MLS113" s="3"/>
      <c r="MLT113" s="3"/>
      <c r="MLU113" s="3"/>
      <c r="MLV113" s="3"/>
      <c r="MLW113" s="3"/>
      <c r="MLX113" s="3"/>
      <c r="MLY113" s="3"/>
      <c r="MLZ113" s="3"/>
      <c r="MMA113" s="3"/>
      <c r="MMB113" s="3"/>
      <c r="MMC113" s="3"/>
      <c r="MMD113" s="3"/>
      <c r="MME113" s="3"/>
      <c r="MMF113" s="3"/>
      <c r="MMG113" s="3"/>
      <c r="MMH113" s="3"/>
      <c r="MMI113" s="3"/>
      <c r="MMJ113" s="3"/>
      <c r="MMK113" s="3"/>
      <c r="MML113" s="3"/>
      <c r="MMM113" s="3"/>
      <c r="MMN113" s="3"/>
      <c r="MMO113" s="3"/>
      <c r="MMP113" s="3"/>
      <c r="MMQ113" s="3"/>
      <c r="MMR113" s="3"/>
      <c r="MMS113" s="3"/>
      <c r="MMT113" s="3"/>
      <c r="MMU113" s="3"/>
      <c r="MMV113" s="3"/>
      <c r="MMW113" s="3"/>
      <c r="MMX113" s="3"/>
      <c r="MMY113" s="3"/>
      <c r="MMZ113" s="3"/>
      <c r="MNA113" s="3"/>
      <c r="MNB113" s="3"/>
      <c r="MNC113" s="3"/>
      <c r="MND113" s="3"/>
      <c r="MNE113" s="3"/>
      <c r="MNF113" s="3"/>
      <c r="MNG113" s="3"/>
      <c r="MNH113" s="3"/>
      <c r="MNI113" s="3"/>
      <c r="MNJ113" s="3"/>
      <c r="MNK113" s="3"/>
      <c r="MNL113" s="3"/>
      <c r="MNM113" s="3"/>
      <c r="MNN113" s="3"/>
      <c r="MNO113" s="3"/>
      <c r="MNP113" s="3"/>
      <c r="MNQ113" s="3"/>
      <c r="MNR113" s="3"/>
      <c r="MNS113" s="3"/>
      <c r="MNT113" s="3"/>
      <c r="MNU113" s="3"/>
      <c r="MNV113" s="3"/>
      <c r="MNW113" s="3"/>
      <c r="MNX113" s="3"/>
      <c r="MNY113" s="3"/>
      <c r="MNZ113" s="3"/>
      <c r="MOA113" s="3"/>
      <c r="MOB113" s="3"/>
      <c r="MOC113" s="3"/>
      <c r="MOD113" s="3"/>
      <c r="MOE113" s="3"/>
      <c r="MOF113" s="3"/>
      <c r="MOG113" s="3"/>
      <c r="MOH113" s="3"/>
      <c r="MOI113" s="3"/>
      <c r="MOJ113" s="3"/>
      <c r="MOK113" s="3"/>
      <c r="MOL113" s="3"/>
      <c r="MOM113" s="3"/>
      <c r="MON113" s="3"/>
      <c r="MOO113" s="3"/>
      <c r="MOP113" s="3"/>
      <c r="MOQ113" s="3"/>
      <c r="MOR113" s="3"/>
      <c r="MOS113" s="3"/>
      <c r="MOT113" s="3"/>
      <c r="MOU113" s="3"/>
      <c r="MOV113" s="3"/>
      <c r="MOW113" s="3"/>
      <c r="MOX113" s="3"/>
      <c r="MOY113" s="3"/>
      <c r="MOZ113" s="3"/>
      <c r="MPA113" s="3"/>
      <c r="MPB113" s="3"/>
      <c r="MPC113" s="3"/>
      <c r="MPD113" s="3"/>
      <c r="MPE113" s="3"/>
      <c r="MPF113" s="3"/>
      <c r="MPG113" s="3"/>
      <c r="MPH113" s="3"/>
      <c r="MPI113" s="3"/>
      <c r="MPJ113" s="3"/>
      <c r="MPK113" s="3"/>
      <c r="MPL113" s="3"/>
      <c r="MPM113" s="3"/>
      <c r="MPN113" s="3"/>
      <c r="MPO113" s="3"/>
      <c r="MPP113" s="3"/>
      <c r="MPQ113" s="3"/>
      <c r="MPR113" s="3"/>
      <c r="MPS113" s="3"/>
      <c r="MPT113" s="3"/>
      <c r="MPU113" s="3"/>
      <c r="MPV113" s="3"/>
      <c r="MPW113" s="3"/>
      <c r="MPX113" s="3"/>
      <c r="MPY113" s="3"/>
      <c r="MPZ113" s="3"/>
      <c r="MQA113" s="3"/>
      <c r="MQB113" s="3"/>
      <c r="MQC113" s="3"/>
      <c r="MQD113" s="3"/>
      <c r="MQE113" s="3"/>
      <c r="MQF113" s="3"/>
      <c r="MQG113" s="3"/>
      <c r="MQH113" s="3"/>
      <c r="MQI113" s="3"/>
      <c r="MQJ113" s="3"/>
      <c r="MQK113" s="3"/>
      <c r="MQL113" s="3"/>
      <c r="MQM113" s="3"/>
      <c r="MQN113" s="3"/>
      <c r="MQO113" s="3"/>
      <c r="MQP113" s="3"/>
      <c r="MQQ113" s="3"/>
      <c r="MQR113" s="3"/>
      <c r="MQS113" s="3"/>
      <c r="MQT113" s="3"/>
      <c r="MQU113" s="3"/>
      <c r="MQV113" s="3"/>
      <c r="MQW113" s="3"/>
      <c r="MQX113" s="3"/>
      <c r="MQY113" s="3"/>
      <c r="MQZ113" s="3"/>
      <c r="MRA113" s="3"/>
      <c r="MRB113" s="3"/>
      <c r="MRC113" s="3"/>
      <c r="MRD113" s="3"/>
      <c r="MRE113" s="3"/>
      <c r="MRF113" s="3"/>
      <c r="MRG113" s="3"/>
      <c r="MRH113" s="3"/>
      <c r="MRI113" s="3"/>
      <c r="MRJ113" s="3"/>
      <c r="MRK113" s="3"/>
      <c r="MRL113" s="3"/>
      <c r="MRM113" s="3"/>
      <c r="MRN113" s="3"/>
      <c r="MRO113" s="3"/>
      <c r="MRP113" s="3"/>
      <c r="MRQ113" s="3"/>
      <c r="MRR113" s="3"/>
      <c r="MRS113" s="3"/>
      <c r="MRT113" s="3"/>
      <c r="MRU113" s="3"/>
      <c r="MRV113" s="3"/>
      <c r="MRW113" s="3"/>
      <c r="MRX113" s="3"/>
      <c r="MRY113" s="3"/>
      <c r="MRZ113" s="3"/>
      <c r="MSA113" s="3"/>
      <c r="MSB113" s="3"/>
      <c r="MSC113" s="3"/>
      <c r="MSD113" s="3"/>
      <c r="MSE113" s="3"/>
      <c r="MSF113" s="3"/>
      <c r="MSG113" s="3"/>
      <c r="MSH113" s="3"/>
      <c r="MSI113" s="3"/>
      <c r="MSJ113" s="3"/>
      <c r="MSK113" s="3"/>
      <c r="MSL113" s="3"/>
      <c r="MSM113" s="3"/>
      <c r="MSN113" s="3"/>
      <c r="MSO113" s="3"/>
      <c r="MSP113" s="3"/>
      <c r="MSQ113" s="3"/>
      <c r="MSR113" s="3"/>
      <c r="MSS113" s="3"/>
      <c r="MST113" s="3"/>
      <c r="MSU113" s="3"/>
      <c r="MSV113" s="3"/>
      <c r="MSW113" s="3"/>
      <c r="MSX113" s="3"/>
      <c r="MSY113" s="3"/>
      <c r="MSZ113" s="3"/>
      <c r="MTA113" s="3"/>
      <c r="MTB113" s="3"/>
      <c r="MTC113" s="3"/>
      <c r="MTD113" s="3"/>
      <c r="MTE113" s="3"/>
      <c r="MTF113" s="3"/>
      <c r="MTG113" s="3"/>
      <c r="MTH113" s="3"/>
      <c r="MTI113" s="3"/>
      <c r="MTJ113" s="3"/>
      <c r="MTK113" s="3"/>
      <c r="MTL113" s="3"/>
      <c r="MTM113" s="3"/>
      <c r="MTN113" s="3"/>
      <c r="MTO113" s="3"/>
      <c r="MTP113" s="3"/>
      <c r="MTQ113" s="3"/>
      <c r="MTR113" s="3"/>
      <c r="MTS113" s="3"/>
      <c r="MTT113" s="3"/>
      <c r="MTU113" s="3"/>
      <c r="MTV113" s="3"/>
      <c r="MTW113" s="3"/>
      <c r="MTX113" s="3"/>
      <c r="MTY113" s="3"/>
      <c r="MTZ113" s="3"/>
      <c r="MUA113" s="3"/>
      <c r="MUB113" s="3"/>
      <c r="MUC113" s="3"/>
      <c r="MUD113" s="3"/>
      <c r="MUE113" s="3"/>
      <c r="MUF113" s="3"/>
      <c r="MUG113" s="3"/>
      <c r="MUH113" s="3"/>
      <c r="MUI113" s="3"/>
      <c r="MUJ113" s="3"/>
      <c r="MUK113" s="3"/>
      <c r="MUL113" s="3"/>
      <c r="MUM113" s="3"/>
      <c r="MUN113" s="3"/>
      <c r="MUO113" s="3"/>
      <c r="MUP113" s="3"/>
      <c r="MUQ113" s="3"/>
      <c r="MUR113" s="3"/>
      <c r="MUS113" s="3"/>
      <c r="MUT113" s="3"/>
      <c r="MUU113" s="3"/>
      <c r="MUV113" s="3"/>
      <c r="MUW113" s="3"/>
      <c r="MUX113" s="3"/>
      <c r="MUY113" s="3"/>
      <c r="MUZ113" s="3"/>
      <c r="MVA113" s="3"/>
      <c r="MVB113" s="3"/>
      <c r="MVC113" s="3"/>
      <c r="MVD113" s="3"/>
      <c r="MVE113" s="3"/>
      <c r="MVF113" s="3"/>
      <c r="MVG113" s="3"/>
      <c r="MVH113" s="3"/>
      <c r="MVI113" s="3"/>
      <c r="MVJ113" s="3"/>
      <c r="MVK113" s="3"/>
      <c r="MVL113" s="3"/>
      <c r="MVM113" s="3"/>
      <c r="MVN113" s="3"/>
      <c r="MVO113" s="3"/>
      <c r="MVP113" s="3"/>
      <c r="MVQ113" s="3"/>
      <c r="MVR113" s="3"/>
      <c r="MVS113" s="3"/>
      <c r="MVT113" s="3"/>
      <c r="MVU113" s="3"/>
      <c r="MVV113" s="3"/>
      <c r="MVW113" s="3"/>
      <c r="MVX113" s="3"/>
      <c r="MVY113" s="3"/>
      <c r="MVZ113" s="3"/>
      <c r="MWA113" s="3"/>
      <c r="MWB113" s="3"/>
      <c r="MWC113" s="3"/>
      <c r="MWD113" s="3"/>
      <c r="MWE113" s="3"/>
      <c r="MWF113" s="3"/>
      <c r="MWG113" s="3"/>
      <c r="MWH113" s="3"/>
      <c r="MWI113" s="3"/>
      <c r="MWJ113" s="3"/>
      <c r="MWK113" s="3"/>
      <c r="MWL113" s="3"/>
      <c r="MWM113" s="3"/>
      <c r="MWN113" s="3"/>
      <c r="MWO113" s="3"/>
      <c r="MWP113" s="3"/>
      <c r="MWQ113" s="3"/>
      <c r="MWR113" s="3"/>
      <c r="MWS113" s="3"/>
      <c r="MWT113" s="3"/>
      <c r="MWU113" s="3"/>
      <c r="MWV113" s="3"/>
      <c r="MWW113" s="3"/>
      <c r="MWX113" s="3"/>
      <c r="MWY113" s="3"/>
      <c r="MWZ113" s="3"/>
      <c r="MXA113" s="3"/>
      <c r="MXB113" s="3"/>
      <c r="MXC113" s="3"/>
      <c r="MXD113" s="3"/>
      <c r="MXE113" s="3"/>
      <c r="MXF113" s="3"/>
      <c r="MXG113" s="3"/>
      <c r="MXH113" s="3"/>
      <c r="MXI113" s="3"/>
      <c r="MXJ113" s="3"/>
      <c r="MXK113" s="3"/>
      <c r="MXL113" s="3"/>
      <c r="MXM113" s="3"/>
      <c r="MXN113" s="3"/>
      <c r="MXO113" s="3"/>
      <c r="MXP113" s="3"/>
      <c r="MXQ113" s="3"/>
      <c r="MXR113" s="3"/>
      <c r="MXS113" s="3"/>
      <c r="MXT113" s="3"/>
      <c r="MXU113" s="3"/>
      <c r="MXV113" s="3"/>
      <c r="MXW113" s="3"/>
      <c r="MXX113" s="3"/>
      <c r="MXY113" s="3"/>
      <c r="MXZ113" s="3"/>
      <c r="MYA113" s="3"/>
      <c r="MYB113" s="3"/>
      <c r="MYC113" s="3"/>
      <c r="MYD113" s="3"/>
      <c r="MYE113" s="3"/>
      <c r="MYF113" s="3"/>
      <c r="MYG113" s="3"/>
      <c r="MYH113" s="3"/>
      <c r="MYI113" s="3"/>
      <c r="MYJ113" s="3"/>
      <c r="MYK113" s="3"/>
      <c r="MYL113" s="3"/>
      <c r="MYM113" s="3"/>
      <c r="MYN113" s="3"/>
      <c r="MYO113" s="3"/>
      <c r="MYP113" s="3"/>
      <c r="MYQ113" s="3"/>
      <c r="MYR113" s="3"/>
      <c r="MYS113" s="3"/>
      <c r="MYT113" s="3"/>
      <c r="MYU113" s="3"/>
      <c r="MYV113" s="3"/>
      <c r="MYW113" s="3"/>
      <c r="MYX113" s="3"/>
      <c r="MYY113" s="3"/>
      <c r="MYZ113" s="3"/>
      <c r="MZA113" s="3"/>
      <c r="MZB113" s="3"/>
      <c r="MZC113" s="3"/>
      <c r="MZD113" s="3"/>
      <c r="MZE113" s="3"/>
      <c r="MZF113" s="3"/>
      <c r="MZG113" s="3"/>
      <c r="MZH113" s="3"/>
      <c r="MZI113" s="3"/>
      <c r="MZJ113" s="3"/>
      <c r="MZK113" s="3"/>
      <c r="MZL113" s="3"/>
      <c r="MZM113" s="3"/>
      <c r="MZN113" s="3"/>
      <c r="MZO113" s="3"/>
      <c r="MZP113" s="3"/>
      <c r="MZQ113" s="3"/>
      <c r="MZR113" s="3"/>
      <c r="MZS113" s="3"/>
      <c r="MZT113" s="3"/>
      <c r="MZU113" s="3"/>
      <c r="MZV113" s="3"/>
      <c r="MZW113" s="3"/>
      <c r="MZX113" s="3"/>
      <c r="MZY113" s="3"/>
      <c r="MZZ113" s="3"/>
      <c r="NAA113" s="3"/>
      <c r="NAB113" s="3"/>
      <c r="NAC113" s="3"/>
      <c r="NAD113" s="3"/>
      <c r="NAE113" s="3"/>
      <c r="NAF113" s="3"/>
      <c r="NAG113" s="3"/>
      <c r="NAH113" s="3"/>
      <c r="NAI113" s="3"/>
      <c r="NAJ113" s="3"/>
      <c r="NAK113" s="3"/>
      <c r="NAL113" s="3"/>
      <c r="NAM113" s="3"/>
      <c r="NAN113" s="3"/>
      <c r="NAO113" s="3"/>
      <c r="NAP113" s="3"/>
      <c r="NAQ113" s="3"/>
      <c r="NAR113" s="3"/>
      <c r="NAS113" s="3"/>
      <c r="NAT113" s="3"/>
      <c r="NAU113" s="3"/>
      <c r="NAV113" s="3"/>
      <c r="NAW113" s="3"/>
      <c r="NAX113" s="3"/>
      <c r="NAY113" s="3"/>
      <c r="NAZ113" s="3"/>
      <c r="NBA113" s="3"/>
      <c r="NBB113" s="3"/>
      <c r="NBC113" s="3"/>
      <c r="NBD113" s="3"/>
      <c r="NBE113" s="3"/>
      <c r="NBF113" s="3"/>
      <c r="NBG113" s="3"/>
      <c r="NBH113" s="3"/>
      <c r="NBI113" s="3"/>
      <c r="NBJ113" s="3"/>
      <c r="NBK113" s="3"/>
      <c r="NBL113" s="3"/>
      <c r="NBM113" s="3"/>
      <c r="NBN113" s="3"/>
      <c r="NBO113" s="3"/>
      <c r="NBP113" s="3"/>
      <c r="NBQ113" s="3"/>
      <c r="NBR113" s="3"/>
      <c r="NBS113" s="3"/>
      <c r="NBT113" s="3"/>
      <c r="NBU113" s="3"/>
      <c r="NBV113" s="3"/>
      <c r="NBW113" s="3"/>
      <c r="NBX113" s="3"/>
      <c r="NBY113" s="3"/>
      <c r="NBZ113" s="3"/>
      <c r="NCA113" s="3"/>
      <c r="NCB113" s="3"/>
      <c r="NCC113" s="3"/>
      <c r="NCD113" s="3"/>
      <c r="NCE113" s="3"/>
      <c r="NCF113" s="3"/>
      <c r="NCG113" s="3"/>
      <c r="NCH113" s="3"/>
      <c r="NCI113" s="3"/>
      <c r="NCJ113" s="3"/>
      <c r="NCK113" s="3"/>
      <c r="NCL113" s="3"/>
      <c r="NCM113" s="3"/>
      <c r="NCN113" s="3"/>
      <c r="NCO113" s="3"/>
      <c r="NCP113" s="3"/>
      <c r="NCQ113" s="3"/>
      <c r="NCR113" s="3"/>
      <c r="NCS113" s="3"/>
      <c r="NCT113" s="3"/>
      <c r="NCU113" s="3"/>
      <c r="NCV113" s="3"/>
      <c r="NCW113" s="3"/>
      <c r="NCX113" s="3"/>
      <c r="NCY113" s="3"/>
      <c r="NCZ113" s="3"/>
      <c r="NDA113" s="3"/>
      <c r="NDB113" s="3"/>
      <c r="NDC113" s="3"/>
      <c r="NDD113" s="3"/>
      <c r="NDE113" s="3"/>
      <c r="NDF113" s="3"/>
      <c r="NDG113" s="3"/>
      <c r="NDH113" s="3"/>
      <c r="NDI113" s="3"/>
      <c r="NDJ113" s="3"/>
      <c r="NDK113" s="3"/>
      <c r="NDL113" s="3"/>
      <c r="NDM113" s="3"/>
      <c r="NDN113" s="3"/>
      <c r="NDO113" s="3"/>
      <c r="NDP113" s="3"/>
      <c r="NDQ113" s="3"/>
      <c r="NDR113" s="3"/>
      <c r="NDS113" s="3"/>
      <c r="NDT113" s="3"/>
      <c r="NDU113" s="3"/>
      <c r="NDV113" s="3"/>
      <c r="NDW113" s="3"/>
      <c r="NDX113" s="3"/>
      <c r="NDY113" s="3"/>
      <c r="NDZ113" s="3"/>
      <c r="NEA113" s="3"/>
      <c r="NEB113" s="3"/>
      <c r="NEC113" s="3"/>
      <c r="NED113" s="3"/>
      <c r="NEE113" s="3"/>
      <c r="NEF113" s="3"/>
      <c r="NEG113" s="3"/>
      <c r="NEH113" s="3"/>
      <c r="NEI113" s="3"/>
      <c r="NEJ113" s="3"/>
      <c r="NEK113" s="3"/>
      <c r="NEL113" s="3"/>
      <c r="NEM113" s="3"/>
      <c r="NEN113" s="3"/>
      <c r="NEO113" s="3"/>
      <c r="NEP113" s="3"/>
      <c r="NEQ113" s="3"/>
      <c r="NER113" s="3"/>
      <c r="NES113" s="3"/>
      <c r="NET113" s="3"/>
      <c r="NEU113" s="3"/>
      <c r="NEV113" s="3"/>
      <c r="NEW113" s="3"/>
      <c r="NEX113" s="3"/>
      <c r="NEY113" s="3"/>
      <c r="NEZ113" s="3"/>
      <c r="NFA113" s="3"/>
      <c r="NFB113" s="3"/>
      <c r="NFC113" s="3"/>
      <c r="NFD113" s="3"/>
      <c r="NFE113" s="3"/>
      <c r="NFF113" s="3"/>
      <c r="NFG113" s="3"/>
      <c r="NFH113" s="3"/>
      <c r="NFI113" s="3"/>
      <c r="NFJ113" s="3"/>
      <c r="NFK113" s="3"/>
      <c r="NFL113" s="3"/>
      <c r="NFM113" s="3"/>
      <c r="NFN113" s="3"/>
      <c r="NFO113" s="3"/>
      <c r="NFP113" s="3"/>
      <c r="NFQ113" s="3"/>
      <c r="NFR113" s="3"/>
      <c r="NFS113" s="3"/>
      <c r="NFT113" s="3"/>
      <c r="NFU113" s="3"/>
      <c r="NFV113" s="3"/>
      <c r="NFW113" s="3"/>
      <c r="NFX113" s="3"/>
      <c r="NFY113" s="3"/>
      <c r="NFZ113" s="3"/>
      <c r="NGA113" s="3"/>
      <c r="NGB113" s="3"/>
      <c r="NGC113" s="3"/>
      <c r="NGD113" s="3"/>
      <c r="NGE113" s="3"/>
      <c r="NGF113" s="3"/>
      <c r="NGG113" s="3"/>
      <c r="NGH113" s="3"/>
      <c r="NGI113" s="3"/>
      <c r="NGJ113" s="3"/>
      <c r="NGK113" s="3"/>
      <c r="NGL113" s="3"/>
      <c r="NGM113" s="3"/>
      <c r="NGN113" s="3"/>
      <c r="NGO113" s="3"/>
      <c r="NGP113" s="3"/>
      <c r="NGQ113" s="3"/>
      <c r="NGR113" s="3"/>
      <c r="NGS113" s="3"/>
      <c r="NGT113" s="3"/>
      <c r="NGU113" s="3"/>
      <c r="NGV113" s="3"/>
      <c r="NGW113" s="3"/>
      <c r="NGX113" s="3"/>
      <c r="NGY113" s="3"/>
      <c r="NGZ113" s="3"/>
      <c r="NHA113" s="3"/>
      <c r="NHB113" s="3"/>
      <c r="NHC113" s="3"/>
      <c r="NHD113" s="3"/>
      <c r="NHE113" s="3"/>
      <c r="NHF113" s="3"/>
      <c r="NHG113" s="3"/>
      <c r="NHH113" s="3"/>
      <c r="NHI113" s="3"/>
      <c r="NHJ113" s="3"/>
      <c r="NHK113" s="3"/>
      <c r="NHL113" s="3"/>
      <c r="NHM113" s="3"/>
      <c r="NHN113" s="3"/>
      <c r="NHO113" s="3"/>
      <c r="NHP113" s="3"/>
      <c r="NHQ113" s="3"/>
      <c r="NHR113" s="3"/>
      <c r="NHS113" s="3"/>
      <c r="NHT113" s="3"/>
      <c r="NHU113" s="3"/>
      <c r="NHV113" s="3"/>
      <c r="NHW113" s="3"/>
      <c r="NHX113" s="3"/>
      <c r="NHY113" s="3"/>
      <c r="NHZ113" s="3"/>
      <c r="NIA113" s="3"/>
      <c r="NIB113" s="3"/>
      <c r="NIC113" s="3"/>
      <c r="NID113" s="3"/>
      <c r="NIE113" s="3"/>
      <c r="NIF113" s="3"/>
      <c r="NIG113" s="3"/>
      <c r="NIH113" s="3"/>
      <c r="NII113" s="3"/>
      <c r="NIJ113" s="3"/>
      <c r="NIK113" s="3"/>
      <c r="NIL113" s="3"/>
      <c r="NIM113" s="3"/>
      <c r="NIN113" s="3"/>
      <c r="NIO113" s="3"/>
      <c r="NIP113" s="3"/>
      <c r="NIQ113" s="3"/>
      <c r="NIR113" s="3"/>
      <c r="NIS113" s="3"/>
      <c r="NIT113" s="3"/>
      <c r="NIU113" s="3"/>
      <c r="NIV113" s="3"/>
      <c r="NIW113" s="3"/>
      <c r="NIX113" s="3"/>
      <c r="NIY113" s="3"/>
      <c r="NIZ113" s="3"/>
      <c r="NJA113" s="3"/>
      <c r="NJB113" s="3"/>
      <c r="NJC113" s="3"/>
      <c r="NJD113" s="3"/>
      <c r="NJE113" s="3"/>
      <c r="NJF113" s="3"/>
      <c r="NJG113" s="3"/>
      <c r="NJH113" s="3"/>
      <c r="NJI113" s="3"/>
      <c r="NJJ113" s="3"/>
      <c r="NJK113" s="3"/>
      <c r="NJL113" s="3"/>
      <c r="NJM113" s="3"/>
      <c r="NJN113" s="3"/>
      <c r="NJO113" s="3"/>
      <c r="NJP113" s="3"/>
      <c r="NJQ113" s="3"/>
      <c r="NJR113" s="3"/>
      <c r="NJS113" s="3"/>
      <c r="NJT113" s="3"/>
      <c r="NJU113" s="3"/>
      <c r="NJV113" s="3"/>
      <c r="NJW113" s="3"/>
      <c r="NJX113" s="3"/>
      <c r="NJY113" s="3"/>
      <c r="NJZ113" s="3"/>
      <c r="NKA113" s="3"/>
      <c r="NKB113" s="3"/>
      <c r="NKC113" s="3"/>
      <c r="NKD113" s="3"/>
      <c r="NKE113" s="3"/>
      <c r="NKF113" s="3"/>
      <c r="NKG113" s="3"/>
      <c r="NKH113" s="3"/>
      <c r="NKI113" s="3"/>
      <c r="NKJ113" s="3"/>
      <c r="NKK113" s="3"/>
      <c r="NKL113" s="3"/>
      <c r="NKM113" s="3"/>
      <c r="NKN113" s="3"/>
      <c r="NKO113" s="3"/>
      <c r="NKP113" s="3"/>
      <c r="NKQ113" s="3"/>
      <c r="NKR113" s="3"/>
      <c r="NKS113" s="3"/>
      <c r="NKT113" s="3"/>
      <c r="NKU113" s="3"/>
      <c r="NKV113" s="3"/>
      <c r="NKW113" s="3"/>
      <c r="NKX113" s="3"/>
      <c r="NKY113" s="3"/>
      <c r="NKZ113" s="3"/>
      <c r="NLA113" s="3"/>
      <c r="NLB113" s="3"/>
      <c r="NLC113" s="3"/>
      <c r="NLD113" s="3"/>
      <c r="NLE113" s="3"/>
      <c r="NLF113" s="3"/>
      <c r="NLG113" s="3"/>
      <c r="NLH113" s="3"/>
      <c r="NLI113" s="3"/>
      <c r="NLJ113" s="3"/>
      <c r="NLK113" s="3"/>
      <c r="NLL113" s="3"/>
      <c r="NLM113" s="3"/>
      <c r="NLN113" s="3"/>
      <c r="NLO113" s="3"/>
      <c r="NLP113" s="3"/>
      <c r="NLQ113" s="3"/>
      <c r="NLR113" s="3"/>
      <c r="NLS113" s="3"/>
      <c r="NLT113" s="3"/>
      <c r="NLU113" s="3"/>
      <c r="NLV113" s="3"/>
      <c r="NLW113" s="3"/>
      <c r="NLX113" s="3"/>
      <c r="NLY113" s="3"/>
      <c r="NLZ113" s="3"/>
      <c r="NMA113" s="3"/>
      <c r="NMB113" s="3"/>
      <c r="NMC113" s="3"/>
      <c r="NMD113" s="3"/>
      <c r="NME113" s="3"/>
      <c r="NMF113" s="3"/>
      <c r="NMG113" s="3"/>
      <c r="NMH113" s="3"/>
      <c r="NMI113" s="3"/>
      <c r="NMJ113" s="3"/>
      <c r="NMK113" s="3"/>
      <c r="NML113" s="3"/>
      <c r="NMM113" s="3"/>
      <c r="NMN113" s="3"/>
      <c r="NMO113" s="3"/>
      <c r="NMP113" s="3"/>
      <c r="NMQ113" s="3"/>
      <c r="NMR113" s="3"/>
      <c r="NMS113" s="3"/>
      <c r="NMT113" s="3"/>
      <c r="NMU113" s="3"/>
      <c r="NMV113" s="3"/>
      <c r="NMW113" s="3"/>
      <c r="NMX113" s="3"/>
      <c r="NMY113" s="3"/>
      <c r="NMZ113" s="3"/>
      <c r="NNA113" s="3"/>
      <c r="NNB113" s="3"/>
      <c r="NNC113" s="3"/>
      <c r="NND113" s="3"/>
      <c r="NNE113" s="3"/>
      <c r="NNF113" s="3"/>
      <c r="NNG113" s="3"/>
      <c r="NNH113" s="3"/>
      <c r="NNI113" s="3"/>
      <c r="NNJ113" s="3"/>
      <c r="NNK113" s="3"/>
      <c r="NNL113" s="3"/>
      <c r="NNM113" s="3"/>
      <c r="NNN113" s="3"/>
      <c r="NNO113" s="3"/>
      <c r="NNP113" s="3"/>
      <c r="NNQ113" s="3"/>
      <c r="NNR113" s="3"/>
      <c r="NNS113" s="3"/>
      <c r="NNT113" s="3"/>
      <c r="NNU113" s="3"/>
      <c r="NNV113" s="3"/>
      <c r="NNW113" s="3"/>
      <c r="NNX113" s="3"/>
      <c r="NNY113" s="3"/>
      <c r="NNZ113" s="3"/>
      <c r="NOA113" s="3"/>
      <c r="NOB113" s="3"/>
      <c r="NOC113" s="3"/>
      <c r="NOD113" s="3"/>
      <c r="NOE113" s="3"/>
      <c r="NOF113" s="3"/>
      <c r="NOG113" s="3"/>
      <c r="NOH113" s="3"/>
      <c r="NOI113" s="3"/>
      <c r="NOJ113" s="3"/>
      <c r="NOK113" s="3"/>
      <c r="NOL113" s="3"/>
      <c r="NOM113" s="3"/>
      <c r="NON113" s="3"/>
      <c r="NOO113" s="3"/>
      <c r="NOP113" s="3"/>
      <c r="NOQ113" s="3"/>
      <c r="NOR113" s="3"/>
      <c r="NOS113" s="3"/>
      <c r="NOT113" s="3"/>
      <c r="NOU113" s="3"/>
      <c r="NOV113" s="3"/>
      <c r="NOW113" s="3"/>
      <c r="NOX113" s="3"/>
      <c r="NOY113" s="3"/>
      <c r="NOZ113" s="3"/>
      <c r="NPA113" s="3"/>
      <c r="NPB113" s="3"/>
      <c r="NPC113" s="3"/>
      <c r="NPD113" s="3"/>
      <c r="NPE113" s="3"/>
      <c r="NPF113" s="3"/>
      <c r="NPG113" s="3"/>
      <c r="NPH113" s="3"/>
      <c r="NPI113" s="3"/>
      <c r="NPJ113" s="3"/>
      <c r="NPK113" s="3"/>
      <c r="NPL113" s="3"/>
      <c r="NPM113" s="3"/>
      <c r="NPN113" s="3"/>
      <c r="NPO113" s="3"/>
      <c r="NPP113" s="3"/>
      <c r="NPQ113" s="3"/>
      <c r="NPR113" s="3"/>
      <c r="NPS113" s="3"/>
      <c r="NPT113" s="3"/>
      <c r="NPU113" s="3"/>
      <c r="NPV113" s="3"/>
      <c r="NPW113" s="3"/>
      <c r="NPX113" s="3"/>
      <c r="NPY113" s="3"/>
      <c r="NPZ113" s="3"/>
      <c r="NQA113" s="3"/>
      <c r="NQB113" s="3"/>
      <c r="NQC113" s="3"/>
      <c r="NQD113" s="3"/>
      <c r="NQE113" s="3"/>
      <c r="NQF113" s="3"/>
      <c r="NQG113" s="3"/>
      <c r="NQH113" s="3"/>
      <c r="NQI113" s="3"/>
      <c r="NQJ113" s="3"/>
      <c r="NQK113" s="3"/>
      <c r="NQL113" s="3"/>
      <c r="NQM113" s="3"/>
      <c r="NQN113" s="3"/>
      <c r="NQO113" s="3"/>
      <c r="NQP113" s="3"/>
      <c r="NQQ113" s="3"/>
      <c r="NQR113" s="3"/>
      <c r="NQS113" s="3"/>
      <c r="NQT113" s="3"/>
      <c r="NQU113" s="3"/>
      <c r="NQV113" s="3"/>
      <c r="NQW113" s="3"/>
      <c r="NQX113" s="3"/>
      <c r="NQY113" s="3"/>
      <c r="NQZ113" s="3"/>
      <c r="NRA113" s="3"/>
      <c r="NRB113" s="3"/>
      <c r="NRC113" s="3"/>
      <c r="NRD113" s="3"/>
      <c r="NRE113" s="3"/>
      <c r="NRF113" s="3"/>
      <c r="NRG113" s="3"/>
      <c r="NRH113" s="3"/>
      <c r="NRI113" s="3"/>
      <c r="NRJ113" s="3"/>
      <c r="NRK113" s="3"/>
      <c r="NRL113" s="3"/>
      <c r="NRM113" s="3"/>
      <c r="NRN113" s="3"/>
      <c r="NRO113" s="3"/>
      <c r="NRP113" s="3"/>
      <c r="NRQ113" s="3"/>
      <c r="NRR113" s="3"/>
      <c r="NRS113" s="3"/>
      <c r="NRT113" s="3"/>
      <c r="NRU113" s="3"/>
      <c r="NRV113" s="3"/>
      <c r="NRW113" s="3"/>
      <c r="NRX113" s="3"/>
      <c r="NRY113" s="3"/>
      <c r="NRZ113" s="3"/>
      <c r="NSA113" s="3"/>
      <c r="NSB113" s="3"/>
      <c r="NSC113" s="3"/>
      <c r="NSD113" s="3"/>
      <c r="NSE113" s="3"/>
      <c r="NSF113" s="3"/>
      <c r="NSG113" s="3"/>
      <c r="NSH113" s="3"/>
      <c r="NSI113" s="3"/>
      <c r="NSJ113" s="3"/>
      <c r="NSK113" s="3"/>
      <c r="NSL113" s="3"/>
      <c r="NSM113" s="3"/>
      <c r="NSN113" s="3"/>
      <c r="NSO113" s="3"/>
      <c r="NSP113" s="3"/>
      <c r="NSQ113" s="3"/>
      <c r="NSR113" s="3"/>
      <c r="NSS113" s="3"/>
      <c r="NST113" s="3"/>
      <c r="NSU113" s="3"/>
      <c r="NSV113" s="3"/>
      <c r="NSW113" s="3"/>
      <c r="NSX113" s="3"/>
      <c r="NSY113" s="3"/>
      <c r="NSZ113" s="3"/>
      <c r="NTA113" s="3"/>
      <c r="NTB113" s="3"/>
      <c r="NTC113" s="3"/>
      <c r="NTD113" s="3"/>
      <c r="NTE113" s="3"/>
      <c r="NTF113" s="3"/>
      <c r="NTG113" s="3"/>
      <c r="NTH113" s="3"/>
      <c r="NTI113" s="3"/>
      <c r="NTJ113" s="3"/>
      <c r="NTK113" s="3"/>
      <c r="NTL113" s="3"/>
      <c r="NTM113" s="3"/>
      <c r="NTN113" s="3"/>
      <c r="NTO113" s="3"/>
      <c r="NTP113" s="3"/>
      <c r="NTQ113" s="3"/>
      <c r="NTR113" s="3"/>
      <c r="NTS113" s="3"/>
      <c r="NTT113" s="3"/>
      <c r="NTU113" s="3"/>
      <c r="NTV113" s="3"/>
      <c r="NTW113" s="3"/>
      <c r="NTX113" s="3"/>
      <c r="NTY113" s="3"/>
      <c r="NTZ113" s="3"/>
      <c r="NUA113" s="3"/>
      <c r="NUB113" s="3"/>
      <c r="NUC113" s="3"/>
      <c r="NUD113" s="3"/>
      <c r="NUE113" s="3"/>
      <c r="NUF113" s="3"/>
      <c r="NUG113" s="3"/>
      <c r="NUH113" s="3"/>
      <c r="NUI113" s="3"/>
      <c r="NUJ113" s="3"/>
      <c r="NUK113" s="3"/>
      <c r="NUL113" s="3"/>
      <c r="NUM113" s="3"/>
      <c r="NUN113" s="3"/>
      <c r="NUO113" s="3"/>
      <c r="NUP113" s="3"/>
      <c r="NUQ113" s="3"/>
      <c r="NUR113" s="3"/>
      <c r="NUS113" s="3"/>
      <c r="NUT113" s="3"/>
      <c r="NUU113" s="3"/>
      <c r="NUV113" s="3"/>
      <c r="NUW113" s="3"/>
      <c r="NUX113" s="3"/>
      <c r="NUY113" s="3"/>
      <c r="NUZ113" s="3"/>
      <c r="NVA113" s="3"/>
      <c r="NVB113" s="3"/>
      <c r="NVC113" s="3"/>
      <c r="NVD113" s="3"/>
      <c r="NVE113" s="3"/>
      <c r="NVF113" s="3"/>
      <c r="NVG113" s="3"/>
      <c r="NVH113" s="3"/>
      <c r="NVI113" s="3"/>
      <c r="NVJ113" s="3"/>
      <c r="NVK113" s="3"/>
      <c r="NVL113" s="3"/>
      <c r="NVM113" s="3"/>
      <c r="NVN113" s="3"/>
      <c r="NVO113" s="3"/>
      <c r="NVP113" s="3"/>
      <c r="NVQ113" s="3"/>
      <c r="NVR113" s="3"/>
      <c r="NVS113" s="3"/>
      <c r="NVT113" s="3"/>
      <c r="NVU113" s="3"/>
      <c r="NVV113" s="3"/>
      <c r="NVW113" s="3"/>
      <c r="NVX113" s="3"/>
      <c r="NVY113" s="3"/>
      <c r="NVZ113" s="3"/>
      <c r="NWA113" s="3"/>
      <c r="NWB113" s="3"/>
      <c r="NWC113" s="3"/>
      <c r="NWD113" s="3"/>
      <c r="NWE113" s="3"/>
      <c r="NWF113" s="3"/>
      <c r="NWG113" s="3"/>
      <c r="NWH113" s="3"/>
      <c r="NWI113" s="3"/>
      <c r="NWJ113" s="3"/>
      <c r="NWK113" s="3"/>
      <c r="NWL113" s="3"/>
      <c r="NWM113" s="3"/>
      <c r="NWN113" s="3"/>
      <c r="NWO113" s="3"/>
      <c r="NWP113" s="3"/>
      <c r="NWQ113" s="3"/>
      <c r="NWR113" s="3"/>
      <c r="NWS113" s="3"/>
      <c r="NWT113" s="3"/>
      <c r="NWU113" s="3"/>
      <c r="NWV113" s="3"/>
      <c r="NWW113" s="3"/>
      <c r="NWX113" s="3"/>
      <c r="NWY113" s="3"/>
      <c r="NWZ113" s="3"/>
      <c r="NXA113" s="3"/>
      <c r="NXB113" s="3"/>
      <c r="NXC113" s="3"/>
      <c r="NXD113" s="3"/>
      <c r="NXE113" s="3"/>
      <c r="NXF113" s="3"/>
      <c r="NXG113" s="3"/>
      <c r="NXH113" s="3"/>
      <c r="NXI113" s="3"/>
      <c r="NXJ113" s="3"/>
      <c r="NXK113" s="3"/>
      <c r="NXL113" s="3"/>
      <c r="NXM113" s="3"/>
      <c r="NXN113" s="3"/>
      <c r="NXO113" s="3"/>
      <c r="NXP113" s="3"/>
      <c r="NXQ113" s="3"/>
      <c r="NXR113" s="3"/>
      <c r="NXS113" s="3"/>
      <c r="NXT113" s="3"/>
      <c r="NXU113" s="3"/>
      <c r="NXV113" s="3"/>
      <c r="NXW113" s="3"/>
      <c r="NXX113" s="3"/>
      <c r="NXY113" s="3"/>
      <c r="NXZ113" s="3"/>
      <c r="NYA113" s="3"/>
      <c r="NYB113" s="3"/>
      <c r="NYC113" s="3"/>
      <c r="NYD113" s="3"/>
      <c r="NYE113" s="3"/>
      <c r="NYF113" s="3"/>
      <c r="NYG113" s="3"/>
      <c r="NYH113" s="3"/>
      <c r="NYI113" s="3"/>
      <c r="NYJ113" s="3"/>
      <c r="NYK113" s="3"/>
      <c r="NYL113" s="3"/>
      <c r="NYM113" s="3"/>
      <c r="NYN113" s="3"/>
      <c r="NYO113" s="3"/>
      <c r="NYP113" s="3"/>
      <c r="NYQ113" s="3"/>
      <c r="NYR113" s="3"/>
      <c r="NYS113" s="3"/>
      <c r="NYT113" s="3"/>
      <c r="NYU113" s="3"/>
      <c r="NYV113" s="3"/>
      <c r="NYW113" s="3"/>
      <c r="NYX113" s="3"/>
      <c r="NYY113" s="3"/>
      <c r="NYZ113" s="3"/>
      <c r="NZA113" s="3"/>
      <c r="NZB113" s="3"/>
      <c r="NZC113" s="3"/>
      <c r="NZD113" s="3"/>
      <c r="NZE113" s="3"/>
      <c r="NZF113" s="3"/>
      <c r="NZG113" s="3"/>
      <c r="NZH113" s="3"/>
      <c r="NZI113" s="3"/>
      <c r="NZJ113" s="3"/>
      <c r="NZK113" s="3"/>
      <c r="NZL113" s="3"/>
      <c r="NZM113" s="3"/>
      <c r="NZN113" s="3"/>
      <c r="NZO113" s="3"/>
      <c r="NZP113" s="3"/>
      <c r="NZQ113" s="3"/>
      <c r="NZR113" s="3"/>
      <c r="NZS113" s="3"/>
      <c r="NZT113" s="3"/>
      <c r="NZU113" s="3"/>
      <c r="NZV113" s="3"/>
      <c r="NZW113" s="3"/>
      <c r="NZX113" s="3"/>
      <c r="NZY113" s="3"/>
      <c r="NZZ113" s="3"/>
      <c r="OAA113" s="3"/>
      <c r="OAB113" s="3"/>
      <c r="OAC113" s="3"/>
      <c r="OAD113" s="3"/>
      <c r="OAE113" s="3"/>
      <c r="OAF113" s="3"/>
      <c r="OAG113" s="3"/>
      <c r="OAH113" s="3"/>
      <c r="OAI113" s="3"/>
      <c r="OAJ113" s="3"/>
      <c r="OAK113" s="3"/>
      <c r="OAL113" s="3"/>
      <c r="OAM113" s="3"/>
      <c r="OAN113" s="3"/>
      <c r="OAO113" s="3"/>
      <c r="OAP113" s="3"/>
      <c r="OAQ113" s="3"/>
      <c r="OAR113" s="3"/>
      <c r="OAS113" s="3"/>
      <c r="OAT113" s="3"/>
      <c r="OAU113" s="3"/>
      <c r="OAV113" s="3"/>
      <c r="OAW113" s="3"/>
      <c r="OAX113" s="3"/>
      <c r="OAY113" s="3"/>
      <c r="OAZ113" s="3"/>
      <c r="OBA113" s="3"/>
      <c r="OBB113" s="3"/>
      <c r="OBC113" s="3"/>
      <c r="OBD113" s="3"/>
      <c r="OBE113" s="3"/>
      <c r="OBF113" s="3"/>
      <c r="OBG113" s="3"/>
      <c r="OBH113" s="3"/>
      <c r="OBI113" s="3"/>
      <c r="OBJ113" s="3"/>
      <c r="OBK113" s="3"/>
      <c r="OBL113" s="3"/>
      <c r="OBM113" s="3"/>
      <c r="OBN113" s="3"/>
      <c r="OBO113" s="3"/>
      <c r="OBP113" s="3"/>
      <c r="OBQ113" s="3"/>
      <c r="OBR113" s="3"/>
      <c r="OBS113" s="3"/>
      <c r="OBT113" s="3"/>
      <c r="OBU113" s="3"/>
      <c r="OBV113" s="3"/>
      <c r="OBW113" s="3"/>
      <c r="OBX113" s="3"/>
      <c r="OBY113" s="3"/>
      <c r="OBZ113" s="3"/>
      <c r="OCA113" s="3"/>
      <c r="OCB113" s="3"/>
      <c r="OCC113" s="3"/>
      <c r="OCD113" s="3"/>
      <c r="OCE113" s="3"/>
      <c r="OCF113" s="3"/>
      <c r="OCG113" s="3"/>
      <c r="OCH113" s="3"/>
      <c r="OCI113" s="3"/>
      <c r="OCJ113" s="3"/>
      <c r="OCK113" s="3"/>
      <c r="OCL113" s="3"/>
      <c r="OCM113" s="3"/>
      <c r="OCN113" s="3"/>
      <c r="OCO113" s="3"/>
      <c r="OCP113" s="3"/>
      <c r="OCQ113" s="3"/>
      <c r="OCR113" s="3"/>
      <c r="OCS113" s="3"/>
      <c r="OCT113" s="3"/>
      <c r="OCU113" s="3"/>
      <c r="OCV113" s="3"/>
      <c r="OCW113" s="3"/>
      <c r="OCX113" s="3"/>
      <c r="OCY113" s="3"/>
      <c r="OCZ113" s="3"/>
      <c r="ODA113" s="3"/>
      <c r="ODB113" s="3"/>
      <c r="ODC113" s="3"/>
      <c r="ODD113" s="3"/>
      <c r="ODE113" s="3"/>
      <c r="ODF113" s="3"/>
      <c r="ODG113" s="3"/>
      <c r="ODH113" s="3"/>
      <c r="ODI113" s="3"/>
      <c r="ODJ113" s="3"/>
      <c r="ODK113" s="3"/>
      <c r="ODL113" s="3"/>
      <c r="ODM113" s="3"/>
      <c r="ODN113" s="3"/>
      <c r="ODO113" s="3"/>
      <c r="ODP113" s="3"/>
      <c r="ODQ113" s="3"/>
      <c r="ODR113" s="3"/>
      <c r="ODS113" s="3"/>
      <c r="ODT113" s="3"/>
      <c r="ODU113" s="3"/>
      <c r="ODV113" s="3"/>
      <c r="ODW113" s="3"/>
      <c r="ODX113" s="3"/>
      <c r="ODY113" s="3"/>
      <c r="ODZ113" s="3"/>
      <c r="OEA113" s="3"/>
      <c r="OEB113" s="3"/>
      <c r="OEC113" s="3"/>
      <c r="OED113" s="3"/>
      <c r="OEE113" s="3"/>
      <c r="OEF113" s="3"/>
      <c r="OEG113" s="3"/>
      <c r="OEH113" s="3"/>
      <c r="OEI113" s="3"/>
      <c r="OEJ113" s="3"/>
      <c r="OEK113" s="3"/>
      <c r="OEL113" s="3"/>
      <c r="OEM113" s="3"/>
      <c r="OEN113" s="3"/>
      <c r="OEO113" s="3"/>
      <c r="OEP113" s="3"/>
      <c r="OEQ113" s="3"/>
      <c r="OER113" s="3"/>
      <c r="OES113" s="3"/>
      <c r="OET113" s="3"/>
      <c r="OEU113" s="3"/>
      <c r="OEV113" s="3"/>
      <c r="OEW113" s="3"/>
      <c r="OEX113" s="3"/>
      <c r="OEY113" s="3"/>
      <c r="OEZ113" s="3"/>
      <c r="OFA113" s="3"/>
      <c r="OFB113" s="3"/>
      <c r="OFC113" s="3"/>
      <c r="OFD113" s="3"/>
      <c r="OFE113" s="3"/>
      <c r="OFF113" s="3"/>
      <c r="OFG113" s="3"/>
      <c r="OFH113" s="3"/>
      <c r="OFI113" s="3"/>
      <c r="OFJ113" s="3"/>
      <c r="OFK113" s="3"/>
      <c r="OFL113" s="3"/>
      <c r="OFM113" s="3"/>
      <c r="OFN113" s="3"/>
      <c r="OFO113" s="3"/>
      <c r="OFP113" s="3"/>
      <c r="OFQ113" s="3"/>
      <c r="OFR113" s="3"/>
      <c r="OFS113" s="3"/>
      <c r="OFT113" s="3"/>
      <c r="OFU113" s="3"/>
      <c r="OFV113" s="3"/>
      <c r="OFW113" s="3"/>
      <c r="OFX113" s="3"/>
      <c r="OFY113" s="3"/>
      <c r="OFZ113" s="3"/>
      <c r="OGA113" s="3"/>
      <c r="OGB113" s="3"/>
      <c r="OGC113" s="3"/>
      <c r="OGD113" s="3"/>
      <c r="OGE113" s="3"/>
      <c r="OGF113" s="3"/>
      <c r="OGG113" s="3"/>
      <c r="OGH113" s="3"/>
      <c r="OGI113" s="3"/>
      <c r="OGJ113" s="3"/>
      <c r="OGK113" s="3"/>
      <c r="OGL113" s="3"/>
      <c r="OGM113" s="3"/>
      <c r="OGN113" s="3"/>
      <c r="OGO113" s="3"/>
      <c r="OGP113" s="3"/>
      <c r="OGQ113" s="3"/>
      <c r="OGR113" s="3"/>
      <c r="OGS113" s="3"/>
      <c r="OGT113" s="3"/>
      <c r="OGU113" s="3"/>
      <c r="OGV113" s="3"/>
      <c r="OGW113" s="3"/>
      <c r="OGX113" s="3"/>
      <c r="OGY113" s="3"/>
      <c r="OGZ113" s="3"/>
      <c r="OHA113" s="3"/>
      <c r="OHB113" s="3"/>
      <c r="OHC113" s="3"/>
      <c r="OHD113" s="3"/>
      <c r="OHE113" s="3"/>
      <c r="OHF113" s="3"/>
      <c r="OHG113" s="3"/>
      <c r="OHH113" s="3"/>
      <c r="OHI113" s="3"/>
      <c r="OHJ113" s="3"/>
      <c r="OHK113" s="3"/>
      <c r="OHL113" s="3"/>
      <c r="OHM113" s="3"/>
      <c r="OHN113" s="3"/>
      <c r="OHO113" s="3"/>
      <c r="OHP113" s="3"/>
      <c r="OHQ113" s="3"/>
      <c r="OHR113" s="3"/>
      <c r="OHS113" s="3"/>
      <c r="OHT113" s="3"/>
      <c r="OHU113" s="3"/>
      <c r="OHV113" s="3"/>
      <c r="OHW113" s="3"/>
      <c r="OHX113" s="3"/>
      <c r="OHY113" s="3"/>
      <c r="OHZ113" s="3"/>
      <c r="OIA113" s="3"/>
      <c r="OIB113" s="3"/>
      <c r="OIC113" s="3"/>
      <c r="OID113" s="3"/>
      <c r="OIE113" s="3"/>
      <c r="OIF113" s="3"/>
      <c r="OIG113" s="3"/>
      <c r="OIH113" s="3"/>
      <c r="OII113" s="3"/>
      <c r="OIJ113" s="3"/>
      <c r="OIK113" s="3"/>
      <c r="OIL113" s="3"/>
      <c r="OIM113" s="3"/>
      <c r="OIN113" s="3"/>
      <c r="OIO113" s="3"/>
      <c r="OIP113" s="3"/>
      <c r="OIQ113" s="3"/>
      <c r="OIR113" s="3"/>
      <c r="OIS113" s="3"/>
      <c r="OIT113" s="3"/>
      <c r="OIU113" s="3"/>
      <c r="OIV113" s="3"/>
      <c r="OIW113" s="3"/>
      <c r="OIX113" s="3"/>
      <c r="OIY113" s="3"/>
      <c r="OIZ113" s="3"/>
      <c r="OJA113" s="3"/>
      <c r="OJB113" s="3"/>
      <c r="OJC113" s="3"/>
      <c r="OJD113" s="3"/>
      <c r="OJE113" s="3"/>
      <c r="OJF113" s="3"/>
      <c r="OJG113" s="3"/>
      <c r="OJH113" s="3"/>
      <c r="OJI113" s="3"/>
      <c r="OJJ113" s="3"/>
      <c r="OJK113" s="3"/>
      <c r="OJL113" s="3"/>
      <c r="OJM113" s="3"/>
      <c r="OJN113" s="3"/>
      <c r="OJO113" s="3"/>
      <c r="OJP113" s="3"/>
      <c r="OJQ113" s="3"/>
      <c r="OJR113" s="3"/>
      <c r="OJS113" s="3"/>
      <c r="OJT113" s="3"/>
      <c r="OJU113" s="3"/>
      <c r="OJV113" s="3"/>
      <c r="OJW113" s="3"/>
      <c r="OJX113" s="3"/>
      <c r="OJY113" s="3"/>
      <c r="OJZ113" s="3"/>
      <c r="OKA113" s="3"/>
      <c r="OKB113" s="3"/>
      <c r="OKC113" s="3"/>
      <c r="OKD113" s="3"/>
      <c r="OKE113" s="3"/>
      <c r="OKF113" s="3"/>
      <c r="OKG113" s="3"/>
      <c r="OKH113" s="3"/>
      <c r="OKI113" s="3"/>
      <c r="OKJ113" s="3"/>
      <c r="OKK113" s="3"/>
      <c r="OKL113" s="3"/>
      <c r="OKM113" s="3"/>
      <c r="OKN113" s="3"/>
      <c r="OKO113" s="3"/>
      <c r="OKP113" s="3"/>
      <c r="OKQ113" s="3"/>
      <c r="OKR113" s="3"/>
      <c r="OKS113" s="3"/>
      <c r="OKT113" s="3"/>
      <c r="OKU113" s="3"/>
      <c r="OKV113" s="3"/>
      <c r="OKW113" s="3"/>
      <c r="OKX113" s="3"/>
      <c r="OKY113" s="3"/>
      <c r="OKZ113" s="3"/>
      <c r="OLA113" s="3"/>
      <c r="OLB113" s="3"/>
      <c r="OLC113" s="3"/>
      <c r="OLD113" s="3"/>
      <c r="OLE113" s="3"/>
      <c r="OLF113" s="3"/>
      <c r="OLG113" s="3"/>
      <c r="OLH113" s="3"/>
      <c r="OLI113" s="3"/>
      <c r="OLJ113" s="3"/>
      <c r="OLK113" s="3"/>
      <c r="OLL113" s="3"/>
      <c r="OLM113" s="3"/>
      <c r="OLN113" s="3"/>
      <c r="OLO113" s="3"/>
      <c r="OLP113" s="3"/>
      <c r="OLQ113" s="3"/>
      <c r="OLR113" s="3"/>
      <c r="OLS113" s="3"/>
      <c r="OLT113" s="3"/>
      <c r="OLU113" s="3"/>
      <c r="OLV113" s="3"/>
      <c r="OLW113" s="3"/>
      <c r="OLX113" s="3"/>
      <c r="OLY113" s="3"/>
      <c r="OLZ113" s="3"/>
      <c r="OMA113" s="3"/>
      <c r="OMB113" s="3"/>
      <c r="OMC113" s="3"/>
      <c r="OMD113" s="3"/>
      <c r="OME113" s="3"/>
      <c r="OMF113" s="3"/>
      <c r="OMG113" s="3"/>
      <c r="OMH113" s="3"/>
      <c r="OMI113" s="3"/>
      <c r="OMJ113" s="3"/>
      <c r="OMK113" s="3"/>
      <c r="OML113" s="3"/>
      <c r="OMM113" s="3"/>
      <c r="OMN113" s="3"/>
      <c r="OMO113" s="3"/>
      <c r="OMP113" s="3"/>
      <c r="OMQ113" s="3"/>
      <c r="OMR113" s="3"/>
      <c r="OMS113" s="3"/>
      <c r="OMT113" s="3"/>
      <c r="OMU113" s="3"/>
      <c r="OMV113" s="3"/>
      <c r="OMW113" s="3"/>
      <c r="OMX113" s="3"/>
      <c r="OMY113" s="3"/>
      <c r="OMZ113" s="3"/>
      <c r="ONA113" s="3"/>
      <c r="ONB113" s="3"/>
      <c r="ONC113" s="3"/>
      <c r="OND113" s="3"/>
      <c r="ONE113" s="3"/>
      <c r="ONF113" s="3"/>
      <c r="ONG113" s="3"/>
      <c r="ONH113" s="3"/>
      <c r="ONI113" s="3"/>
      <c r="ONJ113" s="3"/>
      <c r="ONK113" s="3"/>
      <c r="ONL113" s="3"/>
      <c r="ONM113" s="3"/>
      <c r="ONN113" s="3"/>
      <c r="ONO113" s="3"/>
      <c r="ONP113" s="3"/>
      <c r="ONQ113" s="3"/>
      <c r="ONR113" s="3"/>
      <c r="ONS113" s="3"/>
      <c r="ONT113" s="3"/>
      <c r="ONU113" s="3"/>
      <c r="ONV113" s="3"/>
      <c r="ONW113" s="3"/>
      <c r="ONX113" s="3"/>
      <c r="ONY113" s="3"/>
      <c r="ONZ113" s="3"/>
      <c r="OOA113" s="3"/>
      <c r="OOB113" s="3"/>
      <c r="OOC113" s="3"/>
      <c r="OOD113" s="3"/>
      <c r="OOE113" s="3"/>
      <c r="OOF113" s="3"/>
      <c r="OOG113" s="3"/>
      <c r="OOH113" s="3"/>
      <c r="OOI113" s="3"/>
      <c r="OOJ113" s="3"/>
      <c r="OOK113" s="3"/>
      <c r="OOL113" s="3"/>
      <c r="OOM113" s="3"/>
      <c r="OON113" s="3"/>
      <c r="OOO113" s="3"/>
      <c r="OOP113" s="3"/>
      <c r="OOQ113" s="3"/>
      <c r="OOR113" s="3"/>
      <c r="OOS113" s="3"/>
      <c r="OOT113" s="3"/>
      <c r="OOU113" s="3"/>
      <c r="OOV113" s="3"/>
      <c r="OOW113" s="3"/>
      <c r="OOX113" s="3"/>
      <c r="OOY113" s="3"/>
      <c r="OOZ113" s="3"/>
      <c r="OPA113" s="3"/>
      <c r="OPB113" s="3"/>
      <c r="OPC113" s="3"/>
      <c r="OPD113" s="3"/>
      <c r="OPE113" s="3"/>
      <c r="OPF113" s="3"/>
      <c r="OPG113" s="3"/>
      <c r="OPH113" s="3"/>
      <c r="OPI113" s="3"/>
      <c r="OPJ113" s="3"/>
      <c r="OPK113" s="3"/>
      <c r="OPL113" s="3"/>
      <c r="OPM113" s="3"/>
      <c r="OPN113" s="3"/>
      <c r="OPO113" s="3"/>
      <c r="OPP113" s="3"/>
      <c r="OPQ113" s="3"/>
      <c r="OPR113" s="3"/>
      <c r="OPS113" s="3"/>
      <c r="OPT113" s="3"/>
      <c r="OPU113" s="3"/>
      <c r="OPV113" s="3"/>
      <c r="OPW113" s="3"/>
      <c r="OPX113" s="3"/>
      <c r="OPY113" s="3"/>
      <c r="OPZ113" s="3"/>
      <c r="OQA113" s="3"/>
      <c r="OQB113" s="3"/>
      <c r="OQC113" s="3"/>
      <c r="OQD113" s="3"/>
      <c r="OQE113" s="3"/>
      <c r="OQF113" s="3"/>
      <c r="OQG113" s="3"/>
      <c r="OQH113" s="3"/>
      <c r="OQI113" s="3"/>
      <c r="OQJ113" s="3"/>
      <c r="OQK113" s="3"/>
      <c r="OQL113" s="3"/>
      <c r="OQM113" s="3"/>
      <c r="OQN113" s="3"/>
      <c r="OQO113" s="3"/>
      <c r="OQP113" s="3"/>
      <c r="OQQ113" s="3"/>
      <c r="OQR113" s="3"/>
      <c r="OQS113" s="3"/>
      <c r="OQT113" s="3"/>
      <c r="OQU113" s="3"/>
      <c r="OQV113" s="3"/>
      <c r="OQW113" s="3"/>
      <c r="OQX113" s="3"/>
      <c r="OQY113" s="3"/>
      <c r="OQZ113" s="3"/>
      <c r="ORA113" s="3"/>
      <c r="ORB113" s="3"/>
      <c r="ORC113" s="3"/>
      <c r="ORD113" s="3"/>
      <c r="ORE113" s="3"/>
      <c r="ORF113" s="3"/>
      <c r="ORG113" s="3"/>
      <c r="ORH113" s="3"/>
      <c r="ORI113" s="3"/>
      <c r="ORJ113" s="3"/>
      <c r="ORK113" s="3"/>
      <c r="ORL113" s="3"/>
      <c r="ORM113" s="3"/>
      <c r="ORN113" s="3"/>
      <c r="ORO113" s="3"/>
      <c r="ORP113" s="3"/>
      <c r="ORQ113" s="3"/>
      <c r="ORR113" s="3"/>
      <c r="ORS113" s="3"/>
      <c r="ORT113" s="3"/>
      <c r="ORU113" s="3"/>
      <c r="ORV113" s="3"/>
      <c r="ORW113" s="3"/>
      <c r="ORX113" s="3"/>
      <c r="ORY113" s="3"/>
      <c r="ORZ113" s="3"/>
      <c r="OSA113" s="3"/>
      <c r="OSB113" s="3"/>
      <c r="OSC113" s="3"/>
      <c r="OSD113" s="3"/>
      <c r="OSE113" s="3"/>
      <c r="OSF113" s="3"/>
      <c r="OSG113" s="3"/>
      <c r="OSH113" s="3"/>
      <c r="OSI113" s="3"/>
      <c r="OSJ113" s="3"/>
      <c r="OSK113" s="3"/>
      <c r="OSL113" s="3"/>
      <c r="OSM113" s="3"/>
      <c r="OSN113" s="3"/>
      <c r="OSO113" s="3"/>
      <c r="OSP113" s="3"/>
      <c r="OSQ113" s="3"/>
      <c r="OSR113" s="3"/>
      <c r="OSS113" s="3"/>
      <c r="OST113" s="3"/>
      <c r="OSU113" s="3"/>
      <c r="OSV113" s="3"/>
      <c r="OSW113" s="3"/>
      <c r="OSX113" s="3"/>
      <c r="OSY113" s="3"/>
      <c r="OSZ113" s="3"/>
      <c r="OTA113" s="3"/>
      <c r="OTB113" s="3"/>
      <c r="OTC113" s="3"/>
      <c r="OTD113" s="3"/>
      <c r="OTE113" s="3"/>
      <c r="OTF113" s="3"/>
      <c r="OTG113" s="3"/>
      <c r="OTH113" s="3"/>
      <c r="OTI113" s="3"/>
      <c r="OTJ113" s="3"/>
      <c r="OTK113" s="3"/>
      <c r="OTL113" s="3"/>
      <c r="OTM113" s="3"/>
      <c r="OTN113" s="3"/>
      <c r="OTO113" s="3"/>
      <c r="OTP113" s="3"/>
      <c r="OTQ113" s="3"/>
      <c r="OTR113" s="3"/>
      <c r="OTS113" s="3"/>
      <c r="OTT113" s="3"/>
      <c r="OTU113" s="3"/>
      <c r="OTV113" s="3"/>
      <c r="OTW113" s="3"/>
      <c r="OTX113" s="3"/>
      <c r="OTY113" s="3"/>
      <c r="OTZ113" s="3"/>
      <c r="OUA113" s="3"/>
      <c r="OUB113" s="3"/>
      <c r="OUC113" s="3"/>
      <c r="OUD113" s="3"/>
      <c r="OUE113" s="3"/>
      <c r="OUF113" s="3"/>
      <c r="OUG113" s="3"/>
      <c r="OUH113" s="3"/>
      <c r="OUI113" s="3"/>
      <c r="OUJ113" s="3"/>
      <c r="OUK113" s="3"/>
      <c r="OUL113" s="3"/>
      <c r="OUM113" s="3"/>
      <c r="OUN113" s="3"/>
      <c r="OUO113" s="3"/>
      <c r="OUP113" s="3"/>
      <c r="OUQ113" s="3"/>
      <c r="OUR113" s="3"/>
      <c r="OUS113" s="3"/>
      <c r="OUT113" s="3"/>
      <c r="OUU113" s="3"/>
      <c r="OUV113" s="3"/>
      <c r="OUW113" s="3"/>
      <c r="OUX113" s="3"/>
      <c r="OUY113" s="3"/>
      <c r="OUZ113" s="3"/>
      <c r="OVA113" s="3"/>
      <c r="OVB113" s="3"/>
      <c r="OVC113" s="3"/>
      <c r="OVD113" s="3"/>
      <c r="OVE113" s="3"/>
      <c r="OVF113" s="3"/>
      <c r="OVG113" s="3"/>
      <c r="OVH113" s="3"/>
      <c r="OVI113" s="3"/>
      <c r="OVJ113" s="3"/>
      <c r="OVK113" s="3"/>
      <c r="OVL113" s="3"/>
      <c r="OVM113" s="3"/>
      <c r="OVN113" s="3"/>
      <c r="OVO113" s="3"/>
      <c r="OVP113" s="3"/>
      <c r="OVQ113" s="3"/>
      <c r="OVR113" s="3"/>
      <c r="OVS113" s="3"/>
      <c r="OVT113" s="3"/>
      <c r="OVU113" s="3"/>
      <c r="OVV113" s="3"/>
      <c r="OVW113" s="3"/>
      <c r="OVX113" s="3"/>
      <c r="OVY113" s="3"/>
      <c r="OVZ113" s="3"/>
      <c r="OWA113" s="3"/>
      <c r="OWB113" s="3"/>
      <c r="OWC113" s="3"/>
      <c r="OWD113" s="3"/>
      <c r="OWE113" s="3"/>
      <c r="OWF113" s="3"/>
      <c r="OWG113" s="3"/>
      <c r="OWH113" s="3"/>
      <c r="OWI113" s="3"/>
      <c r="OWJ113" s="3"/>
      <c r="OWK113" s="3"/>
      <c r="OWL113" s="3"/>
      <c r="OWM113" s="3"/>
      <c r="OWN113" s="3"/>
      <c r="OWO113" s="3"/>
      <c r="OWP113" s="3"/>
      <c r="OWQ113" s="3"/>
      <c r="OWR113" s="3"/>
      <c r="OWS113" s="3"/>
      <c r="OWT113" s="3"/>
      <c r="OWU113" s="3"/>
      <c r="OWV113" s="3"/>
      <c r="OWW113" s="3"/>
      <c r="OWX113" s="3"/>
      <c r="OWY113" s="3"/>
      <c r="OWZ113" s="3"/>
      <c r="OXA113" s="3"/>
      <c r="OXB113" s="3"/>
      <c r="OXC113" s="3"/>
      <c r="OXD113" s="3"/>
      <c r="OXE113" s="3"/>
      <c r="OXF113" s="3"/>
      <c r="OXG113" s="3"/>
      <c r="OXH113" s="3"/>
      <c r="OXI113" s="3"/>
      <c r="OXJ113" s="3"/>
      <c r="OXK113" s="3"/>
      <c r="OXL113" s="3"/>
      <c r="OXM113" s="3"/>
      <c r="OXN113" s="3"/>
      <c r="OXO113" s="3"/>
      <c r="OXP113" s="3"/>
      <c r="OXQ113" s="3"/>
      <c r="OXR113" s="3"/>
      <c r="OXS113" s="3"/>
      <c r="OXT113" s="3"/>
      <c r="OXU113" s="3"/>
      <c r="OXV113" s="3"/>
      <c r="OXW113" s="3"/>
      <c r="OXX113" s="3"/>
      <c r="OXY113" s="3"/>
      <c r="OXZ113" s="3"/>
      <c r="OYA113" s="3"/>
      <c r="OYB113" s="3"/>
      <c r="OYC113" s="3"/>
      <c r="OYD113" s="3"/>
      <c r="OYE113" s="3"/>
      <c r="OYF113" s="3"/>
      <c r="OYG113" s="3"/>
      <c r="OYH113" s="3"/>
      <c r="OYI113" s="3"/>
      <c r="OYJ113" s="3"/>
      <c r="OYK113" s="3"/>
      <c r="OYL113" s="3"/>
      <c r="OYM113" s="3"/>
      <c r="OYN113" s="3"/>
      <c r="OYO113" s="3"/>
      <c r="OYP113" s="3"/>
      <c r="OYQ113" s="3"/>
      <c r="OYR113" s="3"/>
      <c r="OYS113" s="3"/>
      <c r="OYT113" s="3"/>
      <c r="OYU113" s="3"/>
      <c r="OYV113" s="3"/>
      <c r="OYW113" s="3"/>
      <c r="OYX113" s="3"/>
      <c r="OYY113" s="3"/>
      <c r="OYZ113" s="3"/>
      <c r="OZA113" s="3"/>
      <c r="OZB113" s="3"/>
      <c r="OZC113" s="3"/>
      <c r="OZD113" s="3"/>
      <c r="OZE113" s="3"/>
      <c r="OZF113" s="3"/>
      <c r="OZG113" s="3"/>
      <c r="OZH113" s="3"/>
      <c r="OZI113" s="3"/>
      <c r="OZJ113" s="3"/>
      <c r="OZK113" s="3"/>
      <c r="OZL113" s="3"/>
      <c r="OZM113" s="3"/>
      <c r="OZN113" s="3"/>
      <c r="OZO113" s="3"/>
      <c r="OZP113" s="3"/>
      <c r="OZQ113" s="3"/>
      <c r="OZR113" s="3"/>
      <c r="OZS113" s="3"/>
      <c r="OZT113" s="3"/>
      <c r="OZU113" s="3"/>
      <c r="OZV113" s="3"/>
      <c r="OZW113" s="3"/>
      <c r="OZX113" s="3"/>
      <c r="OZY113" s="3"/>
      <c r="OZZ113" s="3"/>
      <c r="PAA113" s="3"/>
      <c r="PAB113" s="3"/>
      <c r="PAC113" s="3"/>
      <c r="PAD113" s="3"/>
      <c r="PAE113" s="3"/>
      <c r="PAF113" s="3"/>
      <c r="PAG113" s="3"/>
      <c r="PAH113" s="3"/>
      <c r="PAI113" s="3"/>
      <c r="PAJ113" s="3"/>
      <c r="PAK113" s="3"/>
      <c r="PAL113" s="3"/>
      <c r="PAM113" s="3"/>
      <c r="PAN113" s="3"/>
      <c r="PAO113" s="3"/>
      <c r="PAP113" s="3"/>
      <c r="PAQ113" s="3"/>
      <c r="PAR113" s="3"/>
      <c r="PAS113" s="3"/>
      <c r="PAT113" s="3"/>
      <c r="PAU113" s="3"/>
      <c r="PAV113" s="3"/>
      <c r="PAW113" s="3"/>
      <c r="PAX113" s="3"/>
      <c r="PAY113" s="3"/>
      <c r="PAZ113" s="3"/>
      <c r="PBA113" s="3"/>
      <c r="PBB113" s="3"/>
      <c r="PBC113" s="3"/>
      <c r="PBD113" s="3"/>
      <c r="PBE113" s="3"/>
      <c r="PBF113" s="3"/>
      <c r="PBG113" s="3"/>
      <c r="PBH113" s="3"/>
      <c r="PBI113" s="3"/>
      <c r="PBJ113" s="3"/>
      <c r="PBK113" s="3"/>
      <c r="PBL113" s="3"/>
      <c r="PBM113" s="3"/>
      <c r="PBN113" s="3"/>
      <c r="PBO113" s="3"/>
      <c r="PBP113" s="3"/>
      <c r="PBQ113" s="3"/>
      <c r="PBR113" s="3"/>
      <c r="PBS113" s="3"/>
      <c r="PBT113" s="3"/>
      <c r="PBU113" s="3"/>
      <c r="PBV113" s="3"/>
      <c r="PBW113" s="3"/>
      <c r="PBX113" s="3"/>
      <c r="PBY113" s="3"/>
      <c r="PBZ113" s="3"/>
      <c r="PCA113" s="3"/>
      <c r="PCB113" s="3"/>
      <c r="PCC113" s="3"/>
      <c r="PCD113" s="3"/>
      <c r="PCE113" s="3"/>
      <c r="PCF113" s="3"/>
      <c r="PCG113" s="3"/>
      <c r="PCH113" s="3"/>
      <c r="PCI113" s="3"/>
      <c r="PCJ113" s="3"/>
      <c r="PCK113" s="3"/>
      <c r="PCL113" s="3"/>
      <c r="PCM113" s="3"/>
      <c r="PCN113" s="3"/>
      <c r="PCO113" s="3"/>
      <c r="PCP113" s="3"/>
      <c r="PCQ113" s="3"/>
      <c r="PCR113" s="3"/>
      <c r="PCS113" s="3"/>
      <c r="PCT113" s="3"/>
      <c r="PCU113" s="3"/>
      <c r="PCV113" s="3"/>
      <c r="PCW113" s="3"/>
      <c r="PCX113" s="3"/>
      <c r="PCY113" s="3"/>
      <c r="PCZ113" s="3"/>
      <c r="PDA113" s="3"/>
      <c r="PDB113" s="3"/>
      <c r="PDC113" s="3"/>
      <c r="PDD113" s="3"/>
      <c r="PDE113" s="3"/>
      <c r="PDF113" s="3"/>
      <c r="PDG113" s="3"/>
      <c r="PDH113" s="3"/>
      <c r="PDI113" s="3"/>
      <c r="PDJ113" s="3"/>
      <c r="PDK113" s="3"/>
      <c r="PDL113" s="3"/>
      <c r="PDM113" s="3"/>
      <c r="PDN113" s="3"/>
      <c r="PDO113" s="3"/>
      <c r="PDP113" s="3"/>
      <c r="PDQ113" s="3"/>
      <c r="PDR113" s="3"/>
      <c r="PDS113" s="3"/>
      <c r="PDT113" s="3"/>
      <c r="PDU113" s="3"/>
      <c r="PDV113" s="3"/>
      <c r="PDW113" s="3"/>
      <c r="PDX113" s="3"/>
      <c r="PDY113" s="3"/>
      <c r="PDZ113" s="3"/>
      <c r="PEA113" s="3"/>
      <c r="PEB113" s="3"/>
      <c r="PEC113" s="3"/>
      <c r="PED113" s="3"/>
      <c r="PEE113" s="3"/>
      <c r="PEF113" s="3"/>
      <c r="PEG113" s="3"/>
      <c r="PEH113" s="3"/>
      <c r="PEI113" s="3"/>
      <c r="PEJ113" s="3"/>
      <c r="PEK113" s="3"/>
      <c r="PEL113" s="3"/>
      <c r="PEM113" s="3"/>
      <c r="PEN113" s="3"/>
      <c r="PEO113" s="3"/>
      <c r="PEP113" s="3"/>
      <c r="PEQ113" s="3"/>
      <c r="PER113" s="3"/>
      <c r="PES113" s="3"/>
      <c r="PET113" s="3"/>
      <c r="PEU113" s="3"/>
      <c r="PEV113" s="3"/>
      <c r="PEW113" s="3"/>
      <c r="PEX113" s="3"/>
      <c r="PEY113" s="3"/>
      <c r="PEZ113" s="3"/>
      <c r="PFA113" s="3"/>
      <c r="PFB113" s="3"/>
      <c r="PFC113" s="3"/>
      <c r="PFD113" s="3"/>
      <c r="PFE113" s="3"/>
      <c r="PFF113" s="3"/>
      <c r="PFG113" s="3"/>
      <c r="PFH113" s="3"/>
      <c r="PFI113" s="3"/>
      <c r="PFJ113" s="3"/>
      <c r="PFK113" s="3"/>
      <c r="PFL113" s="3"/>
      <c r="PFM113" s="3"/>
      <c r="PFN113" s="3"/>
      <c r="PFO113" s="3"/>
      <c r="PFP113" s="3"/>
      <c r="PFQ113" s="3"/>
      <c r="PFR113" s="3"/>
      <c r="PFS113" s="3"/>
      <c r="PFT113" s="3"/>
      <c r="PFU113" s="3"/>
      <c r="PFV113" s="3"/>
      <c r="PFW113" s="3"/>
      <c r="PFX113" s="3"/>
      <c r="PFY113" s="3"/>
      <c r="PFZ113" s="3"/>
      <c r="PGA113" s="3"/>
      <c r="PGB113" s="3"/>
      <c r="PGC113" s="3"/>
      <c r="PGD113" s="3"/>
      <c r="PGE113" s="3"/>
      <c r="PGF113" s="3"/>
      <c r="PGG113" s="3"/>
      <c r="PGH113" s="3"/>
      <c r="PGI113" s="3"/>
      <c r="PGJ113" s="3"/>
      <c r="PGK113" s="3"/>
      <c r="PGL113" s="3"/>
      <c r="PGM113" s="3"/>
      <c r="PGN113" s="3"/>
      <c r="PGO113" s="3"/>
      <c r="PGP113" s="3"/>
      <c r="PGQ113" s="3"/>
      <c r="PGR113" s="3"/>
      <c r="PGS113" s="3"/>
      <c r="PGT113" s="3"/>
      <c r="PGU113" s="3"/>
      <c r="PGV113" s="3"/>
      <c r="PGW113" s="3"/>
      <c r="PGX113" s="3"/>
      <c r="PGY113" s="3"/>
      <c r="PGZ113" s="3"/>
      <c r="PHA113" s="3"/>
      <c r="PHB113" s="3"/>
      <c r="PHC113" s="3"/>
      <c r="PHD113" s="3"/>
      <c r="PHE113" s="3"/>
      <c r="PHF113" s="3"/>
      <c r="PHG113" s="3"/>
      <c r="PHH113" s="3"/>
      <c r="PHI113" s="3"/>
      <c r="PHJ113" s="3"/>
      <c r="PHK113" s="3"/>
      <c r="PHL113" s="3"/>
      <c r="PHM113" s="3"/>
      <c r="PHN113" s="3"/>
      <c r="PHO113" s="3"/>
      <c r="PHP113" s="3"/>
      <c r="PHQ113" s="3"/>
      <c r="PHR113" s="3"/>
      <c r="PHS113" s="3"/>
      <c r="PHT113" s="3"/>
      <c r="PHU113" s="3"/>
      <c r="PHV113" s="3"/>
      <c r="PHW113" s="3"/>
      <c r="PHX113" s="3"/>
      <c r="PHY113" s="3"/>
      <c r="PHZ113" s="3"/>
      <c r="PIA113" s="3"/>
      <c r="PIB113" s="3"/>
      <c r="PIC113" s="3"/>
      <c r="PID113" s="3"/>
      <c r="PIE113" s="3"/>
      <c r="PIF113" s="3"/>
      <c r="PIG113" s="3"/>
      <c r="PIH113" s="3"/>
      <c r="PII113" s="3"/>
      <c r="PIJ113" s="3"/>
      <c r="PIK113" s="3"/>
      <c r="PIL113" s="3"/>
      <c r="PIM113" s="3"/>
      <c r="PIN113" s="3"/>
      <c r="PIO113" s="3"/>
      <c r="PIP113" s="3"/>
      <c r="PIQ113" s="3"/>
      <c r="PIR113" s="3"/>
      <c r="PIS113" s="3"/>
      <c r="PIT113" s="3"/>
      <c r="PIU113" s="3"/>
      <c r="PIV113" s="3"/>
      <c r="PIW113" s="3"/>
      <c r="PIX113" s="3"/>
      <c r="PIY113" s="3"/>
      <c r="PIZ113" s="3"/>
      <c r="PJA113" s="3"/>
      <c r="PJB113" s="3"/>
      <c r="PJC113" s="3"/>
      <c r="PJD113" s="3"/>
      <c r="PJE113" s="3"/>
      <c r="PJF113" s="3"/>
      <c r="PJG113" s="3"/>
      <c r="PJH113" s="3"/>
      <c r="PJI113" s="3"/>
      <c r="PJJ113" s="3"/>
      <c r="PJK113" s="3"/>
      <c r="PJL113" s="3"/>
      <c r="PJM113" s="3"/>
      <c r="PJN113" s="3"/>
      <c r="PJO113" s="3"/>
      <c r="PJP113" s="3"/>
      <c r="PJQ113" s="3"/>
      <c r="PJR113" s="3"/>
      <c r="PJS113" s="3"/>
      <c r="PJT113" s="3"/>
      <c r="PJU113" s="3"/>
      <c r="PJV113" s="3"/>
      <c r="PJW113" s="3"/>
      <c r="PJX113" s="3"/>
      <c r="PJY113" s="3"/>
      <c r="PJZ113" s="3"/>
      <c r="PKA113" s="3"/>
      <c r="PKB113" s="3"/>
      <c r="PKC113" s="3"/>
      <c r="PKD113" s="3"/>
      <c r="PKE113" s="3"/>
      <c r="PKF113" s="3"/>
      <c r="PKG113" s="3"/>
      <c r="PKH113" s="3"/>
      <c r="PKI113" s="3"/>
      <c r="PKJ113" s="3"/>
      <c r="PKK113" s="3"/>
      <c r="PKL113" s="3"/>
      <c r="PKM113" s="3"/>
      <c r="PKN113" s="3"/>
      <c r="PKO113" s="3"/>
      <c r="PKP113" s="3"/>
      <c r="PKQ113" s="3"/>
      <c r="PKR113" s="3"/>
      <c r="PKS113" s="3"/>
      <c r="PKT113" s="3"/>
      <c r="PKU113" s="3"/>
      <c r="PKV113" s="3"/>
      <c r="PKW113" s="3"/>
      <c r="PKX113" s="3"/>
      <c r="PKY113" s="3"/>
      <c r="PKZ113" s="3"/>
      <c r="PLA113" s="3"/>
      <c r="PLB113" s="3"/>
      <c r="PLC113" s="3"/>
      <c r="PLD113" s="3"/>
      <c r="PLE113" s="3"/>
      <c r="PLF113" s="3"/>
      <c r="PLG113" s="3"/>
      <c r="PLH113" s="3"/>
      <c r="PLI113" s="3"/>
      <c r="PLJ113" s="3"/>
      <c r="PLK113" s="3"/>
      <c r="PLL113" s="3"/>
      <c r="PLM113" s="3"/>
      <c r="PLN113" s="3"/>
      <c r="PLO113" s="3"/>
      <c r="PLP113" s="3"/>
      <c r="PLQ113" s="3"/>
      <c r="PLR113" s="3"/>
      <c r="PLS113" s="3"/>
      <c r="PLT113" s="3"/>
      <c r="PLU113" s="3"/>
      <c r="PLV113" s="3"/>
      <c r="PLW113" s="3"/>
      <c r="PLX113" s="3"/>
      <c r="PLY113" s="3"/>
      <c r="PLZ113" s="3"/>
      <c r="PMA113" s="3"/>
      <c r="PMB113" s="3"/>
      <c r="PMC113" s="3"/>
      <c r="PMD113" s="3"/>
      <c r="PME113" s="3"/>
      <c r="PMF113" s="3"/>
      <c r="PMG113" s="3"/>
      <c r="PMH113" s="3"/>
      <c r="PMI113" s="3"/>
      <c r="PMJ113" s="3"/>
      <c r="PMK113" s="3"/>
      <c r="PML113" s="3"/>
      <c r="PMM113" s="3"/>
      <c r="PMN113" s="3"/>
      <c r="PMO113" s="3"/>
      <c r="PMP113" s="3"/>
      <c r="PMQ113" s="3"/>
      <c r="PMR113" s="3"/>
      <c r="PMS113" s="3"/>
      <c r="PMT113" s="3"/>
      <c r="PMU113" s="3"/>
      <c r="PMV113" s="3"/>
      <c r="PMW113" s="3"/>
      <c r="PMX113" s="3"/>
      <c r="PMY113" s="3"/>
      <c r="PMZ113" s="3"/>
      <c r="PNA113" s="3"/>
      <c r="PNB113" s="3"/>
      <c r="PNC113" s="3"/>
      <c r="PND113" s="3"/>
      <c r="PNE113" s="3"/>
      <c r="PNF113" s="3"/>
      <c r="PNG113" s="3"/>
      <c r="PNH113" s="3"/>
      <c r="PNI113" s="3"/>
      <c r="PNJ113" s="3"/>
      <c r="PNK113" s="3"/>
      <c r="PNL113" s="3"/>
      <c r="PNM113" s="3"/>
      <c r="PNN113" s="3"/>
      <c r="PNO113" s="3"/>
      <c r="PNP113" s="3"/>
      <c r="PNQ113" s="3"/>
      <c r="PNR113" s="3"/>
      <c r="PNS113" s="3"/>
      <c r="PNT113" s="3"/>
      <c r="PNU113" s="3"/>
      <c r="PNV113" s="3"/>
      <c r="PNW113" s="3"/>
      <c r="PNX113" s="3"/>
      <c r="PNY113" s="3"/>
      <c r="PNZ113" s="3"/>
      <c r="POA113" s="3"/>
      <c r="POB113" s="3"/>
      <c r="POC113" s="3"/>
      <c r="POD113" s="3"/>
      <c r="POE113" s="3"/>
      <c r="POF113" s="3"/>
      <c r="POG113" s="3"/>
      <c r="POH113" s="3"/>
      <c r="POI113" s="3"/>
      <c r="POJ113" s="3"/>
      <c r="POK113" s="3"/>
      <c r="POL113" s="3"/>
      <c r="POM113" s="3"/>
      <c r="PON113" s="3"/>
      <c r="POO113" s="3"/>
      <c r="POP113" s="3"/>
      <c r="POQ113" s="3"/>
      <c r="POR113" s="3"/>
      <c r="POS113" s="3"/>
      <c r="POT113" s="3"/>
      <c r="POU113" s="3"/>
      <c r="POV113" s="3"/>
      <c r="POW113" s="3"/>
      <c r="POX113" s="3"/>
      <c r="POY113" s="3"/>
      <c r="POZ113" s="3"/>
      <c r="PPA113" s="3"/>
      <c r="PPB113" s="3"/>
      <c r="PPC113" s="3"/>
      <c r="PPD113" s="3"/>
      <c r="PPE113" s="3"/>
      <c r="PPF113" s="3"/>
      <c r="PPG113" s="3"/>
      <c r="PPH113" s="3"/>
      <c r="PPI113" s="3"/>
      <c r="PPJ113" s="3"/>
      <c r="PPK113" s="3"/>
      <c r="PPL113" s="3"/>
      <c r="PPM113" s="3"/>
      <c r="PPN113" s="3"/>
      <c r="PPO113" s="3"/>
      <c r="PPP113" s="3"/>
      <c r="PPQ113" s="3"/>
      <c r="PPR113" s="3"/>
      <c r="PPS113" s="3"/>
      <c r="PPT113" s="3"/>
      <c r="PPU113" s="3"/>
      <c r="PPV113" s="3"/>
      <c r="PPW113" s="3"/>
      <c r="PPX113" s="3"/>
      <c r="PPY113" s="3"/>
      <c r="PPZ113" s="3"/>
      <c r="PQA113" s="3"/>
      <c r="PQB113" s="3"/>
      <c r="PQC113" s="3"/>
      <c r="PQD113" s="3"/>
      <c r="PQE113" s="3"/>
      <c r="PQF113" s="3"/>
      <c r="PQG113" s="3"/>
      <c r="PQH113" s="3"/>
      <c r="PQI113" s="3"/>
      <c r="PQJ113" s="3"/>
      <c r="PQK113" s="3"/>
      <c r="PQL113" s="3"/>
      <c r="PQM113" s="3"/>
      <c r="PQN113" s="3"/>
      <c r="PQO113" s="3"/>
      <c r="PQP113" s="3"/>
      <c r="PQQ113" s="3"/>
      <c r="PQR113" s="3"/>
      <c r="PQS113" s="3"/>
      <c r="PQT113" s="3"/>
      <c r="PQU113" s="3"/>
      <c r="PQV113" s="3"/>
      <c r="PQW113" s="3"/>
      <c r="PQX113" s="3"/>
      <c r="PQY113" s="3"/>
      <c r="PQZ113" s="3"/>
      <c r="PRA113" s="3"/>
      <c r="PRB113" s="3"/>
      <c r="PRC113" s="3"/>
      <c r="PRD113" s="3"/>
      <c r="PRE113" s="3"/>
      <c r="PRF113" s="3"/>
      <c r="PRG113" s="3"/>
      <c r="PRH113" s="3"/>
      <c r="PRI113" s="3"/>
      <c r="PRJ113" s="3"/>
      <c r="PRK113" s="3"/>
      <c r="PRL113" s="3"/>
      <c r="PRM113" s="3"/>
      <c r="PRN113" s="3"/>
      <c r="PRO113" s="3"/>
      <c r="PRP113" s="3"/>
      <c r="PRQ113" s="3"/>
      <c r="PRR113" s="3"/>
      <c r="PRS113" s="3"/>
      <c r="PRT113" s="3"/>
      <c r="PRU113" s="3"/>
      <c r="PRV113" s="3"/>
      <c r="PRW113" s="3"/>
      <c r="PRX113" s="3"/>
      <c r="PRY113" s="3"/>
      <c r="PRZ113" s="3"/>
      <c r="PSA113" s="3"/>
      <c r="PSB113" s="3"/>
      <c r="PSC113" s="3"/>
      <c r="PSD113" s="3"/>
      <c r="PSE113" s="3"/>
      <c r="PSF113" s="3"/>
      <c r="PSG113" s="3"/>
      <c r="PSH113" s="3"/>
      <c r="PSI113" s="3"/>
      <c r="PSJ113" s="3"/>
      <c r="PSK113" s="3"/>
      <c r="PSL113" s="3"/>
      <c r="PSM113" s="3"/>
      <c r="PSN113" s="3"/>
      <c r="PSO113" s="3"/>
      <c r="PSP113" s="3"/>
      <c r="PSQ113" s="3"/>
      <c r="PSR113" s="3"/>
      <c r="PSS113" s="3"/>
      <c r="PST113" s="3"/>
      <c r="PSU113" s="3"/>
      <c r="PSV113" s="3"/>
      <c r="PSW113" s="3"/>
      <c r="PSX113" s="3"/>
      <c r="PSY113" s="3"/>
      <c r="PSZ113" s="3"/>
      <c r="PTA113" s="3"/>
      <c r="PTB113" s="3"/>
      <c r="PTC113" s="3"/>
      <c r="PTD113" s="3"/>
      <c r="PTE113" s="3"/>
      <c r="PTF113" s="3"/>
      <c r="PTG113" s="3"/>
      <c r="PTH113" s="3"/>
      <c r="PTI113" s="3"/>
      <c r="PTJ113" s="3"/>
      <c r="PTK113" s="3"/>
      <c r="PTL113" s="3"/>
      <c r="PTM113" s="3"/>
      <c r="PTN113" s="3"/>
      <c r="PTO113" s="3"/>
      <c r="PTP113" s="3"/>
      <c r="PTQ113" s="3"/>
      <c r="PTR113" s="3"/>
      <c r="PTS113" s="3"/>
      <c r="PTT113" s="3"/>
      <c r="PTU113" s="3"/>
      <c r="PTV113" s="3"/>
      <c r="PTW113" s="3"/>
      <c r="PTX113" s="3"/>
      <c r="PTY113" s="3"/>
      <c r="PTZ113" s="3"/>
      <c r="PUA113" s="3"/>
      <c r="PUB113" s="3"/>
      <c r="PUC113" s="3"/>
      <c r="PUD113" s="3"/>
      <c r="PUE113" s="3"/>
      <c r="PUF113" s="3"/>
      <c r="PUG113" s="3"/>
      <c r="PUH113" s="3"/>
      <c r="PUI113" s="3"/>
      <c r="PUJ113" s="3"/>
      <c r="PUK113" s="3"/>
      <c r="PUL113" s="3"/>
      <c r="PUM113" s="3"/>
      <c r="PUN113" s="3"/>
      <c r="PUO113" s="3"/>
      <c r="PUP113" s="3"/>
      <c r="PUQ113" s="3"/>
      <c r="PUR113" s="3"/>
      <c r="PUS113" s="3"/>
      <c r="PUT113" s="3"/>
      <c r="PUU113" s="3"/>
      <c r="PUV113" s="3"/>
      <c r="PUW113" s="3"/>
      <c r="PUX113" s="3"/>
      <c r="PUY113" s="3"/>
      <c r="PUZ113" s="3"/>
      <c r="PVA113" s="3"/>
      <c r="PVB113" s="3"/>
      <c r="PVC113" s="3"/>
      <c r="PVD113" s="3"/>
      <c r="PVE113" s="3"/>
      <c r="PVF113" s="3"/>
      <c r="PVG113" s="3"/>
      <c r="PVH113" s="3"/>
      <c r="PVI113" s="3"/>
      <c r="PVJ113" s="3"/>
      <c r="PVK113" s="3"/>
      <c r="PVL113" s="3"/>
      <c r="PVM113" s="3"/>
      <c r="PVN113" s="3"/>
      <c r="PVO113" s="3"/>
      <c r="PVP113" s="3"/>
      <c r="PVQ113" s="3"/>
      <c r="PVR113" s="3"/>
      <c r="PVS113" s="3"/>
      <c r="PVT113" s="3"/>
      <c r="PVU113" s="3"/>
      <c r="PVV113" s="3"/>
      <c r="PVW113" s="3"/>
      <c r="PVX113" s="3"/>
      <c r="PVY113" s="3"/>
      <c r="PVZ113" s="3"/>
      <c r="PWA113" s="3"/>
      <c r="PWB113" s="3"/>
      <c r="PWC113" s="3"/>
      <c r="PWD113" s="3"/>
      <c r="PWE113" s="3"/>
      <c r="PWF113" s="3"/>
      <c r="PWG113" s="3"/>
      <c r="PWH113" s="3"/>
      <c r="PWI113" s="3"/>
      <c r="PWJ113" s="3"/>
      <c r="PWK113" s="3"/>
      <c r="PWL113" s="3"/>
      <c r="PWM113" s="3"/>
      <c r="PWN113" s="3"/>
      <c r="PWO113" s="3"/>
      <c r="PWP113" s="3"/>
      <c r="PWQ113" s="3"/>
      <c r="PWR113" s="3"/>
      <c r="PWS113" s="3"/>
      <c r="PWT113" s="3"/>
      <c r="PWU113" s="3"/>
      <c r="PWV113" s="3"/>
      <c r="PWW113" s="3"/>
      <c r="PWX113" s="3"/>
      <c r="PWY113" s="3"/>
      <c r="PWZ113" s="3"/>
      <c r="PXA113" s="3"/>
      <c r="PXB113" s="3"/>
      <c r="PXC113" s="3"/>
      <c r="PXD113" s="3"/>
      <c r="PXE113" s="3"/>
      <c r="PXF113" s="3"/>
      <c r="PXG113" s="3"/>
      <c r="PXH113" s="3"/>
      <c r="PXI113" s="3"/>
      <c r="PXJ113" s="3"/>
      <c r="PXK113" s="3"/>
      <c r="PXL113" s="3"/>
      <c r="PXM113" s="3"/>
      <c r="PXN113" s="3"/>
      <c r="PXO113" s="3"/>
      <c r="PXP113" s="3"/>
      <c r="PXQ113" s="3"/>
      <c r="PXR113" s="3"/>
      <c r="PXS113" s="3"/>
      <c r="PXT113" s="3"/>
      <c r="PXU113" s="3"/>
      <c r="PXV113" s="3"/>
      <c r="PXW113" s="3"/>
      <c r="PXX113" s="3"/>
      <c r="PXY113" s="3"/>
      <c r="PXZ113" s="3"/>
      <c r="PYA113" s="3"/>
      <c r="PYB113" s="3"/>
      <c r="PYC113" s="3"/>
      <c r="PYD113" s="3"/>
      <c r="PYE113" s="3"/>
      <c r="PYF113" s="3"/>
      <c r="PYG113" s="3"/>
      <c r="PYH113" s="3"/>
      <c r="PYI113" s="3"/>
      <c r="PYJ113" s="3"/>
      <c r="PYK113" s="3"/>
      <c r="PYL113" s="3"/>
      <c r="PYM113" s="3"/>
      <c r="PYN113" s="3"/>
      <c r="PYO113" s="3"/>
      <c r="PYP113" s="3"/>
      <c r="PYQ113" s="3"/>
      <c r="PYR113" s="3"/>
      <c r="PYS113" s="3"/>
      <c r="PYT113" s="3"/>
      <c r="PYU113" s="3"/>
      <c r="PYV113" s="3"/>
      <c r="PYW113" s="3"/>
      <c r="PYX113" s="3"/>
      <c r="PYY113" s="3"/>
      <c r="PYZ113" s="3"/>
      <c r="PZA113" s="3"/>
      <c r="PZB113" s="3"/>
      <c r="PZC113" s="3"/>
      <c r="PZD113" s="3"/>
      <c r="PZE113" s="3"/>
      <c r="PZF113" s="3"/>
      <c r="PZG113" s="3"/>
      <c r="PZH113" s="3"/>
      <c r="PZI113" s="3"/>
      <c r="PZJ113" s="3"/>
      <c r="PZK113" s="3"/>
      <c r="PZL113" s="3"/>
      <c r="PZM113" s="3"/>
      <c r="PZN113" s="3"/>
      <c r="PZO113" s="3"/>
      <c r="PZP113" s="3"/>
      <c r="PZQ113" s="3"/>
      <c r="PZR113" s="3"/>
      <c r="PZS113" s="3"/>
      <c r="PZT113" s="3"/>
      <c r="PZU113" s="3"/>
      <c r="PZV113" s="3"/>
      <c r="PZW113" s="3"/>
      <c r="PZX113" s="3"/>
      <c r="PZY113" s="3"/>
      <c r="PZZ113" s="3"/>
      <c r="QAA113" s="3"/>
      <c r="QAB113" s="3"/>
      <c r="QAC113" s="3"/>
      <c r="QAD113" s="3"/>
      <c r="QAE113" s="3"/>
      <c r="QAF113" s="3"/>
      <c r="QAG113" s="3"/>
      <c r="QAH113" s="3"/>
      <c r="QAI113" s="3"/>
      <c r="QAJ113" s="3"/>
      <c r="QAK113" s="3"/>
      <c r="QAL113" s="3"/>
      <c r="QAM113" s="3"/>
      <c r="QAN113" s="3"/>
      <c r="QAO113" s="3"/>
      <c r="QAP113" s="3"/>
      <c r="QAQ113" s="3"/>
      <c r="QAR113" s="3"/>
      <c r="QAS113" s="3"/>
      <c r="QAT113" s="3"/>
      <c r="QAU113" s="3"/>
      <c r="QAV113" s="3"/>
      <c r="QAW113" s="3"/>
      <c r="QAX113" s="3"/>
      <c r="QAY113" s="3"/>
      <c r="QAZ113" s="3"/>
      <c r="QBA113" s="3"/>
      <c r="QBB113" s="3"/>
      <c r="QBC113" s="3"/>
      <c r="QBD113" s="3"/>
      <c r="QBE113" s="3"/>
      <c r="QBF113" s="3"/>
      <c r="QBG113" s="3"/>
      <c r="QBH113" s="3"/>
      <c r="QBI113" s="3"/>
      <c r="QBJ113" s="3"/>
      <c r="QBK113" s="3"/>
      <c r="QBL113" s="3"/>
      <c r="QBM113" s="3"/>
      <c r="QBN113" s="3"/>
      <c r="QBO113" s="3"/>
      <c r="QBP113" s="3"/>
      <c r="QBQ113" s="3"/>
      <c r="QBR113" s="3"/>
      <c r="QBS113" s="3"/>
      <c r="QBT113" s="3"/>
      <c r="QBU113" s="3"/>
      <c r="QBV113" s="3"/>
      <c r="QBW113" s="3"/>
      <c r="QBX113" s="3"/>
      <c r="QBY113" s="3"/>
      <c r="QBZ113" s="3"/>
      <c r="QCA113" s="3"/>
      <c r="QCB113" s="3"/>
      <c r="QCC113" s="3"/>
      <c r="QCD113" s="3"/>
      <c r="QCE113" s="3"/>
      <c r="QCF113" s="3"/>
      <c r="QCG113" s="3"/>
      <c r="QCH113" s="3"/>
      <c r="QCI113" s="3"/>
      <c r="QCJ113" s="3"/>
      <c r="QCK113" s="3"/>
      <c r="QCL113" s="3"/>
      <c r="QCM113" s="3"/>
      <c r="QCN113" s="3"/>
      <c r="QCO113" s="3"/>
      <c r="QCP113" s="3"/>
      <c r="QCQ113" s="3"/>
      <c r="QCR113" s="3"/>
      <c r="QCS113" s="3"/>
      <c r="QCT113" s="3"/>
      <c r="QCU113" s="3"/>
      <c r="QCV113" s="3"/>
      <c r="QCW113" s="3"/>
      <c r="QCX113" s="3"/>
      <c r="QCY113" s="3"/>
      <c r="QCZ113" s="3"/>
      <c r="QDA113" s="3"/>
      <c r="QDB113" s="3"/>
      <c r="QDC113" s="3"/>
      <c r="QDD113" s="3"/>
      <c r="QDE113" s="3"/>
      <c r="QDF113" s="3"/>
      <c r="QDG113" s="3"/>
      <c r="QDH113" s="3"/>
      <c r="QDI113" s="3"/>
      <c r="QDJ113" s="3"/>
      <c r="QDK113" s="3"/>
      <c r="QDL113" s="3"/>
      <c r="QDM113" s="3"/>
      <c r="QDN113" s="3"/>
      <c r="QDO113" s="3"/>
      <c r="QDP113" s="3"/>
      <c r="QDQ113" s="3"/>
      <c r="QDR113" s="3"/>
      <c r="QDS113" s="3"/>
      <c r="QDT113" s="3"/>
      <c r="QDU113" s="3"/>
      <c r="QDV113" s="3"/>
      <c r="QDW113" s="3"/>
      <c r="QDX113" s="3"/>
      <c r="QDY113" s="3"/>
      <c r="QDZ113" s="3"/>
      <c r="QEA113" s="3"/>
      <c r="QEB113" s="3"/>
      <c r="QEC113" s="3"/>
      <c r="QED113" s="3"/>
      <c r="QEE113" s="3"/>
      <c r="QEF113" s="3"/>
      <c r="QEG113" s="3"/>
      <c r="QEH113" s="3"/>
      <c r="QEI113" s="3"/>
      <c r="QEJ113" s="3"/>
      <c r="QEK113" s="3"/>
      <c r="QEL113" s="3"/>
      <c r="QEM113" s="3"/>
      <c r="QEN113" s="3"/>
      <c r="QEO113" s="3"/>
      <c r="QEP113" s="3"/>
      <c r="QEQ113" s="3"/>
      <c r="QER113" s="3"/>
      <c r="QES113" s="3"/>
      <c r="QET113" s="3"/>
      <c r="QEU113" s="3"/>
      <c r="QEV113" s="3"/>
      <c r="QEW113" s="3"/>
      <c r="QEX113" s="3"/>
      <c r="QEY113" s="3"/>
      <c r="QEZ113" s="3"/>
      <c r="QFA113" s="3"/>
      <c r="QFB113" s="3"/>
      <c r="QFC113" s="3"/>
      <c r="QFD113" s="3"/>
      <c r="QFE113" s="3"/>
      <c r="QFF113" s="3"/>
      <c r="QFG113" s="3"/>
      <c r="QFH113" s="3"/>
      <c r="QFI113" s="3"/>
      <c r="QFJ113" s="3"/>
      <c r="QFK113" s="3"/>
      <c r="QFL113" s="3"/>
      <c r="QFM113" s="3"/>
      <c r="QFN113" s="3"/>
      <c r="QFO113" s="3"/>
      <c r="QFP113" s="3"/>
      <c r="QFQ113" s="3"/>
      <c r="QFR113" s="3"/>
      <c r="QFS113" s="3"/>
      <c r="QFT113" s="3"/>
      <c r="QFU113" s="3"/>
      <c r="QFV113" s="3"/>
      <c r="QFW113" s="3"/>
      <c r="QFX113" s="3"/>
      <c r="QFY113" s="3"/>
      <c r="QFZ113" s="3"/>
      <c r="QGA113" s="3"/>
      <c r="QGB113" s="3"/>
      <c r="QGC113" s="3"/>
      <c r="QGD113" s="3"/>
      <c r="QGE113" s="3"/>
      <c r="QGF113" s="3"/>
      <c r="QGG113" s="3"/>
      <c r="QGH113" s="3"/>
      <c r="QGI113" s="3"/>
      <c r="QGJ113" s="3"/>
      <c r="QGK113" s="3"/>
      <c r="QGL113" s="3"/>
      <c r="QGM113" s="3"/>
      <c r="QGN113" s="3"/>
      <c r="QGO113" s="3"/>
      <c r="QGP113" s="3"/>
      <c r="QGQ113" s="3"/>
      <c r="QGR113" s="3"/>
      <c r="QGS113" s="3"/>
      <c r="QGT113" s="3"/>
      <c r="QGU113" s="3"/>
      <c r="QGV113" s="3"/>
      <c r="QGW113" s="3"/>
      <c r="QGX113" s="3"/>
      <c r="QGY113" s="3"/>
      <c r="QGZ113" s="3"/>
      <c r="QHA113" s="3"/>
      <c r="QHB113" s="3"/>
      <c r="QHC113" s="3"/>
      <c r="QHD113" s="3"/>
      <c r="QHE113" s="3"/>
      <c r="QHF113" s="3"/>
      <c r="QHG113" s="3"/>
      <c r="QHH113" s="3"/>
      <c r="QHI113" s="3"/>
      <c r="QHJ113" s="3"/>
      <c r="QHK113" s="3"/>
      <c r="QHL113" s="3"/>
      <c r="QHM113" s="3"/>
      <c r="QHN113" s="3"/>
      <c r="QHO113" s="3"/>
      <c r="QHP113" s="3"/>
      <c r="QHQ113" s="3"/>
      <c r="QHR113" s="3"/>
      <c r="QHS113" s="3"/>
      <c r="QHT113" s="3"/>
      <c r="QHU113" s="3"/>
      <c r="QHV113" s="3"/>
      <c r="QHW113" s="3"/>
      <c r="QHX113" s="3"/>
      <c r="QHY113" s="3"/>
      <c r="QHZ113" s="3"/>
      <c r="QIA113" s="3"/>
      <c r="QIB113" s="3"/>
      <c r="QIC113" s="3"/>
      <c r="QID113" s="3"/>
      <c r="QIE113" s="3"/>
      <c r="QIF113" s="3"/>
      <c r="QIG113" s="3"/>
      <c r="QIH113" s="3"/>
      <c r="QII113" s="3"/>
      <c r="QIJ113" s="3"/>
      <c r="QIK113" s="3"/>
      <c r="QIL113" s="3"/>
      <c r="QIM113" s="3"/>
      <c r="QIN113" s="3"/>
      <c r="QIO113" s="3"/>
      <c r="QIP113" s="3"/>
      <c r="QIQ113" s="3"/>
      <c r="QIR113" s="3"/>
      <c r="QIS113" s="3"/>
      <c r="QIT113" s="3"/>
      <c r="QIU113" s="3"/>
      <c r="QIV113" s="3"/>
      <c r="QIW113" s="3"/>
      <c r="QIX113" s="3"/>
      <c r="QIY113" s="3"/>
      <c r="QIZ113" s="3"/>
      <c r="QJA113" s="3"/>
      <c r="QJB113" s="3"/>
      <c r="QJC113" s="3"/>
      <c r="QJD113" s="3"/>
      <c r="QJE113" s="3"/>
      <c r="QJF113" s="3"/>
      <c r="QJG113" s="3"/>
      <c r="QJH113" s="3"/>
      <c r="QJI113" s="3"/>
      <c r="QJJ113" s="3"/>
      <c r="QJK113" s="3"/>
      <c r="QJL113" s="3"/>
      <c r="QJM113" s="3"/>
      <c r="QJN113" s="3"/>
      <c r="QJO113" s="3"/>
      <c r="QJP113" s="3"/>
      <c r="QJQ113" s="3"/>
      <c r="QJR113" s="3"/>
      <c r="QJS113" s="3"/>
      <c r="QJT113" s="3"/>
      <c r="QJU113" s="3"/>
      <c r="QJV113" s="3"/>
      <c r="QJW113" s="3"/>
      <c r="QJX113" s="3"/>
      <c r="QJY113" s="3"/>
      <c r="QJZ113" s="3"/>
      <c r="QKA113" s="3"/>
      <c r="QKB113" s="3"/>
      <c r="QKC113" s="3"/>
      <c r="QKD113" s="3"/>
      <c r="QKE113" s="3"/>
      <c r="QKF113" s="3"/>
      <c r="QKG113" s="3"/>
      <c r="QKH113" s="3"/>
      <c r="QKI113" s="3"/>
      <c r="QKJ113" s="3"/>
      <c r="QKK113" s="3"/>
      <c r="QKL113" s="3"/>
      <c r="QKM113" s="3"/>
      <c r="QKN113" s="3"/>
      <c r="QKO113" s="3"/>
      <c r="QKP113" s="3"/>
      <c r="QKQ113" s="3"/>
      <c r="QKR113" s="3"/>
      <c r="QKS113" s="3"/>
      <c r="QKT113" s="3"/>
      <c r="QKU113" s="3"/>
      <c r="QKV113" s="3"/>
      <c r="QKW113" s="3"/>
      <c r="QKX113" s="3"/>
      <c r="QKY113" s="3"/>
      <c r="QKZ113" s="3"/>
      <c r="QLA113" s="3"/>
      <c r="QLB113" s="3"/>
      <c r="QLC113" s="3"/>
      <c r="QLD113" s="3"/>
      <c r="QLE113" s="3"/>
      <c r="QLF113" s="3"/>
      <c r="QLG113" s="3"/>
      <c r="QLH113" s="3"/>
      <c r="QLI113" s="3"/>
      <c r="QLJ113" s="3"/>
      <c r="QLK113" s="3"/>
      <c r="QLL113" s="3"/>
      <c r="QLM113" s="3"/>
      <c r="QLN113" s="3"/>
      <c r="QLO113" s="3"/>
      <c r="QLP113" s="3"/>
      <c r="QLQ113" s="3"/>
      <c r="QLR113" s="3"/>
      <c r="QLS113" s="3"/>
      <c r="QLT113" s="3"/>
      <c r="QLU113" s="3"/>
      <c r="QLV113" s="3"/>
      <c r="QLW113" s="3"/>
      <c r="QLX113" s="3"/>
      <c r="QLY113" s="3"/>
      <c r="QLZ113" s="3"/>
      <c r="QMA113" s="3"/>
      <c r="QMB113" s="3"/>
      <c r="QMC113" s="3"/>
      <c r="QMD113" s="3"/>
      <c r="QME113" s="3"/>
      <c r="QMF113" s="3"/>
      <c r="QMG113" s="3"/>
      <c r="QMH113" s="3"/>
      <c r="QMI113" s="3"/>
      <c r="QMJ113" s="3"/>
      <c r="QMK113" s="3"/>
      <c r="QML113" s="3"/>
      <c r="QMM113" s="3"/>
      <c r="QMN113" s="3"/>
      <c r="QMO113" s="3"/>
      <c r="QMP113" s="3"/>
      <c r="QMQ113" s="3"/>
      <c r="QMR113" s="3"/>
      <c r="QMS113" s="3"/>
      <c r="QMT113" s="3"/>
      <c r="QMU113" s="3"/>
      <c r="QMV113" s="3"/>
      <c r="QMW113" s="3"/>
      <c r="QMX113" s="3"/>
      <c r="QMY113" s="3"/>
      <c r="QMZ113" s="3"/>
      <c r="QNA113" s="3"/>
      <c r="QNB113" s="3"/>
      <c r="QNC113" s="3"/>
      <c r="QND113" s="3"/>
      <c r="QNE113" s="3"/>
      <c r="QNF113" s="3"/>
      <c r="QNG113" s="3"/>
      <c r="QNH113" s="3"/>
      <c r="QNI113" s="3"/>
      <c r="QNJ113" s="3"/>
      <c r="QNK113" s="3"/>
      <c r="QNL113" s="3"/>
      <c r="QNM113" s="3"/>
      <c r="QNN113" s="3"/>
      <c r="QNO113" s="3"/>
      <c r="QNP113" s="3"/>
      <c r="QNQ113" s="3"/>
      <c r="QNR113" s="3"/>
      <c r="QNS113" s="3"/>
      <c r="QNT113" s="3"/>
      <c r="QNU113" s="3"/>
      <c r="QNV113" s="3"/>
      <c r="QNW113" s="3"/>
      <c r="QNX113" s="3"/>
      <c r="QNY113" s="3"/>
      <c r="QNZ113" s="3"/>
      <c r="QOA113" s="3"/>
      <c r="QOB113" s="3"/>
      <c r="QOC113" s="3"/>
      <c r="QOD113" s="3"/>
      <c r="QOE113" s="3"/>
      <c r="QOF113" s="3"/>
      <c r="QOG113" s="3"/>
      <c r="QOH113" s="3"/>
      <c r="QOI113" s="3"/>
      <c r="QOJ113" s="3"/>
      <c r="QOK113" s="3"/>
      <c r="QOL113" s="3"/>
      <c r="QOM113" s="3"/>
      <c r="QON113" s="3"/>
      <c r="QOO113" s="3"/>
      <c r="QOP113" s="3"/>
      <c r="QOQ113" s="3"/>
      <c r="QOR113" s="3"/>
      <c r="QOS113" s="3"/>
      <c r="QOT113" s="3"/>
      <c r="QOU113" s="3"/>
      <c r="QOV113" s="3"/>
      <c r="QOW113" s="3"/>
      <c r="QOX113" s="3"/>
      <c r="QOY113" s="3"/>
      <c r="QOZ113" s="3"/>
      <c r="QPA113" s="3"/>
      <c r="QPB113" s="3"/>
      <c r="QPC113" s="3"/>
      <c r="QPD113" s="3"/>
      <c r="QPE113" s="3"/>
      <c r="QPF113" s="3"/>
      <c r="QPG113" s="3"/>
      <c r="QPH113" s="3"/>
      <c r="QPI113" s="3"/>
      <c r="QPJ113" s="3"/>
      <c r="QPK113" s="3"/>
      <c r="QPL113" s="3"/>
      <c r="QPM113" s="3"/>
      <c r="QPN113" s="3"/>
      <c r="QPO113" s="3"/>
      <c r="QPP113" s="3"/>
      <c r="QPQ113" s="3"/>
      <c r="QPR113" s="3"/>
      <c r="QPS113" s="3"/>
      <c r="QPT113" s="3"/>
      <c r="QPU113" s="3"/>
      <c r="QPV113" s="3"/>
      <c r="QPW113" s="3"/>
      <c r="QPX113" s="3"/>
      <c r="QPY113" s="3"/>
      <c r="QPZ113" s="3"/>
      <c r="QQA113" s="3"/>
      <c r="QQB113" s="3"/>
      <c r="QQC113" s="3"/>
      <c r="QQD113" s="3"/>
      <c r="QQE113" s="3"/>
      <c r="QQF113" s="3"/>
      <c r="QQG113" s="3"/>
      <c r="QQH113" s="3"/>
      <c r="QQI113" s="3"/>
      <c r="QQJ113" s="3"/>
      <c r="QQK113" s="3"/>
      <c r="QQL113" s="3"/>
      <c r="QQM113" s="3"/>
      <c r="QQN113" s="3"/>
      <c r="QQO113" s="3"/>
      <c r="QQP113" s="3"/>
      <c r="QQQ113" s="3"/>
      <c r="QQR113" s="3"/>
      <c r="QQS113" s="3"/>
      <c r="QQT113" s="3"/>
      <c r="QQU113" s="3"/>
      <c r="QQV113" s="3"/>
      <c r="QQW113" s="3"/>
      <c r="QQX113" s="3"/>
      <c r="QQY113" s="3"/>
      <c r="QQZ113" s="3"/>
      <c r="QRA113" s="3"/>
      <c r="QRB113" s="3"/>
      <c r="QRC113" s="3"/>
      <c r="QRD113" s="3"/>
      <c r="QRE113" s="3"/>
      <c r="QRF113" s="3"/>
      <c r="QRG113" s="3"/>
      <c r="QRH113" s="3"/>
      <c r="QRI113" s="3"/>
      <c r="QRJ113" s="3"/>
      <c r="QRK113" s="3"/>
      <c r="QRL113" s="3"/>
      <c r="QRM113" s="3"/>
      <c r="QRN113" s="3"/>
      <c r="QRO113" s="3"/>
      <c r="QRP113" s="3"/>
      <c r="QRQ113" s="3"/>
      <c r="QRR113" s="3"/>
      <c r="QRS113" s="3"/>
      <c r="QRT113" s="3"/>
      <c r="QRU113" s="3"/>
      <c r="QRV113" s="3"/>
      <c r="QRW113" s="3"/>
      <c r="QRX113" s="3"/>
      <c r="QRY113" s="3"/>
      <c r="QRZ113" s="3"/>
      <c r="QSA113" s="3"/>
      <c r="QSB113" s="3"/>
      <c r="QSC113" s="3"/>
      <c r="QSD113" s="3"/>
      <c r="QSE113" s="3"/>
      <c r="QSF113" s="3"/>
      <c r="QSG113" s="3"/>
      <c r="QSH113" s="3"/>
      <c r="QSI113" s="3"/>
      <c r="QSJ113" s="3"/>
      <c r="QSK113" s="3"/>
      <c r="QSL113" s="3"/>
      <c r="QSM113" s="3"/>
      <c r="QSN113" s="3"/>
      <c r="QSO113" s="3"/>
      <c r="QSP113" s="3"/>
      <c r="QSQ113" s="3"/>
      <c r="QSR113" s="3"/>
      <c r="QSS113" s="3"/>
      <c r="QST113" s="3"/>
      <c r="QSU113" s="3"/>
      <c r="QSV113" s="3"/>
      <c r="QSW113" s="3"/>
      <c r="QSX113" s="3"/>
      <c r="QSY113" s="3"/>
      <c r="QSZ113" s="3"/>
      <c r="QTA113" s="3"/>
      <c r="QTB113" s="3"/>
      <c r="QTC113" s="3"/>
      <c r="QTD113" s="3"/>
      <c r="QTE113" s="3"/>
      <c r="QTF113" s="3"/>
      <c r="QTG113" s="3"/>
      <c r="QTH113" s="3"/>
      <c r="QTI113" s="3"/>
      <c r="QTJ113" s="3"/>
      <c r="QTK113" s="3"/>
      <c r="QTL113" s="3"/>
      <c r="QTM113" s="3"/>
      <c r="QTN113" s="3"/>
      <c r="QTO113" s="3"/>
      <c r="QTP113" s="3"/>
      <c r="QTQ113" s="3"/>
      <c r="QTR113" s="3"/>
      <c r="QTS113" s="3"/>
      <c r="QTT113" s="3"/>
      <c r="QTU113" s="3"/>
      <c r="QTV113" s="3"/>
      <c r="QTW113" s="3"/>
      <c r="QTX113" s="3"/>
      <c r="QTY113" s="3"/>
      <c r="QTZ113" s="3"/>
      <c r="QUA113" s="3"/>
      <c r="QUB113" s="3"/>
      <c r="QUC113" s="3"/>
      <c r="QUD113" s="3"/>
      <c r="QUE113" s="3"/>
      <c r="QUF113" s="3"/>
      <c r="QUG113" s="3"/>
      <c r="QUH113" s="3"/>
      <c r="QUI113" s="3"/>
      <c r="QUJ113" s="3"/>
      <c r="QUK113" s="3"/>
      <c r="QUL113" s="3"/>
      <c r="QUM113" s="3"/>
      <c r="QUN113" s="3"/>
      <c r="QUO113" s="3"/>
      <c r="QUP113" s="3"/>
      <c r="QUQ113" s="3"/>
      <c r="QUR113" s="3"/>
      <c r="QUS113" s="3"/>
      <c r="QUT113" s="3"/>
      <c r="QUU113" s="3"/>
      <c r="QUV113" s="3"/>
      <c r="QUW113" s="3"/>
      <c r="QUX113" s="3"/>
      <c r="QUY113" s="3"/>
      <c r="QUZ113" s="3"/>
      <c r="QVA113" s="3"/>
      <c r="QVB113" s="3"/>
      <c r="QVC113" s="3"/>
      <c r="QVD113" s="3"/>
      <c r="QVE113" s="3"/>
      <c r="QVF113" s="3"/>
      <c r="QVG113" s="3"/>
      <c r="QVH113" s="3"/>
      <c r="QVI113" s="3"/>
      <c r="QVJ113" s="3"/>
      <c r="QVK113" s="3"/>
      <c r="QVL113" s="3"/>
      <c r="QVM113" s="3"/>
      <c r="QVN113" s="3"/>
      <c r="QVO113" s="3"/>
      <c r="QVP113" s="3"/>
      <c r="QVQ113" s="3"/>
      <c r="QVR113" s="3"/>
      <c r="QVS113" s="3"/>
      <c r="QVT113" s="3"/>
      <c r="QVU113" s="3"/>
      <c r="QVV113" s="3"/>
      <c r="QVW113" s="3"/>
      <c r="QVX113" s="3"/>
      <c r="QVY113" s="3"/>
      <c r="QVZ113" s="3"/>
      <c r="QWA113" s="3"/>
      <c r="QWB113" s="3"/>
      <c r="QWC113" s="3"/>
      <c r="QWD113" s="3"/>
      <c r="QWE113" s="3"/>
      <c r="QWF113" s="3"/>
      <c r="QWG113" s="3"/>
      <c r="QWH113" s="3"/>
      <c r="QWI113" s="3"/>
      <c r="QWJ113" s="3"/>
      <c r="QWK113" s="3"/>
      <c r="QWL113" s="3"/>
      <c r="QWM113" s="3"/>
      <c r="QWN113" s="3"/>
      <c r="QWO113" s="3"/>
      <c r="QWP113" s="3"/>
      <c r="QWQ113" s="3"/>
      <c r="QWR113" s="3"/>
      <c r="QWS113" s="3"/>
      <c r="QWT113" s="3"/>
      <c r="QWU113" s="3"/>
      <c r="QWV113" s="3"/>
      <c r="QWW113" s="3"/>
      <c r="QWX113" s="3"/>
      <c r="QWY113" s="3"/>
      <c r="QWZ113" s="3"/>
      <c r="QXA113" s="3"/>
      <c r="QXB113" s="3"/>
      <c r="QXC113" s="3"/>
      <c r="QXD113" s="3"/>
      <c r="QXE113" s="3"/>
      <c r="QXF113" s="3"/>
      <c r="QXG113" s="3"/>
      <c r="QXH113" s="3"/>
      <c r="QXI113" s="3"/>
      <c r="QXJ113" s="3"/>
      <c r="QXK113" s="3"/>
      <c r="QXL113" s="3"/>
      <c r="QXM113" s="3"/>
      <c r="QXN113" s="3"/>
      <c r="QXO113" s="3"/>
      <c r="QXP113" s="3"/>
      <c r="QXQ113" s="3"/>
      <c r="QXR113" s="3"/>
      <c r="QXS113" s="3"/>
      <c r="QXT113" s="3"/>
      <c r="QXU113" s="3"/>
      <c r="QXV113" s="3"/>
      <c r="QXW113" s="3"/>
      <c r="QXX113" s="3"/>
      <c r="QXY113" s="3"/>
      <c r="QXZ113" s="3"/>
      <c r="QYA113" s="3"/>
      <c r="QYB113" s="3"/>
      <c r="QYC113" s="3"/>
      <c r="QYD113" s="3"/>
      <c r="QYE113" s="3"/>
      <c r="QYF113" s="3"/>
      <c r="QYG113" s="3"/>
      <c r="QYH113" s="3"/>
      <c r="QYI113" s="3"/>
      <c r="QYJ113" s="3"/>
      <c r="QYK113" s="3"/>
      <c r="QYL113" s="3"/>
      <c r="QYM113" s="3"/>
      <c r="QYN113" s="3"/>
      <c r="QYO113" s="3"/>
      <c r="QYP113" s="3"/>
      <c r="QYQ113" s="3"/>
      <c r="QYR113" s="3"/>
      <c r="QYS113" s="3"/>
      <c r="QYT113" s="3"/>
      <c r="QYU113" s="3"/>
      <c r="QYV113" s="3"/>
      <c r="QYW113" s="3"/>
      <c r="QYX113" s="3"/>
      <c r="QYY113" s="3"/>
      <c r="QYZ113" s="3"/>
      <c r="QZA113" s="3"/>
      <c r="QZB113" s="3"/>
      <c r="QZC113" s="3"/>
      <c r="QZD113" s="3"/>
      <c r="QZE113" s="3"/>
      <c r="QZF113" s="3"/>
      <c r="QZG113" s="3"/>
      <c r="QZH113" s="3"/>
      <c r="QZI113" s="3"/>
      <c r="QZJ113" s="3"/>
      <c r="QZK113" s="3"/>
      <c r="QZL113" s="3"/>
      <c r="QZM113" s="3"/>
      <c r="QZN113" s="3"/>
      <c r="QZO113" s="3"/>
      <c r="QZP113" s="3"/>
      <c r="QZQ113" s="3"/>
      <c r="QZR113" s="3"/>
      <c r="QZS113" s="3"/>
      <c r="QZT113" s="3"/>
      <c r="QZU113" s="3"/>
      <c r="QZV113" s="3"/>
      <c r="QZW113" s="3"/>
      <c r="QZX113" s="3"/>
      <c r="QZY113" s="3"/>
      <c r="QZZ113" s="3"/>
      <c r="RAA113" s="3"/>
      <c r="RAB113" s="3"/>
      <c r="RAC113" s="3"/>
      <c r="RAD113" s="3"/>
      <c r="RAE113" s="3"/>
      <c r="RAF113" s="3"/>
      <c r="RAG113" s="3"/>
      <c r="RAH113" s="3"/>
      <c r="RAI113" s="3"/>
      <c r="RAJ113" s="3"/>
      <c r="RAK113" s="3"/>
      <c r="RAL113" s="3"/>
      <c r="RAM113" s="3"/>
      <c r="RAN113" s="3"/>
      <c r="RAO113" s="3"/>
      <c r="RAP113" s="3"/>
      <c r="RAQ113" s="3"/>
      <c r="RAR113" s="3"/>
      <c r="RAS113" s="3"/>
      <c r="RAT113" s="3"/>
      <c r="RAU113" s="3"/>
      <c r="RAV113" s="3"/>
      <c r="RAW113" s="3"/>
      <c r="RAX113" s="3"/>
      <c r="RAY113" s="3"/>
      <c r="RAZ113" s="3"/>
      <c r="RBA113" s="3"/>
      <c r="RBB113" s="3"/>
      <c r="RBC113" s="3"/>
      <c r="RBD113" s="3"/>
      <c r="RBE113" s="3"/>
      <c r="RBF113" s="3"/>
      <c r="RBG113" s="3"/>
      <c r="RBH113" s="3"/>
      <c r="RBI113" s="3"/>
      <c r="RBJ113" s="3"/>
      <c r="RBK113" s="3"/>
      <c r="RBL113" s="3"/>
      <c r="RBM113" s="3"/>
      <c r="RBN113" s="3"/>
      <c r="RBO113" s="3"/>
      <c r="RBP113" s="3"/>
      <c r="RBQ113" s="3"/>
      <c r="RBR113" s="3"/>
      <c r="RBS113" s="3"/>
      <c r="RBT113" s="3"/>
      <c r="RBU113" s="3"/>
      <c r="RBV113" s="3"/>
      <c r="RBW113" s="3"/>
      <c r="RBX113" s="3"/>
      <c r="RBY113" s="3"/>
      <c r="RBZ113" s="3"/>
      <c r="RCA113" s="3"/>
      <c r="RCB113" s="3"/>
      <c r="RCC113" s="3"/>
      <c r="RCD113" s="3"/>
      <c r="RCE113" s="3"/>
      <c r="RCF113" s="3"/>
      <c r="RCG113" s="3"/>
      <c r="RCH113" s="3"/>
      <c r="RCI113" s="3"/>
      <c r="RCJ113" s="3"/>
      <c r="RCK113" s="3"/>
      <c r="RCL113" s="3"/>
      <c r="RCM113" s="3"/>
      <c r="RCN113" s="3"/>
      <c r="RCO113" s="3"/>
      <c r="RCP113" s="3"/>
      <c r="RCQ113" s="3"/>
      <c r="RCR113" s="3"/>
      <c r="RCS113" s="3"/>
      <c r="RCT113" s="3"/>
      <c r="RCU113" s="3"/>
      <c r="RCV113" s="3"/>
      <c r="RCW113" s="3"/>
      <c r="RCX113" s="3"/>
      <c r="RCY113" s="3"/>
      <c r="RCZ113" s="3"/>
      <c r="RDA113" s="3"/>
      <c r="RDB113" s="3"/>
      <c r="RDC113" s="3"/>
      <c r="RDD113" s="3"/>
      <c r="RDE113" s="3"/>
      <c r="RDF113" s="3"/>
      <c r="RDG113" s="3"/>
      <c r="RDH113" s="3"/>
      <c r="RDI113" s="3"/>
      <c r="RDJ113" s="3"/>
      <c r="RDK113" s="3"/>
      <c r="RDL113" s="3"/>
      <c r="RDM113" s="3"/>
      <c r="RDN113" s="3"/>
      <c r="RDO113" s="3"/>
      <c r="RDP113" s="3"/>
      <c r="RDQ113" s="3"/>
      <c r="RDR113" s="3"/>
      <c r="RDS113" s="3"/>
      <c r="RDT113" s="3"/>
      <c r="RDU113" s="3"/>
      <c r="RDV113" s="3"/>
      <c r="RDW113" s="3"/>
      <c r="RDX113" s="3"/>
      <c r="RDY113" s="3"/>
      <c r="RDZ113" s="3"/>
      <c r="REA113" s="3"/>
      <c r="REB113" s="3"/>
      <c r="REC113" s="3"/>
      <c r="RED113" s="3"/>
      <c r="REE113" s="3"/>
      <c r="REF113" s="3"/>
      <c r="REG113" s="3"/>
      <c r="REH113" s="3"/>
      <c r="REI113" s="3"/>
      <c r="REJ113" s="3"/>
      <c r="REK113" s="3"/>
      <c r="REL113" s="3"/>
      <c r="REM113" s="3"/>
      <c r="REN113" s="3"/>
      <c r="REO113" s="3"/>
      <c r="REP113" s="3"/>
      <c r="REQ113" s="3"/>
      <c r="RER113" s="3"/>
      <c r="RES113" s="3"/>
      <c r="RET113" s="3"/>
      <c r="REU113" s="3"/>
      <c r="REV113" s="3"/>
      <c r="REW113" s="3"/>
      <c r="REX113" s="3"/>
      <c r="REY113" s="3"/>
      <c r="REZ113" s="3"/>
      <c r="RFA113" s="3"/>
      <c r="RFB113" s="3"/>
      <c r="RFC113" s="3"/>
      <c r="RFD113" s="3"/>
      <c r="RFE113" s="3"/>
      <c r="RFF113" s="3"/>
      <c r="RFG113" s="3"/>
      <c r="RFH113" s="3"/>
      <c r="RFI113" s="3"/>
      <c r="RFJ113" s="3"/>
      <c r="RFK113" s="3"/>
      <c r="RFL113" s="3"/>
      <c r="RFM113" s="3"/>
      <c r="RFN113" s="3"/>
      <c r="RFO113" s="3"/>
      <c r="RFP113" s="3"/>
      <c r="RFQ113" s="3"/>
      <c r="RFR113" s="3"/>
      <c r="RFS113" s="3"/>
      <c r="RFT113" s="3"/>
      <c r="RFU113" s="3"/>
      <c r="RFV113" s="3"/>
      <c r="RFW113" s="3"/>
      <c r="RFX113" s="3"/>
      <c r="RFY113" s="3"/>
      <c r="RFZ113" s="3"/>
      <c r="RGA113" s="3"/>
      <c r="RGB113" s="3"/>
      <c r="RGC113" s="3"/>
      <c r="RGD113" s="3"/>
      <c r="RGE113" s="3"/>
      <c r="RGF113" s="3"/>
      <c r="RGG113" s="3"/>
      <c r="RGH113" s="3"/>
      <c r="RGI113" s="3"/>
      <c r="RGJ113" s="3"/>
      <c r="RGK113" s="3"/>
      <c r="RGL113" s="3"/>
      <c r="RGM113" s="3"/>
      <c r="RGN113" s="3"/>
      <c r="RGO113" s="3"/>
      <c r="RGP113" s="3"/>
      <c r="RGQ113" s="3"/>
      <c r="RGR113" s="3"/>
      <c r="RGS113" s="3"/>
      <c r="RGT113" s="3"/>
      <c r="RGU113" s="3"/>
      <c r="RGV113" s="3"/>
      <c r="RGW113" s="3"/>
      <c r="RGX113" s="3"/>
      <c r="RGY113" s="3"/>
      <c r="RGZ113" s="3"/>
      <c r="RHA113" s="3"/>
      <c r="RHB113" s="3"/>
      <c r="RHC113" s="3"/>
      <c r="RHD113" s="3"/>
      <c r="RHE113" s="3"/>
      <c r="RHF113" s="3"/>
      <c r="RHG113" s="3"/>
      <c r="RHH113" s="3"/>
      <c r="RHI113" s="3"/>
      <c r="RHJ113" s="3"/>
      <c r="RHK113" s="3"/>
      <c r="RHL113" s="3"/>
      <c r="RHM113" s="3"/>
      <c r="RHN113" s="3"/>
      <c r="RHO113" s="3"/>
      <c r="RHP113" s="3"/>
      <c r="RHQ113" s="3"/>
      <c r="RHR113" s="3"/>
      <c r="RHS113" s="3"/>
      <c r="RHT113" s="3"/>
      <c r="RHU113" s="3"/>
      <c r="RHV113" s="3"/>
      <c r="RHW113" s="3"/>
      <c r="RHX113" s="3"/>
      <c r="RHY113" s="3"/>
      <c r="RHZ113" s="3"/>
      <c r="RIA113" s="3"/>
      <c r="RIB113" s="3"/>
      <c r="RIC113" s="3"/>
      <c r="RID113" s="3"/>
      <c r="RIE113" s="3"/>
      <c r="RIF113" s="3"/>
      <c r="RIG113" s="3"/>
      <c r="RIH113" s="3"/>
      <c r="RII113" s="3"/>
      <c r="RIJ113" s="3"/>
      <c r="RIK113" s="3"/>
      <c r="RIL113" s="3"/>
      <c r="RIM113" s="3"/>
      <c r="RIN113" s="3"/>
      <c r="RIO113" s="3"/>
      <c r="RIP113" s="3"/>
      <c r="RIQ113" s="3"/>
      <c r="RIR113" s="3"/>
      <c r="RIS113" s="3"/>
      <c r="RIT113" s="3"/>
      <c r="RIU113" s="3"/>
      <c r="RIV113" s="3"/>
      <c r="RIW113" s="3"/>
      <c r="RIX113" s="3"/>
      <c r="RIY113" s="3"/>
      <c r="RIZ113" s="3"/>
      <c r="RJA113" s="3"/>
      <c r="RJB113" s="3"/>
      <c r="RJC113" s="3"/>
      <c r="RJD113" s="3"/>
      <c r="RJE113" s="3"/>
      <c r="RJF113" s="3"/>
      <c r="RJG113" s="3"/>
      <c r="RJH113" s="3"/>
      <c r="RJI113" s="3"/>
      <c r="RJJ113" s="3"/>
      <c r="RJK113" s="3"/>
      <c r="RJL113" s="3"/>
      <c r="RJM113" s="3"/>
      <c r="RJN113" s="3"/>
      <c r="RJO113" s="3"/>
      <c r="RJP113" s="3"/>
      <c r="RJQ113" s="3"/>
      <c r="RJR113" s="3"/>
      <c r="RJS113" s="3"/>
      <c r="RJT113" s="3"/>
      <c r="RJU113" s="3"/>
      <c r="RJV113" s="3"/>
      <c r="RJW113" s="3"/>
      <c r="RJX113" s="3"/>
      <c r="RJY113" s="3"/>
      <c r="RJZ113" s="3"/>
      <c r="RKA113" s="3"/>
      <c r="RKB113" s="3"/>
      <c r="RKC113" s="3"/>
      <c r="RKD113" s="3"/>
      <c r="RKE113" s="3"/>
      <c r="RKF113" s="3"/>
      <c r="RKG113" s="3"/>
      <c r="RKH113" s="3"/>
      <c r="RKI113" s="3"/>
      <c r="RKJ113" s="3"/>
      <c r="RKK113" s="3"/>
      <c r="RKL113" s="3"/>
      <c r="RKM113" s="3"/>
      <c r="RKN113" s="3"/>
      <c r="RKO113" s="3"/>
      <c r="RKP113" s="3"/>
      <c r="RKQ113" s="3"/>
      <c r="RKR113" s="3"/>
      <c r="RKS113" s="3"/>
      <c r="RKT113" s="3"/>
      <c r="RKU113" s="3"/>
      <c r="RKV113" s="3"/>
      <c r="RKW113" s="3"/>
      <c r="RKX113" s="3"/>
      <c r="RKY113" s="3"/>
      <c r="RKZ113" s="3"/>
      <c r="RLA113" s="3"/>
      <c r="RLB113" s="3"/>
      <c r="RLC113" s="3"/>
      <c r="RLD113" s="3"/>
      <c r="RLE113" s="3"/>
      <c r="RLF113" s="3"/>
      <c r="RLG113" s="3"/>
      <c r="RLH113" s="3"/>
      <c r="RLI113" s="3"/>
      <c r="RLJ113" s="3"/>
      <c r="RLK113" s="3"/>
      <c r="RLL113" s="3"/>
      <c r="RLM113" s="3"/>
      <c r="RLN113" s="3"/>
      <c r="RLO113" s="3"/>
      <c r="RLP113" s="3"/>
      <c r="RLQ113" s="3"/>
      <c r="RLR113" s="3"/>
      <c r="RLS113" s="3"/>
      <c r="RLT113" s="3"/>
      <c r="RLU113" s="3"/>
      <c r="RLV113" s="3"/>
      <c r="RLW113" s="3"/>
      <c r="RLX113" s="3"/>
      <c r="RLY113" s="3"/>
      <c r="RLZ113" s="3"/>
      <c r="RMA113" s="3"/>
      <c r="RMB113" s="3"/>
      <c r="RMC113" s="3"/>
      <c r="RMD113" s="3"/>
      <c r="RME113" s="3"/>
      <c r="RMF113" s="3"/>
      <c r="RMG113" s="3"/>
      <c r="RMH113" s="3"/>
      <c r="RMI113" s="3"/>
      <c r="RMJ113" s="3"/>
      <c r="RMK113" s="3"/>
      <c r="RML113" s="3"/>
      <c r="RMM113" s="3"/>
      <c r="RMN113" s="3"/>
      <c r="RMO113" s="3"/>
      <c r="RMP113" s="3"/>
      <c r="RMQ113" s="3"/>
      <c r="RMR113" s="3"/>
      <c r="RMS113" s="3"/>
      <c r="RMT113" s="3"/>
      <c r="RMU113" s="3"/>
      <c r="RMV113" s="3"/>
      <c r="RMW113" s="3"/>
      <c r="RMX113" s="3"/>
      <c r="RMY113" s="3"/>
      <c r="RMZ113" s="3"/>
      <c r="RNA113" s="3"/>
      <c r="RNB113" s="3"/>
      <c r="RNC113" s="3"/>
      <c r="RND113" s="3"/>
      <c r="RNE113" s="3"/>
      <c r="RNF113" s="3"/>
      <c r="RNG113" s="3"/>
      <c r="RNH113" s="3"/>
      <c r="RNI113" s="3"/>
      <c r="RNJ113" s="3"/>
      <c r="RNK113" s="3"/>
      <c r="RNL113" s="3"/>
      <c r="RNM113" s="3"/>
      <c r="RNN113" s="3"/>
      <c r="RNO113" s="3"/>
      <c r="RNP113" s="3"/>
      <c r="RNQ113" s="3"/>
      <c r="RNR113" s="3"/>
      <c r="RNS113" s="3"/>
      <c r="RNT113" s="3"/>
      <c r="RNU113" s="3"/>
      <c r="RNV113" s="3"/>
      <c r="RNW113" s="3"/>
      <c r="RNX113" s="3"/>
      <c r="RNY113" s="3"/>
      <c r="RNZ113" s="3"/>
      <c r="ROA113" s="3"/>
      <c r="ROB113" s="3"/>
      <c r="ROC113" s="3"/>
      <c r="ROD113" s="3"/>
      <c r="ROE113" s="3"/>
      <c r="ROF113" s="3"/>
      <c r="ROG113" s="3"/>
      <c r="ROH113" s="3"/>
      <c r="ROI113" s="3"/>
      <c r="ROJ113" s="3"/>
      <c r="ROK113" s="3"/>
      <c r="ROL113" s="3"/>
      <c r="ROM113" s="3"/>
      <c r="RON113" s="3"/>
      <c r="ROO113" s="3"/>
      <c r="ROP113" s="3"/>
      <c r="ROQ113" s="3"/>
      <c r="ROR113" s="3"/>
      <c r="ROS113" s="3"/>
      <c r="ROT113" s="3"/>
      <c r="ROU113" s="3"/>
      <c r="ROV113" s="3"/>
      <c r="ROW113" s="3"/>
      <c r="ROX113" s="3"/>
      <c r="ROY113" s="3"/>
      <c r="ROZ113" s="3"/>
      <c r="RPA113" s="3"/>
      <c r="RPB113" s="3"/>
      <c r="RPC113" s="3"/>
      <c r="RPD113" s="3"/>
      <c r="RPE113" s="3"/>
      <c r="RPF113" s="3"/>
      <c r="RPG113" s="3"/>
      <c r="RPH113" s="3"/>
      <c r="RPI113" s="3"/>
      <c r="RPJ113" s="3"/>
      <c r="RPK113" s="3"/>
      <c r="RPL113" s="3"/>
      <c r="RPM113" s="3"/>
      <c r="RPN113" s="3"/>
      <c r="RPO113" s="3"/>
      <c r="RPP113" s="3"/>
      <c r="RPQ113" s="3"/>
      <c r="RPR113" s="3"/>
      <c r="RPS113" s="3"/>
      <c r="RPT113" s="3"/>
      <c r="RPU113" s="3"/>
      <c r="RPV113" s="3"/>
      <c r="RPW113" s="3"/>
      <c r="RPX113" s="3"/>
      <c r="RPY113" s="3"/>
      <c r="RPZ113" s="3"/>
      <c r="RQA113" s="3"/>
      <c r="RQB113" s="3"/>
      <c r="RQC113" s="3"/>
      <c r="RQD113" s="3"/>
      <c r="RQE113" s="3"/>
      <c r="RQF113" s="3"/>
      <c r="RQG113" s="3"/>
      <c r="RQH113" s="3"/>
      <c r="RQI113" s="3"/>
      <c r="RQJ113" s="3"/>
      <c r="RQK113" s="3"/>
      <c r="RQL113" s="3"/>
      <c r="RQM113" s="3"/>
      <c r="RQN113" s="3"/>
      <c r="RQO113" s="3"/>
      <c r="RQP113" s="3"/>
      <c r="RQQ113" s="3"/>
      <c r="RQR113" s="3"/>
      <c r="RQS113" s="3"/>
      <c r="RQT113" s="3"/>
      <c r="RQU113" s="3"/>
      <c r="RQV113" s="3"/>
      <c r="RQW113" s="3"/>
      <c r="RQX113" s="3"/>
      <c r="RQY113" s="3"/>
      <c r="RQZ113" s="3"/>
      <c r="RRA113" s="3"/>
      <c r="RRB113" s="3"/>
      <c r="RRC113" s="3"/>
      <c r="RRD113" s="3"/>
      <c r="RRE113" s="3"/>
      <c r="RRF113" s="3"/>
      <c r="RRG113" s="3"/>
      <c r="RRH113" s="3"/>
      <c r="RRI113" s="3"/>
      <c r="RRJ113" s="3"/>
      <c r="RRK113" s="3"/>
      <c r="RRL113" s="3"/>
      <c r="RRM113" s="3"/>
      <c r="RRN113" s="3"/>
      <c r="RRO113" s="3"/>
      <c r="RRP113" s="3"/>
      <c r="RRQ113" s="3"/>
      <c r="RRR113" s="3"/>
      <c r="RRS113" s="3"/>
      <c r="RRT113" s="3"/>
      <c r="RRU113" s="3"/>
      <c r="RRV113" s="3"/>
      <c r="RRW113" s="3"/>
      <c r="RRX113" s="3"/>
      <c r="RRY113" s="3"/>
      <c r="RRZ113" s="3"/>
      <c r="RSA113" s="3"/>
      <c r="RSB113" s="3"/>
      <c r="RSC113" s="3"/>
      <c r="RSD113" s="3"/>
      <c r="RSE113" s="3"/>
      <c r="RSF113" s="3"/>
      <c r="RSG113" s="3"/>
      <c r="RSH113" s="3"/>
      <c r="RSI113" s="3"/>
      <c r="RSJ113" s="3"/>
      <c r="RSK113" s="3"/>
      <c r="RSL113" s="3"/>
      <c r="RSM113" s="3"/>
      <c r="RSN113" s="3"/>
      <c r="RSO113" s="3"/>
      <c r="RSP113" s="3"/>
      <c r="RSQ113" s="3"/>
      <c r="RSR113" s="3"/>
      <c r="RSS113" s="3"/>
      <c r="RST113" s="3"/>
      <c r="RSU113" s="3"/>
      <c r="RSV113" s="3"/>
      <c r="RSW113" s="3"/>
      <c r="RSX113" s="3"/>
      <c r="RSY113" s="3"/>
      <c r="RSZ113" s="3"/>
      <c r="RTA113" s="3"/>
      <c r="RTB113" s="3"/>
      <c r="RTC113" s="3"/>
      <c r="RTD113" s="3"/>
      <c r="RTE113" s="3"/>
      <c r="RTF113" s="3"/>
      <c r="RTG113" s="3"/>
      <c r="RTH113" s="3"/>
      <c r="RTI113" s="3"/>
      <c r="RTJ113" s="3"/>
      <c r="RTK113" s="3"/>
      <c r="RTL113" s="3"/>
      <c r="RTM113" s="3"/>
      <c r="RTN113" s="3"/>
      <c r="RTO113" s="3"/>
      <c r="RTP113" s="3"/>
      <c r="RTQ113" s="3"/>
      <c r="RTR113" s="3"/>
      <c r="RTS113" s="3"/>
      <c r="RTT113" s="3"/>
      <c r="RTU113" s="3"/>
      <c r="RTV113" s="3"/>
      <c r="RTW113" s="3"/>
      <c r="RTX113" s="3"/>
      <c r="RTY113" s="3"/>
      <c r="RTZ113" s="3"/>
      <c r="RUA113" s="3"/>
      <c r="RUB113" s="3"/>
      <c r="RUC113" s="3"/>
      <c r="RUD113" s="3"/>
      <c r="RUE113" s="3"/>
      <c r="RUF113" s="3"/>
      <c r="RUG113" s="3"/>
      <c r="RUH113" s="3"/>
      <c r="RUI113" s="3"/>
      <c r="RUJ113" s="3"/>
      <c r="RUK113" s="3"/>
      <c r="RUL113" s="3"/>
      <c r="RUM113" s="3"/>
      <c r="RUN113" s="3"/>
      <c r="RUO113" s="3"/>
      <c r="RUP113" s="3"/>
      <c r="RUQ113" s="3"/>
      <c r="RUR113" s="3"/>
      <c r="RUS113" s="3"/>
      <c r="RUT113" s="3"/>
      <c r="RUU113" s="3"/>
      <c r="RUV113" s="3"/>
      <c r="RUW113" s="3"/>
      <c r="RUX113" s="3"/>
      <c r="RUY113" s="3"/>
      <c r="RUZ113" s="3"/>
      <c r="RVA113" s="3"/>
      <c r="RVB113" s="3"/>
      <c r="RVC113" s="3"/>
      <c r="RVD113" s="3"/>
      <c r="RVE113" s="3"/>
      <c r="RVF113" s="3"/>
      <c r="RVG113" s="3"/>
      <c r="RVH113" s="3"/>
      <c r="RVI113" s="3"/>
      <c r="RVJ113" s="3"/>
      <c r="RVK113" s="3"/>
      <c r="RVL113" s="3"/>
      <c r="RVM113" s="3"/>
      <c r="RVN113" s="3"/>
      <c r="RVO113" s="3"/>
      <c r="RVP113" s="3"/>
      <c r="RVQ113" s="3"/>
      <c r="RVR113" s="3"/>
      <c r="RVS113" s="3"/>
      <c r="RVT113" s="3"/>
      <c r="RVU113" s="3"/>
      <c r="RVV113" s="3"/>
      <c r="RVW113" s="3"/>
      <c r="RVX113" s="3"/>
      <c r="RVY113" s="3"/>
      <c r="RVZ113" s="3"/>
      <c r="RWA113" s="3"/>
      <c r="RWB113" s="3"/>
      <c r="RWC113" s="3"/>
      <c r="RWD113" s="3"/>
      <c r="RWE113" s="3"/>
      <c r="RWF113" s="3"/>
      <c r="RWG113" s="3"/>
      <c r="RWH113" s="3"/>
      <c r="RWI113" s="3"/>
      <c r="RWJ113" s="3"/>
      <c r="RWK113" s="3"/>
      <c r="RWL113" s="3"/>
      <c r="RWM113" s="3"/>
      <c r="RWN113" s="3"/>
      <c r="RWO113" s="3"/>
      <c r="RWP113" s="3"/>
      <c r="RWQ113" s="3"/>
      <c r="RWR113" s="3"/>
      <c r="RWS113" s="3"/>
      <c r="RWT113" s="3"/>
      <c r="RWU113" s="3"/>
      <c r="RWV113" s="3"/>
      <c r="RWW113" s="3"/>
      <c r="RWX113" s="3"/>
      <c r="RWY113" s="3"/>
      <c r="RWZ113" s="3"/>
      <c r="RXA113" s="3"/>
      <c r="RXB113" s="3"/>
      <c r="RXC113" s="3"/>
      <c r="RXD113" s="3"/>
      <c r="RXE113" s="3"/>
      <c r="RXF113" s="3"/>
      <c r="RXG113" s="3"/>
      <c r="RXH113" s="3"/>
      <c r="RXI113" s="3"/>
      <c r="RXJ113" s="3"/>
      <c r="RXK113" s="3"/>
      <c r="RXL113" s="3"/>
      <c r="RXM113" s="3"/>
      <c r="RXN113" s="3"/>
      <c r="RXO113" s="3"/>
      <c r="RXP113" s="3"/>
      <c r="RXQ113" s="3"/>
      <c r="RXR113" s="3"/>
      <c r="RXS113" s="3"/>
      <c r="RXT113" s="3"/>
      <c r="RXU113" s="3"/>
      <c r="RXV113" s="3"/>
      <c r="RXW113" s="3"/>
      <c r="RXX113" s="3"/>
      <c r="RXY113" s="3"/>
      <c r="RXZ113" s="3"/>
      <c r="RYA113" s="3"/>
      <c r="RYB113" s="3"/>
      <c r="RYC113" s="3"/>
      <c r="RYD113" s="3"/>
      <c r="RYE113" s="3"/>
      <c r="RYF113" s="3"/>
      <c r="RYG113" s="3"/>
      <c r="RYH113" s="3"/>
      <c r="RYI113" s="3"/>
      <c r="RYJ113" s="3"/>
      <c r="RYK113" s="3"/>
      <c r="RYL113" s="3"/>
      <c r="RYM113" s="3"/>
      <c r="RYN113" s="3"/>
      <c r="RYO113" s="3"/>
      <c r="RYP113" s="3"/>
      <c r="RYQ113" s="3"/>
      <c r="RYR113" s="3"/>
      <c r="RYS113" s="3"/>
      <c r="RYT113" s="3"/>
      <c r="RYU113" s="3"/>
      <c r="RYV113" s="3"/>
      <c r="RYW113" s="3"/>
      <c r="RYX113" s="3"/>
      <c r="RYY113" s="3"/>
      <c r="RYZ113" s="3"/>
      <c r="RZA113" s="3"/>
      <c r="RZB113" s="3"/>
      <c r="RZC113" s="3"/>
      <c r="RZD113" s="3"/>
      <c r="RZE113" s="3"/>
      <c r="RZF113" s="3"/>
      <c r="RZG113" s="3"/>
      <c r="RZH113" s="3"/>
      <c r="RZI113" s="3"/>
      <c r="RZJ113" s="3"/>
      <c r="RZK113" s="3"/>
      <c r="RZL113" s="3"/>
      <c r="RZM113" s="3"/>
      <c r="RZN113" s="3"/>
      <c r="RZO113" s="3"/>
      <c r="RZP113" s="3"/>
      <c r="RZQ113" s="3"/>
      <c r="RZR113" s="3"/>
      <c r="RZS113" s="3"/>
      <c r="RZT113" s="3"/>
      <c r="RZU113" s="3"/>
      <c r="RZV113" s="3"/>
      <c r="RZW113" s="3"/>
      <c r="RZX113" s="3"/>
      <c r="RZY113" s="3"/>
      <c r="RZZ113" s="3"/>
      <c r="SAA113" s="3"/>
      <c r="SAB113" s="3"/>
      <c r="SAC113" s="3"/>
      <c r="SAD113" s="3"/>
      <c r="SAE113" s="3"/>
      <c r="SAF113" s="3"/>
      <c r="SAG113" s="3"/>
      <c r="SAH113" s="3"/>
      <c r="SAI113" s="3"/>
      <c r="SAJ113" s="3"/>
      <c r="SAK113" s="3"/>
      <c r="SAL113" s="3"/>
      <c r="SAM113" s="3"/>
      <c r="SAN113" s="3"/>
      <c r="SAO113" s="3"/>
      <c r="SAP113" s="3"/>
      <c r="SAQ113" s="3"/>
      <c r="SAR113" s="3"/>
      <c r="SAS113" s="3"/>
      <c r="SAT113" s="3"/>
      <c r="SAU113" s="3"/>
      <c r="SAV113" s="3"/>
      <c r="SAW113" s="3"/>
      <c r="SAX113" s="3"/>
      <c r="SAY113" s="3"/>
      <c r="SAZ113" s="3"/>
      <c r="SBA113" s="3"/>
      <c r="SBB113" s="3"/>
      <c r="SBC113" s="3"/>
      <c r="SBD113" s="3"/>
      <c r="SBE113" s="3"/>
      <c r="SBF113" s="3"/>
      <c r="SBG113" s="3"/>
      <c r="SBH113" s="3"/>
      <c r="SBI113" s="3"/>
      <c r="SBJ113" s="3"/>
      <c r="SBK113" s="3"/>
      <c r="SBL113" s="3"/>
      <c r="SBM113" s="3"/>
      <c r="SBN113" s="3"/>
      <c r="SBO113" s="3"/>
      <c r="SBP113" s="3"/>
      <c r="SBQ113" s="3"/>
      <c r="SBR113" s="3"/>
      <c r="SBS113" s="3"/>
      <c r="SBT113" s="3"/>
      <c r="SBU113" s="3"/>
      <c r="SBV113" s="3"/>
      <c r="SBW113" s="3"/>
      <c r="SBX113" s="3"/>
      <c r="SBY113" s="3"/>
      <c r="SBZ113" s="3"/>
      <c r="SCA113" s="3"/>
      <c r="SCB113" s="3"/>
      <c r="SCC113" s="3"/>
      <c r="SCD113" s="3"/>
      <c r="SCE113" s="3"/>
      <c r="SCF113" s="3"/>
      <c r="SCG113" s="3"/>
      <c r="SCH113" s="3"/>
      <c r="SCI113" s="3"/>
      <c r="SCJ113" s="3"/>
      <c r="SCK113" s="3"/>
      <c r="SCL113" s="3"/>
      <c r="SCM113" s="3"/>
      <c r="SCN113" s="3"/>
      <c r="SCO113" s="3"/>
      <c r="SCP113" s="3"/>
      <c r="SCQ113" s="3"/>
      <c r="SCR113" s="3"/>
      <c r="SCS113" s="3"/>
      <c r="SCT113" s="3"/>
      <c r="SCU113" s="3"/>
      <c r="SCV113" s="3"/>
      <c r="SCW113" s="3"/>
      <c r="SCX113" s="3"/>
      <c r="SCY113" s="3"/>
      <c r="SCZ113" s="3"/>
      <c r="SDA113" s="3"/>
      <c r="SDB113" s="3"/>
      <c r="SDC113" s="3"/>
      <c r="SDD113" s="3"/>
      <c r="SDE113" s="3"/>
      <c r="SDF113" s="3"/>
      <c r="SDG113" s="3"/>
      <c r="SDH113" s="3"/>
      <c r="SDI113" s="3"/>
      <c r="SDJ113" s="3"/>
      <c r="SDK113" s="3"/>
      <c r="SDL113" s="3"/>
      <c r="SDM113" s="3"/>
      <c r="SDN113" s="3"/>
      <c r="SDO113" s="3"/>
      <c r="SDP113" s="3"/>
      <c r="SDQ113" s="3"/>
      <c r="SDR113" s="3"/>
      <c r="SDS113" s="3"/>
      <c r="SDT113" s="3"/>
      <c r="SDU113" s="3"/>
      <c r="SDV113" s="3"/>
      <c r="SDW113" s="3"/>
      <c r="SDX113" s="3"/>
      <c r="SDY113" s="3"/>
      <c r="SDZ113" s="3"/>
      <c r="SEA113" s="3"/>
      <c r="SEB113" s="3"/>
      <c r="SEC113" s="3"/>
      <c r="SED113" s="3"/>
      <c r="SEE113" s="3"/>
      <c r="SEF113" s="3"/>
      <c r="SEG113" s="3"/>
      <c r="SEH113" s="3"/>
      <c r="SEI113" s="3"/>
      <c r="SEJ113" s="3"/>
      <c r="SEK113" s="3"/>
      <c r="SEL113" s="3"/>
      <c r="SEM113" s="3"/>
      <c r="SEN113" s="3"/>
      <c r="SEO113" s="3"/>
      <c r="SEP113" s="3"/>
      <c r="SEQ113" s="3"/>
      <c r="SER113" s="3"/>
      <c r="SES113" s="3"/>
      <c r="SET113" s="3"/>
      <c r="SEU113" s="3"/>
      <c r="SEV113" s="3"/>
      <c r="SEW113" s="3"/>
      <c r="SEX113" s="3"/>
      <c r="SEY113" s="3"/>
      <c r="SEZ113" s="3"/>
      <c r="SFA113" s="3"/>
      <c r="SFB113" s="3"/>
      <c r="SFC113" s="3"/>
      <c r="SFD113" s="3"/>
      <c r="SFE113" s="3"/>
      <c r="SFF113" s="3"/>
      <c r="SFG113" s="3"/>
      <c r="SFH113" s="3"/>
      <c r="SFI113" s="3"/>
      <c r="SFJ113" s="3"/>
      <c r="SFK113" s="3"/>
      <c r="SFL113" s="3"/>
      <c r="SFM113" s="3"/>
      <c r="SFN113" s="3"/>
      <c r="SFO113" s="3"/>
      <c r="SFP113" s="3"/>
      <c r="SFQ113" s="3"/>
      <c r="SFR113" s="3"/>
      <c r="SFS113" s="3"/>
      <c r="SFT113" s="3"/>
      <c r="SFU113" s="3"/>
      <c r="SFV113" s="3"/>
      <c r="SFW113" s="3"/>
      <c r="SFX113" s="3"/>
      <c r="SFY113" s="3"/>
      <c r="SFZ113" s="3"/>
      <c r="SGA113" s="3"/>
      <c r="SGB113" s="3"/>
      <c r="SGC113" s="3"/>
      <c r="SGD113" s="3"/>
      <c r="SGE113" s="3"/>
      <c r="SGF113" s="3"/>
      <c r="SGG113" s="3"/>
      <c r="SGH113" s="3"/>
      <c r="SGI113" s="3"/>
      <c r="SGJ113" s="3"/>
      <c r="SGK113" s="3"/>
      <c r="SGL113" s="3"/>
      <c r="SGM113" s="3"/>
      <c r="SGN113" s="3"/>
      <c r="SGO113" s="3"/>
      <c r="SGP113" s="3"/>
      <c r="SGQ113" s="3"/>
      <c r="SGR113" s="3"/>
      <c r="SGS113" s="3"/>
      <c r="SGT113" s="3"/>
      <c r="SGU113" s="3"/>
      <c r="SGV113" s="3"/>
      <c r="SGW113" s="3"/>
      <c r="SGX113" s="3"/>
      <c r="SGY113" s="3"/>
      <c r="SGZ113" s="3"/>
      <c r="SHA113" s="3"/>
      <c r="SHB113" s="3"/>
      <c r="SHC113" s="3"/>
      <c r="SHD113" s="3"/>
      <c r="SHE113" s="3"/>
      <c r="SHF113" s="3"/>
      <c r="SHG113" s="3"/>
      <c r="SHH113" s="3"/>
      <c r="SHI113" s="3"/>
      <c r="SHJ113" s="3"/>
      <c r="SHK113" s="3"/>
      <c r="SHL113" s="3"/>
      <c r="SHM113" s="3"/>
      <c r="SHN113" s="3"/>
      <c r="SHO113" s="3"/>
      <c r="SHP113" s="3"/>
      <c r="SHQ113" s="3"/>
      <c r="SHR113" s="3"/>
      <c r="SHS113" s="3"/>
      <c r="SHT113" s="3"/>
      <c r="SHU113" s="3"/>
      <c r="SHV113" s="3"/>
      <c r="SHW113" s="3"/>
      <c r="SHX113" s="3"/>
      <c r="SHY113" s="3"/>
      <c r="SHZ113" s="3"/>
      <c r="SIA113" s="3"/>
      <c r="SIB113" s="3"/>
      <c r="SIC113" s="3"/>
      <c r="SID113" s="3"/>
      <c r="SIE113" s="3"/>
      <c r="SIF113" s="3"/>
      <c r="SIG113" s="3"/>
      <c r="SIH113" s="3"/>
      <c r="SII113" s="3"/>
      <c r="SIJ113" s="3"/>
      <c r="SIK113" s="3"/>
      <c r="SIL113" s="3"/>
      <c r="SIM113" s="3"/>
      <c r="SIN113" s="3"/>
      <c r="SIO113" s="3"/>
      <c r="SIP113" s="3"/>
      <c r="SIQ113" s="3"/>
      <c r="SIR113" s="3"/>
      <c r="SIS113" s="3"/>
      <c r="SIT113" s="3"/>
      <c r="SIU113" s="3"/>
      <c r="SIV113" s="3"/>
      <c r="SIW113" s="3"/>
      <c r="SIX113" s="3"/>
      <c r="SIY113" s="3"/>
      <c r="SIZ113" s="3"/>
      <c r="SJA113" s="3"/>
      <c r="SJB113" s="3"/>
      <c r="SJC113" s="3"/>
      <c r="SJD113" s="3"/>
      <c r="SJE113" s="3"/>
      <c r="SJF113" s="3"/>
      <c r="SJG113" s="3"/>
      <c r="SJH113" s="3"/>
      <c r="SJI113" s="3"/>
      <c r="SJJ113" s="3"/>
      <c r="SJK113" s="3"/>
      <c r="SJL113" s="3"/>
      <c r="SJM113" s="3"/>
      <c r="SJN113" s="3"/>
      <c r="SJO113" s="3"/>
      <c r="SJP113" s="3"/>
      <c r="SJQ113" s="3"/>
      <c r="SJR113" s="3"/>
      <c r="SJS113" s="3"/>
      <c r="SJT113" s="3"/>
      <c r="SJU113" s="3"/>
      <c r="SJV113" s="3"/>
      <c r="SJW113" s="3"/>
      <c r="SJX113" s="3"/>
      <c r="SJY113" s="3"/>
      <c r="SJZ113" s="3"/>
      <c r="SKA113" s="3"/>
      <c r="SKB113" s="3"/>
      <c r="SKC113" s="3"/>
      <c r="SKD113" s="3"/>
      <c r="SKE113" s="3"/>
      <c r="SKF113" s="3"/>
      <c r="SKG113" s="3"/>
      <c r="SKH113" s="3"/>
      <c r="SKI113" s="3"/>
      <c r="SKJ113" s="3"/>
      <c r="SKK113" s="3"/>
      <c r="SKL113" s="3"/>
      <c r="SKM113" s="3"/>
      <c r="SKN113" s="3"/>
      <c r="SKO113" s="3"/>
      <c r="SKP113" s="3"/>
      <c r="SKQ113" s="3"/>
      <c r="SKR113" s="3"/>
      <c r="SKS113" s="3"/>
      <c r="SKT113" s="3"/>
      <c r="SKU113" s="3"/>
      <c r="SKV113" s="3"/>
      <c r="SKW113" s="3"/>
      <c r="SKX113" s="3"/>
      <c r="SKY113" s="3"/>
      <c r="SKZ113" s="3"/>
      <c r="SLA113" s="3"/>
      <c r="SLB113" s="3"/>
      <c r="SLC113" s="3"/>
      <c r="SLD113" s="3"/>
      <c r="SLE113" s="3"/>
      <c r="SLF113" s="3"/>
      <c r="SLG113" s="3"/>
      <c r="SLH113" s="3"/>
      <c r="SLI113" s="3"/>
      <c r="SLJ113" s="3"/>
      <c r="SLK113" s="3"/>
      <c r="SLL113" s="3"/>
      <c r="SLM113" s="3"/>
      <c r="SLN113" s="3"/>
      <c r="SLO113" s="3"/>
      <c r="SLP113" s="3"/>
      <c r="SLQ113" s="3"/>
      <c r="SLR113" s="3"/>
      <c r="SLS113" s="3"/>
      <c r="SLT113" s="3"/>
      <c r="SLU113" s="3"/>
      <c r="SLV113" s="3"/>
      <c r="SLW113" s="3"/>
      <c r="SLX113" s="3"/>
      <c r="SLY113" s="3"/>
      <c r="SLZ113" s="3"/>
      <c r="SMA113" s="3"/>
      <c r="SMB113" s="3"/>
      <c r="SMC113" s="3"/>
      <c r="SMD113" s="3"/>
      <c r="SME113" s="3"/>
      <c r="SMF113" s="3"/>
      <c r="SMG113" s="3"/>
      <c r="SMH113" s="3"/>
      <c r="SMI113" s="3"/>
      <c r="SMJ113" s="3"/>
      <c r="SMK113" s="3"/>
      <c r="SML113" s="3"/>
      <c r="SMM113" s="3"/>
      <c r="SMN113" s="3"/>
      <c r="SMO113" s="3"/>
      <c r="SMP113" s="3"/>
      <c r="SMQ113" s="3"/>
      <c r="SMR113" s="3"/>
      <c r="SMS113" s="3"/>
      <c r="SMT113" s="3"/>
      <c r="SMU113" s="3"/>
      <c r="SMV113" s="3"/>
      <c r="SMW113" s="3"/>
      <c r="SMX113" s="3"/>
      <c r="SMY113" s="3"/>
      <c r="SMZ113" s="3"/>
      <c r="SNA113" s="3"/>
      <c r="SNB113" s="3"/>
      <c r="SNC113" s="3"/>
      <c r="SND113" s="3"/>
      <c r="SNE113" s="3"/>
      <c r="SNF113" s="3"/>
      <c r="SNG113" s="3"/>
      <c r="SNH113" s="3"/>
      <c r="SNI113" s="3"/>
      <c r="SNJ113" s="3"/>
      <c r="SNK113" s="3"/>
      <c r="SNL113" s="3"/>
      <c r="SNM113" s="3"/>
      <c r="SNN113" s="3"/>
      <c r="SNO113" s="3"/>
      <c r="SNP113" s="3"/>
      <c r="SNQ113" s="3"/>
      <c r="SNR113" s="3"/>
      <c r="SNS113" s="3"/>
      <c r="SNT113" s="3"/>
      <c r="SNU113" s="3"/>
      <c r="SNV113" s="3"/>
      <c r="SNW113" s="3"/>
      <c r="SNX113" s="3"/>
      <c r="SNY113" s="3"/>
      <c r="SNZ113" s="3"/>
      <c r="SOA113" s="3"/>
      <c r="SOB113" s="3"/>
      <c r="SOC113" s="3"/>
      <c r="SOD113" s="3"/>
      <c r="SOE113" s="3"/>
      <c r="SOF113" s="3"/>
      <c r="SOG113" s="3"/>
      <c r="SOH113" s="3"/>
      <c r="SOI113" s="3"/>
      <c r="SOJ113" s="3"/>
      <c r="SOK113" s="3"/>
      <c r="SOL113" s="3"/>
      <c r="SOM113" s="3"/>
      <c r="SON113" s="3"/>
      <c r="SOO113" s="3"/>
      <c r="SOP113" s="3"/>
      <c r="SOQ113" s="3"/>
      <c r="SOR113" s="3"/>
      <c r="SOS113" s="3"/>
      <c r="SOT113" s="3"/>
      <c r="SOU113" s="3"/>
      <c r="SOV113" s="3"/>
      <c r="SOW113" s="3"/>
      <c r="SOX113" s="3"/>
      <c r="SOY113" s="3"/>
      <c r="SOZ113" s="3"/>
      <c r="SPA113" s="3"/>
      <c r="SPB113" s="3"/>
      <c r="SPC113" s="3"/>
      <c r="SPD113" s="3"/>
      <c r="SPE113" s="3"/>
      <c r="SPF113" s="3"/>
      <c r="SPG113" s="3"/>
      <c r="SPH113" s="3"/>
      <c r="SPI113" s="3"/>
      <c r="SPJ113" s="3"/>
      <c r="SPK113" s="3"/>
      <c r="SPL113" s="3"/>
      <c r="SPM113" s="3"/>
      <c r="SPN113" s="3"/>
      <c r="SPO113" s="3"/>
      <c r="SPP113" s="3"/>
      <c r="SPQ113" s="3"/>
      <c r="SPR113" s="3"/>
      <c r="SPS113" s="3"/>
      <c r="SPT113" s="3"/>
      <c r="SPU113" s="3"/>
      <c r="SPV113" s="3"/>
      <c r="SPW113" s="3"/>
      <c r="SPX113" s="3"/>
      <c r="SPY113" s="3"/>
      <c r="SPZ113" s="3"/>
      <c r="SQA113" s="3"/>
      <c r="SQB113" s="3"/>
      <c r="SQC113" s="3"/>
      <c r="SQD113" s="3"/>
      <c r="SQE113" s="3"/>
      <c r="SQF113" s="3"/>
      <c r="SQG113" s="3"/>
      <c r="SQH113" s="3"/>
      <c r="SQI113" s="3"/>
      <c r="SQJ113" s="3"/>
      <c r="SQK113" s="3"/>
      <c r="SQL113" s="3"/>
      <c r="SQM113" s="3"/>
      <c r="SQN113" s="3"/>
      <c r="SQO113" s="3"/>
      <c r="SQP113" s="3"/>
      <c r="SQQ113" s="3"/>
      <c r="SQR113" s="3"/>
      <c r="SQS113" s="3"/>
      <c r="SQT113" s="3"/>
      <c r="SQU113" s="3"/>
      <c r="SQV113" s="3"/>
      <c r="SQW113" s="3"/>
      <c r="SQX113" s="3"/>
      <c r="SQY113" s="3"/>
      <c r="SQZ113" s="3"/>
      <c r="SRA113" s="3"/>
      <c r="SRB113" s="3"/>
      <c r="SRC113" s="3"/>
      <c r="SRD113" s="3"/>
      <c r="SRE113" s="3"/>
      <c r="SRF113" s="3"/>
      <c r="SRG113" s="3"/>
      <c r="SRH113" s="3"/>
      <c r="SRI113" s="3"/>
      <c r="SRJ113" s="3"/>
      <c r="SRK113" s="3"/>
      <c r="SRL113" s="3"/>
      <c r="SRM113" s="3"/>
      <c r="SRN113" s="3"/>
      <c r="SRO113" s="3"/>
      <c r="SRP113" s="3"/>
      <c r="SRQ113" s="3"/>
      <c r="SRR113" s="3"/>
      <c r="SRS113" s="3"/>
      <c r="SRT113" s="3"/>
      <c r="SRU113" s="3"/>
      <c r="SRV113" s="3"/>
      <c r="SRW113" s="3"/>
      <c r="SRX113" s="3"/>
      <c r="SRY113" s="3"/>
      <c r="SRZ113" s="3"/>
      <c r="SSA113" s="3"/>
      <c r="SSB113" s="3"/>
      <c r="SSC113" s="3"/>
      <c r="SSD113" s="3"/>
      <c r="SSE113" s="3"/>
      <c r="SSF113" s="3"/>
      <c r="SSG113" s="3"/>
      <c r="SSH113" s="3"/>
      <c r="SSI113" s="3"/>
      <c r="SSJ113" s="3"/>
      <c r="SSK113" s="3"/>
      <c r="SSL113" s="3"/>
      <c r="SSM113" s="3"/>
      <c r="SSN113" s="3"/>
      <c r="SSO113" s="3"/>
      <c r="SSP113" s="3"/>
      <c r="SSQ113" s="3"/>
      <c r="SSR113" s="3"/>
      <c r="SSS113" s="3"/>
      <c r="SST113" s="3"/>
      <c r="SSU113" s="3"/>
      <c r="SSV113" s="3"/>
      <c r="SSW113" s="3"/>
      <c r="SSX113" s="3"/>
      <c r="SSY113" s="3"/>
      <c r="SSZ113" s="3"/>
      <c r="STA113" s="3"/>
      <c r="STB113" s="3"/>
      <c r="STC113" s="3"/>
      <c r="STD113" s="3"/>
      <c r="STE113" s="3"/>
      <c r="STF113" s="3"/>
      <c r="STG113" s="3"/>
      <c r="STH113" s="3"/>
      <c r="STI113" s="3"/>
      <c r="STJ113" s="3"/>
      <c r="STK113" s="3"/>
      <c r="STL113" s="3"/>
      <c r="STM113" s="3"/>
      <c r="STN113" s="3"/>
      <c r="STO113" s="3"/>
      <c r="STP113" s="3"/>
      <c r="STQ113" s="3"/>
      <c r="STR113" s="3"/>
      <c r="STS113" s="3"/>
      <c r="STT113" s="3"/>
      <c r="STU113" s="3"/>
      <c r="STV113" s="3"/>
      <c r="STW113" s="3"/>
      <c r="STX113" s="3"/>
      <c r="STY113" s="3"/>
      <c r="STZ113" s="3"/>
      <c r="SUA113" s="3"/>
      <c r="SUB113" s="3"/>
      <c r="SUC113" s="3"/>
      <c r="SUD113" s="3"/>
      <c r="SUE113" s="3"/>
      <c r="SUF113" s="3"/>
      <c r="SUG113" s="3"/>
      <c r="SUH113" s="3"/>
      <c r="SUI113" s="3"/>
      <c r="SUJ113" s="3"/>
      <c r="SUK113" s="3"/>
      <c r="SUL113" s="3"/>
      <c r="SUM113" s="3"/>
      <c r="SUN113" s="3"/>
      <c r="SUO113" s="3"/>
      <c r="SUP113" s="3"/>
      <c r="SUQ113" s="3"/>
      <c r="SUR113" s="3"/>
      <c r="SUS113" s="3"/>
      <c r="SUT113" s="3"/>
      <c r="SUU113" s="3"/>
      <c r="SUV113" s="3"/>
      <c r="SUW113" s="3"/>
      <c r="SUX113" s="3"/>
      <c r="SUY113" s="3"/>
      <c r="SUZ113" s="3"/>
      <c r="SVA113" s="3"/>
      <c r="SVB113" s="3"/>
      <c r="SVC113" s="3"/>
      <c r="SVD113" s="3"/>
      <c r="SVE113" s="3"/>
      <c r="SVF113" s="3"/>
      <c r="SVG113" s="3"/>
      <c r="SVH113" s="3"/>
      <c r="SVI113" s="3"/>
      <c r="SVJ113" s="3"/>
      <c r="SVK113" s="3"/>
      <c r="SVL113" s="3"/>
      <c r="SVM113" s="3"/>
      <c r="SVN113" s="3"/>
      <c r="SVO113" s="3"/>
      <c r="SVP113" s="3"/>
      <c r="SVQ113" s="3"/>
      <c r="SVR113" s="3"/>
      <c r="SVS113" s="3"/>
      <c r="SVT113" s="3"/>
      <c r="SVU113" s="3"/>
      <c r="SVV113" s="3"/>
      <c r="SVW113" s="3"/>
      <c r="SVX113" s="3"/>
      <c r="SVY113" s="3"/>
      <c r="SVZ113" s="3"/>
      <c r="SWA113" s="3"/>
      <c r="SWB113" s="3"/>
      <c r="SWC113" s="3"/>
      <c r="SWD113" s="3"/>
      <c r="SWE113" s="3"/>
      <c r="SWF113" s="3"/>
      <c r="SWG113" s="3"/>
      <c r="SWH113" s="3"/>
      <c r="SWI113" s="3"/>
      <c r="SWJ113" s="3"/>
      <c r="SWK113" s="3"/>
      <c r="SWL113" s="3"/>
      <c r="SWM113" s="3"/>
      <c r="SWN113" s="3"/>
      <c r="SWO113" s="3"/>
      <c r="SWP113" s="3"/>
      <c r="SWQ113" s="3"/>
      <c r="SWR113" s="3"/>
      <c r="SWS113" s="3"/>
      <c r="SWT113" s="3"/>
      <c r="SWU113" s="3"/>
      <c r="SWV113" s="3"/>
      <c r="SWW113" s="3"/>
      <c r="SWX113" s="3"/>
      <c r="SWY113" s="3"/>
      <c r="SWZ113" s="3"/>
      <c r="SXA113" s="3"/>
      <c r="SXB113" s="3"/>
      <c r="SXC113" s="3"/>
      <c r="SXD113" s="3"/>
      <c r="SXE113" s="3"/>
      <c r="SXF113" s="3"/>
      <c r="SXG113" s="3"/>
      <c r="SXH113" s="3"/>
      <c r="SXI113" s="3"/>
      <c r="SXJ113" s="3"/>
      <c r="SXK113" s="3"/>
      <c r="SXL113" s="3"/>
      <c r="SXM113" s="3"/>
      <c r="SXN113" s="3"/>
      <c r="SXO113" s="3"/>
      <c r="SXP113" s="3"/>
      <c r="SXQ113" s="3"/>
      <c r="SXR113" s="3"/>
      <c r="SXS113" s="3"/>
      <c r="SXT113" s="3"/>
      <c r="SXU113" s="3"/>
      <c r="SXV113" s="3"/>
      <c r="SXW113" s="3"/>
      <c r="SXX113" s="3"/>
      <c r="SXY113" s="3"/>
      <c r="SXZ113" s="3"/>
      <c r="SYA113" s="3"/>
      <c r="SYB113" s="3"/>
      <c r="SYC113" s="3"/>
      <c r="SYD113" s="3"/>
      <c r="SYE113" s="3"/>
      <c r="SYF113" s="3"/>
      <c r="SYG113" s="3"/>
      <c r="SYH113" s="3"/>
      <c r="SYI113" s="3"/>
      <c r="SYJ113" s="3"/>
      <c r="SYK113" s="3"/>
      <c r="SYL113" s="3"/>
      <c r="SYM113" s="3"/>
      <c r="SYN113" s="3"/>
      <c r="SYO113" s="3"/>
      <c r="SYP113" s="3"/>
      <c r="SYQ113" s="3"/>
      <c r="SYR113" s="3"/>
      <c r="SYS113" s="3"/>
      <c r="SYT113" s="3"/>
      <c r="SYU113" s="3"/>
      <c r="SYV113" s="3"/>
      <c r="SYW113" s="3"/>
      <c r="SYX113" s="3"/>
      <c r="SYY113" s="3"/>
      <c r="SYZ113" s="3"/>
      <c r="SZA113" s="3"/>
      <c r="SZB113" s="3"/>
      <c r="SZC113" s="3"/>
      <c r="SZD113" s="3"/>
      <c r="SZE113" s="3"/>
      <c r="SZF113" s="3"/>
      <c r="SZG113" s="3"/>
      <c r="SZH113" s="3"/>
      <c r="SZI113" s="3"/>
      <c r="SZJ113" s="3"/>
      <c r="SZK113" s="3"/>
      <c r="SZL113" s="3"/>
      <c r="SZM113" s="3"/>
      <c r="SZN113" s="3"/>
      <c r="SZO113" s="3"/>
      <c r="SZP113" s="3"/>
      <c r="SZQ113" s="3"/>
      <c r="SZR113" s="3"/>
      <c r="SZS113" s="3"/>
      <c r="SZT113" s="3"/>
      <c r="SZU113" s="3"/>
      <c r="SZV113" s="3"/>
      <c r="SZW113" s="3"/>
      <c r="SZX113" s="3"/>
      <c r="SZY113" s="3"/>
      <c r="SZZ113" s="3"/>
      <c r="TAA113" s="3"/>
      <c r="TAB113" s="3"/>
      <c r="TAC113" s="3"/>
      <c r="TAD113" s="3"/>
      <c r="TAE113" s="3"/>
      <c r="TAF113" s="3"/>
      <c r="TAG113" s="3"/>
      <c r="TAH113" s="3"/>
      <c r="TAI113" s="3"/>
      <c r="TAJ113" s="3"/>
      <c r="TAK113" s="3"/>
      <c r="TAL113" s="3"/>
      <c r="TAM113" s="3"/>
      <c r="TAN113" s="3"/>
      <c r="TAO113" s="3"/>
      <c r="TAP113" s="3"/>
      <c r="TAQ113" s="3"/>
      <c r="TAR113" s="3"/>
      <c r="TAS113" s="3"/>
      <c r="TAT113" s="3"/>
      <c r="TAU113" s="3"/>
      <c r="TAV113" s="3"/>
      <c r="TAW113" s="3"/>
      <c r="TAX113" s="3"/>
      <c r="TAY113" s="3"/>
      <c r="TAZ113" s="3"/>
      <c r="TBA113" s="3"/>
      <c r="TBB113" s="3"/>
      <c r="TBC113" s="3"/>
      <c r="TBD113" s="3"/>
      <c r="TBE113" s="3"/>
      <c r="TBF113" s="3"/>
      <c r="TBG113" s="3"/>
      <c r="TBH113" s="3"/>
      <c r="TBI113" s="3"/>
      <c r="TBJ113" s="3"/>
      <c r="TBK113" s="3"/>
      <c r="TBL113" s="3"/>
      <c r="TBM113" s="3"/>
      <c r="TBN113" s="3"/>
      <c r="TBO113" s="3"/>
      <c r="TBP113" s="3"/>
      <c r="TBQ113" s="3"/>
      <c r="TBR113" s="3"/>
      <c r="TBS113" s="3"/>
      <c r="TBT113" s="3"/>
      <c r="TBU113" s="3"/>
      <c r="TBV113" s="3"/>
      <c r="TBW113" s="3"/>
      <c r="TBX113" s="3"/>
      <c r="TBY113" s="3"/>
      <c r="TBZ113" s="3"/>
      <c r="TCA113" s="3"/>
      <c r="TCB113" s="3"/>
      <c r="TCC113" s="3"/>
      <c r="TCD113" s="3"/>
      <c r="TCE113" s="3"/>
      <c r="TCF113" s="3"/>
      <c r="TCG113" s="3"/>
      <c r="TCH113" s="3"/>
      <c r="TCI113" s="3"/>
      <c r="TCJ113" s="3"/>
      <c r="TCK113" s="3"/>
      <c r="TCL113" s="3"/>
      <c r="TCM113" s="3"/>
      <c r="TCN113" s="3"/>
      <c r="TCO113" s="3"/>
      <c r="TCP113" s="3"/>
      <c r="TCQ113" s="3"/>
      <c r="TCR113" s="3"/>
      <c r="TCS113" s="3"/>
      <c r="TCT113" s="3"/>
      <c r="TCU113" s="3"/>
      <c r="TCV113" s="3"/>
      <c r="TCW113" s="3"/>
      <c r="TCX113" s="3"/>
      <c r="TCY113" s="3"/>
      <c r="TCZ113" s="3"/>
      <c r="TDA113" s="3"/>
      <c r="TDB113" s="3"/>
      <c r="TDC113" s="3"/>
      <c r="TDD113" s="3"/>
      <c r="TDE113" s="3"/>
      <c r="TDF113" s="3"/>
      <c r="TDG113" s="3"/>
      <c r="TDH113" s="3"/>
      <c r="TDI113" s="3"/>
      <c r="TDJ113" s="3"/>
      <c r="TDK113" s="3"/>
      <c r="TDL113" s="3"/>
      <c r="TDM113" s="3"/>
      <c r="TDN113" s="3"/>
      <c r="TDO113" s="3"/>
      <c r="TDP113" s="3"/>
      <c r="TDQ113" s="3"/>
      <c r="TDR113" s="3"/>
      <c r="TDS113" s="3"/>
      <c r="TDT113" s="3"/>
      <c r="TDU113" s="3"/>
      <c r="TDV113" s="3"/>
      <c r="TDW113" s="3"/>
      <c r="TDX113" s="3"/>
      <c r="TDY113" s="3"/>
      <c r="TDZ113" s="3"/>
      <c r="TEA113" s="3"/>
      <c r="TEB113" s="3"/>
      <c r="TEC113" s="3"/>
      <c r="TED113" s="3"/>
      <c r="TEE113" s="3"/>
      <c r="TEF113" s="3"/>
      <c r="TEG113" s="3"/>
      <c r="TEH113" s="3"/>
      <c r="TEI113" s="3"/>
      <c r="TEJ113" s="3"/>
      <c r="TEK113" s="3"/>
      <c r="TEL113" s="3"/>
      <c r="TEM113" s="3"/>
      <c r="TEN113" s="3"/>
      <c r="TEO113" s="3"/>
      <c r="TEP113" s="3"/>
      <c r="TEQ113" s="3"/>
      <c r="TER113" s="3"/>
      <c r="TES113" s="3"/>
      <c r="TET113" s="3"/>
      <c r="TEU113" s="3"/>
      <c r="TEV113" s="3"/>
      <c r="TEW113" s="3"/>
      <c r="TEX113" s="3"/>
      <c r="TEY113" s="3"/>
      <c r="TEZ113" s="3"/>
      <c r="TFA113" s="3"/>
      <c r="TFB113" s="3"/>
      <c r="TFC113" s="3"/>
      <c r="TFD113" s="3"/>
      <c r="TFE113" s="3"/>
      <c r="TFF113" s="3"/>
      <c r="TFG113" s="3"/>
      <c r="TFH113" s="3"/>
      <c r="TFI113" s="3"/>
      <c r="TFJ113" s="3"/>
      <c r="TFK113" s="3"/>
      <c r="TFL113" s="3"/>
      <c r="TFM113" s="3"/>
      <c r="TFN113" s="3"/>
      <c r="TFO113" s="3"/>
      <c r="TFP113" s="3"/>
      <c r="TFQ113" s="3"/>
      <c r="TFR113" s="3"/>
      <c r="TFS113" s="3"/>
      <c r="TFT113" s="3"/>
      <c r="TFU113" s="3"/>
      <c r="TFV113" s="3"/>
      <c r="TFW113" s="3"/>
      <c r="TFX113" s="3"/>
      <c r="TFY113" s="3"/>
      <c r="TFZ113" s="3"/>
      <c r="TGA113" s="3"/>
      <c r="TGB113" s="3"/>
      <c r="TGC113" s="3"/>
      <c r="TGD113" s="3"/>
      <c r="TGE113" s="3"/>
      <c r="TGF113" s="3"/>
      <c r="TGG113" s="3"/>
      <c r="TGH113" s="3"/>
      <c r="TGI113" s="3"/>
      <c r="TGJ113" s="3"/>
      <c r="TGK113" s="3"/>
      <c r="TGL113" s="3"/>
      <c r="TGM113" s="3"/>
      <c r="TGN113" s="3"/>
      <c r="TGO113" s="3"/>
      <c r="TGP113" s="3"/>
      <c r="TGQ113" s="3"/>
      <c r="TGR113" s="3"/>
      <c r="TGS113" s="3"/>
      <c r="TGT113" s="3"/>
      <c r="TGU113" s="3"/>
      <c r="TGV113" s="3"/>
      <c r="TGW113" s="3"/>
      <c r="TGX113" s="3"/>
      <c r="TGY113" s="3"/>
      <c r="TGZ113" s="3"/>
      <c r="THA113" s="3"/>
      <c r="THB113" s="3"/>
      <c r="THC113" s="3"/>
      <c r="THD113" s="3"/>
      <c r="THE113" s="3"/>
      <c r="THF113" s="3"/>
      <c r="THG113" s="3"/>
      <c r="THH113" s="3"/>
      <c r="THI113" s="3"/>
      <c r="THJ113" s="3"/>
      <c r="THK113" s="3"/>
      <c r="THL113" s="3"/>
      <c r="THM113" s="3"/>
      <c r="THN113" s="3"/>
      <c r="THO113" s="3"/>
      <c r="THP113" s="3"/>
      <c r="THQ113" s="3"/>
      <c r="THR113" s="3"/>
      <c r="THS113" s="3"/>
      <c r="THT113" s="3"/>
      <c r="THU113" s="3"/>
      <c r="THV113" s="3"/>
      <c r="THW113" s="3"/>
      <c r="THX113" s="3"/>
      <c r="THY113" s="3"/>
      <c r="THZ113" s="3"/>
      <c r="TIA113" s="3"/>
      <c r="TIB113" s="3"/>
      <c r="TIC113" s="3"/>
      <c r="TID113" s="3"/>
      <c r="TIE113" s="3"/>
      <c r="TIF113" s="3"/>
      <c r="TIG113" s="3"/>
      <c r="TIH113" s="3"/>
      <c r="TII113" s="3"/>
      <c r="TIJ113" s="3"/>
      <c r="TIK113" s="3"/>
      <c r="TIL113" s="3"/>
      <c r="TIM113" s="3"/>
      <c r="TIN113" s="3"/>
      <c r="TIO113" s="3"/>
      <c r="TIP113" s="3"/>
      <c r="TIQ113" s="3"/>
      <c r="TIR113" s="3"/>
      <c r="TIS113" s="3"/>
      <c r="TIT113" s="3"/>
      <c r="TIU113" s="3"/>
      <c r="TIV113" s="3"/>
      <c r="TIW113" s="3"/>
      <c r="TIX113" s="3"/>
      <c r="TIY113" s="3"/>
      <c r="TIZ113" s="3"/>
      <c r="TJA113" s="3"/>
      <c r="TJB113" s="3"/>
      <c r="TJC113" s="3"/>
      <c r="TJD113" s="3"/>
      <c r="TJE113" s="3"/>
      <c r="TJF113" s="3"/>
      <c r="TJG113" s="3"/>
      <c r="TJH113" s="3"/>
      <c r="TJI113" s="3"/>
      <c r="TJJ113" s="3"/>
      <c r="TJK113" s="3"/>
      <c r="TJL113" s="3"/>
      <c r="TJM113" s="3"/>
      <c r="TJN113" s="3"/>
      <c r="TJO113" s="3"/>
      <c r="TJP113" s="3"/>
      <c r="TJQ113" s="3"/>
      <c r="TJR113" s="3"/>
      <c r="TJS113" s="3"/>
      <c r="TJT113" s="3"/>
      <c r="TJU113" s="3"/>
      <c r="TJV113" s="3"/>
      <c r="TJW113" s="3"/>
      <c r="TJX113" s="3"/>
      <c r="TJY113" s="3"/>
      <c r="TJZ113" s="3"/>
      <c r="TKA113" s="3"/>
      <c r="TKB113" s="3"/>
      <c r="TKC113" s="3"/>
      <c r="TKD113" s="3"/>
      <c r="TKE113" s="3"/>
      <c r="TKF113" s="3"/>
      <c r="TKG113" s="3"/>
      <c r="TKH113" s="3"/>
      <c r="TKI113" s="3"/>
      <c r="TKJ113" s="3"/>
      <c r="TKK113" s="3"/>
      <c r="TKL113" s="3"/>
      <c r="TKM113" s="3"/>
      <c r="TKN113" s="3"/>
      <c r="TKO113" s="3"/>
      <c r="TKP113" s="3"/>
      <c r="TKQ113" s="3"/>
      <c r="TKR113" s="3"/>
      <c r="TKS113" s="3"/>
      <c r="TKT113" s="3"/>
      <c r="TKU113" s="3"/>
      <c r="TKV113" s="3"/>
      <c r="TKW113" s="3"/>
      <c r="TKX113" s="3"/>
      <c r="TKY113" s="3"/>
      <c r="TKZ113" s="3"/>
      <c r="TLA113" s="3"/>
      <c r="TLB113" s="3"/>
      <c r="TLC113" s="3"/>
      <c r="TLD113" s="3"/>
      <c r="TLE113" s="3"/>
      <c r="TLF113" s="3"/>
      <c r="TLG113" s="3"/>
      <c r="TLH113" s="3"/>
      <c r="TLI113" s="3"/>
      <c r="TLJ113" s="3"/>
      <c r="TLK113" s="3"/>
      <c r="TLL113" s="3"/>
      <c r="TLM113" s="3"/>
      <c r="TLN113" s="3"/>
      <c r="TLO113" s="3"/>
      <c r="TLP113" s="3"/>
      <c r="TLQ113" s="3"/>
      <c r="TLR113" s="3"/>
      <c r="TLS113" s="3"/>
      <c r="TLT113" s="3"/>
      <c r="TLU113" s="3"/>
      <c r="TLV113" s="3"/>
      <c r="TLW113" s="3"/>
      <c r="TLX113" s="3"/>
      <c r="TLY113" s="3"/>
      <c r="TLZ113" s="3"/>
      <c r="TMA113" s="3"/>
      <c r="TMB113" s="3"/>
      <c r="TMC113" s="3"/>
      <c r="TMD113" s="3"/>
      <c r="TME113" s="3"/>
      <c r="TMF113" s="3"/>
      <c r="TMG113" s="3"/>
      <c r="TMH113" s="3"/>
      <c r="TMI113" s="3"/>
      <c r="TMJ113" s="3"/>
      <c r="TMK113" s="3"/>
      <c r="TML113" s="3"/>
      <c r="TMM113" s="3"/>
      <c r="TMN113" s="3"/>
      <c r="TMO113" s="3"/>
      <c r="TMP113" s="3"/>
      <c r="TMQ113" s="3"/>
      <c r="TMR113" s="3"/>
      <c r="TMS113" s="3"/>
      <c r="TMT113" s="3"/>
      <c r="TMU113" s="3"/>
      <c r="TMV113" s="3"/>
      <c r="TMW113" s="3"/>
      <c r="TMX113" s="3"/>
      <c r="TMY113" s="3"/>
      <c r="TMZ113" s="3"/>
      <c r="TNA113" s="3"/>
      <c r="TNB113" s="3"/>
      <c r="TNC113" s="3"/>
      <c r="TND113" s="3"/>
      <c r="TNE113" s="3"/>
      <c r="TNF113" s="3"/>
      <c r="TNG113" s="3"/>
      <c r="TNH113" s="3"/>
      <c r="TNI113" s="3"/>
      <c r="TNJ113" s="3"/>
      <c r="TNK113" s="3"/>
      <c r="TNL113" s="3"/>
      <c r="TNM113" s="3"/>
      <c r="TNN113" s="3"/>
      <c r="TNO113" s="3"/>
      <c r="TNP113" s="3"/>
      <c r="TNQ113" s="3"/>
      <c r="TNR113" s="3"/>
      <c r="TNS113" s="3"/>
      <c r="TNT113" s="3"/>
      <c r="TNU113" s="3"/>
      <c r="TNV113" s="3"/>
      <c r="TNW113" s="3"/>
      <c r="TNX113" s="3"/>
      <c r="TNY113" s="3"/>
      <c r="TNZ113" s="3"/>
      <c r="TOA113" s="3"/>
      <c r="TOB113" s="3"/>
      <c r="TOC113" s="3"/>
      <c r="TOD113" s="3"/>
      <c r="TOE113" s="3"/>
      <c r="TOF113" s="3"/>
      <c r="TOG113" s="3"/>
      <c r="TOH113" s="3"/>
      <c r="TOI113" s="3"/>
      <c r="TOJ113" s="3"/>
      <c r="TOK113" s="3"/>
      <c r="TOL113" s="3"/>
      <c r="TOM113" s="3"/>
      <c r="TON113" s="3"/>
      <c r="TOO113" s="3"/>
      <c r="TOP113" s="3"/>
      <c r="TOQ113" s="3"/>
      <c r="TOR113" s="3"/>
      <c r="TOS113" s="3"/>
      <c r="TOT113" s="3"/>
      <c r="TOU113" s="3"/>
      <c r="TOV113" s="3"/>
      <c r="TOW113" s="3"/>
      <c r="TOX113" s="3"/>
      <c r="TOY113" s="3"/>
      <c r="TOZ113" s="3"/>
      <c r="TPA113" s="3"/>
      <c r="TPB113" s="3"/>
      <c r="TPC113" s="3"/>
      <c r="TPD113" s="3"/>
      <c r="TPE113" s="3"/>
      <c r="TPF113" s="3"/>
      <c r="TPG113" s="3"/>
      <c r="TPH113" s="3"/>
      <c r="TPI113" s="3"/>
      <c r="TPJ113" s="3"/>
      <c r="TPK113" s="3"/>
      <c r="TPL113" s="3"/>
      <c r="TPM113" s="3"/>
      <c r="TPN113" s="3"/>
      <c r="TPO113" s="3"/>
      <c r="TPP113" s="3"/>
      <c r="TPQ113" s="3"/>
      <c r="TPR113" s="3"/>
      <c r="TPS113" s="3"/>
      <c r="TPT113" s="3"/>
      <c r="TPU113" s="3"/>
      <c r="TPV113" s="3"/>
      <c r="TPW113" s="3"/>
      <c r="TPX113" s="3"/>
      <c r="TPY113" s="3"/>
      <c r="TPZ113" s="3"/>
      <c r="TQA113" s="3"/>
      <c r="TQB113" s="3"/>
      <c r="TQC113" s="3"/>
      <c r="TQD113" s="3"/>
      <c r="TQE113" s="3"/>
      <c r="TQF113" s="3"/>
      <c r="TQG113" s="3"/>
      <c r="TQH113" s="3"/>
      <c r="TQI113" s="3"/>
      <c r="TQJ113" s="3"/>
      <c r="TQK113" s="3"/>
      <c r="TQL113" s="3"/>
      <c r="TQM113" s="3"/>
      <c r="TQN113" s="3"/>
      <c r="TQO113" s="3"/>
      <c r="TQP113" s="3"/>
      <c r="TQQ113" s="3"/>
      <c r="TQR113" s="3"/>
      <c r="TQS113" s="3"/>
      <c r="TQT113" s="3"/>
      <c r="TQU113" s="3"/>
      <c r="TQV113" s="3"/>
      <c r="TQW113" s="3"/>
      <c r="TQX113" s="3"/>
      <c r="TQY113" s="3"/>
      <c r="TQZ113" s="3"/>
      <c r="TRA113" s="3"/>
      <c r="TRB113" s="3"/>
      <c r="TRC113" s="3"/>
      <c r="TRD113" s="3"/>
      <c r="TRE113" s="3"/>
      <c r="TRF113" s="3"/>
      <c r="TRG113" s="3"/>
      <c r="TRH113" s="3"/>
      <c r="TRI113" s="3"/>
      <c r="TRJ113" s="3"/>
      <c r="TRK113" s="3"/>
      <c r="TRL113" s="3"/>
      <c r="TRM113" s="3"/>
      <c r="TRN113" s="3"/>
      <c r="TRO113" s="3"/>
      <c r="TRP113" s="3"/>
      <c r="TRQ113" s="3"/>
      <c r="TRR113" s="3"/>
      <c r="TRS113" s="3"/>
      <c r="TRT113" s="3"/>
      <c r="TRU113" s="3"/>
      <c r="TRV113" s="3"/>
      <c r="TRW113" s="3"/>
      <c r="TRX113" s="3"/>
      <c r="TRY113" s="3"/>
      <c r="TRZ113" s="3"/>
      <c r="TSA113" s="3"/>
      <c r="TSB113" s="3"/>
      <c r="TSC113" s="3"/>
      <c r="TSD113" s="3"/>
      <c r="TSE113" s="3"/>
      <c r="TSF113" s="3"/>
      <c r="TSG113" s="3"/>
      <c r="TSH113" s="3"/>
      <c r="TSI113" s="3"/>
      <c r="TSJ113" s="3"/>
      <c r="TSK113" s="3"/>
      <c r="TSL113" s="3"/>
      <c r="TSM113" s="3"/>
      <c r="TSN113" s="3"/>
      <c r="TSO113" s="3"/>
      <c r="TSP113" s="3"/>
      <c r="TSQ113" s="3"/>
      <c r="TSR113" s="3"/>
      <c r="TSS113" s="3"/>
      <c r="TST113" s="3"/>
      <c r="TSU113" s="3"/>
      <c r="TSV113" s="3"/>
      <c r="TSW113" s="3"/>
      <c r="TSX113" s="3"/>
      <c r="TSY113" s="3"/>
      <c r="TSZ113" s="3"/>
      <c r="TTA113" s="3"/>
      <c r="TTB113" s="3"/>
      <c r="TTC113" s="3"/>
      <c r="TTD113" s="3"/>
      <c r="TTE113" s="3"/>
      <c r="TTF113" s="3"/>
      <c r="TTG113" s="3"/>
      <c r="TTH113" s="3"/>
      <c r="TTI113" s="3"/>
      <c r="TTJ113" s="3"/>
      <c r="TTK113" s="3"/>
      <c r="TTL113" s="3"/>
      <c r="TTM113" s="3"/>
      <c r="TTN113" s="3"/>
      <c r="TTO113" s="3"/>
      <c r="TTP113" s="3"/>
      <c r="TTQ113" s="3"/>
      <c r="TTR113" s="3"/>
      <c r="TTS113" s="3"/>
      <c r="TTT113" s="3"/>
      <c r="TTU113" s="3"/>
      <c r="TTV113" s="3"/>
      <c r="TTW113" s="3"/>
      <c r="TTX113" s="3"/>
      <c r="TTY113" s="3"/>
      <c r="TTZ113" s="3"/>
      <c r="TUA113" s="3"/>
      <c r="TUB113" s="3"/>
      <c r="TUC113" s="3"/>
      <c r="TUD113" s="3"/>
      <c r="TUE113" s="3"/>
      <c r="TUF113" s="3"/>
      <c r="TUG113" s="3"/>
      <c r="TUH113" s="3"/>
      <c r="TUI113" s="3"/>
      <c r="TUJ113" s="3"/>
      <c r="TUK113" s="3"/>
      <c r="TUL113" s="3"/>
      <c r="TUM113" s="3"/>
      <c r="TUN113" s="3"/>
      <c r="TUO113" s="3"/>
      <c r="TUP113" s="3"/>
      <c r="TUQ113" s="3"/>
      <c r="TUR113" s="3"/>
      <c r="TUS113" s="3"/>
      <c r="TUT113" s="3"/>
      <c r="TUU113" s="3"/>
      <c r="TUV113" s="3"/>
      <c r="TUW113" s="3"/>
      <c r="TUX113" s="3"/>
      <c r="TUY113" s="3"/>
      <c r="TUZ113" s="3"/>
      <c r="TVA113" s="3"/>
      <c r="TVB113" s="3"/>
      <c r="TVC113" s="3"/>
      <c r="TVD113" s="3"/>
      <c r="TVE113" s="3"/>
      <c r="TVF113" s="3"/>
      <c r="TVG113" s="3"/>
      <c r="TVH113" s="3"/>
      <c r="TVI113" s="3"/>
      <c r="TVJ113" s="3"/>
      <c r="TVK113" s="3"/>
      <c r="TVL113" s="3"/>
      <c r="TVM113" s="3"/>
      <c r="TVN113" s="3"/>
      <c r="TVO113" s="3"/>
      <c r="TVP113" s="3"/>
      <c r="TVQ113" s="3"/>
      <c r="TVR113" s="3"/>
      <c r="TVS113" s="3"/>
      <c r="TVT113" s="3"/>
      <c r="TVU113" s="3"/>
      <c r="TVV113" s="3"/>
      <c r="TVW113" s="3"/>
      <c r="TVX113" s="3"/>
      <c r="TVY113" s="3"/>
      <c r="TVZ113" s="3"/>
      <c r="TWA113" s="3"/>
      <c r="TWB113" s="3"/>
      <c r="TWC113" s="3"/>
      <c r="TWD113" s="3"/>
      <c r="TWE113" s="3"/>
      <c r="TWF113" s="3"/>
      <c r="TWG113" s="3"/>
      <c r="TWH113" s="3"/>
      <c r="TWI113" s="3"/>
      <c r="TWJ113" s="3"/>
      <c r="TWK113" s="3"/>
      <c r="TWL113" s="3"/>
      <c r="TWM113" s="3"/>
      <c r="TWN113" s="3"/>
      <c r="TWO113" s="3"/>
      <c r="TWP113" s="3"/>
      <c r="TWQ113" s="3"/>
      <c r="TWR113" s="3"/>
      <c r="TWS113" s="3"/>
      <c r="TWT113" s="3"/>
      <c r="TWU113" s="3"/>
      <c r="TWV113" s="3"/>
      <c r="TWW113" s="3"/>
      <c r="TWX113" s="3"/>
      <c r="TWY113" s="3"/>
      <c r="TWZ113" s="3"/>
      <c r="TXA113" s="3"/>
      <c r="TXB113" s="3"/>
      <c r="TXC113" s="3"/>
      <c r="TXD113" s="3"/>
      <c r="TXE113" s="3"/>
      <c r="TXF113" s="3"/>
      <c r="TXG113" s="3"/>
      <c r="TXH113" s="3"/>
      <c r="TXI113" s="3"/>
      <c r="TXJ113" s="3"/>
      <c r="TXK113" s="3"/>
      <c r="TXL113" s="3"/>
      <c r="TXM113" s="3"/>
      <c r="TXN113" s="3"/>
      <c r="TXO113" s="3"/>
      <c r="TXP113" s="3"/>
      <c r="TXQ113" s="3"/>
      <c r="TXR113" s="3"/>
      <c r="TXS113" s="3"/>
      <c r="TXT113" s="3"/>
      <c r="TXU113" s="3"/>
      <c r="TXV113" s="3"/>
      <c r="TXW113" s="3"/>
      <c r="TXX113" s="3"/>
      <c r="TXY113" s="3"/>
      <c r="TXZ113" s="3"/>
      <c r="TYA113" s="3"/>
      <c r="TYB113" s="3"/>
      <c r="TYC113" s="3"/>
      <c r="TYD113" s="3"/>
      <c r="TYE113" s="3"/>
      <c r="TYF113" s="3"/>
      <c r="TYG113" s="3"/>
      <c r="TYH113" s="3"/>
      <c r="TYI113" s="3"/>
      <c r="TYJ113" s="3"/>
      <c r="TYK113" s="3"/>
      <c r="TYL113" s="3"/>
      <c r="TYM113" s="3"/>
      <c r="TYN113" s="3"/>
      <c r="TYO113" s="3"/>
      <c r="TYP113" s="3"/>
      <c r="TYQ113" s="3"/>
      <c r="TYR113" s="3"/>
      <c r="TYS113" s="3"/>
      <c r="TYT113" s="3"/>
      <c r="TYU113" s="3"/>
      <c r="TYV113" s="3"/>
      <c r="TYW113" s="3"/>
      <c r="TYX113" s="3"/>
      <c r="TYY113" s="3"/>
      <c r="TYZ113" s="3"/>
      <c r="TZA113" s="3"/>
      <c r="TZB113" s="3"/>
      <c r="TZC113" s="3"/>
      <c r="TZD113" s="3"/>
      <c r="TZE113" s="3"/>
      <c r="TZF113" s="3"/>
      <c r="TZG113" s="3"/>
      <c r="TZH113" s="3"/>
      <c r="TZI113" s="3"/>
      <c r="TZJ113" s="3"/>
      <c r="TZK113" s="3"/>
      <c r="TZL113" s="3"/>
      <c r="TZM113" s="3"/>
      <c r="TZN113" s="3"/>
      <c r="TZO113" s="3"/>
      <c r="TZP113" s="3"/>
      <c r="TZQ113" s="3"/>
      <c r="TZR113" s="3"/>
      <c r="TZS113" s="3"/>
      <c r="TZT113" s="3"/>
      <c r="TZU113" s="3"/>
      <c r="TZV113" s="3"/>
      <c r="TZW113" s="3"/>
      <c r="TZX113" s="3"/>
      <c r="TZY113" s="3"/>
      <c r="TZZ113" s="3"/>
      <c r="UAA113" s="3"/>
      <c r="UAB113" s="3"/>
      <c r="UAC113" s="3"/>
      <c r="UAD113" s="3"/>
      <c r="UAE113" s="3"/>
      <c r="UAF113" s="3"/>
      <c r="UAG113" s="3"/>
      <c r="UAH113" s="3"/>
      <c r="UAI113" s="3"/>
      <c r="UAJ113" s="3"/>
      <c r="UAK113" s="3"/>
      <c r="UAL113" s="3"/>
      <c r="UAM113" s="3"/>
      <c r="UAN113" s="3"/>
      <c r="UAO113" s="3"/>
      <c r="UAP113" s="3"/>
      <c r="UAQ113" s="3"/>
      <c r="UAR113" s="3"/>
      <c r="UAS113" s="3"/>
      <c r="UAT113" s="3"/>
      <c r="UAU113" s="3"/>
      <c r="UAV113" s="3"/>
      <c r="UAW113" s="3"/>
      <c r="UAX113" s="3"/>
      <c r="UAY113" s="3"/>
      <c r="UAZ113" s="3"/>
      <c r="UBA113" s="3"/>
      <c r="UBB113" s="3"/>
      <c r="UBC113" s="3"/>
      <c r="UBD113" s="3"/>
      <c r="UBE113" s="3"/>
      <c r="UBF113" s="3"/>
      <c r="UBG113" s="3"/>
      <c r="UBH113" s="3"/>
      <c r="UBI113" s="3"/>
      <c r="UBJ113" s="3"/>
      <c r="UBK113" s="3"/>
      <c r="UBL113" s="3"/>
      <c r="UBM113" s="3"/>
      <c r="UBN113" s="3"/>
      <c r="UBO113" s="3"/>
      <c r="UBP113" s="3"/>
      <c r="UBQ113" s="3"/>
      <c r="UBR113" s="3"/>
      <c r="UBS113" s="3"/>
      <c r="UBT113" s="3"/>
      <c r="UBU113" s="3"/>
      <c r="UBV113" s="3"/>
      <c r="UBW113" s="3"/>
      <c r="UBX113" s="3"/>
      <c r="UBY113" s="3"/>
      <c r="UBZ113" s="3"/>
      <c r="UCA113" s="3"/>
      <c r="UCB113" s="3"/>
      <c r="UCC113" s="3"/>
      <c r="UCD113" s="3"/>
      <c r="UCE113" s="3"/>
      <c r="UCF113" s="3"/>
      <c r="UCG113" s="3"/>
      <c r="UCH113" s="3"/>
      <c r="UCI113" s="3"/>
      <c r="UCJ113" s="3"/>
      <c r="UCK113" s="3"/>
      <c r="UCL113" s="3"/>
      <c r="UCM113" s="3"/>
      <c r="UCN113" s="3"/>
      <c r="UCO113" s="3"/>
      <c r="UCP113" s="3"/>
      <c r="UCQ113" s="3"/>
      <c r="UCR113" s="3"/>
      <c r="UCS113" s="3"/>
      <c r="UCT113" s="3"/>
      <c r="UCU113" s="3"/>
      <c r="UCV113" s="3"/>
      <c r="UCW113" s="3"/>
      <c r="UCX113" s="3"/>
      <c r="UCY113" s="3"/>
      <c r="UCZ113" s="3"/>
      <c r="UDA113" s="3"/>
      <c r="UDB113" s="3"/>
      <c r="UDC113" s="3"/>
      <c r="UDD113" s="3"/>
      <c r="UDE113" s="3"/>
      <c r="UDF113" s="3"/>
      <c r="UDG113" s="3"/>
      <c r="UDH113" s="3"/>
      <c r="UDI113" s="3"/>
      <c r="UDJ113" s="3"/>
      <c r="UDK113" s="3"/>
      <c r="UDL113" s="3"/>
      <c r="UDM113" s="3"/>
      <c r="UDN113" s="3"/>
      <c r="UDO113" s="3"/>
      <c r="UDP113" s="3"/>
      <c r="UDQ113" s="3"/>
      <c r="UDR113" s="3"/>
      <c r="UDS113" s="3"/>
      <c r="UDT113" s="3"/>
      <c r="UDU113" s="3"/>
      <c r="UDV113" s="3"/>
      <c r="UDW113" s="3"/>
      <c r="UDX113" s="3"/>
      <c r="UDY113" s="3"/>
      <c r="UDZ113" s="3"/>
      <c r="UEA113" s="3"/>
      <c r="UEB113" s="3"/>
      <c r="UEC113" s="3"/>
      <c r="UED113" s="3"/>
      <c r="UEE113" s="3"/>
      <c r="UEF113" s="3"/>
      <c r="UEG113" s="3"/>
      <c r="UEH113" s="3"/>
      <c r="UEI113" s="3"/>
      <c r="UEJ113" s="3"/>
      <c r="UEK113" s="3"/>
      <c r="UEL113" s="3"/>
      <c r="UEM113" s="3"/>
      <c r="UEN113" s="3"/>
      <c r="UEO113" s="3"/>
      <c r="UEP113" s="3"/>
      <c r="UEQ113" s="3"/>
      <c r="UER113" s="3"/>
      <c r="UES113" s="3"/>
      <c r="UET113" s="3"/>
      <c r="UEU113" s="3"/>
      <c r="UEV113" s="3"/>
      <c r="UEW113" s="3"/>
      <c r="UEX113" s="3"/>
      <c r="UEY113" s="3"/>
      <c r="UEZ113" s="3"/>
      <c r="UFA113" s="3"/>
      <c r="UFB113" s="3"/>
      <c r="UFC113" s="3"/>
      <c r="UFD113" s="3"/>
      <c r="UFE113" s="3"/>
      <c r="UFF113" s="3"/>
      <c r="UFG113" s="3"/>
      <c r="UFH113" s="3"/>
      <c r="UFI113" s="3"/>
      <c r="UFJ113" s="3"/>
      <c r="UFK113" s="3"/>
      <c r="UFL113" s="3"/>
      <c r="UFM113" s="3"/>
      <c r="UFN113" s="3"/>
      <c r="UFO113" s="3"/>
      <c r="UFP113" s="3"/>
      <c r="UFQ113" s="3"/>
      <c r="UFR113" s="3"/>
      <c r="UFS113" s="3"/>
      <c r="UFT113" s="3"/>
      <c r="UFU113" s="3"/>
      <c r="UFV113" s="3"/>
      <c r="UFW113" s="3"/>
      <c r="UFX113" s="3"/>
      <c r="UFY113" s="3"/>
      <c r="UFZ113" s="3"/>
      <c r="UGA113" s="3"/>
      <c r="UGB113" s="3"/>
      <c r="UGC113" s="3"/>
      <c r="UGD113" s="3"/>
      <c r="UGE113" s="3"/>
      <c r="UGF113" s="3"/>
      <c r="UGG113" s="3"/>
      <c r="UGH113" s="3"/>
      <c r="UGI113" s="3"/>
      <c r="UGJ113" s="3"/>
      <c r="UGK113" s="3"/>
      <c r="UGL113" s="3"/>
      <c r="UGM113" s="3"/>
      <c r="UGN113" s="3"/>
      <c r="UGO113" s="3"/>
      <c r="UGP113" s="3"/>
      <c r="UGQ113" s="3"/>
      <c r="UGR113" s="3"/>
      <c r="UGS113" s="3"/>
      <c r="UGT113" s="3"/>
      <c r="UGU113" s="3"/>
      <c r="UGV113" s="3"/>
      <c r="UGW113" s="3"/>
      <c r="UGX113" s="3"/>
      <c r="UGY113" s="3"/>
      <c r="UGZ113" s="3"/>
      <c r="UHA113" s="3"/>
      <c r="UHB113" s="3"/>
      <c r="UHC113" s="3"/>
      <c r="UHD113" s="3"/>
      <c r="UHE113" s="3"/>
      <c r="UHF113" s="3"/>
      <c r="UHG113" s="3"/>
      <c r="UHH113" s="3"/>
      <c r="UHI113" s="3"/>
      <c r="UHJ113" s="3"/>
      <c r="UHK113" s="3"/>
      <c r="UHL113" s="3"/>
      <c r="UHM113" s="3"/>
      <c r="UHN113" s="3"/>
      <c r="UHO113" s="3"/>
      <c r="UHP113" s="3"/>
      <c r="UHQ113" s="3"/>
      <c r="UHR113" s="3"/>
      <c r="UHS113" s="3"/>
      <c r="UHT113" s="3"/>
      <c r="UHU113" s="3"/>
      <c r="UHV113" s="3"/>
      <c r="UHW113" s="3"/>
      <c r="UHX113" s="3"/>
      <c r="UHY113" s="3"/>
      <c r="UHZ113" s="3"/>
      <c r="UIA113" s="3"/>
      <c r="UIB113" s="3"/>
      <c r="UIC113" s="3"/>
      <c r="UID113" s="3"/>
      <c r="UIE113" s="3"/>
      <c r="UIF113" s="3"/>
      <c r="UIG113" s="3"/>
      <c r="UIH113" s="3"/>
      <c r="UII113" s="3"/>
      <c r="UIJ113" s="3"/>
      <c r="UIK113" s="3"/>
      <c r="UIL113" s="3"/>
      <c r="UIM113" s="3"/>
      <c r="UIN113" s="3"/>
      <c r="UIO113" s="3"/>
      <c r="UIP113" s="3"/>
      <c r="UIQ113" s="3"/>
      <c r="UIR113" s="3"/>
      <c r="UIS113" s="3"/>
      <c r="UIT113" s="3"/>
      <c r="UIU113" s="3"/>
      <c r="UIV113" s="3"/>
      <c r="UIW113" s="3"/>
      <c r="UIX113" s="3"/>
      <c r="UIY113" s="3"/>
      <c r="UIZ113" s="3"/>
      <c r="UJA113" s="3"/>
      <c r="UJB113" s="3"/>
      <c r="UJC113" s="3"/>
      <c r="UJD113" s="3"/>
      <c r="UJE113" s="3"/>
      <c r="UJF113" s="3"/>
      <c r="UJG113" s="3"/>
      <c r="UJH113" s="3"/>
      <c r="UJI113" s="3"/>
      <c r="UJJ113" s="3"/>
      <c r="UJK113" s="3"/>
      <c r="UJL113" s="3"/>
      <c r="UJM113" s="3"/>
      <c r="UJN113" s="3"/>
      <c r="UJO113" s="3"/>
      <c r="UJP113" s="3"/>
      <c r="UJQ113" s="3"/>
      <c r="UJR113" s="3"/>
      <c r="UJS113" s="3"/>
      <c r="UJT113" s="3"/>
      <c r="UJU113" s="3"/>
      <c r="UJV113" s="3"/>
      <c r="UJW113" s="3"/>
      <c r="UJX113" s="3"/>
      <c r="UJY113" s="3"/>
      <c r="UJZ113" s="3"/>
      <c r="UKA113" s="3"/>
      <c r="UKB113" s="3"/>
      <c r="UKC113" s="3"/>
      <c r="UKD113" s="3"/>
      <c r="UKE113" s="3"/>
      <c r="UKF113" s="3"/>
      <c r="UKG113" s="3"/>
      <c r="UKH113" s="3"/>
      <c r="UKI113" s="3"/>
      <c r="UKJ113" s="3"/>
      <c r="UKK113" s="3"/>
      <c r="UKL113" s="3"/>
      <c r="UKM113" s="3"/>
      <c r="UKN113" s="3"/>
      <c r="UKO113" s="3"/>
      <c r="UKP113" s="3"/>
      <c r="UKQ113" s="3"/>
      <c r="UKR113" s="3"/>
      <c r="UKS113" s="3"/>
      <c r="UKT113" s="3"/>
      <c r="UKU113" s="3"/>
      <c r="UKV113" s="3"/>
      <c r="UKW113" s="3"/>
      <c r="UKX113" s="3"/>
      <c r="UKY113" s="3"/>
      <c r="UKZ113" s="3"/>
      <c r="ULA113" s="3"/>
      <c r="ULB113" s="3"/>
      <c r="ULC113" s="3"/>
      <c r="ULD113" s="3"/>
      <c r="ULE113" s="3"/>
      <c r="ULF113" s="3"/>
      <c r="ULG113" s="3"/>
      <c r="ULH113" s="3"/>
      <c r="ULI113" s="3"/>
      <c r="ULJ113" s="3"/>
      <c r="ULK113" s="3"/>
      <c r="ULL113" s="3"/>
      <c r="ULM113" s="3"/>
      <c r="ULN113" s="3"/>
      <c r="ULO113" s="3"/>
      <c r="ULP113" s="3"/>
      <c r="ULQ113" s="3"/>
      <c r="ULR113" s="3"/>
      <c r="ULS113" s="3"/>
      <c r="ULT113" s="3"/>
      <c r="ULU113" s="3"/>
      <c r="ULV113" s="3"/>
      <c r="ULW113" s="3"/>
      <c r="ULX113" s="3"/>
      <c r="ULY113" s="3"/>
      <c r="ULZ113" s="3"/>
      <c r="UMA113" s="3"/>
      <c r="UMB113" s="3"/>
      <c r="UMC113" s="3"/>
      <c r="UMD113" s="3"/>
      <c r="UME113" s="3"/>
      <c r="UMF113" s="3"/>
      <c r="UMG113" s="3"/>
      <c r="UMH113" s="3"/>
      <c r="UMI113" s="3"/>
      <c r="UMJ113" s="3"/>
      <c r="UMK113" s="3"/>
      <c r="UML113" s="3"/>
      <c r="UMM113" s="3"/>
      <c r="UMN113" s="3"/>
      <c r="UMO113" s="3"/>
      <c r="UMP113" s="3"/>
      <c r="UMQ113" s="3"/>
      <c r="UMR113" s="3"/>
      <c r="UMS113" s="3"/>
      <c r="UMT113" s="3"/>
      <c r="UMU113" s="3"/>
      <c r="UMV113" s="3"/>
      <c r="UMW113" s="3"/>
      <c r="UMX113" s="3"/>
      <c r="UMY113" s="3"/>
      <c r="UMZ113" s="3"/>
      <c r="UNA113" s="3"/>
      <c r="UNB113" s="3"/>
      <c r="UNC113" s="3"/>
      <c r="UND113" s="3"/>
      <c r="UNE113" s="3"/>
      <c r="UNF113" s="3"/>
      <c r="UNG113" s="3"/>
      <c r="UNH113" s="3"/>
      <c r="UNI113" s="3"/>
      <c r="UNJ113" s="3"/>
      <c r="UNK113" s="3"/>
      <c r="UNL113" s="3"/>
      <c r="UNM113" s="3"/>
      <c r="UNN113" s="3"/>
      <c r="UNO113" s="3"/>
      <c r="UNP113" s="3"/>
      <c r="UNQ113" s="3"/>
      <c r="UNR113" s="3"/>
      <c r="UNS113" s="3"/>
      <c r="UNT113" s="3"/>
      <c r="UNU113" s="3"/>
      <c r="UNV113" s="3"/>
      <c r="UNW113" s="3"/>
      <c r="UNX113" s="3"/>
      <c r="UNY113" s="3"/>
      <c r="UNZ113" s="3"/>
      <c r="UOA113" s="3"/>
      <c r="UOB113" s="3"/>
      <c r="UOC113" s="3"/>
      <c r="UOD113" s="3"/>
      <c r="UOE113" s="3"/>
      <c r="UOF113" s="3"/>
      <c r="UOG113" s="3"/>
      <c r="UOH113" s="3"/>
      <c r="UOI113" s="3"/>
      <c r="UOJ113" s="3"/>
      <c r="UOK113" s="3"/>
      <c r="UOL113" s="3"/>
      <c r="UOM113" s="3"/>
      <c r="UON113" s="3"/>
      <c r="UOO113" s="3"/>
      <c r="UOP113" s="3"/>
      <c r="UOQ113" s="3"/>
      <c r="UOR113" s="3"/>
      <c r="UOS113" s="3"/>
      <c r="UOT113" s="3"/>
      <c r="UOU113" s="3"/>
      <c r="UOV113" s="3"/>
      <c r="UOW113" s="3"/>
      <c r="UOX113" s="3"/>
      <c r="UOY113" s="3"/>
      <c r="UOZ113" s="3"/>
      <c r="UPA113" s="3"/>
      <c r="UPB113" s="3"/>
      <c r="UPC113" s="3"/>
      <c r="UPD113" s="3"/>
      <c r="UPE113" s="3"/>
      <c r="UPF113" s="3"/>
      <c r="UPG113" s="3"/>
      <c r="UPH113" s="3"/>
      <c r="UPI113" s="3"/>
      <c r="UPJ113" s="3"/>
      <c r="UPK113" s="3"/>
      <c r="UPL113" s="3"/>
      <c r="UPM113" s="3"/>
      <c r="UPN113" s="3"/>
      <c r="UPO113" s="3"/>
      <c r="UPP113" s="3"/>
      <c r="UPQ113" s="3"/>
      <c r="UPR113" s="3"/>
      <c r="UPS113" s="3"/>
      <c r="UPT113" s="3"/>
      <c r="UPU113" s="3"/>
      <c r="UPV113" s="3"/>
      <c r="UPW113" s="3"/>
      <c r="UPX113" s="3"/>
      <c r="UPY113" s="3"/>
      <c r="UPZ113" s="3"/>
      <c r="UQA113" s="3"/>
      <c r="UQB113" s="3"/>
      <c r="UQC113" s="3"/>
      <c r="UQD113" s="3"/>
      <c r="UQE113" s="3"/>
      <c r="UQF113" s="3"/>
      <c r="UQG113" s="3"/>
      <c r="UQH113" s="3"/>
      <c r="UQI113" s="3"/>
      <c r="UQJ113" s="3"/>
      <c r="UQK113" s="3"/>
      <c r="UQL113" s="3"/>
      <c r="UQM113" s="3"/>
      <c r="UQN113" s="3"/>
      <c r="UQO113" s="3"/>
      <c r="UQP113" s="3"/>
      <c r="UQQ113" s="3"/>
      <c r="UQR113" s="3"/>
      <c r="UQS113" s="3"/>
      <c r="UQT113" s="3"/>
      <c r="UQU113" s="3"/>
      <c r="UQV113" s="3"/>
      <c r="UQW113" s="3"/>
      <c r="UQX113" s="3"/>
      <c r="UQY113" s="3"/>
      <c r="UQZ113" s="3"/>
      <c r="URA113" s="3"/>
      <c r="URB113" s="3"/>
      <c r="URC113" s="3"/>
      <c r="URD113" s="3"/>
      <c r="URE113" s="3"/>
      <c r="URF113" s="3"/>
      <c r="URG113" s="3"/>
      <c r="URH113" s="3"/>
      <c r="URI113" s="3"/>
      <c r="URJ113" s="3"/>
      <c r="URK113" s="3"/>
      <c r="URL113" s="3"/>
      <c r="URM113" s="3"/>
      <c r="URN113" s="3"/>
      <c r="URO113" s="3"/>
      <c r="URP113" s="3"/>
      <c r="URQ113" s="3"/>
      <c r="URR113" s="3"/>
      <c r="URS113" s="3"/>
      <c r="URT113" s="3"/>
      <c r="URU113" s="3"/>
      <c r="URV113" s="3"/>
      <c r="URW113" s="3"/>
      <c r="URX113" s="3"/>
      <c r="URY113" s="3"/>
      <c r="URZ113" s="3"/>
      <c r="USA113" s="3"/>
      <c r="USB113" s="3"/>
      <c r="USC113" s="3"/>
      <c r="USD113" s="3"/>
      <c r="USE113" s="3"/>
      <c r="USF113" s="3"/>
      <c r="USG113" s="3"/>
      <c r="USH113" s="3"/>
      <c r="USI113" s="3"/>
      <c r="USJ113" s="3"/>
      <c r="USK113" s="3"/>
      <c r="USL113" s="3"/>
      <c r="USM113" s="3"/>
      <c r="USN113" s="3"/>
      <c r="USO113" s="3"/>
      <c r="USP113" s="3"/>
      <c r="USQ113" s="3"/>
      <c r="USR113" s="3"/>
      <c r="USS113" s="3"/>
      <c r="UST113" s="3"/>
      <c r="USU113" s="3"/>
      <c r="USV113" s="3"/>
      <c r="USW113" s="3"/>
      <c r="USX113" s="3"/>
      <c r="USY113" s="3"/>
      <c r="USZ113" s="3"/>
      <c r="UTA113" s="3"/>
      <c r="UTB113" s="3"/>
      <c r="UTC113" s="3"/>
      <c r="UTD113" s="3"/>
      <c r="UTE113" s="3"/>
      <c r="UTF113" s="3"/>
      <c r="UTG113" s="3"/>
      <c r="UTH113" s="3"/>
      <c r="UTI113" s="3"/>
      <c r="UTJ113" s="3"/>
      <c r="UTK113" s="3"/>
      <c r="UTL113" s="3"/>
      <c r="UTM113" s="3"/>
      <c r="UTN113" s="3"/>
      <c r="UTO113" s="3"/>
      <c r="UTP113" s="3"/>
      <c r="UTQ113" s="3"/>
      <c r="UTR113" s="3"/>
      <c r="UTS113" s="3"/>
      <c r="UTT113" s="3"/>
      <c r="UTU113" s="3"/>
      <c r="UTV113" s="3"/>
      <c r="UTW113" s="3"/>
      <c r="UTX113" s="3"/>
      <c r="UTY113" s="3"/>
      <c r="UTZ113" s="3"/>
      <c r="UUA113" s="3"/>
      <c r="UUB113" s="3"/>
      <c r="UUC113" s="3"/>
      <c r="UUD113" s="3"/>
      <c r="UUE113" s="3"/>
      <c r="UUF113" s="3"/>
      <c r="UUG113" s="3"/>
      <c r="UUH113" s="3"/>
      <c r="UUI113" s="3"/>
      <c r="UUJ113" s="3"/>
      <c r="UUK113" s="3"/>
      <c r="UUL113" s="3"/>
      <c r="UUM113" s="3"/>
      <c r="UUN113" s="3"/>
      <c r="UUO113" s="3"/>
      <c r="UUP113" s="3"/>
      <c r="UUQ113" s="3"/>
      <c r="UUR113" s="3"/>
      <c r="UUS113" s="3"/>
      <c r="UUT113" s="3"/>
      <c r="UUU113" s="3"/>
      <c r="UUV113" s="3"/>
      <c r="UUW113" s="3"/>
      <c r="UUX113" s="3"/>
      <c r="UUY113" s="3"/>
      <c r="UUZ113" s="3"/>
      <c r="UVA113" s="3"/>
      <c r="UVB113" s="3"/>
      <c r="UVC113" s="3"/>
      <c r="UVD113" s="3"/>
      <c r="UVE113" s="3"/>
      <c r="UVF113" s="3"/>
      <c r="UVG113" s="3"/>
      <c r="UVH113" s="3"/>
      <c r="UVI113" s="3"/>
      <c r="UVJ113" s="3"/>
      <c r="UVK113" s="3"/>
      <c r="UVL113" s="3"/>
      <c r="UVM113" s="3"/>
      <c r="UVN113" s="3"/>
      <c r="UVO113" s="3"/>
      <c r="UVP113" s="3"/>
      <c r="UVQ113" s="3"/>
      <c r="UVR113" s="3"/>
      <c r="UVS113" s="3"/>
      <c r="UVT113" s="3"/>
      <c r="UVU113" s="3"/>
      <c r="UVV113" s="3"/>
      <c r="UVW113" s="3"/>
      <c r="UVX113" s="3"/>
      <c r="UVY113" s="3"/>
      <c r="UVZ113" s="3"/>
      <c r="UWA113" s="3"/>
      <c r="UWB113" s="3"/>
      <c r="UWC113" s="3"/>
      <c r="UWD113" s="3"/>
      <c r="UWE113" s="3"/>
      <c r="UWF113" s="3"/>
      <c r="UWG113" s="3"/>
      <c r="UWH113" s="3"/>
      <c r="UWI113" s="3"/>
      <c r="UWJ113" s="3"/>
      <c r="UWK113" s="3"/>
      <c r="UWL113" s="3"/>
      <c r="UWM113" s="3"/>
      <c r="UWN113" s="3"/>
      <c r="UWO113" s="3"/>
      <c r="UWP113" s="3"/>
      <c r="UWQ113" s="3"/>
      <c r="UWR113" s="3"/>
      <c r="UWS113" s="3"/>
      <c r="UWT113" s="3"/>
      <c r="UWU113" s="3"/>
      <c r="UWV113" s="3"/>
      <c r="UWW113" s="3"/>
      <c r="UWX113" s="3"/>
      <c r="UWY113" s="3"/>
      <c r="UWZ113" s="3"/>
      <c r="UXA113" s="3"/>
      <c r="UXB113" s="3"/>
      <c r="UXC113" s="3"/>
      <c r="UXD113" s="3"/>
      <c r="UXE113" s="3"/>
      <c r="UXF113" s="3"/>
      <c r="UXG113" s="3"/>
      <c r="UXH113" s="3"/>
      <c r="UXI113" s="3"/>
      <c r="UXJ113" s="3"/>
      <c r="UXK113" s="3"/>
      <c r="UXL113" s="3"/>
      <c r="UXM113" s="3"/>
      <c r="UXN113" s="3"/>
      <c r="UXO113" s="3"/>
      <c r="UXP113" s="3"/>
      <c r="UXQ113" s="3"/>
      <c r="UXR113" s="3"/>
      <c r="UXS113" s="3"/>
      <c r="UXT113" s="3"/>
      <c r="UXU113" s="3"/>
      <c r="UXV113" s="3"/>
      <c r="UXW113" s="3"/>
      <c r="UXX113" s="3"/>
      <c r="UXY113" s="3"/>
      <c r="UXZ113" s="3"/>
      <c r="UYA113" s="3"/>
      <c r="UYB113" s="3"/>
      <c r="UYC113" s="3"/>
      <c r="UYD113" s="3"/>
      <c r="UYE113" s="3"/>
      <c r="UYF113" s="3"/>
      <c r="UYG113" s="3"/>
      <c r="UYH113" s="3"/>
      <c r="UYI113" s="3"/>
      <c r="UYJ113" s="3"/>
      <c r="UYK113" s="3"/>
      <c r="UYL113" s="3"/>
      <c r="UYM113" s="3"/>
      <c r="UYN113" s="3"/>
      <c r="UYO113" s="3"/>
      <c r="UYP113" s="3"/>
      <c r="UYQ113" s="3"/>
      <c r="UYR113" s="3"/>
      <c r="UYS113" s="3"/>
      <c r="UYT113" s="3"/>
      <c r="UYU113" s="3"/>
      <c r="UYV113" s="3"/>
      <c r="UYW113" s="3"/>
      <c r="UYX113" s="3"/>
      <c r="UYY113" s="3"/>
      <c r="UYZ113" s="3"/>
      <c r="UZA113" s="3"/>
      <c r="UZB113" s="3"/>
      <c r="UZC113" s="3"/>
      <c r="UZD113" s="3"/>
      <c r="UZE113" s="3"/>
      <c r="UZF113" s="3"/>
      <c r="UZG113" s="3"/>
      <c r="UZH113" s="3"/>
      <c r="UZI113" s="3"/>
      <c r="UZJ113" s="3"/>
      <c r="UZK113" s="3"/>
      <c r="UZL113" s="3"/>
      <c r="UZM113" s="3"/>
      <c r="UZN113" s="3"/>
      <c r="UZO113" s="3"/>
      <c r="UZP113" s="3"/>
      <c r="UZQ113" s="3"/>
      <c r="UZR113" s="3"/>
      <c r="UZS113" s="3"/>
      <c r="UZT113" s="3"/>
      <c r="UZU113" s="3"/>
      <c r="UZV113" s="3"/>
      <c r="UZW113" s="3"/>
      <c r="UZX113" s="3"/>
      <c r="UZY113" s="3"/>
      <c r="UZZ113" s="3"/>
      <c r="VAA113" s="3"/>
      <c r="VAB113" s="3"/>
      <c r="VAC113" s="3"/>
      <c r="VAD113" s="3"/>
      <c r="VAE113" s="3"/>
      <c r="VAF113" s="3"/>
      <c r="VAG113" s="3"/>
      <c r="VAH113" s="3"/>
      <c r="VAI113" s="3"/>
      <c r="VAJ113" s="3"/>
      <c r="VAK113" s="3"/>
      <c r="VAL113" s="3"/>
      <c r="VAM113" s="3"/>
      <c r="VAN113" s="3"/>
      <c r="VAO113" s="3"/>
      <c r="VAP113" s="3"/>
      <c r="VAQ113" s="3"/>
      <c r="VAR113" s="3"/>
      <c r="VAS113" s="3"/>
      <c r="VAT113" s="3"/>
      <c r="VAU113" s="3"/>
      <c r="VAV113" s="3"/>
      <c r="VAW113" s="3"/>
      <c r="VAX113" s="3"/>
      <c r="VAY113" s="3"/>
      <c r="VAZ113" s="3"/>
      <c r="VBA113" s="3"/>
      <c r="VBB113" s="3"/>
      <c r="VBC113" s="3"/>
      <c r="VBD113" s="3"/>
      <c r="VBE113" s="3"/>
      <c r="VBF113" s="3"/>
      <c r="VBG113" s="3"/>
      <c r="VBH113" s="3"/>
      <c r="VBI113" s="3"/>
      <c r="VBJ113" s="3"/>
      <c r="VBK113" s="3"/>
      <c r="VBL113" s="3"/>
      <c r="VBM113" s="3"/>
      <c r="VBN113" s="3"/>
      <c r="VBO113" s="3"/>
      <c r="VBP113" s="3"/>
      <c r="VBQ113" s="3"/>
      <c r="VBR113" s="3"/>
      <c r="VBS113" s="3"/>
      <c r="VBT113" s="3"/>
      <c r="VBU113" s="3"/>
      <c r="VBV113" s="3"/>
      <c r="VBW113" s="3"/>
      <c r="VBX113" s="3"/>
      <c r="VBY113" s="3"/>
      <c r="VBZ113" s="3"/>
      <c r="VCA113" s="3"/>
      <c r="VCB113" s="3"/>
      <c r="VCC113" s="3"/>
      <c r="VCD113" s="3"/>
      <c r="VCE113" s="3"/>
      <c r="VCF113" s="3"/>
      <c r="VCG113" s="3"/>
      <c r="VCH113" s="3"/>
      <c r="VCI113" s="3"/>
      <c r="VCJ113" s="3"/>
      <c r="VCK113" s="3"/>
      <c r="VCL113" s="3"/>
      <c r="VCM113" s="3"/>
      <c r="VCN113" s="3"/>
      <c r="VCO113" s="3"/>
      <c r="VCP113" s="3"/>
      <c r="VCQ113" s="3"/>
      <c r="VCR113" s="3"/>
      <c r="VCS113" s="3"/>
      <c r="VCT113" s="3"/>
      <c r="VCU113" s="3"/>
      <c r="VCV113" s="3"/>
      <c r="VCW113" s="3"/>
      <c r="VCX113" s="3"/>
      <c r="VCY113" s="3"/>
      <c r="VCZ113" s="3"/>
      <c r="VDA113" s="3"/>
      <c r="VDB113" s="3"/>
      <c r="VDC113" s="3"/>
      <c r="VDD113" s="3"/>
      <c r="VDE113" s="3"/>
      <c r="VDF113" s="3"/>
      <c r="VDG113" s="3"/>
      <c r="VDH113" s="3"/>
      <c r="VDI113" s="3"/>
      <c r="VDJ113" s="3"/>
      <c r="VDK113" s="3"/>
      <c r="VDL113" s="3"/>
      <c r="VDM113" s="3"/>
      <c r="VDN113" s="3"/>
      <c r="VDO113" s="3"/>
      <c r="VDP113" s="3"/>
      <c r="VDQ113" s="3"/>
      <c r="VDR113" s="3"/>
      <c r="VDS113" s="3"/>
      <c r="VDT113" s="3"/>
      <c r="VDU113" s="3"/>
      <c r="VDV113" s="3"/>
      <c r="VDW113" s="3"/>
      <c r="VDX113" s="3"/>
      <c r="VDY113" s="3"/>
      <c r="VDZ113" s="3"/>
      <c r="VEA113" s="3"/>
      <c r="VEB113" s="3"/>
      <c r="VEC113" s="3"/>
      <c r="VED113" s="3"/>
      <c r="VEE113" s="3"/>
      <c r="VEF113" s="3"/>
      <c r="VEG113" s="3"/>
      <c r="VEH113" s="3"/>
      <c r="VEI113" s="3"/>
      <c r="VEJ113" s="3"/>
      <c r="VEK113" s="3"/>
      <c r="VEL113" s="3"/>
      <c r="VEM113" s="3"/>
      <c r="VEN113" s="3"/>
      <c r="VEO113" s="3"/>
      <c r="VEP113" s="3"/>
      <c r="VEQ113" s="3"/>
      <c r="VER113" s="3"/>
      <c r="VES113" s="3"/>
      <c r="VET113" s="3"/>
      <c r="VEU113" s="3"/>
      <c r="VEV113" s="3"/>
      <c r="VEW113" s="3"/>
      <c r="VEX113" s="3"/>
      <c r="VEY113" s="3"/>
      <c r="VEZ113" s="3"/>
      <c r="VFA113" s="3"/>
      <c r="VFB113" s="3"/>
      <c r="VFC113" s="3"/>
      <c r="VFD113" s="3"/>
      <c r="VFE113" s="3"/>
      <c r="VFF113" s="3"/>
      <c r="VFG113" s="3"/>
      <c r="VFH113" s="3"/>
      <c r="VFI113" s="3"/>
      <c r="VFJ113" s="3"/>
      <c r="VFK113" s="3"/>
      <c r="VFL113" s="3"/>
      <c r="VFM113" s="3"/>
      <c r="VFN113" s="3"/>
      <c r="VFO113" s="3"/>
      <c r="VFP113" s="3"/>
      <c r="VFQ113" s="3"/>
      <c r="VFR113" s="3"/>
      <c r="VFS113" s="3"/>
      <c r="VFT113" s="3"/>
      <c r="VFU113" s="3"/>
      <c r="VFV113" s="3"/>
      <c r="VFW113" s="3"/>
      <c r="VFX113" s="3"/>
      <c r="VFY113" s="3"/>
      <c r="VFZ113" s="3"/>
      <c r="VGA113" s="3"/>
      <c r="VGB113" s="3"/>
      <c r="VGC113" s="3"/>
      <c r="VGD113" s="3"/>
      <c r="VGE113"/>
      <c r="VGF113"/>
      <c r="VGG113"/>
      <c r="VGH113"/>
      <c r="VGI113"/>
      <c r="VGJ113"/>
      <c r="VGK113"/>
      <c r="VGL113"/>
      <c r="VGM113"/>
      <c r="VGN113"/>
      <c r="VGO113"/>
      <c r="VGP113"/>
      <c r="VGQ113"/>
      <c r="VGR113"/>
      <c r="VGS113"/>
      <c r="VGT113"/>
      <c r="VGU113"/>
      <c r="VGV113"/>
      <c r="VGW113"/>
      <c r="VGX113"/>
      <c r="VGY113"/>
      <c r="VGZ113"/>
      <c r="VHA113"/>
      <c r="VHB113"/>
      <c r="VHC113"/>
      <c r="VHD113"/>
      <c r="VHE113"/>
      <c r="VHF113"/>
      <c r="VHG113"/>
      <c r="VHH113"/>
      <c r="VHI113"/>
      <c r="VHJ113"/>
      <c r="VHK113"/>
      <c r="VHL113"/>
      <c r="VHM113"/>
      <c r="VHN113"/>
      <c r="VHO113"/>
      <c r="VHP113"/>
      <c r="VHQ113"/>
      <c r="VHR113"/>
      <c r="VHS113"/>
      <c r="VHT113"/>
      <c r="VHU113"/>
      <c r="VHV113"/>
      <c r="VHW113"/>
      <c r="VHX113"/>
      <c r="VHY113"/>
      <c r="VHZ113"/>
      <c r="VIA113"/>
      <c r="VIB113"/>
      <c r="VIC113"/>
      <c r="VID113"/>
      <c r="VIE113"/>
      <c r="VIF113"/>
      <c r="VIG113"/>
      <c r="VIH113"/>
      <c r="VII113"/>
      <c r="VIJ113"/>
      <c r="VIK113"/>
      <c r="VIL113"/>
      <c r="VIM113"/>
      <c r="VIN113"/>
      <c r="VIO113"/>
      <c r="VIP113"/>
      <c r="VIQ113"/>
      <c r="VIR113"/>
      <c r="VIS113"/>
      <c r="VIT113"/>
      <c r="VIU113"/>
      <c r="VIV113"/>
      <c r="VIW113"/>
      <c r="VIX113"/>
      <c r="VIY113"/>
      <c r="VIZ113"/>
      <c r="VJA113"/>
      <c r="VJB113"/>
      <c r="VJC113"/>
      <c r="VJD113"/>
      <c r="VJE113"/>
      <c r="VJF113"/>
      <c r="VJG113"/>
      <c r="VJH113"/>
      <c r="VJI113"/>
      <c r="VJJ113"/>
      <c r="VJK113"/>
      <c r="VJL113"/>
      <c r="VJM113"/>
      <c r="VJN113"/>
      <c r="VJO113"/>
      <c r="VJP113"/>
      <c r="VJQ113"/>
      <c r="VJR113"/>
      <c r="VJS113"/>
      <c r="VJT113"/>
      <c r="VJU113"/>
      <c r="VJV113"/>
      <c r="VJW113"/>
      <c r="VJX113"/>
      <c r="VJY113"/>
      <c r="VJZ113"/>
      <c r="VKA113"/>
      <c r="VKB113"/>
      <c r="VKC113"/>
      <c r="VKD113"/>
      <c r="VKE113"/>
      <c r="VKF113"/>
      <c r="VKG113"/>
      <c r="VKH113"/>
      <c r="VKI113"/>
      <c r="VKJ113"/>
      <c r="VKK113"/>
      <c r="VKL113"/>
      <c r="VKM113"/>
      <c r="VKN113"/>
      <c r="VKO113"/>
      <c r="VKP113"/>
      <c r="VKQ113"/>
      <c r="VKR113"/>
      <c r="VKS113"/>
      <c r="VKT113"/>
      <c r="VKU113"/>
      <c r="VKV113"/>
      <c r="VKW113"/>
      <c r="VKX113"/>
      <c r="VKY113"/>
      <c r="VKZ113"/>
      <c r="VLA113"/>
      <c r="VLB113"/>
      <c r="VLC113"/>
      <c r="VLD113"/>
      <c r="VLE113"/>
      <c r="VLF113"/>
      <c r="VLG113"/>
      <c r="VLH113"/>
      <c r="VLI113"/>
      <c r="VLJ113"/>
      <c r="VLK113"/>
      <c r="VLL113"/>
      <c r="VLM113"/>
      <c r="VLN113"/>
      <c r="VLO113"/>
      <c r="VLP113"/>
      <c r="VLQ113"/>
      <c r="VLR113"/>
      <c r="VLS113"/>
      <c r="VLT113"/>
      <c r="VLU113"/>
      <c r="VLV113"/>
      <c r="VLW113"/>
      <c r="VLX113"/>
      <c r="VLY113"/>
      <c r="VLZ113"/>
      <c r="VMA113"/>
      <c r="VMB113"/>
      <c r="VMC113"/>
      <c r="VMD113"/>
      <c r="VME113"/>
      <c r="VMF113"/>
      <c r="VMG113"/>
      <c r="VMH113"/>
      <c r="VMI113"/>
      <c r="VMJ113"/>
      <c r="VMK113"/>
      <c r="VML113"/>
      <c r="VMM113"/>
      <c r="VMN113"/>
      <c r="VMO113"/>
      <c r="VMP113"/>
      <c r="VMQ113"/>
      <c r="VMR113"/>
      <c r="VMS113"/>
      <c r="VMT113"/>
      <c r="VMU113"/>
      <c r="VMV113"/>
      <c r="VMW113"/>
      <c r="VMX113"/>
      <c r="VMY113"/>
      <c r="VMZ113"/>
      <c r="VNA113"/>
      <c r="VNB113"/>
      <c r="VNC113"/>
      <c r="VND113"/>
      <c r="VNE113"/>
      <c r="VNF113"/>
      <c r="VNG113"/>
      <c r="VNH113"/>
      <c r="VNI113"/>
      <c r="VNJ113"/>
      <c r="VNK113"/>
      <c r="VNL113"/>
      <c r="VNM113"/>
      <c r="VNN113"/>
      <c r="VNO113"/>
      <c r="VNP113"/>
      <c r="VNQ113"/>
      <c r="VNR113"/>
      <c r="VNS113"/>
      <c r="VNT113"/>
      <c r="VNU113"/>
      <c r="VNV113"/>
      <c r="VNW113"/>
      <c r="VNX113"/>
      <c r="VNY113"/>
      <c r="VNZ113"/>
      <c r="VOA113"/>
      <c r="VOB113"/>
      <c r="VOC113"/>
      <c r="VOD113"/>
      <c r="VOE113"/>
      <c r="VOF113"/>
      <c r="VOG113"/>
      <c r="VOH113"/>
      <c r="VOI113"/>
      <c r="VOJ113"/>
      <c r="VOK113"/>
      <c r="VOL113"/>
      <c r="VOM113"/>
      <c r="VON113"/>
      <c r="VOO113"/>
      <c r="VOP113"/>
      <c r="VOQ113"/>
      <c r="VOR113"/>
      <c r="VOS113"/>
      <c r="VOT113"/>
      <c r="VOU113"/>
      <c r="VOV113"/>
      <c r="VOW113"/>
      <c r="VOX113"/>
      <c r="VOY113"/>
      <c r="VOZ113"/>
      <c r="VPA113"/>
      <c r="VPB113"/>
      <c r="VPC113"/>
      <c r="VPD113"/>
      <c r="VPE113"/>
      <c r="VPF113"/>
      <c r="VPG113"/>
      <c r="VPH113"/>
      <c r="VPI113"/>
      <c r="VPJ113"/>
      <c r="VPK113"/>
      <c r="VPL113"/>
      <c r="VPM113"/>
      <c r="VPN113"/>
      <c r="VPO113"/>
      <c r="VPP113"/>
      <c r="VPQ113"/>
      <c r="VPR113"/>
      <c r="VPS113"/>
      <c r="VPT113"/>
      <c r="VPU113"/>
      <c r="VPV113"/>
      <c r="VPW113"/>
      <c r="VPX113"/>
      <c r="VPY113"/>
      <c r="VPZ113"/>
      <c r="VQA113"/>
      <c r="VQB113"/>
      <c r="VQC113"/>
      <c r="VQD113"/>
      <c r="VQE113"/>
      <c r="VQF113"/>
      <c r="VQG113"/>
      <c r="VQH113"/>
      <c r="VQI113"/>
      <c r="VQJ113"/>
      <c r="VQK113"/>
      <c r="VQL113"/>
      <c r="VQM113"/>
      <c r="VQN113"/>
      <c r="VQO113"/>
      <c r="VQP113"/>
      <c r="VQQ113"/>
      <c r="VQR113"/>
      <c r="VQS113"/>
      <c r="VQT113"/>
      <c r="VQU113"/>
      <c r="VQV113"/>
      <c r="VQW113"/>
      <c r="VQX113"/>
      <c r="VQY113"/>
      <c r="VQZ113"/>
      <c r="VRA113"/>
      <c r="VRB113"/>
      <c r="VRC113"/>
      <c r="VRD113"/>
      <c r="VRE113"/>
      <c r="VRF113"/>
      <c r="VRG113"/>
      <c r="VRH113"/>
      <c r="VRI113"/>
      <c r="VRJ113"/>
      <c r="VRK113"/>
      <c r="VRL113"/>
      <c r="VRM113"/>
      <c r="VRN113"/>
      <c r="VRO113"/>
      <c r="VRP113"/>
      <c r="VRQ113"/>
      <c r="VRR113"/>
      <c r="VRS113"/>
      <c r="VRT113"/>
      <c r="VRU113"/>
      <c r="VRV113"/>
      <c r="VRW113"/>
      <c r="VRX113"/>
      <c r="VRY113"/>
      <c r="VRZ113"/>
      <c r="VSA113"/>
      <c r="VSB113"/>
      <c r="VSC113"/>
      <c r="VSD113"/>
      <c r="VSE113"/>
      <c r="VSF113"/>
      <c r="VSG113"/>
      <c r="VSH113"/>
      <c r="VSI113"/>
      <c r="VSJ113"/>
      <c r="VSK113"/>
      <c r="VSL113"/>
      <c r="VSM113"/>
      <c r="VSN113"/>
      <c r="VSO113"/>
      <c r="VSP113"/>
      <c r="VSQ113"/>
      <c r="VSR113"/>
      <c r="VSS113"/>
      <c r="VST113"/>
      <c r="VSU113"/>
      <c r="VSV113"/>
      <c r="VSW113"/>
      <c r="VSX113"/>
      <c r="VSY113"/>
      <c r="VSZ113"/>
      <c r="VTA113"/>
      <c r="VTB113"/>
      <c r="VTC113"/>
      <c r="VTD113"/>
      <c r="VTE113"/>
      <c r="VTF113"/>
      <c r="VTG113"/>
      <c r="VTH113"/>
      <c r="VTI113"/>
      <c r="VTJ113"/>
      <c r="VTK113"/>
      <c r="VTL113"/>
      <c r="VTM113"/>
      <c r="VTN113"/>
      <c r="VTO113"/>
      <c r="VTP113"/>
      <c r="VTQ113"/>
      <c r="VTR113"/>
      <c r="VTS113"/>
      <c r="VTT113"/>
      <c r="VTU113"/>
      <c r="VTV113"/>
      <c r="VTW113"/>
      <c r="VTX113"/>
      <c r="VTY113"/>
      <c r="VTZ113"/>
      <c r="VUA113"/>
      <c r="VUB113"/>
      <c r="VUC113"/>
      <c r="VUD113"/>
      <c r="VUE113"/>
      <c r="VUF113"/>
      <c r="VUG113"/>
      <c r="VUH113"/>
      <c r="VUI113"/>
      <c r="VUJ113"/>
      <c r="VUK113"/>
      <c r="VUL113"/>
      <c r="VUM113"/>
      <c r="VUN113"/>
      <c r="VUO113"/>
      <c r="VUP113"/>
      <c r="VUQ113"/>
      <c r="VUR113"/>
      <c r="VUS113"/>
      <c r="VUT113"/>
      <c r="VUU113"/>
      <c r="VUV113"/>
      <c r="VUW113"/>
      <c r="VUX113"/>
      <c r="VUY113"/>
      <c r="VUZ113"/>
      <c r="VVA113"/>
      <c r="VVB113"/>
      <c r="VVC113"/>
      <c r="VVD113"/>
      <c r="VVE113"/>
      <c r="VVF113"/>
      <c r="VVG113"/>
    </row>
    <row r="114" spans="1:15451" s="1" customFormat="1" ht="14.25">
      <c r="B114" s="55"/>
      <c r="C114" s="218" t="s">
        <v>67</v>
      </c>
      <c r="D114" s="59"/>
      <c r="E114" s="55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105"/>
      <c r="AL114" s="153" t="s">
        <v>67</v>
      </c>
      <c r="AN114" s="106"/>
      <c r="EB114" s="233"/>
      <c r="EC114" s="233"/>
      <c r="FI114" s="233"/>
    </row>
    <row r="115" spans="1:15451" s="1" customFormat="1" ht="14.25">
      <c r="B115" s="55"/>
      <c r="C115" s="137" t="s">
        <v>80</v>
      </c>
      <c r="D115" s="59"/>
      <c r="E115" s="219" t="s">
        <v>69</v>
      </c>
      <c r="F115" s="138">
        <v>0</v>
      </c>
      <c r="G115" s="138">
        <v>0</v>
      </c>
      <c r="H115" s="138">
        <v>0</v>
      </c>
      <c r="I115" s="44">
        <v>11</v>
      </c>
      <c r="J115" s="138">
        <v>0</v>
      </c>
      <c r="K115" s="138">
        <v>0</v>
      </c>
      <c r="L115" s="138">
        <v>0</v>
      </c>
      <c r="M115" s="138">
        <v>0</v>
      </c>
      <c r="N115" s="138">
        <v>0</v>
      </c>
      <c r="O115" s="138">
        <v>0</v>
      </c>
      <c r="P115" s="44">
        <v>11</v>
      </c>
      <c r="Q115" s="138">
        <v>0</v>
      </c>
      <c r="R115" s="138">
        <v>0</v>
      </c>
      <c r="S115" s="138">
        <v>0</v>
      </c>
      <c r="T115" s="138">
        <v>0</v>
      </c>
      <c r="U115" s="138">
        <v>0</v>
      </c>
      <c r="V115" s="138">
        <v>0</v>
      </c>
      <c r="W115" s="44">
        <v>0</v>
      </c>
      <c r="X115" s="138">
        <v>0</v>
      </c>
      <c r="Y115" s="138">
        <v>0</v>
      </c>
      <c r="Z115" s="138">
        <v>0</v>
      </c>
      <c r="AA115" s="138">
        <v>0</v>
      </c>
      <c r="AB115" s="138">
        <v>0</v>
      </c>
      <c r="AC115" s="138">
        <v>0</v>
      </c>
      <c r="AD115" s="44">
        <v>1</v>
      </c>
      <c r="AE115" s="138">
        <v>0</v>
      </c>
      <c r="AF115" s="138">
        <v>0</v>
      </c>
      <c r="AG115" s="138">
        <v>0</v>
      </c>
      <c r="AH115" s="138">
        <v>0</v>
      </c>
      <c r="AI115" s="138">
        <v>0</v>
      </c>
      <c r="AJ115" s="138">
        <v>0</v>
      </c>
      <c r="AK115" s="105"/>
      <c r="AL115" s="155">
        <f>SUM(F115:AJ115)</f>
        <v>23</v>
      </c>
      <c r="AN115" s="106"/>
      <c r="EB115" s="233"/>
      <c r="EC115" s="233"/>
      <c r="FI115" s="233"/>
    </row>
    <row r="116" spans="1:15451" s="1" customFormat="1" ht="14.25">
      <c r="B116" s="55"/>
      <c r="C116" s="137" t="s">
        <v>81</v>
      </c>
      <c r="D116" s="59"/>
      <c r="E116" s="219" t="s">
        <v>69</v>
      </c>
      <c r="F116" s="138">
        <v>0</v>
      </c>
      <c r="G116" s="138">
        <v>0</v>
      </c>
      <c r="H116" s="138">
        <v>0</v>
      </c>
      <c r="I116" s="44">
        <v>13</v>
      </c>
      <c r="J116" s="138">
        <v>0</v>
      </c>
      <c r="K116" s="138">
        <v>0</v>
      </c>
      <c r="L116" s="138">
        <v>0</v>
      </c>
      <c r="M116" s="138">
        <v>0</v>
      </c>
      <c r="N116" s="138">
        <v>0</v>
      </c>
      <c r="O116" s="138">
        <v>0</v>
      </c>
      <c r="P116" s="44">
        <v>11</v>
      </c>
      <c r="Q116" s="138">
        <v>0</v>
      </c>
      <c r="R116" s="138">
        <v>2</v>
      </c>
      <c r="S116" s="138">
        <v>0</v>
      </c>
      <c r="T116" s="138">
        <v>0</v>
      </c>
      <c r="U116" s="138">
        <v>0</v>
      </c>
      <c r="V116" s="138">
        <v>0</v>
      </c>
      <c r="W116" s="44">
        <v>4</v>
      </c>
      <c r="X116" s="138">
        <v>0</v>
      </c>
      <c r="Y116" s="138">
        <v>0</v>
      </c>
      <c r="Z116" s="138">
        <v>0</v>
      </c>
      <c r="AA116" s="138">
        <v>0</v>
      </c>
      <c r="AB116" s="138">
        <v>0</v>
      </c>
      <c r="AC116" s="138">
        <v>0</v>
      </c>
      <c r="AD116" s="44">
        <v>2</v>
      </c>
      <c r="AE116" s="138">
        <v>0</v>
      </c>
      <c r="AF116" s="138">
        <v>0</v>
      </c>
      <c r="AG116" s="138">
        <v>0</v>
      </c>
      <c r="AH116" s="138">
        <v>0</v>
      </c>
      <c r="AI116" s="138">
        <v>0</v>
      </c>
      <c r="AJ116" s="138">
        <v>0</v>
      </c>
      <c r="AK116" s="105"/>
      <c r="AL116" s="155">
        <f>SUM(F116:AJ116)</f>
        <v>32</v>
      </c>
      <c r="AN116" s="106"/>
      <c r="EB116" s="233"/>
      <c r="EC116" s="233"/>
      <c r="FI116" s="233"/>
    </row>
    <row r="117" spans="1:15451" s="1" customFormat="1" ht="14.25">
      <c r="B117" s="55"/>
      <c r="C117" s="218" t="s">
        <v>71</v>
      </c>
      <c r="D117" s="59"/>
      <c r="E117" s="55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105"/>
      <c r="AL117" s="153" t="s">
        <v>71</v>
      </c>
      <c r="AN117" s="106"/>
      <c r="EB117" s="233"/>
      <c r="EC117" s="233"/>
      <c r="FI117" s="233"/>
    </row>
    <row r="118" spans="1:15451" s="1" customFormat="1" ht="14.25">
      <c r="B118" s="55"/>
      <c r="C118" s="137" t="s">
        <v>80</v>
      </c>
      <c r="D118" s="59"/>
      <c r="E118" s="219" t="s">
        <v>71</v>
      </c>
      <c r="F118" s="138">
        <v>0</v>
      </c>
      <c r="G118" s="138">
        <v>0</v>
      </c>
      <c r="H118" s="138">
        <v>0</v>
      </c>
      <c r="I118" s="44">
        <v>20</v>
      </c>
      <c r="J118" s="138">
        <v>0</v>
      </c>
      <c r="K118" s="44">
        <v>0</v>
      </c>
      <c r="L118" s="138">
        <v>0</v>
      </c>
      <c r="M118" s="138">
        <v>0</v>
      </c>
      <c r="N118" s="138">
        <v>0</v>
      </c>
      <c r="O118" s="138">
        <v>0</v>
      </c>
      <c r="P118" s="44">
        <v>7</v>
      </c>
      <c r="Q118" s="44">
        <v>0</v>
      </c>
      <c r="R118" s="44">
        <v>3</v>
      </c>
      <c r="S118" s="44">
        <v>0</v>
      </c>
      <c r="T118" s="44">
        <v>0</v>
      </c>
      <c r="U118" s="44">
        <v>0</v>
      </c>
      <c r="V118" s="44">
        <v>0</v>
      </c>
      <c r="W118" s="44">
        <v>16</v>
      </c>
      <c r="X118" s="44">
        <v>0</v>
      </c>
      <c r="Y118" s="44">
        <v>0</v>
      </c>
      <c r="Z118" s="44">
        <v>0</v>
      </c>
      <c r="AA118" s="44">
        <v>0</v>
      </c>
      <c r="AB118" s="44">
        <v>0</v>
      </c>
      <c r="AC118" s="44">
        <v>0</v>
      </c>
      <c r="AD118" s="44">
        <v>10</v>
      </c>
      <c r="AE118" s="44">
        <v>0</v>
      </c>
      <c r="AF118" s="44">
        <v>0</v>
      </c>
      <c r="AG118" s="44">
        <v>0</v>
      </c>
      <c r="AH118" s="44">
        <v>0</v>
      </c>
      <c r="AI118" s="44">
        <v>0</v>
      </c>
      <c r="AJ118" s="44">
        <v>0</v>
      </c>
      <c r="AK118" s="105"/>
      <c r="AL118" s="155">
        <f>SUM(F118:AJ118)</f>
        <v>56</v>
      </c>
      <c r="AN118" s="106"/>
      <c r="EB118" s="233"/>
      <c r="EC118" s="233"/>
      <c r="FI118" s="233"/>
    </row>
    <row r="119" spans="1:15451" s="1" customFormat="1" ht="14.25">
      <c r="B119" s="55"/>
      <c r="C119" s="137" t="s">
        <v>81</v>
      </c>
      <c r="D119" s="59"/>
      <c r="E119" s="219" t="s">
        <v>71</v>
      </c>
      <c r="F119" s="138">
        <v>0</v>
      </c>
      <c r="G119" s="138">
        <v>0</v>
      </c>
      <c r="H119" s="138">
        <v>0</v>
      </c>
      <c r="I119" s="44">
        <v>7</v>
      </c>
      <c r="J119" s="138">
        <v>0</v>
      </c>
      <c r="K119" s="44">
        <v>8</v>
      </c>
      <c r="L119" s="138">
        <v>0</v>
      </c>
      <c r="M119" s="138">
        <v>0</v>
      </c>
      <c r="N119" s="138">
        <v>0</v>
      </c>
      <c r="O119" s="138">
        <v>0</v>
      </c>
      <c r="P119" s="44">
        <v>0</v>
      </c>
      <c r="Q119" s="44">
        <v>0</v>
      </c>
      <c r="R119" s="44">
        <v>5</v>
      </c>
      <c r="S119" s="44">
        <v>0</v>
      </c>
      <c r="T119" s="44">
        <v>0</v>
      </c>
      <c r="U119" s="44">
        <v>0</v>
      </c>
      <c r="V119" s="44">
        <v>0</v>
      </c>
      <c r="W119" s="44">
        <v>8</v>
      </c>
      <c r="X119" s="44">
        <v>0</v>
      </c>
      <c r="Y119" s="44">
        <v>14</v>
      </c>
      <c r="Z119" s="44">
        <v>0</v>
      </c>
      <c r="AA119" s="44">
        <v>0</v>
      </c>
      <c r="AB119" s="44">
        <v>0</v>
      </c>
      <c r="AC119" s="44">
        <v>0</v>
      </c>
      <c r="AD119" s="44">
        <v>17</v>
      </c>
      <c r="AE119" s="44">
        <v>0</v>
      </c>
      <c r="AF119" s="44">
        <v>0</v>
      </c>
      <c r="AG119" s="44">
        <v>0</v>
      </c>
      <c r="AH119" s="44">
        <v>0</v>
      </c>
      <c r="AI119" s="44">
        <v>0</v>
      </c>
      <c r="AJ119" s="44">
        <v>0</v>
      </c>
      <c r="AK119" s="105"/>
      <c r="AL119" s="155">
        <f>SUM(F119:AJ119)</f>
        <v>59</v>
      </c>
      <c r="AN119" s="106"/>
      <c r="EB119" s="233"/>
      <c r="EC119" s="233"/>
      <c r="FI119" s="233"/>
    </row>
    <row r="120" spans="1:15451" s="1" customFormat="1" hidden="1">
      <c r="A120" s="3"/>
      <c r="B120" s="41"/>
      <c r="C120" s="20" t="s">
        <v>78</v>
      </c>
      <c r="D120" s="39"/>
      <c r="E120" s="39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91"/>
      <c r="AD120" s="40"/>
      <c r="AE120" s="40"/>
      <c r="AF120" s="40"/>
      <c r="AG120" s="40"/>
      <c r="AH120" s="40"/>
      <c r="AI120" s="40"/>
      <c r="AJ120" s="40"/>
      <c r="AK120" s="95"/>
      <c r="AL120" s="203" t="s">
        <v>77</v>
      </c>
      <c r="AM120" s="3"/>
      <c r="AN120" s="14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252"/>
      <c r="EC120" s="252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252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  <c r="SG120" s="3"/>
      <c r="SH120" s="3"/>
      <c r="SI120" s="3"/>
      <c r="SJ120" s="3"/>
      <c r="SK120" s="3"/>
      <c r="SL120" s="3"/>
      <c r="SM120" s="3"/>
      <c r="SN120" s="3"/>
      <c r="SO120" s="3"/>
      <c r="SP120" s="3"/>
      <c r="SQ120" s="3"/>
      <c r="SR120" s="3"/>
      <c r="SS120" s="3"/>
      <c r="ST120" s="3"/>
      <c r="SU120" s="3"/>
      <c r="SV120" s="3"/>
      <c r="SW120" s="3"/>
      <c r="SX120" s="3"/>
      <c r="SY120" s="3"/>
      <c r="SZ120" s="3"/>
      <c r="TA120" s="3"/>
      <c r="TB120" s="3"/>
      <c r="TC120" s="3"/>
      <c r="TD120" s="3"/>
      <c r="TE120" s="3"/>
      <c r="TF120" s="3"/>
      <c r="TG120" s="3"/>
      <c r="TH120" s="3"/>
      <c r="TI120" s="3"/>
      <c r="TJ120" s="3"/>
      <c r="TK120" s="3"/>
      <c r="TL120" s="3"/>
      <c r="TM120" s="3"/>
      <c r="TN120" s="3"/>
      <c r="TO120" s="3"/>
      <c r="TP120" s="3"/>
      <c r="TQ120" s="3"/>
      <c r="TR120" s="3"/>
      <c r="TS120" s="3"/>
      <c r="TT120" s="3"/>
      <c r="TU120" s="3"/>
      <c r="TV120" s="3"/>
      <c r="TW120" s="3"/>
      <c r="TX120" s="3"/>
      <c r="TY120" s="3"/>
      <c r="TZ120" s="3"/>
      <c r="UA120" s="3"/>
      <c r="UB120" s="3"/>
      <c r="UC120" s="3"/>
      <c r="UD120" s="3"/>
      <c r="UE120" s="3"/>
      <c r="UF120" s="3"/>
      <c r="UG120" s="3"/>
      <c r="UH120" s="3"/>
      <c r="UI120" s="3"/>
      <c r="UJ120" s="3"/>
      <c r="UK120" s="3"/>
      <c r="UL120" s="3"/>
      <c r="UM120" s="3"/>
      <c r="UN120" s="3"/>
      <c r="UO120" s="3"/>
      <c r="UP120" s="3"/>
      <c r="UQ120" s="3"/>
      <c r="UR120" s="3"/>
      <c r="US120" s="3"/>
      <c r="UT120" s="3"/>
      <c r="UU120" s="3"/>
      <c r="UV120" s="3"/>
      <c r="UW120" s="3"/>
      <c r="UX120" s="3"/>
      <c r="UY120" s="3"/>
      <c r="UZ120" s="3"/>
      <c r="VA120" s="3"/>
      <c r="VB120" s="3"/>
      <c r="VC120" s="3"/>
      <c r="VD120" s="3"/>
      <c r="VE120" s="3"/>
      <c r="VF120" s="3"/>
      <c r="VG120" s="3"/>
      <c r="VH120" s="3"/>
      <c r="VI120" s="3"/>
      <c r="VJ120" s="3"/>
      <c r="VK120" s="3"/>
      <c r="VL120" s="3"/>
      <c r="VM120" s="3"/>
      <c r="VN120" s="3"/>
      <c r="VO120" s="3"/>
      <c r="VP120" s="3"/>
      <c r="VQ120" s="3"/>
      <c r="VR120" s="3"/>
      <c r="VS120" s="3"/>
      <c r="VT120" s="3"/>
      <c r="VU120" s="3"/>
      <c r="VV120" s="3"/>
      <c r="VW120" s="3"/>
      <c r="VX120" s="3"/>
      <c r="VY120" s="3"/>
      <c r="VZ120" s="3"/>
      <c r="WA120" s="3"/>
      <c r="WB120" s="3"/>
      <c r="WC120" s="3"/>
      <c r="WD120" s="3"/>
      <c r="WE120" s="3"/>
      <c r="WF120" s="3"/>
      <c r="WG120" s="3"/>
      <c r="WH120" s="3"/>
      <c r="WI120" s="3"/>
      <c r="WJ120" s="3"/>
      <c r="WK120" s="3"/>
      <c r="WL120" s="3"/>
      <c r="WM120" s="3"/>
      <c r="WN120" s="3"/>
      <c r="WO120" s="3"/>
      <c r="WP120" s="3"/>
      <c r="WQ120" s="3"/>
      <c r="WR120" s="3"/>
      <c r="WS120" s="3"/>
      <c r="WT120" s="3"/>
      <c r="WU120" s="3"/>
      <c r="WV120" s="3"/>
      <c r="WW120" s="3"/>
      <c r="WX120" s="3"/>
      <c r="WY120" s="3"/>
      <c r="WZ120" s="3"/>
      <c r="XA120" s="3"/>
      <c r="XB120" s="3"/>
      <c r="XC120" s="3"/>
      <c r="XD120" s="3"/>
      <c r="XE120" s="3"/>
      <c r="XF120" s="3"/>
      <c r="XG120" s="3"/>
      <c r="XH120" s="3"/>
      <c r="XI120" s="3"/>
      <c r="XJ120" s="3"/>
      <c r="XK120" s="3"/>
      <c r="XL120" s="3"/>
      <c r="XM120" s="3"/>
      <c r="XN120" s="3"/>
      <c r="XO120" s="3"/>
      <c r="XP120" s="3"/>
      <c r="XQ120" s="3"/>
      <c r="XR120" s="3"/>
      <c r="XS120" s="3"/>
      <c r="XT120" s="3"/>
      <c r="XU120" s="3"/>
      <c r="XV120" s="3"/>
      <c r="XW120" s="3"/>
      <c r="XX120" s="3"/>
      <c r="XY120" s="3"/>
      <c r="XZ120" s="3"/>
      <c r="YA120" s="3"/>
      <c r="YB120" s="3"/>
      <c r="YC120" s="3"/>
      <c r="YD120" s="3"/>
      <c r="YE120" s="3"/>
      <c r="YF120" s="3"/>
      <c r="YG120" s="3"/>
      <c r="YH120" s="3"/>
      <c r="YI120" s="3"/>
      <c r="YJ120" s="3"/>
      <c r="YK120" s="3"/>
      <c r="YL120" s="3"/>
      <c r="YM120" s="3"/>
      <c r="YN120" s="3"/>
      <c r="YO120" s="3"/>
      <c r="YP120" s="3"/>
      <c r="YQ120" s="3"/>
      <c r="YR120" s="3"/>
      <c r="YS120" s="3"/>
      <c r="YT120" s="3"/>
      <c r="YU120" s="3"/>
      <c r="YV120" s="3"/>
      <c r="YW120" s="3"/>
      <c r="YX120" s="3"/>
      <c r="YY120" s="3"/>
      <c r="YZ120" s="3"/>
      <c r="ZA120" s="3"/>
      <c r="ZB120" s="3"/>
      <c r="ZC120" s="3"/>
      <c r="ZD120" s="3"/>
      <c r="ZE120" s="3"/>
      <c r="ZF120" s="3"/>
      <c r="ZG120" s="3"/>
      <c r="ZH120" s="3"/>
      <c r="ZI120" s="3"/>
      <c r="ZJ120" s="3"/>
      <c r="ZK120" s="3"/>
      <c r="ZL120" s="3"/>
      <c r="ZM120" s="3"/>
      <c r="ZN120" s="3"/>
      <c r="ZO120" s="3"/>
      <c r="ZP120" s="3"/>
      <c r="ZQ120" s="3"/>
      <c r="ZR120" s="3"/>
      <c r="ZS120" s="3"/>
      <c r="ZT120" s="3"/>
      <c r="ZU120" s="3"/>
      <c r="ZV120" s="3"/>
      <c r="ZW120" s="3"/>
      <c r="ZX120" s="3"/>
      <c r="ZY120" s="3"/>
      <c r="ZZ120" s="3"/>
      <c r="AAA120" s="3"/>
      <c r="AAB120" s="3"/>
      <c r="AAC120" s="3"/>
      <c r="AAD120" s="3"/>
      <c r="AAE120" s="3"/>
      <c r="AAF120" s="3"/>
      <c r="AAG120" s="3"/>
      <c r="AAH120" s="3"/>
      <c r="AAI120" s="3"/>
      <c r="AAJ120" s="3"/>
      <c r="AAK120" s="3"/>
      <c r="AAL120" s="3"/>
      <c r="AAM120" s="3"/>
      <c r="AAN120" s="3"/>
      <c r="AAO120" s="3"/>
      <c r="AAP120" s="3"/>
      <c r="AAQ120" s="3"/>
      <c r="AAR120" s="3"/>
      <c r="AAS120" s="3"/>
      <c r="AAT120" s="3"/>
      <c r="AAU120" s="3"/>
      <c r="AAV120" s="3"/>
      <c r="AAW120" s="3"/>
      <c r="AAX120" s="3"/>
      <c r="AAY120" s="3"/>
      <c r="AAZ120" s="3"/>
      <c r="ABA120" s="3"/>
      <c r="ABB120" s="3"/>
      <c r="ABC120" s="3"/>
      <c r="ABD120" s="3"/>
      <c r="ABE120" s="3"/>
      <c r="ABF120" s="3"/>
      <c r="ABG120" s="3"/>
      <c r="ABH120" s="3"/>
      <c r="ABI120" s="3"/>
      <c r="ABJ120" s="3"/>
      <c r="ABK120" s="3"/>
      <c r="ABL120" s="3"/>
      <c r="ABM120" s="3"/>
      <c r="ABN120" s="3"/>
      <c r="ABO120" s="3"/>
      <c r="ABP120" s="3"/>
      <c r="ABQ120" s="3"/>
      <c r="ABR120" s="3"/>
      <c r="ABS120" s="3"/>
      <c r="ABT120" s="3"/>
      <c r="ABU120" s="3"/>
      <c r="ABV120" s="3"/>
      <c r="ABW120" s="3"/>
      <c r="ABX120" s="3"/>
      <c r="ABY120" s="3"/>
      <c r="ABZ120" s="3"/>
      <c r="ACA120" s="3"/>
      <c r="ACB120" s="3"/>
      <c r="ACC120" s="3"/>
      <c r="ACD120" s="3"/>
      <c r="ACE120" s="3"/>
      <c r="ACF120" s="3"/>
      <c r="ACG120" s="3"/>
      <c r="ACH120" s="3"/>
      <c r="ACI120" s="3"/>
      <c r="ACJ120" s="3"/>
      <c r="ACK120" s="3"/>
      <c r="ACL120" s="3"/>
      <c r="ACM120" s="3"/>
      <c r="ACN120" s="3"/>
      <c r="ACO120" s="3"/>
      <c r="ACP120" s="3"/>
      <c r="ACQ120" s="3"/>
      <c r="ACR120" s="3"/>
      <c r="ACS120" s="3"/>
      <c r="ACT120" s="3"/>
      <c r="ACU120" s="3"/>
      <c r="ACV120" s="3"/>
      <c r="ACW120" s="3"/>
      <c r="ACX120" s="3"/>
      <c r="ACY120" s="3"/>
      <c r="ACZ120" s="3"/>
      <c r="ADA120" s="3"/>
      <c r="ADB120" s="3"/>
      <c r="ADC120" s="3"/>
      <c r="ADD120" s="3"/>
      <c r="ADE120" s="3"/>
      <c r="ADF120" s="3"/>
      <c r="ADG120" s="3"/>
      <c r="ADH120" s="3"/>
      <c r="ADI120" s="3"/>
      <c r="ADJ120" s="3"/>
      <c r="ADK120" s="3"/>
      <c r="ADL120" s="3"/>
      <c r="ADM120" s="3"/>
      <c r="ADN120" s="3"/>
      <c r="ADO120" s="3"/>
      <c r="ADP120" s="3"/>
      <c r="ADQ120" s="3"/>
      <c r="ADR120" s="3"/>
      <c r="ADS120" s="3"/>
      <c r="ADT120" s="3"/>
      <c r="ADU120" s="3"/>
      <c r="ADV120" s="3"/>
      <c r="ADW120" s="3"/>
      <c r="ADX120" s="3"/>
      <c r="ADY120" s="3"/>
      <c r="ADZ120" s="3"/>
      <c r="AEA120" s="3"/>
      <c r="AEB120" s="3"/>
      <c r="AEC120" s="3"/>
      <c r="AED120" s="3"/>
      <c r="AEE120" s="3"/>
      <c r="AEF120" s="3"/>
      <c r="AEG120" s="3"/>
      <c r="AEH120" s="3"/>
      <c r="AEI120" s="3"/>
      <c r="AEJ120" s="3"/>
      <c r="AEK120" s="3"/>
      <c r="AEL120" s="3"/>
      <c r="AEM120" s="3"/>
      <c r="AEN120" s="3"/>
      <c r="AEO120" s="3"/>
      <c r="AEP120" s="3"/>
      <c r="AEQ120" s="3"/>
      <c r="AER120" s="3"/>
      <c r="AES120" s="3"/>
      <c r="AET120" s="3"/>
      <c r="AEU120" s="3"/>
      <c r="AEV120" s="3"/>
      <c r="AEW120" s="3"/>
      <c r="AEX120" s="3"/>
      <c r="AEY120" s="3"/>
      <c r="AEZ120" s="3"/>
      <c r="AFA120" s="3"/>
      <c r="AFB120" s="3"/>
      <c r="AFC120" s="3"/>
      <c r="AFD120" s="3"/>
      <c r="AFE120" s="3"/>
      <c r="AFF120" s="3"/>
      <c r="AFG120" s="3"/>
      <c r="AFH120" s="3"/>
      <c r="AFI120" s="3"/>
      <c r="AFJ120" s="3"/>
      <c r="AFK120" s="3"/>
      <c r="AFL120" s="3"/>
      <c r="AFM120" s="3"/>
      <c r="AFN120" s="3"/>
      <c r="AFO120" s="3"/>
      <c r="AFP120" s="3"/>
      <c r="AFQ120" s="3"/>
      <c r="AFR120" s="3"/>
      <c r="AFS120" s="3"/>
      <c r="AFT120" s="3"/>
      <c r="AFU120" s="3"/>
      <c r="AFV120" s="3"/>
      <c r="AFW120" s="3"/>
      <c r="AFX120" s="3"/>
      <c r="AFY120" s="3"/>
      <c r="AFZ120" s="3"/>
      <c r="AGA120" s="3"/>
      <c r="AGB120" s="3"/>
      <c r="AGC120" s="3"/>
      <c r="AGD120" s="3"/>
      <c r="AGE120" s="3"/>
      <c r="AGF120" s="3"/>
      <c r="AGG120" s="3"/>
      <c r="AGH120" s="3"/>
      <c r="AGI120" s="3"/>
      <c r="AGJ120" s="3"/>
      <c r="AGK120" s="3"/>
      <c r="AGL120" s="3"/>
      <c r="AGM120" s="3"/>
      <c r="AGN120" s="3"/>
      <c r="AGO120" s="3"/>
      <c r="AGP120" s="3"/>
      <c r="AGQ120" s="3"/>
      <c r="AGR120" s="3"/>
      <c r="AGS120" s="3"/>
      <c r="AGT120" s="3"/>
      <c r="AGU120" s="3"/>
      <c r="AGV120" s="3"/>
      <c r="AGW120" s="3"/>
      <c r="AGX120" s="3"/>
      <c r="AGY120" s="3"/>
      <c r="AGZ120" s="3"/>
      <c r="AHA120" s="3"/>
      <c r="AHB120" s="3"/>
      <c r="AHC120" s="3"/>
      <c r="AHD120" s="3"/>
      <c r="AHE120" s="3"/>
      <c r="AHF120" s="3"/>
      <c r="AHG120" s="3"/>
      <c r="AHH120" s="3"/>
      <c r="AHI120" s="3"/>
      <c r="AHJ120" s="3"/>
      <c r="AHK120" s="3"/>
      <c r="AHL120" s="3"/>
      <c r="AHM120" s="3"/>
      <c r="AHN120" s="3"/>
      <c r="AHO120" s="3"/>
      <c r="AHP120" s="3"/>
      <c r="AHQ120" s="3"/>
      <c r="AHR120" s="3"/>
      <c r="AHS120" s="3"/>
      <c r="AHT120" s="3"/>
      <c r="AHU120" s="3"/>
      <c r="AHV120" s="3"/>
      <c r="AHW120" s="3"/>
      <c r="AHX120" s="3"/>
      <c r="AHY120" s="3"/>
      <c r="AHZ120" s="3"/>
      <c r="AIA120" s="3"/>
      <c r="AIB120" s="3"/>
      <c r="AIC120" s="3"/>
      <c r="AID120" s="3"/>
      <c r="AIE120" s="3"/>
      <c r="AIF120" s="3"/>
      <c r="AIG120" s="3"/>
      <c r="AIH120" s="3"/>
      <c r="AII120" s="3"/>
      <c r="AIJ120" s="3"/>
      <c r="AIK120" s="3"/>
      <c r="AIL120" s="3"/>
      <c r="AIM120" s="3"/>
      <c r="AIN120" s="3"/>
      <c r="AIO120" s="3"/>
      <c r="AIP120" s="3"/>
      <c r="AIQ120" s="3"/>
      <c r="AIR120" s="3"/>
      <c r="AIS120" s="3"/>
      <c r="AIT120" s="3"/>
      <c r="AIU120" s="3"/>
      <c r="AIV120" s="3"/>
      <c r="AIW120" s="3"/>
      <c r="AIX120" s="3"/>
      <c r="AIY120" s="3"/>
      <c r="AIZ120" s="3"/>
      <c r="AJA120" s="3"/>
      <c r="AJB120" s="3"/>
      <c r="AJC120" s="3"/>
      <c r="AJD120" s="3"/>
      <c r="AJE120" s="3"/>
      <c r="AJF120" s="3"/>
      <c r="AJG120" s="3"/>
      <c r="AJH120" s="3"/>
      <c r="AJI120" s="3"/>
      <c r="AJJ120" s="3"/>
      <c r="AJK120" s="3"/>
      <c r="AJL120" s="3"/>
      <c r="AJM120" s="3"/>
      <c r="AJN120" s="3"/>
      <c r="AJO120" s="3"/>
      <c r="AJP120" s="3"/>
      <c r="AJQ120" s="3"/>
      <c r="AJR120" s="3"/>
      <c r="AJS120" s="3"/>
      <c r="AJT120" s="3"/>
      <c r="AJU120" s="3"/>
      <c r="AJV120" s="3"/>
      <c r="AJW120" s="3"/>
      <c r="AJX120" s="3"/>
      <c r="AJY120" s="3"/>
      <c r="AJZ120" s="3"/>
      <c r="AKA120" s="3"/>
      <c r="AKB120" s="3"/>
      <c r="AKC120" s="3"/>
      <c r="AKD120" s="3"/>
      <c r="AKE120" s="3"/>
      <c r="AKF120" s="3"/>
      <c r="AKG120" s="3"/>
      <c r="AKH120" s="3"/>
      <c r="AKI120" s="3"/>
      <c r="AKJ120" s="3"/>
      <c r="AKK120" s="3"/>
      <c r="AKL120" s="3"/>
      <c r="AKM120" s="3"/>
      <c r="AKN120" s="3"/>
      <c r="AKO120" s="3"/>
      <c r="AKP120" s="3"/>
      <c r="AKQ120" s="3"/>
      <c r="AKR120" s="3"/>
      <c r="AKS120" s="3"/>
      <c r="AKT120" s="3"/>
      <c r="AKU120" s="3"/>
      <c r="AKV120" s="3"/>
      <c r="AKW120" s="3"/>
      <c r="AKX120" s="3"/>
      <c r="AKY120" s="3"/>
      <c r="AKZ120" s="3"/>
      <c r="ALA120" s="3"/>
      <c r="ALB120" s="3"/>
      <c r="ALC120" s="3"/>
      <c r="ALD120" s="3"/>
      <c r="ALE120" s="3"/>
      <c r="ALF120" s="3"/>
      <c r="ALG120" s="3"/>
      <c r="ALH120" s="3"/>
      <c r="ALI120" s="3"/>
      <c r="ALJ120" s="3"/>
      <c r="ALK120" s="3"/>
      <c r="ALL120" s="3"/>
      <c r="ALM120" s="3"/>
      <c r="ALN120" s="3"/>
      <c r="ALO120" s="3"/>
      <c r="ALP120" s="3"/>
      <c r="ALQ120" s="3"/>
      <c r="ALR120" s="3"/>
      <c r="ALS120" s="3"/>
      <c r="ALT120" s="3"/>
      <c r="ALU120" s="3"/>
      <c r="ALV120" s="3"/>
      <c r="ALW120" s="3"/>
      <c r="ALX120" s="3"/>
      <c r="ALY120" s="3"/>
      <c r="ALZ120" s="3"/>
      <c r="AMA120" s="3"/>
      <c r="AMB120" s="3"/>
      <c r="AMC120" s="3"/>
      <c r="AMD120" s="3"/>
      <c r="AME120" s="3"/>
      <c r="AMF120" s="3"/>
      <c r="AMG120" s="3"/>
      <c r="AMH120" s="3"/>
      <c r="AMI120" s="3"/>
      <c r="AMJ120" s="3"/>
      <c r="AMK120" s="3"/>
      <c r="AML120" s="3"/>
      <c r="AMM120" s="3"/>
      <c r="AMN120" s="3"/>
      <c r="AMO120" s="3"/>
      <c r="AMP120" s="3"/>
      <c r="AMQ120" s="3"/>
      <c r="AMR120" s="3"/>
      <c r="AMS120" s="3"/>
      <c r="AMT120" s="3"/>
      <c r="AMU120" s="3"/>
      <c r="AMV120" s="3"/>
      <c r="AMW120" s="3"/>
      <c r="AMX120" s="3"/>
      <c r="AMY120" s="3"/>
      <c r="AMZ120" s="3"/>
      <c r="ANA120" s="3"/>
      <c r="ANB120" s="3"/>
      <c r="ANC120" s="3"/>
      <c r="AND120" s="3"/>
      <c r="ANE120" s="3"/>
      <c r="ANF120" s="3"/>
      <c r="ANG120" s="3"/>
      <c r="ANH120" s="3"/>
      <c r="ANI120" s="3"/>
      <c r="ANJ120" s="3"/>
      <c r="ANK120" s="3"/>
      <c r="ANL120" s="3"/>
      <c r="ANM120" s="3"/>
      <c r="ANN120" s="3"/>
      <c r="ANO120" s="3"/>
      <c r="ANP120" s="3"/>
      <c r="ANQ120" s="3"/>
      <c r="ANR120" s="3"/>
      <c r="ANS120" s="3"/>
      <c r="ANT120" s="3"/>
      <c r="ANU120" s="3"/>
      <c r="ANV120" s="3"/>
      <c r="ANW120" s="3"/>
      <c r="ANX120" s="3"/>
      <c r="ANY120" s="3"/>
      <c r="ANZ120" s="3"/>
      <c r="AOA120" s="3"/>
      <c r="AOB120" s="3"/>
      <c r="AOC120" s="3"/>
      <c r="AOD120" s="3"/>
      <c r="AOE120" s="3"/>
      <c r="AOF120" s="3"/>
      <c r="AOG120" s="3"/>
      <c r="AOH120" s="3"/>
      <c r="AOI120" s="3"/>
      <c r="AOJ120" s="3"/>
      <c r="AOK120" s="3"/>
      <c r="AOL120" s="3"/>
      <c r="AOM120" s="3"/>
      <c r="AON120" s="3"/>
      <c r="AOO120" s="3"/>
      <c r="AOP120" s="3"/>
      <c r="AOQ120" s="3"/>
      <c r="AOR120" s="3"/>
      <c r="AOS120" s="3"/>
      <c r="AOT120" s="3"/>
      <c r="AOU120" s="3"/>
      <c r="AOV120" s="3"/>
      <c r="AOW120" s="3"/>
      <c r="AOX120" s="3"/>
      <c r="AOY120" s="3"/>
      <c r="AOZ120" s="3"/>
      <c r="APA120" s="3"/>
      <c r="APB120" s="3"/>
      <c r="APC120" s="3"/>
      <c r="APD120" s="3"/>
      <c r="APE120" s="3"/>
      <c r="APF120" s="3"/>
      <c r="APG120" s="3"/>
      <c r="APH120" s="3"/>
      <c r="API120" s="3"/>
      <c r="APJ120" s="3"/>
      <c r="APK120" s="3"/>
      <c r="APL120" s="3"/>
      <c r="APM120" s="3"/>
      <c r="APN120" s="3"/>
      <c r="APO120" s="3"/>
      <c r="APP120" s="3"/>
      <c r="APQ120" s="3"/>
      <c r="APR120" s="3"/>
      <c r="APS120" s="3"/>
      <c r="APT120" s="3"/>
      <c r="APU120" s="3"/>
      <c r="APV120" s="3"/>
      <c r="APW120" s="3"/>
      <c r="APX120" s="3"/>
      <c r="APY120" s="3"/>
      <c r="APZ120" s="3"/>
      <c r="AQA120" s="3"/>
      <c r="AQB120" s="3"/>
      <c r="AQC120" s="3"/>
      <c r="AQD120" s="3"/>
      <c r="AQE120" s="3"/>
      <c r="AQF120" s="3"/>
      <c r="AQG120" s="3"/>
      <c r="AQH120" s="3"/>
      <c r="AQI120" s="3"/>
      <c r="AQJ120" s="3"/>
      <c r="AQK120" s="3"/>
      <c r="AQL120" s="3"/>
      <c r="AQM120" s="3"/>
      <c r="AQN120" s="3"/>
      <c r="AQO120" s="3"/>
      <c r="AQP120" s="3"/>
      <c r="AQQ120" s="3"/>
      <c r="AQR120" s="3"/>
      <c r="AQS120" s="3"/>
      <c r="AQT120" s="3"/>
      <c r="AQU120" s="3"/>
      <c r="AQV120" s="3"/>
      <c r="AQW120" s="3"/>
      <c r="AQX120" s="3"/>
      <c r="AQY120" s="3"/>
      <c r="AQZ120" s="3"/>
      <c r="ARA120" s="3"/>
      <c r="ARB120" s="3"/>
      <c r="ARC120" s="3"/>
      <c r="ARD120" s="3"/>
      <c r="ARE120" s="3"/>
      <c r="ARF120" s="3"/>
      <c r="ARG120" s="3"/>
      <c r="ARH120" s="3"/>
      <c r="ARI120" s="3"/>
      <c r="ARJ120" s="3"/>
      <c r="ARK120" s="3"/>
      <c r="ARL120" s="3"/>
      <c r="ARM120" s="3"/>
      <c r="ARN120" s="3"/>
      <c r="ARO120" s="3"/>
      <c r="ARP120" s="3"/>
      <c r="ARQ120" s="3"/>
      <c r="ARR120" s="3"/>
      <c r="ARS120" s="3"/>
      <c r="ART120" s="3"/>
      <c r="ARU120" s="3"/>
      <c r="ARV120" s="3"/>
      <c r="ARW120" s="3"/>
      <c r="ARX120" s="3"/>
      <c r="ARY120" s="3"/>
      <c r="ARZ120" s="3"/>
      <c r="ASA120" s="3"/>
      <c r="ASB120" s="3"/>
      <c r="ASC120" s="3"/>
      <c r="ASD120" s="3"/>
      <c r="ASE120" s="3"/>
      <c r="ASF120" s="3"/>
      <c r="ASG120" s="3"/>
      <c r="ASH120" s="3"/>
      <c r="ASI120" s="3"/>
      <c r="ASJ120" s="3"/>
      <c r="ASK120" s="3"/>
      <c r="ASL120" s="3"/>
      <c r="ASM120" s="3"/>
      <c r="ASN120" s="3"/>
      <c r="ASO120" s="3"/>
      <c r="ASP120" s="3"/>
      <c r="ASQ120" s="3"/>
      <c r="ASR120" s="3"/>
      <c r="ASS120" s="3"/>
      <c r="AST120" s="3"/>
      <c r="ASU120" s="3"/>
      <c r="ASV120" s="3"/>
      <c r="ASW120" s="3"/>
      <c r="ASX120" s="3"/>
      <c r="ASY120" s="3"/>
      <c r="ASZ120" s="3"/>
      <c r="ATA120" s="3"/>
      <c r="ATB120" s="3"/>
      <c r="ATC120" s="3"/>
      <c r="ATD120" s="3"/>
      <c r="ATE120" s="3"/>
      <c r="ATF120" s="3"/>
      <c r="ATG120" s="3"/>
      <c r="ATH120" s="3"/>
      <c r="ATI120" s="3"/>
      <c r="ATJ120" s="3"/>
      <c r="ATK120" s="3"/>
      <c r="ATL120" s="3"/>
      <c r="ATM120" s="3"/>
      <c r="ATN120" s="3"/>
      <c r="ATO120" s="3"/>
      <c r="ATP120" s="3"/>
      <c r="ATQ120" s="3"/>
      <c r="ATR120" s="3"/>
      <c r="ATS120" s="3"/>
      <c r="ATT120" s="3"/>
      <c r="ATU120" s="3"/>
      <c r="ATV120" s="3"/>
      <c r="ATW120" s="3"/>
      <c r="ATX120" s="3"/>
      <c r="ATY120" s="3"/>
      <c r="ATZ120" s="3"/>
      <c r="AUA120" s="3"/>
      <c r="AUB120" s="3"/>
      <c r="AUC120" s="3"/>
      <c r="AUD120" s="3"/>
      <c r="AUE120" s="3"/>
      <c r="AUF120" s="3"/>
      <c r="AUG120" s="3"/>
      <c r="AUH120" s="3"/>
      <c r="AUI120" s="3"/>
      <c r="AUJ120" s="3"/>
      <c r="AUK120" s="3"/>
      <c r="AUL120" s="3"/>
      <c r="AUM120" s="3"/>
      <c r="AUN120" s="3"/>
      <c r="AUO120" s="3"/>
      <c r="AUP120" s="3"/>
      <c r="AUQ120" s="3"/>
      <c r="AUR120" s="3"/>
      <c r="AUS120" s="3"/>
      <c r="AUT120" s="3"/>
      <c r="AUU120" s="3"/>
      <c r="AUV120" s="3"/>
      <c r="AUW120" s="3"/>
      <c r="AUX120" s="3"/>
      <c r="AUY120" s="3"/>
      <c r="AUZ120" s="3"/>
      <c r="AVA120" s="3"/>
      <c r="AVB120" s="3"/>
      <c r="AVC120" s="3"/>
      <c r="AVD120" s="3"/>
      <c r="AVE120" s="3"/>
      <c r="AVF120" s="3"/>
      <c r="AVG120" s="3"/>
      <c r="AVH120" s="3"/>
      <c r="AVI120" s="3"/>
      <c r="AVJ120" s="3"/>
      <c r="AVK120" s="3"/>
      <c r="AVL120" s="3"/>
      <c r="AVM120" s="3"/>
      <c r="AVN120" s="3"/>
      <c r="AVO120" s="3"/>
      <c r="AVP120" s="3"/>
      <c r="AVQ120" s="3"/>
      <c r="AVR120" s="3"/>
      <c r="AVS120" s="3"/>
      <c r="AVT120" s="3"/>
      <c r="AVU120" s="3"/>
      <c r="AVV120" s="3"/>
      <c r="AVW120" s="3"/>
      <c r="AVX120" s="3"/>
      <c r="AVY120" s="3"/>
      <c r="AVZ120" s="3"/>
      <c r="AWA120" s="3"/>
      <c r="AWB120" s="3"/>
      <c r="AWC120" s="3"/>
      <c r="AWD120" s="3"/>
      <c r="AWE120" s="3"/>
      <c r="AWF120" s="3"/>
      <c r="AWG120" s="3"/>
      <c r="AWH120" s="3"/>
      <c r="AWI120" s="3"/>
      <c r="AWJ120" s="3"/>
      <c r="AWK120" s="3"/>
      <c r="AWL120" s="3"/>
      <c r="AWM120" s="3"/>
      <c r="AWN120" s="3"/>
      <c r="AWO120" s="3"/>
      <c r="AWP120" s="3"/>
      <c r="AWQ120" s="3"/>
      <c r="AWR120" s="3"/>
      <c r="AWS120" s="3"/>
      <c r="AWT120" s="3"/>
      <c r="AWU120" s="3"/>
      <c r="AWV120" s="3"/>
      <c r="AWW120" s="3"/>
      <c r="AWX120" s="3"/>
      <c r="AWY120" s="3"/>
      <c r="AWZ120" s="3"/>
      <c r="AXA120" s="3"/>
      <c r="AXB120" s="3"/>
      <c r="AXC120" s="3"/>
      <c r="AXD120" s="3"/>
      <c r="AXE120" s="3"/>
      <c r="AXF120" s="3"/>
      <c r="AXG120" s="3"/>
      <c r="AXH120" s="3"/>
      <c r="AXI120" s="3"/>
      <c r="AXJ120" s="3"/>
      <c r="AXK120" s="3"/>
      <c r="AXL120" s="3"/>
      <c r="AXM120" s="3"/>
      <c r="AXN120" s="3"/>
      <c r="AXO120" s="3"/>
      <c r="AXP120" s="3"/>
      <c r="AXQ120" s="3"/>
      <c r="AXR120" s="3"/>
      <c r="AXS120" s="3"/>
      <c r="AXT120" s="3"/>
      <c r="AXU120" s="3"/>
      <c r="AXV120" s="3"/>
      <c r="AXW120" s="3"/>
      <c r="AXX120" s="3"/>
      <c r="AXY120" s="3"/>
      <c r="AXZ120" s="3"/>
      <c r="AYA120" s="3"/>
      <c r="AYB120" s="3"/>
      <c r="AYC120" s="3"/>
      <c r="AYD120" s="3"/>
      <c r="AYE120" s="3"/>
      <c r="AYF120" s="3"/>
      <c r="AYG120" s="3"/>
      <c r="AYH120" s="3"/>
      <c r="AYI120" s="3"/>
      <c r="AYJ120" s="3"/>
      <c r="AYK120" s="3"/>
      <c r="AYL120" s="3"/>
      <c r="AYM120" s="3"/>
      <c r="AYN120" s="3"/>
      <c r="AYO120" s="3"/>
      <c r="AYP120" s="3"/>
      <c r="AYQ120" s="3"/>
      <c r="AYR120" s="3"/>
      <c r="AYS120" s="3"/>
      <c r="AYT120" s="3"/>
      <c r="AYU120" s="3"/>
      <c r="AYV120" s="3"/>
      <c r="AYW120" s="3"/>
      <c r="AYX120" s="3"/>
      <c r="AYY120" s="3"/>
      <c r="AYZ120" s="3"/>
      <c r="AZA120" s="3"/>
      <c r="AZB120" s="3"/>
      <c r="AZC120" s="3"/>
      <c r="AZD120" s="3"/>
      <c r="AZE120" s="3"/>
      <c r="AZF120" s="3"/>
      <c r="AZG120" s="3"/>
      <c r="AZH120" s="3"/>
      <c r="AZI120" s="3"/>
      <c r="AZJ120" s="3"/>
      <c r="AZK120" s="3"/>
      <c r="AZL120" s="3"/>
      <c r="AZM120" s="3"/>
      <c r="AZN120" s="3"/>
      <c r="AZO120" s="3"/>
      <c r="AZP120" s="3"/>
      <c r="AZQ120" s="3"/>
      <c r="AZR120" s="3"/>
      <c r="AZS120" s="3"/>
      <c r="AZT120" s="3"/>
      <c r="AZU120" s="3"/>
      <c r="AZV120" s="3"/>
      <c r="AZW120" s="3"/>
      <c r="AZX120" s="3"/>
      <c r="AZY120" s="3"/>
      <c r="AZZ120" s="3"/>
      <c r="BAA120" s="3"/>
      <c r="BAB120" s="3"/>
      <c r="BAC120" s="3"/>
      <c r="BAD120" s="3"/>
      <c r="BAE120" s="3"/>
      <c r="BAF120" s="3"/>
      <c r="BAG120" s="3"/>
      <c r="BAH120" s="3"/>
      <c r="BAI120" s="3"/>
      <c r="BAJ120" s="3"/>
      <c r="BAK120" s="3"/>
      <c r="BAL120" s="3"/>
      <c r="BAM120" s="3"/>
      <c r="BAN120" s="3"/>
      <c r="BAO120" s="3"/>
      <c r="BAP120" s="3"/>
      <c r="BAQ120" s="3"/>
      <c r="BAR120" s="3"/>
      <c r="BAS120" s="3"/>
      <c r="BAT120" s="3"/>
      <c r="BAU120" s="3"/>
      <c r="BAV120" s="3"/>
      <c r="BAW120" s="3"/>
      <c r="BAX120" s="3"/>
      <c r="BAY120" s="3"/>
      <c r="BAZ120" s="3"/>
      <c r="BBA120" s="3"/>
      <c r="BBB120" s="3"/>
      <c r="BBC120" s="3"/>
      <c r="BBD120" s="3"/>
      <c r="BBE120" s="3"/>
      <c r="BBF120" s="3"/>
      <c r="BBG120" s="3"/>
      <c r="BBH120" s="3"/>
      <c r="BBI120" s="3"/>
      <c r="BBJ120" s="3"/>
      <c r="BBK120" s="3"/>
      <c r="BBL120" s="3"/>
      <c r="BBM120" s="3"/>
      <c r="BBN120" s="3"/>
      <c r="BBO120" s="3"/>
      <c r="BBP120" s="3"/>
      <c r="BBQ120" s="3"/>
      <c r="BBR120" s="3"/>
      <c r="BBS120" s="3"/>
      <c r="BBT120" s="3"/>
      <c r="BBU120" s="3"/>
      <c r="BBV120" s="3"/>
      <c r="BBW120" s="3"/>
      <c r="BBX120" s="3"/>
      <c r="BBY120" s="3"/>
      <c r="BBZ120" s="3"/>
      <c r="BCA120" s="3"/>
      <c r="BCB120" s="3"/>
      <c r="BCC120" s="3"/>
      <c r="BCD120" s="3"/>
      <c r="BCE120" s="3"/>
      <c r="BCF120" s="3"/>
      <c r="BCG120" s="3"/>
      <c r="BCH120" s="3"/>
      <c r="BCI120" s="3"/>
      <c r="BCJ120" s="3"/>
      <c r="BCK120" s="3"/>
      <c r="BCL120" s="3"/>
      <c r="BCM120" s="3"/>
      <c r="BCN120" s="3"/>
      <c r="BCO120" s="3"/>
      <c r="BCP120" s="3"/>
      <c r="BCQ120" s="3"/>
      <c r="BCR120" s="3"/>
      <c r="BCS120" s="3"/>
      <c r="BCT120" s="3"/>
      <c r="BCU120" s="3"/>
      <c r="BCV120" s="3"/>
      <c r="BCW120" s="3"/>
      <c r="BCX120" s="3"/>
      <c r="BCY120" s="3"/>
      <c r="BCZ120" s="3"/>
      <c r="BDA120" s="3"/>
      <c r="BDB120" s="3"/>
      <c r="BDC120" s="3"/>
      <c r="BDD120" s="3"/>
      <c r="BDE120" s="3"/>
      <c r="BDF120" s="3"/>
      <c r="BDG120" s="3"/>
      <c r="BDH120" s="3"/>
      <c r="BDI120" s="3"/>
      <c r="BDJ120" s="3"/>
      <c r="BDK120" s="3"/>
      <c r="BDL120" s="3"/>
      <c r="BDM120" s="3"/>
      <c r="BDN120" s="3"/>
      <c r="BDO120" s="3"/>
      <c r="BDP120" s="3"/>
      <c r="BDQ120" s="3"/>
      <c r="BDR120" s="3"/>
      <c r="BDS120" s="3"/>
      <c r="BDT120" s="3"/>
      <c r="BDU120" s="3"/>
      <c r="BDV120" s="3"/>
      <c r="BDW120" s="3"/>
      <c r="BDX120" s="3"/>
      <c r="BDY120" s="3"/>
      <c r="BDZ120" s="3"/>
      <c r="BEA120" s="3"/>
      <c r="BEB120" s="3"/>
      <c r="BEC120" s="3"/>
      <c r="BED120" s="3"/>
      <c r="BEE120" s="3"/>
      <c r="BEF120" s="3"/>
      <c r="BEG120" s="3"/>
      <c r="BEH120" s="3"/>
      <c r="BEI120" s="3"/>
      <c r="BEJ120" s="3"/>
      <c r="BEK120" s="3"/>
      <c r="BEL120" s="3"/>
      <c r="BEM120" s="3"/>
      <c r="BEN120" s="3"/>
      <c r="BEO120" s="3"/>
      <c r="BEP120" s="3"/>
      <c r="BEQ120" s="3"/>
      <c r="BER120" s="3"/>
      <c r="BES120" s="3"/>
      <c r="BET120" s="3"/>
      <c r="BEU120" s="3"/>
      <c r="BEV120" s="3"/>
      <c r="BEW120" s="3"/>
      <c r="BEX120" s="3"/>
      <c r="BEY120" s="3"/>
      <c r="BEZ120" s="3"/>
      <c r="BFA120" s="3"/>
      <c r="BFB120" s="3"/>
      <c r="BFC120" s="3"/>
      <c r="BFD120" s="3"/>
      <c r="BFE120" s="3"/>
      <c r="BFF120" s="3"/>
      <c r="BFG120" s="3"/>
      <c r="BFH120" s="3"/>
      <c r="BFI120" s="3"/>
      <c r="BFJ120" s="3"/>
      <c r="BFK120" s="3"/>
      <c r="BFL120" s="3"/>
      <c r="BFM120" s="3"/>
      <c r="BFN120" s="3"/>
      <c r="BFO120" s="3"/>
      <c r="BFP120" s="3"/>
      <c r="BFQ120" s="3"/>
      <c r="BFR120" s="3"/>
      <c r="BFS120" s="3"/>
      <c r="BFT120" s="3"/>
      <c r="BFU120" s="3"/>
      <c r="BFV120" s="3"/>
      <c r="BFW120" s="3"/>
      <c r="BFX120" s="3"/>
      <c r="BFY120" s="3"/>
      <c r="BFZ120" s="3"/>
      <c r="BGA120" s="3"/>
      <c r="BGB120" s="3"/>
      <c r="BGC120" s="3"/>
      <c r="BGD120" s="3"/>
      <c r="BGE120" s="3"/>
      <c r="BGF120" s="3"/>
      <c r="BGG120" s="3"/>
      <c r="BGH120" s="3"/>
      <c r="BGI120" s="3"/>
      <c r="BGJ120" s="3"/>
      <c r="BGK120" s="3"/>
      <c r="BGL120" s="3"/>
      <c r="BGM120" s="3"/>
      <c r="BGN120" s="3"/>
      <c r="BGO120" s="3"/>
      <c r="BGP120" s="3"/>
      <c r="BGQ120" s="3"/>
      <c r="BGR120" s="3"/>
      <c r="BGS120" s="3"/>
      <c r="BGT120" s="3"/>
      <c r="BGU120" s="3"/>
      <c r="BGV120" s="3"/>
      <c r="BGW120" s="3"/>
      <c r="BGX120" s="3"/>
      <c r="BGY120" s="3"/>
      <c r="BGZ120" s="3"/>
      <c r="BHA120" s="3"/>
      <c r="BHB120" s="3"/>
      <c r="BHC120" s="3"/>
      <c r="BHD120" s="3"/>
      <c r="BHE120" s="3"/>
      <c r="BHF120" s="3"/>
      <c r="BHG120" s="3"/>
      <c r="BHH120" s="3"/>
      <c r="BHI120" s="3"/>
      <c r="BHJ120" s="3"/>
      <c r="BHK120" s="3"/>
      <c r="BHL120" s="3"/>
      <c r="BHM120" s="3"/>
      <c r="BHN120" s="3"/>
      <c r="BHO120" s="3"/>
      <c r="BHP120" s="3"/>
      <c r="BHQ120" s="3"/>
      <c r="BHR120" s="3"/>
      <c r="BHS120" s="3"/>
      <c r="BHT120" s="3"/>
      <c r="BHU120" s="3"/>
      <c r="BHV120" s="3"/>
      <c r="BHW120" s="3"/>
      <c r="BHX120" s="3"/>
      <c r="BHY120" s="3"/>
      <c r="BHZ120" s="3"/>
      <c r="BIA120" s="3"/>
      <c r="BIB120" s="3"/>
      <c r="BIC120" s="3"/>
      <c r="BID120" s="3"/>
      <c r="BIE120" s="3"/>
      <c r="BIF120" s="3"/>
      <c r="BIG120" s="3"/>
      <c r="BIH120" s="3"/>
      <c r="BII120" s="3"/>
      <c r="BIJ120" s="3"/>
      <c r="BIK120" s="3"/>
      <c r="BIL120" s="3"/>
      <c r="BIM120" s="3"/>
      <c r="BIN120" s="3"/>
      <c r="BIO120" s="3"/>
      <c r="BIP120" s="3"/>
      <c r="BIQ120" s="3"/>
      <c r="BIR120" s="3"/>
      <c r="BIS120" s="3"/>
      <c r="BIT120" s="3"/>
      <c r="BIU120" s="3"/>
      <c r="BIV120" s="3"/>
      <c r="BIW120" s="3"/>
      <c r="BIX120" s="3"/>
      <c r="BIY120" s="3"/>
      <c r="BIZ120" s="3"/>
      <c r="BJA120" s="3"/>
      <c r="BJB120" s="3"/>
      <c r="BJC120" s="3"/>
      <c r="BJD120" s="3"/>
      <c r="BJE120" s="3"/>
      <c r="BJF120" s="3"/>
      <c r="BJG120" s="3"/>
      <c r="BJH120" s="3"/>
      <c r="BJI120" s="3"/>
      <c r="BJJ120" s="3"/>
      <c r="BJK120" s="3"/>
      <c r="BJL120" s="3"/>
      <c r="BJM120" s="3"/>
      <c r="BJN120" s="3"/>
      <c r="BJO120" s="3"/>
      <c r="BJP120" s="3"/>
      <c r="BJQ120" s="3"/>
      <c r="BJR120" s="3"/>
      <c r="BJS120" s="3"/>
      <c r="BJT120" s="3"/>
      <c r="BJU120" s="3"/>
      <c r="BJV120" s="3"/>
      <c r="BJW120" s="3"/>
      <c r="BJX120" s="3"/>
      <c r="BJY120" s="3"/>
      <c r="BJZ120" s="3"/>
      <c r="BKA120" s="3"/>
      <c r="BKB120" s="3"/>
      <c r="BKC120" s="3"/>
      <c r="BKD120" s="3"/>
      <c r="BKE120" s="3"/>
      <c r="BKF120" s="3"/>
      <c r="BKG120" s="3"/>
      <c r="BKH120" s="3"/>
      <c r="BKI120" s="3"/>
      <c r="BKJ120" s="3"/>
      <c r="BKK120" s="3"/>
      <c r="BKL120" s="3"/>
      <c r="BKM120" s="3"/>
      <c r="BKN120" s="3"/>
      <c r="BKO120" s="3"/>
      <c r="BKP120" s="3"/>
      <c r="BKQ120" s="3"/>
      <c r="BKR120" s="3"/>
      <c r="BKS120" s="3"/>
      <c r="BKT120" s="3"/>
      <c r="BKU120" s="3"/>
      <c r="BKV120" s="3"/>
      <c r="BKW120" s="3"/>
      <c r="BKX120" s="3"/>
      <c r="BKY120" s="3"/>
      <c r="BKZ120" s="3"/>
      <c r="BLA120" s="3"/>
      <c r="BLB120" s="3"/>
      <c r="BLC120" s="3"/>
      <c r="BLD120" s="3"/>
      <c r="BLE120" s="3"/>
      <c r="BLF120" s="3"/>
      <c r="BLG120" s="3"/>
      <c r="BLH120" s="3"/>
      <c r="BLI120" s="3"/>
      <c r="BLJ120" s="3"/>
      <c r="BLK120" s="3"/>
      <c r="BLL120" s="3"/>
      <c r="BLM120" s="3"/>
      <c r="BLN120" s="3"/>
      <c r="BLO120" s="3"/>
      <c r="BLP120" s="3"/>
      <c r="BLQ120" s="3"/>
      <c r="BLR120" s="3"/>
      <c r="BLS120" s="3"/>
      <c r="BLT120" s="3"/>
      <c r="BLU120" s="3"/>
      <c r="BLV120" s="3"/>
      <c r="BLW120" s="3"/>
      <c r="BLX120" s="3"/>
      <c r="BLY120" s="3"/>
      <c r="BLZ120" s="3"/>
      <c r="BMA120" s="3"/>
      <c r="BMB120" s="3"/>
      <c r="BMC120" s="3"/>
      <c r="BMD120" s="3"/>
      <c r="BME120" s="3"/>
      <c r="BMF120" s="3"/>
      <c r="BMG120" s="3"/>
      <c r="BMH120" s="3"/>
      <c r="BMI120" s="3"/>
      <c r="BMJ120" s="3"/>
      <c r="BMK120" s="3"/>
      <c r="BML120" s="3"/>
      <c r="BMM120" s="3"/>
      <c r="BMN120" s="3"/>
      <c r="BMO120" s="3"/>
      <c r="BMP120" s="3"/>
      <c r="BMQ120" s="3"/>
      <c r="BMR120" s="3"/>
      <c r="BMS120" s="3"/>
      <c r="BMT120" s="3"/>
      <c r="BMU120" s="3"/>
      <c r="BMV120" s="3"/>
      <c r="BMW120" s="3"/>
      <c r="BMX120" s="3"/>
      <c r="BMY120" s="3"/>
      <c r="BMZ120" s="3"/>
      <c r="BNA120" s="3"/>
      <c r="BNB120" s="3"/>
      <c r="BNC120" s="3"/>
      <c r="BND120" s="3"/>
      <c r="BNE120" s="3"/>
      <c r="BNF120" s="3"/>
      <c r="BNG120" s="3"/>
      <c r="BNH120" s="3"/>
      <c r="BNI120" s="3"/>
      <c r="BNJ120" s="3"/>
      <c r="BNK120" s="3"/>
      <c r="BNL120" s="3"/>
      <c r="BNM120" s="3"/>
      <c r="BNN120" s="3"/>
      <c r="BNO120" s="3"/>
      <c r="BNP120" s="3"/>
      <c r="BNQ120" s="3"/>
      <c r="BNR120" s="3"/>
      <c r="BNS120" s="3"/>
      <c r="BNT120" s="3"/>
      <c r="BNU120" s="3"/>
      <c r="BNV120" s="3"/>
      <c r="BNW120" s="3"/>
      <c r="BNX120" s="3"/>
      <c r="BNY120" s="3"/>
      <c r="BNZ120" s="3"/>
      <c r="BOA120" s="3"/>
      <c r="BOB120" s="3"/>
      <c r="BOC120" s="3"/>
      <c r="BOD120" s="3"/>
      <c r="BOE120" s="3"/>
      <c r="BOF120" s="3"/>
      <c r="BOG120" s="3"/>
      <c r="BOH120" s="3"/>
      <c r="BOI120" s="3"/>
      <c r="BOJ120" s="3"/>
      <c r="BOK120" s="3"/>
      <c r="BOL120" s="3"/>
      <c r="BOM120" s="3"/>
      <c r="BON120" s="3"/>
      <c r="BOO120" s="3"/>
      <c r="BOP120" s="3"/>
      <c r="BOQ120" s="3"/>
      <c r="BOR120" s="3"/>
      <c r="BOS120" s="3"/>
      <c r="BOT120" s="3"/>
      <c r="BOU120" s="3"/>
      <c r="BOV120" s="3"/>
      <c r="BOW120" s="3"/>
      <c r="BOX120" s="3"/>
      <c r="BOY120" s="3"/>
      <c r="BOZ120" s="3"/>
      <c r="BPA120" s="3"/>
      <c r="BPB120" s="3"/>
      <c r="BPC120" s="3"/>
      <c r="BPD120" s="3"/>
      <c r="BPE120" s="3"/>
      <c r="BPF120" s="3"/>
      <c r="BPG120" s="3"/>
      <c r="BPH120" s="3"/>
      <c r="BPI120" s="3"/>
      <c r="BPJ120" s="3"/>
      <c r="BPK120" s="3"/>
      <c r="BPL120" s="3"/>
      <c r="BPM120" s="3"/>
      <c r="BPN120" s="3"/>
      <c r="BPO120" s="3"/>
      <c r="BPP120" s="3"/>
      <c r="BPQ120" s="3"/>
      <c r="BPR120" s="3"/>
      <c r="BPS120" s="3"/>
      <c r="BPT120" s="3"/>
      <c r="BPU120" s="3"/>
      <c r="BPV120" s="3"/>
      <c r="BPW120" s="3"/>
      <c r="BPX120" s="3"/>
      <c r="BPY120" s="3"/>
      <c r="BPZ120" s="3"/>
      <c r="BQA120" s="3"/>
      <c r="BQB120" s="3"/>
      <c r="BQC120" s="3"/>
      <c r="BQD120" s="3"/>
      <c r="BQE120" s="3"/>
      <c r="BQF120" s="3"/>
      <c r="BQG120" s="3"/>
      <c r="BQH120" s="3"/>
      <c r="BQI120" s="3"/>
      <c r="BQJ120" s="3"/>
      <c r="BQK120" s="3"/>
      <c r="BQL120" s="3"/>
      <c r="BQM120" s="3"/>
      <c r="BQN120" s="3"/>
      <c r="BQO120" s="3"/>
      <c r="BQP120" s="3"/>
      <c r="BQQ120" s="3"/>
      <c r="BQR120" s="3"/>
      <c r="BQS120" s="3"/>
      <c r="BQT120" s="3"/>
      <c r="BQU120" s="3"/>
      <c r="BQV120" s="3"/>
      <c r="BQW120" s="3"/>
      <c r="BQX120" s="3"/>
      <c r="BQY120" s="3"/>
      <c r="BQZ120" s="3"/>
      <c r="BRA120" s="3"/>
      <c r="BRB120" s="3"/>
      <c r="BRC120" s="3"/>
      <c r="BRD120" s="3"/>
      <c r="BRE120" s="3"/>
      <c r="BRF120" s="3"/>
      <c r="BRG120" s="3"/>
      <c r="BRH120" s="3"/>
      <c r="BRI120" s="3"/>
      <c r="BRJ120" s="3"/>
      <c r="BRK120" s="3"/>
      <c r="BRL120" s="3"/>
      <c r="BRM120" s="3"/>
      <c r="BRN120" s="3"/>
      <c r="BRO120" s="3"/>
      <c r="BRP120" s="3"/>
      <c r="BRQ120" s="3"/>
      <c r="BRR120" s="3"/>
      <c r="BRS120" s="3"/>
      <c r="BRT120" s="3"/>
      <c r="BRU120" s="3"/>
      <c r="BRV120" s="3"/>
      <c r="BRW120" s="3"/>
      <c r="BRX120" s="3"/>
      <c r="BRY120" s="3"/>
      <c r="BRZ120" s="3"/>
      <c r="BSA120" s="3"/>
      <c r="BSB120" s="3"/>
      <c r="BSC120" s="3"/>
      <c r="BSD120" s="3"/>
      <c r="BSE120" s="3"/>
      <c r="BSF120" s="3"/>
      <c r="BSG120" s="3"/>
      <c r="BSH120" s="3"/>
      <c r="BSI120" s="3"/>
      <c r="BSJ120" s="3"/>
      <c r="BSK120" s="3"/>
      <c r="BSL120" s="3"/>
      <c r="BSM120" s="3"/>
      <c r="BSN120" s="3"/>
      <c r="BSO120" s="3"/>
      <c r="BSP120" s="3"/>
      <c r="BSQ120" s="3"/>
      <c r="BSR120" s="3"/>
      <c r="BSS120" s="3"/>
      <c r="BST120" s="3"/>
      <c r="BSU120" s="3"/>
      <c r="BSV120" s="3"/>
      <c r="BSW120" s="3"/>
      <c r="BSX120" s="3"/>
      <c r="BSY120" s="3"/>
      <c r="BSZ120" s="3"/>
      <c r="BTA120" s="3"/>
      <c r="BTB120" s="3"/>
      <c r="BTC120" s="3"/>
      <c r="BTD120" s="3"/>
      <c r="BTE120" s="3"/>
      <c r="BTF120" s="3"/>
      <c r="BTG120" s="3"/>
      <c r="BTH120" s="3"/>
      <c r="BTI120" s="3"/>
      <c r="BTJ120" s="3"/>
      <c r="BTK120" s="3"/>
      <c r="BTL120" s="3"/>
      <c r="BTM120" s="3"/>
      <c r="BTN120" s="3"/>
      <c r="BTO120" s="3"/>
      <c r="BTP120" s="3"/>
      <c r="BTQ120" s="3"/>
      <c r="BTR120" s="3"/>
      <c r="BTS120" s="3"/>
      <c r="BTT120" s="3"/>
      <c r="BTU120" s="3"/>
      <c r="BTV120" s="3"/>
      <c r="BTW120" s="3"/>
      <c r="BTX120" s="3"/>
      <c r="BTY120" s="3"/>
      <c r="BTZ120" s="3"/>
      <c r="BUA120" s="3"/>
      <c r="BUB120" s="3"/>
      <c r="BUC120" s="3"/>
      <c r="BUD120" s="3"/>
      <c r="BUE120" s="3"/>
      <c r="BUF120" s="3"/>
      <c r="BUG120" s="3"/>
      <c r="BUH120" s="3"/>
      <c r="BUI120" s="3"/>
      <c r="BUJ120" s="3"/>
      <c r="BUK120" s="3"/>
      <c r="BUL120" s="3"/>
      <c r="BUM120" s="3"/>
      <c r="BUN120" s="3"/>
      <c r="BUO120" s="3"/>
      <c r="BUP120" s="3"/>
      <c r="BUQ120" s="3"/>
      <c r="BUR120" s="3"/>
      <c r="BUS120" s="3"/>
      <c r="BUT120" s="3"/>
      <c r="BUU120" s="3"/>
      <c r="BUV120" s="3"/>
      <c r="BUW120" s="3"/>
      <c r="BUX120" s="3"/>
      <c r="BUY120" s="3"/>
      <c r="BUZ120" s="3"/>
      <c r="BVA120" s="3"/>
      <c r="BVB120" s="3"/>
      <c r="BVC120" s="3"/>
      <c r="BVD120" s="3"/>
      <c r="BVE120" s="3"/>
      <c r="BVF120" s="3"/>
      <c r="BVG120" s="3"/>
      <c r="BVH120" s="3"/>
      <c r="BVI120" s="3"/>
      <c r="BVJ120" s="3"/>
      <c r="BVK120" s="3"/>
      <c r="BVL120" s="3"/>
      <c r="BVM120" s="3"/>
      <c r="BVN120" s="3"/>
      <c r="BVO120" s="3"/>
      <c r="BVP120" s="3"/>
      <c r="BVQ120" s="3"/>
      <c r="BVR120" s="3"/>
      <c r="BVS120" s="3"/>
      <c r="BVT120" s="3"/>
      <c r="BVU120" s="3"/>
      <c r="BVV120" s="3"/>
      <c r="BVW120" s="3"/>
      <c r="BVX120" s="3"/>
      <c r="BVY120" s="3"/>
      <c r="BVZ120" s="3"/>
      <c r="BWA120" s="3"/>
      <c r="BWB120" s="3"/>
      <c r="BWC120" s="3"/>
      <c r="BWD120" s="3"/>
      <c r="BWE120" s="3"/>
      <c r="BWF120" s="3"/>
      <c r="BWG120" s="3"/>
      <c r="BWH120" s="3"/>
      <c r="BWI120" s="3"/>
      <c r="BWJ120" s="3"/>
      <c r="BWK120" s="3"/>
      <c r="BWL120" s="3"/>
      <c r="BWM120" s="3"/>
      <c r="BWN120" s="3"/>
      <c r="BWO120" s="3"/>
      <c r="BWP120" s="3"/>
      <c r="BWQ120" s="3"/>
      <c r="BWR120" s="3"/>
      <c r="BWS120" s="3"/>
      <c r="BWT120" s="3"/>
      <c r="BWU120" s="3"/>
      <c r="BWV120" s="3"/>
      <c r="BWW120" s="3"/>
      <c r="BWX120" s="3"/>
      <c r="BWY120" s="3"/>
      <c r="BWZ120" s="3"/>
      <c r="BXA120" s="3"/>
      <c r="BXB120" s="3"/>
      <c r="BXC120" s="3"/>
      <c r="BXD120" s="3"/>
      <c r="BXE120" s="3"/>
      <c r="BXF120" s="3"/>
      <c r="BXG120" s="3"/>
      <c r="BXH120" s="3"/>
      <c r="BXI120" s="3"/>
      <c r="BXJ120" s="3"/>
      <c r="BXK120" s="3"/>
      <c r="BXL120" s="3"/>
      <c r="BXM120" s="3"/>
      <c r="BXN120" s="3"/>
      <c r="BXO120" s="3"/>
      <c r="BXP120" s="3"/>
      <c r="BXQ120" s="3"/>
      <c r="BXR120" s="3"/>
      <c r="BXS120" s="3"/>
      <c r="BXT120" s="3"/>
      <c r="BXU120" s="3"/>
      <c r="BXV120" s="3"/>
      <c r="BXW120" s="3"/>
      <c r="BXX120" s="3"/>
      <c r="BXY120" s="3"/>
      <c r="BXZ120" s="3"/>
      <c r="BYA120" s="3"/>
      <c r="BYB120" s="3"/>
      <c r="BYC120" s="3"/>
      <c r="BYD120" s="3"/>
      <c r="BYE120" s="3"/>
      <c r="BYF120" s="3"/>
      <c r="BYG120" s="3"/>
      <c r="BYH120" s="3"/>
      <c r="BYI120" s="3"/>
      <c r="BYJ120" s="3"/>
      <c r="BYK120" s="3"/>
      <c r="BYL120" s="3"/>
      <c r="BYM120" s="3"/>
      <c r="BYN120" s="3"/>
      <c r="BYO120" s="3"/>
      <c r="BYP120" s="3"/>
      <c r="BYQ120" s="3"/>
      <c r="BYR120" s="3"/>
      <c r="BYS120" s="3"/>
      <c r="BYT120" s="3"/>
      <c r="BYU120" s="3"/>
      <c r="BYV120" s="3"/>
      <c r="BYW120" s="3"/>
      <c r="BYX120" s="3"/>
      <c r="BYY120" s="3"/>
      <c r="BYZ120" s="3"/>
      <c r="BZA120" s="3"/>
      <c r="BZB120" s="3"/>
      <c r="BZC120" s="3"/>
      <c r="BZD120" s="3"/>
      <c r="BZE120" s="3"/>
      <c r="BZF120" s="3"/>
      <c r="BZG120" s="3"/>
      <c r="BZH120" s="3"/>
      <c r="BZI120" s="3"/>
      <c r="BZJ120" s="3"/>
      <c r="BZK120" s="3"/>
      <c r="BZL120" s="3"/>
      <c r="BZM120" s="3"/>
      <c r="BZN120" s="3"/>
      <c r="BZO120" s="3"/>
      <c r="BZP120" s="3"/>
      <c r="BZQ120" s="3"/>
      <c r="BZR120" s="3"/>
      <c r="BZS120" s="3"/>
      <c r="BZT120" s="3"/>
      <c r="BZU120" s="3"/>
      <c r="BZV120" s="3"/>
      <c r="BZW120" s="3"/>
      <c r="BZX120" s="3"/>
      <c r="BZY120" s="3"/>
      <c r="BZZ120" s="3"/>
      <c r="CAA120" s="3"/>
      <c r="CAB120" s="3"/>
      <c r="CAC120" s="3"/>
      <c r="CAD120" s="3"/>
      <c r="CAE120" s="3"/>
      <c r="CAF120" s="3"/>
      <c r="CAG120" s="3"/>
      <c r="CAH120" s="3"/>
      <c r="CAI120" s="3"/>
      <c r="CAJ120" s="3"/>
      <c r="CAK120" s="3"/>
      <c r="CAL120" s="3"/>
      <c r="CAM120" s="3"/>
      <c r="CAN120" s="3"/>
      <c r="CAO120" s="3"/>
      <c r="CAP120" s="3"/>
      <c r="CAQ120" s="3"/>
      <c r="CAR120" s="3"/>
      <c r="CAS120" s="3"/>
      <c r="CAT120" s="3"/>
      <c r="CAU120" s="3"/>
      <c r="CAV120" s="3"/>
      <c r="CAW120" s="3"/>
      <c r="CAX120" s="3"/>
      <c r="CAY120" s="3"/>
      <c r="CAZ120" s="3"/>
      <c r="CBA120" s="3"/>
      <c r="CBB120" s="3"/>
      <c r="CBC120" s="3"/>
      <c r="CBD120" s="3"/>
      <c r="CBE120" s="3"/>
      <c r="CBF120" s="3"/>
      <c r="CBG120" s="3"/>
      <c r="CBH120" s="3"/>
      <c r="CBI120" s="3"/>
      <c r="CBJ120" s="3"/>
      <c r="CBK120" s="3"/>
      <c r="CBL120" s="3"/>
      <c r="CBM120" s="3"/>
      <c r="CBN120" s="3"/>
      <c r="CBO120" s="3"/>
      <c r="CBP120" s="3"/>
      <c r="CBQ120" s="3"/>
      <c r="CBR120" s="3"/>
      <c r="CBS120" s="3"/>
      <c r="CBT120" s="3"/>
      <c r="CBU120" s="3"/>
      <c r="CBV120" s="3"/>
      <c r="CBW120" s="3"/>
      <c r="CBX120" s="3"/>
      <c r="CBY120" s="3"/>
      <c r="CBZ120" s="3"/>
      <c r="CCA120" s="3"/>
      <c r="CCB120" s="3"/>
      <c r="CCC120" s="3"/>
      <c r="CCD120" s="3"/>
      <c r="CCE120" s="3"/>
      <c r="CCF120" s="3"/>
      <c r="CCG120" s="3"/>
      <c r="CCH120" s="3"/>
      <c r="CCI120" s="3"/>
      <c r="CCJ120" s="3"/>
      <c r="CCK120" s="3"/>
      <c r="CCL120" s="3"/>
      <c r="CCM120" s="3"/>
      <c r="CCN120" s="3"/>
      <c r="CCO120" s="3"/>
      <c r="CCP120" s="3"/>
      <c r="CCQ120" s="3"/>
      <c r="CCR120" s="3"/>
      <c r="CCS120" s="3"/>
      <c r="CCT120" s="3"/>
      <c r="CCU120" s="3"/>
      <c r="CCV120" s="3"/>
      <c r="CCW120" s="3"/>
      <c r="CCX120" s="3"/>
      <c r="CCY120" s="3"/>
      <c r="CCZ120" s="3"/>
      <c r="CDA120" s="3"/>
      <c r="CDB120" s="3"/>
      <c r="CDC120" s="3"/>
      <c r="CDD120" s="3"/>
      <c r="CDE120" s="3"/>
      <c r="CDF120" s="3"/>
      <c r="CDG120" s="3"/>
      <c r="CDH120" s="3"/>
      <c r="CDI120" s="3"/>
      <c r="CDJ120" s="3"/>
      <c r="CDK120" s="3"/>
      <c r="CDL120" s="3"/>
      <c r="CDM120" s="3"/>
      <c r="CDN120" s="3"/>
      <c r="CDO120" s="3"/>
      <c r="CDP120" s="3"/>
      <c r="CDQ120" s="3"/>
      <c r="CDR120" s="3"/>
      <c r="CDS120" s="3"/>
      <c r="CDT120" s="3"/>
      <c r="CDU120" s="3"/>
      <c r="CDV120" s="3"/>
      <c r="CDW120" s="3"/>
      <c r="CDX120" s="3"/>
      <c r="CDY120" s="3"/>
      <c r="CDZ120" s="3"/>
      <c r="CEA120" s="3"/>
      <c r="CEB120" s="3"/>
      <c r="CEC120" s="3"/>
      <c r="CED120" s="3"/>
      <c r="CEE120" s="3"/>
      <c r="CEF120" s="3"/>
      <c r="CEG120" s="3"/>
      <c r="CEH120" s="3"/>
      <c r="CEI120" s="3"/>
      <c r="CEJ120" s="3"/>
      <c r="CEK120" s="3"/>
      <c r="CEL120" s="3"/>
      <c r="CEM120" s="3"/>
      <c r="CEN120" s="3"/>
      <c r="CEO120" s="3"/>
      <c r="CEP120" s="3"/>
      <c r="CEQ120" s="3"/>
      <c r="CER120" s="3"/>
      <c r="CES120" s="3"/>
      <c r="CET120" s="3"/>
      <c r="CEU120" s="3"/>
      <c r="CEV120" s="3"/>
      <c r="CEW120" s="3"/>
      <c r="CEX120" s="3"/>
      <c r="CEY120" s="3"/>
      <c r="CEZ120" s="3"/>
      <c r="CFA120" s="3"/>
      <c r="CFB120" s="3"/>
      <c r="CFC120" s="3"/>
      <c r="CFD120" s="3"/>
      <c r="CFE120" s="3"/>
      <c r="CFF120" s="3"/>
      <c r="CFG120" s="3"/>
      <c r="CFH120" s="3"/>
      <c r="CFI120" s="3"/>
      <c r="CFJ120" s="3"/>
      <c r="CFK120" s="3"/>
      <c r="CFL120" s="3"/>
      <c r="CFM120" s="3"/>
      <c r="CFN120" s="3"/>
      <c r="CFO120" s="3"/>
      <c r="CFP120" s="3"/>
      <c r="CFQ120" s="3"/>
      <c r="CFR120" s="3"/>
      <c r="CFS120" s="3"/>
      <c r="CFT120" s="3"/>
      <c r="CFU120" s="3"/>
      <c r="CFV120" s="3"/>
      <c r="CFW120" s="3"/>
      <c r="CFX120" s="3"/>
      <c r="CFY120" s="3"/>
      <c r="CFZ120" s="3"/>
      <c r="CGA120" s="3"/>
      <c r="CGB120" s="3"/>
      <c r="CGC120" s="3"/>
      <c r="CGD120" s="3"/>
      <c r="CGE120" s="3"/>
      <c r="CGF120" s="3"/>
      <c r="CGG120" s="3"/>
      <c r="CGH120" s="3"/>
      <c r="CGI120" s="3"/>
      <c r="CGJ120" s="3"/>
      <c r="CGK120" s="3"/>
      <c r="CGL120" s="3"/>
      <c r="CGM120" s="3"/>
      <c r="CGN120" s="3"/>
      <c r="CGO120" s="3"/>
      <c r="CGP120" s="3"/>
      <c r="CGQ120" s="3"/>
      <c r="CGR120" s="3"/>
      <c r="CGS120" s="3"/>
      <c r="CGT120" s="3"/>
      <c r="CGU120" s="3"/>
      <c r="CGV120" s="3"/>
      <c r="CGW120" s="3"/>
      <c r="CGX120" s="3"/>
      <c r="CGY120" s="3"/>
      <c r="CGZ120" s="3"/>
      <c r="CHA120" s="3"/>
      <c r="CHB120" s="3"/>
      <c r="CHC120" s="3"/>
      <c r="CHD120" s="3"/>
      <c r="CHE120" s="3"/>
      <c r="CHF120" s="3"/>
      <c r="CHG120" s="3"/>
      <c r="CHH120" s="3"/>
      <c r="CHI120" s="3"/>
      <c r="CHJ120" s="3"/>
      <c r="CHK120" s="3"/>
      <c r="CHL120" s="3"/>
      <c r="CHM120" s="3"/>
      <c r="CHN120" s="3"/>
      <c r="CHO120" s="3"/>
      <c r="CHP120" s="3"/>
      <c r="CHQ120" s="3"/>
      <c r="CHR120" s="3"/>
      <c r="CHS120" s="3"/>
      <c r="CHT120" s="3"/>
      <c r="CHU120" s="3"/>
      <c r="CHV120" s="3"/>
      <c r="CHW120" s="3"/>
      <c r="CHX120" s="3"/>
      <c r="CHY120" s="3"/>
      <c r="CHZ120" s="3"/>
      <c r="CIA120" s="3"/>
      <c r="CIB120" s="3"/>
      <c r="CIC120" s="3"/>
      <c r="CID120" s="3"/>
      <c r="CIE120" s="3"/>
      <c r="CIF120" s="3"/>
      <c r="CIG120" s="3"/>
      <c r="CIH120" s="3"/>
      <c r="CII120" s="3"/>
      <c r="CIJ120" s="3"/>
      <c r="CIK120" s="3"/>
      <c r="CIL120" s="3"/>
      <c r="CIM120" s="3"/>
      <c r="CIN120" s="3"/>
      <c r="CIO120" s="3"/>
      <c r="CIP120" s="3"/>
      <c r="CIQ120" s="3"/>
      <c r="CIR120" s="3"/>
      <c r="CIS120" s="3"/>
      <c r="CIT120" s="3"/>
      <c r="CIU120" s="3"/>
      <c r="CIV120" s="3"/>
      <c r="CIW120" s="3"/>
      <c r="CIX120" s="3"/>
      <c r="CIY120" s="3"/>
      <c r="CIZ120" s="3"/>
      <c r="CJA120" s="3"/>
      <c r="CJB120" s="3"/>
      <c r="CJC120" s="3"/>
      <c r="CJD120" s="3"/>
      <c r="CJE120" s="3"/>
      <c r="CJF120" s="3"/>
      <c r="CJG120" s="3"/>
      <c r="CJH120" s="3"/>
      <c r="CJI120" s="3"/>
      <c r="CJJ120" s="3"/>
      <c r="CJK120" s="3"/>
      <c r="CJL120" s="3"/>
      <c r="CJM120" s="3"/>
      <c r="CJN120" s="3"/>
      <c r="CJO120" s="3"/>
      <c r="CJP120" s="3"/>
      <c r="CJQ120" s="3"/>
      <c r="CJR120" s="3"/>
      <c r="CJS120" s="3"/>
      <c r="CJT120" s="3"/>
      <c r="CJU120" s="3"/>
      <c r="CJV120" s="3"/>
      <c r="CJW120" s="3"/>
      <c r="CJX120" s="3"/>
      <c r="CJY120" s="3"/>
      <c r="CJZ120" s="3"/>
      <c r="CKA120" s="3"/>
      <c r="CKB120" s="3"/>
      <c r="CKC120" s="3"/>
      <c r="CKD120" s="3"/>
      <c r="CKE120" s="3"/>
      <c r="CKF120" s="3"/>
      <c r="CKG120" s="3"/>
      <c r="CKH120" s="3"/>
      <c r="CKI120" s="3"/>
      <c r="CKJ120" s="3"/>
      <c r="CKK120" s="3"/>
      <c r="CKL120" s="3"/>
      <c r="CKM120" s="3"/>
      <c r="CKN120" s="3"/>
      <c r="CKO120" s="3"/>
      <c r="CKP120" s="3"/>
      <c r="CKQ120" s="3"/>
      <c r="CKR120" s="3"/>
      <c r="CKS120" s="3"/>
      <c r="CKT120" s="3"/>
      <c r="CKU120" s="3"/>
      <c r="CKV120" s="3"/>
      <c r="CKW120" s="3"/>
      <c r="CKX120" s="3"/>
      <c r="CKY120" s="3"/>
      <c r="CKZ120" s="3"/>
      <c r="CLA120" s="3"/>
      <c r="CLB120" s="3"/>
      <c r="CLC120" s="3"/>
      <c r="CLD120" s="3"/>
      <c r="CLE120" s="3"/>
      <c r="CLF120" s="3"/>
      <c r="CLG120" s="3"/>
      <c r="CLH120" s="3"/>
      <c r="CLI120" s="3"/>
      <c r="CLJ120" s="3"/>
      <c r="CLK120" s="3"/>
      <c r="CLL120" s="3"/>
      <c r="CLM120" s="3"/>
      <c r="CLN120" s="3"/>
      <c r="CLO120" s="3"/>
      <c r="CLP120" s="3"/>
      <c r="CLQ120" s="3"/>
      <c r="CLR120" s="3"/>
      <c r="CLS120" s="3"/>
      <c r="CLT120" s="3"/>
      <c r="CLU120" s="3"/>
      <c r="CLV120" s="3"/>
      <c r="CLW120" s="3"/>
      <c r="CLX120" s="3"/>
      <c r="CLY120" s="3"/>
      <c r="CLZ120" s="3"/>
      <c r="CMA120" s="3"/>
      <c r="CMB120" s="3"/>
      <c r="CMC120" s="3"/>
      <c r="CMD120" s="3"/>
      <c r="CME120" s="3"/>
      <c r="CMF120" s="3"/>
      <c r="CMG120" s="3"/>
      <c r="CMH120" s="3"/>
      <c r="CMI120" s="3"/>
      <c r="CMJ120" s="3"/>
      <c r="CMK120" s="3"/>
      <c r="CML120" s="3"/>
      <c r="CMM120" s="3"/>
      <c r="CMN120" s="3"/>
      <c r="CMO120" s="3"/>
      <c r="CMP120" s="3"/>
      <c r="CMQ120" s="3"/>
      <c r="CMR120" s="3"/>
      <c r="CMS120" s="3"/>
      <c r="CMT120" s="3"/>
      <c r="CMU120" s="3"/>
      <c r="CMV120" s="3"/>
      <c r="CMW120" s="3"/>
      <c r="CMX120" s="3"/>
      <c r="CMY120" s="3"/>
      <c r="CMZ120" s="3"/>
      <c r="CNA120" s="3"/>
      <c r="CNB120" s="3"/>
      <c r="CNC120" s="3"/>
      <c r="CND120" s="3"/>
      <c r="CNE120" s="3"/>
      <c r="CNF120" s="3"/>
      <c r="CNG120" s="3"/>
      <c r="CNH120" s="3"/>
      <c r="CNI120" s="3"/>
      <c r="CNJ120" s="3"/>
      <c r="CNK120" s="3"/>
      <c r="CNL120" s="3"/>
      <c r="CNM120" s="3"/>
      <c r="CNN120" s="3"/>
      <c r="CNO120" s="3"/>
      <c r="CNP120" s="3"/>
      <c r="CNQ120" s="3"/>
      <c r="CNR120" s="3"/>
      <c r="CNS120" s="3"/>
      <c r="CNT120" s="3"/>
      <c r="CNU120" s="3"/>
      <c r="CNV120" s="3"/>
      <c r="CNW120" s="3"/>
      <c r="CNX120" s="3"/>
      <c r="CNY120" s="3"/>
      <c r="CNZ120" s="3"/>
      <c r="COA120" s="3"/>
      <c r="COB120" s="3"/>
      <c r="COC120" s="3"/>
      <c r="COD120" s="3"/>
      <c r="COE120" s="3"/>
      <c r="COF120" s="3"/>
      <c r="COG120" s="3"/>
      <c r="COH120" s="3"/>
      <c r="COI120" s="3"/>
      <c r="COJ120" s="3"/>
      <c r="COK120" s="3"/>
      <c r="COL120" s="3"/>
      <c r="COM120" s="3"/>
      <c r="CON120" s="3"/>
      <c r="COO120" s="3"/>
      <c r="COP120" s="3"/>
      <c r="COQ120" s="3"/>
      <c r="COR120" s="3"/>
      <c r="COS120" s="3"/>
      <c r="COT120" s="3"/>
      <c r="COU120" s="3"/>
      <c r="COV120" s="3"/>
      <c r="COW120" s="3"/>
      <c r="COX120" s="3"/>
      <c r="COY120" s="3"/>
      <c r="COZ120" s="3"/>
      <c r="CPA120" s="3"/>
      <c r="CPB120" s="3"/>
      <c r="CPC120" s="3"/>
      <c r="CPD120" s="3"/>
      <c r="CPE120" s="3"/>
      <c r="CPF120" s="3"/>
      <c r="CPG120" s="3"/>
      <c r="CPH120" s="3"/>
      <c r="CPI120" s="3"/>
      <c r="CPJ120" s="3"/>
      <c r="CPK120" s="3"/>
      <c r="CPL120" s="3"/>
      <c r="CPM120" s="3"/>
      <c r="CPN120" s="3"/>
      <c r="CPO120" s="3"/>
      <c r="CPP120" s="3"/>
      <c r="CPQ120" s="3"/>
      <c r="CPR120" s="3"/>
      <c r="CPS120" s="3"/>
      <c r="CPT120" s="3"/>
      <c r="CPU120" s="3"/>
      <c r="CPV120" s="3"/>
      <c r="CPW120" s="3"/>
      <c r="CPX120" s="3"/>
      <c r="CPY120" s="3"/>
      <c r="CPZ120" s="3"/>
      <c r="CQA120" s="3"/>
      <c r="CQB120" s="3"/>
      <c r="CQC120" s="3"/>
      <c r="CQD120" s="3"/>
      <c r="CQE120" s="3"/>
      <c r="CQF120" s="3"/>
      <c r="CQG120" s="3"/>
      <c r="CQH120" s="3"/>
      <c r="CQI120" s="3"/>
      <c r="CQJ120" s="3"/>
      <c r="CQK120" s="3"/>
      <c r="CQL120" s="3"/>
      <c r="CQM120" s="3"/>
      <c r="CQN120" s="3"/>
      <c r="CQO120" s="3"/>
      <c r="CQP120" s="3"/>
      <c r="CQQ120" s="3"/>
      <c r="CQR120" s="3"/>
      <c r="CQS120" s="3"/>
      <c r="CQT120" s="3"/>
      <c r="CQU120" s="3"/>
      <c r="CQV120" s="3"/>
      <c r="CQW120" s="3"/>
      <c r="CQX120" s="3"/>
      <c r="CQY120" s="3"/>
      <c r="CQZ120" s="3"/>
      <c r="CRA120" s="3"/>
      <c r="CRB120" s="3"/>
      <c r="CRC120" s="3"/>
      <c r="CRD120" s="3"/>
      <c r="CRE120" s="3"/>
      <c r="CRF120" s="3"/>
      <c r="CRG120" s="3"/>
      <c r="CRH120" s="3"/>
      <c r="CRI120" s="3"/>
      <c r="CRJ120" s="3"/>
      <c r="CRK120" s="3"/>
      <c r="CRL120" s="3"/>
      <c r="CRM120" s="3"/>
      <c r="CRN120" s="3"/>
      <c r="CRO120" s="3"/>
      <c r="CRP120" s="3"/>
      <c r="CRQ120" s="3"/>
      <c r="CRR120" s="3"/>
      <c r="CRS120" s="3"/>
      <c r="CRT120" s="3"/>
      <c r="CRU120" s="3"/>
      <c r="CRV120" s="3"/>
      <c r="CRW120" s="3"/>
      <c r="CRX120" s="3"/>
      <c r="CRY120" s="3"/>
      <c r="CRZ120" s="3"/>
      <c r="CSA120" s="3"/>
      <c r="CSB120" s="3"/>
      <c r="CSC120" s="3"/>
      <c r="CSD120" s="3"/>
      <c r="CSE120" s="3"/>
      <c r="CSF120" s="3"/>
      <c r="CSG120" s="3"/>
      <c r="CSH120" s="3"/>
      <c r="CSI120" s="3"/>
      <c r="CSJ120" s="3"/>
      <c r="CSK120" s="3"/>
      <c r="CSL120" s="3"/>
      <c r="CSM120" s="3"/>
      <c r="CSN120" s="3"/>
      <c r="CSO120" s="3"/>
      <c r="CSP120" s="3"/>
      <c r="CSQ120" s="3"/>
      <c r="CSR120" s="3"/>
      <c r="CSS120" s="3"/>
      <c r="CST120" s="3"/>
      <c r="CSU120" s="3"/>
      <c r="CSV120" s="3"/>
      <c r="CSW120" s="3"/>
      <c r="CSX120" s="3"/>
      <c r="CSY120" s="3"/>
      <c r="CSZ120" s="3"/>
      <c r="CTA120" s="3"/>
      <c r="CTB120" s="3"/>
      <c r="CTC120" s="3"/>
      <c r="CTD120" s="3"/>
      <c r="CTE120" s="3"/>
      <c r="CTF120" s="3"/>
      <c r="CTG120" s="3"/>
      <c r="CTH120" s="3"/>
      <c r="CTI120" s="3"/>
      <c r="CTJ120" s="3"/>
      <c r="CTK120" s="3"/>
      <c r="CTL120" s="3"/>
      <c r="CTM120" s="3"/>
      <c r="CTN120" s="3"/>
      <c r="CTO120" s="3"/>
      <c r="CTP120" s="3"/>
      <c r="CTQ120" s="3"/>
      <c r="CTR120" s="3"/>
      <c r="CTS120" s="3"/>
      <c r="CTT120" s="3"/>
      <c r="CTU120" s="3"/>
      <c r="CTV120" s="3"/>
      <c r="CTW120" s="3"/>
      <c r="CTX120" s="3"/>
      <c r="CTY120" s="3"/>
      <c r="CTZ120" s="3"/>
      <c r="CUA120" s="3"/>
      <c r="CUB120" s="3"/>
      <c r="CUC120" s="3"/>
      <c r="CUD120" s="3"/>
      <c r="CUE120" s="3"/>
      <c r="CUF120" s="3"/>
      <c r="CUG120" s="3"/>
      <c r="CUH120" s="3"/>
      <c r="CUI120" s="3"/>
      <c r="CUJ120" s="3"/>
      <c r="CUK120" s="3"/>
      <c r="CUL120" s="3"/>
      <c r="CUM120" s="3"/>
      <c r="CUN120" s="3"/>
      <c r="CUO120" s="3"/>
      <c r="CUP120" s="3"/>
      <c r="CUQ120" s="3"/>
      <c r="CUR120" s="3"/>
      <c r="CUS120" s="3"/>
      <c r="CUT120" s="3"/>
      <c r="CUU120" s="3"/>
      <c r="CUV120" s="3"/>
      <c r="CUW120" s="3"/>
      <c r="CUX120" s="3"/>
      <c r="CUY120" s="3"/>
      <c r="CUZ120" s="3"/>
      <c r="CVA120" s="3"/>
      <c r="CVB120" s="3"/>
      <c r="CVC120" s="3"/>
      <c r="CVD120" s="3"/>
      <c r="CVE120" s="3"/>
      <c r="CVF120" s="3"/>
      <c r="CVG120" s="3"/>
      <c r="CVH120" s="3"/>
      <c r="CVI120" s="3"/>
      <c r="CVJ120" s="3"/>
      <c r="CVK120" s="3"/>
      <c r="CVL120" s="3"/>
      <c r="CVM120" s="3"/>
      <c r="CVN120" s="3"/>
      <c r="CVO120" s="3"/>
      <c r="CVP120" s="3"/>
      <c r="CVQ120" s="3"/>
      <c r="CVR120" s="3"/>
      <c r="CVS120" s="3"/>
      <c r="CVT120" s="3"/>
      <c r="CVU120" s="3"/>
      <c r="CVV120" s="3"/>
      <c r="CVW120" s="3"/>
      <c r="CVX120" s="3"/>
      <c r="CVY120" s="3"/>
      <c r="CVZ120" s="3"/>
      <c r="CWA120" s="3"/>
      <c r="CWB120" s="3"/>
      <c r="CWC120" s="3"/>
      <c r="CWD120" s="3"/>
      <c r="CWE120" s="3"/>
      <c r="CWF120" s="3"/>
      <c r="CWG120" s="3"/>
      <c r="CWH120" s="3"/>
      <c r="CWI120" s="3"/>
      <c r="CWJ120" s="3"/>
      <c r="CWK120" s="3"/>
      <c r="CWL120" s="3"/>
      <c r="CWM120" s="3"/>
      <c r="CWN120" s="3"/>
      <c r="CWO120" s="3"/>
      <c r="CWP120" s="3"/>
      <c r="CWQ120" s="3"/>
      <c r="CWR120" s="3"/>
      <c r="CWS120" s="3"/>
      <c r="CWT120" s="3"/>
      <c r="CWU120" s="3"/>
      <c r="CWV120" s="3"/>
      <c r="CWW120" s="3"/>
      <c r="CWX120" s="3"/>
      <c r="CWY120" s="3"/>
      <c r="CWZ120" s="3"/>
      <c r="CXA120" s="3"/>
      <c r="CXB120" s="3"/>
      <c r="CXC120" s="3"/>
      <c r="CXD120" s="3"/>
      <c r="CXE120" s="3"/>
      <c r="CXF120" s="3"/>
      <c r="CXG120" s="3"/>
      <c r="CXH120" s="3"/>
      <c r="CXI120" s="3"/>
      <c r="CXJ120" s="3"/>
      <c r="CXK120" s="3"/>
      <c r="CXL120" s="3"/>
      <c r="CXM120" s="3"/>
      <c r="CXN120" s="3"/>
      <c r="CXO120" s="3"/>
      <c r="CXP120" s="3"/>
      <c r="CXQ120" s="3"/>
      <c r="CXR120" s="3"/>
      <c r="CXS120" s="3"/>
      <c r="CXT120" s="3"/>
      <c r="CXU120" s="3"/>
      <c r="CXV120" s="3"/>
      <c r="CXW120" s="3"/>
      <c r="CXX120" s="3"/>
      <c r="CXY120" s="3"/>
      <c r="CXZ120" s="3"/>
      <c r="CYA120" s="3"/>
      <c r="CYB120" s="3"/>
      <c r="CYC120" s="3"/>
      <c r="CYD120" s="3"/>
      <c r="CYE120" s="3"/>
      <c r="CYF120" s="3"/>
      <c r="CYG120" s="3"/>
      <c r="CYH120" s="3"/>
      <c r="CYI120" s="3"/>
      <c r="CYJ120" s="3"/>
      <c r="CYK120" s="3"/>
      <c r="CYL120" s="3"/>
      <c r="CYM120" s="3"/>
      <c r="CYN120" s="3"/>
      <c r="CYO120" s="3"/>
      <c r="CYP120" s="3"/>
      <c r="CYQ120" s="3"/>
      <c r="CYR120" s="3"/>
      <c r="CYS120" s="3"/>
      <c r="CYT120" s="3"/>
      <c r="CYU120" s="3"/>
      <c r="CYV120" s="3"/>
      <c r="CYW120" s="3"/>
      <c r="CYX120" s="3"/>
      <c r="CYY120" s="3"/>
      <c r="CYZ120" s="3"/>
      <c r="CZA120" s="3"/>
      <c r="CZB120" s="3"/>
      <c r="CZC120" s="3"/>
      <c r="CZD120" s="3"/>
      <c r="CZE120" s="3"/>
      <c r="CZF120" s="3"/>
      <c r="CZG120" s="3"/>
      <c r="CZH120" s="3"/>
      <c r="CZI120" s="3"/>
      <c r="CZJ120" s="3"/>
      <c r="CZK120" s="3"/>
      <c r="CZL120" s="3"/>
      <c r="CZM120" s="3"/>
      <c r="CZN120" s="3"/>
      <c r="CZO120" s="3"/>
      <c r="CZP120" s="3"/>
      <c r="CZQ120" s="3"/>
      <c r="CZR120" s="3"/>
      <c r="CZS120" s="3"/>
      <c r="CZT120" s="3"/>
      <c r="CZU120" s="3"/>
      <c r="CZV120" s="3"/>
      <c r="CZW120" s="3"/>
      <c r="CZX120" s="3"/>
      <c r="CZY120" s="3"/>
      <c r="CZZ120" s="3"/>
      <c r="DAA120" s="3"/>
      <c r="DAB120" s="3"/>
      <c r="DAC120" s="3"/>
      <c r="DAD120" s="3"/>
      <c r="DAE120" s="3"/>
      <c r="DAF120" s="3"/>
      <c r="DAG120" s="3"/>
      <c r="DAH120" s="3"/>
      <c r="DAI120" s="3"/>
      <c r="DAJ120" s="3"/>
      <c r="DAK120" s="3"/>
      <c r="DAL120" s="3"/>
      <c r="DAM120" s="3"/>
      <c r="DAN120" s="3"/>
      <c r="DAO120" s="3"/>
      <c r="DAP120" s="3"/>
      <c r="DAQ120" s="3"/>
      <c r="DAR120" s="3"/>
      <c r="DAS120" s="3"/>
      <c r="DAT120" s="3"/>
      <c r="DAU120" s="3"/>
      <c r="DAV120" s="3"/>
      <c r="DAW120" s="3"/>
      <c r="DAX120" s="3"/>
      <c r="DAY120" s="3"/>
      <c r="DAZ120" s="3"/>
      <c r="DBA120" s="3"/>
      <c r="DBB120" s="3"/>
      <c r="DBC120" s="3"/>
      <c r="DBD120" s="3"/>
      <c r="DBE120" s="3"/>
      <c r="DBF120" s="3"/>
      <c r="DBG120" s="3"/>
      <c r="DBH120" s="3"/>
      <c r="DBI120" s="3"/>
      <c r="DBJ120" s="3"/>
      <c r="DBK120" s="3"/>
      <c r="DBL120" s="3"/>
      <c r="DBM120" s="3"/>
      <c r="DBN120" s="3"/>
      <c r="DBO120" s="3"/>
      <c r="DBP120" s="3"/>
      <c r="DBQ120" s="3"/>
      <c r="DBR120" s="3"/>
      <c r="DBS120" s="3"/>
      <c r="DBT120" s="3"/>
      <c r="DBU120" s="3"/>
      <c r="DBV120" s="3"/>
      <c r="DBW120" s="3"/>
      <c r="DBX120" s="3"/>
      <c r="DBY120" s="3"/>
      <c r="DBZ120" s="3"/>
      <c r="DCA120" s="3"/>
      <c r="DCB120" s="3"/>
      <c r="DCC120" s="3"/>
      <c r="DCD120" s="3"/>
      <c r="DCE120" s="3"/>
      <c r="DCF120" s="3"/>
      <c r="DCG120" s="3"/>
      <c r="DCH120" s="3"/>
      <c r="DCI120" s="3"/>
      <c r="DCJ120" s="3"/>
      <c r="DCK120" s="3"/>
      <c r="DCL120" s="3"/>
      <c r="DCM120" s="3"/>
      <c r="DCN120" s="3"/>
      <c r="DCO120" s="3"/>
      <c r="DCP120" s="3"/>
      <c r="DCQ120" s="3"/>
      <c r="DCR120" s="3"/>
      <c r="DCS120" s="3"/>
      <c r="DCT120" s="3"/>
      <c r="DCU120" s="3"/>
      <c r="DCV120" s="3"/>
      <c r="DCW120" s="3"/>
      <c r="DCX120" s="3"/>
      <c r="DCY120" s="3"/>
      <c r="DCZ120" s="3"/>
      <c r="DDA120" s="3"/>
      <c r="DDB120" s="3"/>
      <c r="DDC120" s="3"/>
      <c r="DDD120" s="3"/>
      <c r="DDE120" s="3"/>
      <c r="DDF120" s="3"/>
      <c r="DDG120" s="3"/>
      <c r="DDH120" s="3"/>
      <c r="DDI120" s="3"/>
      <c r="DDJ120" s="3"/>
      <c r="DDK120" s="3"/>
      <c r="DDL120" s="3"/>
      <c r="DDM120" s="3"/>
      <c r="DDN120" s="3"/>
      <c r="DDO120" s="3"/>
      <c r="DDP120" s="3"/>
      <c r="DDQ120" s="3"/>
      <c r="DDR120" s="3"/>
      <c r="DDS120" s="3"/>
      <c r="DDT120" s="3"/>
      <c r="DDU120" s="3"/>
      <c r="DDV120" s="3"/>
      <c r="DDW120" s="3"/>
      <c r="DDX120" s="3"/>
      <c r="DDY120" s="3"/>
      <c r="DDZ120" s="3"/>
      <c r="DEA120" s="3"/>
      <c r="DEB120" s="3"/>
      <c r="DEC120" s="3"/>
      <c r="DED120" s="3"/>
      <c r="DEE120" s="3"/>
      <c r="DEF120" s="3"/>
      <c r="DEG120" s="3"/>
      <c r="DEH120" s="3"/>
      <c r="DEI120" s="3"/>
      <c r="DEJ120" s="3"/>
      <c r="DEK120" s="3"/>
      <c r="DEL120" s="3"/>
      <c r="DEM120" s="3"/>
      <c r="DEN120" s="3"/>
      <c r="DEO120" s="3"/>
      <c r="DEP120" s="3"/>
      <c r="DEQ120" s="3"/>
      <c r="DER120" s="3"/>
      <c r="DES120" s="3"/>
      <c r="DET120" s="3"/>
      <c r="DEU120" s="3"/>
      <c r="DEV120" s="3"/>
      <c r="DEW120" s="3"/>
      <c r="DEX120" s="3"/>
      <c r="DEY120" s="3"/>
      <c r="DEZ120" s="3"/>
      <c r="DFA120" s="3"/>
      <c r="DFB120" s="3"/>
      <c r="DFC120" s="3"/>
      <c r="DFD120" s="3"/>
      <c r="DFE120" s="3"/>
      <c r="DFF120" s="3"/>
      <c r="DFG120" s="3"/>
      <c r="DFH120" s="3"/>
      <c r="DFI120" s="3"/>
      <c r="DFJ120" s="3"/>
      <c r="DFK120" s="3"/>
      <c r="DFL120" s="3"/>
      <c r="DFM120" s="3"/>
      <c r="DFN120" s="3"/>
      <c r="DFO120" s="3"/>
      <c r="DFP120" s="3"/>
      <c r="DFQ120" s="3"/>
      <c r="DFR120" s="3"/>
      <c r="DFS120" s="3"/>
      <c r="DFT120" s="3"/>
      <c r="DFU120" s="3"/>
      <c r="DFV120" s="3"/>
      <c r="DFW120" s="3"/>
      <c r="DFX120" s="3"/>
      <c r="DFY120" s="3"/>
      <c r="DFZ120" s="3"/>
      <c r="DGA120" s="3"/>
      <c r="DGB120" s="3"/>
      <c r="DGC120" s="3"/>
      <c r="DGD120" s="3"/>
      <c r="DGE120" s="3"/>
      <c r="DGF120" s="3"/>
      <c r="DGG120" s="3"/>
      <c r="DGH120" s="3"/>
      <c r="DGI120" s="3"/>
      <c r="DGJ120" s="3"/>
      <c r="DGK120" s="3"/>
      <c r="DGL120" s="3"/>
      <c r="DGM120" s="3"/>
      <c r="DGN120" s="3"/>
      <c r="DGO120" s="3"/>
      <c r="DGP120" s="3"/>
      <c r="DGQ120" s="3"/>
      <c r="DGR120" s="3"/>
      <c r="DGS120" s="3"/>
      <c r="DGT120" s="3"/>
      <c r="DGU120" s="3"/>
      <c r="DGV120" s="3"/>
      <c r="DGW120" s="3"/>
      <c r="DGX120" s="3"/>
      <c r="DGY120" s="3"/>
      <c r="DGZ120" s="3"/>
      <c r="DHA120" s="3"/>
      <c r="DHB120" s="3"/>
      <c r="DHC120" s="3"/>
      <c r="DHD120" s="3"/>
      <c r="DHE120" s="3"/>
      <c r="DHF120" s="3"/>
      <c r="DHG120" s="3"/>
      <c r="DHH120" s="3"/>
      <c r="DHI120" s="3"/>
      <c r="DHJ120" s="3"/>
      <c r="DHK120" s="3"/>
      <c r="DHL120" s="3"/>
      <c r="DHM120" s="3"/>
      <c r="DHN120" s="3"/>
      <c r="DHO120" s="3"/>
      <c r="DHP120" s="3"/>
      <c r="DHQ120" s="3"/>
      <c r="DHR120" s="3"/>
      <c r="DHS120" s="3"/>
      <c r="DHT120" s="3"/>
      <c r="DHU120" s="3"/>
      <c r="DHV120" s="3"/>
      <c r="DHW120" s="3"/>
      <c r="DHX120" s="3"/>
      <c r="DHY120" s="3"/>
      <c r="DHZ120" s="3"/>
      <c r="DIA120" s="3"/>
      <c r="DIB120" s="3"/>
      <c r="DIC120" s="3"/>
      <c r="DID120" s="3"/>
      <c r="DIE120" s="3"/>
      <c r="DIF120" s="3"/>
      <c r="DIG120" s="3"/>
      <c r="DIH120" s="3"/>
      <c r="DII120" s="3"/>
      <c r="DIJ120" s="3"/>
      <c r="DIK120" s="3"/>
      <c r="DIL120" s="3"/>
      <c r="DIM120" s="3"/>
      <c r="DIN120" s="3"/>
      <c r="DIO120" s="3"/>
      <c r="DIP120" s="3"/>
      <c r="DIQ120" s="3"/>
      <c r="DIR120" s="3"/>
      <c r="DIS120" s="3"/>
      <c r="DIT120" s="3"/>
      <c r="DIU120" s="3"/>
      <c r="DIV120" s="3"/>
      <c r="DIW120" s="3"/>
      <c r="DIX120" s="3"/>
      <c r="DIY120" s="3"/>
      <c r="DIZ120" s="3"/>
      <c r="DJA120" s="3"/>
      <c r="DJB120" s="3"/>
      <c r="DJC120" s="3"/>
      <c r="DJD120" s="3"/>
      <c r="DJE120" s="3"/>
      <c r="DJF120" s="3"/>
      <c r="DJG120" s="3"/>
      <c r="DJH120" s="3"/>
      <c r="DJI120" s="3"/>
      <c r="DJJ120" s="3"/>
      <c r="DJK120" s="3"/>
      <c r="DJL120" s="3"/>
      <c r="DJM120" s="3"/>
      <c r="DJN120" s="3"/>
      <c r="DJO120" s="3"/>
      <c r="DJP120" s="3"/>
      <c r="DJQ120" s="3"/>
      <c r="DJR120" s="3"/>
      <c r="DJS120" s="3"/>
      <c r="DJT120" s="3"/>
      <c r="DJU120" s="3"/>
      <c r="DJV120" s="3"/>
      <c r="DJW120" s="3"/>
      <c r="DJX120" s="3"/>
      <c r="DJY120" s="3"/>
      <c r="DJZ120" s="3"/>
      <c r="DKA120" s="3"/>
      <c r="DKB120" s="3"/>
      <c r="DKC120" s="3"/>
      <c r="DKD120" s="3"/>
      <c r="DKE120" s="3"/>
      <c r="DKF120" s="3"/>
      <c r="DKG120" s="3"/>
      <c r="DKH120" s="3"/>
      <c r="DKI120" s="3"/>
      <c r="DKJ120" s="3"/>
      <c r="DKK120" s="3"/>
      <c r="DKL120" s="3"/>
      <c r="DKM120" s="3"/>
      <c r="DKN120" s="3"/>
      <c r="DKO120" s="3"/>
      <c r="DKP120" s="3"/>
      <c r="DKQ120" s="3"/>
      <c r="DKR120" s="3"/>
      <c r="DKS120" s="3"/>
      <c r="DKT120" s="3"/>
      <c r="DKU120" s="3"/>
      <c r="DKV120" s="3"/>
      <c r="DKW120" s="3"/>
      <c r="DKX120" s="3"/>
      <c r="DKY120" s="3"/>
      <c r="DKZ120" s="3"/>
      <c r="DLA120" s="3"/>
      <c r="DLB120" s="3"/>
      <c r="DLC120" s="3"/>
      <c r="DLD120" s="3"/>
      <c r="DLE120" s="3"/>
      <c r="DLF120" s="3"/>
      <c r="DLG120" s="3"/>
      <c r="DLH120" s="3"/>
      <c r="DLI120" s="3"/>
      <c r="DLJ120" s="3"/>
      <c r="DLK120" s="3"/>
      <c r="DLL120" s="3"/>
      <c r="DLM120" s="3"/>
      <c r="DLN120" s="3"/>
      <c r="DLO120" s="3"/>
      <c r="DLP120" s="3"/>
      <c r="DLQ120" s="3"/>
      <c r="DLR120" s="3"/>
      <c r="DLS120" s="3"/>
      <c r="DLT120" s="3"/>
      <c r="DLU120" s="3"/>
      <c r="DLV120" s="3"/>
      <c r="DLW120" s="3"/>
      <c r="DLX120" s="3"/>
      <c r="DLY120" s="3"/>
      <c r="DLZ120" s="3"/>
      <c r="DMA120" s="3"/>
      <c r="DMB120" s="3"/>
      <c r="DMC120" s="3"/>
      <c r="DMD120" s="3"/>
      <c r="DME120" s="3"/>
      <c r="DMF120" s="3"/>
      <c r="DMG120" s="3"/>
      <c r="DMH120" s="3"/>
      <c r="DMI120" s="3"/>
      <c r="DMJ120" s="3"/>
      <c r="DMK120" s="3"/>
      <c r="DML120" s="3"/>
      <c r="DMM120" s="3"/>
      <c r="DMN120" s="3"/>
      <c r="DMO120" s="3"/>
      <c r="DMP120" s="3"/>
      <c r="DMQ120" s="3"/>
      <c r="DMR120" s="3"/>
      <c r="DMS120" s="3"/>
      <c r="DMT120" s="3"/>
      <c r="DMU120" s="3"/>
      <c r="DMV120" s="3"/>
      <c r="DMW120" s="3"/>
      <c r="DMX120" s="3"/>
      <c r="DMY120" s="3"/>
      <c r="DMZ120" s="3"/>
      <c r="DNA120" s="3"/>
      <c r="DNB120" s="3"/>
      <c r="DNC120" s="3"/>
      <c r="DND120" s="3"/>
      <c r="DNE120" s="3"/>
      <c r="DNF120" s="3"/>
      <c r="DNG120" s="3"/>
      <c r="DNH120" s="3"/>
      <c r="DNI120" s="3"/>
      <c r="DNJ120" s="3"/>
      <c r="DNK120" s="3"/>
      <c r="DNL120" s="3"/>
      <c r="DNM120" s="3"/>
      <c r="DNN120" s="3"/>
      <c r="DNO120" s="3"/>
      <c r="DNP120" s="3"/>
      <c r="DNQ120" s="3"/>
      <c r="DNR120" s="3"/>
      <c r="DNS120" s="3"/>
      <c r="DNT120" s="3"/>
      <c r="DNU120" s="3"/>
      <c r="DNV120" s="3"/>
      <c r="DNW120" s="3"/>
      <c r="DNX120" s="3"/>
      <c r="DNY120" s="3"/>
      <c r="DNZ120" s="3"/>
      <c r="DOA120" s="3"/>
      <c r="DOB120" s="3"/>
      <c r="DOC120" s="3"/>
      <c r="DOD120" s="3"/>
      <c r="DOE120" s="3"/>
      <c r="DOF120" s="3"/>
      <c r="DOG120" s="3"/>
      <c r="DOH120" s="3"/>
      <c r="DOI120" s="3"/>
      <c r="DOJ120" s="3"/>
      <c r="DOK120" s="3"/>
      <c r="DOL120" s="3"/>
      <c r="DOM120" s="3"/>
      <c r="DON120" s="3"/>
      <c r="DOO120" s="3"/>
      <c r="DOP120" s="3"/>
      <c r="DOQ120" s="3"/>
      <c r="DOR120" s="3"/>
      <c r="DOS120" s="3"/>
      <c r="DOT120" s="3"/>
      <c r="DOU120" s="3"/>
      <c r="DOV120" s="3"/>
      <c r="DOW120" s="3"/>
      <c r="DOX120" s="3"/>
      <c r="DOY120" s="3"/>
      <c r="DOZ120" s="3"/>
      <c r="DPA120" s="3"/>
      <c r="DPB120" s="3"/>
      <c r="DPC120" s="3"/>
      <c r="DPD120" s="3"/>
      <c r="DPE120" s="3"/>
      <c r="DPF120" s="3"/>
      <c r="DPG120" s="3"/>
      <c r="DPH120" s="3"/>
      <c r="DPI120" s="3"/>
      <c r="DPJ120" s="3"/>
      <c r="DPK120" s="3"/>
      <c r="DPL120" s="3"/>
      <c r="DPM120" s="3"/>
      <c r="DPN120" s="3"/>
      <c r="DPO120" s="3"/>
      <c r="DPP120" s="3"/>
      <c r="DPQ120" s="3"/>
      <c r="DPR120" s="3"/>
      <c r="DPS120" s="3"/>
      <c r="DPT120" s="3"/>
      <c r="DPU120" s="3"/>
      <c r="DPV120" s="3"/>
      <c r="DPW120" s="3"/>
      <c r="DPX120" s="3"/>
      <c r="DPY120" s="3"/>
      <c r="DPZ120" s="3"/>
      <c r="DQA120" s="3"/>
      <c r="DQB120" s="3"/>
      <c r="DQC120" s="3"/>
      <c r="DQD120" s="3"/>
      <c r="DQE120" s="3"/>
      <c r="DQF120" s="3"/>
      <c r="DQG120" s="3"/>
      <c r="DQH120" s="3"/>
      <c r="DQI120" s="3"/>
      <c r="DQJ120" s="3"/>
      <c r="DQK120" s="3"/>
      <c r="DQL120" s="3"/>
      <c r="DQM120" s="3"/>
      <c r="DQN120" s="3"/>
      <c r="DQO120" s="3"/>
      <c r="DQP120" s="3"/>
      <c r="DQQ120" s="3"/>
      <c r="DQR120" s="3"/>
      <c r="DQS120" s="3"/>
      <c r="DQT120" s="3"/>
      <c r="DQU120" s="3"/>
      <c r="DQV120" s="3"/>
      <c r="DQW120" s="3"/>
      <c r="DQX120" s="3"/>
      <c r="DQY120" s="3"/>
      <c r="DQZ120" s="3"/>
      <c r="DRA120" s="3"/>
      <c r="DRB120" s="3"/>
      <c r="DRC120" s="3"/>
      <c r="DRD120" s="3"/>
      <c r="DRE120" s="3"/>
      <c r="DRF120" s="3"/>
      <c r="DRG120" s="3"/>
      <c r="DRH120" s="3"/>
      <c r="DRI120" s="3"/>
      <c r="DRJ120" s="3"/>
      <c r="DRK120" s="3"/>
      <c r="DRL120" s="3"/>
      <c r="DRM120" s="3"/>
      <c r="DRN120" s="3"/>
      <c r="DRO120" s="3"/>
      <c r="DRP120" s="3"/>
      <c r="DRQ120" s="3"/>
      <c r="DRR120" s="3"/>
      <c r="DRS120" s="3"/>
      <c r="DRT120" s="3"/>
      <c r="DRU120" s="3"/>
      <c r="DRV120" s="3"/>
      <c r="DRW120" s="3"/>
      <c r="DRX120" s="3"/>
      <c r="DRY120" s="3"/>
      <c r="DRZ120" s="3"/>
      <c r="DSA120" s="3"/>
      <c r="DSB120" s="3"/>
      <c r="DSC120" s="3"/>
      <c r="DSD120" s="3"/>
      <c r="DSE120" s="3"/>
      <c r="DSF120" s="3"/>
      <c r="DSG120" s="3"/>
      <c r="DSH120" s="3"/>
      <c r="DSI120" s="3"/>
      <c r="DSJ120" s="3"/>
      <c r="DSK120" s="3"/>
      <c r="DSL120" s="3"/>
      <c r="DSM120" s="3"/>
      <c r="DSN120" s="3"/>
      <c r="DSO120" s="3"/>
      <c r="DSP120" s="3"/>
      <c r="DSQ120" s="3"/>
      <c r="DSR120" s="3"/>
      <c r="DSS120" s="3"/>
      <c r="DST120" s="3"/>
      <c r="DSU120" s="3"/>
      <c r="DSV120" s="3"/>
      <c r="DSW120" s="3"/>
      <c r="DSX120" s="3"/>
      <c r="DSY120" s="3"/>
      <c r="DSZ120" s="3"/>
      <c r="DTA120" s="3"/>
      <c r="DTB120" s="3"/>
      <c r="DTC120" s="3"/>
      <c r="DTD120" s="3"/>
      <c r="DTE120" s="3"/>
      <c r="DTF120" s="3"/>
      <c r="DTG120" s="3"/>
      <c r="DTH120" s="3"/>
      <c r="DTI120" s="3"/>
      <c r="DTJ120" s="3"/>
      <c r="DTK120" s="3"/>
      <c r="DTL120" s="3"/>
      <c r="DTM120" s="3"/>
      <c r="DTN120" s="3"/>
      <c r="DTO120" s="3"/>
      <c r="DTP120" s="3"/>
      <c r="DTQ120" s="3"/>
      <c r="DTR120" s="3"/>
      <c r="DTS120" s="3"/>
      <c r="DTT120" s="3"/>
      <c r="DTU120" s="3"/>
      <c r="DTV120" s="3"/>
      <c r="DTW120" s="3"/>
      <c r="DTX120" s="3"/>
      <c r="DTY120" s="3"/>
      <c r="DTZ120" s="3"/>
      <c r="DUA120" s="3"/>
      <c r="DUB120" s="3"/>
      <c r="DUC120" s="3"/>
      <c r="DUD120" s="3"/>
      <c r="DUE120" s="3"/>
      <c r="DUF120" s="3"/>
      <c r="DUG120" s="3"/>
      <c r="DUH120" s="3"/>
      <c r="DUI120" s="3"/>
      <c r="DUJ120" s="3"/>
      <c r="DUK120" s="3"/>
      <c r="DUL120" s="3"/>
      <c r="DUM120" s="3"/>
      <c r="DUN120" s="3"/>
      <c r="DUO120" s="3"/>
      <c r="DUP120" s="3"/>
      <c r="DUQ120" s="3"/>
      <c r="DUR120" s="3"/>
      <c r="DUS120" s="3"/>
      <c r="DUT120" s="3"/>
      <c r="DUU120" s="3"/>
      <c r="DUV120" s="3"/>
      <c r="DUW120" s="3"/>
      <c r="DUX120" s="3"/>
      <c r="DUY120" s="3"/>
      <c r="DUZ120" s="3"/>
      <c r="DVA120" s="3"/>
      <c r="DVB120" s="3"/>
      <c r="DVC120" s="3"/>
      <c r="DVD120" s="3"/>
      <c r="DVE120" s="3"/>
      <c r="DVF120" s="3"/>
      <c r="DVG120" s="3"/>
      <c r="DVH120" s="3"/>
      <c r="DVI120" s="3"/>
      <c r="DVJ120" s="3"/>
      <c r="DVK120" s="3"/>
      <c r="DVL120" s="3"/>
      <c r="DVM120" s="3"/>
      <c r="DVN120" s="3"/>
      <c r="DVO120" s="3"/>
      <c r="DVP120" s="3"/>
      <c r="DVQ120" s="3"/>
      <c r="DVR120" s="3"/>
      <c r="DVS120" s="3"/>
      <c r="DVT120" s="3"/>
      <c r="DVU120" s="3"/>
      <c r="DVV120" s="3"/>
      <c r="DVW120" s="3"/>
      <c r="DVX120" s="3"/>
      <c r="DVY120" s="3"/>
      <c r="DVZ120" s="3"/>
      <c r="DWA120" s="3"/>
      <c r="DWB120" s="3"/>
      <c r="DWC120" s="3"/>
      <c r="DWD120" s="3"/>
      <c r="DWE120" s="3"/>
      <c r="DWF120" s="3"/>
      <c r="DWG120" s="3"/>
      <c r="DWH120" s="3"/>
      <c r="DWI120" s="3"/>
      <c r="DWJ120" s="3"/>
      <c r="DWK120" s="3"/>
      <c r="DWL120" s="3"/>
      <c r="DWM120" s="3"/>
      <c r="DWN120" s="3"/>
      <c r="DWO120" s="3"/>
      <c r="DWP120" s="3"/>
      <c r="DWQ120" s="3"/>
      <c r="DWR120" s="3"/>
      <c r="DWS120" s="3"/>
      <c r="DWT120" s="3"/>
      <c r="DWU120" s="3"/>
      <c r="DWV120" s="3"/>
      <c r="DWW120" s="3"/>
      <c r="DWX120" s="3"/>
      <c r="DWY120" s="3"/>
      <c r="DWZ120" s="3"/>
      <c r="DXA120" s="3"/>
      <c r="DXB120" s="3"/>
      <c r="DXC120" s="3"/>
      <c r="DXD120" s="3"/>
      <c r="DXE120" s="3"/>
      <c r="DXF120" s="3"/>
      <c r="DXG120" s="3"/>
      <c r="DXH120" s="3"/>
      <c r="DXI120" s="3"/>
      <c r="DXJ120" s="3"/>
      <c r="DXK120" s="3"/>
      <c r="DXL120" s="3"/>
      <c r="DXM120" s="3"/>
      <c r="DXN120" s="3"/>
      <c r="DXO120" s="3"/>
      <c r="DXP120" s="3"/>
      <c r="DXQ120" s="3"/>
      <c r="DXR120" s="3"/>
      <c r="DXS120" s="3"/>
      <c r="DXT120" s="3"/>
      <c r="DXU120" s="3"/>
      <c r="DXV120" s="3"/>
      <c r="DXW120" s="3"/>
      <c r="DXX120" s="3"/>
      <c r="DXY120" s="3"/>
      <c r="DXZ120" s="3"/>
      <c r="DYA120" s="3"/>
      <c r="DYB120" s="3"/>
      <c r="DYC120" s="3"/>
      <c r="DYD120" s="3"/>
      <c r="DYE120" s="3"/>
      <c r="DYF120" s="3"/>
      <c r="DYG120" s="3"/>
      <c r="DYH120" s="3"/>
      <c r="DYI120" s="3"/>
      <c r="DYJ120" s="3"/>
      <c r="DYK120" s="3"/>
      <c r="DYL120" s="3"/>
      <c r="DYM120" s="3"/>
      <c r="DYN120" s="3"/>
      <c r="DYO120" s="3"/>
      <c r="DYP120" s="3"/>
      <c r="DYQ120" s="3"/>
      <c r="DYR120" s="3"/>
      <c r="DYS120" s="3"/>
      <c r="DYT120" s="3"/>
      <c r="DYU120" s="3"/>
      <c r="DYV120" s="3"/>
      <c r="DYW120" s="3"/>
      <c r="DYX120" s="3"/>
      <c r="DYY120" s="3"/>
      <c r="DYZ120" s="3"/>
      <c r="DZA120" s="3"/>
      <c r="DZB120" s="3"/>
      <c r="DZC120" s="3"/>
      <c r="DZD120" s="3"/>
      <c r="DZE120" s="3"/>
      <c r="DZF120" s="3"/>
      <c r="DZG120" s="3"/>
      <c r="DZH120" s="3"/>
      <c r="DZI120" s="3"/>
      <c r="DZJ120" s="3"/>
      <c r="DZK120" s="3"/>
      <c r="DZL120" s="3"/>
      <c r="DZM120" s="3"/>
      <c r="DZN120" s="3"/>
      <c r="DZO120" s="3"/>
      <c r="DZP120" s="3"/>
      <c r="DZQ120" s="3"/>
      <c r="DZR120" s="3"/>
      <c r="DZS120" s="3"/>
      <c r="DZT120" s="3"/>
      <c r="DZU120" s="3"/>
      <c r="DZV120" s="3"/>
      <c r="DZW120" s="3"/>
      <c r="DZX120" s="3"/>
      <c r="DZY120" s="3"/>
      <c r="DZZ120" s="3"/>
      <c r="EAA120" s="3"/>
      <c r="EAB120" s="3"/>
      <c r="EAC120" s="3"/>
      <c r="EAD120" s="3"/>
      <c r="EAE120" s="3"/>
      <c r="EAF120" s="3"/>
      <c r="EAG120" s="3"/>
      <c r="EAH120" s="3"/>
      <c r="EAI120" s="3"/>
      <c r="EAJ120" s="3"/>
      <c r="EAK120" s="3"/>
      <c r="EAL120" s="3"/>
      <c r="EAM120" s="3"/>
      <c r="EAN120" s="3"/>
      <c r="EAO120" s="3"/>
      <c r="EAP120" s="3"/>
      <c r="EAQ120" s="3"/>
      <c r="EAR120" s="3"/>
      <c r="EAS120" s="3"/>
      <c r="EAT120" s="3"/>
      <c r="EAU120" s="3"/>
      <c r="EAV120" s="3"/>
      <c r="EAW120" s="3"/>
      <c r="EAX120" s="3"/>
      <c r="EAY120" s="3"/>
      <c r="EAZ120" s="3"/>
      <c r="EBA120" s="3"/>
      <c r="EBB120" s="3"/>
      <c r="EBC120" s="3"/>
      <c r="EBD120" s="3"/>
      <c r="EBE120" s="3"/>
      <c r="EBF120" s="3"/>
      <c r="EBG120" s="3"/>
      <c r="EBH120" s="3"/>
      <c r="EBI120" s="3"/>
      <c r="EBJ120" s="3"/>
      <c r="EBK120" s="3"/>
      <c r="EBL120" s="3"/>
      <c r="EBM120" s="3"/>
      <c r="EBN120" s="3"/>
      <c r="EBO120" s="3"/>
      <c r="EBP120" s="3"/>
      <c r="EBQ120" s="3"/>
      <c r="EBR120" s="3"/>
      <c r="EBS120" s="3"/>
      <c r="EBT120" s="3"/>
      <c r="EBU120" s="3"/>
      <c r="EBV120" s="3"/>
      <c r="EBW120" s="3"/>
      <c r="EBX120" s="3"/>
      <c r="EBY120" s="3"/>
      <c r="EBZ120" s="3"/>
      <c r="ECA120" s="3"/>
      <c r="ECB120" s="3"/>
      <c r="ECC120" s="3"/>
      <c r="ECD120" s="3"/>
      <c r="ECE120" s="3"/>
      <c r="ECF120" s="3"/>
      <c r="ECG120" s="3"/>
      <c r="ECH120" s="3"/>
      <c r="ECI120" s="3"/>
      <c r="ECJ120" s="3"/>
      <c r="ECK120" s="3"/>
      <c r="ECL120" s="3"/>
      <c r="ECM120" s="3"/>
      <c r="ECN120" s="3"/>
      <c r="ECO120" s="3"/>
      <c r="ECP120" s="3"/>
      <c r="ECQ120" s="3"/>
      <c r="ECR120" s="3"/>
      <c r="ECS120" s="3"/>
      <c r="ECT120" s="3"/>
      <c r="ECU120" s="3"/>
      <c r="ECV120" s="3"/>
      <c r="ECW120" s="3"/>
      <c r="ECX120" s="3"/>
      <c r="ECY120" s="3"/>
      <c r="ECZ120" s="3"/>
      <c r="EDA120" s="3"/>
      <c r="EDB120" s="3"/>
      <c r="EDC120" s="3"/>
      <c r="EDD120" s="3"/>
      <c r="EDE120" s="3"/>
      <c r="EDF120" s="3"/>
      <c r="EDG120" s="3"/>
      <c r="EDH120" s="3"/>
      <c r="EDI120" s="3"/>
      <c r="EDJ120" s="3"/>
      <c r="EDK120" s="3"/>
      <c r="EDL120" s="3"/>
      <c r="EDM120" s="3"/>
      <c r="EDN120" s="3"/>
      <c r="EDO120" s="3"/>
      <c r="EDP120" s="3"/>
      <c r="EDQ120" s="3"/>
      <c r="EDR120" s="3"/>
      <c r="EDS120" s="3"/>
      <c r="EDT120" s="3"/>
      <c r="EDU120" s="3"/>
      <c r="EDV120" s="3"/>
      <c r="EDW120" s="3"/>
      <c r="EDX120" s="3"/>
      <c r="EDY120" s="3"/>
      <c r="EDZ120" s="3"/>
      <c r="EEA120" s="3"/>
      <c r="EEB120" s="3"/>
      <c r="EEC120" s="3"/>
      <c r="EED120" s="3"/>
      <c r="EEE120" s="3"/>
      <c r="EEF120" s="3"/>
      <c r="EEG120" s="3"/>
      <c r="EEH120" s="3"/>
      <c r="EEI120" s="3"/>
      <c r="EEJ120" s="3"/>
      <c r="EEK120" s="3"/>
      <c r="EEL120" s="3"/>
      <c r="EEM120" s="3"/>
      <c r="EEN120" s="3"/>
      <c r="EEO120" s="3"/>
      <c r="EEP120" s="3"/>
      <c r="EEQ120" s="3"/>
      <c r="EER120" s="3"/>
      <c r="EES120" s="3"/>
      <c r="EET120" s="3"/>
      <c r="EEU120" s="3"/>
      <c r="EEV120" s="3"/>
      <c r="EEW120" s="3"/>
      <c r="EEX120" s="3"/>
      <c r="EEY120" s="3"/>
      <c r="EEZ120" s="3"/>
      <c r="EFA120" s="3"/>
      <c r="EFB120" s="3"/>
      <c r="EFC120" s="3"/>
      <c r="EFD120" s="3"/>
      <c r="EFE120" s="3"/>
      <c r="EFF120" s="3"/>
      <c r="EFG120" s="3"/>
      <c r="EFH120" s="3"/>
      <c r="EFI120" s="3"/>
      <c r="EFJ120" s="3"/>
      <c r="EFK120" s="3"/>
      <c r="EFL120" s="3"/>
      <c r="EFM120" s="3"/>
      <c r="EFN120" s="3"/>
      <c r="EFO120" s="3"/>
      <c r="EFP120" s="3"/>
      <c r="EFQ120" s="3"/>
      <c r="EFR120" s="3"/>
      <c r="EFS120" s="3"/>
      <c r="EFT120" s="3"/>
      <c r="EFU120" s="3"/>
      <c r="EFV120" s="3"/>
      <c r="EFW120" s="3"/>
      <c r="EFX120" s="3"/>
      <c r="EFY120" s="3"/>
      <c r="EFZ120" s="3"/>
      <c r="EGA120" s="3"/>
      <c r="EGB120" s="3"/>
      <c r="EGC120" s="3"/>
      <c r="EGD120" s="3"/>
      <c r="EGE120" s="3"/>
      <c r="EGF120" s="3"/>
      <c r="EGG120" s="3"/>
      <c r="EGH120" s="3"/>
      <c r="EGI120" s="3"/>
      <c r="EGJ120" s="3"/>
      <c r="EGK120" s="3"/>
      <c r="EGL120" s="3"/>
      <c r="EGM120" s="3"/>
      <c r="EGN120" s="3"/>
      <c r="EGO120" s="3"/>
      <c r="EGP120" s="3"/>
      <c r="EGQ120" s="3"/>
      <c r="EGR120" s="3"/>
      <c r="EGS120" s="3"/>
      <c r="EGT120" s="3"/>
      <c r="EGU120" s="3"/>
      <c r="EGV120" s="3"/>
      <c r="EGW120" s="3"/>
      <c r="EGX120" s="3"/>
      <c r="EGY120" s="3"/>
      <c r="EGZ120" s="3"/>
      <c r="EHA120" s="3"/>
      <c r="EHB120" s="3"/>
      <c r="EHC120" s="3"/>
      <c r="EHD120" s="3"/>
      <c r="EHE120" s="3"/>
      <c r="EHF120" s="3"/>
      <c r="EHG120" s="3"/>
      <c r="EHH120" s="3"/>
      <c r="EHI120" s="3"/>
      <c r="EHJ120" s="3"/>
      <c r="EHK120" s="3"/>
      <c r="EHL120" s="3"/>
      <c r="EHM120" s="3"/>
      <c r="EHN120" s="3"/>
      <c r="EHO120" s="3"/>
      <c r="EHP120" s="3"/>
      <c r="EHQ120" s="3"/>
      <c r="EHR120" s="3"/>
      <c r="EHS120" s="3"/>
      <c r="EHT120" s="3"/>
      <c r="EHU120" s="3"/>
      <c r="EHV120" s="3"/>
      <c r="EHW120" s="3"/>
      <c r="EHX120" s="3"/>
      <c r="EHY120" s="3"/>
      <c r="EHZ120" s="3"/>
      <c r="EIA120" s="3"/>
      <c r="EIB120" s="3"/>
      <c r="EIC120" s="3"/>
      <c r="EID120" s="3"/>
      <c r="EIE120" s="3"/>
      <c r="EIF120" s="3"/>
      <c r="EIG120" s="3"/>
      <c r="EIH120" s="3"/>
      <c r="EII120" s="3"/>
      <c r="EIJ120" s="3"/>
      <c r="EIK120" s="3"/>
      <c r="EIL120" s="3"/>
      <c r="EIM120" s="3"/>
      <c r="EIN120" s="3"/>
      <c r="EIO120" s="3"/>
      <c r="EIP120" s="3"/>
      <c r="EIQ120" s="3"/>
      <c r="EIR120" s="3"/>
      <c r="EIS120" s="3"/>
      <c r="EIT120" s="3"/>
      <c r="EIU120" s="3"/>
      <c r="EIV120" s="3"/>
      <c r="EIW120" s="3"/>
      <c r="EIX120" s="3"/>
      <c r="EIY120" s="3"/>
      <c r="EIZ120" s="3"/>
      <c r="EJA120" s="3"/>
      <c r="EJB120" s="3"/>
      <c r="EJC120" s="3"/>
      <c r="EJD120" s="3"/>
      <c r="EJE120" s="3"/>
      <c r="EJF120" s="3"/>
      <c r="EJG120" s="3"/>
      <c r="EJH120" s="3"/>
      <c r="EJI120" s="3"/>
      <c r="EJJ120" s="3"/>
      <c r="EJK120" s="3"/>
      <c r="EJL120" s="3"/>
      <c r="EJM120" s="3"/>
      <c r="EJN120" s="3"/>
      <c r="EJO120" s="3"/>
      <c r="EJP120" s="3"/>
      <c r="EJQ120" s="3"/>
      <c r="EJR120" s="3"/>
      <c r="EJS120" s="3"/>
      <c r="EJT120" s="3"/>
      <c r="EJU120" s="3"/>
      <c r="EJV120" s="3"/>
      <c r="EJW120" s="3"/>
      <c r="EJX120" s="3"/>
      <c r="EJY120" s="3"/>
      <c r="EJZ120" s="3"/>
      <c r="EKA120" s="3"/>
      <c r="EKB120" s="3"/>
      <c r="EKC120" s="3"/>
      <c r="EKD120" s="3"/>
      <c r="EKE120" s="3"/>
      <c r="EKF120" s="3"/>
      <c r="EKG120" s="3"/>
      <c r="EKH120" s="3"/>
      <c r="EKI120" s="3"/>
      <c r="EKJ120" s="3"/>
      <c r="EKK120" s="3"/>
      <c r="EKL120" s="3"/>
      <c r="EKM120" s="3"/>
      <c r="EKN120" s="3"/>
      <c r="EKO120" s="3"/>
      <c r="EKP120" s="3"/>
      <c r="EKQ120" s="3"/>
      <c r="EKR120" s="3"/>
      <c r="EKS120" s="3"/>
      <c r="EKT120" s="3"/>
      <c r="EKU120" s="3"/>
      <c r="EKV120" s="3"/>
      <c r="EKW120" s="3"/>
      <c r="EKX120" s="3"/>
      <c r="EKY120" s="3"/>
      <c r="EKZ120" s="3"/>
      <c r="ELA120" s="3"/>
      <c r="ELB120" s="3"/>
      <c r="ELC120" s="3"/>
      <c r="ELD120" s="3"/>
      <c r="ELE120" s="3"/>
      <c r="ELF120" s="3"/>
      <c r="ELG120" s="3"/>
      <c r="ELH120" s="3"/>
      <c r="ELI120" s="3"/>
      <c r="ELJ120" s="3"/>
      <c r="ELK120" s="3"/>
      <c r="ELL120" s="3"/>
      <c r="ELM120" s="3"/>
      <c r="ELN120" s="3"/>
      <c r="ELO120" s="3"/>
      <c r="ELP120" s="3"/>
      <c r="ELQ120" s="3"/>
      <c r="ELR120" s="3"/>
      <c r="ELS120" s="3"/>
      <c r="ELT120" s="3"/>
      <c r="ELU120" s="3"/>
      <c r="ELV120" s="3"/>
      <c r="ELW120" s="3"/>
      <c r="ELX120" s="3"/>
      <c r="ELY120" s="3"/>
      <c r="ELZ120" s="3"/>
      <c r="EMA120" s="3"/>
      <c r="EMB120" s="3"/>
      <c r="EMC120" s="3"/>
      <c r="EMD120" s="3"/>
      <c r="EME120" s="3"/>
      <c r="EMF120" s="3"/>
      <c r="EMG120" s="3"/>
      <c r="EMH120" s="3"/>
      <c r="EMI120" s="3"/>
      <c r="EMJ120" s="3"/>
      <c r="EMK120" s="3"/>
      <c r="EML120" s="3"/>
      <c r="EMM120" s="3"/>
      <c r="EMN120" s="3"/>
      <c r="EMO120" s="3"/>
      <c r="EMP120" s="3"/>
      <c r="EMQ120" s="3"/>
      <c r="EMR120" s="3"/>
      <c r="EMS120" s="3"/>
      <c r="EMT120" s="3"/>
      <c r="EMU120" s="3"/>
      <c r="EMV120" s="3"/>
      <c r="EMW120" s="3"/>
      <c r="EMX120" s="3"/>
      <c r="EMY120" s="3"/>
      <c r="EMZ120" s="3"/>
      <c r="ENA120" s="3"/>
      <c r="ENB120" s="3"/>
      <c r="ENC120" s="3"/>
      <c r="END120" s="3"/>
      <c r="ENE120" s="3"/>
      <c r="ENF120" s="3"/>
      <c r="ENG120" s="3"/>
      <c r="ENH120" s="3"/>
      <c r="ENI120" s="3"/>
      <c r="ENJ120" s="3"/>
      <c r="ENK120" s="3"/>
      <c r="ENL120" s="3"/>
      <c r="ENM120" s="3"/>
      <c r="ENN120" s="3"/>
      <c r="ENO120" s="3"/>
      <c r="ENP120" s="3"/>
      <c r="ENQ120" s="3"/>
      <c r="ENR120" s="3"/>
      <c r="ENS120" s="3"/>
      <c r="ENT120" s="3"/>
      <c r="ENU120" s="3"/>
      <c r="ENV120" s="3"/>
      <c r="ENW120" s="3"/>
      <c r="ENX120" s="3"/>
      <c r="ENY120" s="3"/>
      <c r="ENZ120" s="3"/>
      <c r="EOA120" s="3"/>
      <c r="EOB120" s="3"/>
      <c r="EOC120" s="3"/>
      <c r="EOD120" s="3"/>
      <c r="EOE120" s="3"/>
      <c r="EOF120" s="3"/>
      <c r="EOG120" s="3"/>
      <c r="EOH120" s="3"/>
      <c r="EOI120" s="3"/>
      <c r="EOJ120" s="3"/>
      <c r="EOK120" s="3"/>
      <c r="EOL120" s="3"/>
      <c r="EOM120" s="3"/>
      <c r="EON120" s="3"/>
      <c r="EOO120" s="3"/>
      <c r="EOP120" s="3"/>
      <c r="EOQ120" s="3"/>
      <c r="EOR120" s="3"/>
      <c r="EOS120" s="3"/>
      <c r="EOT120" s="3"/>
      <c r="EOU120" s="3"/>
      <c r="EOV120" s="3"/>
      <c r="EOW120" s="3"/>
      <c r="EOX120" s="3"/>
      <c r="EOY120" s="3"/>
      <c r="EOZ120" s="3"/>
      <c r="EPA120" s="3"/>
      <c r="EPB120" s="3"/>
      <c r="EPC120" s="3"/>
      <c r="EPD120" s="3"/>
      <c r="EPE120" s="3"/>
      <c r="EPF120" s="3"/>
      <c r="EPG120" s="3"/>
      <c r="EPH120" s="3"/>
      <c r="EPI120" s="3"/>
      <c r="EPJ120" s="3"/>
      <c r="EPK120" s="3"/>
      <c r="EPL120" s="3"/>
      <c r="EPM120" s="3"/>
      <c r="EPN120" s="3"/>
      <c r="EPO120" s="3"/>
      <c r="EPP120" s="3"/>
      <c r="EPQ120" s="3"/>
      <c r="EPR120" s="3"/>
      <c r="EPS120" s="3"/>
      <c r="EPT120" s="3"/>
      <c r="EPU120" s="3"/>
      <c r="EPV120" s="3"/>
      <c r="EPW120" s="3"/>
      <c r="EPX120" s="3"/>
      <c r="EPY120" s="3"/>
      <c r="EPZ120" s="3"/>
      <c r="EQA120" s="3"/>
      <c r="EQB120" s="3"/>
      <c r="EQC120" s="3"/>
      <c r="EQD120" s="3"/>
      <c r="EQE120" s="3"/>
      <c r="EQF120" s="3"/>
      <c r="EQG120" s="3"/>
      <c r="EQH120" s="3"/>
      <c r="EQI120" s="3"/>
      <c r="EQJ120" s="3"/>
      <c r="EQK120" s="3"/>
      <c r="EQL120" s="3"/>
      <c r="EQM120" s="3"/>
      <c r="EQN120" s="3"/>
      <c r="EQO120" s="3"/>
      <c r="EQP120" s="3"/>
      <c r="EQQ120" s="3"/>
      <c r="EQR120" s="3"/>
      <c r="EQS120" s="3"/>
      <c r="EQT120" s="3"/>
      <c r="EQU120" s="3"/>
      <c r="EQV120" s="3"/>
      <c r="EQW120" s="3"/>
      <c r="EQX120" s="3"/>
      <c r="EQY120" s="3"/>
      <c r="EQZ120" s="3"/>
      <c r="ERA120" s="3"/>
      <c r="ERB120" s="3"/>
      <c r="ERC120" s="3"/>
      <c r="ERD120" s="3"/>
      <c r="ERE120" s="3"/>
      <c r="ERF120" s="3"/>
      <c r="ERG120" s="3"/>
      <c r="ERH120" s="3"/>
      <c r="ERI120" s="3"/>
      <c r="ERJ120" s="3"/>
      <c r="ERK120" s="3"/>
      <c r="ERL120" s="3"/>
      <c r="ERM120" s="3"/>
      <c r="ERN120" s="3"/>
      <c r="ERO120" s="3"/>
      <c r="ERP120" s="3"/>
      <c r="ERQ120" s="3"/>
      <c r="ERR120" s="3"/>
      <c r="ERS120" s="3"/>
      <c r="ERT120" s="3"/>
      <c r="ERU120" s="3"/>
      <c r="ERV120" s="3"/>
      <c r="ERW120" s="3"/>
      <c r="ERX120" s="3"/>
      <c r="ERY120" s="3"/>
      <c r="ERZ120" s="3"/>
      <c r="ESA120" s="3"/>
      <c r="ESB120" s="3"/>
      <c r="ESC120" s="3"/>
      <c r="ESD120" s="3"/>
      <c r="ESE120" s="3"/>
      <c r="ESF120" s="3"/>
      <c r="ESG120" s="3"/>
      <c r="ESH120" s="3"/>
      <c r="ESI120" s="3"/>
      <c r="ESJ120" s="3"/>
      <c r="ESK120" s="3"/>
      <c r="ESL120" s="3"/>
      <c r="ESM120" s="3"/>
      <c r="ESN120" s="3"/>
      <c r="ESO120" s="3"/>
      <c r="ESP120" s="3"/>
      <c r="ESQ120" s="3"/>
      <c r="ESR120" s="3"/>
      <c r="ESS120" s="3"/>
      <c r="EST120" s="3"/>
      <c r="ESU120" s="3"/>
      <c r="ESV120" s="3"/>
      <c r="ESW120" s="3"/>
      <c r="ESX120" s="3"/>
      <c r="ESY120" s="3"/>
      <c r="ESZ120" s="3"/>
      <c r="ETA120" s="3"/>
      <c r="ETB120" s="3"/>
      <c r="ETC120" s="3"/>
      <c r="ETD120" s="3"/>
      <c r="ETE120" s="3"/>
      <c r="ETF120" s="3"/>
      <c r="ETG120" s="3"/>
      <c r="ETH120" s="3"/>
      <c r="ETI120" s="3"/>
      <c r="ETJ120" s="3"/>
      <c r="ETK120" s="3"/>
      <c r="ETL120" s="3"/>
      <c r="ETM120" s="3"/>
      <c r="ETN120" s="3"/>
      <c r="ETO120" s="3"/>
      <c r="ETP120" s="3"/>
      <c r="ETQ120" s="3"/>
      <c r="ETR120" s="3"/>
      <c r="ETS120" s="3"/>
      <c r="ETT120" s="3"/>
      <c r="ETU120" s="3"/>
      <c r="ETV120" s="3"/>
      <c r="ETW120" s="3"/>
      <c r="ETX120" s="3"/>
      <c r="ETY120" s="3"/>
      <c r="ETZ120" s="3"/>
      <c r="EUA120" s="3"/>
      <c r="EUB120" s="3"/>
      <c r="EUC120" s="3"/>
      <c r="EUD120" s="3"/>
      <c r="EUE120" s="3"/>
      <c r="EUF120" s="3"/>
      <c r="EUG120" s="3"/>
      <c r="EUH120" s="3"/>
      <c r="EUI120" s="3"/>
      <c r="EUJ120" s="3"/>
      <c r="EUK120" s="3"/>
      <c r="EUL120" s="3"/>
      <c r="EUM120" s="3"/>
      <c r="EUN120" s="3"/>
      <c r="EUO120" s="3"/>
      <c r="EUP120" s="3"/>
      <c r="EUQ120" s="3"/>
      <c r="EUR120" s="3"/>
      <c r="EUS120" s="3"/>
      <c r="EUT120" s="3"/>
      <c r="EUU120" s="3"/>
      <c r="EUV120" s="3"/>
      <c r="EUW120" s="3"/>
      <c r="EUX120" s="3"/>
      <c r="EUY120" s="3"/>
      <c r="EUZ120" s="3"/>
      <c r="EVA120" s="3"/>
      <c r="EVB120" s="3"/>
      <c r="EVC120" s="3"/>
      <c r="EVD120" s="3"/>
      <c r="EVE120" s="3"/>
      <c r="EVF120" s="3"/>
      <c r="EVG120" s="3"/>
      <c r="EVH120" s="3"/>
      <c r="EVI120" s="3"/>
      <c r="EVJ120" s="3"/>
      <c r="EVK120" s="3"/>
      <c r="EVL120" s="3"/>
      <c r="EVM120" s="3"/>
      <c r="EVN120" s="3"/>
      <c r="EVO120" s="3"/>
      <c r="EVP120" s="3"/>
      <c r="EVQ120" s="3"/>
      <c r="EVR120" s="3"/>
      <c r="EVS120" s="3"/>
      <c r="EVT120" s="3"/>
      <c r="EVU120" s="3"/>
      <c r="EVV120" s="3"/>
      <c r="EVW120" s="3"/>
      <c r="EVX120" s="3"/>
      <c r="EVY120" s="3"/>
      <c r="EVZ120" s="3"/>
      <c r="EWA120" s="3"/>
      <c r="EWB120" s="3"/>
      <c r="EWC120" s="3"/>
      <c r="EWD120" s="3"/>
      <c r="EWE120" s="3"/>
      <c r="EWF120" s="3"/>
      <c r="EWG120" s="3"/>
      <c r="EWH120" s="3"/>
      <c r="EWI120" s="3"/>
      <c r="EWJ120" s="3"/>
      <c r="EWK120" s="3"/>
      <c r="EWL120" s="3"/>
      <c r="EWM120" s="3"/>
      <c r="EWN120" s="3"/>
      <c r="EWO120" s="3"/>
      <c r="EWP120" s="3"/>
      <c r="EWQ120" s="3"/>
      <c r="EWR120" s="3"/>
      <c r="EWS120" s="3"/>
      <c r="EWT120" s="3"/>
      <c r="EWU120" s="3"/>
      <c r="EWV120" s="3"/>
      <c r="EWW120" s="3"/>
      <c r="EWX120" s="3"/>
      <c r="EWY120" s="3"/>
      <c r="EWZ120" s="3"/>
      <c r="EXA120" s="3"/>
      <c r="EXB120" s="3"/>
      <c r="EXC120" s="3"/>
      <c r="EXD120" s="3"/>
      <c r="EXE120" s="3"/>
      <c r="EXF120" s="3"/>
      <c r="EXG120" s="3"/>
      <c r="EXH120" s="3"/>
      <c r="EXI120" s="3"/>
      <c r="EXJ120" s="3"/>
      <c r="EXK120" s="3"/>
      <c r="EXL120" s="3"/>
      <c r="EXM120" s="3"/>
      <c r="EXN120" s="3"/>
      <c r="EXO120" s="3"/>
      <c r="EXP120" s="3"/>
      <c r="EXQ120" s="3"/>
      <c r="EXR120" s="3"/>
      <c r="EXS120" s="3"/>
      <c r="EXT120" s="3"/>
      <c r="EXU120" s="3"/>
      <c r="EXV120" s="3"/>
      <c r="EXW120" s="3"/>
      <c r="EXX120" s="3"/>
      <c r="EXY120" s="3"/>
      <c r="EXZ120" s="3"/>
      <c r="EYA120" s="3"/>
      <c r="EYB120" s="3"/>
      <c r="EYC120" s="3"/>
      <c r="EYD120" s="3"/>
      <c r="EYE120" s="3"/>
      <c r="EYF120" s="3"/>
      <c r="EYG120" s="3"/>
      <c r="EYH120" s="3"/>
      <c r="EYI120" s="3"/>
      <c r="EYJ120" s="3"/>
      <c r="EYK120" s="3"/>
      <c r="EYL120" s="3"/>
      <c r="EYM120" s="3"/>
      <c r="EYN120" s="3"/>
      <c r="EYO120" s="3"/>
      <c r="EYP120" s="3"/>
      <c r="EYQ120" s="3"/>
      <c r="EYR120" s="3"/>
      <c r="EYS120" s="3"/>
      <c r="EYT120" s="3"/>
      <c r="EYU120" s="3"/>
      <c r="EYV120" s="3"/>
      <c r="EYW120" s="3"/>
      <c r="EYX120" s="3"/>
      <c r="EYY120" s="3"/>
      <c r="EYZ120" s="3"/>
      <c r="EZA120" s="3"/>
      <c r="EZB120" s="3"/>
      <c r="EZC120" s="3"/>
      <c r="EZD120" s="3"/>
      <c r="EZE120" s="3"/>
      <c r="EZF120" s="3"/>
      <c r="EZG120" s="3"/>
      <c r="EZH120" s="3"/>
      <c r="EZI120" s="3"/>
      <c r="EZJ120" s="3"/>
      <c r="EZK120" s="3"/>
      <c r="EZL120" s="3"/>
      <c r="EZM120" s="3"/>
      <c r="EZN120" s="3"/>
      <c r="EZO120" s="3"/>
      <c r="EZP120" s="3"/>
      <c r="EZQ120" s="3"/>
      <c r="EZR120" s="3"/>
      <c r="EZS120" s="3"/>
      <c r="EZT120" s="3"/>
      <c r="EZU120" s="3"/>
      <c r="EZV120" s="3"/>
      <c r="EZW120" s="3"/>
      <c r="EZX120" s="3"/>
      <c r="EZY120" s="3"/>
      <c r="EZZ120" s="3"/>
      <c r="FAA120" s="3"/>
      <c r="FAB120" s="3"/>
      <c r="FAC120" s="3"/>
      <c r="FAD120" s="3"/>
      <c r="FAE120" s="3"/>
      <c r="FAF120" s="3"/>
      <c r="FAG120" s="3"/>
      <c r="FAH120" s="3"/>
      <c r="FAI120" s="3"/>
      <c r="FAJ120" s="3"/>
      <c r="FAK120" s="3"/>
      <c r="FAL120" s="3"/>
      <c r="FAM120" s="3"/>
      <c r="FAN120" s="3"/>
      <c r="FAO120" s="3"/>
      <c r="FAP120" s="3"/>
      <c r="FAQ120" s="3"/>
      <c r="FAR120" s="3"/>
      <c r="FAS120" s="3"/>
      <c r="FAT120" s="3"/>
      <c r="FAU120" s="3"/>
      <c r="FAV120" s="3"/>
      <c r="FAW120" s="3"/>
      <c r="FAX120" s="3"/>
      <c r="FAY120" s="3"/>
      <c r="FAZ120" s="3"/>
      <c r="FBA120" s="3"/>
      <c r="FBB120" s="3"/>
      <c r="FBC120" s="3"/>
      <c r="FBD120" s="3"/>
      <c r="FBE120" s="3"/>
      <c r="FBF120" s="3"/>
      <c r="FBG120" s="3"/>
      <c r="FBH120" s="3"/>
      <c r="FBI120" s="3"/>
      <c r="FBJ120" s="3"/>
      <c r="FBK120" s="3"/>
      <c r="FBL120" s="3"/>
      <c r="FBM120" s="3"/>
      <c r="FBN120" s="3"/>
      <c r="FBO120" s="3"/>
      <c r="FBP120" s="3"/>
      <c r="FBQ120" s="3"/>
      <c r="FBR120" s="3"/>
      <c r="FBS120" s="3"/>
      <c r="FBT120" s="3"/>
      <c r="FBU120" s="3"/>
      <c r="FBV120" s="3"/>
      <c r="FBW120" s="3"/>
      <c r="FBX120" s="3"/>
      <c r="FBY120" s="3"/>
      <c r="FBZ120" s="3"/>
      <c r="FCA120" s="3"/>
      <c r="FCB120" s="3"/>
      <c r="FCC120" s="3"/>
      <c r="FCD120" s="3"/>
      <c r="FCE120" s="3"/>
      <c r="FCF120" s="3"/>
      <c r="FCG120" s="3"/>
      <c r="FCH120" s="3"/>
      <c r="FCI120" s="3"/>
      <c r="FCJ120" s="3"/>
      <c r="FCK120" s="3"/>
      <c r="FCL120" s="3"/>
      <c r="FCM120" s="3"/>
      <c r="FCN120" s="3"/>
      <c r="FCO120" s="3"/>
      <c r="FCP120" s="3"/>
      <c r="FCQ120" s="3"/>
      <c r="FCR120" s="3"/>
      <c r="FCS120" s="3"/>
      <c r="FCT120" s="3"/>
      <c r="FCU120" s="3"/>
      <c r="FCV120" s="3"/>
      <c r="FCW120" s="3"/>
      <c r="FCX120" s="3"/>
      <c r="FCY120" s="3"/>
      <c r="FCZ120" s="3"/>
      <c r="FDA120" s="3"/>
      <c r="FDB120" s="3"/>
      <c r="FDC120" s="3"/>
      <c r="FDD120" s="3"/>
      <c r="FDE120" s="3"/>
      <c r="FDF120" s="3"/>
      <c r="FDG120" s="3"/>
      <c r="FDH120" s="3"/>
      <c r="FDI120" s="3"/>
      <c r="FDJ120" s="3"/>
      <c r="FDK120" s="3"/>
      <c r="FDL120" s="3"/>
      <c r="FDM120" s="3"/>
      <c r="FDN120" s="3"/>
      <c r="FDO120" s="3"/>
      <c r="FDP120" s="3"/>
      <c r="FDQ120" s="3"/>
      <c r="FDR120" s="3"/>
      <c r="FDS120" s="3"/>
      <c r="FDT120" s="3"/>
      <c r="FDU120" s="3"/>
      <c r="FDV120" s="3"/>
      <c r="FDW120" s="3"/>
      <c r="FDX120" s="3"/>
      <c r="FDY120" s="3"/>
      <c r="FDZ120" s="3"/>
      <c r="FEA120" s="3"/>
      <c r="FEB120" s="3"/>
      <c r="FEC120" s="3"/>
      <c r="FED120" s="3"/>
      <c r="FEE120" s="3"/>
      <c r="FEF120" s="3"/>
      <c r="FEG120" s="3"/>
      <c r="FEH120" s="3"/>
      <c r="FEI120" s="3"/>
      <c r="FEJ120" s="3"/>
      <c r="FEK120" s="3"/>
      <c r="FEL120" s="3"/>
      <c r="FEM120" s="3"/>
      <c r="FEN120" s="3"/>
      <c r="FEO120" s="3"/>
      <c r="FEP120" s="3"/>
      <c r="FEQ120" s="3"/>
      <c r="FER120" s="3"/>
      <c r="FES120" s="3"/>
      <c r="FET120" s="3"/>
      <c r="FEU120" s="3"/>
      <c r="FEV120" s="3"/>
      <c r="FEW120" s="3"/>
      <c r="FEX120" s="3"/>
      <c r="FEY120" s="3"/>
      <c r="FEZ120" s="3"/>
      <c r="FFA120" s="3"/>
      <c r="FFB120" s="3"/>
      <c r="FFC120" s="3"/>
      <c r="FFD120" s="3"/>
      <c r="FFE120" s="3"/>
      <c r="FFF120" s="3"/>
      <c r="FFG120" s="3"/>
      <c r="FFH120" s="3"/>
      <c r="FFI120" s="3"/>
      <c r="FFJ120" s="3"/>
      <c r="FFK120" s="3"/>
      <c r="FFL120" s="3"/>
      <c r="FFM120" s="3"/>
      <c r="FFN120" s="3"/>
      <c r="FFO120" s="3"/>
      <c r="FFP120" s="3"/>
      <c r="FFQ120" s="3"/>
      <c r="FFR120" s="3"/>
      <c r="FFS120" s="3"/>
      <c r="FFT120" s="3"/>
      <c r="FFU120" s="3"/>
      <c r="FFV120" s="3"/>
      <c r="FFW120" s="3"/>
      <c r="FFX120" s="3"/>
      <c r="FFY120" s="3"/>
      <c r="FFZ120" s="3"/>
      <c r="FGA120" s="3"/>
      <c r="FGB120" s="3"/>
      <c r="FGC120" s="3"/>
      <c r="FGD120" s="3"/>
      <c r="FGE120" s="3"/>
      <c r="FGF120" s="3"/>
      <c r="FGG120" s="3"/>
      <c r="FGH120" s="3"/>
      <c r="FGI120" s="3"/>
      <c r="FGJ120" s="3"/>
      <c r="FGK120" s="3"/>
      <c r="FGL120" s="3"/>
      <c r="FGM120" s="3"/>
      <c r="FGN120" s="3"/>
      <c r="FGO120" s="3"/>
      <c r="FGP120" s="3"/>
      <c r="FGQ120" s="3"/>
      <c r="FGR120" s="3"/>
      <c r="FGS120" s="3"/>
      <c r="FGT120" s="3"/>
      <c r="FGU120" s="3"/>
      <c r="FGV120" s="3"/>
      <c r="FGW120" s="3"/>
      <c r="FGX120" s="3"/>
      <c r="FGY120" s="3"/>
      <c r="FGZ120" s="3"/>
      <c r="FHA120" s="3"/>
      <c r="FHB120" s="3"/>
      <c r="FHC120" s="3"/>
      <c r="FHD120" s="3"/>
      <c r="FHE120" s="3"/>
      <c r="FHF120" s="3"/>
      <c r="FHG120" s="3"/>
      <c r="FHH120" s="3"/>
      <c r="FHI120" s="3"/>
      <c r="FHJ120" s="3"/>
      <c r="FHK120" s="3"/>
      <c r="FHL120" s="3"/>
      <c r="FHM120" s="3"/>
      <c r="FHN120" s="3"/>
      <c r="FHO120" s="3"/>
      <c r="FHP120" s="3"/>
      <c r="FHQ120" s="3"/>
      <c r="FHR120" s="3"/>
      <c r="FHS120" s="3"/>
      <c r="FHT120" s="3"/>
      <c r="FHU120" s="3"/>
      <c r="FHV120" s="3"/>
      <c r="FHW120" s="3"/>
      <c r="FHX120" s="3"/>
      <c r="FHY120" s="3"/>
      <c r="FHZ120" s="3"/>
      <c r="FIA120" s="3"/>
      <c r="FIB120" s="3"/>
      <c r="FIC120" s="3"/>
      <c r="FID120" s="3"/>
      <c r="FIE120" s="3"/>
      <c r="FIF120" s="3"/>
      <c r="FIG120" s="3"/>
      <c r="FIH120" s="3"/>
      <c r="FII120" s="3"/>
      <c r="FIJ120" s="3"/>
      <c r="FIK120" s="3"/>
      <c r="FIL120" s="3"/>
      <c r="FIM120" s="3"/>
      <c r="FIN120" s="3"/>
      <c r="FIO120" s="3"/>
      <c r="FIP120" s="3"/>
      <c r="FIQ120" s="3"/>
      <c r="FIR120" s="3"/>
      <c r="FIS120" s="3"/>
      <c r="FIT120" s="3"/>
      <c r="FIU120" s="3"/>
      <c r="FIV120" s="3"/>
      <c r="FIW120" s="3"/>
      <c r="FIX120" s="3"/>
      <c r="FIY120" s="3"/>
      <c r="FIZ120" s="3"/>
      <c r="FJA120" s="3"/>
      <c r="FJB120" s="3"/>
      <c r="FJC120" s="3"/>
      <c r="FJD120" s="3"/>
      <c r="FJE120" s="3"/>
      <c r="FJF120" s="3"/>
      <c r="FJG120" s="3"/>
      <c r="FJH120" s="3"/>
      <c r="FJI120" s="3"/>
      <c r="FJJ120" s="3"/>
      <c r="FJK120" s="3"/>
      <c r="FJL120" s="3"/>
      <c r="FJM120" s="3"/>
      <c r="FJN120" s="3"/>
      <c r="FJO120" s="3"/>
      <c r="FJP120" s="3"/>
      <c r="FJQ120" s="3"/>
      <c r="FJR120" s="3"/>
      <c r="FJS120" s="3"/>
      <c r="FJT120" s="3"/>
      <c r="FJU120" s="3"/>
      <c r="FJV120" s="3"/>
      <c r="FJW120" s="3"/>
      <c r="FJX120" s="3"/>
      <c r="FJY120" s="3"/>
      <c r="FJZ120" s="3"/>
      <c r="FKA120" s="3"/>
      <c r="FKB120" s="3"/>
      <c r="FKC120" s="3"/>
      <c r="FKD120" s="3"/>
      <c r="FKE120" s="3"/>
      <c r="FKF120" s="3"/>
      <c r="FKG120" s="3"/>
      <c r="FKH120" s="3"/>
      <c r="FKI120" s="3"/>
      <c r="FKJ120" s="3"/>
      <c r="FKK120" s="3"/>
      <c r="FKL120" s="3"/>
      <c r="FKM120" s="3"/>
      <c r="FKN120" s="3"/>
      <c r="FKO120" s="3"/>
      <c r="FKP120" s="3"/>
      <c r="FKQ120" s="3"/>
      <c r="FKR120" s="3"/>
      <c r="FKS120" s="3"/>
      <c r="FKT120" s="3"/>
      <c r="FKU120" s="3"/>
      <c r="FKV120" s="3"/>
      <c r="FKW120" s="3"/>
      <c r="FKX120" s="3"/>
      <c r="FKY120" s="3"/>
      <c r="FKZ120" s="3"/>
      <c r="FLA120" s="3"/>
      <c r="FLB120" s="3"/>
      <c r="FLC120" s="3"/>
      <c r="FLD120" s="3"/>
      <c r="FLE120" s="3"/>
      <c r="FLF120" s="3"/>
      <c r="FLG120" s="3"/>
      <c r="FLH120" s="3"/>
      <c r="FLI120" s="3"/>
      <c r="FLJ120" s="3"/>
      <c r="FLK120" s="3"/>
      <c r="FLL120" s="3"/>
      <c r="FLM120" s="3"/>
      <c r="FLN120" s="3"/>
      <c r="FLO120" s="3"/>
      <c r="FLP120" s="3"/>
      <c r="FLQ120" s="3"/>
      <c r="FLR120" s="3"/>
      <c r="FLS120" s="3"/>
      <c r="FLT120" s="3"/>
      <c r="FLU120" s="3"/>
      <c r="FLV120" s="3"/>
      <c r="FLW120" s="3"/>
      <c r="FLX120" s="3"/>
      <c r="FLY120" s="3"/>
      <c r="FLZ120" s="3"/>
      <c r="FMA120" s="3"/>
      <c r="FMB120" s="3"/>
      <c r="FMC120" s="3"/>
      <c r="FMD120" s="3"/>
      <c r="FME120" s="3"/>
      <c r="FMF120" s="3"/>
      <c r="FMG120" s="3"/>
      <c r="FMH120" s="3"/>
      <c r="FMI120" s="3"/>
      <c r="FMJ120" s="3"/>
      <c r="FMK120" s="3"/>
      <c r="FML120" s="3"/>
      <c r="FMM120" s="3"/>
      <c r="FMN120" s="3"/>
      <c r="FMO120" s="3"/>
      <c r="FMP120" s="3"/>
      <c r="FMQ120" s="3"/>
      <c r="FMR120" s="3"/>
      <c r="FMS120" s="3"/>
      <c r="FMT120" s="3"/>
      <c r="FMU120" s="3"/>
      <c r="FMV120" s="3"/>
      <c r="FMW120" s="3"/>
      <c r="FMX120" s="3"/>
      <c r="FMY120" s="3"/>
      <c r="FMZ120" s="3"/>
      <c r="FNA120" s="3"/>
      <c r="FNB120" s="3"/>
      <c r="FNC120" s="3"/>
      <c r="FND120" s="3"/>
      <c r="FNE120" s="3"/>
      <c r="FNF120" s="3"/>
      <c r="FNG120" s="3"/>
      <c r="FNH120" s="3"/>
      <c r="FNI120" s="3"/>
      <c r="FNJ120" s="3"/>
      <c r="FNK120" s="3"/>
      <c r="FNL120" s="3"/>
      <c r="FNM120" s="3"/>
      <c r="FNN120" s="3"/>
      <c r="FNO120" s="3"/>
      <c r="FNP120" s="3"/>
      <c r="FNQ120" s="3"/>
      <c r="FNR120" s="3"/>
      <c r="FNS120" s="3"/>
      <c r="FNT120" s="3"/>
      <c r="FNU120" s="3"/>
      <c r="FNV120" s="3"/>
      <c r="FNW120" s="3"/>
      <c r="FNX120" s="3"/>
      <c r="FNY120" s="3"/>
      <c r="FNZ120" s="3"/>
      <c r="FOA120" s="3"/>
      <c r="FOB120" s="3"/>
      <c r="FOC120" s="3"/>
      <c r="FOD120" s="3"/>
      <c r="FOE120" s="3"/>
      <c r="FOF120" s="3"/>
      <c r="FOG120" s="3"/>
      <c r="FOH120" s="3"/>
      <c r="FOI120" s="3"/>
      <c r="FOJ120" s="3"/>
      <c r="FOK120" s="3"/>
      <c r="FOL120" s="3"/>
      <c r="FOM120" s="3"/>
      <c r="FON120" s="3"/>
      <c r="FOO120" s="3"/>
      <c r="FOP120" s="3"/>
      <c r="FOQ120" s="3"/>
      <c r="FOR120" s="3"/>
      <c r="FOS120" s="3"/>
      <c r="FOT120" s="3"/>
      <c r="FOU120" s="3"/>
      <c r="FOV120" s="3"/>
      <c r="FOW120" s="3"/>
      <c r="FOX120" s="3"/>
      <c r="FOY120" s="3"/>
      <c r="FOZ120" s="3"/>
      <c r="FPA120" s="3"/>
      <c r="FPB120" s="3"/>
      <c r="FPC120" s="3"/>
      <c r="FPD120" s="3"/>
      <c r="FPE120" s="3"/>
      <c r="FPF120" s="3"/>
      <c r="FPG120" s="3"/>
      <c r="FPH120" s="3"/>
      <c r="FPI120" s="3"/>
      <c r="FPJ120" s="3"/>
      <c r="FPK120" s="3"/>
      <c r="FPL120" s="3"/>
      <c r="FPM120" s="3"/>
      <c r="FPN120" s="3"/>
      <c r="FPO120" s="3"/>
      <c r="FPP120" s="3"/>
      <c r="FPQ120" s="3"/>
      <c r="FPR120" s="3"/>
      <c r="FPS120" s="3"/>
      <c r="FPT120" s="3"/>
      <c r="FPU120" s="3"/>
      <c r="FPV120" s="3"/>
      <c r="FPW120" s="3"/>
      <c r="FPX120" s="3"/>
      <c r="FPY120" s="3"/>
      <c r="FPZ120" s="3"/>
      <c r="FQA120" s="3"/>
      <c r="FQB120" s="3"/>
      <c r="FQC120" s="3"/>
      <c r="FQD120" s="3"/>
      <c r="FQE120" s="3"/>
      <c r="FQF120" s="3"/>
      <c r="FQG120" s="3"/>
      <c r="FQH120" s="3"/>
      <c r="FQI120" s="3"/>
      <c r="FQJ120" s="3"/>
      <c r="FQK120" s="3"/>
      <c r="FQL120" s="3"/>
      <c r="FQM120" s="3"/>
      <c r="FQN120" s="3"/>
      <c r="FQO120" s="3"/>
      <c r="FQP120" s="3"/>
      <c r="FQQ120" s="3"/>
      <c r="FQR120" s="3"/>
      <c r="FQS120" s="3"/>
      <c r="FQT120" s="3"/>
      <c r="FQU120" s="3"/>
      <c r="FQV120" s="3"/>
      <c r="FQW120" s="3"/>
      <c r="FQX120" s="3"/>
      <c r="FQY120" s="3"/>
      <c r="FQZ120" s="3"/>
      <c r="FRA120" s="3"/>
      <c r="FRB120" s="3"/>
      <c r="FRC120" s="3"/>
      <c r="FRD120" s="3"/>
      <c r="FRE120" s="3"/>
      <c r="FRF120" s="3"/>
      <c r="FRG120" s="3"/>
      <c r="FRH120" s="3"/>
      <c r="FRI120" s="3"/>
      <c r="FRJ120" s="3"/>
      <c r="FRK120" s="3"/>
      <c r="FRL120" s="3"/>
      <c r="FRM120" s="3"/>
      <c r="FRN120" s="3"/>
      <c r="FRO120" s="3"/>
      <c r="FRP120" s="3"/>
      <c r="FRQ120" s="3"/>
      <c r="FRR120" s="3"/>
      <c r="FRS120" s="3"/>
      <c r="FRT120" s="3"/>
      <c r="FRU120" s="3"/>
      <c r="FRV120" s="3"/>
      <c r="FRW120" s="3"/>
      <c r="FRX120" s="3"/>
      <c r="FRY120" s="3"/>
      <c r="FRZ120" s="3"/>
      <c r="FSA120" s="3"/>
      <c r="FSB120" s="3"/>
      <c r="FSC120" s="3"/>
      <c r="FSD120" s="3"/>
      <c r="FSE120" s="3"/>
      <c r="FSF120" s="3"/>
      <c r="FSG120" s="3"/>
      <c r="FSH120" s="3"/>
      <c r="FSI120" s="3"/>
      <c r="FSJ120" s="3"/>
      <c r="FSK120" s="3"/>
      <c r="FSL120" s="3"/>
      <c r="FSM120" s="3"/>
      <c r="FSN120" s="3"/>
      <c r="FSO120" s="3"/>
      <c r="FSP120" s="3"/>
      <c r="FSQ120" s="3"/>
      <c r="FSR120" s="3"/>
      <c r="FSS120" s="3"/>
      <c r="FST120" s="3"/>
      <c r="FSU120" s="3"/>
      <c r="FSV120" s="3"/>
      <c r="FSW120" s="3"/>
      <c r="FSX120" s="3"/>
      <c r="FSY120" s="3"/>
      <c r="FSZ120" s="3"/>
      <c r="FTA120" s="3"/>
      <c r="FTB120" s="3"/>
      <c r="FTC120" s="3"/>
      <c r="FTD120" s="3"/>
      <c r="FTE120" s="3"/>
      <c r="FTF120" s="3"/>
      <c r="FTG120" s="3"/>
      <c r="FTH120" s="3"/>
      <c r="FTI120" s="3"/>
      <c r="FTJ120" s="3"/>
      <c r="FTK120" s="3"/>
      <c r="FTL120" s="3"/>
      <c r="FTM120" s="3"/>
      <c r="FTN120" s="3"/>
      <c r="FTO120" s="3"/>
      <c r="FTP120" s="3"/>
      <c r="FTQ120" s="3"/>
      <c r="FTR120" s="3"/>
      <c r="FTS120" s="3"/>
      <c r="FTT120" s="3"/>
      <c r="FTU120" s="3"/>
      <c r="FTV120" s="3"/>
      <c r="FTW120" s="3"/>
      <c r="FTX120" s="3"/>
      <c r="FTY120" s="3"/>
      <c r="FTZ120" s="3"/>
      <c r="FUA120" s="3"/>
      <c r="FUB120" s="3"/>
      <c r="FUC120" s="3"/>
      <c r="FUD120" s="3"/>
      <c r="FUE120" s="3"/>
      <c r="FUF120" s="3"/>
      <c r="FUG120" s="3"/>
      <c r="FUH120" s="3"/>
      <c r="FUI120" s="3"/>
      <c r="FUJ120" s="3"/>
      <c r="FUK120" s="3"/>
      <c r="FUL120" s="3"/>
      <c r="FUM120" s="3"/>
      <c r="FUN120" s="3"/>
      <c r="FUO120" s="3"/>
      <c r="FUP120" s="3"/>
      <c r="FUQ120" s="3"/>
      <c r="FUR120" s="3"/>
      <c r="FUS120" s="3"/>
      <c r="FUT120" s="3"/>
      <c r="FUU120" s="3"/>
      <c r="FUV120" s="3"/>
      <c r="FUW120" s="3"/>
      <c r="FUX120" s="3"/>
      <c r="FUY120" s="3"/>
      <c r="FUZ120" s="3"/>
      <c r="FVA120" s="3"/>
      <c r="FVB120" s="3"/>
      <c r="FVC120" s="3"/>
      <c r="FVD120" s="3"/>
      <c r="FVE120" s="3"/>
      <c r="FVF120" s="3"/>
      <c r="FVG120" s="3"/>
      <c r="FVH120" s="3"/>
      <c r="FVI120" s="3"/>
      <c r="FVJ120" s="3"/>
      <c r="FVK120" s="3"/>
      <c r="FVL120" s="3"/>
      <c r="FVM120" s="3"/>
      <c r="FVN120" s="3"/>
      <c r="FVO120" s="3"/>
      <c r="FVP120" s="3"/>
      <c r="FVQ120" s="3"/>
      <c r="FVR120" s="3"/>
      <c r="FVS120" s="3"/>
      <c r="FVT120" s="3"/>
      <c r="FVU120" s="3"/>
      <c r="FVV120" s="3"/>
      <c r="FVW120" s="3"/>
      <c r="FVX120" s="3"/>
      <c r="FVY120" s="3"/>
      <c r="FVZ120" s="3"/>
      <c r="FWA120" s="3"/>
      <c r="FWB120" s="3"/>
      <c r="FWC120" s="3"/>
      <c r="FWD120" s="3"/>
      <c r="FWE120" s="3"/>
      <c r="FWF120" s="3"/>
      <c r="FWG120" s="3"/>
      <c r="FWH120" s="3"/>
      <c r="FWI120" s="3"/>
      <c r="FWJ120" s="3"/>
      <c r="FWK120" s="3"/>
      <c r="FWL120" s="3"/>
      <c r="FWM120" s="3"/>
      <c r="FWN120" s="3"/>
      <c r="FWO120" s="3"/>
      <c r="FWP120" s="3"/>
      <c r="FWQ120" s="3"/>
      <c r="FWR120" s="3"/>
      <c r="FWS120" s="3"/>
      <c r="FWT120" s="3"/>
      <c r="FWU120" s="3"/>
      <c r="FWV120" s="3"/>
      <c r="FWW120" s="3"/>
      <c r="FWX120" s="3"/>
      <c r="FWY120" s="3"/>
      <c r="FWZ120" s="3"/>
      <c r="FXA120" s="3"/>
      <c r="FXB120" s="3"/>
      <c r="FXC120" s="3"/>
      <c r="FXD120" s="3"/>
      <c r="FXE120" s="3"/>
      <c r="FXF120" s="3"/>
      <c r="FXG120" s="3"/>
      <c r="FXH120" s="3"/>
      <c r="FXI120" s="3"/>
      <c r="FXJ120" s="3"/>
      <c r="FXK120" s="3"/>
      <c r="FXL120" s="3"/>
      <c r="FXM120" s="3"/>
      <c r="FXN120" s="3"/>
      <c r="FXO120" s="3"/>
      <c r="FXP120" s="3"/>
      <c r="FXQ120" s="3"/>
      <c r="FXR120" s="3"/>
      <c r="FXS120" s="3"/>
      <c r="FXT120" s="3"/>
      <c r="FXU120" s="3"/>
      <c r="FXV120" s="3"/>
      <c r="FXW120" s="3"/>
      <c r="FXX120" s="3"/>
      <c r="FXY120" s="3"/>
      <c r="FXZ120" s="3"/>
      <c r="FYA120" s="3"/>
      <c r="FYB120" s="3"/>
      <c r="FYC120" s="3"/>
      <c r="FYD120" s="3"/>
      <c r="FYE120" s="3"/>
      <c r="FYF120" s="3"/>
      <c r="FYG120" s="3"/>
      <c r="FYH120" s="3"/>
      <c r="FYI120" s="3"/>
      <c r="FYJ120" s="3"/>
      <c r="FYK120" s="3"/>
      <c r="FYL120" s="3"/>
      <c r="FYM120" s="3"/>
      <c r="FYN120" s="3"/>
      <c r="FYO120" s="3"/>
      <c r="FYP120" s="3"/>
      <c r="FYQ120" s="3"/>
      <c r="FYR120" s="3"/>
      <c r="FYS120" s="3"/>
      <c r="FYT120" s="3"/>
      <c r="FYU120" s="3"/>
      <c r="FYV120" s="3"/>
      <c r="FYW120" s="3"/>
      <c r="FYX120" s="3"/>
      <c r="FYY120" s="3"/>
      <c r="FYZ120" s="3"/>
      <c r="FZA120" s="3"/>
      <c r="FZB120" s="3"/>
      <c r="FZC120" s="3"/>
      <c r="FZD120" s="3"/>
      <c r="FZE120" s="3"/>
      <c r="FZF120" s="3"/>
      <c r="FZG120" s="3"/>
      <c r="FZH120" s="3"/>
      <c r="FZI120" s="3"/>
      <c r="FZJ120" s="3"/>
      <c r="FZK120" s="3"/>
      <c r="FZL120" s="3"/>
      <c r="FZM120" s="3"/>
      <c r="FZN120" s="3"/>
      <c r="FZO120" s="3"/>
      <c r="FZP120" s="3"/>
      <c r="FZQ120" s="3"/>
      <c r="FZR120" s="3"/>
      <c r="FZS120" s="3"/>
      <c r="FZT120" s="3"/>
      <c r="FZU120" s="3"/>
      <c r="FZV120" s="3"/>
      <c r="FZW120" s="3"/>
      <c r="FZX120" s="3"/>
      <c r="FZY120" s="3"/>
      <c r="FZZ120" s="3"/>
      <c r="GAA120" s="3"/>
      <c r="GAB120" s="3"/>
      <c r="GAC120" s="3"/>
      <c r="GAD120" s="3"/>
      <c r="GAE120" s="3"/>
      <c r="GAF120" s="3"/>
      <c r="GAG120" s="3"/>
      <c r="GAH120" s="3"/>
      <c r="GAI120" s="3"/>
      <c r="GAJ120" s="3"/>
      <c r="GAK120" s="3"/>
      <c r="GAL120" s="3"/>
      <c r="GAM120" s="3"/>
      <c r="GAN120" s="3"/>
      <c r="GAO120" s="3"/>
      <c r="GAP120" s="3"/>
      <c r="GAQ120" s="3"/>
      <c r="GAR120" s="3"/>
      <c r="GAS120" s="3"/>
      <c r="GAT120" s="3"/>
      <c r="GAU120" s="3"/>
      <c r="GAV120" s="3"/>
      <c r="GAW120" s="3"/>
      <c r="GAX120" s="3"/>
      <c r="GAY120" s="3"/>
      <c r="GAZ120" s="3"/>
      <c r="GBA120" s="3"/>
      <c r="GBB120" s="3"/>
      <c r="GBC120" s="3"/>
      <c r="GBD120" s="3"/>
      <c r="GBE120" s="3"/>
      <c r="GBF120" s="3"/>
      <c r="GBG120" s="3"/>
      <c r="GBH120" s="3"/>
      <c r="GBI120" s="3"/>
      <c r="GBJ120" s="3"/>
      <c r="GBK120" s="3"/>
      <c r="GBL120" s="3"/>
      <c r="GBM120" s="3"/>
      <c r="GBN120" s="3"/>
      <c r="GBO120" s="3"/>
      <c r="GBP120" s="3"/>
      <c r="GBQ120" s="3"/>
      <c r="GBR120" s="3"/>
      <c r="GBS120" s="3"/>
      <c r="GBT120" s="3"/>
      <c r="GBU120" s="3"/>
      <c r="GBV120" s="3"/>
      <c r="GBW120" s="3"/>
      <c r="GBX120" s="3"/>
      <c r="GBY120" s="3"/>
      <c r="GBZ120" s="3"/>
      <c r="GCA120" s="3"/>
      <c r="GCB120" s="3"/>
      <c r="GCC120" s="3"/>
      <c r="GCD120" s="3"/>
      <c r="GCE120" s="3"/>
      <c r="GCF120" s="3"/>
      <c r="GCG120" s="3"/>
      <c r="GCH120" s="3"/>
      <c r="GCI120" s="3"/>
      <c r="GCJ120" s="3"/>
      <c r="GCK120" s="3"/>
      <c r="GCL120" s="3"/>
      <c r="GCM120" s="3"/>
      <c r="GCN120" s="3"/>
      <c r="GCO120" s="3"/>
      <c r="GCP120" s="3"/>
      <c r="GCQ120" s="3"/>
      <c r="GCR120" s="3"/>
      <c r="GCS120" s="3"/>
      <c r="GCT120" s="3"/>
      <c r="GCU120" s="3"/>
      <c r="GCV120" s="3"/>
      <c r="GCW120" s="3"/>
      <c r="GCX120" s="3"/>
      <c r="GCY120" s="3"/>
      <c r="GCZ120" s="3"/>
      <c r="GDA120" s="3"/>
      <c r="GDB120" s="3"/>
      <c r="GDC120" s="3"/>
      <c r="GDD120" s="3"/>
      <c r="GDE120" s="3"/>
      <c r="GDF120" s="3"/>
      <c r="GDG120" s="3"/>
      <c r="GDH120" s="3"/>
      <c r="GDI120" s="3"/>
      <c r="GDJ120" s="3"/>
      <c r="GDK120" s="3"/>
      <c r="GDL120" s="3"/>
      <c r="GDM120" s="3"/>
      <c r="GDN120" s="3"/>
      <c r="GDO120" s="3"/>
      <c r="GDP120" s="3"/>
      <c r="GDQ120" s="3"/>
      <c r="GDR120" s="3"/>
      <c r="GDS120" s="3"/>
      <c r="GDT120" s="3"/>
      <c r="GDU120" s="3"/>
      <c r="GDV120" s="3"/>
      <c r="GDW120" s="3"/>
      <c r="GDX120" s="3"/>
      <c r="GDY120" s="3"/>
      <c r="GDZ120" s="3"/>
      <c r="GEA120" s="3"/>
      <c r="GEB120" s="3"/>
      <c r="GEC120" s="3"/>
      <c r="GED120" s="3"/>
      <c r="GEE120" s="3"/>
      <c r="GEF120" s="3"/>
      <c r="GEG120" s="3"/>
      <c r="GEH120" s="3"/>
      <c r="GEI120" s="3"/>
      <c r="GEJ120" s="3"/>
      <c r="GEK120" s="3"/>
      <c r="GEL120" s="3"/>
      <c r="GEM120" s="3"/>
      <c r="GEN120" s="3"/>
      <c r="GEO120" s="3"/>
      <c r="GEP120" s="3"/>
      <c r="GEQ120" s="3"/>
      <c r="GER120" s="3"/>
      <c r="GES120" s="3"/>
      <c r="GET120" s="3"/>
      <c r="GEU120" s="3"/>
      <c r="GEV120" s="3"/>
      <c r="GEW120" s="3"/>
      <c r="GEX120" s="3"/>
      <c r="GEY120" s="3"/>
      <c r="GEZ120" s="3"/>
      <c r="GFA120" s="3"/>
      <c r="GFB120" s="3"/>
      <c r="GFC120" s="3"/>
      <c r="GFD120" s="3"/>
      <c r="GFE120" s="3"/>
      <c r="GFF120" s="3"/>
      <c r="GFG120" s="3"/>
      <c r="GFH120" s="3"/>
      <c r="GFI120" s="3"/>
      <c r="GFJ120" s="3"/>
      <c r="GFK120" s="3"/>
      <c r="GFL120" s="3"/>
      <c r="GFM120" s="3"/>
      <c r="GFN120" s="3"/>
      <c r="GFO120" s="3"/>
      <c r="GFP120" s="3"/>
      <c r="GFQ120" s="3"/>
      <c r="GFR120" s="3"/>
      <c r="GFS120" s="3"/>
      <c r="GFT120" s="3"/>
      <c r="GFU120" s="3"/>
      <c r="GFV120" s="3"/>
      <c r="GFW120" s="3"/>
      <c r="GFX120" s="3"/>
      <c r="GFY120" s="3"/>
      <c r="GFZ120" s="3"/>
      <c r="GGA120" s="3"/>
      <c r="GGB120" s="3"/>
      <c r="GGC120" s="3"/>
      <c r="GGD120" s="3"/>
      <c r="GGE120" s="3"/>
      <c r="GGF120" s="3"/>
      <c r="GGG120" s="3"/>
      <c r="GGH120" s="3"/>
      <c r="GGI120" s="3"/>
      <c r="GGJ120" s="3"/>
      <c r="GGK120" s="3"/>
      <c r="GGL120" s="3"/>
      <c r="GGM120" s="3"/>
      <c r="GGN120" s="3"/>
      <c r="GGO120" s="3"/>
      <c r="GGP120" s="3"/>
      <c r="GGQ120" s="3"/>
      <c r="GGR120" s="3"/>
      <c r="GGS120" s="3"/>
      <c r="GGT120" s="3"/>
      <c r="GGU120" s="3"/>
      <c r="GGV120" s="3"/>
      <c r="GGW120" s="3"/>
      <c r="GGX120" s="3"/>
      <c r="GGY120" s="3"/>
      <c r="GGZ120" s="3"/>
      <c r="GHA120" s="3"/>
      <c r="GHB120" s="3"/>
      <c r="GHC120" s="3"/>
      <c r="GHD120" s="3"/>
      <c r="GHE120" s="3"/>
      <c r="GHF120" s="3"/>
      <c r="GHG120" s="3"/>
      <c r="GHH120" s="3"/>
      <c r="GHI120" s="3"/>
      <c r="GHJ120" s="3"/>
      <c r="GHK120" s="3"/>
      <c r="GHL120" s="3"/>
      <c r="GHM120" s="3"/>
      <c r="GHN120" s="3"/>
      <c r="GHO120" s="3"/>
      <c r="GHP120" s="3"/>
      <c r="GHQ120" s="3"/>
      <c r="GHR120" s="3"/>
      <c r="GHS120" s="3"/>
      <c r="GHT120" s="3"/>
      <c r="GHU120" s="3"/>
      <c r="GHV120" s="3"/>
      <c r="GHW120" s="3"/>
      <c r="GHX120" s="3"/>
      <c r="GHY120" s="3"/>
      <c r="GHZ120" s="3"/>
      <c r="GIA120" s="3"/>
      <c r="GIB120" s="3"/>
      <c r="GIC120" s="3"/>
      <c r="GID120" s="3"/>
      <c r="GIE120" s="3"/>
      <c r="GIF120" s="3"/>
      <c r="GIG120" s="3"/>
      <c r="GIH120" s="3"/>
      <c r="GII120" s="3"/>
      <c r="GIJ120" s="3"/>
      <c r="GIK120" s="3"/>
      <c r="GIL120" s="3"/>
      <c r="GIM120" s="3"/>
      <c r="GIN120" s="3"/>
      <c r="GIO120" s="3"/>
      <c r="GIP120" s="3"/>
      <c r="GIQ120" s="3"/>
      <c r="GIR120" s="3"/>
      <c r="GIS120" s="3"/>
      <c r="GIT120" s="3"/>
      <c r="GIU120" s="3"/>
      <c r="GIV120" s="3"/>
      <c r="GIW120" s="3"/>
      <c r="GIX120" s="3"/>
      <c r="GIY120" s="3"/>
      <c r="GIZ120" s="3"/>
      <c r="GJA120" s="3"/>
      <c r="GJB120" s="3"/>
      <c r="GJC120" s="3"/>
      <c r="GJD120" s="3"/>
      <c r="GJE120" s="3"/>
      <c r="GJF120" s="3"/>
      <c r="GJG120" s="3"/>
      <c r="GJH120" s="3"/>
      <c r="GJI120" s="3"/>
      <c r="GJJ120" s="3"/>
      <c r="GJK120" s="3"/>
      <c r="GJL120" s="3"/>
      <c r="GJM120" s="3"/>
      <c r="GJN120" s="3"/>
      <c r="GJO120" s="3"/>
      <c r="GJP120" s="3"/>
      <c r="GJQ120" s="3"/>
      <c r="GJR120" s="3"/>
      <c r="GJS120" s="3"/>
      <c r="GJT120" s="3"/>
      <c r="GJU120" s="3"/>
      <c r="GJV120" s="3"/>
      <c r="GJW120" s="3"/>
      <c r="GJX120" s="3"/>
      <c r="GJY120" s="3"/>
      <c r="GJZ120" s="3"/>
      <c r="GKA120" s="3"/>
      <c r="GKB120" s="3"/>
      <c r="GKC120" s="3"/>
      <c r="GKD120" s="3"/>
      <c r="GKE120" s="3"/>
      <c r="GKF120" s="3"/>
      <c r="GKG120" s="3"/>
      <c r="GKH120" s="3"/>
      <c r="GKI120" s="3"/>
      <c r="GKJ120" s="3"/>
      <c r="GKK120" s="3"/>
      <c r="GKL120" s="3"/>
      <c r="GKM120" s="3"/>
      <c r="GKN120" s="3"/>
      <c r="GKO120" s="3"/>
      <c r="GKP120" s="3"/>
      <c r="GKQ120" s="3"/>
      <c r="GKR120" s="3"/>
      <c r="GKS120" s="3"/>
      <c r="GKT120" s="3"/>
      <c r="GKU120" s="3"/>
      <c r="GKV120" s="3"/>
      <c r="GKW120" s="3"/>
      <c r="GKX120" s="3"/>
      <c r="GKY120" s="3"/>
      <c r="GKZ120" s="3"/>
      <c r="GLA120" s="3"/>
      <c r="GLB120" s="3"/>
      <c r="GLC120" s="3"/>
      <c r="GLD120" s="3"/>
      <c r="GLE120" s="3"/>
      <c r="GLF120" s="3"/>
      <c r="GLG120" s="3"/>
      <c r="GLH120" s="3"/>
      <c r="GLI120" s="3"/>
      <c r="GLJ120" s="3"/>
      <c r="GLK120" s="3"/>
      <c r="GLL120" s="3"/>
      <c r="GLM120" s="3"/>
      <c r="GLN120" s="3"/>
      <c r="GLO120" s="3"/>
      <c r="GLP120" s="3"/>
      <c r="GLQ120" s="3"/>
      <c r="GLR120" s="3"/>
      <c r="GLS120" s="3"/>
      <c r="GLT120" s="3"/>
      <c r="GLU120" s="3"/>
      <c r="GLV120" s="3"/>
      <c r="GLW120" s="3"/>
      <c r="GLX120" s="3"/>
      <c r="GLY120" s="3"/>
      <c r="GLZ120" s="3"/>
      <c r="GMA120" s="3"/>
      <c r="GMB120" s="3"/>
      <c r="GMC120" s="3"/>
      <c r="GMD120" s="3"/>
      <c r="GME120" s="3"/>
      <c r="GMF120" s="3"/>
      <c r="GMG120" s="3"/>
      <c r="GMH120" s="3"/>
      <c r="GMI120" s="3"/>
      <c r="GMJ120" s="3"/>
      <c r="GMK120" s="3"/>
      <c r="GML120" s="3"/>
      <c r="GMM120" s="3"/>
      <c r="GMN120" s="3"/>
      <c r="GMO120" s="3"/>
      <c r="GMP120" s="3"/>
      <c r="GMQ120" s="3"/>
      <c r="GMR120" s="3"/>
      <c r="GMS120" s="3"/>
      <c r="GMT120" s="3"/>
      <c r="GMU120" s="3"/>
      <c r="GMV120" s="3"/>
      <c r="GMW120" s="3"/>
      <c r="GMX120" s="3"/>
      <c r="GMY120" s="3"/>
      <c r="GMZ120" s="3"/>
      <c r="GNA120" s="3"/>
      <c r="GNB120" s="3"/>
      <c r="GNC120" s="3"/>
      <c r="GND120" s="3"/>
      <c r="GNE120" s="3"/>
      <c r="GNF120" s="3"/>
      <c r="GNG120" s="3"/>
      <c r="GNH120" s="3"/>
      <c r="GNI120" s="3"/>
      <c r="GNJ120" s="3"/>
      <c r="GNK120" s="3"/>
      <c r="GNL120" s="3"/>
      <c r="GNM120" s="3"/>
      <c r="GNN120" s="3"/>
      <c r="GNO120" s="3"/>
      <c r="GNP120" s="3"/>
      <c r="GNQ120" s="3"/>
      <c r="GNR120" s="3"/>
      <c r="GNS120" s="3"/>
      <c r="GNT120" s="3"/>
      <c r="GNU120" s="3"/>
      <c r="GNV120" s="3"/>
      <c r="GNW120" s="3"/>
      <c r="GNX120" s="3"/>
      <c r="GNY120" s="3"/>
      <c r="GNZ120" s="3"/>
      <c r="GOA120" s="3"/>
      <c r="GOB120" s="3"/>
      <c r="GOC120" s="3"/>
      <c r="GOD120" s="3"/>
      <c r="GOE120" s="3"/>
      <c r="GOF120" s="3"/>
      <c r="GOG120" s="3"/>
      <c r="GOH120" s="3"/>
      <c r="GOI120" s="3"/>
      <c r="GOJ120" s="3"/>
      <c r="GOK120" s="3"/>
      <c r="GOL120" s="3"/>
      <c r="GOM120" s="3"/>
      <c r="GON120" s="3"/>
      <c r="GOO120" s="3"/>
      <c r="GOP120" s="3"/>
      <c r="GOQ120" s="3"/>
      <c r="GOR120" s="3"/>
      <c r="GOS120" s="3"/>
      <c r="GOT120" s="3"/>
      <c r="GOU120" s="3"/>
      <c r="GOV120" s="3"/>
      <c r="GOW120" s="3"/>
      <c r="GOX120" s="3"/>
      <c r="GOY120" s="3"/>
      <c r="GOZ120" s="3"/>
      <c r="GPA120" s="3"/>
      <c r="GPB120" s="3"/>
      <c r="GPC120" s="3"/>
      <c r="GPD120" s="3"/>
      <c r="GPE120" s="3"/>
      <c r="GPF120" s="3"/>
      <c r="GPG120" s="3"/>
      <c r="GPH120" s="3"/>
      <c r="GPI120" s="3"/>
      <c r="GPJ120" s="3"/>
      <c r="GPK120" s="3"/>
      <c r="GPL120" s="3"/>
      <c r="GPM120" s="3"/>
      <c r="GPN120" s="3"/>
      <c r="GPO120" s="3"/>
      <c r="GPP120" s="3"/>
      <c r="GPQ120" s="3"/>
      <c r="GPR120" s="3"/>
      <c r="GPS120" s="3"/>
      <c r="GPT120" s="3"/>
      <c r="GPU120" s="3"/>
      <c r="GPV120" s="3"/>
      <c r="GPW120" s="3"/>
      <c r="GPX120" s="3"/>
      <c r="GPY120" s="3"/>
      <c r="GPZ120" s="3"/>
      <c r="GQA120" s="3"/>
      <c r="GQB120" s="3"/>
      <c r="GQC120" s="3"/>
      <c r="GQD120" s="3"/>
      <c r="GQE120" s="3"/>
      <c r="GQF120" s="3"/>
      <c r="GQG120" s="3"/>
      <c r="GQH120" s="3"/>
      <c r="GQI120" s="3"/>
      <c r="GQJ120" s="3"/>
      <c r="GQK120" s="3"/>
      <c r="GQL120" s="3"/>
      <c r="GQM120" s="3"/>
      <c r="GQN120" s="3"/>
      <c r="GQO120" s="3"/>
      <c r="GQP120" s="3"/>
      <c r="GQQ120" s="3"/>
      <c r="GQR120" s="3"/>
      <c r="GQS120" s="3"/>
      <c r="GQT120" s="3"/>
      <c r="GQU120" s="3"/>
      <c r="GQV120" s="3"/>
      <c r="GQW120" s="3"/>
      <c r="GQX120" s="3"/>
      <c r="GQY120" s="3"/>
      <c r="GQZ120" s="3"/>
      <c r="GRA120" s="3"/>
      <c r="GRB120" s="3"/>
      <c r="GRC120" s="3"/>
      <c r="GRD120" s="3"/>
      <c r="GRE120" s="3"/>
      <c r="GRF120" s="3"/>
      <c r="GRG120" s="3"/>
      <c r="GRH120" s="3"/>
      <c r="GRI120" s="3"/>
      <c r="GRJ120" s="3"/>
      <c r="GRK120" s="3"/>
      <c r="GRL120" s="3"/>
      <c r="GRM120" s="3"/>
      <c r="GRN120" s="3"/>
      <c r="GRO120" s="3"/>
      <c r="GRP120" s="3"/>
      <c r="GRQ120" s="3"/>
      <c r="GRR120" s="3"/>
      <c r="GRS120" s="3"/>
      <c r="GRT120" s="3"/>
      <c r="GRU120" s="3"/>
      <c r="GRV120" s="3"/>
      <c r="GRW120" s="3"/>
      <c r="GRX120" s="3"/>
      <c r="GRY120" s="3"/>
      <c r="GRZ120" s="3"/>
      <c r="GSA120" s="3"/>
      <c r="GSB120" s="3"/>
      <c r="GSC120" s="3"/>
      <c r="GSD120" s="3"/>
      <c r="GSE120" s="3"/>
      <c r="GSF120" s="3"/>
      <c r="GSG120" s="3"/>
      <c r="GSH120" s="3"/>
      <c r="GSI120" s="3"/>
      <c r="GSJ120" s="3"/>
      <c r="GSK120" s="3"/>
      <c r="GSL120" s="3"/>
      <c r="GSM120" s="3"/>
      <c r="GSN120" s="3"/>
      <c r="GSO120" s="3"/>
      <c r="GSP120" s="3"/>
      <c r="GSQ120" s="3"/>
      <c r="GSR120" s="3"/>
      <c r="GSS120" s="3"/>
      <c r="GST120" s="3"/>
      <c r="GSU120" s="3"/>
      <c r="GSV120" s="3"/>
      <c r="GSW120" s="3"/>
      <c r="GSX120" s="3"/>
      <c r="GSY120" s="3"/>
      <c r="GSZ120" s="3"/>
      <c r="GTA120" s="3"/>
      <c r="GTB120" s="3"/>
      <c r="GTC120" s="3"/>
      <c r="GTD120" s="3"/>
      <c r="GTE120" s="3"/>
      <c r="GTF120" s="3"/>
      <c r="GTG120" s="3"/>
      <c r="GTH120" s="3"/>
      <c r="GTI120" s="3"/>
      <c r="GTJ120" s="3"/>
      <c r="GTK120" s="3"/>
      <c r="GTL120" s="3"/>
      <c r="GTM120" s="3"/>
      <c r="GTN120" s="3"/>
      <c r="GTO120" s="3"/>
      <c r="GTP120" s="3"/>
      <c r="GTQ120" s="3"/>
      <c r="GTR120" s="3"/>
      <c r="GTS120" s="3"/>
      <c r="GTT120" s="3"/>
      <c r="GTU120" s="3"/>
      <c r="GTV120" s="3"/>
      <c r="GTW120" s="3"/>
      <c r="GTX120" s="3"/>
      <c r="GTY120" s="3"/>
      <c r="GTZ120" s="3"/>
      <c r="GUA120" s="3"/>
      <c r="GUB120" s="3"/>
      <c r="GUC120" s="3"/>
      <c r="GUD120" s="3"/>
      <c r="GUE120" s="3"/>
      <c r="GUF120" s="3"/>
      <c r="GUG120" s="3"/>
      <c r="GUH120" s="3"/>
      <c r="GUI120" s="3"/>
      <c r="GUJ120" s="3"/>
      <c r="GUK120" s="3"/>
      <c r="GUL120" s="3"/>
      <c r="GUM120" s="3"/>
      <c r="GUN120" s="3"/>
      <c r="GUO120" s="3"/>
      <c r="GUP120" s="3"/>
      <c r="GUQ120" s="3"/>
      <c r="GUR120" s="3"/>
      <c r="GUS120" s="3"/>
      <c r="GUT120" s="3"/>
      <c r="GUU120" s="3"/>
      <c r="GUV120" s="3"/>
      <c r="GUW120" s="3"/>
      <c r="GUX120" s="3"/>
      <c r="GUY120" s="3"/>
      <c r="GUZ120" s="3"/>
      <c r="GVA120" s="3"/>
      <c r="GVB120" s="3"/>
      <c r="GVC120" s="3"/>
      <c r="GVD120" s="3"/>
      <c r="GVE120" s="3"/>
      <c r="GVF120" s="3"/>
      <c r="GVG120" s="3"/>
      <c r="GVH120" s="3"/>
      <c r="GVI120" s="3"/>
      <c r="GVJ120" s="3"/>
      <c r="GVK120" s="3"/>
      <c r="GVL120" s="3"/>
      <c r="GVM120" s="3"/>
      <c r="GVN120" s="3"/>
      <c r="GVO120" s="3"/>
      <c r="GVP120" s="3"/>
      <c r="GVQ120" s="3"/>
      <c r="GVR120" s="3"/>
      <c r="GVS120" s="3"/>
      <c r="GVT120" s="3"/>
      <c r="GVU120" s="3"/>
      <c r="GVV120" s="3"/>
      <c r="GVW120" s="3"/>
      <c r="GVX120" s="3"/>
      <c r="GVY120" s="3"/>
      <c r="GVZ120" s="3"/>
      <c r="GWA120" s="3"/>
      <c r="GWB120" s="3"/>
      <c r="GWC120" s="3"/>
      <c r="GWD120" s="3"/>
      <c r="GWE120" s="3"/>
      <c r="GWF120" s="3"/>
      <c r="GWG120" s="3"/>
      <c r="GWH120" s="3"/>
      <c r="GWI120" s="3"/>
      <c r="GWJ120" s="3"/>
      <c r="GWK120" s="3"/>
      <c r="GWL120" s="3"/>
      <c r="GWM120" s="3"/>
      <c r="GWN120" s="3"/>
      <c r="GWO120" s="3"/>
      <c r="GWP120" s="3"/>
      <c r="GWQ120" s="3"/>
      <c r="GWR120" s="3"/>
      <c r="GWS120" s="3"/>
      <c r="GWT120" s="3"/>
      <c r="GWU120" s="3"/>
      <c r="GWV120" s="3"/>
      <c r="GWW120" s="3"/>
      <c r="GWX120" s="3"/>
      <c r="GWY120" s="3"/>
      <c r="GWZ120" s="3"/>
      <c r="GXA120" s="3"/>
      <c r="GXB120" s="3"/>
      <c r="GXC120" s="3"/>
      <c r="GXD120" s="3"/>
      <c r="GXE120" s="3"/>
      <c r="GXF120" s="3"/>
      <c r="GXG120" s="3"/>
      <c r="GXH120" s="3"/>
      <c r="GXI120" s="3"/>
      <c r="GXJ120" s="3"/>
      <c r="GXK120" s="3"/>
      <c r="GXL120" s="3"/>
      <c r="GXM120" s="3"/>
      <c r="GXN120" s="3"/>
      <c r="GXO120" s="3"/>
      <c r="GXP120" s="3"/>
      <c r="GXQ120" s="3"/>
      <c r="GXR120" s="3"/>
      <c r="GXS120" s="3"/>
      <c r="GXT120" s="3"/>
      <c r="GXU120" s="3"/>
      <c r="GXV120" s="3"/>
      <c r="GXW120" s="3"/>
      <c r="GXX120" s="3"/>
      <c r="GXY120" s="3"/>
      <c r="GXZ120" s="3"/>
      <c r="GYA120" s="3"/>
      <c r="GYB120" s="3"/>
      <c r="GYC120" s="3"/>
      <c r="GYD120" s="3"/>
      <c r="GYE120" s="3"/>
      <c r="GYF120" s="3"/>
      <c r="GYG120" s="3"/>
      <c r="GYH120" s="3"/>
      <c r="GYI120" s="3"/>
      <c r="GYJ120" s="3"/>
      <c r="GYK120" s="3"/>
      <c r="GYL120" s="3"/>
      <c r="GYM120" s="3"/>
      <c r="GYN120" s="3"/>
      <c r="GYO120" s="3"/>
      <c r="GYP120" s="3"/>
      <c r="GYQ120" s="3"/>
      <c r="GYR120" s="3"/>
      <c r="GYS120" s="3"/>
      <c r="GYT120" s="3"/>
      <c r="GYU120" s="3"/>
      <c r="GYV120" s="3"/>
      <c r="GYW120" s="3"/>
      <c r="GYX120" s="3"/>
      <c r="GYY120" s="3"/>
      <c r="GYZ120" s="3"/>
      <c r="GZA120" s="3"/>
      <c r="GZB120" s="3"/>
      <c r="GZC120" s="3"/>
      <c r="GZD120" s="3"/>
      <c r="GZE120" s="3"/>
      <c r="GZF120" s="3"/>
      <c r="GZG120" s="3"/>
      <c r="GZH120" s="3"/>
      <c r="GZI120" s="3"/>
      <c r="GZJ120" s="3"/>
      <c r="GZK120" s="3"/>
      <c r="GZL120" s="3"/>
      <c r="GZM120" s="3"/>
      <c r="GZN120" s="3"/>
      <c r="GZO120" s="3"/>
      <c r="GZP120" s="3"/>
      <c r="GZQ120" s="3"/>
      <c r="GZR120" s="3"/>
      <c r="GZS120" s="3"/>
      <c r="GZT120" s="3"/>
      <c r="GZU120" s="3"/>
      <c r="GZV120" s="3"/>
      <c r="GZW120" s="3"/>
      <c r="GZX120" s="3"/>
      <c r="GZY120" s="3"/>
      <c r="GZZ120" s="3"/>
      <c r="HAA120" s="3"/>
      <c r="HAB120" s="3"/>
      <c r="HAC120" s="3"/>
      <c r="HAD120" s="3"/>
      <c r="HAE120" s="3"/>
      <c r="HAF120" s="3"/>
      <c r="HAG120" s="3"/>
      <c r="HAH120" s="3"/>
      <c r="HAI120" s="3"/>
      <c r="HAJ120" s="3"/>
      <c r="HAK120" s="3"/>
      <c r="HAL120" s="3"/>
      <c r="HAM120" s="3"/>
      <c r="HAN120" s="3"/>
      <c r="HAO120" s="3"/>
      <c r="HAP120" s="3"/>
      <c r="HAQ120" s="3"/>
      <c r="HAR120" s="3"/>
      <c r="HAS120" s="3"/>
      <c r="HAT120" s="3"/>
      <c r="HAU120" s="3"/>
      <c r="HAV120" s="3"/>
      <c r="HAW120" s="3"/>
      <c r="HAX120" s="3"/>
      <c r="HAY120" s="3"/>
      <c r="HAZ120" s="3"/>
      <c r="HBA120" s="3"/>
      <c r="HBB120" s="3"/>
      <c r="HBC120" s="3"/>
      <c r="HBD120" s="3"/>
      <c r="HBE120" s="3"/>
      <c r="HBF120" s="3"/>
      <c r="HBG120" s="3"/>
      <c r="HBH120" s="3"/>
      <c r="HBI120" s="3"/>
      <c r="HBJ120" s="3"/>
      <c r="HBK120" s="3"/>
      <c r="HBL120" s="3"/>
      <c r="HBM120" s="3"/>
      <c r="HBN120" s="3"/>
      <c r="HBO120" s="3"/>
      <c r="HBP120" s="3"/>
      <c r="HBQ120" s="3"/>
      <c r="HBR120" s="3"/>
      <c r="HBS120" s="3"/>
      <c r="HBT120" s="3"/>
      <c r="HBU120" s="3"/>
      <c r="HBV120" s="3"/>
      <c r="HBW120" s="3"/>
      <c r="HBX120" s="3"/>
      <c r="HBY120" s="3"/>
      <c r="HBZ120" s="3"/>
      <c r="HCA120" s="3"/>
      <c r="HCB120" s="3"/>
      <c r="HCC120" s="3"/>
      <c r="HCD120" s="3"/>
      <c r="HCE120" s="3"/>
      <c r="HCF120" s="3"/>
      <c r="HCG120" s="3"/>
      <c r="HCH120" s="3"/>
      <c r="HCI120" s="3"/>
      <c r="HCJ120" s="3"/>
      <c r="HCK120" s="3"/>
      <c r="HCL120" s="3"/>
      <c r="HCM120" s="3"/>
      <c r="HCN120" s="3"/>
      <c r="HCO120" s="3"/>
      <c r="HCP120" s="3"/>
      <c r="HCQ120" s="3"/>
      <c r="HCR120" s="3"/>
      <c r="HCS120" s="3"/>
      <c r="HCT120" s="3"/>
      <c r="HCU120" s="3"/>
      <c r="HCV120" s="3"/>
      <c r="HCW120" s="3"/>
      <c r="HCX120" s="3"/>
      <c r="HCY120" s="3"/>
      <c r="HCZ120" s="3"/>
      <c r="HDA120" s="3"/>
      <c r="HDB120" s="3"/>
      <c r="HDC120" s="3"/>
      <c r="HDD120" s="3"/>
      <c r="HDE120" s="3"/>
      <c r="HDF120" s="3"/>
      <c r="HDG120" s="3"/>
      <c r="HDH120" s="3"/>
      <c r="HDI120" s="3"/>
      <c r="HDJ120" s="3"/>
      <c r="HDK120" s="3"/>
      <c r="HDL120" s="3"/>
      <c r="HDM120" s="3"/>
      <c r="HDN120" s="3"/>
      <c r="HDO120" s="3"/>
      <c r="HDP120" s="3"/>
      <c r="HDQ120" s="3"/>
      <c r="HDR120" s="3"/>
      <c r="HDS120" s="3"/>
      <c r="HDT120" s="3"/>
      <c r="HDU120" s="3"/>
      <c r="HDV120" s="3"/>
      <c r="HDW120" s="3"/>
      <c r="HDX120" s="3"/>
      <c r="HDY120" s="3"/>
      <c r="HDZ120" s="3"/>
      <c r="HEA120" s="3"/>
      <c r="HEB120" s="3"/>
      <c r="HEC120" s="3"/>
      <c r="HED120" s="3"/>
      <c r="HEE120" s="3"/>
      <c r="HEF120" s="3"/>
      <c r="HEG120" s="3"/>
      <c r="HEH120" s="3"/>
      <c r="HEI120" s="3"/>
      <c r="HEJ120" s="3"/>
      <c r="HEK120" s="3"/>
      <c r="HEL120" s="3"/>
      <c r="HEM120" s="3"/>
      <c r="HEN120" s="3"/>
      <c r="HEO120" s="3"/>
      <c r="HEP120" s="3"/>
      <c r="HEQ120" s="3"/>
      <c r="HER120" s="3"/>
      <c r="HES120" s="3"/>
      <c r="HET120" s="3"/>
      <c r="HEU120" s="3"/>
      <c r="HEV120" s="3"/>
      <c r="HEW120" s="3"/>
      <c r="HEX120" s="3"/>
      <c r="HEY120" s="3"/>
      <c r="HEZ120" s="3"/>
      <c r="HFA120" s="3"/>
      <c r="HFB120" s="3"/>
      <c r="HFC120" s="3"/>
      <c r="HFD120" s="3"/>
      <c r="HFE120" s="3"/>
      <c r="HFF120" s="3"/>
      <c r="HFG120" s="3"/>
      <c r="HFH120" s="3"/>
      <c r="HFI120" s="3"/>
      <c r="HFJ120" s="3"/>
      <c r="HFK120" s="3"/>
      <c r="HFL120" s="3"/>
      <c r="HFM120" s="3"/>
      <c r="HFN120" s="3"/>
      <c r="HFO120" s="3"/>
      <c r="HFP120" s="3"/>
      <c r="HFQ120" s="3"/>
      <c r="HFR120" s="3"/>
      <c r="HFS120" s="3"/>
      <c r="HFT120" s="3"/>
      <c r="HFU120" s="3"/>
      <c r="HFV120" s="3"/>
      <c r="HFW120" s="3"/>
      <c r="HFX120" s="3"/>
      <c r="HFY120" s="3"/>
      <c r="HFZ120" s="3"/>
      <c r="HGA120" s="3"/>
      <c r="HGB120" s="3"/>
      <c r="HGC120" s="3"/>
      <c r="HGD120" s="3"/>
      <c r="HGE120" s="3"/>
      <c r="HGF120" s="3"/>
      <c r="HGG120" s="3"/>
      <c r="HGH120" s="3"/>
      <c r="HGI120" s="3"/>
      <c r="HGJ120" s="3"/>
      <c r="HGK120" s="3"/>
      <c r="HGL120" s="3"/>
      <c r="HGM120" s="3"/>
      <c r="HGN120" s="3"/>
      <c r="HGO120" s="3"/>
      <c r="HGP120" s="3"/>
      <c r="HGQ120" s="3"/>
      <c r="HGR120" s="3"/>
      <c r="HGS120" s="3"/>
      <c r="HGT120" s="3"/>
      <c r="HGU120" s="3"/>
      <c r="HGV120" s="3"/>
      <c r="HGW120" s="3"/>
      <c r="HGX120" s="3"/>
      <c r="HGY120" s="3"/>
      <c r="HGZ120" s="3"/>
      <c r="HHA120" s="3"/>
      <c r="HHB120" s="3"/>
      <c r="HHC120" s="3"/>
      <c r="HHD120" s="3"/>
      <c r="HHE120" s="3"/>
      <c r="HHF120" s="3"/>
      <c r="HHG120" s="3"/>
      <c r="HHH120" s="3"/>
      <c r="HHI120" s="3"/>
      <c r="HHJ120" s="3"/>
      <c r="HHK120" s="3"/>
      <c r="HHL120" s="3"/>
      <c r="HHM120" s="3"/>
      <c r="HHN120" s="3"/>
      <c r="HHO120" s="3"/>
      <c r="HHP120" s="3"/>
      <c r="HHQ120" s="3"/>
      <c r="HHR120" s="3"/>
      <c r="HHS120" s="3"/>
      <c r="HHT120" s="3"/>
      <c r="HHU120" s="3"/>
      <c r="HHV120" s="3"/>
      <c r="HHW120" s="3"/>
      <c r="HHX120" s="3"/>
      <c r="HHY120" s="3"/>
      <c r="HHZ120" s="3"/>
      <c r="HIA120" s="3"/>
      <c r="HIB120" s="3"/>
      <c r="HIC120" s="3"/>
      <c r="HID120" s="3"/>
      <c r="HIE120" s="3"/>
      <c r="HIF120" s="3"/>
      <c r="HIG120" s="3"/>
      <c r="HIH120" s="3"/>
      <c r="HII120" s="3"/>
      <c r="HIJ120" s="3"/>
      <c r="HIK120" s="3"/>
      <c r="HIL120" s="3"/>
      <c r="HIM120" s="3"/>
      <c r="HIN120" s="3"/>
      <c r="HIO120" s="3"/>
      <c r="HIP120" s="3"/>
      <c r="HIQ120" s="3"/>
      <c r="HIR120" s="3"/>
      <c r="HIS120" s="3"/>
      <c r="HIT120" s="3"/>
      <c r="HIU120" s="3"/>
      <c r="HIV120" s="3"/>
      <c r="HIW120" s="3"/>
      <c r="HIX120" s="3"/>
      <c r="HIY120" s="3"/>
      <c r="HIZ120" s="3"/>
      <c r="HJA120" s="3"/>
      <c r="HJB120" s="3"/>
      <c r="HJC120" s="3"/>
      <c r="HJD120" s="3"/>
      <c r="HJE120" s="3"/>
      <c r="HJF120" s="3"/>
      <c r="HJG120" s="3"/>
      <c r="HJH120" s="3"/>
      <c r="HJI120" s="3"/>
      <c r="HJJ120" s="3"/>
      <c r="HJK120" s="3"/>
      <c r="HJL120" s="3"/>
      <c r="HJM120" s="3"/>
      <c r="HJN120" s="3"/>
      <c r="HJO120" s="3"/>
      <c r="HJP120" s="3"/>
      <c r="HJQ120" s="3"/>
      <c r="HJR120" s="3"/>
      <c r="HJS120" s="3"/>
      <c r="HJT120" s="3"/>
      <c r="HJU120" s="3"/>
      <c r="HJV120" s="3"/>
      <c r="HJW120" s="3"/>
      <c r="HJX120" s="3"/>
      <c r="HJY120" s="3"/>
      <c r="HJZ120" s="3"/>
      <c r="HKA120" s="3"/>
      <c r="HKB120" s="3"/>
      <c r="HKC120" s="3"/>
      <c r="HKD120" s="3"/>
      <c r="HKE120" s="3"/>
      <c r="HKF120" s="3"/>
      <c r="HKG120" s="3"/>
      <c r="HKH120" s="3"/>
      <c r="HKI120" s="3"/>
      <c r="HKJ120" s="3"/>
      <c r="HKK120" s="3"/>
      <c r="HKL120" s="3"/>
      <c r="HKM120" s="3"/>
      <c r="HKN120" s="3"/>
      <c r="HKO120" s="3"/>
      <c r="HKP120" s="3"/>
      <c r="HKQ120" s="3"/>
      <c r="HKR120" s="3"/>
      <c r="HKS120" s="3"/>
      <c r="HKT120" s="3"/>
      <c r="HKU120" s="3"/>
      <c r="HKV120" s="3"/>
      <c r="HKW120" s="3"/>
      <c r="HKX120" s="3"/>
      <c r="HKY120" s="3"/>
      <c r="HKZ120" s="3"/>
      <c r="HLA120" s="3"/>
      <c r="HLB120" s="3"/>
      <c r="HLC120" s="3"/>
      <c r="HLD120" s="3"/>
      <c r="HLE120" s="3"/>
      <c r="HLF120" s="3"/>
      <c r="HLG120" s="3"/>
      <c r="HLH120" s="3"/>
      <c r="HLI120" s="3"/>
      <c r="HLJ120" s="3"/>
      <c r="HLK120" s="3"/>
      <c r="HLL120" s="3"/>
      <c r="HLM120" s="3"/>
      <c r="HLN120" s="3"/>
      <c r="HLO120" s="3"/>
      <c r="HLP120" s="3"/>
      <c r="HLQ120" s="3"/>
      <c r="HLR120" s="3"/>
      <c r="HLS120" s="3"/>
      <c r="HLT120" s="3"/>
      <c r="HLU120" s="3"/>
      <c r="HLV120" s="3"/>
      <c r="HLW120" s="3"/>
      <c r="HLX120" s="3"/>
      <c r="HLY120" s="3"/>
      <c r="HLZ120" s="3"/>
      <c r="HMA120" s="3"/>
      <c r="HMB120" s="3"/>
      <c r="HMC120" s="3"/>
      <c r="HMD120" s="3"/>
      <c r="HME120" s="3"/>
      <c r="HMF120" s="3"/>
      <c r="HMG120" s="3"/>
      <c r="HMH120" s="3"/>
      <c r="HMI120" s="3"/>
      <c r="HMJ120" s="3"/>
      <c r="HMK120" s="3"/>
      <c r="HML120" s="3"/>
      <c r="HMM120" s="3"/>
      <c r="HMN120" s="3"/>
      <c r="HMO120" s="3"/>
      <c r="HMP120" s="3"/>
      <c r="HMQ120" s="3"/>
      <c r="HMR120" s="3"/>
      <c r="HMS120" s="3"/>
      <c r="HMT120" s="3"/>
      <c r="HMU120" s="3"/>
      <c r="HMV120" s="3"/>
      <c r="HMW120" s="3"/>
      <c r="HMX120" s="3"/>
      <c r="HMY120" s="3"/>
      <c r="HMZ120" s="3"/>
      <c r="HNA120" s="3"/>
      <c r="HNB120" s="3"/>
      <c r="HNC120" s="3"/>
      <c r="HND120" s="3"/>
      <c r="HNE120" s="3"/>
      <c r="HNF120" s="3"/>
      <c r="HNG120" s="3"/>
      <c r="HNH120" s="3"/>
      <c r="HNI120" s="3"/>
      <c r="HNJ120" s="3"/>
      <c r="HNK120" s="3"/>
      <c r="HNL120" s="3"/>
      <c r="HNM120" s="3"/>
      <c r="HNN120" s="3"/>
      <c r="HNO120" s="3"/>
      <c r="HNP120" s="3"/>
      <c r="HNQ120" s="3"/>
      <c r="HNR120" s="3"/>
      <c r="HNS120" s="3"/>
      <c r="HNT120" s="3"/>
      <c r="HNU120" s="3"/>
      <c r="HNV120" s="3"/>
      <c r="HNW120" s="3"/>
      <c r="HNX120" s="3"/>
      <c r="HNY120" s="3"/>
      <c r="HNZ120" s="3"/>
      <c r="HOA120" s="3"/>
      <c r="HOB120" s="3"/>
      <c r="HOC120" s="3"/>
      <c r="HOD120" s="3"/>
      <c r="HOE120" s="3"/>
      <c r="HOF120" s="3"/>
      <c r="HOG120" s="3"/>
      <c r="HOH120" s="3"/>
      <c r="HOI120" s="3"/>
      <c r="HOJ120" s="3"/>
      <c r="HOK120" s="3"/>
      <c r="HOL120" s="3"/>
      <c r="HOM120" s="3"/>
      <c r="HON120" s="3"/>
      <c r="HOO120" s="3"/>
      <c r="HOP120" s="3"/>
      <c r="HOQ120" s="3"/>
      <c r="HOR120" s="3"/>
      <c r="HOS120" s="3"/>
      <c r="HOT120" s="3"/>
      <c r="HOU120" s="3"/>
      <c r="HOV120" s="3"/>
      <c r="HOW120" s="3"/>
      <c r="HOX120" s="3"/>
      <c r="HOY120" s="3"/>
      <c r="HOZ120" s="3"/>
      <c r="HPA120" s="3"/>
      <c r="HPB120" s="3"/>
      <c r="HPC120" s="3"/>
      <c r="HPD120" s="3"/>
      <c r="HPE120" s="3"/>
      <c r="HPF120" s="3"/>
      <c r="HPG120" s="3"/>
      <c r="HPH120" s="3"/>
      <c r="HPI120" s="3"/>
      <c r="HPJ120" s="3"/>
      <c r="HPK120" s="3"/>
      <c r="HPL120" s="3"/>
      <c r="HPM120" s="3"/>
      <c r="HPN120" s="3"/>
      <c r="HPO120" s="3"/>
      <c r="HPP120" s="3"/>
      <c r="HPQ120" s="3"/>
      <c r="HPR120" s="3"/>
      <c r="HPS120" s="3"/>
      <c r="HPT120" s="3"/>
      <c r="HPU120" s="3"/>
      <c r="HPV120" s="3"/>
      <c r="HPW120" s="3"/>
      <c r="HPX120" s="3"/>
      <c r="HPY120" s="3"/>
      <c r="HPZ120" s="3"/>
      <c r="HQA120" s="3"/>
      <c r="HQB120" s="3"/>
      <c r="HQC120" s="3"/>
      <c r="HQD120" s="3"/>
      <c r="HQE120" s="3"/>
      <c r="HQF120" s="3"/>
      <c r="HQG120" s="3"/>
      <c r="HQH120" s="3"/>
      <c r="HQI120" s="3"/>
      <c r="HQJ120" s="3"/>
      <c r="HQK120" s="3"/>
      <c r="HQL120" s="3"/>
      <c r="HQM120" s="3"/>
      <c r="HQN120" s="3"/>
      <c r="HQO120" s="3"/>
      <c r="HQP120" s="3"/>
      <c r="HQQ120" s="3"/>
      <c r="HQR120" s="3"/>
      <c r="HQS120" s="3"/>
      <c r="HQT120" s="3"/>
      <c r="HQU120" s="3"/>
      <c r="HQV120" s="3"/>
      <c r="HQW120" s="3"/>
      <c r="HQX120" s="3"/>
      <c r="HQY120" s="3"/>
      <c r="HQZ120" s="3"/>
      <c r="HRA120" s="3"/>
      <c r="HRB120" s="3"/>
      <c r="HRC120" s="3"/>
      <c r="HRD120" s="3"/>
      <c r="HRE120" s="3"/>
      <c r="HRF120" s="3"/>
      <c r="HRG120" s="3"/>
      <c r="HRH120" s="3"/>
      <c r="HRI120" s="3"/>
      <c r="HRJ120" s="3"/>
      <c r="HRK120" s="3"/>
      <c r="HRL120" s="3"/>
      <c r="HRM120" s="3"/>
      <c r="HRN120" s="3"/>
      <c r="HRO120" s="3"/>
      <c r="HRP120" s="3"/>
      <c r="HRQ120" s="3"/>
      <c r="HRR120" s="3"/>
      <c r="HRS120" s="3"/>
      <c r="HRT120" s="3"/>
      <c r="HRU120" s="3"/>
      <c r="HRV120" s="3"/>
      <c r="HRW120" s="3"/>
      <c r="HRX120" s="3"/>
      <c r="HRY120" s="3"/>
      <c r="HRZ120" s="3"/>
      <c r="HSA120" s="3"/>
      <c r="HSB120" s="3"/>
      <c r="HSC120" s="3"/>
      <c r="HSD120" s="3"/>
      <c r="HSE120" s="3"/>
      <c r="HSF120" s="3"/>
      <c r="HSG120" s="3"/>
      <c r="HSH120" s="3"/>
      <c r="HSI120" s="3"/>
      <c r="HSJ120" s="3"/>
      <c r="HSK120" s="3"/>
      <c r="HSL120" s="3"/>
      <c r="HSM120" s="3"/>
      <c r="HSN120" s="3"/>
      <c r="HSO120" s="3"/>
      <c r="HSP120" s="3"/>
      <c r="HSQ120" s="3"/>
      <c r="HSR120" s="3"/>
      <c r="HSS120" s="3"/>
      <c r="HST120" s="3"/>
      <c r="HSU120" s="3"/>
      <c r="HSV120" s="3"/>
      <c r="HSW120" s="3"/>
      <c r="HSX120" s="3"/>
      <c r="HSY120" s="3"/>
      <c r="HSZ120" s="3"/>
      <c r="HTA120" s="3"/>
      <c r="HTB120" s="3"/>
      <c r="HTC120" s="3"/>
      <c r="HTD120" s="3"/>
      <c r="HTE120" s="3"/>
      <c r="HTF120" s="3"/>
      <c r="HTG120" s="3"/>
      <c r="HTH120" s="3"/>
      <c r="HTI120" s="3"/>
      <c r="HTJ120" s="3"/>
      <c r="HTK120" s="3"/>
      <c r="HTL120" s="3"/>
      <c r="HTM120" s="3"/>
      <c r="HTN120" s="3"/>
      <c r="HTO120" s="3"/>
      <c r="HTP120" s="3"/>
      <c r="HTQ120" s="3"/>
      <c r="HTR120" s="3"/>
      <c r="HTS120" s="3"/>
      <c r="HTT120" s="3"/>
      <c r="HTU120" s="3"/>
      <c r="HTV120" s="3"/>
      <c r="HTW120" s="3"/>
      <c r="HTX120" s="3"/>
      <c r="HTY120" s="3"/>
      <c r="HTZ120" s="3"/>
      <c r="HUA120" s="3"/>
      <c r="HUB120" s="3"/>
      <c r="HUC120" s="3"/>
      <c r="HUD120" s="3"/>
      <c r="HUE120" s="3"/>
      <c r="HUF120" s="3"/>
      <c r="HUG120" s="3"/>
      <c r="HUH120" s="3"/>
      <c r="HUI120" s="3"/>
      <c r="HUJ120" s="3"/>
      <c r="HUK120" s="3"/>
      <c r="HUL120" s="3"/>
      <c r="HUM120" s="3"/>
      <c r="HUN120" s="3"/>
      <c r="HUO120" s="3"/>
      <c r="HUP120" s="3"/>
      <c r="HUQ120" s="3"/>
      <c r="HUR120" s="3"/>
      <c r="HUS120" s="3"/>
      <c r="HUT120" s="3"/>
      <c r="HUU120" s="3"/>
      <c r="HUV120" s="3"/>
      <c r="HUW120" s="3"/>
      <c r="HUX120" s="3"/>
      <c r="HUY120" s="3"/>
      <c r="HUZ120" s="3"/>
      <c r="HVA120" s="3"/>
      <c r="HVB120" s="3"/>
      <c r="HVC120" s="3"/>
      <c r="HVD120" s="3"/>
      <c r="HVE120" s="3"/>
      <c r="HVF120" s="3"/>
      <c r="HVG120" s="3"/>
      <c r="HVH120" s="3"/>
      <c r="HVI120" s="3"/>
      <c r="HVJ120" s="3"/>
      <c r="HVK120" s="3"/>
      <c r="HVL120" s="3"/>
      <c r="HVM120" s="3"/>
      <c r="HVN120" s="3"/>
      <c r="HVO120" s="3"/>
      <c r="HVP120" s="3"/>
      <c r="HVQ120" s="3"/>
      <c r="HVR120" s="3"/>
      <c r="HVS120" s="3"/>
      <c r="HVT120" s="3"/>
      <c r="HVU120" s="3"/>
      <c r="HVV120" s="3"/>
      <c r="HVW120" s="3"/>
      <c r="HVX120" s="3"/>
      <c r="HVY120" s="3"/>
      <c r="HVZ120" s="3"/>
      <c r="HWA120" s="3"/>
      <c r="HWB120" s="3"/>
      <c r="HWC120" s="3"/>
      <c r="HWD120" s="3"/>
      <c r="HWE120" s="3"/>
      <c r="HWF120" s="3"/>
      <c r="HWG120" s="3"/>
      <c r="HWH120" s="3"/>
      <c r="HWI120" s="3"/>
      <c r="HWJ120" s="3"/>
      <c r="HWK120" s="3"/>
      <c r="HWL120" s="3"/>
      <c r="HWM120" s="3"/>
      <c r="HWN120" s="3"/>
      <c r="HWO120" s="3"/>
      <c r="HWP120" s="3"/>
      <c r="HWQ120" s="3"/>
      <c r="HWR120" s="3"/>
      <c r="HWS120" s="3"/>
      <c r="HWT120" s="3"/>
      <c r="HWU120" s="3"/>
      <c r="HWV120" s="3"/>
      <c r="HWW120" s="3"/>
      <c r="HWX120" s="3"/>
      <c r="HWY120" s="3"/>
      <c r="HWZ120" s="3"/>
      <c r="HXA120" s="3"/>
      <c r="HXB120" s="3"/>
      <c r="HXC120" s="3"/>
      <c r="HXD120" s="3"/>
      <c r="HXE120" s="3"/>
      <c r="HXF120" s="3"/>
      <c r="HXG120" s="3"/>
      <c r="HXH120" s="3"/>
      <c r="HXI120" s="3"/>
      <c r="HXJ120" s="3"/>
      <c r="HXK120" s="3"/>
      <c r="HXL120" s="3"/>
      <c r="HXM120" s="3"/>
      <c r="HXN120" s="3"/>
      <c r="HXO120" s="3"/>
      <c r="HXP120" s="3"/>
      <c r="HXQ120" s="3"/>
      <c r="HXR120" s="3"/>
      <c r="HXS120" s="3"/>
      <c r="HXT120" s="3"/>
      <c r="HXU120" s="3"/>
      <c r="HXV120" s="3"/>
      <c r="HXW120" s="3"/>
      <c r="HXX120" s="3"/>
      <c r="HXY120" s="3"/>
      <c r="HXZ120" s="3"/>
      <c r="HYA120" s="3"/>
      <c r="HYB120" s="3"/>
      <c r="HYC120" s="3"/>
      <c r="HYD120" s="3"/>
      <c r="HYE120" s="3"/>
      <c r="HYF120" s="3"/>
      <c r="HYG120" s="3"/>
      <c r="HYH120" s="3"/>
      <c r="HYI120" s="3"/>
      <c r="HYJ120" s="3"/>
      <c r="HYK120" s="3"/>
      <c r="HYL120" s="3"/>
      <c r="HYM120" s="3"/>
      <c r="HYN120" s="3"/>
      <c r="HYO120" s="3"/>
      <c r="HYP120" s="3"/>
      <c r="HYQ120" s="3"/>
      <c r="HYR120" s="3"/>
      <c r="HYS120" s="3"/>
      <c r="HYT120" s="3"/>
      <c r="HYU120" s="3"/>
      <c r="HYV120" s="3"/>
      <c r="HYW120" s="3"/>
      <c r="HYX120" s="3"/>
      <c r="HYY120" s="3"/>
      <c r="HYZ120" s="3"/>
      <c r="HZA120" s="3"/>
      <c r="HZB120" s="3"/>
      <c r="HZC120" s="3"/>
      <c r="HZD120" s="3"/>
      <c r="HZE120" s="3"/>
      <c r="HZF120" s="3"/>
      <c r="HZG120" s="3"/>
      <c r="HZH120" s="3"/>
      <c r="HZI120" s="3"/>
      <c r="HZJ120" s="3"/>
      <c r="HZK120" s="3"/>
      <c r="HZL120" s="3"/>
      <c r="HZM120" s="3"/>
      <c r="HZN120" s="3"/>
      <c r="HZO120" s="3"/>
      <c r="HZP120" s="3"/>
      <c r="HZQ120" s="3"/>
      <c r="HZR120" s="3"/>
      <c r="HZS120" s="3"/>
      <c r="HZT120" s="3"/>
      <c r="HZU120" s="3"/>
      <c r="HZV120" s="3"/>
      <c r="HZW120" s="3"/>
      <c r="HZX120" s="3"/>
      <c r="HZY120" s="3"/>
      <c r="HZZ120" s="3"/>
      <c r="IAA120" s="3"/>
      <c r="IAB120" s="3"/>
      <c r="IAC120" s="3"/>
      <c r="IAD120" s="3"/>
      <c r="IAE120" s="3"/>
      <c r="IAF120" s="3"/>
      <c r="IAG120" s="3"/>
      <c r="IAH120" s="3"/>
      <c r="IAI120" s="3"/>
      <c r="IAJ120" s="3"/>
      <c r="IAK120" s="3"/>
      <c r="IAL120" s="3"/>
      <c r="IAM120" s="3"/>
      <c r="IAN120" s="3"/>
      <c r="IAO120" s="3"/>
      <c r="IAP120" s="3"/>
      <c r="IAQ120" s="3"/>
      <c r="IAR120" s="3"/>
      <c r="IAS120" s="3"/>
      <c r="IAT120" s="3"/>
      <c r="IAU120" s="3"/>
      <c r="IAV120" s="3"/>
      <c r="IAW120" s="3"/>
      <c r="IAX120" s="3"/>
      <c r="IAY120" s="3"/>
      <c r="IAZ120" s="3"/>
      <c r="IBA120" s="3"/>
      <c r="IBB120" s="3"/>
      <c r="IBC120" s="3"/>
      <c r="IBD120" s="3"/>
      <c r="IBE120" s="3"/>
      <c r="IBF120" s="3"/>
      <c r="IBG120" s="3"/>
      <c r="IBH120" s="3"/>
      <c r="IBI120" s="3"/>
      <c r="IBJ120" s="3"/>
      <c r="IBK120" s="3"/>
      <c r="IBL120" s="3"/>
      <c r="IBM120" s="3"/>
      <c r="IBN120" s="3"/>
      <c r="IBO120" s="3"/>
      <c r="IBP120" s="3"/>
      <c r="IBQ120" s="3"/>
      <c r="IBR120" s="3"/>
      <c r="IBS120" s="3"/>
      <c r="IBT120" s="3"/>
      <c r="IBU120" s="3"/>
      <c r="IBV120" s="3"/>
      <c r="IBW120" s="3"/>
      <c r="IBX120" s="3"/>
      <c r="IBY120" s="3"/>
      <c r="IBZ120" s="3"/>
      <c r="ICA120" s="3"/>
      <c r="ICB120" s="3"/>
      <c r="ICC120" s="3"/>
      <c r="ICD120" s="3"/>
      <c r="ICE120" s="3"/>
      <c r="ICF120" s="3"/>
      <c r="ICG120" s="3"/>
      <c r="ICH120" s="3"/>
      <c r="ICI120" s="3"/>
      <c r="ICJ120" s="3"/>
      <c r="ICK120" s="3"/>
      <c r="ICL120" s="3"/>
      <c r="ICM120" s="3"/>
      <c r="ICN120" s="3"/>
      <c r="ICO120" s="3"/>
      <c r="ICP120" s="3"/>
      <c r="ICQ120" s="3"/>
      <c r="ICR120" s="3"/>
      <c r="ICS120" s="3"/>
      <c r="ICT120" s="3"/>
      <c r="ICU120" s="3"/>
      <c r="ICV120" s="3"/>
      <c r="ICW120" s="3"/>
      <c r="ICX120" s="3"/>
      <c r="ICY120" s="3"/>
      <c r="ICZ120" s="3"/>
      <c r="IDA120" s="3"/>
      <c r="IDB120" s="3"/>
      <c r="IDC120" s="3"/>
      <c r="IDD120" s="3"/>
      <c r="IDE120" s="3"/>
      <c r="IDF120" s="3"/>
      <c r="IDG120" s="3"/>
      <c r="IDH120" s="3"/>
      <c r="IDI120" s="3"/>
      <c r="IDJ120" s="3"/>
      <c r="IDK120" s="3"/>
      <c r="IDL120" s="3"/>
      <c r="IDM120" s="3"/>
      <c r="IDN120" s="3"/>
      <c r="IDO120" s="3"/>
      <c r="IDP120" s="3"/>
      <c r="IDQ120" s="3"/>
      <c r="IDR120" s="3"/>
      <c r="IDS120" s="3"/>
      <c r="IDT120" s="3"/>
      <c r="IDU120" s="3"/>
      <c r="IDV120" s="3"/>
      <c r="IDW120" s="3"/>
      <c r="IDX120" s="3"/>
      <c r="IDY120" s="3"/>
      <c r="IDZ120" s="3"/>
      <c r="IEA120" s="3"/>
      <c r="IEB120" s="3"/>
      <c r="IEC120" s="3"/>
      <c r="IED120" s="3"/>
      <c r="IEE120" s="3"/>
      <c r="IEF120" s="3"/>
      <c r="IEG120" s="3"/>
      <c r="IEH120" s="3"/>
      <c r="IEI120" s="3"/>
      <c r="IEJ120" s="3"/>
      <c r="IEK120" s="3"/>
      <c r="IEL120" s="3"/>
      <c r="IEM120" s="3"/>
      <c r="IEN120" s="3"/>
      <c r="IEO120" s="3"/>
      <c r="IEP120" s="3"/>
      <c r="IEQ120" s="3"/>
      <c r="IER120" s="3"/>
      <c r="IES120" s="3"/>
      <c r="IET120" s="3"/>
      <c r="IEU120" s="3"/>
      <c r="IEV120" s="3"/>
      <c r="IEW120" s="3"/>
      <c r="IEX120" s="3"/>
      <c r="IEY120" s="3"/>
      <c r="IEZ120" s="3"/>
      <c r="IFA120" s="3"/>
      <c r="IFB120" s="3"/>
      <c r="IFC120" s="3"/>
      <c r="IFD120" s="3"/>
      <c r="IFE120" s="3"/>
      <c r="IFF120" s="3"/>
      <c r="IFG120" s="3"/>
      <c r="IFH120" s="3"/>
      <c r="IFI120" s="3"/>
      <c r="IFJ120" s="3"/>
      <c r="IFK120" s="3"/>
      <c r="IFL120" s="3"/>
      <c r="IFM120" s="3"/>
      <c r="IFN120" s="3"/>
      <c r="IFO120" s="3"/>
      <c r="IFP120" s="3"/>
      <c r="IFQ120" s="3"/>
      <c r="IFR120" s="3"/>
      <c r="IFS120" s="3"/>
      <c r="IFT120" s="3"/>
      <c r="IFU120" s="3"/>
      <c r="IFV120" s="3"/>
      <c r="IFW120" s="3"/>
      <c r="IFX120" s="3"/>
      <c r="IFY120" s="3"/>
      <c r="IFZ120" s="3"/>
      <c r="IGA120" s="3"/>
      <c r="IGB120" s="3"/>
      <c r="IGC120" s="3"/>
      <c r="IGD120" s="3"/>
      <c r="IGE120" s="3"/>
      <c r="IGF120" s="3"/>
      <c r="IGG120" s="3"/>
      <c r="IGH120" s="3"/>
      <c r="IGI120" s="3"/>
      <c r="IGJ120" s="3"/>
      <c r="IGK120" s="3"/>
      <c r="IGL120" s="3"/>
      <c r="IGM120" s="3"/>
      <c r="IGN120" s="3"/>
      <c r="IGO120" s="3"/>
      <c r="IGP120" s="3"/>
      <c r="IGQ120" s="3"/>
      <c r="IGR120" s="3"/>
      <c r="IGS120" s="3"/>
      <c r="IGT120" s="3"/>
      <c r="IGU120" s="3"/>
      <c r="IGV120" s="3"/>
      <c r="IGW120" s="3"/>
      <c r="IGX120" s="3"/>
      <c r="IGY120" s="3"/>
      <c r="IGZ120" s="3"/>
      <c r="IHA120" s="3"/>
      <c r="IHB120" s="3"/>
      <c r="IHC120" s="3"/>
      <c r="IHD120" s="3"/>
      <c r="IHE120" s="3"/>
      <c r="IHF120" s="3"/>
      <c r="IHG120" s="3"/>
      <c r="IHH120" s="3"/>
      <c r="IHI120" s="3"/>
      <c r="IHJ120" s="3"/>
      <c r="IHK120" s="3"/>
      <c r="IHL120" s="3"/>
      <c r="IHM120" s="3"/>
      <c r="IHN120" s="3"/>
      <c r="IHO120" s="3"/>
      <c r="IHP120" s="3"/>
      <c r="IHQ120" s="3"/>
      <c r="IHR120" s="3"/>
      <c r="IHS120" s="3"/>
      <c r="IHT120" s="3"/>
      <c r="IHU120" s="3"/>
      <c r="IHV120" s="3"/>
      <c r="IHW120" s="3"/>
      <c r="IHX120" s="3"/>
      <c r="IHY120" s="3"/>
      <c r="IHZ120" s="3"/>
      <c r="IIA120" s="3"/>
      <c r="IIB120" s="3"/>
      <c r="IIC120" s="3"/>
      <c r="IID120" s="3"/>
      <c r="IIE120" s="3"/>
      <c r="IIF120" s="3"/>
      <c r="IIG120" s="3"/>
      <c r="IIH120" s="3"/>
      <c r="III120" s="3"/>
      <c r="IIJ120" s="3"/>
      <c r="IIK120" s="3"/>
      <c r="IIL120" s="3"/>
      <c r="IIM120" s="3"/>
      <c r="IIN120" s="3"/>
      <c r="IIO120" s="3"/>
      <c r="IIP120" s="3"/>
      <c r="IIQ120" s="3"/>
      <c r="IIR120" s="3"/>
      <c r="IIS120" s="3"/>
      <c r="IIT120" s="3"/>
      <c r="IIU120" s="3"/>
      <c r="IIV120" s="3"/>
      <c r="IIW120" s="3"/>
      <c r="IIX120" s="3"/>
      <c r="IIY120" s="3"/>
      <c r="IIZ120" s="3"/>
      <c r="IJA120" s="3"/>
      <c r="IJB120" s="3"/>
      <c r="IJC120" s="3"/>
      <c r="IJD120" s="3"/>
      <c r="IJE120" s="3"/>
      <c r="IJF120" s="3"/>
      <c r="IJG120" s="3"/>
      <c r="IJH120" s="3"/>
      <c r="IJI120" s="3"/>
      <c r="IJJ120" s="3"/>
      <c r="IJK120" s="3"/>
      <c r="IJL120" s="3"/>
      <c r="IJM120" s="3"/>
      <c r="IJN120" s="3"/>
      <c r="IJO120" s="3"/>
      <c r="IJP120" s="3"/>
      <c r="IJQ120" s="3"/>
      <c r="IJR120" s="3"/>
      <c r="IJS120" s="3"/>
      <c r="IJT120" s="3"/>
      <c r="IJU120" s="3"/>
      <c r="IJV120" s="3"/>
      <c r="IJW120" s="3"/>
      <c r="IJX120" s="3"/>
      <c r="IJY120" s="3"/>
      <c r="IJZ120" s="3"/>
      <c r="IKA120" s="3"/>
      <c r="IKB120" s="3"/>
      <c r="IKC120" s="3"/>
      <c r="IKD120" s="3"/>
      <c r="IKE120" s="3"/>
      <c r="IKF120" s="3"/>
      <c r="IKG120" s="3"/>
      <c r="IKH120" s="3"/>
      <c r="IKI120" s="3"/>
      <c r="IKJ120" s="3"/>
      <c r="IKK120" s="3"/>
      <c r="IKL120" s="3"/>
      <c r="IKM120" s="3"/>
      <c r="IKN120" s="3"/>
      <c r="IKO120" s="3"/>
      <c r="IKP120" s="3"/>
      <c r="IKQ120" s="3"/>
      <c r="IKR120" s="3"/>
      <c r="IKS120" s="3"/>
      <c r="IKT120" s="3"/>
      <c r="IKU120" s="3"/>
      <c r="IKV120" s="3"/>
      <c r="IKW120" s="3"/>
      <c r="IKX120" s="3"/>
      <c r="IKY120" s="3"/>
      <c r="IKZ120" s="3"/>
      <c r="ILA120" s="3"/>
      <c r="ILB120" s="3"/>
      <c r="ILC120" s="3"/>
      <c r="ILD120" s="3"/>
      <c r="ILE120" s="3"/>
      <c r="ILF120" s="3"/>
      <c r="ILG120" s="3"/>
      <c r="ILH120" s="3"/>
      <c r="ILI120" s="3"/>
      <c r="ILJ120" s="3"/>
      <c r="ILK120" s="3"/>
      <c r="ILL120" s="3"/>
      <c r="ILM120" s="3"/>
      <c r="ILN120" s="3"/>
      <c r="ILO120" s="3"/>
      <c r="ILP120" s="3"/>
      <c r="ILQ120" s="3"/>
      <c r="ILR120" s="3"/>
      <c r="ILS120" s="3"/>
      <c r="ILT120" s="3"/>
      <c r="ILU120" s="3"/>
      <c r="ILV120" s="3"/>
      <c r="ILW120" s="3"/>
      <c r="ILX120" s="3"/>
      <c r="ILY120" s="3"/>
      <c r="ILZ120" s="3"/>
      <c r="IMA120" s="3"/>
      <c r="IMB120" s="3"/>
      <c r="IMC120" s="3"/>
      <c r="IMD120" s="3"/>
      <c r="IME120" s="3"/>
      <c r="IMF120" s="3"/>
      <c r="IMG120" s="3"/>
      <c r="IMH120" s="3"/>
      <c r="IMI120" s="3"/>
      <c r="IMJ120" s="3"/>
      <c r="IMK120" s="3"/>
      <c r="IML120" s="3"/>
      <c r="IMM120" s="3"/>
      <c r="IMN120" s="3"/>
      <c r="IMO120" s="3"/>
      <c r="IMP120" s="3"/>
      <c r="IMQ120" s="3"/>
      <c r="IMR120" s="3"/>
      <c r="IMS120" s="3"/>
      <c r="IMT120" s="3"/>
      <c r="IMU120" s="3"/>
      <c r="IMV120" s="3"/>
      <c r="IMW120" s="3"/>
      <c r="IMX120" s="3"/>
      <c r="IMY120" s="3"/>
      <c r="IMZ120" s="3"/>
      <c r="INA120" s="3"/>
      <c r="INB120" s="3"/>
      <c r="INC120" s="3"/>
      <c r="IND120" s="3"/>
      <c r="INE120" s="3"/>
      <c r="INF120" s="3"/>
      <c r="ING120" s="3"/>
      <c r="INH120" s="3"/>
      <c r="INI120" s="3"/>
      <c r="INJ120" s="3"/>
      <c r="INK120" s="3"/>
      <c r="INL120" s="3"/>
      <c r="INM120" s="3"/>
      <c r="INN120" s="3"/>
      <c r="INO120" s="3"/>
      <c r="INP120" s="3"/>
      <c r="INQ120" s="3"/>
      <c r="INR120" s="3"/>
      <c r="INS120" s="3"/>
      <c r="INT120" s="3"/>
      <c r="INU120" s="3"/>
      <c r="INV120" s="3"/>
      <c r="INW120" s="3"/>
      <c r="INX120" s="3"/>
      <c r="INY120" s="3"/>
      <c r="INZ120" s="3"/>
      <c r="IOA120" s="3"/>
      <c r="IOB120" s="3"/>
      <c r="IOC120" s="3"/>
      <c r="IOD120" s="3"/>
      <c r="IOE120" s="3"/>
      <c r="IOF120" s="3"/>
      <c r="IOG120" s="3"/>
      <c r="IOH120" s="3"/>
      <c r="IOI120" s="3"/>
      <c r="IOJ120" s="3"/>
      <c r="IOK120" s="3"/>
      <c r="IOL120" s="3"/>
      <c r="IOM120" s="3"/>
      <c r="ION120" s="3"/>
      <c r="IOO120" s="3"/>
      <c r="IOP120" s="3"/>
      <c r="IOQ120" s="3"/>
      <c r="IOR120" s="3"/>
      <c r="IOS120" s="3"/>
      <c r="IOT120" s="3"/>
      <c r="IOU120" s="3"/>
      <c r="IOV120" s="3"/>
      <c r="IOW120" s="3"/>
      <c r="IOX120" s="3"/>
      <c r="IOY120" s="3"/>
      <c r="IOZ120" s="3"/>
      <c r="IPA120" s="3"/>
      <c r="IPB120" s="3"/>
      <c r="IPC120" s="3"/>
      <c r="IPD120" s="3"/>
      <c r="IPE120" s="3"/>
      <c r="IPF120" s="3"/>
      <c r="IPG120" s="3"/>
      <c r="IPH120" s="3"/>
      <c r="IPI120" s="3"/>
      <c r="IPJ120" s="3"/>
      <c r="IPK120" s="3"/>
      <c r="IPL120" s="3"/>
      <c r="IPM120" s="3"/>
      <c r="IPN120" s="3"/>
      <c r="IPO120" s="3"/>
      <c r="IPP120" s="3"/>
      <c r="IPQ120" s="3"/>
      <c r="IPR120" s="3"/>
      <c r="IPS120" s="3"/>
      <c r="IPT120" s="3"/>
      <c r="IPU120" s="3"/>
      <c r="IPV120" s="3"/>
      <c r="IPW120" s="3"/>
      <c r="IPX120" s="3"/>
      <c r="IPY120" s="3"/>
      <c r="IPZ120" s="3"/>
      <c r="IQA120" s="3"/>
      <c r="IQB120" s="3"/>
      <c r="IQC120" s="3"/>
      <c r="IQD120" s="3"/>
      <c r="IQE120" s="3"/>
      <c r="IQF120" s="3"/>
      <c r="IQG120" s="3"/>
      <c r="IQH120" s="3"/>
      <c r="IQI120" s="3"/>
      <c r="IQJ120" s="3"/>
      <c r="IQK120" s="3"/>
      <c r="IQL120" s="3"/>
      <c r="IQM120" s="3"/>
      <c r="IQN120" s="3"/>
      <c r="IQO120" s="3"/>
      <c r="IQP120" s="3"/>
      <c r="IQQ120" s="3"/>
      <c r="IQR120" s="3"/>
      <c r="IQS120" s="3"/>
      <c r="IQT120" s="3"/>
      <c r="IQU120" s="3"/>
      <c r="IQV120" s="3"/>
      <c r="IQW120" s="3"/>
      <c r="IQX120" s="3"/>
      <c r="IQY120" s="3"/>
      <c r="IQZ120" s="3"/>
      <c r="IRA120" s="3"/>
      <c r="IRB120" s="3"/>
      <c r="IRC120" s="3"/>
      <c r="IRD120" s="3"/>
      <c r="IRE120" s="3"/>
      <c r="IRF120" s="3"/>
      <c r="IRG120" s="3"/>
      <c r="IRH120" s="3"/>
      <c r="IRI120" s="3"/>
      <c r="IRJ120" s="3"/>
      <c r="IRK120" s="3"/>
      <c r="IRL120" s="3"/>
      <c r="IRM120" s="3"/>
      <c r="IRN120" s="3"/>
      <c r="IRO120" s="3"/>
      <c r="IRP120" s="3"/>
      <c r="IRQ120" s="3"/>
      <c r="IRR120" s="3"/>
      <c r="IRS120" s="3"/>
      <c r="IRT120" s="3"/>
      <c r="IRU120" s="3"/>
      <c r="IRV120" s="3"/>
      <c r="IRW120" s="3"/>
      <c r="IRX120" s="3"/>
      <c r="IRY120" s="3"/>
      <c r="IRZ120" s="3"/>
      <c r="ISA120" s="3"/>
      <c r="ISB120" s="3"/>
      <c r="ISC120" s="3"/>
      <c r="ISD120" s="3"/>
      <c r="ISE120" s="3"/>
      <c r="ISF120" s="3"/>
      <c r="ISG120" s="3"/>
      <c r="ISH120" s="3"/>
      <c r="ISI120" s="3"/>
      <c r="ISJ120" s="3"/>
      <c r="ISK120" s="3"/>
      <c r="ISL120" s="3"/>
      <c r="ISM120" s="3"/>
      <c r="ISN120" s="3"/>
      <c r="ISO120" s="3"/>
      <c r="ISP120" s="3"/>
      <c r="ISQ120" s="3"/>
      <c r="ISR120" s="3"/>
      <c r="ISS120" s="3"/>
      <c r="IST120" s="3"/>
      <c r="ISU120" s="3"/>
      <c r="ISV120" s="3"/>
      <c r="ISW120" s="3"/>
      <c r="ISX120" s="3"/>
      <c r="ISY120" s="3"/>
      <c r="ISZ120" s="3"/>
      <c r="ITA120" s="3"/>
      <c r="ITB120" s="3"/>
      <c r="ITC120" s="3"/>
      <c r="ITD120" s="3"/>
      <c r="ITE120" s="3"/>
      <c r="ITF120" s="3"/>
      <c r="ITG120" s="3"/>
      <c r="ITH120" s="3"/>
      <c r="ITI120" s="3"/>
      <c r="ITJ120" s="3"/>
      <c r="ITK120" s="3"/>
      <c r="ITL120" s="3"/>
      <c r="ITM120" s="3"/>
      <c r="ITN120" s="3"/>
      <c r="ITO120" s="3"/>
      <c r="ITP120" s="3"/>
      <c r="ITQ120" s="3"/>
      <c r="ITR120" s="3"/>
      <c r="ITS120" s="3"/>
      <c r="ITT120" s="3"/>
      <c r="ITU120" s="3"/>
      <c r="ITV120" s="3"/>
      <c r="ITW120" s="3"/>
      <c r="ITX120" s="3"/>
      <c r="ITY120" s="3"/>
      <c r="ITZ120" s="3"/>
      <c r="IUA120" s="3"/>
      <c r="IUB120" s="3"/>
      <c r="IUC120" s="3"/>
      <c r="IUD120" s="3"/>
      <c r="IUE120" s="3"/>
      <c r="IUF120" s="3"/>
      <c r="IUG120" s="3"/>
      <c r="IUH120" s="3"/>
      <c r="IUI120" s="3"/>
      <c r="IUJ120" s="3"/>
      <c r="IUK120" s="3"/>
      <c r="IUL120" s="3"/>
      <c r="IUM120" s="3"/>
      <c r="IUN120" s="3"/>
      <c r="IUO120" s="3"/>
      <c r="IUP120" s="3"/>
      <c r="IUQ120" s="3"/>
      <c r="IUR120" s="3"/>
      <c r="IUS120" s="3"/>
      <c r="IUT120" s="3"/>
      <c r="IUU120" s="3"/>
      <c r="IUV120" s="3"/>
      <c r="IUW120" s="3"/>
      <c r="IUX120" s="3"/>
      <c r="IUY120" s="3"/>
      <c r="IUZ120" s="3"/>
      <c r="IVA120" s="3"/>
      <c r="IVB120" s="3"/>
      <c r="IVC120" s="3"/>
      <c r="IVD120" s="3"/>
      <c r="IVE120" s="3"/>
      <c r="IVF120" s="3"/>
      <c r="IVG120" s="3"/>
      <c r="IVH120" s="3"/>
      <c r="IVI120" s="3"/>
      <c r="IVJ120" s="3"/>
      <c r="IVK120" s="3"/>
      <c r="IVL120" s="3"/>
      <c r="IVM120" s="3"/>
      <c r="IVN120" s="3"/>
      <c r="IVO120" s="3"/>
      <c r="IVP120" s="3"/>
      <c r="IVQ120" s="3"/>
      <c r="IVR120" s="3"/>
      <c r="IVS120" s="3"/>
      <c r="IVT120" s="3"/>
      <c r="IVU120" s="3"/>
      <c r="IVV120" s="3"/>
      <c r="IVW120" s="3"/>
      <c r="IVX120" s="3"/>
      <c r="IVY120" s="3"/>
      <c r="IVZ120" s="3"/>
      <c r="IWA120" s="3"/>
      <c r="IWB120" s="3"/>
      <c r="IWC120" s="3"/>
      <c r="IWD120" s="3"/>
      <c r="IWE120" s="3"/>
      <c r="IWF120" s="3"/>
      <c r="IWG120" s="3"/>
      <c r="IWH120" s="3"/>
      <c r="IWI120" s="3"/>
      <c r="IWJ120" s="3"/>
      <c r="IWK120" s="3"/>
      <c r="IWL120" s="3"/>
      <c r="IWM120" s="3"/>
      <c r="IWN120" s="3"/>
      <c r="IWO120" s="3"/>
      <c r="IWP120" s="3"/>
      <c r="IWQ120" s="3"/>
      <c r="IWR120" s="3"/>
      <c r="IWS120" s="3"/>
      <c r="IWT120" s="3"/>
      <c r="IWU120" s="3"/>
      <c r="IWV120" s="3"/>
      <c r="IWW120" s="3"/>
      <c r="IWX120" s="3"/>
      <c r="IWY120" s="3"/>
      <c r="IWZ120" s="3"/>
      <c r="IXA120" s="3"/>
      <c r="IXB120" s="3"/>
      <c r="IXC120" s="3"/>
      <c r="IXD120" s="3"/>
      <c r="IXE120" s="3"/>
      <c r="IXF120" s="3"/>
      <c r="IXG120" s="3"/>
      <c r="IXH120" s="3"/>
      <c r="IXI120" s="3"/>
      <c r="IXJ120" s="3"/>
      <c r="IXK120" s="3"/>
      <c r="IXL120" s="3"/>
      <c r="IXM120" s="3"/>
      <c r="IXN120" s="3"/>
      <c r="IXO120" s="3"/>
      <c r="IXP120" s="3"/>
      <c r="IXQ120" s="3"/>
      <c r="IXR120" s="3"/>
      <c r="IXS120" s="3"/>
      <c r="IXT120" s="3"/>
      <c r="IXU120" s="3"/>
      <c r="IXV120" s="3"/>
      <c r="IXW120" s="3"/>
      <c r="IXX120" s="3"/>
      <c r="IXY120" s="3"/>
      <c r="IXZ120" s="3"/>
      <c r="IYA120" s="3"/>
      <c r="IYB120" s="3"/>
      <c r="IYC120" s="3"/>
      <c r="IYD120" s="3"/>
      <c r="IYE120" s="3"/>
      <c r="IYF120" s="3"/>
      <c r="IYG120" s="3"/>
      <c r="IYH120" s="3"/>
      <c r="IYI120" s="3"/>
      <c r="IYJ120" s="3"/>
      <c r="IYK120" s="3"/>
      <c r="IYL120" s="3"/>
      <c r="IYM120" s="3"/>
      <c r="IYN120" s="3"/>
      <c r="IYO120" s="3"/>
      <c r="IYP120" s="3"/>
      <c r="IYQ120" s="3"/>
      <c r="IYR120" s="3"/>
      <c r="IYS120" s="3"/>
      <c r="IYT120" s="3"/>
      <c r="IYU120" s="3"/>
      <c r="IYV120" s="3"/>
      <c r="IYW120" s="3"/>
      <c r="IYX120" s="3"/>
      <c r="IYY120" s="3"/>
      <c r="IYZ120" s="3"/>
      <c r="IZA120" s="3"/>
      <c r="IZB120" s="3"/>
      <c r="IZC120" s="3"/>
      <c r="IZD120" s="3"/>
      <c r="IZE120" s="3"/>
      <c r="IZF120" s="3"/>
      <c r="IZG120" s="3"/>
      <c r="IZH120" s="3"/>
      <c r="IZI120" s="3"/>
      <c r="IZJ120" s="3"/>
      <c r="IZK120" s="3"/>
      <c r="IZL120" s="3"/>
      <c r="IZM120" s="3"/>
      <c r="IZN120" s="3"/>
      <c r="IZO120" s="3"/>
      <c r="IZP120" s="3"/>
      <c r="IZQ120" s="3"/>
      <c r="IZR120" s="3"/>
      <c r="IZS120" s="3"/>
      <c r="IZT120" s="3"/>
      <c r="IZU120" s="3"/>
      <c r="IZV120" s="3"/>
      <c r="IZW120" s="3"/>
      <c r="IZX120" s="3"/>
      <c r="IZY120" s="3"/>
      <c r="IZZ120" s="3"/>
      <c r="JAA120" s="3"/>
      <c r="JAB120" s="3"/>
      <c r="JAC120" s="3"/>
      <c r="JAD120" s="3"/>
      <c r="JAE120" s="3"/>
      <c r="JAF120" s="3"/>
      <c r="JAG120" s="3"/>
      <c r="JAH120" s="3"/>
      <c r="JAI120" s="3"/>
      <c r="JAJ120" s="3"/>
      <c r="JAK120" s="3"/>
      <c r="JAL120" s="3"/>
      <c r="JAM120" s="3"/>
      <c r="JAN120" s="3"/>
      <c r="JAO120" s="3"/>
      <c r="JAP120" s="3"/>
      <c r="JAQ120" s="3"/>
      <c r="JAR120" s="3"/>
      <c r="JAS120" s="3"/>
      <c r="JAT120" s="3"/>
      <c r="JAU120" s="3"/>
      <c r="JAV120" s="3"/>
      <c r="JAW120" s="3"/>
      <c r="JAX120" s="3"/>
      <c r="JAY120" s="3"/>
      <c r="JAZ120" s="3"/>
      <c r="JBA120" s="3"/>
      <c r="JBB120" s="3"/>
      <c r="JBC120" s="3"/>
      <c r="JBD120" s="3"/>
      <c r="JBE120" s="3"/>
      <c r="JBF120" s="3"/>
      <c r="JBG120" s="3"/>
      <c r="JBH120" s="3"/>
      <c r="JBI120" s="3"/>
      <c r="JBJ120" s="3"/>
      <c r="JBK120" s="3"/>
      <c r="JBL120" s="3"/>
      <c r="JBM120" s="3"/>
      <c r="JBN120" s="3"/>
      <c r="JBO120" s="3"/>
      <c r="JBP120" s="3"/>
      <c r="JBQ120" s="3"/>
      <c r="JBR120" s="3"/>
      <c r="JBS120" s="3"/>
      <c r="JBT120" s="3"/>
      <c r="JBU120" s="3"/>
      <c r="JBV120" s="3"/>
      <c r="JBW120" s="3"/>
      <c r="JBX120" s="3"/>
      <c r="JBY120" s="3"/>
      <c r="JBZ120" s="3"/>
      <c r="JCA120" s="3"/>
      <c r="JCB120" s="3"/>
      <c r="JCC120" s="3"/>
      <c r="JCD120" s="3"/>
      <c r="JCE120" s="3"/>
      <c r="JCF120" s="3"/>
      <c r="JCG120" s="3"/>
      <c r="JCH120" s="3"/>
      <c r="JCI120" s="3"/>
      <c r="JCJ120" s="3"/>
      <c r="JCK120" s="3"/>
      <c r="JCL120" s="3"/>
      <c r="JCM120" s="3"/>
      <c r="JCN120" s="3"/>
      <c r="JCO120" s="3"/>
      <c r="JCP120" s="3"/>
      <c r="JCQ120" s="3"/>
      <c r="JCR120" s="3"/>
      <c r="JCS120" s="3"/>
      <c r="JCT120" s="3"/>
      <c r="JCU120" s="3"/>
      <c r="JCV120" s="3"/>
      <c r="JCW120" s="3"/>
      <c r="JCX120" s="3"/>
      <c r="JCY120" s="3"/>
      <c r="JCZ120" s="3"/>
      <c r="JDA120" s="3"/>
      <c r="JDB120" s="3"/>
      <c r="JDC120" s="3"/>
      <c r="JDD120" s="3"/>
      <c r="JDE120" s="3"/>
      <c r="JDF120" s="3"/>
      <c r="JDG120" s="3"/>
      <c r="JDH120" s="3"/>
      <c r="JDI120" s="3"/>
      <c r="JDJ120" s="3"/>
      <c r="JDK120" s="3"/>
      <c r="JDL120" s="3"/>
      <c r="JDM120" s="3"/>
      <c r="JDN120" s="3"/>
      <c r="JDO120" s="3"/>
      <c r="JDP120" s="3"/>
      <c r="JDQ120" s="3"/>
      <c r="JDR120" s="3"/>
      <c r="JDS120" s="3"/>
      <c r="JDT120" s="3"/>
      <c r="JDU120" s="3"/>
      <c r="JDV120" s="3"/>
      <c r="JDW120" s="3"/>
      <c r="JDX120" s="3"/>
      <c r="JDY120" s="3"/>
      <c r="JDZ120" s="3"/>
      <c r="JEA120" s="3"/>
      <c r="JEB120" s="3"/>
      <c r="JEC120" s="3"/>
      <c r="JED120" s="3"/>
      <c r="JEE120" s="3"/>
      <c r="JEF120" s="3"/>
      <c r="JEG120" s="3"/>
      <c r="JEH120" s="3"/>
      <c r="JEI120" s="3"/>
      <c r="JEJ120" s="3"/>
      <c r="JEK120" s="3"/>
      <c r="JEL120" s="3"/>
      <c r="JEM120" s="3"/>
      <c r="JEN120" s="3"/>
      <c r="JEO120" s="3"/>
      <c r="JEP120" s="3"/>
      <c r="JEQ120" s="3"/>
      <c r="JER120" s="3"/>
      <c r="JES120" s="3"/>
      <c r="JET120" s="3"/>
      <c r="JEU120" s="3"/>
      <c r="JEV120" s="3"/>
      <c r="JEW120" s="3"/>
      <c r="JEX120" s="3"/>
      <c r="JEY120" s="3"/>
      <c r="JEZ120" s="3"/>
      <c r="JFA120" s="3"/>
      <c r="JFB120" s="3"/>
      <c r="JFC120" s="3"/>
      <c r="JFD120" s="3"/>
      <c r="JFE120" s="3"/>
      <c r="JFF120" s="3"/>
      <c r="JFG120" s="3"/>
      <c r="JFH120" s="3"/>
      <c r="JFI120" s="3"/>
      <c r="JFJ120" s="3"/>
      <c r="JFK120" s="3"/>
      <c r="JFL120" s="3"/>
      <c r="JFM120" s="3"/>
      <c r="JFN120" s="3"/>
      <c r="JFO120" s="3"/>
      <c r="JFP120" s="3"/>
      <c r="JFQ120" s="3"/>
      <c r="JFR120" s="3"/>
      <c r="JFS120" s="3"/>
      <c r="JFT120" s="3"/>
      <c r="JFU120" s="3"/>
      <c r="JFV120" s="3"/>
      <c r="JFW120" s="3"/>
      <c r="JFX120" s="3"/>
      <c r="JFY120" s="3"/>
      <c r="JFZ120" s="3"/>
      <c r="JGA120" s="3"/>
      <c r="JGB120" s="3"/>
      <c r="JGC120" s="3"/>
      <c r="JGD120" s="3"/>
      <c r="JGE120" s="3"/>
      <c r="JGF120" s="3"/>
      <c r="JGG120" s="3"/>
      <c r="JGH120" s="3"/>
      <c r="JGI120" s="3"/>
      <c r="JGJ120" s="3"/>
      <c r="JGK120" s="3"/>
      <c r="JGL120" s="3"/>
      <c r="JGM120" s="3"/>
      <c r="JGN120" s="3"/>
      <c r="JGO120" s="3"/>
      <c r="JGP120" s="3"/>
      <c r="JGQ120" s="3"/>
      <c r="JGR120" s="3"/>
      <c r="JGS120" s="3"/>
      <c r="JGT120" s="3"/>
      <c r="JGU120" s="3"/>
      <c r="JGV120" s="3"/>
      <c r="JGW120" s="3"/>
      <c r="JGX120" s="3"/>
      <c r="JGY120" s="3"/>
      <c r="JGZ120" s="3"/>
      <c r="JHA120" s="3"/>
      <c r="JHB120" s="3"/>
      <c r="JHC120" s="3"/>
      <c r="JHD120" s="3"/>
      <c r="JHE120" s="3"/>
      <c r="JHF120" s="3"/>
      <c r="JHG120" s="3"/>
      <c r="JHH120" s="3"/>
      <c r="JHI120" s="3"/>
      <c r="JHJ120" s="3"/>
      <c r="JHK120" s="3"/>
      <c r="JHL120" s="3"/>
      <c r="JHM120" s="3"/>
      <c r="JHN120" s="3"/>
      <c r="JHO120" s="3"/>
      <c r="JHP120" s="3"/>
      <c r="JHQ120" s="3"/>
      <c r="JHR120" s="3"/>
      <c r="JHS120" s="3"/>
      <c r="JHT120" s="3"/>
      <c r="JHU120" s="3"/>
      <c r="JHV120" s="3"/>
      <c r="JHW120" s="3"/>
      <c r="JHX120" s="3"/>
      <c r="JHY120" s="3"/>
      <c r="JHZ120" s="3"/>
      <c r="JIA120" s="3"/>
      <c r="JIB120" s="3"/>
      <c r="JIC120" s="3"/>
      <c r="JID120" s="3"/>
      <c r="JIE120" s="3"/>
      <c r="JIF120" s="3"/>
      <c r="JIG120" s="3"/>
      <c r="JIH120" s="3"/>
      <c r="JII120" s="3"/>
      <c r="JIJ120" s="3"/>
      <c r="JIK120" s="3"/>
      <c r="JIL120" s="3"/>
      <c r="JIM120" s="3"/>
      <c r="JIN120" s="3"/>
      <c r="JIO120" s="3"/>
      <c r="JIP120" s="3"/>
      <c r="JIQ120" s="3"/>
      <c r="JIR120" s="3"/>
      <c r="JIS120" s="3"/>
      <c r="JIT120" s="3"/>
      <c r="JIU120" s="3"/>
      <c r="JIV120" s="3"/>
      <c r="JIW120" s="3"/>
      <c r="JIX120" s="3"/>
      <c r="JIY120" s="3"/>
      <c r="JIZ120" s="3"/>
      <c r="JJA120" s="3"/>
      <c r="JJB120" s="3"/>
      <c r="JJC120" s="3"/>
      <c r="JJD120" s="3"/>
      <c r="JJE120" s="3"/>
      <c r="JJF120" s="3"/>
      <c r="JJG120" s="3"/>
      <c r="JJH120" s="3"/>
      <c r="JJI120" s="3"/>
      <c r="JJJ120" s="3"/>
      <c r="JJK120" s="3"/>
      <c r="JJL120" s="3"/>
      <c r="JJM120" s="3"/>
      <c r="JJN120" s="3"/>
      <c r="JJO120" s="3"/>
      <c r="JJP120" s="3"/>
      <c r="JJQ120" s="3"/>
      <c r="JJR120" s="3"/>
      <c r="JJS120" s="3"/>
      <c r="JJT120" s="3"/>
      <c r="JJU120" s="3"/>
      <c r="JJV120" s="3"/>
      <c r="JJW120" s="3"/>
      <c r="JJX120" s="3"/>
      <c r="JJY120" s="3"/>
      <c r="JJZ120" s="3"/>
      <c r="JKA120" s="3"/>
      <c r="JKB120" s="3"/>
      <c r="JKC120" s="3"/>
      <c r="JKD120" s="3"/>
      <c r="JKE120" s="3"/>
      <c r="JKF120" s="3"/>
      <c r="JKG120" s="3"/>
      <c r="JKH120" s="3"/>
      <c r="JKI120" s="3"/>
      <c r="JKJ120" s="3"/>
      <c r="JKK120" s="3"/>
      <c r="JKL120" s="3"/>
      <c r="JKM120" s="3"/>
      <c r="JKN120" s="3"/>
      <c r="JKO120" s="3"/>
      <c r="JKP120" s="3"/>
      <c r="JKQ120" s="3"/>
      <c r="JKR120" s="3"/>
      <c r="JKS120" s="3"/>
      <c r="JKT120" s="3"/>
      <c r="JKU120" s="3"/>
      <c r="JKV120" s="3"/>
      <c r="JKW120" s="3"/>
      <c r="JKX120" s="3"/>
      <c r="JKY120" s="3"/>
      <c r="JKZ120" s="3"/>
      <c r="JLA120" s="3"/>
      <c r="JLB120" s="3"/>
      <c r="JLC120" s="3"/>
      <c r="JLD120" s="3"/>
      <c r="JLE120" s="3"/>
      <c r="JLF120" s="3"/>
      <c r="JLG120" s="3"/>
      <c r="JLH120" s="3"/>
      <c r="JLI120" s="3"/>
      <c r="JLJ120" s="3"/>
      <c r="JLK120" s="3"/>
      <c r="JLL120" s="3"/>
      <c r="JLM120" s="3"/>
      <c r="JLN120" s="3"/>
      <c r="JLO120" s="3"/>
      <c r="JLP120" s="3"/>
      <c r="JLQ120" s="3"/>
      <c r="JLR120" s="3"/>
      <c r="JLS120" s="3"/>
      <c r="JLT120" s="3"/>
      <c r="JLU120" s="3"/>
      <c r="JLV120" s="3"/>
      <c r="JLW120" s="3"/>
      <c r="JLX120" s="3"/>
      <c r="JLY120" s="3"/>
      <c r="JLZ120" s="3"/>
      <c r="JMA120" s="3"/>
      <c r="JMB120" s="3"/>
      <c r="JMC120" s="3"/>
      <c r="JMD120" s="3"/>
      <c r="JME120" s="3"/>
      <c r="JMF120" s="3"/>
      <c r="JMG120" s="3"/>
      <c r="JMH120" s="3"/>
      <c r="JMI120" s="3"/>
      <c r="JMJ120" s="3"/>
      <c r="JMK120" s="3"/>
      <c r="JML120" s="3"/>
      <c r="JMM120" s="3"/>
      <c r="JMN120" s="3"/>
      <c r="JMO120" s="3"/>
      <c r="JMP120" s="3"/>
      <c r="JMQ120" s="3"/>
      <c r="JMR120" s="3"/>
      <c r="JMS120" s="3"/>
      <c r="JMT120" s="3"/>
      <c r="JMU120" s="3"/>
      <c r="JMV120" s="3"/>
      <c r="JMW120" s="3"/>
      <c r="JMX120" s="3"/>
      <c r="JMY120" s="3"/>
      <c r="JMZ120" s="3"/>
      <c r="JNA120" s="3"/>
      <c r="JNB120" s="3"/>
      <c r="JNC120" s="3"/>
      <c r="JND120" s="3"/>
      <c r="JNE120" s="3"/>
      <c r="JNF120" s="3"/>
      <c r="JNG120" s="3"/>
      <c r="JNH120" s="3"/>
      <c r="JNI120" s="3"/>
      <c r="JNJ120" s="3"/>
      <c r="JNK120" s="3"/>
      <c r="JNL120" s="3"/>
      <c r="JNM120" s="3"/>
      <c r="JNN120" s="3"/>
      <c r="JNO120" s="3"/>
      <c r="JNP120" s="3"/>
      <c r="JNQ120" s="3"/>
      <c r="JNR120" s="3"/>
      <c r="JNS120" s="3"/>
      <c r="JNT120" s="3"/>
      <c r="JNU120" s="3"/>
      <c r="JNV120" s="3"/>
      <c r="JNW120" s="3"/>
      <c r="JNX120" s="3"/>
      <c r="JNY120" s="3"/>
      <c r="JNZ120" s="3"/>
      <c r="JOA120" s="3"/>
      <c r="JOB120" s="3"/>
      <c r="JOC120" s="3"/>
      <c r="JOD120" s="3"/>
      <c r="JOE120" s="3"/>
      <c r="JOF120" s="3"/>
      <c r="JOG120" s="3"/>
      <c r="JOH120" s="3"/>
      <c r="JOI120" s="3"/>
      <c r="JOJ120" s="3"/>
      <c r="JOK120" s="3"/>
      <c r="JOL120" s="3"/>
      <c r="JOM120" s="3"/>
      <c r="JON120" s="3"/>
      <c r="JOO120" s="3"/>
      <c r="JOP120" s="3"/>
      <c r="JOQ120" s="3"/>
      <c r="JOR120" s="3"/>
      <c r="JOS120" s="3"/>
      <c r="JOT120" s="3"/>
      <c r="JOU120" s="3"/>
      <c r="JOV120" s="3"/>
      <c r="JOW120" s="3"/>
      <c r="JOX120" s="3"/>
      <c r="JOY120" s="3"/>
      <c r="JOZ120" s="3"/>
      <c r="JPA120" s="3"/>
      <c r="JPB120" s="3"/>
      <c r="JPC120" s="3"/>
      <c r="JPD120" s="3"/>
      <c r="JPE120" s="3"/>
      <c r="JPF120" s="3"/>
      <c r="JPG120" s="3"/>
      <c r="JPH120" s="3"/>
      <c r="JPI120" s="3"/>
      <c r="JPJ120" s="3"/>
      <c r="JPK120" s="3"/>
      <c r="JPL120" s="3"/>
      <c r="JPM120" s="3"/>
      <c r="JPN120" s="3"/>
      <c r="JPO120" s="3"/>
      <c r="JPP120" s="3"/>
      <c r="JPQ120" s="3"/>
      <c r="JPR120" s="3"/>
      <c r="JPS120" s="3"/>
      <c r="JPT120" s="3"/>
      <c r="JPU120" s="3"/>
      <c r="JPV120" s="3"/>
      <c r="JPW120" s="3"/>
      <c r="JPX120" s="3"/>
      <c r="JPY120" s="3"/>
      <c r="JPZ120" s="3"/>
      <c r="JQA120" s="3"/>
      <c r="JQB120" s="3"/>
      <c r="JQC120" s="3"/>
      <c r="JQD120" s="3"/>
      <c r="JQE120" s="3"/>
      <c r="JQF120" s="3"/>
      <c r="JQG120" s="3"/>
      <c r="JQH120" s="3"/>
      <c r="JQI120" s="3"/>
      <c r="JQJ120" s="3"/>
      <c r="JQK120" s="3"/>
      <c r="JQL120" s="3"/>
      <c r="JQM120" s="3"/>
      <c r="JQN120" s="3"/>
      <c r="JQO120" s="3"/>
      <c r="JQP120" s="3"/>
      <c r="JQQ120" s="3"/>
      <c r="JQR120" s="3"/>
      <c r="JQS120" s="3"/>
      <c r="JQT120" s="3"/>
      <c r="JQU120" s="3"/>
      <c r="JQV120" s="3"/>
      <c r="JQW120" s="3"/>
      <c r="JQX120" s="3"/>
      <c r="JQY120" s="3"/>
      <c r="JQZ120" s="3"/>
      <c r="JRA120" s="3"/>
      <c r="JRB120" s="3"/>
      <c r="JRC120" s="3"/>
      <c r="JRD120" s="3"/>
      <c r="JRE120" s="3"/>
      <c r="JRF120" s="3"/>
      <c r="JRG120" s="3"/>
      <c r="JRH120" s="3"/>
      <c r="JRI120" s="3"/>
      <c r="JRJ120" s="3"/>
      <c r="JRK120" s="3"/>
      <c r="JRL120" s="3"/>
      <c r="JRM120" s="3"/>
      <c r="JRN120" s="3"/>
      <c r="JRO120" s="3"/>
      <c r="JRP120" s="3"/>
      <c r="JRQ120" s="3"/>
      <c r="JRR120" s="3"/>
      <c r="JRS120" s="3"/>
      <c r="JRT120" s="3"/>
      <c r="JRU120" s="3"/>
      <c r="JRV120" s="3"/>
      <c r="JRW120" s="3"/>
      <c r="JRX120" s="3"/>
      <c r="JRY120" s="3"/>
      <c r="JRZ120" s="3"/>
      <c r="JSA120" s="3"/>
      <c r="JSB120" s="3"/>
      <c r="JSC120" s="3"/>
      <c r="JSD120" s="3"/>
      <c r="JSE120" s="3"/>
      <c r="JSF120" s="3"/>
      <c r="JSG120" s="3"/>
      <c r="JSH120" s="3"/>
      <c r="JSI120" s="3"/>
      <c r="JSJ120" s="3"/>
      <c r="JSK120" s="3"/>
      <c r="JSL120" s="3"/>
      <c r="JSM120" s="3"/>
      <c r="JSN120" s="3"/>
      <c r="JSO120" s="3"/>
      <c r="JSP120" s="3"/>
      <c r="JSQ120" s="3"/>
      <c r="JSR120" s="3"/>
      <c r="JSS120" s="3"/>
      <c r="JST120" s="3"/>
      <c r="JSU120" s="3"/>
      <c r="JSV120" s="3"/>
      <c r="JSW120" s="3"/>
      <c r="JSX120" s="3"/>
      <c r="JSY120" s="3"/>
      <c r="JSZ120" s="3"/>
      <c r="JTA120" s="3"/>
      <c r="JTB120" s="3"/>
      <c r="JTC120" s="3"/>
      <c r="JTD120" s="3"/>
      <c r="JTE120" s="3"/>
      <c r="JTF120" s="3"/>
      <c r="JTG120" s="3"/>
      <c r="JTH120" s="3"/>
      <c r="JTI120" s="3"/>
      <c r="JTJ120" s="3"/>
      <c r="JTK120" s="3"/>
      <c r="JTL120" s="3"/>
      <c r="JTM120" s="3"/>
      <c r="JTN120" s="3"/>
      <c r="JTO120" s="3"/>
      <c r="JTP120" s="3"/>
      <c r="JTQ120" s="3"/>
      <c r="JTR120" s="3"/>
      <c r="JTS120" s="3"/>
      <c r="JTT120" s="3"/>
      <c r="JTU120" s="3"/>
      <c r="JTV120" s="3"/>
      <c r="JTW120" s="3"/>
      <c r="JTX120" s="3"/>
      <c r="JTY120" s="3"/>
      <c r="JTZ120" s="3"/>
      <c r="JUA120" s="3"/>
      <c r="JUB120" s="3"/>
      <c r="JUC120" s="3"/>
      <c r="JUD120" s="3"/>
      <c r="JUE120" s="3"/>
      <c r="JUF120" s="3"/>
      <c r="JUG120" s="3"/>
      <c r="JUH120" s="3"/>
      <c r="JUI120" s="3"/>
      <c r="JUJ120" s="3"/>
      <c r="JUK120" s="3"/>
      <c r="JUL120" s="3"/>
      <c r="JUM120" s="3"/>
      <c r="JUN120" s="3"/>
      <c r="JUO120" s="3"/>
      <c r="JUP120" s="3"/>
      <c r="JUQ120" s="3"/>
      <c r="JUR120" s="3"/>
      <c r="JUS120" s="3"/>
      <c r="JUT120" s="3"/>
      <c r="JUU120" s="3"/>
      <c r="JUV120" s="3"/>
      <c r="JUW120" s="3"/>
      <c r="JUX120" s="3"/>
      <c r="JUY120" s="3"/>
      <c r="JUZ120" s="3"/>
      <c r="JVA120" s="3"/>
      <c r="JVB120" s="3"/>
      <c r="JVC120" s="3"/>
      <c r="JVD120" s="3"/>
      <c r="JVE120" s="3"/>
      <c r="JVF120" s="3"/>
      <c r="JVG120" s="3"/>
      <c r="JVH120" s="3"/>
      <c r="JVI120" s="3"/>
      <c r="JVJ120" s="3"/>
      <c r="JVK120" s="3"/>
      <c r="JVL120" s="3"/>
      <c r="JVM120" s="3"/>
      <c r="JVN120" s="3"/>
      <c r="JVO120" s="3"/>
      <c r="JVP120" s="3"/>
      <c r="JVQ120" s="3"/>
      <c r="JVR120" s="3"/>
      <c r="JVS120" s="3"/>
      <c r="JVT120" s="3"/>
      <c r="JVU120" s="3"/>
      <c r="JVV120" s="3"/>
      <c r="JVW120" s="3"/>
      <c r="JVX120" s="3"/>
      <c r="JVY120" s="3"/>
      <c r="JVZ120" s="3"/>
      <c r="JWA120" s="3"/>
      <c r="JWB120" s="3"/>
      <c r="JWC120" s="3"/>
      <c r="JWD120" s="3"/>
      <c r="JWE120" s="3"/>
      <c r="JWF120" s="3"/>
      <c r="JWG120" s="3"/>
      <c r="JWH120" s="3"/>
      <c r="JWI120" s="3"/>
      <c r="JWJ120" s="3"/>
      <c r="JWK120" s="3"/>
      <c r="JWL120" s="3"/>
      <c r="JWM120" s="3"/>
      <c r="JWN120" s="3"/>
      <c r="JWO120" s="3"/>
      <c r="JWP120" s="3"/>
      <c r="JWQ120" s="3"/>
      <c r="JWR120" s="3"/>
      <c r="JWS120" s="3"/>
      <c r="JWT120" s="3"/>
      <c r="JWU120" s="3"/>
      <c r="JWV120" s="3"/>
      <c r="JWW120" s="3"/>
      <c r="JWX120" s="3"/>
      <c r="JWY120" s="3"/>
      <c r="JWZ120" s="3"/>
      <c r="JXA120" s="3"/>
      <c r="JXB120" s="3"/>
      <c r="JXC120" s="3"/>
      <c r="JXD120" s="3"/>
      <c r="JXE120" s="3"/>
      <c r="JXF120" s="3"/>
      <c r="JXG120" s="3"/>
      <c r="JXH120" s="3"/>
      <c r="JXI120" s="3"/>
      <c r="JXJ120" s="3"/>
      <c r="JXK120" s="3"/>
      <c r="JXL120" s="3"/>
      <c r="JXM120" s="3"/>
      <c r="JXN120" s="3"/>
      <c r="JXO120" s="3"/>
      <c r="JXP120" s="3"/>
      <c r="JXQ120" s="3"/>
      <c r="JXR120" s="3"/>
      <c r="JXS120" s="3"/>
      <c r="JXT120" s="3"/>
      <c r="JXU120" s="3"/>
      <c r="JXV120" s="3"/>
      <c r="JXW120" s="3"/>
      <c r="JXX120" s="3"/>
      <c r="JXY120" s="3"/>
      <c r="JXZ120" s="3"/>
      <c r="JYA120" s="3"/>
      <c r="JYB120" s="3"/>
      <c r="JYC120" s="3"/>
      <c r="JYD120" s="3"/>
      <c r="JYE120" s="3"/>
      <c r="JYF120" s="3"/>
      <c r="JYG120" s="3"/>
      <c r="JYH120" s="3"/>
      <c r="JYI120" s="3"/>
      <c r="JYJ120" s="3"/>
      <c r="JYK120" s="3"/>
      <c r="JYL120" s="3"/>
      <c r="JYM120" s="3"/>
      <c r="JYN120" s="3"/>
      <c r="JYO120" s="3"/>
      <c r="JYP120" s="3"/>
      <c r="JYQ120" s="3"/>
      <c r="JYR120" s="3"/>
      <c r="JYS120" s="3"/>
      <c r="JYT120" s="3"/>
      <c r="JYU120" s="3"/>
      <c r="JYV120" s="3"/>
      <c r="JYW120" s="3"/>
      <c r="JYX120" s="3"/>
      <c r="JYY120" s="3"/>
      <c r="JYZ120" s="3"/>
      <c r="JZA120" s="3"/>
      <c r="JZB120" s="3"/>
      <c r="JZC120" s="3"/>
      <c r="JZD120" s="3"/>
      <c r="JZE120" s="3"/>
      <c r="JZF120" s="3"/>
      <c r="JZG120" s="3"/>
      <c r="JZH120" s="3"/>
      <c r="JZI120" s="3"/>
      <c r="JZJ120" s="3"/>
      <c r="JZK120" s="3"/>
      <c r="JZL120" s="3"/>
      <c r="JZM120" s="3"/>
      <c r="JZN120" s="3"/>
      <c r="JZO120" s="3"/>
      <c r="JZP120" s="3"/>
      <c r="JZQ120" s="3"/>
      <c r="JZR120" s="3"/>
      <c r="JZS120" s="3"/>
      <c r="JZT120" s="3"/>
      <c r="JZU120" s="3"/>
      <c r="JZV120" s="3"/>
      <c r="JZW120" s="3"/>
      <c r="JZX120" s="3"/>
      <c r="JZY120" s="3"/>
      <c r="JZZ120" s="3"/>
      <c r="KAA120" s="3"/>
      <c r="KAB120" s="3"/>
      <c r="KAC120" s="3"/>
      <c r="KAD120" s="3"/>
      <c r="KAE120" s="3"/>
      <c r="KAF120" s="3"/>
      <c r="KAG120" s="3"/>
      <c r="KAH120" s="3"/>
      <c r="KAI120" s="3"/>
      <c r="KAJ120" s="3"/>
      <c r="KAK120" s="3"/>
      <c r="KAL120" s="3"/>
      <c r="KAM120" s="3"/>
      <c r="KAN120" s="3"/>
      <c r="KAO120" s="3"/>
      <c r="KAP120" s="3"/>
      <c r="KAQ120" s="3"/>
      <c r="KAR120" s="3"/>
      <c r="KAS120" s="3"/>
      <c r="KAT120" s="3"/>
      <c r="KAU120" s="3"/>
      <c r="KAV120" s="3"/>
      <c r="KAW120" s="3"/>
      <c r="KAX120" s="3"/>
      <c r="KAY120" s="3"/>
      <c r="KAZ120" s="3"/>
      <c r="KBA120" s="3"/>
      <c r="KBB120" s="3"/>
      <c r="KBC120" s="3"/>
      <c r="KBD120" s="3"/>
      <c r="KBE120" s="3"/>
      <c r="KBF120" s="3"/>
      <c r="KBG120" s="3"/>
      <c r="KBH120" s="3"/>
      <c r="KBI120" s="3"/>
      <c r="KBJ120" s="3"/>
      <c r="KBK120" s="3"/>
      <c r="KBL120" s="3"/>
      <c r="KBM120" s="3"/>
      <c r="KBN120" s="3"/>
      <c r="KBO120" s="3"/>
      <c r="KBP120" s="3"/>
      <c r="KBQ120" s="3"/>
      <c r="KBR120" s="3"/>
      <c r="KBS120" s="3"/>
      <c r="KBT120" s="3"/>
      <c r="KBU120" s="3"/>
      <c r="KBV120" s="3"/>
      <c r="KBW120" s="3"/>
      <c r="KBX120" s="3"/>
      <c r="KBY120" s="3"/>
      <c r="KBZ120" s="3"/>
      <c r="KCA120" s="3"/>
      <c r="KCB120" s="3"/>
      <c r="KCC120" s="3"/>
      <c r="KCD120" s="3"/>
      <c r="KCE120" s="3"/>
      <c r="KCF120" s="3"/>
      <c r="KCG120" s="3"/>
      <c r="KCH120" s="3"/>
      <c r="KCI120" s="3"/>
      <c r="KCJ120" s="3"/>
      <c r="KCK120" s="3"/>
      <c r="KCL120" s="3"/>
      <c r="KCM120" s="3"/>
      <c r="KCN120" s="3"/>
      <c r="KCO120" s="3"/>
      <c r="KCP120" s="3"/>
      <c r="KCQ120" s="3"/>
      <c r="KCR120" s="3"/>
      <c r="KCS120" s="3"/>
      <c r="KCT120" s="3"/>
      <c r="KCU120" s="3"/>
      <c r="KCV120" s="3"/>
      <c r="KCW120" s="3"/>
      <c r="KCX120" s="3"/>
      <c r="KCY120" s="3"/>
      <c r="KCZ120" s="3"/>
      <c r="KDA120" s="3"/>
      <c r="KDB120" s="3"/>
      <c r="KDC120" s="3"/>
      <c r="KDD120" s="3"/>
      <c r="KDE120" s="3"/>
      <c r="KDF120" s="3"/>
      <c r="KDG120" s="3"/>
      <c r="KDH120" s="3"/>
      <c r="KDI120" s="3"/>
      <c r="KDJ120" s="3"/>
      <c r="KDK120" s="3"/>
      <c r="KDL120" s="3"/>
      <c r="KDM120" s="3"/>
      <c r="KDN120" s="3"/>
      <c r="KDO120" s="3"/>
      <c r="KDP120" s="3"/>
      <c r="KDQ120" s="3"/>
      <c r="KDR120" s="3"/>
      <c r="KDS120" s="3"/>
      <c r="KDT120" s="3"/>
      <c r="KDU120" s="3"/>
      <c r="KDV120" s="3"/>
      <c r="KDW120" s="3"/>
      <c r="KDX120" s="3"/>
      <c r="KDY120" s="3"/>
      <c r="KDZ120" s="3"/>
      <c r="KEA120" s="3"/>
      <c r="KEB120" s="3"/>
      <c r="KEC120" s="3"/>
      <c r="KED120" s="3"/>
      <c r="KEE120" s="3"/>
      <c r="KEF120" s="3"/>
      <c r="KEG120" s="3"/>
      <c r="KEH120" s="3"/>
      <c r="KEI120" s="3"/>
      <c r="KEJ120" s="3"/>
      <c r="KEK120" s="3"/>
      <c r="KEL120" s="3"/>
      <c r="KEM120" s="3"/>
      <c r="KEN120" s="3"/>
      <c r="KEO120" s="3"/>
      <c r="KEP120" s="3"/>
      <c r="KEQ120" s="3"/>
      <c r="KER120" s="3"/>
      <c r="KES120" s="3"/>
      <c r="KET120" s="3"/>
      <c r="KEU120" s="3"/>
      <c r="KEV120" s="3"/>
      <c r="KEW120" s="3"/>
      <c r="KEX120" s="3"/>
      <c r="KEY120" s="3"/>
      <c r="KEZ120" s="3"/>
      <c r="KFA120" s="3"/>
      <c r="KFB120" s="3"/>
      <c r="KFC120" s="3"/>
      <c r="KFD120" s="3"/>
      <c r="KFE120" s="3"/>
      <c r="KFF120" s="3"/>
      <c r="KFG120" s="3"/>
      <c r="KFH120" s="3"/>
      <c r="KFI120" s="3"/>
      <c r="KFJ120" s="3"/>
      <c r="KFK120" s="3"/>
      <c r="KFL120" s="3"/>
      <c r="KFM120" s="3"/>
      <c r="KFN120" s="3"/>
      <c r="KFO120" s="3"/>
      <c r="KFP120" s="3"/>
      <c r="KFQ120" s="3"/>
      <c r="KFR120" s="3"/>
      <c r="KFS120" s="3"/>
      <c r="KFT120" s="3"/>
      <c r="KFU120" s="3"/>
      <c r="KFV120" s="3"/>
      <c r="KFW120" s="3"/>
      <c r="KFX120" s="3"/>
      <c r="KFY120" s="3"/>
      <c r="KFZ120" s="3"/>
      <c r="KGA120" s="3"/>
      <c r="KGB120" s="3"/>
      <c r="KGC120" s="3"/>
      <c r="KGD120" s="3"/>
      <c r="KGE120" s="3"/>
      <c r="KGF120" s="3"/>
      <c r="KGG120" s="3"/>
      <c r="KGH120" s="3"/>
      <c r="KGI120" s="3"/>
      <c r="KGJ120" s="3"/>
      <c r="KGK120" s="3"/>
      <c r="KGL120" s="3"/>
      <c r="KGM120" s="3"/>
      <c r="KGN120" s="3"/>
      <c r="KGO120" s="3"/>
      <c r="KGP120" s="3"/>
      <c r="KGQ120" s="3"/>
      <c r="KGR120" s="3"/>
      <c r="KGS120" s="3"/>
      <c r="KGT120" s="3"/>
      <c r="KGU120" s="3"/>
      <c r="KGV120" s="3"/>
      <c r="KGW120" s="3"/>
      <c r="KGX120" s="3"/>
      <c r="KGY120" s="3"/>
      <c r="KGZ120" s="3"/>
      <c r="KHA120" s="3"/>
      <c r="KHB120" s="3"/>
      <c r="KHC120" s="3"/>
      <c r="KHD120" s="3"/>
      <c r="KHE120" s="3"/>
      <c r="KHF120" s="3"/>
      <c r="KHG120" s="3"/>
      <c r="KHH120" s="3"/>
      <c r="KHI120" s="3"/>
      <c r="KHJ120" s="3"/>
      <c r="KHK120" s="3"/>
      <c r="KHL120" s="3"/>
      <c r="KHM120" s="3"/>
      <c r="KHN120" s="3"/>
      <c r="KHO120" s="3"/>
      <c r="KHP120" s="3"/>
      <c r="KHQ120" s="3"/>
      <c r="KHR120" s="3"/>
      <c r="KHS120" s="3"/>
      <c r="KHT120" s="3"/>
      <c r="KHU120" s="3"/>
      <c r="KHV120" s="3"/>
      <c r="KHW120" s="3"/>
      <c r="KHX120" s="3"/>
      <c r="KHY120" s="3"/>
      <c r="KHZ120" s="3"/>
      <c r="KIA120" s="3"/>
      <c r="KIB120" s="3"/>
      <c r="KIC120" s="3"/>
      <c r="KID120" s="3"/>
      <c r="KIE120" s="3"/>
      <c r="KIF120" s="3"/>
      <c r="KIG120" s="3"/>
      <c r="KIH120" s="3"/>
      <c r="KII120" s="3"/>
      <c r="KIJ120" s="3"/>
      <c r="KIK120" s="3"/>
      <c r="KIL120" s="3"/>
      <c r="KIM120" s="3"/>
      <c r="KIN120" s="3"/>
      <c r="KIO120" s="3"/>
      <c r="KIP120" s="3"/>
      <c r="KIQ120" s="3"/>
      <c r="KIR120" s="3"/>
      <c r="KIS120" s="3"/>
      <c r="KIT120" s="3"/>
      <c r="KIU120" s="3"/>
      <c r="KIV120" s="3"/>
      <c r="KIW120" s="3"/>
      <c r="KIX120" s="3"/>
      <c r="KIY120" s="3"/>
      <c r="KIZ120" s="3"/>
      <c r="KJA120" s="3"/>
      <c r="KJB120" s="3"/>
      <c r="KJC120" s="3"/>
      <c r="KJD120" s="3"/>
      <c r="KJE120" s="3"/>
      <c r="KJF120" s="3"/>
      <c r="KJG120" s="3"/>
      <c r="KJH120" s="3"/>
      <c r="KJI120" s="3"/>
      <c r="KJJ120" s="3"/>
      <c r="KJK120" s="3"/>
      <c r="KJL120" s="3"/>
      <c r="KJM120" s="3"/>
      <c r="KJN120" s="3"/>
      <c r="KJO120" s="3"/>
      <c r="KJP120" s="3"/>
      <c r="KJQ120" s="3"/>
      <c r="KJR120" s="3"/>
      <c r="KJS120" s="3"/>
      <c r="KJT120" s="3"/>
      <c r="KJU120" s="3"/>
      <c r="KJV120" s="3"/>
      <c r="KJW120" s="3"/>
      <c r="KJX120" s="3"/>
      <c r="KJY120" s="3"/>
      <c r="KJZ120" s="3"/>
      <c r="KKA120" s="3"/>
      <c r="KKB120" s="3"/>
      <c r="KKC120" s="3"/>
      <c r="KKD120" s="3"/>
      <c r="KKE120" s="3"/>
      <c r="KKF120" s="3"/>
      <c r="KKG120" s="3"/>
      <c r="KKH120" s="3"/>
      <c r="KKI120" s="3"/>
      <c r="KKJ120" s="3"/>
      <c r="KKK120" s="3"/>
      <c r="KKL120" s="3"/>
      <c r="KKM120" s="3"/>
      <c r="KKN120" s="3"/>
      <c r="KKO120" s="3"/>
      <c r="KKP120" s="3"/>
      <c r="KKQ120" s="3"/>
      <c r="KKR120" s="3"/>
      <c r="KKS120" s="3"/>
      <c r="KKT120" s="3"/>
      <c r="KKU120" s="3"/>
      <c r="KKV120" s="3"/>
      <c r="KKW120" s="3"/>
      <c r="KKX120" s="3"/>
      <c r="KKY120" s="3"/>
      <c r="KKZ120" s="3"/>
      <c r="KLA120" s="3"/>
      <c r="KLB120" s="3"/>
      <c r="KLC120" s="3"/>
      <c r="KLD120" s="3"/>
      <c r="KLE120" s="3"/>
      <c r="KLF120" s="3"/>
      <c r="KLG120" s="3"/>
      <c r="KLH120" s="3"/>
      <c r="KLI120" s="3"/>
      <c r="KLJ120" s="3"/>
      <c r="KLK120" s="3"/>
      <c r="KLL120" s="3"/>
      <c r="KLM120" s="3"/>
      <c r="KLN120" s="3"/>
      <c r="KLO120" s="3"/>
      <c r="KLP120" s="3"/>
      <c r="KLQ120" s="3"/>
      <c r="KLR120" s="3"/>
      <c r="KLS120" s="3"/>
      <c r="KLT120" s="3"/>
      <c r="KLU120" s="3"/>
      <c r="KLV120" s="3"/>
      <c r="KLW120" s="3"/>
      <c r="KLX120" s="3"/>
      <c r="KLY120" s="3"/>
      <c r="KLZ120" s="3"/>
      <c r="KMA120" s="3"/>
      <c r="KMB120" s="3"/>
      <c r="KMC120" s="3"/>
      <c r="KMD120" s="3"/>
      <c r="KME120" s="3"/>
      <c r="KMF120" s="3"/>
      <c r="KMG120" s="3"/>
      <c r="KMH120" s="3"/>
      <c r="KMI120" s="3"/>
      <c r="KMJ120" s="3"/>
      <c r="KMK120" s="3"/>
      <c r="KML120" s="3"/>
      <c r="KMM120" s="3"/>
      <c r="KMN120" s="3"/>
      <c r="KMO120" s="3"/>
      <c r="KMP120" s="3"/>
      <c r="KMQ120" s="3"/>
      <c r="KMR120" s="3"/>
      <c r="KMS120" s="3"/>
      <c r="KMT120" s="3"/>
      <c r="KMU120" s="3"/>
      <c r="KMV120" s="3"/>
      <c r="KMW120" s="3"/>
      <c r="KMX120" s="3"/>
      <c r="KMY120" s="3"/>
      <c r="KMZ120" s="3"/>
      <c r="KNA120" s="3"/>
      <c r="KNB120" s="3"/>
      <c r="KNC120" s="3"/>
      <c r="KND120" s="3"/>
      <c r="KNE120" s="3"/>
      <c r="KNF120" s="3"/>
      <c r="KNG120" s="3"/>
      <c r="KNH120" s="3"/>
      <c r="KNI120" s="3"/>
      <c r="KNJ120" s="3"/>
      <c r="KNK120" s="3"/>
      <c r="KNL120" s="3"/>
      <c r="KNM120" s="3"/>
      <c r="KNN120" s="3"/>
      <c r="KNO120" s="3"/>
      <c r="KNP120" s="3"/>
      <c r="KNQ120" s="3"/>
      <c r="KNR120" s="3"/>
      <c r="KNS120" s="3"/>
      <c r="KNT120" s="3"/>
      <c r="KNU120" s="3"/>
      <c r="KNV120" s="3"/>
      <c r="KNW120" s="3"/>
      <c r="KNX120" s="3"/>
      <c r="KNY120" s="3"/>
      <c r="KNZ120" s="3"/>
      <c r="KOA120" s="3"/>
      <c r="KOB120" s="3"/>
      <c r="KOC120" s="3"/>
      <c r="KOD120" s="3"/>
      <c r="KOE120" s="3"/>
      <c r="KOF120" s="3"/>
      <c r="KOG120" s="3"/>
      <c r="KOH120" s="3"/>
      <c r="KOI120" s="3"/>
      <c r="KOJ120" s="3"/>
      <c r="KOK120" s="3"/>
      <c r="KOL120" s="3"/>
      <c r="KOM120" s="3"/>
      <c r="KON120" s="3"/>
      <c r="KOO120" s="3"/>
      <c r="KOP120" s="3"/>
      <c r="KOQ120" s="3"/>
      <c r="KOR120" s="3"/>
      <c r="KOS120" s="3"/>
      <c r="KOT120" s="3"/>
      <c r="KOU120" s="3"/>
      <c r="KOV120" s="3"/>
      <c r="KOW120" s="3"/>
      <c r="KOX120" s="3"/>
      <c r="KOY120" s="3"/>
      <c r="KOZ120" s="3"/>
      <c r="KPA120" s="3"/>
      <c r="KPB120" s="3"/>
      <c r="KPC120" s="3"/>
      <c r="KPD120" s="3"/>
      <c r="KPE120" s="3"/>
      <c r="KPF120" s="3"/>
      <c r="KPG120" s="3"/>
      <c r="KPH120" s="3"/>
      <c r="KPI120" s="3"/>
      <c r="KPJ120" s="3"/>
      <c r="KPK120" s="3"/>
      <c r="KPL120" s="3"/>
      <c r="KPM120" s="3"/>
      <c r="KPN120" s="3"/>
      <c r="KPO120" s="3"/>
      <c r="KPP120" s="3"/>
      <c r="KPQ120" s="3"/>
      <c r="KPR120" s="3"/>
      <c r="KPS120" s="3"/>
      <c r="KPT120" s="3"/>
      <c r="KPU120" s="3"/>
      <c r="KPV120" s="3"/>
      <c r="KPW120" s="3"/>
      <c r="KPX120" s="3"/>
      <c r="KPY120" s="3"/>
      <c r="KPZ120" s="3"/>
      <c r="KQA120" s="3"/>
      <c r="KQB120" s="3"/>
      <c r="KQC120" s="3"/>
      <c r="KQD120" s="3"/>
      <c r="KQE120" s="3"/>
      <c r="KQF120" s="3"/>
      <c r="KQG120" s="3"/>
      <c r="KQH120" s="3"/>
      <c r="KQI120" s="3"/>
      <c r="KQJ120" s="3"/>
      <c r="KQK120" s="3"/>
      <c r="KQL120" s="3"/>
      <c r="KQM120" s="3"/>
      <c r="KQN120" s="3"/>
      <c r="KQO120" s="3"/>
      <c r="KQP120" s="3"/>
      <c r="KQQ120" s="3"/>
      <c r="KQR120" s="3"/>
      <c r="KQS120" s="3"/>
      <c r="KQT120" s="3"/>
      <c r="KQU120" s="3"/>
      <c r="KQV120" s="3"/>
      <c r="KQW120" s="3"/>
      <c r="KQX120" s="3"/>
      <c r="KQY120" s="3"/>
      <c r="KQZ120" s="3"/>
      <c r="KRA120" s="3"/>
      <c r="KRB120" s="3"/>
      <c r="KRC120" s="3"/>
      <c r="KRD120" s="3"/>
      <c r="KRE120" s="3"/>
      <c r="KRF120" s="3"/>
      <c r="KRG120" s="3"/>
      <c r="KRH120" s="3"/>
      <c r="KRI120" s="3"/>
      <c r="KRJ120" s="3"/>
      <c r="KRK120" s="3"/>
      <c r="KRL120" s="3"/>
      <c r="KRM120" s="3"/>
      <c r="KRN120" s="3"/>
      <c r="KRO120" s="3"/>
      <c r="KRP120" s="3"/>
      <c r="KRQ120" s="3"/>
      <c r="KRR120" s="3"/>
      <c r="KRS120" s="3"/>
      <c r="KRT120" s="3"/>
      <c r="KRU120" s="3"/>
      <c r="KRV120" s="3"/>
      <c r="KRW120" s="3"/>
      <c r="KRX120" s="3"/>
      <c r="KRY120" s="3"/>
      <c r="KRZ120" s="3"/>
      <c r="KSA120" s="3"/>
      <c r="KSB120" s="3"/>
      <c r="KSC120" s="3"/>
      <c r="KSD120" s="3"/>
      <c r="KSE120" s="3"/>
      <c r="KSF120" s="3"/>
      <c r="KSG120" s="3"/>
      <c r="KSH120" s="3"/>
      <c r="KSI120" s="3"/>
      <c r="KSJ120" s="3"/>
      <c r="KSK120" s="3"/>
      <c r="KSL120" s="3"/>
      <c r="KSM120" s="3"/>
      <c r="KSN120" s="3"/>
      <c r="KSO120" s="3"/>
      <c r="KSP120" s="3"/>
      <c r="KSQ120" s="3"/>
      <c r="KSR120" s="3"/>
      <c r="KSS120" s="3"/>
      <c r="KST120" s="3"/>
      <c r="KSU120" s="3"/>
      <c r="KSV120" s="3"/>
      <c r="KSW120" s="3"/>
      <c r="KSX120" s="3"/>
      <c r="KSY120" s="3"/>
      <c r="KSZ120" s="3"/>
      <c r="KTA120" s="3"/>
      <c r="KTB120" s="3"/>
      <c r="KTC120" s="3"/>
      <c r="KTD120" s="3"/>
      <c r="KTE120" s="3"/>
      <c r="KTF120" s="3"/>
      <c r="KTG120" s="3"/>
      <c r="KTH120" s="3"/>
      <c r="KTI120" s="3"/>
      <c r="KTJ120" s="3"/>
      <c r="KTK120" s="3"/>
      <c r="KTL120" s="3"/>
      <c r="KTM120" s="3"/>
      <c r="KTN120" s="3"/>
      <c r="KTO120" s="3"/>
      <c r="KTP120" s="3"/>
      <c r="KTQ120" s="3"/>
      <c r="KTR120" s="3"/>
      <c r="KTS120" s="3"/>
      <c r="KTT120" s="3"/>
      <c r="KTU120" s="3"/>
      <c r="KTV120" s="3"/>
      <c r="KTW120" s="3"/>
      <c r="KTX120" s="3"/>
      <c r="KTY120" s="3"/>
      <c r="KTZ120" s="3"/>
      <c r="KUA120" s="3"/>
      <c r="KUB120" s="3"/>
      <c r="KUC120" s="3"/>
      <c r="KUD120" s="3"/>
      <c r="KUE120" s="3"/>
      <c r="KUF120" s="3"/>
      <c r="KUG120" s="3"/>
      <c r="KUH120" s="3"/>
      <c r="KUI120" s="3"/>
      <c r="KUJ120" s="3"/>
      <c r="KUK120" s="3"/>
      <c r="KUL120" s="3"/>
      <c r="KUM120" s="3"/>
      <c r="KUN120" s="3"/>
      <c r="KUO120" s="3"/>
      <c r="KUP120" s="3"/>
      <c r="KUQ120" s="3"/>
      <c r="KUR120" s="3"/>
      <c r="KUS120" s="3"/>
      <c r="KUT120" s="3"/>
      <c r="KUU120" s="3"/>
      <c r="KUV120" s="3"/>
      <c r="KUW120" s="3"/>
      <c r="KUX120" s="3"/>
      <c r="KUY120" s="3"/>
      <c r="KUZ120" s="3"/>
      <c r="KVA120" s="3"/>
      <c r="KVB120" s="3"/>
      <c r="KVC120" s="3"/>
      <c r="KVD120" s="3"/>
      <c r="KVE120" s="3"/>
      <c r="KVF120" s="3"/>
      <c r="KVG120" s="3"/>
      <c r="KVH120" s="3"/>
      <c r="KVI120" s="3"/>
      <c r="KVJ120" s="3"/>
      <c r="KVK120" s="3"/>
      <c r="KVL120" s="3"/>
      <c r="KVM120" s="3"/>
      <c r="KVN120" s="3"/>
      <c r="KVO120" s="3"/>
      <c r="KVP120" s="3"/>
      <c r="KVQ120" s="3"/>
      <c r="KVR120" s="3"/>
      <c r="KVS120" s="3"/>
      <c r="KVT120" s="3"/>
      <c r="KVU120" s="3"/>
      <c r="KVV120" s="3"/>
      <c r="KVW120" s="3"/>
      <c r="KVX120" s="3"/>
      <c r="KVY120" s="3"/>
      <c r="KVZ120" s="3"/>
      <c r="KWA120" s="3"/>
      <c r="KWB120" s="3"/>
      <c r="KWC120" s="3"/>
      <c r="KWD120" s="3"/>
      <c r="KWE120" s="3"/>
      <c r="KWF120" s="3"/>
      <c r="KWG120" s="3"/>
      <c r="KWH120" s="3"/>
      <c r="KWI120" s="3"/>
      <c r="KWJ120" s="3"/>
      <c r="KWK120" s="3"/>
      <c r="KWL120" s="3"/>
      <c r="KWM120" s="3"/>
      <c r="KWN120" s="3"/>
      <c r="KWO120" s="3"/>
      <c r="KWP120" s="3"/>
      <c r="KWQ120" s="3"/>
      <c r="KWR120" s="3"/>
      <c r="KWS120" s="3"/>
      <c r="KWT120" s="3"/>
      <c r="KWU120" s="3"/>
      <c r="KWV120" s="3"/>
      <c r="KWW120" s="3"/>
      <c r="KWX120" s="3"/>
      <c r="KWY120" s="3"/>
      <c r="KWZ120" s="3"/>
      <c r="KXA120" s="3"/>
      <c r="KXB120" s="3"/>
      <c r="KXC120" s="3"/>
      <c r="KXD120" s="3"/>
      <c r="KXE120" s="3"/>
      <c r="KXF120" s="3"/>
      <c r="KXG120" s="3"/>
      <c r="KXH120" s="3"/>
      <c r="KXI120" s="3"/>
      <c r="KXJ120" s="3"/>
      <c r="KXK120" s="3"/>
      <c r="KXL120" s="3"/>
      <c r="KXM120" s="3"/>
      <c r="KXN120" s="3"/>
      <c r="KXO120" s="3"/>
      <c r="KXP120" s="3"/>
      <c r="KXQ120" s="3"/>
      <c r="KXR120" s="3"/>
      <c r="KXS120" s="3"/>
      <c r="KXT120" s="3"/>
      <c r="KXU120" s="3"/>
      <c r="KXV120" s="3"/>
      <c r="KXW120" s="3"/>
      <c r="KXX120" s="3"/>
      <c r="KXY120" s="3"/>
      <c r="KXZ120" s="3"/>
      <c r="KYA120" s="3"/>
      <c r="KYB120" s="3"/>
      <c r="KYC120" s="3"/>
      <c r="KYD120" s="3"/>
      <c r="KYE120" s="3"/>
      <c r="KYF120" s="3"/>
      <c r="KYG120" s="3"/>
      <c r="KYH120" s="3"/>
      <c r="KYI120" s="3"/>
      <c r="KYJ120" s="3"/>
      <c r="KYK120" s="3"/>
      <c r="KYL120" s="3"/>
      <c r="KYM120" s="3"/>
      <c r="KYN120" s="3"/>
      <c r="KYO120" s="3"/>
      <c r="KYP120" s="3"/>
      <c r="KYQ120" s="3"/>
      <c r="KYR120" s="3"/>
      <c r="KYS120" s="3"/>
      <c r="KYT120" s="3"/>
      <c r="KYU120" s="3"/>
      <c r="KYV120" s="3"/>
      <c r="KYW120" s="3"/>
      <c r="KYX120" s="3"/>
      <c r="KYY120" s="3"/>
      <c r="KYZ120" s="3"/>
      <c r="KZA120" s="3"/>
      <c r="KZB120" s="3"/>
      <c r="KZC120" s="3"/>
      <c r="KZD120" s="3"/>
      <c r="KZE120" s="3"/>
      <c r="KZF120" s="3"/>
      <c r="KZG120" s="3"/>
      <c r="KZH120" s="3"/>
      <c r="KZI120" s="3"/>
      <c r="KZJ120" s="3"/>
      <c r="KZK120" s="3"/>
      <c r="KZL120" s="3"/>
      <c r="KZM120" s="3"/>
      <c r="KZN120" s="3"/>
      <c r="KZO120" s="3"/>
      <c r="KZP120" s="3"/>
      <c r="KZQ120" s="3"/>
      <c r="KZR120" s="3"/>
      <c r="KZS120" s="3"/>
      <c r="KZT120" s="3"/>
      <c r="KZU120" s="3"/>
      <c r="KZV120" s="3"/>
      <c r="KZW120" s="3"/>
      <c r="KZX120" s="3"/>
      <c r="KZY120" s="3"/>
      <c r="KZZ120" s="3"/>
      <c r="LAA120" s="3"/>
      <c r="LAB120" s="3"/>
      <c r="LAC120" s="3"/>
      <c r="LAD120" s="3"/>
      <c r="LAE120" s="3"/>
      <c r="LAF120" s="3"/>
      <c r="LAG120" s="3"/>
      <c r="LAH120" s="3"/>
      <c r="LAI120" s="3"/>
      <c r="LAJ120" s="3"/>
      <c r="LAK120" s="3"/>
      <c r="LAL120" s="3"/>
      <c r="LAM120" s="3"/>
      <c r="LAN120" s="3"/>
      <c r="LAO120" s="3"/>
      <c r="LAP120" s="3"/>
      <c r="LAQ120" s="3"/>
      <c r="LAR120" s="3"/>
      <c r="LAS120" s="3"/>
      <c r="LAT120" s="3"/>
      <c r="LAU120" s="3"/>
      <c r="LAV120" s="3"/>
      <c r="LAW120" s="3"/>
      <c r="LAX120" s="3"/>
      <c r="LAY120" s="3"/>
      <c r="LAZ120" s="3"/>
      <c r="LBA120" s="3"/>
      <c r="LBB120" s="3"/>
      <c r="LBC120" s="3"/>
      <c r="LBD120" s="3"/>
      <c r="LBE120" s="3"/>
      <c r="LBF120" s="3"/>
      <c r="LBG120" s="3"/>
      <c r="LBH120" s="3"/>
      <c r="LBI120" s="3"/>
      <c r="LBJ120" s="3"/>
      <c r="LBK120" s="3"/>
      <c r="LBL120" s="3"/>
      <c r="LBM120" s="3"/>
      <c r="LBN120" s="3"/>
      <c r="LBO120" s="3"/>
      <c r="LBP120" s="3"/>
      <c r="LBQ120" s="3"/>
      <c r="LBR120" s="3"/>
      <c r="LBS120" s="3"/>
      <c r="LBT120" s="3"/>
      <c r="LBU120" s="3"/>
      <c r="LBV120" s="3"/>
      <c r="LBW120" s="3"/>
      <c r="LBX120" s="3"/>
      <c r="LBY120" s="3"/>
      <c r="LBZ120" s="3"/>
      <c r="LCA120" s="3"/>
      <c r="LCB120" s="3"/>
      <c r="LCC120" s="3"/>
      <c r="LCD120" s="3"/>
      <c r="LCE120" s="3"/>
      <c r="LCF120" s="3"/>
      <c r="LCG120" s="3"/>
      <c r="LCH120" s="3"/>
      <c r="LCI120" s="3"/>
      <c r="LCJ120" s="3"/>
      <c r="LCK120" s="3"/>
      <c r="LCL120" s="3"/>
      <c r="LCM120" s="3"/>
      <c r="LCN120" s="3"/>
      <c r="LCO120" s="3"/>
      <c r="LCP120" s="3"/>
      <c r="LCQ120" s="3"/>
      <c r="LCR120" s="3"/>
      <c r="LCS120" s="3"/>
      <c r="LCT120" s="3"/>
      <c r="LCU120" s="3"/>
      <c r="LCV120" s="3"/>
      <c r="LCW120" s="3"/>
      <c r="LCX120" s="3"/>
      <c r="LCY120" s="3"/>
      <c r="LCZ120" s="3"/>
      <c r="LDA120" s="3"/>
      <c r="LDB120" s="3"/>
      <c r="LDC120" s="3"/>
      <c r="LDD120" s="3"/>
      <c r="LDE120" s="3"/>
      <c r="LDF120" s="3"/>
      <c r="LDG120" s="3"/>
      <c r="LDH120" s="3"/>
      <c r="LDI120" s="3"/>
      <c r="LDJ120" s="3"/>
      <c r="LDK120" s="3"/>
      <c r="LDL120" s="3"/>
      <c r="LDM120" s="3"/>
      <c r="LDN120" s="3"/>
      <c r="LDO120" s="3"/>
      <c r="LDP120" s="3"/>
      <c r="LDQ120" s="3"/>
      <c r="LDR120" s="3"/>
      <c r="LDS120" s="3"/>
      <c r="LDT120" s="3"/>
      <c r="LDU120" s="3"/>
      <c r="LDV120" s="3"/>
      <c r="LDW120" s="3"/>
      <c r="LDX120" s="3"/>
      <c r="LDY120" s="3"/>
      <c r="LDZ120" s="3"/>
      <c r="LEA120" s="3"/>
      <c r="LEB120" s="3"/>
      <c r="LEC120" s="3"/>
      <c r="LED120" s="3"/>
      <c r="LEE120" s="3"/>
      <c r="LEF120" s="3"/>
      <c r="LEG120" s="3"/>
      <c r="LEH120" s="3"/>
      <c r="LEI120" s="3"/>
      <c r="LEJ120" s="3"/>
      <c r="LEK120" s="3"/>
      <c r="LEL120" s="3"/>
      <c r="LEM120" s="3"/>
      <c r="LEN120" s="3"/>
      <c r="LEO120" s="3"/>
      <c r="LEP120" s="3"/>
      <c r="LEQ120" s="3"/>
      <c r="LER120" s="3"/>
      <c r="LES120" s="3"/>
      <c r="LET120" s="3"/>
      <c r="LEU120" s="3"/>
      <c r="LEV120" s="3"/>
      <c r="LEW120" s="3"/>
      <c r="LEX120" s="3"/>
      <c r="LEY120" s="3"/>
      <c r="LEZ120" s="3"/>
      <c r="LFA120" s="3"/>
      <c r="LFB120" s="3"/>
      <c r="LFC120" s="3"/>
      <c r="LFD120" s="3"/>
      <c r="LFE120" s="3"/>
      <c r="LFF120" s="3"/>
      <c r="LFG120" s="3"/>
      <c r="LFH120" s="3"/>
      <c r="LFI120" s="3"/>
      <c r="LFJ120" s="3"/>
      <c r="LFK120" s="3"/>
      <c r="LFL120" s="3"/>
      <c r="LFM120" s="3"/>
      <c r="LFN120" s="3"/>
      <c r="LFO120" s="3"/>
      <c r="LFP120" s="3"/>
      <c r="LFQ120" s="3"/>
      <c r="LFR120" s="3"/>
      <c r="LFS120" s="3"/>
      <c r="LFT120" s="3"/>
      <c r="LFU120" s="3"/>
      <c r="LFV120" s="3"/>
      <c r="LFW120" s="3"/>
      <c r="LFX120" s="3"/>
      <c r="LFY120" s="3"/>
      <c r="LFZ120" s="3"/>
      <c r="LGA120" s="3"/>
      <c r="LGB120" s="3"/>
      <c r="LGC120" s="3"/>
      <c r="LGD120" s="3"/>
      <c r="LGE120" s="3"/>
      <c r="LGF120" s="3"/>
      <c r="LGG120" s="3"/>
      <c r="LGH120" s="3"/>
      <c r="LGI120" s="3"/>
      <c r="LGJ120" s="3"/>
      <c r="LGK120" s="3"/>
      <c r="LGL120" s="3"/>
      <c r="LGM120" s="3"/>
      <c r="LGN120" s="3"/>
      <c r="LGO120" s="3"/>
      <c r="LGP120" s="3"/>
      <c r="LGQ120" s="3"/>
      <c r="LGR120" s="3"/>
      <c r="LGS120" s="3"/>
      <c r="LGT120" s="3"/>
      <c r="LGU120" s="3"/>
      <c r="LGV120" s="3"/>
      <c r="LGW120" s="3"/>
      <c r="LGX120" s="3"/>
      <c r="LGY120" s="3"/>
      <c r="LGZ120" s="3"/>
      <c r="LHA120" s="3"/>
      <c r="LHB120" s="3"/>
      <c r="LHC120" s="3"/>
      <c r="LHD120" s="3"/>
      <c r="LHE120" s="3"/>
      <c r="LHF120" s="3"/>
      <c r="LHG120" s="3"/>
      <c r="LHH120" s="3"/>
      <c r="LHI120" s="3"/>
      <c r="LHJ120" s="3"/>
      <c r="LHK120" s="3"/>
      <c r="LHL120" s="3"/>
      <c r="LHM120" s="3"/>
      <c r="LHN120" s="3"/>
      <c r="LHO120" s="3"/>
      <c r="LHP120" s="3"/>
      <c r="LHQ120" s="3"/>
      <c r="LHR120" s="3"/>
      <c r="LHS120" s="3"/>
      <c r="LHT120" s="3"/>
      <c r="LHU120" s="3"/>
      <c r="LHV120" s="3"/>
      <c r="LHW120" s="3"/>
      <c r="LHX120" s="3"/>
      <c r="LHY120" s="3"/>
      <c r="LHZ120" s="3"/>
      <c r="LIA120" s="3"/>
      <c r="LIB120" s="3"/>
      <c r="LIC120" s="3"/>
      <c r="LID120" s="3"/>
      <c r="LIE120" s="3"/>
      <c r="LIF120" s="3"/>
      <c r="LIG120" s="3"/>
      <c r="LIH120" s="3"/>
      <c r="LII120" s="3"/>
      <c r="LIJ120" s="3"/>
      <c r="LIK120" s="3"/>
      <c r="LIL120" s="3"/>
      <c r="LIM120" s="3"/>
      <c r="LIN120" s="3"/>
      <c r="LIO120" s="3"/>
      <c r="LIP120" s="3"/>
      <c r="LIQ120" s="3"/>
      <c r="LIR120" s="3"/>
      <c r="LIS120" s="3"/>
      <c r="LIT120" s="3"/>
      <c r="LIU120" s="3"/>
      <c r="LIV120" s="3"/>
      <c r="LIW120" s="3"/>
      <c r="LIX120" s="3"/>
      <c r="LIY120" s="3"/>
      <c r="LIZ120" s="3"/>
      <c r="LJA120" s="3"/>
      <c r="LJB120" s="3"/>
      <c r="LJC120" s="3"/>
      <c r="LJD120" s="3"/>
      <c r="LJE120" s="3"/>
      <c r="LJF120" s="3"/>
      <c r="LJG120" s="3"/>
      <c r="LJH120" s="3"/>
      <c r="LJI120" s="3"/>
      <c r="LJJ120" s="3"/>
      <c r="LJK120" s="3"/>
      <c r="LJL120" s="3"/>
      <c r="LJM120" s="3"/>
      <c r="LJN120" s="3"/>
      <c r="LJO120" s="3"/>
      <c r="LJP120" s="3"/>
      <c r="LJQ120" s="3"/>
      <c r="LJR120" s="3"/>
      <c r="LJS120" s="3"/>
      <c r="LJT120" s="3"/>
      <c r="LJU120" s="3"/>
      <c r="LJV120" s="3"/>
      <c r="LJW120" s="3"/>
      <c r="LJX120" s="3"/>
      <c r="LJY120" s="3"/>
      <c r="LJZ120" s="3"/>
      <c r="LKA120" s="3"/>
      <c r="LKB120" s="3"/>
      <c r="LKC120" s="3"/>
      <c r="LKD120" s="3"/>
      <c r="LKE120" s="3"/>
      <c r="LKF120" s="3"/>
      <c r="LKG120" s="3"/>
      <c r="LKH120" s="3"/>
      <c r="LKI120" s="3"/>
      <c r="LKJ120" s="3"/>
      <c r="LKK120" s="3"/>
      <c r="LKL120" s="3"/>
      <c r="LKM120" s="3"/>
      <c r="LKN120" s="3"/>
      <c r="LKO120" s="3"/>
      <c r="LKP120" s="3"/>
      <c r="LKQ120" s="3"/>
      <c r="LKR120" s="3"/>
      <c r="LKS120" s="3"/>
      <c r="LKT120" s="3"/>
      <c r="LKU120" s="3"/>
      <c r="LKV120" s="3"/>
      <c r="LKW120" s="3"/>
      <c r="LKX120" s="3"/>
      <c r="LKY120" s="3"/>
      <c r="LKZ120" s="3"/>
      <c r="LLA120" s="3"/>
      <c r="LLB120" s="3"/>
      <c r="LLC120" s="3"/>
      <c r="LLD120" s="3"/>
      <c r="LLE120" s="3"/>
      <c r="LLF120" s="3"/>
      <c r="LLG120" s="3"/>
      <c r="LLH120" s="3"/>
      <c r="LLI120" s="3"/>
      <c r="LLJ120" s="3"/>
      <c r="LLK120" s="3"/>
      <c r="LLL120" s="3"/>
      <c r="LLM120" s="3"/>
      <c r="LLN120" s="3"/>
      <c r="LLO120" s="3"/>
      <c r="LLP120" s="3"/>
      <c r="LLQ120" s="3"/>
      <c r="LLR120" s="3"/>
      <c r="LLS120" s="3"/>
      <c r="LLT120" s="3"/>
      <c r="LLU120" s="3"/>
      <c r="LLV120" s="3"/>
      <c r="LLW120" s="3"/>
      <c r="LLX120" s="3"/>
      <c r="LLY120" s="3"/>
      <c r="LLZ120" s="3"/>
      <c r="LMA120" s="3"/>
      <c r="LMB120" s="3"/>
      <c r="LMC120" s="3"/>
      <c r="LMD120" s="3"/>
      <c r="LME120" s="3"/>
      <c r="LMF120" s="3"/>
      <c r="LMG120" s="3"/>
      <c r="LMH120" s="3"/>
      <c r="LMI120" s="3"/>
      <c r="LMJ120" s="3"/>
      <c r="LMK120" s="3"/>
      <c r="LML120" s="3"/>
      <c r="LMM120" s="3"/>
      <c r="LMN120" s="3"/>
      <c r="LMO120" s="3"/>
      <c r="LMP120" s="3"/>
      <c r="LMQ120" s="3"/>
      <c r="LMR120" s="3"/>
      <c r="LMS120" s="3"/>
      <c r="LMT120" s="3"/>
      <c r="LMU120" s="3"/>
      <c r="LMV120" s="3"/>
      <c r="LMW120" s="3"/>
      <c r="LMX120" s="3"/>
      <c r="LMY120" s="3"/>
      <c r="LMZ120" s="3"/>
      <c r="LNA120" s="3"/>
      <c r="LNB120" s="3"/>
      <c r="LNC120" s="3"/>
      <c r="LND120" s="3"/>
      <c r="LNE120" s="3"/>
      <c r="LNF120" s="3"/>
      <c r="LNG120" s="3"/>
      <c r="LNH120" s="3"/>
      <c r="LNI120" s="3"/>
      <c r="LNJ120" s="3"/>
      <c r="LNK120" s="3"/>
      <c r="LNL120" s="3"/>
      <c r="LNM120" s="3"/>
      <c r="LNN120" s="3"/>
      <c r="LNO120" s="3"/>
      <c r="LNP120" s="3"/>
      <c r="LNQ120" s="3"/>
      <c r="LNR120" s="3"/>
      <c r="LNS120" s="3"/>
      <c r="LNT120" s="3"/>
      <c r="LNU120" s="3"/>
      <c r="LNV120" s="3"/>
      <c r="LNW120" s="3"/>
      <c r="LNX120" s="3"/>
      <c r="LNY120" s="3"/>
      <c r="LNZ120" s="3"/>
      <c r="LOA120" s="3"/>
      <c r="LOB120" s="3"/>
      <c r="LOC120" s="3"/>
      <c r="LOD120" s="3"/>
      <c r="LOE120" s="3"/>
      <c r="LOF120" s="3"/>
      <c r="LOG120" s="3"/>
      <c r="LOH120" s="3"/>
      <c r="LOI120" s="3"/>
      <c r="LOJ120" s="3"/>
      <c r="LOK120" s="3"/>
      <c r="LOL120" s="3"/>
      <c r="LOM120" s="3"/>
      <c r="LON120" s="3"/>
      <c r="LOO120" s="3"/>
      <c r="LOP120" s="3"/>
      <c r="LOQ120" s="3"/>
      <c r="LOR120" s="3"/>
      <c r="LOS120" s="3"/>
      <c r="LOT120" s="3"/>
      <c r="LOU120" s="3"/>
      <c r="LOV120" s="3"/>
      <c r="LOW120" s="3"/>
      <c r="LOX120" s="3"/>
      <c r="LOY120" s="3"/>
      <c r="LOZ120" s="3"/>
      <c r="LPA120" s="3"/>
      <c r="LPB120" s="3"/>
      <c r="LPC120" s="3"/>
      <c r="LPD120" s="3"/>
      <c r="LPE120" s="3"/>
      <c r="LPF120" s="3"/>
      <c r="LPG120" s="3"/>
      <c r="LPH120" s="3"/>
      <c r="LPI120" s="3"/>
      <c r="LPJ120" s="3"/>
      <c r="LPK120" s="3"/>
      <c r="LPL120" s="3"/>
      <c r="LPM120" s="3"/>
      <c r="LPN120" s="3"/>
      <c r="LPO120" s="3"/>
      <c r="LPP120" s="3"/>
      <c r="LPQ120" s="3"/>
      <c r="LPR120" s="3"/>
      <c r="LPS120" s="3"/>
      <c r="LPT120" s="3"/>
      <c r="LPU120" s="3"/>
      <c r="LPV120" s="3"/>
      <c r="LPW120" s="3"/>
      <c r="LPX120" s="3"/>
      <c r="LPY120" s="3"/>
      <c r="LPZ120" s="3"/>
      <c r="LQA120" s="3"/>
      <c r="LQB120" s="3"/>
      <c r="LQC120" s="3"/>
      <c r="LQD120" s="3"/>
      <c r="LQE120" s="3"/>
      <c r="LQF120" s="3"/>
      <c r="LQG120" s="3"/>
      <c r="LQH120" s="3"/>
      <c r="LQI120" s="3"/>
      <c r="LQJ120" s="3"/>
      <c r="LQK120" s="3"/>
      <c r="LQL120" s="3"/>
      <c r="LQM120" s="3"/>
      <c r="LQN120" s="3"/>
      <c r="LQO120" s="3"/>
      <c r="LQP120" s="3"/>
      <c r="LQQ120" s="3"/>
      <c r="LQR120" s="3"/>
      <c r="LQS120" s="3"/>
      <c r="LQT120" s="3"/>
      <c r="LQU120" s="3"/>
      <c r="LQV120" s="3"/>
      <c r="LQW120" s="3"/>
      <c r="LQX120" s="3"/>
      <c r="LQY120" s="3"/>
      <c r="LQZ120" s="3"/>
      <c r="LRA120" s="3"/>
      <c r="LRB120" s="3"/>
      <c r="LRC120" s="3"/>
      <c r="LRD120" s="3"/>
      <c r="LRE120" s="3"/>
      <c r="LRF120" s="3"/>
      <c r="LRG120" s="3"/>
      <c r="LRH120" s="3"/>
      <c r="LRI120" s="3"/>
      <c r="LRJ120" s="3"/>
      <c r="LRK120" s="3"/>
      <c r="LRL120" s="3"/>
      <c r="LRM120" s="3"/>
      <c r="LRN120" s="3"/>
      <c r="LRO120" s="3"/>
      <c r="LRP120" s="3"/>
      <c r="LRQ120" s="3"/>
      <c r="LRR120" s="3"/>
      <c r="LRS120" s="3"/>
      <c r="LRT120" s="3"/>
      <c r="LRU120" s="3"/>
      <c r="LRV120" s="3"/>
      <c r="LRW120" s="3"/>
      <c r="LRX120" s="3"/>
      <c r="LRY120" s="3"/>
      <c r="LRZ120" s="3"/>
      <c r="LSA120" s="3"/>
      <c r="LSB120" s="3"/>
      <c r="LSC120" s="3"/>
      <c r="LSD120" s="3"/>
      <c r="LSE120" s="3"/>
      <c r="LSF120" s="3"/>
      <c r="LSG120" s="3"/>
      <c r="LSH120" s="3"/>
      <c r="LSI120" s="3"/>
      <c r="LSJ120" s="3"/>
      <c r="LSK120" s="3"/>
      <c r="LSL120" s="3"/>
      <c r="LSM120" s="3"/>
      <c r="LSN120" s="3"/>
      <c r="LSO120" s="3"/>
      <c r="LSP120" s="3"/>
      <c r="LSQ120" s="3"/>
      <c r="LSR120" s="3"/>
      <c r="LSS120" s="3"/>
      <c r="LST120" s="3"/>
      <c r="LSU120" s="3"/>
      <c r="LSV120" s="3"/>
      <c r="LSW120" s="3"/>
      <c r="LSX120" s="3"/>
      <c r="LSY120" s="3"/>
      <c r="LSZ120" s="3"/>
      <c r="LTA120" s="3"/>
      <c r="LTB120" s="3"/>
      <c r="LTC120" s="3"/>
      <c r="LTD120" s="3"/>
      <c r="LTE120" s="3"/>
      <c r="LTF120" s="3"/>
      <c r="LTG120" s="3"/>
      <c r="LTH120" s="3"/>
      <c r="LTI120" s="3"/>
      <c r="LTJ120" s="3"/>
      <c r="LTK120" s="3"/>
      <c r="LTL120" s="3"/>
      <c r="LTM120" s="3"/>
      <c r="LTN120" s="3"/>
      <c r="LTO120" s="3"/>
      <c r="LTP120" s="3"/>
      <c r="LTQ120" s="3"/>
      <c r="LTR120" s="3"/>
      <c r="LTS120" s="3"/>
      <c r="LTT120" s="3"/>
      <c r="LTU120" s="3"/>
      <c r="LTV120" s="3"/>
      <c r="LTW120" s="3"/>
      <c r="LTX120" s="3"/>
      <c r="LTY120" s="3"/>
      <c r="LTZ120" s="3"/>
      <c r="LUA120" s="3"/>
      <c r="LUB120" s="3"/>
      <c r="LUC120" s="3"/>
      <c r="LUD120" s="3"/>
      <c r="LUE120" s="3"/>
      <c r="LUF120" s="3"/>
      <c r="LUG120" s="3"/>
      <c r="LUH120" s="3"/>
      <c r="LUI120" s="3"/>
      <c r="LUJ120" s="3"/>
      <c r="LUK120" s="3"/>
      <c r="LUL120" s="3"/>
      <c r="LUM120" s="3"/>
      <c r="LUN120" s="3"/>
      <c r="LUO120" s="3"/>
      <c r="LUP120" s="3"/>
      <c r="LUQ120" s="3"/>
      <c r="LUR120" s="3"/>
      <c r="LUS120" s="3"/>
      <c r="LUT120" s="3"/>
      <c r="LUU120" s="3"/>
      <c r="LUV120" s="3"/>
      <c r="LUW120" s="3"/>
      <c r="LUX120" s="3"/>
      <c r="LUY120" s="3"/>
      <c r="LUZ120" s="3"/>
      <c r="LVA120" s="3"/>
      <c r="LVB120" s="3"/>
      <c r="LVC120" s="3"/>
      <c r="LVD120" s="3"/>
      <c r="LVE120" s="3"/>
      <c r="LVF120" s="3"/>
      <c r="LVG120" s="3"/>
      <c r="LVH120" s="3"/>
      <c r="LVI120" s="3"/>
      <c r="LVJ120" s="3"/>
      <c r="LVK120" s="3"/>
      <c r="LVL120" s="3"/>
      <c r="LVM120" s="3"/>
      <c r="LVN120" s="3"/>
      <c r="LVO120" s="3"/>
      <c r="LVP120" s="3"/>
      <c r="LVQ120" s="3"/>
      <c r="LVR120" s="3"/>
      <c r="LVS120" s="3"/>
      <c r="LVT120" s="3"/>
      <c r="LVU120" s="3"/>
      <c r="LVV120" s="3"/>
      <c r="LVW120" s="3"/>
      <c r="LVX120" s="3"/>
      <c r="LVY120" s="3"/>
      <c r="LVZ120" s="3"/>
      <c r="LWA120" s="3"/>
      <c r="LWB120" s="3"/>
      <c r="LWC120" s="3"/>
      <c r="LWD120" s="3"/>
      <c r="LWE120" s="3"/>
      <c r="LWF120" s="3"/>
      <c r="LWG120" s="3"/>
      <c r="LWH120" s="3"/>
      <c r="LWI120" s="3"/>
      <c r="LWJ120" s="3"/>
      <c r="LWK120" s="3"/>
      <c r="LWL120" s="3"/>
      <c r="LWM120" s="3"/>
      <c r="LWN120" s="3"/>
      <c r="LWO120" s="3"/>
      <c r="LWP120" s="3"/>
      <c r="LWQ120" s="3"/>
      <c r="LWR120" s="3"/>
      <c r="LWS120" s="3"/>
      <c r="LWT120" s="3"/>
      <c r="LWU120" s="3"/>
      <c r="LWV120" s="3"/>
      <c r="LWW120" s="3"/>
      <c r="LWX120" s="3"/>
      <c r="LWY120" s="3"/>
      <c r="LWZ120" s="3"/>
      <c r="LXA120" s="3"/>
      <c r="LXB120" s="3"/>
      <c r="LXC120" s="3"/>
      <c r="LXD120" s="3"/>
      <c r="LXE120" s="3"/>
      <c r="LXF120" s="3"/>
      <c r="LXG120" s="3"/>
      <c r="LXH120" s="3"/>
      <c r="LXI120" s="3"/>
      <c r="LXJ120" s="3"/>
      <c r="LXK120" s="3"/>
      <c r="LXL120" s="3"/>
      <c r="LXM120" s="3"/>
      <c r="LXN120" s="3"/>
      <c r="LXO120" s="3"/>
      <c r="LXP120" s="3"/>
      <c r="LXQ120" s="3"/>
      <c r="LXR120" s="3"/>
      <c r="LXS120" s="3"/>
      <c r="LXT120" s="3"/>
      <c r="LXU120" s="3"/>
      <c r="LXV120" s="3"/>
      <c r="LXW120" s="3"/>
      <c r="LXX120" s="3"/>
      <c r="LXY120" s="3"/>
      <c r="LXZ120" s="3"/>
      <c r="LYA120" s="3"/>
      <c r="LYB120" s="3"/>
      <c r="LYC120" s="3"/>
      <c r="LYD120" s="3"/>
      <c r="LYE120" s="3"/>
      <c r="LYF120" s="3"/>
      <c r="LYG120" s="3"/>
      <c r="LYH120" s="3"/>
      <c r="LYI120" s="3"/>
      <c r="LYJ120" s="3"/>
      <c r="LYK120" s="3"/>
      <c r="LYL120" s="3"/>
      <c r="LYM120" s="3"/>
      <c r="LYN120" s="3"/>
      <c r="LYO120" s="3"/>
      <c r="LYP120" s="3"/>
      <c r="LYQ120" s="3"/>
      <c r="LYR120" s="3"/>
      <c r="LYS120" s="3"/>
      <c r="LYT120" s="3"/>
      <c r="LYU120" s="3"/>
      <c r="LYV120" s="3"/>
      <c r="LYW120" s="3"/>
      <c r="LYX120" s="3"/>
      <c r="LYY120" s="3"/>
      <c r="LYZ120" s="3"/>
      <c r="LZA120" s="3"/>
      <c r="LZB120" s="3"/>
      <c r="LZC120" s="3"/>
      <c r="LZD120" s="3"/>
      <c r="LZE120" s="3"/>
      <c r="LZF120" s="3"/>
      <c r="LZG120" s="3"/>
      <c r="LZH120" s="3"/>
      <c r="LZI120" s="3"/>
      <c r="LZJ120" s="3"/>
      <c r="LZK120" s="3"/>
      <c r="LZL120" s="3"/>
      <c r="LZM120" s="3"/>
      <c r="LZN120" s="3"/>
      <c r="LZO120" s="3"/>
      <c r="LZP120" s="3"/>
      <c r="LZQ120" s="3"/>
      <c r="LZR120" s="3"/>
      <c r="LZS120" s="3"/>
      <c r="LZT120" s="3"/>
      <c r="LZU120" s="3"/>
      <c r="LZV120" s="3"/>
      <c r="LZW120" s="3"/>
      <c r="LZX120" s="3"/>
      <c r="LZY120" s="3"/>
      <c r="LZZ120" s="3"/>
      <c r="MAA120" s="3"/>
      <c r="MAB120" s="3"/>
      <c r="MAC120" s="3"/>
      <c r="MAD120" s="3"/>
      <c r="MAE120" s="3"/>
      <c r="MAF120" s="3"/>
      <c r="MAG120" s="3"/>
      <c r="MAH120" s="3"/>
      <c r="MAI120" s="3"/>
      <c r="MAJ120" s="3"/>
      <c r="MAK120" s="3"/>
      <c r="MAL120" s="3"/>
      <c r="MAM120" s="3"/>
      <c r="MAN120" s="3"/>
      <c r="MAO120" s="3"/>
      <c r="MAP120" s="3"/>
      <c r="MAQ120" s="3"/>
      <c r="MAR120" s="3"/>
      <c r="MAS120" s="3"/>
      <c r="MAT120" s="3"/>
      <c r="MAU120" s="3"/>
      <c r="MAV120" s="3"/>
      <c r="MAW120" s="3"/>
      <c r="MAX120" s="3"/>
      <c r="MAY120" s="3"/>
      <c r="MAZ120" s="3"/>
      <c r="MBA120" s="3"/>
      <c r="MBB120" s="3"/>
      <c r="MBC120" s="3"/>
      <c r="MBD120" s="3"/>
      <c r="MBE120" s="3"/>
      <c r="MBF120" s="3"/>
      <c r="MBG120" s="3"/>
      <c r="MBH120" s="3"/>
      <c r="MBI120" s="3"/>
      <c r="MBJ120" s="3"/>
      <c r="MBK120" s="3"/>
      <c r="MBL120" s="3"/>
      <c r="MBM120" s="3"/>
      <c r="MBN120" s="3"/>
      <c r="MBO120" s="3"/>
      <c r="MBP120" s="3"/>
      <c r="MBQ120" s="3"/>
      <c r="MBR120" s="3"/>
      <c r="MBS120" s="3"/>
      <c r="MBT120" s="3"/>
      <c r="MBU120" s="3"/>
      <c r="MBV120" s="3"/>
      <c r="MBW120" s="3"/>
      <c r="MBX120" s="3"/>
      <c r="MBY120" s="3"/>
      <c r="MBZ120" s="3"/>
      <c r="MCA120" s="3"/>
      <c r="MCB120" s="3"/>
      <c r="MCC120" s="3"/>
      <c r="MCD120" s="3"/>
      <c r="MCE120" s="3"/>
      <c r="MCF120" s="3"/>
      <c r="MCG120" s="3"/>
      <c r="MCH120" s="3"/>
      <c r="MCI120" s="3"/>
      <c r="MCJ120" s="3"/>
      <c r="MCK120" s="3"/>
      <c r="MCL120" s="3"/>
      <c r="MCM120" s="3"/>
      <c r="MCN120" s="3"/>
      <c r="MCO120" s="3"/>
      <c r="MCP120" s="3"/>
      <c r="MCQ120" s="3"/>
      <c r="MCR120" s="3"/>
      <c r="MCS120" s="3"/>
      <c r="MCT120" s="3"/>
      <c r="MCU120" s="3"/>
      <c r="MCV120" s="3"/>
      <c r="MCW120" s="3"/>
      <c r="MCX120" s="3"/>
      <c r="MCY120" s="3"/>
      <c r="MCZ120" s="3"/>
      <c r="MDA120" s="3"/>
      <c r="MDB120" s="3"/>
      <c r="MDC120" s="3"/>
      <c r="MDD120" s="3"/>
      <c r="MDE120" s="3"/>
      <c r="MDF120" s="3"/>
      <c r="MDG120" s="3"/>
      <c r="MDH120" s="3"/>
      <c r="MDI120" s="3"/>
      <c r="MDJ120" s="3"/>
      <c r="MDK120" s="3"/>
      <c r="MDL120" s="3"/>
      <c r="MDM120" s="3"/>
      <c r="MDN120" s="3"/>
      <c r="MDO120" s="3"/>
      <c r="MDP120" s="3"/>
      <c r="MDQ120" s="3"/>
      <c r="MDR120" s="3"/>
      <c r="MDS120" s="3"/>
      <c r="MDT120" s="3"/>
      <c r="MDU120" s="3"/>
      <c r="MDV120" s="3"/>
      <c r="MDW120" s="3"/>
      <c r="MDX120" s="3"/>
      <c r="MDY120" s="3"/>
      <c r="MDZ120" s="3"/>
      <c r="MEA120" s="3"/>
      <c r="MEB120" s="3"/>
      <c r="MEC120" s="3"/>
      <c r="MED120" s="3"/>
      <c r="MEE120" s="3"/>
      <c r="MEF120" s="3"/>
      <c r="MEG120" s="3"/>
      <c r="MEH120" s="3"/>
      <c r="MEI120" s="3"/>
      <c r="MEJ120" s="3"/>
      <c r="MEK120" s="3"/>
      <c r="MEL120" s="3"/>
      <c r="MEM120" s="3"/>
      <c r="MEN120" s="3"/>
      <c r="MEO120" s="3"/>
      <c r="MEP120" s="3"/>
      <c r="MEQ120" s="3"/>
      <c r="MER120" s="3"/>
      <c r="MES120" s="3"/>
      <c r="MET120" s="3"/>
      <c r="MEU120" s="3"/>
      <c r="MEV120" s="3"/>
      <c r="MEW120" s="3"/>
      <c r="MEX120" s="3"/>
      <c r="MEY120" s="3"/>
      <c r="MEZ120" s="3"/>
      <c r="MFA120" s="3"/>
      <c r="MFB120" s="3"/>
      <c r="MFC120" s="3"/>
      <c r="MFD120" s="3"/>
      <c r="MFE120" s="3"/>
      <c r="MFF120" s="3"/>
      <c r="MFG120" s="3"/>
      <c r="MFH120" s="3"/>
      <c r="MFI120" s="3"/>
      <c r="MFJ120" s="3"/>
      <c r="MFK120" s="3"/>
      <c r="MFL120" s="3"/>
      <c r="MFM120" s="3"/>
      <c r="MFN120" s="3"/>
      <c r="MFO120" s="3"/>
      <c r="MFP120" s="3"/>
      <c r="MFQ120" s="3"/>
      <c r="MFR120" s="3"/>
      <c r="MFS120" s="3"/>
      <c r="MFT120" s="3"/>
      <c r="MFU120" s="3"/>
      <c r="MFV120" s="3"/>
      <c r="MFW120" s="3"/>
      <c r="MFX120" s="3"/>
      <c r="MFY120" s="3"/>
      <c r="MFZ120" s="3"/>
      <c r="MGA120" s="3"/>
      <c r="MGB120" s="3"/>
      <c r="MGC120" s="3"/>
      <c r="MGD120" s="3"/>
      <c r="MGE120" s="3"/>
      <c r="MGF120" s="3"/>
      <c r="MGG120" s="3"/>
      <c r="MGH120" s="3"/>
      <c r="MGI120" s="3"/>
      <c r="MGJ120" s="3"/>
      <c r="MGK120" s="3"/>
      <c r="MGL120" s="3"/>
      <c r="MGM120" s="3"/>
      <c r="MGN120" s="3"/>
      <c r="MGO120" s="3"/>
      <c r="MGP120" s="3"/>
      <c r="MGQ120" s="3"/>
      <c r="MGR120" s="3"/>
      <c r="MGS120" s="3"/>
      <c r="MGT120" s="3"/>
      <c r="MGU120" s="3"/>
      <c r="MGV120" s="3"/>
      <c r="MGW120" s="3"/>
      <c r="MGX120" s="3"/>
      <c r="MGY120" s="3"/>
      <c r="MGZ120" s="3"/>
      <c r="MHA120" s="3"/>
      <c r="MHB120" s="3"/>
      <c r="MHC120" s="3"/>
      <c r="MHD120" s="3"/>
      <c r="MHE120" s="3"/>
      <c r="MHF120" s="3"/>
      <c r="MHG120" s="3"/>
      <c r="MHH120" s="3"/>
      <c r="MHI120" s="3"/>
      <c r="MHJ120" s="3"/>
      <c r="MHK120" s="3"/>
      <c r="MHL120" s="3"/>
      <c r="MHM120" s="3"/>
      <c r="MHN120" s="3"/>
      <c r="MHO120" s="3"/>
      <c r="MHP120" s="3"/>
      <c r="MHQ120" s="3"/>
      <c r="MHR120" s="3"/>
      <c r="MHS120" s="3"/>
      <c r="MHT120" s="3"/>
      <c r="MHU120" s="3"/>
      <c r="MHV120" s="3"/>
      <c r="MHW120" s="3"/>
      <c r="MHX120" s="3"/>
      <c r="MHY120" s="3"/>
      <c r="MHZ120" s="3"/>
      <c r="MIA120" s="3"/>
      <c r="MIB120" s="3"/>
      <c r="MIC120" s="3"/>
      <c r="MID120" s="3"/>
      <c r="MIE120" s="3"/>
      <c r="MIF120" s="3"/>
      <c r="MIG120" s="3"/>
      <c r="MIH120" s="3"/>
      <c r="MII120" s="3"/>
      <c r="MIJ120" s="3"/>
      <c r="MIK120" s="3"/>
      <c r="MIL120" s="3"/>
      <c r="MIM120" s="3"/>
      <c r="MIN120" s="3"/>
      <c r="MIO120" s="3"/>
      <c r="MIP120" s="3"/>
      <c r="MIQ120" s="3"/>
      <c r="MIR120" s="3"/>
      <c r="MIS120" s="3"/>
      <c r="MIT120" s="3"/>
      <c r="MIU120" s="3"/>
      <c r="MIV120" s="3"/>
      <c r="MIW120" s="3"/>
      <c r="MIX120" s="3"/>
      <c r="MIY120" s="3"/>
      <c r="MIZ120" s="3"/>
      <c r="MJA120" s="3"/>
      <c r="MJB120" s="3"/>
      <c r="MJC120" s="3"/>
      <c r="MJD120" s="3"/>
      <c r="MJE120" s="3"/>
      <c r="MJF120" s="3"/>
      <c r="MJG120" s="3"/>
      <c r="MJH120" s="3"/>
      <c r="MJI120" s="3"/>
      <c r="MJJ120" s="3"/>
      <c r="MJK120" s="3"/>
      <c r="MJL120" s="3"/>
      <c r="MJM120" s="3"/>
      <c r="MJN120" s="3"/>
      <c r="MJO120" s="3"/>
      <c r="MJP120" s="3"/>
      <c r="MJQ120" s="3"/>
      <c r="MJR120" s="3"/>
      <c r="MJS120" s="3"/>
      <c r="MJT120" s="3"/>
      <c r="MJU120" s="3"/>
      <c r="MJV120" s="3"/>
      <c r="MJW120" s="3"/>
      <c r="MJX120" s="3"/>
      <c r="MJY120" s="3"/>
      <c r="MJZ120" s="3"/>
      <c r="MKA120" s="3"/>
      <c r="MKB120" s="3"/>
      <c r="MKC120" s="3"/>
      <c r="MKD120" s="3"/>
      <c r="MKE120" s="3"/>
      <c r="MKF120" s="3"/>
      <c r="MKG120" s="3"/>
      <c r="MKH120" s="3"/>
      <c r="MKI120" s="3"/>
      <c r="MKJ120" s="3"/>
      <c r="MKK120" s="3"/>
      <c r="MKL120" s="3"/>
      <c r="MKM120" s="3"/>
      <c r="MKN120" s="3"/>
      <c r="MKO120" s="3"/>
      <c r="MKP120" s="3"/>
      <c r="MKQ120" s="3"/>
      <c r="MKR120" s="3"/>
      <c r="MKS120" s="3"/>
      <c r="MKT120" s="3"/>
      <c r="MKU120" s="3"/>
      <c r="MKV120" s="3"/>
      <c r="MKW120" s="3"/>
      <c r="MKX120" s="3"/>
      <c r="MKY120" s="3"/>
      <c r="MKZ120" s="3"/>
      <c r="MLA120" s="3"/>
      <c r="MLB120" s="3"/>
      <c r="MLC120" s="3"/>
      <c r="MLD120" s="3"/>
      <c r="MLE120" s="3"/>
      <c r="MLF120" s="3"/>
      <c r="MLG120" s="3"/>
      <c r="MLH120" s="3"/>
      <c r="MLI120" s="3"/>
      <c r="MLJ120" s="3"/>
      <c r="MLK120" s="3"/>
      <c r="MLL120" s="3"/>
      <c r="MLM120" s="3"/>
      <c r="MLN120" s="3"/>
      <c r="MLO120" s="3"/>
      <c r="MLP120" s="3"/>
      <c r="MLQ120" s="3"/>
      <c r="MLR120" s="3"/>
      <c r="MLS120" s="3"/>
      <c r="MLT120" s="3"/>
      <c r="MLU120" s="3"/>
      <c r="MLV120" s="3"/>
      <c r="MLW120" s="3"/>
      <c r="MLX120" s="3"/>
      <c r="MLY120" s="3"/>
      <c r="MLZ120" s="3"/>
      <c r="MMA120" s="3"/>
      <c r="MMB120" s="3"/>
      <c r="MMC120" s="3"/>
      <c r="MMD120" s="3"/>
      <c r="MME120" s="3"/>
      <c r="MMF120" s="3"/>
      <c r="MMG120" s="3"/>
      <c r="MMH120" s="3"/>
      <c r="MMI120" s="3"/>
      <c r="MMJ120" s="3"/>
      <c r="MMK120" s="3"/>
      <c r="MML120" s="3"/>
      <c r="MMM120" s="3"/>
      <c r="MMN120" s="3"/>
      <c r="MMO120" s="3"/>
      <c r="MMP120" s="3"/>
      <c r="MMQ120" s="3"/>
      <c r="MMR120" s="3"/>
      <c r="MMS120" s="3"/>
      <c r="MMT120" s="3"/>
      <c r="MMU120" s="3"/>
      <c r="MMV120" s="3"/>
      <c r="MMW120" s="3"/>
      <c r="MMX120" s="3"/>
      <c r="MMY120" s="3"/>
      <c r="MMZ120" s="3"/>
      <c r="MNA120" s="3"/>
      <c r="MNB120" s="3"/>
      <c r="MNC120" s="3"/>
      <c r="MND120" s="3"/>
      <c r="MNE120" s="3"/>
      <c r="MNF120" s="3"/>
      <c r="MNG120" s="3"/>
      <c r="MNH120" s="3"/>
      <c r="MNI120" s="3"/>
      <c r="MNJ120" s="3"/>
      <c r="MNK120" s="3"/>
      <c r="MNL120" s="3"/>
      <c r="MNM120" s="3"/>
      <c r="MNN120" s="3"/>
      <c r="MNO120" s="3"/>
      <c r="MNP120" s="3"/>
      <c r="MNQ120" s="3"/>
      <c r="MNR120" s="3"/>
      <c r="MNS120" s="3"/>
      <c r="MNT120" s="3"/>
      <c r="MNU120" s="3"/>
      <c r="MNV120" s="3"/>
      <c r="MNW120" s="3"/>
      <c r="MNX120" s="3"/>
      <c r="MNY120" s="3"/>
      <c r="MNZ120" s="3"/>
      <c r="MOA120" s="3"/>
      <c r="MOB120" s="3"/>
      <c r="MOC120" s="3"/>
      <c r="MOD120" s="3"/>
      <c r="MOE120" s="3"/>
      <c r="MOF120" s="3"/>
      <c r="MOG120" s="3"/>
      <c r="MOH120" s="3"/>
      <c r="MOI120" s="3"/>
      <c r="MOJ120" s="3"/>
      <c r="MOK120" s="3"/>
      <c r="MOL120" s="3"/>
      <c r="MOM120" s="3"/>
      <c r="MON120" s="3"/>
      <c r="MOO120" s="3"/>
      <c r="MOP120" s="3"/>
      <c r="MOQ120" s="3"/>
      <c r="MOR120" s="3"/>
      <c r="MOS120" s="3"/>
      <c r="MOT120" s="3"/>
      <c r="MOU120" s="3"/>
      <c r="MOV120" s="3"/>
      <c r="MOW120" s="3"/>
      <c r="MOX120" s="3"/>
      <c r="MOY120" s="3"/>
      <c r="MOZ120" s="3"/>
      <c r="MPA120" s="3"/>
      <c r="MPB120" s="3"/>
      <c r="MPC120" s="3"/>
      <c r="MPD120" s="3"/>
      <c r="MPE120" s="3"/>
      <c r="MPF120" s="3"/>
      <c r="MPG120" s="3"/>
      <c r="MPH120" s="3"/>
      <c r="MPI120" s="3"/>
      <c r="MPJ120" s="3"/>
      <c r="MPK120" s="3"/>
      <c r="MPL120" s="3"/>
      <c r="MPM120" s="3"/>
      <c r="MPN120" s="3"/>
      <c r="MPO120" s="3"/>
      <c r="MPP120" s="3"/>
      <c r="MPQ120" s="3"/>
      <c r="MPR120" s="3"/>
      <c r="MPS120" s="3"/>
      <c r="MPT120" s="3"/>
      <c r="MPU120" s="3"/>
      <c r="MPV120" s="3"/>
      <c r="MPW120" s="3"/>
      <c r="MPX120" s="3"/>
      <c r="MPY120" s="3"/>
      <c r="MPZ120" s="3"/>
      <c r="MQA120" s="3"/>
      <c r="MQB120" s="3"/>
      <c r="MQC120" s="3"/>
      <c r="MQD120" s="3"/>
      <c r="MQE120" s="3"/>
      <c r="MQF120" s="3"/>
      <c r="MQG120" s="3"/>
      <c r="MQH120" s="3"/>
      <c r="MQI120" s="3"/>
      <c r="MQJ120" s="3"/>
      <c r="MQK120" s="3"/>
      <c r="MQL120" s="3"/>
      <c r="MQM120" s="3"/>
      <c r="MQN120" s="3"/>
      <c r="MQO120" s="3"/>
      <c r="MQP120" s="3"/>
      <c r="MQQ120" s="3"/>
      <c r="MQR120" s="3"/>
      <c r="MQS120" s="3"/>
      <c r="MQT120" s="3"/>
      <c r="MQU120" s="3"/>
      <c r="MQV120" s="3"/>
      <c r="MQW120" s="3"/>
      <c r="MQX120" s="3"/>
      <c r="MQY120" s="3"/>
      <c r="MQZ120" s="3"/>
      <c r="MRA120" s="3"/>
      <c r="MRB120" s="3"/>
      <c r="MRC120" s="3"/>
      <c r="MRD120" s="3"/>
      <c r="MRE120" s="3"/>
      <c r="MRF120" s="3"/>
      <c r="MRG120" s="3"/>
      <c r="MRH120" s="3"/>
      <c r="MRI120" s="3"/>
      <c r="MRJ120" s="3"/>
      <c r="MRK120" s="3"/>
      <c r="MRL120" s="3"/>
      <c r="MRM120" s="3"/>
      <c r="MRN120" s="3"/>
      <c r="MRO120" s="3"/>
      <c r="MRP120" s="3"/>
      <c r="MRQ120" s="3"/>
      <c r="MRR120" s="3"/>
      <c r="MRS120" s="3"/>
      <c r="MRT120" s="3"/>
      <c r="MRU120" s="3"/>
      <c r="MRV120" s="3"/>
      <c r="MRW120" s="3"/>
      <c r="MRX120" s="3"/>
      <c r="MRY120" s="3"/>
      <c r="MRZ120" s="3"/>
      <c r="MSA120" s="3"/>
      <c r="MSB120" s="3"/>
      <c r="MSC120" s="3"/>
      <c r="MSD120" s="3"/>
      <c r="MSE120" s="3"/>
      <c r="MSF120" s="3"/>
      <c r="MSG120" s="3"/>
      <c r="MSH120" s="3"/>
      <c r="MSI120" s="3"/>
      <c r="MSJ120" s="3"/>
      <c r="MSK120" s="3"/>
      <c r="MSL120" s="3"/>
      <c r="MSM120" s="3"/>
      <c r="MSN120" s="3"/>
      <c r="MSO120" s="3"/>
      <c r="MSP120" s="3"/>
      <c r="MSQ120" s="3"/>
      <c r="MSR120" s="3"/>
      <c r="MSS120" s="3"/>
      <c r="MST120" s="3"/>
      <c r="MSU120" s="3"/>
      <c r="MSV120" s="3"/>
      <c r="MSW120" s="3"/>
      <c r="MSX120" s="3"/>
      <c r="MSY120" s="3"/>
      <c r="MSZ120" s="3"/>
      <c r="MTA120" s="3"/>
      <c r="MTB120" s="3"/>
      <c r="MTC120" s="3"/>
      <c r="MTD120" s="3"/>
      <c r="MTE120" s="3"/>
      <c r="MTF120" s="3"/>
      <c r="MTG120" s="3"/>
      <c r="MTH120" s="3"/>
      <c r="MTI120" s="3"/>
      <c r="MTJ120" s="3"/>
      <c r="MTK120" s="3"/>
      <c r="MTL120" s="3"/>
      <c r="MTM120" s="3"/>
      <c r="MTN120" s="3"/>
      <c r="MTO120" s="3"/>
      <c r="MTP120" s="3"/>
      <c r="MTQ120" s="3"/>
      <c r="MTR120" s="3"/>
      <c r="MTS120" s="3"/>
      <c r="MTT120" s="3"/>
      <c r="MTU120" s="3"/>
      <c r="MTV120" s="3"/>
      <c r="MTW120" s="3"/>
      <c r="MTX120" s="3"/>
      <c r="MTY120" s="3"/>
      <c r="MTZ120" s="3"/>
      <c r="MUA120" s="3"/>
      <c r="MUB120" s="3"/>
      <c r="MUC120" s="3"/>
      <c r="MUD120" s="3"/>
      <c r="MUE120" s="3"/>
      <c r="MUF120" s="3"/>
      <c r="MUG120" s="3"/>
      <c r="MUH120" s="3"/>
      <c r="MUI120" s="3"/>
      <c r="MUJ120" s="3"/>
      <c r="MUK120" s="3"/>
      <c r="MUL120" s="3"/>
      <c r="MUM120" s="3"/>
      <c r="MUN120" s="3"/>
      <c r="MUO120" s="3"/>
      <c r="MUP120" s="3"/>
      <c r="MUQ120" s="3"/>
      <c r="MUR120" s="3"/>
      <c r="MUS120" s="3"/>
      <c r="MUT120" s="3"/>
      <c r="MUU120" s="3"/>
      <c r="MUV120" s="3"/>
      <c r="MUW120" s="3"/>
      <c r="MUX120" s="3"/>
      <c r="MUY120" s="3"/>
      <c r="MUZ120" s="3"/>
      <c r="MVA120" s="3"/>
      <c r="MVB120" s="3"/>
      <c r="MVC120" s="3"/>
      <c r="MVD120" s="3"/>
      <c r="MVE120" s="3"/>
      <c r="MVF120" s="3"/>
      <c r="MVG120" s="3"/>
      <c r="MVH120" s="3"/>
      <c r="MVI120" s="3"/>
      <c r="MVJ120" s="3"/>
      <c r="MVK120" s="3"/>
      <c r="MVL120" s="3"/>
      <c r="MVM120" s="3"/>
      <c r="MVN120" s="3"/>
      <c r="MVO120" s="3"/>
      <c r="MVP120" s="3"/>
      <c r="MVQ120" s="3"/>
      <c r="MVR120" s="3"/>
      <c r="MVS120" s="3"/>
      <c r="MVT120" s="3"/>
      <c r="MVU120" s="3"/>
      <c r="MVV120" s="3"/>
      <c r="MVW120" s="3"/>
      <c r="MVX120" s="3"/>
      <c r="MVY120" s="3"/>
      <c r="MVZ120" s="3"/>
      <c r="MWA120" s="3"/>
      <c r="MWB120" s="3"/>
      <c r="MWC120" s="3"/>
      <c r="MWD120" s="3"/>
      <c r="MWE120" s="3"/>
      <c r="MWF120" s="3"/>
      <c r="MWG120" s="3"/>
      <c r="MWH120" s="3"/>
      <c r="MWI120" s="3"/>
      <c r="MWJ120" s="3"/>
      <c r="MWK120" s="3"/>
      <c r="MWL120" s="3"/>
      <c r="MWM120" s="3"/>
      <c r="MWN120" s="3"/>
      <c r="MWO120" s="3"/>
      <c r="MWP120" s="3"/>
      <c r="MWQ120" s="3"/>
      <c r="MWR120" s="3"/>
      <c r="MWS120" s="3"/>
      <c r="MWT120" s="3"/>
      <c r="MWU120" s="3"/>
      <c r="MWV120" s="3"/>
      <c r="MWW120" s="3"/>
      <c r="MWX120" s="3"/>
      <c r="MWY120" s="3"/>
      <c r="MWZ120" s="3"/>
      <c r="MXA120" s="3"/>
      <c r="MXB120" s="3"/>
      <c r="MXC120" s="3"/>
      <c r="MXD120" s="3"/>
      <c r="MXE120" s="3"/>
      <c r="MXF120" s="3"/>
      <c r="MXG120" s="3"/>
      <c r="MXH120" s="3"/>
      <c r="MXI120" s="3"/>
      <c r="MXJ120" s="3"/>
      <c r="MXK120" s="3"/>
      <c r="MXL120" s="3"/>
      <c r="MXM120" s="3"/>
      <c r="MXN120" s="3"/>
      <c r="MXO120" s="3"/>
      <c r="MXP120" s="3"/>
      <c r="MXQ120" s="3"/>
      <c r="MXR120" s="3"/>
      <c r="MXS120" s="3"/>
      <c r="MXT120" s="3"/>
      <c r="MXU120" s="3"/>
      <c r="MXV120" s="3"/>
      <c r="MXW120" s="3"/>
      <c r="MXX120" s="3"/>
      <c r="MXY120" s="3"/>
      <c r="MXZ120" s="3"/>
      <c r="MYA120" s="3"/>
      <c r="MYB120" s="3"/>
      <c r="MYC120" s="3"/>
      <c r="MYD120" s="3"/>
      <c r="MYE120" s="3"/>
      <c r="MYF120" s="3"/>
      <c r="MYG120" s="3"/>
      <c r="MYH120" s="3"/>
      <c r="MYI120" s="3"/>
      <c r="MYJ120" s="3"/>
      <c r="MYK120" s="3"/>
      <c r="MYL120" s="3"/>
      <c r="MYM120" s="3"/>
      <c r="MYN120" s="3"/>
      <c r="MYO120" s="3"/>
      <c r="MYP120" s="3"/>
      <c r="MYQ120" s="3"/>
      <c r="MYR120" s="3"/>
      <c r="MYS120" s="3"/>
      <c r="MYT120" s="3"/>
      <c r="MYU120" s="3"/>
      <c r="MYV120" s="3"/>
      <c r="MYW120" s="3"/>
      <c r="MYX120" s="3"/>
      <c r="MYY120" s="3"/>
      <c r="MYZ120" s="3"/>
      <c r="MZA120" s="3"/>
      <c r="MZB120" s="3"/>
      <c r="MZC120" s="3"/>
      <c r="MZD120" s="3"/>
      <c r="MZE120" s="3"/>
      <c r="MZF120" s="3"/>
      <c r="MZG120" s="3"/>
      <c r="MZH120" s="3"/>
      <c r="MZI120" s="3"/>
      <c r="MZJ120" s="3"/>
      <c r="MZK120" s="3"/>
      <c r="MZL120" s="3"/>
      <c r="MZM120" s="3"/>
      <c r="MZN120" s="3"/>
      <c r="MZO120" s="3"/>
      <c r="MZP120" s="3"/>
      <c r="MZQ120" s="3"/>
      <c r="MZR120" s="3"/>
      <c r="MZS120" s="3"/>
      <c r="MZT120" s="3"/>
      <c r="MZU120" s="3"/>
      <c r="MZV120" s="3"/>
      <c r="MZW120" s="3"/>
      <c r="MZX120" s="3"/>
      <c r="MZY120" s="3"/>
      <c r="MZZ120" s="3"/>
      <c r="NAA120" s="3"/>
      <c r="NAB120" s="3"/>
      <c r="NAC120" s="3"/>
      <c r="NAD120" s="3"/>
      <c r="NAE120" s="3"/>
      <c r="NAF120" s="3"/>
      <c r="NAG120" s="3"/>
      <c r="NAH120" s="3"/>
      <c r="NAI120" s="3"/>
      <c r="NAJ120" s="3"/>
      <c r="NAK120" s="3"/>
      <c r="NAL120" s="3"/>
      <c r="NAM120" s="3"/>
      <c r="NAN120" s="3"/>
      <c r="NAO120" s="3"/>
      <c r="NAP120" s="3"/>
      <c r="NAQ120" s="3"/>
      <c r="NAR120" s="3"/>
      <c r="NAS120" s="3"/>
      <c r="NAT120" s="3"/>
      <c r="NAU120" s="3"/>
      <c r="NAV120" s="3"/>
      <c r="NAW120" s="3"/>
      <c r="NAX120" s="3"/>
      <c r="NAY120" s="3"/>
      <c r="NAZ120" s="3"/>
      <c r="NBA120" s="3"/>
      <c r="NBB120" s="3"/>
      <c r="NBC120" s="3"/>
      <c r="NBD120" s="3"/>
      <c r="NBE120" s="3"/>
      <c r="NBF120" s="3"/>
      <c r="NBG120" s="3"/>
      <c r="NBH120" s="3"/>
      <c r="NBI120" s="3"/>
      <c r="NBJ120" s="3"/>
      <c r="NBK120" s="3"/>
      <c r="NBL120" s="3"/>
      <c r="NBM120" s="3"/>
      <c r="NBN120" s="3"/>
      <c r="NBO120" s="3"/>
      <c r="NBP120" s="3"/>
      <c r="NBQ120" s="3"/>
      <c r="NBR120" s="3"/>
      <c r="NBS120" s="3"/>
      <c r="NBT120" s="3"/>
      <c r="NBU120" s="3"/>
      <c r="NBV120" s="3"/>
      <c r="NBW120" s="3"/>
      <c r="NBX120" s="3"/>
      <c r="NBY120" s="3"/>
      <c r="NBZ120" s="3"/>
      <c r="NCA120" s="3"/>
      <c r="NCB120" s="3"/>
      <c r="NCC120" s="3"/>
      <c r="NCD120" s="3"/>
      <c r="NCE120" s="3"/>
      <c r="NCF120" s="3"/>
      <c r="NCG120" s="3"/>
      <c r="NCH120" s="3"/>
      <c r="NCI120" s="3"/>
      <c r="NCJ120" s="3"/>
      <c r="NCK120" s="3"/>
      <c r="NCL120" s="3"/>
      <c r="NCM120" s="3"/>
      <c r="NCN120" s="3"/>
      <c r="NCO120" s="3"/>
      <c r="NCP120" s="3"/>
      <c r="NCQ120" s="3"/>
      <c r="NCR120" s="3"/>
      <c r="NCS120" s="3"/>
      <c r="NCT120" s="3"/>
      <c r="NCU120" s="3"/>
      <c r="NCV120" s="3"/>
      <c r="NCW120" s="3"/>
      <c r="NCX120" s="3"/>
      <c r="NCY120" s="3"/>
      <c r="NCZ120" s="3"/>
      <c r="NDA120" s="3"/>
      <c r="NDB120" s="3"/>
      <c r="NDC120" s="3"/>
      <c r="NDD120" s="3"/>
      <c r="NDE120" s="3"/>
      <c r="NDF120" s="3"/>
      <c r="NDG120" s="3"/>
      <c r="NDH120" s="3"/>
      <c r="NDI120" s="3"/>
      <c r="NDJ120" s="3"/>
      <c r="NDK120" s="3"/>
      <c r="NDL120" s="3"/>
      <c r="NDM120" s="3"/>
      <c r="NDN120" s="3"/>
      <c r="NDO120" s="3"/>
      <c r="NDP120" s="3"/>
      <c r="NDQ120" s="3"/>
      <c r="NDR120" s="3"/>
      <c r="NDS120" s="3"/>
      <c r="NDT120" s="3"/>
      <c r="NDU120" s="3"/>
      <c r="NDV120" s="3"/>
      <c r="NDW120" s="3"/>
      <c r="NDX120" s="3"/>
      <c r="NDY120" s="3"/>
      <c r="NDZ120" s="3"/>
      <c r="NEA120" s="3"/>
      <c r="NEB120" s="3"/>
      <c r="NEC120" s="3"/>
      <c r="NED120" s="3"/>
      <c r="NEE120" s="3"/>
      <c r="NEF120" s="3"/>
      <c r="NEG120" s="3"/>
      <c r="NEH120" s="3"/>
      <c r="NEI120" s="3"/>
      <c r="NEJ120" s="3"/>
      <c r="NEK120" s="3"/>
      <c r="NEL120" s="3"/>
      <c r="NEM120" s="3"/>
      <c r="NEN120" s="3"/>
      <c r="NEO120" s="3"/>
      <c r="NEP120" s="3"/>
      <c r="NEQ120" s="3"/>
      <c r="NER120" s="3"/>
      <c r="NES120" s="3"/>
      <c r="NET120" s="3"/>
      <c r="NEU120" s="3"/>
      <c r="NEV120" s="3"/>
      <c r="NEW120" s="3"/>
      <c r="NEX120" s="3"/>
      <c r="NEY120" s="3"/>
      <c r="NEZ120" s="3"/>
      <c r="NFA120" s="3"/>
      <c r="NFB120" s="3"/>
      <c r="NFC120" s="3"/>
      <c r="NFD120" s="3"/>
      <c r="NFE120" s="3"/>
      <c r="NFF120" s="3"/>
      <c r="NFG120" s="3"/>
      <c r="NFH120" s="3"/>
      <c r="NFI120" s="3"/>
      <c r="NFJ120" s="3"/>
      <c r="NFK120" s="3"/>
      <c r="NFL120" s="3"/>
      <c r="NFM120" s="3"/>
      <c r="NFN120" s="3"/>
      <c r="NFO120" s="3"/>
      <c r="NFP120" s="3"/>
      <c r="NFQ120" s="3"/>
      <c r="NFR120" s="3"/>
      <c r="NFS120" s="3"/>
      <c r="NFT120" s="3"/>
      <c r="NFU120" s="3"/>
      <c r="NFV120" s="3"/>
      <c r="NFW120" s="3"/>
      <c r="NFX120" s="3"/>
      <c r="NFY120" s="3"/>
      <c r="NFZ120" s="3"/>
      <c r="NGA120" s="3"/>
      <c r="NGB120" s="3"/>
      <c r="NGC120" s="3"/>
      <c r="NGD120" s="3"/>
      <c r="NGE120" s="3"/>
      <c r="NGF120" s="3"/>
      <c r="NGG120" s="3"/>
      <c r="NGH120" s="3"/>
      <c r="NGI120" s="3"/>
      <c r="NGJ120" s="3"/>
      <c r="NGK120" s="3"/>
      <c r="NGL120" s="3"/>
      <c r="NGM120" s="3"/>
      <c r="NGN120" s="3"/>
      <c r="NGO120" s="3"/>
      <c r="NGP120" s="3"/>
      <c r="NGQ120" s="3"/>
      <c r="NGR120" s="3"/>
      <c r="NGS120" s="3"/>
      <c r="NGT120" s="3"/>
      <c r="NGU120" s="3"/>
      <c r="NGV120" s="3"/>
      <c r="NGW120" s="3"/>
      <c r="NGX120" s="3"/>
      <c r="NGY120" s="3"/>
      <c r="NGZ120" s="3"/>
      <c r="NHA120" s="3"/>
      <c r="NHB120" s="3"/>
      <c r="NHC120" s="3"/>
      <c r="NHD120" s="3"/>
      <c r="NHE120" s="3"/>
      <c r="NHF120" s="3"/>
      <c r="NHG120" s="3"/>
      <c r="NHH120" s="3"/>
      <c r="NHI120" s="3"/>
      <c r="NHJ120" s="3"/>
      <c r="NHK120" s="3"/>
      <c r="NHL120" s="3"/>
      <c r="NHM120" s="3"/>
      <c r="NHN120" s="3"/>
      <c r="NHO120" s="3"/>
      <c r="NHP120" s="3"/>
      <c r="NHQ120" s="3"/>
      <c r="NHR120" s="3"/>
      <c r="NHS120" s="3"/>
      <c r="NHT120" s="3"/>
      <c r="NHU120" s="3"/>
      <c r="NHV120" s="3"/>
      <c r="NHW120" s="3"/>
      <c r="NHX120" s="3"/>
      <c r="NHY120" s="3"/>
      <c r="NHZ120" s="3"/>
      <c r="NIA120" s="3"/>
      <c r="NIB120" s="3"/>
      <c r="NIC120" s="3"/>
      <c r="NID120" s="3"/>
      <c r="NIE120" s="3"/>
      <c r="NIF120" s="3"/>
      <c r="NIG120" s="3"/>
      <c r="NIH120" s="3"/>
      <c r="NII120" s="3"/>
      <c r="NIJ120" s="3"/>
      <c r="NIK120" s="3"/>
      <c r="NIL120" s="3"/>
      <c r="NIM120" s="3"/>
      <c r="NIN120" s="3"/>
      <c r="NIO120" s="3"/>
      <c r="NIP120" s="3"/>
      <c r="NIQ120" s="3"/>
      <c r="NIR120" s="3"/>
      <c r="NIS120" s="3"/>
      <c r="NIT120" s="3"/>
      <c r="NIU120" s="3"/>
      <c r="NIV120" s="3"/>
      <c r="NIW120" s="3"/>
      <c r="NIX120" s="3"/>
      <c r="NIY120" s="3"/>
      <c r="NIZ120" s="3"/>
      <c r="NJA120" s="3"/>
      <c r="NJB120" s="3"/>
      <c r="NJC120" s="3"/>
      <c r="NJD120" s="3"/>
      <c r="NJE120" s="3"/>
      <c r="NJF120" s="3"/>
      <c r="NJG120" s="3"/>
      <c r="NJH120" s="3"/>
      <c r="NJI120" s="3"/>
      <c r="NJJ120" s="3"/>
      <c r="NJK120" s="3"/>
      <c r="NJL120" s="3"/>
      <c r="NJM120" s="3"/>
      <c r="NJN120" s="3"/>
      <c r="NJO120" s="3"/>
      <c r="NJP120" s="3"/>
      <c r="NJQ120" s="3"/>
      <c r="NJR120" s="3"/>
      <c r="NJS120" s="3"/>
      <c r="NJT120" s="3"/>
      <c r="NJU120" s="3"/>
      <c r="NJV120" s="3"/>
      <c r="NJW120" s="3"/>
      <c r="NJX120" s="3"/>
      <c r="NJY120" s="3"/>
      <c r="NJZ120" s="3"/>
      <c r="NKA120" s="3"/>
      <c r="NKB120" s="3"/>
      <c r="NKC120" s="3"/>
      <c r="NKD120" s="3"/>
      <c r="NKE120" s="3"/>
      <c r="NKF120" s="3"/>
      <c r="NKG120" s="3"/>
      <c r="NKH120" s="3"/>
      <c r="NKI120" s="3"/>
      <c r="NKJ120" s="3"/>
      <c r="NKK120" s="3"/>
      <c r="NKL120" s="3"/>
      <c r="NKM120" s="3"/>
      <c r="NKN120" s="3"/>
      <c r="NKO120" s="3"/>
      <c r="NKP120" s="3"/>
      <c r="NKQ120" s="3"/>
      <c r="NKR120" s="3"/>
      <c r="NKS120" s="3"/>
      <c r="NKT120" s="3"/>
      <c r="NKU120" s="3"/>
      <c r="NKV120" s="3"/>
      <c r="NKW120" s="3"/>
      <c r="NKX120" s="3"/>
      <c r="NKY120" s="3"/>
      <c r="NKZ120" s="3"/>
      <c r="NLA120" s="3"/>
      <c r="NLB120" s="3"/>
      <c r="NLC120" s="3"/>
      <c r="NLD120" s="3"/>
      <c r="NLE120" s="3"/>
      <c r="NLF120" s="3"/>
      <c r="NLG120" s="3"/>
      <c r="NLH120" s="3"/>
      <c r="NLI120" s="3"/>
      <c r="NLJ120" s="3"/>
      <c r="NLK120" s="3"/>
      <c r="NLL120" s="3"/>
      <c r="NLM120" s="3"/>
      <c r="NLN120" s="3"/>
      <c r="NLO120" s="3"/>
      <c r="NLP120" s="3"/>
      <c r="NLQ120" s="3"/>
      <c r="NLR120" s="3"/>
      <c r="NLS120" s="3"/>
      <c r="NLT120" s="3"/>
      <c r="NLU120" s="3"/>
      <c r="NLV120" s="3"/>
      <c r="NLW120" s="3"/>
      <c r="NLX120" s="3"/>
      <c r="NLY120" s="3"/>
      <c r="NLZ120" s="3"/>
      <c r="NMA120" s="3"/>
      <c r="NMB120" s="3"/>
      <c r="NMC120" s="3"/>
      <c r="NMD120" s="3"/>
      <c r="NME120" s="3"/>
      <c r="NMF120" s="3"/>
      <c r="NMG120" s="3"/>
      <c r="NMH120" s="3"/>
      <c r="NMI120" s="3"/>
      <c r="NMJ120" s="3"/>
      <c r="NMK120" s="3"/>
      <c r="NML120" s="3"/>
      <c r="NMM120" s="3"/>
      <c r="NMN120" s="3"/>
      <c r="NMO120" s="3"/>
      <c r="NMP120" s="3"/>
      <c r="NMQ120" s="3"/>
      <c r="NMR120" s="3"/>
      <c r="NMS120" s="3"/>
      <c r="NMT120" s="3"/>
      <c r="NMU120" s="3"/>
      <c r="NMV120" s="3"/>
      <c r="NMW120" s="3"/>
      <c r="NMX120" s="3"/>
      <c r="NMY120" s="3"/>
      <c r="NMZ120" s="3"/>
      <c r="NNA120" s="3"/>
      <c r="NNB120" s="3"/>
      <c r="NNC120" s="3"/>
      <c r="NND120" s="3"/>
      <c r="NNE120" s="3"/>
      <c r="NNF120" s="3"/>
      <c r="NNG120" s="3"/>
      <c r="NNH120" s="3"/>
      <c r="NNI120" s="3"/>
      <c r="NNJ120" s="3"/>
      <c r="NNK120" s="3"/>
      <c r="NNL120" s="3"/>
      <c r="NNM120" s="3"/>
      <c r="NNN120" s="3"/>
      <c r="NNO120" s="3"/>
      <c r="NNP120" s="3"/>
      <c r="NNQ120" s="3"/>
      <c r="NNR120" s="3"/>
      <c r="NNS120" s="3"/>
      <c r="NNT120" s="3"/>
      <c r="NNU120" s="3"/>
      <c r="NNV120" s="3"/>
      <c r="NNW120" s="3"/>
      <c r="NNX120" s="3"/>
      <c r="NNY120" s="3"/>
      <c r="NNZ120" s="3"/>
      <c r="NOA120" s="3"/>
      <c r="NOB120" s="3"/>
      <c r="NOC120" s="3"/>
      <c r="NOD120" s="3"/>
      <c r="NOE120" s="3"/>
      <c r="NOF120" s="3"/>
      <c r="NOG120" s="3"/>
      <c r="NOH120" s="3"/>
      <c r="NOI120" s="3"/>
      <c r="NOJ120" s="3"/>
      <c r="NOK120" s="3"/>
      <c r="NOL120" s="3"/>
      <c r="NOM120" s="3"/>
      <c r="NON120" s="3"/>
      <c r="NOO120" s="3"/>
      <c r="NOP120" s="3"/>
      <c r="NOQ120" s="3"/>
      <c r="NOR120" s="3"/>
      <c r="NOS120" s="3"/>
      <c r="NOT120" s="3"/>
      <c r="NOU120" s="3"/>
      <c r="NOV120" s="3"/>
      <c r="NOW120" s="3"/>
      <c r="NOX120" s="3"/>
      <c r="NOY120" s="3"/>
      <c r="NOZ120" s="3"/>
      <c r="NPA120" s="3"/>
      <c r="NPB120" s="3"/>
      <c r="NPC120" s="3"/>
      <c r="NPD120" s="3"/>
      <c r="NPE120" s="3"/>
      <c r="NPF120" s="3"/>
      <c r="NPG120" s="3"/>
      <c r="NPH120" s="3"/>
      <c r="NPI120" s="3"/>
      <c r="NPJ120" s="3"/>
      <c r="NPK120" s="3"/>
      <c r="NPL120" s="3"/>
      <c r="NPM120" s="3"/>
      <c r="NPN120" s="3"/>
      <c r="NPO120" s="3"/>
      <c r="NPP120" s="3"/>
      <c r="NPQ120" s="3"/>
      <c r="NPR120" s="3"/>
      <c r="NPS120" s="3"/>
      <c r="NPT120" s="3"/>
      <c r="NPU120" s="3"/>
      <c r="NPV120" s="3"/>
      <c r="NPW120" s="3"/>
      <c r="NPX120" s="3"/>
      <c r="NPY120" s="3"/>
      <c r="NPZ120" s="3"/>
      <c r="NQA120" s="3"/>
      <c r="NQB120" s="3"/>
      <c r="NQC120" s="3"/>
      <c r="NQD120" s="3"/>
      <c r="NQE120" s="3"/>
      <c r="NQF120" s="3"/>
      <c r="NQG120" s="3"/>
      <c r="NQH120" s="3"/>
      <c r="NQI120" s="3"/>
      <c r="NQJ120" s="3"/>
      <c r="NQK120" s="3"/>
      <c r="NQL120" s="3"/>
      <c r="NQM120" s="3"/>
      <c r="NQN120" s="3"/>
      <c r="NQO120" s="3"/>
      <c r="NQP120" s="3"/>
      <c r="NQQ120" s="3"/>
      <c r="NQR120" s="3"/>
      <c r="NQS120" s="3"/>
      <c r="NQT120" s="3"/>
      <c r="NQU120" s="3"/>
      <c r="NQV120" s="3"/>
      <c r="NQW120" s="3"/>
      <c r="NQX120" s="3"/>
      <c r="NQY120" s="3"/>
      <c r="NQZ120" s="3"/>
      <c r="NRA120" s="3"/>
      <c r="NRB120" s="3"/>
      <c r="NRC120" s="3"/>
      <c r="NRD120" s="3"/>
      <c r="NRE120" s="3"/>
      <c r="NRF120" s="3"/>
      <c r="NRG120" s="3"/>
      <c r="NRH120" s="3"/>
      <c r="NRI120" s="3"/>
      <c r="NRJ120" s="3"/>
      <c r="NRK120" s="3"/>
      <c r="NRL120" s="3"/>
      <c r="NRM120" s="3"/>
      <c r="NRN120" s="3"/>
      <c r="NRO120" s="3"/>
      <c r="NRP120" s="3"/>
      <c r="NRQ120" s="3"/>
      <c r="NRR120" s="3"/>
      <c r="NRS120" s="3"/>
      <c r="NRT120" s="3"/>
      <c r="NRU120" s="3"/>
      <c r="NRV120" s="3"/>
      <c r="NRW120" s="3"/>
      <c r="NRX120" s="3"/>
      <c r="NRY120" s="3"/>
      <c r="NRZ120" s="3"/>
      <c r="NSA120" s="3"/>
      <c r="NSB120" s="3"/>
      <c r="NSC120" s="3"/>
      <c r="NSD120" s="3"/>
      <c r="NSE120" s="3"/>
      <c r="NSF120" s="3"/>
      <c r="NSG120" s="3"/>
      <c r="NSH120" s="3"/>
      <c r="NSI120" s="3"/>
      <c r="NSJ120" s="3"/>
      <c r="NSK120" s="3"/>
      <c r="NSL120" s="3"/>
      <c r="NSM120" s="3"/>
      <c r="NSN120" s="3"/>
      <c r="NSO120" s="3"/>
      <c r="NSP120" s="3"/>
      <c r="NSQ120" s="3"/>
      <c r="NSR120" s="3"/>
      <c r="NSS120" s="3"/>
      <c r="NST120" s="3"/>
      <c r="NSU120" s="3"/>
      <c r="NSV120" s="3"/>
      <c r="NSW120" s="3"/>
      <c r="NSX120" s="3"/>
      <c r="NSY120" s="3"/>
      <c r="NSZ120" s="3"/>
      <c r="NTA120" s="3"/>
      <c r="NTB120" s="3"/>
      <c r="NTC120" s="3"/>
      <c r="NTD120" s="3"/>
      <c r="NTE120" s="3"/>
      <c r="NTF120" s="3"/>
      <c r="NTG120" s="3"/>
      <c r="NTH120" s="3"/>
      <c r="NTI120" s="3"/>
      <c r="NTJ120" s="3"/>
      <c r="NTK120" s="3"/>
      <c r="NTL120" s="3"/>
      <c r="NTM120" s="3"/>
      <c r="NTN120" s="3"/>
      <c r="NTO120" s="3"/>
      <c r="NTP120" s="3"/>
      <c r="NTQ120" s="3"/>
      <c r="NTR120" s="3"/>
      <c r="NTS120" s="3"/>
      <c r="NTT120" s="3"/>
      <c r="NTU120" s="3"/>
      <c r="NTV120" s="3"/>
      <c r="NTW120" s="3"/>
      <c r="NTX120" s="3"/>
      <c r="NTY120" s="3"/>
      <c r="NTZ120" s="3"/>
      <c r="NUA120" s="3"/>
      <c r="NUB120" s="3"/>
      <c r="NUC120" s="3"/>
      <c r="NUD120" s="3"/>
      <c r="NUE120" s="3"/>
      <c r="NUF120" s="3"/>
      <c r="NUG120" s="3"/>
      <c r="NUH120" s="3"/>
      <c r="NUI120" s="3"/>
      <c r="NUJ120" s="3"/>
      <c r="NUK120" s="3"/>
      <c r="NUL120" s="3"/>
      <c r="NUM120" s="3"/>
      <c r="NUN120" s="3"/>
      <c r="NUO120" s="3"/>
      <c r="NUP120" s="3"/>
      <c r="NUQ120" s="3"/>
      <c r="NUR120" s="3"/>
      <c r="NUS120" s="3"/>
      <c r="NUT120" s="3"/>
      <c r="NUU120" s="3"/>
      <c r="NUV120" s="3"/>
      <c r="NUW120" s="3"/>
      <c r="NUX120" s="3"/>
      <c r="NUY120" s="3"/>
      <c r="NUZ120" s="3"/>
      <c r="NVA120" s="3"/>
      <c r="NVB120" s="3"/>
      <c r="NVC120" s="3"/>
      <c r="NVD120" s="3"/>
      <c r="NVE120" s="3"/>
      <c r="NVF120" s="3"/>
      <c r="NVG120" s="3"/>
      <c r="NVH120" s="3"/>
      <c r="NVI120" s="3"/>
      <c r="NVJ120" s="3"/>
      <c r="NVK120" s="3"/>
      <c r="NVL120" s="3"/>
      <c r="NVM120" s="3"/>
      <c r="NVN120" s="3"/>
      <c r="NVO120" s="3"/>
      <c r="NVP120" s="3"/>
      <c r="NVQ120" s="3"/>
      <c r="NVR120" s="3"/>
      <c r="NVS120" s="3"/>
      <c r="NVT120" s="3"/>
      <c r="NVU120" s="3"/>
      <c r="NVV120" s="3"/>
      <c r="NVW120" s="3"/>
      <c r="NVX120" s="3"/>
      <c r="NVY120" s="3"/>
      <c r="NVZ120" s="3"/>
      <c r="NWA120" s="3"/>
      <c r="NWB120" s="3"/>
      <c r="NWC120" s="3"/>
      <c r="NWD120" s="3"/>
      <c r="NWE120" s="3"/>
      <c r="NWF120" s="3"/>
      <c r="NWG120" s="3"/>
      <c r="NWH120" s="3"/>
      <c r="NWI120" s="3"/>
      <c r="NWJ120" s="3"/>
      <c r="NWK120" s="3"/>
      <c r="NWL120" s="3"/>
      <c r="NWM120" s="3"/>
      <c r="NWN120" s="3"/>
      <c r="NWO120" s="3"/>
      <c r="NWP120" s="3"/>
      <c r="NWQ120" s="3"/>
      <c r="NWR120" s="3"/>
      <c r="NWS120" s="3"/>
      <c r="NWT120" s="3"/>
      <c r="NWU120" s="3"/>
      <c r="NWV120" s="3"/>
      <c r="NWW120" s="3"/>
      <c r="NWX120" s="3"/>
      <c r="NWY120" s="3"/>
      <c r="NWZ120" s="3"/>
      <c r="NXA120" s="3"/>
      <c r="NXB120" s="3"/>
      <c r="NXC120" s="3"/>
      <c r="NXD120" s="3"/>
      <c r="NXE120" s="3"/>
      <c r="NXF120" s="3"/>
      <c r="NXG120" s="3"/>
      <c r="NXH120" s="3"/>
      <c r="NXI120" s="3"/>
      <c r="NXJ120" s="3"/>
      <c r="NXK120" s="3"/>
      <c r="NXL120" s="3"/>
      <c r="NXM120" s="3"/>
      <c r="NXN120" s="3"/>
      <c r="NXO120" s="3"/>
      <c r="NXP120" s="3"/>
      <c r="NXQ120" s="3"/>
      <c r="NXR120" s="3"/>
      <c r="NXS120" s="3"/>
      <c r="NXT120" s="3"/>
      <c r="NXU120" s="3"/>
      <c r="NXV120" s="3"/>
      <c r="NXW120" s="3"/>
      <c r="NXX120" s="3"/>
      <c r="NXY120" s="3"/>
      <c r="NXZ120" s="3"/>
      <c r="NYA120" s="3"/>
      <c r="NYB120" s="3"/>
      <c r="NYC120" s="3"/>
      <c r="NYD120" s="3"/>
      <c r="NYE120" s="3"/>
      <c r="NYF120" s="3"/>
      <c r="NYG120" s="3"/>
      <c r="NYH120" s="3"/>
      <c r="NYI120" s="3"/>
      <c r="NYJ120" s="3"/>
      <c r="NYK120" s="3"/>
      <c r="NYL120" s="3"/>
      <c r="NYM120" s="3"/>
      <c r="NYN120" s="3"/>
      <c r="NYO120" s="3"/>
      <c r="NYP120" s="3"/>
      <c r="NYQ120" s="3"/>
      <c r="NYR120" s="3"/>
      <c r="NYS120" s="3"/>
      <c r="NYT120" s="3"/>
      <c r="NYU120" s="3"/>
      <c r="NYV120" s="3"/>
      <c r="NYW120" s="3"/>
      <c r="NYX120" s="3"/>
      <c r="NYY120" s="3"/>
      <c r="NYZ120" s="3"/>
      <c r="NZA120" s="3"/>
      <c r="NZB120" s="3"/>
      <c r="NZC120" s="3"/>
      <c r="NZD120" s="3"/>
      <c r="NZE120" s="3"/>
      <c r="NZF120" s="3"/>
      <c r="NZG120" s="3"/>
      <c r="NZH120" s="3"/>
      <c r="NZI120" s="3"/>
      <c r="NZJ120" s="3"/>
      <c r="NZK120" s="3"/>
      <c r="NZL120" s="3"/>
      <c r="NZM120" s="3"/>
      <c r="NZN120" s="3"/>
      <c r="NZO120" s="3"/>
      <c r="NZP120" s="3"/>
      <c r="NZQ120" s="3"/>
      <c r="NZR120" s="3"/>
      <c r="NZS120" s="3"/>
      <c r="NZT120" s="3"/>
      <c r="NZU120" s="3"/>
      <c r="NZV120" s="3"/>
      <c r="NZW120" s="3"/>
      <c r="NZX120" s="3"/>
      <c r="NZY120" s="3"/>
      <c r="NZZ120" s="3"/>
      <c r="OAA120" s="3"/>
      <c r="OAB120" s="3"/>
      <c r="OAC120" s="3"/>
      <c r="OAD120" s="3"/>
      <c r="OAE120" s="3"/>
      <c r="OAF120" s="3"/>
      <c r="OAG120" s="3"/>
      <c r="OAH120" s="3"/>
      <c r="OAI120" s="3"/>
      <c r="OAJ120" s="3"/>
      <c r="OAK120" s="3"/>
      <c r="OAL120" s="3"/>
      <c r="OAM120" s="3"/>
      <c r="OAN120" s="3"/>
      <c r="OAO120" s="3"/>
      <c r="OAP120" s="3"/>
      <c r="OAQ120" s="3"/>
      <c r="OAR120" s="3"/>
      <c r="OAS120" s="3"/>
      <c r="OAT120" s="3"/>
      <c r="OAU120" s="3"/>
      <c r="OAV120" s="3"/>
      <c r="OAW120" s="3"/>
      <c r="OAX120" s="3"/>
      <c r="OAY120" s="3"/>
      <c r="OAZ120" s="3"/>
      <c r="OBA120" s="3"/>
      <c r="OBB120" s="3"/>
      <c r="OBC120" s="3"/>
      <c r="OBD120" s="3"/>
      <c r="OBE120" s="3"/>
      <c r="OBF120" s="3"/>
      <c r="OBG120" s="3"/>
      <c r="OBH120" s="3"/>
      <c r="OBI120" s="3"/>
      <c r="OBJ120" s="3"/>
      <c r="OBK120" s="3"/>
      <c r="OBL120" s="3"/>
      <c r="OBM120" s="3"/>
      <c r="OBN120" s="3"/>
      <c r="OBO120" s="3"/>
      <c r="OBP120" s="3"/>
      <c r="OBQ120" s="3"/>
      <c r="OBR120" s="3"/>
      <c r="OBS120" s="3"/>
      <c r="OBT120" s="3"/>
      <c r="OBU120" s="3"/>
      <c r="OBV120" s="3"/>
      <c r="OBW120" s="3"/>
      <c r="OBX120" s="3"/>
      <c r="OBY120" s="3"/>
      <c r="OBZ120" s="3"/>
      <c r="OCA120" s="3"/>
      <c r="OCB120" s="3"/>
      <c r="OCC120" s="3"/>
      <c r="OCD120" s="3"/>
      <c r="OCE120" s="3"/>
      <c r="OCF120" s="3"/>
      <c r="OCG120" s="3"/>
      <c r="OCH120" s="3"/>
      <c r="OCI120" s="3"/>
      <c r="OCJ120" s="3"/>
      <c r="OCK120" s="3"/>
      <c r="OCL120" s="3"/>
      <c r="OCM120" s="3"/>
      <c r="OCN120" s="3"/>
      <c r="OCO120" s="3"/>
      <c r="OCP120" s="3"/>
      <c r="OCQ120" s="3"/>
      <c r="OCR120" s="3"/>
      <c r="OCS120" s="3"/>
      <c r="OCT120" s="3"/>
      <c r="OCU120" s="3"/>
      <c r="OCV120" s="3"/>
      <c r="OCW120" s="3"/>
      <c r="OCX120" s="3"/>
      <c r="OCY120" s="3"/>
      <c r="OCZ120" s="3"/>
      <c r="ODA120" s="3"/>
      <c r="ODB120" s="3"/>
      <c r="ODC120" s="3"/>
      <c r="ODD120" s="3"/>
      <c r="ODE120" s="3"/>
      <c r="ODF120" s="3"/>
      <c r="ODG120" s="3"/>
      <c r="ODH120" s="3"/>
      <c r="ODI120" s="3"/>
      <c r="ODJ120" s="3"/>
      <c r="ODK120" s="3"/>
      <c r="ODL120" s="3"/>
      <c r="ODM120" s="3"/>
      <c r="ODN120" s="3"/>
      <c r="ODO120" s="3"/>
      <c r="ODP120" s="3"/>
      <c r="ODQ120" s="3"/>
      <c r="ODR120" s="3"/>
      <c r="ODS120" s="3"/>
      <c r="ODT120" s="3"/>
      <c r="ODU120" s="3"/>
      <c r="ODV120" s="3"/>
      <c r="ODW120" s="3"/>
      <c r="ODX120" s="3"/>
      <c r="ODY120" s="3"/>
      <c r="ODZ120" s="3"/>
      <c r="OEA120" s="3"/>
      <c r="OEB120" s="3"/>
      <c r="OEC120" s="3"/>
      <c r="OED120" s="3"/>
      <c r="OEE120" s="3"/>
      <c r="OEF120" s="3"/>
      <c r="OEG120" s="3"/>
      <c r="OEH120" s="3"/>
      <c r="OEI120" s="3"/>
      <c r="OEJ120" s="3"/>
      <c r="OEK120" s="3"/>
      <c r="OEL120" s="3"/>
      <c r="OEM120" s="3"/>
      <c r="OEN120" s="3"/>
      <c r="OEO120" s="3"/>
      <c r="OEP120" s="3"/>
      <c r="OEQ120" s="3"/>
      <c r="OER120" s="3"/>
      <c r="OES120" s="3"/>
      <c r="OET120" s="3"/>
      <c r="OEU120" s="3"/>
      <c r="OEV120" s="3"/>
      <c r="OEW120" s="3"/>
      <c r="OEX120" s="3"/>
      <c r="OEY120" s="3"/>
      <c r="OEZ120" s="3"/>
      <c r="OFA120" s="3"/>
      <c r="OFB120" s="3"/>
      <c r="OFC120" s="3"/>
      <c r="OFD120" s="3"/>
      <c r="OFE120" s="3"/>
      <c r="OFF120" s="3"/>
      <c r="OFG120" s="3"/>
      <c r="OFH120" s="3"/>
      <c r="OFI120" s="3"/>
      <c r="OFJ120" s="3"/>
      <c r="OFK120" s="3"/>
      <c r="OFL120" s="3"/>
      <c r="OFM120" s="3"/>
      <c r="OFN120" s="3"/>
      <c r="OFO120" s="3"/>
      <c r="OFP120" s="3"/>
      <c r="OFQ120" s="3"/>
      <c r="OFR120" s="3"/>
      <c r="OFS120" s="3"/>
      <c r="OFT120" s="3"/>
      <c r="OFU120" s="3"/>
      <c r="OFV120" s="3"/>
      <c r="OFW120" s="3"/>
      <c r="OFX120" s="3"/>
      <c r="OFY120" s="3"/>
      <c r="OFZ120" s="3"/>
      <c r="OGA120" s="3"/>
      <c r="OGB120" s="3"/>
      <c r="OGC120" s="3"/>
      <c r="OGD120" s="3"/>
      <c r="OGE120" s="3"/>
      <c r="OGF120" s="3"/>
      <c r="OGG120" s="3"/>
      <c r="OGH120" s="3"/>
      <c r="OGI120" s="3"/>
      <c r="OGJ120" s="3"/>
      <c r="OGK120" s="3"/>
      <c r="OGL120" s="3"/>
      <c r="OGM120" s="3"/>
      <c r="OGN120" s="3"/>
      <c r="OGO120" s="3"/>
      <c r="OGP120" s="3"/>
      <c r="OGQ120" s="3"/>
      <c r="OGR120" s="3"/>
      <c r="OGS120" s="3"/>
      <c r="OGT120" s="3"/>
      <c r="OGU120" s="3"/>
      <c r="OGV120" s="3"/>
      <c r="OGW120" s="3"/>
      <c r="OGX120" s="3"/>
      <c r="OGY120" s="3"/>
      <c r="OGZ120" s="3"/>
      <c r="OHA120" s="3"/>
      <c r="OHB120" s="3"/>
      <c r="OHC120" s="3"/>
      <c r="OHD120" s="3"/>
      <c r="OHE120" s="3"/>
      <c r="OHF120" s="3"/>
      <c r="OHG120" s="3"/>
      <c r="OHH120" s="3"/>
      <c r="OHI120" s="3"/>
      <c r="OHJ120" s="3"/>
      <c r="OHK120" s="3"/>
      <c r="OHL120" s="3"/>
      <c r="OHM120" s="3"/>
      <c r="OHN120" s="3"/>
      <c r="OHO120" s="3"/>
      <c r="OHP120" s="3"/>
      <c r="OHQ120" s="3"/>
      <c r="OHR120" s="3"/>
      <c r="OHS120" s="3"/>
      <c r="OHT120" s="3"/>
      <c r="OHU120" s="3"/>
      <c r="OHV120" s="3"/>
      <c r="OHW120" s="3"/>
      <c r="OHX120" s="3"/>
      <c r="OHY120" s="3"/>
      <c r="OHZ120" s="3"/>
      <c r="OIA120" s="3"/>
      <c r="OIB120" s="3"/>
      <c r="OIC120" s="3"/>
      <c r="OID120" s="3"/>
      <c r="OIE120" s="3"/>
      <c r="OIF120" s="3"/>
      <c r="OIG120" s="3"/>
      <c r="OIH120" s="3"/>
      <c r="OII120" s="3"/>
      <c r="OIJ120" s="3"/>
      <c r="OIK120" s="3"/>
      <c r="OIL120" s="3"/>
      <c r="OIM120" s="3"/>
      <c r="OIN120" s="3"/>
      <c r="OIO120" s="3"/>
      <c r="OIP120" s="3"/>
      <c r="OIQ120" s="3"/>
      <c r="OIR120" s="3"/>
      <c r="OIS120" s="3"/>
      <c r="OIT120" s="3"/>
      <c r="OIU120" s="3"/>
      <c r="OIV120" s="3"/>
      <c r="OIW120" s="3"/>
      <c r="OIX120" s="3"/>
      <c r="OIY120" s="3"/>
      <c r="OIZ120" s="3"/>
      <c r="OJA120" s="3"/>
      <c r="OJB120" s="3"/>
      <c r="OJC120" s="3"/>
      <c r="OJD120" s="3"/>
      <c r="OJE120" s="3"/>
      <c r="OJF120" s="3"/>
      <c r="OJG120" s="3"/>
      <c r="OJH120" s="3"/>
      <c r="OJI120" s="3"/>
      <c r="OJJ120" s="3"/>
      <c r="OJK120" s="3"/>
      <c r="OJL120" s="3"/>
      <c r="OJM120" s="3"/>
      <c r="OJN120" s="3"/>
      <c r="OJO120" s="3"/>
      <c r="OJP120" s="3"/>
      <c r="OJQ120" s="3"/>
      <c r="OJR120" s="3"/>
      <c r="OJS120" s="3"/>
      <c r="OJT120" s="3"/>
      <c r="OJU120" s="3"/>
      <c r="OJV120" s="3"/>
      <c r="OJW120" s="3"/>
      <c r="OJX120" s="3"/>
      <c r="OJY120" s="3"/>
      <c r="OJZ120" s="3"/>
      <c r="OKA120" s="3"/>
      <c r="OKB120" s="3"/>
      <c r="OKC120" s="3"/>
      <c r="OKD120" s="3"/>
      <c r="OKE120" s="3"/>
      <c r="OKF120" s="3"/>
      <c r="OKG120" s="3"/>
      <c r="OKH120" s="3"/>
      <c r="OKI120" s="3"/>
      <c r="OKJ120" s="3"/>
      <c r="OKK120" s="3"/>
      <c r="OKL120" s="3"/>
      <c r="OKM120" s="3"/>
      <c r="OKN120" s="3"/>
      <c r="OKO120" s="3"/>
      <c r="OKP120" s="3"/>
      <c r="OKQ120" s="3"/>
      <c r="OKR120" s="3"/>
      <c r="OKS120" s="3"/>
      <c r="OKT120" s="3"/>
      <c r="OKU120" s="3"/>
      <c r="OKV120" s="3"/>
      <c r="OKW120" s="3"/>
      <c r="OKX120" s="3"/>
      <c r="OKY120" s="3"/>
      <c r="OKZ120" s="3"/>
      <c r="OLA120" s="3"/>
      <c r="OLB120" s="3"/>
      <c r="OLC120" s="3"/>
      <c r="OLD120" s="3"/>
      <c r="OLE120" s="3"/>
      <c r="OLF120" s="3"/>
      <c r="OLG120" s="3"/>
      <c r="OLH120" s="3"/>
      <c r="OLI120" s="3"/>
      <c r="OLJ120" s="3"/>
      <c r="OLK120" s="3"/>
      <c r="OLL120" s="3"/>
      <c r="OLM120" s="3"/>
      <c r="OLN120" s="3"/>
      <c r="OLO120" s="3"/>
      <c r="OLP120" s="3"/>
      <c r="OLQ120" s="3"/>
      <c r="OLR120" s="3"/>
      <c r="OLS120" s="3"/>
      <c r="OLT120" s="3"/>
      <c r="OLU120" s="3"/>
      <c r="OLV120" s="3"/>
      <c r="OLW120" s="3"/>
      <c r="OLX120" s="3"/>
      <c r="OLY120" s="3"/>
      <c r="OLZ120" s="3"/>
      <c r="OMA120" s="3"/>
      <c r="OMB120" s="3"/>
      <c r="OMC120" s="3"/>
      <c r="OMD120" s="3"/>
      <c r="OME120" s="3"/>
      <c r="OMF120" s="3"/>
      <c r="OMG120" s="3"/>
      <c r="OMH120" s="3"/>
      <c r="OMI120" s="3"/>
      <c r="OMJ120" s="3"/>
      <c r="OMK120" s="3"/>
      <c r="OML120" s="3"/>
      <c r="OMM120" s="3"/>
      <c r="OMN120" s="3"/>
      <c r="OMO120" s="3"/>
      <c r="OMP120" s="3"/>
      <c r="OMQ120" s="3"/>
      <c r="OMR120" s="3"/>
      <c r="OMS120" s="3"/>
      <c r="OMT120" s="3"/>
      <c r="OMU120" s="3"/>
      <c r="OMV120" s="3"/>
      <c r="OMW120" s="3"/>
      <c r="OMX120" s="3"/>
      <c r="OMY120" s="3"/>
      <c r="OMZ120" s="3"/>
      <c r="ONA120" s="3"/>
      <c r="ONB120" s="3"/>
      <c r="ONC120" s="3"/>
      <c r="OND120" s="3"/>
      <c r="ONE120" s="3"/>
      <c r="ONF120" s="3"/>
      <c r="ONG120" s="3"/>
      <c r="ONH120" s="3"/>
      <c r="ONI120" s="3"/>
      <c r="ONJ120" s="3"/>
      <c r="ONK120" s="3"/>
      <c r="ONL120" s="3"/>
      <c r="ONM120" s="3"/>
      <c r="ONN120" s="3"/>
      <c r="ONO120" s="3"/>
      <c r="ONP120" s="3"/>
      <c r="ONQ120" s="3"/>
      <c r="ONR120" s="3"/>
      <c r="ONS120" s="3"/>
      <c r="ONT120" s="3"/>
      <c r="ONU120" s="3"/>
      <c r="ONV120" s="3"/>
      <c r="ONW120" s="3"/>
      <c r="ONX120" s="3"/>
      <c r="ONY120" s="3"/>
      <c r="ONZ120" s="3"/>
      <c r="OOA120" s="3"/>
      <c r="OOB120" s="3"/>
      <c r="OOC120" s="3"/>
      <c r="OOD120" s="3"/>
      <c r="OOE120" s="3"/>
      <c r="OOF120" s="3"/>
      <c r="OOG120" s="3"/>
      <c r="OOH120" s="3"/>
      <c r="OOI120" s="3"/>
      <c r="OOJ120" s="3"/>
      <c r="OOK120" s="3"/>
      <c r="OOL120" s="3"/>
      <c r="OOM120" s="3"/>
      <c r="OON120" s="3"/>
      <c r="OOO120" s="3"/>
      <c r="OOP120" s="3"/>
      <c r="OOQ120" s="3"/>
      <c r="OOR120" s="3"/>
      <c r="OOS120" s="3"/>
      <c r="OOT120" s="3"/>
      <c r="OOU120" s="3"/>
      <c r="OOV120" s="3"/>
      <c r="OOW120" s="3"/>
      <c r="OOX120" s="3"/>
      <c r="OOY120" s="3"/>
      <c r="OOZ120" s="3"/>
      <c r="OPA120" s="3"/>
      <c r="OPB120" s="3"/>
      <c r="OPC120" s="3"/>
      <c r="OPD120" s="3"/>
      <c r="OPE120" s="3"/>
      <c r="OPF120" s="3"/>
      <c r="OPG120" s="3"/>
      <c r="OPH120" s="3"/>
      <c r="OPI120" s="3"/>
      <c r="OPJ120" s="3"/>
      <c r="OPK120" s="3"/>
      <c r="OPL120" s="3"/>
      <c r="OPM120" s="3"/>
      <c r="OPN120" s="3"/>
      <c r="OPO120" s="3"/>
      <c r="OPP120" s="3"/>
      <c r="OPQ120" s="3"/>
      <c r="OPR120" s="3"/>
      <c r="OPS120" s="3"/>
      <c r="OPT120" s="3"/>
      <c r="OPU120" s="3"/>
      <c r="OPV120" s="3"/>
      <c r="OPW120" s="3"/>
      <c r="OPX120" s="3"/>
      <c r="OPY120" s="3"/>
      <c r="OPZ120" s="3"/>
      <c r="OQA120" s="3"/>
      <c r="OQB120" s="3"/>
      <c r="OQC120" s="3"/>
      <c r="OQD120" s="3"/>
      <c r="OQE120" s="3"/>
      <c r="OQF120" s="3"/>
      <c r="OQG120" s="3"/>
      <c r="OQH120" s="3"/>
      <c r="OQI120" s="3"/>
      <c r="OQJ120" s="3"/>
      <c r="OQK120" s="3"/>
      <c r="OQL120" s="3"/>
      <c r="OQM120" s="3"/>
      <c r="OQN120" s="3"/>
      <c r="OQO120" s="3"/>
      <c r="OQP120" s="3"/>
      <c r="OQQ120" s="3"/>
      <c r="OQR120" s="3"/>
      <c r="OQS120" s="3"/>
      <c r="OQT120" s="3"/>
      <c r="OQU120" s="3"/>
      <c r="OQV120" s="3"/>
      <c r="OQW120" s="3"/>
      <c r="OQX120" s="3"/>
      <c r="OQY120" s="3"/>
      <c r="OQZ120" s="3"/>
      <c r="ORA120" s="3"/>
      <c r="ORB120" s="3"/>
      <c r="ORC120" s="3"/>
      <c r="ORD120" s="3"/>
      <c r="ORE120" s="3"/>
      <c r="ORF120" s="3"/>
      <c r="ORG120" s="3"/>
      <c r="ORH120" s="3"/>
      <c r="ORI120" s="3"/>
      <c r="ORJ120" s="3"/>
      <c r="ORK120" s="3"/>
      <c r="ORL120" s="3"/>
      <c r="ORM120" s="3"/>
      <c r="ORN120" s="3"/>
      <c r="ORO120" s="3"/>
      <c r="ORP120" s="3"/>
      <c r="ORQ120" s="3"/>
      <c r="ORR120" s="3"/>
      <c r="ORS120" s="3"/>
      <c r="ORT120" s="3"/>
      <c r="ORU120" s="3"/>
      <c r="ORV120" s="3"/>
      <c r="ORW120" s="3"/>
      <c r="ORX120" s="3"/>
      <c r="ORY120" s="3"/>
      <c r="ORZ120" s="3"/>
      <c r="OSA120" s="3"/>
      <c r="OSB120" s="3"/>
      <c r="OSC120" s="3"/>
      <c r="OSD120" s="3"/>
      <c r="OSE120" s="3"/>
      <c r="OSF120" s="3"/>
      <c r="OSG120" s="3"/>
      <c r="OSH120" s="3"/>
      <c r="OSI120" s="3"/>
      <c r="OSJ120" s="3"/>
      <c r="OSK120" s="3"/>
      <c r="OSL120" s="3"/>
      <c r="OSM120" s="3"/>
      <c r="OSN120" s="3"/>
      <c r="OSO120" s="3"/>
      <c r="OSP120" s="3"/>
      <c r="OSQ120" s="3"/>
      <c r="OSR120" s="3"/>
      <c r="OSS120" s="3"/>
      <c r="OST120" s="3"/>
      <c r="OSU120" s="3"/>
      <c r="OSV120" s="3"/>
      <c r="OSW120" s="3"/>
      <c r="OSX120" s="3"/>
      <c r="OSY120" s="3"/>
      <c r="OSZ120" s="3"/>
      <c r="OTA120" s="3"/>
      <c r="OTB120" s="3"/>
      <c r="OTC120" s="3"/>
      <c r="OTD120" s="3"/>
      <c r="OTE120" s="3"/>
      <c r="OTF120" s="3"/>
      <c r="OTG120" s="3"/>
      <c r="OTH120" s="3"/>
      <c r="OTI120" s="3"/>
      <c r="OTJ120" s="3"/>
      <c r="OTK120" s="3"/>
      <c r="OTL120" s="3"/>
      <c r="OTM120" s="3"/>
      <c r="OTN120" s="3"/>
      <c r="OTO120" s="3"/>
      <c r="OTP120" s="3"/>
      <c r="OTQ120" s="3"/>
      <c r="OTR120" s="3"/>
      <c r="OTS120" s="3"/>
      <c r="OTT120" s="3"/>
      <c r="OTU120" s="3"/>
      <c r="OTV120" s="3"/>
      <c r="OTW120" s="3"/>
      <c r="OTX120" s="3"/>
      <c r="OTY120" s="3"/>
      <c r="OTZ120" s="3"/>
      <c r="OUA120" s="3"/>
      <c r="OUB120" s="3"/>
      <c r="OUC120" s="3"/>
      <c r="OUD120" s="3"/>
      <c r="OUE120" s="3"/>
      <c r="OUF120" s="3"/>
      <c r="OUG120" s="3"/>
      <c r="OUH120" s="3"/>
      <c r="OUI120" s="3"/>
      <c r="OUJ120" s="3"/>
      <c r="OUK120" s="3"/>
      <c r="OUL120" s="3"/>
      <c r="OUM120" s="3"/>
      <c r="OUN120" s="3"/>
      <c r="OUO120" s="3"/>
      <c r="OUP120" s="3"/>
      <c r="OUQ120" s="3"/>
      <c r="OUR120" s="3"/>
      <c r="OUS120" s="3"/>
      <c r="OUT120" s="3"/>
      <c r="OUU120" s="3"/>
      <c r="OUV120" s="3"/>
      <c r="OUW120" s="3"/>
      <c r="OUX120" s="3"/>
      <c r="OUY120" s="3"/>
      <c r="OUZ120" s="3"/>
      <c r="OVA120" s="3"/>
      <c r="OVB120" s="3"/>
      <c r="OVC120" s="3"/>
      <c r="OVD120" s="3"/>
      <c r="OVE120" s="3"/>
      <c r="OVF120" s="3"/>
      <c r="OVG120" s="3"/>
      <c r="OVH120" s="3"/>
      <c r="OVI120" s="3"/>
      <c r="OVJ120" s="3"/>
      <c r="OVK120" s="3"/>
      <c r="OVL120" s="3"/>
      <c r="OVM120" s="3"/>
      <c r="OVN120" s="3"/>
      <c r="OVO120" s="3"/>
      <c r="OVP120" s="3"/>
      <c r="OVQ120" s="3"/>
      <c r="OVR120" s="3"/>
      <c r="OVS120" s="3"/>
      <c r="OVT120" s="3"/>
      <c r="OVU120" s="3"/>
      <c r="OVV120" s="3"/>
      <c r="OVW120" s="3"/>
      <c r="OVX120" s="3"/>
      <c r="OVY120" s="3"/>
      <c r="OVZ120" s="3"/>
      <c r="OWA120" s="3"/>
      <c r="OWB120" s="3"/>
      <c r="OWC120" s="3"/>
      <c r="OWD120" s="3"/>
      <c r="OWE120" s="3"/>
      <c r="OWF120" s="3"/>
      <c r="OWG120" s="3"/>
      <c r="OWH120" s="3"/>
      <c r="OWI120" s="3"/>
      <c r="OWJ120" s="3"/>
      <c r="OWK120" s="3"/>
      <c r="OWL120" s="3"/>
      <c r="OWM120" s="3"/>
      <c r="OWN120" s="3"/>
      <c r="OWO120" s="3"/>
      <c r="OWP120" s="3"/>
      <c r="OWQ120" s="3"/>
      <c r="OWR120" s="3"/>
      <c r="OWS120" s="3"/>
      <c r="OWT120" s="3"/>
      <c r="OWU120" s="3"/>
      <c r="OWV120" s="3"/>
      <c r="OWW120" s="3"/>
      <c r="OWX120" s="3"/>
      <c r="OWY120" s="3"/>
      <c r="OWZ120" s="3"/>
      <c r="OXA120" s="3"/>
      <c r="OXB120" s="3"/>
      <c r="OXC120" s="3"/>
      <c r="OXD120" s="3"/>
      <c r="OXE120" s="3"/>
      <c r="OXF120" s="3"/>
      <c r="OXG120" s="3"/>
      <c r="OXH120" s="3"/>
      <c r="OXI120" s="3"/>
      <c r="OXJ120" s="3"/>
      <c r="OXK120" s="3"/>
      <c r="OXL120" s="3"/>
      <c r="OXM120" s="3"/>
      <c r="OXN120" s="3"/>
      <c r="OXO120" s="3"/>
      <c r="OXP120" s="3"/>
      <c r="OXQ120" s="3"/>
      <c r="OXR120" s="3"/>
      <c r="OXS120" s="3"/>
      <c r="OXT120" s="3"/>
      <c r="OXU120" s="3"/>
      <c r="OXV120" s="3"/>
      <c r="OXW120" s="3"/>
      <c r="OXX120" s="3"/>
      <c r="OXY120" s="3"/>
      <c r="OXZ120" s="3"/>
      <c r="OYA120" s="3"/>
      <c r="OYB120" s="3"/>
      <c r="OYC120" s="3"/>
      <c r="OYD120" s="3"/>
      <c r="OYE120" s="3"/>
      <c r="OYF120" s="3"/>
      <c r="OYG120" s="3"/>
      <c r="OYH120" s="3"/>
      <c r="OYI120" s="3"/>
      <c r="OYJ120" s="3"/>
      <c r="OYK120" s="3"/>
      <c r="OYL120" s="3"/>
      <c r="OYM120" s="3"/>
      <c r="OYN120" s="3"/>
      <c r="OYO120" s="3"/>
      <c r="OYP120" s="3"/>
      <c r="OYQ120" s="3"/>
      <c r="OYR120" s="3"/>
      <c r="OYS120" s="3"/>
      <c r="OYT120" s="3"/>
      <c r="OYU120" s="3"/>
      <c r="OYV120" s="3"/>
      <c r="OYW120" s="3"/>
      <c r="OYX120" s="3"/>
      <c r="OYY120" s="3"/>
      <c r="OYZ120" s="3"/>
      <c r="OZA120" s="3"/>
      <c r="OZB120" s="3"/>
      <c r="OZC120" s="3"/>
      <c r="OZD120" s="3"/>
      <c r="OZE120" s="3"/>
      <c r="OZF120" s="3"/>
      <c r="OZG120" s="3"/>
      <c r="OZH120" s="3"/>
      <c r="OZI120" s="3"/>
      <c r="OZJ120" s="3"/>
      <c r="OZK120" s="3"/>
      <c r="OZL120" s="3"/>
      <c r="OZM120" s="3"/>
      <c r="OZN120" s="3"/>
      <c r="OZO120" s="3"/>
      <c r="OZP120" s="3"/>
      <c r="OZQ120" s="3"/>
      <c r="OZR120" s="3"/>
      <c r="OZS120" s="3"/>
      <c r="OZT120" s="3"/>
      <c r="OZU120" s="3"/>
      <c r="OZV120" s="3"/>
      <c r="OZW120" s="3"/>
      <c r="OZX120" s="3"/>
      <c r="OZY120" s="3"/>
      <c r="OZZ120" s="3"/>
      <c r="PAA120" s="3"/>
      <c r="PAB120" s="3"/>
      <c r="PAC120" s="3"/>
      <c r="PAD120" s="3"/>
      <c r="PAE120" s="3"/>
      <c r="PAF120" s="3"/>
      <c r="PAG120" s="3"/>
      <c r="PAH120" s="3"/>
      <c r="PAI120" s="3"/>
      <c r="PAJ120" s="3"/>
      <c r="PAK120" s="3"/>
      <c r="PAL120" s="3"/>
      <c r="PAM120" s="3"/>
      <c r="PAN120" s="3"/>
      <c r="PAO120" s="3"/>
      <c r="PAP120" s="3"/>
      <c r="PAQ120" s="3"/>
      <c r="PAR120" s="3"/>
      <c r="PAS120" s="3"/>
      <c r="PAT120" s="3"/>
      <c r="PAU120" s="3"/>
      <c r="PAV120" s="3"/>
      <c r="PAW120" s="3"/>
      <c r="PAX120" s="3"/>
      <c r="PAY120" s="3"/>
      <c r="PAZ120" s="3"/>
      <c r="PBA120" s="3"/>
      <c r="PBB120" s="3"/>
      <c r="PBC120" s="3"/>
      <c r="PBD120" s="3"/>
      <c r="PBE120" s="3"/>
      <c r="PBF120" s="3"/>
      <c r="PBG120" s="3"/>
      <c r="PBH120" s="3"/>
      <c r="PBI120" s="3"/>
      <c r="PBJ120" s="3"/>
      <c r="PBK120" s="3"/>
      <c r="PBL120" s="3"/>
      <c r="PBM120" s="3"/>
      <c r="PBN120" s="3"/>
      <c r="PBO120" s="3"/>
      <c r="PBP120" s="3"/>
      <c r="PBQ120" s="3"/>
      <c r="PBR120" s="3"/>
      <c r="PBS120" s="3"/>
      <c r="PBT120" s="3"/>
      <c r="PBU120" s="3"/>
      <c r="PBV120" s="3"/>
      <c r="PBW120" s="3"/>
      <c r="PBX120" s="3"/>
      <c r="PBY120" s="3"/>
      <c r="PBZ120" s="3"/>
      <c r="PCA120" s="3"/>
      <c r="PCB120" s="3"/>
      <c r="PCC120" s="3"/>
      <c r="PCD120" s="3"/>
      <c r="PCE120" s="3"/>
      <c r="PCF120" s="3"/>
      <c r="PCG120" s="3"/>
      <c r="PCH120" s="3"/>
      <c r="PCI120" s="3"/>
      <c r="PCJ120" s="3"/>
      <c r="PCK120" s="3"/>
      <c r="PCL120" s="3"/>
      <c r="PCM120" s="3"/>
      <c r="PCN120" s="3"/>
      <c r="PCO120" s="3"/>
      <c r="PCP120" s="3"/>
      <c r="PCQ120" s="3"/>
      <c r="PCR120" s="3"/>
      <c r="PCS120" s="3"/>
      <c r="PCT120" s="3"/>
      <c r="PCU120" s="3"/>
      <c r="PCV120" s="3"/>
      <c r="PCW120" s="3"/>
      <c r="PCX120" s="3"/>
      <c r="PCY120" s="3"/>
      <c r="PCZ120" s="3"/>
      <c r="PDA120" s="3"/>
      <c r="PDB120" s="3"/>
      <c r="PDC120" s="3"/>
      <c r="PDD120" s="3"/>
      <c r="PDE120" s="3"/>
      <c r="PDF120" s="3"/>
      <c r="PDG120" s="3"/>
      <c r="PDH120" s="3"/>
      <c r="PDI120" s="3"/>
      <c r="PDJ120" s="3"/>
      <c r="PDK120" s="3"/>
      <c r="PDL120" s="3"/>
      <c r="PDM120" s="3"/>
      <c r="PDN120" s="3"/>
      <c r="PDO120" s="3"/>
      <c r="PDP120" s="3"/>
      <c r="PDQ120" s="3"/>
      <c r="PDR120" s="3"/>
      <c r="PDS120" s="3"/>
      <c r="PDT120" s="3"/>
      <c r="PDU120" s="3"/>
      <c r="PDV120" s="3"/>
      <c r="PDW120" s="3"/>
      <c r="PDX120" s="3"/>
      <c r="PDY120" s="3"/>
      <c r="PDZ120" s="3"/>
      <c r="PEA120" s="3"/>
      <c r="PEB120" s="3"/>
      <c r="PEC120" s="3"/>
      <c r="PED120" s="3"/>
      <c r="PEE120" s="3"/>
      <c r="PEF120" s="3"/>
      <c r="PEG120" s="3"/>
      <c r="PEH120" s="3"/>
      <c r="PEI120" s="3"/>
      <c r="PEJ120" s="3"/>
      <c r="PEK120" s="3"/>
      <c r="PEL120" s="3"/>
      <c r="PEM120" s="3"/>
      <c r="PEN120" s="3"/>
      <c r="PEO120" s="3"/>
      <c r="PEP120" s="3"/>
      <c r="PEQ120" s="3"/>
      <c r="PER120" s="3"/>
      <c r="PES120" s="3"/>
      <c r="PET120" s="3"/>
      <c r="PEU120" s="3"/>
      <c r="PEV120" s="3"/>
      <c r="PEW120" s="3"/>
      <c r="PEX120" s="3"/>
      <c r="PEY120" s="3"/>
      <c r="PEZ120" s="3"/>
      <c r="PFA120" s="3"/>
      <c r="PFB120" s="3"/>
      <c r="PFC120" s="3"/>
      <c r="PFD120" s="3"/>
      <c r="PFE120" s="3"/>
      <c r="PFF120" s="3"/>
      <c r="PFG120" s="3"/>
      <c r="PFH120" s="3"/>
      <c r="PFI120" s="3"/>
      <c r="PFJ120" s="3"/>
      <c r="PFK120" s="3"/>
      <c r="PFL120" s="3"/>
      <c r="PFM120" s="3"/>
      <c r="PFN120" s="3"/>
      <c r="PFO120" s="3"/>
      <c r="PFP120" s="3"/>
      <c r="PFQ120" s="3"/>
      <c r="PFR120" s="3"/>
      <c r="PFS120" s="3"/>
      <c r="PFT120" s="3"/>
      <c r="PFU120" s="3"/>
      <c r="PFV120" s="3"/>
      <c r="PFW120" s="3"/>
      <c r="PFX120" s="3"/>
      <c r="PFY120" s="3"/>
      <c r="PFZ120" s="3"/>
      <c r="PGA120" s="3"/>
      <c r="PGB120" s="3"/>
      <c r="PGC120" s="3"/>
      <c r="PGD120" s="3"/>
      <c r="PGE120" s="3"/>
      <c r="PGF120" s="3"/>
      <c r="PGG120" s="3"/>
      <c r="PGH120" s="3"/>
      <c r="PGI120" s="3"/>
      <c r="PGJ120" s="3"/>
      <c r="PGK120" s="3"/>
      <c r="PGL120" s="3"/>
      <c r="PGM120" s="3"/>
      <c r="PGN120" s="3"/>
      <c r="PGO120" s="3"/>
      <c r="PGP120" s="3"/>
      <c r="PGQ120" s="3"/>
      <c r="PGR120" s="3"/>
      <c r="PGS120" s="3"/>
      <c r="PGT120" s="3"/>
      <c r="PGU120" s="3"/>
      <c r="PGV120" s="3"/>
      <c r="PGW120" s="3"/>
      <c r="PGX120" s="3"/>
      <c r="PGY120" s="3"/>
      <c r="PGZ120" s="3"/>
      <c r="PHA120" s="3"/>
      <c r="PHB120" s="3"/>
      <c r="PHC120" s="3"/>
      <c r="PHD120" s="3"/>
      <c r="PHE120" s="3"/>
      <c r="PHF120" s="3"/>
      <c r="PHG120" s="3"/>
      <c r="PHH120" s="3"/>
      <c r="PHI120" s="3"/>
      <c r="PHJ120" s="3"/>
      <c r="PHK120" s="3"/>
      <c r="PHL120" s="3"/>
      <c r="PHM120" s="3"/>
      <c r="PHN120" s="3"/>
      <c r="PHO120" s="3"/>
      <c r="PHP120" s="3"/>
      <c r="PHQ120" s="3"/>
      <c r="PHR120" s="3"/>
      <c r="PHS120" s="3"/>
      <c r="PHT120" s="3"/>
      <c r="PHU120" s="3"/>
      <c r="PHV120" s="3"/>
      <c r="PHW120" s="3"/>
      <c r="PHX120" s="3"/>
      <c r="PHY120" s="3"/>
      <c r="PHZ120" s="3"/>
      <c r="PIA120" s="3"/>
      <c r="PIB120" s="3"/>
      <c r="PIC120" s="3"/>
      <c r="PID120" s="3"/>
      <c r="PIE120" s="3"/>
      <c r="PIF120" s="3"/>
      <c r="PIG120" s="3"/>
      <c r="PIH120" s="3"/>
      <c r="PII120" s="3"/>
      <c r="PIJ120" s="3"/>
      <c r="PIK120" s="3"/>
      <c r="PIL120" s="3"/>
      <c r="PIM120" s="3"/>
      <c r="PIN120" s="3"/>
      <c r="PIO120" s="3"/>
      <c r="PIP120" s="3"/>
      <c r="PIQ120" s="3"/>
      <c r="PIR120" s="3"/>
      <c r="PIS120" s="3"/>
      <c r="PIT120" s="3"/>
      <c r="PIU120" s="3"/>
      <c r="PIV120" s="3"/>
      <c r="PIW120" s="3"/>
      <c r="PIX120" s="3"/>
      <c r="PIY120" s="3"/>
      <c r="PIZ120" s="3"/>
      <c r="PJA120" s="3"/>
      <c r="PJB120" s="3"/>
      <c r="PJC120" s="3"/>
      <c r="PJD120" s="3"/>
      <c r="PJE120" s="3"/>
      <c r="PJF120" s="3"/>
      <c r="PJG120" s="3"/>
      <c r="PJH120" s="3"/>
      <c r="PJI120" s="3"/>
      <c r="PJJ120" s="3"/>
      <c r="PJK120" s="3"/>
      <c r="PJL120" s="3"/>
      <c r="PJM120" s="3"/>
      <c r="PJN120" s="3"/>
      <c r="PJO120" s="3"/>
      <c r="PJP120" s="3"/>
      <c r="PJQ120" s="3"/>
      <c r="PJR120" s="3"/>
      <c r="PJS120" s="3"/>
      <c r="PJT120" s="3"/>
      <c r="PJU120" s="3"/>
      <c r="PJV120" s="3"/>
      <c r="PJW120" s="3"/>
      <c r="PJX120" s="3"/>
      <c r="PJY120" s="3"/>
      <c r="PJZ120" s="3"/>
      <c r="PKA120" s="3"/>
      <c r="PKB120" s="3"/>
      <c r="PKC120" s="3"/>
      <c r="PKD120" s="3"/>
      <c r="PKE120" s="3"/>
      <c r="PKF120" s="3"/>
      <c r="PKG120" s="3"/>
      <c r="PKH120" s="3"/>
      <c r="PKI120" s="3"/>
      <c r="PKJ120" s="3"/>
      <c r="PKK120" s="3"/>
      <c r="PKL120" s="3"/>
      <c r="PKM120" s="3"/>
      <c r="PKN120" s="3"/>
      <c r="PKO120" s="3"/>
      <c r="PKP120" s="3"/>
      <c r="PKQ120" s="3"/>
      <c r="PKR120" s="3"/>
      <c r="PKS120" s="3"/>
      <c r="PKT120" s="3"/>
      <c r="PKU120" s="3"/>
      <c r="PKV120" s="3"/>
      <c r="PKW120" s="3"/>
      <c r="PKX120" s="3"/>
      <c r="PKY120" s="3"/>
      <c r="PKZ120" s="3"/>
      <c r="PLA120" s="3"/>
      <c r="PLB120" s="3"/>
      <c r="PLC120" s="3"/>
      <c r="PLD120" s="3"/>
      <c r="PLE120" s="3"/>
      <c r="PLF120" s="3"/>
      <c r="PLG120" s="3"/>
      <c r="PLH120" s="3"/>
      <c r="PLI120" s="3"/>
      <c r="PLJ120" s="3"/>
      <c r="PLK120" s="3"/>
      <c r="PLL120" s="3"/>
      <c r="PLM120" s="3"/>
      <c r="PLN120" s="3"/>
      <c r="PLO120" s="3"/>
      <c r="PLP120" s="3"/>
      <c r="PLQ120" s="3"/>
      <c r="PLR120" s="3"/>
      <c r="PLS120" s="3"/>
      <c r="PLT120" s="3"/>
      <c r="PLU120" s="3"/>
      <c r="PLV120" s="3"/>
      <c r="PLW120" s="3"/>
      <c r="PLX120" s="3"/>
      <c r="PLY120" s="3"/>
      <c r="PLZ120" s="3"/>
      <c r="PMA120" s="3"/>
      <c r="PMB120" s="3"/>
      <c r="PMC120" s="3"/>
      <c r="PMD120" s="3"/>
      <c r="PME120" s="3"/>
      <c r="PMF120" s="3"/>
      <c r="PMG120" s="3"/>
      <c r="PMH120" s="3"/>
      <c r="PMI120" s="3"/>
      <c r="PMJ120" s="3"/>
      <c r="PMK120" s="3"/>
      <c r="PML120" s="3"/>
      <c r="PMM120" s="3"/>
      <c r="PMN120" s="3"/>
      <c r="PMO120" s="3"/>
      <c r="PMP120" s="3"/>
      <c r="PMQ120" s="3"/>
      <c r="PMR120" s="3"/>
      <c r="PMS120" s="3"/>
      <c r="PMT120" s="3"/>
      <c r="PMU120" s="3"/>
      <c r="PMV120" s="3"/>
      <c r="PMW120" s="3"/>
      <c r="PMX120" s="3"/>
      <c r="PMY120" s="3"/>
      <c r="PMZ120" s="3"/>
      <c r="PNA120" s="3"/>
      <c r="PNB120" s="3"/>
      <c r="PNC120" s="3"/>
      <c r="PND120" s="3"/>
      <c r="PNE120" s="3"/>
      <c r="PNF120" s="3"/>
      <c r="PNG120" s="3"/>
      <c r="PNH120" s="3"/>
      <c r="PNI120" s="3"/>
      <c r="PNJ120" s="3"/>
      <c r="PNK120" s="3"/>
      <c r="PNL120" s="3"/>
      <c r="PNM120" s="3"/>
      <c r="PNN120" s="3"/>
      <c r="PNO120" s="3"/>
      <c r="PNP120" s="3"/>
      <c r="PNQ120" s="3"/>
      <c r="PNR120" s="3"/>
      <c r="PNS120" s="3"/>
      <c r="PNT120" s="3"/>
      <c r="PNU120" s="3"/>
      <c r="PNV120" s="3"/>
      <c r="PNW120" s="3"/>
      <c r="PNX120" s="3"/>
      <c r="PNY120" s="3"/>
      <c r="PNZ120" s="3"/>
      <c r="POA120" s="3"/>
      <c r="POB120" s="3"/>
      <c r="POC120" s="3"/>
      <c r="POD120" s="3"/>
      <c r="POE120" s="3"/>
      <c r="POF120" s="3"/>
      <c r="POG120" s="3"/>
      <c r="POH120" s="3"/>
      <c r="POI120" s="3"/>
      <c r="POJ120" s="3"/>
      <c r="POK120" s="3"/>
      <c r="POL120" s="3"/>
      <c r="POM120" s="3"/>
      <c r="PON120" s="3"/>
      <c r="POO120" s="3"/>
      <c r="POP120" s="3"/>
      <c r="POQ120" s="3"/>
      <c r="POR120" s="3"/>
      <c r="POS120" s="3"/>
      <c r="POT120" s="3"/>
      <c r="POU120" s="3"/>
      <c r="POV120" s="3"/>
      <c r="POW120" s="3"/>
      <c r="POX120" s="3"/>
      <c r="POY120" s="3"/>
      <c r="POZ120" s="3"/>
      <c r="PPA120" s="3"/>
      <c r="PPB120" s="3"/>
      <c r="PPC120" s="3"/>
      <c r="PPD120" s="3"/>
      <c r="PPE120" s="3"/>
      <c r="PPF120" s="3"/>
      <c r="PPG120" s="3"/>
      <c r="PPH120" s="3"/>
      <c r="PPI120" s="3"/>
      <c r="PPJ120" s="3"/>
      <c r="PPK120" s="3"/>
      <c r="PPL120" s="3"/>
      <c r="PPM120" s="3"/>
      <c r="PPN120" s="3"/>
      <c r="PPO120" s="3"/>
      <c r="PPP120" s="3"/>
      <c r="PPQ120" s="3"/>
      <c r="PPR120" s="3"/>
      <c r="PPS120" s="3"/>
      <c r="PPT120" s="3"/>
      <c r="PPU120" s="3"/>
      <c r="PPV120" s="3"/>
      <c r="PPW120" s="3"/>
      <c r="PPX120" s="3"/>
      <c r="PPY120" s="3"/>
      <c r="PPZ120" s="3"/>
      <c r="PQA120" s="3"/>
      <c r="PQB120" s="3"/>
      <c r="PQC120" s="3"/>
      <c r="PQD120" s="3"/>
      <c r="PQE120" s="3"/>
      <c r="PQF120" s="3"/>
      <c r="PQG120" s="3"/>
      <c r="PQH120" s="3"/>
      <c r="PQI120" s="3"/>
      <c r="PQJ120" s="3"/>
      <c r="PQK120" s="3"/>
      <c r="PQL120" s="3"/>
      <c r="PQM120" s="3"/>
      <c r="PQN120" s="3"/>
      <c r="PQO120" s="3"/>
      <c r="PQP120" s="3"/>
      <c r="PQQ120" s="3"/>
      <c r="PQR120" s="3"/>
      <c r="PQS120" s="3"/>
      <c r="PQT120" s="3"/>
      <c r="PQU120" s="3"/>
      <c r="PQV120" s="3"/>
      <c r="PQW120" s="3"/>
      <c r="PQX120" s="3"/>
      <c r="PQY120" s="3"/>
      <c r="PQZ120" s="3"/>
      <c r="PRA120" s="3"/>
      <c r="PRB120" s="3"/>
      <c r="PRC120" s="3"/>
      <c r="PRD120" s="3"/>
      <c r="PRE120" s="3"/>
      <c r="PRF120" s="3"/>
      <c r="PRG120" s="3"/>
      <c r="PRH120" s="3"/>
      <c r="PRI120" s="3"/>
      <c r="PRJ120" s="3"/>
      <c r="PRK120" s="3"/>
      <c r="PRL120" s="3"/>
      <c r="PRM120" s="3"/>
      <c r="PRN120" s="3"/>
      <c r="PRO120" s="3"/>
      <c r="PRP120" s="3"/>
      <c r="PRQ120" s="3"/>
      <c r="PRR120" s="3"/>
      <c r="PRS120" s="3"/>
      <c r="PRT120" s="3"/>
      <c r="PRU120" s="3"/>
      <c r="PRV120" s="3"/>
      <c r="PRW120" s="3"/>
      <c r="PRX120" s="3"/>
      <c r="PRY120" s="3"/>
      <c r="PRZ120" s="3"/>
      <c r="PSA120" s="3"/>
      <c r="PSB120" s="3"/>
      <c r="PSC120" s="3"/>
      <c r="PSD120" s="3"/>
      <c r="PSE120" s="3"/>
      <c r="PSF120" s="3"/>
      <c r="PSG120" s="3"/>
      <c r="PSH120" s="3"/>
      <c r="PSI120" s="3"/>
      <c r="PSJ120" s="3"/>
      <c r="PSK120" s="3"/>
      <c r="PSL120" s="3"/>
      <c r="PSM120" s="3"/>
      <c r="PSN120" s="3"/>
      <c r="PSO120" s="3"/>
      <c r="PSP120" s="3"/>
      <c r="PSQ120" s="3"/>
      <c r="PSR120" s="3"/>
      <c r="PSS120" s="3"/>
      <c r="PST120" s="3"/>
      <c r="PSU120" s="3"/>
      <c r="PSV120" s="3"/>
      <c r="PSW120" s="3"/>
      <c r="PSX120" s="3"/>
      <c r="PSY120" s="3"/>
      <c r="PSZ120" s="3"/>
      <c r="PTA120" s="3"/>
      <c r="PTB120" s="3"/>
      <c r="PTC120" s="3"/>
      <c r="PTD120" s="3"/>
      <c r="PTE120" s="3"/>
      <c r="PTF120" s="3"/>
      <c r="PTG120" s="3"/>
      <c r="PTH120" s="3"/>
      <c r="PTI120" s="3"/>
      <c r="PTJ120" s="3"/>
      <c r="PTK120" s="3"/>
      <c r="PTL120" s="3"/>
      <c r="PTM120" s="3"/>
      <c r="PTN120" s="3"/>
      <c r="PTO120" s="3"/>
      <c r="PTP120" s="3"/>
      <c r="PTQ120" s="3"/>
      <c r="PTR120" s="3"/>
      <c r="PTS120" s="3"/>
      <c r="PTT120" s="3"/>
      <c r="PTU120" s="3"/>
      <c r="PTV120" s="3"/>
      <c r="PTW120" s="3"/>
      <c r="PTX120" s="3"/>
      <c r="PTY120" s="3"/>
      <c r="PTZ120" s="3"/>
      <c r="PUA120" s="3"/>
      <c r="PUB120" s="3"/>
      <c r="PUC120" s="3"/>
      <c r="PUD120" s="3"/>
      <c r="PUE120" s="3"/>
      <c r="PUF120" s="3"/>
      <c r="PUG120" s="3"/>
      <c r="PUH120" s="3"/>
      <c r="PUI120" s="3"/>
      <c r="PUJ120" s="3"/>
      <c r="PUK120" s="3"/>
      <c r="PUL120" s="3"/>
      <c r="PUM120" s="3"/>
      <c r="PUN120" s="3"/>
      <c r="PUO120" s="3"/>
      <c r="PUP120" s="3"/>
      <c r="PUQ120" s="3"/>
      <c r="PUR120" s="3"/>
      <c r="PUS120" s="3"/>
      <c r="PUT120" s="3"/>
      <c r="PUU120" s="3"/>
      <c r="PUV120" s="3"/>
      <c r="PUW120" s="3"/>
      <c r="PUX120" s="3"/>
      <c r="PUY120" s="3"/>
      <c r="PUZ120" s="3"/>
      <c r="PVA120" s="3"/>
      <c r="PVB120" s="3"/>
      <c r="PVC120" s="3"/>
      <c r="PVD120" s="3"/>
      <c r="PVE120" s="3"/>
      <c r="PVF120" s="3"/>
      <c r="PVG120" s="3"/>
      <c r="PVH120" s="3"/>
      <c r="PVI120" s="3"/>
      <c r="PVJ120" s="3"/>
      <c r="PVK120" s="3"/>
      <c r="PVL120" s="3"/>
      <c r="PVM120" s="3"/>
      <c r="PVN120" s="3"/>
      <c r="PVO120" s="3"/>
      <c r="PVP120" s="3"/>
      <c r="PVQ120" s="3"/>
      <c r="PVR120" s="3"/>
      <c r="PVS120" s="3"/>
      <c r="PVT120" s="3"/>
      <c r="PVU120" s="3"/>
      <c r="PVV120" s="3"/>
      <c r="PVW120" s="3"/>
      <c r="PVX120" s="3"/>
      <c r="PVY120" s="3"/>
      <c r="PVZ120" s="3"/>
      <c r="PWA120" s="3"/>
      <c r="PWB120" s="3"/>
      <c r="PWC120" s="3"/>
      <c r="PWD120" s="3"/>
      <c r="PWE120" s="3"/>
      <c r="PWF120" s="3"/>
      <c r="PWG120" s="3"/>
      <c r="PWH120" s="3"/>
      <c r="PWI120" s="3"/>
      <c r="PWJ120" s="3"/>
      <c r="PWK120" s="3"/>
      <c r="PWL120" s="3"/>
      <c r="PWM120" s="3"/>
      <c r="PWN120" s="3"/>
      <c r="PWO120" s="3"/>
      <c r="PWP120" s="3"/>
      <c r="PWQ120" s="3"/>
      <c r="PWR120" s="3"/>
      <c r="PWS120" s="3"/>
      <c r="PWT120" s="3"/>
      <c r="PWU120" s="3"/>
      <c r="PWV120" s="3"/>
      <c r="PWW120" s="3"/>
      <c r="PWX120" s="3"/>
      <c r="PWY120" s="3"/>
      <c r="PWZ120" s="3"/>
      <c r="PXA120" s="3"/>
      <c r="PXB120" s="3"/>
      <c r="PXC120" s="3"/>
      <c r="PXD120" s="3"/>
      <c r="PXE120" s="3"/>
      <c r="PXF120" s="3"/>
      <c r="PXG120" s="3"/>
      <c r="PXH120" s="3"/>
      <c r="PXI120" s="3"/>
      <c r="PXJ120" s="3"/>
      <c r="PXK120" s="3"/>
      <c r="PXL120" s="3"/>
      <c r="PXM120" s="3"/>
      <c r="PXN120" s="3"/>
      <c r="PXO120" s="3"/>
      <c r="PXP120" s="3"/>
      <c r="PXQ120" s="3"/>
      <c r="PXR120" s="3"/>
      <c r="PXS120" s="3"/>
      <c r="PXT120" s="3"/>
      <c r="PXU120" s="3"/>
      <c r="PXV120" s="3"/>
      <c r="PXW120" s="3"/>
      <c r="PXX120" s="3"/>
      <c r="PXY120" s="3"/>
      <c r="PXZ120" s="3"/>
      <c r="PYA120" s="3"/>
      <c r="PYB120" s="3"/>
      <c r="PYC120" s="3"/>
      <c r="PYD120" s="3"/>
      <c r="PYE120" s="3"/>
      <c r="PYF120" s="3"/>
      <c r="PYG120" s="3"/>
      <c r="PYH120" s="3"/>
      <c r="PYI120" s="3"/>
      <c r="PYJ120" s="3"/>
      <c r="PYK120" s="3"/>
      <c r="PYL120" s="3"/>
      <c r="PYM120" s="3"/>
      <c r="PYN120" s="3"/>
      <c r="PYO120" s="3"/>
      <c r="PYP120" s="3"/>
      <c r="PYQ120" s="3"/>
      <c r="PYR120" s="3"/>
      <c r="PYS120" s="3"/>
      <c r="PYT120" s="3"/>
      <c r="PYU120" s="3"/>
      <c r="PYV120" s="3"/>
      <c r="PYW120" s="3"/>
      <c r="PYX120" s="3"/>
      <c r="PYY120" s="3"/>
      <c r="PYZ120" s="3"/>
      <c r="PZA120" s="3"/>
      <c r="PZB120" s="3"/>
      <c r="PZC120" s="3"/>
      <c r="PZD120" s="3"/>
      <c r="PZE120" s="3"/>
      <c r="PZF120" s="3"/>
      <c r="PZG120" s="3"/>
      <c r="PZH120" s="3"/>
      <c r="PZI120" s="3"/>
      <c r="PZJ120" s="3"/>
      <c r="PZK120" s="3"/>
      <c r="PZL120" s="3"/>
      <c r="PZM120" s="3"/>
      <c r="PZN120" s="3"/>
      <c r="PZO120" s="3"/>
      <c r="PZP120" s="3"/>
      <c r="PZQ120" s="3"/>
      <c r="PZR120" s="3"/>
      <c r="PZS120" s="3"/>
      <c r="PZT120" s="3"/>
      <c r="PZU120" s="3"/>
      <c r="PZV120" s="3"/>
      <c r="PZW120" s="3"/>
      <c r="PZX120" s="3"/>
      <c r="PZY120" s="3"/>
      <c r="PZZ120" s="3"/>
      <c r="QAA120" s="3"/>
      <c r="QAB120" s="3"/>
      <c r="QAC120" s="3"/>
      <c r="QAD120" s="3"/>
      <c r="QAE120" s="3"/>
      <c r="QAF120" s="3"/>
      <c r="QAG120" s="3"/>
      <c r="QAH120" s="3"/>
      <c r="QAI120" s="3"/>
      <c r="QAJ120" s="3"/>
      <c r="QAK120" s="3"/>
      <c r="QAL120" s="3"/>
      <c r="QAM120" s="3"/>
      <c r="QAN120" s="3"/>
      <c r="QAO120" s="3"/>
      <c r="QAP120" s="3"/>
      <c r="QAQ120" s="3"/>
      <c r="QAR120" s="3"/>
      <c r="QAS120" s="3"/>
      <c r="QAT120" s="3"/>
      <c r="QAU120" s="3"/>
      <c r="QAV120" s="3"/>
      <c r="QAW120" s="3"/>
      <c r="QAX120" s="3"/>
      <c r="QAY120" s="3"/>
      <c r="QAZ120" s="3"/>
      <c r="QBA120" s="3"/>
      <c r="QBB120" s="3"/>
      <c r="QBC120" s="3"/>
      <c r="QBD120" s="3"/>
      <c r="QBE120" s="3"/>
      <c r="QBF120" s="3"/>
      <c r="QBG120" s="3"/>
      <c r="QBH120" s="3"/>
      <c r="QBI120" s="3"/>
      <c r="QBJ120" s="3"/>
      <c r="QBK120" s="3"/>
      <c r="QBL120" s="3"/>
      <c r="QBM120" s="3"/>
      <c r="QBN120" s="3"/>
      <c r="QBO120" s="3"/>
      <c r="QBP120" s="3"/>
      <c r="QBQ120" s="3"/>
      <c r="QBR120" s="3"/>
      <c r="QBS120" s="3"/>
      <c r="QBT120" s="3"/>
      <c r="QBU120" s="3"/>
      <c r="QBV120" s="3"/>
      <c r="QBW120" s="3"/>
      <c r="QBX120" s="3"/>
      <c r="QBY120" s="3"/>
      <c r="QBZ120" s="3"/>
      <c r="QCA120" s="3"/>
      <c r="QCB120" s="3"/>
      <c r="QCC120" s="3"/>
      <c r="QCD120" s="3"/>
      <c r="QCE120" s="3"/>
      <c r="QCF120" s="3"/>
      <c r="QCG120" s="3"/>
      <c r="QCH120" s="3"/>
      <c r="QCI120" s="3"/>
      <c r="QCJ120" s="3"/>
      <c r="QCK120" s="3"/>
      <c r="QCL120" s="3"/>
      <c r="QCM120" s="3"/>
      <c r="QCN120" s="3"/>
      <c r="QCO120" s="3"/>
      <c r="QCP120" s="3"/>
      <c r="QCQ120" s="3"/>
      <c r="QCR120" s="3"/>
      <c r="QCS120" s="3"/>
      <c r="QCT120" s="3"/>
      <c r="QCU120" s="3"/>
      <c r="QCV120" s="3"/>
      <c r="QCW120" s="3"/>
      <c r="QCX120" s="3"/>
      <c r="QCY120" s="3"/>
      <c r="QCZ120" s="3"/>
      <c r="QDA120" s="3"/>
      <c r="QDB120" s="3"/>
      <c r="QDC120" s="3"/>
      <c r="QDD120" s="3"/>
      <c r="QDE120" s="3"/>
      <c r="QDF120" s="3"/>
      <c r="QDG120" s="3"/>
      <c r="QDH120" s="3"/>
      <c r="QDI120" s="3"/>
      <c r="QDJ120" s="3"/>
      <c r="QDK120" s="3"/>
      <c r="QDL120" s="3"/>
      <c r="QDM120" s="3"/>
      <c r="QDN120" s="3"/>
      <c r="QDO120" s="3"/>
      <c r="QDP120" s="3"/>
      <c r="QDQ120" s="3"/>
      <c r="QDR120" s="3"/>
      <c r="QDS120" s="3"/>
      <c r="QDT120" s="3"/>
      <c r="QDU120" s="3"/>
      <c r="QDV120" s="3"/>
      <c r="QDW120" s="3"/>
      <c r="QDX120" s="3"/>
      <c r="QDY120" s="3"/>
      <c r="QDZ120" s="3"/>
      <c r="QEA120" s="3"/>
      <c r="QEB120" s="3"/>
      <c r="QEC120" s="3"/>
      <c r="QED120" s="3"/>
      <c r="QEE120" s="3"/>
      <c r="QEF120" s="3"/>
      <c r="QEG120" s="3"/>
      <c r="QEH120" s="3"/>
      <c r="QEI120" s="3"/>
      <c r="QEJ120" s="3"/>
      <c r="QEK120" s="3"/>
      <c r="QEL120" s="3"/>
      <c r="QEM120" s="3"/>
      <c r="QEN120" s="3"/>
      <c r="QEO120" s="3"/>
      <c r="QEP120" s="3"/>
      <c r="QEQ120" s="3"/>
      <c r="QER120" s="3"/>
      <c r="QES120" s="3"/>
      <c r="QET120" s="3"/>
      <c r="QEU120" s="3"/>
      <c r="QEV120" s="3"/>
      <c r="QEW120" s="3"/>
      <c r="QEX120" s="3"/>
      <c r="QEY120" s="3"/>
      <c r="QEZ120" s="3"/>
      <c r="QFA120" s="3"/>
      <c r="QFB120" s="3"/>
      <c r="QFC120" s="3"/>
      <c r="QFD120" s="3"/>
      <c r="QFE120" s="3"/>
      <c r="QFF120" s="3"/>
      <c r="QFG120" s="3"/>
      <c r="QFH120" s="3"/>
      <c r="QFI120" s="3"/>
      <c r="QFJ120" s="3"/>
      <c r="QFK120" s="3"/>
      <c r="QFL120" s="3"/>
      <c r="QFM120" s="3"/>
      <c r="QFN120" s="3"/>
      <c r="QFO120" s="3"/>
      <c r="QFP120" s="3"/>
      <c r="QFQ120" s="3"/>
      <c r="QFR120" s="3"/>
      <c r="QFS120" s="3"/>
      <c r="QFT120" s="3"/>
      <c r="QFU120" s="3"/>
      <c r="QFV120" s="3"/>
      <c r="QFW120" s="3"/>
      <c r="QFX120" s="3"/>
      <c r="QFY120" s="3"/>
      <c r="QFZ120" s="3"/>
      <c r="QGA120" s="3"/>
      <c r="QGB120" s="3"/>
      <c r="QGC120" s="3"/>
      <c r="QGD120" s="3"/>
      <c r="QGE120" s="3"/>
      <c r="QGF120" s="3"/>
      <c r="QGG120" s="3"/>
      <c r="QGH120" s="3"/>
      <c r="QGI120" s="3"/>
      <c r="QGJ120" s="3"/>
      <c r="QGK120" s="3"/>
      <c r="QGL120" s="3"/>
      <c r="QGM120" s="3"/>
      <c r="QGN120" s="3"/>
      <c r="QGO120" s="3"/>
      <c r="QGP120" s="3"/>
      <c r="QGQ120" s="3"/>
      <c r="QGR120" s="3"/>
      <c r="QGS120" s="3"/>
      <c r="QGT120" s="3"/>
      <c r="QGU120" s="3"/>
      <c r="QGV120" s="3"/>
      <c r="QGW120" s="3"/>
      <c r="QGX120" s="3"/>
      <c r="QGY120" s="3"/>
      <c r="QGZ120" s="3"/>
      <c r="QHA120" s="3"/>
      <c r="QHB120" s="3"/>
      <c r="QHC120" s="3"/>
      <c r="QHD120" s="3"/>
      <c r="QHE120" s="3"/>
      <c r="QHF120" s="3"/>
      <c r="QHG120" s="3"/>
      <c r="QHH120" s="3"/>
      <c r="QHI120" s="3"/>
      <c r="QHJ120" s="3"/>
      <c r="QHK120" s="3"/>
      <c r="QHL120" s="3"/>
      <c r="QHM120" s="3"/>
      <c r="QHN120" s="3"/>
      <c r="QHO120" s="3"/>
      <c r="QHP120" s="3"/>
      <c r="QHQ120" s="3"/>
      <c r="QHR120" s="3"/>
      <c r="QHS120" s="3"/>
      <c r="QHT120" s="3"/>
      <c r="QHU120" s="3"/>
      <c r="QHV120" s="3"/>
      <c r="QHW120" s="3"/>
      <c r="QHX120" s="3"/>
      <c r="QHY120" s="3"/>
      <c r="QHZ120" s="3"/>
      <c r="QIA120" s="3"/>
      <c r="QIB120" s="3"/>
      <c r="QIC120" s="3"/>
      <c r="QID120" s="3"/>
      <c r="QIE120" s="3"/>
      <c r="QIF120" s="3"/>
      <c r="QIG120" s="3"/>
      <c r="QIH120" s="3"/>
      <c r="QII120" s="3"/>
      <c r="QIJ120" s="3"/>
      <c r="QIK120" s="3"/>
      <c r="QIL120" s="3"/>
      <c r="QIM120" s="3"/>
      <c r="QIN120" s="3"/>
      <c r="QIO120" s="3"/>
      <c r="QIP120" s="3"/>
      <c r="QIQ120" s="3"/>
      <c r="QIR120" s="3"/>
      <c r="QIS120" s="3"/>
      <c r="QIT120" s="3"/>
      <c r="QIU120" s="3"/>
      <c r="QIV120" s="3"/>
      <c r="QIW120" s="3"/>
      <c r="QIX120" s="3"/>
      <c r="QIY120" s="3"/>
      <c r="QIZ120" s="3"/>
      <c r="QJA120" s="3"/>
      <c r="QJB120" s="3"/>
      <c r="QJC120" s="3"/>
      <c r="QJD120" s="3"/>
      <c r="QJE120" s="3"/>
      <c r="QJF120" s="3"/>
      <c r="QJG120" s="3"/>
      <c r="QJH120" s="3"/>
      <c r="QJI120" s="3"/>
      <c r="QJJ120" s="3"/>
      <c r="QJK120" s="3"/>
      <c r="QJL120" s="3"/>
      <c r="QJM120" s="3"/>
      <c r="QJN120" s="3"/>
      <c r="QJO120" s="3"/>
      <c r="QJP120" s="3"/>
      <c r="QJQ120" s="3"/>
      <c r="QJR120" s="3"/>
      <c r="QJS120" s="3"/>
      <c r="QJT120" s="3"/>
      <c r="QJU120" s="3"/>
      <c r="QJV120" s="3"/>
      <c r="QJW120" s="3"/>
      <c r="QJX120" s="3"/>
      <c r="QJY120" s="3"/>
      <c r="QJZ120" s="3"/>
      <c r="QKA120" s="3"/>
      <c r="QKB120" s="3"/>
      <c r="QKC120" s="3"/>
      <c r="QKD120" s="3"/>
      <c r="QKE120" s="3"/>
      <c r="QKF120" s="3"/>
      <c r="QKG120" s="3"/>
      <c r="QKH120" s="3"/>
      <c r="QKI120" s="3"/>
      <c r="QKJ120" s="3"/>
      <c r="QKK120" s="3"/>
      <c r="QKL120" s="3"/>
      <c r="QKM120" s="3"/>
      <c r="QKN120" s="3"/>
      <c r="QKO120" s="3"/>
      <c r="QKP120" s="3"/>
      <c r="QKQ120" s="3"/>
      <c r="QKR120" s="3"/>
      <c r="QKS120" s="3"/>
      <c r="QKT120" s="3"/>
      <c r="QKU120" s="3"/>
      <c r="QKV120" s="3"/>
      <c r="QKW120" s="3"/>
      <c r="QKX120" s="3"/>
      <c r="QKY120" s="3"/>
      <c r="QKZ120" s="3"/>
      <c r="QLA120" s="3"/>
      <c r="QLB120" s="3"/>
      <c r="QLC120" s="3"/>
      <c r="QLD120" s="3"/>
      <c r="QLE120" s="3"/>
      <c r="QLF120" s="3"/>
      <c r="QLG120" s="3"/>
      <c r="QLH120" s="3"/>
      <c r="QLI120" s="3"/>
      <c r="QLJ120" s="3"/>
      <c r="QLK120" s="3"/>
      <c r="QLL120" s="3"/>
      <c r="QLM120" s="3"/>
      <c r="QLN120" s="3"/>
      <c r="QLO120" s="3"/>
      <c r="QLP120" s="3"/>
      <c r="QLQ120" s="3"/>
      <c r="QLR120" s="3"/>
      <c r="QLS120" s="3"/>
      <c r="QLT120" s="3"/>
      <c r="QLU120" s="3"/>
      <c r="QLV120" s="3"/>
      <c r="QLW120" s="3"/>
      <c r="QLX120" s="3"/>
      <c r="QLY120" s="3"/>
      <c r="QLZ120" s="3"/>
      <c r="QMA120" s="3"/>
      <c r="QMB120" s="3"/>
      <c r="QMC120" s="3"/>
      <c r="QMD120" s="3"/>
      <c r="QME120" s="3"/>
      <c r="QMF120" s="3"/>
      <c r="QMG120" s="3"/>
      <c r="QMH120" s="3"/>
      <c r="QMI120" s="3"/>
      <c r="QMJ120" s="3"/>
      <c r="QMK120" s="3"/>
      <c r="QML120" s="3"/>
      <c r="QMM120" s="3"/>
      <c r="QMN120" s="3"/>
      <c r="QMO120" s="3"/>
      <c r="QMP120" s="3"/>
      <c r="QMQ120" s="3"/>
      <c r="QMR120" s="3"/>
      <c r="QMS120" s="3"/>
      <c r="QMT120" s="3"/>
      <c r="QMU120" s="3"/>
      <c r="QMV120" s="3"/>
      <c r="QMW120" s="3"/>
      <c r="QMX120" s="3"/>
      <c r="QMY120" s="3"/>
      <c r="QMZ120" s="3"/>
      <c r="QNA120" s="3"/>
      <c r="QNB120" s="3"/>
      <c r="QNC120" s="3"/>
      <c r="QND120" s="3"/>
      <c r="QNE120" s="3"/>
      <c r="QNF120" s="3"/>
      <c r="QNG120" s="3"/>
      <c r="QNH120" s="3"/>
      <c r="QNI120" s="3"/>
      <c r="QNJ120" s="3"/>
      <c r="QNK120" s="3"/>
      <c r="QNL120" s="3"/>
      <c r="QNM120" s="3"/>
      <c r="QNN120" s="3"/>
      <c r="QNO120" s="3"/>
      <c r="QNP120" s="3"/>
      <c r="QNQ120" s="3"/>
      <c r="QNR120" s="3"/>
      <c r="QNS120" s="3"/>
      <c r="QNT120" s="3"/>
      <c r="QNU120" s="3"/>
      <c r="QNV120" s="3"/>
      <c r="QNW120" s="3"/>
      <c r="QNX120" s="3"/>
      <c r="QNY120" s="3"/>
      <c r="QNZ120" s="3"/>
      <c r="QOA120" s="3"/>
      <c r="QOB120" s="3"/>
      <c r="QOC120" s="3"/>
      <c r="QOD120" s="3"/>
      <c r="QOE120" s="3"/>
      <c r="QOF120" s="3"/>
      <c r="QOG120" s="3"/>
      <c r="QOH120" s="3"/>
      <c r="QOI120" s="3"/>
      <c r="QOJ120" s="3"/>
      <c r="QOK120" s="3"/>
      <c r="QOL120" s="3"/>
      <c r="QOM120" s="3"/>
      <c r="QON120" s="3"/>
      <c r="QOO120" s="3"/>
      <c r="QOP120" s="3"/>
      <c r="QOQ120" s="3"/>
      <c r="QOR120" s="3"/>
      <c r="QOS120" s="3"/>
      <c r="QOT120" s="3"/>
      <c r="QOU120" s="3"/>
      <c r="QOV120" s="3"/>
      <c r="QOW120" s="3"/>
      <c r="QOX120" s="3"/>
      <c r="QOY120" s="3"/>
      <c r="QOZ120" s="3"/>
      <c r="QPA120" s="3"/>
      <c r="QPB120" s="3"/>
      <c r="QPC120" s="3"/>
      <c r="QPD120" s="3"/>
      <c r="QPE120" s="3"/>
      <c r="QPF120" s="3"/>
      <c r="QPG120" s="3"/>
      <c r="QPH120" s="3"/>
      <c r="QPI120" s="3"/>
      <c r="QPJ120" s="3"/>
      <c r="QPK120" s="3"/>
      <c r="QPL120" s="3"/>
      <c r="QPM120" s="3"/>
      <c r="QPN120" s="3"/>
      <c r="QPO120" s="3"/>
      <c r="QPP120" s="3"/>
      <c r="QPQ120" s="3"/>
      <c r="QPR120" s="3"/>
      <c r="QPS120" s="3"/>
      <c r="QPT120" s="3"/>
      <c r="QPU120" s="3"/>
      <c r="QPV120" s="3"/>
      <c r="QPW120" s="3"/>
      <c r="QPX120" s="3"/>
      <c r="QPY120" s="3"/>
      <c r="QPZ120" s="3"/>
      <c r="QQA120" s="3"/>
      <c r="QQB120" s="3"/>
      <c r="QQC120" s="3"/>
      <c r="QQD120" s="3"/>
      <c r="QQE120" s="3"/>
      <c r="QQF120" s="3"/>
      <c r="QQG120" s="3"/>
      <c r="QQH120" s="3"/>
      <c r="QQI120" s="3"/>
      <c r="QQJ120" s="3"/>
      <c r="QQK120" s="3"/>
      <c r="QQL120" s="3"/>
      <c r="QQM120" s="3"/>
      <c r="QQN120" s="3"/>
      <c r="QQO120" s="3"/>
      <c r="QQP120" s="3"/>
      <c r="QQQ120" s="3"/>
      <c r="QQR120" s="3"/>
      <c r="QQS120" s="3"/>
      <c r="QQT120" s="3"/>
      <c r="QQU120" s="3"/>
      <c r="QQV120" s="3"/>
      <c r="QQW120" s="3"/>
      <c r="QQX120" s="3"/>
      <c r="QQY120" s="3"/>
      <c r="QQZ120" s="3"/>
      <c r="QRA120" s="3"/>
      <c r="QRB120" s="3"/>
      <c r="QRC120" s="3"/>
      <c r="QRD120" s="3"/>
      <c r="QRE120" s="3"/>
      <c r="QRF120" s="3"/>
      <c r="QRG120" s="3"/>
      <c r="QRH120" s="3"/>
      <c r="QRI120" s="3"/>
      <c r="QRJ120" s="3"/>
      <c r="QRK120" s="3"/>
      <c r="QRL120" s="3"/>
      <c r="QRM120" s="3"/>
      <c r="QRN120" s="3"/>
      <c r="QRO120" s="3"/>
      <c r="QRP120" s="3"/>
      <c r="QRQ120" s="3"/>
      <c r="QRR120" s="3"/>
      <c r="QRS120" s="3"/>
      <c r="QRT120" s="3"/>
      <c r="QRU120" s="3"/>
      <c r="QRV120" s="3"/>
      <c r="QRW120" s="3"/>
      <c r="QRX120" s="3"/>
      <c r="QRY120" s="3"/>
      <c r="QRZ120" s="3"/>
      <c r="QSA120" s="3"/>
      <c r="QSB120" s="3"/>
      <c r="QSC120" s="3"/>
      <c r="QSD120" s="3"/>
      <c r="QSE120" s="3"/>
      <c r="QSF120" s="3"/>
      <c r="QSG120" s="3"/>
      <c r="QSH120" s="3"/>
      <c r="QSI120" s="3"/>
      <c r="QSJ120" s="3"/>
      <c r="QSK120" s="3"/>
      <c r="QSL120" s="3"/>
      <c r="QSM120" s="3"/>
      <c r="QSN120" s="3"/>
      <c r="QSO120" s="3"/>
      <c r="QSP120" s="3"/>
      <c r="QSQ120" s="3"/>
      <c r="QSR120" s="3"/>
      <c r="QSS120" s="3"/>
      <c r="QST120" s="3"/>
      <c r="QSU120" s="3"/>
      <c r="QSV120" s="3"/>
      <c r="QSW120" s="3"/>
      <c r="QSX120" s="3"/>
      <c r="QSY120" s="3"/>
      <c r="QSZ120" s="3"/>
      <c r="QTA120" s="3"/>
      <c r="QTB120" s="3"/>
      <c r="QTC120" s="3"/>
      <c r="QTD120" s="3"/>
      <c r="QTE120" s="3"/>
      <c r="QTF120" s="3"/>
      <c r="QTG120" s="3"/>
      <c r="QTH120" s="3"/>
      <c r="QTI120" s="3"/>
      <c r="QTJ120" s="3"/>
      <c r="QTK120" s="3"/>
      <c r="QTL120" s="3"/>
      <c r="QTM120" s="3"/>
      <c r="QTN120" s="3"/>
      <c r="QTO120" s="3"/>
      <c r="QTP120" s="3"/>
      <c r="QTQ120" s="3"/>
      <c r="QTR120" s="3"/>
      <c r="QTS120" s="3"/>
      <c r="QTT120" s="3"/>
      <c r="QTU120" s="3"/>
      <c r="QTV120" s="3"/>
      <c r="QTW120" s="3"/>
      <c r="QTX120" s="3"/>
      <c r="QTY120" s="3"/>
      <c r="QTZ120" s="3"/>
      <c r="QUA120" s="3"/>
      <c r="QUB120" s="3"/>
      <c r="QUC120" s="3"/>
      <c r="QUD120" s="3"/>
      <c r="QUE120" s="3"/>
      <c r="QUF120" s="3"/>
      <c r="QUG120" s="3"/>
      <c r="QUH120" s="3"/>
      <c r="QUI120" s="3"/>
      <c r="QUJ120" s="3"/>
      <c r="QUK120" s="3"/>
      <c r="QUL120" s="3"/>
      <c r="QUM120" s="3"/>
      <c r="QUN120" s="3"/>
      <c r="QUO120" s="3"/>
      <c r="QUP120" s="3"/>
      <c r="QUQ120" s="3"/>
      <c r="QUR120" s="3"/>
      <c r="QUS120" s="3"/>
      <c r="QUT120" s="3"/>
      <c r="QUU120" s="3"/>
      <c r="QUV120" s="3"/>
      <c r="QUW120" s="3"/>
      <c r="QUX120" s="3"/>
      <c r="QUY120" s="3"/>
      <c r="QUZ120" s="3"/>
      <c r="QVA120" s="3"/>
      <c r="QVB120" s="3"/>
      <c r="QVC120" s="3"/>
      <c r="QVD120" s="3"/>
      <c r="QVE120" s="3"/>
      <c r="QVF120" s="3"/>
      <c r="QVG120" s="3"/>
      <c r="QVH120" s="3"/>
      <c r="QVI120" s="3"/>
      <c r="QVJ120" s="3"/>
      <c r="QVK120" s="3"/>
      <c r="QVL120" s="3"/>
      <c r="QVM120" s="3"/>
      <c r="QVN120" s="3"/>
      <c r="QVO120" s="3"/>
      <c r="QVP120" s="3"/>
      <c r="QVQ120" s="3"/>
      <c r="QVR120" s="3"/>
      <c r="QVS120" s="3"/>
      <c r="QVT120" s="3"/>
      <c r="QVU120" s="3"/>
      <c r="QVV120" s="3"/>
      <c r="QVW120" s="3"/>
      <c r="QVX120" s="3"/>
      <c r="QVY120" s="3"/>
      <c r="QVZ120" s="3"/>
      <c r="QWA120" s="3"/>
      <c r="QWB120" s="3"/>
      <c r="QWC120" s="3"/>
      <c r="QWD120" s="3"/>
      <c r="QWE120" s="3"/>
      <c r="QWF120" s="3"/>
      <c r="QWG120" s="3"/>
      <c r="QWH120" s="3"/>
      <c r="QWI120" s="3"/>
      <c r="QWJ120" s="3"/>
      <c r="QWK120" s="3"/>
      <c r="QWL120" s="3"/>
      <c r="QWM120" s="3"/>
      <c r="QWN120" s="3"/>
      <c r="QWO120" s="3"/>
      <c r="QWP120" s="3"/>
      <c r="QWQ120" s="3"/>
      <c r="QWR120" s="3"/>
      <c r="QWS120" s="3"/>
      <c r="QWT120" s="3"/>
      <c r="QWU120" s="3"/>
      <c r="QWV120" s="3"/>
      <c r="QWW120" s="3"/>
      <c r="QWX120" s="3"/>
      <c r="QWY120" s="3"/>
      <c r="QWZ120" s="3"/>
      <c r="QXA120" s="3"/>
      <c r="QXB120" s="3"/>
      <c r="QXC120" s="3"/>
      <c r="QXD120" s="3"/>
      <c r="QXE120" s="3"/>
      <c r="QXF120" s="3"/>
      <c r="QXG120" s="3"/>
      <c r="QXH120" s="3"/>
      <c r="QXI120" s="3"/>
      <c r="QXJ120" s="3"/>
      <c r="QXK120" s="3"/>
      <c r="QXL120" s="3"/>
      <c r="QXM120" s="3"/>
      <c r="QXN120" s="3"/>
      <c r="QXO120" s="3"/>
      <c r="QXP120" s="3"/>
      <c r="QXQ120" s="3"/>
      <c r="QXR120" s="3"/>
      <c r="QXS120" s="3"/>
      <c r="QXT120" s="3"/>
      <c r="QXU120" s="3"/>
      <c r="QXV120" s="3"/>
      <c r="QXW120" s="3"/>
      <c r="QXX120" s="3"/>
      <c r="QXY120" s="3"/>
      <c r="QXZ120" s="3"/>
      <c r="QYA120" s="3"/>
      <c r="QYB120" s="3"/>
      <c r="QYC120" s="3"/>
      <c r="QYD120" s="3"/>
      <c r="QYE120" s="3"/>
      <c r="QYF120" s="3"/>
      <c r="QYG120" s="3"/>
      <c r="QYH120" s="3"/>
      <c r="QYI120" s="3"/>
      <c r="QYJ120" s="3"/>
      <c r="QYK120" s="3"/>
      <c r="QYL120" s="3"/>
      <c r="QYM120" s="3"/>
      <c r="QYN120" s="3"/>
      <c r="QYO120" s="3"/>
      <c r="QYP120" s="3"/>
      <c r="QYQ120" s="3"/>
      <c r="QYR120" s="3"/>
      <c r="QYS120" s="3"/>
      <c r="QYT120" s="3"/>
      <c r="QYU120" s="3"/>
      <c r="QYV120" s="3"/>
      <c r="QYW120" s="3"/>
      <c r="QYX120" s="3"/>
      <c r="QYY120" s="3"/>
      <c r="QYZ120" s="3"/>
      <c r="QZA120" s="3"/>
      <c r="QZB120" s="3"/>
      <c r="QZC120" s="3"/>
      <c r="QZD120" s="3"/>
      <c r="QZE120" s="3"/>
      <c r="QZF120" s="3"/>
      <c r="QZG120" s="3"/>
      <c r="QZH120" s="3"/>
      <c r="QZI120" s="3"/>
      <c r="QZJ120" s="3"/>
      <c r="QZK120" s="3"/>
      <c r="QZL120" s="3"/>
      <c r="QZM120" s="3"/>
      <c r="QZN120" s="3"/>
      <c r="QZO120" s="3"/>
      <c r="QZP120" s="3"/>
      <c r="QZQ120" s="3"/>
      <c r="QZR120" s="3"/>
      <c r="QZS120" s="3"/>
      <c r="QZT120" s="3"/>
      <c r="QZU120" s="3"/>
      <c r="QZV120" s="3"/>
      <c r="QZW120" s="3"/>
      <c r="QZX120" s="3"/>
      <c r="QZY120" s="3"/>
      <c r="QZZ120" s="3"/>
      <c r="RAA120" s="3"/>
      <c r="RAB120" s="3"/>
      <c r="RAC120" s="3"/>
      <c r="RAD120" s="3"/>
      <c r="RAE120" s="3"/>
      <c r="RAF120" s="3"/>
      <c r="RAG120" s="3"/>
      <c r="RAH120" s="3"/>
      <c r="RAI120" s="3"/>
      <c r="RAJ120" s="3"/>
      <c r="RAK120" s="3"/>
      <c r="RAL120" s="3"/>
      <c r="RAM120" s="3"/>
      <c r="RAN120" s="3"/>
      <c r="RAO120" s="3"/>
      <c r="RAP120" s="3"/>
      <c r="RAQ120" s="3"/>
      <c r="RAR120" s="3"/>
      <c r="RAS120" s="3"/>
      <c r="RAT120" s="3"/>
      <c r="RAU120" s="3"/>
      <c r="RAV120" s="3"/>
      <c r="RAW120" s="3"/>
      <c r="RAX120" s="3"/>
      <c r="RAY120" s="3"/>
      <c r="RAZ120" s="3"/>
      <c r="RBA120" s="3"/>
      <c r="RBB120" s="3"/>
      <c r="RBC120" s="3"/>
      <c r="RBD120" s="3"/>
      <c r="RBE120" s="3"/>
      <c r="RBF120" s="3"/>
      <c r="RBG120" s="3"/>
      <c r="RBH120" s="3"/>
      <c r="RBI120" s="3"/>
      <c r="RBJ120" s="3"/>
      <c r="RBK120" s="3"/>
      <c r="RBL120" s="3"/>
      <c r="RBM120" s="3"/>
      <c r="RBN120" s="3"/>
      <c r="RBO120" s="3"/>
      <c r="RBP120" s="3"/>
      <c r="RBQ120" s="3"/>
      <c r="RBR120" s="3"/>
      <c r="RBS120" s="3"/>
      <c r="RBT120" s="3"/>
      <c r="RBU120" s="3"/>
      <c r="RBV120" s="3"/>
      <c r="RBW120" s="3"/>
      <c r="RBX120" s="3"/>
      <c r="RBY120" s="3"/>
      <c r="RBZ120" s="3"/>
      <c r="RCA120" s="3"/>
      <c r="RCB120" s="3"/>
      <c r="RCC120" s="3"/>
      <c r="RCD120" s="3"/>
      <c r="RCE120" s="3"/>
      <c r="RCF120" s="3"/>
      <c r="RCG120" s="3"/>
      <c r="RCH120" s="3"/>
      <c r="RCI120" s="3"/>
      <c r="RCJ120" s="3"/>
      <c r="RCK120" s="3"/>
      <c r="RCL120" s="3"/>
      <c r="RCM120" s="3"/>
      <c r="RCN120" s="3"/>
      <c r="RCO120" s="3"/>
      <c r="RCP120" s="3"/>
      <c r="RCQ120" s="3"/>
      <c r="RCR120" s="3"/>
      <c r="RCS120" s="3"/>
      <c r="RCT120" s="3"/>
      <c r="RCU120" s="3"/>
      <c r="RCV120" s="3"/>
      <c r="RCW120" s="3"/>
      <c r="RCX120" s="3"/>
      <c r="RCY120" s="3"/>
      <c r="RCZ120" s="3"/>
      <c r="RDA120" s="3"/>
      <c r="RDB120" s="3"/>
      <c r="RDC120" s="3"/>
      <c r="RDD120" s="3"/>
      <c r="RDE120" s="3"/>
      <c r="RDF120" s="3"/>
      <c r="RDG120" s="3"/>
      <c r="RDH120" s="3"/>
      <c r="RDI120" s="3"/>
      <c r="RDJ120" s="3"/>
      <c r="RDK120" s="3"/>
      <c r="RDL120" s="3"/>
      <c r="RDM120" s="3"/>
      <c r="RDN120" s="3"/>
      <c r="RDO120" s="3"/>
      <c r="RDP120" s="3"/>
      <c r="RDQ120" s="3"/>
      <c r="RDR120" s="3"/>
      <c r="RDS120" s="3"/>
      <c r="RDT120" s="3"/>
      <c r="RDU120" s="3"/>
      <c r="RDV120" s="3"/>
      <c r="RDW120" s="3"/>
      <c r="RDX120" s="3"/>
      <c r="RDY120" s="3"/>
      <c r="RDZ120" s="3"/>
      <c r="REA120" s="3"/>
      <c r="REB120" s="3"/>
      <c r="REC120" s="3"/>
      <c r="RED120" s="3"/>
      <c r="REE120" s="3"/>
      <c r="REF120" s="3"/>
      <c r="REG120" s="3"/>
      <c r="REH120" s="3"/>
      <c r="REI120" s="3"/>
      <c r="REJ120" s="3"/>
      <c r="REK120" s="3"/>
      <c r="REL120" s="3"/>
      <c r="REM120" s="3"/>
      <c r="REN120" s="3"/>
      <c r="REO120" s="3"/>
      <c r="REP120" s="3"/>
      <c r="REQ120" s="3"/>
      <c r="RER120" s="3"/>
      <c r="RES120" s="3"/>
      <c r="RET120" s="3"/>
      <c r="REU120" s="3"/>
      <c r="REV120" s="3"/>
      <c r="REW120" s="3"/>
      <c r="REX120" s="3"/>
      <c r="REY120" s="3"/>
      <c r="REZ120" s="3"/>
      <c r="RFA120" s="3"/>
      <c r="RFB120" s="3"/>
      <c r="RFC120" s="3"/>
      <c r="RFD120" s="3"/>
      <c r="RFE120" s="3"/>
      <c r="RFF120" s="3"/>
      <c r="RFG120" s="3"/>
      <c r="RFH120" s="3"/>
      <c r="RFI120" s="3"/>
      <c r="RFJ120" s="3"/>
      <c r="RFK120" s="3"/>
      <c r="RFL120" s="3"/>
      <c r="RFM120" s="3"/>
      <c r="RFN120" s="3"/>
      <c r="RFO120" s="3"/>
      <c r="RFP120" s="3"/>
      <c r="RFQ120" s="3"/>
      <c r="RFR120" s="3"/>
      <c r="RFS120" s="3"/>
      <c r="RFT120" s="3"/>
      <c r="RFU120" s="3"/>
      <c r="RFV120" s="3"/>
      <c r="RFW120" s="3"/>
      <c r="RFX120" s="3"/>
      <c r="RFY120" s="3"/>
      <c r="RFZ120" s="3"/>
      <c r="RGA120" s="3"/>
      <c r="RGB120" s="3"/>
      <c r="RGC120" s="3"/>
      <c r="RGD120" s="3"/>
      <c r="RGE120" s="3"/>
      <c r="RGF120" s="3"/>
      <c r="RGG120" s="3"/>
      <c r="RGH120" s="3"/>
      <c r="RGI120" s="3"/>
      <c r="RGJ120" s="3"/>
      <c r="RGK120" s="3"/>
      <c r="RGL120" s="3"/>
      <c r="RGM120" s="3"/>
      <c r="RGN120" s="3"/>
      <c r="RGO120" s="3"/>
      <c r="RGP120" s="3"/>
      <c r="RGQ120" s="3"/>
      <c r="RGR120" s="3"/>
      <c r="RGS120" s="3"/>
      <c r="RGT120" s="3"/>
      <c r="RGU120" s="3"/>
      <c r="RGV120" s="3"/>
      <c r="RGW120" s="3"/>
      <c r="RGX120" s="3"/>
      <c r="RGY120" s="3"/>
      <c r="RGZ120" s="3"/>
      <c r="RHA120" s="3"/>
      <c r="RHB120" s="3"/>
      <c r="RHC120" s="3"/>
      <c r="RHD120" s="3"/>
      <c r="RHE120" s="3"/>
      <c r="RHF120" s="3"/>
      <c r="RHG120" s="3"/>
      <c r="RHH120" s="3"/>
      <c r="RHI120" s="3"/>
      <c r="RHJ120" s="3"/>
      <c r="RHK120" s="3"/>
      <c r="RHL120" s="3"/>
      <c r="RHM120" s="3"/>
      <c r="RHN120" s="3"/>
      <c r="RHO120" s="3"/>
      <c r="RHP120" s="3"/>
      <c r="RHQ120" s="3"/>
      <c r="RHR120" s="3"/>
      <c r="RHS120" s="3"/>
      <c r="RHT120" s="3"/>
      <c r="RHU120" s="3"/>
      <c r="RHV120" s="3"/>
      <c r="RHW120" s="3"/>
      <c r="RHX120" s="3"/>
      <c r="RHY120" s="3"/>
      <c r="RHZ120" s="3"/>
      <c r="RIA120" s="3"/>
      <c r="RIB120" s="3"/>
      <c r="RIC120" s="3"/>
      <c r="RID120" s="3"/>
      <c r="RIE120" s="3"/>
      <c r="RIF120" s="3"/>
      <c r="RIG120" s="3"/>
      <c r="RIH120" s="3"/>
      <c r="RII120" s="3"/>
      <c r="RIJ120" s="3"/>
      <c r="RIK120" s="3"/>
      <c r="RIL120" s="3"/>
      <c r="RIM120" s="3"/>
      <c r="RIN120" s="3"/>
      <c r="RIO120" s="3"/>
      <c r="RIP120" s="3"/>
      <c r="RIQ120" s="3"/>
      <c r="RIR120" s="3"/>
      <c r="RIS120" s="3"/>
      <c r="RIT120" s="3"/>
      <c r="RIU120" s="3"/>
      <c r="RIV120" s="3"/>
      <c r="RIW120" s="3"/>
      <c r="RIX120" s="3"/>
      <c r="RIY120" s="3"/>
      <c r="RIZ120" s="3"/>
      <c r="RJA120" s="3"/>
      <c r="RJB120" s="3"/>
      <c r="RJC120" s="3"/>
      <c r="RJD120" s="3"/>
      <c r="RJE120" s="3"/>
      <c r="RJF120" s="3"/>
      <c r="RJG120" s="3"/>
      <c r="RJH120" s="3"/>
      <c r="RJI120" s="3"/>
      <c r="RJJ120" s="3"/>
      <c r="RJK120" s="3"/>
      <c r="RJL120" s="3"/>
      <c r="RJM120" s="3"/>
      <c r="RJN120" s="3"/>
      <c r="RJO120" s="3"/>
      <c r="RJP120" s="3"/>
      <c r="RJQ120" s="3"/>
      <c r="RJR120" s="3"/>
      <c r="RJS120" s="3"/>
      <c r="RJT120" s="3"/>
      <c r="RJU120" s="3"/>
      <c r="RJV120" s="3"/>
      <c r="RJW120" s="3"/>
      <c r="RJX120" s="3"/>
      <c r="RJY120" s="3"/>
      <c r="RJZ120" s="3"/>
      <c r="RKA120" s="3"/>
      <c r="RKB120" s="3"/>
      <c r="RKC120" s="3"/>
      <c r="RKD120" s="3"/>
      <c r="RKE120" s="3"/>
      <c r="RKF120" s="3"/>
      <c r="RKG120" s="3"/>
      <c r="RKH120" s="3"/>
      <c r="RKI120" s="3"/>
      <c r="RKJ120" s="3"/>
      <c r="RKK120" s="3"/>
      <c r="RKL120" s="3"/>
      <c r="RKM120" s="3"/>
      <c r="RKN120" s="3"/>
      <c r="RKO120" s="3"/>
      <c r="RKP120" s="3"/>
      <c r="RKQ120" s="3"/>
      <c r="RKR120" s="3"/>
      <c r="RKS120" s="3"/>
      <c r="RKT120" s="3"/>
      <c r="RKU120" s="3"/>
      <c r="RKV120" s="3"/>
      <c r="RKW120" s="3"/>
      <c r="RKX120" s="3"/>
      <c r="RKY120" s="3"/>
      <c r="RKZ120" s="3"/>
      <c r="RLA120" s="3"/>
      <c r="RLB120" s="3"/>
      <c r="RLC120" s="3"/>
      <c r="RLD120" s="3"/>
      <c r="RLE120" s="3"/>
      <c r="RLF120" s="3"/>
      <c r="RLG120" s="3"/>
      <c r="RLH120" s="3"/>
      <c r="RLI120" s="3"/>
      <c r="RLJ120" s="3"/>
      <c r="RLK120" s="3"/>
      <c r="RLL120" s="3"/>
      <c r="RLM120" s="3"/>
      <c r="RLN120" s="3"/>
      <c r="RLO120" s="3"/>
      <c r="RLP120" s="3"/>
      <c r="RLQ120" s="3"/>
      <c r="RLR120" s="3"/>
      <c r="RLS120" s="3"/>
      <c r="RLT120" s="3"/>
      <c r="RLU120" s="3"/>
      <c r="RLV120" s="3"/>
      <c r="RLW120" s="3"/>
      <c r="RLX120" s="3"/>
      <c r="RLY120" s="3"/>
      <c r="RLZ120" s="3"/>
      <c r="RMA120" s="3"/>
      <c r="RMB120" s="3"/>
      <c r="RMC120" s="3"/>
      <c r="RMD120" s="3"/>
      <c r="RME120" s="3"/>
      <c r="RMF120" s="3"/>
      <c r="RMG120" s="3"/>
      <c r="RMH120" s="3"/>
      <c r="RMI120" s="3"/>
      <c r="RMJ120" s="3"/>
      <c r="RMK120" s="3"/>
      <c r="RML120" s="3"/>
      <c r="RMM120" s="3"/>
      <c r="RMN120" s="3"/>
      <c r="RMO120" s="3"/>
      <c r="RMP120" s="3"/>
      <c r="RMQ120" s="3"/>
      <c r="RMR120" s="3"/>
      <c r="RMS120" s="3"/>
      <c r="RMT120" s="3"/>
      <c r="RMU120" s="3"/>
      <c r="RMV120" s="3"/>
      <c r="RMW120" s="3"/>
      <c r="RMX120" s="3"/>
      <c r="RMY120" s="3"/>
      <c r="RMZ120" s="3"/>
      <c r="RNA120" s="3"/>
      <c r="RNB120" s="3"/>
      <c r="RNC120" s="3"/>
      <c r="RND120" s="3"/>
      <c r="RNE120" s="3"/>
      <c r="RNF120" s="3"/>
      <c r="RNG120" s="3"/>
      <c r="RNH120" s="3"/>
      <c r="RNI120" s="3"/>
      <c r="RNJ120" s="3"/>
      <c r="RNK120" s="3"/>
      <c r="RNL120" s="3"/>
      <c r="RNM120" s="3"/>
      <c r="RNN120" s="3"/>
      <c r="RNO120" s="3"/>
      <c r="RNP120" s="3"/>
      <c r="RNQ120" s="3"/>
      <c r="RNR120" s="3"/>
      <c r="RNS120" s="3"/>
      <c r="RNT120" s="3"/>
      <c r="RNU120" s="3"/>
      <c r="RNV120" s="3"/>
      <c r="RNW120" s="3"/>
      <c r="RNX120" s="3"/>
      <c r="RNY120" s="3"/>
      <c r="RNZ120" s="3"/>
      <c r="ROA120" s="3"/>
      <c r="ROB120" s="3"/>
      <c r="ROC120" s="3"/>
      <c r="ROD120" s="3"/>
      <c r="ROE120" s="3"/>
      <c r="ROF120" s="3"/>
      <c r="ROG120" s="3"/>
      <c r="ROH120" s="3"/>
      <c r="ROI120" s="3"/>
      <c r="ROJ120" s="3"/>
      <c r="ROK120" s="3"/>
      <c r="ROL120" s="3"/>
      <c r="ROM120" s="3"/>
      <c r="RON120" s="3"/>
      <c r="ROO120" s="3"/>
      <c r="ROP120" s="3"/>
      <c r="ROQ120" s="3"/>
      <c r="ROR120" s="3"/>
      <c r="ROS120" s="3"/>
      <c r="ROT120" s="3"/>
      <c r="ROU120" s="3"/>
      <c r="ROV120" s="3"/>
      <c r="ROW120" s="3"/>
      <c r="ROX120" s="3"/>
      <c r="ROY120" s="3"/>
      <c r="ROZ120" s="3"/>
      <c r="RPA120" s="3"/>
      <c r="RPB120" s="3"/>
      <c r="RPC120" s="3"/>
      <c r="RPD120" s="3"/>
      <c r="RPE120" s="3"/>
      <c r="RPF120" s="3"/>
      <c r="RPG120" s="3"/>
      <c r="RPH120" s="3"/>
      <c r="RPI120" s="3"/>
      <c r="RPJ120" s="3"/>
      <c r="RPK120" s="3"/>
      <c r="RPL120" s="3"/>
      <c r="RPM120" s="3"/>
      <c r="RPN120" s="3"/>
      <c r="RPO120" s="3"/>
      <c r="RPP120" s="3"/>
      <c r="RPQ120" s="3"/>
      <c r="RPR120" s="3"/>
      <c r="RPS120" s="3"/>
      <c r="RPT120" s="3"/>
      <c r="RPU120" s="3"/>
      <c r="RPV120" s="3"/>
      <c r="RPW120" s="3"/>
      <c r="RPX120" s="3"/>
      <c r="RPY120" s="3"/>
      <c r="RPZ120" s="3"/>
      <c r="RQA120" s="3"/>
      <c r="RQB120" s="3"/>
      <c r="RQC120" s="3"/>
      <c r="RQD120" s="3"/>
      <c r="RQE120" s="3"/>
      <c r="RQF120" s="3"/>
      <c r="RQG120" s="3"/>
      <c r="RQH120" s="3"/>
      <c r="RQI120" s="3"/>
      <c r="RQJ120" s="3"/>
      <c r="RQK120" s="3"/>
      <c r="RQL120" s="3"/>
      <c r="RQM120" s="3"/>
      <c r="RQN120" s="3"/>
      <c r="RQO120" s="3"/>
      <c r="RQP120" s="3"/>
      <c r="RQQ120" s="3"/>
      <c r="RQR120" s="3"/>
      <c r="RQS120" s="3"/>
      <c r="RQT120" s="3"/>
      <c r="RQU120" s="3"/>
      <c r="RQV120" s="3"/>
      <c r="RQW120" s="3"/>
      <c r="RQX120" s="3"/>
      <c r="RQY120" s="3"/>
      <c r="RQZ120" s="3"/>
      <c r="RRA120" s="3"/>
      <c r="RRB120" s="3"/>
      <c r="RRC120" s="3"/>
      <c r="RRD120" s="3"/>
      <c r="RRE120" s="3"/>
      <c r="RRF120" s="3"/>
      <c r="RRG120" s="3"/>
      <c r="RRH120" s="3"/>
      <c r="RRI120" s="3"/>
      <c r="RRJ120" s="3"/>
      <c r="RRK120" s="3"/>
      <c r="RRL120" s="3"/>
      <c r="RRM120" s="3"/>
      <c r="RRN120" s="3"/>
      <c r="RRO120" s="3"/>
      <c r="RRP120" s="3"/>
      <c r="RRQ120" s="3"/>
      <c r="RRR120" s="3"/>
      <c r="RRS120" s="3"/>
      <c r="RRT120" s="3"/>
      <c r="RRU120" s="3"/>
      <c r="RRV120" s="3"/>
      <c r="RRW120" s="3"/>
      <c r="RRX120" s="3"/>
      <c r="RRY120" s="3"/>
      <c r="RRZ120" s="3"/>
      <c r="RSA120" s="3"/>
      <c r="RSB120" s="3"/>
      <c r="RSC120" s="3"/>
      <c r="RSD120" s="3"/>
      <c r="RSE120" s="3"/>
      <c r="RSF120" s="3"/>
      <c r="RSG120" s="3"/>
      <c r="RSH120" s="3"/>
      <c r="RSI120" s="3"/>
      <c r="RSJ120" s="3"/>
      <c r="RSK120" s="3"/>
      <c r="RSL120" s="3"/>
      <c r="RSM120" s="3"/>
      <c r="RSN120" s="3"/>
      <c r="RSO120" s="3"/>
      <c r="RSP120" s="3"/>
      <c r="RSQ120" s="3"/>
      <c r="RSR120" s="3"/>
      <c r="RSS120" s="3"/>
      <c r="RST120" s="3"/>
      <c r="RSU120" s="3"/>
      <c r="RSV120" s="3"/>
      <c r="RSW120" s="3"/>
      <c r="RSX120" s="3"/>
      <c r="RSY120" s="3"/>
      <c r="RSZ120" s="3"/>
      <c r="RTA120" s="3"/>
      <c r="RTB120" s="3"/>
      <c r="RTC120" s="3"/>
      <c r="RTD120" s="3"/>
      <c r="RTE120" s="3"/>
      <c r="RTF120" s="3"/>
      <c r="RTG120" s="3"/>
      <c r="RTH120" s="3"/>
      <c r="RTI120" s="3"/>
      <c r="RTJ120" s="3"/>
      <c r="RTK120" s="3"/>
      <c r="RTL120" s="3"/>
      <c r="RTM120" s="3"/>
      <c r="RTN120" s="3"/>
      <c r="RTO120" s="3"/>
      <c r="RTP120" s="3"/>
      <c r="RTQ120" s="3"/>
      <c r="RTR120" s="3"/>
      <c r="RTS120" s="3"/>
      <c r="RTT120" s="3"/>
      <c r="RTU120" s="3"/>
      <c r="RTV120" s="3"/>
      <c r="RTW120" s="3"/>
      <c r="RTX120" s="3"/>
      <c r="RTY120" s="3"/>
      <c r="RTZ120" s="3"/>
      <c r="RUA120" s="3"/>
      <c r="RUB120" s="3"/>
      <c r="RUC120" s="3"/>
      <c r="RUD120" s="3"/>
      <c r="RUE120" s="3"/>
      <c r="RUF120" s="3"/>
      <c r="RUG120" s="3"/>
      <c r="RUH120" s="3"/>
      <c r="RUI120" s="3"/>
      <c r="RUJ120" s="3"/>
      <c r="RUK120" s="3"/>
      <c r="RUL120" s="3"/>
      <c r="RUM120" s="3"/>
      <c r="RUN120" s="3"/>
      <c r="RUO120" s="3"/>
      <c r="RUP120" s="3"/>
      <c r="RUQ120" s="3"/>
      <c r="RUR120" s="3"/>
      <c r="RUS120" s="3"/>
      <c r="RUT120" s="3"/>
      <c r="RUU120" s="3"/>
      <c r="RUV120" s="3"/>
      <c r="RUW120" s="3"/>
      <c r="RUX120" s="3"/>
      <c r="RUY120" s="3"/>
      <c r="RUZ120" s="3"/>
      <c r="RVA120" s="3"/>
      <c r="RVB120" s="3"/>
      <c r="RVC120" s="3"/>
      <c r="RVD120" s="3"/>
      <c r="RVE120" s="3"/>
      <c r="RVF120" s="3"/>
      <c r="RVG120" s="3"/>
      <c r="RVH120" s="3"/>
      <c r="RVI120" s="3"/>
      <c r="RVJ120" s="3"/>
      <c r="RVK120" s="3"/>
      <c r="RVL120" s="3"/>
      <c r="RVM120" s="3"/>
      <c r="RVN120" s="3"/>
      <c r="RVO120" s="3"/>
      <c r="RVP120" s="3"/>
      <c r="RVQ120" s="3"/>
      <c r="RVR120" s="3"/>
      <c r="RVS120" s="3"/>
      <c r="RVT120" s="3"/>
      <c r="RVU120" s="3"/>
      <c r="RVV120" s="3"/>
      <c r="RVW120" s="3"/>
      <c r="RVX120" s="3"/>
      <c r="RVY120" s="3"/>
      <c r="RVZ120" s="3"/>
      <c r="RWA120" s="3"/>
      <c r="RWB120" s="3"/>
      <c r="RWC120" s="3"/>
      <c r="RWD120" s="3"/>
      <c r="RWE120" s="3"/>
      <c r="RWF120" s="3"/>
      <c r="RWG120" s="3"/>
      <c r="RWH120" s="3"/>
      <c r="RWI120" s="3"/>
      <c r="RWJ120" s="3"/>
      <c r="RWK120" s="3"/>
      <c r="RWL120" s="3"/>
      <c r="RWM120" s="3"/>
      <c r="RWN120" s="3"/>
      <c r="RWO120" s="3"/>
      <c r="RWP120" s="3"/>
      <c r="RWQ120" s="3"/>
      <c r="RWR120" s="3"/>
      <c r="RWS120" s="3"/>
      <c r="RWT120" s="3"/>
      <c r="RWU120" s="3"/>
      <c r="RWV120" s="3"/>
      <c r="RWW120" s="3"/>
      <c r="RWX120" s="3"/>
      <c r="RWY120" s="3"/>
      <c r="RWZ120" s="3"/>
      <c r="RXA120" s="3"/>
      <c r="RXB120" s="3"/>
      <c r="RXC120" s="3"/>
      <c r="RXD120" s="3"/>
      <c r="RXE120" s="3"/>
      <c r="RXF120" s="3"/>
      <c r="RXG120" s="3"/>
      <c r="RXH120" s="3"/>
      <c r="RXI120" s="3"/>
      <c r="RXJ120" s="3"/>
      <c r="RXK120" s="3"/>
      <c r="RXL120" s="3"/>
      <c r="RXM120" s="3"/>
      <c r="RXN120" s="3"/>
      <c r="RXO120" s="3"/>
      <c r="RXP120" s="3"/>
      <c r="RXQ120" s="3"/>
      <c r="RXR120" s="3"/>
      <c r="RXS120" s="3"/>
      <c r="RXT120" s="3"/>
      <c r="RXU120" s="3"/>
      <c r="RXV120" s="3"/>
      <c r="RXW120" s="3"/>
      <c r="RXX120" s="3"/>
      <c r="RXY120" s="3"/>
      <c r="RXZ120" s="3"/>
      <c r="RYA120" s="3"/>
      <c r="RYB120" s="3"/>
      <c r="RYC120" s="3"/>
      <c r="RYD120" s="3"/>
      <c r="RYE120" s="3"/>
      <c r="RYF120" s="3"/>
      <c r="RYG120" s="3"/>
      <c r="RYH120" s="3"/>
      <c r="RYI120" s="3"/>
      <c r="RYJ120" s="3"/>
      <c r="RYK120" s="3"/>
      <c r="RYL120" s="3"/>
      <c r="RYM120" s="3"/>
      <c r="RYN120" s="3"/>
      <c r="RYO120" s="3"/>
      <c r="RYP120" s="3"/>
      <c r="RYQ120" s="3"/>
      <c r="RYR120" s="3"/>
      <c r="RYS120" s="3"/>
      <c r="RYT120" s="3"/>
      <c r="RYU120" s="3"/>
      <c r="RYV120" s="3"/>
      <c r="RYW120" s="3"/>
      <c r="RYX120" s="3"/>
      <c r="RYY120" s="3"/>
      <c r="RYZ120" s="3"/>
      <c r="RZA120" s="3"/>
      <c r="RZB120" s="3"/>
      <c r="RZC120" s="3"/>
      <c r="RZD120" s="3"/>
      <c r="RZE120" s="3"/>
      <c r="RZF120" s="3"/>
      <c r="RZG120" s="3"/>
      <c r="RZH120" s="3"/>
      <c r="RZI120" s="3"/>
      <c r="RZJ120" s="3"/>
      <c r="RZK120" s="3"/>
      <c r="RZL120" s="3"/>
      <c r="RZM120" s="3"/>
      <c r="RZN120" s="3"/>
      <c r="RZO120" s="3"/>
      <c r="RZP120" s="3"/>
      <c r="RZQ120" s="3"/>
      <c r="RZR120" s="3"/>
      <c r="RZS120" s="3"/>
      <c r="RZT120" s="3"/>
      <c r="RZU120" s="3"/>
      <c r="RZV120" s="3"/>
      <c r="RZW120" s="3"/>
      <c r="RZX120" s="3"/>
      <c r="RZY120" s="3"/>
      <c r="RZZ120" s="3"/>
      <c r="SAA120" s="3"/>
      <c r="SAB120" s="3"/>
      <c r="SAC120" s="3"/>
      <c r="SAD120" s="3"/>
      <c r="SAE120" s="3"/>
      <c r="SAF120" s="3"/>
      <c r="SAG120" s="3"/>
      <c r="SAH120" s="3"/>
      <c r="SAI120" s="3"/>
      <c r="SAJ120" s="3"/>
      <c r="SAK120" s="3"/>
      <c r="SAL120" s="3"/>
      <c r="SAM120" s="3"/>
      <c r="SAN120" s="3"/>
      <c r="SAO120" s="3"/>
      <c r="SAP120" s="3"/>
      <c r="SAQ120" s="3"/>
      <c r="SAR120" s="3"/>
      <c r="SAS120" s="3"/>
      <c r="SAT120" s="3"/>
      <c r="SAU120" s="3"/>
      <c r="SAV120" s="3"/>
      <c r="SAW120" s="3"/>
      <c r="SAX120" s="3"/>
      <c r="SAY120" s="3"/>
      <c r="SAZ120" s="3"/>
      <c r="SBA120" s="3"/>
      <c r="SBB120" s="3"/>
      <c r="SBC120" s="3"/>
      <c r="SBD120" s="3"/>
      <c r="SBE120" s="3"/>
      <c r="SBF120" s="3"/>
      <c r="SBG120" s="3"/>
      <c r="SBH120" s="3"/>
      <c r="SBI120" s="3"/>
      <c r="SBJ120" s="3"/>
      <c r="SBK120" s="3"/>
      <c r="SBL120" s="3"/>
      <c r="SBM120" s="3"/>
      <c r="SBN120" s="3"/>
      <c r="SBO120" s="3"/>
      <c r="SBP120" s="3"/>
      <c r="SBQ120" s="3"/>
      <c r="SBR120" s="3"/>
      <c r="SBS120" s="3"/>
      <c r="SBT120" s="3"/>
      <c r="SBU120" s="3"/>
      <c r="SBV120" s="3"/>
      <c r="SBW120" s="3"/>
      <c r="SBX120" s="3"/>
      <c r="SBY120" s="3"/>
      <c r="SBZ120" s="3"/>
      <c r="SCA120" s="3"/>
      <c r="SCB120" s="3"/>
      <c r="SCC120" s="3"/>
      <c r="SCD120" s="3"/>
      <c r="SCE120" s="3"/>
      <c r="SCF120" s="3"/>
      <c r="SCG120" s="3"/>
      <c r="SCH120" s="3"/>
      <c r="SCI120" s="3"/>
      <c r="SCJ120" s="3"/>
      <c r="SCK120" s="3"/>
      <c r="SCL120" s="3"/>
      <c r="SCM120" s="3"/>
      <c r="SCN120" s="3"/>
      <c r="SCO120" s="3"/>
      <c r="SCP120" s="3"/>
      <c r="SCQ120" s="3"/>
      <c r="SCR120" s="3"/>
      <c r="SCS120" s="3"/>
      <c r="SCT120" s="3"/>
      <c r="SCU120" s="3"/>
      <c r="SCV120" s="3"/>
      <c r="SCW120" s="3"/>
      <c r="SCX120" s="3"/>
      <c r="SCY120" s="3"/>
      <c r="SCZ120" s="3"/>
      <c r="SDA120" s="3"/>
      <c r="SDB120" s="3"/>
      <c r="SDC120" s="3"/>
      <c r="SDD120" s="3"/>
      <c r="SDE120" s="3"/>
      <c r="SDF120" s="3"/>
      <c r="SDG120" s="3"/>
      <c r="SDH120" s="3"/>
      <c r="SDI120" s="3"/>
      <c r="SDJ120" s="3"/>
      <c r="SDK120" s="3"/>
      <c r="SDL120" s="3"/>
      <c r="SDM120" s="3"/>
      <c r="SDN120" s="3"/>
      <c r="SDO120" s="3"/>
      <c r="SDP120" s="3"/>
      <c r="SDQ120" s="3"/>
      <c r="SDR120" s="3"/>
      <c r="SDS120" s="3"/>
      <c r="SDT120" s="3"/>
      <c r="SDU120" s="3"/>
      <c r="SDV120" s="3"/>
      <c r="SDW120" s="3"/>
      <c r="SDX120" s="3"/>
      <c r="SDY120" s="3"/>
      <c r="SDZ120" s="3"/>
      <c r="SEA120" s="3"/>
      <c r="SEB120" s="3"/>
      <c r="SEC120" s="3"/>
      <c r="SED120" s="3"/>
      <c r="SEE120" s="3"/>
      <c r="SEF120" s="3"/>
      <c r="SEG120" s="3"/>
      <c r="SEH120" s="3"/>
      <c r="SEI120" s="3"/>
      <c r="SEJ120" s="3"/>
      <c r="SEK120" s="3"/>
      <c r="SEL120" s="3"/>
      <c r="SEM120" s="3"/>
      <c r="SEN120" s="3"/>
      <c r="SEO120" s="3"/>
      <c r="SEP120" s="3"/>
      <c r="SEQ120" s="3"/>
      <c r="SER120" s="3"/>
      <c r="SES120" s="3"/>
      <c r="SET120" s="3"/>
      <c r="SEU120" s="3"/>
      <c r="SEV120" s="3"/>
      <c r="SEW120" s="3"/>
      <c r="SEX120" s="3"/>
      <c r="SEY120" s="3"/>
      <c r="SEZ120" s="3"/>
      <c r="SFA120" s="3"/>
      <c r="SFB120" s="3"/>
      <c r="SFC120" s="3"/>
      <c r="SFD120" s="3"/>
      <c r="SFE120" s="3"/>
      <c r="SFF120" s="3"/>
      <c r="SFG120" s="3"/>
      <c r="SFH120" s="3"/>
      <c r="SFI120" s="3"/>
      <c r="SFJ120" s="3"/>
      <c r="SFK120" s="3"/>
      <c r="SFL120" s="3"/>
      <c r="SFM120" s="3"/>
      <c r="SFN120" s="3"/>
      <c r="SFO120" s="3"/>
      <c r="SFP120" s="3"/>
      <c r="SFQ120" s="3"/>
      <c r="SFR120" s="3"/>
      <c r="SFS120" s="3"/>
      <c r="SFT120" s="3"/>
      <c r="SFU120" s="3"/>
      <c r="SFV120" s="3"/>
      <c r="SFW120" s="3"/>
      <c r="SFX120" s="3"/>
      <c r="SFY120" s="3"/>
      <c r="SFZ120" s="3"/>
      <c r="SGA120" s="3"/>
      <c r="SGB120" s="3"/>
      <c r="SGC120" s="3"/>
      <c r="SGD120" s="3"/>
      <c r="SGE120" s="3"/>
      <c r="SGF120" s="3"/>
      <c r="SGG120" s="3"/>
      <c r="SGH120" s="3"/>
      <c r="SGI120" s="3"/>
      <c r="SGJ120" s="3"/>
      <c r="SGK120" s="3"/>
      <c r="SGL120" s="3"/>
      <c r="SGM120" s="3"/>
      <c r="SGN120" s="3"/>
      <c r="SGO120" s="3"/>
      <c r="SGP120" s="3"/>
      <c r="SGQ120" s="3"/>
      <c r="SGR120" s="3"/>
      <c r="SGS120" s="3"/>
      <c r="SGT120" s="3"/>
      <c r="SGU120" s="3"/>
      <c r="SGV120" s="3"/>
      <c r="SGW120" s="3"/>
      <c r="SGX120" s="3"/>
      <c r="SGY120" s="3"/>
      <c r="SGZ120" s="3"/>
      <c r="SHA120" s="3"/>
      <c r="SHB120" s="3"/>
      <c r="SHC120" s="3"/>
      <c r="SHD120" s="3"/>
      <c r="SHE120" s="3"/>
      <c r="SHF120" s="3"/>
      <c r="SHG120" s="3"/>
      <c r="SHH120" s="3"/>
      <c r="SHI120" s="3"/>
      <c r="SHJ120" s="3"/>
      <c r="SHK120" s="3"/>
      <c r="SHL120" s="3"/>
      <c r="SHM120" s="3"/>
      <c r="SHN120" s="3"/>
      <c r="SHO120" s="3"/>
      <c r="SHP120" s="3"/>
      <c r="SHQ120" s="3"/>
      <c r="SHR120" s="3"/>
      <c r="SHS120" s="3"/>
      <c r="SHT120" s="3"/>
      <c r="SHU120" s="3"/>
      <c r="SHV120" s="3"/>
      <c r="SHW120" s="3"/>
      <c r="SHX120" s="3"/>
      <c r="SHY120" s="3"/>
      <c r="SHZ120" s="3"/>
      <c r="SIA120" s="3"/>
      <c r="SIB120" s="3"/>
      <c r="SIC120" s="3"/>
      <c r="SID120" s="3"/>
      <c r="SIE120" s="3"/>
      <c r="SIF120" s="3"/>
      <c r="SIG120" s="3"/>
      <c r="SIH120" s="3"/>
      <c r="SII120" s="3"/>
      <c r="SIJ120" s="3"/>
      <c r="SIK120" s="3"/>
      <c r="SIL120" s="3"/>
      <c r="SIM120" s="3"/>
      <c r="SIN120" s="3"/>
      <c r="SIO120" s="3"/>
      <c r="SIP120" s="3"/>
      <c r="SIQ120" s="3"/>
      <c r="SIR120" s="3"/>
      <c r="SIS120" s="3"/>
      <c r="SIT120" s="3"/>
      <c r="SIU120" s="3"/>
      <c r="SIV120" s="3"/>
      <c r="SIW120" s="3"/>
      <c r="SIX120" s="3"/>
      <c r="SIY120" s="3"/>
      <c r="SIZ120" s="3"/>
      <c r="SJA120" s="3"/>
      <c r="SJB120" s="3"/>
      <c r="SJC120" s="3"/>
      <c r="SJD120" s="3"/>
      <c r="SJE120" s="3"/>
      <c r="SJF120" s="3"/>
      <c r="SJG120" s="3"/>
      <c r="SJH120" s="3"/>
      <c r="SJI120" s="3"/>
      <c r="SJJ120" s="3"/>
      <c r="SJK120" s="3"/>
      <c r="SJL120" s="3"/>
      <c r="SJM120" s="3"/>
      <c r="SJN120" s="3"/>
      <c r="SJO120" s="3"/>
      <c r="SJP120" s="3"/>
      <c r="SJQ120" s="3"/>
      <c r="SJR120" s="3"/>
      <c r="SJS120" s="3"/>
      <c r="SJT120" s="3"/>
      <c r="SJU120" s="3"/>
      <c r="SJV120" s="3"/>
      <c r="SJW120" s="3"/>
      <c r="SJX120" s="3"/>
      <c r="SJY120" s="3"/>
      <c r="SJZ120" s="3"/>
      <c r="SKA120" s="3"/>
      <c r="SKB120" s="3"/>
      <c r="SKC120" s="3"/>
      <c r="SKD120" s="3"/>
      <c r="SKE120" s="3"/>
      <c r="SKF120" s="3"/>
      <c r="SKG120" s="3"/>
      <c r="SKH120" s="3"/>
      <c r="SKI120" s="3"/>
      <c r="SKJ120" s="3"/>
      <c r="SKK120" s="3"/>
      <c r="SKL120" s="3"/>
      <c r="SKM120" s="3"/>
      <c r="SKN120" s="3"/>
      <c r="SKO120" s="3"/>
      <c r="SKP120" s="3"/>
      <c r="SKQ120" s="3"/>
      <c r="SKR120" s="3"/>
      <c r="SKS120" s="3"/>
      <c r="SKT120" s="3"/>
      <c r="SKU120" s="3"/>
      <c r="SKV120" s="3"/>
      <c r="SKW120" s="3"/>
      <c r="SKX120" s="3"/>
      <c r="SKY120" s="3"/>
      <c r="SKZ120" s="3"/>
      <c r="SLA120" s="3"/>
      <c r="SLB120" s="3"/>
      <c r="SLC120" s="3"/>
      <c r="SLD120" s="3"/>
      <c r="SLE120" s="3"/>
      <c r="SLF120" s="3"/>
      <c r="SLG120" s="3"/>
      <c r="SLH120" s="3"/>
      <c r="SLI120" s="3"/>
      <c r="SLJ120" s="3"/>
      <c r="SLK120" s="3"/>
      <c r="SLL120" s="3"/>
      <c r="SLM120" s="3"/>
      <c r="SLN120" s="3"/>
      <c r="SLO120" s="3"/>
      <c r="SLP120" s="3"/>
      <c r="SLQ120" s="3"/>
      <c r="SLR120" s="3"/>
      <c r="SLS120" s="3"/>
      <c r="SLT120" s="3"/>
      <c r="SLU120" s="3"/>
      <c r="SLV120" s="3"/>
      <c r="SLW120" s="3"/>
      <c r="SLX120" s="3"/>
      <c r="SLY120" s="3"/>
      <c r="SLZ120" s="3"/>
      <c r="SMA120" s="3"/>
      <c r="SMB120" s="3"/>
      <c r="SMC120" s="3"/>
      <c r="SMD120" s="3"/>
      <c r="SME120" s="3"/>
      <c r="SMF120" s="3"/>
      <c r="SMG120" s="3"/>
      <c r="SMH120" s="3"/>
      <c r="SMI120" s="3"/>
      <c r="SMJ120" s="3"/>
      <c r="SMK120" s="3"/>
      <c r="SML120" s="3"/>
      <c r="SMM120" s="3"/>
      <c r="SMN120" s="3"/>
      <c r="SMO120" s="3"/>
      <c r="SMP120" s="3"/>
      <c r="SMQ120" s="3"/>
      <c r="SMR120" s="3"/>
      <c r="SMS120" s="3"/>
      <c r="SMT120" s="3"/>
      <c r="SMU120" s="3"/>
      <c r="SMV120" s="3"/>
      <c r="SMW120" s="3"/>
      <c r="SMX120" s="3"/>
      <c r="SMY120" s="3"/>
      <c r="SMZ120" s="3"/>
      <c r="SNA120" s="3"/>
      <c r="SNB120" s="3"/>
      <c r="SNC120" s="3"/>
      <c r="SND120" s="3"/>
      <c r="SNE120" s="3"/>
      <c r="SNF120" s="3"/>
      <c r="SNG120" s="3"/>
      <c r="SNH120" s="3"/>
      <c r="SNI120" s="3"/>
      <c r="SNJ120" s="3"/>
      <c r="SNK120" s="3"/>
      <c r="SNL120" s="3"/>
      <c r="SNM120" s="3"/>
      <c r="SNN120" s="3"/>
      <c r="SNO120" s="3"/>
      <c r="SNP120" s="3"/>
      <c r="SNQ120" s="3"/>
      <c r="SNR120" s="3"/>
      <c r="SNS120" s="3"/>
      <c r="SNT120" s="3"/>
      <c r="SNU120" s="3"/>
      <c r="SNV120" s="3"/>
      <c r="SNW120" s="3"/>
      <c r="SNX120" s="3"/>
      <c r="SNY120" s="3"/>
      <c r="SNZ120" s="3"/>
      <c r="SOA120" s="3"/>
      <c r="SOB120" s="3"/>
      <c r="SOC120" s="3"/>
      <c r="SOD120" s="3"/>
      <c r="SOE120" s="3"/>
      <c r="SOF120" s="3"/>
      <c r="SOG120" s="3"/>
      <c r="SOH120" s="3"/>
      <c r="SOI120" s="3"/>
      <c r="SOJ120" s="3"/>
      <c r="SOK120" s="3"/>
      <c r="SOL120" s="3"/>
      <c r="SOM120" s="3"/>
      <c r="SON120" s="3"/>
      <c r="SOO120" s="3"/>
      <c r="SOP120" s="3"/>
      <c r="SOQ120" s="3"/>
      <c r="SOR120" s="3"/>
      <c r="SOS120" s="3"/>
      <c r="SOT120" s="3"/>
      <c r="SOU120" s="3"/>
      <c r="SOV120" s="3"/>
      <c r="SOW120" s="3"/>
      <c r="SOX120" s="3"/>
      <c r="SOY120" s="3"/>
      <c r="SOZ120" s="3"/>
      <c r="SPA120" s="3"/>
      <c r="SPB120" s="3"/>
      <c r="SPC120" s="3"/>
      <c r="SPD120" s="3"/>
      <c r="SPE120" s="3"/>
      <c r="SPF120" s="3"/>
      <c r="SPG120" s="3"/>
      <c r="SPH120" s="3"/>
      <c r="SPI120" s="3"/>
      <c r="SPJ120" s="3"/>
      <c r="SPK120" s="3"/>
      <c r="SPL120" s="3"/>
      <c r="SPM120" s="3"/>
      <c r="SPN120" s="3"/>
      <c r="SPO120" s="3"/>
      <c r="SPP120" s="3"/>
      <c r="SPQ120" s="3"/>
      <c r="SPR120" s="3"/>
      <c r="SPS120" s="3"/>
      <c r="SPT120" s="3"/>
      <c r="SPU120" s="3"/>
      <c r="SPV120" s="3"/>
      <c r="SPW120" s="3"/>
      <c r="SPX120" s="3"/>
      <c r="SPY120" s="3"/>
      <c r="SPZ120" s="3"/>
      <c r="SQA120" s="3"/>
      <c r="SQB120" s="3"/>
      <c r="SQC120" s="3"/>
      <c r="SQD120" s="3"/>
      <c r="SQE120" s="3"/>
      <c r="SQF120" s="3"/>
      <c r="SQG120" s="3"/>
      <c r="SQH120" s="3"/>
      <c r="SQI120" s="3"/>
      <c r="SQJ120" s="3"/>
      <c r="SQK120" s="3"/>
      <c r="SQL120" s="3"/>
      <c r="SQM120" s="3"/>
      <c r="SQN120" s="3"/>
      <c r="SQO120" s="3"/>
      <c r="SQP120" s="3"/>
      <c r="SQQ120" s="3"/>
      <c r="SQR120" s="3"/>
      <c r="SQS120" s="3"/>
      <c r="SQT120" s="3"/>
      <c r="SQU120" s="3"/>
      <c r="SQV120" s="3"/>
      <c r="SQW120" s="3"/>
      <c r="SQX120" s="3"/>
      <c r="SQY120" s="3"/>
      <c r="SQZ120" s="3"/>
      <c r="SRA120" s="3"/>
      <c r="SRB120" s="3"/>
      <c r="SRC120" s="3"/>
      <c r="SRD120" s="3"/>
      <c r="SRE120" s="3"/>
      <c r="SRF120" s="3"/>
      <c r="SRG120" s="3"/>
      <c r="SRH120" s="3"/>
      <c r="SRI120" s="3"/>
      <c r="SRJ120" s="3"/>
      <c r="SRK120" s="3"/>
      <c r="SRL120" s="3"/>
      <c r="SRM120" s="3"/>
      <c r="SRN120" s="3"/>
      <c r="SRO120" s="3"/>
      <c r="SRP120" s="3"/>
      <c r="SRQ120" s="3"/>
      <c r="SRR120" s="3"/>
      <c r="SRS120" s="3"/>
      <c r="SRT120" s="3"/>
      <c r="SRU120" s="3"/>
      <c r="SRV120" s="3"/>
      <c r="SRW120" s="3"/>
      <c r="SRX120" s="3"/>
      <c r="SRY120" s="3"/>
      <c r="SRZ120" s="3"/>
      <c r="SSA120" s="3"/>
      <c r="SSB120" s="3"/>
      <c r="SSC120" s="3"/>
      <c r="SSD120" s="3"/>
      <c r="SSE120" s="3"/>
      <c r="SSF120" s="3"/>
      <c r="SSG120" s="3"/>
      <c r="SSH120" s="3"/>
      <c r="SSI120" s="3"/>
      <c r="SSJ120" s="3"/>
      <c r="SSK120" s="3"/>
      <c r="SSL120" s="3"/>
      <c r="SSM120" s="3"/>
      <c r="SSN120" s="3"/>
      <c r="SSO120" s="3"/>
      <c r="SSP120" s="3"/>
      <c r="SSQ120" s="3"/>
      <c r="SSR120" s="3"/>
      <c r="SSS120" s="3"/>
      <c r="SST120" s="3"/>
      <c r="SSU120" s="3"/>
      <c r="SSV120" s="3"/>
      <c r="SSW120" s="3"/>
      <c r="SSX120" s="3"/>
      <c r="SSY120" s="3"/>
      <c r="SSZ120" s="3"/>
      <c r="STA120" s="3"/>
      <c r="STB120" s="3"/>
      <c r="STC120" s="3"/>
      <c r="STD120" s="3"/>
      <c r="STE120" s="3"/>
      <c r="STF120" s="3"/>
      <c r="STG120" s="3"/>
      <c r="STH120" s="3"/>
      <c r="STI120" s="3"/>
      <c r="STJ120" s="3"/>
      <c r="STK120" s="3"/>
      <c r="STL120" s="3"/>
      <c r="STM120" s="3"/>
      <c r="STN120" s="3"/>
      <c r="STO120" s="3"/>
      <c r="STP120" s="3"/>
      <c r="STQ120" s="3"/>
      <c r="STR120" s="3"/>
      <c r="STS120" s="3"/>
      <c r="STT120" s="3"/>
      <c r="STU120" s="3"/>
      <c r="STV120" s="3"/>
      <c r="STW120" s="3"/>
      <c r="STX120" s="3"/>
      <c r="STY120" s="3"/>
      <c r="STZ120" s="3"/>
      <c r="SUA120" s="3"/>
      <c r="SUB120" s="3"/>
      <c r="SUC120" s="3"/>
      <c r="SUD120" s="3"/>
      <c r="SUE120" s="3"/>
      <c r="SUF120" s="3"/>
      <c r="SUG120" s="3"/>
      <c r="SUH120" s="3"/>
      <c r="SUI120" s="3"/>
      <c r="SUJ120" s="3"/>
      <c r="SUK120" s="3"/>
      <c r="SUL120" s="3"/>
      <c r="SUM120" s="3"/>
      <c r="SUN120" s="3"/>
      <c r="SUO120" s="3"/>
      <c r="SUP120" s="3"/>
      <c r="SUQ120" s="3"/>
      <c r="SUR120" s="3"/>
      <c r="SUS120" s="3"/>
      <c r="SUT120" s="3"/>
      <c r="SUU120" s="3"/>
      <c r="SUV120" s="3"/>
      <c r="SUW120" s="3"/>
      <c r="SUX120" s="3"/>
      <c r="SUY120" s="3"/>
      <c r="SUZ120" s="3"/>
      <c r="SVA120" s="3"/>
      <c r="SVB120" s="3"/>
      <c r="SVC120" s="3"/>
      <c r="SVD120" s="3"/>
      <c r="SVE120" s="3"/>
      <c r="SVF120" s="3"/>
      <c r="SVG120" s="3"/>
      <c r="SVH120" s="3"/>
      <c r="SVI120" s="3"/>
      <c r="SVJ120" s="3"/>
      <c r="SVK120" s="3"/>
      <c r="SVL120" s="3"/>
      <c r="SVM120" s="3"/>
      <c r="SVN120" s="3"/>
      <c r="SVO120" s="3"/>
      <c r="SVP120" s="3"/>
      <c r="SVQ120" s="3"/>
      <c r="SVR120" s="3"/>
      <c r="SVS120" s="3"/>
      <c r="SVT120" s="3"/>
      <c r="SVU120" s="3"/>
      <c r="SVV120" s="3"/>
      <c r="SVW120" s="3"/>
      <c r="SVX120" s="3"/>
      <c r="SVY120" s="3"/>
      <c r="SVZ120" s="3"/>
      <c r="SWA120" s="3"/>
      <c r="SWB120" s="3"/>
      <c r="SWC120" s="3"/>
      <c r="SWD120" s="3"/>
      <c r="SWE120" s="3"/>
      <c r="SWF120" s="3"/>
      <c r="SWG120" s="3"/>
      <c r="SWH120" s="3"/>
      <c r="SWI120" s="3"/>
      <c r="SWJ120" s="3"/>
      <c r="SWK120" s="3"/>
      <c r="SWL120" s="3"/>
      <c r="SWM120" s="3"/>
      <c r="SWN120" s="3"/>
      <c r="SWO120" s="3"/>
      <c r="SWP120" s="3"/>
      <c r="SWQ120" s="3"/>
      <c r="SWR120" s="3"/>
      <c r="SWS120" s="3"/>
      <c r="SWT120" s="3"/>
      <c r="SWU120" s="3"/>
      <c r="SWV120" s="3"/>
      <c r="SWW120" s="3"/>
      <c r="SWX120" s="3"/>
      <c r="SWY120" s="3"/>
      <c r="SWZ120" s="3"/>
      <c r="SXA120" s="3"/>
      <c r="SXB120" s="3"/>
      <c r="SXC120" s="3"/>
      <c r="SXD120" s="3"/>
      <c r="SXE120" s="3"/>
      <c r="SXF120" s="3"/>
      <c r="SXG120" s="3"/>
      <c r="SXH120" s="3"/>
      <c r="SXI120" s="3"/>
      <c r="SXJ120" s="3"/>
      <c r="SXK120" s="3"/>
      <c r="SXL120" s="3"/>
      <c r="SXM120" s="3"/>
      <c r="SXN120" s="3"/>
      <c r="SXO120" s="3"/>
      <c r="SXP120" s="3"/>
      <c r="SXQ120" s="3"/>
      <c r="SXR120" s="3"/>
      <c r="SXS120" s="3"/>
      <c r="SXT120" s="3"/>
      <c r="SXU120" s="3"/>
      <c r="SXV120" s="3"/>
      <c r="SXW120" s="3"/>
      <c r="SXX120" s="3"/>
      <c r="SXY120" s="3"/>
      <c r="SXZ120" s="3"/>
      <c r="SYA120" s="3"/>
      <c r="SYB120" s="3"/>
      <c r="SYC120" s="3"/>
      <c r="SYD120" s="3"/>
      <c r="SYE120" s="3"/>
      <c r="SYF120" s="3"/>
      <c r="SYG120" s="3"/>
      <c r="SYH120" s="3"/>
      <c r="SYI120" s="3"/>
      <c r="SYJ120" s="3"/>
      <c r="SYK120" s="3"/>
      <c r="SYL120" s="3"/>
      <c r="SYM120" s="3"/>
      <c r="SYN120" s="3"/>
      <c r="SYO120" s="3"/>
      <c r="SYP120" s="3"/>
      <c r="SYQ120" s="3"/>
      <c r="SYR120" s="3"/>
      <c r="SYS120" s="3"/>
      <c r="SYT120" s="3"/>
      <c r="SYU120" s="3"/>
      <c r="SYV120" s="3"/>
      <c r="SYW120" s="3"/>
      <c r="SYX120" s="3"/>
      <c r="SYY120" s="3"/>
      <c r="SYZ120" s="3"/>
      <c r="SZA120" s="3"/>
      <c r="SZB120" s="3"/>
      <c r="SZC120" s="3"/>
      <c r="SZD120" s="3"/>
      <c r="SZE120" s="3"/>
      <c r="SZF120" s="3"/>
      <c r="SZG120" s="3"/>
      <c r="SZH120" s="3"/>
      <c r="SZI120" s="3"/>
      <c r="SZJ120" s="3"/>
      <c r="SZK120" s="3"/>
      <c r="SZL120" s="3"/>
      <c r="SZM120" s="3"/>
      <c r="SZN120" s="3"/>
      <c r="SZO120" s="3"/>
      <c r="SZP120" s="3"/>
      <c r="SZQ120" s="3"/>
      <c r="SZR120" s="3"/>
      <c r="SZS120" s="3"/>
      <c r="SZT120" s="3"/>
      <c r="SZU120" s="3"/>
      <c r="SZV120" s="3"/>
      <c r="SZW120" s="3"/>
      <c r="SZX120" s="3"/>
      <c r="SZY120" s="3"/>
      <c r="SZZ120" s="3"/>
      <c r="TAA120" s="3"/>
      <c r="TAB120" s="3"/>
      <c r="TAC120" s="3"/>
      <c r="TAD120" s="3"/>
      <c r="TAE120" s="3"/>
      <c r="TAF120" s="3"/>
      <c r="TAG120" s="3"/>
      <c r="TAH120" s="3"/>
      <c r="TAI120" s="3"/>
      <c r="TAJ120" s="3"/>
      <c r="TAK120" s="3"/>
      <c r="TAL120" s="3"/>
      <c r="TAM120" s="3"/>
      <c r="TAN120" s="3"/>
      <c r="TAO120" s="3"/>
      <c r="TAP120" s="3"/>
      <c r="TAQ120" s="3"/>
      <c r="TAR120" s="3"/>
      <c r="TAS120" s="3"/>
      <c r="TAT120" s="3"/>
      <c r="TAU120" s="3"/>
      <c r="TAV120" s="3"/>
      <c r="TAW120" s="3"/>
      <c r="TAX120" s="3"/>
      <c r="TAY120" s="3"/>
      <c r="TAZ120" s="3"/>
      <c r="TBA120" s="3"/>
      <c r="TBB120" s="3"/>
      <c r="TBC120" s="3"/>
      <c r="TBD120" s="3"/>
      <c r="TBE120" s="3"/>
      <c r="TBF120" s="3"/>
      <c r="TBG120" s="3"/>
      <c r="TBH120" s="3"/>
      <c r="TBI120" s="3"/>
      <c r="TBJ120" s="3"/>
      <c r="TBK120" s="3"/>
      <c r="TBL120" s="3"/>
      <c r="TBM120" s="3"/>
      <c r="TBN120" s="3"/>
      <c r="TBO120" s="3"/>
      <c r="TBP120" s="3"/>
      <c r="TBQ120" s="3"/>
      <c r="TBR120" s="3"/>
      <c r="TBS120" s="3"/>
      <c r="TBT120" s="3"/>
      <c r="TBU120" s="3"/>
      <c r="TBV120" s="3"/>
      <c r="TBW120" s="3"/>
      <c r="TBX120" s="3"/>
      <c r="TBY120" s="3"/>
      <c r="TBZ120" s="3"/>
      <c r="TCA120" s="3"/>
      <c r="TCB120" s="3"/>
      <c r="TCC120" s="3"/>
      <c r="TCD120" s="3"/>
      <c r="TCE120" s="3"/>
      <c r="TCF120" s="3"/>
      <c r="TCG120" s="3"/>
      <c r="TCH120" s="3"/>
      <c r="TCI120" s="3"/>
      <c r="TCJ120" s="3"/>
      <c r="TCK120" s="3"/>
      <c r="TCL120" s="3"/>
      <c r="TCM120" s="3"/>
      <c r="TCN120" s="3"/>
      <c r="TCO120" s="3"/>
      <c r="TCP120" s="3"/>
      <c r="TCQ120" s="3"/>
      <c r="TCR120" s="3"/>
      <c r="TCS120" s="3"/>
      <c r="TCT120" s="3"/>
      <c r="TCU120" s="3"/>
      <c r="TCV120" s="3"/>
      <c r="TCW120" s="3"/>
      <c r="TCX120" s="3"/>
      <c r="TCY120" s="3"/>
      <c r="TCZ120" s="3"/>
      <c r="TDA120" s="3"/>
      <c r="TDB120" s="3"/>
      <c r="TDC120" s="3"/>
      <c r="TDD120" s="3"/>
      <c r="TDE120" s="3"/>
      <c r="TDF120" s="3"/>
      <c r="TDG120" s="3"/>
      <c r="TDH120" s="3"/>
      <c r="TDI120" s="3"/>
      <c r="TDJ120" s="3"/>
      <c r="TDK120" s="3"/>
      <c r="TDL120" s="3"/>
      <c r="TDM120" s="3"/>
      <c r="TDN120" s="3"/>
      <c r="TDO120" s="3"/>
      <c r="TDP120" s="3"/>
      <c r="TDQ120" s="3"/>
      <c r="TDR120" s="3"/>
      <c r="TDS120" s="3"/>
      <c r="TDT120" s="3"/>
      <c r="TDU120" s="3"/>
      <c r="TDV120" s="3"/>
      <c r="TDW120" s="3"/>
      <c r="TDX120" s="3"/>
      <c r="TDY120" s="3"/>
      <c r="TDZ120" s="3"/>
      <c r="TEA120" s="3"/>
      <c r="TEB120" s="3"/>
      <c r="TEC120" s="3"/>
      <c r="TED120" s="3"/>
      <c r="TEE120" s="3"/>
      <c r="TEF120" s="3"/>
      <c r="TEG120" s="3"/>
      <c r="TEH120" s="3"/>
      <c r="TEI120" s="3"/>
      <c r="TEJ120" s="3"/>
      <c r="TEK120" s="3"/>
      <c r="TEL120" s="3"/>
      <c r="TEM120" s="3"/>
      <c r="TEN120" s="3"/>
      <c r="TEO120" s="3"/>
      <c r="TEP120" s="3"/>
      <c r="TEQ120" s="3"/>
      <c r="TER120" s="3"/>
      <c r="TES120" s="3"/>
      <c r="TET120" s="3"/>
      <c r="TEU120" s="3"/>
      <c r="TEV120" s="3"/>
      <c r="TEW120" s="3"/>
      <c r="TEX120" s="3"/>
      <c r="TEY120" s="3"/>
      <c r="TEZ120" s="3"/>
      <c r="TFA120" s="3"/>
      <c r="TFB120" s="3"/>
      <c r="TFC120" s="3"/>
      <c r="TFD120" s="3"/>
      <c r="TFE120" s="3"/>
      <c r="TFF120" s="3"/>
      <c r="TFG120" s="3"/>
      <c r="TFH120" s="3"/>
      <c r="TFI120" s="3"/>
      <c r="TFJ120" s="3"/>
      <c r="TFK120" s="3"/>
      <c r="TFL120" s="3"/>
      <c r="TFM120" s="3"/>
      <c r="TFN120" s="3"/>
      <c r="TFO120" s="3"/>
      <c r="TFP120" s="3"/>
      <c r="TFQ120" s="3"/>
      <c r="TFR120" s="3"/>
      <c r="TFS120" s="3"/>
      <c r="TFT120" s="3"/>
      <c r="TFU120" s="3"/>
      <c r="TFV120" s="3"/>
      <c r="TFW120" s="3"/>
      <c r="TFX120" s="3"/>
      <c r="TFY120" s="3"/>
      <c r="TFZ120" s="3"/>
      <c r="TGA120" s="3"/>
      <c r="TGB120" s="3"/>
      <c r="TGC120" s="3"/>
      <c r="TGD120" s="3"/>
      <c r="TGE120" s="3"/>
      <c r="TGF120" s="3"/>
      <c r="TGG120" s="3"/>
      <c r="TGH120" s="3"/>
      <c r="TGI120" s="3"/>
      <c r="TGJ120" s="3"/>
      <c r="TGK120" s="3"/>
      <c r="TGL120" s="3"/>
      <c r="TGM120" s="3"/>
      <c r="TGN120" s="3"/>
      <c r="TGO120" s="3"/>
      <c r="TGP120" s="3"/>
      <c r="TGQ120" s="3"/>
      <c r="TGR120" s="3"/>
      <c r="TGS120" s="3"/>
      <c r="TGT120" s="3"/>
      <c r="TGU120" s="3"/>
      <c r="TGV120" s="3"/>
      <c r="TGW120" s="3"/>
      <c r="TGX120" s="3"/>
      <c r="TGY120" s="3"/>
      <c r="TGZ120" s="3"/>
      <c r="THA120" s="3"/>
      <c r="THB120" s="3"/>
      <c r="THC120" s="3"/>
      <c r="THD120" s="3"/>
      <c r="THE120" s="3"/>
      <c r="THF120" s="3"/>
      <c r="THG120" s="3"/>
      <c r="THH120" s="3"/>
      <c r="THI120" s="3"/>
      <c r="THJ120" s="3"/>
      <c r="THK120" s="3"/>
      <c r="THL120" s="3"/>
      <c r="THM120" s="3"/>
      <c r="THN120" s="3"/>
      <c r="THO120" s="3"/>
      <c r="THP120" s="3"/>
      <c r="THQ120" s="3"/>
      <c r="THR120" s="3"/>
      <c r="THS120" s="3"/>
      <c r="THT120" s="3"/>
      <c r="THU120" s="3"/>
      <c r="THV120" s="3"/>
      <c r="THW120" s="3"/>
      <c r="THX120" s="3"/>
      <c r="THY120" s="3"/>
      <c r="THZ120" s="3"/>
      <c r="TIA120" s="3"/>
      <c r="TIB120" s="3"/>
      <c r="TIC120" s="3"/>
      <c r="TID120" s="3"/>
      <c r="TIE120" s="3"/>
      <c r="TIF120" s="3"/>
      <c r="TIG120" s="3"/>
      <c r="TIH120" s="3"/>
      <c r="TII120" s="3"/>
      <c r="TIJ120" s="3"/>
      <c r="TIK120" s="3"/>
      <c r="TIL120" s="3"/>
      <c r="TIM120" s="3"/>
      <c r="TIN120" s="3"/>
      <c r="TIO120" s="3"/>
      <c r="TIP120" s="3"/>
      <c r="TIQ120" s="3"/>
      <c r="TIR120" s="3"/>
      <c r="TIS120" s="3"/>
      <c r="TIT120" s="3"/>
      <c r="TIU120" s="3"/>
      <c r="TIV120" s="3"/>
      <c r="TIW120" s="3"/>
      <c r="TIX120" s="3"/>
      <c r="TIY120" s="3"/>
      <c r="TIZ120" s="3"/>
      <c r="TJA120" s="3"/>
      <c r="TJB120" s="3"/>
      <c r="TJC120" s="3"/>
      <c r="TJD120" s="3"/>
      <c r="TJE120" s="3"/>
      <c r="TJF120" s="3"/>
      <c r="TJG120" s="3"/>
      <c r="TJH120" s="3"/>
      <c r="TJI120" s="3"/>
      <c r="TJJ120" s="3"/>
      <c r="TJK120" s="3"/>
      <c r="TJL120" s="3"/>
      <c r="TJM120" s="3"/>
      <c r="TJN120" s="3"/>
      <c r="TJO120" s="3"/>
      <c r="TJP120" s="3"/>
      <c r="TJQ120" s="3"/>
      <c r="TJR120" s="3"/>
      <c r="TJS120" s="3"/>
      <c r="TJT120" s="3"/>
      <c r="TJU120" s="3"/>
      <c r="TJV120" s="3"/>
      <c r="TJW120" s="3"/>
      <c r="TJX120" s="3"/>
      <c r="TJY120" s="3"/>
      <c r="TJZ120" s="3"/>
      <c r="TKA120" s="3"/>
      <c r="TKB120" s="3"/>
      <c r="TKC120" s="3"/>
      <c r="TKD120" s="3"/>
      <c r="TKE120" s="3"/>
      <c r="TKF120" s="3"/>
      <c r="TKG120" s="3"/>
      <c r="TKH120" s="3"/>
      <c r="TKI120" s="3"/>
      <c r="TKJ120" s="3"/>
      <c r="TKK120" s="3"/>
      <c r="TKL120" s="3"/>
      <c r="TKM120" s="3"/>
      <c r="TKN120" s="3"/>
      <c r="TKO120" s="3"/>
      <c r="TKP120" s="3"/>
      <c r="TKQ120" s="3"/>
      <c r="TKR120" s="3"/>
      <c r="TKS120" s="3"/>
      <c r="TKT120" s="3"/>
      <c r="TKU120" s="3"/>
      <c r="TKV120" s="3"/>
      <c r="TKW120" s="3"/>
      <c r="TKX120" s="3"/>
      <c r="TKY120" s="3"/>
      <c r="TKZ120" s="3"/>
      <c r="TLA120" s="3"/>
      <c r="TLB120" s="3"/>
      <c r="TLC120" s="3"/>
      <c r="TLD120" s="3"/>
      <c r="TLE120" s="3"/>
      <c r="TLF120" s="3"/>
      <c r="TLG120" s="3"/>
      <c r="TLH120" s="3"/>
      <c r="TLI120" s="3"/>
      <c r="TLJ120" s="3"/>
      <c r="TLK120" s="3"/>
      <c r="TLL120" s="3"/>
      <c r="TLM120" s="3"/>
      <c r="TLN120" s="3"/>
      <c r="TLO120" s="3"/>
      <c r="TLP120" s="3"/>
      <c r="TLQ120" s="3"/>
      <c r="TLR120" s="3"/>
      <c r="TLS120" s="3"/>
      <c r="TLT120" s="3"/>
      <c r="TLU120" s="3"/>
      <c r="TLV120" s="3"/>
      <c r="TLW120" s="3"/>
      <c r="TLX120" s="3"/>
      <c r="TLY120" s="3"/>
      <c r="TLZ120" s="3"/>
      <c r="TMA120" s="3"/>
      <c r="TMB120" s="3"/>
      <c r="TMC120" s="3"/>
      <c r="TMD120" s="3"/>
      <c r="TME120" s="3"/>
      <c r="TMF120" s="3"/>
      <c r="TMG120" s="3"/>
      <c r="TMH120" s="3"/>
      <c r="TMI120" s="3"/>
      <c r="TMJ120" s="3"/>
      <c r="TMK120" s="3"/>
      <c r="TML120" s="3"/>
      <c r="TMM120" s="3"/>
      <c r="TMN120" s="3"/>
      <c r="TMO120" s="3"/>
      <c r="TMP120" s="3"/>
      <c r="TMQ120" s="3"/>
      <c r="TMR120" s="3"/>
      <c r="TMS120" s="3"/>
      <c r="TMT120" s="3"/>
      <c r="TMU120" s="3"/>
      <c r="TMV120" s="3"/>
      <c r="TMW120" s="3"/>
      <c r="TMX120" s="3"/>
      <c r="TMY120" s="3"/>
      <c r="TMZ120" s="3"/>
      <c r="TNA120" s="3"/>
      <c r="TNB120" s="3"/>
      <c r="TNC120" s="3"/>
      <c r="TND120" s="3"/>
      <c r="TNE120" s="3"/>
      <c r="TNF120" s="3"/>
      <c r="TNG120" s="3"/>
      <c r="TNH120" s="3"/>
      <c r="TNI120" s="3"/>
      <c r="TNJ120" s="3"/>
      <c r="TNK120" s="3"/>
      <c r="TNL120" s="3"/>
      <c r="TNM120" s="3"/>
      <c r="TNN120" s="3"/>
      <c r="TNO120" s="3"/>
      <c r="TNP120" s="3"/>
      <c r="TNQ120" s="3"/>
      <c r="TNR120" s="3"/>
      <c r="TNS120" s="3"/>
      <c r="TNT120" s="3"/>
      <c r="TNU120" s="3"/>
      <c r="TNV120" s="3"/>
      <c r="TNW120" s="3"/>
      <c r="TNX120" s="3"/>
      <c r="TNY120" s="3"/>
      <c r="TNZ120" s="3"/>
      <c r="TOA120" s="3"/>
      <c r="TOB120" s="3"/>
      <c r="TOC120" s="3"/>
      <c r="TOD120" s="3"/>
      <c r="TOE120" s="3"/>
      <c r="TOF120" s="3"/>
      <c r="TOG120" s="3"/>
      <c r="TOH120" s="3"/>
      <c r="TOI120" s="3"/>
      <c r="TOJ120" s="3"/>
      <c r="TOK120" s="3"/>
      <c r="TOL120" s="3"/>
      <c r="TOM120" s="3"/>
      <c r="TON120" s="3"/>
      <c r="TOO120" s="3"/>
      <c r="TOP120" s="3"/>
      <c r="TOQ120" s="3"/>
      <c r="TOR120" s="3"/>
      <c r="TOS120" s="3"/>
      <c r="TOT120" s="3"/>
      <c r="TOU120" s="3"/>
      <c r="TOV120" s="3"/>
      <c r="TOW120" s="3"/>
      <c r="TOX120" s="3"/>
      <c r="TOY120" s="3"/>
      <c r="TOZ120" s="3"/>
      <c r="TPA120" s="3"/>
      <c r="TPB120" s="3"/>
      <c r="TPC120" s="3"/>
      <c r="TPD120" s="3"/>
      <c r="TPE120" s="3"/>
      <c r="TPF120" s="3"/>
      <c r="TPG120" s="3"/>
      <c r="TPH120" s="3"/>
      <c r="TPI120" s="3"/>
      <c r="TPJ120" s="3"/>
      <c r="TPK120" s="3"/>
      <c r="TPL120" s="3"/>
      <c r="TPM120" s="3"/>
      <c r="TPN120" s="3"/>
      <c r="TPO120" s="3"/>
      <c r="TPP120" s="3"/>
      <c r="TPQ120" s="3"/>
      <c r="TPR120" s="3"/>
      <c r="TPS120" s="3"/>
      <c r="TPT120" s="3"/>
      <c r="TPU120" s="3"/>
      <c r="TPV120" s="3"/>
      <c r="TPW120" s="3"/>
      <c r="TPX120" s="3"/>
      <c r="TPY120" s="3"/>
      <c r="TPZ120" s="3"/>
      <c r="TQA120" s="3"/>
      <c r="TQB120" s="3"/>
      <c r="TQC120" s="3"/>
      <c r="TQD120" s="3"/>
      <c r="TQE120" s="3"/>
      <c r="TQF120" s="3"/>
      <c r="TQG120" s="3"/>
      <c r="TQH120" s="3"/>
      <c r="TQI120" s="3"/>
      <c r="TQJ120" s="3"/>
      <c r="TQK120" s="3"/>
      <c r="TQL120" s="3"/>
      <c r="TQM120" s="3"/>
      <c r="TQN120" s="3"/>
      <c r="TQO120" s="3"/>
      <c r="TQP120" s="3"/>
      <c r="TQQ120" s="3"/>
      <c r="TQR120" s="3"/>
      <c r="TQS120" s="3"/>
      <c r="TQT120" s="3"/>
      <c r="TQU120" s="3"/>
      <c r="TQV120" s="3"/>
      <c r="TQW120" s="3"/>
      <c r="TQX120" s="3"/>
      <c r="TQY120" s="3"/>
      <c r="TQZ120" s="3"/>
      <c r="TRA120" s="3"/>
      <c r="TRB120" s="3"/>
      <c r="TRC120" s="3"/>
      <c r="TRD120" s="3"/>
      <c r="TRE120" s="3"/>
      <c r="TRF120" s="3"/>
      <c r="TRG120" s="3"/>
      <c r="TRH120" s="3"/>
      <c r="TRI120" s="3"/>
      <c r="TRJ120" s="3"/>
      <c r="TRK120" s="3"/>
      <c r="TRL120" s="3"/>
      <c r="TRM120" s="3"/>
      <c r="TRN120" s="3"/>
      <c r="TRO120" s="3"/>
      <c r="TRP120" s="3"/>
      <c r="TRQ120" s="3"/>
      <c r="TRR120" s="3"/>
      <c r="TRS120" s="3"/>
      <c r="TRT120" s="3"/>
      <c r="TRU120" s="3"/>
      <c r="TRV120" s="3"/>
      <c r="TRW120" s="3"/>
      <c r="TRX120" s="3"/>
      <c r="TRY120" s="3"/>
      <c r="TRZ120" s="3"/>
      <c r="TSA120" s="3"/>
      <c r="TSB120" s="3"/>
      <c r="TSC120" s="3"/>
      <c r="TSD120" s="3"/>
      <c r="TSE120" s="3"/>
      <c r="TSF120" s="3"/>
      <c r="TSG120" s="3"/>
      <c r="TSH120" s="3"/>
      <c r="TSI120" s="3"/>
      <c r="TSJ120" s="3"/>
      <c r="TSK120" s="3"/>
      <c r="TSL120" s="3"/>
      <c r="TSM120" s="3"/>
      <c r="TSN120" s="3"/>
      <c r="TSO120" s="3"/>
      <c r="TSP120" s="3"/>
      <c r="TSQ120" s="3"/>
      <c r="TSR120" s="3"/>
      <c r="TSS120" s="3"/>
      <c r="TST120" s="3"/>
      <c r="TSU120" s="3"/>
      <c r="TSV120" s="3"/>
      <c r="TSW120" s="3"/>
      <c r="TSX120" s="3"/>
      <c r="TSY120" s="3"/>
      <c r="TSZ120" s="3"/>
      <c r="TTA120" s="3"/>
      <c r="TTB120" s="3"/>
      <c r="TTC120" s="3"/>
      <c r="TTD120" s="3"/>
      <c r="TTE120" s="3"/>
      <c r="TTF120" s="3"/>
      <c r="TTG120" s="3"/>
      <c r="TTH120" s="3"/>
      <c r="TTI120" s="3"/>
      <c r="TTJ120" s="3"/>
      <c r="TTK120" s="3"/>
      <c r="TTL120" s="3"/>
      <c r="TTM120" s="3"/>
      <c r="TTN120" s="3"/>
      <c r="TTO120" s="3"/>
      <c r="TTP120" s="3"/>
      <c r="TTQ120" s="3"/>
      <c r="TTR120" s="3"/>
      <c r="TTS120" s="3"/>
      <c r="TTT120" s="3"/>
      <c r="TTU120" s="3"/>
      <c r="TTV120" s="3"/>
      <c r="TTW120" s="3"/>
      <c r="TTX120" s="3"/>
      <c r="TTY120" s="3"/>
      <c r="TTZ120" s="3"/>
      <c r="TUA120" s="3"/>
      <c r="TUB120" s="3"/>
      <c r="TUC120" s="3"/>
      <c r="TUD120" s="3"/>
      <c r="TUE120" s="3"/>
      <c r="TUF120" s="3"/>
      <c r="TUG120" s="3"/>
      <c r="TUH120" s="3"/>
      <c r="TUI120" s="3"/>
      <c r="TUJ120" s="3"/>
      <c r="TUK120" s="3"/>
      <c r="TUL120" s="3"/>
      <c r="TUM120" s="3"/>
      <c r="TUN120" s="3"/>
      <c r="TUO120" s="3"/>
      <c r="TUP120" s="3"/>
      <c r="TUQ120" s="3"/>
      <c r="TUR120" s="3"/>
      <c r="TUS120" s="3"/>
      <c r="TUT120" s="3"/>
      <c r="TUU120" s="3"/>
      <c r="TUV120" s="3"/>
      <c r="TUW120" s="3"/>
      <c r="TUX120" s="3"/>
      <c r="TUY120" s="3"/>
      <c r="TUZ120" s="3"/>
      <c r="TVA120" s="3"/>
      <c r="TVB120" s="3"/>
      <c r="TVC120" s="3"/>
      <c r="TVD120" s="3"/>
      <c r="TVE120" s="3"/>
      <c r="TVF120" s="3"/>
      <c r="TVG120" s="3"/>
      <c r="TVH120" s="3"/>
      <c r="TVI120" s="3"/>
      <c r="TVJ120" s="3"/>
      <c r="TVK120" s="3"/>
      <c r="TVL120" s="3"/>
      <c r="TVM120" s="3"/>
      <c r="TVN120" s="3"/>
      <c r="TVO120" s="3"/>
      <c r="TVP120" s="3"/>
      <c r="TVQ120" s="3"/>
      <c r="TVR120" s="3"/>
      <c r="TVS120" s="3"/>
      <c r="TVT120" s="3"/>
      <c r="TVU120" s="3"/>
      <c r="TVV120" s="3"/>
      <c r="TVW120" s="3"/>
      <c r="TVX120" s="3"/>
      <c r="TVY120" s="3"/>
      <c r="TVZ120" s="3"/>
      <c r="TWA120" s="3"/>
      <c r="TWB120" s="3"/>
      <c r="TWC120" s="3"/>
      <c r="TWD120" s="3"/>
      <c r="TWE120" s="3"/>
      <c r="TWF120" s="3"/>
      <c r="TWG120" s="3"/>
      <c r="TWH120" s="3"/>
      <c r="TWI120" s="3"/>
      <c r="TWJ120" s="3"/>
      <c r="TWK120" s="3"/>
      <c r="TWL120" s="3"/>
      <c r="TWM120" s="3"/>
      <c r="TWN120" s="3"/>
      <c r="TWO120" s="3"/>
      <c r="TWP120" s="3"/>
      <c r="TWQ120" s="3"/>
      <c r="TWR120" s="3"/>
      <c r="TWS120" s="3"/>
      <c r="TWT120" s="3"/>
      <c r="TWU120" s="3"/>
      <c r="TWV120" s="3"/>
      <c r="TWW120" s="3"/>
      <c r="TWX120" s="3"/>
      <c r="TWY120" s="3"/>
      <c r="TWZ120" s="3"/>
      <c r="TXA120" s="3"/>
      <c r="TXB120" s="3"/>
      <c r="TXC120" s="3"/>
      <c r="TXD120" s="3"/>
      <c r="TXE120" s="3"/>
      <c r="TXF120" s="3"/>
      <c r="TXG120" s="3"/>
      <c r="TXH120" s="3"/>
      <c r="TXI120" s="3"/>
      <c r="TXJ120" s="3"/>
      <c r="TXK120" s="3"/>
      <c r="TXL120" s="3"/>
      <c r="TXM120" s="3"/>
      <c r="TXN120" s="3"/>
      <c r="TXO120" s="3"/>
      <c r="TXP120" s="3"/>
      <c r="TXQ120" s="3"/>
      <c r="TXR120" s="3"/>
      <c r="TXS120" s="3"/>
      <c r="TXT120" s="3"/>
      <c r="TXU120" s="3"/>
      <c r="TXV120" s="3"/>
      <c r="TXW120" s="3"/>
      <c r="TXX120" s="3"/>
      <c r="TXY120" s="3"/>
      <c r="TXZ120" s="3"/>
      <c r="TYA120" s="3"/>
      <c r="TYB120" s="3"/>
      <c r="TYC120" s="3"/>
      <c r="TYD120" s="3"/>
      <c r="TYE120" s="3"/>
      <c r="TYF120" s="3"/>
      <c r="TYG120" s="3"/>
      <c r="TYH120" s="3"/>
      <c r="TYI120" s="3"/>
      <c r="TYJ120" s="3"/>
      <c r="TYK120" s="3"/>
      <c r="TYL120" s="3"/>
      <c r="TYM120" s="3"/>
      <c r="TYN120" s="3"/>
      <c r="TYO120" s="3"/>
      <c r="TYP120" s="3"/>
      <c r="TYQ120" s="3"/>
      <c r="TYR120" s="3"/>
      <c r="TYS120" s="3"/>
      <c r="TYT120" s="3"/>
      <c r="TYU120" s="3"/>
      <c r="TYV120" s="3"/>
      <c r="TYW120" s="3"/>
      <c r="TYX120" s="3"/>
      <c r="TYY120" s="3"/>
      <c r="TYZ120" s="3"/>
      <c r="TZA120" s="3"/>
      <c r="TZB120" s="3"/>
      <c r="TZC120" s="3"/>
      <c r="TZD120" s="3"/>
      <c r="TZE120" s="3"/>
      <c r="TZF120" s="3"/>
      <c r="TZG120" s="3"/>
      <c r="TZH120" s="3"/>
      <c r="TZI120" s="3"/>
      <c r="TZJ120" s="3"/>
      <c r="TZK120" s="3"/>
      <c r="TZL120" s="3"/>
      <c r="TZM120" s="3"/>
      <c r="TZN120" s="3"/>
      <c r="TZO120" s="3"/>
      <c r="TZP120" s="3"/>
      <c r="TZQ120" s="3"/>
      <c r="TZR120" s="3"/>
      <c r="TZS120" s="3"/>
      <c r="TZT120" s="3"/>
      <c r="TZU120" s="3"/>
      <c r="TZV120" s="3"/>
      <c r="TZW120" s="3"/>
      <c r="TZX120" s="3"/>
      <c r="TZY120" s="3"/>
      <c r="TZZ120" s="3"/>
      <c r="UAA120" s="3"/>
      <c r="UAB120" s="3"/>
      <c r="UAC120" s="3"/>
      <c r="UAD120" s="3"/>
      <c r="UAE120" s="3"/>
      <c r="UAF120" s="3"/>
      <c r="UAG120" s="3"/>
      <c r="UAH120" s="3"/>
      <c r="UAI120" s="3"/>
      <c r="UAJ120" s="3"/>
      <c r="UAK120" s="3"/>
      <c r="UAL120" s="3"/>
      <c r="UAM120" s="3"/>
      <c r="UAN120" s="3"/>
      <c r="UAO120" s="3"/>
      <c r="UAP120" s="3"/>
      <c r="UAQ120" s="3"/>
      <c r="UAR120" s="3"/>
      <c r="UAS120" s="3"/>
      <c r="UAT120" s="3"/>
      <c r="UAU120" s="3"/>
      <c r="UAV120" s="3"/>
      <c r="UAW120" s="3"/>
      <c r="UAX120" s="3"/>
      <c r="UAY120" s="3"/>
      <c r="UAZ120" s="3"/>
      <c r="UBA120" s="3"/>
      <c r="UBB120" s="3"/>
      <c r="UBC120" s="3"/>
      <c r="UBD120" s="3"/>
      <c r="UBE120" s="3"/>
      <c r="UBF120" s="3"/>
      <c r="UBG120" s="3"/>
      <c r="UBH120" s="3"/>
      <c r="UBI120" s="3"/>
      <c r="UBJ120" s="3"/>
      <c r="UBK120" s="3"/>
      <c r="UBL120" s="3"/>
      <c r="UBM120" s="3"/>
      <c r="UBN120" s="3"/>
      <c r="UBO120" s="3"/>
      <c r="UBP120" s="3"/>
      <c r="UBQ120" s="3"/>
      <c r="UBR120" s="3"/>
      <c r="UBS120" s="3"/>
      <c r="UBT120" s="3"/>
      <c r="UBU120" s="3"/>
      <c r="UBV120" s="3"/>
      <c r="UBW120" s="3"/>
      <c r="UBX120" s="3"/>
      <c r="UBY120" s="3"/>
      <c r="UBZ120" s="3"/>
      <c r="UCA120" s="3"/>
      <c r="UCB120" s="3"/>
      <c r="UCC120" s="3"/>
      <c r="UCD120" s="3"/>
      <c r="UCE120" s="3"/>
      <c r="UCF120" s="3"/>
      <c r="UCG120" s="3"/>
      <c r="UCH120" s="3"/>
      <c r="UCI120" s="3"/>
      <c r="UCJ120" s="3"/>
      <c r="UCK120" s="3"/>
      <c r="UCL120" s="3"/>
      <c r="UCM120" s="3"/>
      <c r="UCN120" s="3"/>
      <c r="UCO120" s="3"/>
      <c r="UCP120" s="3"/>
      <c r="UCQ120" s="3"/>
      <c r="UCR120" s="3"/>
      <c r="UCS120" s="3"/>
      <c r="UCT120" s="3"/>
      <c r="UCU120" s="3"/>
      <c r="UCV120" s="3"/>
      <c r="UCW120" s="3"/>
      <c r="UCX120" s="3"/>
      <c r="UCY120" s="3"/>
      <c r="UCZ120" s="3"/>
      <c r="UDA120" s="3"/>
      <c r="UDB120" s="3"/>
      <c r="UDC120" s="3"/>
      <c r="UDD120" s="3"/>
      <c r="UDE120" s="3"/>
      <c r="UDF120" s="3"/>
      <c r="UDG120" s="3"/>
      <c r="UDH120" s="3"/>
      <c r="UDI120" s="3"/>
      <c r="UDJ120" s="3"/>
      <c r="UDK120" s="3"/>
      <c r="UDL120" s="3"/>
      <c r="UDM120" s="3"/>
      <c r="UDN120" s="3"/>
      <c r="UDO120" s="3"/>
      <c r="UDP120" s="3"/>
      <c r="UDQ120" s="3"/>
      <c r="UDR120" s="3"/>
      <c r="UDS120" s="3"/>
      <c r="UDT120" s="3"/>
      <c r="UDU120" s="3"/>
      <c r="UDV120" s="3"/>
      <c r="UDW120" s="3"/>
      <c r="UDX120" s="3"/>
      <c r="UDY120" s="3"/>
      <c r="UDZ120" s="3"/>
      <c r="UEA120" s="3"/>
      <c r="UEB120" s="3"/>
      <c r="UEC120" s="3"/>
      <c r="UED120" s="3"/>
      <c r="UEE120" s="3"/>
      <c r="UEF120" s="3"/>
      <c r="UEG120" s="3"/>
      <c r="UEH120" s="3"/>
      <c r="UEI120" s="3"/>
      <c r="UEJ120" s="3"/>
      <c r="UEK120" s="3"/>
      <c r="UEL120" s="3"/>
      <c r="UEM120" s="3"/>
      <c r="UEN120" s="3"/>
      <c r="UEO120" s="3"/>
      <c r="UEP120" s="3"/>
      <c r="UEQ120" s="3"/>
      <c r="UER120" s="3"/>
      <c r="UES120" s="3"/>
      <c r="UET120" s="3"/>
      <c r="UEU120" s="3"/>
      <c r="UEV120" s="3"/>
      <c r="UEW120" s="3"/>
      <c r="UEX120" s="3"/>
      <c r="UEY120" s="3"/>
      <c r="UEZ120" s="3"/>
      <c r="UFA120" s="3"/>
      <c r="UFB120" s="3"/>
      <c r="UFC120" s="3"/>
      <c r="UFD120" s="3"/>
      <c r="UFE120" s="3"/>
      <c r="UFF120" s="3"/>
      <c r="UFG120" s="3"/>
      <c r="UFH120" s="3"/>
      <c r="UFI120" s="3"/>
      <c r="UFJ120" s="3"/>
      <c r="UFK120" s="3"/>
      <c r="UFL120" s="3"/>
      <c r="UFM120" s="3"/>
      <c r="UFN120" s="3"/>
      <c r="UFO120" s="3"/>
      <c r="UFP120" s="3"/>
      <c r="UFQ120" s="3"/>
      <c r="UFR120" s="3"/>
      <c r="UFS120" s="3"/>
      <c r="UFT120" s="3"/>
      <c r="UFU120" s="3"/>
      <c r="UFV120" s="3"/>
      <c r="UFW120" s="3"/>
      <c r="UFX120" s="3"/>
      <c r="UFY120" s="3"/>
      <c r="UFZ120" s="3"/>
      <c r="UGA120" s="3"/>
      <c r="UGB120" s="3"/>
      <c r="UGC120" s="3"/>
      <c r="UGD120" s="3"/>
      <c r="UGE120" s="3"/>
      <c r="UGF120" s="3"/>
      <c r="UGG120" s="3"/>
      <c r="UGH120" s="3"/>
      <c r="UGI120" s="3"/>
      <c r="UGJ120" s="3"/>
      <c r="UGK120" s="3"/>
      <c r="UGL120" s="3"/>
      <c r="UGM120" s="3"/>
      <c r="UGN120" s="3"/>
      <c r="UGO120" s="3"/>
      <c r="UGP120" s="3"/>
      <c r="UGQ120" s="3"/>
      <c r="UGR120" s="3"/>
      <c r="UGS120" s="3"/>
      <c r="UGT120" s="3"/>
      <c r="UGU120" s="3"/>
      <c r="UGV120" s="3"/>
      <c r="UGW120" s="3"/>
      <c r="UGX120" s="3"/>
      <c r="UGY120" s="3"/>
      <c r="UGZ120" s="3"/>
      <c r="UHA120" s="3"/>
      <c r="UHB120" s="3"/>
      <c r="UHC120" s="3"/>
      <c r="UHD120" s="3"/>
      <c r="UHE120" s="3"/>
      <c r="UHF120" s="3"/>
      <c r="UHG120" s="3"/>
      <c r="UHH120" s="3"/>
      <c r="UHI120" s="3"/>
      <c r="UHJ120" s="3"/>
      <c r="UHK120" s="3"/>
      <c r="UHL120" s="3"/>
      <c r="UHM120" s="3"/>
      <c r="UHN120" s="3"/>
      <c r="UHO120" s="3"/>
      <c r="UHP120" s="3"/>
      <c r="UHQ120" s="3"/>
      <c r="UHR120" s="3"/>
      <c r="UHS120" s="3"/>
      <c r="UHT120" s="3"/>
      <c r="UHU120" s="3"/>
      <c r="UHV120" s="3"/>
      <c r="UHW120" s="3"/>
      <c r="UHX120" s="3"/>
      <c r="UHY120" s="3"/>
      <c r="UHZ120" s="3"/>
      <c r="UIA120" s="3"/>
      <c r="UIB120" s="3"/>
      <c r="UIC120" s="3"/>
      <c r="UID120" s="3"/>
      <c r="UIE120" s="3"/>
      <c r="UIF120" s="3"/>
      <c r="UIG120" s="3"/>
      <c r="UIH120" s="3"/>
      <c r="UII120" s="3"/>
      <c r="UIJ120" s="3"/>
      <c r="UIK120" s="3"/>
      <c r="UIL120" s="3"/>
      <c r="UIM120" s="3"/>
      <c r="UIN120" s="3"/>
      <c r="UIO120" s="3"/>
      <c r="UIP120" s="3"/>
      <c r="UIQ120" s="3"/>
      <c r="UIR120" s="3"/>
      <c r="UIS120" s="3"/>
      <c r="UIT120" s="3"/>
      <c r="UIU120" s="3"/>
      <c r="UIV120" s="3"/>
      <c r="UIW120" s="3"/>
      <c r="UIX120" s="3"/>
      <c r="UIY120" s="3"/>
      <c r="UIZ120" s="3"/>
      <c r="UJA120" s="3"/>
      <c r="UJB120" s="3"/>
      <c r="UJC120" s="3"/>
      <c r="UJD120" s="3"/>
      <c r="UJE120" s="3"/>
      <c r="UJF120" s="3"/>
      <c r="UJG120" s="3"/>
      <c r="UJH120" s="3"/>
      <c r="UJI120" s="3"/>
      <c r="UJJ120" s="3"/>
      <c r="UJK120" s="3"/>
      <c r="UJL120" s="3"/>
      <c r="UJM120" s="3"/>
      <c r="UJN120" s="3"/>
      <c r="UJO120" s="3"/>
      <c r="UJP120" s="3"/>
      <c r="UJQ120" s="3"/>
      <c r="UJR120" s="3"/>
      <c r="UJS120" s="3"/>
      <c r="UJT120" s="3"/>
      <c r="UJU120" s="3"/>
      <c r="UJV120" s="3"/>
      <c r="UJW120" s="3"/>
      <c r="UJX120" s="3"/>
      <c r="UJY120" s="3"/>
      <c r="UJZ120" s="3"/>
      <c r="UKA120" s="3"/>
      <c r="UKB120" s="3"/>
      <c r="UKC120" s="3"/>
      <c r="UKD120" s="3"/>
      <c r="UKE120" s="3"/>
      <c r="UKF120" s="3"/>
      <c r="UKG120" s="3"/>
      <c r="UKH120" s="3"/>
      <c r="UKI120" s="3"/>
      <c r="UKJ120" s="3"/>
      <c r="UKK120" s="3"/>
      <c r="UKL120" s="3"/>
      <c r="UKM120" s="3"/>
      <c r="UKN120" s="3"/>
      <c r="UKO120" s="3"/>
      <c r="UKP120" s="3"/>
      <c r="UKQ120" s="3"/>
      <c r="UKR120" s="3"/>
      <c r="UKS120" s="3"/>
      <c r="UKT120" s="3"/>
      <c r="UKU120" s="3"/>
      <c r="UKV120" s="3"/>
      <c r="UKW120" s="3"/>
      <c r="UKX120" s="3"/>
      <c r="UKY120" s="3"/>
      <c r="UKZ120" s="3"/>
      <c r="ULA120" s="3"/>
      <c r="ULB120" s="3"/>
      <c r="ULC120" s="3"/>
      <c r="ULD120" s="3"/>
      <c r="ULE120" s="3"/>
      <c r="ULF120" s="3"/>
      <c r="ULG120" s="3"/>
      <c r="ULH120" s="3"/>
      <c r="ULI120" s="3"/>
      <c r="ULJ120" s="3"/>
      <c r="ULK120" s="3"/>
      <c r="ULL120" s="3"/>
      <c r="ULM120" s="3"/>
      <c r="ULN120" s="3"/>
      <c r="ULO120" s="3"/>
      <c r="ULP120" s="3"/>
      <c r="ULQ120" s="3"/>
      <c r="ULR120" s="3"/>
      <c r="ULS120" s="3"/>
      <c r="ULT120" s="3"/>
      <c r="ULU120" s="3"/>
      <c r="ULV120" s="3"/>
      <c r="ULW120" s="3"/>
      <c r="ULX120" s="3"/>
      <c r="ULY120" s="3"/>
      <c r="ULZ120" s="3"/>
      <c r="UMA120" s="3"/>
      <c r="UMB120" s="3"/>
      <c r="UMC120" s="3"/>
      <c r="UMD120" s="3"/>
      <c r="UME120" s="3"/>
      <c r="UMF120" s="3"/>
      <c r="UMG120" s="3"/>
      <c r="UMH120" s="3"/>
      <c r="UMI120" s="3"/>
      <c r="UMJ120" s="3"/>
      <c r="UMK120" s="3"/>
      <c r="UML120" s="3"/>
      <c r="UMM120" s="3"/>
      <c r="UMN120" s="3"/>
      <c r="UMO120" s="3"/>
      <c r="UMP120" s="3"/>
      <c r="UMQ120" s="3"/>
      <c r="UMR120" s="3"/>
      <c r="UMS120" s="3"/>
      <c r="UMT120" s="3"/>
      <c r="UMU120" s="3"/>
      <c r="UMV120" s="3"/>
      <c r="UMW120" s="3"/>
      <c r="UMX120" s="3"/>
      <c r="UMY120" s="3"/>
      <c r="UMZ120" s="3"/>
      <c r="UNA120" s="3"/>
      <c r="UNB120" s="3"/>
      <c r="UNC120" s="3"/>
      <c r="UND120" s="3"/>
      <c r="UNE120" s="3"/>
      <c r="UNF120" s="3"/>
      <c r="UNG120" s="3"/>
      <c r="UNH120" s="3"/>
      <c r="UNI120" s="3"/>
      <c r="UNJ120" s="3"/>
      <c r="UNK120" s="3"/>
      <c r="UNL120" s="3"/>
      <c r="UNM120" s="3"/>
      <c r="UNN120" s="3"/>
      <c r="UNO120" s="3"/>
      <c r="UNP120" s="3"/>
      <c r="UNQ120" s="3"/>
      <c r="UNR120" s="3"/>
      <c r="UNS120" s="3"/>
      <c r="UNT120" s="3"/>
      <c r="UNU120" s="3"/>
      <c r="UNV120" s="3"/>
      <c r="UNW120" s="3"/>
      <c r="UNX120" s="3"/>
      <c r="UNY120" s="3"/>
      <c r="UNZ120" s="3"/>
      <c r="UOA120" s="3"/>
      <c r="UOB120" s="3"/>
      <c r="UOC120" s="3"/>
      <c r="UOD120" s="3"/>
      <c r="UOE120" s="3"/>
      <c r="UOF120" s="3"/>
      <c r="UOG120" s="3"/>
      <c r="UOH120" s="3"/>
      <c r="UOI120" s="3"/>
      <c r="UOJ120" s="3"/>
      <c r="UOK120" s="3"/>
      <c r="UOL120" s="3"/>
      <c r="UOM120" s="3"/>
      <c r="UON120" s="3"/>
      <c r="UOO120" s="3"/>
      <c r="UOP120" s="3"/>
      <c r="UOQ120" s="3"/>
      <c r="UOR120" s="3"/>
      <c r="UOS120" s="3"/>
      <c r="UOT120" s="3"/>
      <c r="UOU120" s="3"/>
      <c r="UOV120" s="3"/>
      <c r="UOW120" s="3"/>
      <c r="UOX120" s="3"/>
      <c r="UOY120" s="3"/>
      <c r="UOZ120" s="3"/>
      <c r="UPA120" s="3"/>
      <c r="UPB120" s="3"/>
      <c r="UPC120" s="3"/>
      <c r="UPD120" s="3"/>
      <c r="UPE120" s="3"/>
      <c r="UPF120" s="3"/>
      <c r="UPG120" s="3"/>
      <c r="UPH120" s="3"/>
      <c r="UPI120" s="3"/>
      <c r="UPJ120" s="3"/>
      <c r="UPK120" s="3"/>
      <c r="UPL120" s="3"/>
      <c r="UPM120" s="3"/>
      <c r="UPN120" s="3"/>
      <c r="UPO120" s="3"/>
      <c r="UPP120" s="3"/>
      <c r="UPQ120" s="3"/>
      <c r="UPR120" s="3"/>
      <c r="UPS120" s="3"/>
      <c r="UPT120" s="3"/>
      <c r="UPU120" s="3"/>
      <c r="UPV120" s="3"/>
      <c r="UPW120" s="3"/>
      <c r="UPX120" s="3"/>
      <c r="UPY120" s="3"/>
      <c r="UPZ120" s="3"/>
      <c r="UQA120" s="3"/>
      <c r="UQB120" s="3"/>
      <c r="UQC120" s="3"/>
      <c r="UQD120" s="3"/>
      <c r="UQE120" s="3"/>
      <c r="UQF120" s="3"/>
      <c r="UQG120" s="3"/>
      <c r="UQH120" s="3"/>
      <c r="UQI120" s="3"/>
      <c r="UQJ120" s="3"/>
      <c r="UQK120" s="3"/>
      <c r="UQL120" s="3"/>
      <c r="UQM120" s="3"/>
      <c r="UQN120" s="3"/>
      <c r="UQO120" s="3"/>
      <c r="UQP120" s="3"/>
      <c r="UQQ120" s="3"/>
      <c r="UQR120" s="3"/>
      <c r="UQS120" s="3"/>
      <c r="UQT120" s="3"/>
      <c r="UQU120" s="3"/>
      <c r="UQV120" s="3"/>
      <c r="UQW120" s="3"/>
      <c r="UQX120" s="3"/>
      <c r="UQY120" s="3"/>
      <c r="UQZ120" s="3"/>
      <c r="URA120" s="3"/>
      <c r="URB120" s="3"/>
      <c r="URC120" s="3"/>
      <c r="URD120" s="3"/>
      <c r="URE120" s="3"/>
      <c r="URF120" s="3"/>
      <c r="URG120" s="3"/>
      <c r="URH120" s="3"/>
      <c r="URI120" s="3"/>
      <c r="URJ120" s="3"/>
      <c r="URK120" s="3"/>
      <c r="URL120" s="3"/>
      <c r="URM120" s="3"/>
      <c r="URN120" s="3"/>
      <c r="URO120" s="3"/>
      <c r="URP120" s="3"/>
      <c r="URQ120" s="3"/>
      <c r="URR120" s="3"/>
      <c r="URS120" s="3"/>
      <c r="URT120" s="3"/>
      <c r="URU120" s="3"/>
      <c r="URV120" s="3"/>
      <c r="URW120" s="3"/>
      <c r="URX120" s="3"/>
      <c r="URY120" s="3"/>
      <c r="URZ120" s="3"/>
      <c r="USA120" s="3"/>
      <c r="USB120" s="3"/>
      <c r="USC120" s="3"/>
      <c r="USD120" s="3"/>
      <c r="USE120" s="3"/>
      <c r="USF120" s="3"/>
      <c r="USG120" s="3"/>
      <c r="USH120" s="3"/>
      <c r="USI120" s="3"/>
      <c r="USJ120" s="3"/>
      <c r="USK120" s="3"/>
      <c r="USL120" s="3"/>
      <c r="USM120" s="3"/>
      <c r="USN120" s="3"/>
      <c r="USO120" s="3"/>
      <c r="USP120" s="3"/>
      <c r="USQ120" s="3"/>
      <c r="USR120" s="3"/>
      <c r="USS120" s="3"/>
      <c r="UST120" s="3"/>
      <c r="USU120" s="3"/>
      <c r="USV120" s="3"/>
      <c r="USW120" s="3"/>
      <c r="USX120" s="3"/>
      <c r="USY120" s="3"/>
      <c r="USZ120" s="3"/>
      <c r="UTA120" s="3"/>
      <c r="UTB120" s="3"/>
      <c r="UTC120" s="3"/>
      <c r="UTD120" s="3"/>
      <c r="UTE120" s="3"/>
      <c r="UTF120" s="3"/>
      <c r="UTG120" s="3"/>
      <c r="UTH120" s="3"/>
      <c r="UTI120" s="3"/>
      <c r="UTJ120" s="3"/>
      <c r="UTK120" s="3"/>
      <c r="UTL120" s="3"/>
      <c r="UTM120" s="3"/>
      <c r="UTN120" s="3"/>
      <c r="UTO120" s="3"/>
      <c r="UTP120" s="3"/>
      <c r="UTQ120" s="3"/>
      <c r="UTR120" s="3"/>
      <c r="UTS120" s="3"/>
      <c r="UTT120" s="3"/>
      <c r="UTU120" s="3"/>
      <c r="UTV120" s="3"/>
      <c r="UTW120" s="3"/>
      <c r="UTX120" s="3"/>
      <c r="UTY120" s="3"/>
      <c r="UTZ120" s="3"/>
      <c r="UUA120" s="3"/>
      <c r="UUB120" s="3"/>
      <c r="UUC120" s="3"/>
      <c r="UUD120" s="3"/>
      <c r="UUE120" s="3"/>
      <c r="UUF120" s="3"/>
      <c r="UUG120" s="3"/>
      <c r="UUH120" s="3"/>
      <c r="UUI120" s="3"/>
      <c r="UUJ120" s="3"/>
      <c r="UUK120" s="3"/>
      <c r="UUL120" s="3"/>
      <c r="UUM120" s="3"/>
      <c r="UUN120" s="3"/>
      <c r="UUO120" s="3"/>
      <c r="UUP120" s="3"/>
      <c r="UUQ120" s="3"/>
      <c r="UUR120" s="3"/>
      <c r="UUS120" s="3"/>
      <c r="UUT120" s="3"/>
      <c r="UUU120" s="3"/>
      <c r="UUV120" s="3"/>
      <c r="UUW120" s="3"/>
      <c r="UUX120" s="3"/>
      <c r="UUY120" s="3"/>
      <c r="UUZ120" s="3"/>
      <c r="UVA120" s="3"/>
      <c r="UVB120" s="3"/>
      <c r="UVC120" s="3"/>
      <c r="UVD120" s="3"/>
      <c r="UVE120" s="3"/>
      <c r="UVF120" s="3"/>
      <c r="UVG120" s="3"/>
      <c r="UVH120" s="3"/>
      <c r="UVI120" s="3"/>
      <c r="UVJ120" s="3"/>
      <c r="UVK120" s="3"/>
      <c r="UVL120" s="3"/>
      <c r="UVM120" s="3"/>
      <c r="UVN120" s="3"/>
      <c r="UVO120" s="3"/>
      <c r="UVP120" s="3"/>
      <c r="UVQ120" s="3"/>
      <c r="UVR120" s="3"/>
      <c r="UVS120" s="3"/>
      <c r="UVT120" s="3"/>
      <c r="UVU120" s="3"/>
      <c r="UVV120" s="3"/>
      <c r="UVW120" s="3"/>
      <c r="UVX120" s="3"/>
      <c r="UVY120" s="3"/>
      <c r="UVZ120" s="3"/>
      <c r="UWA120" s="3"/>
      <c r="UWB120" s="3"/>
      <c r="UWC120" s="3"/>
      <c r="UWD120" s="3"/>
      <c r="UWE120" s="3"/>
      <c r="UWF120" s="3"/>
      <c r="UWG120" s="3"/>
      <c r="UWH120" s="3"/>
      <c r="UWI120" s="3"/>
      <c r="UWJ120" s="3"/>
      <c r="UWK120" s="3"/>
      <c r="UWL120" s="3"/>
      <c r="UWM120" s="3"/>
      <c r="UWN120" s="3"/>
      <c r="UWO120" s="3"/>
      <c r="UWP120" s="3"/>
      <c r="UWQ120" s="3"/>
      <c r="UWR120" s="3"/>
      <c r="UWS120" s="3"/>
      <c r="UWT120" s="3"/>
      <c r="UWU120" s="3"/>
      <c r="UWV120" s="3"/>
      <c r="UWW120" s="3"/>
      <c r="UWX120" s="3"/>
      <c r="UWY120" s="3"/>
      <c r="UWZ120" s="3"/>
      <c r="UXA120" s="3"/>
      <c r="UXB120" s="3"/>
      <c r="UXC120" s="3"/>
      <c r="UXD120" s="3"/>
      <c r="UXE120" s="3"/>
      <c r="UXF120" s="3"/>
      <c r="UXG120" s="3"/>
      <c r="UXH120" s="3"/>
      <c r="UXI120" s="3"/>
      <c r="UXJ120" s="3"/>
      <c r="UXK120" s="3"/>
      <c r="UXL120" s="3"/>
      <c r="UXM120" s="3"/>
      <c r="UXN120" s="3"/>
      <c r="UXO120" s="3"/>
      <c r="UXP120" s="3"/>
      <c r="UXQ120" s="3"/>
      <c r="UXR120" s="3"/>
      <c r="UXS120" s="3"/>
      <c r="UXT120" s="3"/>
      <c r="UXU120" s="3"/>
      <c r="UXV120" s="3"/>
      <c r="UXW120" s="3"/>
      <c r="UXX120" s="3"/>
      <c r="UXY120" s="3"/>
      <c r="UXZ120" s="3"/>
      <c r="UYA120" s="3"/>
      <c r="UYB120" s="3"/>
      <c r="UYC120" s="3"/>
      <c r="UYD120" s="3"/>
      <c r="UYE120" s="3"/>
      <c r="UYF120" s="3"/>
      <c r="UYG120" s="3"/>
      <c r="UYH120" s="3"/>
      <c r="UYI120" s="3"/>
      <c r="UYJ120" s="3"/>
      <c r="UYK120" s="3"/>
      <c r="UYL120" s="3"/>
      <c r="UYM120" s="3"/>
      <c r="UYN120" s="3"/>
      <c r="UYO120" s="3"/>
      <c r="UYP120" s="3"/>
      <c r="UYQ120" s="3"/>
      <c r="UYR120" s="3"/>
      <c r="UYS120" s="3"/>
      <c r="UYT120" s="3"/>
      <c r="UYU120" s="3"/>
      <c r="UYV120" s="3"/>
      <c r="UYW120" s="3"/>
      <c r="UYX120" s="3"/>
      <c r="UYY120" s="3"/>
      <c r="UYZ120" s="3"/>
      <c r="UZA120" s="3"/>
      <c r="UZB120" s="3"/>
      <c r="UZC120" s="3"/>
      <c r="UZD120" s="3"/>
      <c r="UZE120" s="3"/>
      <c r="UZF120" s="3"/>
      <c r="UZG120" s="3"/>
      <c r="UZH120" s="3"/>
      <c r="UZI120" s="3"/>
      <c r="UZJ120" s="3"/>
      <c r="UZK120" s="3"/>
      <c r="UZL120" s="3"/>
      <c r="UZM120" s="3"/>
      <c r="UZN120" s="3"/>
      <c r="UZO120" s="3"/>
      <c r="UZP120" s="3"/>
      <c r="UZQ120" s="3"/>
      <c r="UZR120" s="3"/>
      <c r="UZS120" s="3"/>
      <c r="UZT120" s="3"/>
      <c r="UZU120" s="3"/>
      <c r="UZV120" s="3"/>
      <c r="UZW120" s="3"/>
      <c r="UZX120" s="3"/>
      <c r="UZY120" s="3"/>
      <c r="UZZ120" s="3"/>
      <c r="VAA120" s="3"/>
      <c r="VAB120" s="3"/>
      <c r="VAC120" s="3"/>
      <c r="VAD120" s="3"/>
      <c r="VAE120" s="3"/>
      <c r="VAF120" s="3"/>
      <c r="VAG120" s="3"/>
      <c r="VAH120" s="3"/>
      <c r="VAI120" s="3"/>
      <c r="VAJ120" s="3"/>
      <c r="VAK120" s="3"/>
      <c r="VAL120" s="3"/>
      <c r="VAM120" s="3"/>
      <c r="VAN120" s="3"/>
      <c r="VAO120" s="3"/>
      <c r="VAP120" s="3"/>
      <c r="VAQ120" s="3"/>
      <c r="VAR120" s="3"/>
      <c r="VAS120" s="3"/>
      <c r="VAT120" s="3"/>
      <c r="VAU120" s="3"/>
      <c r="VAV120" s="3"/>
      <c r="VAW120" s="3"/>
      <c r="VAX120" s="3"/>
      <c r="VAY120" s="3"/>
      <c r="VAZ120" s="3"/>
      <c r="VBA120" s="3"/>
      <c r="VBB120" s="3"/>
      <c r="VBC120" s="3"/>
      <c r="VBD120" s="3"/>
      <c r="VBE120" s="3"/>
      <c r="VBF120" s="3"/>
      <c r="VBG120" s="3"/>
      <c r="VBH120" s="3"/>
      <c r="VBI120" s="3"/>
      <c r="VBJ120" s="3"/>
      <c r="VBK120" s="3"/>
      <c r="VBL120" s="3"/>
      <c r="VBM120" s="3"/>
      <c r="VBN120" s="3"/>
      <c r="VBO120" s="3"/>
      <c r="VBP120" s="3"/>
      <c r="VBQ120" s="3"/>
      <c r="VBR120" s="3"/>
      <c r="VBS120" s="3"/>
      <c r="VBT120" s="3"/>
      <c r="VBU120" s="3"/>
      <c r="VBV120" s="3"/>
      <c r="VBW120" s="3"/>
      <c r="VBX120" s="3"/>
      <c r="VBY120" s="3"/>
      <c r="VBZ120" s="3"/>
      <c r="VCA120" s="3"/>
      <c r="VCB120" s="3"/>
      <c r="VCC120" s="3"/>
      <c r="VCD120" s="3"/>
      <c r="VCE120" s="3"/>
      <c r="VCF120" s="3"/>
      <c r="VCG120" s="3"/>
      <c r="VCH120" s="3"/>
      <c r="VCI120" s="3"/>
      <c r="VCJ120" s="3"/>
      <c r="VCK120" s="3"/>
      <c r="VCL120" s="3"/>
      <c r="VCM120" s="3"/>
      <c r="VCN120" s="3"/>
      <c r="VCO120" s="3"/>
      <c r="VCP120" s="3"/>
      <c r="VCQ120" s="3"/>
      <c r="VCR120" s="3"/>
      <c r="VCS120" s="3"/>
      <c r="VCT120" s="3"/>
      <c r="VCU120" s="3"/>
      <c r="VCV120" s="3"/>
      <c r="VCW120" s="3"/>
      <c r="VCX120" s="3"/>
      <c r="VCY120" s="3"/>
      <c r="VCZ120" s="3"/>
      <c r="VDA120" s="3"/>
      <c r="VDB120" s="3"/>
      <c r="VDC120" s="3"/>
      <c r="VDD120" s="3"/>
      <c r="VDE120" s="3"/>
      <c r="VDF120" s="3"/>
      <c r="VDG120" s="3"/>
      <c r="VDH120" s="3"/>
      <c r="VDI120" s="3"/>
      <c r="VDJ120" s="3"/>
      <c r="VDK120" s="3"/>
      <c r="VDL120" s="3"/>
      <c r="VDM120" s="3"/>
      <c r="VDN120" s="3"/>
      <c r="VDO120" s="3"/>
      <c r="VDP120" s="3"/>
      <c r="VDQ120" s="3"/>
      <c r="VDR120" s="3"/>
      <c r="VDS120" s="3"/>
      <c r="VDT120" s="3"/>
      <c r="VDU120" s="3"/>
      <c r="VDV120" s="3"/>
      <c r="VDW120" s="3"/>
      <c r="VDX120" s="3"/>
      <c r="VDY120" s="3"/>
      <c r="VDZ120" s="3"/>
      <c r="VEA120" s="3"/>
      <c r="VEB120" s="3"/>
      <c r="VEC120" s="3"/>
      <c r="VED120" s="3"/>
      <c r="VEE120" s="3"/>
      <c r="VEF120" s="3"/>
      <c r="VEG120" s="3"/>
      <c r="VEH120" s="3"/>
      <c r="VEI120" s="3"/>
      <c r="VEJ120" s="3"/>
      <c r="VEK120" s="3"/>
      <c r="VEL120" s="3"/>
      <c r="VEM120" s="3"/>
      <c r="VEN120" s="3"/>
      <c r="VEO120" s="3"/>
      <c r="VEP120" s="3"/>
      <c r="VEQ120" s="3"/>
      <c r="VER120" s="3"/>
      <c r="VES120" s="3"/>
      <c r="VET120" s="3"/>
      <c r="VEU120" s="3"/>
      <c r="VEV120" s="3"/>
      <c r="VEW120" s="3"/>
      <c r="VEX120" s="3"/>
      <c r="VEY120" s="3"/>
      <c r="VEZ120" s="3"/>
      <c r="VFA120" s="3"/>
      <c r="VFB120" s="3"/>
      <c r="VFC120" s="3"/>
      <c r="VFD120" s="3"/>
      <c r="VFE120" s="3"/>
      <c r="VFF120" s="3"/>
      <c r="VFG120" s="3"/>
      <c r="VFH120" s="3"/>
      <c r="VFI120" s="3"/>
      <c r="VFJ120" s="3"/>
      <c r="VFK120" s="3"/>
      <c r="VFL120" s="3"/>
      <c r="VFM120" s="3"/>
      <c r="VFN120" s="3"/>
      <c r="VFO120" s="3"/>
      <c r="VFP120" s="3"/>
      <c r="VFQ120" s="3"/>
      <c r="VFR120" s="3"/>
      <c r="VFS120" s="3"/>
      <c r="VFT120" s="3"/>
      <c r="VFU120" s="3"/>
      <c r="VFV120" s="3"/>
      <c r="VFW120" s="3"/>
      <c r="VFX120" s="3"/>
      <c r="VFY120" s="3"/>
      <c r="VFZ120" s="3"/>
      <c r="VGA120" s="3"/>
      <c r="VGB120" s="3"/>
      <c r="VGC120" s="3"/>
      <c r="VGD120" s="3"/>
      <c r="VGE120"/>
      <c r="VGF120"/>
      <c r="VGG120"/>
      <c r="VGH120"/>
      <c r="VGI120"/>
      <c r="VGJ120"/>
      <c r="VGK120"/>
      <c r="VGL120"/>
      <c r="VGM120"/>
      <c r="VGN120"/>
      <c r="VGO120"/>
      <c r="VGP120"/>
      <c r="VGQ120"/>
      <c r="VGR120"/>
      <c r="VGS120"/>
      <c r="VGT120"/>
      <c r="VGU120"/>
      <c r="VGV120"/>
      <c r="VGW120"/>
      <c r="VGX120"/>
      <c r="VGY120"/>
      <c r="VGZ120"/>
      <c r="VHA120"/>
      <c r="VHB120"/>
      <c r="VHC120"/>
      <c r="VHD120"/>
      <c r="VHE120"/>
      <c r="VHF120"/>
      <c r="VHG120"/>
      <c r="VHH120"/>
      <c r="VHI120"/>
      <c r="VHJ120"/>
      <c r="VHK120"/>
      <c r="VHL120"/>
      <c r="VHM120"/>
      <c r="VHN120"/>
      <c r="VHO120"/>
      <c r="VHP120"/>
      <c r="VHQ120"/>
      <c r="VHR120"/>
      <c r="VHS120"/>
      <c r="VHT120"/>
      <c r="VHU120"/>
      <c r="VHV120"/>
      <c r="VHW120"/>
      <c r="VHX120"/>
      <c r="VHY120"/>
      <c r="VHZ120"/>
      <c r="VIA120"/>
      <c r="VIB120"/>
      <c r="VIC120"/>
      <c r="VID120"/>
      <c r="VIE120"/>
      <c r="VIF120"/>
      <c r="VIG120"/>
      <c r="VIH120"/>
      <c r="VII120"/>
      <c r="VIJ120"/>
      <c r="VIK120"/>
      <c r="VIL120"/>
      <c r="VIM120"/>
      <c r="VIN120"/>
      <c r="VIO120"/>
      <c r="VIP120"/>
      <c r="VIQ120"/>
      <c r="VIR120"/>
      <c r="VIS120"/>
      <c r="VIT120"/>
      <c r="VIU120"/>
      <c r="VIV120"/>
      <c r="VIW120"/>
      <c r="VIX120"/>
      <c r="VIY120"/>
      <c r="VIZ120"/>
      <c r="VJA120"/>
      <c r="VJB120"/>
      <c r="VJC120"/>
      <c r="VJD120"/>
      <c r="VJE120"/>
      <c r="VJF120"/>
      <c r="VJG120"/>
      <c r="VJH120"/>
      <c r="VJI120"/>
      <c r="VJJ120"/>
      <c r="VJK120"/>
      <c r="VJL120"/>
      <c r="VJM120"/>
      <c r="VJN120"/>
      <c r="VJO120"/>
      <c r="VJP120"/>
      <c r="VJQ120"/>
      <c r="VJR120"/>
      <c r="VJS120"/>
      <c r="VJT120"/>
      <c r="VJU120"/>
      <c r="VJV120"/>
      <c r="VJW120"/>
      <c r="VJX120"/>
      <c r="VJY120"/>
      <c r="VJZ120"/>
      <c r="VKA120"/>
      <c r="VKB120"/>
      <c r="VKC120"/>
      <c r="VKD120"/>
      <c r="VKE120"/>
      <c r="VKF120"/>
      <c r="VKG120"/>
      <c r="VKH120"/>
      <c r="VKI120"/>
      <c r="VKJ120"/>
      <c r="VKK120"/>
      <c r="VKL120"/>
      <c r="VKM120"/>
      <c r="VKN120"/>
      <c r="VKO120"/>
      <c r="VKP120"/>
      <c r="VKQ120"/>
      <c r="VKR120"/>
      <c r="VKS120"/>
      <c r="VKT120"/>
      <c r="VKU120"/>
      <c r="VKV120"/>
      <c r="VKW120"/>
      <c r="VKX120"/>
      <c r="VKY120"/>
      <c r="VKZ120"/>
      <c r="VLA120"/>
      <c r="VLB120"/>
      <c r="VLC120"/>
      <c r="VLD120"/>
      <c r="VLE120"/>
      <c r="VLF120"/>
      <c r="VLG120"/>
      <c r="VLH120"/>
      <c r="VLI120"/>
      <c r="VLJ120"/>
      <c r="VLK120"/>
      <c r="VLL120"/>
      <c r="VLM120"/>
      <c r="VLN120"/>
      <c r="VLO120"/>
      <c r="VLP120"/>
      <c r="VLQ120"/>
      <c r="VLR120"/>
      <c r="VLS120"/>
      <c r="VLT120"/>
      <c r="VLU120"/>
      <c r="VLV120"/>
      <c r="VLW120"/>
      <c r="VLX120"/>
      <c r="VLY120"/>
      <c r="VLZ120"/>
      <c r="VMA120"/>
      <c r="VMB120"/>
      <c r="VMC120"/>
      <c r="VMD120"/>
      <c r="VME120"/>
      <c r="VMF120"/>
      <c r="VMG120"/>
      <c r="VMH120"/>
      <c r="VMI120"/>
      <c r="VMJ120"/>
      <c r="VMK120"/>
      <c r="VML120"/>
      <c r="VMM120"/>
      <c r="VMN120"/>
      <c r="VMO120"/>
      <c r="VMP120"/>
      <c r="VMQ120"/>
      <c r="VMR120"/>
      <c r="VMS120"/>
      <c r="VMT120"/>
      <c r="VMU120"/>
      <c r="VMV120"/>
      <c r="VMW120"/>
      <c r="VMX120"/>
      <c r="VMY120"/>
      <c r="VMZ120"/>
      <c r="VNA120"/>
      <c r="VNB120"/>
      <c r="VNC120"/>
      <c r="VND120"/>
      <c r="VNE120"/>
      <c r="VNF120"/>
      <c r="VNG120"/>
      <c r="VNH120"/>
      <c r="VNI120"/>
      <c r="VNJ120"/>
      <c r="VNK120"/>
      <c r="VNL120"/>
      <c r="VNM120"/>
      <c r="VNN120"/>
      <c r="VNO120"/>
      <c r="VNP120"/>
      <c r="VNQ120"/>
      <c r="VNR120"/>
      <c r="VNS120"/>
      <c r="VNT120"/>
      <c r="VNU120"/>
      <c r="VNV120"/>
      <c r="VNW120"/>
      <c r="VNX120"/>
      <c r="VNY120"/>
      <c r="VNZ120"/>
      <c r="VOA120"/>
      <c r="VOB120"/>
      <c r="VOC120"/>
      <c r="VOD120"/>
      <c r="VOE120"/>
      <c r="VOF120"/>
      <c r="VOG120"/>
      <c r="VOH120"/>
      <c r="VOI120"/>
      <c r="VOJ120"/>
      <c r="VOK120"/>
      <c r="VOL120"/>
      <c r="VOM120"/>
      <c r="VON120"/>
      <c r="VOO120"/>
      <c r="VOP120"/>
      <c r="VOQ120"/>
      <c r="VOR120"/>
      <c r="VOS120"/>
      <c r="VOT120"/>
      <c r="VOU120"/>
      <c r="VOV120"/>
      <c r="VOW120"/>
      <c r="VOX120"/>
      <c r="VOY120"/>
      <c r="VOZ120"/>
      <c r="VPA120"/>
      <c r="VPB120"/>
      <c r="VPC120"/>
      <c r="VPD120"/>
      <c r="VPE120"/>
      <c r="VPF120"/>
      <c r="VPG120"/>
      <c r="VPH120"/>
      <c r="VPI120"/>
      <c r="VPJ120"/>
      <c r="VPK120"/>
      <c r="VPL120"/>
      <c r="VPM120"/>
      <c r="VPN120"/>
      <c r="VPO120"/>
      <c r="VPP120"/>
      <c r="VPQ120"/>
      <c r="VPR120"/>
      <c r="VPS120"/>
      <c r="VPT120"/>
      <c r="VPU120"/>
      <c r="VPV120"/>
      <c r="VPW120"/>
      <c r="VPX120"/>
      <c r="VPY120"/>
      <c r="VPZ120"/>
      <c r="VQA120"/>
      <c r="VQB120"/>
      <c r="VQC120"/>
      <c r="VQD120"/>
      <c r="VQE120"/>
      <c r="VQF120"/>
      <c r="VQG120"/>
      <c r="VQH120"/>
      <c r="VQI120"/>
      <c r="VQJ120"/>
      <c r="VQK120"/>
      <c r="VQL120"/>
      <c r="VQM120"/>
      <c r="VQN120"/>
      <c r="VQO120"/>
      <c r="VQP120"/>
      <c r="VQQ120"/>
      <c r="VQR120"/>
      <c r="VQS120"/>
      <c r="VQT120"/>
      <c r="VQU120"/>
      <c r="VQV120"/>
      <c r="VQW120"/>
      <c r="VQX120"/>
      <c r="VQY120"/>
      <c r="VQZ120"/>
      <c r="VRA120"/>
      <c r="VRB120"/>
      <c r="VRC120"/>
      <c r="VRD120"/>
      <c r="VRE120"/>
      <c r="VRF120"/>
      <c r="VRG120"/>
      <c r="VRH120"/>
      <c r="VRI120"/>
      <c r="VRJ120"/>
      <c r="VRK120"/>
      <c r="VRL120"/>
      <c r="VRM120"/>
      <c r="VRN120"/>
      <c r="VRO120"/>
      <c r="VRP120"/>
      <c r="VRQ120"/>
      <c r="VRR120"/>
      <c r="VRS120"/>
      <c r="VRT120"/>
      <c r="VRU120"/>
      <c r="VRV120"/>
      <c r="VRW120"/>
      <c r="VRX120"/>
      <c r="VRY120"/>
      <c r="VRZ120"/>
      <c r="VSA120"/>
      <c r="VSB120"/>
      <c r="VSC120"/>
      <c r="VSD120"/>
      <c r="VSE120"/>
      <c r="VSF120"/>
      <c r="VSG120"/>
      <c r="VSH120"/>
      <c r="VSI120"/>
      <c r="VSJ120"/>
      <c r="VSK120"/>
      <c r="VSL120"/>
      <c r="VSM120"/>
      <c r="VSN120"/>
      <c r="VSO120"/>
      <c r="VSP120"/>
      <c r="VSQ120"/>
      <c r="VSR120"/>
      <c r="VSS120"/>
      <c r="VST120"/>
      <c r="VSU120"/>
      <c r="VSV120"/>
      <c r="VSW120"/>
      <c r="VSX120"/>
      <c r="VSY120"/>
      <c r="VSZ120"/>
      <c r="VTA120"/>
      <c r="VTB120"/>
      <c r="VTC120"/>
      <c r="VTD120"/>
      <c r="VTE120"/>
      <c r="VTF120"/>
      <c r="VTG120"/>
      <c r="VTH120"/>
      <c r="VTI120"/>
      <c r="VTJ120"/>
      <c r="VTK120"/>
      <c r="VTL120"/>
      <c r="VTM120"/>
      <c r="VTN120"/>
      <c r="VTO120"/>
      <c r="VTP120"/>
      <c r="VTQ120"/>
      <c r="VTR120"/>
      <c r="VTS120"/>
      <c r="VTT120"/>
      <c r="VTU120"/>
      <c r="VTV120"/>
      <c r="VTW120"/>
      <c r="VTX120"/>
      <c r="VTY120"/>
      <c r="VTZ120"/>
      <c r="VUA120"/>
      <c r="VUB120"/>
      <c r="VUC120"/>
      <c r="VUD120"/>
      <c r="VUE120"/>
      <c r="VUF120"/>
      <c r="VUG120"/>
      <c r="VUH120"/>
      <c r="VUI120"/>
      <c r="VUJ120"/>
      <c r="VUK120"/>
      <c r="VUL120"/>
      <c r="VUM120"/>
      <c r="VUN120"/>
      <c r="VUO120"/>
      <c r="VUP120"/>
      <c r="VUQ120"/>
      <c r="VUR120"/>
      <c r="VUS120"/>
      <c r="VUT120"/>
      <c r="VUU120"/>
      <c r="VUV120"/>
      <c r="VUW120"/>
      <c r="VUX120"/>
      <c r="VUY120"/>
      <c r="VUZ120"/>
      <c r="VVA120"/>
      <c r="VVB120"/>
      <c r="VVC120"/>
      <c r="VVD120"/>
      <c r="VVE120"/>
      <c r="VVF120"/>
      <c r="VVG120"/>
    </row>
    <row r="121" spans="1:15451" s="1" customFormat="1" ht="14.25" hidden="1">
      <c r="B121" s="55"/>
      <c r="C121" s="218" t="s">
        <v>67</v>
      </c>
      <c r="D121" s="59"/>
      <c r="E121" s="55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105"/>
      <c r="AL121" s="153" t="s">
        <v>67</v>
      </c>
      <c r="AN121" s="106"/>
      <c r="EB121" s="233"/>
      <c r="EC121" s="233"/>
      <c r="FI121" s="233"/>
    </row>
    <row r="122" spans="1:15451" s="1" customFormat="1" ht="14.25" hidden="1">
      <c r="B122" s="55"/>
      <c r="C122" s="137" t="s">
        <v>80</v>
      </c>
      <c r="D122" s="54">
        <v>0.3</v>
      </c>
      <c r="E122" s="219" t="s">
        <v>12</v>
      </c>
      <c r="F122" s="71" t="e">
        <f t="shared" ref="F122:AJ123" si="93">F115/F106*100</f>
        <v>#DIV/0!</v>
      </c>
      <c r="G122" s="71" t="e">
        <f t="shared" si="93"/>
        <v>#DIV/0!</v>
      </c>
      <c r="H122" s="71" t="e">
        <f t="shared" si="93"/>
        <v>#DIV/0!</v>
      </c>
      <c r="I122" s="71">
        <f t="shared" si="93"/>
        <v>0.3210741389375365</v>
      </c>
      <c r="J122" s="71" t="e">
        <f t="shared" si="93"/>
        <v>#DIV/0!</v>
      </c>
      <c r="K122" s="71" t="e">
        <f t="shared" si="93"/>
        <v>#DIV/0!</v>
      </c>
      <c r="L122" s="71" t="e">
        <f t="shared" si="93"/>
        <v>#DIV/0!</v>
      </c>
      <c r="M122" s="71" t="e">
        <f t="shared" si="93"/>
        <v>#DIV/0!</v>
      </c>
      <c r="N122" s="71" t="e">
        <f t="shared" si="93"/>
        <v>#DIV/0!</v>
      </c>
      <c r="O122" s="71" t="e">
        <f t="shared" si="93"/>
        <v>#DIV/0!</v>
      </c>
      <c r="P122" s="71">
        <f t="shared" si="93"/>
        <v>0.33711308611707019</v>
      </c>
      <c r="Q122" s="71" t="e">
        <f t="shared" si="93"/>
        <v>#DIV/0!</v>
      </c>
      <c r="R122" s="71" t="e">
        <f t="shared" si="93"/>
        <v>#DIV/0!</v>
      </c>
      <c r="S122" s="71" t="e">
        <f t="shared" si="93"/>
        <v>#DIV/0!</v>
      </c>
      <c r="T122" s="71" t="e">
        <f t="shared" si="93"/>
        <v>#DIV/0!</v>
      </c>
      <c r="U122" s="71" t="e">
        <f t="shared" si="93"/>
        <v>#DIV/0!</v>
      </c>
      <c r="V122" s="71" t="e">
        <f t="shared" si="93"/>
        <v>#DIV/0!</v>
      </c>
      <c r="W122" s="71">
        <f t="shared" si="93"/>
        <v>0</v>
      </c>
      <c r="X122" s="71" t="e">
        <f t="shared" si="93"/>
        <v>#DIV/0!</v>
      </c>
      <c r="Y122" s="71" t="e">
        <f t="shared" si="93"/>
        <v>#DIV/0!</v>
      </c>
      <c r="Z122" s="71" t="e">
        <f t="shared" si="93"/>
        <v>#DIV/0!</v>
      </c>
      <c r="AA122" s="71" t="e">
        <f t="shared" si="93"/>
        <v>#DIV/0!</v>
      </c>
      <c r="AB122" s="71" t="e">
        <f t="shared" si="93"/>
        <v>#DIV/0!</v>
      </c>
      <c r="AC122" s="71" t="e">
        <f t="shared" si="93"/>
        <v>#DIV/0!</v>
      </c>
      <c r="AD122" s="71">
        <f t="shared" si="93"/>
        <v>2.8288543140028287E-2</v>
      </c>
      <c r="AE122" s="71" t="e">
        <f t="shared" ref="AE122:AG122" si="94">AE115/AE106*100</f>
        <v>#DIV/0!</v>
      </c>
      <c r="AF122" s="71" t="e">
        <f t="shared" si="94"/>
        <v>#DIV/0!</v>
      </c>
      <c r="AG122" s="71" t="e">
        <f t="shared" si="94"/>
        <v>#DIV/0!</v>
      </c>
      <c r="AH122" s="71" t="e">
        <f t="shared" si="93"/>
        <v>#DIV/0!</v>
      </c>
      <c r="AI122" s="71" t="e">
        <f t="shared" si="93"/>
        <v>#DIV/0!</v>
      </c>
      <c r="AJ122" s="71" t="e">
        <f t="shared" si="93"/>
        <v>#DIV/0!</v>
      </c>
      <c r="AK122" s="105"/>
      <c r="AL122" s="107">
        <f>AL115/AL106*100</f>
        <v>0.16723623936595652</v>
      </c>
      <c r="AN122" s="106"/>
      <c r="EB122" s="233"/>
      <c r="EC122" s="233"/>
      <c r="FI122" s="233"/>
    </row>
    <row r="123" spans="1:15451" s="1" customFormat="1" ht="14.25" hidden="1">
      <c r="B123" s="55"/>
      <c r="C123" s="137" t="s">
        <v>81</v>
      </c>
      <c r="D123" s="54">
        <v>0.3</v>
      </c>
      <c r="E123" s="219" t="s">
        <v>12</v>
      </c>
      <c r="F123" s="71" t="e">
        <f t="shared" si="93"/>
        <v>#DIV/0!</v>
      </c>
      <c r="G123" s="71" t="e">
        <f t="shared" si="93"/>
        <v>#DIV/0!</v>
      </c>
      <c r="H123" s="71" t="e">
        <f t="shared" si="93"/>
        <v>#DIV/0!</v>
      </c>
      <c r="I123" s="71">
        <f t="shared" si="93"/>
        <v>0.18978102189781021</v>
      </c>
      <c r="J123" s="71" t="e">
        <f t="shared" si="93"/>
        <v>#DIV/0!</v>
      </c>
      <c r="K123" s="71">
        <f t="shared" si="93"/>
        <v>0</v>
      </c>
      <c r="L123" s="71" t="e">
        <f t="shared" si="93"/>
        <v>#DIV/0!</v>
      </c>
      <c r="M123" s="71" t="e">
        <f t="shared" si="93"/>
        <v>#DIV/0!</v>
      </c>
      <c r="N123" s="71" t="e">
        <f t="shared" si="93"/>
        <v>#DIV/0!</v>
      </c>
      <c r="O123" s="71" t="e">
        <f t="shared" si="93"/>
        <v>#DIV/0!</v>
      </c>
      <c r="P123" s="71">
        <f t="shared" si="93"/>
        <v>0.16056050211647935</v>
      </c>
      <c r="Q123" s="71" t="e">
        <f t="shared" si="93"/>
        <v>#DIV/0!</v>
      </c>
      <c r="R123" s="71">
        <f t="shared" si="93"/>
        <v>0.2</v>
      </c>
      <c r="S123" s="71" t="e">
        <f t="shared" si="93"/>
        <v>#DIV/0!</v>
      </c>
      <c r="T123" s="71" t="e">
        <f t="shared" si="93"/>
        <v>#DIV/0!</v>
      </c>
      <c r="U123" s="71" t="e">
        <f t="shared" si="93"/>
        <v>#DIV/0!</v>
      </c>
      <c r="V123" s="71" t="e">
        <f t="shared" si="93"/>
        <v>#DIV/0!</v>
      </c>
      <c r="W123" s="71">
        <f t="shared" si="93"/>
        <v>5.6673278549164069E-2</v>
      </c>
      <c r="X123" s="71" t="e">
        <f t="shared" si="93"/>
        <v>#DIV/0!</v>
      </c>
      <c r="Y123" s="71">
        <f t="shared" si="93"/>
        <v>0</v>
      </c>
      <c r="Z123" s="71" t="e">
        <f t="shared" si="93"/>
        <v>#DIV/0!</v>
      </c>
      <c r="AA123" s="71" t="e">
        <f t="shared" si="93"/>
        <v>#DIV/0!</v>
      </c>
      <c r="AB123" s="71" t="e">
        <f t="shared" si="93"/>
        <v>#DIV/0!</v>
      </c>
      <c r="AC123" s="71" t="e">
        <f t="shared" si="93"/>
        <v>#DIV/0!</v>
      </c>
      <c r="AD123" s="71">
        <f t="shared" si="93"/>
        <v>2.8292544914415053E-2</v>
      </c>
      <c r="AE123" s="71" t="e">
        <f t="shared" ref="AE123:AG123" si="95">AE116/AE107*100</f>
        <v>#DIV/0!</v>
      </c>
      <c r="AF123" s="71" t="e">
        <f t="shared" si="95"/>
        <v>#DIV/0!</v>
      </c>
      <c r="AG123" s="71" t="e">
        <f t="shared" si="95"/>
        <v>#DIV/0!</v>
      </c>
      <c r="AH123" s="71" t="e">
        <f t="shared" si="93"/>
        <v>#DIV/0!</v>
      </c>
      <c r="AI123" s="71" t="e">
        <f t="shared" si="93"/>
        <v>#DIV/0!</v>
      </c>
      <c r="AJ123" s="71" t="e">
        <f t="shared" si="93"/>
        <v>#DIV/0!</v>
      </c>
      <c r="AK123" s="105"/>
      <c r="AL123" s="107">
        <f>AL116/AL107*100</f>
        <v>0.10346611484738748</v>
      </c>
      <c r="AN123" s="106"/>
      <c r="EB123" s="233"/>
      <c r="EC123" s="233"/>
      <c r="FI123" s="233"/>
    </row>
    <row r="124" spans="1:15451" s="1" customFormat="1" ht="14.25" hidden="1">
      <c r="B124" s="55"/>
      <c r="C124" s="218" t="s">
        <v>71</v>
      </c>
      <c r="D124" s="54"/>
      <c r="E124" s="55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105"/>
      <c r="AL124" s="153" t="s">
        <v>71</v>
      </c>
      <c r="AN124" s="106"/>
      <c r="EB124" s="233"/>
      <c r="EC124" s="233"/>
      <c r="FI124" s="233"/>
    </row>
    <row r="125" spans="1:15451" s="1" customFormat="1" ht="14.25" hidden="1">
      <c r="B125" s="55"/>
      <c r="C125" s="137" t="s">
        <v>80</v>
      </c>
      <c r="D125" s="54">
        <v>0.5</v>
      </c>
      <c r="E125" s="219" t="s">
        <v>12</v>
      </c>
      <c r="F125" s="71" t="e">
        <f t="shared" ref="F125:AJ126" si="96">F118/F109*100</f>
        <v>#DIV/0!</v>
      </c>
      <c r="G125" s="71" t="e">
        <f t="shared" si="96"/>
        <v>#DIV/0!</v>
      </c>
      <c r="H125" s="71" t="e">
        <f t="shared" si="96"/>
        <v>#DIV/0!</v>
      </c>
      <c r="I125" s="71">
        <f t="shared" si="96"/>
        <v>4.864759680871765E-2</v>
      </c>
      <c r="J125" s="71" t="e">
        <f t="shared" si="96"/>
        <v>#DIV/0!</v>
      </c>
      <c r="K125" s="71" t="e">
        <f t="shared" si="96"/>
        <v>#DIV/0!</v>
      </c>
      <c r="L125" s="71" t="e">
        <f t="shared" si="96"/>
        <v>#DIV/0!</v>
      </c>
      <c r="M125" s="71" t="e">
        <f t="shared" si="96"/>
        <v>#DIV/0!</v>
      </c>
      <c r="N125" s="71" t="e">
        <f t="shared" si="96"/>
        <v>#DIV/0!</v>
      </c>
      <c r="O125" s="71" t="e">
        <f t="shared" si="96"/>
        <v>#DIV/0!</v>
      </c>
      <c r="P125" s="71">
        <f t="shared" si="96"/>
        <v>1.7877209112268873E-2</v>
      </c>
      <c r="Q125" s="71" t="e">
        <f t="shared" si="96"/>
        <v>#DIV/0!</v>
      </c>
      <c r="R125" s="71" t="e">
        <f t="shared" si="96"/>
        <v>#DIV/0!</v>
      </c>
      <c r="S125" s="71" t="e">
        <f t="shared" si="96"/>
        <v>#DIV/0!</v>
      </c>
      <c r="T125" s="71" t="e">
        <f t="shared" si="96"/>
        <v>#DIV/0!</v>
      </c>
      <c r="U125" s="71" t="e">
        <f t="shared" si="96"/>
        <v>#DIV/0!</v>
      </c>
      <c r="V125" s="71" t="e">
        <f t="shared" si="96"/>
        <v>#DIV/0!</v>
      </c>
      <c r="W125" s="71">
        <f t="shared" si="96"/>
        <v>3.7782185699442708E-2</v>
      </c>
      <c r="X125" s="71" t="e">
        <f t="shared" si="96"/>
        <v>#DIV/0!</v>
      </c>
      <c r="Y125" s="71" t="e">
        <f t="shared" si="96"/>
        <v>#DIV/0!</v>
      </c>
      <c r="Z125" s="71" t="e">
        <f t="shared" si="96"/>
        <v>#DIV/0!</v>
      </c>
      <c r="AA125" s="71" t="e">
        <f t="shared" si="96"/>
        <v>#DIV/0!</v>
      </c>
      <c r="AB125" s="71" t="e">
        <f t="shared" si="96"/>
        <v>#DIV/0!</v>
      </c>
      <c r="AC125" s="71" t="e">
        <f t="shared" si="96"/>
        <v>#DIV/0!</v>
      </c>
      <c r="AD125" s="71">
        <f t="shared" si="96"/>
        <v>2.3573785950023574E-2</v>
      </c>
      <c r="AE125" s="71" t="e">
        <f t="shared" ref="AE125:AG125" si="97">AE118/AE109*100</f>
        <v>#DIV/0!</v>
      </c>
      <c r="AF125" s="71" t="e">
        <f t="shared" si="97"/>
        <v>#DIV/0!</v>
      </c>
      <c r="AG125" s="71" t="e">
        <f t="shared" si="97"/>
        <v>#DIV/0!</v>
      </c>
      <c r="AH125" s="71" t="e">
        <f t="shared" si="96"/>
        <v>#DIV/0!</v>
      </c>
      <c r="AI125" s="71" t="e">
        <f t="shared" si="96"/>
        <v>#DIV/0!</v>
      </c>
      <c r="AJ125" s="71" t="e">
        <f t="shared" si="96"/>
        <v>#DIV/0!</v>
      </c>
      <c r="AK125" s="105"/>
      <c r="AL125" s="107">
        <f>AL118/AL109*100</f>
        <v>3.3931990595991175E-2</v>
      </c>
      <c r="AN125" s="106"/>
      <c r="EB125" s="233"/>
      <c r="EC125" s="233"/>
      <c r="FI125" s="233"/>
    </row>
    <row r="126" spans="1:15451" s="1" customFormat="1" ht="14.25" hidden="1">
      <c r="B126" s="55"/>
      <c r="C126" s="137" t="s">
        <v>81</v>
      </c>
      <c r="D126" s="54">
        <v>0.5</v>
      </c>
      <c r="E126" s="219" t="s">
        <v>12</v>
      </c>
      <c r="F126" s="71" t="e">
        <f t="shared" si="96"/>
        <v>#DIV/0!</v>
      </c>
      <c r="G126" s="71" t="e">
        <f t="shared" si="96"/>
        <v>#DIV/0!</v>
      </c>
      <c r="H126" s="71" t="e">
        <f t="shared" si="96"/>
        <v>#DIV/0!</v>
      </c>
      <c r="I126" s="71">
        <f t="shared" si="96"/>
        <v>1.7031630170316302E-2</v>
      </c>
      <c r="J126" s="71" t="e">
        <f t="shared" si="96"/>
        <v>#DIV/0!</v>
      </c>
      <c r="K126" s="71">
        <f t="shared" si="96"/>
        <v>0.13333333333333333</v>
      </c>
      <c r="L126" s="71" t="e">
        <f t="shared" si="96"/>
        <v>#DIV/0!</v>
      </c>
      <c r="M126" s="71" t="e">
        <f t="shared" si="96"/>
        <v>#DIV/0!</v>
      </c>
      <c r="N126" s="71" t="e">
        <f t="shared" si="96"/>
        <v>#DIV/0!</v>
      </c>
      <c r="O126" s="71" t="e">
        <f t="shared" si="96"/>
        <v>#DIV/0!</v>
      </c>
      <c r="P126" s="71">
        <f t="shared" si="96"/>
        <v>0</v>
      </c>
      <c r="Q126" s="71" t="e">
        <f t="shared" si="96"/>
        <v>#DIV/0!</v>
      </c>
      <c r="R126" s="71">
        <f t="shared" si="96"/>
        <v>8.3333333333333343E-2</v>
      </c>
      <c r="S126" s="71" t="e">
        <f t="shared" si="96"/>
        <v>#DIV/0!</v>
      </c>
      <c r="T126" s="71" t="e">
        <f t="shared" si="96"/>
        <v>#DIV/0!</v>
      </c>
      <c r="U126" s="71" t="e">
        <f t="shared" si="96"/>
        <v>#DIV/0!</v>
      </c>
      <c r="V126" s="71" t="e">
        <f t="shared" si="96"/>
        <v>#DIV/0!</v>
      </c>
      <c r="W126" s="71">
        <f t="shared" si="96"/>
        <v>1.8891092849721354E-2</v>
      </c>
      <c r="X126" s="71" t="e">
        <f t="shared" si="96"/>
        <v>#DIV/0!</v>
      </c>
      <c r="Y126" s="71">
        <f t="shared" si="96"/>
        <v>0.21212121212121215</v>
      </c>
      <c r="Z126" s="71" t="e">
        <f t="shared" si="96"/>
        <v>#DIV/0!</v>
      </c>
      <c r="AA126" s="71" t="e">
        <f t="shared" si="96"/>
        <v>#DIV/0!</v>
      </c>
      <c r="AB126" s="71" t="e">
        <f t="shared" si="96"/>
        <v>#DIV/0!</v>
      </c>
      <c r="AC126" s="71" t="e">
        <f t="shared" si="96"/>
        <v>#DIV/0!</v>
      </c>
      <c r="AD126" s="71">
        <f t="shared" si="96"/>
        <v>4.0081105295421325E-2</v>
      </c>
      <c r="AE126" s="71" t="e">
        <f t="shared" ref="AE126:AG126" si="98">AE119/AE110*100</f>
        <v>#DIV/0!</v>
      </c>
      <c r="AF126" s="71" t="e">
        <f t="shared" si="98"/>
        <v>#DIV/0!</v>
      </c>
      <c r="AG126" s="71" t="e">
        <f t="shared" si="98"/>
        <v>#DIV/0!</v>
      </c>
      <c r="AH126" s="71" t="e">
        <f t="shared" si="96"/>
        <v>#DIV/0!</v>
      </c>
      <c r="AI126" s="71" t="e">
        <f t="shared" si="96"/>
        <v>#DIV/0!</v>
      </c>
      <c r="AJ126" s="71" t="e">
        <f t="shared" si="96"/>
        <v>#DIV/0!</v>
      </c>
      <c r="AK126" s="105"/>
      <c r="AL126" s="107">
        <f>AL119/AL110*100</f>
        <v>3.1794274874978441E-2</v>
      </c>
      <c r="AN126" s="106"/>
      <c r="EB126" s="233"/>
      <c r="EC126" s="233"/>
      <c r="FI126" s="233"/>
    </row>
    <row r="127" spans="1:15451" s="1" customFormat="1">
      <c r="A127" s="3"/>
      <c r="B127" s="38">
        <v>7</v>
      </c>
      <c r="C127" s="20" t="s">
        <v>114</v>
      </c>
      <c r="D127" s="39"/>
      <c r="E127" s="39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91"/>
      <c r="AD127" s="40"/>
      <c r="AE127" s="40"/>
      <c r="AF127" s="40"/>
      <c r="AG127" s="40"/>
      <c r="AH127" s="40"/>
      <c r="AI127" s="40"/>
      <c r="AJ127" s="40"/>
      <c r="AK127" s="95"/>
      <c r="AL127" s="203" t="s">
        <v>62</v>
      </c>
      <c r="AM127" s="3"/>
      <c r="AN127" s="14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252"/>
      <c r="EC127" s="252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252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WP127" s="3"/>
      <c r="WQ127" s="3"/>
      <c r="WR127" s="3"/>
      <c r="WS127" s="3"/>
      <c r="WT127" s="3"/>
      <c r="WU127" s="3"/>
      <c r="WV127" s="3"/>
      <c r="WW127" s="3"/>
      <c r="WX127" s="3"/>
      <c r="WY127" s="3"/>
      <c r="WZ127" s="3"/>
      <c r="XA127" s="3"/>
      <c r="XB127" s="3"/>
      <c r="XC127" s="3"/>
      <c r="XD127" s="3"/>
      <c r="XE127" s="3"/>
      <c r="XF127" s="3"/>
      <c r="XG127" s="3"/>
      <c r="XH127" s="3"/>
      <c r="XI127" s="3"/>
      <c r="XJ127" s="3"/>
      <c r="XK127" s="3"/>
      <c r="XL127" s="3"/>
      <c r="XM127" s="3"/>
      <c r="XN127" s="3"/>
      <c r="XO127" s="3"/>
      <c r="XP127" s="3"/>
      <c r="XQ127" s="3"/>
      <c r="XR127" s="3"/>
      <c r="XS127" s="3"/>
      <c r="XT127" s="3"/>
      <c r="XU127" s="3"/>
      <c r="XV127" s="3"/>
      <c r="XW127" s="3"/>
      <c r="XX127" s="3"/>
      <c r="XY127" s="3"/>
      <c r="XZ127" s="3"/>
      <c r="YA127" s="3"/>
      <c r="YB127" s="3"/>
      <c r="YC127" s="3"/>
      <c r="YD127" s="3"/>
      <c r="YE127" s="3"/>
      <c r="YF127" s="3"/>
      <c r="YG127" s="3"/>
      <c r="YH127" s="3"/>
      <c r="YI127" s="3"/>
      <c r="YJ127" s="3"/>
      <c r="YK127" s="3"/>
      <c r="YL127" s="3"/>
      <c r="YM127" s="3"/>
      <c r="YN127" s="3"/>
      <c r="YO127" s="3"/>
      <c r="YP127" s="3"/>
      <c r="YQ127" s="3"/>
      <c r="YR127" s="3"/>
      <c r="YS127" s="3"/>
      <c r="YT127" s="3"/>
      <c r="YU127" s="3"/>
      <c r="YV127" s="3"/>
      <c r="YW127" s="3"/>
      <c r="YX127" s="3"/>
      <c r="YY127" s="3"/>
      <c r="YZ127" s="3"/>
      <c r="ZA127" s="3"/>
      <c r="ZB127" s="3"/>
      <c r="ZC127" s="3"/>
      <c r="ZD127" s="3"/>
      <c r="ZE127" s="3"/>
      <c r="ZF127" s="3"/>
      <c r="ZG127" s="3"/>
      <c r="ZH127" s="3"/>
      <c r="ZI127" s="3"/>
      <c r="ZJ127" s="3"/>
      <c r="ZK127" s="3"/>
      <c r="ZL127" s="3"/>
      <c r="ZM127" s="3"/>
      <c r="ZN127" s="3"/>
      <c r="ZO127" s="3"/>
      <c r="ZP127" s="3"/>
      <c r="ZQ127" s="3"/>
      <c r="ZR127" s="3"/>
      <c r="ZS127" s="3"/>
      <c r="ZT127" s="3"/>
      <c r="ZU127" s="3"/>
      <c r="ZV127" s="3"/>
      <c r="ZW127" s="3"/>
      <c r="ZX127" s="3"/>
      <c r="ZY127" s="3"/>
      <c r="ZZ127" s="3"/>
      <c r="AAA127" s="3"/>
      <c r="AAB127" s="3"/>
      <c r="AAC127" s="3"/>
      <c r="AAD127" s="3"/>
      <c r="AAE127" s="3"/>
      <c r="AAF127" s="3"/>
      <c r="AAG127" s="3"/>
      <c r="AAH127" s="3"/>
      <c r="AAI127" s="3"/>
      <c r="AAJ127" s="3"/>
      <c r="AAK127" s="3"/>
      <c r="AAL127" s="3"/>
      <c r="AAM127" s="3"/>
      <c r="AAN127" s="3"/>
      <c r="AAO127" s="3"/>
      <c r="AAP127" s="3"/>
      <c r="AAQ127" s="3"/>
      <c r="AAR127" s="3"/>
      <c r="AAS127" s="3"/>
      <c r="AAT127" s="3"/>
      <c r="AAU127" s="3"/>
      <c r="AAV127" s="3"/>
      <c r="AAW127" s="3"/>
      <c r="AAX127" s="3"/>
      <c r="AAY127" s="3"/>
      <c r="AAZ127" s="3"/>
      <c r="ABA127" s="3"/>
      <c r="ABB127" s="3"/>
      <c r="ABC127" s="3"/>
      <c r="ABD127" s="3"/>
      <c r="ABE127" s="3"/>
      <c r="ABF127" s="3"/>
      <c r="ABG127" s="3"/>
      <c r="ABH127" s="3"/>
      <c r="ABI127" s="3"/>
      <c r="ABJ127" s="3"/>
      <c r="ABK127" s="3"/>
      <c r="ABL127" s="3"/>
      <c r="ABM127" s="3"/>
      <c r="ABN127" s="3"/>
      <c r="ABO127" s="3"/>
      <c r="ABP127" s="3"/>
      <c r="ABQ127" s="3"/>
      <c r="ABR127" s="3"/>
      <c r="ABS127" s="3"/>
      <c r="ABT127" s="3"/>
      <c r="ABU127" s="3"/>
      <c r="ABV127" s="3"/>
      <c r="ABW127" s="3"/>
      <c r="ABX127" s="3"/>
      <c r="ABY127" s="3"/>
      <c r="ABZ127" s="3"/>
      <c r="ACA127" s="3"/>
      <c r="ACB127" s="3"/>
      <c r="ACC127" s="3"/>
      <c r="ACD127" s="3"/>
      <c r="ACE127" s="3"/>
      <c r="ACF127" s="3"/>
      <c r="ACG127" s="3"/>
      <c r="ACH127" s="3"/>
      <c r="ACI127" s="3"/>
      <c r="ACJ127" s="3"/>
      <c r="ACK127" s="3"/>
      <c r="ACL127" s="3"/>
      <c r="ACM127" s="3"/>
      <c r="ACN127" s="3"/>
      <c r="ACO127" s="3"/>
      <c r="ACP127" s="3"/>
      <c r="ACQ127" s="3"/>
      <c r="ACR127" s="3"/>
      <c r="ACS127" s="3"/>
      <c r="ACT127" s="3"/>
      <c r="ACU127" s="3"/>
      <c r="ACV127" s="3"/>
      <c r="ACW127" s="3"/>
      <c r="ACX127" s="3"/>
      <c r="ACY127" s="3"/>
      <c r="ACZ127" s="3"/>
      <c r="ADA127" s="3"/>
      <c r="ADB127" s="3"/>
      <c r="ADC127" s="3"/>
      <c r="ADD127" s="3"/>
      <c r="ADE127" s="3"/>
      <c r="ADF127" s="3"/>
      <c r="ADG127" s="3"/>
      <c r="ADH127" s="3"/>
      <c r="ADI127" s="3"/>
      <c r="ADJ127" s="3"/>
      <c r="ADK127" s="3"/>
      <c r="ADL127" s="3"/>
      <c r="ADM127" s="3"/>
      <c r="ADN127" s="3"/>
      <c r="ADO127" s="3"/>
      <c r="ADP127" s="3"/>
      <c r="ADQ127" s="3"/>
      <c r="ADR127" s="3"/>
      <c r="ADS127" s="3"/>
      <c r="ADT127" s="3"/>
      <c r="ADU127" s="3"/>
      <c r="ADV127" s="3"/>
      <c r="ADW127" s="3"/>
      <c r="ADX127" s="3"/>
      <c r="ADY127" s="3"/>
      <c r="ADZ127" s="3"/>
      <c r="AEA127" s="3"/>
      <c r="AEB127" s="3"/>
      <c r="AEC127" s="3"/>
      <c r="AED127" s="3"/>
      <c r="AEE127" s="3"/>
      <c r="AEF127" s="3"/>
      <c r="AEG127" s="3"/>
      <c r="AEH127" s="3"/>
      <c r="AEI127" s="3"/>
      <c r="AEJ127" s="3"/>
      <c r="AEK127" s="3"/>
      <c r="AEL127" s="3"/>
      <c r="AEM127" s="3"/>
      <c r="AEN127" s="3"/>
      <c r="AEO127" s="3"/>
      <c r="AEP127" s="3"/>
      <c r="AEQ127" s="3"/>
      <c r="AER127" s="3"/>
      <c r="AES127" s="3"/>
      <c r="AET127" s="3"/>
      <c r="AEU127" s="3"/>
      <c r="AEV127" s="3"/>
      <c r="AEW127" s="3"/>
      <c r="AEX127" s="3"/>
      <c r="AEY127" s="3"/>
      <c r="AEZ127" s="3"/>
      <c r="AFA127" s="3"/>
      <c r="AFB127" s="3"/>
      <c r="AFC127" s="3"/>
      <c r="AFD127" s="3"/>
      <c r="AFE127" s="3"/>
      <c r="AFF127" s="3"/>
      <c r="AFG127" s="3"/>
      <c r="AFH127" s="3"/>
      <c r="AFI127" s="3"/>
      <c r="AFJ127" s="3"/>
      <c r="AFK127" s="3"/>
      <c r="AFL127" s="3"/>
      <c r="AFM127" s="3"/>
      <c r="AFN127" s="3"/>
      <c r="AFO127" s="3"/>
      <c r="AFP127" s="3"/>
      <c r="AFQ127" s="3"/>
      <c r="AFR127" s="3"/>
      <c r="AFS127" s="3"/>
      <c r="AFT127" s="3"/>
      <c r="AFU127" s="3"/>
      <c r="AFV127" s="3"/>
      <c r="AFW127" s="3"/>
      <c r="AFX127" s="3"/>
      <c r="AFY127" s="3"/>
      <c r="AFZ127" s="3"/>
      <c r="AGA127" s="3"/>
      <c r="AGB127" s="3"/>
      <c r="AGC127" s="3"/>
      <c r="AGD127" s="3"/>
      <c r="AGE127" s="3"/>
      <c r="AGF127" s="3"/>
      <c r="AGG127" s="3"/>
      <c r="AGH127" s="3"/>
      <c r="AGI127" s="3"/>
      <c r="AGJ127" s="3"/>
      <c r="AGK127" s="3"/>
      <c r="AGL127" s="3"/>
      <c r="AGM127" s="3"/>
      <c r="AGN127" s="3"/>
      <c r="AGO127" s="3"/>
      <c r="AGP127" s="3"/>
      <c r="AGQ127" s="3"/>
      <c r="AGR127" s="3"/>
      <c r="AGS127" s="3"/>
      <c r="AGT127" s="3"/>
      <c r="AGU127" s="3"/>
      <c r="AGV127" s="3"/>
      <c r="AGW127" s="3"/>
      <c r="AGX127" s="3"/>
      <c r="AGY127" s="3"/>
      <c r="AGZ127" s="3"/>
      <c r="AHA127" s="3"/>
      <c r="AHB127" s="3"/>
      <c r="AHC127" s="3"/>
      <c r="AHD127" s="3"/>
      <c r="AHE127" s="3"/>
      <c r="AHF127" s="3"/>
      <c r="AHG127" s="3"/>
      <c r="AHH127" s="3"/>
      <c r="AHI127" s="3"/>
      <c r="AHJ127" s="3"/>
      <c r="AHK127" s="3"/>
      <c r="AHL127" s="3"/>
      <c r="AHM127" s="3"/>
      <c r="AHN127" s="3"/>
      <c r="AHO127" s="3"/>
      <c r="AHP127" s="3"/>
      <c r="AHQ127" s="3"/>
      <c r="AHR127" s="3"/>
      <c r="AHS127" s="3"/>
      <c r="AHT127" s="3"/>
      <c r="AHU127" s="3"/>
      <c r="AHV127" s="3"/>
      <c r="AHW127" s="3"/>
      <c r="AHX127" s="3"/>
      <c r="AHY127" s="3"/>
      <c r="AHZ127" s="3"/>
      <c r="AIA127" s="3"/>
      <c r="AIB127" s="3"/>
      <c r="AIC127" s="3"/>
      <c r="AID127" s="3"/>
      <c r="AIE127" s="3"/>
      <c r="AIF127" s="3"/>
      <c r="AIG127" s="3"/>
      <c r="AIH127" s="3"/>
      <c r="AII127" s="3"/>
      <c r="AIJ127" s="3"/>
      <c r="AIK127" s="3"/>
      <c r="AIL127" s="3"/>
      <c r="AIM127" s="3"/>
      <c r="AIN127" s="3"/>
      <c r="AIO127" s="3"/>
      <c r="AIP127" s="3"/>
      <c r="AIQ127" s="3"/>
      <c r="AIR127" s="3"/>
      <c r="AIS127" s="3"/>
      <c r="AIT127" s="3"/>
      <c r="AIU127" s="3"/>
      <c r="AIV127" s="3"/>
      <c r="AIW127" s="3"/>
      <c r="AIX127" s="3"/>
      <c r="AIY127" s="3"/>
      <c r="AIZ127" s="3"/>
      <c r="AJA127" s="3"/>
      <c r="AJB127" s="3"/>
      <c r="AJC127" s="3"/>
      <c r="AJD127" s="3"/>
      <c r="AJE127" s="3"/>
      <c r="AJF127" s="3"/>
      <c r="AJG127" s="3"/>
      <c r="AJH127" s="3"/>
      <c r="AJI127" s="3"/>
      <c r="AJJ127" s="3"/>
      <c r="AJK127" s="3"/>
      <c r="AJL127" s="3"/>
      <c r="AJM127" s="3"/>
      <c r="AJN127" s="3"/>
      <c r="AJO127" s="3"/>
      <c r="AJP127" s="3"/>
      <c r="AJQ127" s="3"/>
      <c r="AJR127" s="3"/>
      <c r="AJS127" s="3"/>
      <c r="AJT127" s="3"/>
      <c r="AJU127" s="3"/>
      <c r="AJV127" s="3"/>
      <c r="AJW127" s="3"/>
      <c r="AJX127" s="3"/>
      <c r="AJY127" s="3"/>
      <c r="AJZ127" s="3"/>
      <c r="AKA127" s="3"/>
      <c r="AKB127" s="3"/>
      <c r="AKC127" s="3"/>
      <c r="AKD127" s="3"/>
      <c r="AKE127" s="3"/>
      <c r="AKF127" s="3"/>
      <c r="AKG127" s="3"/>
      <c r="AKH127" s="3"/>
      <c r="AKI127" s="3"/>
      <c r="AKJ127" s="3"/>
      <c r="AKK127" s="3"/>
      <c r="AKL127" s="3"/>
      <c r="AKM127" s="3"/>
      <c r="AKN127" s="3"/>
      <c r="AKO127" s="3"/>
      <c r="AKP127" s="3"/>
      <c r="AKQ127" s="3"/>
      <c r="AKR127" s="3"/>
      <c r="AKS127" s="3"/>
      <c r="AKT127" s="3"/>
      <c r="AKU127" s="3"/>
      <c r="AKV127" s="3"/>
      <c r="AKW127" s="3"/>
      <c r="AKX127" s="3"/>
      <c r="AKY127" s="3"/>
      <c r="AKZ127" s="3"/>
      <c r="ALA127" s="3"/>
      <c r="ALB127" s="3"/>
      <c r="ALC127" s="3"/>
      <c r="ALD127" s="3"/>
      <c r="ALE127" s="3"/>
      <c r="ALF127" s="3"/>
      <c r="ALG127" s="3"/>
      <c r="ALH127" s="3"/>
      <c r="ALI127" s="3"/>
      <c r="ALJ127" s="3"/>
      <c r="ALK127" s="3"/>
      <c r="ALL127" s="3"/>
      <c r="ALM127" s="3"/>
      <c r="ALN127" s="3"/>
      <c r="ALO127" s="3"/>
      <c r="ALP127" s="3"/>
      <c r="ALQ127" s="3"/>
      <c r="ALR127" s="3"/>
      <c r="ALS127" s="3"/>
      <c r="ALT127" s="3"/>
      <c r="ALU127" s="3"/>
      <c r="ALV127" s="3"/>
      <c r="ALW127" s="3"/>
      <c r="ALX127" s="3"/>
      <c r="ALY127" s="3"/>
      <c r="ALZ127" s="3"/>
      <c r="AMA127" s="3"/>
      <c r="AMB127" s="3"/>
      <c r="AMC127" s="3"/>
      <c r="AMD127" s="3"/>
      <c r="AME127" s="3"/>
      <c r="AMF127" s="3"/>
      <c r="AMG127" s="3"/>
      <c r="AMH127" s="3"/>
      <c r="AMI127" s="3"/>
      <c r="AMJ127" s="3"/>
      <c r="AMK127" s="3"/>
      <c r="AML127" s="3"/>
      <c r="AMM127" s="3"/>
      <c r="AMN127" s="3"/>
      <c r="AMO127" s="3"/>
      <c r="AMP127" s="3"/>
      <c r="AMQ127" s="3"/>
      <c r="AMR127" s="3"/>
      <c r="AMS127" s="3"/>
      <c r="AMT127" s="3"/>
      <c r="AMU127" s="3"/>
      <c r="AMV127" s="3"/>
      <c r="AMW127" s="3"/>
      <c r="AMX127" s="3"/>
      <c r="AMY127" s="3"/>
      <c r="AMZ127" s="3"/>
      <c r="ANA127" s="3"/>
      <c r="ANB127" s="3"/>
      <c r="ANC127" s="3"/>
      <c r="AND127" s="3"/>
      <c r="ANE127" s="3"/>
      <c r="ANF127" s="3"/>
      <c r="ANG127" s="3"/>
      <c r="ANH127" s="3"/>
      <c r="ANI127" s="3"/>
      <c r="ANJ127" s="3"/>
      <c r="ANK127" s="3"/>
      <c r="ANL127" s="3"/>
      <c r="ANM127" s="3"/>
      <c r="ANN127" s="3"/>
      <c r="ANO127" s="3"/>
      <c r="ANP127" s="3"/>
      <c r="ANQ127" s="3"/>
      <c r="ANR127" s="3"/>
      <c r="ANS127" s="3"/>
      <c r="ANT127" s="3"/>
      <c r="ANU127" s="3"/>
      <c r="ANV127" s="3"/>
      <c r="ANW127" s="3"/>
      <c r="ANX127" s="3"/>
      <c r="ANY127" s="3"/>
      <c r="ANZ127" s="3"/>
      <c r="AOA127" s="3"/>
      <c r="AOB127" s="3"/>
      <c r="AOC127" s="3"/>
      <c r="AOD127" s="3"/>
      <c r="AOE127" s="3"/>
      <c r="AOF127" s="3"/>
      <c r="AOG127" s="3"/>
      <c r="AOH127" s="3"/>
      <c r="AOI127" s="3"/>
      <c r="AOJ127" s="3"/>
      <c r="AOK127" s="3"/>
      <c r="AOL127" s="3"/>
      <c r="AOM127" s="3"/>
      <c r="AON127" s="3"/>
      <c r="AOO127" s="3"/>
      <c r="AOP127" s="3"/>
      <c r="AOQ127" s="3"/>
      <c r="AOR127" s="3"/>
      <c r="AOS127" s="3"/>
      <c r="AOT127" s="3"/>
      <c r="AOU127" s="3"/>
      <c r="AOV127" s="3"/>
      <c r="AOW127" s="3"/>
      <c r="AOX127" s="3"/>
      <c r="AOY127" s="3"/>
      <c r="AOZ127" s="3"/>
      <c r="APA127" s="3"/>
      <c r="APB127" s="3"/>
      <c r="APC127" s="3"/>
      <c r="APD127" s="3"/>
      <c r="APE127" s="3"/>
      <c r="APF127" s="3"/>
      <c r="APG127" s="3"/>
      <c r="APH127" s="3"/>
      <c r="API127" s="3"/>
      <c r="APJ127" s="3"/>
      <c r="APK127" s="3"/>
      <c r="APL127" s="3"/>
      <c r="APM127" s="3"/>
      <c r="APN127" s="3"/>
      <c r="APO127" s="3"/>
      <c r="APP127" s="3"/>
      <c r="APQ127" s="3"/>
      <c r="APR127" s="3"/>
      <c r="APS127" s="3"/>
      <c r="APT127" s="3"/>
      <c r="APU127" s="3"/>
      <c r="APV127" s="3"/>
      <c r="APW127" s="3"/>
      <c r="APX127" s="3"/>
      <c r="APY127" s="3"/>
      <c r="APZ127" s="3"/>
      <c r="AQA127" s="3"/>
      <c r="AQB127" s="3"/>
      <c r="AQC127" s="3"/>
      <c r="AQD127" s="3"/>
      <c r="AQE127" s="3"/>
      <c r="AQF127" s="3"/>
      <c r="AQG127" s="3"/>
      <c r="AQH127" s="3"/>
      <c r="AQI127" s="3"/>
      <c r="AQJ127" s="3"/>
      <c r="AQK127" s="3"/>
      <c r="AQL127" s="3"/>
      <c r="AQM127" s="3"/>
      <c r="AQN127" s="3"/>
      <c r="AQO127" s="3"/>
      <c r="AQP127" s="3"/>
      <c r="AQQ127" s="3"/>
      <c r="AQR127" s="3"/>
      <c r="AQS127" s="3"/>
      <c r="AQT127" s="3"/>
      <c r="AQU127" s="3"/>
      <c r="AQV127" s="3"/>
      <c r="AQW127" s="3"/>
      <c r="AQX127" s="3"/>
      <c r="AQY127" s="3"/>
      <c r="AQZ127" s="3"/>
      <c r="ARA127" s="3"/>
      <c r="ARB127" s="3"/>
      <c r="ARC127" s="3"/>
      <c r="ARD127" s="3"/>
      <c r="ARE127" s="3"/>
      <c r="ARF127" s="3"/>
      <c r="ARG127" s="3"/>
      <c r="ARH127" s="3"/>
      <c r="ARI127" s="3"/>
      <c r="ARJ127" s="3"/>
      <c r="ARK127" s="3"/>
      <c r="ARL127" s="3"/>
      <c r="ARM127" s="3"/>
      <c r="ARN127" s="3"/>
      <c r="ARO127" s="3"/>
      <c r="ARP127" s="3"/>
      <c r="ARQ127" s="3"/>
      <c r="ARR127" s="3"/>
      <c r="ARS127" s="3"/>
      <c r="ART127" s="3"/>
      <c r="ARU127" s="3"/>
      <c r="ARV127" s="3"/>
      <c r="ARW127" s="3"/>
      <c r="ARX127" s="3"/>
      <c r="ARY127" s="3"/>
      <c r="ARZ127" s="3"/>
      <c r="ASA127" s="3"/>
      <c r="ASB127" s="3"/>
      <c r="ASC127" s="3"/>
      <c r="ASD127" s="3"/>
      <c r="ASE127" s="3"/>
      <c r="ASF127" s="3"/>
      <c r="ASG127" s="3"/>
      <c r="ASH127" s="3"/>
      <c r="ASI127" s="3"/>
      <c r="ASJ127" s="3"/>
      <c r="ASK127" s="3"/>
      <c r="ASL127" s="3"/>
      <c r="ASM127" s="3"/>
      <c r="ASN127" s="3"/>
      <c r="ASO127" s="3"/>
      <c r="ASP127" s="3"/>
      <c r="ASQ127" s="3"/>
      <c r="ASR127" s="3"/>
      <c r="ASS127" s="3"/>
      <c r="AST127" s="3"/>
      <c r="ASU127" s="3"/>
      <c r="ASV127" s="3"/>
      <c r="ASW127" s="3"/>
      <c r="ASX127" s="3"/>
      <c r="ASY127" s="3"/>
      <c r="ASZ127" s="3"/>
      <c r="ATA127" s="3"/>
      <c r="ATB127" s="3"/>
      <c r="ATC127" s="3"/>
      <c r="ATD127" s="3"/>
      <c r="ATE127" s="3"/>
      <c r="ATF127" s="3"/>
      <c r="ATG127" s="3"/>
      <c r="ATH127" s="3"/>
      <c r="ATI127" s="3"/>
      <c r="ATJ127" s="3"/>
      <c r="ATK127" s="3"/>
      <c r="ATL127" s="3"/>
      <c r="ATM127" s="3"/>
      <c r="ATN127" s="3"/>
      <c r="ATO127" s="3"/>
      <c r="ATP127" s="3"/>
      <c r="ATQ127" s="3"/>
      <c r="ATR127" s="3"/>
      <c r="ATS127" s="3"/>
      <c r="ATT127" s="3"/>
      <c r="ATU127" s="3"/>
      <c r="ATV127" s="3"/>
      <c r="ATW127" s="3"/>
      <c r="ATX127" s="3"/>
      <c r="ATY127" s="3"/>
      <c r="ATZ127" s="3"/>
      <c r="AUA127" s="3"/>
      <c r="AUB127" s="3"/>
      <c r="AUC127" s="3"/>
      <c r="AUD127" s="3"/>
      <c r="AUE127" s="3"/>
      <c r="AUF127" s="3"/>
      <c r="AUG127" s="3"/>
      <c r="AUH127" s="3"/>
      <c r="AUI127" s="3"/>
      <c r="AUJ127" s="3"/>
      <c r="AUK127" s="3"/>
      <c r="AUL127" s="3"/>
      <c r="AUM127" s="3"/>
      <c r="AUN127" s="3"/>
      <c r="AUO127" s="3"/>
      <c r="AUP127" s="3"/>
      <c r="AUQ127" s="3"/>
      <c r="AUR127" s="3"/>
      <c r="AUS127" s="3"/>
      <c r="AUT127" s="3"/>
      <c r="AUU127" s="3"/>
      <c r="AUV127" s="3"/>
      <c r="AUW127" s="3"/>
      <c r="AUX127" s="3"/>
      <c r="AUY127" s="3"/>
      <c r="AUZ127" s="3"/>
      <c r="AVA127" s="3"/>
      <c r="AVB127" s="3"/>
      <c r="AVC127" s="3"/>
      <c r="AVD127" s="3"/>
      <c r="AVE127" s="3"/>
      <c r="AVF127" s="3"/>
      <c r="AVG127" s="3"/>
      <c r="AVH127" s="3"/>
      <c r="AVI127" s="3"/>
      <c r="AVJ127" s="3"/>
      <c r="AVK127" s="3"/>
      <c r="AVL127" s="3"/>
      <c r="AVM127" s="3"/>
      <c r="AVN127" s="3"/>
      <c r="AVO127" s="3"/>
      <c r="AVP127" s="3"/>
      <c r="AVQ127" s="3"/>
      <c r="AVR127" s="3"/>
      <c r="AVS127" s="3"/>
      <c r="AVT127" s="3"/>
      <c r="AVU127" s="3"/>
      <c r="AVV127" s="3"/>
      <c r="AVW127" s="3"/>
      <c r="AVX127" s="3"/>
      <c r="AVY127" s="3"/>
      <c r="AVZ127" s="3"/>
      <c r="AWA127" s="3"/>
      <c r="AWB127" s="3"/>
      <c r="AWC127" s="3"/>
      <c r="AWD127" s="3"/>
      <c r="AWE127" s="3"/>
      <c r="AWF127" s="3"/>
      <c r="AWG127" s="3"/>
      <c r="AWH127" s="3"/>
      <c r="AWI127" s="3"/>
      <c r="AWJ127" s="3"/>
      <c r="AWK127" s="3"/>
      <c r="AWL127" s="3"/>
      <c r="AWM127" s="3"/>
      <c r="AWN127" s="3"/>
      <c r="AWO127" s="3"/>
      <c r="AWP127" s="3"/>
      <c r="AWQ127" s="3"/>
      <c r="AWR127" s="3"/>
      <c r="AWS127" s="3"/>
      <c r="AWT127" s="3"/>
      <c r="AWU127" s="3"/>
      <c r="AWV127" s="3"/>
      <c r="AWW127" s="3"/>
      <c r="AWX127" s="3"/>
      <c r="AWY127" s="3"/>
      <c r="AWZ127" s="3"/>
      <c r="AXA127" s="3"/>
      <c r="AXB127" s="3"/>
      <c r="AXC127" s="3"/>
      <c r="AXD127" s="3"/>
      <c r="AXE127" s="3"/>
      <c r="AXF127" s="3"/>
      <c r="AXG127" s="3"/>
      <c r="AXH127" s="3"/>
      <c r="AXI127" s="3"/>
      <c r="AXJ127" s="3"/>
      <c r="AXK127" s="3"/>
      <c r="AXL127" s="3"/>
      <c r="AXM127" s="3"/>
      <c r="AXN127" s="3"/>
      <c r="AXO127" s="3"/>
      <c r="AXP127" s="3"/>
      <c r="AXQ127" s="3"/>
      <c r="AXR127" s="3"/>
      <c r="AXS127" s="3"/>
      <c r="AXT127" s="3"/>
      <c r="AXU127" s="3"/>
      <c r="AXV127" s="3"/>
      <c r="AXW127" s="3"/>
      <c r="AXX127" s="3"/>
      <c r="AXY127" s="3"/>
      <c r="AXZ127" s="3"/>
      <c r="AYA127" s="3"/>
      <c r="AYB127" s="3"/>
      <c r="AYC127" s="3"/>
      <c r="AYD127" s="3"/>
      <c r="AYE127" s="3"/>
      <c r="AYF127" s="3"/>
      <c r="AYG127" s="3"/>
      <c r="AYH127" s="3"/>
      <c r="AYI127" s="3"/>
      <c r="AYJ127" s="3"/>
      <c r="AYK127" s="3"/>
      <c r="AYL127" s="3"/>
      <c r="AYM127" s="3"/>
      <c r="AYN127" s="3"/>
      <c r="AYO127" s="3"/>
      <c r="AYP127" s="3"/>
      <c r="AYQ127" s="3"/>
      <c r="AYR127" s="3"/>
      <c r="AYS127" s="3"/>
      <c r="AYT127" s="3"/>
      <c r="AYU127" s="3"/>
      <c r="AYV127" s="3"/>
      <c r="AYW127" s="3"/>
      <c r="AYX127" s="3"/>
      <c r="AYY127" s="3"/>
      <c r="AYZ127" s="3"/>
      <c r="AZA127" s="3"/>
      <c r="AZB127" s="3"/>
      <c r="AZC127" s="3"/>
      <c r="AZD127" s="3"/>
      <c r="AZE127" s="3"/>
      <c r="AZF127" s="3"/>
      <c r="AZG127" s="3"/>
      <c r="AZH127" s="3"/>
      <c r="AZI127" s="3"/>
      <c r="AZJ127" s="3"/>
      <c r="AZK127" s="3"/>
      <c r="AZL127" s="3"/>
      <c r="AZM127" s="3"/>
      <c r="AZN127" s="3"/>
      <c r="AZO127" s="3"/>
      <c r="AZP127" s="3"/>
      <c r="AZQ127" s="3"/>
      <c r="AZR127" s="3"/>
      <c r="AZS127" s="3"/>
      <c r="AZT127" s="3"/>
      <c r="AZU127" s="3"/>
      <c r="AZV127" s="3"/>
      <c r="AZW127" s="3"/>
      <c r="AZX127" s="3"/>
      <c r="AZY127" s="3"/>
      <c r="AZZ127" s="3"/>
      <c r="BAA127" s="3"/>
      <c r="BAB127" s="3"/>
      <c r="BAC127" s="3"/>
      <c r="BAD127" s="3"/>
      <c r="BAE127" s="3"/>
      <c r="BAF127" s="3"/>
      <c r="BAG127" s="3"/>
      <c r="BAH127" s="3"/>
      <c r="BAI127" s="3"/>
      <c r="BAJ127" s="3"/>
      <c r="BAK127" s="3"/>
      <c r="BAL127" s="3"/>
      <c r="BAM127" s="3"/>
      <c r="BAN127" s="3"/>
      <c r="BAO127" s="3"/>
      <c r="BAP127" s="3"/>
      <c r="BAQ127" s="3"/>
      <c r="BAR127" s="3"/>
      <c r="BAS127" s="3"/>
      <c r="BAT127" s="3"/>
      <c r="BAU127" s="3"/>
      <c r="BAV127" s="3"/>
      <c r="BAW127" s="3"/>
      <c r="BAX127" s="3"/>
      <c r="BAY127" s="3"/>
      <c r="BAZ127" s="3"/>
      <c r="BBA127" s="3"/>
      <c r="BBB127" s="3"/>
      <c r="BBC127" s="3"/>
      <c r="BBD127" s="3"/>
      <c r="BBE127" s="3"/>
      <c r="BBF127" s="3"/>
      <c r="BBG127" s="3"/>
      <c r="BBH127" s="3"/>
      <c r="BBI127" s="3"/>
      <c r="BBJ127" s="3"/>
      <c r="BBK127" s="3"/>
      <c r="BBL127" s="3"/>
      <c r="BBM127" s="3"/>
      <c r="BBN127" s="3"/>
      <c r="BBO127" s="3"/>
      <c r="BBP127" s="3"/>
      <c r="BBQ127" s="3"/>
      <c r="BBR127" s="3"/>
      <c r="BBS127" s="3"/>
      <c r="BBT127" s="3"/>
      <c r="BBU127" s="3"/>
      <c r="BBV127" s="3"/>
      <c r="BBW127" s="3"/>
      <c r="BBX127" s="3"/>
      <c r="BBY127" s="3"/>
      <c r="BBZ127" s="3"/>
      <c r="BCA127" s="3"/>
      <c r="BCB127" s="3"/>
      <c r="BCC127" s="3"/>
      <c r="BCD127" s="3"/>
      <c r="BCE127" s="3"/>
      <c r="BCF127" s="3"/>
      <c r="BCG127" s="3"/>
      <c r="BCH127" s="3"/>
      <c r="BCI127" s="3"/>
      <c r="BCJ127" s="3"/>
      <c r="BCK127" s="3"/>
      <c r="BCL127" s="3"/>
      <c r="BCM127" s="3"/>
      <c r="BCN127" s="3"/>
      <c r="BCO127" s="3"/>
      <c r="BCP127" s="3"/>
      <c r="BCQ127" s="3"/>
      <c r="BCR127" s="3"/>
      <c r="BCS127" s="3"/>
      <c r="BCT127" s="3"/>
      <c r="BCU127" s="3"/>
      <c r="BCV127" s="3"/>
      <c r="BCW127" s="3"/>
      <c r="BCX127" s="3"/>
      <c r="BCY127" s="3"/>
      <c r="BCZ127" s="3"/>
      <c r="BDA127" s="3"/>
      <c r="BDB127" s="3"/>
      <c r="BDC127" s="3"/>
      <c r="BDD127" s="3"/>
      <c r="BDE127" s="3"/>
      <c r="BDF127" s="3"/>
      <c r="BDG127" s="3"/>
      <c r="BDH127" s="3"/>
      <c r="BDI127" s="3"/>
      <c r="BDJ127" s="3"/>
      <c r="BDK127" s="3"/>
      <c r="BDL127" s="3"/>
      <c r="BDM127" s="3"/>
      <c r="BDN127" s="3"/>
      <c r="BDO127" s="3"/>
      <c r="BDP127" s="3"/>
      <c r="BDQ127" s="3"/>
      <c r="BDR127" s="3"/>
      <c r="BDS127" s="3"/>
      <c r="BDT127" s="3"/>
      <c r="BDU127" s="3"/>
      <c r="BDV127" s="3"/>
      <c r="BDW127" s="3"/>
      <c r="BDX127" s="3"/>
      <c r="BDY127" s="3"/>
      <c r="BDZ127" s="3"/>
      <c r="BEA127" s="3"/>
      <c r="BEB127" s="3"/>
      <c r="BEC127" s="3"/>
      <c r="BED127" s="3"/>
      <c r="BEE127" s="3"/>
      <c r="BEF127" s="3"/>
      <c r="BEG127" s="3"/>
      <c r="BEH127" s="3"/>
      <c r="BEI127" s="3"/>
      <c r="BEJ127" s="3"/>
      <c r="BEK127" s="3"/>
      <c r="BEL127" s="3"/>
      <c r="BEM127" s="3"/>
      <c r="BEN127" s="3"/>
      <c r="BEO127" s="3"/>
      <c r="BEP127" s="3"/>
      <c r="BEQ127" s="3"/>
      <c r="BER127" s="3"/>
      <c r="BES127" s="3"/>
      <c r="BET127" s="3"/>
      <c r="BEU127" s="3"/>
      <c r="BEV127" s="3"/>
      <c r="BEW127" s="3"/>
      <c r="BEX127" s="3"/>
      <c r="BEY127" s="3"/>
      <c r="BEZ127" s="3"/>
      <c r="BFA127" s="3"/>
      <c r="BFB127" s="3"/>
      <c r="BFC127" s="3"/>
      <c r="BFD127" s="3"/>
      <c r="BFE127" s="3"/>
      <c r="BFF127" s="3"/>
      <c r="BFG127" s="3"/>
      <c r="BFH127" s="3"/>
      <c r="BFI127" s="3"/>
      <c r="BFJ127" s="3"/>
      <c r="BFK127" s="3"/>
      <c r="BFL127" s="3"/>
      <c r="BFM127" s="3"/>
      <c r="BFN127" s="3"/>
      <c r="BFO127" s="3"/>
      <c r="BFP127" s="3"/>
      <c r="BFQ127" s="3"/>
      <c r="BFR127" s="3"/>
      <c r="BFS127" s="3"/>
      <c r="BFT127" s="3"/>
      <c r="BFU127" s="3"/>
      <c r="BFV127" s="3"/>
      <c r="BFW127" s="3"/>
      <c r="BFX127" s="3"/>
      <c r="BFY127" s="3"/>
      <c r="BFZ127" s="3"/>
      <c r="BGA127" s="3"/>
      <c r="BGB127" s="3"/>
      <c r="BGC127" s="3"/>
      <c r="BGD127" s="3"/>
      <c r="BGE127" s="3"/>
      <c r="BGF127" s="3"/>
      <c r="BGG127" s="3"/>
      <c r="BGH127" s="3"/>
      <c r="BGI127" s="3"/>
      <c r="BGJ127" s="3"/>
      <c r="BGK127" s="3"/>
      <c r="BGL127" s="3"/>
      <c r="BGM127" s="3"/>
      <c r="BGN127" s="3"/>
      <c r="BGO127" s="3"/>
      <c r="BGP127" s="3"/>
      <c r="BGQ127" s="3"/>
      <c r="BGR127" s="3"/>
      <c r="BGS127" s="3"/>
      <c r="BGT127" s="3"/>
      <c r="BGU127" s="3"/>
      <c r="BGV127" s="3"/>
      <c r="BGW127" s="3"/>
      <c r="BGX127" s="3"/>
      <c r="BGY127" s="3"/>
      <c r="BGZ127" s="3"/>
      <c r="BHA127" s="3"/>
      <c r="BHB127" s="3"/>
      <c r="BHC127" s="3"/>
      <c r="BHD127" s="3"/>
      <c r="BHE127" s="3"/>
      <c r="BHF127" s="3"/>
      <c r="BHG127" s="3"/>
      <c r="BHH127" s="3"/>
      <c r="BHI127" s="3"/>
      <c r="BHJ127" s="3"/>
      <c r="BHK127" s="3"/>
      <c r="BHL127" s="3"/>
      <c r="BHM127" s="3"/>
      <c r="BHN127" s="3"/>
      <c r="BHO127" s="3"/>
      <c r="BHP127" s="3"/>
      <c r="BHQ127" s="3"/>
      <c r="BHR127" s="3"/>
      <c r="BHS127" s="3"/>
      <c r="BHT127" s="3"/>
      <c r="BHU127" s="3"/>
      <c r="BHV127" s="3"/>
      <c r="BHW127" s="3"/>
      <c r="BHX127" s="3"/>
      <c r="BHY127" s="3"/>
      <c r="BHZ127" s="3"/>
      <c r="BIA127" s="3"/>
      <c r="BIB127" s="3"/>
      <c r="BIC127" s="3"/>
      <c r="BID127" s="3"/>
      <c r="BIE127" s="3"/>
      <c r="BIF127" s="3"/>
      <c r="BIG127" s="3"/>
      <c r="BIH127" s="3"/>
      <c r="BII127" s="3"/>
      <c r="BIJ127" s="3"/>
      <c r="BIK127" s="3"/>
      <c r="BIL127" s="3"/>
      <c r="BIM127" s="3"/>
      <c r="BIN127" s="3"/>
      <c r="BIO127" s="3"/>
      <c r="BIP127" s="3"/>
      <c r="BIQ127" s="3"/>
      <c r="BIR127" s="3"/>
      <c r="BIS127" s="3"/>
      <c r="BIT127" s="3"/>
      <c r="BIU127" s="3"/>
      <c r="BIV127" s="3"/>
      <c r="BIW127" s="3"/>
      <c r="BIX127" s="3"/>
      <c r="BIY127" s="3"/>
      <c r="BIZ127" s="3"/>
      <c r="BJA127" s="3"/>
      <c r="BJB127" s="3"/>
      <c r="BJC127" s="3"/>
      <c r="BJD127" s="3"/>
      <c r="BJE127" s="3"/>
      <c r="BJF127" s="3"/>
      <c r="BJG127" s="3"/>
      <c r="BJH127" s="3"/>
      <c r="BJI127" s="3"/>
      <c r="BJJ127" s="3"/>
      <c r="BJK127" s="3"/>
      <c r="BJL127" s="3"/>
      <c r="BJM127" s="3"/>
      <c r="BJN127" s="3"/>
      <c r="BJO127" s="3"/>
      <c r="BJP127" s="3"/>
      <c r="BJQ127" s="3"/>
      <c r="BJR127" s="3"/>
      <c r="BJS127" s="3"/>
      <c r="BJT127" s="3"/>
      <c r="BJU127" s="3"/>
      <c r="BJV127" s="3"/>
      <c r="BJW127" s="3"/>
      <c r="BJX127" s="3"/>
      <c r="BJY127" s="3"/>
      <c r="BJZ127" s="3"/>
      <c r="BKA127" s="3"/>
      <c r="BKB127" s="3"/>
      <c r="BKC127" s="3"/>
      <c r="BKD127" s="3"/>
      <c r="BKE127" s="3"/>
      <c r="BKF127" s="3"/>
      <c r="BKG127" s="3"/>
      <c r="BKH127" s="3"/>
      <c r="BKI127" s="3"/>
      <c r="BKJ127" s="3"/>
      <c r="BKK127" s="3"/>
      <c r="BKL127" s="3"/>
      <c r="BKM127" s="3"/>
      <c r="BKN127" s="3"/>
      <c r="BKO127" s="3"/>
      <c r="BKP127" s="3"/>
      <c r="BKQ127" s="3"/>
      <c r="BKR127" s="3"/>
      <c r="BKS127" s="3"/>
      <c r="BKT127" s="3"/>
      <c r="BKU127" s="3"/>
      <c r="BKV127" s="3"/>
      <c r="BKW127" s="3"/>
      <c r="BKX127" s="3"/>
      <c r="BKY127" s="3"/>
      <c r="BKZ127" s="3"/>
      <c r="BLA127" s="3"/>
      <c r="BLB127" s="3"/>
      <c r="BLC127" s="3"/>
      <c r="BLD127" s="3"/>
      <c r="BLE127" s="3"/>
      <c r="BLF127" s="3"/>
      <c r="BLG127" s="3"/>
      <c r="BLH127" s="3"/>
      <c r="BLI127" s="3"/>
      <c r="BLJ127" s="3"/>
      <c r="BLK127" s="3"/>
      <c r="BLL127" s="3"/>
      <c r="BLM127" s="3"/>
      <c r="BLN127" s="3"/>
      <c r="BLO127" s="3"/>
      <c r="BLP127" s="3"/>
      <c r="BLQ127" s="3"/>
      <c r="BLR127" s="3"/>
      <c r="BLS127" s="3"/>
      <c r="BLT127" s="3"/>
      <c r="BLU127" s="3"/>
      <c r="BLV127" s="3"/>
      <c r="BLW127" s="3"/>
      <c r="BLX127" s="3"/>
      <c r="BLY127" s="3"/>
      <c r="BLZ127" s="3"/>
      <c r="BMA127" s="3"/>
      <c r="BMB127" s="3"/>
      <c r="BMC127" s="3"/>
      <c r="BMD127" s="3"/>
      <c r="BME127" s="3"/>
      <c r="BMF127" s="3"/>
      <c r="BMG127" s="3"/>
      <c r="BMH127" s="3"/>
      <c r="BMI127" s="3"/>
      <c r="BMJ127" s="3"/>
      <c r="BMK127" s="3"/>
      <c r="BML127" s="3"/>
      <c r="BMM127" s="3"/>
      <c r="BMN127" s="3"/>
      <c r="BMO127" s="3"/>
      <c r="BMP127" s="3"/>
      <c r="BMQ127" s="3"/>
      <c r="BMR127" s="3"/>
      <c r="BMS127" s="3"/>
      <c r="BMT127" s="3"/>
      <c r="BMU127" s="3"/>
      <c r="BMV127" s="3"/>
      <c r="BMW127" s="3"/>
      <c r="BMX127" s="3"/>
      <c r="BMY127" s="3"/>
      <c r="BMZ127" s="3"/>
      <c r="BNA127" s="3"/>
      <c r="BNB127" s="3"/>
      <c r="BNC127" s="3"/>
      <c r="BND127" s="3"/>
      <c r="BNE127" s="3"/>
      <c r="BNF127" s="3"/>
      <c r="BNG127" s="3"/>
      <c r="BNH127" s="3"/>
      <c r="BNI127" s="3"/>
      <c r="BNJ127" s="3"/>
      <c r="BNK127" s="3"/>
      <c r="BNL127" s="3"/>
      <c r="BNM127" s="3"/>
      <c r="BNN127" s="3"/>
      <c r="BNO127" s="3"/>
      <c r="BNP127" s="3"/>
      <c r="BNQ127" s="3"/>
      <c r="BNR127" s="3"/>
      <c r="BNS127" s="3"/>
      <c r="BNT127" s="3"/>
      <c r="BNU127" s="3"/>
      <c r="BNV127" s="3"/>
      <c r="BNW127" s="3"/>
      <c r="BNX127" s="3"/>
      <c r="BNY127" s="3"/>
      <c r="BNZ127" s="3"/>
      <c r="BOA127" s="3"/>
      <c r="BOB127" s="3"/>
      <c r="BOC127" s="3"/>
      <c r="BOD127" s="3"/>
      <c r="BOE127" s="3"/>
      <c r="BOF127" s="3"/>
      <c r="BOG127" s="3"/>
      <c r="BOH127" s="3"/>
      <c r="BOI127" s="3"/>
      <c r="BOJ127" s="3"/>
      <c r="BOK127" s="3"/>
      <c r="BOL127" s="3"/>
      <c r="BOM127" s="3"/>
      <c r="BON127" s="3"/>
      <c r="BOO127" s="3"/>
      <c r="BOP127" s="3"/>
      <c r="BOQ127" s="3"/>
      <c r="BOR127" s="3"/>
      <c r="BOS127" s="3"/>
      <c r="BOT127" s="3"/>
      <c r="BOU127" s="3"/>
      <c r="BOV127" s="3"/>
      <c r="BOW127" s="3"/>
      <c r="BOX127" s="3"/>
      <c r="BOY127" s="3"/>
      <c r="BOZ127" s="3"/>
      <c r="BPA127" s="3"/>
      <c r="BPB127" s="3"/>
      <c r="BPC127" s="3"/>
      <c r="BPD127" s="3"/>
      <c r="BPE127" s="3"/>
      <c r="BPF127" s="3"/>
      <c r="BPG127" s="3"/>
      <c r="BPH127" s="3"/>
      <c r="BPI127" s="3"/>
      <c r="BPJ127" s="3"/>
      <c r="BPK127" s="3"/>
      <c r="BPL127" s="3"/>
      <c r="BPM127" s="3"/>
      <c r="BPN127" s="3"/>
      <c r="BPO127" s="3"/>
      <c r="BPP127" s="3"/>
      <c r="BPQ127" s="3"/>
      <c r="BPR127" s="3"/>
      <c r="BPS127" s="3"/>
      <c r="BPT127" s="3"/>
      <c r="BPU127" s="3"/>
      <c r="BPV127" s="3"/>
      <c r="BPW127" s="3"/>
      <c r="BPX127" s="3"/>
      <c r="BPY127" s="3"/>
      <c r="BPZ127" s="3"/>
      <c r="BQA127" s="3"/>
      <c r="BQB127" s="3"/>
      <c r="BQC127" s="3"/>
      <c r="BQD127" s="3"/>
      <c r="BQE127" s="3"/>
      <c r="BQF127" s="3"/>
      <c r="BQG127" s="3"/>
      <c r="BQH127" s="3"/>
      <c r="BQI127" s="3"/>
      <c r="BQJ127" s="3"/>
      <c r="BQK127" s="3"/>
      <c r="BQL127" s="3"/>
      <c r="BQM127" s="3"/>
      <c r="BQN127" s="3"/>
      <c r="BQO127" s="3"/>
      <c r="BQP127" s="3"/>
      <c r="BQQ127" s="3"/>
      <c r="BQR127" s="3"/>
      <c r="BQS127" s="3"/>
      <c r="BQT127" s="3"/>
      <c r="BQU127" s="3"/>
      <c r="BQV127" s="3"/>
      <c r="BQW127" s="3"/>
      <c r="BQX127" s="3"/>
      <c r="BQY127" s="3"/>
      <c r="BQZ127" s="3"/>
      <c r="BRA127" s="3"/>
      <c r="BRB127" s="3"/>
      <c r="BRC127" s="3"/>
      <c r="BRD127" s="3"/>
      <c r="BRE127" s="3"/>
      <c r="BRF127" s="3"/>
      <c r="BRG127" s="3"/>
      <c r="BRH127" s="3"/>
      <c r="BRI127" s="3"/>
      <c r="BRJ127" s="3"/>
      <c r="BRK127" s="3"/>
      <c r="BRL127" s="3"/>
      <c r="BRM127" s="3"/>
      <c r="BRN127" s="3"/>
      <c r="BRO127" s="3"/>
      <c r="BRP127" s="3"/>
      <c r="BRQ127" s="3"/>
      <c r="BRR127" s="3"/>
      <c r="BRS127" s="3"/>
      <c r="BRT127" s="3"/>
      <c r="BRU127" s="3"/>
      <c r="BRV127" s="3"/>
      <c r="BRW127" s="3"/>
      <c r="BRX127" s="3"/>
      <c r="BRY127" s="3"/>
      <c r="BRZ127" s="3"/>
      <c r="BSA127" s="3"/>
      <c r="BSB127" s="3"/>
      <c r="BSC127" s="3"/>
      <c r="BSD127" s="3"/>
      <c r="BSE127" s="3"/>
      <c r="BSF127" s="3"/>
      <c r="BSG127" s="3"/>
      <c r="BSH127" s="3"/>
      <c r="BSI127" s="3"/>
      <c r="BSJ127" s="3"/>
      <c r="BSK127" s="3"/>
      <c r="BSL127" s="3"/>
      <c r="BSM127" s="3"/>
      <c r="BSN127" s="3"/>
      <c r="BSO127" s="3"/>
      <c r="BSP127" s="3"/>
      <c r="BSQ127" s="3"/>
      <c r="BSR127" s="3"/>
      <c r="BSS127" s="3"/>
      <c r="BST127" s="3"/>
      <c r="BSU127" s="3"/>
      <c r="BSV127" s="3"/>
      <c r="BSW127" s="3"/>
      <c r="BSX127" s="3"/>
      <c r="BSY127" s="3"/>
      <c r="BSZ127" s="3"/>
      <c r="BTA127" s="3"/>
      <c r="BTB127" s="3"/>
      <c r="BTC127" s="3"/>
      <c r="BTD127" s="3"/>
      <c r="BTE127" s="3"/>
      <c r="BTF127" s="3"/>
      <c r="BTG127" s="3"/>
      <c r="BTH127" s="3"/>
      <c r="BTI127" s="3"/>
      <c r="BTJ127" s="3"/>
      <c r="BTK127" s="3"/>
      <c r="BTL127" s="3"/>
      <c r="BTM127" s="3"/>
      <c r="BTN127" s="3"/>
      <c r="BTO127" s="3"/>
      <c r="BTP127" s="3"/>
      <c r="BTQ127" s="3"/>
      <c r="BTR127" s="3"/>
      <c r="BTS127" s="3"/>
      <c r="BTT127" s="3"/>
      <c r="BTU127" s="3"/>
      <c r="BTV127" s="3"/>
      <c r="BTW127" s="3"/>
      <c r="BTX127" s="3"/>
      <c r="BTY127" s="3"/>
      <c r="BTZ127" s="3"/>
      <c r="BUA127" s="3"/>
      <c r="BUB127" s="3"/>
      <c r="BUC127" s="3"/>
      <c r="BUD127" s="3"/>
      <c r="BUE127" s="3"/>
      <c r="BUF127" s="3"/>
      <c r="BUG127" s="3"/>
      <c r="BUH127" s="3"/>
      <c r="BUI127" s="3"/>
      <c r="BUJ127" s="3"/>
      <c r="BUK127" s="3"/>
      <c r="BUL127" s="3"/>
      <c r="BUM127" s="3"/>
      <c r="BUN127" s="3"/>
      <c r="BUO127" s="3"/>
      <c r="BUP127" s="3"/>
      <c r="BUQ127" s="3"/>
      <c r="BUR127" s="3"/>
      <c r="BUS127" s="3"/>
      <c r="BUT127" s="3"/>
      <c r="BUU127" s="3"/>
      <c r="BUV127" s="3"/>
      <c r="BUW127" s="3"/>
      <c r="BUX127" s="3"/>
      <c r="BUY127" s="3"/>
      <c r="BUZ127" s="3"/>
      <c r="BVA127" s="3"/>
      <c r="BVB127" s="3"/>
      <c r="BVC127" s="3"/>
      <c r="BVD127" s="3"/>
      <c r="BVE127" s="3"/>
      <c r="BVF127" s="3"/>
      <c r="BVG127" s="3"/>
      <c r="BVH127" s="3"/>
      <c r="BVI127" s="3"/>
      <c r="BVJ127" s="3"/>
      <c r="BVK127" s="3"/>
      <c r="BVL127" s="3"/>
      <c r="BVM127" s="3"/>
      <c r="BVN127" s="3"/>
      <c r="BVO127" s="3"/>
      <c r="BVP127" s="3"/>
      <c r="BVQ127" s="3"/>
      <c r="BVR127" s="3"/>
      <c r="BVS127" s="3"/>
      <c r="BVT127" s="3"/>
      <c r="BVU127" s="3"/>
      <c r="BVV127" s="3"/>
      <c r="BVW127" s="3"/>
      <c r="BVX127" s="3"/>
      <c r="BVY127" s="3"/>
      <c r="BVZ127" s="3"/>
      <c r="BWA127" s="3"/>
      <c r="BWB127" s="3"/>
      <c r="BWC127" s="3"/>
      <c r="BWD127" s="3"/>
      <c r="BWE127" s="3"/>
      <c r="BWF127" s="3"/>
      <c r="BWG127" s="3"/>
      <c r="BWH127" s="3"/>
      <c r="BWI127" s="3"/>
      <c r="BWJ127" s="3"/>
      <c r="BWK127" s="3"/>
      <c r="BWL127" s="3"/>
      <c r="BWM127" s="3"/>
      <c r="BWN127" s="3"/>
      <c r="BWO127" s="3"/>
      <c r="BWP127" s="3"/>
      <c r="BWQ127" s="3"/>
      <c r="BWR127" s="3"/>
      <c r="BWS127" s="3"/>
      <c r="BWT127" s="3"/>
      <c r="BWU127" s="3"/>
      <c r="BWV127" s="3"/>
      <c r="BWW127" s="3"/>
      <c r="BWX127" s="3"/>
      <c r="BWY127" s="3"/>
      <c r="BWZ127" s="3"/>
      <c r="BXA127" s="3"/>
      <c r="BXB127" s="3"/>
      <c r="BXC127" s="3"/>
      <c r="BXD127" s="3"/>
      <c r="BXE127" s="3"/>
      <c r="BXF127" s="3"/>
      <c r="BXG127" s="3"/>
      <c r="BXH127" s="3"/>
      <c r="BXI127" s="3"/>
      <c r="BXJ127" s="3"/>
      <c r="BXK127" s="3"/>
      <c r="BXL127" s="3"/>
      <c r="BXM127" s="3"/>
      <c r="BXN127" s="3"/>
      <c r="BXO127" s="3"/>
      <c r="BXP127" s="3"/>
      <c r="BXQ127" s="3"/>
      <c r="BXR127" s="3"/>
      <c r="BXS127" s="3"/>
      <c r="BXT127" s="3"/>
      <c r="BXU127" s="3"/>
      <c r="BXV127" s="3"/>
      <c r="BXW127" s="3"/>
      <c r="BXX127" s="3"/>
      <c r="BXY127" s="3"/>
      <c r="BXZ127" s="3"/>
      <c r="BYA127" s="3"/>
      <c r="BYB127" s="3"/>
      <c r="BYC127" s="3"/>
      <c r="BYD127" s="3"/>
      <c r="BYE127" s="3"/>
      <c r="BYF127" s="3"/>
      <c r="BYG127" s="3"/>
      <c r="BYH127" s="3"/>
      <c r="BYI127" s="3"/>
      <c r="BYJ127" s="3"/>
      <c r="BYK127" s="3"/>
      <c r="BYL127" s="3"/>
      <c r="BYM127" s="3"/>
      <c r="BYN127" s="3"/>
      <c r="BYO127" s="3"/>
      <c r="BYP127" s="3"/>
      <c r="BYQ127" s="3"/>
      <c r="BYR127" s="3"/>
      <c r="BYS127" s="3"/>
      <c r="BYT127" s="3"/>
      <c r="BYU127" s="3"/>
      <c r="BYV127" s="3"/>
      <c r="BYW127" s="3"/>
      <c r="BYX127" s="3"/>
      <c r="BYY127" s="3"/>
      <c r="BYZ127" s="3"/>
      <c r="BZA127" s="3"/>
      <c r="BZB127" s="3"/>
      <c r="BZC127" s="3"/>
      <c r="BZD127" s="3"/>
      <c r="BZE127" s="3"/>
      <c r="BZF127" s="3"/>
      <c r="BZG127" s="3"/>
      <c r="BZH127" s="3"/>
      <c r="BZI127" s="3"/>
      <c r="BZJ127" s="3"/>
      <c r="BZK127" s="3"/>
      <c r="BZL127" s="3"/>
      <c r="BZM127" s="3"/>
      <c r="BZN127" s="3"/>
      <c r="BZO127" s="3"/>
      <c r="BZP127" s="3"/>
      <c r="BZQ127" s="3"/>
      <c r="BZR127" s="3"/>
      <c r="BZS127" s="3"/>
      <c r="BZT127" s="3"/>
      <c r="BZU127" s="3"/>
      <c r="BZV127" s="3"/>
      <c r="BZW127" s="3"/>
      <c r="BZX127" s="3"/>
      <c r="BZY127" s="3"/>
      <c r="BZZ127" s="3"/>
      <c r="CAA127" s="3"/>
      <c r="CAB127" s="3"/>
      <c r="CAC127" s="3"/>
      <c r="CAD127" s="3"/>
      <c r="CAE127" s="3"/>
      <c r="CAF127" s="3"/>
      <c r="CAG127" s="3"/>
      <c r="CAH127" s="3"/>
      <c r="CAI127" s="3"/>
      <c r="CAJ127" s="3"/>
      <c r="CAK127" s="3"/>
      <c r="CAL127" s="3"/>
      <c r="CAM127" s="3"/>
      <c r="CAN127" s="3"/>
      <c r="CAO127" s="3"/>
      <c r="CAP127" s="3"/>
      <c r="CAQ127" s="3"/>
      <c r="CAR127" s="3"/>
      <c r="CAS127" s="3"/>
      <c r="CAT127" s="3"/>
      <c r="CAU127" s="3"/>
      <c r="CAV127" s="3"/>
      <c r="CAW127" s="3"/>
      <c r="CAX127" s="3"/>
      <c r="CAY127" s="3"/>
      <c r="CAZ127" s="3"/>
      <c r="CBA127" s="3"/>
      <c r="CBB127" s="3"/>
      <c r="CBC127" s="3"/>
      <c r="CBD127" s="3"/>
      <c r="CBE127" s="3"/>
      <c r="CBF127" s="3"/>
      <c r="CBG127" s="3"/>
      <c r="CBH127" s="3"/>
      <c r="CBI127" s="3"/>
      <c r="CBJ127" s="3"/>
      <c r="CBK127" s="3"/>
      <c r="CBL127" s="3"/>
      <c r="CBM127" s="3"/>
      <c r="CBN127" s="3"/>
      <c r="CBO127" s="3"/>
      <c r="CBP127" s="3"/>
      <c r="CBQ127" s="3"/>
      <c r="CBR127" s="3"/>
      <c r="CBS127" s="3"/>
      <c r="CBT127" s="3"/>
      <c r="CBU127" s="3"/>
      <c r="CBV127" s="3"/>
      <c r="CBW127" s="3"/>
      <c r="CBX127" s="3"/>
      <c r="CBY127" s="3"/>
      <c r="CBZ127" s="3"/>
      <c r="CCA127" s="3"/>
      <c r="CCB127" s="3"/>
      <c r="CCC127" s="3"/>
      <c r="CCD127" s="3"/>
      <c r="CCE127" s="3"/>
      <c r="CCF127" s="3"/>
      <c r="CCG127" s="3"/>
      <c r="CCH127" s="3"/>
      <c r="CCI127" s="3"/>
      <c r="CCJ127" s="3"/>
      <c r="CCK127" s="3"/>
      <c r="CCL127" s="3"/>
      <c r="CCM127" s="3"/>
      <c r="CCN127" s="3"/>
      <c r="CCO127" s="3"/>
      <c r="CCP127" s="3"/>
      <c r="CCQ127" s="3"/>
      <c r="CCR127" s="3"/>
      <c r="CCS127" s="3"/>
      <c r="CCT127" s="3"/>
      <c r="CCU127" s="3"/>
      <c r="CCV127" s="3"/>
      <c r="CCW127" s="3"/>
      <c r="CCX127" s="3"/>
      <c r="CCY127" s="3"/>
      <c r="CCZ127" s="3"/>
      <c r="CDA127" s="3"/>
      <c r="CDB127" s="3"/>
      <c r="CDC127" s="3"/>
      <c r="CDD127" s="3"/>
      <c r="CDE127" s="3"/>
      <c r="CDF127" s="3"/>
      <c r="CDG127" s="3"/>
      <c r="CDH127" s="3"/>
      <c r="CDI127" s="3"/>
      <c r="CDJ127" s="3"/>
      <c r="CDK127" s="3"/>
      <c r="CDL127" s="3"/>
      <c r="CDM127" s="3"/>
      <c r="CDN127" s="3"/>
      <c r="CDO127" s="3"/>
      <c r="CDP127" s="3"/>
      <c r="CDQ127" s="3"/>
      <c r="CDR127" s="3"/>
      <c r="CDS127" s="3"/>
      <c r="CDT127" s="3"/>
      <c r="CDU127" s="3"/>
      <c r="CDV127" s="3"/>
      <c r="CDW127" s="3"/>
      <c r="CDX127" s="3"/>
      <c r="CDY127" s="3"/>
      <c r="CDZ127" s="3"/>
      <c r="CEA127" s="3"/>
      <c r="CEB127" s="3"/>
      <c r="CEC127" s="3"/>
      <c r="CED127" s="3"/>
      <c r="CEE127" s="3"/>
      <c r="CEF127" s="3"/>
      <c r="CEG127" s="3"/>
      <c r="CEH127" s="3"/>
      <c r="CEI127" s="3"/>
      <c r="CEJ127" s="3"/>
      <c r="CEK127" s="3"/>
      <c r="CEL127" s="3"/>
      <c r="CEM127" s="3"/>
      <c r="CEN127" s="3"/>
      <c r="CEO127" s="3"/>
      <c r="CEP127" s="3"/>
      <c r="CEQ127" s="3"/>
      <c r="CER127" s="3"/>
      <c r="CES127" s="3"/>
      <c r="CET127" s="3"/>
      <c r="CEU127" s="3"/>
      <c r="CEV127" s="3"/>
      <c r="CEW127" s="3"/>
      <c r="CEX127" s="3"/>
      <c r="CEY127" s="3"/>
      <c r="CEZ127" s="3"/>
      <c r="CFA127" s="3"/>
      <c r="CFB127" s="3"/>
      <c r="CFC127" s="3"/>
      <c r="CFD127" s="3"/>
      <c r="CFE127" s="3"/>
      <c r="CFF127" s="3"/>
      <c r="CFG127" s="3"/>
      <c r="CFH127" s="3"/>
      <c r="CFI127" s="3"/>
      <c r="CFJ127" s="3"/>
      <c r="CFK127" s="3"/>
      <c r="CFL127" s="3"/>
      <c r="CFM127" s="3"/>
      <c r="CFN127" s="3"/>
      <c r="CFO127" s="3"/>
      <c r="CFP127" s="3"/>
      <c r="CFQ127" s="3"/>
      <c r="CFR127" s="3"/>
      <c r="CFS127" s="3"/>
      <c r="CFT127" s="3"/>
      <c r="CFU127" s="3"/>
      <c r="CFV127" s="3"/>
      <c r="CFW127" s="3"/>
      <c r="CFX127" s="3"/>
      <c r="CFY127" s="3"/>
      <c r="CFZ127" s="3"/>
      <c r="CGA127" s="3"/>
      <c r="CGB127" s="3"/>
      <c r="CGC127" s="3"/>
      <c r="CGD127" s="3"/>
      <c r="CGE127" s="3"/>
      <c r="CGF127" s="3"/>
      <c r="CGG127" s="3"/>
      <c r="CGH127" s="3"/>
      <c r="CGI127" s="3"/>
      <c r="CGJ127" s="3"/>
      <c r="CGK127" s="3"/>
      <c r="CGL127" s="3"/>
      <c r="CGM127" s="3"/>
      <c r="CGN127" s="3"/>
      <c r="CGO127" s="3"/>
      <c r="CGP127" s="3"/>
      <c r="CGQ127" s="3"/>
      <c r="CGR127" s="3"/>
      <c r="CGS127" s="3"/>
      <c r="CGT127" s="3"/>
      <c r="CGU127" s="3"/>
      <c r="CGV127" s="3"/>
      <c r="CGW127" s="3"/>
      <c r="CGX127" s="3"/>
      <c r="CGY127" s="3"/>
      <c r="CGZ127" s="3"/>
      <c r="CHA127" s="3"/>
      <c r="CHB127" s="3"/>
      <c r="CHC127" s="3"/>
      <c r="CHD127" s="3"/>
      <c r="CHE127" s="3"/>
      <c r="CHF127" s="3"/>
      <c r="CHG127" s="3"/>
      <c r="CHH127" s="3"/>
      <c r="CHI127" s="3"/>
      <c r="CHJ127" s="3"/>
      <c r="CHK127" s="3"/>
      <c r="CHL127" s="3"/>
      <c r="CHM127" s="3"/>
      <c r="CHN127" s="3"/>
      <c r="CHO127" s="3"/>
      <c r="CHP127" s="3"/>
      <c r="CHQ127" s="3"/>
      <c r="CHR127" s="3"/>
      <c r="CHS127" s="3"/>
      <c r="CHT127" s="3"/>
      <c r="CHU127" s="3"/>
      <c r="CHV127" s="3"/>
      <c r="CHW127" s="3"/>
      <c r="CHX127" s="3"/>
      <c r="CHY127" s="3"/>
      <c r="CHZ127" s="3"/>
      <c r="CIA127" s="3"/>
      <c r="CIB127" s="3"/>
      <c r="CIC127" s="3"/>
      <c r="CID127" s="3"/>
      <c r="CIE127" s="3"/>
      <c r="CIF127" s="3"/>
      <c r="CIG127" s="3"/>
      <c r="CIH127" s="3"/>
      <c r="CII127" s="3"/>
      <c r="CIJ127" s="3"/>
      <c r="CIK127" s="3"/>
      <c r="CIL127" s="3"/>
      <c r="CIM127" s="3"/>
      <c r="CIN127" s="3"/>
      <c r="CIO127" s="3"/>
      <c r="CIP127" s="3"/>
      <c r="CIQ127" s="3"/>
      <c r="CIR127" s="3"/>
      <c r="CIS127" s="3"/>
      <c r="CIT127" s="3"/>
      <c r="CIU127" s="3"/>
      <c r="CIV127" s="3"/>
      <c r="CIW127" s="3"/>
      <c r="CIX127" s="3"/>
      <c r="CIY127" s="3"/>
      <c r="CIZ127" s="3"/>
      <c r="CJA127" s="3"/>
      <c r="CJB127" s="3"/>
      <c r="CJC127" s="3"/>
      <c r="CJD127" s="3"/>
      <c r="CJE127" s="3"/>
      <c r="CJF127" s="3"/>
      <c r="CJG127" s="3"/>
      <c r="CJH127" s="3"/>
      <c r="CJI127" s="3"/>
      <c r="CJJ127" s="3"/>
      <c r="CJK127" s="3"/>
      <c r="CJL127" s="3"/>
      <c r="CJM127" s="3"/>
      <c r="CJN127" s="3"/>
      <c r="CJO127" s="3"/>
      <c r="CJP127" s="3"/>
      <c r="CJQ127" s="3"/>
      <c r="CJR127" s="3"/>
      <c r="CJS127" s="3"/>
      <c r="CJT127" s="3"/>
      <c r="CJU127" s="3"/>
      <c r="CJV127" s="3"/>
      <c r="CJW127" s="3"/>
      <c r="CJX127" s="3"/>
      <c r="CJY127" s="3"/>
      <c r="CJZ127" s="3"/>
      <c r="CKA127" s="3"/>
      <c r="CKB127" s="3"/>
      <c r="CKC127" s="3"/>
      <c r="CKD127" s="3"/>
      <c r="CKE127" s="3"/>
      <c r="CKF127" s="3"/>
      <c r="CKG127" s="3"/>
      <c r="CKH127" s="3"/>
      <c r="CKI127" s="3"/>
      <c r="CKJ127" s="3"/>
      <c r="CKK127" s="3"/>
      <c r="CKL127" s="3"/>
      <c r="CKM127" s="3"/>
      <c r="CKN127" s="3"/>
      <c r="CKO127" s="3"/>
      <c r="CKP127" s="3"/>
      <c r="CKQ127" s="3"/>
      <c r="CKR127" s="3"/>
      <c r="CKS127" s="3"/>
      <c r="CKT127" s="3"/>
      <c r="CKU127" s="3"/>
      <c r="CKV127" s="3"/>
      <c r="CKW127" s="3"/>
      <c r="CKX127" s="3"/>
      <c r="CKY127" s="3"/>
      <c r="CKZ127" s="3"/>
      <c r="CLA127" s="3"/>
      <c r="CLB127" s="3"/>
      <c r="CLC127" s="3"/>
      <c r="CLD127" s="3"/>
      <c r="CLE127" s="3"/>
      <c r="CLF127" s="3"/>
      <c r="CLG127" s="3"/>
      <c r="CLH127" s="3"/>
      <c r="CLI127" s="3"/>
      <c r="CLJ127" s="3"/>
      <c r="CLK127" s="3"/>
      <c r="CLL127" s="3"/>
      <c r="CLM127" s="3"/>
      <c r="CLN127" s="3"/>
      <c r="CLO127" s="3"/>
      <c r="CLP127" s="3"/>
      <c r="CLQ127" s="3"/>
      <c r="CLR127" s="3"/>
      <c r="CLS127" s="3"/>
      <c r="CLT127" s="3"/>
      <c r="CLU127" s="3"/>
      <c r="CLV127" s="3"/>
      <c r="CLW127" s="3"/>
      <c r="CLX127" s="3"/>
      <c r="CLY127" s="3"/>
      <c r="CLZ127" s="3"/>
      <c r="CMA127" s="3"/>
      <c r="CMB127" s="3"/>
      <c r="CMC127" s="3"/>
      <c r="CMD127" s="3"/>
      <c r="CME127" s="3"/>
      <c r="CMF127" s="3"/>
      <c r="CMG127" s="3"/>
      <c r="CMH127" s="3"/>
      <c r="CMI127" s="3"/>
      <c r="CMJ127" s="3"/>
      <c r="CMK127" s="3"/>
      <c r="CML127" s="3"/>
      <c r="CMM127" s="3"/>
      <c r="CMN127" s="3"/>
      <c r="CMO127" s="3"/>
      <c r="CMP127" s="3"/>
      <c r="CMQ127" s="3"/>
      <c r="CMR127" s="3"/>
      <c r="CMS127" s="3"/>
      <c r="CMT127" s="3"/>
      <c r="CMU127" s="3"/>
      <c r="CMV127" s="3"/>
      <c r="CMW127" s="3"/>
      <c r="CMX127" s="3"/>
      <c r="CMY127" s="3"/>
      <c r="CMZ127" s="3"/>
      <c r="CNA127" s="3"/>
      <c r="CNB127" s="3"/>
      <c r="CNC127" s="3"/>
      <c r="CND127" s="3"/>
      <c r="CNE127" s="3"/>
      <c r="CNF127" s="3"/>
      <c r="CNG127" s="3"/>
      <c r="CNH127" s="3"/>
      <c r="CNI127" s="3"/>
      <c r="CNJ127" s="3"/>
      <c r="CNK127" s="3"/>
      <c r="CNL127" s="3"/>
      <c r="CNM127" s="3"/>
      <c r="CNN127" s="3"/>
      <c r="CNO127" s="3"/>
      <c r="CNP127" s="3"/>
      <c r="CNQ127" s="3"/>
      <c r="CNR127" s="3"/>
      <c r="CNS127" s="3"/>
      <c r="CNT127" s="3"/>
      <c r="CNU127" s="3"/>
      <c r="CNV127" s="3"/>
      <c r="CNW127" s="3"/>
      <c r="CNX127" s="3"/>
      <c r="CNY127" s="3"/>
      <c r="CNZ127" s="3"/>
      <c r="COA127" s="3"/>
      <c r="COB127" s="3"/>
      <c r="COC127" s="3"/>
      <c r="COD127" s="3"/>
      <c r="COE127" s="3"/>
      <c r="COF127" s="3"/>
      <c r="COG127" s="3"/>
      <c r="COH127" s="3"/>
      <c r="COI127" s="3"/>
      <c r="COJ127" s="3"/>
      <c r="COK127" s="3"/>
      <c r="COL127" s="3"/>
      <c r="COM127" s="3"/>
      <c r="CON127" s="3"/>
      <c r="COO127" s="3"/>
      <c r="COP127" s="3"/>
      <c r="COQ127" s="3"/>
      <c r="COR127" s="3"/>
      <c r="COS127" s="3"/>
      <c r="COT127" s="3"/>
      <c r="COU127" s="3"/>
      <c r="COV127" s="3"/>
      <c r="COW127" s="3"/>
      <c r="COX127" s="3"/>
      <c r="COY127" s="3"/>
      <c r="COZ127" s="3"/>
      <c r="CPA127" s="3"/>
      <c r="CPB127" s="3"/>
      <c r="CPC127" s="3"/>
      <c r="CPD127" s="3"/>
      <c r="CPE127" s="3"/>
      <c r="CPF127" s="3"/>
      <c r="CPG127" s="3"/>
      <c r="CPH127" s="3"/>
      <c r="CPI127" s="3"/>
      <c r="CPJ127" s="3"/>
      <c r="CPK127" s="3"/>
      <c r="CPL127" s="3"/>
      <c r="CPM127" s="3"/>
      <c r="CPN127" s="3"/>
      <c r="CPO127" s="3"/>
      <c r="CPP127" s="3"/>
      <c r="CPQ127" s="3"/>
      <c r="CPR127" s="3"/>
      <c r="CPS127" s="3"/>
      <c r="CPT127" s="3"/>
      <c r="CPU127" s="3"/>
      <c r="CPV127" s="3"/>
      <c r="CPW127" s="3"/>
      <c r="CPX127" s="3"/>
      <c r="CPY127" s="3"/>
      <c r="CPZ127" s="3"/>
      <c r="CQA127" s="3"/>
      <c r="CQB127" s="3"/>
      <c r="CQC127" s="3"/>
      <c r="CQD127" s="3"/>
      <c r="CQE127" s="3"/>
      <c r="CQF127" s="3"/>
      <c r="CQG127" s="3"/>
      <c r="CQH127" s="3"/>
      <c r="CQI127" s="3"/>
      <c r="CQJ127" s="3"/>
      <c r="CQK127" s="3"/>
      <c r="CQL127" s="3"/>
      <c r="CQM127" s="3"/>
      <c r="CQN127" s="3"/>
      <c r="CQO127" s="3"/>
      <c r="CQP127" s="3"/>
      <c r="CQQ127" s="3"/>
      <c r="CQR127" s="3"/>
      <c r="CQS127" s="3"/>
      <c r="CQT127" s="3"/>
      <c r="CQU127" s="3"/>
      <c r="CQV127" s="3"/>
      <c r="CQW127" s="3"/>
      <c r="CQX127" s="3"/>
      <c r="CQY127" s="3"/>
      <c r="CQZ127" s="3"/>
      <c r="CRA127" s="3"/>
      <c r="CRB127" s="3"/>
      <c r="CRC127" s="3"/>
      <c r="CRD127" s="3"/>
      <c r="CRE127" s="3"/>
      <c r="CRF127" s="3"/>
      <c r="CRG127" s="3"/>
      <c r="CRH127" s="3"/>
      <c r="CRI127" s="3"/>
      <c r="CRJ127" s="3"/>
      <c r="CRK127" s="3"/>
      <c r="CRL127" s="3"/>
      <c r="CRM127" s="3"/>
      <c r="CRN127" s="3"/>
      <c r="CRO127" s="3"/>
      <c r="CRP127" s="3"/>
      <c r="CRQ127" s="3"/>
      <c r="CRR127" s="3"/>
      <c r="CRS127" s="3"/>
      <c r="CRT127" s="3"/>
      <c r="CRU127" s="3"/>
      <c r="CRV127" s="3"/>
      <c r="CRW127" s="3"/>
      <c r="CRX127" s="3"/>
      <c r="CRY127" s="3"/>
      <c r="CRZ127" s="3"/>
      <c r="CSA127" s="3"/>
      <c r="CSB127" s="3"/>
      <c r="CSC127" s="3"/>
      <c r="CSD127" s="3"/>
      <c r="CSE127" s="3"/>
      <c r="CSF127" s="3"/>
      <c r="CSG127" s="3"/>
      <c r="CSH127" s="3"/>
      <c r="CSI127" s="3"/>
      <c r="CSJ127" s="3"/>
      <c r="CSK127" s="3"/>
      <c r="CSL127" s="3"/>
      <c r="CSM127" s="3"/>
      <c r="CSN127" s="3"/>
      <c r="CSO127" s="3"/>
      <c r="CSP127" s="3"/>
      <c r="CSQ127" s="3"/>
      <c r="CSR127" s="3"/>
      <c r="CSS127" s="3"/>
      <c r="CST127" s="3"/>
      <c r="CSU127" s="3"/>
      <c r="CSV127" s="3"/>
      <c r="CSW127" s="3"/>
      <c r="CSX127" s="3"/>
      <c r="CSY127" s="3"/>
      <c r="CSZ127" s="3"/>
      <c r="CTA127" s="3"/>
      <c r="CTB127" s="3"/>
      <c r="CTC127" s="3"/>
      <c r="CTD127" s="3"/>
      <c r="CTE127" s="3"/>
      <c r="CTF127" s="3"/>
      <c r="CTG127" s="3"/>
      <c r="CTH127" s="3"/>
      <c r="CTI127" s="3"/>
      <c r="CTJ127" s="3"/>
      <c r="CTK127" s="3"/>
      <c r="CTL127" s="3"/>
      <c r="CTM127" s="3"/>
      <c r="CTN127" s="3"/>
      <c r="CTO127" s="3"/>
      <c r="CTP127" s="3"/>
      <c r="CTQ127" s="3"/>
      <c r="CTR127" s="3"/>
      <c r="CTS127" s="3"/>
      <c r="CTT127" s="3"/>
      <c r="CTU127" s="3"/>
      <c r="CTV127" s="3"/>
      <c r="CTW127" s="3"/>
      <c r="CTX127" s="3"/>
      <c r="CTY127" s="3"/>
      <c r="CTZ127" s="3"/>
      <c r="CUA127" s="3"/>
      <c r="CUB127" s="3"/>
      <c r="CUC127" s="3"/>
      <c r="CUD127" s="3"/>
      <c r="CUE127" s="3"/>
      <c r="CUF127" s="3"/>
      <c r="CUG127" s="3"/>
      <c r="CUH127" s="3"/>
      <c r="CUI127" s="3"/>
      <c r="CUJ127" s="3"/>
      <c r="CUK127" s="3"/>
      <c r="CUL127" s="3"/>
      <c r="CUM127" s="3"/>
      <c r="CUN127" s="3"/>
      <c r="CUO127" s="3"/>
      <c r="CUP127" s="3"/>
      <c r="CUQ127" s="3"/>
      <c r="CUR127" s="3"/>
      <c r="CUS127" s="3"/>
      <c r="CUT127" s="3"/>
      <c r="CUU127" s="3"/>
      <c r="CUV127" s="3"/>
      <c r="CUW127" s="3"/>
      <c r="CUX127" s="3"/>
      <c r="CUY127" s="3"/>
      <c r="CUZ127" s="3"/>
      <c r="CVA127" s="3"/>
      <c r="CVB127" s="3"/>
      <c r="CVC127" s="3"/>
      <c r="CVD127" s="3"/>
      <c r="CVE127" s="3"/>
      <c r="CVF127" s="3"/>
      <c r="CVG127" s="3"/>
      <c r="CVH127" s="3"/>
      <c r="CVI127" s="3"/>
      <c r="CVJ127" s="3"/>
      <c r="CVK127" s="3"/>
      <c r="CVL127" s="3"/>
      <c r="CVM127" s="3"/>
      <c r="CVN127" s="3"/>
      <c r="CVO127" s="3"/>
      <c r="CVP127" s="3"/>
      <c r="CVQ127" s="3"/>
      <c r="CVR127" s="3"/>
      <c r="CVS127" s="3"/>
      <c r="CVT127" s="3"/>
      <c r="CVU127" s="3"/>
      <c r="CVV127" s="3"/>
      <c r="CVW127" s="3"/>
      <c r="CVX127" s="3"/>
      <c r="CVY127" s="3"/>
      <c r="CVZ127" s="3"/>
      <c r="CWA127" s="3"/>
      <c r="CWB127" s="3"/>
      <c r="CWC127" s="3"/>
      <c r="CWD127" s="3"/>
      <c r="CWE127" s="3"/>
      <c r="CWF127" s="3"/>
      <c r="CWG127" s="3"/>
      <c r="CWH127" s="3"/>
      <c r="CWI127" s="3"/>
      <c r="CWJ127" s="3"/>
      <c r="CWK127" s="3"/>
      <c r="CWL127" s="3"/>
      <c r="CWM127" s="3"/>
      <c r="CWN127" s="3"/>
      <c r="CWO127" s="3"/>
      <c r="CWP127" s="3"/>
      <c r="CWQ127" s="3"/>
      <c r="CWR127" s="3"/>
      <c r="CWS127" s="3"/>
      <c r="CWT127" s="3"/>
      <c r="CWU127" s="3"/>
      <c r="CWV127" s="3"/>
      <c r="CWW127" s="3"/>
      <c r="CWX127" s="3"/>
      <c r="CWY127" s="3"/>
      <c r="CWZ127" s="3"/>
      <c r="CXA127" s="3"/>
      <c r="CXB127" s="3"/>
      <c r="CXC127" s="3"/>
      <c r="CXD127" s="3"/>
      <c r="CXE127" s="3"/>
      <c r="CXF127" s="3"/>
      <c r="CXG127" s="3"/>
      <c r="CXH127" s="3"/>
      <c r="CXI127" s="3"/>
      <c r="CXJ127" s="3"/>
      <c r="CXK127" s="3"/>
      <c r="CXL127" s="3"/>
      <c r="CXM127" s="3"/>
      <c r="CXN127" s="3"/>
      <c r="CXO127" s="3"/>
      <c r="CXP127" s="3"/>
      <c r="CXQ127" s="3"/>
      <c r="CXR127" s="3"/>
      <c r="CXS127" s="3"/>
      <c r="CXT127" s="3"/>
      <c r="CXU127" s="3"/>
      <c r="CXV127" s="3"/>
      <c r="CXW127" s="3"/>
      <c r="CXX127" s="3"/>
      <c r="CXY127" s="3"/>
      <c r="CXZ127" s="3"/>
      <c r="CYA127" s="3"/>
      <c r="CYB127" s="3"/>
      <c r="CYC127" s="3"/>
      <c r="CYD127" s="3"/>
      <c r="CYE127" s="3"/>
      <c r="CYF127" s="3"/>
      <c r="CYG127" s="3"/>
      <c r="CYH127" s="3"/>
      <c r="CYI127" s="3"/>
      <c r="CYJ127" s="3"/>
      <c r="CYK127" s="3"/>
      <c r="CYL127" s="3"/>
      <c r="CYM127" s="3"/>
      <c r="CYN127" s="3"/>
      <c r="CYO127" s="3"/>
      <c r="CYP127" s="3"/>
      <c r="CYQ127" s="3"/>
      <c r="CYR127" s="3"/>
      <c r="CYS127" s="3"/>
      <c r="CYT127" s="3"/>
      <c r="CYU127" s="3"/>
      <c r="CYV127" s="3"/>
      <c r="CYW127" s="3"/>
      <c r="CYX127" s="3"/>
      <c r="CYY127" s="3"/>
      <c r="CYZ127" s="3"/>
      <c r="CZA127" s="3"/>
      <c r="CZB127" s="3"/>
      <c r="CZC127" s="3"/>
      <c r="CZD127" s="3"/>
      <c r="CZE127" s="3"/>
      <c r="CZF127" s="3"/>
      <c r="CZG127" s="3"/>
      <c r="CZH127" s="3"/>
      <c r="CZI127" s="3"/>
      <c r="CZJ127" s="3"/>
      <c r="CZK127" s="3"/>
      <c r="CZL127" s="3"/>
      <c r="CZM127" s="3"/>
      <c r="CZN127" s="3"/>
      <c r="CZO127" s="3"/>
      <c r="CZP127" s="3"/>
      <c r="CZQ127" s="3"/>
      <c r="CZR127" s="3"/>
      <c r="CZS127" s="3"/>
      <c r="CZT127" s="3"/>
      <c r="CZU127" s="3"/>
      <c r="CZV127" s="3"/>
      <c r="CZW127" s="3"/>
      <c r="CZX127" s="3"/>
      <c r="CZY127" s="3"/>
      <c r="CZZ127" s="3"/>
      <c r="DAA127" s="3"/>
      <c r="DAB127" s="3"/>
      <c r="DAC127" s="3"/>
      <c r="DAD127" s="3"/>
      <c r="DAE127" s="3"/>
      <c r="DAF127" s="3"/>
      <c r="DAG127" s="3"/>
      <c r="DAH127" s="3"/>
      <c r="DAI127" s="3"/>
      <c r="DAJ127" s="3"/>
      <c r="DAK127" s="3"/>
      <c r="DAL127" s="3"/>
      <c r="DAM127" s="3"/>
      <c r="DAN127" s="3"/>
      <c r="DAO127" s="3"/>
      <c r="DAP127" s="3"/>
      <c r="DAQ127" s="3"/>
      <c r="DAR127" s="3"/>
      <c r="DAS127" s="3"/>
      <c r="DAT127" s="3"/>
      <c r="DAU127" s="3"/>
      <c r="DAV127" s="3"/>
      <c r="DAW127" s="3"/>
      <c r="DAX127" s="3"/>
      <c r="DAY127" s="3"/>
      <c r="DAZ127" s="3"/>
      <c r="DBA127" s="3"/>
      <c r="DBB127" s="3"/>
      <c r="DBC127" s="3"/>
      <c r="DBD127" s="3"/>
      <c r="DBE127" s="3"/>
      <c r="DBF127" s="3"/>
      <c r="DBG127" s="3"/>
      <c r="DBH127" s="3"/>
      <c r="DBI127" s="3"/>
      <c r="DBJ127" s="3"/>
      <c r="DBK127" s="3"/>
      <c r="DBL127" s="3"/>
      <c r="DBM127" s="3"/>
      <c r="DBN127" s="3"/>
      <c r="DBO127" s="3"/>
      <c r="DBP127" s="3"/>
      <c r="DBQ127" s="3"/>
      <c r="DBR127" s="3"/>
      <c r="DBS127" s="3"/>
      <c r="DBT127" s="3"/>
      <c r="DBU127" s="3"/>
      <c r="DBV127" s="3"/>
      <c r="DBW127" s="3"/>
      <c r="DBX127" s="3"/>
      <c r="DBY127" s="3"/>
      <c r="DBZ127" s="3"/>
      <c r="DCA127" s="3"/>
      <c r="DCB127" s="3"/>
      <c r="DCC127" s="3"/>
      <c r="DCD127" s="3"/>
      <c r="DCE127" s="3"/>
      <c r="DCF127" s="3"/>
      <c r="DCG127" s="3"/>
      <c r="DCH127" s="3"/>
      <c r="DCI127" s="3"/>
      <c r="DCJ127" s="3"/>
      <c r="DCK127" s="3"/>
      <c r="DCL127" s="3"/>
      <c r="DCM127" s="3"/>
      <c r="DCN127" s="3"/>
      <c r="DCO127" s="3"/>
      <c r="DCP127" s="3"/>
      <c r="DCQ127" s="3"/>
      <c r="DCR127" s="3"/>
      <c r="DCS127" s="3"/>
      <c r="DCT127" s="3"/>
      <c r="DCU127" s="3"/>
      <c r="DCV127" s="3"/>
      <c r="DCW127" s="3"/>
      <c r="DCX127" s="3"/>
      <c r="DCY127" s="3"/>
      <c r="DCZ127" s="3"/>
      <c r="DDA127" s="3"/>
      <c r="DDB127" s="3"/>
      <c r="DDC127" s="3"/>
      <c r="DDD127" s="3"/>
      <c r="DDE127" s="3"/>
      <c r="DDF127" s="3"/>
      <c r="DDG127" s="3"/>
      <c r="DDH127" s="3"/>
      <c r="DDI127" s="3"/>
      <c r="DDJ127" s="3"/>
      <c r="DDK127" s="3"/>
      <c r="DDL127" s="3"/>
      <c r="DDM127" s="3"/>
      <c r="DDN127" s="3"/>
      <c r="DDO127" s="3"/>
      <c r="DDP127" s="3"/>
      <c r="DDQ127" s="3"/>
      <c r="DDR127" s="3"/>
      <c r="DDS127" s="3"/>
      <c r="DDT127" s="3"/>
      <c r="DDU127" s="3"/>
      <c r="DDV127" s="3"/>
      <c r="DDW127" s="3"/>
      <c r="DDX127" s="3"/>
      <c r="DDY127" s="3"/>
      <c r="DDZ127" s="3"/>
      <c r="DEA127" s="3"/>
      <c r="DEB127" s="3"/>
      <c r="DEC127" s="3"/>
      <c r="DED127" s="3"/>
      <c r="DEE127" s="3"/>
      <c r="DEF127" s="3"/>
      <c r="DEG127" s="3"/>
      <c r="DEH127" s="3"/>
      <c r="DEI127" s="3"/>
      <c r="DEJ127" s="3"/>
      <c r="DEK127" s="3"/>
      <c r="DEL127" s="3"/>
      <c r="DEM127" s="3"/>
      <c r="DEN127" s="3"/>
      <c r="DEO127" s="3"/>
      <c r="DEP127" s="3"/>
      <c r="DEQ127" s="3"/>
      <c r="DER127" s="3"/>
      <c r="DES127" s="3"/>
      <c r="DET127" s="3"/>
      <c r="DEU127" s="3"/>
      <c r="DEV127" s="3"/>
      <c r="DEW127" s="3"/>
      <c r="DEX127" s="3"/>
      <c r="DEY127" s="3"/>
      <c r="DEZ127" s="3"/>
      <c r="DFA127" s="3"/>
      <c r="DFB127" s="3"/>
      <c r="DFC127" s="3"/>
      <c r="DFD127" s="3"/>
      <c r="DFE127" s="3"/>
      <c r="DFF127" s="3"/>
      <c r="DFG127" s="3"/>
      <c r="DFH127" s="3"/>
      <c r="DFI127" s="3"/>
      <c r="DFJ127" s="3"/>
      <c r="DFK127" s="3"/>
      <c r="DFL127" s="3"/>
      <c r="DFM127" s="3"/>
      <c r="DFN127" s="3"/>
      <c r="DFO127" s="3"/>
      <c r="DFP127" s="3"/>
      <c r="DFQ127" s="3"/>
      <c r="DFR127" s="3"/>
      <c r="DFS127" s="3"/>
      <c r="DFT127" s="3"/>
      <c r="DFU127" s="3"/>
      <c r="DFV127" s="3"/>
      <c r="DFW127" s="3"/>
      <c r="DFX127" s="3"/>
      <c r="DFY127" s="3"/>
      <c r="DFZ127" s="3"/>
      <c r="DGA127" s="3"/>
      <c r="DGB127" s="3"/>
      <c r="DGC127" s="3"/>
      <c r="DGD127" s="3"/>
      <c r="DGE127" s="3"/>
      <c r="DGF127" s="3"/>
      <c r="DGG127" s="3"/>
      <c r="DGH127" s="3"/>
      <c r="DGI127" s="3"/>
      <c r="DGJ127" s="3"/>
      <c r="DGK127" s="3"/>
      <c r="DGL127" s="3"/>
      <c r="DGM127" s="3"/>
      <c r="DGN127" s="3"/>
      <c r="DGO127" s="3"/>
      <c r="DGP127" s="3"/>
      <c r="DGQ127" s="3"/>
      <c r="DGR127" s="3"/>
      <c r="DGS127" s="3"/>
      <c r="DGT127" s="3"/>
      <c r="DGU127" s="3"/>
      <c r="DGV127" s="3"/>
      <c r="DGW127" s="3"/>
      <c r="DGX127" s="3"/>
      <c r="DGY127" s="3"/>
      <c r="DGZ127" s="3"/>
      <c r="DHA127" s="3"/>
      <c r="DHB127" s="3"/>
      <c r="DHC127" s="3"/>
      <c r="DHD127" s="3"/>
      <c r="DHE127" s="3"/>
      <c r="DHF127" s="3"/>
      <c r="DHG127" s="3"/>
      <c r="DHH127" s="3"/>
      <c r="DHI127" s="3"/>
      <c r="DHJ127" s="3"/>
      <c r="DHK127" s="3"/>
      <c r="DHL127" s="3"/>
      <c r="DHM127" s="3"/>
      <c r="DHN127" s="3"/>
      <c r="DHO127" s="3"/>
      <c r="DHP127" s="3"/>
      <c r="DHQ127" s="3"/>
      <c r="DHR127" s="3"/>
      <c r="DHS127" s="3"/>
      <c r="DHT127" s="3"/>
      <c r="DHU127" s="3"/>
      <c r="DHV127" s="3"/>
      <c r="DHW127" s="3"/>
      <c r="DHX127" s="3"/>
      <c r="DHY127" s="3"/>
      <c r="DHZ127" s="3"/>
      <c r="DIA127" s="3"/>
      <c r="DIB127" s="3"/>
      <c r="DIC127" s="3"/>
      <c r="DID127" s="3"/>
      <c r="DIE127" s="3"/>
      <c r="DIF127" s="3"/>
      <c r="DIG127" s="3"/>
      <c r="DIH127" s="3"/>
      <c r="DII127" s="3"/>
      <c r="DIJ127" s="3"/>
      <c r="DIK127" s="3"/>
      <c r="DIL127" s="3"/>
      <c r="DIM127" s="3"/>
      <c r="DIN127" s="3"/>
      <c r="DIO127" s="3"/>
      <c r="DIP127" s="3"/>
      <c r="DIQ127" s="3"/>
      <c r="DIR127" s="3"/>
      <c r="DIS127" s="3"/>
      <c r="DIT127" s="3"/>
      <c r="DIU127" s="3"/>
      <c r="DIV127" s="3"/>
      <c r="DIW127" s="3"/>
      <c r="DIX127" s="3"/>
      <c r="DIY127" s="3"/>
      <c r="DIZ127" s="3"/>
      <c r="DJA127" s="3"/>
      <c r="DJB127" s="3"/>
      <c r="DJC127" s="3"/>
      <c r="DJD127" s="3"/>
      <c r="DJE127" s="3"/>
      <c r="DJF127" s="3"/>
      <c r="DJG127" s="3"/>
      <c r="DJH127" s="3"/>
      <c r="DJI127" s="3"/>
      <c r="DJJ127" s="3"/>
      <c r="DJK127" s="3"/>
      <c r="DJL127" s="3"/>
      <c r="DJM127" s="3"/>
      <c r="DJN127" s="3"/>
      <c r="DJO127" s="3"/>
      <c r="DJP127" s="3"/>
      <c r="DJQ127" s="3"/>
      <c r="DJR127" s="3"/>
      <c r="DJS127" s="3"/>
      <c r="DJT127" s="3"/>
      <c r="DJU127" s="3"/>
      <c r="DJV127" s="3"/>
      <c r="DJW127" s="3"/>
      <c r="DJX127" s="3"/>
      <c r="DJY127" s="3"/>
      <c r="DJZ127" s="3"/>
      <c r="DKA127" s="3"/>
      <c r="DKB127" s="3"/>
      <c r="DKC127" s="3"/>
      <c r="DKD127" s="3"/>
      <c r="DKE127" s="3"/>
      <c r="DKF127" s="3"/>
      <c r="DKG127" s="3"/>
      <c r="DKH127" s="3"/>
      <c r="DKI127" s="3"/>
      <c r="DKJ127" s="3"/>
      <c r="DKK127" s="3"/>
      <c r="DKL127" s="3"/>
      <c r="DKM127" s="3"/>
      <c r="DKN127" s="3"/>
      <c r="DKO127" s="3"/>
      <c r="DKP127" s="3"/>
      <c r="DKQ127" s="3"/>
      <c r="DKR127" s="3"/>
      <c r="DKS127" s="3"/>
      <c r="DKT127" s="3"/>
      <c r="DKU127" s="3"/>
      <c r="DKV127" s="3"/>
      <c r="DKW127" s="3"/>
      <c r="DKX127" s="3"/>
      <c r="DKY127" s="3"/>
      <c r="DKZ127" s="3"/>
      <c r="DLA127" s="3"/>
      <c r="DLB127" s="3"/>
      <c r="DLC127" s="3"/>
      <c r="DLD127" s="3"/>
      <c r="DLE127" s="3"/>
      <c r="DLF127" s="3"/>
      <c r="DLG127" s="3"/>
      <c r="DLH127" s="3"/>
      <c r="DLI127" s="3"/>
      <c r="DLJ127" s="3"/>
      <c r="DLK127" s="3"/>
      <c r="DLL127" s="3"/>
      <c r="DLM127" s="3"/>
      <c r="DLN127" s="3"/>
      <c r="DLO127" s="3"/>
      <c r="DLP127" s="3"/>
      <c r="DLQ127" s="3"/>
      <c r="DLR127" s="3"/>
      <c r="DLS127" s="3"/>
      <c r="DLT127" s="3"/>
      <c r="DLU127" s="3"/>
      <c r="DLV127" s="3"/>
      <c r="DLW127" s="3"/>
      <c r="DLX127" s="3"/>
      <c r="DLY127" s="3"/>
      <c r="DLZ127" s="3"/>
      <c r="DMA127" s="3"/>
      <c r="DMB127" s="3"/>
      <c r="DMC127" s="3"/>
      <c r="DMD127" s="3"/>
      <c r="DME127" s="3"/>
      <c r="DMF127" s="3"/>
      <c r="DMG127" s="3"/>
      <c r="DMH127" s="3"/>
      <c r="DMI127" s="3"/>
      <c r="DMJ127" s="3"/>
      <c r="DMK127" s="3"/>
      <c r="DML127" s="3"/>
      <c r="DMM127" s="3"/>
      <c r="DMN127" s="3"/>
      <c r="DMO127" s="3"/>
      <c r="DMP127" s="3"/>
      <c r="DMQ127" s="3"/>
      <c r="DMR127" s="3"/>
      <c r="DMS127" s="3"/>
      <c r="DMT127" s="3"/>
      <c r="DMU127" s="3"/>
      <c r="DMV127" s="3"/>
      <c r="DMW127" s="3"/>
      <c r="DMX127" s="3"/>
      <c r="DMY127" s="3"/>
      <c r="DMZ127" s="3"/>
      <c r="DNA127" s="3"/>
      <c r="DNB127" s="3"/>
      <c r="DNC127" s="3"/>
      <c r="DND127" s="3"/>
      <c r="DNE127" s="3"/>
      <c r="DNF127" s="3"/>
      <c r="DNG127" s="3"/>
      <c r="DNH127" s="3"/>
      <c r="DNI127" s="3"/>
      <c r="DNJ127" s="3"/>
      <c r="DNK127" s="3"/>
      <c r="DNL127" s="3"/>
      <c r="DNM127" s="3"/>
      <c r="DNN127" s="3"/>
      <c r="DNO127" s="3"/>
      <c r="DNP127" s="3"/>
      <c r="DNQ127" s="3"/>
      <c r="DNR127" s="3"/>
      <c r="DNS127" s="3"/>
      <c r="DNT127" s="3"/>
      <c r="DNU127" s="3"/>
      <c r="DNV127" s="3"/>
      <c r="DNW127" s="3"/>
      <c r="DNX127" s="3"/>
      <c r="DNY127" s="3"/>
      <c r="DNZ127" s="3"/>
      <c r="DOA127" s="3"/>
      <c r="DOB127" s="3"/>
      <c r="DOC127" s="3"/>
      <c r="DOD127" s="3"/>
      <c r="DOE127" s="3"/>
      <c r="DOF127" s="3"/>
      <c r="DOG127" s="3"/>
      <c r="DOH127" s="3"/>
      <c r="DOI127" s="3"/>
      <c r="DOJ127" s="3"/>
      <c r="DOK127" s="3"/>
      <c r="DOL127" s="3"/>
      <c r="DOM127" s="3"/>
      <c r="DON127" s="3"/>
      <c r="DOO127" s="3"/>
      <c r="DOP127" s="3"/>
      <c r="DOQ127" s="3"/>
      <c r="DOR127" s="3"/>
      <c r="DOS127" s="3"/>
      <c r="DOT127" s="3"/>
      <c r="DOU127" s="3"/>
      <c r="DOV127" s="3"/>
      <c r="DOW127" s="3"/>
      <c r="DOX127" s="3"/>
      <c r="DOY127" s="3"/>
      <c r="DOZ127" s="3"/>
      <c r="DPA127" s="3"/>
      <c r="DPB127" s="3"/>
      <c r="DPC127" s="3"/>
      <c r="DPD127" s="3"/>
      <c r="DPE127" s="3"/>
      <c r="DPF127" s="3"/>
      <c r="DPG127" s="3"/>
      <c r="DPH127" s="3"/>
      <c r="DPI127" s="3"/>
      <c r="DPJ127" s="3"/>
      <c r="DPK127" s="3"/>
      <c r="DPL127" s="3"/>
      <c r="DPM127" s="3"/>
      <c r="DPN127" s="3"/>
      <c r="DPO127" s="3"/>
      <c r="DPP127" s="3"/>
      <c r="DPQ127" s="3"/>
      <c r="DPR127" s="3"/>
      <c r="DPS127" s="3"/>
      <c r="DPT127" s="3"/>
      <c r="DPU127" s="3"/>
      <c r="DPV127" s="3"/>
      <c r="DPW127" s="3"/>
      <c r="DPX127" s="3"/>
      <c r="DPY127" s="3"/>
      <c r="DPZ127" s="3"/>
      <c r="DQA127" s="3"/>
      <c r="DQB127" s="3"/>
      <c r="DQC127" s="3"/>
      <c r="DQD127" s="3"/>
      <c r="DQE127" s="3"/>
      <c r="DQF127" s="3"/>
      <c r="DQG127" s="3"/>
      <c r="DQH127" s="3"/>
      <c r="DQI127" s="3"/>
      <c r="DQJ127" s="3"/>
      <c r="DQK127" s="3"/>
      <c r="DQL127" s="3"/>
      <c r="DQM127" s="3"/>
      <c r="DQN127" s="3"/>
      <c r="DQO127" s="3"/>
      <c r="DQP127" s="3"/>
      <c r="DQQ127" s="3"/>
      <c r="DQR127" s="3"/>
      <c r="DQS127" s="3"/>
      <c r="DQT127" s="3"/>
      <c r="DQU127" s="3"/>
      <c r="DQV127" s="3"/>
      <c r="DQW127" s="3"/>
      <c r="DQX127" s="3"/>
      <c r="DQY127" s="3"/>
      <c r="DQZ127" s="3"/>
      <c r="DRA127" s="3"/>
      <c r="DRB127" s="3"/>
      <c r="DRC127" s="3"/>
      <c r="DRD127" s="3"/>
      <c r="DRE127" s="3"/>
      <c r="DRF127" s="3"/>
      <c r="DRG127" s="3"/>
      <c r="DRH127" s="3"/>
      <c r="DRI127" s="3"/>
      <c r="DRJ127" s="3"/>
      <c r="DRK127" s="3"/>
      <c r="DRL127" s="3"/>
      <c r="DRM127" s="3"/>
      <c r="DRN127" s="3"/>
      <c r="DRO127" s="3"/>
      <c r="DRP127" s="3"/>
      <c r="DRQ127" s="3"/>
      <c r="DRR127" s="3"/>
      <c r="DRS127" s="3"/>
      <c r="DRT127" s="3"/>
      <c r="DRU127" s="3"/>
      <c r="DRV127" s="3"/>
      <c r="DRW127" s="3"/>
      <c r="DRX127" s="3"/>
      <c r="DRY127" s="3"/>
      <c r="DRZ127" s="3"/>
      <c r="DSA127" s="3"/>
      <c r="DSB127" s="3"/>
      <c r="DSC127" s="3"/>
      <c r="DSD127" s="3"/>
      <c r="DSE127" s="3"/>
      <c r="DSF127" s="3"/>
      <c r="DSG127" s="3"/>
      <c r="DSH127" s="3"/>
      <c r="DSI127" s="3"/>
      <c r="DSJ127" s="3"/>
      <c r="DSK127" s="3"/>
      <c r="DSL127" s="3"/>
      <c r="DSM127" s="3"/>
      <c r="DSN127" s="3"/>
      <c r="DSO127" s="3"/>
      <c r="DSP127" s="3"/>
      <c r="DSQ127" s="3"/>
      <c r="DSR127" s="3"/>
      <c r="DSS127" s="3"/>
      <c r="DST127" s="3"/>
      <c r="DSU127" s="3"/>
      <c r="DSV127" s="3"/>
      <c r="DSW127" s="3"/>
      <c r="DSX127" s="3"/>
      <c r="DSY127" s="3"/>
      <c r="DSZ127" s="3"/>
      <c r="DTA127" s="3"/>
      <c r="DTB127" s="3"/>
      <c r="DTC127" s="3"/>
      <c r="DTD127" s="3"/>
      <c r="DTE127" s="3"/>
      <c r="DTF127" s="3"/>
      <c r="DTG127" s="3"/>
      <c r="DTH127" s="3"/>
      <c r="DTI127" s="3"/>
      <c r="DTJ127" s="3"/>
      <c r="DTK127" s="3"/>
      <c r="DTL127" s="3"/>
      <c r="DTM127" s="3"/>
      <c r="DTN127" s="3"/>
      <c r="DTO127" s="3"/>
      <c r="DTP127" s="3"/>
      <c r="DTQ127" s="3"/>
      <c r="DTR127" s="3"/>
      <c r="DTS127" s="3"/>
      <c r="DTT127" s="3"/>
      <c r="DTU127" s="3"/>
      <c r="DTV127" s="3"/>
      <c r="DTW127" s="3"/>
      <c r="DTX127" s="3"/>
      <c r="DTY127" s="3"/>
      <c r="DTZ127" s="3"/>
      <c r="DUA127" s="3"/>
      <c r="DUB127" s="3"/>
      <c r="DUC127" s="3"/>
      <c r="DUD127" s="3"/>
      <c r="DUE127" s="3"/>
      <c r="DUF127" s="3"/>
      <c r="DUG127" s="3"/>
      <c r="DUH127" s="3"/>
      <c r="DUI127" s="3"/>
      <c r="DUJ127" s="3"/>
      <c r="DUK127" s="3"/>
      <c r="DUL127" s="3"/>
      <c r="DUM127" s="3"/>
      <c r="DUN127" s="3"/>
      <c r="DUO127" s="3"/>
      <c r="DUP127" s="3"/>
      <c r="DUQ127" s="3"/>
      <c r="DUR127" s="3"/>
      <c r="DUS127" s="3"/>
      <c r="DUT127" s="3"/>
      <c r="DUU127" s="3"/>
      <c r="DUV127" s="3"/>
      <c r="DUW127" s="3"/>
      <c r="DUX127" s="3"/>
      <c r="DUY127" s="3"/>
      <c r="DUZ127" s="3"/>
      <c r="DVA127" s="3"/>
      <c r="DVB127" s="3"/>
      <c r="DVC127" s="3"/>
      <c r="DVD127" s="3"/>
      <c r="DVE127" s="3"/>
      <c r="DVF127" s="3"/>
      <c r="DVG127" s="3"/>
      <c r="DVH127" s="3"/>
      <c r="DVI127" s="3"/>
      <c r="DVJ127" s="3"/>
      <c r="DVK127" s="3"/>
      <c r="DVL127" s="3"/>
      <c r="DVM127" s="3"/>
      <c r="DVN127" s="3"/>
      <c r="DVO127" s="3"/>
      <c r="DVP127" s="3"/>
      <c r="DVQ127" s="3"/>
      <c r="DVR127" s="3"/>
      <c r="DVS127" s="3"/>
      <c r="DVT127" s="3"/>
      <c r="DVU127" s="3"/>
      <c r="DVV127" s="3"/>
      <c r="DVW127" s="3"/>
      <c r="DVX127" s="3"/>
      <c r="DVY127" s="3"/>
      <c r="DVZ127" s="3"/>
      <c r="DWA127" s="3"/>
      <c r="DWB127" s="3"/>
      <c r="DWC127" s="3"/>
      <c r="DWD127" s="3"/>
      <c r="DWE127" s="3"/>
      <c r="DWF127" s="3"/>
      <c r="DWG127" s="3"/>
      <c r="DWH127" s="3"/>
      <c r="DWI127" s="3"/>
      <c r="DWJ127" s="3"/>
      <c r="DWK127" s="3"/>
      <c r="DWL127" s="3"/>
      <c r="DWM127" s="3"/>
      <c r="DWN127" s="3"/>
      <c r="DWO127" s="3"/>
      <c r="DWP127" s="3"/>
      <c r="DWQ127" s="3"/>
      <c r="DWR127" s="3"/>
      <c r="DWS127" s="3"/>
      <c r="DWT127" s="3"/>
      <c r="DWU127" s="3"/>
      <c r="DWV127" s="3"/>
      <c r="DWW127" s="3"/>
      <c r="DWX127" s="3"/>
      <c r="DWY127" s="3"/>
      <c r="DWZ127" s="3"/>
      <c r="DXA127" s="3"/>
      <c r="DXB127" s="3"/>
      <c r="DXC127" s="3"/>
      <c r="DXD127" s="3"/>
      <c r="DXE127" s="3"/>
      <c r="DXF127" s="3"/>
      <c r="DXG127" s="3"/>
      <c r="DXH127" s="3"/>
      <c r="DXI127" s="3"/>
      <c r="DXJ127" s="3"/>
      <c r="DXK127" s="3"/>
      <c r="DXL127" s="3"/>
      <c r="DXM127" s="3"/>
      <c r="DXN127" s="3"/>
      <c r="DXO127" s="3"/>
      <c r="DXP127" s="3"/>
      <c r="DXQ127" s="3"/>
      <c r="DXR127" s="3"/>
      <c r="DXS127" s="3"/>
      <c r="DXT127" s="3"/>
      <c r="DXU127" s="3"/>
      <c r="DXV127" s="3"/>
      <c r="DXW127" s="3"/>
      <c r="DXX127" s="3"/>
      <c r="DXY127" s="3"/>
      <c r="DXZ127" s="3"/>
      <c r="DYA127" s="3"/>
      <c r="DYB127" s="3"/>
      <c r="DYC127" s="3"/>
      <c r="DYD127" s="3"/>
      <c r="DYE127" s="3"/>
      <c r="DYF127" s="3"/>
      <c r="DYG127" s="3"/>
      <c r="DYH127" s="3"/>
      <c r="DYI127" s="3"/>
      <c r="DYJ127" s="3"/>
      <c r="DYK127" s="3"/>
      <c r="DYL127" s="3"/>
      <c r="DYM127" s="3"/>
      <c r="DYN127" s="3"/>
      <c r="DYO127" s="3"/>
      <c r="DYP127" s="3"/>
      <c r="DYQ127" s="3"/>
      <c r="DYR127" s="3"/>
      <c r="DYS127" s="3"/>
      <c r="DYT127" s="3"/>
      <c r="DYU127" s="3"/>
      <c r="DYV127" s="3"/>
      <c r="DYW127" s="3"/>
      <c r="DYX127" s="3"/>
      <c r="DYY127" s="3"/>
      <c r="DYZ127" s="3"/>
      <c r="DZA127" s="3"/>
      <c r="DZB127" s="3"/>
      <c r="DZC127" s="3"/>
      <c r="DZD127" s="3"/>
      <c r="DZE127" s="3"/>
      <c r="DZF127" s="3"/>
      <c r="DZG127" s="3"/>
      <c r="DZH127" s="3"/>
      <c r="DZI127" s="3"/>
      <c r="DZJ127" s="3"/>
      <c r="DZK127" s="3"/>
      <c r="DZL127" s="3"/>
      <c r="DZM127" s="3"/>
      <c r="DZN127" s="3"/>
      <c r="DZO127" s="3"/>
      <c r="DZP127" s="3"/>
      <c r="DZQ127" s="3"/>
      <c r="DZR127" s="3"/>
      <c r="DZS127" s="3"/>
      <c r="DZT127" s="3"/>
      <c r="DZU127" s="3"/>
      <c r="DZV127" s="3"/>
      <c r="DZW127" s="3"/>
      <c r="DZX127" s="3"/>
      <c r="DZY127" s="3"/>
      <c r="DZZ127" s="3"/>
      <c r="EAA127" s="3"/>
      <c r="EAB127" s="3"/>
      <c r="EAC127" s="3"/>
      <c r="EAD127" s="3"/>
      <c r="EAE127" s="3"/>
      <c r="EAF127" s="3"/>
      <c r="EAG127" s="3"/>
      <c r="EAH127" s="3"/>
      <c r="EAI127" s="3"/>
      <c r="EAJ127" s="3"/>
      <c r="EAK127" s="3"/>
      <c r="EAL127" s="3"/>
      <c r="EAM127" s="3"/>
      <c r="EAN127" s="3"/>
      <c r="EAO127" s="3"/>
      <c r="EAP127" s="3"/>
      <c r="EAQ127" s="3"/>
      <c r="EAR127" s="3"/>
      <c r="EAS127" s="3"/>
      <c r="EAT127" s="3"/>
      <c r="EAU127" s="3"/>
      <c r="EAV127" s="3"/>
      <c r="EAW127" s="3"/>
      <c r="EAX127" s="3"/>
      <c r="EAY127" s="3"/>
      <c r="EAZ127" s="3"/>
      <c r="EBA127" s="3"/>
      <c r="EBB127" s="3"/>
      <c r="EBC127" s="3"/>
      <c r="EBD127" s="3"/>
      <c r="EBE127" s="3"/>
      <c r="EBF127" s="3"/>
      <c r="EBG127" s="3"/>
      <c r="EBH127" s="3"/>
      <c r="EBI127" s="3"/>
      <c r="EBJ127" s="3"/>
      <c r="EBK127" s="3"/>
      <c r="EBL127" s="3"/>
      <c r="EBM127" s="3"/>
      <c r="EBN127" s="3"/>
      <c r="EBO127" s="3"/>
      <c r="EBP127" s="3"/>
      <c r="EBQ127" s="3"/>
      <c r="EBR127" s="3"/>
      <c r="EBS127" s="3"/>
      <c r="EBT127" s="3"/>
      <c r="EBU127" s="3"/>
      <c r="EBV127" s="3"/>
      <c r="EBW127" s="3"/>
      <c r="EBX127" s="3"/>
      <c r="EBY127" s="3"/>
      <c r="EBZ127" s="3"/>
      <c r="ECA127" s="3"/>
      <c r="ECB127" s="3"/>
      <c r="ECC127" s="3"/>
      <c r="ECD127" s="3"/>
      <c r="ECE127" s="3"/>
      <c r="ECF127" s="3"/>
      <c r="ECG127" s="3"/>
      <c r="ECH127" s="3"/>
      <c r="ECI127" s="3"/>
      <c r="ECJ127" s="3"/>
      <c r="ECK127" s="3"/>
      <c r="ECL127" s="3"/>
      <c r="ECM127" s="3"/>
      <c r="ECN127" s="3"/>
      <c r="ECO127" s="3"/>
      <c r="ECP127" s="3"/>
      <c r="ECQ127" s="3"/>
      <c r="ECR127" s="3"/>
      <c r="ECS127" s="3"/>
      <c r="ECT127" s="3"/>
      <c r="ECU127" s="3"/>
      <c r="ECV127" s="3"/>
      <c r="ECW127" s="3"/>
      <c r="ECX127" s="3"/>
      <c r="ECY127" s="3"/>
      <c r="ECZ127" s="3"/>
      <c r="EDA127" s="3"/>
      <c r="EDB127" s="3"/>
      <c r="EDC127" s="3"/>
      <c r="EDD127" s="3"/>
      <c r="EDE127" s="3"/>
      <c r="EDF127" s="3"/>
      <c r="EDG127" s="3"/>
      <c r="EDH127" s="3"/>
      <c r="EDI127" s="3"/>
      <c r="EDJ127" s="3"/>
      <c r="EDK127" s="3"/>
      <c r="EDL127" s="3"/>
      <c r="EDM127" s="3"/>
      <c r="EDN127" s="3"/>
      <c r="EDO127" s="3"/>
      <c r="EDP127" s="3"/>
      <c r="EDQ127" s="3"/>
      <c r="EDR127" s="3"/>
      <c r="EDS127" s="3"/>
      <c r="EDT127" s="3"/>
      <c r="EDU127" s="3"/>
      <c r="EDV127" s="3"/>
      <c r="EDW127" s="3"/>
      <c r="EDX127" s="3"/>
      <c r="EDY127" s="3"/>
      <c r="EDZ127" s="3"/>
      <c r="EEA127" s="3"/>
      <c r="EEB127" s="3"/>
      <c r="EEC127" s="3"/>
      <c r="EED127" s="3"/>
      <c r="EEE127" s="3"/>
      <c r="EEF127" s="3"/>
      <c r="EEG127" s="3"/>
      <c r="EEH127" s="3"/>
      <c r="EEI127" s="3"/>
      <c r="EEJ127" s="3"/>
      <c r="EEK127" s="3"/>
      <c r="EEL127" s="3"/>
      <c r="EEM127" s="3"/>
      <c r="EEN127" s="3"/>
      <c r="EEO127" s="3"/>
      <c r="EEP127" s="3"/>
      <c r="EEQ127" s="3"/>
      <c r="EER127" s="3"/>
      <c r="EES127" s="3"/>
      <c r="EET127" s="3"/>
      <c r="EEU127" s="3"/>
      <c r="EEV127" s="3"/>
      <c r="EEW127" s="3"/>
      <c r="EEX127" s="3"/>
      <c r="EEY127" s="3"/>
      <c r="EEZ127" s="3"/>
      <c r="EFA127" s="3"/>
      <c r="EFB127" s="3"/>
      <c r="EFC127" s="3"/>
      <c r="EFD127" s="3"/>
      <c r="EFE127" s="3"/>
      <c r="EFF127" s="3"/>
      <c r="EFG127" s="3"/>
      <c r="EFH127" s="3"/>
      <c r="EFI127" s="3"/>
      <c r="EFJ127" s="3"/>
      <c r="EFK127" s="3"/>
      <c r="EFL127" s="3"/>
      <c r="EFM127" s="3"/>
      <c r="EFN127" s="3"/>
      <c r="EFO127" s="3"/>
      <c r="EFP127" s="3"/>
      <c r="EFQ127" s="3"/>
      <c r="EFR127" s="3"/>
      <c r="EFS127" s="3"/>
      <c r="EFT127" s="3"/>
      <c r="EFU127" s="3"/>
      <c r="EFV127" s="3"/>
      <c r="EFW127" s="3"/>
      <c r="EFX127" s="3"/>
      <c r="EFY127" s="3"/>
      <c r="EFZ127" s="3"/>
      <c r="EGA127" s="3"/>
      <c r="EGB127" s="3"/>
      <c r="EGC127" s="3"/>
      <c r="EGD127" s="3"/>
      <c r="EGE127" s="3"/>
      <c r="EGF127" s="3"/>
      <c r="EGG127" s="3"/>
      <c r="EGH127" s="3"/>
      <c r="EGI127" s="3"/>
      <c r="EGJ127" s="3"/>
      <c r="EGK127" s="3"/>
      <c r="EGL127" s="3"/>
      <c r="EGM127" s="3"/>
      <c r="EGN127" s="3"/>
      <c r="EGO127" s="3"/>
      <c r="EGP127" s="3"/>
      <c r="EGQ127" s="3"/>
      <c r="EGR127" s="3"/>
      <c r="EGS127" s="3"/>
      <c r="EGT127" s="3"/>
      <c r="EGU127" s="3"/>
      <c r="EGV127" s="3"/>
      <c r="EGW127" s="3"/>
      <c r="EGX127" s="3"/>
      <c r="EGY127" s="3"/>
      <c r="EGZ127" s="3"/>
      <c r="EHA127" s="3"/>
      <c r="EHB127" s="3"/>
      <c r="EHC127" s="3"/>
      <c r="EHD127" s="3"/>
      <c r="EHE127" s="3"/>
      <c r="EHF127" s="3"/>
      <c r="EHG127" s="3"/>
      <c r="EHH127" s="3"/>
      <c r="EHI127" s="3"/>
      <c r="EHJ127" s="3"/>
      <c r="EHK127" s="3"/>
      <c r="EHL127" s="3"/>
      <c r="EHM127" s="3"/>
      <c r="EHN127" s="3"/>
      <c r="EHO127" s="3"/>
      <c r="EHP127" s="3"/>
      <c r="EHQ127" s="3"/>
      <c r="EHR127" s="3"/>
      <c r="EHS127" s="3"/>
      <c r="EHT127" s="3"/>
      <c r="EHU127" s="3"/>
      <c r="EHV127" s="3"/>
      <c r="EHW127" s="3"/>
      <c r="EHX127" s="3"/>
      <c r="EHY127" s="3"/>
      <c r="EHZ127" s="3"/>
      <c r="EIA127" s="3"/>
      <c r="EIB127" s="3"/>
      <c r="EIC127" s="3"/>
      <c r="EID127" s="3"/>
      <c r="EIE127" s="3"/>
      <c r="EIF127" s="3"/>
      <c r="EIG127" s="3"/>
      <c r="EIH127" s="3"/>
      <c r="EII127" s="3"/>
      <c r="EIJ127" s="3"/>
      <c r="EIK127" s="3"/>
      <c r="EIL127" s="3"/>
      <c r="EIM127" s="3"/>
      <c r="EIN127" s="3"/>
      <c r="EIO127" s="3"/>
      <c r="EIP127" s="3"/>
      <c r="EIQ127" s="3"/>
      <c r="EIR127" s="3"/>
      <c r="EIS127" s="3"/>
      <c r="EIT127" s="3"/>
      <c r="EIU127" s="3"/>
      <c r="EIV127" s="3"/>
      <c r="EIW127" s="3"/>
      <c r="EIX127" s="3"/>
      <c r="EIY127" s="3"/>
      <c r="EIZ127" s="3"/>
      <c r="EJA127" s="3"/>
      <c r="EJB127" s="3"/>
      <c r="EJC127" s="3"/>
      <c r="EJD127" s="3"/>
      <c r="EJE127" s="3"/>
      <c r="EJF127" s="3"/>
      <c r="EJG127" s="3"/>
      <c r="EJH127" s="3"/>
      <c r="EJI127" s="3"/>
      <c r="EJJ127" s="3"/>
      <c r="EJK127" s="3"/>
      <c r="EJL127" s="3"/>
      <c r="EJM127" s="3"/>
      <c r="EJN127" s="3"/>
      <c r="EJO127" s="3"/>
      <c r="EJP127" s="3"/>
      <c r="EJQ127" s="3"/>
      <c r="EJR127" s="3"/>
      <c r="EJS127" s="3"/>
      <c r="EJT127" s="3"/>
      <c r="EJU127" s="3"/>
      <c r="EJV127" s="3"/>
      <c r="EJW127" s="3"/>
      <c r="EJX127" s="3"/>
      <c r="EJY127" s="3"/>
      <c r="EJZ127" s="3"/>
      <c r="EKA127" s="3"/>
      <c r="EKB127" s="3"/>
      <c r="EKC127" s="3"/>
      <c r="EKD127" s="3"/>
      <c r="EKE127" s="3"/>
      <c r="EKF127" s="3"/>
      <c r="EKG127" s="3"/>
      <c r="EKH127" s="3"/>
      <c r="EKI127" s="3"/>
      <c r="EKJ127" s="3"/>
      <c r="EKK127" s="3"/>
      <c r="EKL127" s="3"/>
      <c r="EKM127" s="3"/>
      <c r="EKN127" s="3"/>
      <c r="EKO127" s="3"/>
      <c r="EKP127" s="3"/>
      <c r="EKQ127" s="3"/>
      <c r="EKR127" s="3"/>
      <c r="EKS127" s="3"/>
      <c r="EKT127" s="3"/>
      <c r="EKU127" s="3"/>
      <c r="EKV127" s="3"/>
      <c r="EKW127" s="3"/>
      <c r="EKX127" s="3"/>
      <c r="EKY127" s="3"/>
      <c r="EKZ127" s="3"/>
      <c r="ELA127" s="3"/>
      <c r="ELB127" s="3"/>
      <c r="ELC127" s="3"/>
      <c r="ELD127" s="3"/>
      <c r="ELE127" s="3"/>
      <c r="ELF127" s="3"/>
      <c r="ELG127" s="3"/>
      <c r="ELH127" s="3"/>
      <c r="ELI127" s="3"/>
      <c r="ELJ127" s="3"/>
      <c r="ELK127" s="3"/>
      <c r="ELL127" s="3"/>
      <c r="ELM127" s="3"/>
      <c r="ELN127" s="3"/>
      <c r="ELO127" s="3"/>
      <c r="ELP127" s="3"/>
      <c r="ELQ127" s="3"/>
      <c r="ELR127" s="3"/>
      <c r="ELS127" s="3"/>
      <c r="ELT127" s="3"/>
      <c r="ELU127" s="3"/>
      <c r="ELV127" s="3"/>
      <c r="ELW127" s="3"/>
      <c r="ELX127" s="3"/>
      <c r="ELY127" s="3"/>
      <c r="ELZ127" s="3"/>
      <c r="EMA127" s="3"/>
      <c r="EMB127" s="3"/>
      <c r="EMC127" s="3"/>
      <c r="EMD127" s="3"/>
      <c r="EME127" s="3"/>
      <c r="EMF127" s="3"/>
      <c r="EMG127" s="3"/>
      <c r="EMH127" s="3"/>
      <c r="EMI127" s="3"/>
      <c r="EMJ127" s="3"/>
      <c r="EMK127" s="3"/>
      <c r="EML127" s="3"/>
      <c r="EMM127" s="3"/>
      <c r="EMN127" s="3"/>
      <c r="EMO127" s="3"/>
      <c r="EMP127" s="3"/>
      <c r="EMQ127" s="3"/>
      <c r="EMR127" s="3"/>
      <c r="EMS127" s="3"/>
      <c r="EMT127" s="3"/>
      <c r="EMU127" s="3"/>
      <c r="EMV127" s="3"/>
      <c r="EMW127" s="3"/>
      <c r="EMX127" s="3"/>
      <c r="EMY127" s="3"/>
      <c r="EMZ127" s="3"/>
      <c r="ENA127" s="3"/>
      <c r="ENB127" s="3"/>
      <c r="ENC127" s="3"/>
      <c r="END127" s="3"/>
      <c r="ENE127" s="3"/>
      <c r="ENF127" s="3"/>
      <c r="ENG127" s="3"/>
      <c r="ENH127" s="3"/>
      <c r="ENI127" s="3"/>
      <c r="ENJ127" s="3"/>
      <c r="ENK127" s="3"/>
      <c r="ENL127" s="3"/>
      <c r="ENM127" s="3"/>
      <c r="ENN127" s="3"/>
      <c r="ENO127" s="3"/>
      <c r="ENP127" s="3"/>
      <c r="ENQ127" s="3"/>
      <c r="ENR127" s="3"/>
      <c r="ENS127" s="3"/>
      <c r="ENT127" s="3"/>
      <c r="ENU127" s="3"/>
      <c r="ENV127" s="3"/>
      <c r="ENW127" s="3"/>
      <c r="ENX127" s="3"/>
      <c r="ENY127" s="3"/>
      <c r="ENZ127" s="3"/>
      <c r="EOA127" s="3"/>
      <c r="EOB127" s="3"/>
      <c r="EOC127" s="3"/>
      <c r="EOD127" s="3"/>
      <c r="EOE127" s="3"/>
      <c r="EOF127" s="3"/>
      <c r="EOG127" s="3"/>
      <c r="EOH127" s="3"/>
      <c r="EOI127" s="3"/>
      <c r="EOJ127" s="3"/>
      <c r="EOK127" s="3"/>
      <c r="EOL127" s="3"/>
      <c r="EOM127" s="3"/>
      <c r="EON127" s="3"/>
      <c r="EOO127" s="3"/>
      <c r="EOP127" s="3"/>
      <c r="EOQ127" s="3"/>
      <c r="EOR127" s="3"/>
      <c r="EOS127" s="3"/>
      <c r="EOT127" s="3"/>
      <c r="EOU127" s="3"/>
      <c r="EOV127" s="3"/>
      <c r="EOW127" s="3"/>
      <c r="EOX127" s="3"/>
      <c r="EOY127" s="3"/>
      <c r="EOZ127" s="3"/>
      <c r="EPA127" s="3"/>
      <c r="EPB127" s="3"/>
      <c r="EPC127" s="3"/>
      <c r="EPD127" s="3"/>
      <c r="EPE127" s="3"/>
      <c r="EPF127" s="3"/>
      <c r="EPG127" s="3"/>
      <c r="EPH127" s="3"/>
      <c r="EPI127" s="3"/>
      <c r="EPJ127" s="3"/>
      <c r="EPK127" s="3"/>
      <c r="EPL127" s="3"/>
      <c r="EPM127" s="3"/>
      <c r="EPN127" s="3"/>
      <c r="EPO127" s="3"/>
      <c r="EPP127" s="3"/>
      <c r="EPQ127" s="3"/>
      <c r="EPR127" s="3"/>
      <c r="EPS127" s="3"/>
      <c r="EPT127" s="3"/>
      <c r="EPU127" s="3"/>
      <c r="EPV127" s="3"/>
      <c r="EPW127" s="3"/>
      <c r="EPX127" s="3"/>
      <c r="EPY127" s="3"/>
      <c r="EPZ127" s="3"/>
      <c r="EQA127" s="3"/>
      <c r="EQB127" s="3"/>
      <c r="EQC127" s="3"/>
      <c r="EQD127" s="3"/>
      <c r="EQE127" s="3"/>
      <c r="EQF127" s="3"/>
      <c r="EQG127" s="3"/>
      <c r="EQH127" s="3"/>
      <c r="EQI127" s="3"/>
      <c r="EQJ127" s="3"/>
      <c r="EQK127" s="3"/>
      <c r="EQL127" s="3"/>
      <c r="EQM127" s="3"/>
      <c r="EQN127" s="3"/>
      <c r="EQO127" s="3"/>
      <c r="EQP127" s="3"/>
      <c r="EQQ127" s="3"/>
      <c r="EQR127" s="3"/>
      <c r="EQS127" s="3"/>
      <c r="EQT127" s="3"/>
      <c r="EQU127" s="3"/>
      <c r="EQV127" s="3"/>
      <c r="EQW127" s="3"/>
      <c r="EQX127" s="3"/>
      <c r="EQY127" s="3"/>
      <c r="EQZ127" s="3"/>
      <c r="ERA127" s="3"/>
      <c r="ERB127" s="3"/>
      <c r="ERC127" s="3"/>
      <c r="ERD127" s="3"/>
      <c r="ERE127" s="3"/>
      <c r="ERF127" s="3"/>
      <c r="ERG127" s="3"/>
      <c r="ERH127" s="3"/>
      <c r="ERI127" s="3"/>
      <c r="ERJ127" s="3"/>
      <c r="ERK127" s="3"/>
      <c r="ERL127" s="3"/>
      <c r="ERM127" s="3"/>
      <c r="ERN127" s="3"/>
      <c r="ERO127" s="3"/>
      <c r="ERP127" s="3"/>
      <c r="ERQ127" s="3"/>
      <c r="ERR127" s="3"/>
      <c r="ERS127" s="3"/>
      <c r="ERT127" s="3"/>
      <c r="ERU127" s="3"/>
      <c r="ERV127" s="3"/>
      <c r="ERW127" s="3"/>
      <c r="ERX127" s="3"/>
      <c r="ERY127" s="3"/>
      <c r="ERZ127" s="3"/>
      <c r="ESA127" s="3"/>
      <c r="ESB127" s="3"/>
      <c r="ESC127" s="3"/>
      <c r="ESD127" s="3"/>
      <c r="ESE127" s="3"/>
      <c r="ESF127" s="3"/>
      <c r="ESG127" s="3"/>
      <c r="ESH127" s="3"/>
      <c r="ESI127" s="3"/>
      <c r="ESJ127" s="3"/>
      <c r="ESK127" s="3"/>
      <c r="ESL127" s="3"/>
      <c r="ESM127" s="3"/>
      <c r="ESN127" s="3"/>
      <c r="ESO127" s="3"/>
      <c r="ESP127" s="3"/>
      <c r="ESQ127" s="3"/>
      <c r="ESR127" s="3"/>
      <c r="ESS127" s="3"/>
      <c r="EST127" s="3"/>
      <c r="ESU127" s="3"/>
      <c r="ESV127" s="3"/>
      <c r="ESW127" s="3"/>
      <c r="ESX127" s="3"/>
      <c r="ESY127" s="3"/>
      <c r="ESZ127" s="3"/>
      <c r="ETA127" s="3"/>
      <c r="ETB127" s="3"/>
      <c r="ETC127" s="3"/>
      <c r="ETD127" s="3"/>
      <c r="ETE127" s="3"/>
      <c r="ETF127" s="3"/>
      <c r="ETG127" s="3"/>
      <c r="ETH127" s="3"/>
      <c r="ETI127" s="3"/>
      <c r="ETJ127" s="3"/>
      <c r="ETK127" s="3"/>
      <c r="ETL127" s="3"/>
      <c r="ETM127" s="3"/>
      <c r="ETN127" s="3"/>
      <c r="ETO127" s="3"/>
      <c r="ETP127" s="3"/>
      <c r="ETQ127" s="3"/>
      <c r="ETR127" s="3"/>
      <c r="ETS127" s="3"/>
      <c r="ETT127" s="3"/>
      <c r="ETU127" s="3"/>
      <c r="ETV127" s="3"/>
      <c r="ETW127" s="3"/>
      <c r="ETX127" s="3"/>
      <c r="ETY127" s="3"/>
      <c r="ETZ127" s="3"/>
      <c r="EUA127" s="3"/>
      <c r="EUB127" s="3"/>
      <c r="EUC127" s="3"/>
      <c r="EUD127" s="3"/>
      <c r="EUE127" s="3"/>
      <c r="EUF127" s="3"/>
      <c r="EUG127" s="3"/>
      <c r="EUH127" s="3"/>
      <c r="EUI127" s="3"/>
      <c r="EUJ127" s="3"/>
      <c r="EUK127" s="3"/>
      <c r="EUL127" s="3"/>
      <c r="EUM127" s="3"/>
      <c r="EUN127" s="3"/>
      <c r="EUO127" s="3"/>
      <c r="EUP127" s="3"/>
      <c r="EUQ127" s="3"/>
      <c r="EUR127" s="3"/>
      <c r="EUS127" s="3"/>
      <c r="EUT127" s="3"/>
      <c r="EUU127" s="3"/>
      <c r="EUV127" s="3"/>
      <c r="EUW127" s="3"/>
      <c r="EUX127" s="3"/>
      <c r="EUY127" s="3"/>
      <c r="EUZ127" s="3"/>
      <c r="EVA127" s="3"/>
      <c r="EVB127" s="3"/>
      <c r="EVC127" s="3"/>
      <c r="EVD127" s="3"/>
      <c r="EVE127" s="3"/>
      <c r="EVF127" s="3"/>
      <c r="EVG127" s="3"/>
      <c r="EVH127" s="3"/>
      <c r="EVI127" s="3"/>
      <c r="EVJ127" s="3"/>
      <c r="EVK127" s="3"/>
      <c r="EVL127" s="3"/>
      <c r="EVM127" s="3"/>
      <c r="EVN127" s="3"/>
      <c r="EVO127" s="3"/>
      <c r="EVP127" s="3"/>
      <c r="EVQ127" s="3"/>
      <c r="EVR127" s="3"/>
      <c r="EVS127" s="3"/>
      <c r="EVT127" s="3"/>
      <c r="EVU127" s="3"/>
      <c r="EVV127" s="3"/>
      <c r="EVW127" s="3"/>
      <c r="EVX127" s="3"/>
      <c r="EVY127" s="3"/>
      <c r="EVZ127" s="3"/>
      <c r="EWA127" s="3"/>
      <c r="EWB127" s="3"/>
      <c r="EWC127" s="3"/>
      <c r="EWD127" s="3"/>
      <c r="EWE127" s="3"/>
      <c r="EWF127" s="3"/>
      <c r="EWG127" s="3"/>
      <c r="EWH127" s="3"/>
      <c r="EWI127" s="3"/>
      <c r="EWJ127" s="3"/>
      <c r="EWK127" s="3"/>
      <c r="EWL127" s="3"/>
      <c r="EWM127" s="3"/>
      <c r="EWN127" s="3"/>
      <c r="EWO127" s="3"/>
      <c r="EWP127" s="3"/>
      <c r="EWQ127" s="3"/>
      <c r="EWR127" s="3"/>
      <c r="EWS127" s="3"/>
      <c r="EWT127" s="3"/>
      <c r="EWU127" s="3"/>
      <c r="EWV127" s="3"/>
      <c r="EWW127" s="3"/>
      <c r="EWX127" s="3"/>
      <c r="EWY127" s="3"/>
      <c r="EWZ127" s="3"/>
      <c r="EXA127" s="3"/>
      <c r="EXB127" s="3"/>
      <c r="EXC127" s="3"/>
      <c r="EXD127" s="3"/>
      <c r="EXE127" s="3"/>
      <c r="EXF127" s="3"/>
      <c r="EXG127" s="3"/>
      <c r="EXH127" s="3"/>
      <c r="EXI127" s="3"/>
      <c r="EXJ127" s="3"/>
      <c r="EXK127" s="3"/>
      <c r="EXL127" s="3"/>
      <c r="EXM127" s="3"/>
      <c r="EXN127" s="3"/>
      <c r="EXO127" s="3"/>
      <c r="EXP127" s="3"/>
      <c r="EXQ127" s="3"/>
      <c r="EXR127" s="3"/>
      <c r="EXS127" s="3"/>
      <c r="EXT127" s="3"/>
      <c r="EXU127" s="3"/>
      <c r="EXV127" s="3"/>
      <c r="EXW127" s="3"/>
      <c r="EXX127" s="3"/>
      <c r="EXY127" s="3"/>
      <c r="EXZ127" s="3"/>
      <c r="EYA127" s="3"/>
      <c r="EYB127" s="3"/>
      <c r="EYC127" s="3"/>
      <c r="EYD127" s="3"/>
      <c r="EYE127" s="3"/>
      <c r="EYF127" s="3"/>
      <c r="EYG127" s="3"/>
      <c r="EYH127" s="3"/>
      <c r="EYI127" s="3"/>
      <c r="EYJ127" s="3"/>
      <c r="EYK127" s="3"/>
      <c r="EYL127" s="3"/>
      <c r="EYM127" s="3"/>
      <c r="EYN127" s="3"/>
      <c r="EYO127" s="3"/>
      <c r="EYP127" s="3"/>
      <c r="EYQ127" s="3"/>
      <c r="EYR127" s="3"/>
      <c r="EYS127" s="3"/>
      <c r="EYT127" s="3"/>
      <c r="EYU127" s="3"/>
      <c r="EYV127" s="3"/>
      <c r="EYW127" s="3"/>
      <c r="EYX127" s="3"/>
      <c r="EYY127" s="3"/>
      <c r="EYZ127" s="3"/>
      <c r="EZA127" s="3"/>
      <c r="EZB127" s="3"/>
      <c r="EZC127" s="3"/>
      <c r="EZD127" s="3"/>
      <c r="EZE127" s="3"/>
      <c r="EZF127" s="3"/>
      <c r="EZG127" s="3"/>
      <c r="EZH127" s="3"/>
      <c r="EZI127" s="3"/>
      <c r="EZJ127" s="3"/>
      <c r="EZK127" s="3"/>
      <c r="EZL127" s="3"/>
      <c r="EZM127" s="3"/>
      <c r="EZN127" s="3"/>
      <c r="EZO127" s="3"/>
      <c r="EZP127" s="3"/>
      <c r="EZQ127" s="3"/>
      <c r="EZR127" s="3"/>
      <c r="EZS127" s="3"/>
      <c r="EZT127" s="3"/>
      <c r="EZU127" s="3"/>
      <c r="EZV127" s="3"/>
      <c r="EZW127" s="3"/>
      <c r="EZX127" s="3"/>
      <c r="EZY127" s="3"/>
      <c r="EZZ127" s="3"/>
      <c r="FAA127" s="3"/>
      <c r="FAB127" s="3"/>
      <c r="FAC127" s="3"/>
      <c r="FAD127" s="3"/>
      <c r="FAE127" s="3"/>
      <c r="FAF127" s="3"/>
      <c r="FAG127" s="3"/>
      <c r="FAH127" s="3"/>
      <c r="FAI127" s="3"/>
      <c r="FAJ127" s="3"/>
      <c r="FAK127" s="3"/>
      <c r="FAL127" s="3"/>
      <c r="FAM127" s="3"/>
      <c r="FAN127" s="3"/>
      <c r="FAO127" s="3"/>
      <c r="FAP127" s="3"/>
      <c r="FAQ127" s="3"/>
      <c r="FAR127" s="3"/>
      <c r="FAS127" s="3"/>
      <c r="FAT127" s="3"/>
      <c r="FAU127" s="3"/>
      <c r="FAV127" s="3"/>
      <c r="FAW127" s="3"/>
      <c r="FAX127" s="3"/>
      <c r="FAY127" s="3"/>
      <c r="FAZ127" s="3"/>
      <c r="FBA127" s="3"/>
      <c r="FBB127" s="3"/>
      <c r="FBC127" s="3"/>
      <c r="FBD127" s="3"/>
      <c r="FBE127" s="3"/>
      <c r="FBF127" s="3"/>
      <c r="FBG127" s="3"/>
      <c r="FBH127" s="3"/>
      <c r="FBI127" s="3"/>
      <c r="FBJ127" s="3"/>
      <c r="FBK127" s="3"/>
      <c r="FBL127" s="3"/>
      <c r="FBM127" s="3"/>
      <c r="FBN127" s="3"/>
      <c r="FBO127" s="3"/>
      <c r="FBP127" s="3"/>
      <c r="FBQ127" s="3"/>
      <c r="FBR127" s="3"/>
      <c r="FBS127" s="3"/>
      <c r="FBT127" s="3"/>
      <c r="FBU127" s="3"/>
      <c r="FBV127" s="3"/>
      <c r="FBW127" s="3"/>
      <c r="FBX127" s="3"/>
      <c r="FBY127" s="3"/>
      <c r="FBZ127" s="3"/>
      <c r="FCA127" s="3"/>
      <c r="FCB127" s="3"/>
      <c r="FCC127" s="3"/>
      <c r="FCD127" s="3"/>
      <c r="FCE127" s="3"/>
      <c r="FCF127" s="3"/>
      <c r="FCG127" s="3"/>
      <c r="FCH127" s="3"/>
      <c r="FCI127" s="3"/>
      <c r="FCJ127" s="3"/>
      <c r="FCK127" s="3"/>
      <c r="FCL127" s="3"/>
      <c r="FCM127" s="3"/>
      <c r="FCN127" s="3"/>
      <c r="FCO127" s="3"/>
      <c r="FCP127" s="3"/>
      <c r="FCQ127" s="3"/>
      <c r="FCR127" s="3"/>
      <c r="FCS127" s="3"/>
      <c r="FCT127" s="3"/>
      <c r="FCU127" s="3"/>
      <c r="FCV127" s="3"/>
      <c r="FCW127" s="3"/>
      <c r="FCX127" s="3"/>
      <c r="FCY127" s="3"/>
      <c r="FCZ127" s="3"/>
      <c r="FDA127" s="3"/>
      <c r="FDB127" s="3"/>
      <c r="FDC127" s="3"/>
      <c r="FDD127" s="3"/>
      <c r="FDE127" s="3"/>
      <c r="FDF127" s="3"/>
      <c r="FDG127" s="3"/>
      <c r="FDH127" s="3"/>
      <c r="FDI127" s="3"/>
      <c r="FDJ127" s="3"/>
      <c r="FDK127" s="3"/>
      <c r="FDL127" s="3"/>
      <c r="FDM127" s="3"/>
      <c r="FDN127" s="3"/>
      <c r="FDO127" s="3"/>
      <c r="FDP127" s="3"/>
      <c r="FDQ127" s="3"/>
      <c r="FDR127" s="3"/>
      <c r="FDS127" s="3"/>
      <c r="FDT127" s="3"/>
      <c r="FDU127" s="3"/>
      <c r="FDV127" s="3"/>
      <c r="FDW127" s="3"/>
      <c r="FDX127" s="3"/>
      <c r="FDY127" s="3"/>
      <c r="FDZ127" s="3"/>
      <c r="FEA127" s="3"/>
      <c r="FEB127" s="3"/>
      <c r="FEC127" s="3"/>
      <c r="FED127" s="3"/>
      <c r="FEE127" s="3"/>
      <c r="FEF127" s="3"/>
      <c r="FEG127" s="3"/>
      <c r="FEH127" s="3"/>
      <c r="FEI127" s="3"/>
      <c r="FEJ127" s="3"/>
      <c r="FEK127" s="3"/>
      <c r="FEL127" s="3"/>
      <c r="FEM127" s="3"/>
      <c r="FEN127" s="3"/>
      <c r="FEO127" s="3"/>
      <c r="FEP127" s="3"/>
      <c r="FEQ127" s="3"/>
      <c r="FER127" s="3"/>
      <c r="FES127" s="3"/>
      <c r="FET127" s="3"/>
      <c r="FEU127" s="3"/>
      <c r="FEV127" s="3"/>
      <c r="FEW127" s="3"/>
      <c r="FEX127" s="3"/>
      <c r="FEY127" s="3"/>
      <c r="FEZ127" s="3"/>
      <c r="FFA127" s="3"/>
      <c r="FFB127" s="3"/>
      <c r="FFC127" s="3"/>
      <c r="FFD127" s="3"/>
      <c r="FFE127" s="3"/>
      <c r="FFF127" s="3"/>
      <c r="FFG127" s="3"/>
      <c r="FFH127" s="3"/>
      <c r="FFI127" s="3"/>
      <c r="FFJ127" s="3"/>
      <c r="FFK127" s="3"/>
      <c r="FFL127" s="3"/>
      <c r="FFM127" s="3"/>
      <c r="FFN127" s="3"/>
      <c r="FFO127" s="3"/>
      <c r="FFP127" s="3"/>
      <c r="FFQ127" s="3"/>
      <c r="FFR127" s="3"/>
      <c r="FFS127" s="3"/>
      <c r="FFT127" s="3"/>
      <c r="FFU127" s="3"/>
      <c r="FFV127" s="3"/>
      <c r="FFW127" s="3"/>
      <c r="FFX127" s="3"/>
      <c r="FFY127" s="3"/>
      <c r="FFZ127" s="3"/>
      <c r="FGA127" s="3"/>
      <c r="FGB127" s="3"/>
      <c r="FGC127" s="3"/>
      <c r="FGD127" s="3"/>
      <c r="FGE127" s="3"/>
      <c r="FGF127" s="3"/>
      <c r="FGG127" s="3"/>
      <c r="FGH127" s="3"/>
      <c r="FGI127" s="3"/>
      <c r="FGJ127" s="3"/>
      <c r="FGK127" s="3"/>
      <c r="FGL127" s="3"/>
      <c r="FGM127" s="3"/>
      <c r="FGN127" s="3"/>
      <c r="FGO127" s="3"/>
      <c r="FGP127" s="3"/>
      <c r="FGQ127" s="3"/>
      <c r="FGR127" s="3"/>
      <c r="FGS127" s="3"/>
      <c r="FGT127" s="3"/>
      <c r="FGU127" s="3"/>
      <c r="FGV127" s="3"/>
      <c r="FGW127" s="3"/>
      <c r="FGX127" s="3"/>
      <c r="FGY127" s="3"/>
      <c r="FGZ127" s="3"/>
      <c r="FHA127" s="3"/>
      <c r="FHB127" s="3"/>
      <c r="FHC127" s="3"/>
      <c r="FHD127" s="3"/>
      <c r="FHE127" s="3"/>
      <c r="FHF127" s="3"/>
      <c r="FHG127" s="3"/>
      <c r="FHH127" s="3"/>
      <c r="FHI127" s="3"/>
      <c r="FHJ127" s="3"/>
      <c r="FHK127" s="3"/>
      <c r="FHL127" s="3"/>
      <c r="FHM127" s="3"/>
      <c r="FHN127" s="3"/>
      <c r="FHO127" s="3"/>
      <c r="FHP127" s="3"/>
      <c r="FHQ127" s="3"/>
      <c r="FHR127" s="3"/>
      <c r="FHS127" s="3"/>
      <c r="FHT127" s="3"/>
      <c r="FHU127" s="3"/>
      <c r="FHV127" s="3"/>
      <c r="FHW127" s="3"/>
      <c r="FHX127" s="3"/>
      <c r="FHY127" s="3"/>
      <c r="FHZ127" s="3"/>
      <c r="FIA127" s="3"/>
      <c r="FIB127" s="3"/>
      <c r="FIC127" s="3"/>
      <c r="FID127" s="3"/>
      <c r="FIE127" s="3"/>
      <c r="FIF127" s="3"/>
      <c r="FIG127" s="3"/>
      <c r="FIH127" s="3"/>
      <c r="FII127" s="3"/>
      <c r="FIJ127" s="3"/>
      <c r="FIK127" s="3"/>
      <c r="FIL127" s="3"/>
      <c r="FIM127" s="3"/>
      <c r="FIN127" s="3"/>
      <c r="FIO127" s="3"/>
      <c r="FIP127" s="3"/>
      <c r="FIQ127" s="3"/>
      <c r="FIR127" s="3"/>
      <c r="FIS127" s="3"/>
      <c r="FIT127" s="3"/>
      <c r="FIU127" s="3"/>
      <c r="FIV127" s="3"/>
      <c r="FIW127" s="3"/>
      <c r="FIX127" s="3"/>
      <c r="FIY127" s="3"/>
      <c r="FIZ127" s="3"/>
      <c r="FJA127" s="3"/>
      <c r="FJB127" s="3"/>
      <c r="FJC127" s="3"/>
      <c r="FJD127" s="3"/>
      <c r="FJE127" s="3"/>
      <c r="FJF127" s="3"/>
      <c r="FJG127" s="3"/>
      <c r="FJH127" s="3"/>
      <c r="FJI127" s="3"/>
      <c r="FJJ127" s="3"/>
      <c r="FJK127" s="3"/>
      <c r="FJL127" s="3"/>
      <c r="FJM127" s="3"/>
      <c r="FJN127" s="3"/>
      <c r="FJO127" s="3"/>
      <c r="FJP127" s="3"/>
      <c r="FJQ127" s="3"/>
      <c r="FJR127" s="3"/>
      <c r="FJS127" s="3"/>
      <c r="FJT127" s="3"/>
      <c r="FJU127" s="3"/>
      <c r="FJV127" s="3"/>
      <c r="FJW127" s="3"/>
      <c r="FJX127" s="3"/>
      <c r="FJY127" s="3"/>
      <c r="FJZ127" s="3"/>
      <c r="FKA127" s="3"/>
      <c r="FKB127" s="3"/>
      <c r="FKC127" s="3"/>
      <c r="FKD127" s="3"/>
      <c r="FKE127" s="3"/>
      <c r="FKF127" s="3"/>
      <c r="FKG127" s="3"/>
      <c r="FKH127" s="3"/>
      <c r="FKI127" s="3"/>
      <c r="FKJ127" s="3"/>
      <c r="FKK127" s="3"/>
      <c r="FKL127" s="3"/>
      <c r="FKM127" s="3"/>
      <c r="FKN127" s="3"/>
      <c r="FKO127" s="3"/>
      <c r="FKP127" s="3"/>
      <c r="FKQ127" s="3"/>
      <c r="FKR127" s="3"/>
      <c r="FKS127" s="3"/>
      <c r="FKT127" s="3"/>
      <c r="FKU127" s="3"/>
      <c r="FKV127" s="3"/>
      <c r="FKW127" s="3"/>
      <c r="FKX127" s="3"/>
      <c r="FKY127" s="3"/>
      <c r="FKZ127" s="3"/>
      <c r="FLA127" s="3"/>
      <c r="FLB127" s="3"/>
      <c r="FLC127" s="3"/>
      <c r="FLD127" s="3"/>
      <c r="FLE127" s="3"/>
      <c r="FLF127" s="3"/>
      <c r="FLG127" s="3"/>
      <c r="FLH127" s="3"/>
      <c r="FLI127" s="3"/>
      <c r="FLJ127" s="3"/>
      <c r="FLK127" s="3"/>
      <c r="FLL127" s="3"/>
      <c r="FLM127" s="3"/>
      <c r="FLN127" s="3"/>
      <c r="FLO127" s="3"/>
      <c r="FLP127" s="3"/>
      <c r="FLQ127" s="3"/>
      <c r="FLR127" s="3"/>
      <c r="FLS127" s="3"/>
      <c r="FLT127" s="3"/>
      <c r="FLU127" s="3"/>
      <c r="FLV127" s="3"/>
      <c r="FLW127" s="3"/>
      <c r="FLX127" s="3"/>
      <c r="FLY127" s="3"/>
      <c r="FLZ127" s="3"/>
      <c r="FMA127" s="3"/>
      <c r="FMB127" s="3"/>
      <c r="FMC127" s="3"/>
      <c r="FMD127" s="3"/>
      <c r="FME127" s="3"/>
      <c r="FMF127" s="3"/>
      <c r="FMG127" s="3"/>
      <c r="FMH127" s="3"/>
      <c r="FMI127" s="3"/>
      <c r="FMJ127" s="3"/>
      <c r="FMK127" s="3"/>
      <c r="FML127" s="3"/>
      <c r="FMM127" s="3"/>
      <c r="FMN127" s="3"/>
      <c r="FMO127" s="3"/>
      <c r="FMP127" s="3"/>
      <c r="FMQ127" s="3"/>
      <c r="FMR127" s="3"/>
      <c r="FMS127" s="3"/>
      <c r="FMT127" s="3"/>
      <c r="FMU127" s="3"/>
      <c r="FMV127" s="3"/>
      <c r="FMW127" s="3"/>
      <c r="FMX127" s="3"/>
      <c r="FMY127" s="3"/>
      <c r="FMZ127" s="3"/>
      <c r="FNA127" s="3"/>
      <c r="FNB127" s="3"/>
      <c r="FNC127" s="3"/>
      <c r="FND127" s="3"/>
      <c r="FNE127" s="3"/>
      <c r="FNF127" s="3"/>
      <c r="FNG127" s="3"/>
      <c r="FNH127" s="3"/>
      <c r="FNI127" s="3"/>
      <c r="FNJ127" s="3"/>
      <c r="FNK127" s="3"/>
      <c r="FNL127" s="3"/>
      <c r="FNM127" s="3"/>
      <c r="FNN127" s="3"/>
      <c r="FNO127" s="3"/>
      <c r="FNP127" s="3"/>
      <c r="FNQ127" s="3"/>
      <c r="FNR127" s="3"/>
      <c r="FNS127" s="3"/>
      <c r="FNT127" s="3"/>
      <c r="FNU127" s="3"/>
      <c r="FNV127" s="3"/>
      <c r="FNW127" s="3"/>
      <c r="FNX127" s="3"/>
      <c r="FNY127" s="3"/>
      <c r="FNZ127" s="3"/>
      <c r="FOA127" s="3"/>
      <c r="FOB127" s="3"/>
      <c r="FOC127" s="3"/>
      <c r="FOD127" s="3"/>
      <c r="FOE127" s="3"/>
      <c r="FOF127" s="3"/>
      <c r="FOG127" s="3"/>
      <c r="FOH127" s="3"/>
      <c r="FOI127" s="3"/>
      <c r="FOJ127" s="3"/>
      <c r="FOK127" s="3"/>
      <c r="FOL127" s="3"/>
      <c r="FOM127" s="3"/>
      <c r="FON127" s="3"/>
      <c r="FOO127" s="3"/>
      <c r="FOP127" s="3"/>
      <c r="FOQ127" s="3"/>
      <c r="FOR127" s="3"/>
      <c r="FOS127" s="3"/>
      <c r="FOT127" s="3"/>
      <c r="FOU127" s="3"/>
      <c r="FOV127" s="3"/>
      <c r="FOW127" s="3"/>
      <c r="FOX127" s="3"/>
      <c r="FOY127" s="3"/>
      <c r="FOZ127" s="3"/>
      <c r="FPA127" s="3"/>
      <c r="FPB127" s="3"/>
      <c r="FPC127" s="3"/>
      <c r="FPD127" s="3"/>
      <c r="FPE127" s="3"/>
      <c r="FPF127" s="3"/>
      <c r="FPG127" s="3"/>
      <c r="FPH127" s="3"/>
      <c r="FPI127" s="3"/>
      <c r="FPJ127" s="3"/>
      <c r="FPK127" s="3"/>
      <c r="FPL127" s="3"/>
      <c r="FPM127" s="3"/>
      <c r="FPN127" s="3"/>
      <c r="FPO127" s="3"/>
      <c r="FPP127" s="3"/>
      <c r="FPQ127" s="3"/>
      <c r="FPR127" s="3"/>
      <c r="FPS127" s="3"/>
      <c r="FPT127" s="3"/>
      <c r="FPU127" s="3"/>
      <c r="FPV127" s="3"/>
      <c r="FPW127" s="3"/>
      <c r="FPX127" s="3"/>
      <c r="FPY127" s="3"/>
      <c r="FPZ127" s="3"/>
      <c r="FQA127" s="3"/>
      <c r="FQB127" s="3"/>
      <c r="FQC127" s="3"/>
      <c r="FQD127" s="3"/>
      <c r="FQE127" s="3"/>
      <c r="FQF127" s="3"/>
      <c r="FQG127" s="3"/>
      <c r="FQH127" s="3"/>
      <c r="FQI127" s="3"/>
      <c r="FQJ127" s="3"/>
      <c r="FQK127" s="3"/>
      <c r="FQL127" s="3"/>
      <c r="FQM127" s="3"/>
      <c r="FQN127" s="3"/>
      <c r="FQO127" s="3"/>
      <c r="FQP127" s="3"/>
      <c r="FQQ127" s="3"/>
      <c r="FQR127" s="3"/>
      <c r="FQS127" s="3"/>
      <c r="FQT127" s="3"/>
      <c r="FQU127" s="3"/>
      <c r="FQV127" s="3"/>
      <c r="FQW127" s="3"/>
      <c r="FQX127" s="3"/>
      <c r="FQY127" s="3"/>
      <c r="FQZ127" s="3"/>
      <c r="FRA127" s="3"/>
      <c r="FRB127" s="3"/>
      <c r="FRC127" s="3"/>
      <c r="FRD127" s="3"/>
      <c r="FRE127" s="3"/>
      <c r="FRF127" s="3"/>
      <c r="FRG127" s="3"/>
      <c r="FRH127" s="3"/>
      <c r="FRI127" s="3"/>
      <c r="FRJ127" s="3"/>
      <c r="FRK127" s="3"/>
      <c r="FRL127" s="3"/>
      <c r="FRM127" s="3"/>
      <c r="FRN127" s="3"/>
      <c r="FRO127" s="3"/>
      <c r="FRP127" s="3"/>
      <c r="FRQ127" s="3"/>
      <c r="FRR127" s="3"/>
      <c r="FRS127" s="3"/>
      <c r="FRT127" s="3"/>
      <c r="FRU127" s="3"/>
      <c r="FRV127" s="3"/>
      <c r="FRW127" s="3"/>
      <c r="FRX127" s="3"/>
      <c r="FRY127" s="3"/>
      <c r="FRZ127" s="3"/>
      <c r="FSA127" s="3"/>
      <c r="FSB127" s="3"/>
      <c r="FSC127" s="3"/>
      <c r="FSD127" s="3"/>
      <c r="FSE127" s="3"/>
      <c r="FSF127" s="3"/>
      <c r="FSG127" s="3"/>
      <c r="FSH127" s="3"/>
      <c r="FSI127" s="3"/>
      <c r="FSJ127" s="3"/>
      <c r="FSK127" s="3"/>
      <c r="FSL127" s="3"/>
      <c r="FSM127" s="3"/>
      <c r="FSN127" s="3"/>
      <c r="FSO127" s="3"/>
      <c r="FSP127" s="3"/>
      <c r="FSQ127" s="3"/>
      <c r="FSR127" s="3"/>
      <c r="FSS127" s="3"/>
      <c r="FST127" s="3"/>
      <c r="FSU127" s="3"/>
      <c r="FSV127" s="3"/>
      <c r="FSW127" s="3"/>
      <c r="FSX127" s="3"/>
      <c r="FSY127" s="3"/>
      <c r="FSZ127" s="3"/>
      <c r="FTA127" s="3"/>
      <c r="FTB127" s="3"/>
      <c r="FTC127" s="3"/>
      <c r="FTD127" s="3"/>
      <c r="FTE127" s="3"/>
      <c r="FTF127" s="3"/>
      <c r="FTG127" s="3"/>
      <c r="FTH127" s="3"/>
      <c r="FTI127" s="3"/>
      <c r="FTJ127" s="3"/>
      <c r="FTK127" s="3"/>
      <c r="FTL127" s="3"/>
      <c r="FTM127" s="3"/>
      <c r="FTN127" s="3"/>
      <c r="FTO127" s="3"/>
      <c r="FTP127" s="3"/>
      <c r="FTQ127" s="3"/>
      <c r="FTR127" s="3"/>
      <c r="FTS127" s="3"/>
      <c r="FTT127" s="3"/>
      <c r="FTU127" s="3"/>
      <c r="FTV127" s="3"/>
      <c r="FTW127" s="3"/>
      <c r="FTX127" s="3"/>
      <c r="FTY127" s="3"/>
      <c r="FTZ127" s="3"/>
      <c r="FUA127" s="3"/>
      <c r="FUB127" s="3"/>
      <c r="FUC127" s="3"/>
      <c r="FUD127" s="3"/>
      <c r="FUE127" s="3"/>
      <c r="FUF127" s="3"/>
      <c r="FUG127" s="3"/>
      <c r="FUH127" s="3"/>
      <c r="FUI127" s="3"/>
      <c r="FUJ127" s="3"/>
      <c r="FUK127" s="3"/>
      <c r="FUL127" s="3"/>
      <c r="FUM127" s="3"/>
      <c r="FUN127" s="3"/>
      <c r="FUO127" s="3"/>
      <c r="FUP127" s="3"/>
      <c r="FUQ127" s="3"/>
      <c r="FUR127" s="3"/>
      <c r="FUS127" s="3"/>
      <c r="FUT127" s="3"/>
      <c r="FUU127" s="3"/>
      <c r="FUV127" s="3"/>
      <c r="FUW127" s="3"/>
      <c r="FUX127" s="3"/>
      <c r="FUY127" s="3"/>
      <c r="FUZ127" s="3"/>
      <c r="FVA127" s="3"/>
      <c r="FVB127" s="3"/>
      <c r="FVC127" s="3"/>
      <c r="FVD127" s="3"/>
      <c r="FVE127" s="3"/>
      <c r="FVF127" s="3"/>
      <c r="FVG127" s="3"/>
      <c r="FVH127" s="3"/>
      <c r="FVI127" s="3"/>
      <c r="FVJ127" s="3"/>
      <c r="FVK127" s="3"/>
      <c r="FVL127" s="3"/>
      <c r="FVM127" s="3"/>
      <c r="FVN127" s="3"/>
      <c r="FVO127" s="3"/>
      <c r="FVP127" s="3"/>
      <c r="FVQ127" s="3"/>
      <c r="FVR127" s="3"/>
      <c r="FVS127" s="3"/>
      <c r="FVT127" s="3"/>
      <c r="FVU127" s="3"/>
      <c r="FVV127" s="3"/>
      <c r="FVW127" s="3"/>
      <c r="FVX127" s="3"/>
      <c r="FVY127" s="3"/>
      <c r="FVZ127" s="3"/>
      <c r="FWA127" s="3"/>
      <c r="FWB127" s="3"/>
      <c r="FWC127" s="3"/>
      <c r="FWD127" s="3"/>
      <c r="FWE127" s="3"/>
      <c r="FWF127" s="3"/>
      <c r="FWG127" s="3"/>
      <c r="FWH127" s="3"/>
      <c r="FWI127" s="3"/>
      <c r="FWJ127" s="3"/>
      <c r="FWK127" s="3"/>
      <c r="FWL127" s="3"/>
      <c r="FWM127" s="3"/>
      <c r="FWN127" s="3"/>
      <c r="FWO127" s="3"/>
      <c r="FWP127" s="3"/>
      <c r="FWQ127" s="3"/>
      <c r="FWR127" s="3"/>
      <c r="FWS127" s="3"/>
      <c r="FWT127" s="3"/>
      <c r="FWU127" s="3"/>
      <c r="FWV127" s="3"/>
      <c r="FWW127" s="3"/>
      <c r="FWX127" s="3"/>
      <c r="FWY127" s="3"/>
      <c r="FWZ127" s="3"/>
      <c r="FXA127" s="3"/>
      <c r="FXB127" s="3"/>
      <c r="FXC127" s="3"/>
      <c r="FXD127" s="3"/>
      <c r="FXE127" s="3"/>
      <c r="FXF127" s="3"/>
      <c r="FXG127" s="3"/>
      <c r="FXH127" s="3"/>
      <c r="FXI127" s="3"/>
      <c r="FXJ127" s="3"/>
      <c r="FXK127" s="3"/>
      <c r="FXL127" s="3"/>
      <c r="FXM127" s="3"/>
      <c r="FXN127" s="3"/>
      <c r="FXO127" s="3"/>
      <c r="FXP127" s="3"/>
      <c r="FXQ127" s="3"/>
      <c r="FXR127" s="3"/>
      <c r="FXS127" s="3"/>
      <c r="FXT127" s="3"/>
      <c r="FXU127" s="3"/>
      <c r="FXV127" s="3"/>
      <c r="FXW127" s="3"/>
      <c r="FXX127" s="3"/>
      <c r="FXY127" s="3"/>
      <c r="FXZ127" s="3"/>
      <c r="FYA127" s="3"/>
      <c r="FYB127" s="3"/>
      <c r="FYC127" s="3"/>
      <c r="FYD127" s="3"/>
      <c r="FYE127" s="3"/>
      <c r="FYF127" s="3"/>
      <c r="FYG127" s="3"/>
      <c r="FYH127" s="3"/>
      <c r="FYI127" s="3"/>
      <c r="FYJ127" s="3"/>
      <c r="FYK127" s="3"/>
      <c r="FYL127" s="3"/>
      <c r="FYM127" s="3"/>
      <c r="FYN127" s="3"/>
      <c r="FYO127" s="3"/>
      <c r="FYP127" s="3"/>
      <c r="FYQ127" s="3"/>
      <c r="FYR127" s="3"/>
      <c r="FYS127" s="3"/>
      <c r="FYT127" s="3"/>
      <c r="FYU127" s="3"/>
      <c r="FYV127" s="3"/>
      <c r="FYW127" s="3"/>
      <c r="FYX127" s="3"/>
      <c r="FYY127" s="3"/>
      <c r="FYZ127" s="3"/>
      <c r="FZA127" s="3"/>
      <c r="FZB127" s="3"/>
      <c r="FZC127" s="3"/>
      <c r="FZD127" s="3"/>
      <c r="FZE127" s="3"/>
      <c r="FZF127" s="3"/>
      <c r="FZG127" s="3"/>
      <c r="FZH127" s="3"/>
      <c r="FZI127" s="3"/>
      <c r="FZJ127" s="3"/>
      <c r="FZK127" s="3"/>
      <c r="FZL127" s="3"/>
      <c r="FZM127" s="3"/>
      <c r="FZN127" s="3"/>
      <c r="FZO127" s="3"/>
      <c r="FZP127" s="3"/>
      <c r="FZQ127" s="3"/>
      <c r="FZR127" s="3"/>
      <c r="FZS127" s="3"/>
      <c r="FZT127" s="3"/>
      <c r="FZU127" s="3"/>
      <c r="FZV127" s="3"/>
      <c r="FZW127" s="3"/>
      <c r="FZX127" s="3"/>
      <c r="FZY127" s="3"/>
      <c r="FZZ127" s="3"/>
      <c r="GAA127" s="3"/>
      <c r="GAB127" s="3"/>
      <c r="GAC127" s="3"/>
      <c r="GAD127" s="3"/>
      <c r="GAE127" s="3"/>
      <c r="GAF127" s="3"/>
      <c r="GAG127" s="3"/>
      <c r="GAH127" s="3"/>
      <c r="GAI127" s="3"/>
      <c r="GAJ127" s="3"/>
      <c r="GAK127" s="3"/>
      <c r="GAL127" s="3"/>
      <c r="GAM127" s="3"/>
      <c r="GAN127" s="3"/>
      <c r="GAO127" s="3"/>
      <c r="GAP127" s="3"/>
      <c r="GAQ127" s="3"/>
      <c r="GAR127" s="3"/>
      <c r="GAS127" s="3"/>
      <c r="GAT127" s="3"/>
      <c r="GAU127" s="3"/>
      <c r="GAV127" s="3"/>
      <c r="GAW127" s="3"/>
      <c r="GAX127" s="3"/>
      <c r="GAY127" s="3"/>
      <c r="GAZ127" s="3"/>
      <c r="GBA127" s="3"/>
      <c r="GBB127" s="3"/>
      <c r="GBC127" s="3"/>
      <c r="GBD127" s="3"/>
      <c r="GBE127" s="3"/>
      <c r="GBF127" s="3"/>
      <c r="GBG127" s="3"/>
      <c r="GBH127" s="3"/>
      <c r="GBI127" s="3"/>
      <c r="GBJ127" s="3"/>
      <c r="GBK127" s="3"/>
      <c r="GBL127" s="3"/>
      <c r="GBM127" s="3"/>
      <c r="GBN127" s="3"/>
      <c r="GBO127" s="3"/>
      <c r="GBP127" s="3"/>
      <c r="GBQ127" s="3"/>
      <c r="GBR127" s="3"/>
      <c r="GBS127" s="3"/>
      <c r="GBT127" s="3"/>
      <c r="GBU127" s="3"/>
      <c r="GBV127" s="3"/>
      <c r="GBW127" s="3"/>
      <c r="GBX127" s="3"/>
      <c r="GBY127" s="3"/>
      <c r="GBZ127" s="3"/>
      <c r="GCA127" s="3"/>
      <c r="GCB127" s="3"/>
      <c r="GCC127" s="3"/>
      <c r="GCD127" s="3"/>
      <c r="GCE127" s="3"/>
      <c r="GCF127" s="3"/>
      <c r="GCG127" s="3"/>
      <c r="GCH127" s="3"/>
      <c r="GCI127" s="3"/>
      <c r="GCJ127" s="3"/>
      <c r="GCK127" s="3"/>
      <c r="GCL127" s="3"/>
      <c r="GCM127" s="3"/>
      <c r="GCN127" s="3"/>
      <c r="GCO127" s="3"/>
      <c r="GCP127" s="3"/>
      <c r="GCQ127" s="3"/>
      <c r="GCR127" s="3"/>
      <c r="GCS127" s="3"/>
      <c r="GCT127" s="3"/>
      <c r="GCU127" s="3"/>
      <c r="GCV127" s="3"/>
      <c r="GCW127" s="3"/>
      <c r="GCX127" s="3"/>
      <c r="GCY127" s="3"/>
      <c r="GCZ127" s="3"/>
      <c r="GDA127" s="3"/>
      <c r="GDB127" s="3"/>
      <c r="GDC127" s="3"/>
      <c r="GDD127" s="3"/>
      <c r="GDE127" s="3"/>
      <c r="GDF127" s="3"/>
      <c r="GDG127" s="3"/>
      <c r="GDH127" s="3"/>
      <c r="GDI127" s="3"/>
      <c r="GDJ127" s="3"/>
      <c r="GDK127" s="3"/>
      <c r="GDL127" s="3"/>
      <c r="GDM127" s="3"/>
      <c r="GDN127" s="3"/>
      <c r="GDO127" s="3"/>
      <c r="GDP127" s="3"/>
      <c r="GDQ127" s="3"/>
      <c r="GDR127" s="3"/>
      <c r="GDS127" s="3"/>
      <c r="GDT127" s="3"/>
      <c r="GDU127" s="3"/>
      <c r="GDV127" s="3"/>
      <c r="GDW127" s="3"/>
      <c r="GDX127" s="3"/>
      <c r="GDY127" s="3"/>
      <c r="GDZ127" s="3"/>
      <c r="GEA127" s="3"/>
      <c r="GEB127" s="3"/>
      <c r="GEC127" s="3"/>
      <c r="GED127" s="3"/>
      <c r="GEE127" s="3"/>
      <c r="GEF127" s="3"/>
      <c r="GEG127" s="3"/>
      <c r="GEH127" s="3"/>
      <c r="GEI127" s="3"/>
      <c r="GEJ127" s="3"/>
      <c r="GEK127" s="3"/>
      <c r="GEL127" s="3"/>
      <c r="GEM127" s="3"/>
      <c r="GEN127" s="3"/>
      <c r="GEO127" s="3"/>
      <c r="GEP127" s="3"/>
      <c r="GEQ127" s="3"/>
      <c r="GER127" s="3"/>
      <c r="GES127" s="3"/>
      <c r="GET127" s="3"/>
      <c r="GEU127" s="3"/>
      <c r="GEV127" s="3"/>
      <c r="GEW127" s="3"/>
      <c r="GEX127" s="3"/>
      <c r="GEY127" s="3"/>
      <c r="GEZ127" s="3"/>
      <c r="GFA127" s="3"/>
      <c r="GFB127" s="3"/>
      <c r="GFC127" s="3"/>
      <c r="GFD127" s="3"/>
      <c r="GFE127" s="3"/>
      <c r="GFF127" s="3"/>
      <c r="GFG127" s="3"/>
      <c r="GFH127" s="3"/>
      <c r="GFI127" s="3"/>
      <c r="GFJ127" s="3"/>
      <c r="GFK127" s="3"/>
      <c r="GFL127" s="3"/>
      <c r="GFM127" s="3"/>
      <c r="GFN127" s="3"/>
      <c r="GFO127" s="3"/>
      <c r="GFP127" s="3"/>
      <c r="GFQ127" s="3"/>
      <c r="GFR127" s="3"/>
      <c r="GFS127" s="3"/>
      <c r="GFT127" s="3"/>
      <c r="GFU127" s="3"/>
      <c r="GFV127" s="3"/>
      <c r="GFW127" s="3"/>
      <c r="GFX127" s="3"/>
      <c r="GFY127" s="3"/>
      <c r="GFZ127" s="3"/>
      <c r="GGA127" s="3"/>
      <c r="GGB127" s="3"/>
      <c r="GGC127" s="3"/>
      <c r="GGD127" s="3"/>
      <c r="GGE127" s="3"/>
      <c r="GGF127" s="3"/>
      <c r="GGG127" s="3"/>
      <c r="GGH127" s="3"/>
      <c r="GGI127" s="3"/>
      <c r="GGJ127" s="3"/>
      <c r="GGK127" s="3"/>
      <c r="GGL127" s="3"/>
      <c r="GGM127" s="3"/>
      <c r="GGN127" s="3"/>
      <c r="GGO127" s="3"/>
      <c r="GGP127" s="3"/>
      <c r="GGQ127" s="3"/>
      <c r="GGR127" s="3"/>
      <c r="GGS127" s="3"/>
      <c r="GGT127" s="3"/>
      <c r="GGU127" s="3"/>
      <c r="GGV127" s="3"/>
      <c r="GGW127" s="3"/>
      <c r="GGX127" s="3"/>
      <c r="GGY127" s="3"/>
      <c r="GGZ127" s="3"/>
      <c r="GHA127" s="3"/>
      <c r="GHB127" s="3"/>
      <c r="GHC127" s="3"/>
      <c r="GHD127" s="3"/>
      <c r="GHE127" s="3"/>
      <c r="GHF127" s="3"/>
      <c r="GHG127" s="3"/>
      <c r="GHH127" s="3"/>
      <c r="GHI127" s="3"/>
      <c r="GHJ127" s="3"/>
      <c r="GHK127" s="3"/>
      <c r="GHL127" s="3"/>
      <c r="GHM127" s="3"/>
      <c r="GHN127" s="3"/>
      <c r="GHO127" s="3"/>
      <c r="GHP127" s="3"/>
      <c r="GHQ127" s="3"/>
      <c r="GHR127" s="3"/>
      <c r="GHS127" s="3"/>
      <c r="GHT127" s="3"/>
      <c r="GHU127" s="3"/>
      <c r="GHV127" s="3"/>
      <c r="GHW127" s="3"/>
      <c r="GHX127" s="3"/>
      <c r="GHY127" s="3"/>
      <c r="GHZ127" s="3"/>
      <c r="GIA127" s="3"/>
      <c r="GIB127" s="3"/>
      <c r="GIC127" s="3"/>
      <c r="GID127" s="3"/>
      <c r="GIE127" s="3"/>
      <c r="GIF127" s="3"/>
      <c r="GIG127" s="3"/>
      <c r="GIH127" s="3"/>
      <c r="GII127" s="3"/>
      <c r="GIJ127" s="3"/>
      <c r="GIK127" s="3"/>
      <c r="GIL127" s="3"/>
      <c r="GIM127" s="3"/>
      <c r="GIN127" s="3"/>
      <c r="GIO127" s="3"/>
      <c r="GIP127" s="3"/>
      <c r="GIQ127" s="3"/>
      <c r="GIR127" s="3"/>
      <c r="GIS127" s="3"/>
      <c r="GIT127" s="3"/>
      <c r="GIU127" s="3"/>
      <c r="GIV127" s="3"/>
      <c r="GIW127" s="3"/>
      <c r="GIX127" s="3"/>
      <c r="GIY127" s="3"/>
      <c r="GIZ127" s="3"/>
      <c r="GJA127" s="3"/>
      <c r="GJB127" s="3"/>
      <c r="GJC127" s="3"/>
      <c r="GJD127" s="3"/>
      <c r="GJE127" s="3"/>
      <c r="GJF127" s="3"/>
      <c r="GJG127" s="3"/>
      <c r="GJH127" s="3"/>
      <c r="GJI127" s="3"/>
      <c r="GJJ127" s="3"/>
      <c r="GJK127" s="3"/>
      <c r="GJL127" s="3"/>
      <c r="GJM127" s="3"/>
      <c r="GJN127" s="3"/>
      <c r="GJO127" s="3"/>
      <c r="GJP127" s="3"/>
      <c r="GJQ127" s="3"/>
      <c r="GJR127" s="3"/>
      <c r="GJS127" s="3"/>
      <c r="GJT127" s="3"/>
      <c r="GJU127" s="3"/>
      <c r="GJV127" s="3"/>
      <c r="GJW127" s="3"/>
      <c r="GJX127" s="3"/>
      <c r="GJY127" s="3"/>
      <c r="GJZ127" s="3"/>
      <c r="GKA127" s="3"/>
      <c r="GKB127" s="3"/>
      <c r="GKC127" s="3"/>
      <c r="GKD127" s="3"/>
      <c r="GKE127" s="3"/>
      <c r="GKF127" s="3"/>
      <c r="GKG127" s="3"/>
      <c r="GKH127" s="3"/>
      <c r="GKI127" s="3"/>
      <c r="GKJ127" s="3"/>
      <c r="GKK127" s="3"/>
      <c r="GKL127" s="3"/>
      <c r="GKM127" s="3"/>
      <c r="GKN127" s="3"/>
      <c r="GKO127" s="3"/>
      <c r="GKP127" s="3"/>
      <c r="GKQ127" s="3"/>
      <c r="GKR127" s="3"/>
      <c r="GKS127" s="3"/>
      <c r="GKT127" s="3"/>
      <c r="GKU127" s="3"/>
      <c r="GKV127" s="3"/>
      <c r="GKW127" s="3"/>
      <c r="GKX127" s="3"/>
      <c r="GKY127" s="3"/>
      <c r="GKZ127" s="3"/>
      <c r="GLA127" s="3"/>
      <c r="GLB127" s="3"/>
      <c r="GLC127" s="3"/>
      <c r="GLD127" s="3"/>
      <c r="GLE127" s="3"/>
      <c r="GLF127" s="3"/>
      <c r="GLG127" s="3"/>
      <c r="GLH127" s="3"/>
      <c r="GLI127" s="3"/>
      <c r="GLJ127" s="3"/>
      <c r="GLK127" s="3"/>
      <c r="GLL127" s="3"/>
      <c r="GLM127" s="3"/>
      <c r="GLN127" s="3"/>
      <c r="GLO127" s="3"/>
      <c r="GLP127" s="3"/>
      <c r="GLQ127" s="3"/>
      <c r="GLR127" s="3"/>
      <c r="GLS127" s="3"/>
      <c r="GLT127" s="3"/>
      <c r="GLU127" s="3"/>
      <c r="GLV127" s="3"/>
      <c r="GLW127" s="3"/>
      <c r="GLX127" s="3"/>
      <c r="GLY127" s="3"/>
      <c r="GLZ127" s="3"/>
      <c r="GMA127" s="3"/>
      <c r="GMB127" s="3"/>
      <c r="GMC127" s="3"/>
      <c r="GMD127" s="3"/>
      <c r="GME127" s="3"/>
      <c r="GMF127" s="3"/>
      <c r="GMG127" s="3"/>
      <c r="GMH127" s="3"/>
      <c r="GMI127" s="3"/>
      <c r="GMJ127" s="3"/>
      <c r="GMK127" s="3"/>
      <c r="GML127" s="3"/>
      <c r="GMM127" s="3"/>
      <c r="GMN127" s="3"/>
      <c r="GMO127" s="3"/>
      <c r="GMP127" s="3"/>
      <c r="GMQ127" s="3"/>
      <c r="GMR127" s="3"/>
      <c r="GMS127" s="3"/>
      <c r="GMT127" s="3"/>
      <c r="GMU127" s="3"/>
      <c r="GMV127" s="3"/>
      <c r="GMW127" s="3"/>
      <c r="GMX127" s="3"/>
      <c r="GMY127" s="3"/>
      <c r="GMZ127" s="3"/>
      <c r="GNA127" s="3"/>
      <c r="GNB127" s="3"/>
      <c r="GNC127" s="3"/>
      <c r="GND127" s="3"/>
      <c r="GNE127" s="3"/>
      <c r="GNF127" s="3"/>
      <c r="GNG127" s="3"/>
      <c r="GNH127" s="3"/>
      <c r="GNI127" s="3"/>
      <c r="GNJ127" s="3"/>
      <c r="GNK127" s="3"/>
      <c r="GNL127" s="3"/>
      <c r="GNM127" s="3"/>
      <c r="GNN127" s="3"/>
      <c r="GNO127" s="3"/>
      <c r="GNP127" s="3"/>
      <c r="GNQ127" s="3"/>
      <c r="GNR127" s="3"/>
      <c r="GNS127" s="3"/>
      <c r="GNT127" s="3"/>
      <c r="GNU127" s="3"/>
      <c r="GNV127" s="3"/>
      <c r="GNW127" s="3"/>
      <c r="GNX127" s="3"/>
      <c r="GNY127" s="3"/>
      <c r="GNZ127" s="3"/>
      <c r="GOA127" s="3"/>
      <c r="GOB127" s="3"/>
      <c r="GOC127" s="3"/>
      <c r="GOD127" s="3"/>
      <c r="GOE127" s="3"/>
      <c r="GOF127" s="3"/>
      <c r="GOG127" s="3"/>
      <c r="GOH127" s="3"/>
      <c r="GOI127" s="3"/>
      <c r="GOJ127" s="3"/>
      <c r="GOK127" s="3"/>
      <c r="GOL127" s="3"/>
      <c r="GOM127" s="3"/>
      <c r="GON127" s="3"/>
      <c r="GOO127" s="3"/>
      <c r="GOP127" s="3"/>
      <c r="GOQ127" s="3"/>
      <c r="GOR127" s="3"/>
      <c r="GOS127" s="3"/>
      <c r="GOT127" s="3"/>
      <c r="GOU127" s="3"/>
      <c r="GOV127" s="3"/>
      <c r="GOW127" s="3"/>
      <c r="GOX127" s="3"/>
      <c r="GOY127" s="3"/>
      <c r="GOZ127" s="3"/>
      <c r="GPA127" s="3"/>
      <c r="GPB127" s="3"/>
      <c r="GPC127" s="3"/>
      <c r="GPD127" s="3"/>
      <c r="GPE127" s="3"/>
      <c r="GPF127" s="3"/>
      <c r="GPG127" s="3"/>
      <c r="GPH127" s="3"/>
      <c r="GPI127" s="3"/>
      <c r="GPJ127" s="3"/>
      <c r="GPK127" s="3"/>
      <c r="GPL127" s="3"/>
      <c r="GPM127" s="3"/>
      <c r="GPN127" s="3"/>
      <c r="GPO127" s="3"/>
      <c r="GPP127" s="3"/>
      <c r="GPQ127" s="3"/>
      <c r="GPR127" s="3"/>
      <c r="GPS127" s="3"/>
      <c r="GPT127" s="3"/>
      <c r="GPU127" s="3"/>
      <c r="GPV127" s="3"/>
      <c r="GPW127" s="3"/>
      <c r="GPX127" s="3"/>
      <c r="GPY127" s="3"/>
      <c r="GPZ127" s="3"/>
      <c r="GQA127" s="3"/>
      <c r="GQB127" s="3"/>
      <c r="GQC127" s="3"/>
      <c r="GQD127" s="3"/>
      <c r="GQE127" s="3"/>
      <c r="GQF127" s="3"/>
      <c r="GQG127" s="3"/>
      <c r="GQH127" s="3"/>
      <c r="GQI127" s="3"/>
      <c r="GQJ127" s="3"/>
      <c r="GQK127" s="3"/>
      <c r="GQL127" s="3"/>
      <c r="GQM127" s="3"/>
      <c r="GQN127" s="3"/>
      <c r="GQO127" s="3"/>
      <c r="GQP127" s="3"/>
      <c r="GQQ127" s="3"/>
      <c r="GQR127" s="3"/>
      <c r="GQS127" s="3"/>
      <c r="GQT127" s="3"/>
      <c r="GQU127" s="3"/>
      <c r="GQV127" s="3"/>
      <c r="GQW127" s="3"/>
      <c r="GQX127" s="3"/>
      <c r="GQY127" s="3"/>
      <c r="GQZ127" s="3"/>
      <c r="GRA127" s="3"/>
      <c r="GRB127" s="3"/>
      <c r="GRC127" s="3"/>
      <c r="GRD127" s="3"/>
      <c r="GRE127" s="3"/>
      <c r="GRF127" s="3"/>
      <c r="GRG127" s="3"/>
      <c r="GRH127" s="3"/>
      <c r="GRI127" s="3"/>
      <c r="GRJ127" s="3"/>
      <c r="GRK127" s="3"/>
      <c r="GRL127" s="3"/>
      <c r="GRM127" s="3"/>
      <c r="GRN127" s="3"/>
      <c r="GRO127" s="3"/>
      <c r="GRP127" s="3"/>
      <c r="GRQ127" s="3"/>
      <c r="GRR127" s="3"/>
      <c r="GRS127" s="3"/>
      <c r="GRT127" s="3"/>
      <c r="GRU127" s="3"/>
      <c r="GRV127" s="3"/>
      <c r="GRW127" s="3"/>
      <c r="GRX127" s="3"/>
      <c r="GRY127" s="3"/>
      <c r="GRZ127" s="3"/>
      <c r="GSA127" s="3"/>
      <c r="GSB127" s="3"/>
      <c r="GSC127" s="3"/>
      <c r="GSD127" s="3"/>
      <c r="GSE127" s="3"/>
      <c r="GSF127" s="3"/>
      <c r="GSG127" s="3"/>
      <c r="GSH127" s="3"/>
      <c r="GSI127" s="3"/>
      <c r="GSJ127" s="3"/>
      <c r="GSK127" s="3"/>
      <c r="GSL127" s="3"/>
      <c r="GSM127" s="3"/>
      <c r="GSN127" s="3"/>
      <c r="GSO127" s="3"/>
      <c r="GSP127" s="3"/>
      <c r="GSQ127" s="3"/>
      <c r="GSR127" s="3"/>
      <c r="GSS127" s="3"/>
      <c r="GST127" s="3"/>
      <c r="GSU127" s="3"/>
      <c r="GSV127" s="3"/>
      <c r="GSW127" s="3"/>
      <c r="GSX127" s="3"/>
      <c r="GSY127" s="3"/>
      <c r="GSZ127" s="3"/>
      <c r="GTA127" s="3"/>
      <c r="GTB127" s="3"/>
      <c r="GTC127" s="3"/>
      <c r="GTD127" s="3"/>
      <c r="GTE127" s="3"/>
      <c r="GTF127" s="3"/>
      <c r="GTG127" s="3"/>
      <c r="GTH127" s="3"/>
      <c r="GTI127" s="3"/>
      <c r="GTJ127" s="3"/>
      <c r="GTK127" s="3"/>
      <c r="GTL127" s="3"/>
      <c r="GTM127" s="3"/>
      <c r="GTN127" s="3"/>
      <c r="GTO127" s="3"/>
      <c r="GTP127" s="3"/>
      <c r="GTQ127" s="3"/>
      <c r="GTR127" s="3"/>
      <c r="GTS127" s="3"/>
      <c r="GTT127" s="3"/>
      <c r="GTU127" s="3"/>
      <c r="GTV127" s="3"/>
      <c r="GTW127" s="3"/>
      <c r="GTX127" s="3"/>
      <c r="GTY127" s="3"/>
      <c r="GTZ127" s="3"/>
      <c r="GUA127" s="3"/>
      <c r="GUB127" s="3"/>
      <c r="GUC127" s="3"/>
      <c r="GUD127" s="3"/>
      <c r="GUE127" s="3"/>
      <c r="GUF127" s="3"/>
      <c r="GUG127" s="3"/>
      <c r="GUH127" s="3"/>
      <c r="GUI127" s="3"/>
      <c r="GUJ127" s="3"/>
      <c r="GUK127" s="3"/>
      <c r="GUL127" s="3"/>
      <c r="GUM127" s="3"/>
      <c r="GUN127" s="3"/>
      <c r="GUO127" s="3"/>
      <c r="GUP127" s="3"/>
      <c r="GUQ127" s="3"/>
      <c r="GUR127" s="3"/>
      <c r="GUS127" s="3"/>
      <c r="GUT127" s="3"/>
      <c r="GUU127" s="3"/>
      <c r="GUV127" s="3"/>
      <c r="GUW127" s="3"/>
      <c r="GUX127" s="3"/>
      <c r="GUY127" s="3"/>
      <c r="GUZ127" s="3"/>
      <c r="GVA127" s="3"/>
      <c r="GVB127" s="3"/>
      <c r="GVC127" s="3"/>
      <c r="GVD127" s="3"/>
      <c r="GVE127" s="3"/>
      <c r="GVF127" s="3"/>
      <c r="GVG127" s="3"/>
      <c r="GVH127" s="3"/>
      <c r="GVI127" s="3"/>
      <c r="GVJ127" s="3"/>
      <c r="GVK127" s="3"/>
      <c r="GVL127" s="3"/>
      <c r="GVM127" s="3"/>
      <c r="GVN127" s="3"/>
      <c r="GVO127" s="3"/>
      <c r="GVP127" s="3"/>
      <c r="GVQ127" s="3"/>
      <c r="GVR127" s="3"/>
      <c r="GVS127" s="3"/>
      <c r="GVT127" s="3"/>
      <c r="GVU127" s="3"/>
      <c r="GVV127" s="3"/>
      <c r="GVW127" s="3"/>
      <c r="GVX127" s="3"/>
      <c r="GVY127" s="3"/>
      <c r="GVZ127" s="3"/>
      <c r="GWA127" s="3"/>
      <c r="GWB127" s="3"/>
      <c r="GWC127" s="3"/>
      <c r="GWD127" s="3"/>
      <c r="GWE127" s="3"/>
      <c r="GWF127" s="3"/>
      <c r="GWG127" s="3"/>
      <c r="GWH127" s="3"/>
      <c r="GWI127" s="3"/>
      <c r="GWJ127" s="3"/>
      <c r="GWK127" s="3"/>
      <c r="GWL127" s="3"/>
      <c r="GWM127" s="3"/>
      <c r="GWN127" s="3"/>
      <c r="GWO127" s="3"/>
      <c r="GWP127" s="3"/>
      <c r="GWQ127" s="3"/>
      <c r="GWR127" s="3"/>
      <c r="GWS127" s="3"/>
      <c r="GWT127" s="3"/>
      <c r="GWU127" s="3"/>
      <c r="GWV127" s="3"/>
      <c r="GWW127" s="3"/>
      <c r="GWX127" s="3"/>
      <c r="GWY127" s="3"/>
      <c r="GWZ127" s="3"/>
      <c r="GXA127" s="3"/>
      <c r="GXB127" s="3"/>
      <c r="GXC127" s="3"/>
      <c r="GXD127" s="3"/>
      <c r="GXE127" s="3"/>
      <c r="GXF127" s="3"/>
      <c r="GXG127" s="3"/>
      <c r="GXH127" s="3"/>
      <c r="GXI127" s="3"/>
      <c r="GXJ127" s="3"/>
      <c r="GXK127" s="3"/>
      <c r="GXL127" s="3"/>
      <c r="GXM127" s="3"/>
      <c r="GXN127" s="3"/>
      <c r="GXO127" s="3"/>
      <c r="GXP127" s="3"/>
      <c r="GXQ127" s="3"/>
      <c r="GXR127" s="3"/>
      <c r="GXS127" s="3"/>
      <c r="GXT127" s="3"/>
      <c r="GXU127" s="3"/>
      <c r="GXV127" s="3"/>
      <c r="GXW127" s="3"/>
      <c r="GXX127" s="3"/>
      <c r="GXY127" s="3"/>
      <c r="GXZ127" s="3"/>
      <c r="GYA127" s="3"/>
      <c r="GYB127" s="3"/>
      <c r="GYC127" s="3"/>
      <c r="GYD127" s="3"/>
      <c r="GYE127" s="3"/>
      <c r="GYF127" s="3"/>
      <c r="GYG127" s="3"/>
      <c r="GYH127" s="3"/>
      <c r="GYI127" s="3"/>
      <c r="GYJ127" s="3"/>
      <c r="GYK127" s="3"/>
      <c r="GYL127" s="3"/>
      <c r="GYM127" s="3"/>
      <c r="GYN127" s="3"/>
      <c r="GYO127" s="3"/>
      <c r="GYP127" s="3"/>
      <c r="GYQ127" s="3"/>
      <c r="GYR127" s="3"/>
      <c r="GYS127" s="3"/>
      <c r="GYT127" s="3"/>
      <c r="GYU127" s="3"/>
      <c r="GYV127" s="3"/>
      <c r="GYW127" s="3"/>
      <c r="GYX127" s="3"/>
      <c r="GYY127" s="3"/>
      <c r="GYZ127" s="3"/>
      <c r="GZA127" s="3"/>
      <c r="GZB127" s="3"/>
      <c r="GZC127" s="3"/>
      <c r="GZD127" s="3"/>
      <c r="GZE127" s="3"/>
      <c r="GZF127" s="3"/>
      <c r="GZG127" s="3"/>
      <c r="GZH127" s="3"/>
      <c r="GZI127" s="3"/>
      <c r="GZJ127" s="3"/>
      <c r="GZK127" s="3"/>
      <c r="GZL127" s="3"/>
      <c r="GZM127" s="3"/>
      <c r="GZN127" s="3"/>
      <c r="GZO127" s="3"/>
      <c r="GZP127" s="3"/>
      <c r="GZQ127" s="3"/>
      <c r="GZR127" s="3"/>
      <c r="GZS127" s="3"/>
      <c r="GZT127" s="3"/>
      <c r="GZU127" s="3"/>
      <c r="GZV127" s="3"/>
      <c r="GZW127" s="3"/>
      <c r="GZX127" s="3"/>
      <c r="GZY127" s="3"/>
      <c r="GZZ127" s="3"/>
      <c r="HAA127" s="3"/>
      <c r="HAB127" s="3"/>
      <c r="HAC127" s="3"/>
      <c r="HAD127" s="3"/>
      <c r="HAE127" s="3"/>
      <c r="HAF127" s="3"/>
      <c r="HAG127" s="3"/>
      <c r="HAH127" s="3"/>
      <c r="HAI127" s="3"/>
      <c r="HAJ127" s="3"/>
      <c r="HAK127" s="3"/>
      <c r="HAL127" s="3"/>
      <c r="HAM127" s="3"/>
      <c r="HAN127" s="3"/>
      <c r="HAO127" s="3"/>
      <c r="HAP127" s="3"/>
      <c r="HAQ127" s="3"/>
      <c r="HAR127" s="3"/>
      <c r="HAS127" s="3"/>
      <c r="HAT127" s="3"/>
      <c r="HAU127" s="3"/>
      <c r="HAV127" s="3"/>
      <c r="HAW127" s="3"/>
      <c r="HAX127" s="3"/>
      <c r="HAY127" s="3"/>
      <c r="HAZ127" s="3"/>
      <c r="HBA127" s="3"/>
      <c r="HBB127" s="3"/>
      <c r="HBC127" s="3"/>
      <c r="HBD127" s="3"/>
      <c r="HBE127" s="3"/>
      <c r="HBF127" s="3"/>
      <c r="HBG127" s="3"/>
      <c r="HBH127" s="3"/>
      <c r="HBI127" s="3"/>
      <c r="HBJ127" s="3"/>
      <c r="HBK127" s="3"/>
      <c r="HBL127" s="3"/>
      <c r="HBM127" s="3"/>
      <c r="HBN127" s="3"/>
      <c r="HBO127" s="3"/>
      <c r="HBP127" s="3"/>
      <c r="HBQ127" s="3"/>
      <c r="HBR127" s="3"/>
      <c r="HBS127" s="3"/>
      <c r="HBT127" s="3"/>
      <c r="HBU127" s="3"/>
      <c r="HBV127" s="3"/>
      <c r="HBW127" s="3"/>
      <c r="HBX127" s="3"/>
      <c r="HBY127" s="3"/>
      <c r="HBZ127" s="3"/>
      <c r="HCA127" s="3"/>
      <c r="HCB127" s="3"/>
      <c r="HCC127" s="3"/>
      <c r="HCD127" s="3"/>
      <c r="HCE127" s="3"/>
      <c r="HCF127" s="3"/>
      <c r="HCG127" s="3"/>
      <c r="HCH127" s="3"/>
      <c r="HCI127" s="3"/>
      <c r="HCJ127" s="3"/>
      <c r="HCK127" s="3"/>
      <c r="HCL127" s="3"/>
      <c r="HCM127" s="3"/>
      <c r="HCN127" s="3"/>
      <c r="HCO127" s="3"/>
      <c r="HCP127" s="3"/>
      <c r="HCQ127" s="3"/>
      <c r="HCR127" s="3"/>
      <c r="HCS127" s="3"/>
      <c r="HCT127" s="3"/>
      <c r="HCU127" s="3"/>
      <c r="HCV127" s="3"/>
      <c r="HCW127" s="3"/>
      <c r="HCX127" s="3"/>
      <c r="HCY127" s="3"/>
      <c r="HCZ127" s="3"/>
      <c r="HDA127" s="3"/>
      <c r="HDB127" s="3"/>
      <c r="HDC127" s="3"/>
      <c r="HDD127" s="3"/>
      <c r="HDE127" s="3"/>
      <c r="HDF127" s="3"/>
      <c r="HDG127" s="3"/>
      <c r="HDH127" s="3"/>
      <c r="HDI127" s="3"/>
      <c r="HDJ127" s="3"/>
      <c r="HDK127" s="3"/>
      <c r="HDL127" s="3"/>
      <c r="HDM127" s="3"/>
      <c r="HDN127" s="3"/>
      <c r="HDO127" s="3"/>
      <c r="HDP127" s="3"/>
      <c r="HDQ127" s="3"/>
      <c r="HDR127" s="3"/>
      <c r="HDS127" s="3"/>
      <c r="HDT127" s="3"/>
      <c r="HDU127" s="3"/>
      <c r="HDV127" s="3"/>
      <c r="HDW127" s="3"/>
      <c r="HDX127" s="3"/>
      <c r="HDY127" s="3"/>
      <c r="HDZ127" s="3"/>
      <c r="HEA127" s="3"/>
      <c r="HEB127" s="3"/>
      <c r="HEC127" s="3"/>
      <c r="HED127" s="3"/>
      <c r="HEE127" s="3"/>
      <c r="HEF127" s="3"/>
      <c r="HEG127" s="3"/>
      <c r="HEH127" s="3"/>
      <c r="HEI127" s="3"/>
      <c r="HEJ127" s="3"/>
      <c r="HEK127" s="3"/>
      <c r="HEL127" s="3"/>
      <c r="HEM127" s="3"/>
      <c r="HEN127" s="3"/>
      <c r="HEO127" s="3"/>
      <c r="HEP127" s="3"/>
      <c r="HEQ127" s="3"/>
      <c r="HER127" s="3"/>
      <c r="HES127" s="3"/>
      <c r="HET127" s="3"/>
      <c r="HEU127" s="3"/>
      <c r="HEV127" s="3"/>
      <c r="HEW127" s="3"/>
      <c r="HEX127" s="3"/>
      <c r="HEY127" s="3"/>
      <c r="HEZ127" s="3"/>
      <c r="HFA127" s="3"/>
      <c r="HFB127" s="3"/>
      <c r="HFC127" s="3"/>
      <c r="HFD127" s="3"/>
      <c r="HFE127" s="3"/>
      <c r="HFF127" s="3"/>
      <c r="HFG127" s="3"/>
      <c r="HFH127" s="3"/>
      <c r="HFI127" s="3"/>
      <c r="HFJ127" s="3"/>
      <c r="HFK127" s="3"/>
      <c r="HFL127" s="3"/>
      <c r="HFM127" s="3"/>
      <c r="HFN127" s="3"/>
      <c r="HFO127" s="3"/>
      <c r="HFP127" s="3"/>
      <c r="HFQ127" s="3"/>
      <c r="HFR127" s="3"/>
      <c r="HFS127" s="3"/>
      <c r="HFT127" s="3"/>
      <c r="HFU127" s="3"/>
      <c r="HFV127" s="3"/>
      <c r="HFW127" s="3"/>
      <c r="HFX127" s="3"/>
      <c r="HFY127" s="3"/>
      <c r="HFZ127" s="3"/>
      <c r="HGA127" s="3"/>
      <c r="HGB127" s="3"/>
      <c r="HGC127" s="3"/>
      <c r="HGD127" s="3"/>
      <c r="HGE127" s="3"/>
      <c r="HGF127" s="3"/>
      <c r="HGG127" s="3"/>
      <c r="HGH127" s="3"/>
      <c r="HGI127" s="3"/>
      <c r="HGJ127" s="3"/>
      <c r="HGK127" s="3"/>
      <c r="HGL127" s="3"/>
      <c r="HGM127" s="3"/>
      <c r="HGN127" s="3"/>
      <c r="HGO127" s="3"/>
      <c r="HGP127" s="3"/>
      <c r="HGQ127" s="3"/>
      <c r="HGR127" s="3"/>
      <c r="HGS127" s="3"/>
      <c r="HGT127" s="3"/>
      <c r="HGU127" s="3"/>
      <c r="HGV127" s="3"/>
      <c r="HGW127" s="3"/>
      <c r="HGX127" s="3"/>
      <c r="HGY127" s="3"/>
      <c r="HGZ127" s="3"/>
      <c r="HHA127" s="3"/>
      <c r="HHB127" s="3"/>
      <c r="HHC127" s="3"/>
      <c r="HHD127" s="3"/>
      <c r="HHE127" s="3"/>
      <c r="HHF127" s="3"/>
      <c r="HHG127" s="3"/>
      <c r="HHH127" s="3"/>
      <c r="HHI127" s="3"/>
      <c r="HHJ127" s="3"/>
      <c r="HHK127" s="3"/>
      <c r="HHL127" s="3"/>
      <c r="HHM127" s="3"/>
      <c r="HHN127" s="3"/>
      <c r="HHO127" s="3"/>
      <c r="HHP127" s="3"/>
      <c r="HHQ127" s="3"/>
      <c r="HHR127" s="3"/>
      <c r="HHS127" s="3"/>
      <c r="HHT127" s="3"/>
      <c r="HHU127" s="3"/>
      <c r="HHV127" s="3"/>
      <c r="HHW127" s="3"/>
      <c r="HHX127" s="3"/>
      <c r="HHY127" s="3"/>
      <c r="HHZ127" s="3"/>
      <c r="HIA127" s="3"/>
      <c r="HIB127" s="3"/>
      <c r="HIC127" s="3"/>
      <c r="HID127" s="3"/>
      <c r="HIE127" s="3"/>
      <c r="HIF127" s="3"/>
      <c r="HIG127" s="3"/>
      <c r="HIH127" s="3"/>
      <c r="HII127" s="3"/>
      <c r="HIJ127" s="3"/>
      <c r="HIK127" s="3"/>
      <c r="HIL127" s="3"/>
      <c r="HIM127" s="3"/>
      <c r="HIN127" s="3"/>
      <c r="HIO127" s="3"/>
      <c r="HIP127" s="3"/>
      <c r="HIQ127" s="3"/>
      <c r="HIR127" s="3"/>
      <c r="HIS127" s="3"/>
      <c r="HIT127" s="3"/>
      <c r="HIU127" s="3"/>
      <c r="HIV127" s="3"/>
      <c r="HIW127" s="3"/>
      <c r="HIX127" s="3"/>
      <c r="HIY127" s="3"/>
      <c r="HIZ127" s="3"/>
      <c r="HJA127" s="3"/>
      <c r="HJB127" s="3"/>
      <c r="HJC127" s="3"/>
      <c r="HJD127" s="3"/>
      <c r="HJE127" s="3"/>
      <c r="HJF127" s="3"/>
      <c r="HJG127" s="3"/>
      <c r="HJH127" s="3"/>
      <c r="HJI127" s="3"/>
      <c r="HJJ127" s="3"/>
      <c r="HJK127" s="3"/>
      <c r="HJL127" s="3"/>
      <c r="HJM127" s="3"/>
      <c r="HJN127" s="3"/>
      <c r="HJO127" s="3"/>
      <c r="HJP127" s="3"/>
      <c r="HJQ127" s="3"/>
      <c r="HJR127" s="3"/>
      <c r="HJS127" s="3"/>
      <c r="HJT127" s="3"/>
      <c r="HJU127" s="3"/>
      <c r="HJV127" s="3"/>
      <c r="HJW127" s="3"/>
      <c r="HJX127" s="3"/>
      <c r="HJY127" s="3"/>
      <c r="HJZ127" s="3"/>
      <c r="HKA127" s="3"/>
      <c r="HKB127" s="3"/>
      <c r="HKC127" s="3"/>
      <c r="HKD127" s="3"/>
      <c r="HKE127" s="3"/>
      <c r="HKF127" s="3"/>
      <c r="HKG127" s="3"/>
      <c r="HKH127" s="3"/>
      <c r="HKI127" s="3"/>
      <c r="HKJ127" s="3"/>
      <c r="HKK127" s="3"/>
      <c r="HKL127" s="3"/>
      <c r="HKM127" s="3"/>
      <c r="HKN127" s="3"/>
      <c r="HKO127" s="3"/>
      <c r="HKP127" s="3"/>
      <c r="HKQ127" s="3"/>
      <c r="HKR127" s="3"/>
      <c r="HKS127" s="3"/>
      <c r="HKT127" s="3"/>
      <c r="HKU127" s="3"/>
      <c r="HKV127" s="3"/>
      <c r="HKW127" s="3"/>
      <c r="HKX127" s="3"/>
      <c r="HKY127" s="3"/>
      <c r="HKZ127" s="3"/>
      <c r="HLA127" s="3"/>
      <c r="HLB127" s="3"/>
      <c r="HLC127" s="3"/>
      <c r="HLD127" s="3"/>
      <c r="HLE127" s="3"/>
      <c r="HLF127" s="3"/>
      <c r="HLG127" s="3"/>
      <c r="HLH127" s="3"/>
      <c r="HLI127" s="3"/>
      <c r="HLJ127" s="3"/>
      <c r="HLK127" s="3"/>
      <c r="HLL127" s="3"/>
      <c r="HLM127" s="3"/>
      <c r="HLN127" s="3"/>
      <c r="HLO127" s="3"/>
      <c r="HLP127" s="3"/>
      <c r="HLQ127" s="3"/>
      <c r="HLR127" s="3"/>
      <c r="HLS127" s="3"/>
      <c r="HLT127" s="3"/>
      <c r="HLU127" s="3"/>
      <c r="HLV127" s="3"/>
      <c r="HLW127" s="3"/>
      <c r="HLX127" s="3"/>
      <c r="HLY127" s="3"/>
      <c r="HLZ127" s="3"/>
      <c r="HMA127" s="3"/>
      <c r="HMB127" s="3"/>
      <c r="HMC127" s="3"/>
      <c r="HMD127" s="3"/>
      <c r="HME127" s="3"/>
      <c r="HMF127" s="3"/>
      <c r="HMG127" s="3"/>
      <c r="HMH127" s="3"/>
      <c r="HMI127" s="3"/>
      <c r="HMJ127" s="3"/>
      <c r="HMK127" s="3"/>
      <c r="HML127" s="3"/>
      <c r="HMM127" s="3"/>
      <c r="HMN127" s="3"/>
      <c r="HMO127" s="3"/>
      <c r="HMP127" s="3"/>
      <c r="HMQ127" s="3"/>
      <c r="HMR127" s="3"/>
      <c r="HMS127" s="3"/>
      <c r="HMT127" s="3"/>
      <c r="HMU127" s="3"/>
      <c r="HMV127" s="3"/>
      <c r="HMW127" s="3"/>
      <c r="HMX127" s="3"/>
      <c r="HMY127" s="3"/>
      <c r="HMZ127" s="3"/>
      <c r="HNA127" s="3"/>
      <c r="HNB127" s="3"/>
      <c r="HNC127" s="3"/>
      <c r="HND127" s="3"/>
      <c r="HNE127" s="3"/>
      <c r="HNF127" s="3"/>
      <c r="HNG127" s="3"/>
      <c r="HNH127" s="3"/>
      <c r="HNI127" s="3"/>
      <c r="HNJ127" s="3"/>
      <c r="HNK127" s="3"/>
      <c r="HNL127" s="3"/>
      <c r="HNM127" s="3"/>
      <c r="HNN127" s="3"/>
      <c r="HNO127" s="3"/>
      <c r="HNP127" s="3"/>
      <c r="HNQ127" s="3"/>
      <c r="HNR127" s="3"/>
      <c r="HNS127" s="3"/>
      <c r="HNT127" s="3"/>
      <c r="HNU127" s="3"/>
      <c r="HNV127" s="3"/>
      <c r="HNW127" s="3"/>
      <c r="HNX127" s="3"/>
      <c r="HNY127" s="3"/>
      <c r="HNZ127" s="3"/>
      <c r="HOA127" s="3"/>
      <c r="HOB127" s="3"/>
      <c r="HOC127" s="3"/>
      <c r="HOD127" s="3"/>
      <c r="HOE127" s="3"/>
      <c r="HOF127" s="3"/>
      <c r="HOG127" s="3"/>
      <c r="HOH127" s="3"/>
      <c r="HOI127" s="3"/>
      <c r="HOJ127" s="3"/>
      <c r="HOK127" s="3"/>
      <c r="HOL127" s="3"/>
      <c r="HOM127" s="3"/>
      <c r="HON127" s="3"/>
      <c r="HOO127" s="3"/>
      <c r="HOP127" s="3"/>
      <c r="HOQ127" s="3"/>
      <c r="HOR127" s="3"/>
      <c r="HOS127" s="3"/>
      <c r="HOT127" s="3"/>
      <c r="HOU127" s="3"/>
      <c r="HOV127" s="3"/>
      <c r="HOW127" s="3"/>
      <c r="HOX127" s="3"/>
      <c r="HOY127" s="3"/>
      <c r="HOZ127" s="3"/>
      <c r="HPA127" s="3"/>
      <c r="HPB127" s="3"/>
      <c r="HPC127" s="3"/>
      <c r="HPD127" s="3"/>
      <c r="HPE127" s="3"/>
      <c r="HPF127" s="3"/>
      <c r="HPG127" s="3"/>
      <c r="HPH127" s="3"/>
      <c r="HPI127" s="3"/>
      <c r="HPJ127" s="3"/>
      <c r="HPK127" s="3"/>
      <c r="HPL127" s="3"/>
      <c r="HPM127" s="3"/>
      <c r="HPN127" s="3"/>
      <c r="HPO127" s="3"/>
      <c r="HPP127" s="3"/>
      <c r="HPQ127" s="3"/>
      <c r="HPR127" s="3"/>
      <c r="HPS127" s="3"/>
      <c r="HPT127" s="3"/>
      <c r="HPU127" s="3"/>
      <c r="HPV127" s="3"/>
      <c r="HPW127" s="3"/>
      <c r="HPX127" s="3"/>
      <c r="HPY127" s="3"/>
      <c r="HPZ127" s="3"/>
      <c r="HQA127" s="3"/>
      <c r="HQB127" s="3"/>
      <c r="HQC127" s="3"/>
      <c r="HQD127" s="3"/>
      <c r="HQE127" s="3"/>
      <c r="HQF127" s="3"/>
      <c r="HQG127" s="3"/>
      <c r="HQH127" s="3"/>
      <c r="HQI127" s="3"/>
      <c r="HQJ127" s="3"/>
      <c r="HQK127" s="3"/>
      <c r="HQL127" s="3"/>
      <c r="HQM127" s="3"/>
      <c r="HQN127" s="3"/>
      <c r="HQO127" s="3"/>
      <c r="HQP127" s="3"/>
      <c r="HQQ127" s="3"/>
      <c r="HQR127" s="3"/>
      <c r="HQS127" s="3"/>
      <c r="HQT127" s="3"/>
      <c r="HQU127" s="3"/>
      <c r="HQV127" s="3"/>
      <c r="HQW127" s="3"/>
      <c r="HQX127" s="3"/>
      <c r="HQY127" s="3"/>
      <c r="HQZ127" s="3"/>
      <c r="HRA127" s="3"/>
      <c r="HRB127" s="3"/>
      <c r="HRC127" s="3"/>
      <c r="HRD127" s="3"/>
      <c r="HRE127" s="3"/>
      <c r="HRF127" s="3"/>
      <c r="HRG127" s="3"/>
      <c r="HRH127" s="3"/>
      <c r="HRI127" s="3"/>
      <c r="HRJ127" s="3"/>
      <c r="HRK127" s="3"/>
      <c r="HRL127" s="3"/>
      <c r="HRM127" s="3"/>
      <c r="HRN127" s="3"/>
      <c r="HRO127" s="3"/>
      <c r="HRP127" s="3"/>
      <c r="HRQ127" s="3"/>
      <c r="HRR127" s="3"/>
      <c r="HRS127" s="3"/>
      <c r="HRT127" s="3"/>
      <c r="HRU127" s="3"/>
      <c r="HRV127" s="3"/>
      <c r="HRW127" s="3"/>
      <c r="HRX127" s="3"/>
      <c r="HRY127" s="3"/>
      <c r="HRZ127" s="3"/>
      <c r="HSA127" s="3"/>
      <c r="HSB127" s="3"/>
      <c r="HSC127" s="3"/>
      <c r="HSD127" s="3"/>
      <c r="HSE127" s="3"/>
      <c r="HSF127" s="3"/>
      <c r="HSG127" s="3"/>
      <c r="HSH127" s="3"/>
      <c r="HSI127" s="3"/>
      <c r="HSJ127" s="3"/>
      <c r="HSK127" s="3"/>
      <c r="HSL127" s="3"/>
      <c r="HSM127" s="3"/>
      <c r="HSN127" s="3"/>
      <c r="HSO127" s="3"/>
      <c r="HSP127" s="3"/>
      <c r="HSQ127" s="3"/>
      <c r="HSR127" s="3"/>
      <c r="HSS127" s="3"/>
      <c r="HST127" s="3"/>
      <c r="HSU127" s="3"/>
      <c r="HSV127" s="3"/>
      <c r="HSW127" s="3"/>
      <c r="HSX127" s="3"/>
      <c r="HSY127" s="3"/>
      <c r="HSZ127" s="3"/>
      <c r="HTA127" s="3"/>
      <c r="HTB127" s="3"/>
      <c r="HTC127" s="3"/>
      <c r="HTD127" s="3"/>
      <c r="HTE127" s="3"/>
      <c r="HTF127" s="3"/>
      <c r="HTG127" s="3"/>
      <c r="HTH127" s="3"/>
      <c r="HTI127" s="3"/>
      <c r="HTJ127" s="3"/>
      <c r="HTK127" s="3"/>
      <c r="HTL127" s="3"/>
      <c r="HTM127" s="3"/>
      <c r="HTN127" s="3"/>
      <c r="HTO127" s="3"/>
      <c r="HTP127" s="3"/>
      <c r="HTQ127" s="3"/>
      <c r="HTR127" s="3"/>
      <c r="HTS127" s="3"/>
      <c r="HTT127" s="3"/>
      <c r="HTU127" s="3"/>
      <c r="HTV127" s="3"/>
      <c r="HTW127" s="3"/>
      <c r="HTX127" s="3"/>
      <c r="HTY127" s="3"/>
      <c r="HTZ127" s="3"/>
      <c r="HUA127" s="3"/>
      <c r="HUB127" s="3"/>
      <c r="HUC127" s="3"/>
      <c r="HUD127" s="3"/>
      <c r="HUE127" s="3"/>
      <c r="HUF127" s="3"/>
      <c r="HUG127" s="3"/>
      <c r="HUH127" s="3"/>
      <c r="HUI127" s="3"/>
      <c r="HUJ127" s="3"/>
      <c r="HUK127" s="3"/>
      <c r="HUL127" s="3"/>
      <c r="HUM127" s="3"/>
      <c r="HUN127" s="3"/>
      <c r="HUO127" s="3"/>
      <c r="HUP127" s="3"/>
      <c r="HUQ127" s="3"/>
      <c r="HUR127" s="3"/>
      <c r="HUS127" s="3"/>
      <c r="HUT127" s="3"/>
      <c r="HUU127" s="3"/>
      <c r="HUV127" s="3"/>
      <c r="HUW127" s="3"/>
      <c r="HUX127" s="3"/>
      <c r="HUY127" s="3"/>
      <c r="HUZ127" s="3"/>
      <c r="HVA127" s="3"/>
      <c r="HVB127" s="3"/>
      <c r="HVC127" s="3"/>
      <c r="HVD127" s="3"/>
      <c r="HVE127" s="3"/>
      <c r="HVF127" s="3"/>
      <c r="HVG127" s="3"/>
      <c r="HVH127" s="3"/>
      <c r="HVI127" s="3"/>
      <c r="HVJ127" s="3"/>
      <c r="HVK127" s="3"/>
      <c r="HVL127" s="3"/>
      <c r="HVM127" s="3"/>
      <c r="HVN127" s="3"/>
      <c r="HVO127" s="3"/>
      <c r="HVP127" s="3"/>
      <c r="HVQ127" s="3"/>
      <c r="HVR127" s="3"/>
      <c r="HVS127" s="3"/>
      <c r="HVT127" s="3"/>
      <c r="HVU127" s="3"/>
      <c r="HVV127" s="3"/>
      <c r="HVW127" s="3"/>
      <c r="HVX127" s="3"/>
      <c r="HVY127" s="3"/>
      <c r="HVZ127" s="3"/>
      <c r="HWA127" s="3"/>
      <c r="HWB127" s="3"/>
      <c r="HWC127" s="3"/>
      <c r="HWD127" s="3"/>
      <c r="HWE127" s="3"/>
      <c r="HWF127" s="3"/>
      <c r="HWG127" s="3"/>
      <c r="HWH127" s="3"/>
      <c r="HWI127" s="3"/>
      <c r="HWJ127" s="3"/>
      <c r="HWK127" s="3"/>
      <c r="HWL127" s="3"/>
      <c r="HWM127" s="3"/>
      <c r="HWN127" s="3"/>
      <c r="HWO127" s="3"/>
      <c r="HWP127" s="3"/>
      <c r="HWQ127" s="3"/>
      <c r="HWR127" s="3"/>
      <c r="HWS127" s="3"/>
      <c r="HWT127" s="3"/>
      <c r="HWU127" s="3"/>
      <c r="HWV127" s="3"/>
      <c r="HWW127" s="3"/>
      <c r="HWX127" s="3"/>
      <c r="HWY127" s="3"/>
      <c r="HWZ127" s="3"/>
      <c r="HXA127" s="3"/>
      <c r="HXB127" s="3"/>
      <c r="HXC127" s="3"/>
      <c r="HXD127" s="3"/>
      <c r="HXE127" s="3"/>
      <c r="HXF127" s="3"/>
      <c r="HXG127" s="3"/>
      <c r="HXH127" s="3"/>
      <c r="HXI127" s="3"/>
      <c r="HXJ127" s="3"/>
      <c r="HXK127" s="3"/>
      <c r="HXL127" s="3"/>
      <c r="HXM127" s="3"/>
      <c r="HXN127" s="3"/>
      <c r="HXO127" s="3"/>
      <c r="HXP127" s="3"/>
      <c r="HXQ127" s="3"/>
      <c r="HXR127" s="3"/>
      <c r="HXS127" s="3"/>
      <c r="HXT127" s="3"/>
      <c r="HXU127" s="3"/>
      <c r="HXV127" s="3"/>
      <c r="HXW127" s="3"/>
      <c r="HXX127" s="3"/>
      <c r="HXY127" s="3"/>
      <c r="HXZ127" s="3"/>
      <c r="HYA127" s="3"/>
      <c r="HYB127" s="3"/>
      <c r="HYC127" s="3"/>
      <c r="HYD127" s="3"/>
      <c r="HYE127" s="3"/>
      <c r="HYF127" s="3"/>
      <c r="HYG127" s="3"/>
      <c r="HYH127" s="3"/>
      <c r="HYI127" s="3"/>
      <c r="HYJ127" s="3"/>
      <c r="HYK127" s="3"/>
      <c r="HYL127" s="3"/>
      <c r="HYM127" s="3"/>
      <c r="HYN127" s="3"/>
      <c r="HYO127" s="3"/>
      <c r="HYP127" s="3"/>
      <c r="HYQ127" s="3"/>
      <c r="HYR127" s="3"/>
      <c r="HYS127" s="3"/>
      <c r="HYT127" s="3"/>
      <c r="HYU127" s="3"/>
      <c r="HYV127" s="3"/>
      <c r="HYW127" s="3"/>
      <c r="HYX127" s="3"/>
      <c r="HYY127" s="3"/>
      <c r="HYZ127" s="3"/>
      <c r="HZA127" s="3"/>
      <c r="HZB127" s="3"/>
      <c r="HZC127" s="3"/>
      <c r="HZD127" s="3"/>
      <c r="HZE127" s="3"/>
      <c r="HZF127" s="3"/>
      <c r="HZG127" s="3"/>
      <c r="HZH127" s="3"/>
      <c r="HZI127" s="3"/>
      <c r="HZJ127" s="3"/>
      <c r="HZK127" s="3"/>
      <c r="HZL127" s="3"/>
      <c r="HZM127" s="3"/>
      <c r="HZN127" s="3"/>
      <c r="HZO127" s="3"/>
      <c r="HZP127" s="3"/>
      <c r="HZQ127" s="3"/>
      <c r="HZR127" s="3"/>
      <c r="HZS127" s="3"/>
      <c r="HZT127" s="3"/>
      <c r="HZU127" s="3"/>
      <c r="HZV127" s="3"/>
      <c r="HZW127" s="3"/>
      <c r="HZX127" s="3"/>
      <c r="HZY127" s="3"/>
      <c r="HZZ127" s="3"/>
      <c r="IAA127" s="3"/>
      <c r="IAB127" s="3"/>
      <c r="IAC127" s="3"/>
      <c r="IAD127" s="3"/>
      <c r="IAE127" s="3"/>
      <c r="IAF127" s="3"/>
      <c r="IAG127" s="3"/>
      <c r="IAH127" s="3"/>
      <c r="IAI127" s="3"/>
      <c r="IAJ127" s="3"/>
      <c r="IAK127" s="3"/>
      <c r="IAL127" s="3"/>
      <c r="IAM127" s="3"/>
      <c r="IAN127" s="3"/>
      <c r="IAO127" s="3"/>
      <c r="IAP127" s="3"/>
      <c r="IAQ127" s="3"/>
      <c r="IAR127" s="3"/>
      <c r="IAS127" s="3"/>
      <c r="IAT127" s="3"/>
      <c r="IAU127" s="3"/>
      <c r="IAV127" s="3"/>
      <c r="IAW127" s="3"/>
      <c r="IAX127" s="3"/>
      <c r="IAY127" s="3"/>
      <c r="IAZ127" s="3"/>
      <c r="IBA127" s="3"/>
      <c r="IBB127" s="3"/>
      <c r="IBC127" s="3"/>
      <c r="IBD127" s="3"/>
      <c r="IBE127" s="3"/>
      <c r="IBF127" s="3"/>
      <c r="IBG127" s="3"/>
      <c r="IBH127" s="3"/>
      <c r="IBI127" s="3"/>
      <c r="IBJ127" s="3"/>
      <c r="IBK127" s="3"/>
      <c r="IBL127" s="3"/>
      <c r="IBM127" s="3"/>
      <c r="IBN127" s="3"/>
      <c r="IBO127" s="3"/>
      <c r="IBP127" s="3"/>
      <c r="IBQ127" s="3"/>
      <c r="IBR127" s="3"/>
      <c r="IBS127" s="3"/>
      <c r="IBT127" s="3"/>
      <c r="IBU127" s="3"/>
      <c r="IBV127" s="3"/>
      <c r="IBW127" s="3"/>
      <c r="IBX127" s="3"/>
      <c r="IBY127" s="3"/>
      <c r="IBZ127" s="3"/>
      <c r="ICA127" s="3"/>
      <c r="ICB127" s="3"/>
      <c r="ICC127" s="3"/>
      <c r="ICD127" s="3"/>
      <c r="ICE127" s="3"/>
      <c r="ICF127" s="3"/>
      <c r="ICG127" s="3"/>
      <c r="ICH127" s="3"/>
      <c r="ICI127" s="3"/>
      <c r="ICJ127" s="3"/>
      <c r="ICK127" s="3"/>
      <c r="ICL127" s="3"/>
      <c r="ICM127" s="3"/>
      <c r="ICN127" s="3"/>
      <c r="ICO127" s="3"/>
      <c r="ICP127" s="3"/>
      <c r="ICQ127" s="3"/>
      <c r="ICR127" s="3"/>
      <c r="ICS127" s="3"/>
      <c r="ICT127" s="3"/>
      <c r="ICU127" s="3"/>
      <c r="ICV127" s="3"/>
      <c r="ICW127" s="3"/>
      <c r="ICX127" s="3"/>
      <c r="ICY127" s="3"/>
      <c r="ICZ127" s="3"/>
      <c r="IDA127" s="3"/>
      <c r="IDB127" s="3"/>
      <c r="IDC127" s="3"/>
      <c r="IDD127" s="3"/>
      <c r="IDE127" s="3"/>
      <c r="IDF127" s="3"/>
      <c r="IDG127" s="3"/>
      <c r="IDH127" s="3"/>
      <c r="IDI127" s="3"/>
      <c r="IDJ127" s="3"/>
      <c r="IDK127" s="3"/>
      <c r="IDL127" s="3"/>
      <c r="IDM127" s="3"/>
      <c r="IDN127" s="3"/>
      <c r="IDO127" s="3"/>
      <c r="IDP127" s="3"/>
      <c r="IDQ127" s="3"/>
      <c r="IDR127" s="3"/>
      <c r="IDS127" s="3"/>
      <c r="IDT127" s="3"/>
      <c r="IDU127" s="3"/>
      <c r="IDV127" s="3"/>
      <c r="IDW127" s="3"/>
      <c r="IDX127" s="3"/>
      <c r="IDY127" s="3"/>
      <c r="IDZ127" s="3"/>
      <c r="IEA127" s="3"/>
      <c r="IEB127" s="3"/>
      <c r="IEC127" s="3"/>
      <c r="IED127" s="3"/>
      <c r="IEE127" s="3"/>
      <c r="IEF127" s="3"/>
      <c r="IEG127" s="3"/>
      <c r="IEH127" s="3"/>
      <c r="IEI127" s="3"/>
      <c r="IEJ127" s="3"/>
      <c r="IEK127" s="3"/>
      <c r="IEL127" s="3"/>
      <c r="IEM127" s="3"/>
      <c r="IEN127" s="3"/>
      <c r="IEO127" s="3"/>
      <c r="IEP127" s="3"/>
      <c r="IEQ127" s="3"/>
      <c r="IER127" s="3"/>
      <c r="IES127" s="3"/>
      <c r="IET127" s="3"/>
      <c r="IEU127" s="3"/>
      <c r="IEV127" s="3"/>
      <c r="IEW127" s="3"/>
      <c r="IEX127" s="3"/>
      <c r="IEY127" s="3"/>
      <c r="IEZ127" s="3"/>
      <c r="IFA127" s="3"/>
      <c r="IFB127" s="3"/>
      <c r="IFC127" s="3"/>
      <c r="IFD127" s="3"/>
      <c r="IFE127" s="3"/>
      <c r="IFF127" s="3"/>
      <c r="IFG127" s="3"/>
      <c r="IFH127" s="3"/>
      <c r="IFI127" s="3"/>
      <c r="IFJ127" s="3"/>
      <c r="IFK127" s="3"/>
      <c r="IFL127" s="3"/>
      <c r="IFM127" s="3"/>
      <c r="IFN127" s="3"/>
      <c r="IFO127" s="3"/>
      <c r="IFP127" s="3"/>
      <c r="IFQ127" s="3"/>
      <c r="IFR127" s="3"/>
      <c r="IFS127" s="3"/>
      <c r="IFT127" s="3"/>
      <c r="IFU127" s="3"/>
      <c r="IFV127" s="3"/>
      <c r="IFW127" s="3"/>
      <c r="IFX127" s="3"/>
      <c r="IFY127" s="3"/>
      <c r="IFZ127" s="3"/>
      <c r="IGA127" s="3"/>
      <c r="IGB127" s="3"/>
      <c r="IGC127" s="3"/>
      <c r="IGD127" s="3"/>
      <c r="IGE127" s="3"/>
      <c r="IGF127" s="3"/>
      <c r="IGG127" s="3"/>
      <c r="IGH127" s="3"/>
      <c r="IGI127" s="3"/>
      <c r="IGJ127" s="3"/>
      <c r="IGK127" s="3"/>
      <c r="IGL127" s="3"/>
      <c r="IGM127" s="3"/>
      <c r="IGN127" s="3"/>
      <c r="IGO127" s="3"/>
      <c r="IGP127" s="3"/>
      <c r="IGQ127" s="3"/>
      <c r="IGR127" s="3"/>
      <c r="IGS127" s="3"/>
      <c r="IGT127" s="3"/>
      <c r="IGU127" s="3"/>
      <c r="IGV127" s="3"/>
      <c r="IGW127" s="3"/>
      <c r="IGX127" s="3"/>
      <c r="IGY127" s="3"/>
      <c r="IGZ127" s="3"/>
      <c r="IHA127" s="3"/>
      <c r="IHB127" s="3"/>
      <c r="IHC127" s="3"/>
      <c r="IHD127" s="3"/>
      <c r="IHE127" s="3"/>
      <c r="IHF127" s="3"/>
      <c r="IHG127" s="3"/>
      <c r="IHH127" s="3"/>
      <c r="IHI127" s="3"/>
      <c r="IHJ127" s="3"/>
      <c r="IHK127" s="3"/>
      <c r="IHL127" s="3"/>
      <c r="IHM127" s="3"/>
      <c r="IHN127" s="3"/>
      <c r="IHO127" s="3"/>
      <c r="IHP127" s="3"/>
      <c r="IHQ127" s="3"/>
      <c r="IHR127" s="3"/>
      <c r="IHS127" s="3"/>
      <c r="IHT127" s="3"/>
      <c r="IHU127" s="3"/>
      <c r="IHV127" s="3"/>
      <c r="IHW127" s="3"/>
      <c r="IHX127" s="3"/>
      <c r="IHY127" s="3"/>
      <c r="IHZ127" s="3"/>
      <c r="IIA127" s="3"/>
      <c r="IIB127" s="3"/>
      <c r="IIC127" s="3"/>
      <c r="IID127" s="3"/>
      <c r="IIE127" s="3"/>
      <c r="IIF127" s="3"/>
      <c r="IIG127" s="3"/>
      <c r="IIH127" s="3"/>
      <c r="III127" s="3"/>
      <c r="IIJ127" s="3"/>
      <c r="IIK127" s="3"/>
      <c r="IIL127" s="3"/>
      <c r="IIM127" s="3"/>
      <c r="IIN127" s="3"/>
      <c r="IIO127" s="3"/>
      <c r="IIP127" s="3"/>
      <c r="IIQ127" s="3"/>
      <c r="IIR127" s="3"/>
      <c r="IIS127" s="3"/>
      <c r="IIT127" s="3"/>
      <c r="IIU127" s="3"/>
      <c r="IIV127" s="3"/>
      <c r="IIW127" s="3"/>
      <c r="IIX127" s="3"/>
      <c r="IIY127" s="3"/>
      <c r="IIZ127" s="3"/>
      <c r="IJA127" s="3"/>
      <c r="IJB127" s="3"/>
      <c r="IJC127" s="3"/>
      <c r="IJD127" s="3"/>
      <c r="IJE127" s="3"/>
      <c r="IJF127" s="3"/>
      <c r="IJG127" s="3"/>
      <c r="IJH127" s="3"/>
      <c r="IJI127" s="3"/>
      <c r="IJJ127" s="3"/>
      <c r="IJK127" s="3"/>
      <c r="IJL127" s="3"/>
      <c r="IJM127" s="3"/>
      <c r="IJN127" s="3"/>
      <c r="IJO127" s="3"/>
      <c r="IJP127" s="3"/>
      <c r="IJQ127" s="3"/>
      <c r="IJR127" s="3"/>
      <c r="IJS127" s="3"/>
      <c r="IJT127" s="3"/>
      <c r="IJU127" s="3"/>
      <c r="IJV127" s="3"/>
      <c r="IJW127" s="3"/>
      <c r="IJX127" s="3"/>
      <c r="IJY127" s="3"/>
      <c r="IJZ127" s="3"/>
      <c r="IKA127" s="3"/>
      <c r="IKB127" s="3"/>
      <c r="IKC127" s="3"/>
      <c r="IKD127" s="3"/>
      <c r="IKE127" s="3"/>
      <c r="IKF127" s="3"/>
      <c r="IKG127" s="3"/>
      <c r="IKH127" s="3"/>
      <c r="IKI127" s="3"/>
      <c r="IKJ127" s="3"/>
      <c r="IKK127" s="3"/>
      <c r="IKL127" s="3"/>
      <c r="IKM127" s="3"/>
      <c r="IKN127" s="3"/>
      <c r="IKO127" s="3"/>
      <c r="IKP127" s="3"/>
      <c r="IKQ127" s="3"/>
      <c r="IKR127" s="3"/>
      <c r="IKS127" s="3"/>
      <c r="IKT127" s="3"/>
      <c r="IKU127" s="3"/>
      <c r="IKV127" s="3"/>
      <c r="IKW127" s="3"/>
      <c r="IKX127" s="3"/>
      <c r="IKY127" s="3"/>
      <c r="IKZ127" s="3"/>
      <c r="ILA127" s="3"/>
      <c r="ILB127" s="3"/>
      <c r="ILC127" s="3"/>
      <c r="ILD127" s="3"/>
      <c r="ILE127" s="3"/>
      <c r="ILF127" s="3"/>
      <c r="ILG127" s="3"/>
      <c r="ILH127" s="3"/>
      <c r="ILI127" s="3"/>
      <c r="ILJ127" s="3"/>
      <c r="ILK127" s="3"/>
      <c r="ILL127" s="3"/>
      <c r="ILM127" s="3"/>
      <c r="ILN127" s="3"/>
      <c r="ILO127" s="3"/>
      <c r="ILP127" s="3"/>
      <c r="ILQ127" s="3"/>
      <c r="ILR127" s="3"/>
      <c r="ILS127" s="3"/>
      <c r="ILT127" s="3"/>
      <c r="ILU127" s="3"/>
      <c r="ILV127" s="3"/>
      <c r="ILW127" s="3"/>
      <c r="ILX127" s="3"/>
      <c r="ILY127" s="3"/>
      <c r="ILZ127" s="3"/>
      <c r="IMA127" s="3"/>
      <c r="IMB127" s="3"/>
      <c r="IMC127" s="3"/>
      <c r="IMD127" s="3"/>
      <c r="IME127" s="3"/>
      <c r="IMF127" s="3"/>
      <c r="IMG127" s="3"/>
      <c r="IMH127" s="3"/>
      <c r="IMI127" s="3"/>
      <c r="IMJ127" s="3"/>
      <c r="IMK127" s="3"/>
      <c r="IML127" s="3"/>
      <c r="IMM127" s="3"/>
      <c r="IMN127" s="3"/>
      <c r="IMO127" s="3"/>
      <c r="IMP127" s="3"/>
      <c r="IMQ127" s="3"/>
      <c r="IMR127" s="3"/>
      <c r="IMS127" s="3"/>
      <c r="IMT127" s="3"/>
      <c r="IMU127" s="3"/>
      <c r="IMV127" s="3"/>
      <c r="IMW127" s="3"/>
      <c r="IMX127" s="3"/>
      <c r="IMY127" s="3"/>
      <c r="IMZ127" s="3"/>
      <c r="INA127" s="3"/>
      <c r="INB127" s="3"/>
      <c r="INC127" s="3"/>
      <c r="IND127" s="3"/>
      <c r="INE127" s="3"/>
      <c r="INF127" s="3"/>
      <c r="ING127" s="3"/>
      <c r="INH127" s="3"/>
      <c r="INI127" s="3"/>
      <c r="INJ127" s="3"/>
      <c r="INK127" s="3"/>
      <c r="INL127" s="3"/>
      <c r="INM127" s="3"/>
      <c r="INN127" s="3"/>
      <c r="INO127" s="3"/>
      <c r="INP127" s="3"/>
      <c r="INQ127" s="3"/>
      <c r="INR127" s="3"/>
      <c r="INS127" s="3"/>
      <c r="INT127" s="3"/>
      <c r="INU127" s="3"/>
      <c r="INV127" s="3"/>
      <c r="INW127" s="3"/>
      <c r="INX127" s="3"/>
      <c r="INY127" s="3"/>
      <c r="INZ127" s="3"/>
      <c r="IOA127" s="3"/>
      <c r="IOB127" s="3"/>
      <c r="IOC127" s="3"/>
      <c r="IOD127" s="3"/>
      <c r="IOE127" s="3"/>
      <c r="IOF127" s="3"/>
      <c r="IOG127" s="3"/>
      <c r="IOH127" s="3"/>
      <c r="IOI127" s="3"/>
      <c r="IOJ127" s="3"/>
      <c r="IOK127" s="3"/>
      <c r="IOL127" s="3"/>
      <c r="IOM127" s="3"/>
      <c r="ION127" s="3"/>
      <c r="IOO127" s="3"/>
      <c r="IOP127" s="3"/>
      <c r="IOQ127" s="3"/>
      <c r="IOR127" s="3"/>
      <c r="IOS127" s="3"/>
      <c r="IOT127" s="3"/>
      <c r="IOU127" s="3"/>
      <c r="IOV127" s="3"/>
      <c r="IOW127" s="3"/>
      <c r="IOX127" s="3"/>
      <c r="IOY127" s="3"/>
      <c r="IOZ127" s="3"/>
      <c r="IPA127" s="3"/>
      <c r="IPB127" s="3"/>
      <c r="IPC127" s="3"/>
      <c r="IPD127" s="3"/>
      <c r="IPE127" s="3"/>
      <c r="IPF127" s="3"/>
      <c r="IPG127" s="3"/>
      <c r="IPH127" s="3"/>
      <c r="IPI127" s="3"/>
      <c r="IPJ127" s="3"/>
      <c r="IPK127" s="3"/>
      <c r="IPL127" s="3"/>
      <c r="IPM127" s="3"/>
      <c r="IPN127" s="3"/>
      <c r="IPO127" s="3"/>
      <c r="IPP127" s="3"/>
      <c r="IPQ127" s="3"/>
      <c r="IPR127" s="3"/>
      <c r="IPS127" s="3"/>
      <c r="IPT127" s="3"/>
      <c r="IPU127" s="3"/>
      <c r="IPV127" s="3"/>
      <c r="IPW127" s="3"/>
      <c r="IPX127" s="3"/>
      <c r="IPY127" s="3"/>
      <c r="IPZ127" s="3"/>
      <c r="IQA127" s="3"/>
      <c r="IQB127" s="3"/>
      <c r="IQC127" s="3"/>
      <c r="IQD127" s="3"/>
      <c r="IQE127" s="3"/>
      <c r="IQF127" s="3"/>
      <c r="IQG127" s="3"/>
      <c r="IQH127" s="3"/>
      <c r="IQI127" s="3"/>
      <c r="IQJ127" s="3"/>
      <c r="IQK127" s="3"/>
      <c r="IQL127" s="3"/>
      <c r="IQM127" s="3"/>
      <c r="IQN127" s="3"/>
      <c r="IQO127" s="3"/>
      <c r="IQP127" s="3"/>
      <c r="IQQ127" s="3"/>
      <c r="IQR127" s="3"/>
      <c r="IQS127" s="3"/>
      <c r="IQT127" s="3"/>
      <c r="IQU127" s="3"/>
      <c r="IQV127" s="3"/>
      <c r="IQW127" s="3"/>
      <c r="IQX127" s="3"/>
      <c r="IQY127" s="3"/>
      <c r="IQZ127" s="3"/>
      <c r="IRA127" s="3"/>
      <c r="IRB127" s="3"/>
      <c r="IRC127" s="3"/>
      <c r="IRD127" s="3"/>
      <c r="IRE127" s="3"/>
      <c r="IRF127" s="3"/>
      <c r="IRG127" s="3"/>
      <c r="IRH127" s="3"/>
      <c r="IRI127" s="3"/>
      <c r="IRJ127" s="3"/>
      <c r="IRK127" s="3"/>
      <c r="IRL127" s="3"/>
      <c r="IRM127" s="3"/>
      <c r="IRN127" s="3"/>
      <c r="IRO127" s="3"/>
      <c r="IRP127" s="3"/>
      <c r="IRQ127" s="3"/>
      <c r="IRR127" s="3"/>
      <c r="IRS127" s="3"/>
      <c r="IRT127" s="3"/>
      <c r="IRU127" s="3"/>
      <c r="IRV127" s="3"/>
      <c r="IRW127" s="3"/>
      <c r="IRX127" s="3"/>
      <c r="IRY127" s="3"/>
      <c r="IRZ127" s="3"/>
      <c r="ISA127" s="3"/>
      <c r="ISB127" s="3"/>
      <c r="ISC127" s="3"/>
      <c r="ISD127" s="3"/>
      <c r="ISE127" s="3"/>
      <c r="ISF127" s="3"/>
      <c r="ISG127" s="3"/>
      <c r="ISH127" s="3"/>
      <c r="ISI127" s="3"/>
      <c r="ISJ127" s="3"/>
      <c r="ISK127" s="3"/>
      <c r="ISL127" s="3"/>
      <c r="ISM127" s="3"/>
      <c r="ISN127" s="3"/>
      <c r="ISO127" s="3"/>
      <c r="ISP127" s="3"/>
      <c r="ISQ127" s="3"/>
      <c r="ISR127" s="3"/>
      <c r="ISS127" s="3"/>
      <c r="IST127" s="3"/>
      <c r="ISU127" s="3"/>
      <c r="ISV127" s="3"/>
      <c r="ISW127" s="3"/>
      <c r="ISX127" s="3"/>
      <c r="ISY127" s="3"/>
      <c r="ISZ127" s="3"/>
      <c r="ITA127" s="3"/>
      <c r="ITB127" s="3"/>
      <c r="ITC127" s="3"/>
      <c r="ITD127" s="3"/>
      <c r="ITE127" s="3"/>
      <c r="ITF127" s="3"/>
      <c r="ITG127" s="3"/>
      <c r="ITH127" s="3"/>
      <c r="ITI127" s="3"/>
      <c r="ITJ127" s="3"/>
      <c r="ITK127" s="3"/>
      <c r="ITL127" s="3"/>
      <c r="ITM127" s="3"/>
      <c r="ITN127" s="3"/>
      <c r="ITO127" s="3"/>
      <c r="ITP127" s="3"/>
      <c r="ITQ127" s="3"/>
      <c r="ITR127" s="3"/>
      <c r="ITS127" s="3"/>
      <c r="ITT127" s="3"/>
      <c r="ITU127" s="3"/>
      <c r="ITV127" s="3"/>
      <c r="ITW127" s="3"/>
      <c r="ITX127" s="3"/>
      <c r="ITY127" s="3"/>
      <c r="ITZ127" s="3"/>
      <c r="IUA127" s="3"/>
      <c r="IUB127" s="3"/>
      <c r="IUC127" s="3"/>
      <c r="IUD127" s="3"/>
      <c r="IUE127" s="3"/>
      <c r="IUF127" s="3"/>
      <c r="IUG127" s="3"/>
      <c r="IUH127" s="3"/>
      <c r="IUI127" s="3"/>
      <c r="IUJ127" s="3"/>
      <c r="IUK127" s="3"/>
      <c r="IUL127" s="3"/>
      <c r="IUM127" s="3"/>
      <c r="IUN127" s="3"/>
      <c r="IUO127" s="3"/>
      <c r="IUP127" s="3"/>
      <c r="IUQ127" s="3"/>
      <c r="IUR127" s="3"/>
      <c r="IUS127" s="3"/>
      <c r="IUT127" s="3"/>
      <c r="IUU127" s="3"/>
      <c r="IUV127" s="3"/>
      <c r="IUW127" s="3"/>
      <c r="IUX127" s="3"/>
      <c r="IUY127" s="3"/>
      <c r="IUZ127" s="3"/>
      <c r="IVA127" s="3"/>
      <c r="IVB127" s="3"/>
      <c r="IVC127" s="3"/>
      <c r="IVD127" s="3"/>
      <c r="IVE127" s="3"/>
      <c r="IVF127" s="3"/>
      <c r="IVG127" s="3"/>
      <c r="IVH127" s="3"/>
      <c r="IVI127" s="3"/>
      <c r="IVJ127" s="3"/>
      <c r="IVK127" s="3"/>
      <c r="IVL127" s="3"/>
      <c r="IVM127" s="3"/>
      <c r="IVN127" s="3"/>
      <c r="IVO127" s="3"/>
      <c r="IVP127" s="3"/>
      <c r="IVQ127" s="3"/>
      <c r="IVR127" s="3"/>
      <c r="IVS127" s="3"/>
      <c r="IVT127" s="3"/>
      <c r="IVU127" s="3"/>
      <c r="IVV127" s="3"/>
      <c r="IVW127" s="3"/>
      <c r="IVX127" s="3"/>
      <c r="IVY127" s="3"/>
      <c r="IVZ127" s="3"/>
      <c r="IWA127" s="3"/>
      <c r="IWB127" s="3"/>
      <c r="IWC127" s="3"/>
      <c r="IWD127" s="3"/>
      <c r="IWE127" s="3"/>
      <c r="IWF127" s="3"/>
      <c r="IWG127" s="3"/>
      <c r="IWH127" s="3"/>
      <c r="IWI127" s="3"/>
      <c r="IWJ127" s="3"/>
      <c r="IWK127" s="3"/>
      <c r="IWL127" s="3"/>
      <c r="IWM127" s="3"/>
      <c r="IWN127" s="3"/>
      <c r="IWO127" s="3"/>
      <c r="IWP127" s="3"/>
      <c r="IWQ127" s="3"/>
      <c r="IWR127" s="3"/>
      <c r="IWS127" s="3"/>
      <c r="IWT127" s="3"/>
      <c r="IWU127" s="3"/>
      <c r="IWV127" s="3"/>
      <c r="IWW127" s="3"/>
      <c r="IWX127" s="3"/>
      <c r="IWY127" s="3"/>
      <c r="IWZ127" s="3"/>
      <c r="IXA127" s="3"/>
      <c r="IXB127" s="3"/>
      <c r="IXC127" s="3"/>
      <c r="IXD127" s="3"/>
      <c r="IXE127" s="3"/>
      <c r="IXF127" s="3"/>
      <c r="IXG127" s="3"/>
      <c r="IXH127" s="3"/>
      <c r="IXI127" s="3"/>
      <c r="IXJ127" s="3"/>
      <c r="IXK127" s="3"/>
      <c r="IXL127" s="3"/>
      <c r="IXM127" s="3"/>
      <c r="IXN127" s="3"/>
      <c r="IXO127" s="3"/>
      <c r="IXP127" s="3"/>
      <c r="IXQ127" s="3"/>
      <c r="IXR127" s="3"/>
      <c r="IXS127" s="3"/>
      <c r="IXT127" s="3"/>
      <c r="IXU127" s="3"/>
      <c r="IXV127" s="3"/>
      <c r="IXW127" s="3"/>
      <c r="IXX127" s="3"/>
      <c r="IXY127" s="3"/>
      <c r="IXZ127" s="3"/>
      <c r="IYA127" s="3"/>
      <c r="IYB127" s="3"/>
      <c r="IYC127" s="3"/>
      <c r="IYD127" s="3"/>
      <c r="IYE127" s="3"/>
      <c r="IYF127" s="3"/>
      <c r="IYG127" s="3"/>
      <c r="IYH127" s="3"/>
      <c r="IYI127" s="3"/>
      <c r="IYJ127" s="3"/>
      <c r="IYK127" s="3"/>
      <c r="IYL127" s="3"/>
      <c r="IYM127" s="3"/>
      <c r="IYN127" s="3"/>
      <c r="IYO127" s="3"/>
      <c r="IYP127" s="3"/>
      <c r="IYQ127" s="3"/>
      <c r="IYR127" s="3"/>
      <c r="IYS127" s="3"/>
      <c r="IYT127" s="3"/>
      <c r="IYU127" s="3"/>
      <c r="IYV127" s="3"/>
      <c r="IYW127" s="3"/>
      <c r="IYX127" s="3"/>
      <c r="IYY127" s="3"/>
      <c r="IYZ127" s="3"/>
      <c r="IZA127" s="3"/>
      <c r="IZB127" s="3"/>
      <c r="IZC127" s="3"/>
      <c r="IZD127" s="3"/>
      <c r="IZE127" s="3"/>
      <c r="IZF127" s="3"/>
      <c r="IZG127" s="3"/>
      <c r="IZH127" s="3"/>
      <c r="IZI127" s="3"/>
      <c r="IZJ127" s="3"/>
      <c r="IZK127" s="3"/>
      <c r="IZL127" s="3"/>
      <c r="IZM127" s="3"/>
      <c r="IZN127" s="3"/>
      <c r="IZO127" s="3"/>
      <c r="IZP127" s="3"/>
      <c r="IZQ127" s="3"/>
      <c r="IZR127" s="3"/>
      <c r="IZS127" s="3"/>
      <c r="IZT127" s="3"/>
      <c r="IZU127" s="3"/>
      <c r="IZV127" s="3"/>
      <c r="IZW127" s="3"/>
      <c r="IZX127" s="3"/>
      <c r="IZY127" s="3"/>
      <c r="IZZ127" s="3"/>
      <c r="JAA127" s="3"/>
      <c r="JAB127" s="3"/>
      <c r="JAC127" s="3"/>
      <c r="JAD127" s="3"/>
      <c r="JAE127" s="3"/>
      <c r="JAF127" s="3"/>
      <c r="JAG127" s="3"/>
      <c r="JAH127" s="3"/>
      <c r="JAI127" s="3"/>
      <c r="JAJ127" s="3"/>
      <c r="JAK127" s="3"/>
      <c r="JAL127" s="3"/>
      <c r="JAM127" s="3"/>
      <c r="JAN127" s="3"/>
      <c r="JAO127" s="3"/>
      <c r="JAP127" s="3"/>
      <c r="JAQ127" s="3"/>
      <c r="JAR127" s="3"/>
      <c r="JAS127" s="3"/>
      <c r="JAT127" s="3"/>
      <c r="JAU127" s="3"/>
      <c r="JAV127" s="3"/>
      <c r="JAW127" s="3"/>
      <c r="JAX127" s="3"/>
      <c r="JAY127" s="3"/>
      <c r="JAZ127" s="3"/>
      <c r="JBA127" s="3"/>
      <c r="JBB127" s="3"/>
      <c r="JBC127" s="3"/>
      <c r="JBD127" s="3"/>
      <c r="JBE127" s="3"/>
      <c r="JBF127" s="3"/>
      <c r="JBG127" s="3"/>
      <c r="JBH127" s="3"/>
      <c r="JBI127" s="3"/>
      <c r="JBJ127" s="3"/>
      <c r="JBK127" s="3"/>
      <c r="JBL127" s="3"/>
      <c r="JBM127" s="3"/>
      <c r="JBN127" s="3"/>
      <c r="JBO127" s="3"/>
      <c r="JBP127" s="3"/>
      <c r="JBQ127" s="3"/>
      <c r="JBR127" s="3"/>
      <c r="JBS127" s="3"/>
      <c r="JBT127" s="3"/>
      <c r="JBU127" s="3"/>
      <c r="JBV127" s="3"/>
      <c r="JBW127" s="3"/>
      <c r="JBX127" s="3"/>
      <c r="JBY127" s="3"/>
      <c r="JBZ127" s="3"/>
      <c r="JCA127" s="3"/>
      <c r="JCB127" s="3"/>
      <c r="JCC127" s="3"/>
      <c r="JCD127" s="3"/>
      <c r="JCE127" s="3"/>
      <c r="JCF127" s="3"/>
      <c r="JCG127" s="3"/>
      <c r="JCH127" s="3"/>
      <c r="JCI127" s="3"/>
      <c r="JCJ127" s="3"/>
      <c r="JCK127" s="3"/>
      <c r="JCL127" s="3"/>
      <c r="JCM127" s="3"/>
      <c r="JCN127" s="3"/>
      <c r="JCO127" s="3"/>
      <c r="JCP127" s="3"/>
      <c r="JCQ127" s="3"/>
      <c r="JCR127" s="3"/>
      <c r="JCS127" s="3"/>
      <c r="JCT127" s="3"/>
      <c r="JCU127" s="3"/>
      <c r="JCV127" s="3"/>
      <c r="JCW127" s="3"/>
      <c r="JCX127" s="3"/>
      <c r="JCY127" s="3"/>
      <c r="JCZ127" s="3"/>
      <c r="JDA127" s="3"/>
      <c r="JDB127" s="3"/>
      <c r="JDC127" s="3"/>
      <c r="JDD127" s="3"/>
      <c r="JDE127" s="3"/>
      <c r="JDF127" s="3"/>
      <c r="JDG127" s="3"/>
      <c r="JDH127" s="3"/>
      <c r="JDI127" s="3"/>
      <c r="JDJ127" s="3"/>
      <c r="JDK127" s="3"/>
      <c r="JDL127" s="3"/>
      <c r="JDM127" s="3"/>
      <c r="JDN127" s="3"/>
      <c r="JDO127" s="3"/>
      <c r="JDP127" s="3"/>
      <c r="JDQ127" s="3"/>
      <c r="JDR127" s="3"/>
      <c r="JDS127" s="3"/>
      <c r="JDT127" s="3"/>
      <c r="JDU127" s="3"/>
      <c r="JDV127" s="3"/>
      <c r="JDW127" s="3"/>
      <c r="JDX127" s="3"/>
      <c r="JDY127" s="3"/>
      <c r="JDZ127" s="3"/>
      <c r="JEA127" s="3"/>
      <c r="JEB127" s="3"/>
      <c r="JEC127" s="3"/>
      <c r="JED127" s="3"/>
      <c r="JEE127" s="3"/>
      <c r="JEF127" s="3"/>
      <c r="JEG127" s="3"/>
      <c r="JEH127" s="3"/>
      <c r="JEI127" s="3"/>
      <c r="JEJ127" s="3"/>
      <c r="JEK127" s="3"/>
      <c r="JEL127" s="3"/>
      <c r="JEM127" s="3"/>
      <c r="JEN127" s="3"/>
      <c r="JEO127" s="3"/>
      <c r="JEP127" s="3"/>
      <c r="JEQ127" s="3"/>
      <c r="JER127" s="3"/>
      <c r="JES127" s="3"/>
      <c r="JET127" s="3"/>
      <c r="JEU127" s="3"/>
      <c r="JEV127" s="3"/>
      <c r="JEW127" s="3"/>
      <c r="JEX127" s="3"/>
      <c r="JEY127" s="3"/>
      <c r="JEZ127" s="3"/>
      <c r="JFA127" s="3"/>
      <c r="JFB127" s="3"/>
      <c r="JFC127" s="3"/>
      <c r="JFD127" s="3"/>
      <c r="JFE127" s="3"/>
      <c r="JFF127" s="3"/>
      <c r="JFG127" s="3"/>
      <c r="JFH127" s="3"/>
      <c r="JFI127" s="3"/>
      <c r="JFJ127" s="3"/>
      <c r="JFK127" s="3"/>
      <c r="JFL127" s="3"/>
      <c r="JFM127" s="3"/>
      <c r="JFN127" s="3"/>
      <c r="JFO127" s="3"/>
      <c r="JFP127" s="3"/>
      <c r="JFQ127" s="3"/>
      <c r="JFR127" s="3"/>
      <c r="JFS127" s="3"/>
      <c r="JFT127" s="3"/>
      <c r="JFU127" s="3"/>
      <c r="JFV127" s="3"/>
      <c r="JFW127" s="3"/>
      <c r="JFX127" s="3"/>
      <c r="JFY127" s="3"/>
      <c r="JFZ127" s="3"/>
      <c r="JGA127" s="3"/>
      <c r="JGB127" s="3"/>
      <c r="JGC127" s="3"/>
      <c r="JGD127" s="3"/>
      <c r="JGE127" s="3"/>
      <c r="JGF127" s="3"/>
      <c r="JGG127" s="3"/>
      <c r="JGH127" s="3"/>
      <c r="JGI127" s="3"/>
      <c r="JGJ127" s="3"/>
      <c r="JGK127" s="3"/>
      <c r="JGL127" s="3"/>
      <c r="JGM127" s="3"/>
      <c r="JGN127" s="3"/>
      <c r="JGO127" s="3"/>
      <c r="JGP127" s="3"/>
      <c r="JGQ127" s="3"/>
      <c r="JGR127" s="3"/>
      <c r="JGS127" s="3"/>
      <c r="JGT127" s="3"/>
      <c r="JGU127" s="3"/>
      <c r="JGV127" s="3"/>
      <c r="JGW127" s="3"/>
      <c r="JGX127" s="3"/>
      <c r="JGY127" s="3"/>
      <c r="JGZ127" s="3"/>
      <c r="JHA127" s="3"/>
      <c r="JHB127" s="3"/>
      <c r="JHC127" s="3"/>
      <c r="JHD127" s="3"/>
      <c r="JHE127" s="3"/>
      <c r="JHF127" s="3"/>
      <c r="JHG127" s="3"/>
      <c r="JHH127" s="3"/>
      <c r="JHI127" s="3"/>
      <c r="JHJ127" s="3"/>
      <c r="JHK127" s="3"/>
      <c r="JHL127" s="3"/>
      <c r="JHM127" s="3"/>
      <c r="JHN127" s="3"/>
      <c r="JHO127" s="3"/>
      <c r="JHP127" s="3"/>
      <c r="JHQ127" s="3"/>
      <c r="JHR127" s="3"/>
      <c r="JHS127" s="3"/>
      <c r="JHT127" s="3"/>
      <c r="JHU127" s="3"/>
      <c r="JHV127" s="3"/>
      <c r="JHW127" s="3"/>
      <c r="JHX127" s="3"/>
      <c r="JHY127" s="3"/>
      <c r="JHZ127" s="3"/>
      <c r="JIA127" s="3"/>
      <c r="JIB127" s="3"/>
      <c r="JIC127" s="3"/>
      <c r="JID127" s="3"/>
      <c r="JIE127" s="3"/>
      <c r="JIF127" s="3"/>
      <c r="JIG127" s="3"/>
      <c r="JIH127" s="3"/>
      <c r="JII127" s="3"/>
      <c r="JIJ127" s="3"/>
      <c r="JIK127" s="3"/>
      <c r="JIL127" s="3"/>
      <c r="JIM127" s="3"/>
      <c r="JIN127" s="3"/>
      <c r="JIO127" s="3"/>
      <c r="JIP127" s="3"/>
      <c r="JIQ127" s="3"/>
      <c r="JIR127" s="3"/>
      <c r="JIS127" s="3"/>
      <c r="JIT127" s="3"/>
      <c r="JIU127" s="3"/>
      <c r="JIV127" s="3"/>
      <c r="JIW127" s="3"/>
      <c r="JIX127" s="3"/>
      <c r="JIY127" s="3"/>
      <c r="JIZ127" s="3"/>
      <c r="JJA127" s="3"/>
      <c r="JJB127" s="3"/>
      <c r="JJC127" s="3"/>
      <c r="JJD127" s="3"/>
      <c r="JJE127" s="3"/>
      <c r="JJF127" s="3"/>
      <c r="JJG127" s="3"/>
      <c r="JJH127" s="3"/>
      <c r="JJI127" s="3"/>
      <c r="JJJ127" s="3"/>
      <c r="JJK127" s="3"/>
      <c r="JJL127" s="3"/>
      <c r="JJM127" s="3"/>
      <c r="JJN127" s="3"/>
      <c r="JJO127" s="3"/>
      <c r="JJP127" s="3"/>
      <c r="JJQ127" s="3"/>
      <c r="JJR127" s="3"/>
      <c r="JJS127" s="3"/>
      <c r="JJT127" s="3"/>
      <c r="JJU127" s="3"/>
      <c r="JJV127" s="3"/>
      <c r="JJW127" s="3"/>
      <c r="JJX127" s="3"/>
      <c r="JJY127" s="3"/>
      <c r="JJZ127" s="3"/>
      <c r="JKA127" s="3"/>
      <c r="JKB127" s="3"/>
      <c r="JKC127" s="3"/>
      <c r="JKD127" s="3"/>
      <c r="JKE127" s="3"/>
      <c r="JKF127" s="3"/>
      <c r="JKG127" s="3"/>
      <c r="JKH127" s="3"/>
      <c r="JKI127" s="3"/>
      <c r="JKJ127" s="3"/>
      <c r="JKK127" s="3"/>
      <c r="JKL127" s="3"/>
      <c r="JKM127" s="3"/>
      <c r="JKN127" s="3"/>
      <c r="JKO127" s="3"/>
      <c r="JKP127" s="3"/>
      <c r="JKQ127" s="3"/>
      <c r="JKR127" s="3"/>
      <c r="JKS127" s="3"/>
      <c r="JKT127" s="3"/>
      <c r="JKU127" s="3"/>
      <c r="JKV127" s="3"/>
      <c r="JKW127" s="3"/>
      <c r="JKX127" s="3"/>
      <c r="JKY127" s="3"/>
      <c r="JKZ127" s="3"/>
      <c r="JLA127" s="3"/>
      <c r="JLB127" s="3"/>
      <c r="JLC127" s="3"/>
      <c r="JLD127" s="3"/>
      <c r="JLE127" s="3"/>
      <c r="JLF127" s="3"/>
      <c r="JLG127" s="3"/>
      <c r="JLH127" s="3"/>
      <c r="JLI127" s="3"/>
      <c r="JLJ127" s="3"/>
      <c r="JLK127" s="3"/>
      <c r="JLL127" s="3"/>
      <c r="JLM127" s="3"/>
      <c r="JLN127" s="3"/>
      <c r="JLO127" s="3"/>
      <c r="JLP127" s="3"/>
      <c r="JLQ127" s="3"/>
      <c r="JLR127" s="3"/>
      <c r="JLS127" s="3"/>
      <c r="JLT127" s="3"/>
      <c r="JLU127" s="3"/>
      <c r="JLV127" s="3"/>
      <c r="JLW127" s="3"/>
      <c r="JLX127" s="3"/>
      <c r="JLY127" s="3"/>
      <c r="JLZ127" s="3"/>
      <c r="JMA127" s="3"/>
      <c r="JMB127" s="3"/>
      <c r="JMC127" s="3"/>
      <c r="JMD127" s="3"/>
      <c r="JME127" s="3"/>
      <c r="JMF127" s="3"/>
      <c r="JMG127" s="3"/>
      <c r="JMH127" s="3"/>
      <c r="JMI127" s="3"/>
      <c r="JMJ127" s="3"/>
      <c r="JMK127" s="3"/>
      <c r="JML127" s="3"/>
      <c r="JMM127" s="3"/>
      <c r="JMN127" s="3"/>
      <c r="JMO127" s="3"/>
      <c r="JMP127" s="3"/>
      <c r="JMQ127" s="3"/>
      <c r="JMR127" s="3"/>
      <c r="JMS127" s="3"/>
      <c r="JMT127" s="3"/>
      <c r="JMU127" s="3"/>
      <c r="JMV127" s="3"/>
      <c r="JMW127" s="3"/>
      <c r="JMX127" s="3"/>
      <c r="JMY127" s="3"/>
      <c r="JMZ127" s="3"/>
      <c r="JNA127" s="3"/>
      <c r="JNB127" s="3"/>
      <c r="JNC127" s="3"/>
      <c r="JND127" s="3"/>
      <c r="JNE127" s="3"/>
      <c r="JNF127" s="3"/>
      <c r="JNG127" s="3"/>
      <c r="JNH127" s="3"/>
      <c r="JNI127" s="3"/>
      <c r="JNJ127" s="3"/>
      <c r="JNK127" s="3"/>
      <c r="JNL127" s="3"/>
      <c r="JNM127" s="3"/>
      <c r="JNN127" s="3"/>
      <c r="JNO127" s="3"/>
      <c r="JNP127" s="3"/>
      <c r="JNQ127" s="3"/>
      <c r="JNR127" s="3"/>
      <c r="JNS127" s="3"/>
      <c r="JNT127" s="3"/>
      <c r="JNU127" s="3"/>
      <c r="JNV127" s="3"/>
      <c r="JNW127" s="3"/>
      <c r="JNX127" s="3"/>
      <c r="JNY127" s="3"/>
      <c r="JNZ127" s="3"/>
      <c r="JOA127" s="3"/>
      <c r="JOB127" s="3"/>
      <c r="JOC127" s="3"/>
      <c r="JOD127" s="3"/>
      <c r="JOE127" s="3"/>
      <c r="JOF127" s="3"/>
      <c r="JOG127" s="3"/>
      <c r="JOH127" s="3"/>
      <c r="JOI127" s="3"/>
      <c r="JOJ127" s="3"/>
      <c r="JOK127" s="3"/>
      <c r="JOL127" s="3"/>
      <c r="JOM127" s="3"/>
      <c r="JON127" s="3"/>
      <c r="JOO127" s="3"/>
      <c r="JOP127" s="3"/>
      <c r="JOQ127" s="3"/>
      <c r="JOR127" s="3"/>
      <c r="JOS127" s="3"/>
      <c r="JOT127" s="3"/>
      <c r="JOU127" s="3"/>
      <c r="JOV127" s="3"/>
      <c r="JOW127" s="3"/>
      <c r="JOX127" s="3"/>
      <c r="JOY127" s="3"/>
      <c r="JOZ127" s="3"/>
      <c r="JPA127" s="3"/>
      <c r="JPB127" s="3"/>
      <c r="JPC127" s="3"/>
      <c r="JPD127" s="3"/>
      <c r="JPE127" s="3"/>
      <c r="JPF127" s="3"/>
      <c r="JPG127" s="3"/>
      <c r="JPH127" s="3"/>
      <c r="JPI127" s="3"/>
      <c r="JPJ127" s="3"/>
      <c r="JPK127" s="3"/>
      <c r="JPL127" s="3"/>
      <c r="JPM127" s="3"/>
      <c r="JPN127" s="3"/>
      <c r="JPO127" s="3"/>
      <c r="JPP127" s="3"/>
      <c r="JPQ127" s="3"/>
      <c r="JPR127" s="3"/>
      <c r="JPS127" s="3"/>
      <c r="JPT127" s="3"/>
      <c r="JPU127" s="3"/>
      <c r="JPV127" s="3"/>
      <c r="JPW127" s="3"/>
      <c r="JPX127" s="3"/>
      <c r="JPY127" s="3"/>
      <c r="JPZ127" s="3"/>
      <c r="JQA127" s="3"/>
      <c r="JQB127" s="3"/>
      <c r="JQC127" s="3"/>
      <c r="JQD127" s="3"/>
      <c r="JQE127" s="3"/>
      <c r="JQF127" s="3"/>
      <c r="JQG127" s="3"/>
      <c r="JQH127" s="3"/>
      <c r="JQI127" s="3"/>
      <c r="JQJ127" s="3"/>
      <c r="JQK127" s="3"/>
      <c r="JQL127" s="3"/>
      <c r="JQM127" s="3"/>
      <c r="JQN127" s="3"/>
      <c r="JQO127" s="3"/>
      <c r="JQP127" s="3"/>
      <c r="JQQ127" s="3"/>
      <c r="JQR127" s="3"/>
      <c r="JQS127" s="3"/>
      <c r="JQT127" s="3"/>
      <c r="JQU127" s="3"/>
      <c r="JQV127" s="3"/>
      <c r="JQW127" s="3"/>
      <c r="JQX127" s="3"/>
      <c r="JQY127" s="3"/>
      <c r="JQZ127" s="3"/>
      <c r="JRA127" s="3"/>
      <c r="JRB127" s="3"/>
      <c r="JRC127" s="3"/>
      <c r="JRD127" s="3"/>
      <c r="JRE127" s="3"/>
      <c r="JRF127" s="3"/>
      <c r="JRG127" s="3"/>
      <c r="JRH127" s="3"/>
      <c r="JRI127" s="3"/>
      <c r="JRJ127" s="3"/>
      <c r="JRK127" s="3"/>
      <c r="JRL127" s="3"/>
      <c r="JRM127" s="3"/>
      <c r="JRN127" s="3"/>
      <c r="JRO127" s="3"/>
      <c r="JRP127" s="3"/>
      <c r="JRQ127" s="3"/>
      <c r="JRR127" s="3"/>
      <c r="JRS127" s="3"/>
      <c r="JRT127" s="3"/>
      <c r="JRU127" s="3"/>
      <c r="JRV127" s="3"/>
      <c r="JRW127" s="3"/>
      <c r="JRX127" s="3"/>
      <c r="JRY127" s="3"/>
      <c r="JRZ127" s="3"/>
      <c r="JSA127" s="3"/>
      <c r="JSB127" s="3"/>
      <c r="JSC127" s="3"/>
      <c r="JSD127" s="3"/>
      <c r="JSE127" s="3"/>
      <c r="JSF127" s="3"/>
      <c r="JSG127" s="3"/>
      <c r="JSH127" s="3"/>
      <c r="JSI127" s="3"/>
      <c r="JSJ127" s="3"/>
      <c r="JSK127" s="3"/>
      <c r="JSL127" s="3"/>
      <c r="JSM127" s="3"/>
      <c r="JSN127" s="3"/>
      <c r="JSO127" s="3"/>
      <c r="JSP127" s="3"/>
      <c r="JSQ127" s="3"/>
      <c r="JSR127" s="3"/>
      <c r="JSS127" s="3"/>
      <c r="JST127" s="3"/>
      <c r="JSU127" s="3"/>
      <c r="JSV127" s="3"/>
      <c r="JSW127" s="3"/>
      <c r="JSX127" s="3"/>
      <c r="JSY127" s="3"/>
      <c r="JSZ127" s="3"/>
      <c r="JTA127" s="3"/>
      <c r="JTB127" s="3"/>
      <c r="JTC127" s="3"/>
      <c r="JTD127" s="3"/>
      <c r="JTE127" s="3"/>
      <c r="JTF127" s="3"/>
      <c r="JTG127" s="3"/>
      <c r="JTH127" s="3"/>
      <c r="JTI127" s="3"/>
      <c r="JTJ127" s="3"/>
      <c r="JTK127" s="3"/>
      <c r="JTL127" s="3"/>
      <c r="JTM127" s="3"/>
      <c r="JTN127" s="3"/>
      <c r="JTO127" s="3"/>
      <c r="JTP127" s="3"/>
      <c r="JTQ127" s="3"/>
      <c r="JTR127" s="3"/>
      <c r="JTS127" s="3"/>
      <c r="JTT127" s="3"/>
      <c r="JTU127" s="3"/>
      <c r="JTV127" s="3"/>
      <c r="JTW127" s="3"/>
      <c r="JTX127" s="3"/>
      <c r="JTY127" s="3"/>
      <c r="JTZ127" s="3"/>
      <c r="JUA127" s="3"/>
      <c r="JUB127" s="3"/>
      <c r="JUC127" s="3"/>
      <c r="JUD127" s="3"/>
      <c r="JUE127" s="3"/>
      <c r="JUF127" s="3"/>
      <c r="JUG127" s="3"/>
      <c r="JUH127" s="3"/>
      <c r="JUI127" s="3"/>
      <c r="JUJ127" s="3"/>
      <c r="JUK127" s="3"/>
      <c r="JUL127" s="3"/>
      <c r="JUM127" s="3"/>
      <c r="JUN127" s="3"/>
      <c r="JUO127" s="3"/>
      <c r="JUP127" s="3"/>
      <c r="JUQ127" s="3"/>
      <c r="JUR127" s="3"/>
      <c r="JUS127" s="3"/>
      <c r="JUT127" s="3"/>
      <c r="JUU127" s="3"/>
      <c r="JUV127" s="3"/>
      <c r="JUW127" s="3"/>
      <c r="JUX127" s="3"/>
      <c r="JUY127" s="3"/>
      <c r="JUZ127" s="3"/>
      <c r="JVA127" s="3"/>
      <c r="JVB127" s="3"/>
      <c r="JVC127" s="3"/>
      <c r="JVD127" s="3"/>
      <c r="JVE127" s="3"/>
      <c r="JVF127" s="3"/>
      <c r="JVG127" s="3"/>
      <c r="JVH127" s="3"/>
      <c r="JVI127" s="3"/>
      <c r="JVJ127" s="3"/>
      <c r="JVK127" s="3"/>
      <c r="JVL127" s="3"/>
      <c r="JVM127" s="3"/>
      <c r="JVN127" s="3"/>
      <c r="JVO127" s="3"/>
      <c r="JVP127" s="3"/>
      <c r="JVQ127" s="3"/>
      <c r="JVR127" s="3"/>
      <c r="JVS127" s="3"/>
      <c r="JVT127" s="3"/>
      <c r="JVU127" s="3"/>
      <c r="JVV127" s="3"/>
      <c r="JVW127" s="3"/>
      <c r="JVX127" s="3"/>
      <c r="JVY127" s="3"/>
      <c r="JVZ127" s="3"/>
      <c r="JWA127" s="3"/>
      <c r="JWB127" s="3"/>
      <c r="JWC127" s="3"/>
      <c r="JWD127" s="3"/>
      <c r="JWE127" s="3"/>
      <c r="JWF127" s="3"/>
      <c r="JWG127" s="3"/>
      <c r="JWH127" s="3"/>
      <c r="JWI127" s="3"/>
      <c r="JWJ127" s="3"/>
      <c r="JWK127" s="3"/>
      <c r="JWL127" s="3"/>
      <c r="JWM127" s="3"/>
      <c r="JWN127" s="3"/>
      <c r="JWO127" s="3"/>
      <c r="JWP127" s="3"/>
      <c r="JWQ127" s="3"/>
      <c r="JWR127" s="3"/>
      <c r="JWS127" s="3"/>
      <c r="JWT127" s="3"/>
      <c r="JWU127" s="3"/>
      <c r="JWV127" s="3"/>
      <c r="JWW127" s="3"/>
      <c r="JWX127" s="3"/>
      <c r="JWY127" s="3"/>
      <c r="JWZ127" s="3"/>
      <c r="JXA127" s="3"/>
      <c r="JXB127" s="3"/>
      <c r="JXC127" s="3"/>
      <c r="JXD127" s="3"/>
      <c r="JXE127" s="3"/>
      <c r="JXF127" s="3"/>
      <c r="JXG127" s="3"/>
      <c r="JXH127" s="3"/>
      <c r="JXI127" s="3"/>
      <c r="JXJ127" s="3"/>
      <c r="JXK127" s="3"/>
      <c r="JXL127" s="3"/>
      <c r="JXM127" s="3"/>
      <c r="JXN127" s="3"/>
      <c r="JXO127" s="3"/>
      <c r="JXP127" s="3"/>
      <c r="JXQ127" s="3"/>
      <c r="JXR127" s="3"/>
      <c r="JXS127" s="3"/>
      <c r="JXT127" s="3"/>
      <c r="JXU127" s="3"/>
      <c r="JXV127" s="3"/>
      <c r="JXW127" s="3"/>
      <c r="JXX127" s="3"/>
      <c r="JXY127" s="3"/>
      <c r="JXZ127" s="3"/>
      <c r="JYA127" s="3"/>
      <c r="JYB127" s="3"/>
      <c r="JYC127" s="3"/>
      <c r="JYD127" s="3"/>
      <c r="JYE127" s="3"/>
      <c r="JYF127" s="3"/>
      <c r="JYG127" s="3"/>
      <c r="JYH127" s="3"/>
      <c r="JYI127" s="3"/>
      <c r="JYJ127" s="3"/>
      <c r="JYK127" s="3"/>
      <c r="JYL127" s="3"/>
      <c r="JYM127" s="3"/>
      <c r="JYN127" s="3"/>
      <c r="JYO127" s="3"/>
      <c r="JYP127" s="3"/>
      <c r="JYQ127" s="3"/>
      <c r="JYR127" s="3"/>
      <c r="JYS127" s="3"/>
      <c r="JYT127" s="3"/>
      <c r="JYU127" s="3"/>
      <c r="JYV127" s="3"/>
      <c r="JYW127" s="3"/>
      <c r="JYX127" s="3"/>
      <c r="JYY127" s="3"/>
      <c r="JYZ127" s="3"/>
      <c r="JZA127" s="3"/>
      <c r="JZB127" s="3"/>
      <c r="JZC127" s="3"/>
      <c r="JZD127" s="3"/>
      <c r="JZE127" s="3"/>
      <c r="JZF127" s="3"/>
      <c r="JZG127" s="3"/>
      <c r="JZH127" s="3"/>
      <c r="JZI127" s="3"/>
      <c r="JZJ127" s="3"/>
      <c r="JZK127" s="3"/>
      <c r="JZL127" s="3"/>
      <c r="JZM127" s="3"/>
      <c r="JZN127" s="3"/>
      <c r="JZO127" s="3"/>
      <c r="JZP127" s="3"/>
      <c r="JZQ127" s="3"/>
      <c r="JZR127" s="3"/>
      <c r="JZS127" s="3"/>
      <c r="JZT127" s="3"/>
      <c r="JZU127" s="3"/>
      <c r="JZV127" s="3"/>
      <c r="JZW127" s="3"/>
      <c r="JZX127" s="3"/>
      <c r="JZY127" s="3"/>
      <c r="JZZ127" s="3"/>
      <c r="KAA127" s="3"/>
      <c r="KAB127" s="3"/>
      <c r="KAC127" s="3"/>
      <c r="KAD127" s="3"/>
      <c r="KAE127" s="3"/>
      <c r="KAF127" s="3"/>
      <c r="KAG127" s="3"/>
      <c r="KAH127" s="3"/>
      <c r="KAI127" s="3"/>
      <c r="KAJ127" s="3"/>
      <c r="KAK127" s="3"/>
      <c r="KAL127" s="3"/>
      <c r="KAM127" s="3"/>
      <c r="KAN127" s="3"/>
      <c r="KAO127" s="3"/>
      <c r="KAP127" s="3"/>
      <c r="KAQ127" s="3"/>
      <c r="KAR127" s="3"/>
      <c r="KAS127" s="3"/>
      <c r="KAT127" s="3"/>
      <c r="KAU127" s="3"/>
      <c r="KAV127" s="3"/>
      <c r="KAW127" s="3"/>
      <c r="KAX127" s="3"/>
      <c r="KAY127" s="3"/>
      <c r="KAZ127" s="3"/>
      <c r="KBA127" s="3"/>
      <c r="KBB127" s="3"/>
      <c r="KBC127" s="3"/>
      <c r="KBD127" s="3"/>
      <c r="KBE127" s="3"/>
      <c r="KBF127" s="3"/>
      <c r="KBG127" s="3"/>
      <c r="KBH127" s="3"/>
      <c r="KBI127" s="3"/>
      <c r="KBJ127" s="3"/>
      <c r="KBK127" s="3"/>
      <c r="KBL127" s="3"/>
      <c r="KBM127" s="3"/>
      <c r="KBN127" s="3"/>
      <c r="KBO127" s="3"/>
      <c r="KBP127" s="3"/>
      <c r="KBQ127" s="3"/>
      <c r="KBR127" s="3"/>
      <c r="KBS127" s="3"/>
      <c r="KBT127" s="3"/>
      <c r="KBU127" s="3"/>
      <c r="KBV127" s="3"/>
      <c r="KBW127" s="3"/>
      <c r="KBX127" s="3"/>
      <c r="KBY127" s="3"/>
      <c r="KBZ127" s="3"/>
      <c r="KCA127" s="3"/>
      <c r="KCB127" s="3"/>
      <c r="KCC127" s="3"/>
      <c r="KCD127" s="3"/>
      <c r="KCE127" s="3"/>
      <c r="KCF127" s="3"/>
      <c r="KCG127" s="3"/>
      <c r="KCH127" s="3"/>
      <c r="KCI127" s="3"/>
      <c r="KCJ127" s="3"/>
      <c r="KCK127" s="3"/>
      <c r="KCL127" s="3"/>
      <c r="KCM127" s="3"/>
      <c r="KCN127" s="3"/>
      <c r="KCO127" s="3"/>
      <c r="KCP127" s="3"/>
      <c r="KCQ127" s="3"/>
      <c r="KCR127" s="3"/>
      <c r="KCS127" s="3"/>
      <c r="KCT127" s="3"/>
      <c r="KCU127" s="3"/>
      <c r="KCV127" s="3"/>
      <c r="KCW127" s="3"/>
      <c r="KCX127" s="3"/>
      <c r="KCY127" s="3"/>
      <c r="KCZ127" s="3"/>
      <c r="KDA127" s="3"/>
      <c r="KDB127" s="3"/>
      <c r="KDC127" s="3"/>
      <c r="KDD127" s="3"/>
      <c r="KDE127" s="3"/>
      <c r="KDF127" s="3"/>
      <c r="KDG127" s="3"/>
      <c r="KDH127" s="3"/>
      <c r="KDI127" s="3"/>
      <c r="KDJ127" s="3"/>
      <c r="KDK127" s="3"/>
      <c r="KDL127" s="3"/>
      <c r="KDM127" s="3"/>
      <c r="KDN127" s="3"/>
      <c r="KDO127" s="3"/>
      <c r="KDP127" s="3"/>
      <c r="KDQ127" s="3"/>
      <c r="KDR127" s="3"/>
      <c r="KDS127" s="3"/>
      <c r="KDT127" s="3"/>
      <c r="KDU127" s="3"/>
      <c r="KDV127" s="3"/>
      <c r="KDW127" s="3"/>
      <c r="KDX127" s="3"/>
      <c r="KDY127" s="3"/>
      <c r="KDZ127" s="3"/>
      <c r="KEA127" s="3"/>
      <c r="KEB127" s="3"/>
      <c r="KEC127" s="3"/>
      <c r="KED127" s="3"/>
      <c r="KEE127" s="3"/>
      <c r="KEF127" s="3"/>
      <c r="KEG127" s="3"/>
      <c r="KEH127" s="3"/>
      <c r="KEI127" s="3"/>
      <c r="KEJ127" s="3"/>
      <c r="KEK127" s="3"/>
      <c r="KEL127" s="3"/>
      <c r="KEM127" s="3"/>
      <c r="KEN127" s="3"/>
      <c r="KEO127" s="3"/>
      <c r="KEP127" s="3"/>
      <c r="KEQ127" s="3"/>
      <c r="KER127" s="3"/>
      <c r="KES127" s="3"/>
      <c r="KET127" s="3"/>
      <c r="KEU127" s="3"/>
      <c r="KEV127" s="3"/>
      <c r="KEW127" s="3"/>
      <c r="KEX127" s="3"/>
      <c r="KEY127" s="3"/>
      <c r="KEZ127" s="3"/>
      <c r="KFA127" s="3"/>
      <c r="KFB127" s="3"/>
      <c r="KFC127" s="3"/>
      <c r="KFD127" s="3"/>
      <c r="KFE127" s="3"/>
      <c r="KFF127" s="3"/>
      <c r="KFG127" s="3"/>
      <c r="KFH127" s="3"/>
      <c r="KFI127" s="3"/>
      <c r="KFJ127" s="3"/>
      <c r="KFK127" s="3"/>
      <c r="KFL127" s="3"/>
      <c r="KFM127" s="3"/>
      <c r="KFN127" s="3"/>
      <c r="KFO127" s="3"/>
      <c r="KFP127" s="3"/>
      <c r="KFQ127" s="3"/>
      <c r="KFR127" s="3"/>
      <c r="KFS127" s="3"/>
      <c r="KFT127" s="3"/>
      <c r="KFU127" s="3"/>
      <c r="KFV127" s="3"/>
      <c r="KFW127" s="3"/>
      <c r="KFX127" s="3"/>
      <c r="KFY127" s="3"/>
      <c r="KFZ127" s="3"/>
      <c r="KGA127" s="3"/>
      <c r="KGB127" s="3"/>
      <c r="KGC127" s="3"/>
      <c r="KGD127" s="3"/>
      <c r="KGE127" s="3"/>
      <c r="KGF127" s="3"/>
      <c r="KGG127" s="3"/>
      <c r="KGH127" s="3"/>
      <c r="KGI127" s="3"/>
      <c r="KGJ127" s="3"/>
      <c r="KGK127" s="3"/>
      <c r="KGL127" s="3"/>
      <c r="KGM127" s="3"/>
      <c r="KGN127" s="3"/>
      <c r="KGO127" s="3"/>
      <c r="KGP127" s="3"/>
      <c r="KGQ127" s="3"/>
      <c r="KGR127" s="3"/>
      <c r="KGS127" s="3"/>
      <c r="KGT127" s="3"/>
      <c r="KGU127" s="3"/>
      <c r="KGV127" s="3"/>
      <c r="KGW127" s="3"/>
      <c r="KGX127" s="3"/>
      <c r="KGY127" s="3"/>
      <c r="KGZ127" s="3"/>
      <c r="KHA127" s="3"/>
      <c r="KHB127" s="3"/>
      <c r="KHC127" s="3"/>
      <c r="KHD127" s="3"/>
      <c r="KHE127" s="3"/>
      <c r="KHF127" s="3"/>
      <c r="KHG127" s="3"/>
      <c r="KHH127" s="3"/>
      <c r="KHI127" s="3"/>
      <c r="KHJ127" s="3"/>
      <c r="KHK127" s="3"/>
      <c r="KHL127" s="3"/>
      <c r="KHM127" s="3"/>
      <c r="KHN127" s="3"/>
      <c r="KHO127" s="3"/>
      <c r="KHP127" s="3"/>
      <c r="KHQ127" s="3"/>
      <c r="KHR127" s="3"/>
      <c r="KHS127" s="3"/>
      <c r="KHT127" s="3"/>
      <c r="KHU127" s="3"/>
      <c r="KHV127" s="3"/>
      <c r="KHW127" s="3"/>
      <c r="KHX127" s="3"/>
      <c r="KHY127" s="3"/>
      <c r="KHZ127" s="3"/>
      <c r="KIA127" s="3"/>
      <c r="KIB127" s="3"/>
      <c r="KIC127" s="3"/>
      <c r="KID127" s="3"/>
      <c r="KIE127" s="3"/>
      <c r="KIF127" s="3"/>
      <c r="KIG127" s="3"/>
      <c r="KIH127" s="3"/>
      <c r="KII127" s="3"/>
      <c r="KIJ127" s="3"/>
      <c r="KIK127" s="3"/>
      <c r="KIL127" s="3"/>
      <c r="KIM127" s="3"/>
      <c r="KIN127" s="3"/>
      <c r="KIO127" s="3"/>
      <c r="KIP127" s="3"/>
      <c r="KIQ127" s="3"/>
      <c r="KIR127" s="3"/>
      <c r="KIS127" s="3"/>
      <c r="KIT127" s="3"/>
      <c r="KIU127" s="3"/>
      <c r="KIV127" s="3"/>
      <c r="KIW127" s="3"/>
      <c r="KIX127" s="3"/>
      <c r="KIY127" s="3"/>
      <c r="KIZ127" s="3"/>
      <c r="KJA127" s="3"/>
      <c r="KJB127" s="3"/>
      <c r="KJC127" s="3"/>
      <c r="KJD127" s="3"/>
      <c r="KJE127" s="3"/>
      <c r="KJF127" s="3"/>
      <c r="KJG127" s="3"/>
      <c r="KJH127" s="3"/>
      <c r="KJI127" s="3"/>
      <c r="KJJ127" s="3"/>
      <c r="KJK127" s="3"/>
      <c r="KJL127" s="3"/>
      <c r="KJM127" s="3"/>
      <c r="KJN127" s="3"/>
      <c r="KJO127" s="3"/>
      <c r="KJP127" s="3"/>
      <c r="KJQ127" s="3"/>
      <c r="KJR127" s="3"/>
      <c r="KJS127" s="3"/>
      <c r="KJT127" s="3"/>
      <c r="KJU127" s="3"/>
      <c r="KJV127" s="3"/>
      <c r="KJW127" s="3"/>
      <c r="KJX127" s="3"/>
      <c r="KJY127" s="3"/>
      <c r="KJZ127" s="3"/>
      <c r="KKA127" s="3"/>
      <c r="KKB127" s="3"/>
      <c r="KKC127" s="3"/>
      <c r="KKD127" s="3"/>
      <c r="KKE127" s="3"/>
      <c r="KKF127" s="3"/>
      <c r="KKG127" s="3"/>
      <c r="KKH127" s="3"/>
      <c r="KKI127" s="3"/>
      <c r="KKJ127" s="3"/>
      <c r="KKK127" s="3"/>
      <c r="KKL127" s="3"/>
      <c r="KKM127" s="3"/>
      <c r="KKN127" s="3"/>
      <c r="KKO127" s="3"/>
      <c r="KKP127" s="3"/>
      <c r="KKQ127" s="3"/>
      <c r="KKR127" s="3"/>
      <c r="KKS127" s="3"/>
      <c r="KKT127" s="3"/>
      <c r="KKU127" s="3"/>
      <c r="KKV127" s="3"/>
      <c r="KKW127" s="3"/>
      <c r="KKX127" s="3"/>
      <c r="KKY127" s="3"/>
      <c r="KKZ127" s="3"/>
      <c r="KLA127" s="3"/>
      <c r="KLB127" s="3"/>
      <c r="KLC127" s="3"/>
      <c r="KLD127" s="3"/>
      <c r="KLE127" s="3"/>
      <c r="KLF127" s="3"/>
      <c r="KLG127" s="3"/>
      <c r="KLH127" s="3"/>
      <c r="KLI127" s="3"/>
      <c r="KLJ127" s="3"/>
      <c r="KLK127" s="3"/>
      <c r="KLL127" s="3"/>
      <c r="KLM127" s="3"/>
      <c r="KLN127" s="3"/>
      <c r="KLO127" s="3"/>
      <c r="KLP127" s="3"/>
      <c r="KLQ127" s="3"/>
      <c r="KLR127" s="3"/>
      <c r="KLS127" s="3"/>
      <c r="KLT127" s="3"/>
      <c r="KLU127" s="3"/>
      <c r="KLV127" s="3"/>
      <c r="KLW127" s="3"/>
      <c r="KLX127" s="3"/>
      <c r="KLY127" s="3"/>
      <c r="KLZ127" s="3"/>
      <c r="KMA127" s="3"/>
      <c r="KMB127" s="3"/>
      <c r="KMC127" s="3"/>
      <c r="KMD127" s="3"/>
      <c r="KME127" s="3"/>
      <c r="KMF127" s="3"/>
      <c r="KMG127" s="3"/>
      <c r="KMH127" s="3"/>
      <c r="KMI127" s="3"/>
      <c r="KMJ127" s="3"/>
      <c r="KMK127" s="3"/>
      <c r="KML127" s="3"/>
      <c r="KMM127" s="3"/>
      <c r="KMN127" s="3"/>
      <c r="KMO127" s="3"/>
      <c r="KMP127" s="3"/>
      <c r="KMQ127" s="3"/>
      <c r="KMR127" s="3"/>
      <c r="KMS127" s="3"/>
      <c r="KMT127" s="3"/>
      <c r="KMU127" s="3"/>
      <c r="KMV127" s="3"/>
      <c r="KMW127" s="3"/>
      <c r="KMX127" s="3"/>
      <c r="KMY127" s="3"/>
      <c r="KMZ127" s="3"/>
      <c r="KNA127" s="3"/>
      <c r="KNB127" s="3"/>
      <c r="KNC127" s="3"/>
      <c r="KND127" s="3"/>
      <c r="KNE127" s="3"/>
      <c r="KNF127" s="3"/>
      <c r="KNG127" s="3"/>
      <c r="KNH127" s="3"/>
      <c r="KNI127" s="3"/>
      <c r="KNJ127" s="3"/>
      <c r="KNK127" s="3"/>
      <c r="KNL127" s="3"/>
      <c r="KNM127" s="3"/>
      <c r="KNN127" s="3"/>
      <c r="KNO127" s="3"/>
      <c r="KNP127" s="3"/>
      <c r="KNQ127" s="3"/>
      <c r="KNR127" s="3"/>
      <c r="KNS127" s="3"/>
      <c r="KNT127" s="3"/>
      <c r="KNU127" s="3"/>
      <c r="KNV127" s="3"/>
      <c r="KNW127" s="3"/>
      <c r="KNX127" s="3"/>
      <c r="KNY127" s="3"/>
      <c r="KNZ127" s="3"/>
      <c r="KOA127" s="3"/>
      <c r="KOB127" s="3"/>
      <c r="KOC127" s="3"/>
      <c r="KOD127" s="3"/>
      <c r="KOE127" s="3"/>
      <c r="KOF127" s="3"/>
      <c r="KOG127" s="3"/>
      <c r="KOH127" s="3"/>
      <c r="KOI127" s="3"/>
      <c r="KOJ127" s="3"/>
      <c r="KOK127" s="3"/>
      <c r="KOL127" s="3"/>
      <c r="KOM127" s="3"/>
      <c r="KON127" s="3"/>
      <c r="KOO127" s="3"/>
      <c r="KOP127" s="3"/>
      <c r="KOQ127" s="3"/>
      <c r="KOR127" s="3"/>
      <c r="KOS127" s="3"/>
      <c r="KOT127" s="3"/>
      <c r="KOU127" s="3"/>
      <c r="KOV127" s="3"/>
      <c r="KOW127" s="3"/>
      <c r="KOX127" s="3"/>
      <c r="KOY127" s="3"/>
      <c r="KOZ127" s="3"/>
      <c r="KPA127" s="3"/>
      <c r="KPB127" s="3"/>
      <c r="KPC127" s="3"/>
      <c r="KPD127" s="3"/>
      <c r="KPE127" s="3"/>
      <c r="KPF127" s="3"/>
      <c r="KPG127" s="3"/>
      <c r="KPH127" s="3"/>
      <c r="KPI127" s="3"/>
      <c r="KPJ127" s="3"/>
      <c r="KPK127" s="3"/>
      <c r="KPL127" s="3"/>
      <c r="KPM127" s="3"/>
      <c r="KPN127" s="3"/>
      <c r="KPO127" s="3"/>
      <c r="KPP127" s="3"/>
      <c r="KPQ127" s="3"/>
      <c r="KPR127" s="3"/>
      <c r="KPS127" s="3"/>
      <c r="KPT127" s="3"/>
      <c r="KPU127" s="3"/>
      <c r="KPV127" s="3"/>
      <c r="KPW127" s="3"/>
      <c r="KPX127" s="3"/>
      <c r="KPY127" s="3"/>
      <c r="KPZ127" s="3"/>
      <c r="KQA127" s="3"/>
      <c r="KQB127" s="3"/>
      <c r="KQC127" s="3"/>
      <c r="KQD127" s="3"/>
      <c r="KQE127" s="3"/>
      <c r="KQF127" s="3"/>
      <c r="KQG127" s="3"/>
      <c r="KQH127" s="3"/>
      <c r="KQI127" s="3"/>
      <c r="KQJ127" s="3"/>
      <c r="KQK127" s="3"/>
      <c r="KQL127" s="3"/>
      <c r="KQM127" s="3"/>
      <c r="KQN127" s="3"/>
      <c r="KQO127" s="3"/>
      <c r="KQP127" s="3"/>
      <c r="KQQ127" s="3"/>
      <c r="KQR127" s="3"/>
      <c r="KQS127" s="3"/>
      <c r="KQT127" s="3"/>
      <c r="KQU127" s="3"/>
      <c r="KQV127" s="3"/>
      <c r="KQW127" s="3"/>
      <c r="KQX127" s="3"/>
      <c r="KQY127" s="3"/>
      <c r="KQZ127" s="3"/>
      <c r="KRA127" s="3"/>
      <c r="KRB127" s="3"/>
      <c r="KRC127" s="3"/>
      <c r="KRD127" s="3"/>
      <c r="KRE127" s="3"/>
      <c r="KRF127" s="3"/>
      <c r="KRG127" s="3"/>
      <c r="KRH127" s="3"/>
      <c r="KRI127" s="3"/>
      <c r="KRJ127" s="3"/>
      <c r="KRK127" s="3"/>
      <c r="KRL127" s="3"/>
      <c r="KRM127" s="3"/>
      <c r="KRN127" s="3"/>
      <c r="KRO127" s="3"/>
      <c r="KRP127" s="3"/>
      <c r="KRQ127" s="3"/>
      <c r="KRR127" s="3"/>
      <c r="KRS127" s="3"/>
      <c r="KRT127" s="3"/>
      <c r="KRU127" s="3"/>
      <c r="KRV127" s="3"/>
      <c r="KRW127" s="3"/>
      <c r="KRX127" s="3"/>
      <c r="KRY127" s="3"/>
      <c r="KRZ127" s="3"/>
      <c r="KSA127" s="3"/>
      <c r="KSB127" s="3"/>
      <c r="KSC127" s="3"/>
      <c r="KSD127" s="3"/>
      <c r="KSE127" s="3"/>
      <c r="KSF127" s="3"/>
      <c r="KSG127" s="3"/>
      <c r="KSH127" s="3"/>
      <c r="KSI127" s="3"/>
      <c r="KSJ127" s="3"/>
      <c r="KSK127" s="3"/>
      <c r="KSL127" s="3"/>
      <c r="KSM127" s="3"/>
      <c r="KSN127" s="3"/>
      <c r="KSO127" s="3"/>
      <c r="KSP127" s="3"/>
      <c r="KSQ127" s="3"/>
      <c r="KSR127" s="3"/>
      <c r="KSS127" s="3"/>
      <c r="KST127" s="3"/>
      <c r="KSU127" s="3"/>
      <c r="KSV127" s="3"/>
      <c r="KSW127" s="3"/>
      <c r="KSX127" s="3"/>
      <c r="KSY127" s="3"/>
      <c r="KSZ127" s="3"/>
      <c r="KTA127" s="3"/>
      <c r="KTB127" s="3"/>
      <c r="KTC127" s="3"/>
      <c r="KTD127" s="3"/>
      <c r="KTE127" s="3"/>
      <c r="KTF127" s="3"/>
      <c r="KTG127" s="3"/>
      <c r="KTH127" s="3"/>
      <c r="KTI127" s="3"/>
      <c r="KTJ127" s="3"/>
      <c r="KTK127" s="3"/>
      <c r="KTL127" s="3"/>
      <c r="KTM127" s="3"/>
      <c r="KTN127" s="3"/>
      <c r="KTO127" s="3"/>
      <c r="KTP127" s="3"/>
      <c r="KTQ127" s="3"/>
      <c r="KTR127" s="3"/>
      <c r="KTS127" s="3"/>
      <c r="KTT127" s="3"/>
      <c r="KTU127" s="3"/>
      <c r="KTV127" s="3"/>
      <c r="KTW127" s="3"/>
      <c r="KTX127" s="3"/>
      <c r="KTY127" s="3"/>
      <c r="KTZ127" s="3"/>
      <c r="KUA127" s="3"/>
      <c r="KUB127" s="3"/>
      <c r="KUC127" s="3"/>
      <c r="KUD127" s="3"/>
      <c r="KUE127" s="3"/>
      <c r="KUF127" s="3"/>
      <c r="KUG127" s="3"/>
      <c r="KUH127" s="3"/>
      <c r="KUI127" s="3"/>
      <c r="KUJ127" s="3"/>
      <c r="KUK127" s="3"/>
      <c r="KUL127" s="3"/>
      <c r="KUM127" s="3"/>
      <c r="KUN127" s="3"/>
      <c r="KUO127" s="3"/>
      <c r="KUP127" s="3"/>
      <c r="KUQ127" s="3"/>
      <c r="KUR127" s="3"/>
      <c r="KUS127" s="3"/>
      <c r="KUT127" s="3"/>
      <c r="KUU127" s="3"/>
      <c r="KUV127" s="3"/>
      <c r="KUW127" s="3"/>
      <c r="KUX127" s="3"/>
      <c r="KUY127" s="3"/>
      <c r="KUZ127" s="3"/>
      <c r="KVA127" s="3"/>
      <c r="KVB127" s="3"/>
      <c r="KVC127" s="3"/>
      <c r="KVD127" s="3"/>
      <c r="KVE127" s="3"/>
      <c r="KVF127" s="3"/>
      <c r="KVG127" s="3"/>
      <c r="KVH127" s="3"/>
      <c r="KVI127" s="3"/>
      <c r="KVJ127" s="3"/>
      <c r="KVK127" s="3"/>
      <c r="KVL127" s="3"/>
      <c r="KVM127" s="3"/>
      <c r="KVN127" s="3"/>
      <c r="KVO127" s="3"/>
      <c r="KVP127" s="3"/>
      <c r="KVQ127" s="3"/>
      <c r="KVR127" s="3"/>
      <c r="KVS127" s="3"/>
      <c r="KVT127" s="3"/>
      <c r="KVU127" s="3"/>
      <c r="KVV127" s="3"/>
      <c r="KVW127" s="3"/>
      <c r="KVX127" s="3"/>
      <c r="KVY127" s="3"/>
      <c r="KVZ127" s="3"/>
      <c r="KWA127" s="3"/>
      <c r="KWB127" s="3"/>
      <c r="KWC127" s="3"/>
      <c r="KWD127" s="3"/>
      <c r="KWE127" s="3"/>
      <c r="KWF127" s="3"/>
      <c r="KWG127" s="3"/>
      <c r="KWH127" s="3"/>
      <c r="KWI127" s="3"/>
      <c r="KWJ127" s="3"/>
      <c r="KWK127" s="3"/>
      <c r="KWL127" s="3"/>
      <c r="KWM127" s="3"/>
      <c r="KWN127" s="3"/>
      <c r="KWO127" s="3"/>
      <c r="KWP127" s="3"/>
      <c r="KWQ127" s="3"/>
      <c r="KWR127" s="3"/>
      <c r="KWS127" s="3"/>
      <c r="KWT127" s="3"/>
      <c r="KWU127" s="3"/>
      <c r="KWV127" s="3"/>
      <c r="KWW127" s="3"/>
      <c r="KWX127" s="3"/>
      <c r="KWY127" s="3"/>
      <c r="KWZ127" s="3"/>
      <c r="KXA127" s="3"/>
      <c r="KXB127" s="3"/>
      <c r="KXC127" s="3"/>
      <c r="KXD127" s="3"/>
      <c r="KXE127" s="3"/>
      <c r="KXF127" s="3"/>
      <c r="KXG127" s="3"/>
      <c r="KXH127" s="3"/>
      <c r="KXI127" s="3"/>
      <c r="KXJ127" s="3"/>
      <c r="KXK127" s="3"/>
      <c r="KXL127" s="3"/>
      <c r="KXM127" s="3"/>
      <c r="KXN127" s="3"/>
      <c r="KXO127" s="3"/>
      <c r="KXP127" s="3"/>
      <c r="KXQ127" s="3"/>
      <c r="KXR127" s="3"/>
      <c r="KXS127" s="3"/>
      <c r="KXT127" s="3"/>
      <c r="KXU127" s="3"/>
      <c r="KXV127" s="3"/>
      <c r="KXW127" s="3"/>
      <c r="KXX127" s="3"/>
      <c r="KXY127" s="3"/>
      <c r="KXZ127" s="3"/>
      <c r="KYA127" s="3"/>
      <c r="KYB127" s="3"/>
      <c r="KYC127" s="3"/>
      <c r="KYD127" s="3"/>
      <c r="KYE127" s="3"/>
      <c r="KYF127" s="3"/>
      <c r="KYG127" s="3"/>
      <c r="KYH127" s="3"/>
      <c r="KYI127" s="3"/>
      <c r="KYJ127" s="3"/>
      <c r="KYK127" s="3"/>
      <c r="KYL127" s="3"/>
      <c r="KYM127" s="3"/>
      <c r="KYN127" s="3"/>
      <c r="KYO127" s="3"/>
      <c r="KYP127" s="3"/>
      <c r="KYQ127" s="3"/>
      <c r="KYR127" s="3"/>
      <c r="KYS127" s="3"/>
      <c r="KYT127" s="3"/>
      <c r="KYU127" s="3"/>
      <c r="KYV127" s="3"/>
      <c r="KYW127" s="3"/>
      <c r="KYX127" s="3"/>
      <c r="KYY127" s="3"/>
      <c r="KYZ127" s="3"/>
      <c r="KZA127" s="3"/>
      <c r="KZB127" s="3"/>
      <c r="KZC127" s="3"/>
      <c r="KZD127" s="3"/>
      <c r="KZE127" s="3"/>
      <c r="KZF127" s="3"/>
      <c r="KZG127" s="3"/>
      <c r="KZH127" s="3"/>
      <c r="KZI127" s="3"/>
      <c r="KZJ127" s="3"/>
      <c r="KZK127" s="3"/>
      <c r="KZL127" s="3"/>
      <c r="KZM127" s="3"/>
      <c r="KZN127" s="3"/>
      <c r="KZO127" s="3"/>
      <c r="KZP127" s="3"/>
      <c r="KZQ127" s="3"/>
      <c r="KZR127" s="3"/>
      <c r="KZS127" s="3"/>
      <c r="KZT127" s="3"/>
      <c r="KZU127" s="3"/>
      <c r="KZV127" s="3"/>
      <c r="KZW127" s="3"/>
      <c r="KZX127" s="3"/>
      <c r="KZY127" s="3"/>
      <c r="KZZ127" s="3"/>
      <c r="LAA127" s="3"/>
      <c r="LAB127" s="3"/>
      <c r="LAC127" s="3"/>
      <c r="LAD127" s="3"/>
      <c r="LAE127" s="3"/>
      <c r="LAF127" s="3"/>
      <c r="LAG127" s="3"/>
      <c r="LAH127" s="3"/>
      <c r="LAI127" s="3"/>
      <c r="LAJ127" s="3"/>
      <c r="LAK127" s="3"/>
      <c r="LAL127" s="3"/>
      <c r="LAM127" s="3"/>
      <c r="LAN127" s="3"/>
      <c r="LAO127" s="3"/>
      <c r="LAP127" s="3"/>
      <c r="LAQ127" s="3"/>
      <c r="LAR127" s="3"/>
      <c r="LAS127" s="3"/>
      <c r="LAT127" s="3"/>
      <c r="LAU127" s="3"/>
      <c r="LAV127" s="3"/>
      <c r="LAW127" s="3"/>
      <c r="LAX127" s="3"/>
      <c r="LAY127" s="3"/>
      <c r="LAZ127" s="3"/>
      <c r="LBA127" s="3"/>
      <c r="LBB127" s="3"/>
      <c r="LBC127" s="3"/>
      <c r="LBD127" s="3"/>
      <c r="LBE127" s="3"/>
      <c r="LBF127" s="3"/>
      <c r="LBG127" s="3"/>
      <c r="LBH127" s="3"/>
      <c r="LBI127" s="3"/>
      <c r="LBJ127" s="3"/>
      <c r="LBK127" s="3"/>
      <c r="LBL127" s="3"/>
      <c r="LBM127" s="3"/>
      <c r="LBN127" s="3"/>
      <c r="LBO127" s="3"/>
      <c r="LBP127" s="3"/>
      <c r="LBQ127" s="3"/>
      <c r="LBR127" s="3"/>
      <c r="LBS127" s="3"/>
      <c r="LBT127" s="3"/>
      <c r="LBU127" s="3"/>
      <c r="LBV127" s="3"/>
      <c r="LBW127" s="3"/>
      <c r="LBX127" s="3"/>
      <c r="LBY127" s="3"/>
      <c r="LBZ127" s="3"/>
      <c r="LCA127" s="3"/>
      <c r="LCB127" s="3"/>
      <c r="LCC127" s="3"/>
      <c r="LCD127" s="3"/>
      <c r="LCE127" s="3"/>
      <c r="LCF127" s="3"/>
      <c r="LCG127" s="3"/>
      <c r="LCH127" s="3"/>
      <c r="LCI127" s="3"/>
      <c r="LCJ127" s="3"/>
      <c r="LCK127" s="3"/>
      <c r="LCL127" s="3"/>
      <c r="LCM127" s="3"/>
      <c r="LCN127" s="3"/>
      <c r="LCO127" s="3"/>
      <c r="LCP127" s="3"/>
      <c r="LCQ127" s="3"/>
      <c r="LCR127" s="3"/>
      <c r="LCS127" s="3"/>
      <c r="LCT127" s="3"/>
      <c r="LCU127" s="3"/>
      <c r="LCV127" s="3"/>
      <c r="LCW127" s="3"/>
      <c r="LCX127" s="3"/>
      <c r="LCY127" s="3"/>
      <c r="LCZ127" s="3"/>
      <c r="LDA127" s="3"/>
      <c r="LDB127" s="3"/>
      <c r="LDC127" s="3"/>
      <c r="LDD127" s="3"/>
      <c r="LDE127" s="3"/>
      <c r="LDF127" s="3"/>
      <c r="LDG127" s="3"/>
      <c r="LDH127" s="3"/>
      <c r="LDI127" s="3"/>
      <c r="LDJ127" s="3"/>
      <c r="LDK127" s="3"/>
      <c r="LDL127" s="3"/>
      <c r="LDM127" s="3"/>
      <c r="LDN127" s="3"/>
      <c r="LDO127" s="3"/>
      <c r="LDP127" s="3"/>
      <c r="LDQ127" s="3"/>
      <c r="LDR127" s="3"/>
      <c r="LDS127" s="3"/>
      <c r="LDT127" s="3"/>
      <c r="LDU127" s="3"/>
      <c r="LDV127" s="3"/>
      <c r="LDW127" s="3"/>
      <c r="LDX127" s="3"/>
      <c r="LDY127" s="3"/>
      <c r="LDZ127" s="3"/>
      <c r="LEA127" s="3"/>
      <c r="LEB127" s="3"/>
      <c r="LEC127" s="3"/>
      <c r="LED127" s="3"/>
      <c r="LEE127" s="3"/>
      <c r="LEF127" s="3"/>
      <c r="LEG127" s="3"/>
      <c r="LEH127" s="3"/>
      <c r="LEI127" s="3"/>
      <c r="LEJ127" s="3"/>
      <c r="LEK127" s="3"/>
      <c r="LEL127" s="3"/>
      <c r="LEM127" s="3"/>
      <c r="LEN127" s="3"/>
      <c r="LEO127" s="3"/>
      <c r="LEP127" s="3"/>
      <c r="LEQ127" s="3"/>
      <c r="LER127" s="3"/>
      <c r="LES127" s="3"/>
      <c r="LET127" s="3"/>
      <c r="LEU127" s="3"/>
      <c r="LEV127" s="3"/>
      <c r="LEW127" s="3"/>
      <c r="LEX127" s="3"/>
      <c r="LEY127" s="3"/>
      <c r="LEZ127" s="3"/>
      <c r="LFA127" s="3"/>
      <c r="LFB127" s="3"/>
      <c r="LFC127" s="3"/>
      <c r="LFD127" s="3"/>
      <c r="LFE127" s="3"/>
      <c r="LFF127" s="3"/>
      <c r="LFG127" s="3"/>
      <c r="LFH127" s="3"/>
      <c r="LFI127" s="3"/>
      <c r="LFJ127" s="3"/>
      <c r="LFK127" s="3"/>
      <c r="LFL127" s="3"/>
      <c r="LFM127" s="3"/>
      <c r="LFN127" s="3"/>
      <c r="LFO127" s="3"/>
      <c r="LFP127" s="3"/>
      <c r="LFQ127" s="3"/>
      <c r="LFR127" s="3"/>
      <c r="LFS127" s="3"/>
      <c r="LFT127" s="3"/>
      <c r="LFU127" s="3"/>
      <c r="LFV127" s="3"/>
      <c r="LFW127" s="3"/>
      <c r="LFX127" s="3"/>
      <c r="LFY127" s="3"/>
      <c r="LFZ127" s="3"/>
      <c r="LGA127" s="3"/>
      <c r="LGB127" s="3"/>
      <c r="LGC127" s="3"/>
      <c r="LGD127" s="3"/>
      <c r="LGE127" s="3"/>
      <c r="LGF127" s="3"/>
      <c r="LGG127" s="3"/>
      <c r="LGH127" s="3"/>
      <c r="LGI127" s="3"/>
      <c r="LGJ127" s="3"/>
      <c r="LGK127" s="3"/>
      <c r="LGL127" s="3"/>
      <c r="LGM127" s="3"/>
      <c r="LGN127" s="3"/>
      <c r="LGO127" s="3"/>
      <c r="LGP127" s="3"/>
      <c r="LGQ127" s="3"/>
      <c r="LGR127" s="3"/>
      <c r="LGS127" s="3"/>
      <c r="LGT127" s="3"/>
      <c r="LGU127" s="3"/>
      <c r="LGV127" s="3"/>
      <c r="LGW127" s="3"/>
      <c r="LGX127" s="3"/>
      <c r="LGY127" s="3"/>
      <c r="LGZ127" s="3"/>
      <c r="LHA127" s="3"/>
      <c r="LHB127" s="3"/>
      <c r="LHC127" s="3"/>
      <c r="LHD127" s="3"/>
      <c r="LHE127" s="3"/>
      <c r="LHF127" s="3"/>
      <c r="LHG127" s="3"/>
      <c r="LHH127" s="3"/>
      <c r="LHI127" s="3"/>
      <c r="LHJ127" s="3"/>
      <c r="LHK127" s="3"/>
      <c r="LHL127" s="3"/>
      <c r="LHM127" s="3"/>
      <c r="LHN127" s="3"/>
      <c r="LHO127" s="3"/>
      <c r="LHP127" s="3"/>
      <c r="LHQ127" s="3"/>
      <c r="LHR127" s="3"/>
      <c r="LHS127" s="3"/>
      <c r="LHT127" s="3"/>
      <c r="LHU127" s="3"/>
      <c r="LHV127" s="3"/>
      <c r="LHW127" s="3"/>
      <c r="LHX127" s="3"/>
      <c r="LHY127" s="3"/>
      <c r="LHZ127" s="3"/>
      <c r="LIA127" s="3"/>
      <c r="LIB127" s="3"/>
      <c r="LIC127" s="3"/>
      <c r="LID127" s="3"/>
      <c r="LIE127" s="3"/>
      <c r="LIF127" s="3"/>
      <c r="LIG127" s="3"/>
      <c r="LIH127" s="3"/>
      <c r="LII127" s="3"/>
      <c r="LIJ127" s="3"/>
      <c r="LIK127" s="3"/>
      <c r="LIL127" s="3"/>
      <c r="LIM127" s="3"/>
      <c r="LIN127" s="3"/>
      <c r="LIO127" s="3"/>
      <c r="LIP127" s="3"/>
      <c r="LIQ127" s="3"/>
      <c r="LIR127" s="3"/>
      <c r="LIS127" s="3"/>
      <c r="LIT127" s="3"/>
      <c r="LIU127" s="3"/>
      <c r="LIV127" s="3"/>
      <c r="LIW127" s="3"/>
      <c r="LIX127" s="3"/>
      <c r="LIY127" s="3"/>
      <c r="LIZ127" s="3"/>
      <c r="LJA127" s="3"/>
      <c r="LJB127" s="3"/>
      <c r="LJC127" s="3"/>
      <c r="LJD127" s="3"/>
      <c r="LJE127" s="3"/>
      <c r="LJF127" s="3"/>
      <c r="LJG127" s="3"/>
      <c r="LJH127" s="3"/>
      <c r="LJI127" s="3"/>
      <c r="LJJ127" s="3"/>
      <c r="LJK127" s="3"/>
      <c r="LJL127" s="3"/>
      <c r="LJM127" s="3"/>
      <c r="LJN127" s="3"/>
      <c r="LJO127" s="3"/>
      <c r="LJP127" s="3"/>
      <c r="LJQ127" s="3"/>
      <c r="LJR127" s="3"/>
      <c r="LJS127" s="3"/>
      <c r="LJT127" s="3"/>
      <c r="LJU127" s="3"/>
      <c r="LJV127" s="3"/>
      <c r="LJW127" s="3"/>
      <c r="LJX127" s="3"/>
      <c r="LJY127" s="3"/>
      <c r="LJZ127" s="3"/>
      <c r="LKA127" s="3"/>
      <c r="LKB127" s="3"/>
      <c r="LKC127" s="3"/>
      <c r="LKD127" s="3"/>
      <c r="LKE127" s="3"/>
      <c r="LKF127" s="3"/>
      <c r="LKG127" s="3"/>
      <c r="LKH127" s="3"/>
      <c r="LKI127" s="3"/>
      <c r="LKJ127" s="3"/>
      <c r="LKK127" s="3"/>
      <c r="LKL127" s="3"/>
      <c r="LKM127" s="3"/>
      <c r="LKN127" s="3"/>
      <c r="LKO127" s="3"/>
      <c r="LKP127" s="3"/>
      <c r="LKQ127" s="3"/>
      <c r="LKR127" s="3"/>
      <c r="LKS127" s="3"/>
      <c r="LKT127" s="3"/>
      <c r="LKU127" s="3"/>
      <c r="LKV127" s="3"/>
      <c r="LKW127" s="3"/>
      <c r="LKX127" s="3"/>
      <c r="LKY127" s="3"/>
      <c r="LKZ127" s="3"/>
      <c r="LLA127" s="3"/>
      <c r="LLB127" s="3"/>
      <c r="LLC127" s="3"/>
      <c r="LLD127" s="3"/>
      <c r="LLE127" s="3"/>
      <c r="LLF127" s="3"/>
      <c r="LLG127" s="3"/>
      <c r="LLH127" s="3"/>
      <c r="LLI127" s="3"/>
      <c r="LLJ127" s="3"/>
      <c r="LLK127" s="3"/>
      <c r="LLL127" s="3"/>
      <c r="LLM127" s="3"/>
      <c r="LLN127" s="3"/>
      <c r="LLO127" s="3"/>
      <c r="LLP127" s="3"/>
      <c r="LLQ127" s="3"/>
      <c r="LLR127" s="3"/>
      <c r="LLS127" s="3"/>
      <c r="LLT127" s="3"/>
      <c r="LLU127" s="3"/>
      <c r="LLV127" s="3"/>
      <c r="LLW127" s="3"/>
      <c r="LLX127" s="3"/>
      <c r="LLY127" s="3"/>
      <c r="LLZ127" s="3"/>
      <c r="LMA127" s="3"/>
      <c r="LMB127" s="3"/>
      <c r="LMC127" s="3"/>
      <c r="LMD127" s="3"/>
      <c r="LME127" s="3"/>
      <c r="LMF127" s="3"/>
      <c r="LMG127" s="3"/>
      <c r="LMH127" s="3"/>
      <c r="LMI127" s="3"/>
      <c r="LMJ127" s="3"/>
      <c r="LMK127" s="3"/>
      <c r="LML127" s="3"/>
      <c r="LMM127" s="3"/>
      <c r="LMN127" s="3"/>
      <c r="LMO127" s="3"/>
      <c r="LMP127" s="3"/>
      <c r="LMQ127" s="3"/>
      <c r="LMR127" s="3"/>
      <c r="LMS127" s="3"/>
      <c r="LMT127" s="3"/>
      <c r="LMU127" s="3"/>
      <c r="LMV127" s="3"/>
      <c r="LMW127" s="3"/>
      <c r="LMX127" s="3"/>
      <c r="LMY127" s="3"/>
      <c r="LMZ127" s="3"/>
      <c r="LNA127" s="3"/>
      <c r="LNB127" s="3"/>
      <c r="LNC127" s="3"/>
      <c r="LND127" s="3"/>
      <c r="LNE127" s="3"/>
      <c r="LNF127" s="3"/>
      <c r="LNG127" s="3"/>
      <c r="LNH127" s="3"/>
      <c r="LNI127" s="3"/>
      <c r="LNJ127" s="3"/>
      <c r="LNK127" s="3"/>
      <c r="LNL127" s="3"/>
      <c r="LNM127" s="3"/>
      <c r="LNN127" s="3"/>
      <c r="LNO127" s="3"/>
      <c r="LNP127" s="3"/>
      <c r="LNQ127" s="3"/>
      <c r="LNR127" s="3"/>
      <c r="LNS127" s="3"/>
      <c r="LNT127" s="3"/>
      <c r="LNU127" s="3"/>
      <c r="LNV127" s="3"/>
      <c r="LNW127" s="3"/>
      <c r="LNX127" s="3"/>
      <c r="LNY127" s="3"/>
      <c r="LNZ127" s="3"/>
      <c r="LOA127" s="3"/>
      <c r="LOB127" s="3"/>
      <c r="LOC127" s="3"/>
      <c r="LOD127" s="3"/>
      <c r="LOE127" s="3"/>
      <c r="LOF127" s="3"/>
      <c r="LOG127" s="3"/>
      <c r="LOH127" s="3"/>
      <c r="LOI127" s="3"/>
      <c r="LOJ127" s="3"/>
      <c r="LOK127" s="3"/>
      <c r="LOL127" s="3"/>
      <c r="LOM127" s="3"/>
      <c r="LON127" s="3"/>
      <c r="LOO127" s="3"/>
      <c r="LOP127" s="3"/>
      <c r="LOQ127" s="3"/>
      <c r="LOR127" s="3"/>
      <c r="LOS127" s="3"/>
      <c r="LOT127" s="3"/>
      <c r="LOU127" s="3"/>
      <c r="LOV127" s="3"/>
      <c r="LOW127" s="3"/>
      <c r="LOX127" s="3"/>
      <c r="LOY127" s="3"/>
      <c r="LOZ127" s="3"/>
      <c r="LPA127" s="3"/>
      <c r="LPB127" s="3"/>
      <c r="LPC127" s="3"/>
      <c r="LPD127" s="3"/>
      <c r="LPE127" s="3"/>
      <c r="LPF127" s="3"/>
      <c r="LPG127" s="3"/>
      <c r="LPH127" s="3"/>
      <c r="LPI127" s="3"/>
      <c r="LPJ127" s="3"/>
      <c r="LPK127" s="3"/>
      <c r="LPL127" s="3"/>
      <c r="LPM127" s="3"/>
      <c r="LPN127" s="3"/>
      <c r="LPO127" s="3"/>
      <c r="LPP127" s="3"/>
      <c r="LPQ127" s="3"/>
      <c r="LPR127" s="3"/>
      <c r="LPS127" s="3"/>
      <c r="LPT127" s="3"/>
      <c r="LPU127" s="3"/>
      <c r="LPV127" s="3"/>
      <c r="LPW127" s="3"/>
      <c r="LPX127" s="3"/>
      <c r="LPY127" s="3"/>
      <c r="LPZ127" s="3"/>
      <c r="LQA127" s="3"/>
      <c r="LQB127" s="3"/>
      <c r="LQC127" s="3"/>
      <c r="LQD127" s="3"/>
      <c r="LQE127" s="3"/>
      <c r="LQF127" s="3"/>
      <c r="LQG127" s="3"/>
      <c r="LQH127" s="3"/>
      <c r="LQI127" s="3"/>
      <c r="LQJ127" s="3"/>
      <c r="LQK127" s="3"/>
      <c r="LQL127" s="3"/>
      <c r="LQM127" s="3"/>
      <c r="LQN127" s="3"/>
      <c r="LQO127" s="3"/>
      <c r="LQP127" s="3"/>
      <c r="LQQ127" s="3"/>
      <c r="LQR127" s="3"/>
      <c r="LQS127" s="3"/>
      <c r="LQT127" s="3"/>
      <c r="LQU127" s="3"/>
      <c r="LQV127" s="3"/>
      <c r="LQW127" s="3"/>
      <c r="LQX127" s="3"/>
      <c r="LQY127" s="3"/>
      <c r="LQZ127" s="3"/>
      <c r="LRA127" s="3"/>
      <c r="LRB127" s="3"/>
      <c r="LRC127" s="3"/>
      <c r="LRD127" s="3"/>
      <c r="LRE127" s="3"/>
      <c r="LRF127" s="3"/>
      <c r="LRG127" s="3"/>
      <c r="LRH127" s="3"/>
      <c r="LRI127" s="3"/>
      <c r="LRJ127" s="3"/>
      <c r="LRK127" s="3"/>
      <c r="LRL127" s="3"/>
      <c r="LRM127" s="3"/>
      <c r="LRN127" s="3"/>
      <c r="LRO127" s="3"/>
      <c r="LRP127" s="3"/>
      <c r="LRQ127" s="3"/>
      <c r="LRR127" s="3"/>
      <c r="LRS127" s="3"/>
      <c r="LRT127" s="3"/>
      <c r="LRU127" s="3"/>
      <c r="LRV127" s="3"/>
      <c r="LRW127" s="3"/>
      <c r="LRX127" s="3"/>
      <c r="LRY127" s="3"/>
      <c r="LRZ127" s="3"/>
      <c r="LSA127" s="3"/>
      <c r="LSB127" s="3"/>
      <c r="LSC127" s="3"/>
      <c r="LSD127" s="3"/>
      <c r="LSE127" s="3"/>
      <c r="LSF127" s="3"/>
      <c r="LSG127" s="3"/>
      <c r="LSH127" s="3"/>
      <c r="LSI127" s="3"/>
      <c r="LSJ127" s="3"/>
      <c r="LSK127" s="3"/>
      <c r="LSL127" s="3"/>
      <c r="LSM127" s="3"/>
      <c r="LSN127" s="3"/>
      <c r="LSO127" s="3"/>
      <c r="LSP127" s="3"/>
      <c r="LSQ127" s="3"/>
      <c r="LSR127" s="3"/>
      <c r="LSS127" s="3"/>
      <c r="LST127" s="3"/>
      <c r="LSU127" s="3"/>
      <c r="LSV127" s="3"/>
      <c r="LSW127" s="3"/>
      <c r="LSX127" s="3"/>
      <c r="LSY127" s="3"/>
      <c r="LSZ127" s="3"/>
      <c r="LTA127" s="3"/>
      <c r="LTB127" s="3"/>
      <c r="LTC127" s="3"/>
      <c r="LTD127" s="3"/>
      <c r="LTE127" s="3"/>
      <c r="LTF127" s="3"/>
      <c r="LTG127" s="3"/>
      <c r="LTH127" s="3"/>
      <c r="LTI127" s="3"/>
      <c r="LTJ127" s="3"/>
      <c r="LTK127" s="3"/>
      <c r="LTL127" s="3"/>
      <c r="LTM127" s="3"/>
      <c r="LTN127" s="3"/>
      <c r="LTO127" s="3"/>
      <c r="LTP127" s="3"/>
      <c r="LTQ127" s="3"/>
      <c r="LTR127" s="3"/>
      <c r="LTS127" s="3"/>
      <c r="LTT127" s="3"/>
      <c r="LTU127" s="3"/>
      <c r="LTV127" s="3"/>
      <c r="LTW127" s="3"/>
      <c r="LTX127" s="3"/>
      <c r="LTY127" s="3"/>
      <c r="LTZ127" s="3"/>
      <c r="LUA127" s="3"/>
      <c r="LUB127" s="3"/>
      <c r="LUC127" s="3"/>
      <c r="LUD127" s="3"/>
      <c r="LUE127" s="3"/>
      <c r="LUF127" s="3"/>
      <c r="LUG127" s="3"/>
      <c r="LUH127" s="3"/>
      <c r="LUI127" s="3"/>
      <c r="LUJ127" s="3"/>
      <c r="LUK127" s="3"/>
      <c r="LUL127" s="3"/>
      <c r="LUM127" s="3"/>
      <c r="LUN127" s="3"/>
      <c r="LUO127" s="3"/>
      <c r="LUP127" s="3"/>
      <c r="LUQ127" s="3"/>
      <c r="LUR127" s="3"/>
      <c r="LUS127" s="3"/>
      <c r="LUT127" s="3"/>
      <c r="LUU127" s="3"/>
      <c r="LUV127" s="3"/>
      <c r="LUW127" s="3"/>
      <c r="LUX127" s="3"/>
      <c r="LUY127" s="3"/>
      <c r="LUZ127" s="3"/>
      <c r="LVA127" s="3"/>
      <c r="LVB127" s="3"/>
      <c r="LVC127" s="3"/>
      <c r="LVD127" s="3"/>
      <c r="LVE127" s="3"/>
      <c r="LVF127" s="3"/>
      <c r="LVG127" s="3"/>
      <c r="LVH127" s="3"/>
      <c r="LVI127" s="3"/>
      <c r="LVJ127" s="3"/>
      <c r="LVK127" s="3"/>
      <c r="LVL127" s="3"/>
      <c r="LVM127" s="3"/>
      <c r="LVN127" s="3"/>
      <c r="LVO127" s="3"/>
      <c r="LVP127" s="3"/>
      <c r="LVQ127" s="3"/>
      <c r="LVR127" s="3"/>
      <c r="LVS127" s="3"/>
      <c r="LVT127" s="3"/>
      <c r="LVU127" s="3"/>
      <c r="LVV127" s="3"/>
      <c r="LVW127" s="3"/>
      <c r="LVX127" s="3"/>
      <c r="LVY127" s="3"/>
      <c r="LVZ127" s="3"/>
      <c r="LWA127" s="3"/>
      <c r="LWB127" s="3"/>
      <c r="LWC127" s="3"/>
      <c r="LWD127" s="3"/>
      <c r="LWE127" s="3"/>
      <c r="LWF127" s="3"/>
      <c r="LWG127" s="3"/>
      <c r="LWH127" s="3"/>
      <c r="LWI127" s="3"/>
      <c r="LWJ127" s="3"/>
      <c r="LWK127" s="3"/>
      <c r="LWL127" s="3"/>
      <c r="LWM127" s="3"/>
      <c r="LWN127" s="3"/>
      <c r="LWO127" s="3"/>
      <c r="LWP127" s="3"/>
      <c r="LWQ127" s="3"/>
      <c r="LWR127" s="3"/>
      <c r="LWS127" s="3"/>
      <c r="LWT127" s="3"/>
      <c r="LWU127" s="3"/>
      <c r="LWV127" s="3"/>
      <c r="LWW127" s="3"/>
      <c r="LWX127" s="3"/>
      <c r="LWY127" s="3"/>
      <c r="LWZ127" s="3"/>
      <c r="LXA127" s="3"/>
      <c r="LXB127" s="3"/>
      <c r="LXC127" s="3"/>
      <c r="LXD127" s="3"/>
      <c r="LXE127" s="3"/>
      <c r="LXF127" s="3"/>
      <c r="LXG127" s="3"/>
      <c r="LXH127" s="3"/>
      <c r="LXI127" s="3"/>
      <c r="LXJ127" s="3"/>
      <c r="LXK127" s="3"/>
      <c r="LXL127" s="3"/>
      <c r="LXM127" s="3"/>
      <c r="LXN127" s="3"/>
      <c r="LXO127" s="3"/>
      <c r="LXP127" s="3"/>
      <c r="LXQ127" s="3"/>
      <c r="LXR127" s="3"/>
      <c r="LXS127" s="3"/>
      <c r="LXT127" s="3"/>
      <c r="LXU127" s="3"/>
      <c r="LXV127" s="3"/>
      <c r="LXW127" s="3"/>
      <c r="LXX127" s="3"/>
      <c r="LXY127" s="3"/>
      <c r="LXZ127" s="3"/>
      <c r="LYA127" s="3"/>
      <c r="LYB127" s="3"/>
      <c r="LYC127" s="3"/>
      <c r="LYD127" s="3"/>
      <c r="LYE127" s="3"/>
      <c r="LYF127" s="3"/>
      <c r="LYG127" s="3"/>
      <c r="LYH127" s="3"/>
      <c r="LYI127" s="3"/>
      <c r="LYJ127" s="3"/>
      <c r="LYK127" s="3"/>
      <c r="LYL127" s="3"/>
      <c r="LYM127" s="3"/>
      <c r="LYN127" s="3"/>
      <c r="LYO127" s="3"/>
      <c r="LYP127" s="3"/>
      <c r="LYQ127" s="3"/>
      <c r="LYR127" s="3"/>
      <c r="LYS127" s="3"/>
      <c r="LYT127" s="3"/>
      <c r="LYU127" s="3"/>
      <c r="LYV127" s="3"/>
      <c r="LYW127" s="3"/>
      <c r="LYX127" s="3"/>
      <c r="LYY127" s="3"/>
      <c r="LYZ127" s="3"/>
      <c r="LZA127" s="3"/>
      <c r="LZB127" s="3"/>
      <c r="LZC127" s="3"/>
      <c r="LZD127" s="3"/>
      <c r="LZE127" s="3"/>
      <c r="LZF127" s="3"/>
      <c r="LZG127" s="3"/>
      <c r="LZH127" s="3"/>
      <c r="LZI127" s="3"/>
      <c r="LZJ127" s="3"/>
      <c r="LZK127" s="3"/>
      <c r="LZL127" s="3"/>
      <c r="LZM127" s="3"/>
      <c r="LZN127" s="3"/>
      <c r="LZO127" s="3"/>
      <c r="LZP127" s="3"/>
      <c r="LZQ127" s="3"/>
      <c r="LZR127" s="3"/>
      <c r="LZS127" s="3"/>
      <c r="LZT127" s="3"/>
      <c r="LZU127" s="3"/>
      <c r="LZV127" s="3"/>
      <c r="LZW127" s="3"/>
      <c r="LZX127" s="3"/>
      <c r="LZY127" s="3"/>
      <c r="LZZ127" s="3"/>
      <c r="MAA127" s="3"/>
      <c r="MAB127" s="3"/>
      <c r="MAC127" s="3"/>
      <c r="MAD127" s="3"/>
      <c r="MAE127" s="3"/>
      <c r="MAF127" s="3"/>
      <c r="MAG127" s="3"/>
      <c r="MAH127" s="3"/>
      <c r="MAI127" s="3"/>
      <c r="MAJ127" s="3"/>
      <c r="MAK127" s="3"/>
      <c r="MAL127" s="3"/>
      <c r="MAM127" s="3"/>
      <c r="MAN127" s="3"/>
      <c r="MAO127" s="3"/>
      <c r="MAP127" s="3"/>
      <c r="MAQ127" s="3"/>
      <c r="MAR127" s="3"/>
      <c r="MAS127" s="3"/>
      <c r="MAT127" s="3"/>
      <c r="MAU127" s="3"/>
      <c r="MAV127" s="3"/>
      <c r="MAW127" s="3"/>
      <c r="MAX127" s="3"/>
      <c r="MAY127" s="3"/>
      <c r="MAZ127" s="3"/>
      <c r="MBA127" s="3"/>
      <c r="MBB127" s="3"/>
      <c r="MBC127" s="3"/>
      <c r="MBD127" s="3"/>
      <c r="MBE127" s="3"/>
      <c r="MBF127" s="3"/>
      <c r="MBG127" s="3"/>
      <c r="MBH127" s="3"/>
      <c r="MBI127" s="3"/>
      <c r="MBJ127" s="3"/>
      <c r="MBK127" s="3"/>
      <c r="MBL127" s="3"/>
      <c r="MBM127" s="3"/>
      <c r="MBN127" s="3"/>
      <c r="MBO127" s="3"/>
      <c r="MBP127" s="3"/>
      <c r="MBQ127" s="3"/>
      <c r="MBR127" s="3"/>
      <c r="MBS127" s="3"/>
      <c r="MBT127" s="3"/>
      <c r="MBU127" s="3"/>
      <c r="MBV127" s="3"/>
      <c r="MBW127" s="3"/>
      <c r="MBX127" s="3"/>
      <c r="MBY127" s="3"/>
      <c r="MBZ127" s="3"/>
      <c r="MCA127" s="3"/>
      <c r="MCB127" s="3"/>
      <c r="MCC127" s="3"/>
      <c r="MCD127" s="3"/>
      <c r="MCE127" s="3"/>
      <c r="MCF127" s="3"/>
      <c r="MCG127" s="3"/>
      <c r="MCH127" s="3"/>
      <c r="MCI127" s="3"/>
      <c r="MCJ127" s="3"/>
      <c r="MCK127" s="3"/>
      <c r="MCL127" s="3"/>
      <c r="MCM127" s="3"/>
      <c r="MCN127" s="3"/>
      <c r="MCO127" s="3"/>
      <c r="MCP127" s="3"/>
      <c r="MCQ127" s="3"/>
      <c r="MCR127" s="3"/>
      <c r="MCS127" s="3"/>
      <c r="MCT127" s="3"/>
      <c r="MCU127" s="3"/>
      <c r="MCV127" s="3"/>
      <c r="MCW127" s="3"/>
      <c r="MCX127" s="3"/>
      <c r="MCY127" s="3"/>
      <c r="MCZ127" s="3"/>
      <c r="MDA127" s="3"/>
      <c r="MDB127" s="3"/>
      <c r="MDC127" s="3"/>
      <c r="MDD127" s="3"/>
      <c r="MDE127" s="3"/>
      <c r="MDF127" s="3"/>
      <c r="MDG127" s="3"/>
      <c r="MDH127" s="3"/>
      <c r="MDI127" s="3"/>
      <c r="MDJ127" s="3"/>
      <c r="MDK127" s="3"/>
      <c r="MDL127" s="3"/>
      <c r="MDM127" s="3"/>
      <c r="MDN127" s="3"/>
      <c r="MDO127" s="3"/>
      <c r="MDP127" s="3"/>
      <c r="MDQ127" s="3"/>
      <c r="MDR127" s="3"/>
      <c r="MDS127" s="3"/>
      <c r="MDT127" s="3"/>
      <c r="MDU127" s="3"/>
      <c r="MDV127" s="3"/>
      <c r="MDW127" s="3"/>
      <c r="MDX127" s="3"/>
      <c r="MDY127" s="3"/>
      <c r="MDZ127" s="3"/>
      <c r="MEA127" s="3"/>
      <c r="MEB127" s="3"/>
      <c r="MEC127" s="3"/>
      <c r="MED127" s="3"/>
      <c r="MEE127" s="3"/>
      <c r="MEF127" s="3"/>
      <c r="MEG127" s="3"/>
      <c r="MEH127" s="3"/>
      <c r="MEI127" s="3"/>
      <c r="MEJ127" s="3"/>
      <c r="MEK127" s="3"/>
      <c r="MEL127" s="3"/>
      <c r="MEM127" s="3"/>
      <c r="MEN127" s="3"/>
      <c r="MEO127" s="3"/>
      <c r="MEP127" s="3"/>
      <c r="MEQ127" s="3"/>
      <c r="MER127" s="3"/>
      <c r="MES127" s="3"/>
      <c r="MET127" s="3"/>
      <c r="MEU127" s="3"/>
      <c r="MEV127" s="3"/>
      <c r="MEW127" s="3"/>
      <c r="MEX127" s="3"/>
      <c r="MEY127" s="3"/>
      <c r="MEZ127" s="3"/>
      <c r="MFA127" s="3"/>
      <c r="MFB127" s="3"/>
      <c r="MFC127" s="3"/>
      <c r="MFD127" s="3"/>
      <c r="MFE127" s="3"/>
      <c r="MFF127" s="3"/>
      <c r="MFG127" s="3"/>
      <c r="MFH127" s="3"/>
      <c r="MFI127" s="3"/>
      <c r="MFJ127" s="3"/>
      <c r="MFK127" s="3"/>
      <c r="MFL127" s="3"/>
      <c r="MFM127" s="3"/>
      <c r="MFN127" s="3"/>
      <c r="MFO127" s="3"/>
      <c r="MFP127" s="3"/>
      <c r="MFQ127" s="3"/>
      <c r="MFR127" s="3"/>
      <c r="MFS127" s="3"/>
      <c r="MFT127" s="3"/>
      <c r="MFU127" s="3"/>
      <c r="MFV127" s="3"/>
      <c r="MFW127" s="3"/>
      <c r="MFX127" s="3"/>
      <c r="MFY127" s="3"/>
      <c r="MFZ127" s="3"/>
      <c r="MGA127" s="3"/>
      <c r="MGB127" s="3"/>
      <c r="MGC127" s="3"/>
      <c r="MGD127" s="3"/>
      <c r="MGE127" s="3"/>
      <c r="MGF127" s="3"/>
      <c r="MGG127" s="3"/>
      <c r="MGH127" s="3"/>
      <c r="MGI127" s="3"/>
      <c r="MGJ127" s="3"/>
      <c r="MGK127" s="3"/>
      <c r="MGL127" s="3"/>
      <c r="MGM127" s="3"/>
      <c r="MGN127" s="3"/>
      <c r="MGO127" s="3"/>
      <c r="MGP127" s="3"/>
      <c r="MGQ127" s="3"/>
      <c r="MGR127" s="3"/>
      <c r="MGS127" s="3"/>
      <c r="MGT127" s="3"/>
      <c r="MGU127" s="3"/>
      <c r="MGV127" s="3"/>
      <c r="MGW127" s="3"/>
      <c r="MGX127" s="3"/>
      <c r="MGY127" s="3"/>
      <c r="MGZ127" s="3"/>
      <c r="MHA127" s="3"/>
      <c r="MHB127" s="3"/>
      <c r="MHC127" s="3"/>
      <c r="MHD127" s="3"/>
      <c r="MHE127" s="3"/>
      <c r="MHF127" s="3"/>
      <c r="MHG127" s="3"/>
      <c r="MHH127" s="3"/>
      <c r="MHI127" s="3"/>
      <c r="MHJ127" s="3"/>
      <c r="MHK127" s="3"/>
      <c r="MHL127" s="3"/>
      <c r="MHM127" s="3"/>
      <c r="MHN127" s="3"/>
      <c r="MHO127" s="3"/>
      <c r="MHP127" s="3"/>
      <c r="MHQ127" s="3"/>
      <c r="MHR127" s="3"/>
      <c r="MHS127" s="3"/>
      <c r="MHT127" s="3"/>
      <c r="MHU127" s="3"/>
      <c r="MHV127" s="3"/>
      <c r="MHW127" s="3"/>
      <c r="MHX127" s="3"/>
      <c r="MHY127" s="3"/>
      <c r="MHZ127" s="3"/>
      <c r="MIA127" s="3"/>
      <c r="MIB127" s="3"/>
      <c r="MIC127" s="3"/>
      <c r="MID127" s="3"/>
      <c r="MIE127" s="3"/>
      <c r="MIF127" s="3"/>
      <c r="MIG127" s="3"/>
      <c r="MIH127" s="3"/>
      <c r="MII127" s="3"/>
      <c r="MIJ127" s="3"/>
      <c r="MIK127" s="3"/>
      <c r="MIL127" s="3"/>
      <c r="MIM127" s="3"/>
      <c r="MIN127" s="3"/>
      <c r="MIO127" s="3"/>
      <c r="MIP127" s="3"/>
      <c r="MIQ127" s="3"/>
      <c r="MIR127" s="3"/>
      <c r="MIS127" s="3"/>
      <c r="MIT127" s="3"/>
      <c r="MIU127" s="3"/>
      <c r="MIV127" s="3"/>
      <c r="MIW127" s="3"/>
      <c r="MIX127" s="3"/>
      <c r="MIY127" s="3"/>
      <c r="MIZ127" s="3"/>
      <c r="MJA127" s="3"/>
      <c r="MJB127" s="3"/>
      <c r="MJC127" s="3"/>
      <c r="MJD127" s="3"/>
      <c r="MJE127" s="3"/>
      <c r="MJF127" s="3"/>
      <c r="MJG127" s="3"/>
      <c r="MJH127" s="3"/>
      <c r="MJI127" s="3"/>
      <c r="MJJ127" s="3"/>
      <c r="MJK127" s="3"/>
      <c r="MJL127" s="3"/>
      <c r="MJM127" s="3"/>
      <c r="MJN127" s="3"/>
      <c r="MJO127" s="3"/>
      <c r="MJP127" s="3"/>
      <c r="MJQ127" s="3"/>
      <c r="MJR127" s="3"/>
      <c r="MJS127" s="3"/>
      <c r="MJT127" s="3"/>
      <c r="MJU127" s="3"/>
      <c r="MJV127" s="3"/>
      <c r="MJW127" s="3"/>
      <c r="MJX127" s="3"/>
      <c r="MJY127" s="3"/>
      <c r="MJZ127" s="3"/>
      <c r="MKA127" s="3"/>
      <c r="MKB127" s="3"/>
      <c r="MKC127" s="3"/>
      <c r="MKD127" s="3"/>
      <c r="MKE127" s="3"/>
      <c r="MKF127" s="3"/>
      <c r="MKG127" s="3"/>
      <c r="MKH127" s="3"/>
      <c r="MKI127" s="3"/>
      <c r="MKJ127" s="3"/>
      <c r="MKK127" s="3"/>
      <c r="MKL127" s="3"/>
      <c r="MKM127" s="3"/>
      <c r="MKN127" s="3"/>
      <c r="MKO127" s="3"/>
      <c r="MKP127" s="3"/>
      <c r="MKQ127" s="3"/>
      <c r="MKR127" s="3"/>
      <c r="MKS127" s="3"/>
      <c r="MKT127" s="3"/>
      <c r="MKU127" s="3"/>
      <c r="MKV127" s="3"/>
      <c r="MKW127" s="3"/>
      <c r="MKX127" s="3"/>
      <c r="MKY127" s="3"/>
      <c r="MKZ127" s="3"/>
      <c r="MLA127" s="3"/>
      <c r="MLB127" s="3"/>
      <c r="MLC127" s="3"/>
      <c r="MLD127" s="3"/>
      <c r="MLE127" s="3"/>
      <c r="MLF127" s="3"/>
      <c r="MLG127" s="3"/>
      <c r="MLH127" s="3"/>
      <c r="MLI127" s="3"/>
      <c r="MLJ127" s="3"/>
      <c r="MLK127" s="3"/>
      <c r="MLL127" s="3"/>
      <c r="MLM127" s="3"/>
      <c r="MLN127" s="3"/>
      <c r="MLO127" s="3"/>
      <c r="MLP127" s="3"/>
      <c r="MLQ127" s="3"/>
      <c r="MLR127" s="3"/>
      <c r="MLS127" s="3"/>
      <c r="MLT127" s="3"/>
      <c r="MLU127" s="3"/>
      <c r="MLV127" s="3"/>
      <c r="MLW127" s="3"/>
      <c r="MLX127" s="3"/>
      <c r="MLY127" s="3"/>
      <c r="MLZ127" s="3"/>
      <c r="MMA127" s="3"/>
      <c r="MMB127" s="3"/>
      <c r="MMC127" s="3"/>
      <c r="MMD127" s="3"/>
      <c r="MME127" s="3"/>
      <c r="MMF127" s="3"/>
      <c r="MMG127" s="3"/>
      <c r="MMH127" s="3"/>
      <c r="MMI127" s="3"/>
      <c r="MMJ127" s="3"/>
      <c r="MMK127" s="3"/>
      <c r="MML127" s="3"/>
      <c r="MMM127" s="3"/>
      <c r="MMN127" s="3"/>
      <c r="MMO127" s="3"/>
      <c r="MMP127" s="3"/>
      <c r="MMQ127" s="3"/>
      <c r="MMR127" s="3"/>
      <c r="MMS127" s="3"/>
      <c r="MMT127" s="3"/>
      <c r="MMU127" s="3"/>
      <c r="MMV127" s="3"/>
      <c r="MMW127" s="3"/>
      <c r="MMX127" s="3"/>
      <c r="MMY127" s="3"/>
      <c r="MMZ127" s="3"/>
      <c r="MNA127" s="3"/>
      <c r="MNB127" s="3"/>
      <c r="MNC127" s="3"/>
      <c r="MND127" s="3"/>
      <c r="MNE127" s="3"/>
      <c r="MNF127" s="3"/>
      <c r="MNG127" s="3"/>
      <c r="MNH127" s="3"/>
      <c r="MNI127" s="3"/>
      <c r="MNJ127" s="3"/>
      <c r="MNK127" s="3"/>
      <c r="MNL127" s="3"/>
      <c r="MNM127" s="3"/>
      <c r="MNN127" s="3"/>
      <c r="MNO127" s="3"/>
      <c r="MNP127" s="3"/>
      <c r="MNQ127" s="3"/>
      <c r="MNR127" s="3"/>
      <c r="MNS127" s="3"/>
      <c r="MNT127" s="3"/>
      <c r="MNU127" s="3"/>
      <c r="MNV127" s="3"/>
      <c r="MNW127" s="3"/>
      <c r="MNX127" s="3"/>
      <c r="MNY127" s="3"/>
      <c r="MNZ127" s="3"/>
      <c r="MOA127" s="3"/>
      <c r="MOB127" s="3"/>
      <c r="MOC127" s="3"/>
      <c r="MOD127" s="3"/>
      <c r="MOE127" s="3"/>
      <c r="MOF127" s="3"/>
      <c r="MOG127" s="3"/>
      <c r="MOH127" s="3"/>
      <c r="MOI127" s="3"/>
      <c r="MOJ127" s="3"/>
      <c r="MOK127" s="3"/>
      <c r="MOL127" s="3"/>
      <c r="MOM127" s="3"/>
      <c r="MON127" s="3"/>
      <c r="MOO127" s="3"/>
      <c r="MOP127" s="3"/>
      <c r="MOQ127" s="3"/>
      <c r="MOR127" s="3"/>
      <c r="MOS127" s="3"/>
      <c r="MOT127" s="3"/>
      <c r="MOU127" s="3"/>
      <c r="MOV127" s="3"/>
      <c r="MOW127" s="3"/>
      <c r="MOX127" s="3"/>
      <c r="MOY127" s="3"/>
      <c r="MOZ127" s="3"/>
      <c r="MPA127" s="3"/>
      <c r="MPB127" s="3"/>
      <c r="MPC127" s="3"/>
      <c r="MPD127" s="3"/>
      <c r="MPE127" s="3"/>
      <c r="MPF127" s="3"/>
      <c r="MPG127" s="3"/>
      <c r="MPH127" s="3"/>
      <c r="MPI127" s="3"/>
      <c r="MPJ127" s="3"/>
      <c r="MPK127" s="3"/>
      <c r="MPL127" s="3"/>
      <c r="MPM127" s="3"/>
      <c r="MPN127" s="3"/>
      <c r="MPO127" s="3"/>
      <c r="MPP127" s="3"/>
      <c r="MPQ127" s="3"/>
      <c r="MPR127" s="3"/>
      <c r="MPS127" s="3"/>
      <c r="MPT127" s="3"/>
      <c r="MPU127" s="3"/>
      <c r="MPV127" s="3"/>
      <c r="MPW127" s="3"/>
      <c r="MPX127" s="3"/>
      <c r="MPY127" s="3"/>
      <c r="MPZ127" s="3"/>
      <c r="MQA127" s="3"/>
      <c r="MQB127" s="3"/>
      <c r="MQC127" s="3"/>
      <c r="MQD127" s="3"/>
      <c r="MQE127" s="3"/>
      <c r="MQF127" s="3"/>
      <c r="MQG127" s="3"/>
      <c r="MQH127" s="3"/>
      <c r="MQI127" s="3"/>
      <c r="MQJ127" s="3"/>
      <c r="MQK127" s="3"/>
      <c r="MQL127" s="3"/>
      <c r="MQM127" s="3"/>
      <c r="MQN127" s="3"/>
      <c r="MQO127" s="3"/>
      <c r="MQP127" s="3"/>
      <c r="MQQ127" s="3"/>
      <c r="MQR127" s="3"/>
      <c r="MQS127" s="3"/>
      <c r="MQT127" s="3"/>
      <c r="MQU127" s="3"/>
      <c r="MQV127" s="3"/>
      <c r="MQW127" s="3"/>
      <c r="MQX127" s="3"/>
      <c r="MQY127" s="3"/>
      <c r="MQZ127" s="3"/>
      <c r="MRA127" s="3"/>
      <c r="MRB127" s="3"/>
      <c r="MRC127" s="3"/>
      <c r="MRD127" s="3"/>
      <c r="MRE127" s="3"/>
      <c r="MRF127" s="3"/>
      <c r="MRG127" s="3"/>
      <c r="MRH127" s="3"/>
      <c r="MRI127" s="3"/>
      <c r="MRJ127" s="3"/>
      <c r="MRK127" s="3"/>
      <c r="MRL127" s="3"/>
      <c r="MRM127" s="3"/>
      <c r="MRN127" s="3"/>
      <c r="MRO127" s="3"/>
      <c r="MRP127" s="3"/>
      <c r="MRQ127" s="3"/>
      <c r="MRR127" s="3"/>
      <c r="MRS127" s="3"/>
      <c r="MRT127" s="3"/>
      <c r="MRU127" s="3"/>
      <c r="MRV127" s="3"/>
      <c r="MRW127" s="3"/>
      <c r="MRX127" s="3"/>
      <c r="MRY127" s="3"/>
      <c r="MRZ127" s="3"/>
      <c r="MSA127" s="3"/>
      <c r="MSB127" s="3"/>
      <c r="MSC127" s="3"/>
      <c r="MSD127" s="3"/>
      <c r="MSE127" s="3"/>
      <c r="MSF127" s="3"/>
      <c r="MSG127" s="3"/>
      <c r="MSH127" s="3"/>
      <c r="MSI127" s="3"/>
      <c r="MSJ127" s="3"/>
      <c r="MSK127" s="3"/>
      <c r="MSL127" s="3"/>
      <c r="MSM127" s="3"/>
      <c r="MSN127" s="3"/>
      <c r="MSO127" s="3"/>
      <c r="MSP127" s="3"/>
      <c r="MSQ127" s="3"/>
      <c r="MSR127" s="3"/>
      <c r="MSS127" s="3"/>
      <c r="MST127" s="3"/>
      <c r="MSU127" s="3"/>
      <c r="MSV127" s="3"/>
      <c r="MSW127" s="3"/>
      <c r="MSX127" s="3"/>
      <c r="MSY127" s="3"/>
      <c r="MSZ127" s="3"/>
      <c r="MTA127" s="3"/>
      <c r="MTB127" s="3"/>
      <c r="MTC127" s="3"/>
      <c r="MTD127" s="3"/>
      <c r="MTE127" s="3"/>
      <c r="MTF127" s="3"/>
      <c r="MTG127" s="3"/>
      <c r="MTH127" s="3"/>
      <c r="MTI127" s="3"/>
      <c r="MTJ127" s="3"/>
      <c r="MTK127" s="3"/>
      <c r="MTL127" s="3"/>
      <c r="MTM127" s="3"/>
      <c r="MTN127" s="3"/>
      <c r="MTO127" s="3"/>
      <c r="MTP127" s="3"/>
      <c r="MTQ127" s="3"/>
      <c r="MTR127" s="3"/>
      <c r="MTS127" s="3"/>
      <c r="MTT127" s="3"/>
      <c r="MTU127" s="3"/>
      <c r="MTV127" s="3"/>
      <c r="MTW127" s="3"/>
      <c r="MTX127" s="3"/>
      <c r="MTY127" s="3"/>
      <c r="MTZ127" s="3"/>
      <c r="MUA127" s="3"/>
      <c r="MUB127" s="3"/>
      <c r="MUC127" s="3"/>
      <c r="MUD127" s="3"/>
      <c r="MUE127" s="3"/>
      <c r="MUF127" s="3"/>
      <c r="MUG127" s="3"/>
      <c r="MUH127" s="3"/>
      <c r="MUI127" s="3"/>
      <c r="MUJ127" s="3"/>
      <c r="MUK127" s="3"/>
      <c r="MUL127" s="3"/>
      <c r="MUM127" s="3"/>
      <c r="MUN127" s="3"/>
      <c r="MUO127" s="3"/>
      <c r="MUP127" s="3"/>
      <c r="MUQ127" s="3"/>
      <c r="MUR127" s="3"/>
      <c r="MUS127" s="3"/>
      <c r="MUT127" s="3"/>
      <c r="MUU127" s="3"/>
      <c r="MUV127" s="3"/>
      <c r="MUW127" s="3"/>
      <c r="MUX127" s="3"/>
      <c r="MUY127" s="3"/>
      <c r="MUZ127" s="3"/>
      <c r="MVA127" s="3"/>
      <c r="MVB127" s="3"/>
      <c r="MVC127" s="3"/>
      <c r="MVD127" s="3"/>
      <c r="MVE127" s="3"/>
      <c r="MVF127" s="3"/>
      <c r="MVG127" s="3"/>
      <c r="MVH127" s="3"/>
      <c r="MVI127" s="3"/>
      <c r="MVJ127" s="3"/>
      <c r="MVK127" s="3"/>
      <c r="MVL127" s="3"/>
      <c r="MVM127" s="3"/>
      <c r="MVN127" s="3"/>
      <c r="MVO127" s="3"/>
      <c r="MVP127" s="3"/>
      <c r="MVQ127" s="3"/>
      <c r="MVR127" s="3"/>
      <c r="MVS127" s="3"/>
      <c r="MVT127" s="3"/>
      <c r="MVU127" s="3"/>
      <c r="MVV127" s="3"/>
      <c r="MVW127" s="3"/>
      <c r="MVX127" s="3"/>
      <c r="MVY127" s="3"/>
      <c r="MVZ127" s="3"/>
      <c r="MWA127" s="3"/>
      <c r="MWB127" s="3"/>
      <c r="MWC127" s="3"/>
      <c r="MWD127" s="3"/>
      <c r="MWE127" s="3"/>
      <c r="MWF127" s="3"/>
      <c r="MWG127" s="3"/>
      <c r="MWH127" s="3"/>
      <c r="MWI127" s="3"/>
      <c r="MWJ127" s="3"/>
      <c r="MWK127" s="3"/>
      <c r="MWL127" s="3"/>
      <c r="MWM127" s="3"/>
      <c r="MWN127" s="3"/>
      <c r="MWO127" s="3"/>
      <c r="MWP127" s="3"/>
      <c r="MWQ127" s="3"/>
      <c r="MWR127" s="3"/>
      <c r="MWS127" s="3"/>
      <c r="MWT127" s="3"/>
      <c r="MWU127" s="3"/>
      <c r="MWV127" s="3"/>
      <c r="MWW127" s="3"/>
      <c r="MWX127" s="3"/>
      <c r="MWY127" s="3"/>
      <c r="MWZ127" s="3"/>
      <c r="MXA127" s="3"/>
      <c r="MXB127" s="3"/>
      <c r="MXC127" s="3"/>
      <c r="MXD127" s="3"/>
      <c r="MXE127" s="3"/>
      <c r="MXF127" s="3"/>
      <c r="MXG127" s="3"/>
      <c r="MXH127" s="3"/>
      <c r="MXI127" s="3"/>
      <c r="MXJ127" s="3"/>
      <c r="MXK127" s="3"/>
      <c r="MXL127" s="3"/>
      <c r="MXM127" s="3"/>
      <c r="MXN127" s="3"/>
      <c r="MXO127" s="3"/>
      <c r="MXP127" s="3"/>
      <c r="MXQ127" s="3"/>
      <c r="MXR127" s="3"/>
      <c r="MXS127" s="3"/>
      <c r="MXT127" s="3"/>
      <c r="MXU127" s="3"/>
      <c r="MXV127" s="3"/>
      <c r="MXW127" s="3"/>
      <c r="MXX127" s="3"/>
      <c r="MXY127" s="3"/>
      <c r="MXZ127" s="3"/>
      <c r="MYA127" s="3"/>
      <c r="MYB127" s="3"/>
      <c r="MYC127" s="3"/>
      <c r="MYD127" s="3"/>
      <c r="MYE127" s="3"/>
      <c r="MYF127" s="3"/>
      <c r="MYG127" s="3"/>
      <c r="MYH127" s="3"/>
      <c r="MYI127" s="3"/>
      <c r="MYJ127" s="3"/>
      <c r="MYK127" s="3"/>
      <c r="MYL127" s="3"/>
      <c r="MYM127" s="3"/>
      <c r="MYN127" s="3"/>
      <c r="MYO127" s="3"/>
      <c r="MYP127" s="3"/>
      <c r="MYQ127" s="3"/>
      <c r="MYR127" s="3"/>
      <c r="MYS127" s="3"/>
      <c r="MYT127" s="3"/>
      <c r="MYU127" s="3"/>
      <c r="MYV127" s="3"/>
      <c r="MYW127" s="3"/>
      <c r="MYX127" s="3"/>
      <c r="MYY127" s="3"/>
      <c r="MYZ127" s="3"/>
      <c r="MZA127" s="3"/>
      <c r="MZB127" s="3"/>
      <c r="MZC127" s="3"/>
      <c r="MZD127" s="3"/>
      <c r="MZE127" s="3"/>
      <c r="MZF127" s="3"/>
      <c r="MZG127" s="3"/>
      <c r="MZH127" s="3"/>
      <c r="MZI127" s="3"/>
      <c r="MZJ127" s="3"/>
      <c r="MZK127" s="3"/>
      <c r="MZL127" s="3"/>
      <c r="MZM127" s="3"/>
      <c r="MZN127" s="3"/>
      <c r="MZO127" s="3"/>
      <c r="MZP127" s="3"/>
      <c r="MZQ127" s="3"/>
      <c r="MZR127" s="3"/>
      <c r="MZS127" s="3"/>
      <c r="MZT127" s="3"/>
      <c r="MZU127" s="3"/>
      <c r="MZV127" s="3"/>
      <c r="MZW127" s="3"/>
      <c r="MZX127" s="3"/>
      <c r="MZY127" s="3"/>
      <c r="MZZ127" s="3"/>
      <c r="NAA127" s="3"/>
      <c r="NAB127" s="3"/>
      <c r="NAC127" s="3"/>
      <c r="NAD127" s="3"/>
      <c r="NAE127" s="3"/>
      <c r="NAF127" s="3"/>
      <c r="NAG127" s="3"/>
      <c r="NAH127" s="3"/>
      <c r="NAI127" s="3"/>
      <c r="NAJ127" s="3"/>
      <c r="NAK127" s="3"/>
      <c r="NAL127" s="3"/>
      <c r="NAM127" s="3"/>
      <c r="NAN127" s="3"/>
      <c r="NAO127" s="3"/>
      <c r="NAP127" s="3"/>
      <c r="NAQ127" s="3"/>
      <c r="NAR127" s="3"/>
      <c r="NAS127" s="3"/>
      <c r="NAT127" s="3"/>
      <c r="NAU127" s="3"/>
      <c r="NAV127" s="3"/>
      <c r="NAW127" s="3"/>
      <c r="NAX127" s="3"/>
      <c r="NAY127" s="3"/>
      <c r="NAZ127" s="3"/>
      <c r="NBA127" s="3"/>
      <c r="NBB127" s="3"/>
      <c r="NBC127" s="3"/>
      <c r="NBD127" s="3"/>
      <c r="NBE127" s="3"/>
      <c r="NBF127" s="3"/>
      <c r="NBG127" s="3"/>
      <c r="NBH127" s="3"/>
      <c r="NBI127" s="3"/>
      <c r="NBJ127" s="3"/>
      <c r="NBK127" s="3"/>
      <c r="NBL127" s="3"/>
      <c r="NBM127" s="3"/>
      <c r="NBN127" s="3"/>
      <c r="NBO127" s="3"/>
      <c r="NBP127" s="3"/>
      <c r="NBQ127" s="3"/>
      <c r="NBR127" s="3"/>
      <c r="NBS127" s="3"/>
      <c r="NBT127" s="3"/>
      <c r="NBU127" s="3"/>
      <c r="NBV127" s="3"/>
      <c r="NBW127" s="3"/>
      <c r="NBX127" s="3"/>
      <c r="NBY127" s="3"/>
      <c r="NBZ127" s="3"/>
      <c r="NCA127" s="3"/>
      <c r="NCB127" s="3"/>
      <c r="NCC127" s="3"/>
      <c r="NCD127" s="3"/>
      <c r="NCE127" s="3"/>
      <c r="NCF127" s="3"/>
      <c r="NCG127" s="3"/>
      <c r="NCH127" s="3"/>
      <c r="NCI127" s="3"/>
      <c r="NCJ127" s="3"/>
      <c r="NCK127" s="3"/>
      <c r="NCL127" s="3"/>
      <c r="NCM127" s="3"/>
      <c r="NCN127" s="3"/>
      <c r="NCO127" s="3"/>
      <c r="NCP127" s="3"/>
      <c r="NCQ127" s="3"/>
      <c r="NCR127" s="3"/>
      <c r="NCS127" s="3"/>
      <c r="NCT127" s="3"/>
      <c r="NCU127" s="3"/>
      <c r="NCV127" s="3"/>
      <c r="NCW127" s="3"/>
      <c r="NCX127" s="3"/>
      <c r="NCY127" s="3"/>
      <c r="NCZ127" s="3"/>
      <c r="NDA127" s="3"/>
      <c r="NDB127" s="3"/>
      <c r="NDC127" s="3"/>
      <c r="NDD127" s="3"/>
      <c r="NDE127" s="3"/>
      <c r="NDF127" s="3"/>
      <c r="NDG127" s="3"/>
      <c r="NDH127" s="3"/>
      <c r="NDI127" s="3"/>
      <c r="NDJ127" s="3"/>
      <c r="NDK127" s="3"/>
      <c r="NDL127" s="3"/>
      <c r="NDM127" s="3"/>
      <c r="NDN127" s="3"/>
      <c r="NDO127" s="3"/>
      <c r="NDP127" s="3"/>
      <c r="NDQ127" s="3"/>
      <c r="NDR127" s="3"/>
      <c r="NDS127" s="3"/>
      <c r="NDT127" s="3"/>
      <c r="NDU127" s="3"/>
      <c r="NDV127" s="3"/>
      <c r="NDW127" s="3"/>
      <c r="NDX127" s="3"/>
      <c r="NDY127" s="3"/>
      <c r="NDZ127" s="3"/>
      <c r="NEA127" s="3"/>
      <c r="NEB127" s="3"/>
      <c r="NEC127" s="3"/>
      <c r="NED127" s="3"/>
      <c r="NEE127" s="3"/>
      <c r="NEF127" s="3"/>
      <c r="NEG127" s="3"/>
      <c r="NEH127" s="3"/>
      <c r="NEI127" s="3"/>
      <c r="NEJ127" s="3"/>
      <c r="NEK127" s="3"/>
      <c r="NEL127" s="3"/>
      <c r="NEM127" s="3"/>
      <c r="NEN127" s="3"/>
      <c r="NEO127" s="3"/>
      <c r="NEP127" s="3"/>
      <c r="NEQ127" s="3"/>
      <c r="NER127" s="3"/>
      <c r="NES127" s="3"/>
      <c r="NET127" s="3"/>
      <c r="NEU127" s="3"/>
      <c r="NEV127" s="3"/>
      <c r="NEW127" s="3"/>
      <c r="NEX127" s="3"/>
      <c r="NEY127" s="3"/>
      <c r="NEZ127" s="3"/>
      <c r="NFA127" s="3"/>
      <c r="NFB127" s="3"/>
      <c r="NFC127" s="3"/>
      <c r="NFD127" s="3"/>
      <c r="NFE127" s="3"/>
      <c r="NFF127" s="3"/>
      <c r="NFG127" s="3"/>
      <c r="NFH127" s="3"/>
      <c r="NFI127" s="3"/>
      <c r="NFJ127" s="3"/>
      <c r="NFK127" s="3"/>
      <c r="NFL127" s="3"/>
      <c r="NFM127" s="3"/>
      <c r="NFN127" s="3"/>
      <c r="NFO127" s="3"/>
      <c r="NFP127" s="3"/>
      <c r="NFQ127" s="3"/>
      <c r="NFR127" s="3"/>
      <c r="NFS127" s="3"/>
      <c r="NFT127" s="3"/>
      <c r="NFU127" s="3"/>
      <c r="NFV127" s="3"/>
      <c r="NFW127" s="3"/>
      <c r="NFX127" s="3"/>
      <c r="NFY127" s="3"/>
      <c r="NFZ127" s="3"/>
      <c r="NGA127" s="3"/>
      <c r="NGB127" s="3"/>
      <c r="NGC127" s="3"/>
      <c r="NGD127" s="3"/>
      <c r="NGE127" s="3"/>
      <c r="NGF127" s="3"/>
      <c r="NGG127" s="3"/>
      <c r="NGH127" s="3"/>
      <c r="NGI127" s="3"/>
      <c r="NGJ127" s="3"/>
      <c r="NGK127" s="3"/>
      <c r="NGL127" s="3"/>
      <c r="NGM127" s="3"/>
      <c r="NGN127" s="3"/>
      <c r="NGO127" s="3"/>
      <c r="NGP127" s="3"/>
      <c r="NGQ127" s="3"/>
      <c r="NGR127" s="3"/>
      <c r="NGS127" s="3"/>
      <c r="NGT127" s="3"/>
      <c r="NGU127" s="3"/>
      <c r="NGV127" s="3"/>
      <c r="NGW127" s="3"/>
      <c r="NGX127" s="3"/>
      <c r="NGY127" s="3"/>
      <c r="NGZ127" s="3"/>
      <c r="NHA127" s="3"/>
      <c r="NHB127" s="3"/>
      <c r="NHC127" s="3"/>
      <c r="NHD127" s="3"/>
      <c r="NHE127" s="3"/>
      <c r="NHF127" s="3"/>
      <c r="NHG127" s="3"/>
      <c r="NHH127" s="3"/>
      <c r="NHI127" s="3"/>
      <c r="NHJ127" s="3"/>
      <c r="NHK127" s="3"/>
      <c r="NHL127" s="3"/>
      <c r="NHM127" s="3"/>
      <c r="NHN127" s="3"/>
      <c r="NHO127" s="3"/>
      <c r="NHP127" s="3"/>
      <c r="NHQ127" s="3"/>
      <c r="NHR127" s="3"/>
      <c r="NHS127" s="3"/>
      <c r="NHT127" s="3"/>
      <c r="NHU127" s="3"/>
      <c r="NHV127" s="3"/>
      <c r="NHW127" s="3"/>
      <c r="NHX127" s="3"/>
      <c r="NHY127" s="3"/>
      <c r="NHZ127" s="3"/>
      <c r="NIA127" s="3"/>
      <c r="NIB127" s="3"/>
      <c r="NIC127" s="3"/>
      <c r="NID127" s="3"/>
      <c r="NIE127" s="3"/>
      <c r="NIF127" s="3"/>
      <c r="NIG127" s="3"/>
      <c r="NIH127" s="3"/>
      <c r="NII127" s="3"/>
      <c r="NIJ127" s="3"/>
      <c r="NIK127" s="3"/>
      <c r="NIL127" s="3"/>
      <c r="NIM127" s="3"/>
      <c r="NIN127" s="3"/>
      <c r="NIO127" s="3"/>
      <c r="NIP127" s="3"/>
      <c r="NIQ127" s="3"/>
      <c r="NIR127" s="3"/>
      <c r="NIS127" s="3"/>
      <c r="NIT127" s="3"/>
      <c r="NIU127" s="3"/>
      <c r="NIV127" s="3"/>
      <c r="NIW127" s="3"/>
      <c r="NIX127" s="3"/>
      <c r="NIY127" s="3"/>
      <c r="NIZ127" s="3"/>
      <c r="NJA127" s="3"/>
      <c r="NJB127" s="3"/>
      <c r="NJC127" s="3"/>
      <c r="NJD127" s="3"/>
      <c r="NJE127" s="3"/>
      <c r="NJF127" s="3"/>
      <c r="NJG127" s="3"/>
      <c r="NJH127" s="3"/>
      <c r="NJI127" s="3"/>
      <c r="NJJ127" s="3"/>
      <c r="NJK127" s="3"/>
      <c r="NJL127" s="3"/>
      <c r="NJM127" s="3"/>
      <c r="NJN127" s="3"/>
      <c r="NJO127" s="3"/>
      <c r="NJP127" s="3"/>
      <c r="NJQ127" s="3"/>
      <c r="NJR127" s="3"/>
      <c r="NJS127" s="3"/>
      <c r="NJT127" s="3"/>
      <c r="NJU127" s="3"/>
      <c r="NJV127" s="3"/>
      <c r="NJW127" s="3"/>
      <c r="NJX127" s="3"/>
      <c r="NJY127" s="3"/>
      <c r="NJZ127" s="3"/>
      <c r="NKA127" s="3"/>
      <c r="NKB127" s="3"/>
      <c r="NKC127" s="3"/>
      <c r="NKD127" s="3"/>
      <c r="NKE127" s="3"/>
      <c r="NKF127" s="3"/>
      <c r="NKG127" s="3"/>
      <c r="NKH127" s="3"/>
      <c r="NKI127" s="3"/>
      <c r="NKJ127" s="3"/>
      <c r="NKK127" s="3"/>
      <c r="NKL127" s="3"/>
      <c r="NKM127" s="3"/>
      <c r="NKN127" s="3"/>
      <c r="NKO127" s="3"/>
      <c r="NKP127" s="3"/>
      <c r="NKQ127" s="3"/>
      <c r="NKR127" s="3"/>
      <c r="NKS127" s="3"/>
      <c r="NKT127" s="3"/>
      <c r="NKU127" s="3"/>
      <c r="NKV127" s="3"/>
      <c r="NKW127" s="3"/>
      <c r="NKX127" s="3"/>
      <c r="NKY127" s="3"/>
      <c r="NKZ127" s="3"/>
      <c r="NLA127" s="3"/>
      <c r="NLB127" s="3"/>
      <c r="NLC127" s="3"/>
      <c r="NLD127" s="3"/>
      <c r="NLE127" s="3"/>
      <c r="NLF127" s="3"/>
      <c r="NLG127" s="3"/>
      <c r="NLH127" s="3"/>
      <c r="NLI127" s="3"/>
      <c r="NLJ127" s="3"/>
      <c r="NLK127" s="3"/>
      <c r="NLL127" s="3"/>
      <c r="NLM127" s="3"/>
      <c r="NLN127" s="3"/>
      <c r="NLO127" s="3"/>
      <c r="NLP127" s="3"/>
      <c r="NLQ127" s="3"/>
      <c r="NLR127" s="3"/>
      <c r="NLS127" s="3"/>
      <c r="NLT127" s="3"/>
      <c r="NLU127" s="3"/>
      <c r="NLV127" s="3"/>
      <c r="NLW127" s="3"/>
      <c r="NLX127" s="3"/>
      <c r="NLY127" s="3"/>
      <c r="NLZ127" s="3"/>
      <c r="NMA127" s="3"/>
      <c r="NMB127" s="3"/>
      <c r="NMC127" s="3"/>
      <c r="NMD127" s="3"/>
      <c r="NME127" s="3"/>
      <c r="NMF127" s="3"/>
      <c r="NMG127" s="3"/>
      <c r="NMH127" s="3"/>
      <c r="NMI127" s="3"/>
      <c r="NMJ127" s="3"/>
      <c r="NMK127" s="3"/>
      <c r="NML127" s="3"/>
      <c r="NMM127" s="3"/>
      <c r="NMN127" s="3"/>
      <c r="NMO127" s="3"/>
      <c r="NMP127" s="3"/>
      <c r="NMQ127" s="3"/>
      <c r="NMR127" s="3"/>
      <c r="NMS127" s="3"/>
      <c r="NMT127" s="3"/>
      <c r="NMU127" s="3"/>
      <c r="NMV127" s="3"/>
      <c r="NMW127" s="3"/>
      <c r="NMX127" s="3"/>
      <c r="NMY127" s="3"/>
      <c r="NMZ127" s="3"/>
      <c r="NNA127" s="3"/>
      <c r="NNB127" s="3"/>
      <c r="NNC127" s="3"/>
      <c r="NND127" s="3"/>
      <c r="NNE127" s="3"/>
      <c r="NNF127" s="3"/>
      <c r="NNG127" s="3"/>
      <c r="NNH127" s="3"/>
      <c r="NNI127" s="3"/>
      <c r="NNJ127" s="3"/>
      <c r="NNK127" s="3"/>
      <c r="NNL127" s="3"/>
      <c r="NNM127" s="3"/>
      <c r="NNN127" s="3"/>
      <c r="NNO127" s="3"/>
      <c r="NNP127" s="3"/>
      <c r="NNQ127" s="3"/>
      <c r="NNR127" s="3"/>
      <c r="NNS127" s="3"/>
      <c r="NNT127" s="3"/>
      <c r="NNU127" s="3"/>
      <c r="NNV127" s="3"/>
      <c r="NNW127" s="3"/>
      <c r="NNX127" s="3"/>
      <c r="NNY127" s="3"/>
      <c r="NNZ127" s="3"/>
      <c r="NOA127" s="3"/>
      <c r="NOB127" s="3"/>
      <c r="NOC127" s="3"/>
      <c r="NOD127" s="3"/>
      <c r="NOE127" s="3"/>
      <c r="NOF127" s="3"/>
      <c r="NOG127" s="3"/>
      <c r="NOH127" s="3"/>
      <c r="NOI127" s="3"/>
      <c r="NOJ127" s="3"/>
      <c r="NOK127" s="3"/>
      <c r="NOL127" s="3"/>
      <c r="NOM127" s="3"/>
      <c r="NON127" s="3"/>
      <c r="NOO127" s="3"/>
      <c r="NOP127" s="3"/>
      <c r="NOQ127" s="3"/>
      <c r="NOR127" s="3"/>
      <c r="NOS127" s="3"/>
      <c r="NOT127" s="3"/>
      <c r="NOU127" s="3"/>
      <c r="NOV127" s="3"/>
      <c r="NOW127" s="3"/>
      <c r="NOX127" s="3"/>
      <c r="NOY127" s="3"/>
      <c r="NOZ127" s="3"/>
      <c r="NPA127" s="3"/>
      <c r="NPB127" s="3"/>
      <c r="NPC127" s="3"/>
      <c r="NPD127" s="3"/>
      <c r="NPE127" s="3"/>
      <c r="NPF127" s="3"/>
      <c r="NPG127" s="3"/>
      <c r="NPH127" s="3"/>
      <c r="NPI127" s="3"/>
      <c r="NPJ127" s="3"/>
      <c r="NPK127" s="3"/>
      <c r="NPL127" s="3"/>
      <c r="NPM127" s="3"/>
      <c r="NPN127" s="3"/>
      <c r="NPO127" s="3"/>
      <c r="NPP127" s="3"/>
      <c r="NPQ127" s="3"/>
      <c r="NPR127" s="3"/>
      <c r="NPS127" s="3"/>
      <c r="NPT127" s="3"/>
      <c r="NPU127" s="3"/>
      <c r="NPV127" s="3"/>
      <c r="NPW127" s="3"/>
      <c r="NPX127" s="3"/>
      <c r="NPY127" s="3"/>
      <c r="NPZ127" s="3"/>
      <c r="NQA127" s="3"/>
      <c r="NQB127" s="3"/>
      <c r="NQC127" s="3"/>
      <c r="NQD127" s="3"/>
      <c r="NQE127" s="3"/>
      <c r="NQF127" s="3"/>
      <c r="NQG127" s="3"/>
      <c r="NQH127" s="3"/>
      <c r="NQI127" s="3"/>
      <c r="NQJ127" s="3"/>
      <c r="NQK127" s="3"/>
      <c r="NQL127" s="3"/>
      <c r="NQM127" s="3"/>
      <c r="NQN127" s="3"/>
      <c r="NQO127" s="3"/>
      <c r="NQP127" s="3"/>
      <c r="NQQ127" s="3"/>
      <c r="NQR127" s="3"/>
      <c r="NQS127" s="3"/>
      <c r="NQT127" s="3"/>
      <c r="NQU127" s="3"/>
      <c r="NQV127" s="3"/>
      <c r="NQW127" s="3"/>
      <c r="NQX127" s="3"/>
      <c r="NQY127" s="3"/>
      <c r="NQZ127" s="3"/>
      <c r="NRA127" s="3"/>
      <c r="NRB127" s="3"/>
      <c r="NRC127" s="3"/>
      <c r="NRD127" s="3"/>
      <c r="NRE127" s="3"/>
      <c r="NRF127" s="3"/>
      <c r="NRG127" s="3"/>
      <c r="NRH127" s="3"/>
      <c r="NRI127" s="3"/>
      <c r="NRJ127" s="3"/>
      <c r="NRK127" s="3"/>
      <c r="NRL127" s="3"/>
      <c r="NRM127" s="3"/>
      <c r="NRN127" s="3"/>
      <c r="NRO127" s="3"/>
      <c r="NRP127" s="3"/>
      <c r="NRQ127" s="3"/>
      <c r="NRR127" s="3"/>
      <c r="NRS127" s="3"/>
      <c r="NRT127" s="3"/>
      <c r="NRU127" s="3"/>
      <c r="NRV127" s="3"/>
      <c r="NRW127" s="3"/>
      <c r="NRX127" s="3"/>
      <c r="NRY127" s="3"/>
      <c r="NRZ127" s="3"/>
      <c r="NSA127" s="3"/>
      <c r="NSB127" s="3"/>
      <c r="NSC127" s="3"/>
      <c r="NSD127" s="3"/>
      <c r="NSE127" s="3"/>
      <c r="NSF127" s="3"/>
      <c r="NSG127" s="3"/>
      <c r="NSH127" s="3"/>
      <c r="NSI127" s="3"/>
      <c r="NSJ127" s="3"/>
      <c r="NSK127" s="3"/>
      <c r="NSL127" s="3"/>
      <c r="NSM127" s="3"/>
      <c r="NSN127" s="3"/>
      <c r="NSO127" s="3"/>
      <c r="NSP127" s="3"/>
      <c r="NSQ127" s="3"/>
      <c r="NSR127" s="3"/>
      <c r="NSS127" s="3"/>
      <c r="NST127" s="3"/>
      <c r="NSU127" s="3"/>
      <c r="NSV127" s="3"/>
      <c r="NSW127" s="3"/>
      <c r="NSX127" s="3"/>
      <c r="NSY127" s="3"/>
      <c r="NSZ127" s="3"/>
      <c r="NTA127" s="3"/>
      <c r="NTB127" s="3"/>
      <c r="NTC127" s="3"/>
      <c r="NTD127" s="3"/>
      <c r="NTE127" s="3"/>
      <c r="NTF127" s="3"/>
      <c r="NTG127" s="3"/>
      <c r="NTH127" s="3"/>
      <c r="NTI127" s="3"/>
      <c r="NTJ127" s="3"/>
      <c r="NTK127" s="3"/>
      <c r="NTL127" s="3"/>
      <c r="NTM127" s="3"/>
      <c r="NTN127" s="3"/>
      <c r="NTO127" s="3"/>
      <c r="NTP127" s="3"/>
      <c r="NTQ127" s="3"/>
      <c r="NTR127" s="3"/>
      <c r="NTS127" s="3"/>
      <c r="NTT127" s="3"/>
      <c r="NTU127" s="3"/>
      <c r="NTV127" s="3"/>
      <c r="NTW127" s="3"/>
      <c r="NTX127" s="3"/>
      <c r="NTY127" s="3"/>
      <c r="NTZ127" s="3"/>
      <c r="NUA127" s="3"/>
      <c r="NUB127" s="3"/>
      <c r="NUC127" s="3"/>
      <c r="NUD127" s="3"/>
      <c r="NUE127" s="3"/>
      <c r="NUF127" s="3"/>
      <c r="NUG127" s="3"/>
      <c r="NUH127" s="3"/>
      <c r="NUI127" s="3"/>
      <c r="NUJ127" s="3"/>
      <c r="NUK127" s="3"/>
      <c r="NUL127" s="3"/>
      <c r="NUM127" s="3"/>
      <c r="NUN127" s="3"/>
      <c r="NUO127" s="3"/>
      <c r="NUP127" s="3"/>
      <c r="NUQ127" s="3"/>
      <c r="NUR127" s="3"/>
      <c r="NUS127" s="3"/>
      <c r="NUT127" s="3"/>
      <c r="NUU127" s="3"/>
      <c r="NUV127" s="3"/>
      <c r="NUW127" s="3"/>
      <c r="NUX127" s="3"/>
      <c r="NUY127" s="3"/>
      <c r="NUZ127" s="3"/>
      <c r="NVA127" s="3"/>
      <c r="NVB127" s="3"/>
      <c r="NVC127" s="3"/>
      <c r="NVD127" s="3"/>
      <c r="NVE127" s="3"/>
      <c r="NVF127" s="3"/>
      <c r="NVG127" s="3"/>
      <c r="NVH127" s="3"/>
      <c r="NVI127" s="3"/>
      <c r="NVJ127" s="3"/>
      <c r="NVK127" s="3"/>
      <c r="NVL127" s="3"/>
      <c r="NVM127" s="3"/>
      <c r="NVN127" s="3"/>
      <c r="NVO127" s="3"/>
      <c r="NVP127" s="3"/>
      <c r="NVQ127" s="3"/>
      <c r="NVR127" s="3"/>
      <c r="NVS127" s="3"/>
      <c r="NVT127" s="3"/>
      <c r="NVU127" s="3"/>
      <c r="NVV127" s="3"/>
      <c r="NVW127" s="3"/>
      <c r="NVX127" s="3"/>
      <c r="NVY127" s="3"/>
      <c r="NVZ127" s="3"/>
      <c r="NWA127" s="3"/>
      <c r="NWB127" s="3"/>
      <c r="NWC127" s="3"/>
      <c r="NWD127" s="3"/>
      <c r="NWE127" s="3"/>
      <c r="NWF127" s="3"/>
      <c r="NWG127" s="3"/>
      <c r="NWH127" s="3"/>
      <c r="NWI127" s="3"/>
      <c r="NWJ127" s="3"/>
      <c r="NWK127" s="3"/>
      <c r="NWL127" s="3"/>
      <c r="NWM127" s="3"/>
      <c r="NWN127" s="3"/>
      <c r="NWO127" s="3"/>
      <c r="NWP127" s="3"/>
      <c r="NWQ127" s="3"/>
      <c r="NWR127" s="3"/>
      <c r="NWS127" s="3"/>
      <c r="NWT127" s="3"/>
      <c r="NWU127" s="3"/>
      <c r="NWV127" s="3"/>
      <c r="NWW127" s="3"/>
      <c r="NWX127" s="3"/>
      <c r="NWY127" s="3"/>
      <c r="NWZ127" s="3"/>
      <c r="NXA127" s="3"/>
      <c r="NXB127" s="3"/>
      <c r="NXC127" s="3"/>
      <c r="NXD127" s="3"/>
      <c r="NXE127" s="3"/>
      <c r="NXF127" s="3"/>
      <c r="NXG127" s="3"/>
      <c r="NXH127" s="3"/>
      <c r="NXI127" s="3"/>
      <c r="NXJ127" s="3"/>
      <c r="NXK127" s="3"/>
      <c r="NXL127" s="3"/>
      <c r="NXM127" s="3"/>
      <c r="NXN127" s="3"/>
      <c r="NXO127" s="3"/>
      <c r="NXP127" s="3"/>
      <c r="NXQ127" s="3"/>
      <c r="NXR127" s="3"/>
      <c r="NXS127" s="3"/>
      <c r="NXT127" s="3"/>
      <c r="NXU127" s="3"/>
      <c r="NXV127" s="3"/>
      <c r="NXW127" s="3"/>
      <c r="NXX127" s="3"/>
      <c r="NXY127" s="3"/>
      <c r="NXZ127" s="3"/>
      <c r="NYA127" s="3"/>
      <c r="NYB127" s="3"/>
      <c r="NYC127" s="3"/>
      <c r="NYD127" s="3"/>
      <c r="NYE127" s="3"/>
      <c r="NYF127" s="3"/>
      <c r="NYG127" s="3"/>
      <c r="NYH127" s="3"/>
      <c r="NYI127" s="3"/>
      <c r="NYJ127" s="3"/>
      <c r="NYK127" s="3"/>
      <c r="NYL127" s="3"/>
      <c r="NYM127" s="3"/>
      <c r="NYN127" s="3"/>
      <c r="NYO127" s="3"/>
      <c r="NYP127" s="3"/>
      <c r="NYQ127" s="3"/>
      <c r="NYR127" s="3"/>
      <c r="NYS127" s="3"/>
      <c r="NYT127" s="3"/>
      <c r="NYU127" s="3"/>
      <c r="NYV127" s="3"/>
      <c r="NYW127" s="3"/>
      <c r="NYX127" s="3"/>
      <c r="NYY127" s="3"/>
      <c r="NYZ127" s="3"/>
      <c r="NZA127" s="3"/>
      <c r="NZB127" s="3"/>
      <c r="NZC127" s="3"/>
      <c r="NZD127" s="3"/>
      <c r="NZE127" s="3"/>
      <c r="NZF127" s="3"/>
      <c r="NZG127" s="3"/>
      <c r="NZH127" s="3"/>
      <c r="NZI127" s="3"/>
      <c r="NZJ127" s="3"/>
      <c r="NZK127" s="3"/>
      <c r="NZL127" s="3"/>
      <c r="NZM127" s="3"/>
      <c r="NZN127" s="3"/>
      <c r="NZO127" s="3"/>
      <c r="NZP127" s="3"/>
      <c r="NZQ127" s="3"/>
      <c r="NZR127" s="3"/>
      <c r="NZS127" s="3"/>
      <c r="NZT127" s="3"/>
      <c r="NZU127" s="3"/>
      <c r="NZV127" s="3"/>
      <c r="NZW127" s="3"/>
      <c r="NZX127" s="3"/>
      <c r="NZY127" s="3"/>
      <c r="NZZ127" s="3"/>
      <c r="OAA127" s="3"/>
      <c r="OAB127" s="3"/>
      <c r="OAC127" s="3"/>
      <c r="OAD127" s="3"/>
      <c r="OAE127" s="3"/>
      <c r="OAF127" s="3"/>
      <c r="OAG127" s="3"/>
      <c r="OAH127" s="3"/>
      <c r="OAI127" s="3"/>
      <c r="OAJ127" s="3"/>
      <c r="OAK127" s="3"/>
      <c r="OAL127" s="3"/>
      <c r="OAM127" s="3"/>
      <c r="OAN127" s="3"/>
      <c r="OAO127" s="3"/>
      <c r="OAP127" s="3"/>
      <c r="OAQ127" s="3"/>
      <c r="OAR127" s="3"/>
      <c r="OAS127" s="3"/>
      <c r="OAT127" s="3"/>
      <c r="OAU127" s="3"/>
      <c r="OAV127" s="3"/>
      <c r="OAW127" s="3"/>
      <c r="OAX127" s="3"/>
      <c r="OAY127" s="3"/>
      <c r="OAZ127" s="3"/>
      <c r="OBA127" s="3"/>
      <c r="OBB127" s="3"/>
      <c r="OBC127" s="3"/>
      <c r="OBD127" s="3"/>
      <c r="OBE127" s="3"/>
      <c r="OBF127" s="3"/>
      <c r="OBG127" s="3"/>
      <c r="OBH127" s="3"/>
      <c r="OBI127" s="3"/>
      <c r="OBJ127" s="3"/>
      <c r="OBK127" s="3"/>
      <c r="OBL127" s="3"/>
      <c r="OBM127" s="3"/>
      <c r="OBN127" s="3"/>
      <c r="OBO127" s="3"/>
      <c r="OBP127" s="3"/>
      <c r="OBQ127" s="3"/>
      <c r="OBR127" s="3"/>
      <c r="OBS127" s="3"/>
      <c r="OBT127" s="3"/>
      <c r="OBU127" s="3"/>
      <c r="OBV127" s="3"/>
      <c r="OBW127" s="3"/>
      <c r="OBX127" s="3"/>
      <c r="OBY127" s="3"/>
      <c r="OBZ127" s="3"/>
      <c r="OCA127" s="3"/>
      <c r="OCB127" s="3"/>
      <c r="OCC127" s="3"/>
      <c r="OCD127" s="3"/>
      <c r="OCE127" s="3"/>
      <c r="OCF127" s="3"/>
      <c r="OCG127" s="3"/>
      <c r="OCH127" s="3"/>
      <c r="OCI127" s="3"/>
      <c r="OCJ127" s="3"/>
      <c r="OCK127" s="3"/>
      <c r="OCL127" s="3"/>
      <c r="OCM127" s="3"/>
      <c r="OCN127" s="3"/>
      <c r="OCO127" s="3"/>
      <c r="OCP127" s="3"/>
      <c r="OCQ127" s="3"/>
      <c r="OCR127" s="3"/>
      <c r="OCS127" s="3"/>
      <c r="OCT127" s="3"/>
      <c r="OCU127" s="3"/>
      <c r="OCV127" s="3"/>
      <c r="OCW127" s="3"/>
      <c r="OCX127" s="3"/>
      <c r="OCY127" s="3"/>
      <c r="OCZ127" s="3"/>
      <c r="ODA127" s="3"/>
      <c r="ODB127" s="3"/>
      <c r="ODC127" s="3"/>
      <c r="ODD127" s="3"/>
      <c r="ODE127" s="3"/>
      <c r="ODF127" s="3"/>
      <c r="ODG127" s="3"/>
      <c r="ODH127" s="3"/>
      <c r="ODI127" s="3"/>
      <c r="ODJ127" s="3"/>
      <c r="ODK127" s="3"/>
      <c r="ODL127" s="3"/>
      <c r="ODM127" s="3"/>
      <c r="ODN127" s="3"/>
      <c r="ODO127" s="3"/>
      <c r="ODP127" s="3"/>
      <c r="ODQ127" s="3"/>
      <c r="ODR127" s="3"/>
      <c r="ODS127" s="3"/>
      <c r="ODT127" s="3"/>
      <c r="ODU127" s="3"/>
      <c r="ODV127" s="3"/>
      <c r="ODW127" s="3"/>
      <c r="ODX127" s="3"/>
      <c r="ODY127" s="3"/>
      <c r="ODZ127" s="3"/>
      <c r="OEA127" s="3"/>
      <c r="OEB127" s="3"/>
      <c r="OEC127" s="3"/>
      <c r="OED127" s="3"/>
      <c r="OEE127" s="3"/>
      <c r="OEF127" s="3"/>
      <c r="OEG127" s="3"/>
      <c r="OEH127" s="3"/>
      <c r="OEI127" s="3"/>
      <c r="OEJ127" s="3"/>
      <c r="OEK127" s="3"/>
      <c r="OEL127" s="3"/>
      <c r="OEM127" s="3"/>
      <c r="OEN127" s="3"/>
      <c r="OEO127" s="3"/>
      <c r="OEP127" s="3"/>
      <c r="OEQ127" s="3"/>
      <c r="OER127" s="3"/>
      <c r="OES127" s="3"/>
      <c r="OET127" s="3"/>
      <c r="OEU127" s="3"/>
      <c r="OEV127" s="3"/>
      <c r="OEW127" s="3"/>
      <c r="OEX127" s="3"/>
      <c r="OEY127" s="3"/>
      <c r="OEZ127" s="3"/>
      <c r="OFA127" s="3"/>
      <c r="OFB127" s="3"/>
      <c r="OFC127" s="3"/>
      <c r="OFD127" s="3"/>
      <c r="OFE127" s="3"/>
      <c r="OFF127" s="3"/>
      <c r="OFG127" s="3"/>
      <c r="OFH127" s="3"/>
      <c r="OFI127" s="3"/>
      <c r="OFJ127" s="3"/>
      <c r="OFK127" s="3"/>
      <c r="OFL127" s="3"/>
      <c r="OFM127" s="3"/>
      <c r="OFN127" s="3"/>
      <c r="OFO127" s="3"/>
      <c r="OFP127" s="3"/>
      <c r="OFQ127" s="3"/>
      <c r="OFR127" s="3"/>
      <c r="OFS127" s="3"/>
      <c r="OFT127" s="3"/>
      <c r="OFU127" s="3"/>
      <c r="OFV127" s="3"/>
      <c r="OFW127" s="3"/>
      <c r="OFX127" s="3"/>
      <c r="OFY127" s="3"/>
      <c r="OFZ127" s="3"/>
      <c r="OGA127" s="3"/>
      <c r="OGB127" s="3"/>
      <c r="OGC127" s="3"/>
      <c r="OGD127" s="3"/>
      <c r="OGE127" s="3"/>
      <c r="OGF127" s="3"/>
      <c r="OGG127" s="3"/>
      <c r="OGH127" s="3"/>
      <c r="OGI127" s="3"/>
      <c r="OGJ127" s="3"/>
      <c r="OGK127" s="3"/>
      <c r="OGL127" s="3"/>
      <c r="OGM127" s="3"/>
      <c r="OGN127" s="3"/>
      <c r="OGO127" s="3"/>
      <c r="OGP127" s="3"/>
      <c r="OGQ127" s="3"/>
      <c r="OGR127" s="3"/>
      <c r="OGS127" s="3"/>
      <c r="OGT127" s="3"/>
      <c r="OGU127" s="3"/>
      <c r="OGV127" s="3"/>
      <c r="OGW127" s="3"/>
      <c r="OGX127" s="3"/>
      <c r="OGY127" s="3"/>
      <c r="OGZ127" s="3"/>
      <c r="OHA127" s="3"/>
      <c r="OHB127" s="3"/>
      <c r="OHC127" s="3"/>
      <c r="OHD127" s="3"/>
      <c r="OHE127" s="3"/>
      <c r="OHF127" s="3"/>
      <c r="OHG127" s="3"/>
      <c r="OHH127" s="3"/>
      <c r="OHI127" s="3"/>
      <c r="OHJ127" s="3"/>
      <c r="OHK127" s="3"/>
      <c r="OHL127" s="3"/>
      <c r="OHM127" s="3"/>
      <c r="OHN127" s="3"/>
      <c r="OHO127" s="3"/>
      <c r="OHP127" s="3"/>
      <c r="OHQ127" s="3"/>
      <c r="OHR127" s="3"/>
      <c r="OHS127" s="3"/>
      <c r="OHT127" s="3"/>
      <c r="OHU127" s="3"/>
      <c r="OHV127" s="3"/>
      <c r="OHW127" s="3"/>
      <c r="OHX127" s="3"/>
      <c r="OHY127" s="3"/>
      <c r="OHZ127" s="3"/>
      <c r="OIA127" s="3"/>
      <c r="OIB127" s="3"/>
      <c r="OIC127" s="3"/>
      <c r="OID127" s="3"/>
      <c r="OIE127" s="3"/>
      <c r="OIF127" s="3"/>
      <c r="OIG127" s="3"/>
      <c r="OIH127" s="3"/>
      <c r="OII127" s="3"/>
      <c r="OIJ127" s="3"/>
      <c r="OIK127" s="3"/>
      <c r="OIL127" s="3"/>
      <c r="OIM127" s="3"/>
      <c r="OIN127" s="3"/>
      <c r="OIO127" s="3"/>
      <c r="OIP127" s="3"/>
      <c r="OIQ127" s="3"/>
      <c r="OIR127" s="3"/>
      <c r="OIS127" s="3"/>
      <c r="OIT127" s="3"/>
      <c r="OIU127" s="3"/>
      <c r="OIV127" s="3"/>
      <c r="OIW127" s="3"/>
      <c r="OIX127" s="3"/>
      <c r="OIY127" s="3"/>
      <c r="OIZ127" s="3"/>
      <c r="OJA127" s="3"/>
      <c r="OJB127" s="3"/>
      <c r="OJC127" s="3"/>
      <c r="OJD127" s="3"/>
      <c r="OJE127" s="3"/>
      <c r="OJF127" s="3"/>
      <c r="OJG127" s="3"/>
      <c r="OJH127" s="3"/>
      <c r="OJI127" s="3"/>
      <c r="OJJ127" s="3"/>
      <c r="OJK127" s="3"/>
      <c r="OJL127" s="3"/>
      <c r="OJM127" s="3"/>
      <c r="OJN127" s="3"/>
      <c r="OJO127" s="3"/>
      <c r="OJP127" s="3"/>
      <c r="OJQ127" s="3"/>
      <c r="OJR127" s="3"/>
      <c r="OJS127" s="3"/>
      <c r="OJT127" s="3"/>
      <c r="OJU127" s="3"/>
      <c r="OJV127" s="3"/>
      <c r="OJW127" s="3"/>
      <c r="OJX127" s="3"/>
      <c r="OJY127" s="3"/>
      <c r="OJZ127" s="3"/>
      <c r="OKA127" s="3"/>
      <c r="OKB127" s="3"/>
      <c r="OKC127" s="3"/>
      <c r="OKD127" s="3"/>
      <c r="OKE127" s="3"/>
      <c r="OKF127" s="3"/>
      <c r="OKG127" s="3"/>
      <c r="OKH127" s="3"/>
      <c r="OKI127" s="3"/>
      <c r="OKJ127" s="3"/>
      <c r="OKK127" s="3"/>
      <c r="OKL127" s="3"/>
      <c r="OKM127" s="3"/>
      <c r="OKN127" s="3"/>
      <c r="OKO127" s="3"/>
      <c r="OKP127" s="3"/>
      <c r="OKQ127" s="3"/>
      <c r="OKR127" s="3"/>
      <c r="OKS127" s="3"/>
      <c r="OKT127" s="3"/>
      <c r="OKU127" s="3"/>
      <c r="OKV127" s="3"/>
      <c r="OKW127" s="3"/>
      <c r="OKX127" s="3"/>
      <c r="OKY127" s="3"/>
      <c r="OKZ127" s="3"/>
      <c r="OLA127" s="3"/>
      <c r="OLB127" s="3"/>
      <c r="OLC127" s="3"/>
      <c r="OLD127" s="3"/>
      <c r="OLE127" s="3"/>
      <c r="OLF127" s="3"/>
      <c r="OLG127" s="3"/>
      <c r="OLH127" s="3"/>
      <c r="OLI127" s="3"/>
      <c r="OLJ127" s="3"/>
      <c r="OLK127" s="3"/>
      <c r="OLL127" s="3"/>
      <c r="OLM127" s="3"/>
      <c r="OLN127" s="3"/>
      <c r="OLO127" s="3"/>
      <c r="OLP127" s="3"/>
      <c r="OLQ127" s="3"/>
      <c r="OLR127" s="3"/>
      <c r="OLS127" s="3"/>
      <c r="OLT127" s="3"/>
      <c r="OLU127" s="3"/>
      <c r="OLV127" s="3"/>
      <c r="OLW127" s="3"/>
      <c r="OLX127" s="3"/>
      <c r="OLY127" s="3"/>
      <c r="OLZ127" s="3"/>
      <c r="OMA127" s="3"/>
      <c r="OMB127" s="3"/>
      <c r="OMC127" s="3"/>
      <c r="OMD127" s="3"/>
      <c r="OME127" s="3"/>
      <c r="OMF127" s="3"/>
      <c r="OMG127" s="3"/>
      <c r="OMH127" s="3"/>
      <c r="OMI127" s="3"/>
      <c r="OMJ127" s="3"/>
      <c r="OMK127" s="3"/>
      <c r="OML127" s="3"/>
      <c r="OMM127" s="3"/>
      <c r="OMN127" s="3"/>
      <c r="OMO127" s="3"/>
      <c r="OMP127" s="3"/>
      <c r="OMQ127" s="3"/>
      <c r="OMR127" s="3"/>
      <c r="OMS127" s="3"/>
      <c r="OMT127" s="3"/>
      <c r="OMU127" s="3"/>
      <c r="OMV127" s="3"/>
      <c r="OMW127" s="3"/>
      <c r="OMX127" s="3"/>
      <c r="OMY127" s="3"/>
      <c r="OMZ127" s="3"/>
      <c r="ONA127" s="3"/>
      <c r="ONB127" s="3"/>
      <c r="ONC127" s="3"/>
      <c r="OND127" s="3"/>
      <c r="ONE127" s="3"/>
      <c r="ONF127" s="3"/>
      <c r="ONG127" s="3"/>
      <c r="ONH127" s="3"/>
      <c r="ONI127" s="3"/>
      <c r="ONJ127" s="3"/>
      <c r="ONK127" s="3"/>
      <c r="ONL127" s="3"/>
      <c r="ONM127" s="3"/>
      <c r="ONN127" s="3"/>
      <c r="ONO127" s="3"/>
      <c r="ONP127" s="3"/>
      <c r="ONQ127" s="3"/>
      <c r="ONR127" s="3"/>
      <c r="ONS127" s="3"/>
      <c r="ONT127" s="3"/>
      <c r="ONU127" s="3"/>
      <c r="ONV127" s="3"/>
      <c r="ONW127" s="3"/>
      <c r="ONX127" s="3"/>
      <c r="ONY127" s="3"/>
      <c r="ONZ127" s="3"/>
      <c r="OOA127" s="3"/>
      <c r="OOB127" s="3"/>
      <c r="OOC127" s="3"/>
      <c r="OOD127" s="3"/>
      <c r="OOE127" s="3"/>
      <c r="OOF127" s="3"/>
      <c r="OOG127" s="3"/>
      <c r="OOH127" s="3"/>
      <c r="OOI127" s="3"/>
      <c r="OOJ127" s="3"/>
      <c r="OOK127" s="3"/>
      <c r="OOL127" s="3"/>
      <c r="OOM127" s="3"/>
      <c r="OON127" s="3"/>
      <c r="OOO127" s="3"/>
      <c r="OOP127" s="3"/>
      <c r="OOQ127" s="3"/>
      <c r="OOR127" s="3"/>
      <c r="OOS127" s="3"/>
      <c r="OOT127" s="3"/>
      <c r="OOU127" s="3"/>
      <c r="OOV127" s="3"/>
      <c r="OOW127" s="3"/>
      <c r="OOX127" s="3"/>
      <c r="OOY127" s="3"/>
      <c r="OOZ127" s="3"/>
      <c r="OPA127" s="3"/>
      <c r="OPB127" s="3"/>
      <c r="OPC127" s="3"/>
      <c r="OPD127" s="3"/>
      <c r="OPE127" s="3"/>
      <c r="OPF127" s="3"/>
      <c r="OPG127" s="3"/>
      <c r="OPH127" s="3"/>
      <c r="OPI127" s="3"/>
      <c r="OPJ127" s="3"/>
      <c r="OPK127" s="3"/>
      <c r="OPL127" s="3"/>
      <c r="OPM127" s="3"/>
      <c r="OPN127" s="3"/>
      <c r="OPO127" s="3"/>
      <c r="OPP127" s="3"/>
      <c r="OPQ127" s="3"/>
      <c r="OPR127" s="3"/>
      <c r="OPS127" s="3"/>
      <c r="OPT127" s="3"/>
      <c r="OPU127" s="3"/>
      <c r="OPV127" s="3"/>
      <c r="OPW127" s="3"/>
      <c r="OPX127" s="3"/>
      <c r="OPY127" s="3"/>
      <c r="OPZ127" s="3"/>
      <c r="OQA127" s="3"/>
      <c r="OQB127" s="3"/>
      <c r="OQC127" s="3"/>
      <c r="OQD127" s="3"/>
      <c r="OQE127" s="3"/>
      <c r="OQF127" s="3"/>
      <c r="OQG127" s="3"/>
      <c r="OQH127" s="3"/>
      <c r="OQI127" s="3"/>
      <c r="OQJ127" s="3"/>
      <c r="OQK127" s="3"/>
      <c r="OQL127" s="3"/>
      <c r="OQM127" s="3"/>
      <c r="OQN127" s="3"/>
      <c r="OQO127" s="3"/>
      <c r="OQP127" s="3"/>
      <c r="OQQ127" s="3"/>
      <c r="OQR127" s="3"/>
      <c r="OQS127" s="3"/>
      <c r="OQT127" s="3"/>
      <c r="OQU127" s="3"/>
      <c r="OQV127" s="3"/>
      <c r="OQW127" s="3"/>
      <c r="OQX127" s="3"/>
      <c r="OQY127" s="3"/>
      <c r="OQZ127" s="3"/>
      <c r="ORA127" s="3"/>
      <c r="ORB127" s="3"/>
      <c r="ORC127" s="3"/>
      <c r="ORD127" s="3"/>
      <c r="ORE127" s="3"/>
      <c r="ORF127" s="3"/>
      <c r="ORG127" s="3"/>
      <c r="ORH127" s="3"/>
      <c r="ORI127" s="3"/>
      <c r="ORJ127" s="3"/>
      <c r="ORK127" s="3"/>
      <c r="ORL127" s="3"/>
      <c r="ORM127" s="3"/>
      <c r="ORN127" s="3"/>
      <c r="ORO127" s="3"/>
      <c r="ORP127" s="3"/>
      <c r="ORQ127" s="3"/>
      <c r="ORR127" s="3"/>
      <c r="ORS127" s="3"/>
      <c r="ORT127" s="3"/>
      <c r="ORU127" s="3"/>
      <c r="ORV127" s="3"/>
      <c r="ORW127" s="3"/>
      <c r="ORX127" s="3"/>
      <c r="ORY127" s="3"/>
      <c r="ORZ127" s="3"/>
      <c r="OSA127" s="3"/>
      <c r="OSB127" s="3"/>
      <c r="OSC127" s="3"/>
      <c r="OSD127" s="3"/>
      <c r="OSE127" s="3"/>
      <c r="OSF127" s="3"/>
      <c r="OSG127" s="3"/>
      <c r="OSH127" s="3"/>
      <c r="OSI127" s="3"/>
      <c r="OSJ127" s="3"/>
      <c r="OSK127" s="3"/>
      <c r="OSL127" s="3"/>
      <c r="OSM127" s="3"/>
      <c r="OSN127" s="3"/>
      <c r="OSO127" s="3"/>
      <c r="OSP127" s="3"/>
      <c r="OSQ127" s="3"/>
      <c r="OSR127" s="3"/>
      <c r="OSS127" s="3"/>
      <c r="OST127" s="3"/>
      <c r="OSU127" s="3"/>
      <c r="OSV127" s="3"/>
      <c r="OSW127" s="3"/>
      <c r="OSX127" s="3"/>
      <c r="OSY127" s="3"/>
      <c r="OSZ127" s="3"/>
      <c r="OTA127" s="3"/>
      <c r="OTB127" s="3"/>
      <c r="OTC127" s="3"/>
      <c r="OTD127" s="3"/>
      <c r="OTE127" s="3"/>
      <c r="OTF127" s="3"/>
      <c r="OTG127" s="3"/>
      <c r="OTH127" s="3"/>
      <c r="OTI127" s="3"/>
      <c r="OTJ127" s="3"/>
      <c r="OTK127" s="3"/>
      <c r="OTL127" s="3"/>
      <c r="OTM127" s="3"/>
      <c r="OTN127" s="3"/>
      <c r="OTO127" s="3"/>
      <c r="OTP127" s="3"/>
      <c r="OTQ127" s="3"/>
      <c r="OTR127" s="3"/>
      <c r="OTS127" s="3"/>
      <c r="OTT127" s="3"/>
      <c r="OTU127" s="3"/>
      <c r="OTV127" s="3"/>
      <c r="OTW127" s="3"/>
      <c r="OTX127" s="3"/>
      <c r="OTY127" s="3"/>
      <c r="OTZ127" s="3"/>
      <c r="OUA127" s="3"/>
      <c r="OUB127" s="3"/>
      <c r="OUC127" s="3"/>
      <c r="OUD127" s="3"/>
      <c r="OUE127" s="3"/>
      <c r="OUF127" s="3"/>
      <c r="OUG127" s="3"/>
      <c r="OUH127" s="3"/>
      <c r="OUI127" s="3"/>
      <c r="OUJ127" s="3"/>
      <c r="OUK127" s="3"/>
      <c r="OUL127" s="3"/>
      <c r="OUM127" s="3"/>
      <c r="OUN127" s="3"/>
      <c r="OUO127" s="3"/>
      <c r="OUP127" s="3"/>
      <c r="OUQ127" s="3"/>
      <c r="OUR127" s="3"/>
      <c r="OUS127" s="3"/>
      <c r="OUT127" s="3"/>
      <c r="OUU127" s="3"/>
      <c r="OUV127" s="3"/>
      <c r="OUW127" s="3"/>
      <c r="OUX127" s="3"/>
      <c r="OUY127" s="3"/>
      <c r="OUZ127" s="3"/>
      <c r="OVA127" s="3"/>
      <c r="OVB127" s="3"/>
      <c r="OVC127" s="3"/>
      <c r="OVD127" s="3"/>
      <c r="OVE127" s="3"/>
      <c r="OVF127" s="3"/>
      <c r="OVG127" s="3"/>
      <c r="OVH127" s="3"/>
      <c r="OVI127" s="3"/>
      <c r="OVJ127" s="3"/>
      <c r="OVK127" s="3"/>
      <c r="OVL127" s="3"/>
      <c r="OVM127" s="3"/>
      <c r="OVN127" s="3"/>
      <c r="OVO127" s="3"/>
      <c r="OVP127" s="3"/>
      <c r="OVQ127" s="3"/>
      <c r="OVR127" s="3"/>
      <c r="OVS127" s="3"/>
      <c r="OVT127" s="3"/>
      <c r="OVU127" s="3"/>
      <c r="OVV127" s="3"/>
      <c r="OVW127" s="3"/>
      <c r="OVX127" s="3"/>
      <c r="OVY127" s="3"/>
      <c r="OVZ127" s="3"/>
      <c r="OWA127" s="3"/>
      <c r="OWB127" s="3"/>
      <c r="OWC127" s="3"/>
      <c r="OWD127" s="3"/>
      <c r="OWE127" s="3"/>
      <c r="OWF127" s="3"/>
      <c r="OWG127" s="3"/>
      <c r="OWH127" s="3"/>
      <c r="OWI127" s="3"/>
      <c r="OWJ127" s="3"/>
      <c r="OWK127" s="3"/>
      <c r="OWL127" s="3"/>
      <c r="OWM127" s="3"/>
      <c r="OWN127" s="3"/>
      <c r="OWO127" s="3"/>
      <c r="OWP127" s="3"/>
      <c r="OWQ127" s="3"/>
      <c r="OWR127" s="3"/>
      <c r="OWS127" s="3"/>
      <c r="OWT127" s="3"/>
      <c r="OWU127" s="3"/>
      <c r="OWV127" s="3"/>
      <c r="OWW127" s="3"/>
      <c r="OWX127" s="3"/>
      <c r="OWY127" s="3"/>
      <c r="OWZ127" s="3"/>
      <c r="OXA127" s="3"/>
      <c r="OXB127" s="3"/>
      <c r="OXC127" s="3"/>
      <c r="OXD127" s="3"/>
      <c r="OXE127" s="3"/>
      <c r="OXF127" s="3"/>
      <c r="OXG127" s="3"/>
      <c r="OXH127" s="3"/>
      <c r="OXI127" s="3"/>
      <c r="OXJ127" s="3"/>
      <c r="OXK127" s="3"/>
      <c r="OXL127" s="3"/>
      <c r="OXM127" s="3"/>
      <c r="OXN127" s="3"/>
      <c r="OXO127" s="3"/>
      <c r="OXP127" s="3"/>
      <c r="OXQ127" s="3"/>
      <c r="OXR127" s="3"/>
      <c r="OXS127" s="3"/>
      <c r="OXT127" s="3"/>
      <c r="OXU127" s="3"/>
      <c r="OXV127" s="3"/>
      <c r="OXW127" s="3"/>
      <c r="OXX127" s="3"/>
      <c r="OXY127" s="3"/>
      <c r="OXZ127" s="3"/>
      <c r="OYA127" s="3"/>
      <c r="OYB127" s="3"/>
      <c r="OYC127" s="3"/>
      <c r="OYD127" s="3"/>
      <c r="OYE127" s="3"/>
      <c r="OYF127" s="3"/>
      <c r="OYG127" s="3"/>
      <c r="OYH127" s="3"/>
      <c r="OYI127" s="3"/>
      <c r="OYJ127" s="3"/>
      <c r="OYK127" s="3"/>
      <c r="OYL127" s="3"/>
      <c r="OYM127" s="3"/>
      <c r="OYN127" s="3"/>
      <c r="OYO127" s="3"/>
      <c r="OYP127" s="3"/>
      <c r="OYQ127" s="3"/>
      <c r="OYR127" s="3"/>
      <c r="OYS127" s="3"/>
      <c r="OYT127" s="3"/>
      <c r="OYU127" s="3"/>
      <c r="OYV127" s="3"/>
      <c r="OYW127" s="3"/>
      <c r="OYX127" s="3"/>
      <c r="OYY127" s="3"/>
      <c r="OYZ127" s="3"/>
      <c r="OZA127" s="3"/>
      <c r="OZB127" s="3"/>
      <c r="OZC127" s="3"/>
      <c r="OZD127" s="3"/>
      <c r="OZE127" s="3"/>
      <c r="OZF127" s="3"/>
      <c r="OZG127" s="3"/>
      <c r="OZH127" s="3"/>
      <c r="OZI127" s="3"/>
      <c r="OZJ127" s="3"/>
      <c r="OZK127" s="3"/>
      <c r="OZL127" s="3"/>
      <c r="OZM127" s="3"/>
      <c r="OZN127" s="3"/>
      <c r="OZO127" s="3"/>
      <c r="OZP127" s="3"/>
      <c r="OZQ127" s="3"/>
      <c r="OZR127" s="3"/>
      <c r="OZS127" s="3"/>
      <c r="OZT127" s="3"/>
      <c r="OZU127" s="3"/>
      <c r="OZV127" s="3"/>
      <c r="OZW127" s="3"/>
      <c r="OZX127" s="3"/>
      <c r="OZY127" s="3"/>
      <c r="OZZ127" s="3"/>
      <c r="PAA127" s="3"/>
      <c r="PAB127" s="3"/>
      <c r="PAC127" s="3"/>
      <c r="PAD127" s="3"/>
      <c r="PAE127" s="3"/>
      <c r="PAF127" s="3"/>
      <c r="PAG127" s="3"/>
      <c r="PAH127" s="3"/>
      <c r="PAI127" s="3"/>
      <c r="PAJ127" s="3"/>
      <c r="PAK127" s="3"/>
      <c r="PAL127" s="3"/>
      <c r="PAM127" s="3"/>
      <c r="PAN127" s="3"/>
      <c r="PAO127" s="3"/>
      <c r="PAP127" s="3"/>
      <c r="PAQ127" s="3"/>
      <c r="PAR127" s="3"/>
      <c r="PAS127" s="3"/>
      <c r="PAT127" s="3"/>
      <c r="PAU127" s="3"/>
      <c r="PAV127" s="3"/>
      <c r="PAW127" s="3"/>
      <c r="PAX127" s="3"/>
      <c r="PAY127" s="3"/>
      <c r="PAZ127" s="3"/>
      <c r="PBA127" s="3"/>
      <c r="PBB127" s="3"/>
      <c r="PBC127" s="3"/>
      <c r="PBD127" s="3"/>
      <c r="PBE127" s="3"/>
      <c r="PBF127" s="3"/>
      <c r="PBG127" s="3"/>
      <c r="PBH127" s="3"/>
      <c r="PBI127" s="3"/>
      <c r="PBJ127" s="3"/>
      <c r="PBK127" s="3"/>
      <c r="PBL127" s="3"/>
      <c r="PBM127" s="3"/>
      <c r="PBN127" s="3"/>
      <c r="PBO127" s="3"/>
      <c r="PBP127" s="3"/>
      <c r="PBQ127" s="3"/>
      <c r="PBR127" s="3"/>
      <c r="PBS127" s="3"/>
      <c r="PBT127" s="3"/>
      <c r="PBU127" s="3"/>
      <c r="PBV127" s="3"/>
      <c r="PBW127" s="3"/>
      <c r="PBX127" s="3"/>
      <c r="PBY127" s="3"/>
      <c r="PBZ127" s="3"/>
      <c r="PCA127" s="3"/>
      <c r="PCB127" s="3"/>
      <c r="PCC127" s="3"/>
      <c r="PCD127" s="3"/>
      <c r="PCE127" s="3"/>
      <c r="PCF127" s="3"/>
      <c r="PCG127" s="3"/>
      <c r="PCH127" s="3"/>
      <c r="PCI127" s="3"/>
      <c r="PCJ127" s="3"/>
      <c r="PCK127" s="3"/>
      <c r="PCL127" s="3"/>
      <c r="PCM127" s="3"/>
      <c r="PCN127" s="3"/>
      <c r="PCO127" s="3"/>
      <c r="PCP127" s="3"/>
      <c r="PCQ127" s="3"/>
      <c r="PCR127" s="3"/>
      <c r="PCS127" s="3"/>
      <c r="PCT127" s="3"/>
      <c r="PCU127" s="3"/>
      <c r="PCV127" s="3"/>
      <c r="PCW127" s="3"/>
      <c r="PCX127" s="3"/>
      <c r="PCY127" s="3"/>
      <c r="PCZ127" s="3"/>
      <c r="PDA127" s="3"/>
      <c r="PDB127" s="3"/>
      <c r="PDC127" s="3"/>
      <c r="PDD127" s="3"/>
      <c r="PDE127" s="3"/>
      <c r="PDF127" s="3"/>
      <c r="PDG127" s="3"/>
      <c r="PDH127" s="3"/>
      <c r="PDI127" s="3"/>
      <c r="PDJ127" s="3"/>
      <c r="PDK127" s="3"/>
      <c r="PDL127" s="3"/>
      <c r="PDM127" s="3"/>
      <c r="PDN127" s="3"/>
      <c r="PDO127" s="3"/>
      <c r="PDP127" s="3"/>
      <c r="PDQ127" s="3"/>
      <c r="PDR127" s="3"/>
      <c r="PDS127" s="3"/>
      <c r="PDT127" s="3"/>
      <c r="PDU127" s="3"/>
      <c r="PDV127" s="3"/>
      <c r="PDW127" s="3"/>
      <c r="PDX127" s="3"/>
      <c r="PDY127" s="3"/>
      <c r="PDZ127" s="3"/>
      <c r="PEA127" s="3"/>
      <c r="PEB127" s="3"/>
      <c r="PEC127" s="3"/>
      <c r="PED127" s="3"/>
      <c r="PEE127" s="3"/>
      <c r="PEF127" s="3"/>
      <c r="PEG127" s="3"/>
      <c r="PEH127" s="3"/>
      <c r="PEI127" s="3"/>
      <c r="PEJ127" s="3"/>
      <c r="PEK127" s="3"/>
      <c r="PEL127" s="3"/>
      <c r="PEM127" s="3"/>
      <c r="PEN127" s="3"/>
      <c r="PEO127" s="3"/>
      <c r="PEP127" s="3"/>
      <c r="PEQ127" s="3"/>
      <c r="PER127" s="3"/>
      <c r="PES127" s="3"/>
      <c r="PET127" s="3"/>
      <c r="PEU127" s="3"/>
      <c r="PEV127" s="3"/>
      <c r="PEW127" s="3"/>
      <c r="PEX127" s="3"/>
      <c r="PEY127" s="3"/>
      <c r="PEZ127" s="3"/>
      <c r="PFA127" s="3"/>
      <c r="PFB127" s="3"/>
      <c r="PFC127" s="3"/>
      <c r="PFD127" s="3"/>
      <c r="PFE127" s="3"/>
      <c r="PFF127" s="3"/>
      <c r="PFG127" s="3"/>
      <c r="PFH127" s="3"/>
      <c r="PFI127" s="3"/>
      <c r="PFJ127" s="3"/>
      <c r="PFK127" s="3"/>
      <c r="PFL127" s="3"/>
      <c r="PFM127" s="3"/>
      <c r="PFN127" s="3"/>
      <c r="PFO127" s="3"/>
      <c r="PFP127" s="3"/>
      <c r="PFQ127" s="3"/>
      <c r="PFR127" s="3"/>
      <c r="PFS127" s="3"/>
      <c r="PFT127" s="3"/>
      <c r="PFU127" s="3"/>
      <c r="PFV127" s="3"/>
      <c r="PFW127" s="3"/>
      <c r="PFX127" s="3"/>
      <c r="PFY127" s="3"/>
      <c r="PFZ127" s="3"/>
      <c r="PGA127" s="3"/>
      <c r="PGB127" s="3"/>
      <c r="PGC127" s="3"/>
      <c r="PGD127" s="3"/>
      <c r="PGE127" s="3"/>
      <c r="PGF127" s="3"/>
      <c r="PGG127" s="3"/>
      <c r="PGH127" s="3"/>
      <c r="PGI127" s="3"/>
      <c r="PGJ127" s="3"/>
      <c r="PGK127" s="3"/>
      <c r="PGL127" s="3"/>
      <c r="PGM127" s="3"/>
      <c r="PGN127" s="3"/>
      <c r="PGO127" s="3"/>
      <c r="PGP127" s="3"/>
      <c r="PGQ127" s="3"/>
      <c r="PGR127" s="3"/>
      <c r="PGS127" s="3"/>
      <c r="PGT127" s="3"/>
      <c r="PGU127" s="3"/>
      <c r="PGV127" s="3"/>
      <c r="PGW127" s="3"/>
      <c r="PGX127" s="3"/>
      <c r="PGY127" s="3"/>
      <c r="PGZ127" s="3"/>
      <c r="PHA127" s="3"/>
      <c r="PHB127" s="3"/>
      <c r="PHC127" s="3"/>
      <c r="PHD127" s="3"/>
      <c r="PHE127" s="3"/>
      <c r="PHF127" s="3"/>
      <c r="PHG127" s="3"/>
      <c r="PHH127" s="3"/>
      <c r="PHI127" s="3"/>
      <c r="PHJ127" s="3"/>
      <c r="PHK127" s="3"/>
      <c r="PHL127" s="3"/>
      <c r="PHM127" s="3"/>
      <c r="PHN127" s="3"/>
      <c r="PHO127" s="3"/>
      <c r="PHP127" s="3"/>
      <c r="PHQ127" s="3"/>
      <c r="PHR127" s="3"/>
      <c r="PHS127" s="3"/>
      <c r="PHT127" s="3"/>
      <c r="PHU127" s="3"/>
      <c r="PHV127" s="3"/>
      <c r="PHW127" s="3"/>
      <c r="PHX127" s="3"/>
      <c r="PHY127" s="3"/>
      <c r="PHZ127" s="3"/>
      <c r="PIA127" s="3"/>
      <c r="PIB127" s="3"/>
      <c r="PIC127" s="3"/>
      <c r="PID127" s="3"/>
      <c r="PIE127" s="3"/>
      <c r="PIF127" s="3"/>
      <c r="PIG127" s="3"/>
      <c r="PIH127" s="3"/>
      <c r="PII127" s="3"/>
      <c r="PIJ127" s="3"/>
      <c r="PIK127" s="3"/>
      <c r="PIL127" s="3"/>
      <c r="PIM127" s="3"/>
      <c r="PIN127" s="3"/>
      <c r="PIO127" s="3"/>
      <c r="PIP127" s="3"/>
      <c r="PIQ127" s="3"/>
      <c r="PIR127" s="3"/>
      <c r="PIS127" s="3"/>
      <c r="PIT127" s="3"/>
      <c r="PIU127" s="3"/>
      <c r="PIV127" s="3"/>
      <c r="PIW127" s="3"/>
      <c r="PIX127" s="3"/>
      <c r="PIY127" s="3"/>
      <c r="PIZ127" s="3"/>
      <c r="PJA127" s="3"/>
      <c r="PJB127" s="3"/>
      <c r="PJC127" s="3"/>
      <c r="PJD127" s="3"/>
      <c r="PJE127" s="3"/>
      <c r="PJF127" s="3"/>
      <c r="PJG127" s="3"/>
      <c r="PJH127" s="3"/>
      <c r="PJI127" s="3"/>
      <c r="PJJ127" s="3"/>
      <c r="PJK127" s="3"/>
      <c r="PJL127" s="3"/>
      <c r="PJM127" s="3"/>
      <c r="PJN127" s="3"/>
      <c r="PJO127" s="3"/>
      <c r="PJP127" s="3"/>
      <c r="PJQ127" s="3"/>
      <c r="PJR127" s="3"/>
      <c r="PJS127" s="3"/>
      <c r="PJT127" s="3"/>
      <c r="PJU127" s="3"/>
      <c r="PJV127" s="3"/>
      <c r="PJW127" s="3"/>
      <c r="PJX127" s="3"/>
      <c r="PJY127" s="3"/>
      <c r="PJZ127" s="3"/>
      <c r="PKA127" s="3"/>
      <c r="PKB127" s="3"/>
      <c r="PKC127" s="3"/>
      <c r="PKD127" s="3"/>
      <c r="PKE127" s="3"/>
      <c r="PKF127" s="3"/>
      <c r="PKG127" s="3"/>
      <c r="PKH127" s="3"/>
      <c r="PKI127" s="3"/>
      <c r="PKJ127" s="3"/>
      <c r="PKK127" s="3"/>
      <c r="PKL127" s="3"/>
      <c r="PKM127" s="3"/>
      <c r="PKN127" s="3"/>
      <c r="PKO127" s="3"/>
      <c r="PKP127" s="3"/>
      <c r="PKQ127" s="3"/>
      <c r="PKR127" s="3"/>
      <c r="PKS127" s="3"/>
      <c r="PKT127" s="3"/>
      <c r="PKU127" s="3"/>
      <c r="PKV127" s="3"/>
      <c r="PKW127" s="3"/>
      <c r="PKX127" s="3"/>
      <c r="PKY127" s="3"/>
      <c r="PKZ127" s="3"/>
      <c r="PLA127" s="3"/>
      <c r="PLB127" s="3"/>
      <c r="PLC127" s="3"/>
      <c r="PLD127" s="3"/>
      <c r="PLE127" s="3"/>
      <c r="PLF127" s="3"/>
      <c r="PLG127" s="3"/>
      <c r="PLH127" s="3"/>
      <c r="PLI127" s="3"/>
      <c r="PLJ127" s="3"/>
      <c r="PLK127" s="3"/>
      <c r="PLL127" s="3"/>
      <c r="PLM127" s="3"/>
      <c r="PLN127" s="3"/>
      <c r="PLO127" s="3"/>
      <c r="PLP127" s="3"/>
      <c r="PLQ127" s="3"/>
      <c r="PLR127" s="3"/>
      <c r="PLS127" s="3"/>
      <c r="PLT127" s="3"/>
      <c r="PLU127" s="3"/>
      <c r="PLV127" s="3"/>
      <c r="PLW127" s="3"/>
      <c r="PLX127" s="3"/>
      <c r="PLY127" s="3"/>
      <c r="PLZ127" s="3"/>
      <c r="PMA127" s="3"/>
      <c r="PMB127" s="3"/>
      <c r="PMC127" s="3"/>
      <c r="PMD127" s="3"/>
      <c r="PME127" s="3"/>
      <c r="PMF127" s="3"/>
      <c r="PMG127" s="3"/>
      <c r="PMH127" s="3"/>
      <c r="PMI127" s="3"/>
      <c r="PMJ127" s="3"/>
      <c r="PMK127" s="3"/>
      <c r="PML127" s="3"/>
      <c r="PMM127" s="3"/>
      <c r="PMN127" s="3"/>
      <c r="PMO127" s="3"/>
      <c r="PMP127" s="3"/>
      <c r="PMQ127" s="3"/>
      <c r="PMR127" s="3"/>
      <c r="PMS127" s="3"/>
      <c r="PMT127" s="3"/>
      <c r="PMU127" s="3"/>
      <c r="PMV127" s="3"/>
      <c r="PMW127" s="3"/>
      <c r="PMX127" s="3"/>
      <c r="PMY127" s="3"/>
      <c r="PMZ127" s="3"/>
      <c r="PNA127" s="3"/>
      <c r="PNB127" s="3"/>
      <c r="PNC127" s="3"/>
      <c r="PND127" s="3"/>
      <c r="PNE127" s="3"/>
      <c r="PNF127" s="3"/>
      <c r="PNG127" s="3"/>
      <c r="PNH127" s="3"/>
      <c r="PNI127" s="3"/>
      <c r="PNJ127" s="3"/>
      <c r="PNK127" s="3"/>
      <c r="PNL127" s="3"/>
      <c r="PNM127" s="3"/>
      <c r="PNN127" s="3"/>
      <c r="PNO127" s="3"/>
      <c r="PNP127" s="3"/>
      <c r="PNQ127" s="3"/>
      <c r="PNR127" s="3"/>
      <c r="PNS127" s="3"/>
      <c r="PNT127" s="3"/>
      <c r="PNU127" s="3"/>
      <c r="PNV127" s="3"/>
      <c r="PNW127" s="3"/>
      <c r="PNX127" s="3"/>
      <c r="PNY127" s="3"/>
      <c r="PNZ127" s="3"/>
      <c r="POA127" s="3"/>
      <c r="POB127" s="3"/>
      <c r="POC127" s="3"/>
      <c r="POD127" s="3"/>
      <c r="POE127" s="3"/>
      <c r="POF127" s="3"/>
      <c r="POG127" s="3"/>
      <c r="POH127" s="3"/>
      <c r="POI127" s="3"/>
      <c r="POJ127" s="3"/>
      <c r="POK127" s="3"/>
      <c r="POL127" s="3"/>
      <c r="POM127" s="3"/>
      <c r="PON127" s="3"/>
      <c r="POO127" s="3"/>
      <c r="POP127" s="3"/>
      <c r="POQ127" s="3"/>
      <c r="POR127" s="3"/>
      <c r="POS127" s="3"/>
      <c r="POT127" s="3"/>
      <c r="POU127" s="3"/>
      <c r="POV127" s="3"/>
      <c r="POW127" s="3"/>
      <c r="POX127" s="3"/>
      <c r="POY127" s="3"/>
      <c r="POZ127" s="3"/>
      <c r="PPA127" s="3"/>
      <c r="PPB127" s="3"/>
      <c r="PPC127" s="3"/>
      <c r="PPD127" s="3"/>
      <c r="PPE127" s="3"/>
      <c r="PPF127" s="3"/>
      <c r="PPG127" s="3"/>
      <c r="PPH127" s="3"/>
      <c r="PPI127" s="3"/>
      <c r="PPJ127" s="3"/>
      <c r="PPK127" s="3"/>
      <c r="PPL127" s="3"/>
      <c r="PPM127" s="3"/>
      <c r="PPN127" s="3"/>
      <c r="PPO127" s="3"/>
      <c r="PPP127" s="3"/>
      <c r="PPQ127" s="3"/>
      <c r="PPR127" s="3"/>
      <c r="PPS127" s="3"/>
      <c r="PPT127" s="3"/>
      <c r="PPU127" s="3"/>
      <c r="PPV127" s="3"/>
      <c r="PPW127" s="3"/>
      <c r="PPX127" s="3"/>
      <c r="PPY127" s="3"/>
      <c r="PPZ127" s="3"/>
      <c r="PQA127" s="3"/>
      <c r="PQB127" s="3"/>
      <c r="PQC127" s="3"/>
      <c r="PQD127" s="3"/>
      <c r="PQE127" s="3"/>
      <c r="PQF127" s="3"/>
      <c r="PQG127" s="3"/>
      <c r="PQH127" s="3"/>
      <c r="PQI127" s="3"/>
      <c r="PQJ127" s="3"/>
      <c r="PQK127" s="3"/>
      <c r="PQL127" s="3"/>
      <c r="PQM127" s="3"/>
      <c r="PQN127" s="3"/>
      <c r="PQO127" s="3"/>
      <c r="PQP127" s="3"/>
      <c r="PQQ127" s="3"/>
      <c r="PQR127" s="3"/>
      <c r="PQS127" s="3"/>
      <c r="PQT127" s="3"/>
      <c r="PQU127" s="3"/>
      <c r="PQV127" s="3"/>
      <c r="PQW127" s="3"/>
      <c r="PQX127" s="3"/>
      <c r="PQY127" s="3"/>
      <c r="PQZ127" s="3"/>
      <c r="PRA127" s="3"/>
      <c r="PRB127" s="3"/>
      <c r="PRC127" s="3"/>
      <c r="PRD127" s="3"/>
      <c r="PRE127" s="3"/>
      <c r="PRF127" s="3"/>
      <c r="PRG127" s="3"/>
      <c r="PRH127" s="3"/>
      <c r="PRI127" s="3"/>
      <c r="PRJ127" s="3"/>
      <c r="PRK127" s="3"/>
      <c r="PRL127" s="3"/>
      <c r="PRM127" s="3"/>
      <c r="PRN127" s="3"/>
      <c r="PRO127" s="3"/>
      <c r="PRP127" s="3"/>
      <c r="PRQ127" s="3"/>
      <c r="PRR127" s="3"/>
      <c r="PRS127" s="3"/>
      <c r="PRT127" s="3"/>
      <c r="PRU127" s="3"/>
      <c r="PRV127" s="3"/>
      <c r="PRW127" s="3"/>
      <c r="PRX127" s="3"/>
      <c r="PRY127" s="3"/>
      <c r="PRZ127" s="3"/>
      <c r="PSA127" s="3"/>
      <c r="PSB127" s="3"/>
      <c r="PSC127" s="3"/>
      <c r="PSD127" s="3"/>
      <c r="PSE127" s="3"/>
      <c r="PSF127" s="3"/>
      <c r="PSG127" s="3"/>
      <c r="PSH127" s="3"/>
      <c r="PSI127" s="3"/>
      <c r="PSJ127" s="3"/>
      <c r="PSK127" s="3"/>
      <c r="PSL127" s="3"/>
      <c r="PSM127" s="3"/>
      <c r="PSN127" s="3"/>
      <c r="PSO127" s="3"/>
      <c r="PSP127" s="3"/>
      <c r="PSQ127" s="3"/>
      <c r="PSR127" s="3"/>
      <c r="PSS127" s="3"/>
      <c r="PST127" s="3"/>
      <c r="PSU127" s="3"/>
      <c r="PSV127" s="3"/>
      <c r="PSW127" s="3"/>
      <c r="PSX127" s="3"/>
      <c r="PSY127" s="3"/>
      <c r="PSZ127" s="3"/>
      <c r="PTA127" s="3"/>
      <c r="PTB127" s="3"/>
      <c r="PTC127" s="3"/>
      <c r="PTD127" s="3"/>
      <c r="PTE127" s="3"/>
      <c r="PTF127" s="3"/>
      <c r="PTG127" s="3"/>
      <c r="PTH127" s="3"/>
      <c r="PTI127" s="3"/>
      <c r="PTJ127" s="3"/>
      <c r="PTK127" s="3"/>
      <c r="PTL127" s="3"/>
      <c r="PTM127" s="3"/>
      <c r="PTN127" s="3"/>
      <c r="PTO127" s="3"/>
      <c r="PTP127" s="3"/>
      <c r="PTQ127" s="3"/>
      <c r="PTR127" s="3"/>
      <c r="PTS127" s="3"/>
      <c r="PTT127" s="3"/>
      <c r="PTU127" s="3"/>
      <c r="PTV127" s="3"/>
      <c r="PTW127" s="3"/>
      <c r="PTX127" s="3"/>
      <c r="PTY127" s="3"/>
      <c r="PTZ127" s="3"/>
      <c r="PUA127" s="3"/>
      <c r="PUB127" s="3"/>
      <c r="PUC127" s="3"/>
      <c r="PUD127" s="3"/>
      <c r="PUE127" s="3"/>
      <c r="PUF127" s="3"/>
      <c r="PUG127" s="3"/>
      <c r="PUH127" s="3"/>
      <c r="PUI127" s="3"/>
      <c r="PUJ127" s="3"/>
      <c r="PUK127" s="3"/>
      <c r="PUL127" s="3"/>
      <c r="PUM127" s="3"/>
      <c r="PUN127" s="3"/>
      <c r="PUO127" s="3"/>
      <c r="PUP127" s="3"/>
      <c r="PUQ127" s="3"/>
      <c r="PUR127" s="3"/>
      <c r="PUS127" s="3"/>
      <c r="PUT127" s="3"/>
      <c r="PUU127" s="3"/>
      <c r="PUV127" s="3"/>
      <c r="PUW127" s="3"/>
      <c r="PUX127" s="3"/>
      <c r="PUY127" s="3"/>
      <c r="PUZ127" s="3"/>
      <c r="PVA127" s="3"/>
      <c r="PVB127" s="3"/>
      <c r="PVC127" s="3"/>
      <c r="PVD127" s="3"/>
      <c r="PVE127" s="3"/>
      <c r="PVF127" s="3"/>
      <c r="PVG127" s="3"/>
      <c r="PVH127" s="3"/>
      <c r="PVI127" s="3"/>
      <c r="PVJ127" s="3"/>
      <c r="PVK127" s="3"/>
      <c r="PVL127" s="3"/>
      <c r="PVM127" s="3"/>
      <c r="PVN127" s="3"/>
      <c r="PVO127" s="3"/>
      <c r="PVP127" s="3"/>
      <c r="PVQ127" s="3"/>
      <c r="PVR127" s="3"/>
      <c r="PVS127" s="3"/>
      <c r="PVT127" s="3"/>
      <c r="PVU127" s="3"/>
      <c r="PVV127" s="3"/>
      <c r="PVW127" s="3"/>
      <c r="PVX127" s="3"/>
      <c r="PVY127" s="3"/>
      <c r="PVZ127" s="3"/>
      <c r="PWA127" s="3"/>
      <c r="PWB127" s="3"/>
      <c r="PWC127" s="3"/>
      <c r="PWD127" s="3"/>
      <c r="PWE127" s="3"/>
      <c r="PWF127" s="3"/>
      <c r="PWG127" s="3"/>
      <c r="PWH127" s="3"/>
      <c r="PWI127" s="3"/>
      <c r="PWJ127" s="3"/>
      <c r="PWK127" s="3"/>
      <c r="PWL127" s="3"/>
      <c r="PWM127" s="3"/>
      <c r="PWN127" s="3"/>
      <c r="PWO127" s="3"/>
      <c r="PWP127" s="3"/>
      <c r="PWQ127" s="3"/>
      <c r="PWR127" s="3"/>
      <c r="PWS127" s="3"/>
      <c r="PWT127" s="3"/>
      <c r="PWU127" s="3"/>
      <c r="PWV127" s="3"/>
      <c r="PWW127" s="3"/>
      <c r="PWX127" s="3"/>
      <c r="PWY127" s="3"/>
      <c r="PWZ127" s="3"/>
      <c r="PXA127" s="3"/>
      <c r="PXB127" s="3"/>
      <c r="PXC127" s="3"/>
      <c r="PXD127" s="3"/>
      <c r="PXE127" s="3"/>
      <c r="PXF127" s="3"/>
      <c r="PXG127" s="3"/>
      <c r="PXH127" s="3"/>
      <c r="PXI127" s="3"/>
      <c r="PXJ127" s="3"/>
      <c r="PXK127" s="3"/>
      <c r="PXL127" s="3"/>
      <c r="PXM127" s="3"/>
      <c r="PXN127" s="3"/>
      <c r="PXO127" s="3"/>
      <c r="PXP127" s="3"/>
      <c r="PXQ127" s="3"/>
      <c r="PXR127" s="3"/>
      <c r="PXS127" s="3"/>
      <c r="PXT127" s="3"/>
      <c r="PXU127" s="3"/>
      <c r="PXV127" s="3"/>
      <c r="PXW127" s="3"/>
      <c r="PXX127" s="3"/>
      <c r="PXY127" s="3"/>
      <c r="PXZ127" s="3"/>
      <c r="PYA127" s="3"/>
      <c r="PYB127" s="3"/>
      <c r="PYC127" s="3"/>
      <c r="PYD127" s="3"/>
      <c r="PYE127" s="3"/>
      <c r="PYF127" s="3"/>
      <c r="PYG127" s="3"/>
      <c r="PYH127" s="3"/>
      <c r="PYI127" s="3"/>
      <c r="PYJ127" s="3"/>
      <c r="PYK127" s="3"/>
      <c r="PYL127" s="3"/>
      <c r="PYM127" s="3"/>
      <c r="PYN127" s="3"/>
      <c r="PYO127" s="3"/>
      <c r="PYP127" s="3"/>
      <c r="PYQ127" s="3"/>
      <c r="PYR127" s="3"/>
      <c r="PYS127" s="3"/>
      <c r="PYT127" s="3"/>
      <c r="PYU127" s="3"/>
      <c r="PYV127" s="3"/>
      <c r="PYW127" s="3"/>
      <c r="PYX127" s="3"/>
      <c r="PYY127" s="3"/>
      <c r="PYZ127" s="3"/>
      <c r="PZA127" s="3"/>
      <c r="PZB127" s="3"/>
      <c r="PZC127" s="3"/>
      <c r="PZD127" s="3"/>
      <c r="PZE127" s="3"/>
      <c r="PZF127" s="3"/>
      <c r="PZG127" s="3"/>
      <c r="PZH127" s="3"/>
      <c r="PZI127" s="3"/>
      <c r="PZJ127" s="3"/>
      <c r="PZK127" s="3"/>
      <c r="PZL127" s="3"/>
      <c r="PZM127" s="3"/>
      <c r="PZN127" s="3"/>
      <c r="PZO127" s="3"/>
      <c r="PZP127" s="3"/>
      <c r="PZQ127" s="3"/>
      <c r="PZR127" s="3"/>
      <c r="PZS127" s="3"/>
      <c r="PZT127" s="3"/>
      <c r="PZU127" s="3"/>
      <c r="PZV127" s="3"/>
      <c r="PZW127" s="3"/>
      <c r="PZX127" s="3"/>
      <c r="PZY127" s="3"/>
      <c r="PZZ127" s="3"/>
      <c r="QAA127" s="3"/>
      <c r="QAB127" s="3"/>
      <c r="QAC127" s="3"/>
      <c r="QAD127" s="3"/>
      <c r="QAE127" s="3"/>
      <c r="QAF127" s="3"/>
      <c r="QAG127" s="3"/>
      <c r="QAH127" s="3"/>
      <c r="QAI127" s="3"/>
      <c r="QAJ127" s="3"/>
      <c r="QAK127" s="3"/>
      <c r="QAL127" s="3"/>
      <c r="QAM127" s="3"/>
      <c r="QAN127" s="3"/>
      <c r="QAO127" s="3"/>
      <c r="QAP127" s="3"/>
      <c r="QAQ127" s="3"/>
      <c r="QAR127" s="3"/>
      <c r="QAS127" s="3"/>
      <c r="QAT127" s="3"/>
      <c r="QAU127" s="3"/>
      <c r="QAV127" s="3"/>
      <c r="QAW127" s="3"/>
      <c r="QAX127" s="3"/>
      <c r="QAY127" s="3"/>
      <c r="QAZ127" s="3"/>
      <c r="QBA127" s="3"/>
      <c r="QBB127" s="3"/>
      <c r="QBC127" s="3"/>
      <c r="QBD127" s="3"/>
      <c r="QBE127" s="3"/>
      <c r="QBF127" s="3"/>
      <c r="QBG127" s="3"/>
      <c r="QBH127" s="3"/>
      <c r="QBI127" s="3"/>
      <c r="QBJ127" s="3"/>
      <c r="QBK127" s="3"/>
      <c r="QBL127" s="3"/>
      <c r="QBM127" s="3"/>
      <c r="QBN127" s="3"/>
      <c r="QBO127" s="3"/>
      <c r="QBP127" s="3"/>
      <c r="QBQ127" s="3"/>
      <c r="QBR127" s="3"/>
      <c r="QBS127" s="3"/>
      <c r="QBT127" s="3"/>
      <c r="QBU127" s="3"/>
      <c r="QBV127" s="3"/>
      <c r="QBW127" s="3"/>
      <c r="QBX127" s="3"/>
      <c r="QBY127" s="3"/>
      <c r="QBZ127" s="3"/>
      <c r="QCA127" s="3"/>
      <c r="QCB127" s="3"/>
      <c r="QCC127" s="3"/>
      <c r="QCD127" s="3"/>
      <c r="QCE127" s="3"/>
      <c r="QCF127" s="3"/>
      <c r="QCG127" s="3"/>
      <c r="QCH127" s="3"/>
      <c r="QCI127" s="3"/>
      <c r="QCJ127" s="3"/>
      <c r="QCK127" s="3"/>
      <c r="QCL127" s="3"/>
      <c r="QCM127" s="3"/>
      <c r="QCN127" s="3"/>
      <c r="QCO127" s="3"/>
      <c r="QCP127" s="3"/>
      <c r="QCQ127" s="3"/>
      <c r="QCR127" s="3"/>
      <c r="QCS127" s="3"/>
      <c r="QCT127" s="3"/>
      <c r="QCU127" s="3"/>
      <c r="QCV127" s="3"/>
      <c r="QCW127" s="3"/>
      <c r="QCX127" s="3"/>
      <c r="QCY127" s="3"/>
      <c r="QCZ127" s="3"/>
      <c r="QDA127" s="3"/>
      <c r="QDB127" s="3"/>
      <c r="QDC127" s="3"/>
      <c r="QDD127" s="3"/>
      <c r="QDE127" s="3"/>
      <c r="QDF127" s="3"/>
      <c r="QDG127" s="3"/>
      <c r="QDH127" s="3"/>
      <c r="QDI127" s="3"/>
      <c r="QDJ127" s="3"/>
      <c r="QDK127" s="3"/>
      <c r="QDL127" s="3"/>
      <c r="QDM127" s="3"/>
      <c r="QDN127" s="3"/>
      <c r="QDO127" s="3"/>
      <c r="QDP127" s="3"/>
      <c r="QDQ127" s="3"/>
      <c r="QDR127" s="3"/>
      <c r="QDS127" s="3"/>
      <c r="QDT127" s="3"/>
      <c r="QDU127" s="3"/>
      <c r="QDV127" s="3"/>
      <c r="QDW127" s="3"/>
      <c r="QDX127" s="3"/>
      <c r="QDY127" s="3"/>
      <c r="QDZ127" s="3"/>
      <c r="QEA127" s="3"/>
      <c r="QEB127" s="3"/>
      <c r="QEC127" s="3"/>
      <c r="QED127" s="3"/>
      <c r="QEE127" s="3"/>
      <c r="QEF127" s="3"/>
      <c r="QEG127" s="3"/>
      <c r="QEH127" s="3"/>
      <c r="QEI127" s="3"/>
      <c r="QEJ127" s="3"/>
      <c r="QEK127" s="3"/>
      <c r="QEL127" s="3"/>
      <c r="QEM127" s="3"/>
      <c r="QEN127" s="3"/>
      <c r="QEO127" s="3"/>
      <c r="QEP127" s="3"/>
      <c r="QEQ127" s="3"/>
      <c r="QER127" s="3"/>
      <c r="QES127" s="3"/>
      <c r="QET127" s="3"/>
      <c r="QEU127" s="3"/>
      <c r="QEV127" s="3"/>
      <c r="QEW127" s="3"/>
      <c r="QEX127" s="3"/>
      <c r="QEY127" s="3"/>
      <c r="QEZ127" s="3"/>
      <c r="QFA127" s="3"/>
      <c r="QFB127" s="3"/>
      <c r="QFC127" s="3"/>
      <c r="QFD127" s="3"/>
      <c r="QFE127" s="3"/>
      <c r="QFF127" s="3"/>
      <c r="QFG127" s="3"/>
      <c r="QFH127" s="3"/>
      <c r="QFI127" s="3"/>
      <c r="QFJ127" s="3"/>
      <c r="QFK127" s="3"/>
      <c r="QFL127" s="3"/>
      <c r="QFM127" s="3"/>
      <c r="QFN127" s="3"/>
      <c r="QFO127" s="3"/>
      <c r="QFP127" s="3"/>
      <c r="QFQ127" s="3"/>
      <c r="QFR127" s="3"/>
      <c r="QFS127" s="3"/>
      <c r="QFT127" s="3"/>
      <c r="QFU127" s="3"/>
      <c r="QFV127" s="3"/>
      <c r="QFW127" s="3"/>
      <c r="QFX127" s="3"/>
      <c r="QFY127" s="3"/>
      <c r="QFZ127" s="3"/>
      <c r="QGA127" s="3"/>
      <c r="QGB127" s="3"/>
      <c r="QGC127" s="3"/>
      <c r="QGD127" s="3"/>
      <c r="QGE127" s="3"/>
      <c r="QGF127" s="3"/>
      <c r="QGG127" s="3"/>
      <c r="QGH127" s="3"/>
      <c r="QGI127" s="3"/>
      <c r="QGJ127" s="3"/>
      <c r="QGK127" s="3"/>
      <c r="QGL127" s="3"/>
      <c r="QGM127" s="3"/>
      <c r="QGN127" s="3"/>
      <c r="QGO127" s="3"/>
      <c r="QGP127" s="3"/>
      <c r="QGQ127" s="3"/>
      <c r="QGR127" s="3"/>
      <c r="QGS127" s="3"/>
      <c r="QGT127" s="3"/>
      <c r="QGU127" s="3"/>
      <c r="QGV127" s="3"/>
      <c r="QGW127" s="3"/>
      <c r="QGX127" s="3"/>
      <c r="QGY127" s="3"/>
      <c r="QGZ127" s="3"/>
      <c r="QHA127" s="3"/>
      <c r="QHB127" s="3"/>
      <c r="QHC127" s="3"/>
      <c r="QHD127" s="3"/>
      <c r="QHE127" s="3"/>
      <c r="QHF127" s="3"/>
      <c r="QHG127" s="3"/>
      <c r="QHH127" s="3"/>
      <c r="QHI127" s="3"/>
      <c r="QHJ127" s="3"/>
      <c r="QHK127" s="3"/>
      <c r="QHL127" s="3"/>
      <c r="QHM127" s="3"/>
      <c r="QHN127" s="3"/>
      <c r="QHO127" s="3"/>
      <c r="QHP127" s="3"/>
      <c r="QHQ127" s="3"/>
      <c r="QHR127" s="3"/>
      <c r="QHS127" s="3"/>
      <c r="QHT127" s="3"/>
      <c r="QHU127" s="3"/>
      <c r="QHV127" s="3"/>
      <c r="QHW127" s="3"/>
      <c r="QHX127" s="3"/>
      <c r="QHY127" s="3"/>
      <c r="QHZ127" s="3"/>
      <c r="QIA127" s="3"/>
      <c r="QIB127" s="3"/>
      <c r="QIC127" s="3"/>
      <c r="QID127" s="3"/>
      <c r="QIE127" s="3"/>
      <c r="QIF127" s="3"/>
      <c r="QIG127" s="3"/>
      <c r="QIH127" s="3"/>
      <c r="QII127" s="3"/>
      <c r="QIJ127" s="3"/>
      <c r="QIK127" s="3"/>
      <c r="QIL127" s="3"/>
      <c r="QIM127" s="3"/>
      <c r="QIN127" s="3"/>
      <c r="QIO127" s="3"/>
      <c r="QIP127" s="3"/>
      <c r="QIQ127" s="3"/>
      <c r="QIR127" s="3"/>
      <c r="QIS127" s="3"/>
      <c r="QIT127" s="3"/>
      <c r="QIU127" s="3"/>
      <c r="QIV127" s="3"/>
      <c r="QIW127" s="3"/>
      <c r="QIX127" s="3"/>
      <c r="QIY127" s="3"/>
      <c r="QIZ127" s="3"/>
      <c r="QJA127" s="3"/>
      <c r="QJB127" s="3"/>
      <c r="QJC127" s="3"/>
      <c r="QJD127" s="3"/>
      <c r="QJE127" s="3"/>
      <c r="QJF127" s="3"/>
      <c r="QJG127" s="3"/>
      <c r="QJH127" s="3"/>
      <c r="QJI127" s="3"/>
      <c r="QJJ127" s="3"/>
      <c r="QJK127" s="3"/>
      <c r="QJL127" s="3"/>
      <c r="QJM127" s="3"/>
      <c r="QJN127" s="3"/>
      <c r="QJO127" s="3"/>
      <c r="QJP127" s="3"/>
      <c r="QJQ127" s="3"/>
      <c r="QJR127" s="3"/>
      <c r="QJS127" s="3"/>
      <c r="QJT127" s="3"/>
      <c r="QJU127" s="3"/>
      <c r="QJV127" s="3"/>
      <c r="QJW127" s="3"/>
      <c r="QJX127" s="3"/>
      <c r="QJY127" s="3"/>
      <c r="QJZ127" s="3"/>
      <c r="QKA127" s="3"/>
      <c r="QKB127" s="3"/>
      <c r="QKC127" s="3"/>
      <c r="QKD127" s="3"/>
      <c r="QKE127" s="3"/>
      <c r="QKF127" s="3"/>
      <c r="QKG127" s="3"/>
      <c r="QKH127" s="3"/>
      <c r="QKI127" s="3"/>
      <c r="QKJ127" s="3"/>
      <c r="QKK127" s="3"/>
      <c r="QKL127" s="3"/>
      <c r="QKM127" s="3"/>
      <c r="QKN127" s="3"/>
      <c r="QKO127" s="3"/>
      <c r="QKP127" s="3"/>
      <c r="QKQ127" s="3"/>
      <c r="QKR127" s="3"/>
      <c r="QKS127" s="3"/>
      <c r="QKT127" s="3"/>
      <c r="QKU127" s="3"/>
      <c r="QKV127" s="3"/>
      <c r="QKW127" s="3"/>
      <c r="QKX127" s="3"/>
      <c r="QKY127" s="3"/>
      <c r="QKZ127" s="3"/>
      <c r="QLA127" s="3"/>
      <c r="QLB127" s="3"/>
      <c r="QLC127" s="3"/>
      <c r="QLD127" s="3"/>
      <c r="QLE127" s="3"/>
      <c r="QLF127" s="3"/>
      <c r="QLG127" s="3"/>
      <c r="QLH127" s="3"/>
      <c r="QLI127" s="3"/>
      <c r="QLJ127" s="3"/>
      <c r="QLK127" s="3"/>
      <c r="QLL127" s="3"/>
      <c r="QLM127" s="3"/>
      <c r="QLN127" s="3"/>
      <c r="QLO127" s="3"/>
      <c r="QLP127" s="3"/>
      <c r="QLQ127" s="3"/>
      <c r="QLR127" s="3"/>
      <c r="QLS127" s="3"/>
      <c r="QLT127" s="3"/>
      <c r="QLU127" s="3"/>
      <c r="QLV127" s="3"/>
      <c r="QLW127" s="3"/>
      <c r="QLX127" s="3"/>
      <c r="QLY127" s="3"/>
      <c r="QLZ127" s="3"/>
      <c r="QMA127" s="3"/>
      <c r="QMB127" s="3"/>
      <c r="QMC127" s="3"/>
      <c r="QMD127" s="3"/>
      <c r="QME127" s="3"/>
      <c r="QMF127" s="3"/>
      <c r="QMG127" s="3"/>
      <c r="QMH127" s="3"/>
      <c r="QMI127" s="3"/>
      <c r="QMJ127" s="3"/>
      <c r="QMK127" s="3"/>
      <c r="QML127" s="3"/>
      <c r="QMM127" s="3"/>
      <c r="QMN127" s="3"/>
      <c r="QMO127" s="3"/>
      <c r="QMP127" s="3"/>
      <c r="QMQ127" s="3"/>
      <c r="QMR127" s="3"/>
      <c r="QMS127" s="3"/>
      <c r="QMT127" s="3"/>
      <c r="QMU127" s="3"/>
      <c r="QMV127" s="3"/>
      <c r="QMW127" s="3"/>
      <c r="QMX127" s="3"/>
      <c r="QMY127" s="3"/>
      <c r="QMZ127" s="3"/>
      <c r="QNA127" s="3"/>
      <c r="QNB127" s="3"/>
      <c r="QNC127" s="3"/>
      <c r="QND127" s="3"/>
      <c r="QNE127" s="3"/>
      <c r="QNF127" s="3"/>
      <c r="QNG127" s="3"/>
      <c r="QNH127" s="3"/>
      <c r="QNI127" s="3"/>
      <c r="QNJ127" s="3"/>
      <c r="QNK127" s="3"/>
      <c r="QNL127" s="3"/>
      <c r="QNM127" s="3"/>
      <c r="QNN127" s="3"/>
      <c r="QNO127" s="3"/>
      <c r="QNP127" s="3"/>
      <c r="QNQ127" s="3"/>
      <c r="QNR127" s="3"/>
      <c r="QNS127" s="3"/>
      <c r="QNT127" s="3"/>
      <c r="QNU127" s="3"/>
      <c r="QNV127" s="3"/>
      <c r="QNW127" s="3"/>
      <c r="QNX127" s="3"/>
      <c r="QNY127" s="3"/>
      <c r="QNZ127" s="3"/>
      <c r="QOA127" s="3"/>
      <c r="QOB127" s="3"/>
      <c r="QOC127" s="3"/>
      <c r="QOD127" s="3"/>
      <c r="QOE127" s="3"/>
      <c r="QOF127" s="3"/>
      <c r="QOG127" s="3"/>
      <c r="QOH127" s="3"/>
      <c r="QOI127" s="3"/>
      <c r="QOJ127" s="3"/>
      <c r="QOK127" s="3"/>
      <c r="QOL127" s="3"/>
      <c r="QOM127" s="3"/>
      <c r="QON127" s="3"/>
      <c r="QOO127" s="3"/>
      <c r="QOP127" s="3"/>
      <c r="QOQ127" s="3"/>
      <c r="QOR127" s="3"/>
      <c r="QOS127" s="3"/>
      <c r="QOT127" s="3"/>
      <c r="QOU127" s="3"/>
      <c r="QOV127" s="3"/>
      <c r="QOW127" s="3"/>
      <c r="QOX127" s="3"/>
      <c r="QOY127" s="3"/>
      <c r="QOZ127" s="3"/>
      <c r="QPA127" s="3"/>
      <c r="QPB127" s="3"/>
      <c r="QPC127" s="3"/>
      <c r="QPD127" s="3"/>
      <c r="QPE127" s="3"/>
      <c r="QPF127" s="3"/>
      <c r="QPG127" s="3"/>
      <c r="QPH127" s="3"/>
      <c r="QPI127" s="3"/>
      <c r="QPJ127" s="3"/>
      <c r="QPK127" s="3"/>
      <c r="QPL127" s="3"/>
      <c r="QPM127" s="3"/>
      <c r="QPN127" s="3"/>
      <c r="QPO127" s="3"/>
      <c r="QPP127" s="3"/>
      <c r="QPQ127" s="3"/>
      <c r="QPR127" s="3"/>
      <c r="QPS127" s="3"/>
      <c r="QPT127" s="3"/>
      <c r="QPU127" s="3"/>
      <c r="QPV127" s="3"/>
      <c r="QPW127" s="3"/>
      <c r="QPX127" s="3"/>
      <c r="QPY127" s="3"/>
      <c r="QPZ127" s="3"/>
      <c r="QQA127" s="3"/>
      <c r="QQB127" s="3"/>
      <c r="QQC127" s="3"/>
      <c r="QQD127" s="3"/>
      <c r="QQE127" s="3"/>
      <c r="QQF127" s="3"/>
      <c r="QQG127" s="3"/>
      <c r="QQH127" s="3"/>
      <c r="QQI127" s="3"/>
      <c r="QQJ127" s="3"/>
      <c r="QQK127" s="3"/>
      <c r="QQL127" s="3"/>
      <c r="QQM127" s="3"/>
      <c r="QQN127" s="3"/>
      <c r="QQO127" s="3"/>
      <c r="QQP127" s="3"/>
      <c r="QQQ127" s="3"/>
      <c r="QQR127" s="3"/>
      <c r="QQS127" s="3"/>
      <c r="QQT127" s="3"/>
      <c r="QQU127" s="3"/>
      <c r="QQV127" s="3"/>
      <c r="QQW127" s="3"/>
      <c r="QQX127" s="3"/>
      <c r="QQY127" s="3"/>
      <c r="QQZ127" s="3"/>
      <c r="QRA127" s="3"/>
      <c r="QRB127" s="3"/>
      <c r="QRC127" s="3"/>
      <c r="QRD127" s="3"/>
      <c r="QRE127" s="3"/>
      <c r="QRF127" s="3"/>
      <c r="QRG127" s="3"/>
      <c r="QRH127" s="3"/>
      <c r="QRI127" s="3"/>
      <c r="QRJ127" s="3"/>
      <c r="QRK127" s="3"/>
      <c r="QRL127" s="3"/>
      <c r="QRM127" s="3"/>
      <c r="QRN127" s="3"/>
      <c r="QRO127" s="3"/>
      <c r="QRP127" s="3"/>
      <c r="QRQ127" s="3"/>
      <c r="QRR127" s="3"/>
      <c r="QRS127" s="3"/>
      <c r="QRT127" s="3"/>
      <c r="QRU127" s="3"/>
      <c r="QRV127" s="3"/>
      <c r="QRW127" s="3"/>
      <c r="QRX127" s="3"/>
      <c r="QRY127" s="3"/>
      <c r="QRZ127" s="3"/>
      <c r="QSA127" s="3"/>
      <c r="QSB127" s="3"/>
      <c r="QSC127" s="3"/>
      <c r="QSD127" s="3"/>
      <c r="QSE127" s="3"/>
      <c r="QSF127" s="3"/>
      <c r="QSG127" s="3"/>
      <c r="QSH127" s="3"/>
      <c r="QSI127" s="3"/>
      <c r="QSJ127" s="3"/>
      <c r="QSK127" s="3"/>
      <c r="QSL127" s="3"/>
      <c r="QSM127" s="3"/>
      <c r="QSN127" s="3"/>
      <c r="QSO127" s="3"/>
      <c r="QSP127" s="3"/>
      <c r="QSQ127" s="3"/>
      <c r="QSR127" s="3"/>
      <c r="QSS127" s="3"/>
      <c r="QST127" s="3"/>
      <c r="QSU127" s="3"/>
      <c r="QSV127" s="3"/>
      <c r="QSW127" s="3"/>
      <c r="QSX127" s="3"/>
      <c r="QSY127" s="3"/>
      <c r="QSZ127" s="3"/>
      <c r="QTA127" s="3"/>
      <c r="QTB127" s="3"/>
      <c r="QTC127" s="3"/>
      <c r="QTD127" s="3"/>
      <c r="QTE127" s="3"/>
      <c r="QTF127" s="3"/>
      <c r="QTG127" s="3"/>
      <c r="QTH127" s="3"/>
      <c r="QTI127" s="3"/>
      <c r="QTJ127" s="3"/>
      <c r="QTK127" s="3"/>
      <c r="QTL127" s="3"/>
      <c r="QTM127" s="3"/>
      <c r="QTN127" s="3"/>
      <c r="QTO127" s="3"/>
      <c r="QTP127" s="3"/>
      <c r="QTQ127" s="3"/>
      <c r="QTR127" s="3"/>
      <c r="QTS127" s="3"/>
      <c r="QTT127" s="3"/>
      <c r="QTU127" s="3"/>
      <c r="QTV127" s="3"/>
      <c r="QTW127" s="3"/>
      <c r="QTX127" s="3"/>
      <c r="QTY127" s="3"/>
      <c r="QTZ127" s="3"/>
      <c r="QUA127" s="3"/>
      <c r="QUB127" s="3"/>
      <c r="QUC127" s="3"/>
      <c r="QUD127" s="3"/>
      <c r="QUE127" s="3"/>
      <c r="QUF127" s="3"/>
      <c r="QUG127" s="3"/>
      <c r="QUH127" s="3"/>
      <c r="QUI127" s="3"/>
      <c r="QUJ127" s="3"/>
      <c r="QUK127" s="3"/>
      <c r="QUL127" s="3"/>
      <c r="QUM127" s="3"/>
      <c r="QUN127" s="3"/>
      <c r="QUO127" s="3"/>
      <c r="QUP127" s="3"/>
      <c r="QUQ127" s="3"/>
      <c r="QUR127" s="3"/>
      <c r="QUS127" s="3"/>
      <c r="QUT127" s="3"/>
      <c r="QUU127" s="3"/>
      <c r="QUV127" s="3"/>
      <c r="QUW127" s="3"/>
      <c r="QUX127" s="3"/>
      <c r="QUY127" s="3"/>
      <c r="QUZ127" s="3"/>
      <c r="QVA127" s="3"/>
      <c r="QVB127" s="3"/>
      <c r="QVC127" s="3"/>
      <c r="QVD127" s="3"/>
      <c r="QVE127" s="3"/>
      <c r="QVF127" s="3"/>
      <c r="QVG127" s="3"/>
      <c r="QVH127" s="3"/>
      <c r="QVI127" s="3"/>
      <c r="QVJ127" s="3"/>
      <c r="QVK127" s="3"/>
      <c r="QVL127" s="3"/>
      <c r="QVM127" s="3"/>
      <c r="QVN127" s="3"/>
      <c r="QVO127" s="3"/>
      <c r="QVP127" s="3"/>
      <c r="QVQ127" s="3"/>
      <c r="QVR127" s="3"/>
      <c r="QVS127" s="3"/>
      <c r="QVT127" s="3"/>
      <c r="QVU127" s="3"/>
      <c r="QVV127" s="3"/>
      <c r="QVW127" s="3"/>
      <c r="QVX127" s="3"/>
      <c r="QVY127" s="3"/>
      <c r="QVZ127" s="3"/>
      <c r="QWA127" s="3"/>
      <c r="QWB127" s="3"/>
      <c r="QWC127" s="3"/>
      <c r="QWD127" s="3"/>
      <c r="QWE127" s="3"/>
      <c r="QWF127" s="3"/>
      <c r="QWG127" s="3"/>
      <c r="QWH127" s="3"/>
      <c r="QWI127" s="3"/>
      <c r="QWJ127" s="3"/>
      <c r="QWK127" s="3"/>
      <c r="QWL127" s="3"/>
      <c r="QWM127" s="3"/>
      <c r="QWN127" s="3"/>
      <c r="QWO127" s="3"/>
      <c r="QWP127" s="3"/>
      <c r="QWQ127" s="3"/>
      <c r="QWR127" s="3"/>
      <c r="QWS127" s="3"/>
      <c r="QWT127" s="3"/>
      <c r="QWU127" s="3"/>
      <c r="QWV127" s="3"/>
      <c r="QWW127" s="3"/>
      <c r="QWX127" s="3"/>
      <c r="QWY127" s="3"/>
      <c r="QWZ127" s="3"/>
      <c r="QXA127" s="3"/>
      <c r="QXB127" s="3"/>
      <c r="QXC127" s="3"/>
      <c r="QXD127" s="3"/>
      <c r="QXE127" s="3"/>
      <c r="QXF127" s="3"/>
      <c r="QXG127" s="3"/>
      <c r="QXH127" s="3"/>
      <c r="QXI127" s="3"/>
      <c r="QXJ127" s="3"/>
      <c r="QXK127" s="3"/>
      <c r="QXL127" s="3"/>
      <c r="QXM127" s="3"/>
      <c r="QXN127" s="3"/>
      <c r="QXO127" s="3"/>
      <c r="QXP127" s="3"/>
      <c r="QXQ127" s="3"/>
      <c r="QXR127" s="3"/>
      <c r="QXS127" s="3"/>
      <c r="QXT127" s="3"/>
      <c r="QXU127" s="3"/>
      <c r="QXV127" s="3"/>
      <c r="QXW127" s="3"/>
      <c r="QXX127" s="3"/>
      <c r="QXY127" s="3"/>
      <c r="QXZ127" s="3"/>
      <c r="QYA127" s="3"/>
      <c r="QYB127" s="3"/>
      <c r="QYC127" s="3"/>
      <c r="QYD127" s="3"/>
      <c r="QYE127" s="3"/>
      <c r="QYF127" s="3"/>
      <c r="QYG127" s="3"/>
      <c r="QYH127" s="3"/>
      <c r="QYI127" s="3"/>
      <c r="QYJ127" s="3"/>
      <c r="QYK127" s="3"/>
      <c r="QYL127" s="3"/>
      <c r="QYM127" s="3"/>
      <c r="QYN127" s="3"/>
      <c r="QYO127" s="3"/>
      <c r="QYP127" s="3"/>
      <c r="QYQ127" s="3"/>
      <c r="QYR127" s="3"/>
      <c r="QYS127" s="3"/>
      <c r="QYT127" s="3"/>
      <c r="QYU127" s="3"/>
      <c r="QYV127" s="3"/>
      <c r="QYW127" s="3"/>
      <c r="QYX127" s="3"/>
      <c r="QYY127" s="3"/>
      <c r="QYZ127" s="3"/>
      <c r="QZA127" s="3"/>
      <c r="QZB127" s="3"/>
      <c r="QZC127" s="3"/>
      <c r="QZD127" s="3"/>
      <c r="QZE127" s="3"/>
      <c r="QZF127" s="3"/>
      <c r="QZG127" s="3"/>
      <c r="QZH127" s="3"/>
      <c r="QZI127" s="3"/>
      <c r="QZJ127" s="3"/>
      <c r="QZK127" s="3"/>
      <c r="QZL127" s="3"/>
      <c r="QZM127" s="3"/>
      <c r="QZN127" s="3"/>
      <c r="QZO127" s="3"/>
      <c r="QZP127" s="3"/>
      <c r="QZQ127" s="3"/>
      <c r="QZR127" s="3"/>
      <c r="QZS127" s="3"/>
      <c r="QZT127" s="3"/>
      <c r="QZU127" s="3"/>
      <c r="QZV127" s="3"/>
      <c r="QZW127" s="3"/>
      <c r="QZX127" s="3"/>
      <c r="QZY127" s="3"/>
      <c r="QZZ127" s="3"/>
      <c r="RAA127" s="3"/>
      <c r="RAB127" s="3"/>
      <c r="RAC127" s="3"/>
      <c r="RAD127" s="3"/>
      <c r="RAE127" s="3"/>
      <c r="RAF127" s="3"/>
      <c r="RAG127" s="3"/>
      <c r="RAH127" s="3"/>
      <c r="RAI127" s="3"/>
      <c r="RAJ127" s="3"/>
      <c r="RAK127" s="3"/>
      <c r="RAL127" s="3"/>
      <c r="RAM127" s="3"/>
      <c r="RAN127" s="3"/>
      <c r="RAO127" s="3"/>
      <c r="RAP127" s="3"/>
      <c r="RAQ127" s="3"/>
      <c r="RAR127" s="3"/>
      <c r="RAS127" s="3"/>
      <c r="RAT127" s="3"/>
      <c r="RAU127" s="3"/>
      <c r="RAV127" s="3"/>
      <c r="RAW127" s="3"/>
      <c r="RAX127" s="3"/>
      <c r="RAY127" s="3"/>
      <c r="RAZ127" s="3"/>
      <c r="RBA127" s="3"/>
      <c r="RBB127" s="3"/>
      <c r="RBC127" s="3"/>
      <c r="RBD127" s="3"/>
      <c r="RBE127" s="3"/>
      <c r="RBF127" s="3"/>
      <c r="RBG127" s="3"/>
      <c r="RBH127" s="3"/>
      <c r="RBI127" s="3"/>
      <c r="RBJ127" s="3"/>
      <c r="RBK127" s="3"/>
      <c r="RBL127" s="3"/>
      <c r="RBM127" s="3"/>
      <c r="RBN127" s="3"/>
      <c r="RBO127" s="3"/>
      <c r="RBP127" s="3"/>
      <c r="RBQ127" s="3"/>
      <c r="RBR127" s="3"/>
      <c r="RBS127" s="3"/>
      <c r="RBT127" s="3"/>
      <c r="RBU127" s="3"/>
      <c r="RBV127" s="3"/>
      <c r="RBW127" s="3"/>
      <c r="RBX127" s="3"/>
      <c r="RBY127" s="3"/>
      <c r="RBZ127" s="3"/>
      <c r="RCA127" s="3"/>
      <c r="RCB127" s="3"/>
      <c r="RCC127" s="3"/>
      <c r="RCD127" s="3"/>
      <c r="RCE127" s="3"/>
      <c r="RCF127" s="3"/>
      <c r="RCG127" s="3"/>
      <c r="RCH127" s="3"/>
      <c r="RCI127" s="3"/>
      <c r="RCJ127" s="3"/>
      <c r="RCK127" s="3"/>
      <c r="RCL127" s="3"/>
      <c r="RCM127" s="3"/>
      <c r="RCN127" s="3"/>
      <c r="RCO127" s="3"/>
      <c r="RCP127" s="3"/>
      <c r="RCQ127" s="3"/>
      <c r="RCR127" s="3"/>
      <c r="RCS127" s="3"/>
      <c r="RCT127" s="3"/>
      <c r="RCU127" s="3"/>
      <c r="RCV127" s="3"/>
      <c r="RCW127" s="3"/>
      <c r="RCX127" s="3"/>
      <c r="RCY127" s="3"/>
      <c r="RCZ127" s="3"/>
      <c r="RDA127" s="3"/>
      <c r="RDB127" s="3"/>
      <c r="RDC127" s="3"/>
      <c r="RDD127" s="3"/>
      <c r="RDE127" s="3"/>
      <c r="RDF127" s="3"/>
      <c r="RDG127" s="3"/>
      <c r="RDH127" s="3"/>
      <c r="RDI127" s="3"/>
      <c r="RDJ127" s="3"/>
      <c r="RDK127" s="3"/>
      <c r="RDL127" s="3"/>
      <c r="RDM127" s="3"/>
      <c r="RDN127" s="3"/>
      <c r="RDO127" s="3"/>
      <c r="RDP127" s="3"/>
      <c r="RDQ127" s="3"/>
      <c r="RDR127" s="3"/>
      <c r="RDS127" s="3"/>
      <c r="RDT127" s="3"/>
      <c r="RDU127" s="3"/>
      <c r="RDV127" s="3"/>
      <c r="RDW127" s="3"/>
      <c r="RDX127" s="3"/>
      <c r="RDY127" s="3"/>
      <c r="RDZ127" s="3"/>
      <c r="REA127" s="3"/>
      <c r="REB127" s="3"/>
      <c r="REC127" s="3"/>
      <c r="RED127" s="3"/>
      <c r="REE127" s="3"/>
      <c r="REF127" s="3"/>
      <c r="REG127" s="3"/>
      <c r="REH127" s="3"/>
      <c r="REI127" s="3"/>
      <c r="REJ127" s="3"/>
      <c r="REK127" s="3"/>
      <c r="REL127" s="3"/>
      <c r="REM127" s="3"/>
      <c r="REN127" s="3"/>
      <c r="REO127" s="3"/>
      <c r="REP127" s="3"/>
      <c r="REQ127" s="3"/>
      <c r="RER127" s="3"/>
      <c r="RES127" s="3"/>
      <c r="RET127" s="3"/>
      <c r="REU127" s="3"/>
      <c r="REV127" s="3"/>
      <c r="REW127" s="3"/>
      <c r="REX127" s="3"/>
      <c r="REY127" s="3"/>
      <c r="REZ127" s="3"/>
      <c r="RFA127" s="3"/>
      <c r="RFB127" s="3"/>
      <c r="RFC127" s="3"/>
      <c r="RFD127" s="3"/>
      <c r="RFE127" s="3"/>
      <c r="RFF127" s="3"/>
      <c r="RFG127" s="3"/>
      <c r="RFH127" s="3"/>
      <c r="RFI127" s="3"/>
      <c r="RFJ127" s="3"/>
      <c r="RFK127" s="3"/>
      <c r="RFL127" s="3"/>
      <c r="RFM127" s="3"/>
      <c r="RFN127" s="3"/>
      <c r="RFO127" s="3"/>
      <c r="RFP127" s="3"/>
      <c r="RFQ127" s="3"/>
      <c r="RFR127" s="3"/>
      <c r="RFS127" s="3"/>
      <c r="RFT127" s="3"/>
      <c r="RFU127" s="3"/>
      <c r="RFV127" s="3"/>
      <c r="RFW127" s="3"/>
      <c r="RFX127" s="3"/>
      <c r="RFY127" s="3"/>
      <c r="RFZ127" s="3"/>
      <c r="RGA127" s="3"/>
      <c r="RGB127" s="3"/>
      <c r="RGC127" s="3"/>
      <c r="RGD127" s="3"/>
      <c r="RGE127" s="3"/>
      <c r="RGF127" s="3"/>
      <c r="RGG127" s="3"/>
      <c r="RGH127" s="3"/>
      <c r="RGI127" s="3"/>
      <c r="RGJ127" s="3"/>
      <c r="RGK127" s="3"/>
      <c r="RGL127" s="3"/>
      <c r="RGM127" s="3"/>
      <c r="RGN127" s="3"/>
      <c r="RGO127" s="3"/>
      <c r="RGP127" s="3"/>
      <c r="RGQ127" s="3"/>
      <c r="RGR127" s="3"/>
      <c r="RGS127" s="3"/>
      <c r="RGT127" s="3"/>
      <c r="RGU127" s="3"/>
      <c r="RGV127" s="3"/>
      <c r="RGW127" s="3"/>
      <c r="RGX127" s="3"/>
      <c r="RGY127" s="3"/>
      <c r="RGZ127" s="3"/>
      <c r="RHA127" s="3"/>
      <c r="RHB127" s="3"/>
      <c r="RHC127" s="3"/>
      <c r="RHD127" s="3"/>
      <c r="RHE127" s="3"/>
      <c r="RHF127" s="3"/>
      <c r="RHG127" s="3"/>
      <c r="RHH127" s="3"/>
      <c r="RHI127" s="3"/>
      <c r="RHJ127" s="3"/>
      <c r="RHK127" s="3"/>
      <c r="RHL127" s="3"/>
      <c r="RHM127" s="3"/>
      <c r="RHN127" s="3"/>
      <c r="RHO127" s="3"/>
      <c r="RHP127" s="3"/>
      <c r="RHQ127" s="3"/>
      <c r="RHR127" s="3"/>
      <c r="RHS127" s="3"/>
      <c r="RHT127" s="3"/>
      <c r="RHU127" s="3"/>
      <c r="RHV127" s="3"/>
      <c r="RHW127" s="3"/>
      <c r="RHX127" s="3"/>
      <c r="RHY127" s="3"/>
      <c r="RHZ127" s="3"/>
      <c r="RIA127" s="3"/>
      <c r="RIB127" s="3"/>
      <c r="RIC127" s="3"/>
      <c r="RID127" s="3"/>
      <c r="RIE127" s="3"/>
      <c r="RIF127" s="3"/>
      <c r="RIG127" s="3"/>
      <c r="RIH127" s="3"/>
      <c r="RII127" s="3"/>
      <c r="RIJ127" s="3"/>
      <c r="RIK127" s="3"/>
      <c r="RIL127" s="3"/>
      <c r="RIM127" s="3"/>
      <c r="RIN127" s="3"/>
      <c r="RIO127" s="3"/>
      <c r="RIP127" s="3"/>
      <c r="RIQ127" s="3"/>
      <c r="RIR127" s="3"/>
      <c r="RIS127" s="3"/>
      <c r="RIT127" s="3"/>
      <c r="RIU127" s="3"/>
      <c r="RIV127" s="3"/>
      <c r="RIW127" s="3"/>
      <c r="RIX127" s="3"/>
      <c r="RIY127" s="3"/>
      <c r="RIZ127" s="3"/>
      <c r="RJA127" s="3"/>
      <c r="RJB127" s="3"/>
      <c r="RJC127" s="3"/>
      <c r="RJD127" s="3"/>
      <c r="RJE127" s="3"/>
      <c r="RJF127" s="3"/>
      <c r="RJG127" s="3"/>
      <c r="RJH127" s="3"/>
      <c r="RJI127" s="3"/>
      <c r="RJJ127" s="3"/>
      <c r="RJK127" s="3"/>
      <c r="RJL127" s="3"/>
      <c r="RJM127" s="3"/>
      <c r="RJN127" s="3"/>
      <c r="RJO127" s="3"/>
      <c r="RJP127" s="3"/>
      <c r="RJQ127" s="3"/>
      <c r="RJR127" s="3"/>
      <c r="RJS127" s="3"/>
      <c r="RJT127" s="3"/>
      <c r="RJU127" s="3"/>
      <c r="RJV127" s="3"/>
      <c r="RJW127" s="3"/>
      <c r="RJX127" s="3"/>
      <c r="RJY127" s="3"/>
      <c r="RJZ127" s="3"/>
      <c r="RKA127" s="3"/>
      <c r="RKB127" s="3"/>
      <c r="RKC127" s="3"/>
      <c r="RKD127" s="3"/>
      <c r="RKE127" s="3"/>
      <c r="RKF127" s="3"/>
      <c r="RKG127" s="3"/>
      <c r="RKH127" s="3"/>
      <c r="RKI127" s="3"/>
      <c r="RKJ127" s="3"/>
      <c r="RKK127" s="3"/>
      <c r="RKL127" s="3"/>
      <c r="RKM127" s="3"/>
      <c r="RKN127" s="3"/>
      <c r="RKO127" s="3"/>
      <c r="RKP127" s="3"/>
      <c r="RKQ127" s="3"/>
      <c r="RKR127" s="3"/>
      <c r="RKS127" s="3"/>
      <c r="RKT127" s="3"/>
      <c r="RKU127" s="3"/>
      <c r="RKV127" s="3"/>
      <c r="RKW127" s="3"/>
      <c r="RKX127" s="3"/>
      <c r="RKY127" s="3"/>
      <c r="RKZ127" s="3"/>
      <c r="RLA127" s="3"/>
      <c r="RLB127" s="3"/>
      <c r="RLC127" s="3"/>
      <c r="RLD127" s="3"/>
      <c r="RLE127" s="3"/>
      <c r="RLF127" s="3"/>
      <c r="RLG127" s="3"/>
      <c r="RLH127" s="3"/>
      <c r="RLI127" s="3"/>
      <c r="RLJ127" s="3"/>
      <c r="RLK127" s="3"/>
      <c r="RLL127" s="3"/>
      <c r="RLM127" s="3"/>
      <c r="RLN127" s="3"/>
      <c r="RLO127" s="3"/>
      <c r="RLP127" s="3"/>
      <c r="RLQ127" s="3"/>
      <c r="RLR127" s="3"/>
      <c r="RLS127" s="3"/>
      <c r="RLT127" s="3"/>
      <c r="RLU127" s="3"/>
      <c r="RLV127" s="3"/>
      <c r="RLW127" s="3"/>
      <c r="RLX127" s="3"/>
      <c r="RLY127" s="3"/>
      <c r="RLZ127" s="3"/>
      <c r="RMA127" s="3"/>
      <c r="RMB127" s="3"/>
      <c r="RMC127" s="3"/>
      <c r="RMD127" s="3"/>
      <c r="RME127" s="3"/>
      <c r="RMF127" s="3"/>
      <c r="RMG127" s="3"/>
      <c r="RMH127" s="3"/>
      <c r="RMI127" s="3"/>
      <c r="RMJ127" s="3"/>
      <c r="RMK127" s="3"/>
      <c r="RML127" s="3"/>
      <c r="RMM127" s="3"/>
      <c r="RMN127" s="3"/>
      <c r="RMO127" s="3"/>
      <c r="RMP127" s="3"/>
      <c r="RMQ127" s="3"/>
      <c r="RMR127" s="3"/>
      <c r="RMS127" s="3"/>
      <c r="RMT127" s="3"/>
      <c r="RMU127" s="3"/>
      <c r="RMV127" s="3"/>
      <c r="RMW127" s="3"/>
      <c r="RMX127" s="3"/>
      <c r="RMY127" s="3"/>
      <c r="RMZ127" s="3"/>
      <c r="RNA127" s="3"/>
      <c r="RNB127" s="3"/>
      <c r="RNC127" s="3"/>
      <c r="RND127" s="3"/>
      <c r="RNE127" s="3"/>
      <c r="RNF127" s="3"/>
      <c r="RNG127" s="3"/>
      <c r="RNH127" s="3"/>
      <c r="RNI127" s="3"/>
      <c r="RNJ127" s="3"/>
      <c r="RNK127" s="3"/>
      <c r="RNL127" s="3"/>
      <c r="RNM127" s="3"/>
      <c r="RNN127" s="3"/>
      <c r="RNO127" s="3"/>
      <c r="RNP127" s="3"/>
      <c r="RNQ127" s="3"/>
      <c r="RNR127" s="3"/>
      <c r="RNS127" s="3"/>
      <c r="RNT127" s="3"/>
      <c r="RNU127" s="3"/>
      <c r="RNV127" s="3"/>
      <c r="RNW127" s="3"/>
      <c r="RNX127" s="3"/>
      <c r="RNY127" s="3"/>
      <c r="RNZ127" s="3"/>
      <c r="ROA127" s="3"/>
      <c r="ROB127" s="3"/>
      <c r="ROC127" s="3"/>
      <c r="ROD127" s="3"/>
      <c r="ROE127" s="3"/>
      <c r="ROF127" s="3"/>
      <c r="ROG127" s="3"/>
      <c r="ROH127" s="3"/>
      <c r="ROI127" s="3"/>
      <c r="ROJ127" s="3"/>
      <c r="ROK127" s="3"/>
      <c r="ROL127" s="3"/>
      <c r="ROM127" s="3"/>
      <c r="RON127" s="3"/>
      <c r="ROO127" s="3"/>
      <c r="ROP127" s="3"/>
      <c r="ROQ127" s="3"/>
      <c r="ROR127" s="3"/>
      <c r="ROS127" s="3"/>
      <c r="ROT127" s="3"/>
      <c r="ROU127" s="3"/>
      <c r="ROV127" s="3"/>
      <c r="ROW127" s="3"/>
      <c r="ROX127" s="3"/>
      <c r="ROY127" s="3"/>
      <c r="ROZ127" s="3"/>
      <c r="RPA127" s="3"/>
      <c r="RPB127" s="3"/>
      <c r="RPC127" s="3"/>
      <c r="RPD127" s="3"/>
      <c r="RPE127" s="3"/>
      <c r="RPF127" s="3"/>
      <c r="RPG127" s="3"/>
      <c r="RPH127" s="3"/>
      <c r="RPI127" s="3"/>
      <c r="RPJ127" s="3"/>
      <c r="RPK127" s="3"/>
      <c r="RPL127" s="3"/>
      <c r="RPM127" s="3"/>
      <c r="RPN127" s="3"/>
      <c r="RPO127" s="3"/>
      <c r="RPP127" s="3"/>
      <c r="RPQ127" s="3"/>
      <c r="RPR127" s="3"/>
      <c r="RPS127" s="3"/>
      <c r="RPT127" s="3"/>
      <c r="RPU127" s="3"/>
      <c r="RPV127" s="3"/>
      <c r="RPW127" s="3"/>
      <c r="RPX127" s="3"/>
      <c r="RPY127" s="3"/>
      <c r="RPZ127" s="3"/>
      <c r="RQA127" s="3"/>
      <c r="RQB127" s="3"/>
      <c r="RQC127" s="3"/>
      <c r="RQD127" s="3"/>
      <c r="RQE127" s="3"/>
      <c r="RQF127" s="3"/>
      <c r="RQG127" s="3"/>
      <c r="RQH127" s="3"/>
      <c r="RQI127" s="3"/>
      <c r="RQJ127" s="3"/>
      <c r="RQK127" s="3"/>
      <c r="RQL127" s="3"/>
      <c r="RQM127" s="3"/>
      <c r="RQN127" s="3"/>
      <c r="RQO127" s="3"/>
      <c r="RQP127" s="3"/>
      <c r="RQQ127" s="3"/>
      <c r="RQR127" s="3"/>
      <c r="RQS127" s="3"/>
      <c r="RQT127" s="3"/>
      <c r="RQU127" s="3"/>
      <c r="RQV127" s="3"/>
      <c r="RQW127" s="3"/>
      <c r="RQX127" s="3"/>
      <c r="RQY127" s="3"/>
      <c r="RQZ127" s="3"/>
      <c r="RRA127" s="3"/>
      <c r="RRB127" s="3"/>
      <c r="RRC127" s="3"/>
      <c r="RRD127" s="3"/>
      <c r="RRE127" s="3"/>
      <c r="RRF127" s="3"/>
      <c r="RRG127" s="3"/>
      <c r="RRH127" s="3"/>
      <c r="RRI127" s="3"/>
      <c r="RRJ127" s="3"/>
      <c r="RRK127" s="3"/>
      <c r="RRL127" s="3"/>
      <c r="RRM127" s="3"/>
      <c r="RRN127" s="3"/>
      <c r="RRO127" s="3"/>
      <c r="RRP127" s="3"/>
      <c r="RRQ127" s="3"/>
      <c r="RRR127" s="3"/>
      <c r="RRS127" s="3"/>
      <c r="RRT127" s="3"/>
      <c r="RRU127" s="3"/>
      <c r="RRV127" s="3"/>
      <c r="RRW127" s="3"/>
      <c r="RRX127" s="3"/>
      <c r="RRY127" s="3"/>
      <c r="RRZ127" s="3"/>
      <c r="RSA127" s="3"/>
      <c r="RSB127" s="3"/>
      <c r="RSC127" s="3"/>
      <c r="RSD127" s="3"/>
      <c r="RSE127" s="3"/>
      <c r="RSF127" s="3"/>
      <c r="RSG127" s="3"/>
      <c r="RSH127" s="3"/>
      <c r="RSI127" s="3"/>
      <c r="RSJ127" s="3"/>
      <c r="RSK127" s="3"/>
      <c r="RSL127" s="3"/>
      <c r="RSM127" s="3"/>
      <c r="RSN127" s="3"/>
      <c r="RSO127" s="3"/>
      <c r="RSP127" s="3"/>
      <c r="RSQ127" s="3"/>
      <c r="RSR127" s="3"/>
      <c r="RSS127" s="3"/>
      <c r="RST127" s="3"/>
      <c r="RSU127" s="3"/>
      <c r="RSV127" s="3"/>
      <c r="RSW127" s="3"/>
      <c r="RSX127" s="3"/>
      <c r="RSY127" s="3"/>
      <c r="RSZ127" s="3"/>
      <c r="RTA127" s="3"/>
      <c r="RTB127" s="3"/>
      <c r="RTC127" s="3"/>
      <c r="RTD127" s="3"/>
      <c r="RTE127" s="3"/>
      <c r="RTF127" s="3"/>
      <c r="RTG127" s="3"/>
      <c r="RTH127" s="3"/>
      <c r="RTI127" s="3"/>
      <c r="RTJ127" s="3"/>
      <c r="RTK127" s="3"/>
      <c r="RTL127" s="3"/>
      <c r="RTM127" s="3"/>
      <c r="RTN127" s="3"/>
      <c r="RTO127" s="3"/>
      <c r="RTP127" s="3"/>
      <c r="RTQ127" s="3"/>
      <c r="RTR127" s="3"/>
      <c r="RTS127" s="3"/>
      <c r="RTT127" s="3"/>
      <c r="RTU127" s="3"/>
      <c r="RTV127" s="3"/>
      <c r="RTW127" s="3"/>
      <c r="RTX127" s="3"/>
      <c r="RTY127" s="3"/>
      <c r="RTZ127" s="3"/>
      <c r="RUA127" s="3"/>
      <c r="RUB127" s="3"/>
      <c r="RUC127" s="3"/>
      <c r="RUD127" s="3"/>
      <c r="RUE127" s="3"/>
      <c r="RUF127" s="3"/>
      <c r="RUG127" s="3"/>
      <c r="RUH127" s="3"/>
      <c r="RUI127" s="3"/>
      <c r="RUJ127" s="3"/>
      <c r="RUK127" s="3"/>
      <c r="RUL127" s="3"/>
      <c r="RUM127" s="3"/>
      <c r="RUN127" s="3"/>
      <c r="RUO127" s="3"/>
      <c r="RUP127" s="3"/>
      <c r="RUQ127" s="3"/>
      <c r="RUR127" s="3"/>
      <c r="RUS127" s="3"/>
      <c r="RUT127" s="3"/>
      <c r="RUU127" s="3"/>
      <c r="RUV127" s="3"/>
      <c r="RUW127" s="3"/>
      <c r="RUX127" s="3"/>
      <c r="RUY127" s="3"/>
      <c r="RUZ127" s="3"/>
      <c r="RVA127" s="3"/>
      <c r="RVB127" s="3"/>
      <c r="RVC127" s="3"/>
      <c r="RVD127" s="3"/>
      <c r="RVE127" s="3"/>
      <c r="RVF127" s="3"/>
      <c r="RVG127" s="3"/>
      <c r="RVH127" s="3"/>
      <c r="RVI127" s="3"/>
      <c r="RVJ127" s="3"/>
      <c r="RVK127" s="3"/>
      <c r="RVL127" s="3"/>
      <c r="RVM127" s="3"/>
      <c r="RVN127" s="3"/>
      <c r="RVO127" s="3"/>
      <c r="RVP127" s="3"/>
      <c r="RVQ127" s="3"/>
      <c r="RVR127" s="3"/>
      <c r="RVS127" s="3"/>
      <c r="RVT127" s="3"/>
      <c r="RVU127" s="3"/>
      <c r="RVV127" s="3"/>
      <c r="RVW127" s="3"/>
      <c r="RVX127" s="3"/>
      <c r="RVY127" s="3"/>
      <c r="RVZ127" s="3"/>
      <c r="RWA127" s="3"/>
      <c r="RWB127" s="3"/>
      <c r="RWC127" s="3"/>
      <c r="RWD127" s="3"/>
      <c r="RWE127" s="3"/>
      <c r="RWF127" s="3"/>
      <c r="RWG127" s="3"/>
      <c r="RWH127" s="3"/>
      <c r="RWI127" s="3"/>
      <c r="RWJ127" s="3"/>
      <c r="RWK127" s="3"/>
      <c r="RWL127" s="3"/>
      <c r="RWM127" s="3"/>
      <c r="RWN127" s="3"/>
      <c r="RWO127" s="3"/>
      <c r="RWP127" s="3"/>
      <c r="RWQ127" s="3"/>
      <c r="RWR127" s="3"/>
      <c r="RWS127" s="3"/>
      <c r="RWT127" s="3"/>
      <c r="RWU127" s="3"/>
      <c r="RWV127" s="3"/>
      <c r="RWW127" s="3"/>
      <c r="RWX127" s="3"/>
      <c r="RWY127" s="3"/>
      <c r="RWZ127" s="3"/>
      <c r="RXA127" s="3"/>
      <c r="RXB127" s="3"/>
      <c r="RXC127" s="3"/>
      <c r="RXD127" s="3"/>
      <c r="RXE127" s="3"/>
      <c r="RXF127" s="3"/>
      <c r="RXG127" s="3"/>
      <c r="RXH127" s="3"/>
      <c r="RXI127" s="3"/>
      <c r="RXJ127" s="3"/>
      <c r="RXK127" s="3"/>
      <c r="RXL127" s="3"/>
      <c r="RXM127" s="3"/>
      <c r="RXN127" s="3"/>
      <c r="RXO127" s="3"/>
      <c r="RXP127" s="3"/>
      <c r="RXQ127" s="3"/>
      <c r="RXR127" s="3"/>
      <c r="RXS127" s="3"/>
      <c r="RXT127" s="3"/>
      <c r="RXU127" s="3"/>
      <c r="RXV127" s="3"/>
      <c r="RXW127" s="3"/>
      <c r="RXX127" s="3"/>
      <c r="RXY127" s="3"/>
      <c r="RXZ127" s="3"/>
      <c r="RYA127" s="3"/>
      <c r="RYB127" s="3"/>
      <c r="RYC127" s="3"/>
      <c r="RYD127" s="3"/>
      <c r="RYE127" s="3"/>
      <c r="RYF127" s="3"/>
      <c r="RYG127" s="3"/>
      <c r="RYH127" s="3"/>
      <c r="RYI127" s="3"/>
      <c r="RYJ127" s="3"/>
      <c r="RYK127" s="3"/>
      <c r="RYL127" s="3"/>
      <c r="RYM127" s="3"/>
      <c r="RYN127" s="3"/>
      <c r="RYO127" s="3"/>
      <c r="RYP127" s="3"/>
      <c r="RYQ127" s="3"/>
      <c r="RYR127" s="3"/>
      <c r="RYS127" s="3"/>
      <c r="RYT127" s="3"/>
      <c r="RYU127" s="3"/>
      <c r="RYV127" s="3"/>
      <c r="RYW127" s="3"/>
      <c r="RYX127" s="3"/>
      <c r="RYY127" s="3"/>
      <c r="RYZ127" s="3"/>
      <c r="RZA127" s="3"/>
      <c r="RZB127" s="3"/>
      <c r="RZC127" s="3"/>
      <c r="RZD127" s="3"/>
      <c r="RZE127" s="3"/>
      <c r="RZF127" s="3"/>
      <c r="RZG127" s="3"/>
      <c r="RZH127" s="3"/>
      <c r="RZI127" s="3"/>
      <c r="RZJ127" s="3"/>
      <c r="RZK127" s="3"/>
      <c r="RZL127" s="3"/>
      <c r="RZM127" s="3"/>
      <c r="RZN127" s="3"/>
      <c r="RZO127" s="3"/>
      <c r="RZP127" s="3"/>
      <c r="RZQ127" s="3"/>
      <c r="RZR127" s="3"/>
      <c r="RZS127" s="3"/>
      <c r="RZT127" s="3"/>
      <c r="RZU127" s="3"/>
      <c r="RZV127" s="3"/>
      <c r="RZW127" s="3"/>
      <c r="RZX127" s="3"/>
      <c r="RZY127" s="3"/>
      <c r="RZZ127" s="3"/>
      <c r="SAA127" s="3"/>
      <c r="SAB127" s="3"/>
      <c r="SAC127" s="3"/>
      <c r="SAD127" s="3"/>
      <c r="SAE127" s="3"/>
      <c r="SAF127" s="3"/>
      <c r="SAG127" s="3"/>
      <c r="SAH127" s="3"/>
      <c r="SAI127" s="3"/>
      <c r="SAJ127" s="3"/>
      <c r="SAK127" s="3"/>
      <c r="SAL127" s="3"/>
      <c r="SAM127" s="3"/>
      <c r="SAN127" s="3"/>
      <c r="SAO127" s="3"/>
      <c r="SAP127" s="3"/>
      <c r="SAQ127" s="3"/>
      <c r="SAR127" s="3"/>
      <c r="SAS127" s="3"/>
      <c r="SAT127" s="3"/>
      <c r="SAU127" s="3"/>
      <c r="SAV127" s="3"/>
      <c r="SAW127" s="3"/>
      <c r="SAX127" s="3"/>
      <c r="SAY127" s="3"/>
      <c r="SAZ127" s="3"/>
      <c r="SBA127" s="3"/>
      <c r="SBB127" s="3"/>
      <c r="SBC127" s="3"/>
      <c r="SBD127" s="3"/>
      <c r="SBE127" s="3"/>
      <c r="SBF127" s="3"/>
      <c r="SBG127" s="3"/>
      <c r="SBH127" s="3"/>
      <c r="SBI127" s="3"/>
      <c r="SBJ127" s="3"/>
      <c r="SBK127" s="3"/>
      <c r="SBL127" s="3"/>
      <c r="SBM127" s="3"/>
      <c r="SBN127" s="3"/>
      <c r="SBO127" s="3"/>
      <c r="SBP127" s="3"/>
      <c r="SBQ127" s="3"/>
      <c r="SBR127" s="3"/>
      <c r="SBS127" s="3"/>
      <c r="SBT127" s="3"/>
      <c r="SBU127" s="3"/>
      <c r="SBV127" s="3"/>
      <c r="SBW127" s="3"/>
      <c r="SBX127" s="3"/>
      <c r="SBY127" s="3"/>
      <c r="SBZ127" s="3"/>
      <c r="SCA127" s="3"/>
      <c r="SCB127" s="3"/>
      <c r="SCC127" s="3"/>
      <c r="SCD127" s="3"/>
      <c r="SCE127" s="3"/>
      <c r="SCF127" s="3"/>
      <c r="SCG127" s="3"/>
      <c r="SCH127" s="3"/>
      <c r="SCI127" s="3"/>
      <c r="SCJ127" s="3"/>
      <c r="SCK127" s="3"/>
      <c r="SCL127" s="3"/>
      <c r="SCM127" s="3"/>
      <c r="SCN127" s="3"/>
      <c r="SCO127" s="3"/>
      <c r="SCP127" s="3"/>
      <c r="SCQ127" s="3"/>
      <c r="SCR127" s="3"/>
      <c r="SCS127" s="3"/>
      <c r="SCT127" s="3"/>
      <c r="SCU127" s="3"/>
      <c r="SCV127" s="3"/>
      <c r="SCW127" s="3"/>
      <c r="SCX127" s="3"/>
      <c r="SCY127" s="3"/>
      <c r="SCZ127" s="3"/>
      <c r="SDA127" s="3"/>
      <c r="SDB127" s="3"/>
      <c r="SDC127" s="3"/>
      <c r="SDD127" s="3"/>
      <c r="SDE127" s="3"/>
      <c r="SDF127" s="3"/>
      <c r="SDG127" s="3"/>
      <c r="SDH127" s="3"/>
      <c r="SDI127" s="3"/>
      <c r="SDJ127" s="3"/>
      <c r="SDK127" s="3"/>
      <c r="SDL127" s="3"/>
      <c r="SDM127" s="3"/>
      <c r="SDN127" s="3"/>
      <c r="SDO127" s="3"/>
      <c r="SDP127" s="3"/>
      <c r="SDQ127" s="3"/>
      <c r="SDR127" s="3"/>
      <c r="SDS127" s="3"/>
      <c r="SDT127" s="3"/>
      <c r="SDU127" s="3"/>
      <c r="SDV127" s="3"/>
      <c r="SDW127" s="3"/>
      <c r="SDX127" s="3"/>
      <c r="SDY127" s="3"/>
      <c r="SDZ127" s="3"/>
      <c r="SEA127" s="3"/>
      <c r="SEB127" s="3"/>
      <c r="SEC127" s="3"/>
      <c r="SED127" s="3"/>
      <c r="SEE127" s="3"/>
      <c r="SEF127" s="3"/>
      <c r="SEG127" s="3"/>
      <c r="SEH127" s="3"/>
      <c r="SEI127" s="3"/>
      <c r="SEJ127" s="3"/>
      <c r="SEK127" s="3"/>
      <c r="SEL127" s="3"/>
      <c r="SEM127" s="3"/>
      <c r="SEN127" s="3"/>
      <c r="SEO127" s="3"/>
      <c r="SEP127" s="3"/>
      <c r="SEQ127" s="3"/>
      <c r="SER127" s="3"/>
      <c r="SES127" s="3"/>
      <c r="SET127" s="3"/>
      <c r="SEU127" s="3"/>
      <c r="SEV127" s="3"/>
      <c r="SEW127" s="3"/>
      <c r="SEX127" s="3"/>
      <c r="SEY127" s="3"/>
      <c r="SEZ127" s="3"/>
      <c r="SFA127" s="3"/>
      <c r="SFB127" s="3"/>
      <c r="SFC127" s="3"/>
      <c r="SFD127" s="3"/>
      <c r="SFE127" s="3"/>
      <c r="SFF127" s="3"/>
      <c r="SFG127" s="3"/>
      <c r="SFH127" s="3"/>
      <c r="SFI127" s="3"/>
      <c r="SFJ127" s="3"/>
      <c r="SFK127" s="3"/>
      <c r="SFL127" s="3"/>
      <c r="SFM127" s="3"/>
      <c r="SFN127" s="3"/>
      <c r="SFO127" s="3"/>
      <c r="SFP127" s="3"/>
      <c r="SFQ127" s="3"/>
      <c r="SFR127" s="3"/>
      <c r="SFS127" s="3"/>
      <c r="SFT127" s="3"/>
      <c r="SFU127" s="3"/>
      <c r="SFV127" s="3"/>
      <c r="SFW127" s="3"/>
      <c r="SFX127" s="3"/>
      <c r="SFY127" s="3"/>
      <c r="SFZ127" s="3"/>
      <c r="SGA127" s="3"/>
      <c r="SGB127" s="3"/>
      <c r="SGC127" s="3"/>
      <c r="SGD127" s="3"/>
      <c r="SGE127" s="3"/>
      <c r="SGF127" s="3"/>
      <c r="SGG127" s="3"/>
      <c r="SGH127" s="3"/>
      <c r="SGI127" s="3"/>
      <c r="SGJ127" s="3"/>
      <c r="SGK127" s="3"/>
      <c r="SGL127" s="3"/>
      <c r="SGM127" s="3"/>
      <c r="SGN127" s="3"/>
      <c r="SGO127" s="3"/>
      <c r="SGP127" s="3"/>
      <c r="SGQ127" s="3"/>
      <c r="SGR127" s="3"/>
      <c r="SGS127" s="3"/>
      <c r="SGT127" s="3"/>
      <c r="SGU127" s="3"/>
      <c r="SGV127" s="3"/>
      <c r="SGW127" s="3"/>
      <c r="SGX127" s="3"/>
      <c r="SGY127" s="3"/>
      <c r="SGZ127" s="3"/>
      <c r="SHA127" s="3"/>
      <c r="SHB127" s="3"/>
      <c r="SHC127" s="3"/>
      <c r="SHD127" s="3"/>
      <c r="SHE127" s="3"/>
      <c r="SHF127" s="3"/>
      <c r="SHG127" s="3"/>
      <c r="SHH127" s="3"/>
      <c r="SHI127" s="3"/>
      <c r="SHJ127" s="3"/>
      <c r="SHK127" s="3"/>
      <c r="SHL127" s="3"/>
      <c r="SHM127" s="3"/>
      <c r="SHN127" s="3"/>
      <c r="SHO127" s="3"/>
      <c r="SHP127" s="3"/>
      <c r="SHQ127" s="3"/>
      <c r="SHR127" s="3"/>
      <c r="SHS127" s="3"/>
      <c r="SHT127" s="3"/>
      <c r="SHU127" s="3"/>
      <c r="SHV127" s="3"/>
      <c r="SHW127" s="3"/>
      <c r="SHX127" s="3"/>
      <c r="SHY127" s="3"/>
      <c r="SHZ127" s="3"/>
      <c r="SIA127" s="3"/>
      <c r="SIB127" s="3"/>
      <c r="SIC127" s="3"/>
      <c r="SID127" s="3"/>
      <c r="SIE127" s="3"/>
      <c r="SIF127" s="3"/>
      <c r="SIG127" s="3"/>
      <c r="SIH127" s="3"/>
      <c r="SII127" s="3"/>
      <c r="SIJ127" s="3"/>
      <c r="SIK127" s="3"/>
      <c r="SIL127" s="3"/>
      <c r="SIM127" s="3"/>
      <c r="SIN127" s="3"/>
      <c r="SIO127" s="3"/>
      <c r="SIP127" s="3"/>
      <c r="SIQ127" s="3"/>
      <c r="SIR127" s="3"/>
      <c r="SIS127" s="3"/>
      <c r="SIT127" s="3"/>
      <c r="SIU127" s="3"/>
      <c r="SIV127" s="3"/>
      <c r="SIW127" s="3"/>
      <c r="SIX127" s="3"/>
      <c r="SIY127" s="3"/>
      <c r="SIZ127" s="3"/>
      <c r="SJA127" s="3"/>
      <c r="SJB127" s="3"/>
      <c r="SJC127" s="3"/>
      <c r="SJD127" s="3"/>
      <c r="SJE127" s="3"/>
      <c r="SJF127" s="3"/>
      <c r="SJG127" s="3"/>
      <c r="SJH127" s="3"/>
      <c r="SJI127" s="3"/>
      <c r="SJJ127" s="3"/>
      <c r="SJK127" s="3"/>
      <c r="SJL127" s="3"/>
      <c r="SJM127" s="3"/>
      <c r="SJN127" s="3"/>
      <c r="SJO127" s="3"/>
      <c r="SJP127" s="3"/>
      <c r="SJQ127" s="3"/>
      <c r="SJR127" s="3"/>
      <c r="SJS127" s="3"/>
      <c r="SJT127" s="3"/>
      <c r="SJU127" s="3"/>
      <c r="SJV127" s="3"/>
      <c r="SJW127" s="3"/>
      <c r="SJX127" s="3"/>
      <c r="SJY127" s="3"/>
      <c r="SJZ127" s="3"/>
      <c r="SKA127" s="3"/>
      <c r="SKB127" s="3"/>
      <c r="SKC127" s="3"/>
      <c r="SKD127" s="3"/>
      <c r="SKE127" s="3"/>
      <c r="SKF127" s="3"/>
      <c r="SKG127" s="3"/>
      <c r="SKH127" s="3"/>
      <c r="SKI127" s="3"/>
      <c r="SKJ127" s="3"/>
      <c r="SKK127" s="3"/>
      <c r="SKL127" s="3"/>
      <c r="SKM127" s="3"/>
      <c r="SKN127" s="3"/>
      <c r="SKO127" s="3"/>
      <c r="SKP127" s="3"/>
      <c r="SKQ127" s="3"/>
      <c r="SKR127" s="3"/>
      <c r="SKS127" s="3"/>
      <c r="SKT127" s="3"/>
      <c r="SKU127" s="3"/>
      <c r="SKV127" s="3"/>
      <c r="SKW127" s="3"/>
      <c r="SKX127" s="3"/>
      <c r="SKY127" s="3"/>
      <c r="SKZ127" s="3"/>
      <c r="SLA127" s="3"/>
      <c r="SLB127" s="3"/>
      <c r="SLC127" s="3"/>
      <c r="SLD127" s="3"/>
      <c r="SLE127" s="3"/>
      <c r="SLF127" s="3"/>
      <c r="SLG127" s="3"/>
      <c r="SLH127" s="3"/>
      <c r="SLI127" s="3"/>
      <c r="SLJ127" s="3"/>
      <c r="SLK127" s="3"/>
      <c r="SLL127" s="3"/>
      <c r="SLM127" s="3"/>
      <c r="SLN127" s="3"/>
      <c r="SLO127" s="3"/>
      <c r="SLP127" s="3"/>
      <c r="SLQ127" s="3"/>
      <c r="SLR127" s="3"/>
      <c r="SLS127" s="3"/>
      <c r="SLT127" s="3"/>
      <c r="SLU127" s="3"/>
      <c r="SLV127" s="3"/>
      <c r="SLW127" s="3"/>
      <c r="SLX127" s="3"/>
      <c r="SLY127" s="3"/>
      <c r="SLZ127" s="3"/>
      <c r="SMA127" s="3"/>
      <c r="SMB127" s="3"/>
      <c r="SMC127" s="3"/>
      <c r="SMD127" s="3"/>
      <c r="SME127" s="3"/>
      <c r="SMF127" s="3"/>
      <c r="SMG127" s="3"/>
      <c r="SMH127" s="3"/>
      <c r="SMI127" s="3"/>
      <c r="SMJ127" s="3"/>
      <c r="SMK127" s="3"/>
      <c r="SML127" s="3"/>
      <c r="SMM127" s="3"/>
      <c r="SMN127" s="3"/>
      <c r="SMO127" s="3"/>
      <c r="SMP127" s="3"/>
      <c r="SMQ127" s="3"/>
      <c r="SMR127" s="3"/>
      <c r="SMS127" s="3"/>
      <c r="SMT127" s="3"/>
      <c r="SMU127" s="3"/>
      <c r="SMV127" s="3"/>
      <c r="SMW127" s="3"/>
      <c r="SMX127" s="3"/>
      <c r="SMY127" s="3"/>
      <c r="SMZ127" s="3"/>
      <c r="SNA127" s="3"/>
      <c r="SNB127" s="3"/>
      <c r="SNC127" s="3"/>
      <c r="SND127" s="3"/>
      <c r="SNE127" s="3"/>
      <c r="SNF127" s="3"/>
      <c r="SNG127" s="3"/>
      <c r="SNH127" s="3"/>
      <c r="SNI127" s="3"/>
      <c r="SNJ127" s="3"/>
      <c r="SNK127" s="3"/>
      <c r="SNL127" s="3"/>
      <c r="SNM127" s="3"/>
      <c r="SNN127" s="3"/>
      <c r="SNO127" s="3"/>
      <c r="SNP127" s="3"/>
      <c r="SNQ127" s="3"/>
      <c r="SNR127" s="3"/>
      <c r="SNS127" s="3"/>
      <c r="SNT127" s="3"/>
      <c r="SNU127" s="3"/>
      <c r="SNV127" s="3"/>
      <c r="SNW127" s="3"/>
      <c r="SNX127" s="3"/>
      <c r="SNY127" s="3"/>
      <c r="SNZ127" s="3"/>
      <c r="SOA127" s="3"/>
      <c r="SOB127" s="3"/>
      <c r="SOC127" s="3"/>
      <c r="SOD127" s="3"/>
      <c r="SOE127" s="3"/>
      <c r="SOF127" s="3"/>
      <c r="SOG127" s="3"/>
      <c r="SOH127" s="3"/>
      <c r="SOI127" s="3"/>
      <c r="SOJ127" s="3"/>
      <c r="SOK127" s="3"/>
      <c r="SOL127" s="3"/>
      <c r="SOM127" s="3"/>
      <c r="SON127" s="3"/>
      <c r="SOO127" s="3"/>
      <c r="SOP127" s="3"/>
      <c r="SOQ127" s="3"/>
      <c r="SOR127" s="3"/>
      <c r="SOS127" s="3"/>
      <c r="SOT127" s="3"/>
      <c r="SOU127" s="3"/>
      <c r="SOV127" s="3"/>
      <c r="SOW127" s="3"/>
      <c r="SOX127" s="3"/>
      <c r="SOY127" s="3"/>
      <c r="SOZ127" s="3"/>
      <c r="SPA127" s="3"/>
      <c r="SPB127" s="3"/>
      <c r="SPC127" s="3"/>
      <c r="SPD127" s="3"/>
      <c r="SPE127" s="3"/>
      <c r="SPF127" s="3"/>
      <c r="SPG127" s="3"/>
      <c r="SPH127" s="3"/>
      <c r="SPI127" s="3"/>
      <c r="SPJ127" s="3"/>
      <c r="SPK127" s="3"/>
      <c r="SPL127" s="3"/>
      <c r="SPM127" s="3"/>
      <c r="SPN127" s="3"/>
      <c r="SPO127" s="3"/>
      <c r="SPP127" s="3"/>
      <c r="SPQ127" s="3"/>
      <c r="SPR127" s="3"/>
      <c r="SPS127" s="3"/>
      <c r="SPT127" s="3"/>
      <c r="SPU127" s="3"/>
      <c r="SPV127" s="3"/>
      <c r="SPW127" s="3"/>
      <c r="SPX127" s="3"/>
      <c r="SPY127" s="3"/>
      <c r="SPZ127" s="3"/>
      <c r="SQA127" s="3"/>
      <c r="SQB127" s="3"/>
      <c r="SQC127" s="3"/>
      <c r="SQD127" s="3"/>
      <c r="SQE127" s="3"/>
      <c r="SQF127" s="3"/>
      <c r="SQG127" s="3"/>
      <c r="SQH127" s="3"/>
      <c r="SQI127" s="3"/>
      <c r="SQJ127" s="3"/>
      <c r="SQK127" s="3"/>
      <c r="SQL127" s="3"/>
      <c r="SQM127" s="3"/>
      <c r="SQN127" s="3"/>
      <c r="SQO127" s="3"/>
      <c r="SQP127" s="3"/>
      <c r="SQQ127" s="3"/>
      <c r="SQR127" s="3"/>
      <c r="SQS127" s="3"/>
      <c r="SQT127" s="3"/>
      <c r="SQU127" s="3"/>
      <c r="SQV127" s="3"/>
      <c r="SQW127" s="3"/>
      <c r="SQX127" s="3"/>
      <c r="SQY127" s="3"/>
      <c r="SQZ127" s="3"/>
      <c r="SRA127" s="3"/>
      <c r="SRB127" s="3"/>
      <c r="SRC127" s="3"/>
      <c r="SRD127" s="3"/>
      <c r="SRE127" s="3"/>
      <c r="SRF127" s="3"/>
      <c r="SRG127" s="3"/>
      <c r="SRH127" s="3"/>
      <c r="SRI127" s="3"/>
      <c r="SRJ127" s="3"/>
      <c r="SRK127" s="3"/>
      <c r="SRL127" s="3"/>
      <c r="SRM127" s="3"/>
      <c r="SRN127" s="3"/>
      <c r="SRO127" s="3"/>
      <c r="SRP127" s="3"/>
      <c r="SRQ127" s="3"/>
      <c r="SRR127" s="3"/>
      <c r="SRS127" s="3"/>
      <c r="SRT127" s="3"/>
      <c r="SRU127" s="3"/>
      <c r="SRV127" s="3"/>
      <c r="SRW127" s="3"/>
      <c r="SRX127" s="3"/>
      <c r="SRY127" s="3"/>
      <c r="SRZ127" s="3"/>
      <c r="SSA127" s="3"/>
      <c r="SSB127" s="3"/>
      <c r="SSC127" s="3"/>
      <c r="SSD127" s="3"/>
      <c r="SSE127" s="3"/>
      <c r="SSF127" s="3"/>
      <c r="SSG127" s="3"/>
      <c r="SSH127" s="3"/>
      <c r="SSI127" s="3"/>
      <c r="SSJ127" s="3"/>
      <c r="SSK127" s="3"/>
      <c r="SSL127" s="3"/>
      <c r="SSM127" s="3"/>
      <c r="SSN127" s="3"/>
      <c r="SSO127" s="3"/>
      <c r="SSP127" s="3"/>
      <c r="SSQ127" s="3"/>
      <c r="SSR127" s="3"/>
      <c r="SSS127" s="3"/>
      <c r="SST127" s="3"/>
      <c r="SSU127" s="3"/>
      <c r="SSV127" s="3"/>
      <c r="SSW127" s="3"/>
      <c r="SSX127" s="3"/>
      <c r="SSY127" s="3"/>
      <c r="SSZ127" s="3"/>
      <c r="STA127" s="3"/>
      <c r="STB127" s="3"/>
      <c r="STC127" s="3"/>
      <c r="STD127" s="3"/>
      <c r="STE127" s="3"/>
      <c r="STF127" s="3"/>
      <c r="STG127" s="3"/>
      <c r="STH127" s="3"/>
      <c r="STI127" s="3"/>
      <c r="STJ127" s="3"/>
      <c r="STK127" s="3"/>
      <c r="STL127" s="3"/>
      <c r="STM127" s="3"/>
      <c r="STN127" s="3"/>
      <c r="STO127" s="3"/>
      <c r="STP127" s="3"/>
      <c r="STQ127" s="3"/>
      <c r="STR127" s="3"/>
      <c r="STS127" s="3"/>
      <c r="STT127" s="3"/>
      <c r="STU127" s="3"/>
      <c r="STV127" s="3"/>
      <c r="STW127" s="3"/>
      <c r="STX127" s="3"/>
      <c r="STY127" s="3"/>
      <c r="STZ127" s="3"/>
      <c r="SUA127" s="3"/>
      <c r="SUB127" s="3"/>
      <c r="SUC127" s="3"/>
      <c r="SUD127" s="3"/>
      <c r="SUE127" s="3"/>
      <c r="SUF127" s="3"/>
      <c r="SUG127" s="3"/>
      <c r="SUH127" s="3"/>
      <c r="SUI127" s="3"/>
      <c r="SUJ127" s="3"/>
      <c r="SUK127" s="3"/>
      <c r="SUL127" s="3"/>
      <c r="SUM127" s="3"/>
      <c r="SUN127" s="3"/>
      <c r="SUO127" s="3"/>
      <c r="SUP127" s="3"/>
      <c r="SUQ127" s="3"/>
      <c r="SUR127" s="3"/>
      <c r="SUS127" s="3"/>
      <c r="SUT127" s="3"/>
      <c r="SUU127" s="3"/>
      <c r="SUV127" s="3"/>
      <c r="SUW127" s="3"/>
      <c r="SUX127" s="3"/>
      <c r="SUY127" s="3"/>
      <c r="SUZ127" s="3"/>
      <c r="SVA127" s="3"/>
      <c r="SVB127" s="3"/>
      <c r="SVC127" s="3"/>
      <c r="SVD127" s="3"/>
      <c r="SVE127" s="3"/>
      <c r="SVF127" s="3"/>
      <c r="SVG127" s="3"/>
      <c r="SVH127" s="3"/>
      <c r="SVI127" s="3"/>
      <c r="SVJ127" s="3"/>
      <c r="SVK127" s="3"/>
      <c r="SVL127" s="3"/>
      <c r="SVM127" s="3"/>
      <c r="SVN127" s="3"/>
      <c r="SVO127" s="3"/>
      <c r="SVP127" s="3"/>
      <c r="SVQ127" s="3"/>
      <c r="SVR127" s="3"/>
      <c r="SVS127" s="3"/>
      <c r="SVT127" s="3"/>
      <c r="SVU127" s="3"/>
      <c r="SVV127" s="3"/>
      <c r="SVW127" s="3"/>
      <c r="SVX127" s="3"/>
      <c r="SVY127" s="3"/>
      <c r="SVZ127" s="3"/>
      <c r="SWA127" s="3"/>
      <c r="SWB127" s="3"/>
      <c r="SWC127" s="3"/>
      <c r="SWD127" s="3"/>
      <c r="SWE127" s="3"/>
      <c r="SWF127" s="3"/>
      <c r="SWG127" s="3"/>
      <c r="SWH127" s="3"/>
      <c r="SWI127" s="3"/>
      <c r="SWJ127" s="3"/>
      <c r="SWK127" s="3"/>
      <c r="SWL127" s="3"/>
      <c r="SWM127" s="3"/>
      <c r="SWN127" s="3"/>
      <c r="SWO127" s="3"/>
      <c r="SWP127" s="3"/>
      <c r="SWQ127" s="3"/>
      <c r="SWR127" s="3"/>
      <c r="SWS127" s="3"/>
      <c r="SWT127" s="3"/>
      <c r="SWU127" s="3"/>
      <c r="SWV127" s="3"/>
      <c r="SWW127" s="3"/>
      <c r="SWX127" s="3"/>
      <c r="SWY127" s="3"/>
      <c r="SWZ127" s="3"/>
      <c r="SXA127" s="3"/>
      <c r="SXB127" s="3"/>
      <c r="SXC127" s="3"/>
      <c r="SXD127" s="3"/>
      <c r="SXE127" s="3"/>
      <c r="SXF127" s="3"/>
      <c r="SXG127" s="3"/>
      <c r="SXH127" s="3"/>
      <c r="SXI127" s="3"/>
      <c r="SXJ127" s="3"/>
      <c r="SXK127" s="3"/>
      <c r="SXL127" s="3"/>
      <c r="SXM127" s="3"/>
      <c r="SXN127" s="3"/>
      <c r="SXO127" s="3"/>
      <c r="SXP127" s="3"/>
      <c r="SXQ127" s="3"/>
      <c r="SXR127" s="3"/>
      <c r="SXS127" s="3"/>
      <c r="SXT127" s="3"/>
      <c r="SXU127" s="3"/>
      <c r="SXV127" s="3"/>
      <c r="SXW127" s="3"/>
      <c r="SXX127" s="3"/>
      <c r="SXY127" s="3"/>
      <c r="SXZ127" s="3"/>
      <c r="SYA127" s="3"/>
      <c r="SYB127" s="3"/>
      <c r="SYC127" s="3"/>
      <c r="SYD127" s="3"/>
      <c r="SYE127" s="3"/>
      <c r="SYF127" s="3"/>
      <c r="SYG127" s="3"/>
      <c r="SYH127" s="3"/>
      <c r="SYI127" s="3"/>
      <c r="SYJ127" s="3"/>
      <c r="SYK127" s="3"/>
      <c r="SYL127" s="3"/>
      <c r="SYM127" s="3"/>
      <c r="SYN127" s="3"/>
      <c r="SYO127" s="3"/>
      <c r="SYP127" s="3"/>
      <c r="SYQ127" s="3"/>
      <c r="SYR127" s="3"/>
      <c r="SYS127" s="3"/>
      <c r="SYT127" s="3"/>
      <c r="SYU127" s="3"/>
      <c r="SYV127" s="3"/>
      <c r="SYW127" s="3"/>
      <c r="SYX127" s="3"/>
      <c r="SYY127" s="3"/>
      <c r="SYZ127" s="3"/>
      <c r="SZA127" s="3"/>
      <c r="SZB127" s="3"/>
      <c r="SZC127" s="3"/>
      <c r="SZD127" s="3"/>
      <c r="SZE127" s="3"/>
      <c r="SZF127" s="3"/>
      <c r="SZG127" s="3"/>
      <c r="SZH127" s="3"/>
      <c r="SZI127" s="3"/>
      <c r="SZJ127" s="3"/>
      <c r="SZK127" s="3"/>
      <c r="SZL127" s="3"/>
      <c r="SZM127" s="3"/>
      <c r="SZN127" s="3"/>
      <c r="SZO127" s="3"/>
      <c r="SZP127" s="3"/>
      <c r="SZQ127" s="3"/>
      <c r="SZR127" s="3"/>
      <c r="SZS127" s="3"/>
      <c r="SZT127" s="3"/>
      <c r="SZU127" s="3"/>
      <c r="SZV127" s="3"/>
      <c r="SZW127" s="3"/>
      <c r="SZX127" s="3"/>
      <c r="SZY127" s="3"/>
      <c r="SZZ127" s="3"/>
      <c r="TAA127" s="3"/>
      <c r="TAB127" s="3"/>
      <c r="TAC127" s="3"/>
      <c r="TAD127" s="3"/>
      <c r="TAE127" s="3"/>
      <c r="TAF127" s="3"/>
      <c r="TAG127" s="3"/>
      <c r="TAH127" s="3"/>
      <c r="TAI127" s="3"/>
      <c r="TAJ127" s="3"/>
      <c r="TAK127" s="3"/>
      <c r="TAL127" s="3"/>
      <c r="TAM127" s="3"/>
      <c r="TAN127" s="3"/>
      <c r="TAO127" s="3"/>
      <c r="TAP127" s="3"/>
      <c r="TAQ127" s="3"/>
      <c r="TAR127" s="3"/>
      <c r="TAS127" s="3"/>
      <c r="TAT127" s="3"/>
      <c r="TAU127" s="3"/>
      <c r="TAV127" s="3"/>
      <c r="TAW127" s="3"/>
      <c r="TAX127" s="3"/>
      <c r="TAY127" s="3"/>
      <c r="TAZ127" s="3"/>
      <c r="TBA127" s="3"/>
      <c r="TBB127" s="3"/>
      <c r="TBC127" s="3"/>
      <c r="TBD127" s="3"/>
      <c r="TBE127" s="3"/>
      <c r="TBF127" s="3"/>
      <c r="TBG127" s="3"/>
      <c r="TBH127" s="3"/>
      <c r="TBI127" s="3"/>
      <c r="TBJ127" s="3"/>
      <c r="TBK127" s="3"/>
      <c r="TBL127" s="3"/>
      <c r="TBM127" s="3"/>
      <c r="TBN127" s="3"/>
      <c r="TBO127" s="3"/>
      <c r="TBP127" s="3"/>
      <c r="TBQ127" s="3"/>
      <c r="TBR127" s="3"/>
      <c r="TBS127" s="3"/>
      <c r="TBT127" s="3"/>
      <c r="TBU127" s="3"/>
      <c r="TBV127" s="3"/>
      <c r="TBW127" s="3"/>
      <c r="TBX127" s="3"/>
      <c r="TBY127" s="3"/>
      <c r="TBZ127" s="3"/>
      <c r="TCA127" s="3"/>
      <c r="TCB127" s="3"/>
      <c r="TCC127" s="3"/>
      <c r="TCD127" s="3"/>
      <c r="TCE127" s="3"/>
      <c r="TCF127" s="3"/>
      <c r="TCG127" s="3"/>
      <c r="TCH127" s="3"/>
      <c r="TCI127" s="3"/>
      <c r="TCJ127" s="3"/>
      <c r="TCK127" s="3"/>
      <c r="TCL127" s="3"/>
      <c r="TCM127" s="3"/>
      <c r="TCN127" s="3"/>
      <c r="TCO127" s="3"/>
      <c r="TCP127" s="3"/>
      <c r="TCQ127" s="3"/>
      <c r="TCR127" s="3"/>
      <c r="TCS127" s="3"/>
      <c r="TCT127" s="3"/>
      <c r="TCU127" s="3"/>
      <c r="TCV127" s="3"/>
      <c r="TCW127" s="3"/>
      <c r="TCX127" s="3"/>
      <c r="TCY127" s="3"/>
      <c r="TCZ127" s="3"/>
      <c r="TDA127" s="3"/>
      <c r="TDB127" s="3"/>
      <c r="TDC127" s="3"/>
      <c r="TDD127" s="3"/>
      <c r="TDE127" s="3"/>
      <c r="TDF127" s="3"/>
      <c r="TDG127" s="3"/>
      <c r="TDH127" s="3"/>
      <c r="TDI127" s="3"/>
      <c r="TDJ127" s="3"/>
      <c r="TDK127" s="3"/>
      <c r="TDL127" s="3"/>
      <c r="TDM127" s="3"/>
      <c r="TDN127" s="3"/>
      <c r="TDO127" s="3"/>
      <c r="TDP127" s="3"/>
      <c r="TDQ127" s="3"/>
      <c r="TDR127" s="3"/>
      <c r="TDS127" s="3"/>
      <c r="TDT127" s="3"/>
      <c r="TDU127" s="3"/>
      <c r="TDV127" s="3"/>
      <c r="TDW127" s="3"/>
      <c r="TDX127" s="3"/>
      <c r="TDY127" s="3"/>
      <c r="TDZ127" s="3"/>
      <c r="TEA127" s="3"/>
      <c r="TEB127" s="3"/>
      <c r="TEC127" s="3"/>
      <c r="TED127" s="3"/>
      <c r="TEE127" s="3"/>
      <c r="TEF127" s="3"/>
      <c r="TEG127" s="3"/>
      <c r="TEH127" s="3"/>
      <c r="TEI127" s="3"/>
      <c r="TEJ127" s="3"/>
      <c r="TEK127" s="3"/>
      <c r="TEL127" s="3"/>
      <c r="TEM127" s="3"/>
      <c r="TEN127" s="3"/>
      <c r="TEO127" s="3"/>
      <c r="TEP127" s="3"/>
      <c r="TEQ127" s="3"/>
      <c r="TER127" s="3"/>
      <c r="TES127" s="3"/>
      <c r="TET127" s="3"/>
      <c r="TEU127" s="3"/>
      <c r="TEV127" s="3"/>
      <c r="TEW127" s="3"/>
      <c r="TEX127" s="3"/>
      <c r="TEY127" s="3"/>
      <c r="TEZ127" s="3"/>
      <c r="TFA127" s="3"/>
      <c r="TFB127" s="3"/>
      <c r="TFC127" s="3"/>
      <c r="TFD127" s="3"/>
      <c r="TFE127" s="3"/>
      <c r="TFF127" s="3"/>
      <c r="TFG127" s="3"/>
      <c r="TFH127" s="3"/>
      <c r="TFI127" s="3"/>
      <c r="TFJ127" s="3"/>
      <c r="TFK127" s="3"/>
      <c r="TFL127" s="3"/>
      <c r="TFM127" s="3"/>
      <c r="TFN127" s="3"/>
      <c r="TFO127" s="3"/>
      <c r="TFP127" s="3"/>
      <c r="TFQ127" s="3"/>
      <c r="TFR127" s="3"/>
      <c r="TFS127" s="3"/>
      <c r="TFT127" s="3"/>
      <c r="TFU127" s="3"/>
      <c r="TFV127" s="3"/>
      <c r="TFW127" s="3"/>
      <c r="TFX127" s="3"/>
      <c r="TFY127" s="3"/>
      <c r="TFZ127" s="3"/>
      <c r="TGA127" s="3"/>
      <c r="TGB127" s="3"/>
      <c r="TGC127" s="3"/>
      <c r="TGD127" s="3"/>
      <c r="TGE127" s="3"/>
      <c r="TGF127" s="3"/>
      <c r="TGG127" s="3"/>
      <c r="TGH127" s="3"/>
      <c r="TGI127" s="3"/>
      <c r="TGJ127" s="3"/>
      <c r="TGK127" s="3"/>
      <c r="TGL127" s="3"/>
      <c r="TGM127" s="3"/>
      <c r="TGN127" s="3"/>
      <c r="TGO127" s="3"/>
      <c r="TGP127" s="3"/>
      <c r="TGQ127" s="3"/>
      <c r="TGR127" s="3"/>
      <c r="TGS127" s="3"/>
      <c r="TGT127" s="3"/>
      <c r="TGU127" s="3"/>
      <c r="TGV127" s="3"/>
      <c r="TGW127" s="3"/>
      <c r="TGX127" s="3"/>
      <c r="TGY127" s="3"/>
      <c r="TGZ127" s="3"/>
      <c r="THA127" s="3"/>
      <c r="THB127" s="3"/>
      <c r="THC127" s="3"/>
      <c r="THD127" s="3"/>
      <c r="THE127" s="3"/>
      <c r="THF127" s="3"/>
      <c r="THG127" s="3"/>
      <c r="THH127" s="3"/>
      <c r="THI127" s="3"/>
      <c r="THJ127" s="3"/>
      <c r="THK127" s="3"/>
      <c r="THL127" s="3"/>
      <c r="THM127" s="3"/>
      <c r="THN127" s="3"/>
      <c r="THO127" s="3"/>
      <c r="THP127" s="3"/>
      <c r="THQ127" s="3"/>
      <c r="THR127" s="3"/>
      <c r="THS127" s="3"/>
      <c r="THT127" s="3"/>
      <c r="THU127" s="3"/>
      <c r="THV127" s="3"/>
      <c r="THW127" s="3"/>
      <c r="THX127" s="3"/>
      <c r="THY127" s="3"/>
      <c r="THZ127" s="3"/>
      <c r="TIA127" s="3"/>
      <c r="TIB127" s="3"/>
      <c r="TIC127" s="3"/>
      <c r="TID127" s="3"/>
      <c r="TIE127" s="3"/>
      <c r="TIF127" s="3"/>
      <c r="TIG127" s="3"/>
      <c r="TIH127" s="3"/>
      <c r="TII127" s="3"/>
      <c r="TIJ127" s="3"/>
      <c r="TIK127" s="3"/>
      <c r="TIL127" s="3"/>
      <c r="TIM127" s="3"/>
      <c r="TIN127" s="3"/>
      <c r="TIO127" s="3"/>
      <c r="TIP127" s="3"/>
      <c r="TIQ127" s="3"/>
      <c r="TIR127" s="3"/>
      <c r="TIS127" s="3"/>
      <c r="TIT127" s="3"/>
      <c r="TIU127" s="3"/>
      <c r="TIV127" s="3"/>
      <c r="TIW127" s="3"/>
      <c r="TIX127" s="3"/>
      <c r="TIY127" s="3"/>
      <c r="TIZ127" s="3"/>
      <c r="TJA127" s="3"/>
      <c r="TJB127" s="3"/>
      <c r="TJC127" s="3"/>
      <c r="TJD127" s="3"/>
      <c r="TJE127" s="3"/>
      <c r="TJF127" s="3"/>
      <c r="TJG127" s="3"/>
      <c r="TJH127" s="3"/>
      <c r="TJI127" s="3"/>
      <c r="TJJ127" s="3"/>
      <c r="TJK127" s="3"/>
      <c r="TJL127" s="3"/>
      <c r="TJM127" s="3"/>
      <c r="TJN127" s="3"/>
      <c r="TJO127" s="3"/>
      <c r="TJP127" s="3"/>
      <c r="TJQ127" s="3"/>
      <c r="TJR127" s="3"/>
      <c r="TJS127" s="3"/>
      <c r="TJT127" s="3"/>
      <c r="TJU127" s="3"/>
      <c r="TJV127" s="3"/>
      <c r="TJW127" s="3"/>
      <c r="TJX127" s="3"/>
      <c r="TJY127" s="3"/>
      <c r="TJZ127" s="3"/>
      <c r="TKA127" s="3"/>
      <c r="TKB127" s="3"/>
      <c r="TKC127" s="3"/>
      <c r="TKD127" s="3"/>
      <c r="TKE127" s="3"/>
      <c r="TKF127" s="3"/>
      <c r="TKG127" s="3"/>
      <c r="TKH127" s="3"/>
      <c r="TKI127" s="3"/>
      <c r="TKJ127" s="3"/>
      <c r="TKK127" s="3"/>
      <c r="TKL127" s="3"/>
      <c r="TKM127" s="3"/>
      <c r="TKN127" s="3"/>
      <c r="TKO127" s="3"/>
      <c r="TKP127" s="3"/>
      <c r="TKQ127" s="3"/>
      <c r="TKR127" s="3"/>
      <c r="TKS127" s="3"/>
      <c r="TKT127" s="3"/>
      <c r="TKU127" s="3"/>
      <c r="TKV127" s="3"/>
      <c r="TKW127" s="3"/>
      <c r="TKX127" s="3"/>
      <c r="TKY127" s="3"/>
      <c r="TKZ127" s="3"/>
      <c r="TLA127" s="3"/>
      <c r="TLB127" s="3"/>
      <c r="TLC127" s="3"/>
      <c r="TLD127" s="3"/>
      <c r="TLE127" s="3"/>
      <c r="TLF127" s="3"/>
      <c r="TLG127" s="3"/>
      <c r="TLH127" s="3"/>
      <c r="TLI127" s="3"/>
      <c r="TLJ127" s="3"/>
      <c r="TLK127" s="3"/>
      <c r="TLL127" s="3"/>
      <c r="TLM127" s="3"/>
      <c r="TLN127" s="3"/>
      <c r="TLO127" s="3"/>
      <c r="TLP127" s="3"/>
      <c r="TLQ127" s="3"/>
      <c r="TLR127" s="3"/>
      <c r="TLS127" s="3"/>
      <c r="TLT127" s="3"/>
      <c r="TLU127" s="3"/>
      <c r="TLV127" s="3"/>
      <c r="TLW127" s="3"/>
      <c r="TLX127" s="3"/>
      <c r="TLY127" s="3"/>
      <c r="TLZ127" s="3"/>
      <c r="TMA127" s="3"/>
      <c r="TMB127" s="3"/>
      <c r="TMC127" s="3"/>
      <c r="TMD127" s="3"/>
      <c r="TME127" s="3"/>
      <c r="TMF127" s="3"/>
      <c r="TMG127" s="3"/>
      <c r="TMH127" s="3"/>
      <c r="TMI127" s="3"/>
      <c r="TMJ127" s="3"/>
      <c r="TMK127" s="3"/>
      <c r="TML127" s="3"/>
      <c r="TMM127" s="3"/>
      <c r="TMN127" s="3"/>
      <c r="TMO127" s="3"/>
      <c r="TMP127" s="3"/>
      <c r="TMQ127" s="3"/>
      <c r="TMR127" s="3"/>
      <c r="TMS127" s="3"/>
      <c r="TMT127" s="3"/>
      <c r="TMU127" s="3"/>
      <c r="TMV127" s="3"/>
      <c r="TMW127" s="3"/>
      <c r="TMX127" s="3"/>
      <c r="TMY127" s="3"/>
      <c r="TMZ127" s="3"/>
      <c r="TNA127" s="3"/>
      <c r="TNB127" s="3"/>
      <c r="TNC127" s="3"/>
      <c r="TND127" s="3"/>
      <c r="TNE127" s="3"/>
      <c r="TNF127" s="3"/>
      <c r="TNG127" s="3"/>
      <c r="TNH127" s="3"/>
      <c r="TNI127" s="3"/>
      <c r="TNJ127" s="3"/>
      <c r="TNK127" s="3"/>
      <c r="TNL127" s="3"/>
      <c r="TNM127" s="3"/>
      <c r="TNN127" s="3"/>
      <c r="TNO127" s="3"/>
      <c r="TNP127" s="3"/>
      <c r="TNQ127" s="3"/>
      <c r="TNR127" s="3"/>
      <c r="TNS127" s="3"/>
      <c r="TNT127" s="3"/>
      <c r="TNU127" s="3"/>
      <c r="TNV127" s="3"/>
      <c r="TNW127" s="3"/>
      <c r="TNX127" s="3"/>
      <c r="TNY127" s="3"/>
      <c r="TNZ127" s="3"/>
      <c r="TOA127" s="3"/>
      <c r="TOB127" s="3"/>
      <c r="TOC127" s="3"/>
      <c r="TOD127" s="3"/>
      <c r="TOE127" s="3"/>
      <c r="TOF127" s="3"/>
      <c r="TOG127" s="3"/>
      <c r="TOH127" s="3"/>
      <c r="TOI127" s="3"/>
      <c r="TOJ127" s="3"/>
      <c r="TOK127" s="3"/>
      <c r="TOL127" s="3"/>
      <c r="TOM127" s="3"/>
      <c r="TON127" s="3"/>
      <c r="TOO127" s="3"/>
      <c r="TOP127" s="3"/>
      <c r="TOQ127" s="3"/>
      <c r="TOR127" s="3"/>
      <c r="TOS127" s="3"/>
      <c r="TOT127" s="3"/>
      <c r="TOU127" s="3"/>
      <c r="TOV127" s="3"/>
      <c r="TOW127" s="3"/>
      <c r="TOX127" s="3"/>
      <c r="TOY127" s="3"/>
      <c r="TOZ127" s="3"/>
      <c r="TPA127" s="3"/>
      <c r="TPB127" s="3"/>
      <c r="TPC127" s="3"/>
      <c r="TPD127" s="3"/>
      <c r="TPE127" s="3"/>
      <c r="TPF127" s="3"/>
      <c r="TPG127" s="3"/>
      <c r="TPH127" s="3"/>
      <c r="TPI127" s="3"/>
      <c r="TPJ127" s="3"/>
      <c r="TPK127" s="3"/>
      <c r="TPL127" s="3"/>
      <c r="TPM127" s="3"/>
      <c r="TPN127" s="3"/>
      <c r="TPO127" s="3"/>
      <c r="TPP127" s="3"/>
      <c r="TPQ127" s="3"/>
      <c r="TPR127" s="3"/>
      <c r="TPS127" s="3"/>
      <c r="TPT127" s="3"/>
      <c r="TPU127" s="3"/>
      <c r="TPV127" s="3"/>
      <c r="TPW127" s="3"/>
      <c r="TPX127" s="3"/>
      <c r="TPY127" s="3"/>
      <c r="TPZ127" s="3"/>
      <c r="TQA127" s="3"/>
      <c r="TQB127" s="3"/>
      <c r="TQC127" s="3"/>
      <c r="TQD127" s="3"/>
      <c r="TQE127" s="3"/>
      <c r="TQF127" s="3"/>
      <c r="TQG127" s="3"/>
      <c r="TQH127" s="3"/>
      <c r="TQI127" s="3"/>
      <c r="TQJ127" s="3"/>
      <c r="TQK127" s="3"/>
      <c r="TQL127" s="3"/>
      <c r="TQM127" s="3"/>
      <c r="TQN127" s="3"/>
      <c r="TQO127" s="3"/>
      <c r="TQP127" s="3"/>
      <c r="TQQ127" s="3"/>
      <c r="TQR127" s="3"/>
      <c r="TQS127" s="3"/>
      <c r="TQT127" s="3"/>
      <c r="TQU127" s="3"/>
      <c r="TQV127" s="3"/>
      <c r="TQW127" s="3"/>
      <c r="TQX127" s="3"/>
      <c r="TQY127" s="3"/>
      <c r="TQZ127" s="3"/>
      <c r="TRA127" s="3"/>
      <c r="TRB127" s="3"/>
      <c r="TRC127" s="3"/>
      <c r="TRD127" s="3"/>
      <c r="TRE127" s="3"/>
      <c r="TRF127" s="3"/>
      <c r="TRG127" s="3"/>
      <c r="TRH127" s="3"/>
      <c r="TRI127" s="3"/>
      <c r="TRJ127" s="3"/>
      <c r="TRK127" s="3"/>
      <c r="TRL127" s="3"/>
      <c r="TRM127" s="3"/>
      <c r="TRN127" s="3"/>
      <c r="TRO127" s="3"/>
      <c r="TRP127" s="3"/>
      <c r="TRQ127" s="3"/>
      <c r="TRR127" s="3"/>
      <c r="TRS127" s="3"/>
      <c r="TRT127" s="3"/>
      <c r="TRU127" s="3"/>
      <c r="TRV127" s="3"/>
      <c r="TRW127" s="3"/>
      <c r="TRX127" s="3"/>
      <c r="TRY127" s="3"/>
      <c r="TRZ127" s="3"/>
      <c r="TSA127" s="3"/>
      <c r="TSB127" s="3"/>
      <c r="TSC127" s="3"/>
      <c r="TSD127" s="3"/>
      <c r="TSE127" s="3"/>
      <c r="TSF127" s="3"/>
      <c r="TSG127" s="3"/>
      <c r="TSH127" s="3"/>
      <c r="TSI127" s="3"/>
      <c r="TSJ127" s="3"/>
      <c r="TSK127" s="3"/>
      <c r="TSL127" s="3"/>
      <c r="TSM127" s="3"/>
      <c r="TSN127" s="3"/>
      <c r="TSO127" s="3"/>
      <c r="TSP127" s="3"/>
      <c r="TSQ127" s="3"/>
      <c r="TSR127" s="3"/>
      <c r="TSS127" s="3"/>
      <c r="TST127" s="3"/>
      <c r="TSU127" s="3"/>
      <c r="TSV127" s="3"/>
      <c r="TSW127" s="3"/>
      <c r="TSX127" s="3"/>
      <c r="TSY127" s="3"/>
      <c r="TSZ127" s="3"/>
      <c r="TTA127" s="3"/>
      <c r="TTB127" s="3"/>
      <c r="TTC127" s="3"/>
      <c r="TTD127" s="3"/>
      <c r="TTE127" s="3"/>
      <c r="TTF127" s="3"/>
      <c r="TTG127" s="3"/>
      <c r="TTH127" s="3"/>
      <c r="TTI127" s="3"/>
      <c r="TTJ127" s="3"/>
      <c r="TTK127" s="3"/>
      <c r="TTL127" s="3"/>
      <c r="TTM127" s="3"/>
      <c r="TTN127" s="3"/>
      <c r="TTO127" s="3"/>
      <c r="TTP127" s="3"/>
      <c r="TTQ127" s="3"/>
      <c r="TTR127" s="3"/>
      <c r="TTS127" s="3"/>
      <c r="TTT127" s="3"/>
      <c r="TTU127" s="3"/>
      <c r="TTV127" s="3"/>
      <c r="TTW127" s="3"/>
      <c r="TTX127" s="3"/>
      <c r="TTY127" s="3"/>
      <c r="TTZ127" s="3"/>
      <c r="TUA127" s="3"/>
      <c r="TUB127" s="3"/>
      <c r="TUC127" s="3"/>
      <c r="TUD127" s="3"/>
      <c r="TUE127" s="3"/>
      <c r="TUF127" s="3"/>
      <c r="TUG127" s="3"/>
      <c r="TUH127" s="3"/>
      <c r="TUI127" s="3"/>
      <c r="TUJ127" s="3"/>
      <c r="TUK127" s="3"/>
      <c r="TUL127" s="3"/>
      <c r="TUM127" s="3"/>
      <c r="TUN127" s="3"/>
      <c r="TUO127" s="3"/>
      <c r="TUP127" s="3"/>
      <c r="TUQ127" s="3"/>
      <c r="TUR127" s="3"/>
      <c r="TUS127" s="3"/>
      <c r="TUT127" s="3"/>
      <c r="TUU127" s="3"/>
      <c r="TUV127" s="3"/>
      <c r="TUW127" s="3"/>
      <c r="TUX127" s="3"/>
      <c r="TUY127" s="3"/>
      <c r="TUZ127" s="3"/>
      <c r="TVA127" s="3"/>
      <c r="TVB127" s="3"/>
      <c r="TVC127" s="3"/>
      <c r="TVD127" s="3"/>
      <c r="TVE127" s="3"/>
      <c r="TVF127" s="3"/>
      <c r="TVG127" s="3"/>
      <c r="TVH127" s="3"/>
      <c r="TVI127" s="3"/>
      <c r="TVJ127" s="3"/>
      <c r="TVK127" s="3"/>
      <c r="TVL127" s="3"/>
      <c r="TVM127" s="3"/>
      <c r="TVN127" s="3"/>
      <c r="TVO127" s="3"/>
      <c r="TVP127" s="3"/>
      <c r="TVQ127" s="3"/>
      <c r="TVR127" s="3"/>
      <c r="TVS127" s="3"/>
      <c r="TVT127" s="3"/>
      <c r="TVU127" s="3"/>
      <c r="TVV127" s="3"/>
      <c r="TVW127" s="3"/>
      <c r="TVX127" s="3"/>
      <c r="TVY127" s="3"/>
      <c r="TVZ127" s="3"/>
      <c r="TWA127" s="3"/>
      <c r="TWB127" s="3"/>
      <c r="TWC127" s="3"/>
      <c r="TWD127" s="3"/>
      <c r="TWE127" s="3"/>
      <c r="TWF127" s="3"/>
      <c r="TWG127" s="3"/>
      <c r="TWH127" s="3"/>
      <c r="TWI127" s="3"/>
      <c r="TWJ127" s="3"/>
      <c r="TWK127" s="3"/>
      <c r="TWL127" s="3"/>
      <c r="TWM127" s="3"/>
      <c r="TWN127" s="3"/>
      <c r="TWO127" s="3"/>
      <c r="TWP127" s="3"/>
      <c r="TWQ127" s="3"/>
      <c r="TWR127" s="3"/>
      <c r="TWS127" s="3"/>
      <c r="TWT127" s="3"/>
      <c r="TWU127" s="3"/>
      <c r="TWV127" s="3"/>
      <c r="TWW127" s="3"/>
      <c r="TWX127" s="3"/>
      <c r="TWY127" s="3"/>
      <c r="TWZ127" s="3"/>
      <c r="TXA127" s="3"/>
      <c r="TXB127" s="3"/>
      <c r="TXC127" s="3"/>
      <c r="TXD127" s="3"/>
      <c r="TXE127" s="3"/>
      <c r="TXF127" s="3"/>
      <c r="TXG127" s="3"/>
      <c r="TXH127" s="3"/>
      <c r="TXI127" s="3"/>
      <c r="TXJ127" s="3"/>
      <c r="TXK127" s="3"/>
      <c r="TXL127" s="3"/>
      <c r="TXM127" s="3"/>
      <c r="TXN127" s="3"/>
      <c r="TXO127" s="3"/>
      <c r="TXP127" s="3"/>
      <c r="TXQ127" s="3"/>
      <c r="TXR127" s="3"/>
      <c r="TXS127" s="3"/>
      <c r="TXT127" s="3"/>
      <c r="TXU127" s="3"/>
      <c r="TXV127" s="3"/>
      <c r="TXW127" s="3"/>
      <c r="TXX127" s="3"/>
      <c r="TXY127" s="3"/>
      <c r="TXZ127" s="3"/>
      <c r="TYA127" s="3"/>
      <c r="TYB127" s="3"/>
      <c r="TYC127" s="3"/>
      <c r="TYD127" s="3"/>
      <c r="TYE127" s="3"/>
      <c r="TYF127" s="3"/>
      <c r="TYG127" s="3"/>
      <c r="TYH127" s="3"/>
      <c r="TYI127" s="3"/>
      <c r="TYJ127" s="3"/>
      <c r="TYK127" s="3"/>
      <c r="TYL127" s="3"/>
      <c r="TYM127" s="3"/>
      <c r="TYN127" s="3"/>
      <c r="TYO127" s="3"/>
      <c r="TYP127" s="3"/>
      <c r="TYQ127" s="3"/>
      <c r="TYR127" s="3"/>
      <c r="TYS127" s="3"/>
      <c r="TYT127" s="3"/>
      <c r="TYU127" s="3"/>
      <c r="TYV127" s="3"/>
      <c r="TYW127" s="3"/>
      <c r="TYX127" s="3"/>
      <c r="TYY127" s="3"/>
      <c r="TYZ127" s="3"/>
      <c r="TZA127" s="3"/>
      <c r="TZB127" s="3"/>
      <c r="TZC127" s="3"/>
      <c r="TZD127" s="3"/>
      <c r="TZE127" s="3"/>
      <c r="TZF127" s="3"/>
      <c r="TZG127" s="3"/>
      <c r="TZH127" s="3"/>
      <c r="TZI127" s="3"/>
      <c r="TZJ127" s="3"/>
      <c r="TZK127" s="3"/>
      <c r="TZL127" s="3"/>
      <c r="TZM127" s="3"/>
      <c r="TZN127" s="3"/>
      <c r="TZO127" s="3"/>
      <c r="TZP127" s="3"/>
      <c r="TZQ127" s="3"/>
      <c r="TZR127" s="3"/>
      <c r="TZS127" s="3"/>
      <c r="TZT127" s="3"/>
      <c r="TZU127" s="3"/>
      <c r="TZV127" s="3"/>
      <c r="TZW127" s="3"/>
      <c r="TZX127" s="3"/>
      <c r="TZY127" s="3"/>
      <c r="TZZ127" s="3"/>
      <c r="UAA127" s="3"/>
      <c r="UAB127" s="3"/>
      <c r="UAC127" s="3"/>
      <c r="UAD127" s="3"/>
      <c r="UAE127" s="3"/>
      <c r="UAF127" s="3"/>
      <c r="UAG127" s="3"/>
      <c r="UAH127" s="3"/>
      <c r="UAI127" s="3"/>
      <c r="UAJ127" s="3"/>
      <c r="UAK127" s="3"/>
      <c r="UAL127" s="3"/>
      <c r="UAM127" s="3"/>
      <c r="UAN127" s="3"/>
      <c r="UAO127" s="3"/>
      <c r="UAP127" s="3"/>
      <c r="UAQ127" s="3"/>
      <c r="UAR127" s="3"/>
      <c r="UAS127" s="3"/>
      <c r="UAT127" s="3"/>
      <c r="UAU127" s="3"/>
      <c r="UAV127" s="3"/>
      <c r="UAW127" s="3"/>
      <c r="UAX127" s="3"/>
      <c r="UAY127" s="3"/>
      <c r="UAZ127" s="3"/>
      <c r="UBA127" s="3"/>
      <c r="UBB127" s="3"/>
      <c r="UBC127" s="3"/>
      <c r="UBD127" s="3"/>
      <c r="UBE127" s="3"/>
      <c r="UBF127" s="3"/>
      <c r="UBG127" s="3"/>
      <c r="UBH127" s="3"/>
      <c r="UBI127" s="3"/>
      <c r="UBJ127" s="3"/>
      <c r="UBK127" s="3"/>
      <c r="UBL127" s="3"/>
      <c r="UBM127" s="3"/>
      <c r="UBN127" s="3"/>
      <c r="UBO127" s="3"/>
      <c r="UBP127" s="3"/>
      <c r="UBQ127" s="3"/>
      <c r="UBR127" s="3"/>
      <c r="UBS127" s="3"/>
      <c r="UBT127" s="3"/>
      <c r="UBU127" s="3"/>
      <c r="UBV127" s="3"/>
      <c r="UBW127" s="3"/>
      <c r="UBX127" s="3"/>
      <c r="UBY127" s="3"/>
      <c r="UBZ127" s="3"/>
      <c r="UCA127" s="3"/>
      <c r="UCB127" s="3"/>
      <c r="UCC127" s="3"/>
      <c r="UCD127" s="3"/>
      <c r="UCE127" s="3"/>
      <c r="UCF127" s="3"/>
      <c r="UCG127" s="3"/>
      <c r="UCH127" s="3"/>
      <c r="UCI127" s="3"/>
      <c r="UCJ127" s="3"/>
      <c r="UCK127" s="3"/>
      <c r="UCL127" s="3"/>
      <c r="UCM127" s="3"/>
      <c r="UCN127" s="3"/>
      <c r="UCO127" s="3"/>
      <c r="UCP127" s="3"/>
      <c r="UCQ127" s="3"/>
      <c r="UCR127" s="3"/>
      <c r="UCS127" s="3"/>
      <c r="UCT127" s="3"/>
      <c r="UCU127" s="3"/>
      <c r="UCV127" s="3"/>
      <c r="UCW127" s="3"/>
      <c r="UCX127" s="3"/>
      <c r="UCY127" s="3"/>
      <c r="UCZ127" s="3"/>
      <c r="UDA127" s="3"/>
      <c r="UDB127" s="3"/>
      <c r="UDC127" s="3"/>
      <c r="UDD127" s="3"/>
      <c r="UDE127" s="3"/>
      <c r="UDF127" s="3"/>
      <c r="UDG127" s="3"/>
      <c r="UDH127" s="3"/>
      <c r="UDI127" s="3"/>
      <c r="UDJ127" s="3"/>
      <c r="UDK127" s="3"/>
      <c r="UDL127" s="3"/>
      <c r="UDM127" s="3"/>
      <c r="UDN127" s="3"/>
      <c r="UDO127" s="3"/>
      <c r="UDP127" s="3"/>
      <c r="UDQ127" s="3"/>
      <c r="UDR127" s="3"/>
      <c r="UDS127" s="3"/>
      <c r="UDT127" s="3"/>
      <c r="UDU127" s="3"/>
      <c r="UDV127" s="3"/>
      <c r="UDW127" s="3"/>
      <c r="UDX127" s="3"/>
      <c r="UDY127" s="3"/>
      <c r="UDZ127" s="3"/>
      <c r="UEA127" s="3"/>
      <c r="UEB127" s="3"/>
      <c r="UEC127" s="3"/>
      <c r="UED127" s="3"/>
      <c r="UEE127" s="3"/>
      <c r="UEF127" s="3"/>
      <c r="UEG127" s="3"/>
      <c r="UEH127" s="3"/>
      <c r="UEI127" s="3"/>
      <c r="UEJ127" s="3"/>
      <c r="UEK127" s="3"/>
      <c r="UEL127" s="3"/>
      <c r="UEM127" s="3"/>
      <c r="UEN127" s="3"/>
      <c r="UEO127" s="3"/>
      <c r="UEP127" s="3"/>
      <c r="UEQ127" s="3"/>
      <c r="UER127" s="3"/>
      <c r="UES127" s="3"/>
      <c r="UET127" s="3"/>
      <c r="UEU127" s="3"/>
      <c r="UEV127" s="3"/>
      <c r="UEW127" s="3"/>
      <c r="UEX127" s="3"/>
      <c r="UEY127" s="3"/>
      <c r="UEZ127" s="3"/>
      <c r="UFA127" s="3"/>
      <c r="UFB127" s="3"/>
      <c r="UFC127" s="3"/>
      <c r="UFD127" s="3"/>
      <c r="UFE127" s="3"/>
      <c r="UFF127" s="3"/>
      <c r="UFG127" s="3"/>
      <c r="UFH127" s="3"/>
      <c r="UFI127" s="3"/>
      <c r="UFJ127" s="3"/>
      <c r="UFK127" s="3"/>
      <c r="UFL127" s="3"/>
      <c r="UFM127" s="3"/>
      <c r="UFN127" s="3"/>
      <c r="UFO127" s="3"/>
      <c r="UFP127" s="3"/>
      <c r="UFQ127" s="3"/>
      <c r="UFR127" s="3"/>
      <c r="UFS127" s="3"/>
      <c r="UFT127" s="3"/>
      <c r="UFU127" s="3"/>
      <c r="UFV127" s="3"/>
      <c r="UFW127" s="3"/>
      <c r="UFX127" s="3"/>
      <c r="UFY127" s="3"/>
      <c r="UFZ127" s="3"/>
      <c r="UGA127" s="3"/>
      <c r="UGB127" s="3"/>
      <c r="UGC127" s="3"/>
      <c r="UGD127" s="3"/>
      <c r="UGE127" s="3"/>
      <c r="UGF127" s="3"/>
      <c r="UGG127" s="3"/>
      <c r="UGH127" s="3"/>
      <c r="UGI127" s="3"/>
      <c r="UGJ127" s="3"/>
      <c r="UGK127" s="3"/>
      <c r="UGL127" s="3"/>
      <c r="UGM127" s="3"/>
      <c r="UGN127" s="3"/>
      <c r="UGO127" s="3"/>
      <c r="UGP127" s="3"/>
      <c r="UGQ127" s="3"/>
      <c r="UGR127" s="3"/>
      <c r="UGS127" s="3"/>
      <c r="UGT127" s="3"/>
      <c r="UGU127" s="3"/>
      <c r="UGV127" s="3"/>
      <c r="UGW127" s="3"/>
      <c r="UGX127" s="3"/>
      <c r="UGY127" s="3"/>
      <c r="UGZ127" s="3"/>
      <c r="UHA127" s="3"/>
      <c r="UHB127" s="3"/>
      <c r="UHC127" s="3"/>
      <c r="UHD127" s="3"/>
      <c r="UHE127" s="3"/>
      <c r="UHF127" s="3"/>
      <c r="UHG127" s="3"/>
      <c r="UHH127" s="3"/>
      <c r="UHI127" s="3"/>
      <c r="UHJ127" s="3"/>
      <c r="UHK127" s="3"/>
      <c r="UHL127" s="3"/>
      <c r="UHM127" s="3"/>
      <c r="UHN127" s="3"/>
      <c r="UHO127" s="3"/>
      <c r="UHP127" s="3"/>
      <c r="UHQ127" s="3"/>
      <c r="UHR127" s="3"/>
      <c r="UHS127" s="3"/>
      <c r="UHT127" s="3"/>
      <c r="UHU127" s="3"/>
      <c r="UHV127" s="3"/>
      <c r="UHW127" s="3"/>
      <c r="UHX127" s="3"/>
      <c r="UHY127" s="3"/>
      <c r="UHZ127" s="3"/>
      <c r="UIA127" s="3"/>
      <c r="UIB127" s="3"/>
      <c r="UIC127" s="3"/>
      <c r="UID127" s="3"/>
      <c r="UIE127" s="3"/>
      <c r="UIF127" s="3"/>
      <c r="UIG127" s="3"/>
      <c r="UIH127" s="3"/>
      <c r="UII127" s="3"/>
      <c r="UIJ127" s="3"/>
      <c r="UIK127" s="3"/>
      <c r="UIL127" s="3"/>
      <c r="UIM127" s="3"/>
      <c r="UIN127" s="3"/>
      <c r="UIO127" s="3"/>
      <c r="UIP127" s="3"/>
      <c r="UIQ127" s="3"/>
      <c r="UIR127" s="3"/>
      <c r="UIS127" s="3"/>
      <c r="UIT127" s="3"/>
      <c r="UIU127" s="3"/>
      <c r="UIV127" s="3"/>
      <c r="UIW127" s="3"/>
      <c r="UIX127" s="3"/>
      <c r="UIY127" s="3"/>
      <c r="UIZ127" s="3"/>
      <c r="UJA127" s="3"/>
      <c r="UJB127" s="3"/>
      <c r="UJC127" s="3"/>
      <c r="UJD127" s="3"/>
      <c r="UJE127" s="3"/>
      <c r="UJF127" s="3"/>
      <c r="UJG127" s="3"/>
      <c r="UJH127" s="3"/>
      <c r="UJI127" s="3"/>
      <c r="UJJ127" s="3"/>
      <c r="UJK127" s="3"/>
      <c r="UJL127" s="3"/>
      <c r="UJM127" s="3"/>
      <c r="UJN127" s="3"/>
      <c r="UJO127" s="3"/>
      <c r="UJP127" s="3"/>
      <c r="UJQ127" s="3"/>
      <c r="UJR127" s="3"/>
      <c r="UJS127" s="3"/>
      <c r="UJT127" s="3"/>
      <c r="UJU127" s="3"/>
      <c r="UJV127" s="3"/>
      <c r="UJW127" s="3"/>
      <c r="UJX127" s="3"/>
      <c r="UJY127" s="3"/>
      <c r="UJZ127" s="3"/>
      <c r="UKA127" s="3"/>
      <c r="UKB127" s="3"/>
      <c r="UKC127" s="3"/>
      <c r="UKD127" s="3"/>
      <c r="UKE127" s="3"/>
      <c r="UKF127" s="3"/>
      <c r="UKG127" s="3"/>
      <c r="UKH127" s="3"/>
      <c r="UKI127" s="3"/>
      <c r="UKJ127" s="3"/>
      <c r="UKK127" s="3"/>
      <c r="UKL127" s="3"/>
      <c r="UKM127" s="3"/>
      <c r="UKN127" s="3"/>
      <c r="UKO127" s="3"/>
      <c r="UKP127" s="3"/>
      <c r="UKQ127" s="3"/>
      <c r="UKR127" s="3"/>
      <c r="UKS127" s="3"/>
      <c r="UKT127" s="3"/>
      <c r="UKU127" s="3"/>
      <c r="UKV127" s="3"/>
      <c r="UKW127" s="3"/>
      <c r="UKX127" s="3"/>
      <c r="UKY127" s="3"/>
      <c r="UKZ127" s="3"/>
      <c r="ULA127" s="3"/>
      <c r="ULB127" s="3"/>
      <c r="ULC127" s="3"/>
      <c r="ULD127" s="3"/>
      <c r="ULE127" s="3"/>
      <c r="ULF127" s="3"/>
      <c r="ULG127" s="3"/>
      <c r="ULH127" s="3"/>
      <c r="ULI127" s="3"/>
      <c r="ULJ127" s="3"/>
      <c r="ULK127" s="3"/>
      <c r="ULL127" s="3"/>
      <c r="ULM127" s="3"/>
      <c r="ULN127" s="3"/>
      <c r="ULO127" s="3"/>
      <c r="ULP127" s="3"/>
      <c r="ULQ127" s="3"/>
      <c r="ULR127" s="3"/>
      <c r="ULS127" s="3"/>
      <c r="ULT127" s="3"/>
      <c r="ULU127" s="3"/>
      <c r="ULV127" s="3"/>
      <c r="ULW127" s="3"/>
      <c r="ULX127" s="3"/>
      <c r="ULY127" s="3"/>
      <c r="ULZ127" s="3"/>
      <c r="UMA127" s="3"/>
      <c r="UMB127" s="3"/>
      <c r="UMC127" s="3"/>
      <c r="UMD127" s="3"/>
      <c r="UME127" s="3"/>
      <c r="UMF127" s="3"/>
      <c r="UMG127" s="3"/>
      <c r="UMH127" s="3"/>
      <c r="UMI127" s="3"/>
      <c r="UMJ127" s="3"/>
      <c r="UMK127" s="3"/>
      <c r="UML127" s="3"/>
      <c r="UMM127" s="3"/>
      <c r="UMN127" s="3"/>
      <c r="UMO127" s="3"/>
      <c r="UMP127" s="3"/>
      <c r="UMQ127" s="3"/>
      <c r="UMR127" s="3"/>
      <c r="UMS127" s="3"/>
      <c r="UMT127" s="3"/>
      <c r="UMU127" s="3"/>
      <c r="UMV127" s="3"/>
      <c r="UMW127" s="3"/>
      <c r="UMX127" s="3"/>
      <c r="UMY127" s="3"/>
      <c r="UMZ127" s="3"/>
      <c r="UNA127" s="3"/>
      <c r="UNB127" s="3"/>
      <c r="UNC127" s="3"/>
      <c r="UND127" s="3"/>
      <c r="UNE127" s="3"/>
      <c r="UNF127" s="3"/>
      <c r="UNG127" s="3"/>
      <c r="UNH127" s="3"/>
      <c r="UNI127" s="3"/>
      <c r="UNJ127" s="3"/>
      <c r="UNK127" s="3"/>
      <c r="UNL127" s="3"/>
      <c r="UNM127" s="3"/>
      <c r="UNN127" s="3"/>
      <c r="UNO127" s="3"/>
      <c r="UNP127" s="3"/>
      <c r="UNQ127" s="3"/>
      <c r="UNR127" s="3"/>
      <c r="UNS127" s="3"/>
      <c r="UNT127" s="3"/>
      <c r="UNU127" s="3"/>
      <c r="UNV127" s="3"/>
      <c r="UNW127" s="3"/>
      <c r="UNX127" s="3"/>
      <c r="UNY127" s="3"/>
      <c r="UNZ127" s="3"/>
      <c r="UOA127" s="3"/>
      <c r="UOB127" s="3"/>
      <c r="UOC127" s="3"/>
      <c r="UOD127" s="3"/>
      <c r="UOE127" s="3"/>
      <c r="UOF127" s="3"/>
      <c r="UOG127" s="3"/>
      <c r="UOH127" s="3"/>
      <c r="UOI127" s="3"/>
      <c r="UOJ127" s="3"/>
      <c r="UOK127" s="3"/>
      <c r="UOL127" s="3"/>
      <c r="UOM127" s="3"/>
      <c r="UON127" s="3"/>
      <c r="UOO127" s="3"/>
      <c r="UOP127" s="3"/>
      <c r="UOQ127" s="3"/>
      <c r="UOR127" s="3"/>
      <c r="UOS127" s="3"/>
      <c r="UOT127" s="3"/>
      <c r="UOU127" s="3"/>
      <c r="UOV127" s="3"/>
      <c r="UOW127" s="3"/>
      <c r="UOX127" s="3"/>
      <c r="UOY127" s="3"/>
      <c r="UOZ127" s="3"/>
      <c r="UPA127" s="3"/>
      <c r="UPB127" s="3"/>
      <c r="UPC127" s="3"/>
      <c r="UPD127" s="3"/>
      <c r="UPE127" s="3"/>
      <c r="UPF127" s="3"/>
      <c r="UPG127" s="3"/>
      <c r="UPH127" s="3"/>
      <c r="UPI127" s="3"/>
      <c r="UPJ127" s="3"/>
      <c r="UPK127" s="3"/>
      <c r="UPL127" s="3"/>
      <c r="UPM127" s="3"/>
      <c r="UPN127" s="3"/>
      <c r="UPO127" s="3"/>
      <c r="UPP127" s="3"/>
      <c r="UPQ127" s="3"/>
      <c r="UPR127" s="3"/>
      <c r="UPS127" s="3"/>
      <c r="UPT127" s="3"/>
      <c r="UPU127" s="3"/>
      <c r="UPV127" s="3"/>
      <c r="UPW127" s="3"/>
      <c r="UPX127" s="3"/>
      <c r="UPY127" s="3"/>
      <c r="UPZ127" s="3"/>
      <c r="UQA127" s="3"/>
      <c r="UQB127" s="3"/>
      <c r="UQC127" s="3"/>
      <c r="UQD127" s="3"/>
      <c r="UQE127" s="3"/>
      <c r="UQF127" s="3"/>
      <c r="UQG127" s="3"/>
      <c r="UQH127" s="3"/>
      <c r="UQI127" s="3"/>
      <c r="UQJ127" s="3"/>
      <c r="UQK127" s="3"/>
      <c r="UQL127" s="3"/>
      <c r="UQM127" s="3"/>
      <c r="UQN127" s="3"/>
      <c r="UQO127" s="3"/>
      <c r="UQP127" s="3"/>
      <c r="UQQ127" s="3"/>
      <c r="UQR127" s="3"/>
      <c r="UQS127" s="3"/>
      <c r="UQT127" s="3"/>
      <c r="UQU127" s="3"/>
      <c r="UQV127" s="3"/>
      <c r="UQW127" s="3"/>
      <c r="UQX127" s="3"/>
      <c r="UQY127" s="3"/>
      <c r="UQZ127" s="3"/>
      <c r="URA127" s="3"/>
      <c r="URB127" s="3"/>
      <c r="URC127" s="3"/>
      <c r="URD127" s="3"/>
      <c r="URE127" s="3"/>
      <c r="URF127" s="3"/>
      <c r="URG127" s="3"/>
      <c r="URH127" s="3"/>
      <c r="URI127" s="3"/>
      <c r="URJ127" s="3"/>
      <c r="URK127" s="3"/>
      <c r="URL127" s="3"/>
      <c r="URM127" s="3"/>
      <c r="URN127" s="3"/>
      <c r="URO127" s="3"/>
      <c r="URP127" s="3"/>
      <c r="URQ127" s="3"/>
      <c r="URR127" s="3"/>
      <c r="URS127" s="3"/>
      <c r="URT127" s="3"/>
      <c r="URU127" s="3"/>
      <c r="URV127" s="3"/>
      <c r="URW127" s="3"/>
      <c r="URX127" s="3"/>
      <c r="URY127" s="3"/>
      <c r="URZ127" s="3"/>
      <c r="USA127" s="3"/>
      <c r="USB127" s="3"/>
      <c r="USC127" s="3"/>
      <c r="USD127" s="3"/>
      <c r="USE127" s="3"/>
      <c r="USF127" s="3"/>
      <c r="USG127" s="3"/>
      <c r="USH127" s="3"/>
      <c r="USI127" s="3"/>
      <c r="USJ127" s="3"/>
      <c r="USK127" s="3"/>
      <c r="USL127" s="3"/>
      <c r="USM127" s="3"/>
      <c r="USN127" s="3"/>
      <c r="USO127" s="3"/>
      <c r="USP127" s="3"/>
      <c r="USQ127" s="3"/>
      <c r="USR127" s="3"/>
      <c r="USS127" s="3"/>
      <c r="UST127" s="3"/>
      <c r="USU127" s="3"/>
      <c r="USV127" s="3"/>
      <c r="USW127" s="3"/>
      <c r="USX127" s="3"/>
      <c r="USY127" s="3"/>
      <c r="USZ127" s="3"/>
      <c r="UTA127" s="3"/>
      <c r="UTB127" s="3"/>
      <c r="UTC127" s="3"/>
      <c r="UTD127" s="3"/>
      <c r="UTE127" s="3"/>
      <c r="UTF127" s="3"/>
      <c r="UTG127" s="3"/>
      <c r="UTH127" s="3"/>
      <c r="UTI127" s="3"/>
      <c r="UTJ127" s="3"/>
      <c r="UTK127" s="3"/>
      <c r="UTL127" s="3"/>
      <c r="UTM127" s="3"/>
      <c r="UTN127" s="3"/>
      <c r="UTO127" s="3"/>
      <c r="UTP127" s="3"/>
      <c r="UTQ127" s="3"/>
      <c r="UTR127" s="3"/>
      <c r="UTS127" s="3"/>
      <c r="UTT127" s="3"/>
      <c r="UTU127" s="3"/>
      <c r="UTV127" s="3"/>
      <c r="UTW127" s="3"/>
      <c r="UTX127" s="3"/>
      <c r="UTY127" s="3"/>
      <c r="UTZ127" s="3"/>
      <c r="UUA127" s="3"/>
      <c r="UUB127" s="3"/>
      <c r="UUC127" s="3"/>
      <c r="UUD127" s="3"/>
      <c r="UUE127" s="3"/>
      <c r="UUF127" s="3"/>
      <c r="UUG127" s="3"/>
      <c r="UUH127" s="3"/>
      <c r="UUI127" s="3"/>
      <c r="UUJ127" s="3"/>
      <c r="UUK127" s="3"/>
      <c r="UUL127" s="3"/>
      <c r="UUM127" s="3"/>
      <c r="UUN127" s="3"/>
      <c r="UUO127" s="3"/>
      <c r="UUP127" s="3"/>
      <c r="UUQ127" s="3"/>
      <c r="UUR127" s="3"/>
      <c r="UUS127" s="3"/>
      <c r="UUT127" s="3"/>
      <c r="UUU127" s="3"/>
      <c r="UUV127" s="3"/>
      <c r="UUW127" s="3"/>
      <c r="UUX127" s="3"/>
      <c r="UUY127" s="3"/>
      <c r="UUZ127" s="3"/>
      <c r="UVA127" s="3"/>
      <c r="UVB127" s="3"/>
      <c r="UVC127" s="3"/>
      <c r="UVD127" s="3"/>
      <c r="UVE127" s="3"/>
      <c r="UVF127" s="3"/>
      <c r="UVG127" s="3"/>
      <c r="UVH127" s="3"/>
      <c r="UVI127" s="3"/>
      <c r="UVJ127" s="3"/>
      <c r="UVK127" s="3"/>
      <c r="UVL127" s="3"/>
      <c r="UVM127" s="3"/>
      <c r="UVN127" s="3"/>
      <c r="UVO127" s="3"/>
      <c r="UVP127" s="3"/>
      <c r="UVQ127" s="3"/>
      <c r="UVR127" s="3"/>
      <c r="UVS127" s="3"/>
      <c r="UVT127" s="3"/>
      <c r="UVU127" s="3"/>
      <c r="UVV127" s="3"/>
      <c r="UVW127" s="3"/>
      <c r="UVX127" s="3"/>
      <c r="UVY127" s="3"/>
      <c r="UVZ127" s="3"/>
      <c r="UWA127" s="3"/>
      <c r="UWB127" s="3"/>
      <c r="UWC127" s="3"/>
      <c r="UWD127" s="3"/>
      <c r="UWE127" s="3"/>
      <c r="UWF127" s="3"/>
      <c r="UWG127" s="3"/>
      <c r="UWH127" s="3"/>
      <c r="UWI127" s="3"/>
      <c r="UWJ127" s="3"/>
      <c r="UWK127" s="3"/>
      <c r="UWL127" s="3"/>
      <c r="UWM127" s="3"/>
      <c r="UWN127" s="3"/>
      <c r="UWO127" s="3"/>
      <c r="UWP127" s="3"/>
      <c r="UWQ127" s="3"/>
      <c r="UWR127" s="3"/>
      <c r="UWS127" s="3"/>
      <c r="UWT127" s="3"/>
      <c r="UWU127" s="3"/>
      <c r="UWV127" s="3"/>
      <c r="UWW127" s="3"/>
      <c r="UWX127" s="3"/>
      <c r="UWY127" s="3"/>
      <c r="UWZ127" s="3"/>
      <c r="UXA127" s="3"/>
      <c r="UXB127" s="3"/>
      <c r="UXC127" s="3"/>
      <c r="UXD127" s="3"/>
      <c r="UXE127" s="3"/>
      <c r="UXF127" s="3"/>
      <c r="UXG127" s="3"/>
      <c r="UXH127" s="3"/>
      <c r="UXI127" s="3"/>
      <c r="UXJ127" s="3"/>
      <c r="UXK127" s="3"/>
      <c r="UXL127" s="3"/>
      <c r="UXM127" s="3"/>
      <c r="UXN127" s="3"/>
      <c r="UXO127" s="3"/>
      <c r="UXP127" s="3"/>
      <c r="UXQ127" s="3"/>
      <c r="UXR127" s="3"/>
      <c r="UXS127" s="3"/>
      <c r="UXT127" s="3"/>
      <c r="UXU127" s="3"/>
      <c r="UXV127" s="3"/>
      <c r="UXW127" s="3"/>
      <c r="UXX127" s="3"/>
      <c r="UXY127" s="3"/>
      <c r="UXZ127" s="3"/>
      <c r="UYA127" s="3"/>
      <c r="UYB127" s="3"/>
      <c r="UYC127" s="3"/>
      <c r="UYD127" s="3"/>
      <c r="UYE127" s="3"/>
      <c r="UYF127" s="3"/>
      <c r="UYG127" s="3"/>
      <c r="UYH127" s="3"/>
      <c r="UYI127" s="3"/>
      <c r="UYJ127" s="3"/>
      <c r="UYK127" s="3"/>
      <c r="UYL127" s="3"/>
      <c r="UYM127" s="3"/>
      <c r="UYN127" s="3"/>
      <c r="UYO127" s="3"/>
      <c r="UYP127" s="3"/>
      <c r="UYQ127" s="3"/>
      <c r="UYR127" s="3"/>
      <c r="UYS127" s="3"/>
      <c r="UYT127" s="3"/>
      <c r="UYU127" s="3"/>
      <c r="UYV127" s="3"/>
      <c r="UYW127" s="3"/>
      <c r="UYX127" s="3"/>
      <c r="UYY127" s="3"/>
      <c r="UYZ127" s="3"/>
      <c r="UZA127" s="3"/>
      <c r="UZB127" s="3"/>
      <c r="UZC127" s="3"/>
      <c r="UZD127" s="3"/>
      <c r="UZE127" s="3"/>
      <c r="UZF127" s="3"/>
      <c r="UZG127" s="3"/>
      <c r="UZH127" s="3"/>
      <c r="UZI127" s="3"/>
      <c r="UZJ127" s="3"/>
      <c r="UZK127" s="3"/>
      <c r="UZL127" s="3"/>
      <c r="UZM127" s="3"/>
      <c r="UZN127" s="3"/>
      <c r="UZO127" s="3"/>
      <c r="UZP127" s="3"/>
      <c r="UZQ127" s="3"/>
      <c r="UZR127" s="3"/>
      <c r="UZS127" s="3"/>
      <c r="UZT127" s="3"/>
      <c r="UZU127" s="3"/>
      <c r="UZV127" s="3"/>
      <c r="UZW127" s="3"/>
      <c r="UZX127" s="3"/>
      <c r="UZY127" s="3"/>
      <c r="UZZ127" s="3"/>
      <c r="VAA127" s="3"/>
      <c r="VAB127" s="3"/>
      <c r="VAC127" s="3"/>
      <c r="VAD127" s="3"/>
      <c r="VAE127" s="3"/>
      <c r="VAF127" s="3"/>
      <c r="VAG127" s="3"/>
      <c r="VAH127" s="3"/>
      <c r="VAI127" s="3"/>
      <c r="VAJ127" s="3"/>
      <c r="VAK127" s="3"/>
      <c r="VAL127" s="3"/>
      <c r="VAM127" s="3"/>
      <c r="VAN127" s="3"/>
      <c r="VAO127" s="3"/>
      <c r="VAP127" s="3"/>
      <c r="VAQ127" s="3"/>
      <c r="VAR127" s="3"/>
      <c r="VAS127" s="3"/>
      <c r="VAT127" s="3"/>
      <c r="VAU127" s="3"/>
      <c r="VAV127" s="3"/>
      <c r="VAW127" s="3"/>
      <c r="VAX127" s="3"/>
      <c r="VAY127" s="3"/>
      <c r="VAZ127" s="3"/>
      <c r="VBA127" s="3"/>
      <c r="VBB127" s="3"/>
      <c r="VBC127" s="3"/>
      <c r="VBD127" s="3"/>
      <c r="VBE127" s="3"/>
      <c r="VBF127" s="3"/>
      <c r="VBG127" s="3"/>
      <c r="VBH127" s="3"/>
      <c r="VBI127" s="3"/>
      <c r="VBJ127" s="3"/>
      <c r="VBK127" s="3"/>
      <c r="VBL127" s="3"/>
      <c r="VBM127" s="3"/>
      <c r="VBN127" s="3"/>
      <c r="VBO127" s="3"/>
      <c r="VBP127" s="3"/>
      <c r="VBQ127" s="3"/>
      <c r="VBR127" s="3"/>
      <c r="VBS127" s="3"/>
      <c r="VBT127" s="3"/>
      <c r="VBU127" s="3"/>
      <c r="VBV127" s="3"/>
      <c r="VBW127" s="3"/>
      <c r="VBX127" s="3"/>
      <c r="VBY127" s="3"/>
      <c r="VBZ127" s="3"/>
      <c r="VCA127" s="3"/>
      <c r="VCB127" s="3"/>
      <c r="VCC127" s="3"/>
      <c r="VCD127" s="3"/>
      <c r="VCE127" s="3"/>
      <c r="VCF127" s="3"/>
      <c r="VCG127" s="3"/>
      <c r="VCH127" s="3"/>
      <c r="VCI127" s="3"/>
      <c r="VCJ127" s="3"/>
      <c r="VCK127" s="3"/>
      <c r="VCL127" s="3"/>
      <c r="VCM127" s="3"/>
      <c r="VCN127" s="3"/>
      <c r="VCO127" s="3"/>
      <c r="VCP127" s="3"/>
      <c r="VCQ127" s="3"/>
      <c r="VCR127" s="3"/>
      <c r="VCS127" s="3"/>
      <c r="VCT127" s="3"/>
      <c r="VCU127" s="3"/>
      <c r="VCV127" s="3"/>
      <c r="VCW127" s="3"/>
      <c r="VCX127" s="3"/>
      <c r="VCY127" s="3"/>
      <c r="VCZ127" s="3"/>
      <c r="VDA127" s="3"/>
      <c r="VDB127" s="3"/>
      <c r="VDC127" s="3"/>
      <c r="VDD127" s="3"/>
      <c r="VDE127" s="3"/>
      <c r="VDF127" s="3"/>
      <c r="VDG127" s="3"/>
      <c r="VDH127" s="3"/>
      <c r="VDI127" s="3"/>
      <c r="VDJ127" s="3"/>
      <c r="VDK127" s="3"/>
      <c r="VDL127" s="3"/>
      <c r="VDM127" s="3"/>
      <c r="VDN127" s="3"/>
      <c r="VDO127" s="3"/>
      <c r="VDP127" s="3"/>
      <c r="VDQ127" s="3"/>
      <c r="VDR127" s="3"/>
      <c r="VDS127" s="3"/>
      <c r="VDT127" s="3"/>
      <c r="VDU127" s="3"/>
      <c r="VDV127" s="3"/>
      <c r="VDW127" s="3"/>
      <c r="VDX127" s="3"/>
      <c r="VDY127" s="3"/>
      <c r="VDZ127" s="3"/>
      <c r="VEA127" s="3"/>
      <c r="VEB127" s="3"/>
      <c r="VEC127" s="3"/>
      <c r="VED127" s="3"/>
      <c r="VEE127" s="3"/>
      <c r="VEF127" s="3"/>
      <c r="VEG127" s="3"/>
      <c r="VEH127" s="3"/>
      <c r="VEI127" s="3"/>
      <c r="VEJ127" s="3"/>
      <c r="VEK127" s="3"/>
      <c r="VEL127" s="3"/>
      <c r="VEM127" s="3"/>
      <c r="VEN127" s="3"/>
      <c r="VEO127" s="3"/>
      <c r="VEP127" s="3"/>
      <c r="VEQ127" s="3"/>
      <c r="VER127" s="3"/>
      <c r="VES127" s="3"/>
      <c r="VET127" s="3"/>
      <c r="VEU127" s="3"/>
      <c r="VEV127" s="3"/>
      <c r="VEW127" s="3"/>
      <c r="VEX127" s="3"/>
      <c r="VEY127" s="3"/>
      <c r="VEZ127" s="3"/>
      <c r="VFA127" s="3"/>
      <c r="VFB127" s="3"/>
      <c r="VFC127" s="3"/>
      <c r="VFD127" s="3"/>
      <c r="VFE127" s="3"/>
      <c r="VFF127" s="3"/>
      <c r="VFG127" s="3"/>
      <c r="VFH127" s="3"/>
      <c r="VFI127" s="3"/>
      <c r="VFJ127" s="3"/>
      <c r="VFK127" s="3"/>
      <c r="VFL127" s="3"/>
      <c r="VFM127" s="3"/>
      <c r="VFN127" s="3"/>
      <c r="VFO127" s="3"/>
      <c r="VFP127" s="3"/>
      <c r="VFQ127" s="3"/>
      <c r="VFR127" s="3"/>
      <c r="VFS127" s="3"/>
      <c r="VFT127" s="3"/>
      <c r="VFU127" s="3"/>
      <c r="VFV127" s="3"/>
      <c r="VFW127" s="3"/>
      <c r="VFX127" s="3"/>
      <c r="VFY127" s="3"/>
      <c r="VFZ127" s="3"/>
      <c r="VGA127" s="3"/>
      <c r="VGB127" s="3"/>
      <c r="VGC127" s="3"/>
      <c r="VGD127" s="3"/>
      <c r="VGE127"/>
      <c r="VGF127"/>
      <c r="VGG127"/>
      <c r="VGH127"/>
      <c r="VGI127"/>
      <c r="VGJ127"/>
      <c r="VGK127"/>
      <c r="VGL127"/>
      <c r="VGM127"/>
      <c r="VGN127"/>
      <c r="VGO127"/>
      <c r="VGP127"/>
      <c r="VGQ127"/>
      <c r="VGR127"/>
      <c r="VGS127"/>
      <c r="VGT127"/>
      <c r="VGU127"/>
      <c r="VGV127"/>
      <c r="VGW127"/>
      <c r="VGX127"/>
      <c r="VGY127"/>
      <c r="VGZ127"/>
      <c r="VHA127"/>
      <c r="VHB127"/>
      <c r="VHC127"/>
      <c r="VHD127"/>
      <c r="VHE127"/>
      <c r="VHF127"/>
      <c r="VHG127"/>
      <c r="VHH127"/>
      <c r="VHI127"/>
      <c r="VHJ127"/>
      <c r="VHK127"/>
      <c r="VHL127"/>
      <c r="VHM127"/>
      <c r="VHN127"/>
      <c r="VHO127"/>
      <c r="VHP127"/>
      <c r="VHQ127"/>
      <c r="VHR127"/>
      <c r="VHS127"/>
      <c r="VHT127"/>
      <c r="VHU127"/>
      <c r="VHV127"/>
      <c r="VHW127"/>
      <c r="VHX127"/>
      <c r="VHY127"/>
      <c r="VHZ127"/>
      <c r="VIA127"/>
      <c r="VIB127"/>
      <c r="VIC127"/>
      <c r="VID127"/>
      <c r="VIE127"/>
      <c r="VIF127"/>
      <c r="VIG127"/>
      <c r="VIH127"/>
      <c r="VII127"/>
      <c r="VIJ127"/>
      <c r="VIK127"/>
      <c r="VIL127"/>
      <c r="VIM127"/>
      <c r="VIN127"/>
      <c r="VIO127"/>
      <c r="VIP127"/>
      <c r="VIQ127"/>
      <c r="VIR127"/>
      <c r="VIS127"/>
      <c r="VIT127"/>
      <c r="VIU127"/>
      <c r="VIV127"/>
      <c r="VIW127"/>
      <c r="VIX127"/>
      <c r="VIY127"/>
      <c r="VIZ127"/>
      <c r="VJA127"/>
      <c r="VJB127"/>
      <c r="VJC127"/>
      <c r="VJD127"/>
      <c r="VJE127"/>
      <c r="VJF127"/>
      <c r="VJG127"/>
      <c r="VJH127"/>
      <c r="VJI127"/>
      <c r="VJJ127"/>
      <c r="VJK127"/>
      <c r="VJL127"/>
      <c r="VJM127"/>
      <c r="VJN127"/>
      <c r="VJO127"/>
      <c r="VJP127"/>
      <c r="VJQ127"/>
      <c r="VJR127"/>
      <c r="VJS127"/>
      <c r="VJT127"/>
      <c r="VJU127"/>
      <c r="VJV127"/>
      <c r="VJW127"/>
      <c r="VJX127"/>
      <c r="VJY127"/>
      <c r="VJZ127"/>
      <c r="VKA127"/>
      <c r="VKB127"/>
      <c r="VKC127"/>
      <c r="VKD127"/>
      <c r="VKE127"/>
      <c r="VKF127"/>
      <c r="VKG127"/>
      <c r="VKH127"/>
      <c r="VKI127"/>
      <c r="VKJ127"/>
      <c r="VKK127"/>
      <c r="VKL127"/>
      <c r="VKM127"/>
      <c r="VKN127"/>
      <c r="VKO127"/>
      <c r="VKP127"/>
      <c r="VKQ127"/>
      <c r="VKR127"/>
      <c r="VKS127"/>
      <c r="VKT127"/>
      <c r="VKU127"/>
      <c r="VKV127"/>
      <c r="VKW127"/>
      <c r="VKX127"/>
      <c r="VKY127"/>
      <c r="VKZ127"/>
      <c r="VLA127"/>
      <c r="VLB127"/>
      <c r="VLC127"/>
      <c r="VLD127"/>
      <c r="VLE127"/>
      <c r="VLF127"/>
      <c r="VLG127"/>
      <c r="VLH127"/>
      <c r="VLI127"/>
      <c r="VLJ127"/>
      <c r="VLK127"/>
      <c r="VLL127"/>
      <c r="VLM127"/>
      <c r="VLN127"/>
      <c r="VLO127"/>
      <c r="VLP127"/>
      <c r="VLQ127"/>
      <c r="VLR127"/>
      <c r="VLS127"/>
      <c r="VLT127"/>
      <c r="VLU127"/>
      <c r="VLV127"/>
      <c r="VLW127"/>
      <c r="VLX127"/>
      <c r="VLY127"/>
      <c r="VLZ127"/>
      <c r="VMA127"/>
      <c r="VMB127"/>
      <c r="VMC127"/>
      <c r="VMD127"/>
      <c r="VME127"/>
      <c r="VMF127"/>
      <c r="VMG127"/>
      <c r="VMH127"/>
      <c r="VMI127"/>
      <c r="VMJ127"/>
      <c r="VMK127"/>
      <c r="VML127"/>
      <c r="VMM127"/>
      <c r="VMN127"/>
      <c r="VMO127"/>
      <c r="VMP127"/>
      <c r="VMQ127"/>
      <c r="VMR127"/>
      <c r="VMS127"/>
      <c r="VMT127"/>
      <c r="VMU127"/>
      <c r="VMV127"/>
      <c r="VMW127"/>
      <c r="VMX127"/>
      <c r="VMY127"/>
      <c r="VMZ127"/>
      <c r="VNA127"/>
      <c r="VNB127"/>
      <c r="VNC127"/>
      <c r="VND127"/>
      <c r="VNE127"/>
      <c r="VNF127"/>
      <c r="VNG127"/>
      <c r="VNH127"/>
      <c r="VNI127"/>
      <c r="VNJ127"/>
      <c r="VNK127"/>
      <c r="VNL127"/>
      <c r="VNM127"/>
      <c r="VNN127"/>
      <c r="VNO127"/>
      <c r="VNP127"/>
      <c r="VNQ127"/>
      <c r="VNR127"/>
      <c r="VNS127"/>
      <c r="VNT127"/>
      <c r="VNU127"/>
      <c r="VNV127"/>
      <c r="VNW127"/>
      <c r="VNX127"/>
      <c r="VNY127"/>
      <c r="VNZ127"/>
      <c r="VOA127"/>
      <c r="VOB127"/>
      <c r="VOC127"/>
      <c r="VOD127"/>
      <c r="VOE127"/>
      <c r="VOF127"/>
      <c r="VOG127"/>
      <c r="VOH127"/>
      <c r="VOI127"/>
      <c r="VOJ127"/>
      <c r="VOK127"/>
      <c r="VOL127"/>
      <c r="VOM127"/>
      <c r="VON127"/>
      <c r="VOO127"/>
      <c r="VOP127"/>
      <c r="VOQ127"/>
      <c r="VOR127"/>
      <c r="VOS127"/>
      <c r="VOT127"/>
      <c r="VOU127"/>
      <c r="VOV127"/>
      <c r="VOW127"/>
      <c r="VOX127"/>
      <c r="VOY127"/>
      <c r="VOZ127"/>
      <c r="VPA127"/>
      <c r="VPB127"/>
      <c r="VPC127"/>
      <c r="VPD127"/>
      <c r="VPE127"/>
      <c r="VPF127"/>
      <c r="VPG127"/>
      <c r="VPH127"/>
      <c r="VPI127"/>
      <c r="VPJ127"/>
      <c r="VPK127"/>
      <c r="VPL127"/>
      <c r="VPM127"/>
      <c r="VPN127"/>
      <c r="VPO127"/>
      <c r="VPP127"/>
      <c r="VPQ127"/>
      <c r="VPR127"/>
      <c r="VPS127"/>
      <c r="VPT127"/>
      <c r="VPU127"/>
      <c r="VPV127"/>
      <c r="VPW127"/>
      <c r="VPX127"/>
      <c r="VPY127"/>
      <c r="VPZ127"/>
      <c r="VQA127"/>
      <c r="VQB127"/>
      <c r="VQC127"/>
      <c r="VQD127"/>
      <c r="VQE127"/>
      <c r="VQF127"/>
      <c r="VQG127"/>
      <c r="VQH127"/>
      <c r="VQI127"/>
      <c r="VQJ127"/>
      <c r="VQK127"/>
      <c r="VQL127"/>
      <c r="VQM127"/>
      <c r="VQN127"/>
      <c r="VQO127"/>
      <c r="VQP127"/>
      <c r="VQQ127"/>
      <c r="VQR127"/>
      <c r="VQS127"/>
      <c r="VQT127"/>
      <c r="VQU127"/>
      <c r="VQV127"/>
      <c r="VQW127"/>
      <c r="VQX127"/>
      <c r="VQY127"/>
      <c r="VQZ127"/>
      <c r="VRA127"/>
      <c r="VRB127"/>
      <c r="VRC127"/>
      <c r="VRD127"/>
      <c r="VRE127"/>
      <c r="VRF127"/>
      <c r="VRG127"/>
      <c r="VRH127"/>
      <c r="VRI127"/>
      <c r="VRJ127"/>
      <c r="VRK127"/>
      <c r="VRL127"/>
      <c r="VRM127"/>
      <c r="VRN127"/>
      <c r="VRO127"/>
      <c r="VRP127"/>
      <c r="VRQ127"/>
      <c r="VRR127"/>
      <c r="VRS127"/>
      <c r="VRT127"/>
      <c r="VRU127"/>
      <c r="VRV127"/>
      <c r="VRW127"/>
      <c r="VRX127"/>
      <c r="VRY127"/>
      <c r="VRZ127"/>
      <c r="VSA127"/>
      <c r="VSB127"/>
      <c r="VSC127"/>
      <c r="VSD127"/>
      <c r="VSE127"/>
      <c r="VSF127"/>
      <c r="VSG127"/>
      <c r="VSH127"/>
      <c r="VSI127"/>
      <c r="VSJ127"/>
      <c r="VSK127"/>
      <c r="VSL127"/>
      <c r="VSM127"/>
      <c r="VSN127"/>
      <c r="VSO127"/>
      <c r="VSP127"/>
      <c r="VSQ127"/>
      <c r="VSR127"/>
      <c r="VSS127"/>
      <c r="VST127"/>
      <c r="VSU127"/>
      <c r="VSV127"/>
      <c r="VSW127"/>
      <c r="VSX127"/>
      <c r="VSY127"/>
      <c r="VSZ127"/>
      <c r="VTA127"/>
      <c r="VTB127"/>
      <c r="VTC127"/>
      <c r="VTD127"/>
      <c r="VTE127"/>
      <c r="VTF127"/>
      <c r="VTG127"/>
      <c r="VTH127"/>
      <c r="VTI127"/>
      <c r="VTJ127"/>
      <c r="VTK127"/>
      <c r="VTL127"/>
      <c r="VTM127"/>
      <c r="VTN127"/>
      <c r="VTO127"/>
      <c r="VTP127"/>
      <c r="VTQ127"/>
      <c r="VTR127"/>
      <c r="VTS127"/>
      <c r="VTT127"/>
      <c r="VTU127"/>
      <c r="VTV127"/>
      <c r="VTW127"/>
      <c r="VTX127"/>
      <c r="VTY127"/>
      <c r="VTZ127"/>
      <c r="VUA127"/>
      <c r="VUB127"/>
      <c r="VUC127"/>
      <c r="VUD127"/>
      <c r="VUE127"/>
      <c r="VUF127"/>
      <c r="VUG127"/>
      <c r="VUH127"/>
      <c r="VUI127"/>
      <c r="VUJ127"/>
      <c r="VUK127"/>
      <c r="VUL127"/>
      <c r="VUM127"/>
      <c r="VUN127"/>
      <c r="VUO127"/>
      <c r="VUP127"/>
      <c r="VUQ127"/>
      <c r="VUR127"/>
      <c r="VUS127"/>
      <c r="VUT127"/>
      <c r="VUU127"/>
      <c r="VUV127"/>
      <c r="VUW127"/>
      <c r="VUX127"/>
      <c r="VUY127"/>
      <c r="VUZ127"/>
      <c r="VVA127"/>
      <c r="VVB127"/>
      <c r="VVC127"/>
      <c r="VVD127"/>
      <c r="VVE127"/>
      <c r="VVF127"/>
      <c r="VVG127"/>
    </row>
    <row r="128" spans="1:15451" s="1" customFormat="1">
      <c r="B128" s="55"/>
      <c r="C128" s="216" t="s">
        <v>118</v>
      </c>
      <c r="D128" s="134"/>
      <c r="E128" s="217" t="s">
        <v>9</v>
      </c>
      <c r="F128" s="135">
        <v>0</v>
      </c>
      <c r="G128" s="135">
        <v>0</v>
      </c>
      <c r="H128" s="135">
        <v>31287</v>
      </c>
      <c r="I128" s="135">
        <v>39423</v>
      </c>
      <c r="J128" s="135">
        <v>0</v>
      </c>
      <c r="K128" s="135">
        <v>0</v>
      </c>
      <c r="L128" s="135">
        <v>48887</v>
      </c>
      <c r="M128" s="135">
        <v>0</v>
      </c>
      <c r="N128" s="135">
        <v>0</v>
      </c>
      <c r="O128" s="135">
        <v>37795</v>
      </c>
      <c r="P128" s="135">
        <v>0</v>
      </c>
      <c r="Q128" s="135">
        <v>34284</v>
      </c>
      <c r="R128" s="135">
        <v>0</v>
      </c>
      <c r="S128" s="135">
        <v>0</v>
      </c>
      <c r="T128" s="135">
        <v>0</v>
      </c>
      <c r="U128" s="135">
        <v>82047</v>
      </c>
      <c r="V128" s="135">
        <v>0</v>
      </c>
      <c r="W128" s="135">
        <v>0</v>
      </c>
      <c r="X128" s="135">
        <v>23087</v>
      </c>
      <c r="Y128" s="135">
        <v>36331</v>
      </c>
      <c r="Z128" s="135">
        <v>0</v>
      </c>
      <c r="AA128" s="135">
        <v>0</v>
      </c>
      <c r="AB128" s="135">
        <v>14604</v>
      </c>
      <c r="AC128" s="135">
        <v>41895</v>
      </c>
      <c r="AD128" s="135">
        <v>0</v>
      </c>
      <c r="AE128" s="135">
        <v>0</v>
      </c>
      <c r="AF128" s="135">
        <v>0</v>
      </c>
      <c r="AG128" s="135">
        <v>60012</v>
      </c>
      <c r="AH128" s="135">
        <v>0</v>
      </c>
      <c r="AI128" s="135">
        <v>0</v>
      </c>
      <c r="AJ128" s="135">
        <v>0</v>
      </c>
      <c r="AK128" s="151"/>
      <c r="AL128" s="149">
        <f>SUM(F128:AJ128)</f>
        <v>449652</v>
      </c>
      <c r="AN128" s="106"/>
      <c r="BH128" s="246"/>
      <c r="EB128" s="233"/>
      <c r="EC128" s="233"/>
      <c r="FI128" s="233"/>
    </row>
    <row r="129" spans="1:15451" s="1" customFormat="1">
      <c r="B129" s="55"/>
      <c r="C129" s="216" t="s">
        <v>115</v>
      </c>
      <c r="D129" s="134"/>
      <c r="E129" s="217" t="s">
        <v>9</v>
      </c>
      <c r="F129" s="135">
        <v>6956.4434400000009</v>
      </c>
      <c r="G129" s="135">
        <v>23919.958160000002</v>
      </c>
      <c r="H129" s="135">
        <v>24223.218939999999</v>
      </c>
      <c r="I129" s="135">
        <v>22183.83872</v>
      </c>
      <c r="J129" s="135">
        <v>22320.380440000001</v>
      </c>
      <c r="K129" s="135">
        <v>0</v>
      </c>
      <c r="L129" s="135">
        <v>16799.104760000002</v>
      </c>
      <c r="M129" s="135">
        <v>16426.666519999999</v>
      </c>
      <c r="N129" s="135">
        <v>17511.108799999998</v>
      </c>
      <c r="O129" s="135">
        <v>18739.950379999998</v>
      </c>
      <c r="P129" s="135">
        <v>18711.592840000001</v>
      </c>
      <c r="Q129" s="135">
        <v>20242.889200000001</v>
      </c>
      <c r="R129" s="135">
        <v>0</v>
      </c>
      <c r="S129" s="135">
        <v>19715.305379999998</v>
      </c>
      <c r="T129" s="135">
        <v>19218.780799999997</v>
      </c>
      <c r="U129" s="135">
        <v>22749.540560000001</v>
      </c>
      <c r="V129" s="135">
        <v>24154.041679999998</v>
      </c>
      <c r="W129" s="135">
        <v>23511.214899999999</v>
      </c>
      <c r="X129" s="135">
        <v>0</v>
      </c>
      <c r="Y129" s="135">
        <v>0</v>
      </c>
      <c r="Z129" s="135">
        <v>22281.373519999997</v>
      </c>
      <c r="AA129" s="135">
        <v>17073.014999999999</v>
      </c>
      <c r="AB129" s="135">
        <v>17072.112099999998</v>
      </c>
      <c r="AC129" s="135">
        <v>17072.112099999998</v>
      </c>
      <c r="AD129" s="135">
        <v>15852.024200000002</v>
      </c>
      <c r="AE129" s="135">
        <v>17072.112099999998</v>
      </c>
      <c r="AF129" s="135">
        <v>0</v>
      </c>
      <c r="AG129" s="135">
        <v>17120.879499999999</v>
      </c>
      <c r="AH129" s="135">
        <v>17120.879499999999</v>
      </c>
      <c r="AI129" s="135">
        <v>17120.879499999999</v>
      </c>
      <c r="AJ129" s="135">
        <v>17072.112299999997</v>
      </c>
      <c r="AK129" s="151"/>
      <c r="AL129" s="149">
        <f>SUM(AL130:AL131)</f>
        <v>492241.53534000012</v>
      </c>
      <c r="AN129" s="106">
        <f>AL130/1000</f>
        <v>492.14109384000011</v>
      </c>
      <c r="AP129" s="1">
        <v>814</v>
      </c>
      <c r="EB129" s="233"/>
      <c r="EC129" s="233"/>
      <c r="FI129" s="233"/>
    </row>
    <row r="130" spans="1:15451" s="1" customFormat="1" ht="14.25">
      <c r="B130" s="55"/>
      <c r="C130" s="218" t="s">
        <v>65</v>
      </c>
      <c r="D130" s="59"/>
      <c r="E130" s="219" t="s">
        <v>9</v>
      </c>
      <c r="F130" s="71">
        <f>SUM(F133:F135)*9.75348</f>
        <v>6954.2312400000001</v>
      </c>
      <c r="G130" s="71">
        <f t="shared" ref="G130:T130" si="99">SUM(G133:G135)*9.75348</f>
        <v>23915.53296</v>
      </c>
      <c r="H130" s="71">
        <f t="shared" si="99"/>
        <v>24217.89084</v>
      </c>
      <c r="I130" s="71">
        <f t="shared" si="99"/>
        <v>22179.413519999998</v>
      </c>
      <c r="J130" s="71">
        <f t="shared" si="99"/>
        <v>22315.962240000001</v>
      </c>
      <c r="K130" s="71">
        <f t="shared" si="99"/>
        <v>0</v>
      </c>
      <c r="L130" s="71">
        <f t="shared" si="99"/>
        <v>16795.492559999999</v>
      </c>
      <c r="M130" s="71">
        <f t="shared" si="99"/>
        <v>16424.86032</v>
      </c>
      <c r="N130" s="71">
        <f t="shared" si="99"/>
        <v>17507.496599999999</v>
      </c>
      <c r="O130" s="71">
        <f t="shared" si="99"/>
        <v>18736.435079999999</v>
      </c>
      <c r="P130" s="71">
        <f t="shared" si="99"/>
        <v>18707.174640000001</v>
      </c>
      <c r="Q130" s="71">
        <f t="shared" si="99"/>
        <v>20238.470999999998</v>
      </c>
      <c r="R130" s="71">
        <f t="shared" si="99"/>
        <v>0</v>
      </c>
      <c r="S130" s="71">
        <f t="shared" si="99"/>
        <v>19711.783080000001</v>
      </c>
      <c r="T130" s="71">
        <f t="shared" si="99"/>
        <v>19214.355599999999</v>
      </c>
      <c r="U130" s="71">
        <f t="shared" ref="U130:AJ130" si="100">SUM(U133:U135)*9.75348</f>
        <v>22745.11536</v>
      </c>
      <c r="V130" s="71">
        <f t="shared" si="100"/>
        <v>24149.616480000001</v>
      </c>
      <c r="W130" s="71">
        <f t="shared" si="100"/>
        <v>23505.8868</v>
      </c>
      <c r="X130" s="71">
        <f t="shared" si="100"/>
        <v>0</v>
      </c>
      <c r="Y130" s="71">
        <f t="shared" si="100"/>
        <v>0</v>
      </c>
      <c r="Z130" s="71">
        <f t="shared" si="100"/>
        <v>22276.94832</v>
      </c>
      <c r="AA130" s="71">
        <f t="shared" si="100"/>
        <v>17068.59</v>
      </c>
      <c r="AB130" s="71">
        <f t="shared" si="100"/>
        <v>17068.59</v>
      </c>
      <c r="AC130" s="71">
        <f t="shared" si="100"/>
        <v>17068.59</v>
      </c>
      <c r="AD130" s="71">
        <f t="shared" si="100"/>
        <v>15849.404999999999</v>
      </c>
      <c r="AE130" s="71">
        <f t="shared" ref="AE130:AG130" si="101">SUM(AE133:AE135)*9.75348</f>
        <v>17068.59</v>
      </c>
      <c r="AF130" s="71">
        <f t="shared" si="101"/>
        <v>0</v>
      </c>
      <c r="AG130" s="71">
        <f t="shared" si="101"/>
        <v>17117.357400000001</v>
      </c>
      <c r="AH130" s="71">
        <f t="shared" si="100"/>
        <v>17117.357400000001</v>
      </c>
      <c r="AI130" s="71">
        <f t="shared" si="100"/>
        <v>17117.357400000001</v>
      </c>
      <c r="AJ130" s="71">
        <f t="shared" si="100"/>
        <v>17068.59</v>
      </c>
      <c r="AK130" s="105"/>
      <c r="AL130" s="107">
        <f>SUM(F130:AJ130)</f>
        <v>492141.0938400001</v>
      </c>
      <c r="AN130" s="236">
        <f>AN129/AP129*100</f>
        <v>60.459593837837858</v>
      </c>
      <c r="EB130" s="233"/>
      <c r="EC130" s="233"/>
      <c r="FI130" s="233"/>
    </row>
    <row r="131" spans="1:15451" s="1" customFormat="1" ht="14.25">
      <c r="B131" s="55"/>
      <c r="C131" s="218" t="s">
        <v>66</v>
      </c>
      <c r="D131" s="59"/>
      <c r="E131" s="219" t="s">
        <v>9</v>
      </c>
      <c r="F131" s="71">
        <f t="shared" ref="F131:AJ131" si="102">F129-F130</f>
        <v>2.2122000000008484</v>
      </c>
      <c r="G131" s="71">
        <f t="shared" si="102"/>
        <v>4.4252000000014959</v>
      </c>
      <c r="H131" s="71">
        <f t="shared" si="102"/>
        <v>5.3280999999988126</v>
      </c>
      <c r="I131" s="71">
        <f t="shared" si="102"/>
        <v>4.4252000000014959</v>
      </c>
      <c r="J131" s="71">
        <f t="shared" si="102"/>
        <v>4.4182000000000698</v>
      </c>
      <c r="K131" s="71">
        <f t="shared" si="102"/>
        <v>0</v>
      </c>
      <c r="L131" s="71">
        <f t="shared" si="102"/>
        <v>3.6122000000032131</v>
      </c>
      <c r="M131" s="71">
        <f t="shared" si="102"/>
        <v>1.8061999999990803</v>
      </c>
      <c r="N131" s="71">
        <f t="shared" si="102"/>
        <v>3.6121999999995751</v>
      </c>
      <c r="O131" s="71">
        <f t="shared" si="102"/>
        <v>3.5152999999991152</v>
      </c>
      <c r="P131" s="71">
        <f t="shared" si="102"/>
        <v>4.4182000000000698</v>
      </c>
      <c r="Q131" s="71">
        <f t="shared" si="102"/>
        <v>4.4182000000037078</v>
      </c>
      <c r="R131" s="71">
        <f t="shared" si="102"/>
        <v>0</v>
      </c>
      <c r="S131" s="71">
        <f t="shared" si="102"/>
        <v>3.5222999999969034</v>
      </c>
      <c r="T131" s="71">
        <f t="shared" si="102"/>
        <v>4.425199999997858</v>
      </c>
      <c r="U131" s="71">
        <f t="shared" si="102"/>
        <v>4.4252000000014959</v>
      </c>
      <c r="V131" s="71">
        <f t="shared" si="102"/>
        <v>4.425199999997858</v>
      </c>
      <c r="W131" s="71">
        <f t="shared" si="102"/>
        <v>5.3280999999988126</v>
      </c>
      <c r="X131" s="71">
        <f t="shared" si="102"/>
        <v>0</v>
      </c>
      <c r="Y131" s="71">
        <f t="shared" si="102"/>
        <v>0</v>
      </c>
      <c r="Z131" s="71">
        <f t="shared" si="102"/>
        <v>4.425199999997858</v>
      </c>
      <c r="AA131" s="71">
        <f t="shared" si="102"/>
        <v>4.4249999999992724</v>
      </c>
      <c r="AB131" s="71">
        <f t="shared" si="102"/>
        <v>3.5220999999983178</v>
      </c>
      <c r="AC131" s="71">
        <f t="shared" si="102"/>
        <v>3.5220999999983178</v>
      </c>
      <c r="AD131" s="71">
        <f t="shared" si="102"/>
        <v>2.6192000000028202</v>
      </c>
      <c r="AE131" s="71">
        <f t="shared" ref="AE131:AG131" si="103">AE129-AE130</f>
        <v>3.5220999999983178</v>
      </c>
      <c r="AF131" s="71">
        <f t="shared" si="103"/>
        <v>0</v>
      </c>
      <c r="AG131" s="71">
        <f t="shared" si="103"/>
        <v>3.5220999999983178</v>
      </c>
      <c r="AH131" s="71">
        <f t="shared" si="102"/>
        <v>3.5220999999983178</v>
      </c>
      <c r="AI131" s="71">
        <f t="shared" si="102"/>
        <v>3.5220999999983178</v>
      </c>
      <c r="AJ131" s="71">
        <f t="shared" si="102"/>
        <v>3.5222999999969034</v>
      </c>
      <c r="AK131" s="105"/>
      <c r="AL131" s="107">
        <f>SUM(F131:AJ131)</f>
        <v>100.44149999998717</v>
      </c>
      <c r="AN131" s="248"/>
      <c r="EB131" s="233"/>
      <c r="EC131" s="233"/>
      <c r="FI131" s="233"/>
    </row>
    <row r="132" spans="1:15451" s="1" customFormat="1" ht="14.25">
      <c r="B132" s="55"/>
      <c r="C132" s="218" t="s">
        <v>67</v>
      </c>
      <c r="D132" s="59"/>
      <c r="E132" s="55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105"/>
      <c r="AL132" s="153" t="s">
        <v>67</v>
      </c>
      <c r="AN132" s="106"/>
      <c r="EB132" s="233"/>
      <c r="EC132" s="233"/>
      <c r="FI132" s="233"/>
    </row>
    <row r="133" spans="1:15451" s="7" customFormat="1" ht="14.25">
      <c r="B133" s="136"/>
      <c r="C133" s="137" t="s">
        <v>116</v>
      </c>
      <c r="D133" s="25"/>
      <c r="E133" s="221" t="s">
        <v>69</v>
      </c>
      <c r="F133" s="138">
        <v>713</v>
      </c>
      <c r="G133" s="138">
        <v>0</v>
      </c>
      <c r="H133" s="138">
        <v>0</v>
      </c>
      <c r="I133" s="138">
        <v>0</v>
      </c>
      <c r="J133" s="138">
        <v>0</v>
      </c>
      <c r="K133" s="138">
        <v>0</v>
      </c>
      <c r="L133" s="138">
        <v>0</v>
      </c>
      <c r="M133" s="138">
        <v>0</v>
      </c>
      <c r="N133" s="138">
        <v>0</v>
      </c>
      <c r="O133" s="138">
        <v>0</v>
      </c>
      <c r="P133" s="138">
        <v>0</v>
      </c>
      <c r="Q133" s="138">
        <v>0</v>
      </c>
      <c r="R133" s="138">
        <v>0</v>
      </c>
      <c r="S133" s="138">
        <v>0</v>
      </c>
      <c r="T133" s="138">
        <v>0</v>
      </c>
      <c r="U133" s="138">
        <v>0</v>
      </c>
      <c r="V133" s="138">
        <v>0</v>
      </c>
      <c r="W133" s="138">
        <v>0</v>
      </c>
      <c r="X133" s="138">
        <v>0</v>
      </c>
      <c r="Y133" s="138">
        <v>0</v>
      </c>
      <c r="Z133" s="138">
        <v>0</v>
      </c>
      <c r="AA133" s="138">
        <v>0</v>
      </c>
      <c r="AB133" s="138">
        <v>0</v>
      </c>
      <c r="AC133" s="138">
        <v>0</v>
      </c>
      <c r="AD133" s="138">
        <v>0</v>
      </c>
      <c r="AE133" s="138">
        <v>0</v>
      </c>
      <c r="AF133" s="138">
        <v>0</v>
      </c>
      <c r="AG133" s="138">
        <v>0</v>
      </c>
      <c r="AH133" s="138">
        <v>0</v>
      </c>
      <c r="AI133" s="138">
        <v>0</v>
      </c>
      <c r="AJ133" s="138">
        <v>0</v>
      </c>
      <c r="AK133" s="154"/>
      <c r="AL133" s="157">
        <f>SUM(F133:AJ133)</f>
        <v>713</v>
      </c>
      <c r="AN133" s="156"/>
      <c r="EB133" s="270"/>
      <c r="EC133" s="270"/>
      <c r="FI133" s="270"/>
    </row>
    <row r="134" spans="1:15451" s="7" customFormat="1" ht="14.25">
      <c r="B134" s="136"/>
      <c r="C134" s="137" t="s">
        <v>117</v>
      </c>
      <c r="D134" s="25"/>
      <c r="E134" s="221" t="s">
        <v>69</v>
      </c>
      <c r="F134" s="138">
        <v>0</v>
      </c>
      <c r="G134" s="138">
        <v>2452</v>
      </c>
      <c r="H134" s="138">
        <v>2483</v>
      </c>
      <c r="I134" s="138">
        <v>2274</v>
      </c>
      <c r="J134" s="138">
        <v>2288</v>
      </c>
      <c r="K134" s="138">
        <v>0</v>
      </c>
      <c r="L134" s="138">
        <v>1722</v>
      </c>
      <c r="M134" s="138">
        <v>1684</v>
      </c>
      <c r="N134" s="138">
        <v>1795</v>
      </c>
      <c r="O134" s="138">
        <v>1921</v>
      </c>
      <c r="P134" s="138">
        <v>1918</v>
      </c>
      <c r="Q134" s="138">
        <v>2075</v>
      </c>
      <c r="R134" s="138">
        <v>0</v>
      </c>
      <c r="S134" s="138">
        <v>2021</v>
      </c>
      <c r="T134" s="138">
        <v>1970</v>
      </c>
      <c r="U134" s="138">
        <v>2332</v>
      </c>
      <c r="V134" s="138">
        <v>2476</v>
      </c>
      <c r="W134" s="138">
        <v>2410</v>
      </c>
      <c r="X134" s="138">
        <v>0</v>
      </c>
      <c r="Y134" s="138">
        <v>0</v>
      </c>
      <c r="Z134" s="138">
        <v>2284</v>
      </c>
      <c r="AA134" s="138">
        <v>1750</v>
      </c>
      <c r="AB134" s="138">
        <v>1750</v>
      </c>
      <c r="AC134" s="138">
        <v>1750</v>
      </c>
      <c r="AD134" s="138">
        <v>1625</v>
      </c>
      <c r="AE134" s="138">
        <v>1750</v>
      </c>
      <c r="AF134" s="138">
        <v>0</v>
      </c>
      <c r="AG134" s="138">
        <v>1755</v>
      </c>
      <c r="AH134" s="138">
        <v>1755</v>
      </c>
      <c r="AI134" s="138">
        <v>1755</v>
      </c>
      <c r="AJ134" s="138">
        <v>1750</v>
      </c>
      <c r="AK134" s="154"/>
      <c r="AL134" s="157">
        <f>SUM(F134:AJ134)</f>
        <v>49745</v>
      </c>
      <c r="AN134" s="156"/>
      <c r="EB134" s="270"/>
      <c r="EC134" s="270"/>
      <c r="FI134" s="270"/>
    </row>
    <row r="135" spans="1:15451" s="7" customFormat="1" ht="14.25">
      <c r="B135" s="136"/>
      <c r="C135" s="137" t="s">
        <v>121</v>
      </c>
      <c r="D135" s="25"/>
      <c r="E135" s="221" t="s">
        <v>69</v>
      </c>
      <c r="F135" s="138">
        <v>0</v>
      </c>
      <c r="G135" s="138">
        <v>0</v>
      </c>
      <c r="H135" s="138">
        <v>0</v>
      </c>
      <c r="I135" s="138">
        <v>0</v>
      </c>
      <c r="J135" s="138">
        <v>0</v>
      </c>
      <c r="K135" s="138">
        <v>0</v>
      </c>
      <c r="L135" s="138">
        <v>0</v>
      </c>
      <c r="M135" s="138">
        <v>0</v>
      </c>
      <c r="N135" s="138">
        <v>0</v>
      </c>
      <c r="O135" s="138">
        <v>0</v>
      </c>
      <c r="P135" s="138">
        <v>0</v>
      </c>
      <c r="Q135" s="138">
        <v>0</v>
      </c>
      <c r="R135" s="138">
        <v>0</v>
      </c>
      <c r="S135" s="138">
        <v>0</v>
      </c>
      <c r="T135" s="138">
        <v>0</v>
      </c>
      <c r="U135" s="138">
        <v>0</v>
      </c>
      <c r="V135" s="138">
        <v>0</v>
      </c>
      <c r="W135" s="138">
        <v>0</v>
      </c>
      <c r="X135" s="138">
        <v>0</v>
      </c>
      <c r="Y135" s="138">
        <v>0</v>
      </c>
      <c r="Z135" s="138">
        <v>0</v>
      </c>
      <c r="AA135" s="138">
        <v>0</v>
      </c>
      <c r="AB135" s="138">
        <v>0</v>
      </c>
      <c r="AC135" s="138">
        <v>0</v>
      </c>
      <c r="AD135" s="138">
        <v>0</v>
      </c>
      <c r="AE135" s="138">
        <v>0</v>
      </c>
      <c r="AF135" s="138">
        <v>0</v>
      </c>
      <c r="AG135" s="138">
        <v>0</v>
      </c>
      <c r="AH135" s="138">
        <v>0</v>
      </c>
      <c r="AI135" s="138">
        <v>0</v>
      </c>
      <c r="AJ135" s="138">
        <v>0</v>
      </c>
      <c r="AK135" s="154"/>
      <c r="AL135" s="157">
        <f>SUM(F135:AJ135)</f>
        <v>0</v>
      </c>
      <c r="AN135" s="156"/>
      <c r="EB135" s="270"/>
      <c r="EC135" s="270"/>
      <c r="FI135" s="270"/>
    </row>
    <row r="136" spans="1:15451" s="1" customFormat="1" ht="14.25">
      <c r="B136" s="55"/>
      <c r="C136" s="218" t="s">
        <v>71</v>
      </c>
      <c r="D136" s="59"/>
      <c r="E136" s="55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105"/>
      <c r="AL136" s="153" t="s">
        <v>71</v>
      </c>
      <c r="AN136" s="106"/>
      <c r="EB136" s="233"/>
      <c r="EC136" s="233"/>
      <c r="FI136" s="233"/>
    </row>
    <row r="137" spans="1:15451" s="1" customFormat="1" ht="14.25">
      <c r="B137" s="55"/>
      <c r="C137" s="137" t="s">
        <v>116</v>
      </c>
      <c r="D137" s="59"/>
      <c r="E137" s="219" t="s">
        <v>71</v>
      </c>
      <c r="F137" s="44">
        <f>F133*24</f>
        <v>17112</v>
      </c>
      <c r="G137" s="44">
        <f t="shared" ref="G137:AJ137" si="104">G133*24</f>
        <v>0</v>
      </c>
      <c r="H137" s="44">
        <f t="shared" si="104"/>
        <v>0</v>
      </c>
      <c r="I137" s="44">
        <f t="shared" si="104"/>
        <v>0</v>
      </c>
      <c r="J137" s="44">
        <f t="shared" si="104"/>
        <v>0</v>
      </c>
      <c r="K137" s="44">
        <f t="shared" si="104"/>
        <v>0</v>
      </c>
      <c r="L137" s="44">
        <f t="shared" si="104"/>
        <v>0</v>
      </c>
      <c r="M137" s="44">
        <f t="shared" si="104"/>
        <v>0</v>
      </c>
      <c r="N137" s="44">
        <f t="shared" si="104"/>
        <v>0</v>
      </c>
      <c r="O137" s="44">
        <f t="shared" si="104"/>
        <v>0</v>
      </c>
      <c r="P137" s="44">
        <f t="shared" si="104"/>
        <v>0</v>
      </c>
      <c r="Q137" s="44">
        <f t="shared" si="104"/>
        <v>0</v>
      </c>
      <c r="R137" s="44">
        <f t="shared" si="104"/>
        <v>0</v>
      </c>
      <c r="S137" s="44">
        <f t="shared" si="104"/>
        <v>0</v>
      </c>
      <c r="T137" s="44">
        <f t="shared" si="104"/>
        <v>0</v>
      </c>
      <c r="U137" s="44">
        <f t="shared" si="104"/>
        <v>0</v>
      </c>
      <c r="V137" s="44">
        <f t="shared" si="104"/>
        <v>0</v>
      </c>
      <c r="W137" s="44">
        <f t="shared" si="104"/>
        <v>0</v>
      </c>
      <c r="X137" s="44">
        <f t="shared" si="104"/>
        <v>0</v>
      </c>
      <c r="Y137" s="44">
        <f t="shared" si="104"/>
        <v>0</v>
      </c>
      <c r="Z137" s="44">
        <f t="shared" si="104"/>
        <v>0</v>
      </c>
      <c r="AA137" s="44">
        <f t="shared" si="104"/>
        <v>0</v>
      </c>
      <c r="AB137" s="44">
        <f t="shared" si="104"/>
        <v>0</v>
      </c>
      <c r="AC137" s="44">
        <f t="shared" si="104"/>
        <v>0</v>
      </c>
      <c r="AD137" s="44">
        <f t="shared" si="104"/>
        <v>0</v>
      </c>
      <c r="AE137" s="44">
        <f t="shared" ref="AE137:AG137" si="105">AE133*24</f>
        <v>0</v>
      </c>
      <c r="AF137" s="44">
        <f t="shared" si="105"/>
        <v>0</v>
      </c>
      <c r="AG137" s="44">
        <f t="shared" si="105"/>
        <v>0</v>
      </c>
      <c r="AH137" s="44">
        <f t="shared" si="104"/>
        <v>0</v>
      </c>
      <c r="AI137" s="44">
        <f t="shared" si="104"/>
        <v>0</v>
      </c>
      <c r="AJ137" s="44">
        <f t="shared" si="104"/>
        <v>0</v>
      </c>
      <c r="AK137" s="105"/>
      <c r="AL137" s="155">
        <f>AL133*24</f>
        <v>17112</v>
      </c>
      <c r="AN137" s="248"/>
      <c r="EB137" s="233"/>
      <c r="EC137" s="233"/>
      <c r="FI137" s="233"/>
    </row>
    <row r="138" spans="1:15451" s="1" customFormat="1" ht="14.25">
      <c r="B138" s="55"/>
      <c r="C138" s="137" t="s">
        <v>117</v>
      </c>
      <c r="D138" s="59"/>
      <c r="E138" s="219" t="s">
        <v>71</v>
      </c>
      <c r="F138" s="44">
        <f>F134*12</f>
        <v>0</v>
      </c>
      <c r="G138" s="44">
        <f t="shared" ref="G138:AJ139" si="106">G134*12</f>
        <v>29424</v>
      </c>
      <c r="H138" s="44">
        <f t="shared" si="106"/>
        <v>29796</v>
      </c>
      <c r="I138" s="44">
        <f t="shared" si="106"/>
        <v>27288</v>
      </c>
      <c r="J138" s="44">
        <f t="shared" si="106"/>
        <v>27456</v>
      </c>
      <c r="K138" s="44">
        <f t="shared" si="106"/>
        <v>0</v>
      </c>
      <c r="L138" s="44">
        <f t="shared" si="106"/>
        <v>20664</v>
      </c>
      <c r="M138" s="44">
        <f t="shared" si="106"/>
        <v>20208</v>
      </c>
      <c r="N138" s="44">
        <f t="shared" si="106"/>
        <v>21540</v>
      </c>
      <c r="O138" s="44">
        <f t="shared" si="106"/>
        <v>23052</v>
      </c>
      <c r="P138" s="44">
        <f t="shared" si="106"/>
        <v>23016</v>
      </c>
      <c r="Q138" s="44">
        <f t="shared" si="106"/>
        <v>24900</v>
      </c>
      <c r="R138" s="44">
        <f t="shared" si="106"/>
        <v>0</v>
      </c>
      <c r="S138" s="44">
        <f t="shared" si="106"/>
        <v>24252</v>
      </c>
      <c r="T138" s="44">
        <f t="shared" si="106"/>
        <v>23640</v>
      </c>
      <c r="U138" s="44">
        <f t="shared" si="106"/>
        <v>27984</v>
      </c>
      <c r="V138" s="44">
        <f t="shared" si="106"/>
        <v>29712</v>
      </c>
      <c r="W138" s="44">
        <f t="shared" si="106"/>
        <v>28920</v>
      </c>
      <c r="X138" s="44">
        <f t="shared" si="106"/>
        <v>0</v>
      </c>
      <c r="Y138" s="44">
        <f t="shared" si="106"/>
        <v>0</v>
      </c>
      <c r="Z138" s="44">
        <f t="shared" si="106"/>
        <v>27408</v>
      </c>
      <c r="AA138" s="44">
        <f t="shared" si="106"/>
        <v>21000</v>
      </c>
      <c r="AB138" s="44">
        <f t="shared" si="106"/>
        <v>21000</v>
      </c>
      <c r="AC138" s="44">
        <f t="shared" si="106"/>
        <v>21000</v>
      </c>
      <c r="AD138" s="44">
        <f t="shared" si="106"/>
        <v>19500</v>
      </c>
      <c r="AE138" s="44">
        <f t="shared" ref="AE138:AG138" si="107">AE134*12</f>
        <v>21000</v>
      </c>
      <c r="AF138" s="44">
        <f t="shared" si="107"/>
        <v>0</v>
      </c>
      <c r="AG138" s="44">
        <f t="shared" si="107"/>
        <v>21060</v>
      </c>
      <c r="AH138" s="44">
        <f t="shared" si="106"/>
        <v>21060</v>
      </c>
      <c r="AI138" s="44">
        <f t="shared" si="106"/>
        <v>21060</v>
      </c>
      <c r="AJ138" s="44">
        <f t="shared" si="106"/>
        <v>21000</v>
      </c>
      <c r="AK138" s="105"/>
      <c r="AL138" s="155">
        <f>AL134*12</f>
        <v>596940</v>
      </c>
      <c r="AN138" s="106"/>
      <c r="EB138" s="233"/>
      <c r="EC138" s="233"/>
      <c r="FI138" s="233"/>
    </row>
    <row r="139" spans="1:15451" s="1" customFormat="1" ht="14.25">
      <c r="B139" s="55"/>
      <c r="C139" s="137" t="s">
        <v>121</v>
      </c>
      <c r="D139" s="59"/>
      <c r="E139" s="219" t="s">
        <v>71</v>
      </c>
      <c r="F139" s="44">
        <f>F135*6</f>
        <v>0</v>
      </c>
      <c r="G139" s="44">
        <f t="shared" ref="G139:AC139" si="108">G135*6</f>
        <v>0</v>
      </c>
      <c r="H139" s="44">
        <f t="shared" si="108"/>
        <v>0</v>
      </c>
      <c r="I139" s="44">
        <f t="shared" si="108"/>
        <v>0</v>
      </c>
      <c r="J139" s="44">
        <f t="shared" si="108"/>
        <v>0</v>
      </c>
      <c r="K139" s="44">
        <f t="shared" si="108"/>
        <v>0</v>
      </c>
      <c r="L139" s="44">
        <f t="shared" si="108"/>
        <v>0</v>
      </c>
      <c r="M139" s="44">
        <f t="shared" si="108"/>
        <v>0</v>
      </c>
      <c r="N139" s="44">
        <f t="shared" si="108"/>
        <v>0</v>
      </c>
      <c r="O139" s="44">
        <f t="shared" si="108"/>
        <v>0</v>
      </c>
      <c r="P139" s="44">
        <f t="shared" si="108"/>
        <v>0</v>
      </c>
      <c r="Q139" s="44">
        <f t="shared" si="108"/>
        <v>0</v>
      </c>
      <c r="R139" s="44">
        <f t="shared" si="108"/>
        <v>0</v>
      </c>
      <c r="S139" s="44">
        <f t="shared" si="108"/>
        <v>0</v>
      </c>
      <c r="T139" s="44">
        <f t="shared" si="108"/>
        <v>0</v>
      </c>
      <c r="U139" s="44">
        <f t="shared" si="108"/>
        <v>0</v>
      </c>
      <c r="V139" s="44">
        <f t="shared" si="108"/>
        <v>0</v>
      </c>
      <c r="W139" s="44">
        <f t="shared" si="108"/>
        <v>0</v>
      </c>
      <c r="X139" s="44">
        <f t="shared" si="108"/>
        <v>0</v>
      </c>
      <c r="Y139" s="44">
        <f t="shared" si="108"/>
        <v>0</v>
      </c>
      <c r="Z139" s="44">
        <f t="shared" si="108"/>
        <v>0</v>
      </c>
      <c r="AA139" s="44">
        <f t="shared" si="108"/>
        <v>0</v>
      </c>
      <c r="AB139" s="44">
        <f t="shared" si="108"/>
        <v>0</v>
      </c>
      <c r="AC139" s="44">
        <f t="shared" si="108"/>
        <v>0</v>
      </c>
      <c r="AD139" s="44">
        <f t="shared" si="106"/>
        <v>0</v>
      </c>
      <c r="AE139" s="44">
        <f t="shared" ref="AE139:AG139" si="109">AE135*12</f>
        <v>0</v>
      </c>
      <c r="AF139" s="44">
        <f t="shared" si="109"/>
        <v>0</v>
      </c>
      <c r="AG139" s="44">
        <f t="shared" si="109"/>
        <v>0</v>
      </c>
      <c r="AH139" s="44">
        <f t="shared" si="106"/>
        <v>0</v>
      </c>
      <c r="AI139" s="44">
        <f t="shared" si="106"/>
        <v>0</v>
      </c>
      <c r="AJ139" s="44">
        <f t="shared" si="106"/>
        <v>0</v>
      </c>
      <c r="AK139" s="105"/>
      <c r="AL139" s="155">
        <f>AL135*6</f>
        <v>0</v>
      </c>
      <c r="AN139" s="106"/>
      <c r="EB139" s="233"/>
      <c r="EC139" s="233"/>
      <c r="FI139" s="233"/>
    </row>
    <row r="140" spans="1:15451" s="1" customFormat="1" ht="14.25">
      <c r="B140" s="55"/>
      <c r="C140" s="218" t="s">
        <v>72</v>
      </c>
      <c r="D140" s="59"/>
      <c r="E140" s="219" t="s">
        <v>73</v>
      </c>
      <c r="F140" s="44">
        <f>F129*45/1700</f>
        <v>184.14114988235298</v>
      </c>
      <c r="G140" s="44">
        <f t="shared" ref="G140:AJ140" si="110">G129*45/1700</f>
        <v>633.17536305882356</v>
      </c>
      <c r="H140" s="44">
        <f t="shared" si="110"/>
        <v>641.20285429411763</v>
      </c>
      <c r="I140" s="44">
        <f t="shared" si="110"/>
        <v>587.21926023529409</v>
      </c>
      <c r="J140" s="44">
        <f t="shared" si="110"/>
        <v>590.83359988235293</v>
      </c>
      <c r="K140" s="44">
        <f t="shared" si="110"/>
        <v>0</v>
      </c>
      <c r="L140" s="44">
        <f t="shared" si="110"/>
        <v>444.68218482352944</v>
      </c>
      <c r="M140" s="44">
        <f t="shared" si="110"/>
        <v>434.82352552941171</v>
      </c>
      <c r="N140" s="44">
        <f t="shared" si="110"/>
        <v>463.52935058823527</v>
      </c>
      <c r="O140" s="44">
        <f t="shared" si="110"/>
        <v>496.05751005882348</v>
      </c>
      <c r="P140" s="44">
        <f t="shared" si="110"/>
        <v>495.30686929411769</v>
      </c>
      <c r="Q140" s="44">
        <f t="shared" si="110"/>
        <v>535.84118470588237</v>
      </c>
      <c r="R140" s="44">
        <f t="shared" si="110"/>
        <v>0</v>
      </c>
      <c r="S140" s="44">
        <f>S129*45/1700</f>
        <v>521.87573064705873</v>
      </c>
      <c r="T140" s="44">
        <f t="shared" si="110"/>
        <v>508.73243294117634</v>
      </c>
      <c r="U140" s="44">
        <f t="shared" si="110"/>
        <v>602.19372070588236</v>
      </c>
      <c r="V140" s="44">
        <f t="shared" si="110"/>
        <v>639.37169152941169</v>
      </c>
      <c r="W140" s="44">
        <f t="shared" si="110"/>
        <v>622.35568852941174</v>
      </c>
      <c r="X140" s="44">
        <f>X129*45/1700</f>
        <v>0</v>
      </c>
      <c r="Y140" s="44">
        <f>Y129*45/1700</f>
        <v>0</v>
      </c>
      <c r="Z140" s="44">
        <f t="shared" si="110"/>
        <v>589.80106376470576</v>
      </c>
      <c r="AA140" s="44">
        <f t="shared" si="110"/>
        <v>451.93274999999994</v>
      </c>
      <c r="AB140" s="44">
        <f t="shared" si="110"/>
        <v>451.90884970588235</v>
      </c>
      <c r="AC140" s="44">
        <f t="shared" si="110"/>
        <v>451.90884970588235</v>
      </c>
      <c r="AD140" s="44">
        <f t="shared" si="110"/>
        <v>419.61240529411765</v>
      </c>
      <c r="AE140" s="44">
        <f t="shared" ref="AE140:AG140" si="111">AE129*45/1700</f>
        <v>451.90884970588235</v>
      </c>
      <c r="AF140" s="44">
        <f t="shared" si="111"/>
        <v>0</v>
      </c>
      <c r="AG140" s="44">
        <f t="shared" si="111"/>
        <v>453.19975147058824</v>
      </c>
      <c r="AH140" s="44">
        <f t="shared" si="110"/>
        <v>453.19975147058824</v>
      </c>
      <c r="AI140" s="44">
        <f t="shared" si="110"/>
        <v>453.19975147058824</v>
      </c>
      <c r="AJ140" s="44">
        <f t="shared" si="110"/>
        <v>451.90885499999996</v>
      </c>
      <c r="AK140" s="105"/>
      <c r="AL140" s="155">
        <f>SUM(F140:AJ140)</f>
        <v>13029.92299429412</v>
      </c>
      <c r="AN140" s="106"/>
      <c r="EB140" s="233"/>
      <c r="EC140" s="233"/>
      <c r="FI140" s="233"/>
    </row>
    <row r="141" spans="1:15451" s="1" customFormat="1" ht="14.25">
      <c r="B141" s="55"/>
      <c r="C141" s="218" t="s">
        <v>74</v>
      </c>
      <c r="D141" s="59"/>
      <c r="E141" s="219" t="s">
        <v>75</v>
      </c>
      <c r="F141" s="44">
        <f t="shared" ref="F141:AJ141" si="112">SUM(F133:F135)/500</f>
        <v>1.4259999999999999</v>
      </c>
      <c r="G141" s="44">
        <f t="shared" si="112"/>
        <v>4.9039999999999999</v>
      </c>
      <c r="H141" s="44">
        <f t="shared" si="112"/>
        <v>4.9660000000000002</v>
      </c>
      <c r="I141" s="44">
        <f t="shared" si="112"/>
        <v>4.548</v>
      </c>
      <c r="J141" s="44">
        <f t="shared" si="112"/>
        <v>4.5759999999999996</v>
      </c>
      <c r="K141" s="44">
        <f t="shared" si="112"/>
        <v>0</v>
      </c>
      <c r="L141" s="44">
        <f t="shared" si="112"/>
        <v>3.444</v>
      </c>
      <c r="M141" s="44">
        <f t="shared" si="112"/>
        <v>3.3679999999999999</v>
      </c>
      <c r="N141" s="44">
        <f t="shared" si="112"/>
        <v>3.59</v>
      </c>
      <c r="O141" s="44">
        <f t="shared" si="112"/>
        <v>3.8420000000000001</v>
      </c>
      <c r="P141" s="44">
        <f>SUM(P133:P135)/500</f>
        <v>3.8359999999999999</v>
      </c>
      <c r="Q141" s="44">
        <f t="shared" si="112"/>
        <v>4.1500000000000004</v>
      </c>
      <c r="R141" s="44">
        <f t="shared" si="112"/>
        <v>0</v>
      </c>
      <c r="S141" s="44">
        <f t="shared" si="112"/>
        <v>4.0419999999999998</v>
      </c>
      <c r="T141" s="44">
        <f t="shared" si="112"/>
        <v>3.94</v>
      </c>
      <c r="U141" s="44">
        <f t="shared" si="112"/>
        <v>4.6639999999999997</v>
      </c>
      <c r="V141" s="44">
        <f>SUM(V133:V135)/500</f>
        <v>4.952</v>
      </c>
      <c r="W141" s="44">
        <f t="shared" si="112"/>
        <v>4.82</v>
      </c>
      <c r="X141" s="44">
        <f>SUM(X133:X135)/500</f>
        <v>0</v>
      </c>
      <c r="Y141" s="44">
        <f t="shared" si="112"/>
        <v>0</v>
      </c>
      <c r="Z141" s="44">
        <f t="shared" si="112"/>
        <v>4.5679999999999996</v>
      </c>
      <c r="AA141" s="44">
        <f t="shared" si="112"/>
        <v>3.5</v>
      </c>
      <c r="AB141" s="44">
        <f t="shared" si="112"/>
        <v>3.5</v>
      </c>
      <c r="AC141" s="44">
        <f t="shared" si="112"/>
        <v>3.5</v>
      </c>
      <c r="AD141" s="44">
        <f t="shared" si="112"/>
        <v>3.25</v>
      </c>
      <c r="AE141" s="44">
        <f t="shared" ref="AE141:AG141" si="113">SUM(AE133:AE135)/500</f>
        <v>3.5</v>
      </c>
      <c r="AF141" s="44">
        <f t="shared" si="113"/>
        <v>0</v>
      </c>
      <c r="AG141" s="44">
        <f t="shared" si="113"/>
        <v>3.51</v>
      </c>
      <c r="AH141" s="44">
        <f t="shared" si="112"/>
        <v>3.51</v>
      </c>
      <c r="AI141" s="44">
        <f t="shared" si="112"/>
        <v>3.51</v>
      </c>
      <c r="AJ141" s="44">
        <f t="shared" si="112"/>
        <v>3.5</v>
      </c>
      <c r="AK141" s="105"/>
      <c r="AL141" s="155">
        <f>SUM(F141:AJ141)</f>
        <v>100.916</v>
      </c>
      <c r="AN141" s="106"/>
      <c r="EB141" s="233"/>
      <c r="EC141" s="233"/>
      <c r="FI141" s="233"/>
    </row>
    <row r="142" spans="1:15451" s="1" customFormat="1" hidden="1">
      <c r="A142" s="3"/>
      <c r="B142" s="41"/>
      <c r="C142" s="20" t="s">
        <v>76</v>
      </c>
      <c r="D142" s="39"/>
      <c r="E142" s="39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91"/>
      <c r="AD142" s="40"/>
      <c r="AE142" s="40"/>
      <c r="AF142" s="40"/>
      <c r="AG142" s="40"/>
      <c r="AH142" s="40"/>
      <c r="AI142" s="40"/>
      <c r="AJ142" s="40"/>
      <c r="AK142" s="95"/>
      <c r="AL142" s="203" t="s">
        <v>77</v>
      </c>
      <c r="AM142" s="3"/>
      <c r="AN142" s="14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252"/>
      <c r="EC142" s="252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252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/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WP142" s="3"/>
      <c r="WQ142" s="3"/>
      <c r="WR142" s="3"/>
      <c r="WS142" s="3"/>
      <c r="WT142" s="3"/>
      <c r="WU142" s="3"/>
      <c r="WV142" s="3"/>
      <c r="WW142" s="3"/>
      <c r="WX142" s="3"/>
      <c r="WY142" s="3"/>
      <c r="WZ142" s="3"/>
      <c r="XA142" s="3"/>
      <c r="XB142" s="3"/>
      <c r="XC142" s="3"/>
      <c r="XD142" s="3"/>
      <c r="XE142" s="3"/>
      <c r="XF142" s="3"/>
      <c r="XG142" s="3"/>
      <c r="XH142" s="3"/>
      <c r="XI142" s="3"/>
      <c r="XJ142" s="3"/>
      <c r="XK142" s="3"/>
      <c r="XL142" s="3"/>
      <c r="XM142" s="3"/>
      <c r="XN142" s="3"/>
      <c r="XO142" s="3"/>
      <c r="XP142" s="3"/>
      <c r="XQ142" s="3"/>
      <c r="XR142" s="3"/>
      <c r="XS142" s="3"/>
      <c r="XT142" s="3"/>
      <c r="XU142" s="3"/>
      <c r="XV142" s="3"/>
      <c r="XW142" s="3"/>
      <c r="XX142" s="3"/>
      <c r="XY142" s="3"/>
      <c r="XZ142" s="3"/>
      <c r="YA142" s="3"/>
      <c r="YB142" s="3"/>
      <c r="YC142" s="3"/>
      <c r="YD142" s="3"/>
      <c r="YE142" s="3"/>
      <c r="YF142" s="3"/>
      <c r="YG142" s="3"/>
      <c r="YH142" s="3"/>
      <c r="YI142" s="3"/>
      <c r="YJ142" s="3"/>
      <c r="YK142" s="3"/>
      <c r="YL142" s="3"/>
      <c r="YM142" s="3"/>
      <c r="YN142" s="3"/>
      <c r="YO142" s="3"/>
      <c r="YP142" s="3"/>
      <c r="YQ142" s="3"/>
      <c r="YR142" s="3"/>
      <c r="YS142" s="3"/>
      <c r="YT142" s="3"/>
      <c r="YU142" s="3"/>
      <c r="YV142" s="3"/>
      <c r="YW142" s="3"/>
      <c r="YX142" s="3"/>
      <c r="YY142" s="3"/>
      <c r="YZ142" s="3"/>
      <c r="ZA142" s="3"/>
      <c r="ZB142" s="3"/>
      <c r="ZC142" s="3"/>
      <c r="ZD142" s="3"/>
      <c r="ZE142" s="3"/>
      <c r="ZF142" s="3"/>
      <c r="ZG142" s="3"/>
      <c r="ZH142" s="3"/>
      <c r="ZI142" s="3"/>
      <c r="ZJ142" s="3"/>
      <c r="ZK142" s="3"/>
      <c r="ZL142" s="3"/>
      <c r="ZM142" s="3"/>
      <c r="ZN142" s="3"/>
      <c r="ZO142" s="3"/>
      <c r="ZP142" s="3"/>
      <c r="ZQ142" s="3"/>
      <c r="ZR142" s="3"/>
      <c r="ZS142" s="3"/>
      <c r="ZT142" s="3"/>
      <c r="ZU142" s="3"/>
      <c r="ZV142" s="3"/>
      <c r="ZW142" s="3"/>
      <c r="ZX142" s="3"/>
      <c r="ZY142" s="3"/>
      <c r="ZZ142" s="3"/>
      <c r="AAA142" s="3"/>
      <c r="AAB142" s="3"/>
      <c r="AAC142" s="3"/>
      <c r="AAD142" s="3"/>
      <c r="AAE142" s="3"/>
      <c r="AAF142" s="3"/>
      <c r="AAG142" s="3"/>
      <c r="AAH142" s="3"/>
      <c r="AAI142" s="3"/>
      <c r="AAJ142" s="3"/>
      <c r="AAK142" s="3"/>
      <c r="AAL142" s="3"/>
      <c r="AAM142" s="3"/>
      <c r="AAN142" s="3"/>
      <c r="AAO142" s="3"/>
      <c r="AAP142" s="3"/>
      <c r="AAQ142" s="3"/>
      <c r="AAR142" s="3"/>
      <c r="AAS142" s="3"/>
      <c r="AAT142" s="3"/>
      <c r="AAU142" s="3"/>
      <c r="AAV142" s="3"/>
      <c r="AAW142" s="3"/>
      <c r="AAX142" s="3"/>
      <c r="AAY142" s="3"/>
      <c r="AAZ142" s="3"/>
      <c r="ABA142" s="3"/>
      <c r="ABB142" s="3"/>
      <c r="ABC142" s="3"/>
      <c r="ABD142" s="3"/>
      <c r="ABE142" s="3"/>
      <c r="ABF142" s="3"/>
      <c r="ABG142" s="3"/>
      <c r="ABH142" s="3"/>
      <c r="ABI142" s="3"/>
      <c r="ABJ142" s="3"/>
      <c r="ABK142" s="3"/>
      <c r="ABL142" s="3"/>
      <c r="ABM142" s="3"/>
      <c r="ABN142" s="3"/>
      <c r="ABO142" s="3"/>
      <c r="ABP142" s="3"/>
      <c r="ABQ142" s="3"/>
      <c r="ABR142" s="3"/>
      <c r="ABS142" s="3"/>
      <c r="ABT142" s="3"/>
      <c r="ABU142" s="3"/>
      <c r="ABV142" s="3"/>
      <c r="ABW142" s="3"/>
      <c r="ABX142" s="3"/>
      <c r="ABY142" s="3"/>
      <c r="ABZ142" s="3"/>
      <c r="ACA142" s="3"/>
      <c r="ACB142" s="3"/>
      <c r="ACC142" s="3"/>
      <c r="ACD142" s="3"/>
      <c r="ACE142" s="3"/>
      <c r="ACF142" s="3"/>
      <c r="ACG142" s="3"/>
      <c r="ACH142" s="3"/>
      <c r="ACI142" s="3"/>
      <c r="ACJ142" s="3"/>
      <c r="ACK142" s="3"/>
      <c r="ACL142" s="3"/>
      <c r="ACM142" s="3"/>
      <c r="ACN142" s="3"/>
      <c r="ACO142" s="3"/>
      <c r="ACP142" s="3"/>
      <c r="ACQ142" s="3"/>
      <c r="ACR142" s="3"/>
      <c r="ACS142" s="3"/>
      <c r="ACT142" s="3"/>
      <c r="ACU142" s="3"/>
      <c r="ACV142" s="3"/>
      <c r="ACW142" s="3"/>
      <c r="ACX142" s="3"/>
      <c r="ACY142" s="3"/>
      <c r="ACZ142" s="3"/>
      <c r="ADA142" s="3"/>
      <c r="ADB142" s="3"/>
      <c r="ADC142" s="3"/>
      <c r="ADD142" s="3"/>
      <c r="ADE142" s="3"/>
      <c r="ADF142" s="3"/>
      <c r="ADG142" s="3"/>
      <c r="ADH142" s="3"/>
      <c r="ADI142" s="3"/>
      <c r="ADJ142" s="3"/>
      <c r="ADK142" s="3"/>
      <c r="ADL142" s="3"/>
      <c r="ADM142" s="3"/>
      <c r="ADN142" s="3"/>
      <c r="ADO142" s="3"/>
      <c r="ADP142" s="3"/>
      <c r="ADQ142" s="3"/>
      <c r="ADR142" s="3"/>
      <c r="ADS142" s="3"/>
      <c r="ADT142" s="3"/>
      <c r="ADU142" s="3"/>
      <c r="ADV142" s="3"/>
      <c r="ADW142" s="3"/>
      <c r="ADX142" s="3"/>
      <c r="ADY142" s="3"/>
      <c r="ADZ142" s="3"/>
      <c r="AEA142" s="3"/>
      <c r="AEB142" s="3"/>
      <c r="AEC142" s="3"/>
      <c r="AED142" s="3"/>
      <c r="AEE142" s="3"/>
      <c r="AEF142" s="3"/>
      <c r="AEG142" s="3"/>
      <c r="AEH142" s="3"/>
      <c r="AEI142" s="3"/>
      <c r="AEJ142" s="3"/>
      <c r="AEK142" s="3"/>
      <c r="AEL142" s="3"/>
      <c r="AEM142" s="3"/>
      <c r="AEN142" s="3"/>
      <c r="AEO142" s="3"/>
      <c r="AEP142" s="3"/>
      <c r="AEQ142" s="3"/>
      <c r="AER142" s="3"/>
      <c r="AES142" s="3"/>
      <c r="AET142" s="3"/>
      <c r="AEU142" s="3"/>
      <c r="AEV142" s="3"/>
      <c r="AEW142" s="3"/>
      <c r="AEX142" s="3"/>
      <c r="AEY142" s="3"/>
      <c r="AEZ142" s="3"/>
      <c r="AFA142" s="3"/>
      <c r="AFB142" s="3"/>
      <c r="AFC142" s="3"/>
      <c r="AFD142" s="3"/>
      <c r="AFE142" s="3"/>
      <c r="AFF142" s="3"/>
      <c r="AFG142" s="3"/>
      <c r="AFH142" s="3"/>
      <c r="AFI142" s="3"/>
      <c r="AFJ142" s="3"/>
      <c r="AFK142" s="3"/>
      <c r="AFL142" s="3"/>
      <c r="AFM142" s="3"/>
      <c r="AFN142" s="3"/>
      <c r="AFO142" s="3"/>
      <c r="AFP142" s="3"/>
      <c r="AFQ142" s="3"/>
      <c r="AFR142" s="3"/>
      <c r="AFS142" s="3"/>
      <c r="AFT142" s="3"/>
      <c r="AFU142" s="3"/>
      <c r="AFV142" s="3"/>
      <c r="AFW142" s="3"/>
      <c r="AFX142" s="3"/>
      <c r="AFY142" s="3"/>
      <c r="AFZ142" s="3"/>
      <c r="AGA142" s="3"/>
      <c r="AGB142" s="3"/>
      <c r="AGC142" s="3"/>
      <c r="AGD142" s="3"/>
      <c r="AGE142" s="3"/>
      <c r="AGF142" s="3"/>
      <c r="AGG142" s="3"/>
      <c r="AGH142" s="3"/>
      <c r="AGI142" s="3"/>
      <c r="AGJ142" s="3"/>
      <c r="AGK142" s="3"/>
      <c r="AGL142" s="3"/>
      <c r="AGM142" s="3"/>
      <c r="AGN142" s="3"/>
      <c r="AGO142" s="3"/>
      <c r="AGP142" s="3"/>
      <c r="AGQ142" s="3"/>
      <c r="AGR142" s="3"/>
      <c r="AGS142" s="3"/>
      <c r="AGT142" s="3"/>
      <c r="AGU142" s="3"/>
      <c r="AGV142" s="3"/>
      <c r="AGW142" s="3"/>
      <c r="AGX142" s="3"/>
      <c r="AGY142" s="3"/>
      <c r="AGZ142" s="3"/>
      <c r="AHA142" s="3"/>
      <c r="AHB142" s="3"/>
      <c r="AHC142" s="3"/>
      <c r="AHD142" s="3"/>
      <c r="AHE142" s="3"/>
      <c r="AHF142" s="3"/>
      <c r="AHG142" s="3"/>
      <c r="AHH142" s="3"/>
      <c r="AHI142" s="3"/>
      <c r="AHJ142" s="3"/>
      <c r="AHK142" s="3"/>
      <c r="AHL142" s="3"/>
      <c r="AHM142" s="3"/>
      <c r="AHN142" s="3"/>
      <c r="AHO142" s="3"/>
      <c r="AHP142" s="3"/>
      <c r="AHQ142" s="3"/>
      <c r="AHR142" s="3"/>
      <c r="AHS142" s="3"/>
      <c r="AHT142" s="3"/>
      <c r="AHU142" s="3"/>
      <c r="AHV142" s="3"/>
      <c r="AHW142" s="3"/>
      <c r="AHX142" s="3"/>
      <c r="AHY142" s="3"/>
      <c r="AHZ142" s="3"/>
      <c r="AIA142" s="3"/>
      <c r="AIB142" s="3"/>
      <c r="AIC142" s="3"/>
      <c r="AID142" s="3"/>
      <c r="AIE142" s="3"/>
      <c r="AIF142" s="3"/>
      <c r="AIG142" s="3"/>
      <c r="AIH142" s="3"/>
      <c r="AII142" s="3"/>
      <c r="AIJ142" s="3"/>
      <c r="AIK142" s="3"/>
      <c r="AIL142" s="3"/>
      <c r="AIM142" s="3"/>
      <c r="AIN142" s="3"/>
      <c r="AIO142" s="3"/>
      <c r="AIP142" s="3"/>
      <c r="AIQ142" s="3"/>
      <c r="AIR142" s="3"/>
      <c r="AIS142" s="3"/>
      <c r="AIT142" s="3"/>
      <c r="AIU142" s="3"/>
      <c r="AIV142" s="3"/>
      <c r="AIW142" s="3"/>
      <c r="AIX142" s="3"/>
      <c r="AIY142" s="3"/>
      <c r="AIZ142" s="3"/>
      <c r="AJA142" s="3"/>
      <c r="AJB142" s="3"/>
      <c r="AJC142" s="3"/>
      <c r="AJD142" s="3"/>
      <c r="AJE142" s="3"/>
      <c r="AJF142" s="3"/>
      <c r="AJG142" s="3"/>
      <c r="AJH142" s="3"/>
      <c r="AJI142" s="3"/>
      <c r="AJJ142" s="3"/>
      <c r="AJK142" s="3"/>
      <c r="AJL142" s="3"/>
      <c r="AJM142" s="3"/>
      <c r="AJN142" s="3"/>
      <c r="AJO142" s="3"/>
      <c r="AJP142" s="3"/>
      <c r="AJQ142" s="3"/>
      <c r="AJR142" s="3"/>
      <c r="AJS142" s="3"/>
      <c r="AJT142" s="3"/>
      <c r="AJU142" s="3"/>
      <c r="AJV142" s="3"/>
      <c r="AJW142" s="3"/>
      <c r="AJX142" s="3"/>
      <c r="AJY142" s="3"/>
      <c r="AJZ142" s="3"/>
      <c r="AKA142" s="3"/>
      <c r="AKB142" s="3"/>
      <c r="AKC142" s="3"/>
      <c r="AKD142" s="3"/>
      <c r="AKE142" s="3"/>
      <c r="AKF142" s="3"/>
      <c r="AKG142" s="3"/>
      <c r="AKH142" s="3"/>
      <c r="AKI142" s="3"/>
      <c r="AKJ142" s="3"/>
      <c r="AKK142" s="3"/>
      <c r="AKL142" s="3"/>
      <c r="AKM142" s="3"/>
      <c r="AKN142" s="3"/>
      <c r="AKO142" s="3"/>
      <c r="AKP142" s="3"/>
      <c r="AKQ142" s="3"/>
      <c r="AKR142" s="3"/>
      <c r="AKS142" s="3"/>
      <c r="AKT142" s="3"/>
      <c r="AKU142" s="3"/>
      <c r="AKV142" s="3"/>
      <c r="AKW142" s="3"/>
      <c r="AKX142" s="3"/>
      <c r="AKY142" s="3"/>
      <c r="AKZ142" s="3"/>
      <c r="ALA142" s="3"/>
      <c r="ALB142" s="3"/>
      <c r="ALC142" s="3"/>
      <c r="ALD142" s="3"/>
      <c r="ALE142" s="3"/>
      <c r="ALF142" s="3"/>
      <c r="ALG142" s="3"/>
      <c r="ALH142" s="3"/>
      <c r="ALI142" s="3"/>
      <c r="ALJ142" s="3"/>
      <c r="ALK142" s="3"/>
      <c r="ALL142" s="3"/>
      <c r="ALM142" s="3"/>
      <c r="ALN142" s="3"/>
      <c r="ALO142" s="3"/>
      <c r="ALP142" s="3"/>
      <c r="ALQ142" s="3"/>
      <c r="ALR142" s="3"/>
      <c r="ALS142" s="3"/>
      <c r="ALT142" s="3"/>
      <c r="ALU142" s="3"/>
      <c r="ALV142" s="3"/>
      <c r="ALW142" s="3"/>
      <c r="ALX142" s="3"/>
      <c r="ALY142" s="3"/>
      <c r="ALZ142" s="3"/>
      <c r="AMA142" s="3"/>
      <c r="AMB142" s="3"/>
      <c r="AMC142" s="3"/>
      <c r="AMD142" s="3"/>
      <c r="AME142" s="3"/>
      <c r="AMF142" s="3"/>
      <c r="AMG142" s="3"/>
      <c r="AMH142" s="3"/>
      <c r="AMI142" s="3"/>
      <c r="AMJ142" s="3"/>
      <c r="AMK142" s="3"/>
      <c r="AML142" s="3"/>
      <c r="AMM142" s="3"/>
      <c r="AMN142" s="3"/>
      <c r="AMO142" s="3"/>
      <c r="AMP142" s="3"/>
      <c r="AMQ142" s="3"/>
      <c r="AMR142" s="3"/>
      <c r="AMS142" s="3"/>
      <c r="AMT142" s="3"/>
      <c r="AMU142" s="3"/>
      <c r="AMV142" s="3"/>
      <c r="AMW142" s="3"/>
      <c r="AMX142" s="3"/>
      <c r="AMY142" s="3"/>
      <c r="AMZ142" s="3"/>
      <c r="ANA142" s="3"/>
      <c r="ANB142" s="3"/>
      <c r="ANC142" s="3"/>
      <c r="AND142" s="3"/>
      <c r="ANE142" s="3"/>
      <c r="ANF142" s="3"/>
      <c r="ANG142" s="3"/>
      <c r="ANH142" s="3"/>
      <c r="ANI142" s="3"/>
      <c r="ANJ142" s="3"/>
      <c r="ANK142" s="3"/>
      <c r="ANL142" s="3"/>
      <c r="ANM142" s="3"/>
      <c r="ANN142" s="3"/>
      <c r="ANO142" s="3"/>
      <c r="ANP142" s="3"/>
      <c r="ANQ142" s="3"/>
      <c r="ANR142" s="3"/>
      <c r="ANS142" s="3"/>
      <c r="ANT142" s="3"/>
      <c r="ANU142" s="3"/>
      <c r="ANV142" s="3"/>
      <c r="ANW142" s="3"/>
      <c r="ANX142" s="3"/>
      <c r="ANY142" s="3"/>
      <c r="ANZ142" s="3"/>
      <c r="AOA142" s="3"/>
      <c r="AOB142" s="3"/>
      <c r="AOC142" s="3"/>
      <c r="AOD142" s="3"/>
      <c r="AOE142" s="3"/>
      <c r="AOF142" s="3"/>
      <c r="AOG142" s="3"/>
      <c r="AOH142" s="3"/>
      <c r="AOI142" s="3"/>
      <c r="AOJ142" s="3"/>
      <c r="AOK142" s="3"/>
      <c r="AOL142" s="3"/>
      <c r="AOM142" s="3"/>
      <c r="AON142" s="3"/>
      <c r="AOO142" s="3"/>
      <c r="AOP142" s="3"/>
      <c r="AOQ142" s="3"/>
      <c r="AOR142" s="3"/>
      <c r="AOS142" s="3"/>
      <c r="AOT142" s="3"/>
      <c r="AOU142" s="3"/>
      <c r="AOV142" s="3"/>
      <c r="AOW142" s="3"/>
      <c r="AOX142" s="3"/>
      <c r="AOY142" s="3"/>
      <c r="AOZ142" s="3"/>
      <c r="APA142" s="3"/>
      <c r="APB142" s="3"/>
      <c r="APC142" s="3"/>
      <c r="APD142" s="3"/>
      <c r="APE142" s="3"/>
      <c r="APF142" s="3"/>
      <c r="APG142" s="3"/>
      <c r="APH142" s="3"/>
      <c r="API142" s="3"/>
      <c r="APJ142" s="3"/>
      <c r="APK142" s="3"/>
      <c r="APL142" s="3"/>
      <c r="APM142" s="3"/>
      <c r="APN142" s="3"/>
      <c r="APO142" s="3"/>
      <c r="APP142" s="3"/>
      <c r="APQ142" s="3"/>
      <c r="APR142" s="3"/>
      <c r="APS142" s="3"/>
      <c r="APT142" s="3"/>
      <c r="APU142" s="3"/>
      <c r="APV142" s="3"/>
      <c r="APW142" s="3"/>
      <c r="APX142" s="3"/>
      <c r="APY142" s="3"/>
      <c r="APZ142" s="3"/>
      <c r="AQA142" s="3"/>
      <c r="AQB142" s="3"/>
      <c r="AQC142" s="3"/>
      <c r="AQD142" s="3"/>
      <c r="AQE142" s="3"/>
      <c r="AQF142" s="3"/>
      <c r="AQG142" s="3"/>
      <c r="AQH142" s="3"/>
      <c r="AQI142" s="3"/>
      <c r="AQJ142" s="3"/>
      <c r="AQK142" s="3"/>
      <c r="AQL142" s="3"/>
      <c r="AQM142" s="3"/>
      <c r="AQN142" s="3"/>
      <c r="AQO142" s="3"/>
      <c r="AQP142" s="3"/>
      <c r="AQQ142" s="3"/>
      <c r="AQR142" s="3"/>
      <c r="AQS142" s="3"/>
      <c r="AQT142" s="3"/>
      <c r="AQU142" s="3"/>
      <c r="AQV142" s="3"/>
      <c r="AQW142" s="3"/>
      <c r="AQX142" s="3"/>
      <c r="AQY142" s="3"/>
      <c r="AQZ142" s="3"/>
      <c r="ARA142" s="3"/>
      <c r="ARB142" s="3"/>
      <c r="ARC142" s="3"/>
      <c r="ARD142" s="3"/>
      <c r="ARE142" s="3"/>
      <c r="ARF142" s="3"/>
      <c r="ARG142" s="3"/>
      <c r="ARH142" s="3"/>
      <c r="ARI142" s="3"/>
      <c r="ARJ142" s="3"/>
      <c r="ARK142" s="3"/>
      <c r="ARL142" s="3"/>
      <c r="ARM142" s="3"/>
      <c r="ARN142" s="3"/>
      <c r="ARO142" s="3"/>
      <c r="ARP142" s="3"/>
      <c r="ARQ142" s="3"/>
      <c r="ARR142" s="3"/>
      <c r="ARS142" s="3"/>
      <c r="ART142" s="3"/>
      <c r="ARU142" s="3"/>
      <c r="ARV142" s="3"/>
      <c r="ARW142" s="3"/>
      <c r="ARX142" s="3"/>
      <c r="ARY142" s="3"/>
      <c r="ARZ142" s="3"/>
      <c r="ASA142" s="3"/>
      <c r="ASB142" s="3"/>
      <c r="ASC142" s="3"/>
      <c r="ASD142" s="3"/>
      <c r="ASE142" s="3"/>
      <c r="ASF142" s="3"/>
      <c r="ASG142" s="3"/>
      <c r="ASH142" s="3"/>
      <c r="ASI142" s="3"/>
      <c r="ASJ142" s="3"/>
      <c r="ASK142" s="3"/>
      <c r="ASL142" s="3"/>
      <c r="ASM142" s="3"/>
      <c r="ASN142" s="3"/>
      <c r="ASO142" s="3"/>
      <c r="ASP142" s="3"/>
      <c r="ASQ142" s="3"/>
      <c r="ASR142" s="3"/>
      <c r="ASS142" s="3"/>
      <c r="AST142" s="3"/>
      <c r="ASU142" s="3"/>
      <c r="ASV142" s="3"/>
      <c r="ASW142" s="3"/>
      <c r="ASX142" s="3"/>
      <c r="ASY142" s="3"/>
      <c r="ASZ142" s="3"/>
      <c r="ATA142" s="3"/>
      <c r="ATB142" s="3"/>
      <c r="ATC142" s="3"/>
      <c r="ATD142" s="3"/>
      <c r="ATE142" s="3"/>
      <c r="ATF142" s="3"/>
      <c r="ATG142" s="3"/>
      <c r="ATH142" s="3"/>
      <c r="ATI142" s="3"/>
      <c r="ATJ142" s="3"/>
      <c r="ATK142" s="3"/>
      <c r="ATL142" s="3"/>
      <c r="ATM142" s="3"/>
      <c r="ATN142" s="3"/>
      <c r="ATO142" s="3"/>
      <c r="ATP142" s="3"/>
      <c r="ATQ142" s="3"/>
      <c r="ATR142" s="3"/>
      <c r="ATS142" s="3"/>
      <c r="ATT142" s="3"/>
      <c r="ATU142" s="3"/>
      <c r="ATV142" s="3"/>
      <c r="ATW142" s="3"/>
      <c r="ATX142" s="3"/>
      <c r="ATY142" s="3"/>
      <c r="ATZ142" s="3"/>
      <c r="AUA142" s="3"/>
      <c r="AUB142" s="3"/>
      <c r="AUC142" s="3"/>
      <c r="AUD142" s="3"/>
      <c r="AUE142" s="3"/>
      <c r="AUF142" s="3"/>
      <c r="AUG142" s="3"/>
      <c r="AUH142" s="3"/>
      <c r="AUI142" s="3"/>
      <c r="AUJ142" s="3"/>
      <c r="AUK142" s="3"/>
      <c r="AUL142" s="3"/>
      <c r="AUM142" s="3"/>
      <c r="AUN142" s="3"/>
      <c r="AUO142" s="3"/>
      <c r="AUP142" s="3"/>
      <c r="AUQ142" s="3"/>
      <c r="AUR142" s="3"/>
      <c r="AUS142" s="3"/>
      <c r="AUT142" s="3"/>
      <c r="AUU142" s="3"/>
      <c r="AUV142" s="3"/>
      <c r="AUW142" s="3"/>
      <c r="AUX142" s="3"/>
      <c r="AUY142" s="3"/>
      <c r="AUZ142" s="3"/>
      <c r="AVA142" s="3"/>
      <c r="AVB142" s="3"/>
      <c r="AVC142" s="3"/>
      <c r="AVD142" s="3"/>
      <c r="AVE142" s="3"/>
      <c r="AVF142" s="3"/>
      <c r="AVG142" s="3"/>
      <c r="AVH142" s="3"/>
      <c r="AVI142" s="3"/>
      <c r="AVJ142" s="3"/>
      <c r="AVK142" s="3"/>
      <c r="AVL142" s="3"/>
      <c r="AVM142" s="3"/>
      <c r="AVN142" s="3"/>
      <c r="AVO142" s="3"/>
      <c r="AVP142" s="3"/>
      <c r="AVQ142" s="3"/>
      <c r="AVR142" s="3"/>
      <c r="AVS142" s="3"/>
      <c r="AVT142" s="3"/>
      <c r="AVU142" s="3"/>
      <c r="AVV142" s="3"/>
      <c r="AVW142" s="3"/>
      <c r="AVX142" s="3"/>
      <c r="AVY142" s="3"/>
      <c r="AVZ142" s="3"/>
      <c r="AWA142" s="3"/>
      <c r="AWB142" s="3"/>
      <c r="AWC142" s="3"/>
      <c r="AWD142" s="3"/>
      <c r="AWE142" s="3"/>
      <c r="AWF142" s="3"/>
      <c r="AWG142" s="3"/>
      <c r="AWH142" s="3"/>
      <c r="AWI142" s="3"/>
      <c r="AWJ142" s="3"/>
      <c r="AWK142" s="3"/>
      <c r="AWL142" s="3"/>
      <c r="AWM142" s="3"/>
      <c r="AWN142" s="3"/>
      <c r="AWO142" s="3"/>
      <c r="AWP142" s="3"/>
      <c r="AWQ142" s="3"/>
      <c r="AWR142" s="3"/>
      <c r="AWS142" s="3"/>
      <c r="AWT142" s="3"/>
      <c r="AWU142" s="3"/>
      <c r="AWV142" s="3"/>
      <c r="AWW142" s="3"/>
      <c r="AWX142" s="3"/>
      <c r="AWY142" s="3"/>
      <c r="AWZ142" s="3"/>
      <c r="AXA142" s="3"/>
      <c r="AXB142" s="3"/>
      <c r="AXC142" s="3"/>
      <c r="AXD142" s="3"/>
      <c r="AXE142" s="3"/>
      <c r="AXF142" s="3"/>
      <c r="AXG142" s="3"/>
      <c r="AXH142" s="3"/>
      <c r="AXI142" s="3"/>
      <c r="AXJ142" s="3"/>
      <c r="AXK142" s="3"/>
      <c r="AXL142" s="3"/>
      <c r="AXM142" s="3"/>
      <c r="AXN142" s="3"/>
      <c r="AXO142" s="3"/>
      <c r="AXP142" s="3"/>
      <c r="AXQ142" s="3"/>
      <c r="AXR142" s="3"/>
      <c r="AXS142" s="3"/>
      <c r="AXT142" s="3"/>
      <c r="AXU142" s="3"/>
      <c r="AXV142" s="3"/>
      <c r="AXW142" s="3"/>
      <c r="AXX142" s="3"/>
      <c r="AXY142" s="3"/>
      <c r="AXZ142" s="3"/>
      <c r="AYA142" s="3"/>
      <c r="AYB142" s="3"/>
      <c r="AYC142" s="3"/>
      <c r="AYD142" s="3"/>
      <c r="AYE142" s="3"/>
      <c r="AYF142" s="3"/>
      <c r="AYG142" s="3"/>
      <c r="AYH142" s="3"/>
      <c r="AYI142" s="3"/>
      <c r="AYJ142" s="3"/>
      <c r="AYK142" s="3"/>
      <c r="AYL142" s="3"/>
      <c r="AYM142" s="3"/>
      <c r="AYN142" s="3"/>
      <c r="AYO142" s="3"/>
      <c r="AYP142" s="3"/>
      <c r="AYQ142" s="3"/>
      <c r="AYR142" s="3"/>
      <c r="AYS142" s="3"/>
      <c r="AYT142" s="3"/>
      <c r="AYU142" s="3"/>
      <c r="AYV142" s="3"/>
      <c r="AYW142" s="3"/>
      <c r="AYX142" s="3"/>
      <c r="AYY142" s="3"/>
      <c r="AYZ142" s="3"/>
      <c r="AZA142" s="3"/>
      <c r="AZB142" s="3"/>
      <c r="AZC142" s="3"/>
      <c r="AZD142" s="3"/>
      <c r="AZE142" s="3"/>
      <c r="AZF142" s="3"/>
      <c r="AZG142" s="3"/>
      <c r="AZH142" s="3"/>
      <c r="AZI142" s="3"/>
      <c r="AZJ142" s="3"/>
      <c r="AZK142" s="3"/>
      <c r="AZL142" s="3"/>
      <c r="AZM142" s="3"/>
      <c r="AZN142" s="3"/>
      <c r="AZO142" s="3"/>
      <c r="AZP142" s="3"/>
      <c r="AZQ142" s="3"/>
      <c r="AZR142" s="3"/>
      <c r="AZS142" s="3"/>
      <c r="AZT142" s="3"/>
      <c r="AZU142" s="3"/>
      <c r="AZV142" s="3"/>
      <c r="AZW142" s="3"/>
      <c r="AZX142" s="3"/>
      <c r="AZY142" s="3"/>
      <c r="AZZ142" s="3"/>
      <c r="BAA142" s="3"/>
      <c r="BAB142" s="3"/>
      <c r="BAC142" s="3"/>
      <c r="BAD142" s="3"/>
      <c r="BAE142" s="3"/>
      <c r="BAF142" s="3"/>
      <c r="BAG142" s="3"/>
      <c r="BAH142" s="3"/>
      <c r="BAI142" s="3"/>
      <c r="BAJ142" s="3"/>
      <c r="BAK142" s="3"/>
      <c r="BAL142" s="3"/>
      <c r="BAM142" s="3"/>
      <c r="BAN142" s="3"/>
      <c r="BAO142" s="3"/>
      <c r="BAP142" s="3"/>
      <c r="BAQ142" s="3"/>
      <c r="BAR142" s="3"/>
      <c r="BAS142" s="3"/>
      <c r="BAT142" s="3"/>
      <c r="BAU142" s="3"/>
      <c r="BAV142" s="3"/>
      <c r="BAW142" s="3"/>
      <c r="BAX142" s="3"/>
      <c r="BAY142" s="3"/>
      <c r="BAZ142" s="3"/>
      <c r="BBA142" s="3"/>
      <c r="BBB142" s="3"/>
      <c r="BBC142" s="3"/>
      <c r="BBD142" s="3"/>
      <c r="BBE142" s="3"/>
      <c r="BBF142" s="3"/>
      <c r="BBG142" s="3"/>
      <c r="BBH142" s="3"/>
      <c r="BBI142" s="3"/>
      <c r="BBJ142" s="3"/>
      <c r="BBK142" s="3"/>
      <c r="BBL142" s="3"/>
      <c r="BBM142" s="3"/>
      <c r="BBN142" s="3"/>
      <c r="BBO142" s="3"/>
      <c r="BBP142" s="3"/>
      <c r="BBQ142" s="3"/>
      <c r="BBR142" s="3"/>
      <c r="BBS142" s="3"/>
      <c r="BBT142" s="3"/>
      <c r="BBU142" s="3"/>
      <c r="BBV142" s="3"/>
      <c r="BBW142" s="3"/>
      <c r="BBX142" s="3"/>
      <c r="BBY142" s="3"/>
      <c r="BBZ142" s="3"/>
      <c r="BCA142" s="3"/>
      <c r="BCB142" s="3"/>
      <c r="BCC142" s="3"/>
      <c r="BCD142" s="3"/>
      <c r="BCE142" s="3"/>
      <c r="BCF142" s="3"/>
      <c r="BCG142" s="3"/>
      <c r="BCH142" s="3"/>
      <c r="BCI142" s="3"/>
      <c r="BCJ142" s="3"/>
      <c r="BCK142" s="3"/>
      <c r="BCL142" s="3"/>
      <c r="BCM142" s="3"/>
      <c r="BCN142" s="3"/>
      <c r="BCO142" s="3"/>
      <c r="BCP142" s="3"/>
      <c r="BCQ142" s="3"/>
      <c r="BCR142" s="3"/>
      <c r="BCS142" s="3"/>
      <c r="BCT142" s="3"/>
      <c r="BCU142" s="3"/>
      <c r="BCV142" s="3"/>
      <c r="BCW142" s="3"/>
      <c r="BCX142" s="3"/>
      <c r="BCY142" s="3"/>
      <c r="BCZ142" s="3"/>
      <c r="BDA142" s="3"/>
      <c r="BDB142" s="3"/>
      <c r="BDC142" s="3"/>
      <c r="BDD142" s="3"/>
      <c r="BDE142" s="3"/>
      <c r="BDF142" s="3"/>
      <c r="BDG142" s="3"/>
      <c r="BDH142" s="3"/>
      <c r="BDI142" s="3"/>
      <c r="BDJ142" s="3"/>
      <c r="BDK142" s="3"/>
      <c r="BDL142" s="3"/>
      <c r="BDM142" s="3"/>
      <c r="BDN142" s="3"/>
      <c r="BDO142" s="3"/>
      <c r="BDP142" s="3"/>
      <c r="BDQ142" s="3"/>
      <c r="BDR142" s="3"/>
      <c r="BDS142" s="3"/>
      <c r="BDT142" s="3"/>
      <c r="BDU142" s="3"/>
      <c r="BDV142" s="3"/>
      <c r="BDW142" s="3"/>
      <c r="BDX142" s="3"/>
      <c r="BDY142" s="3"/>
      <c r="BDZ142" s="3"/>
      <c r="BEA142" s="3"/>
      <c r="BEB142" s="3"/>
      <c r="BEC142" s="3"/>
      <c r="BED142" s="3"/>
      <c r="BEE142" s="3"/>
      <c r="BEF142" s="3"/>
      <c r="BEG142" s="3"/>
      <c r="BEH142" s="3"/>
      <c r="BEI142" s="3"/>
      <c r="BEJ142" s="3"/>
      <c r="BEK142" s="3"/>
      <c r="BEL142" s="3"/>
      <c r="BEM142" s="3"/>
      <c r="BEN142" s="3"/>
      <c r="BEO142" s="3"/>
      <c r="BEP142" s="3"/>
      <c r="BEQ142" s="3"/>
      <c r="BER142" s="3"/>
      <c r="BES142" s="3"/>
      <c r="BET142" s="3"/>
      <c r="BEU142" s="3"/>
      <c r="BEV142" s="3"/>
      <c r="BEW142" s="3"/>
      <c r="BEX142" s="3"/>
      <c r="BEY142" s="3"/>
      <c r="BEZ142" s="3"/>
      <c r="BFA142" s="3"/>
      <c r="BFB142" s="3"/>
      <c r="BFC142" s="3"/>
      <c r="BFD142" s="3"/>
      <c r="BFE142" s="3"/>
      <c r="BFF142" s="3"/>
      <c r="BFG142" s="3"/>
      <c r="BFH142" s="3"/>
      <c r="BFI142" s="3"/>
      <c r="BFJ142" s="3"/>
      <c r="BFK142" s="3"/>
      <c r="BFL142" s="3"/>
      <c r="BFM142" s="3"/>
      <c r="BFN142" s="3"/>
      <c r="BFO142" s="3"/>
      <c r="BFP142" s="3"/>
      <c r="BFQ142" s="3"/>
      <c r="BFR142" s="3"/>
      <c r="BFS142" s="3"/>
      <c r="BFT142" s="3"/>
      <c r="BFU142" s="3"/>
      <c r="BFV142" s="3"/>
      <c r="BFW142" s="3"/>
      <c r="BFX142" s="3"/>
      <c r="BFY142" s="3"/>
      <c r="BFZ142" s="3"/>
      <c r="BGA142" s="3"/>
      <c r="BGB142" s="3"/>
      <c r="BGC142" s="3"/>
      <c r="BGD142" s="3"/>
      <c r="BGE142" s="3"/>
      <c r="BGF142" s="3"/>
      <c r="BGG142" s="3"/>
      <c r="BGH142" s="3"/>
      <c r="BGI142" s="3"/>
      <c r="BGJ142" s="3"/>
      <c r="BGK142" s="3"/>
      <c r="BGL142" s="3"/>
      <c r="BGM142" s="3"/>
      <c r="BGN142" s="3"/>
      <c r="BGO142" s="3"/>
      <c r="BGP142" s="3"/>
      <c r="BGQ142" s="3"/>
      <c r="BGR142" s="3"/>
      <c r="BGS142" s="3"/>
      <c r="BGT142" s="3"/>
      <c r="BGU142" s="3"/>
      <c r="BGV142" s="3"/>
      <c r="BGW142" s="3"/>
      <c r="BGX142" s="3"/>
      <c r="BGY142" s="3"/>
      <c r="BGZ142" s="3"/>
      <c r="BHA142" s="3"/>
      <c r="BHB142" s="3"/>
      <c r="BHC142" s="3"/>
      <c r="BHD142" s="3"/>
      <c r="BHE142" s="3"/>
      <c r="BHF142" s="3"/>
      <c r="BHG142" s="3"/>
      <c r="BHH142" s="3"/>
      <c r="BHI142" s="3"/>
      <c r="BHJ142" s="3"/>
      <c r="BHK142" s="3"/>
      <c r="BHL142" s="3"/>
      <c r="BHM142" s="3"/>
      <c r="BHN142" s="3"/>
      <c r="BHO142" s="3"/>
      <c r="BHP142" s="3"/>
      <c r="BHQ142" s="3"/>
      <c r="BHR142" s="3"/>
      <c r="BHS142" s="3"/>
      <c r="BHT142" s="3"/>
      <c r="BHU142" s="3"/>
      <c r="BHV142" s="3"/>
      <c r="BHW142" s="3"/>
      <c r="BHX142" s="3"/>
      <c r="BHY142" s="3"/>
      <c r="BHZ142" s="3"/>
      <c r="BIA142" s="3"/>
      <c r="BIB142" s="3"/>
      <c r="BIC142" s="3"/>
      <c r="BID142" s="3"/>
      <c r="BIE142" s="3"/>
      <c r="BIF142" s="3"/>
      <c r="BIG142" s="3"/>
      <c r="BIH142" s="3"/>
      <c r="BII142" s="3"/>
      <c r="BIJ142" s="3"/>
      <c r="BIK142" s="3"/>
      <c r="BIL142" s="3"/>
      <c r="BIM142" s="3"/>
      <c r="BIN142" s="3"/>
      <c r="BIO142" s="3"/>
      <c r="BIP142" s="3"/>
      <c r="BIQ142" s="3"/>
      <c r="BIR142" s="3"/>
      <c r="BIS142" s="3"/>
      <c r="BIT142" s="3"/>
      <c r="BIU142" s="3"/>
      <c r="BIV142" s="3"/>
      <c r="BIW142" s="3"/>
      <c r="BIX142" s="3"/>
      <c r="BIY142" s="3"/>
      <c r="BIZ142" s="3"/>
      <c r="BJA142" s="3"/>
      <c r="BJB142" s="3"/>
      <c r="BJC142" s="3"/>
      <c r="BJD142" s="3"/>
      <c r="BJE142" s="3"/>
      <c r="BJF142" s="3"/>
      <c r="BJG142" s="3"/>
      <c r="BJH142" s="3"/>
      <c r="BJI142" s="3"/>
      <c r="BJJ142" s="3"/>
      <c r="BJK142" s="3"/>
      <c r="BJL142" s="3"/>
      <c r="BJM142" s="3"/>
      <c r="BJN142" s="3"/>
      <c r="BJO142" s="3"/>
      <c r="BJP142" s="3"/>
      <c r="BJQ142" s="3"/>
      <c r="BJR142" s="3"/>
      <c r="BJS142" s="3"/>
      <c r="BJT142" s="3"/>
      <c r="BJU142" s="3"/>
      <c r="BJV142" s="3"/>
      <c r="BJW142" s="3"/>
      <c r="BJX142" s="3"/>
      <c r="BJY142" s="3"/>
      <c r="BJZ142" s="3"/>
      <c r="BKA142" s="3"/>
      <c r="BKB142" s="3"/>
      <c r="BKC142" s="3"/>
      <c r="BKD142" s="3"/>
      <c r="BKE142" s="3"/>
      <c r="BKF142" s="3"/>
      <c r="BKG142" s="3"/>
      <c r="BKH142" s="3"/>
      <c r="BKI142" s="3"/>
      <c r="BKJ142" s="3"/>
      <c r="BKK142" s="3"/>
      <c r="BKL142" s="3"/>
      <c r="BKM142" s="3"/>
      <c r="BKN142" s="3"/>
      <c r="BKO142" s="3"/>
      <c r="BKP142" s="3"/>
      <c r="BKQ142" s="3"/>
      <c r="BKR142" s="3"/>
      <c r="BKS142" s="3"/>
      <c r="BKT142" s="3"/>
      <c r="BKU142" s="3"/>
      <c r="BKV142" s="3"/>
      <c r="BKW142" s="3"/>
      <c r="BKX142" s="3"/>
      <c r="BKY142" s="3"/>
      <c r="BKZ142" s="3"/>
      <c r="BLA142" s="3"/>
      <c r="BLB142" s="3"/>
      <c r="BLC142" s="3"/>
      <c r="BLD142" s="3"/>
      <c r="BLE142" s="3"/>
      <c r="BLF142" s="3"/>
      <c r="BLG142" s="3"/>
      <c r="BLH142" s="3"/>
      <c r="BLI142" s="3"/>
      <c r="BLJ142" s="3"/>
      <c r="BLK142" s="3"/>
      <c r="BLL142" s="3"/>
      <c r="BLM142" s="3"/>
      <c r="BLN142" s="3"/>
      <c r="BLO142" s="3"/>
      <c r="BLP142" s="3"/>
      <c r="BLQ142" s="3"/>
      <c r="BLR142" s="3"/>
      <c r="BLS142" s="3"/>
      <c r="BLT142" s="3"/>
      <c r="BLU142" s="3"/>
      <c r="BLV142" s="3"/>
      <c r="BLW142" s="3"/>
      <c r="BLX142" s="3"/>
      <c r="BLY142" s="3"/>
      <c r="BLZ142" s="3"/>
      <c r="BMA142" s="3"/>
      <c r="BMB142" s="3"/>
      <c r="BMC142" s="3"/>
      <c r="BMD142" s="3"/>
      <c r="BME142" s="3"/>
      <c r="BMF142" s="3"/>
      <c r="BMG142" s="3"/>
      <c r="BMH142" s="3"/>
      <c r="BMI142" s="3"/>
      <c r="BMJ142" s="3"/>
      <c r="BMK142" s="3"/>
      <c r="BML142" s="3"/>
      <c r="BMM142" s="3"/>
      <c r="BMN142" s="3"/>
      <c r="BMO142" s="3"/>
      <c r="BMP142" s="3"/>
      <c r="BMQ142" s="3"/>
      <c r="BMR142" s="3"/>
      <c r="BMS142" s="3"/>
      <c r="BMT142" s="3"/>
      <c r="BMU142" s="3"/>
      <c r="BMV142" s="3"/>
      <c r="BMW142" s="3"/>
      <c r="BMX142" s="3"/>
      <c r="BMY142" s="3"/>
      <c r="BMZ142" s="3"/>
      <c r="BNA142" s="3"/>
      <c r="BNB142" s="3"/>
      <c r="BNC142" s="3"/>
      <c r="BND142" s="3"/>
      <c r="BNE142" s="3"/>
      <c r="BNF142" s="3"/>
      <c r="BNG142" s="3"/>
      <c r="BNH142" s="3"/>
      <c r="BNI142" s="3"/>
      <c r="BNJ142" s="3"/>
      <c r="BNK142" s="3"/>
      <c r="BNL142" s="3"/>
      <c r="BNM142" s="3"/>
      <c r="BNN142" s="3"/>
      <c r="BNO142" s="3"/>
      <c r="BNP142" s="3"/>
      <c r="BNQ142" s="3"/>
      <c r="BNR142" s="3"/>
      <c r="BNS142" s="3"/>
      <c r="BNT142" s="3"/>
      <c r="BNU142" s="3"/>
      <c r="BNV142" s="3"/>
      <c r="BNW142" s="3"/>
      <c r="BNX142" s="3"/>
      <c r="BNY142" s="3"/>
      <c r="BNZ142" s="3"/>
      <c r="BOA142" s="3"/>
      <c r="BOB142" s="3"/>
      <c r="BOC142" s="3"/>
      <c r="BOD142" s="3"/>
      <c r="BOE142" s="3"/>
      <c r="BOF142" s="3"/>
      <c r="BOG142" s="3"/>
      <c r="BOH142" s="3"/>
      <c r="BOI142" s="3"/>
      <c r="BOJ142" s="3"/>
      <c r="BOK142" s="3"/>
      <c r="BOL142" s="3"/>
      <c r="BOM142" s="3"/>
      <c r="BON142" s="3"/>
      <c r="BOO142" s="3"/>
      <c r="BOP142" s="3"/>
      <c r="BOQ142" s="3"/>
      <c r="BOR142" s="3"/>
      <c r="BOS142" s="3"/>
      <c r="BOT142" s="3"/>
      <c r="BOU142" s="3"/>
      <c r="BOV142" s="3"/>
      <c r="BOW142" s="3"/>
      <c r="BOX142" s="3"/>
      <c r="BOY142" s="3"/>
      <c r="BOZ142" s="3"/>
      <c r="BPA142" s="3"/>
      <c r="BPB142" s="3"/>
      <c r="BPC142" s="3"/>
      <c r="BPD142" s="3"/>
      <c r="BPE142" s="3"/>
      <c r="BPF142" s="3"/>
      <c r="BPG142" s="3"/>
      <c r="BPH142" s="3"/>
      <c r="BPI142" s="3"/>
      <c r="BPJ142" s="3"/>
      <c r="BPK142" s="3"/>
      <c r="BPL142" s="3"/>
      <c r="BPM142" s="3"/>
      <c r="BPN142" s="3"/>
      <c r="BPO142" s="3"/>
      <c r="BPP142" s="3"/>
      <c r="BPQ142" s="3"/>
      <c r="BPR142" s="3"/>
      <c r="BPS142" s="3"/>
      <c r="BPT142" s="3"/>
      <c r="BPU142" s="3"/>
      <c r="BPV142" s="3"/>
      <c r="BPW142" s="3"/>
      <c r="BPX142" s="3"/>
      <c r="BPY142" s="3"/>
      <c r="BPZ142" s="3"/>
      <c r="BQA142" s="3"/>
      <c r="BQB142" s="3"/>
      <c r="BQC142" s="3"/>
      <c r="BQD142" s="3"/>
      <c r="BQE142" s="3"/>
      <c r="BQF142" s="3"/>
      <c r="BQG142" s="3"/>
      <c r="BQH142" s="3"/>
      <c r="BQI142" s="3"/>
      <c r="BQJ142" s="3"/>
      <c r="BQK142" s="3"/>
      <c r="BQL142" s="3"/>
      <c r="BQM142" s="3"/>
      <c r="BQN142" s="3"/>
      <c r="BQO142" s="3"/>
      <c r="BQP142" s="3"/>
      <c r="BQQ142" s="3"/>
      <c r="BQR142" s="3"/>
      <c r="BQS142" s="3"/>
      <c r="BQT142" s="3"/>
      <c r="BQU142" s="3"/>
      <c r="BQV142" s="3"/>
      <c r="BQW142" s="3"/>
      <c r="BQX142" s="3"/>
      <c r="BQY142" s="3"/>
      <c r="BQZ142" s="3"/>
      <c r="BRA142" s="3"/>
      <c r="BRB142" s="3"/>
      <c r="BRC142" s="3"/>
      <c r="BRD142" s="3"/>
      <c r="BRE142" s="3"/>
      <c r="BRF142" s="3"/>
      <c r="BRG142" s="3"/>
      <c r="BRH142" s="3"/>
      <c r="BRI142" s="3"/>
      <c r="BRJ142" s="3"/>
      <c r="BRK142" s="3"/>
      <c r="BRL142" s="3"/>
      <c r="BRM142" s="3"/>
      <c r="BRN142" s="3"/>
      <c r="BRO142" s="3"/>
      <c r="BRP142" s="3"/>
      <c r="BRQ142" s="3"/>
      <c r="BRR142" s="3"/>
      <c r="BRS142" s="3"/>
      <c r="BRT142" s="3"/>
      <c r="BRU142" s="3"/>
      <c r="BRV142" s="3"/>
      <c r="BRW142" s="3"/>
      <c r="BRX142" s="3"/>
      <c r="BRY142" s="3"/>
      <c r="BRZ142" s="3"/>
      <c r="BSA142" s="3"/>
      <c r="BSB142" s="3"/>
      <c r="BSC142" s="3"/>
      <c r="BSD142" s="3"/>
      <c r="BSE142" s="3"/>
      <c r="BSF142" s="3"/>
      <c r="BSG142" s="3"/>
      <c r="BSH142" s="3"/>
      <c r="BSI142" s="3"/>
      <c r="BSJ142" s="3"/>
      <c r="BSK142" s="3"/>
      <c r="BSL142" s="3"/>
      <c r="BSM142" s="3"/>
      <c r="BSN142" s="3"/>
      <c r="BSO142" s="3"/>
      <c r="BSP142" s="3"/>
      <c r="BSQ142" s="3"/>
      <c r="BSR142" s="3"/>
      <c r="BSS142" s="3"/>
      <c r="BST142" s="3"/>
      <c r="BSU142" s="3"/>
      <c r="BSV142" s="3"/>
      <c r="BSW142" s="3"/>
      <c r="BSX142" s="3"/>
      <c r="BSY142" s="3"/>
      <c r="BSZ142" s="3"/>
      <c r="BTA142" s="3"/>
      <c r="BTB142" s="3"/>
      <c r="BTC142" s="3"/>
      <c r="BTD142" s="3"/>
      <c r="BTE142" s="3"/>
      <c r="BTF142" s="3"/>
      <c r="BTG142" s="3"/>
      <c r="BTH142" s="3"/>
      <c r="BTI142" s="3"/>
      <c r="BTJ142" s="3"/>
      <c r="BTK142" s="3"/>
      <c r="BTL142" s="3"/>
      <c r="BTM142" s="3"/>
      <c r="BTN142" s="3"/>
      <c r="BTO142" s="3"/>
      <c r="BTP142" s="3"/>
      <c r="BTQ142" s="3"/>
      <c r="BTR142" s="3"/>
      <c r="BTS142" s="3"/>
      <c r="BTT142" s="3"/>
      <c r="BTU142" s="3"/>
      <c r="BTV142" s="3"/>
      <c r="BTW142" s="3"/>
      <c r="BTX142" s="3"/>
      <c r="BTY142" s="3"/>
      <c r="BTZ142" s="3"/>
      <c r="BUA142" s="3"/>
      <c r="BUB142" s="3"/>
      <c r="BUC142" s="3"/>
      <c r="BUD142" s="3"/>
      <c r="BUE142" s="3"/>
      <c r="BUF142" s="3"/>
      <c r="BUG142" s="3"/>
      <c r="BUH142" s="3"/>
      <c r="BUI142" s="3"/>
      <c r="BUJ142" s="3"/>
      <c r="BUK142" s="3"/>
      <c r="BUL142" s="3"/>
      <c r="BUM142" s="3"/>
      <c r="BUN142" s="3"/>
      <c r="BUO142" s="3"/>
      <c r="BUP142" s="3"/>
      <c r="BUQ142" s="3"/>
      <c r="BUR142" s="3"/>
      <c r="BUS142" s="3"/>
      <c r="BUT142" s="3"/>
      <c r="BUU142" s="3"/>
      <c r="BUV142" s="3"/>
      <c r="BUW142" s="3"/>
      <c r="BUX142" s="3"/>
      <c r="BUY142" s="3"/>
      <c r="BUZ142" s="3"/>
      <c r="BVA142" s="3"/>
      <c r="BVB142" s="3"/>
      <c r="BVC142" s="3"/>
      <c r="BVD142" s="3"/>
      <c r="BVE142" s="3"/>
      <c r="BVF142" s="3"/>
      <c r="BVG142" s="3"/>
      <c r="BVH142" s="3"/>
      <c r="BVI142" s="3"/>
      <c r="BVJ142" s="3"/>
      <c r="BVK142" s="3"/>
      <c r="BVL142" s="3"/>
      <c r="BVM142" s="3"/>
      <c r="BVN142" s="3"/>
      <c r="BVO142" s="3"/>
      <c r="BVP142" s="3"/>
      <c r="BVQ142" s="3"/>
      <c r="BVR142" s="3"/>
      <c r="BVS142" s="3"/>
      <c r="BVT142" s="3"/>
      <c r="BVU142" s="3"/>
      <c r="BVV142" s="3"/>
      <c r="BVW142" s="3"/>
      <c r="BVX142" s="3"/>
      <c r="BVY142" s="3"/>
      <c r="BVZ142" s="3"/>
      <c r="BWA142" s="3"/>
      <c r="BWB142" s="3"/>
      <c r="BWC142" s="3"/>
      <c r="BWD142" s="3"/>
      <c r="BWE142" s="3"/>
      <c r="BWF142" s="3"/>
      <c r="BWG142" s="3"/>
      <c r="BWH142" s="3"/>
      <c r="BWI142" s="3"/>
      <c r="BWJ142" s="3"/>
      <c r="BWK142" s="3"/>
      <c r="BWL142" s="3"/>
      <c r="BWM142" s="3"/>
      <c r="BWN142" s="3"/>
      <c r="BWO142" s="3"/>
      <c r="BWP142" s="3"/>
      <c r="BWQ142" s="3"/>
      <c r="BWR142" s="3"/>
      <c r="BWS142" s="3"/>
      <c r="BWT142" s="3"/>
      <c r="BWU142" s="3"/>
      <c r="BWV142" s="3"/>
      <c r="BWW142" s="3"/>
      <c r="BWX142" s="3"/>
      <c r="BWY142" s="3"/>
      <c r="BWZ142" s="3"/>
      <c r="BXA142" s="3"/>
      <c r="BXB142" s="3"/>
      <c r="BXC142" s="3"/>
      <c r="BXD142" s="3"/>
      <c r="BXE142" s="3"/>
      <c r="BXF142" s="3"/>
      <c r="BXG142" s="3"/>
      <c r="BXH142" s="3"/>
      <c r="BXI142" s="3"/>
      <c r="BXJ142" s="3"/>
      <c r="BXK142" s="3"/>
      <c r="BXL142" s="3"/>
      <c r="BXM142" s="3"/>
      <c r="BXN142" s="3"/>
      <c r="BXO142" s="3"/>
      <c r="BXP142" s="3"/>
      <c r="BXQ142" s="3"/>
      <c r="BXR142" s="3"/>
      <c r="BXS142" s="3"/>
      <c r="BXT142" s="3"/>
      <c r="BXU142" s="3"/>
      <c r="BXV142" s="3"/>
      <c r="BXW142" s="3"/>
      <c r="BXX142" s="3"/>
      <c r="BXY142" s="3"/>
      <c r="BXZ142" s="3"/>
      <c r="BYA142" s="3"/>
      <c r="BYB142" s="3"/>
      <c r="BYC142" s="3"/>
      <c r="BYD142" s="3"/>
      <c r="BYE142" s="3"/>
      <c r="BYF142" s="3"/>
      <c r="BYG142" s="3"/>
      <c r="BYH142" s="3"/>
      <c r="BYI142" s="3"/>
      <c r="BYJ142" s="3"/>
      <c r="BYK142" s="3"/>
      <c r="BYL142" s="3"/>
      <c r="BYM142" s="3"/>
      <c r="BYN142" s="3"/>
      <c r="BYO142" s="3"/>
      <c r="BYP142" s="3"/>
      <c r="BYQ142" s="3"/>
      <c r="BYR142" s="3"/>
      <c r="BYS142" s="3"/>
      <c r="BYT142" s="3"/>
      <c r="BYU142" s="3"/>
      <c r="BYV142" s="3"/>
      <c r="BYW142" s="3"/>
      <c r="BYX142" s="3"/>
      <c r="BYY142" s="3"/>
      <c r="BYZ142" s="3"/>
      <c r="BZA142" s="3"/>
      <c r="BZB142" s="3"/>
      <c r="BZC142" s="3"/>
      <c r="BZD142" s="3"/>
      <c r="BZE142" s="3"/>
      <c r="BZF142" s="3"/>
      <c r="BZG142" s="3"/>
      <c r="BZH142" s="3"/>
      <c r="BZI142" s="3"/>
      <c r="BZJ142" s="3"/>
      <c r="BZK142" s="3"/>
      <c r="BZL142" s="3"/>
      <c r="BZM142" s="3"/>
      <c r="BZN142" s="3"/>
      <c r="BZO142" s="3"/>
      <c r="BZP142" s="3"/>
      <c r="BZQ142" s="3"/>
      <c r="BZR142" s="3"/>
      <c r="BZS142" s="3"/>
      <c r="BZT142" s="3"/>
      <c r="BZU142" s="3"/>
      <c r="BZV142" s="3"/>
      <c r="BZW142" s="3"/>
      <c r="BZX142" s="3"/>
      <c r="BZY142" s="3"/>
      <c r="BZZ142" s="3"/>
      <c r="CAA142" s="3"/>
      <c r="CAB142" s="3"/>
      <c r="CAC142" s="3"/>
      <c r="CAD142" s="3"/>
      <c r="CAE142" s="3"/>
      <c r="CAF142" s="3"/>
      <c r="CAG142" s="3"/>
      <c r="CAH142" s="3"/>
      <c r="CAI142" s="3"/>
      <c r="CAJ142" s="3"/>
      <c r="CAK142" s="3"/>
      <c r="CAL142" s="3"/>
      <c r="CAM142" s="3"/>
      <c r="CAN142" s="3"/>
      <c r="CAO142" s="3"/>
      <c r="CAP142" s="3"/>
      <c r="CAQ142" s="3"/>
      <c r="CAR142" s="3"/>
      <c r="CAS142" s="3"/>
      <c r="CAT142" s="3"/>
      <c r="CAU142" s="3"/>
      <c r="CAV142" s="3"/>
      <c r="CAW142" s="3"/>
      <c r="CAX142" s="3"/>
      <c r="CAY142" s="3"/>
      <c r="CAZ142" s="3"/>
      <c r="CBA142" s="3"/>
      <c r="CBB142" s="3"/>
      <c r="CBC142" s="3"/>
      <c r="CBD142" s="3"/>
      <c r="CBE142" s="3"/>
      <c r="CBF142" s="3"/>
      <c r="CBG142" s="3"/>
      <c r="CBH142" s="3"/>
      <c r="CBI142" s="3"/>
      <c r="CBJ142" s="3"/>
      <c r="CBK142" s="3"/>
      <c r="CBL142" s="3"/>
      <c r="CBM142" s="3"/>
      <c r="CBN142" s="3"/>
      <c r="CBO142" s="3"/>
      <c r="CBP142" s="3"/>
      <c r="CBQ142" s="3"/>
      <c r="CBR142" s="3"/>
      <c r="CBS142" s="3"/>
      <c r="CBT142" s="3"/>
      <c r="CBU142" s="3"/>
      <c r="CBV142" s="3"/>
      <c r="CBW142" s="3"/>
      <c r="CBX142" s="3"/>
      <c r="CBY142" s="3"/>
      <c r="CBZ142" s="3"/>
      <c r="CCA142" s="3"/>
      <c r="CCB142" s="3"/>
      <c r="CCC142" s="3"/>
      <c r="CCD142" s="3"/>
      <c r="CCE142" s="3"/>
      <c r="CCF142" s="3"/>
      <c r="CCG142" s="3"/>
      <c r="CCH142" s="3"/>
      <c r="CCI142" s="3"/>
      <c r="CCJ142" s="3"/>
      <c r="CCK142" s="3"/>
      <c r="CCL142" s="3"/>
      <c r="CCM142" s="3"/>
      <c r="CCN142" s="3"/>
      <c r="CCO142" s="3"/>
      <c r="CCP142" s="3"/>
      <c r="CCQ142" s="3"/>
      <c r="CCR142" s="3"/>
      <c r="CCS142" s="3"/>
      <c r="CCT142" s="3"/>
      <c r="CCU142" s="3"/>
      <c r="CCV142" s="3"/>
      <c r="CCW142" s="3"/>
      <c r="CCX142" s="3"/>
      <c r="CCY142" s="3"/>
      <c r="CCZ142" s="3"/>
      <c r="CDA142" s="3"/>
      <c r="CDB142" s="3"/>
      <c r="CDC142" s="3"/>
      <c r="CDD142" s="3"/>
      <c r="CDE142" s="3"/>
      <c r="CDF142" s="3"/>
      <c r="CDG142" s="3"/>
      <c r="CDH142" s="3"/>
      <c r="CDI142" s="3"/>
      <c r="CDJ142" s="3"/>
      <c r="CDK142" s="3"/>
      <c r="CDL142" s="3"/>
      <c r="CDM142" s="3"/>
      <c r="CDN142" s="3"/>
      <c r="CDO142" s="3"/>
      <c r="CDP142" s="3"/>
      <c r="CDQ142" s="3"/>
      <c r="CDR142" s="3"/>
      <c r="CDS142" s="3"/>
      <c r="CDT142" s="3"/>
      <c r="CDU142" s="3"/>
      <c r="CDV142" s="3"/>
      <c r="CDW142" s="3"/>
      <c r="CDX142" s="3"/>
      <c r="CDY142" s="3"/>
      <c r="CDZ142" s="3"/>
      <c r="CEA142" s="3"/>
      <c r="CEB142" s="3"/>
      <c r="CEC142" s="3"/>
      <c r="CED142" s="3"/>
      <c r="CEE142" s="3"/>
      <c r="CEF142" s="3"/>
      <c r="CEG142" s="3"/>
      <c r="CEH142" s="3"/>
      <c r="CEI142" s="3"/>
      <c r="CEJ142" s="3"/>
      <c r="CEK142" s="3"/>
      <c r="CEL142" s="3"/>
      <c r="CEM142" s="3"/>
      <c r="CEN142" s="3"/>
      <c r="CEO142" s="3"/>
      <c r="CEP142" s="3"/>
      <c r="CEQ142" s="3"/>
      <c r="CER142" s="3"/>
      <c r="CES142" s="3"/>
      <c r="CET142" s="3"/>
      <c r="CEU142" s="3"/>
      <c r="CEV142" s="3"/>
      <c r="CEW142" s="3"/>
      <c r="CEX142" s="3"/>
      <c r="CEY142" s="3"/>
      <c r="CEZ142" s="3"/>
      <c r="CFA142" s="3"/>
      <c r="CFB142" s="3"/>
      <c r="CFC142" s="3"/>
      <c r="CFD142" s="3"/>
      <c r="CFE142" s="3"/>
      <c r="CFF142" s="3"/>
      <c r="CFG142" s="3"/>
      <c r="CFH142" s="3"/>
      <c r="CFI142" s="3"/>
      <c r="CFJ142" s="3"/>
      <c r="CFK142" s="3"/>
      <c r="CFL142" s="3"/>
      <c r="CFM142" s="3"/>
      <c r="CFN142" s="3"/>
      <c r="CFO142" s="3"/>
      <c r="CFP142" s="3"/>
      <c r="CFQ142" s="3"/>
      <c r="CFR142" s="3"/>
      <c r="CFS142" s="3"/>
      <c r="CFT142" s="3"/>
      <c r="CFU142" s="3"/>
      <c r="CFV142" s="3"/>
      <c r="CFW142" s="3"/>
      <c r="CFX142" s="3"/>
      <c r="CFY142" s="3"/>
      <c r="CFZ142" s="3"/>
      <c r="CGA142" s="3"/>
      <c r="CGB142" s="3"/>
      <c r="CGC142" s="3"/>
      <c r="CGD142" s="3"/>
      <c r="CGE142" s="3"/>
      <c r="CGF142" s="3"/>
      <c r="CGG142" s="3"/>
      <c r="CGH142" s="3"/>
      <c r="CGI142" s="3"/>
      <c r="CGJ142" s="3"/>
      <c r="CGK142" s="3"/>
      <c r="CGL142" s="3"/>
      <c r="CGM142" s="3"/>
      <c r="CGN142" s="3"/>
      <c r="CGO142" s="3"/>
      <c r="CGP142" s="3"/>
      <c r="CGQ142" s="3"/>
      <c r="CGR142" s="3"/>
      <c r="CGS142" s="3"/>
      <c r="CGT142" s="3"/>
      <c r="CGU142" s="3"/>
      <c r="CGV142" s="3"/>
      <c r="CGW142" s="3"/>
      <c r="CGX142" s="3"/>
      <c r="CGY142" s="3"/>
      <c r="CGZ142" s="3"/>
      <c r="CHA142" s="3"/>
      <c r="CHB142" s="3"/>
      <c r="CHC142" s="3"/>
      <c r="CHD142" s="3"/>
      <c r="CHE142" s="3"/>
      <c r="CHF142" s="3"/>
      <c r="CHG142" s="3"/>
      <c r="CHH142" s="3"/>
      <c r="CHI142" s="3"/>
      <c r="CHJ142" s="3"/>
      <c r="CHK142" s="3"/>
      <c r="CHL142" s="3"/>
      <c r="CHM142" s="3"/>
      <c r="CHN142" s="3"/>
      <c r="CHO142" s="3"/>
      <c r="CHP142" s="3"/>
      <c r="CHQ142" s="3"/>
      <c r="CHR142" s="3"/>
      <c r="CHS142" s="3"/>
      <c r="CHT142" s="3"/>
      <c r="CHU142" s="3"/>
      <c r="CHV142" s="3"/>
      <c r="CHW142" s="3"/>
      <c r="CHX142" s="3"/>
      <c r="CHY142" s="3"/>
      <c r="CHZ142" s="3"/>
      <c r="CIA142" s="3"/>
      <c r="CIB142" s="3"/>
      <c r="CIC142" s="3"/>
      <c r="CID142" s="3"/>
      <c r="CIE142" s="3"/>
      <c r="CIF142" s="3"/>
      <c r="CIG142" s="3"/>
      <c r="CIH142" s="3"/>
      <c r="CII142" s="3"/>
      <c r="CIJ142" s="3"/>
      <c r="CIK142" s="3"/>
      <c r="CIL142" s="3"/>
      <c r="CIM142" s="3"/>
      <c r="CIN142" s="3"/>
      <c r="CIO142" s="3"/>
      <c r="CIP142" s="3"/>
      <c r="CIQ142" s="3"/>
      <c r="CIR142" s="3"/>
      <c r="CIS142" s="3"/>
      <c r="CIT142" s="3"/>
      <c r="CIU142" s="3"/>
      <c r="CIV142" s="3"/>
      <c r="CIW142" s="3"/>
      <c r="CIX142" s="3"/>
      <c r="CIY142" s="3"/>
      <c r="CIZ142" s="3"/>
      <c r="CJA142" s="3"/>
      <c r="CJB142" s="3"/>
      <c r="CJC142" s="3"/>
      <c r="CJD142" s="3"/>
      <c r="CJE142" s="3"/>
      <c r="CJF142" s="3"/>
      <c r="CJG142" s="3"/>
      <c r="CJH142" s="3"/>
      <c r="CJI142" s="3"/>
      <c r="CJJ142" s="3"/>
      <c r="CJK142" s="3"/>
      <c r="CJL142" s="3"/>
      <c r="CJM142" s="3"/>
      <c r="CJN142" s="3"/>
      <c r="CJO142" s="3"/>
      <c r="CJP142" s="3"/>
      <c r="CJQ142" s="3"/>
      <c r="CJR142" s="3"/>
      <c r="CJS142" s="3"/>
      <c r="CJT142" s="3"/>
      <c r="CJU142" s="3"/>
      <c r="CJV142" s="3"/>
      <c r="CJW142" s="3"/>
      <c r="CJX142" s="3"/>
      <c r="CJY142" s="3"/>
      <c r="CJZ142" s="3"/>
      <c r="CKA142" s="3"/>
      <c r="CKB142" s="3"/>
      <c r="CKC142" s="3"/>
      <c r="CKD142" s="3"/>
      <c r="CKE142" s="3"/>
      <c r="CKF142" s="3"/>
      <c r="CKG142" s="3"/>
      <c r="CKH142" s="3"/>
      <c r="CKI142" s="3"/>
      <c r="CKJ142" s="3"/>
      <c r="CKK142" s="3"/>
      <c r="CKL142" s="3"/>
      <c r="CKM142" s="3"/>
      <c r="CKN142" s="3"/>
      <c r="CKO142" s="3"/>
      <c r="CKP142" s="3"/>
      <c r="CKQ142" s="3"/>
      <c r="CKR142" s="3"/>
      <c r="CKS142" s="3"/>
      <c r="CKT142" s="3"/>
      <c r="CKU142" s="3"/>
      <c r="CKV142" s="3"/>
      <c r="CKW142" s="3"/>
      <c r="CKX142" s="3"/>
      <c r="CKY142" s="3"/>
      <c r="CKZ142" s="3"/>
      <c r="CLA142" s="3"/>
      <c r="CLB142" s="3"/>
      <c r="CLC142" s="3"/>
      <c r="CLD142" s="3"/>
      <c r="CLE142" s="3"/>
      <c r="CLF142" s="3"/>
      <c r="CLG142" s="3"/>
      <c r="CLH142" s="3"/>
      <c r="CLI142" s="3"/>
      <c r="CLJ142" s="3"/>
      <c r="CLK142" s="3"/>
      <c r="CLL142" s="3"/>
      <c r="CLM142" s="3"/>
      <c r="CLN142" s="3"/>
      <c r="CLO142" s="3"/>
      <c r="CLP142" s="3"/>
      <c r="CLQ142" s="3"/>
      <c r="CLR142" s="3"/>
      <c r="CLS142" s="3"/>
      <c r="CLT142" s="3"/>
      <c r="CLU142" s="3"/>
      <c r="CLV142" s="3"/>
      <c r="CLW142" s="3"/>
      <c r="CLX142" s="3"/>
      <c r="CLY142" s="3"/>
      <c r="CLZ142" s="3"/>
      <c r="CMA142" s="3"/>
      <c r="CMB142" s="3"/>
      <c r="CMC142" s="3"/>
      <c r="CMD142" s="3"/>
      <c r="CME142" s="3"/>
      <c r="CMF142" s="3"/>
      <c r="CMG142" s="3"/>
      <c r="CMH142" s="3"/>
      <c r="CMI142" s="3"/>
      <c r="CMJ142" s="3"/>
      <c r="CMK142" s="3"/>
      <c r="CML142" s="3"/>
      <c r="CMM142" s="3"/>
      <c r="CMN142" s="3"/>
      <c r="CMO142" s="3"/>
      <c r="CMP142" s="3"/>
      <c r="CMQ142" s="3"/>
      <c r="CMR142" s="3"/>
      <c r="CMS142" s="3"/>
      <c r="CMT142" s="3"/>
      <c r="CMU142" s="3"/>
      <c r="CMV142" s="3"/>
      <c r="CMW142" s="3"/>
      <c r="CMX142" s="3"/>
      <c r="CMY142" s="3"/>
      <c r="CMZ142" s="3"/>
      <c r="CNA142" s="3"/>
      <c r="CNB142" s="3"/>
      <c r="CNC142" s="3"/>
      <c r="CND142" s="3"/>
      <c r="CNE142" s="3"/>
      <c r="CNF142" s="3"/>
      <c r="CNG142" s="3"/>
      <c r="CNH142" s="3"/>
      <c r="CNI142" s="3"/>
      <c r="CNJ142" s="3"/>
      <c r="CNK142" s="3"/>
      <c r="CNL142" s="3"/>
      <c r="CNM142" s="3"/>
      <c r="CNN142" s="3"/>
      <c r="CNO142" s="3"/>
      <c r="CNP142" s="3"/>
      <c r="CNQ142" s="3"/>
      <c r="CNR142" s="3"/>
      <c r="CNS142" s="3"/>
      <c r="CNT142" s="3"/>
      <c r="CNU142" s="3"/>
      <c r="CNV142" s="3"/>
      <c r="CNW142" s="3"/>
      <c r="CNX142" s="3"/>
      <c r="CNY142" s="3"/>
      <c r="CNZ142" s="3"/>
      <c r="COA142" s="3"/>
      <c r="COB142" s="3"/>
      <c r="COC142" s="3"/>
      <c r="COD142" s="3"/>
      <c r="COE142" s="3"/>
      <c r="COF142" s="3"/>
      <c r="COG142" s="3"/>
      <c r="COH142" s="3"/>
      <c r="COI142" s="3"/>
      <c r="COJ142" s="3"/>
      <c r="COK142" s="3"/>
      <c r="COL142" s="3"/>
      <c r="COM142" s="3"/>
      <c r="CON142" s="3"/>
      <c r="COO142" s="3"/>
      <c r="COP142" s="3"/>
      <c r="COQ142" s="3"/>
      <c r="COR142" s="3"/>
      <c r="COS142" s="3"/>
      <c r="COT142" s="3"/>
      <c r="COU142" s="3"/>
      <c r="COV142" s="3"/>
      <c r="COW142" s="3"/>
      <c r="COX142" s="3"/>
      <c r="COY142" s="3"/>
      <c r="COZ142" s="3"/>
      <c r="CPA142" s="3"/>
      <c r="CPB142" s="3"/>
      <c r="CPC142" s="3"/>
      <c r="CPD142" s="3"/>
      <c r="CPE142" s="3"/>
      <c r="CPF142" s="3"/>
      <c r="CPG142" s="3"/>
      <c r="CPH142" s="3"/>
      <c r="CPI142" s="3"/>
      <c r="CPJ142" s="3"/>
      <c r="CPK142" s="3"/>
      <c r="CPL142" s="3"/>
      <c r="CPM142" s="3"/>
      <c r="CPN142" s="3"/>
      <c r="CPO142" s="3"/>
      <c r="CPP142" s="3"/>
      <c r="CPQ142" s="3"/>
      <c r="CPR142" s="3"/>
      <c r="CPS142" s="3"/>
      <c r="CPT142" s="3"/>
      <c r="CPU142" s="3"/>
      <c r="CPV142" s="3"/>
      <c r="CPW142" s="3"/>
      <c r="CPX142" s="3"/>
      <c r="CPY142" s="3"/>
      <c r="CPZ142" s="3"/>
      <c r="CQA142" s="3"/>
      <c r="CQB142" s="3"/>
      <c r="CQC142" s="3"/>
      <c r="CQD142" s="3"/>
      <c r="CQE142" s="3"/>
      <c r="CQF142" s="3"/>
      <c r="CQG142" s="3"/>
      <c r="CQH142" s="3"/>
      <c r="CQI142" s="3"/>
      <c r="CQJ142" s="3"/>
      <c r="CQK142" s="3"/>
      <c r="CQL142" s="3"/>
      <c r="CQM142" s="3"/>
      <c r="CQN142" s="3"/>
      <c r="CQO142" s="3"/>
      <c r="CQP142" s="3"/>
      <c r="CQQ142" s="3"/>
      <c r="CQR142" s="3"/>
      <c r="CQS142" s="3"/>
      <c r="CQT142" s="3"/>
      <c r="CQU142" s="3"/>
      <c r="CQV142" s="3"/>
      <c r="CQW142" s="3"/>
      <c r="CQX142" s="3"/>
      <c r="CQY142" s="3"/>
      <c r="CQZ142" s="3"/>
      <c r="CRA142" s="3"/>
      <c r="CRB142" s="3"/>
      <c r="CRC142" s="3"/>
      <c r="CRD142" s="3"/>
      <c r="CRE142" s="3"/>
      <c r="CRF142" s="3"/>
      <c r="CRG142" s="3"/>
      <c r="CRH142" s="3"/>
      <c r="CRI142" s="3"/>
      <c r="CRJ142" s="3"/>
      <c r="CRK142" s="3"/>
      <c r="CRL142" s="3"/>
      <c r="CRM142" s="3"/>
      <c r="CRN142" s="3"/>
      <c r="CRO142" s="3"/>
      <c r="CRP142" s="3"/>
      <c r="CRQ142" s="3"/>
      <c r="CRR142" s="3"/>
      <c r="CRS142" s="3"/>
      <c r="CRT142" s="3"/>
      <c r="CRU142" s="3"/>
      <c r="CRV142" s="3"/>
      <c r="CRW142" s="3"/>
      <c r="CRX142" s="3"/>
      <c r="CRY142" s="3"/>
      <c r="CRZ142" s="3"/>
      <c r="CSA142" s="3"/>
      <c r="CSB142" s="3"/>
      <c r="CSC142" s="3"/>
      <c r="CSD142" s="3"/>
      <c r="CSE142" s="3"/>
      <c r="CSF142" s="3"/>
      <c r="CSG142" s="3"/>
      <c r="CSH142" s="3"/>
      <c r="CSI142" s="3"/>
      <c r="CSJ142" s="3"/>
      <c r="CSK142" s="3"/>
      <c r="CSL142" s="3"/>
      <c r="CSM142" s="3"/>
      <c r="CSN142" s="3"/>
      <c r="CSO142" s="3"/>
      <c r="CSP142" s="3"/>
      <c r="CSQ142" s="3"/>
      <c r="CSR142" s="3"/>
      <c r="CSS142" s="3"/>
      <c r="CST142" s="3"/>
      <c r="CSU142" s="3"/>
      <c r="CSV142" s="3"/>
      <c r="CSW142" s="3"/>
      <c r="CSX142" s="3"/>
      <c r="CSY142" s="3"/>
      <c r="CSZ142" s="3"/>
      <c r="CTA142" s="3"/>
      <c r="CTB142" s="3"/>
      <c r="CTC142" s="3"/>
      <c r="CTD142" s="3"/>
      <c r="CTE142" s="3"/>
      <c r="CTF142" s="3"/>
      <c r="CTG142" s="3"/>
      <c r="CTH142" s="3"/>
      <c r="CTI142" s="3"/>
      <c r="CTJ142" s="3"/>
      <c r="CTK142" s="3"/>
      <c r="CTL142" s="3"/>
      <c r="CTM142" s="3"/>
      <c r="CTN142" s="3"/>
      <c r="CTO142" s="3"/>
      <c r="CTP142" s="3"/>
      <c r="CTQ142" s="3"/>
      <c r="CTR142" s="3"/>
      <c r="CTS142" s="3"/>
      <c r="CTT142" s="3"/>
      <c r="CTU142" s="3"/>
      <c r="CTV142" s="3"/>
      <c r="CTW142" s="3"/>
      <c r="CTX142" s="3"/>
      <c r="CTY142" s="3"/>
      <c r="CTZ142" s="3"/>
      <c r="CUA142" s="3"/>
      <c r="CUB142" s="3"/>
      <c r="CUC142" s="3"/>
      <c r="CUD142" s="3"/>
      <c r="CUE142" s="3"/>
      <c r="CUF142" s="3"/>
      <c r="CUG142" s="3"/>
      <c r="CUH142" s="3"/>
      <c r="CUI142" s="3"/>
      <c r="CUJ142" s="3"/>
      <c r="CUK142" s="3"/>
      <c r="CUL142" s="3"/>
      <c r="CUM142" s="3"/>
      <c r="CUN142" s="3"/>
      <c r="CUO142" s="3"/>
      <c r="CUP142" s="3"/>
      <c r="CUQ142" s="3"/>
      <c r="CUR142" s="3"/>
      <c r="CUS142" s="3"/>
      <c r="CUT142" s="3"/>
      <c r="CUU142" s="3"/>
      <c r="CUV142" s="3"/>
      <c r="CUW142" s="3"/>
      <c r="CUX142" s="3"/>
      <c r="CUY142" s="3"/>
      <c r="CUZ142" s="3"/>
      <c r="CVA142" s="3"/>
      <c r="CVB142" s="3"/>
      <c r="CVC142" s="3"/>
      <c r="CVD142" s="3"/>
      <c r="CVE142" s="3"/>
      <c r="CVF142" s="3"/>
      <c r="CVG142" s="3"/>
      <c r="CVH142" s="3"/>
      <c r="CVI142" s="3"/>
      <c r="CVJ142" s="3"/>
      <c r="CVK142" s="3"/>
      <c r="CVL142" s="3"/>
      <c r="CVM142" s="3"/>
      <c r="CVN142" s="3"/>
      <c r="CVO142" s="3"/>
      <c r="CVP142" s="3"/>
      <c r="CVQ142" s="3"/>
      <c r="CVR142" s="3"/>
      <c r="CVS142" s="3"/>
      <c r="CVT142" s="3"/>
      <c r="CVU142" s="3"/>
      <c r="CVV142" s="3"/>
      <c r="CVW142" s="3"/>
      <c r="CVX142" s="3"/>
      <c r="CVY142" s="3"/>
      <c r="CVZ142" s="3"/>
      <c r="CWA142" s="3"/>
      <c r="CWB142" s="3"/>
      <c r="CWC142" s="3"/>
      <c r="CWD142" s="3"/>
      <c r="CWE142" s="3"/>
      <c r="CWF142" s="3"/>
      <c r="CWG142" s="3"/>
      <c r="CWH142" s="3"/>
      <c r="CWI142" s="3"/>
      <c r="CWJ142" s="3"/>
      <c r="CWK142" s="3"/>
      <c r="CWL142" s="3"/>
      <c r="CWM142" s="3"/>
      <c r="CWN142" s="3"/>
      <c r="CWO142" s="3"/>
      <c r="CWP142" s="3"/>
      <c r="CWQ142" s="3"/>
      <c r="CWR142" s="3"/>
      <c r="CWS142" s="3"/>
      <c r="CWT142" s="3"/>
      <c r="CWU142" s="3"/>
      <c r="CWV142" s="3"/>
      <c r="CWW142" s="3"/>
      <c r="CWX142" s="3"/>
      <c r="CWY142" s="3"/>
      <c r="CWZ142" s="3"/>
      <c r="CXA142" s="3"/>
      <c r="CXB142" s="3"/>
      <c r="CXC142" s="3"/>
      <c r="CXD142" s="3"/>
      <c r="CXE142" s="3"/>
      <c r="CXF142" s="3"/>
      <c r="CXG142" s="3"/>
      <c r="CXH142" s="3"/>
      <c r="CXI142" s="3"/>
      <c r="CXJ142" s="3"/>
      <c r="CXK142" s="3"/>
      <c r="CXL142" s="3"/>
      <c r="CXM142" s="3"/>
      <c r="CXN142" s="3"/>
      <c r="CXO142" s="3"/>
      <c r="CXP142" s="3"/>
      <c r="CXQ142" s="3"/>
      <c r="CXR142" s="3"/>
      <c r="CXS142" s="3"/>
      <c r="CXT142" s="3"/>
      <c r="CXU142" s="3"/>
      <c r="CXV142" s="3"/>
      <c r="CXW142" s="3"/>
      <c r="CXX142" s="3"/>
      <c r="CXY142" s="3"/>
      <c r="CXZ142" s="3"/>
      <c r="CYA142" s="3"/>
      <c r="CYB142" s="3"/>
      <c r="CYC142" s="3"/>
      <c r="CYD142" s="3"/>
      <c r="CYE142" s="3"/>
      <c r="CYF142" s="3"/>
      <c r="CYG142" s="3"/>
      <c r="CYH142" s="3"/>
      <c r="CYI142" s="3"/>
      <c r="CYJ142" s="3"/>
      <c r="CYK142" s="3"/>
      <c r="CYL142" s="3"/>
      <c r="CYM142" s="3"/>
      <c r="CYN142" s="3"/>
      <c r="CYO142" s="3"/>
      <c r="CYP142" s="3"/>
      <c r="CYQ142" s="3"/>
      <c r="CYR142" s="3"/>
      <c r="CYS142" s="3"/>
      <c r="CYT142" s="3"/>
      <c r="CYU142" s="3"/>
      <c r="CYV142" s="3"/>
      <c r="CYW142" s="3"/>
      <c r="CYX142" s="3"/>
      <c r="CYY142" s="3"/>
      <c r="CYZ142" s="3"/>
      <c r="CZA142" s="3"/>
      <c r="CZB142" s="3"/>
      <c r="CZC142" s="3"/>
      <c r="CZD142" s="3"/>
      <c r="CZE142" s="3"/>
      <c r="CZF142" s="3"/>
      <c r="CZG142" s="3"/>
      <c r="CZH142" s="3"/>
      <c r="CZI142" s="3"/>
      <c r="CZJ142" s="3"/>
      <c r="CZK142" s="3"/>
      <c r="CZL142" s="3"/>
      <c r="CZM142" s="3"/>
      <c r="CZN142" s="3"/>
      <c r="CZO142" s="3"/>
      <c r="CZP142" s="3"/>
      <c r="CZQ142" s="3"/>
      <c r="CZR142" s="3"/>
      <c r="CZS142" s="3"/>
      <c r="CZT142" s="3"/>
      <c r="CZU142" s="3"/>
      <c r="CZV142" s="3"/>
      <c r="CZW142" s="3"/>
      <c r="CZX142" s="3"/>
      <c r="CZY142" s="3"/>
      <c r="CZZ142" s="3"/>
      <c r="DAA142" s="3"/>
      <c r="DAB142" s="3"/>
      <c r="DAC142" s="3"/>
      <c r="DAD142" s="3"/>
      <c r="DAE142" s="3"/>
      <c r="DAF142" s="3"/>
      <c r="DAG142" s="3"/>
      <c r="DAH142" s="3"/>
      <c r="DAI142" s="3"/>
      <c r="DAJ142" s="3"/>
      <c r="DAK142" s="3"/>
      <c r="DAL142" s="3"/>
      <c r="DAM142" s="3"/>
      <c r="DAN142" s="3"/>
      <c r="DAO142" s="3"/>
      <c r="DAP142" s="3"/>
      <c r="DAQ142" s="3"/>
      <c r="DAR142" s="3"/>
      <c r="DAS142" s="3"/>
      <c r="DAT142" s="3"/>
      <c r="DAU142" s="3"/>
      <c r="DAV142" s="3"/>
      <c r="DAW142" s="3"/>
      <c r="DAX142" s="3"/>
      <c r="DAY142" s="3"/>
      <c r="DAZ142" s="3"/>
      <c r="DBA142" s="3"/>
      <c r="DBB142" s="3"/>
      <c r="DBC142" s="3"/>
      <c r="DBD142" s="3"/>
      <c r="DBE142" s="3"/>
      <c r="DBF142" s="3"/>
      <c r="DBG142" s="3"/>
      <c r="DBH142" s="3"/>
      <c r="DBI142" s="3"/>
      <c r="DBJ142" s="3"/>
      <c r="DBK142" s="3"/>
      <c r="DBL142" s="3"/>
      <c r="DBM142" s="3"/>
      <c r="DBN142" s="3"/>
      <c r="DBO142" s="3"/>
      <c r="DBP142" s="3"/>
      <c r="DBQ142" s="3"/>
      <c r="DBR142" s="3"/>
      <c r="DBS142" s="3"/>
      <c r="DBT142" s="3"/>
      <c r="DBU142" s="3"/>
      <c r="DBV142" s="3"/>
      <c r="DBW142" s="3"/>
      <c r="DBX142" s="3"/>
      <c r="DBY142" s="3"/>
      <c r="DBZ142" s="3"/>
      <c r="DCA142" s="3"/>
      <c r="DCB142" s="3"/>
      <c r="DCC142" s="3"/>
      <c r="DCD142" s="3"/>
      <c r="DCE142" s="3"/>
      <c r="DCF142" s="3"/>
      <c r="DCG142" s="3"/>
      <c r="DCH142" s="3"/>
      <c r="DCI142" s="3"/>
      <c r="DCJ142" s="3"/>
      <c r="DCK142" s="3"/>
      <c r="DCL142" s="3"/>
      <c r="DCM142" s="3"/>
      <c r="DCN142" s="3"/>
      <c r="DCO142" s="3"/>
      <c r="DCP142" s="3"/>
      <c r="DCQ142" s="3"/>
      <c r="DCR142" s="3"/>
      <c r="DCS142" s="3"/>
      <c r="DCT142" s="3"/>
      <c r="DCU142" s="3"/>
      <c r="DCV142" s="3"/>
      <c r="DCW142" s="3"/>
      <c r="DCX142" s="3"/>
      <c r="DCY142" s="3"/>
      <c r="DCZ142" s="3"/>
      <c r="DDA142" s="3"/>
      <c r="DDB142" s="3"/>
      <c r="DDC142" s="3"/>
      <c r="DDD142" s="3"/>
      <c r="DDE142" s="3"/>
      <c r="DDF142" s="3"/>
      <c r="DDG142" s="3"/>
      <c r="DDH142" s="3"/>
      <c r="DDI142" s="3"/>
      <c r="DDJ142" s="3"/>
      <c r="DDK142" s="3"/>
      <c r="DDL142" s="3"/>
      <c r="DDM142" s="3"/>
      <c r="DDN142" s="3"/>
      <c r="DDO142" s="3"/>
      <c r="DDP142" s="3"/>
      <c r="DDQ142" s="3"/>
      <c r="DDR142" s="3"/>
      <c r="DDS142" s="3"/>
      <c r="DDT142" s="3"/>
      <c r="DDU142" s="3"/>
      <c r="DDV142" s="3"/>
      <c r="DDW142" s="3"/>
      <c r="DDX142" s="3"/>
      <c r="DDY142" s="3"/>
      <c r="DDZ142" s="3"/>
      <c r="DEA142" s="3"/>
      <c r="DEB142" s="3"/>
      <c r="DEC142" s="3"/>
      <c r="DED142" s="3"/>
      <c r="DEE142" s="3"/>
      <c r="DEF142" s="3"/>
      <c r="DEG142" s="3"/>
      <c r="DEH142" s="3"/>
      <c r="DEI142" s="3"/>
      <c r="DEJ142" s="3"/>
      <c r="DEK142" s="3"/>
      <c r="DEL142" s="3"/>
      <c r="DEM142" s="3"/>
      <c r="DEN142" s="3"/>
      <c r="DEO142" s="3"/>
      <c r="DEP142" s="3"/>
      <c r="DEQ142" s="3"/>
      <c r="DER142" s="3"/>
      <c r="DES142" s="3"/>
      <c r="DET142" s="3"/>
      <c r="DEU142" s="3"/>
      <c r="DEV142" s="3"/>
      <c r="DEW142" s="3"/>
      <c r="DEX142" s="3"/>
      <c r="DEY142" s="3"/>
      <c r="DEZ142" s="3"/>
      <c r="DFA142" s="3"/>
      <c r="DFB142" s="3"/>
      <c r="DFC142" s="3"/>
      <c r="DFD142" s="3"/>
      <c r="DFE142" s="3"/>
      <c r="DFF142" s="3"/>
      <c r="DFG142" s="3"/>
      <c r="DFH142" s="3"/>
      <c r="DFI142" s="3"/>
      <c r="DFJ142" s="3"/>
      <c r="DFK142" s="3"/>
      <c r="DFL142" s="3"/>
      <c r="DFM142" s="3"/>
      <c r="DFN142" s="3"/>
      <c r="DFO142" s="3"/>
      <c r="DFP142" s="3"/>
      <c r="DFQ142" s="3"/>
      <c r="DFR142" s="3"/>
      <c r="DFS142" s="3"/>
      <c r="DFT142" s="3"/>
      <c r="DFU142" s="3"/>
      <c r="DFV142" s="3"/>
      <c r="DFW142" s="3"/>
      <c r="DFX142" s="3"/>
      <c r="DFY142" s="3"/>
      <c r="DFZ142" s="3"/>
      <c r="DGA142" s="3"/>
      <c r="DGB142" s="3"/>
      <c r="DGC142" s="3"/>
      <c r="DGD142" s="3"/>
      <c r="DGE142" s="3"/>
      <c r="DGF142" s="3"/>
      <c r="DGG142" s="3"/>
      <c r="DGH142" s="3"/>
      <c r="DGI142" s="3"/>
      <c r="DGJ142" s="3"/>
      <c r="DGK142" s="3"/>
      <c r="DGL142" s="3"/>
      <c r="DGM142" s="3"/>
      <c r="DGN142" s="3"/>
      <c r="DGO142" s="3"/>
      <c r="DGP142" s="3"/>
      <c r="DGQ142" s="3"/>
      <c r="DGR142" s="3"/>
      <c r="DGS142" s="3"/>
      <c r="DGT142" s="3"/>
      <c r="DGU142" s="3"/>
      <c r="DGV142" s="3"/>
      <c r="DGW142" s="3"/>
      <c r="DGX142" s="3"/>
      <c r="DGY142" s="3"/>
      <c r="DGZ142" s="3"/>
      <c r="DHA142" s="3"/>
      <c r="DHB142" s="3"/>
      <c r="DHC142" s="3"/>
      <c r="DHD142" s="3"/>
      <c r="DHE142" s="3"/>
      <c r="DHF142" s="3"/>
      <c r="DHG142" s="3"/>
      <c r="DHH142" s="3"/>
      <c r="DHI142" s="3"/>
      <c r="DHJ142" s="3"/>
      <c r="DHK142" s="3"/>
      <c r="DHL142" s="3"/>
      <c r="DHM142" s="3"/>
      <c r="DHN142" s="3"/>
      <c r="DHO142" s="3"/>
      <c r="DHP142" s="3"/>
      <c r="DHQ142" s="3"/>
      <c r="DHR142" s="3"/>
      <c r="DHS142" s="3"/>
      <c r="DHT142" s="3"/>
      <c r="DHU142" s="3"/>
      <c r="DHV142" s="3"/>
      <c r="DHW142" s="3"/>
      <c r="DHX142" s="3"/>
      <c r="DHY142" s="3"/>
      <c r="DHZ142" s="3"/>
      <c r="DIA142" s="3"/>
      <c r="DIB142" s="3"/>
      <c r="DIC142" s="3"/>
      <c r="DID142" s="3"/>
      <c r="DIE142" s="3"/>
      <c r="DIF142" s="3"/>
      <c r="DIG142" s="3"/>
      <c r="DIH142" s="3"/>
      <c r="DII142" s="3"/>
      <c r="DIJ142" s="3"/>
      <c r="DIK142" s="3"/>
      <c r="DIL142" s="3"/>
      <c r="DIM142" s="3"/>
      <c r="DIN142" s="3"/>
      <c r="DIO142" s="3"/>
      <c r="DIP142" s="3"/>
      <c r="DIQ142" s="3"/>
      <c r="DIR142" s="3"/>
      <c r="DIS142" s="3"/>
      <c r="DIT142" s="3"/>
      <c r="DIU142" s="3"/>
      <c r="DIV142" s="3"/>
      <c r="DIW142" s="3"/>
      <c r="DIX142" s="3"/>
      <c r="DIY142" s="3"/>
      <c r="DIZ142" s="3"/>
      <c r="DJA142" s="3"/>
      <c r="DJB142" s="3"/>
      <c r="DJC142" s="3"/>
      <c r="DJD142" s="3"/>
      <c r="DJE142" s="3"/>
      <c r="DJF142" s="3"/>
      <c r="DJG142" s="3"/>
      <c r="DJH142" s="3"/>
      <c r="DJI142" s="3"/>
      <c r="DJJ142" s="3"/>
      <c r="DJK142" s="3"/>
      <c r="DJL142" s="3"/>
      <c r="DJM142" s="3"/>
      <c r="DJN142" s="3"/>
      <c r="DJO142" s="3"/>
      <c r="DJP142" s="3"/>
      <c r="DJQ142" s="3"/>
      <c r="DJR142" s="3"/>
      <c r="DJS142" s="3"/>
      <c r="DJT142" s="3"/>
      <c r="DJU142" s="3"/>
      <c r="DJV142" s="3"/>
      <c r="DJW142" s="3"/>
      <c r="DJX142" s="3"/>
      <c r="DJY142" s="3"/>
      <c r="DJZ142" s="3"/>
      <c r="DKA142" s="3"/>
      <c r="DKB142" s="3"/>
      <c r="DKC142" s="3"/>
      <c r="DKD142" s="3"/>
      <c r="DKE142" s="3"/>
      <c r="DKF142" s="3"/>
      <c r="DKG142" s="3"/>
      <c r="DKH142" s="3"/>
      <c r="DKI142" s="3"/>
      <c r="DKJ142" s="3"/>
      <c r="DKK142" s="3"/>
      <c r="DKL142" s="3"/>
      <c r="DKM142" s="3"/>
      <c r="DKN142" s="3"/>
      <c r="DKO142" s="3"/>
      <c r="DKP142" s="3"/>
      <c r="DKQ142" s="3"/>
      <c r="DKR142" s="3"/>
      <c r="DKS142" s="3"/>
      <c r="DKT142" s="3"/>
      <c r="DKU142" s="3"/>
      <c r="DKV142" s="3"/>
      <c r="DKW142" s="3"/>
      <c r="DKX142" s="3"/>
      <c r="DKY142" s="3"/>
      <c r="DKZ142" s="3"/>
      <c r="DLA142" s="3"/>
      <c r="DLB142" s="3"/>
      <c r="DLC142" s="3"/>
      <c r="DLD142" s="3"/>
      <c r="DLE142" s="3"/>
      <c r="DLF142" s="3"/>
      <c r="DLG142" s="3"/>
      <c r="DLH142" s="3"/>
      <c r="DLI142" s="3"/>
      <c r="DLJ142" s="3"/>
      <c r="DLK142" s="3"/>
      <c r="DLL142" s="3"/>
      <c r="DLM142" s="3"/>
      <c r="DLN142" s="3"/>
      <c r="DLO142" s="3"/>
      <c r="DLP142" s="3"/>
      <c r="DLQ142" s="3"/>
      <c r="DLR142" s="3"/>
      <c r="DLS142" s="3"/>
      <c r="DLT142" s="3"/>
      <c r="DLU142" s="3"/>
      <c r="DLV142" s="3"/>
      <c r="DLW142" s="3"/>
      <c r="DLX142" s="3"/>
      <c r="DLY142" s="3"/>
      <c r="DLZ142" s="3"/>
      <c r="DMA142" s="3"/>
      <c r="DMB142" s="3"/>
      <c r="DMC142" s="3"/>
      <c r="DMD142" s="3"/>
      <c r="DME142" s="3"/>
      <c r="DMF142" s="3"/>
      <c r="DMG142" s="3"/>
      <c r="DMH142" s="3"/>
      <c r="DMI142" s="3"/>
      <c r="DMJ142" s="3"/>
      <c r="DMK142" s="3"/>
      <c r="DML142" s="3"/>
      <c r="DMM142" s="3"/>
      <c r="DMN142" s="3"/>
      <c r="DMO142" s="3"/>
      <c r="DMP142" s="3"/>
      <c r="DMQ142" s="3"/>
      <c r="DMR142" s="3"/>
      <c r="DMS142" s="3"/>
      <c r="DMT142" s="3"/>
      <c r="DMU142" s="3"/>
      <c r="DMV142" s="3"/>
      <c r="DMW142" s="3"/>
      <c r="DMX142" s="3"/>
      <c r="DMY142" s="3"/>
      <c r="DMZ142" s="3"/>
      <c r="DNA142" s="3"/>
      <c r="DNB142" s="3"/>
      <c r="DNC142" s="3"/>
      <c r="DND142" s="3"/>
      <c r="DNE142" s="3"/>
      <c r="DNF142" s="3"/>
      <c r="DNG142" s="3"/>
      <c r="DNH142" s="3"/>
      <c r="DNI142" s="3"/>
      <c r="DNJ142" s="3"/>
      <c r="DNK142" s="3"/>
      <c r="DNL142" s="3"/>
      <c r="DNM142" s="3"/>
      <c r="DNN142" s="3"/>
      <c r="DNO142" s="3"/>
      <c r="DNP142" s="3"/>
      <c r="DNQ142" s="3"/>
      <c r="DNR142" s="3"/>
      <c r="DNS142" s="3"/>
      <c r="DNT142" s="3"/>
      <c r="DNU142" s="3"/>
      <c r="DNV142" s="3"/>
      <c r="DNW142" s="3"/>
      <c r="DNX142" s="3"/>
      <c r="DNY142" s="3"/>
      <c r="DNZ142" s="3"/>
      <c r="DOA142" s="3"/>
      <c r="DOB142" s="3"/>
      <c r="DOC142" s="3"/>
      <c r="DOD142" s="3"/>
      <c r="DOE142" s="3"/>
      <c r="DOF142" s="3"/>
      <c r="DOG142" s="3"/>
      <c r="DOH142" s="3"/>
      <c r="DOI142" s="3"/>
      <c r="DOJ142" s="3"/>
      <c r="DOK142" s="3"/>
      <c r="DOL142" s="3"/>
      <c r="DOM142" s="3"/>
      <c r="DON142" s="3"/>
      <c r="DOO142" s="3"/>
      <c r="DOP142" s="3"/>
      <c r="DOQ142" s="3"/>
      <c r="DOR142" s="3"/>
      <c r="DOS142" s="3"/>
      <c r="DOT142" s="3"/>
      <c r="DOU142" s="3"/>
      <c r="DOV142" s="3"/>
      <c r="DOW142" s="3"/>
      <c r="DOX142" s="3"/>
      <c r="DOY142" s="3"/>
      <c r="DOZ142" s="3"/>
      <c r="DPA142" s="3"/>
      <c r="DPB142" s="3"/>
      <c r="DPC142" s="3"/>
      <c r="DPD142" s="3"/>
      <c r="DPE142" s="3"/>
      <c r="DPF142" s="3"/>
      <c r="DPG142" s="3"/>
      <c r="DPH142" s="3"/>
      <c r="DPI142" s="3"/>
      <c r="DPJ142" s="3"/>
      <c r="DPK142" s="3"/>
      <c r="DPL142" s="3"/>
      <c r="DPM142" s="3"/>
      <c r="DPN142" s="3"/>
      <c r="DPO142" s="3"/>
      <c r="DPP142" s="3"/>
      <c r="DPQ142" s="3"/>
      <c r="DPR142" s="3"/>
      <c r="DPS142" s="3"/>
      <c r="DPT142" s="3"/>
      <c r="DPU142" s="3"/>
      <c r="DPV142" s="3"/>
      <c r="DPW142" s="3"/>
      <c r="DPX142" s="3"/>
      <c r="DPY142" s="3"/>
      <c r="DPZ142" s="3"/>
      <c r="DQA142" s="3"/>
      <c r="DQB142" s="3"/>
      <c r="DQC142" s="3"/>
      <c r="DQD142" s="3"/>
      <c r="DQE142" s="3"/>
      <c r="DQF142" s="3"/>
      <c r="DQG142" s="3"/>
      <c r="DQH142" s="3"/>
      <c r="DQI142" s="3"/>
      <c r="DQJ142" s="3"/>
      <c r="DQK142" s="3"/>
      <c r="DQL142" s="3"/>
      <c r="DQM142" s="3"/>
      <c r="DQN142" s="3"/>
      <c r="DQO142" s="3"/>
      <c r="DQP142" s="3"/>
      <c r="DQQ142" s="3"/>
      <c r="DQR142" s="3"/>
      <c r="DQS142" s="3"/>
      <c r="DQT142" s="3"/>
      <c r="DQU142" s="3"/>
      <c r="DQV142" s="3"/>
      <c r="DQW142" s="3"/>
      <c r="DQX142" s="3"/>
      <c r="DQY142" s="3"/>
      <c r="DQZ142" s="3"/>
      <c r="DRA142" s="3"/>
      <c r="DRB142" s="3"/>
      <c r="DRC142" s="3"/>
      <c r="DRD142" s="3"/>
      <c r="DRE142" s="3"/>
      <c r="DRF142" s="3"/>
      <c r="DRG142" s="3"/>
      <c r="DRH142" s="3"/>
      <c r="DRI142" s="3"/>
      <c r="DRJ142" s="3"/>
      <c r="DRK142" s="3"/>
      <c r="DRL142" s="3"/>
      <c r="DRM142" s="3"/>
      <c r="DRN142" s="3"/>
      <c r="DRO142" s="3"/>
      <c r="DRP142" s="3"/>
      <c r="DRQ142" s="3"/>
      <c r="DRR142" s="3"/>
      <c r="DRS142" s="3"/>
      <c r="DRT142" s="3"/>
      <c r="DRU142" s="3"/>
      <c r="DRV142" s="3"/>
      <c r="DRW142" s="3"/>
      <c r="DRX142" s="3"/>
      <c r="DRY142" s="3"/>
      <c r="DRZ142" s="3"/>
      <c r="DSA142" s="3"/>
      <c r="DSB142" s="3"/>
      <c r="DSC142" s="3"/>
      <c r="DSD142" s="3"/>
      <c r="DSE142" s="3"/>
      <c r="DSF142" s="3"/>
      <c r="DSG142" s="3"/>
      <c r="DSH142" s="3"/>
      <c r="DSI142" s="3"/>
      <c r="DSJ142" s="3"/>
      <c r="DSK142" s="3"/>
      <c r="DSL142" s="3"/>
      <c r="DSM142" s="3"/>
      <c r="DSN142" s="3"/>
      <c r="DSO142" s="3"/>
      <c r="DSP142" s="3"/>
      <c r="DSQ142" s="3"/>
      <c r="DSR142" s="3"/>
      <c r="DSS142" s="3"/>
      <c r="DST142" s="3"/>
      <c r="DSU142" s="3"/>
      <c r="DSV142" s="3"/>
      <c r="DSW142" s="3"/>
      <c r="DSX142" s="3"/>
      <c r="DSY142" s="3"/>
      <c r="DSZ142" s="3"/>
      <c r="DTA142" s="3"/>
      <c r="DTB142" s="3"/>
      <c r="DTC142" s="3"/>
      <c r="DTD142" s="3"/>
      <c r="DTE142" s="3"/>
      <c r="DTF142" s="3"/>
      <c r="DTG142" s="3"/>
      <c r="DTH142" s="3"/>
      <c r="DTI142" s="3"/>
      <c r="DTJ142" s="3"/>
      <c r="DTK142" s="3"/>
      <c r="DTL142" s="3"/>
      <c r="DTM142" s="3"/>
      <c r="DTN142" s="3"/>
      <c r="DTO142" s="3"/>
      <c r="DTP142" s="3"/>
      <c r="DTQ142" s="3"/>
      <c r="DTR142" s="3"/>
      <c r="DTS142" s="3"/>
      <c r="DTT142" s="3"/>
      <c r="DTU142" s="3"/>
      <c r="DTV142" s="3"/>
      <c r="DTW142" s="3"/>
      <c r="DTX142" s="3"/>
      <c r="DTY142" s="3"/>
      <c r="DTZ142" s="3"/>
      <c r="DUA142" s="3"/>
      <c r="DUB142" s="3"/>
      <c r="DUC142" s="3"/>
      <c r="DUD142" s="3"/>
      <c r="DUE142" s="3"/>
      <c r="DUF142" s="3"/>
      <c r="DUG142" s="3"/>
      <c r="DUH142" s="3"/>
      <c r="DUI142" s="3"/>
      <c r="DUJ142" s="3"/>
      <c r="DUK142" s="3"/>
      <c r="DUL142" s="3"/>
      <c r="DUM142" s="3"/>
      <c r="DUN142" s="3"/>
      <c r="DUO142" s="3"/>
      <c r="DUP142" s="3"/>
      <c r="DUQ142" s="3"/>
      <c r="DUR142" s="3"/>
      <c r="DUS142" s="3"/>
      <c r="DUT142" s="3"/>
      <c r="DUU142" s="3"/>
      <c r="DUV142" s="3"/>
      <c r="DUW142" s="3"/>
      <c r="DUX142" s="3"/>
      <c r="DUY142" s="3"/>
      <c r="DUZ142" s="3"/>
      <c r="DVA142" s="3"/>
      <c r="DVB142" s="3"/>
      <c r="DVC142" s="3"/>
      <c r="DVD142" s="3"/>
      <c r="DVE142" s="3"/>
      <c r="DVF142" s="3"/>
      <c r="DVG142" s="3"/>
      <c r="DVH142" s="3"/>
      <c r="DVI142" s="3"/>
      <c r="DVJ142" s="3"/>
      <c r="DVK142" s="3"/>
      <c r="DVL142" s="3"/>
      <c r="DVM142" s="3"/>
      <c r="DVN142" s="3"/>
      <c r="DVO142" s="3"/>
      <c r="DVP142" s="3"/>
      <c r="DVQ142" s="3"/>
      <c r="DVR142" s="3"/>
      <c r="DVS142" s="3"/>
      <c r="DVT142" s="3"/>
      <c r="DVU142" s="3"/>
      <c r="DVV142" s="3"/>
      <c r="DVW142" s="3"/>
      <c r="DVX142" s="3"/>
      <c r="DVY142" s="3"/>
      <c r="DVZ142" s="3"/>
      <c r="DWA142" s="3"/>
      <c r="DWB142" s="3"/>
      <c r="DWC142" s="3"/>
      <c r="DWD142" s="3"/>
      <c r="DWE142" s="3"/>
      <c r="DWF142" s="3"/>
      <c r="DWG142" s="3"/>
      <c r="DWH142" s="3"/>
      <c r="DWI142" s="3"/>
      <c r="DWJ142" s="3"/>
      <c r="DWK142" s="3"/>
      <c r="DWL142" s="3"/>
      <c r="DWM142" s="3"/>
      <c r="DWN142" s="3"/>
      <c r="DWO142" s="3"/>
      <c r="DWP142" s="3"/>
      <c r="DWQ142" s="3"/>
      <c r="DWR142" s="3"/>
      <c r="DWS142" s="3"/>
      <c r="DWT142" s="3"/>
      <c r="DWU142" s="3"/>
      <c r="DWV142" s="3"/>
      <c r="DWW142" s="3"/>
      <c r="DWX142" s="3"/>
      <c r="DWY142" s="3"/>
      <c r="DWZ142" s="3"/>
      <c r="DXA142" s="3"/>
      <c r="DXB142" s="3"/>
      <c r="DXC142" s="3"/>
      <c r="DXD142" s="3"/>
      <c r="DXE142" s="3"/>
      <c r="DXF142" s="3"/>
      <c r="DXG142" s="3"/>
      <c r="DXH142" s="3"/>
      <c r="DXI142" s="3"/>
      <c r="DXJ142" s="3"/>
      <c r="DXK142" s="3"/>
      <c r="DXL142" s="3"/>
      <c r="DXM142" s="3"/>
      <c r="DXN142" s="3"/>
      <c r="DXO142" s="3"/>
      <c r="DXP142" s="3"/>
      <c r="DXQ142" s="3"/>
      <c r="DXR142" s="3"/>
      <c r="DXS142" s="3"/>
      <c r="DXT142" s="3"/>
      <c r="DXU142" s="3"/>
      <c r="DXV142" s="3"/>
      <c r="DXW142" s="3"/>
      <c r="DXX142" s="3"/>
      <c r="DXY142" s="3"/>
      <c r="DXZ142" s="3"/>
      <c r="DYA142" s="3"/>
      <c r="DYB142" s="3"/>
      <c r="DYC142" s="3"/>
      <c r="DYD142" s="3"/>
      <c r="DYE142" s="3"/>
      <c r="DYF142" s="3"/>
      <c r="DYG142" s="3"/>
      <c r="DYH142" s="3"/>
      <c r="DYI142" s="3"/>
      <c r="DYJ142" s="3"/>
      <c r="DYK142" s="3"/>
      <c r="DYL142" s="3"/>
      <c r="DYM142" s="3"/>
      <c r="DYN142" s="3"/>
      <c r="DYO142" s="3"/>
      <c r="DYP142" s="3"/>
      <c r="DYQ142" s="3"/>
      <c r="DYR142" s="3"/>
      <c r="DYS142" s="3"/>
      <c r="DYT142" s="3"/>
      <c r="DYU142" s="3"/>
      <c r="DYV142" s="3"/>
      <c r="DYW142" s="3"/>
      <c r="DYX142" s="3"/>
      <c r="DYY142" s="3"/>
      <c r="DYZ142" s="3"/>
      <c r="DZA142" s="3"/>
      <c r="DZB142" s="3"/>
      <c r="DZC142" s="3"/>
      <c r="DZD142" s="3"/>
      <c r="DZE142" s="3"/>
      <c r="DZF142" s="3"/>
      <c r="DZG142" s="3"/>
      <c r="DZH142" s="3"/>
      <c r="DZI142" s="3"/>
      <c r="DZJ142" s="3"/>
      <c r="DZK142" s="3"/>
      <c r="DZL142" s="3"/>
      <c r="DZM142" s="3"/>
      <c r="DZN142" s="3"/>
      <c r="DZO142" s="3"/>
      <c r="DZP142" s="3"/>
      <c r="DZQ142" s="3"/>
      <c r="DZR142" s="3"/>
      <c r="DZS142" s="3"/>
      <c r="DZT142" s="3"/>
      <c r="DZU142" s="3"/>
      <c r="DZV142" s="3"/>
      <c r="DZW142" s="3"/>
      <c r="DZX142" s="3"/>
      <c r="DZY142" s="3"/>
      <c r="DZZ142" s="3"/>
      <c r="EAA142" s="3"/>
      <c r="EAB142" s="3"/>
      <c r="EAC142" s="3"/>
      <c r="EAD142" s="3"/>
      <c r="EAE142" s="3"/>
      <c r="EAF142" s="3"/>
      <c r="EAG142" s="3"/>
      <c r="EAH142" s="3"/>
      <c r="EAI142" s="3"/>
      <c r="EAJ142" s="3"/>
      <c r="EAK142" s="3"/>
      <c r="EAL142" s="3"/>
      <c r="EAM142" s="3"/>
      <c r="EAN142" s="3"/>
      <c r="EAO142" s="3"/>
      <c r="EAP142" s="3"/>
      <c r="EAQ142" s="3"/>
      <c r="EAR142" s="3"/>
      <c r="EAS142" s="3"/>
      <c r="EAT142" s="3"/>
      <c r="EAU142" s="3"/>
      <c r="EAV142" s="3"/>
      <c r="EAW142" s="3"/>
      <c r="EAX142" s="3"/>
      <c r="EAY142" s="3"/>
      <c r="EAZ142" s="3"/>
      <c r="EBA142" s="3"/>
      <c r="EBB142" s="3"/>
      <c r="EBC142" s="3"/>
      <c r="EBD142" s="3"/>
      <c r="EBE142" s="3"/>
      <c r="EBF142" s="3"/>
      <c r="EBG142" s="3"/>
      <c r="EBH142" s="3"/>
      <c r="EBI142" s="3"/>
      <c r="EBJ142" s="3"/>
      <c r="EBK142" s="3"/>
      <c r="EBL142" s="3"/>
      <c r="EBM142" s="3"/>
      <c r="EBN142" s="3"/>
      <c r="EBO142" s="3"/>
      <c r="EBP142" s="3"/>
      <c r="EBQ142" s="3"/>
      <c r="EBR142" s="3"/>
      <c r="EBS142" s="3"/>
      <c r="EBT142" s="3"/>
      <c r="EBU142" s="3"/>
      <c r="EBV142" s="3"/>
      <c r="EBW142" s="3"/>
      <c r="EBX142" s="3"/>
      <c r="EBY142" s="3"/>
      <c r="EBZ142" s="3"/>
      <c r="ECA142" s="3"/>
      <c r="ECB142" s="3"/>
      <c r="ECC142" s="3"/>
      <c r="ECD142" s="3"/>
      <c r="ECE142" s="3"/>
      <c r="ECF142" s="3"/>
      <c r="ECG142" s="3"/>
      <c r="ECH142" s="3"/>
      <c r="ECI142" s="3"/>
      <c r="ECJ142" s="3"/>
      <c r="ECK142" s="3"/>
      <c r="ECL142" s="3"/>
      <c r="ECM142" s="3"/>
      <c r="ECN142" s="3"/>
      <c r="ECO142" s="3"/>
      <c r="ECP142" s="3"/>
      <c r="ECQ142" s="3"/>
      <c r="ECR142" s="3"/>
      <c r="ECS142" s="3"/>
      <c r="ECT142" s="3"/>
      <c r="ECU142" s="3"/>
      <c r="ECV142" s="3"/>
      <c r="ECW142" s="3"/>
      <c r="ECX142" s="3"/>
      <c r="ECY142" s="3"/>
      <c r="ECZ142" s="3"/>
      <c r="EDA142" s="3"/>
      <c r="EDB142" s="3"/>
      <c r="EDC142" s="3"/>
      <c r="EDD142" s="3"/>
      <c r="EDE142" s="3"/>
      <c r="EDF142" s="3"/>
      <c r="EDG142" s="3"/>
      <c r="EDH142" s="3"/>
      <c r="EDI142" s="3"/>
      <c r="EDJ142" s="3"/>
      <c r="EDK142" s="3"/>
      <c r="EDL142" s="3"/>
      <c r="EDM142" s="3"/>
      <c r="EDN142" s="3"/>
      <c r="EDO142" s="3"/>
      <c r="EDP142" s="3"/>
      <c r="EDQ142" s="3"/>
      <c r="EDR142" s="3"/>
      <c r="EDS142" s="3"/>
      <c r="EDT142" s="3"/>
      <c r="EDU142" s="3"/>
      <c r="EDV142" s="3"/>
      <c r="EDW142" s="3"/>
      <c r="EDX142" s="3"/>
      <c r="EDY142" s="3"/>
      <c r="EDZ142" s="3"/>
      <c r="EEA142" s="3"/>
      <c r="EEB142" s="3"/>
      <c r="EEC142" s="3"/>
      <c r="EED142" s="3"/>
      <c r="EEE142" s="3"/>
      <c r="EEF142" s="3"/>
      <c r="EEG142" s="3"/>
      <c r="EEH142" s="3"/>
      <c r="EEI142" s="3"/>
      <c r="EEJ142" s="3"/>
      <c r="EEK142" s="3"/>
      <c r="EEL142" s="3"/>
      <c r="EEM142" s="3"/>
      <c r="EEN142" s="3"/>
      <c r="EEO142" s="3"/>
      <c r="EEP142" s="3"/>
      <c r="EEQ142" s="3"/>
      <c r="EER142" s="3"/>
      <c r="EES142" s="3"/>
      <c r="EET142" s="3"/>
      <c r="EEU142" s="3"/>
      <c r="EEV142" s="3"/>
      <c r="EEW142" s="3"/>
      <c r="EEX142" s="3"/>
      <c r="EEY142" s="3"/>
      <c r="EEZ142" s="3"/>
      <c r="EFA142" s="3"/>
      <c r="EFB142" s="3"/>
      <c r="EFC142" s="3"/>
      <c r="EFD142" s="3"/>
      <c r="EFE142" s="3"/>
      <c r="EFF142" s="3"/>
      <c r="EFG142" s="3"/>
      <c r="EFH142" s="3"/>
      <c r="EFI142" s="3"/>
      <c r="EFJ142" s="3"/>
      <c r="EFK142" s="3"/>
      <c r="EFL142" s="3"/>
      <c r="EFM142" s="3"/>
      <c r="EFN142" s="3"/>
      <c r="EFO142" s="3"/>
      <c r="EFP142" s="3"/>
      <c r="EFQ142" s="3"/>
      <c r="EFR142" s="3"/>
      <c r="EFS142" s="3"/>
      <c r="EFT142" s="3"/>
      <c r="EFU142" s="3"/>
      <c r="EFV142" s="3"/>
      <c r="EFW142" s="3"/>
      <c r="EFX142" s="3"/>
      <c r="EFY142" s="3"/>
      <c r="EFZ142" s="3"/>
      <c r="EGA142" s="3"/>
      <c r="EGB142" s="3"/>
      <c r="EGC142" s="3"/>
      <c r="EGD142" s="3"/>
      <c r="EGE142" s="3"/>
      <c r="EGF142" s="3"/>
      <c r="EGG142" s="3"/>
      <c r="EGH142" s="3"/>
      <c r="EGI142" s="3"/>
      <c r="EGJ142" s="3"/>
      <c r="EGK142" s="3"/>
      <c r="EGL142" s="3"/>
      <c r="EGM142" s="3"/>
      <c r="EGN142" s="3"/>
      <c r="EGO142" s="3"/>
      <c r="EGP142" s="3"/>
      <c r="EGQ142" s="3"/>
      <c r="EGR142" s="3"/>
      <c r="EGS142" s="3"/>
      <c r="EGT142" s="3"/>
      <c r="EGU142" s="3"/>
      <c r="EGV142" s="3"/>
      <c r="EGW142" s="3"/>
      <c r="EGX142" s="3"/>
      <c r="EGY142" s="3"/>
      <c r="EGZ142" s="3"/>
      <c r="EHA142" s="3"/>
      <c r="EHB142" s="3"/>
      <c r="EHC142" s="3"/>
      <c r="EHD142" s="3"/>
      <c r="EHE142" s="3"/>
      <c r="EHF142" s="3"/>
      <c r="EHG142" s="3"/>
      <c r="EHH142" s="3"/>
      <c r="EHI142" s="3"/>
      <c r="EHJ142" s="3"/>
      <c r="EHK142" s="3"/>
      <c r="EHL142" s="3"/>
      <c r="EHM142" s="3"/>
      <c r="EHN142" s="3"/>
      <c r="EHO142" s="3"/>
      <c r="EHP142" s="3"/>
      <c r="EHQ142" s="3"/>
      <c r="EHR142" s="3"/>
      <c r="EHS142" s="3"/>
      <c r="EHT142" s="3"/>
      <c r="EHU142" s="3"/>
      <c r="EHV142" s="3"/>
      <c r="EHW142" s="3"/>
      <c r="EHX142" s="3"/>
      <c r="EHY142" s="3"/>
      <c r="EHZ142" s="3"/>
      <c r="EIA142" s="3"/>
      <c r="EIB142" s="3"/>
      <c r="EIC142" s="3"/>
      <c r="EID142" s="3"/>
      <c r="EIE142" s="3"/>
      <c r="EIF142" s="3"/>
      <c r="EIG142" s="3"/>
      <c r="EIH142" s="3"/>
      <c r="EII142" s="3"/>
      <c r="EIJ142" s="3"/>
      <c r="EIK142" s="3"/>
      <c r="EIL142" s="3"/>
      <c r="EIM142" s="3"/>
      <c r="EIN142" s="3"/>
      <c r="EIO142" s="3"/>
      <c r="EIP142" s="3"/>
      <c r="EIQ142" s="3"/>
      <c r="EIR142" s="3"/>
      <c r="EIS142" s="3"/>
      <c r="EIT142" s="3"/>
      <c r="EIU142" s="3"/>
      <c r="EIV142" s="3"/>
      <c r="EIW142" s="3"/>
      <c r="EIX142" s="3"/>
      <c r="EIY142" s="3"/>
      <c r="EIZ142" s="3"/>
      <c r="EJA142" s="3"/>
      <c r="EJB142" s="3"/>
      <c r="EJC142" s="3"/>
      <c r="EJD142" s="3"/>
      <c r="EJE142" s="3"/>
      <c r="EJF142" s="3"/>
      <c r="EJG142" s="3"/>
      <c r="EJH142" s="3"/>
      <c r="EJI142" s="3"/>
      <c r="EJJ142" s="3"/>
      <c r="EJK142" s="3"/>
      <c r="EJL142" s="3"/>
      <c r="EJM142" s="3"/>
      <c r="EJN142" s="3"/>
      <c r="EJO142" s="3"/>
      <c r="EJP142" s="3"/>
      <c r="EJQ142" s="3"/>
      <c r="EJR142" s="3"/>
      <c r="EJS142" s="3"/>
      <c r="EJT142" s="3"/>
      <c r="EJU142" s="3"/>
      <c r="EJV142" s="3"/>
      <c r="EJW142" s="3"/>
      <c r="EJX142" s="3"/>
      <c r="EJY142" s="3"/>
      <c r="EJZ142" s="3"/>
      <c r="EKA142" s="3"/>
      <c r="EKB142" s="3"/>
      <c r="EKC142" s="3"/>
      <c r="EKD142" s="3"/>
      <c r="EKE142" s="3"/>
      <c r="EKF142" s="3"/>
      <c r="EKG142" s="3"/>
      <c r="EKH142" s="3"/>
      <c r="EKI142" s="3"/>
      <c r="EKJ142" s="3"/>
      <c r="EKK142" s="3"/>
      <c r="EKL142" s="3"/>
      <c r="EKM142" s="3"/>
      <c r="EKN142" s="3"/>
      <c r="EKO142" s="3"/>
      <c r="EKP142" s="3"/>
      <c r="EKQ142" s="3"/>
      <c r="EKR142" s="3"/>
      <c r="EKS142" s="3"/>
      <c r="EKT142" s="3"/>
      <c r="EKU142" s="3"/>
      <c r="EKV142" s="3"/>
      <c r="EKW142" s="3"/>
      <c r="EKX142" s="3"/>
      <c r="EKY142" s="3"/>
      <c r="EKZ142" s="3"/>
      <c r="ELA142" s="3"/>
      <c r="ELB142" s="3"/>
      <c r="ELC142" s="3"/>
      <c r="ELD142" s="3"/>
      <c r="ELE142" s="3"/>
      <c r="ELF142" s="3"/>
      <c r="ELG142" s="3"/>
      <c r="ELH142" s="3"/>
      <c r="ELI142" s="3"/>
      <c r="ELJ142" s="3"/>
      <c r="ELK142" s="3"/>
      <c r="ELL142" s="3"/>
      <c r="ELM142" s="3"/>
      <c r="ELN142" s="3"/>
      <c r="ELO142" s="3"/>
      <c r="ELP142" s="3"/>
      <c r="ELQ142" s="3"/>
      <c r="ELR142" s="3"/>
      <c r="ELS142" s="3"/>
      <c r="ELT142" s="3"/>
      <c r="ELU142" s="3"/>
      <c r="ELV142" s="3"/>
      <c r="ELW142" s="3"/>
      <c r="ELX142" s="3"/>
      <c r="ELY142" s="3"/>
      <c r="ELZ142" s="3"/>
      <c r="EMA142" s="3"/>
      <c r="EMB142" s="3"/>
      <c r="EMC142" s="3"/>
      <c r="EMD142" s="3"/>
      <c r="EME142" s="3"/>
      <c r="EMF142" s="3"/>
      <c r="EMG142" s="3"/>
      <c r="EMH142" s="3"/>
      <c r="EMI142" s="3"/>
      <c r="EMJ142" s="3"/>
      <c r="EMK142" s="3"/>
      <c r="EML142" s="3"/>
      <c r="EMM142" s="3"/>
      <c r="EMN142" s="3"/>
      <c r="EMO142" s="3"/>
      <c r="EMP142" s="3"/>
      <c r="EMQ142" s="3"/>
      <c r="EMR142" s="3"/>
      <c r="EMS142" s="3"/>
      <c r="EMT142" s="3"/>
      <c r="EMU142" s="3"/>
      <c r="EMV142" s="3"/>
      <c r="EMW142" s="3"/>
      <c r="EMX142" s="3"/>
      <c r="EMY142" s="3"/>
      <c r="EMZ142" s="3"/>
      <c r="ENA142" s="3"/>
      <c r="ENB142" s="3"/>
      <c r="ENC142" s="3"/>
      <c r="END142" s="3"/>
      <c r="ENE142" s="3"/>
      <c r="ENF142" s="3"/>
      <c r="ENG142" s="3"/>
      <c r="ENH142" s="3"/>
      <c r="ENI142" s="3"/>
      <c r="ENJ142" s="3"/>
      <c r="ENK142" s="3"/>
      <c r="ENL142" s="3"/>
      <c r="ENM142" s="3"/>
      <c r="ENN142" s="3"/>
      <c r="ENO142" s="3"/>
      <c r="ENP142" s="3"/>
      <c r="ENQ142" s="3"/>
      <c r="ENR142" s="3"/>
      <c r="ENS142" s="3"/>
      <c r="ENT142" s="3"/>
      <c r="ENU142" s="3"/>
      <c r="ENV142" s="3"/>
      <c r="ENW142" s="3"/>
      <c r="ENX142" s="3"/>
      <c r="ENY142" s="3"/>
      <c r="ENZ142" s="3"/>
      <c r="EOA142" s="3"/>
      <c r="EOB142" s="3"/>
      <c r="EOC142" s="3"/>
      <c r="EOD142" s="3"/>
      <c r="EOE142" s="3"/>
      <c r="EOF142" s="3"/>
      <c r="EOG142" s="3"/>
      <c r="EOH142" s="3"/>
      <c r="EOI142" s="3"/>
      <c r="EOJ142" s="3"/>
      <c r="EOK142" s="3"/>
      <c r="EOL142" s="3"/>
      <c r="EOM142" s="3"/>
      <c r="EON142" s="3"/>
      <c r="EOO142" s="3"/>
      <c r="EOP142" s="3"/>
      <c r="EOQ142" s="3"/>
      <c r="EOR142" s="3"/>
      <c r="EOS142" s="3"/>
      <c r="EOT142" s="3"/>
      <c r="EOU142" s="3"/>
      <c r="EOV142" s="3"/>
      <c r="EOW142" s="3"/>
      <c r="EOX142" s="3"/>
      <c r="EOY142" s="3"/>
      <c r="EOZ142" s="3"/>
      <c r="EPA142" s="3"/>
      <c r="EPB142" s="3"/>
      <c r="EPC142" s="3"/>
      <c r="EPD142" s="3"/>
      <c r="EPE142" s="3"/>
      <c r="EPF142" s="3"/>
      <c r="EPG142" s="3"/>
      <c r="EPH142" s="3"/>
      <c r="EPI142" s="3"/>
      <c r="EPJ142" s="3"/>
      <c r="EPK142" s="3"/>
      <c r="EPL142" s="3"/>
      <c r="EPM142" s="3"/>
      <c r="EPN142" s="3"/>
      <c r="EPO142" s="3"/>
      <c r="EPP142" s="3"/>
      <c r="EPQ142" s="3"/>
      <c r="EPR142" s="3"/>
      <c r="EPS142" s="3"/>
      <c r="EPT142" s="3"/>
      <c r="EPU142" s="3"/>
      <c r="EPV142" s="3"/>
      <c r="EPW142" s="3"/>
      <c r="EPX142" s="3"/>
      <c r="EPY142" s="3"/>
      <c r="EPZ142" s="3"/>
      <c r="EQA142" s="3"/>
      <c r="EQB142" s="3"/>
      <c r="EQC142" s="3"/>
      <c r="EQD142" s="3"/>
      <c r="EQE142" s="3"/>
      <c r="EQF142" s="3"/>
      <c r="EQG142" s="3"/>
      <c r="EQH142" s="3"/>
      <c r="EQI142" s="3"/>
      <c r="EQJ142" s="3"/>
      <c r="EQK142" s="3"/>
      <c r="EQL142" s="3"/>
      <c r="EQM142" s="3"/>
      <c r="EQN142" s="3"/>
      <c r="EQO142" s="3"/>
      <c r="EQP142" s="3"/>
      <c r="EQQ142" s="3"/>
      <c r="EQR142" s="3"/>
      <c r="EQS142" s="3"/>
      <c r="EQT142" s="3"/>
      <c r="EQU142" s="3"/>
      <c r="EQV142" s="3"/>
      <c r="EQW142" s="3"/>
      <c r="EQX142" s="3"/>
      <c r="EQY142" s="3"/>
      <c r="EQZ142" s="3"/>
      <c r="ERA142" s="3"/>
      <c r="ERB142" s="3"/>
      <c r="ERC142" s="3"/>
      <c r="ERD142" s="3"/>
      <c r="ERE142" s="3"/>
      <c r="ERF142" s="3"/>
      <c r="ERG142" s="3"/>
      <c r="ERH142" s="3"/>
      <c r="ERI142" s="3"/>
      <c r="ERJ142" s="3"/>
      <c r="ERK142" s="3"/>
      <c r="ERL142" s="3"/>
      <c r="ERM142" s="3"/>
      <c r="ERN142" s="3"/>
      <c r="ERO142" s="3"/>
      <c r="ERP142" s="3"/>
      <c r="ERQ142" s="3"/>
      <c r="ERR142" s="3"/>
      <c r="ERS142" s="3"/>
      <c r="ERT142" s="3"/>
      <c r="ERU142" s="3"/>
      <c r="ERV142" s="3"/>
      <c r="ERW142" s="3"/>
      <c r="ERX142" s="3"/>
      <c r="ERY142" s="3"/>
      <c r="ERZ142" s="3"/>
      <c r="ESA142" s="3"/>
      <c r="ESB142" s="3"/>
      <c r="ESC142" s="3"/>
      <c r="ESD142" s="3"/>
      <c r="ESE142" s="3"/>
      <c r="ESF142" s="3"/>
      <c r="ESG142" s="3"/>
      <c r="ESH142" s="3"/>
      <c r="ESI142" s="3"/>
      <c r="ESJ142" s="3"/>
      <c r="ESK142" s="3"/>
      <c r="ESL142" s="3"/>
      <c r="ESM142" s="3"/>
      <c r="ESN142" s="3"/>
      <c r="ESO142" s="3"/>
      <c r="ESP142" s="3"/>
      <c r="ESQ142" s="3"/>
      <c r="ESR142" s="3"/>
      <c r="ESS142" s="3"/>
      <c r="EST142" s="3"/>
      <c r="ESU142" s="3"/>
      <c r="ESV142" s="3"/>
      <c r="ESW142" s="3"/>
      <c r="ESX142" s="3"/>
      <c r="ESY142" s="3"/>
      <c r="ESZ142" s="3"/>
      <c r="ETA142" s="3"/>
      <c r="ETB142" s="3"/>
      <c r="ETC142" s="3"/>
      <c r="ETD142" s="3"/>
      <c r="ETE142" s="3"/>
      <c r="ETF142" s="3"/>
      <c r="ETG142" s="3"/>
      <c r="ETH142" s="3"/>
      <c r="ETI142" s="3"/>
      <c r="ETJ142" s="3"/>
      <c r="ETK142" s="3"/>
      <c r="ETL142" s="3"/>
      <c r="ETM142" s="3"/>
      <c r="ETN142" s="3"/>
      <c r="ETO142" s="3"/>
      <c r="ETP142" s="3"/>
      <c r="ETQ142" s="3"/>
      <c r="ETR142" s="3"/>
      <c r="ETS142" s="3"/>
      <c r="ETT142" s="3"/>
      <c r="ETU142" s="3"/>
      <c r="ETV142" s="3"/>
      <c r="ETW142" s="3"/>
      <c r="ETX142" s="3"/>
      <c r="ETY142" s="3"/>
      <c r="ETZ142" s="3"/>
      <c r="EUA142" s="3"/>
      <c r="EUB142" s="3"/>
      <c r="EUC142" s="3"/>
      <c r="EUD142" s="3"/>
      <c r="EUE142" s="3"/>
      <c r="EUF142" s="3"/>
      <c r="EUG142" s="3"/>
      <c r="EUH142" s="3"/>
      <c r="EUI142" s="3"/>
      <c r="EUJ142" s="3"/>
      <c r="EUK142" s="3"/>
      <c r="EUL142" s="3"/>
      <c r="EUM142" s="3"/>
      <c r="EUN142" s="3"/>
      <c r="EUO142" s="3"/>
      <c r="EUP142" s="3"/>
      <c r="EUQ142" s="3"/>
      <c r="EUR142" s="3"/>
      <c r="EUS142" s="3"/>
      <c r="EUT142" s="3"/>
      <c r="EUU142" s="3"/>
      <c r="EUV142" s="3"/>
      <c r="EUW142" s="3"/>
      <c r="EUX142" s="3"/>
      <c r="EUY142" s="3"/>
      <c r="EUZ142" s="3"/>
      <c r="EVA142" s="3"/>
      <c r="EVB142" s="3"/>
      <c r="EVC142" s="3"/>
      <c r="EVD142" s="3"/>
      <c r="EVE142" s="3"/>
      <c r="EVF142" s="3"/>
      <c r="EVG142" s="3"/>
      <c r="EVH142" s="3"/>
      <c r="EVI142" s="3"/>
      <c r="EVJ142" s="3"/>
      <c r="EVK142" s="3"/>
      <c r="EVL142" s="3"/>
      <c r="EVM142" s="3"/>
      <c r="EVN142" s="3"/>
      <c r="EVO142" s="3"/>
      <c r="EVP142" s="3"/>
      <c r="EVQ142" s="3"/>
      <c r="EVR142" s="3"/>
      <c r="EVS142" s="3"/>
      <c r="EVT142" s="3"/>
      <c r="EVU142" s="3"/>
      <c r="EVV142" s="3"/>
      <c r="EVW142" s="3"/>
      <c r="EVX142" s="3"/>
      <c r="EVY142" s="3"/>
      <c r="EVZ142" s="3"/>
      <c r="EWA142" s="3"/>
      <c r="EWB142" s="3"/>
      <c r="EWC142" s="3"/>
      <c r="EWD142" s="3"/>
      <c r="EWE142" s="3"/>
      <c r="EWF142" s="3"/>
      <c r="EWG142" s="3"/>
      <c r="EWH142" s="3"/>
      <c r="EWI142" s="3"/>
      <c r="EWJ142" s="3"/>
      <c r="EWK142" s="3"/>
      <c r="EWL142" s="3"/>
      <c r="EWM142" s="3"/>
      <c r="EWN142" s="3"/>
      <c r="EWO142" s="3"/>
      <c r="EWP142" s="3"/>
      <c r="EWQ142" s="3"/>
      <c r="EWR142" s="3"/>
      <c r="EWS142" s="3"/>
      <c r="EWT142" s="3"/>
      <c r="EWU142" s="3"/>
      <c r="EWV142" s="3"/>
      <c r="EWW142" s="3"/>
      <c r="EWX142" s="3"/>
      <c r="EWY142" s="3"/>
      <c r="EWZ142" s="3"/>
      <c r="EXA142" s="3"/>
      <c r="EXB142" s="3"/>
      <c r="EXC142" s="3"/>
      <c r="EXD142" s="3"/>
      <c r="EXE142" s="3"/>
      <c r="EXF142" s="3"/>
      <c r="EXG142" s="3"/>
      <c r="EXH142" s="3"/>
      <c r="EXI142" s="3"/>
      <c r="EXJ142" s="3"/>
      <c r="EXK142" s="3"/>
      <c r="EXL142" s="3"/>
      <c r="EXM142" s="3"/>
      <c r="EXN142" s="3"/>
      <c r="EXO142" s="3"/>
      <c r="EXP142" s="3"/>
      <c r="EXQ142" s="3"/>
      <c r="EXR142" s="3"/>
      <c r="EXS142" s="3"/>
      <c r="EXT142" s="3"/>
      <c r="EXU142" s="3"/>
      <c r="EXV142" s="3"/>
      <c r="EXW142" s="3"/>
      <c r="EXX142" s="3"/>
      <c r="EXY142" s="3"/>
      <c r="EXZ142" s="3"/>
      <c r="EYA142" s="3"/>
      <c r="EYB142" s="3"/>
      <c r="EYC142" s="3"/>
      <c r="EYD142" s="3"/>
      <c r="EYE142" s="3"/>
      <c r="EYF142" s="3"/>
      <c r="EYG142" s="3"/>
      <c r="EYH142" s="3"/>
      <c r="EYI142" s="3"/>
      <c r="EYJ142" s="3"/>
      <c r="EYK142" s="3"/>
      <c r="EYL142" s="3"/>
      <c r="EYM142" s="3"/>
      <c r="EYN142" s="3"/>
      <c r="EYO142" s="3"/>
      <c r="EYP142" s="3"/>
      <c r="EYQ142" s="3"/>
      <c r="EYR142" s="3"/>
      <c r="EYS142" s="3"/>
      <c r="EYT142" s="3"/>
      <c r="EYU142" s="3"/>
      <c r="EYV142" s="3"/>
      <c r="EYW142" s="3"/>
      <c r="EYX142" s="3"/>
      <c r="EYY142" s="3"/>
      <c r="EYZ142" s="3"/>
      <c r="EZA142" s="3"/>
      <c r="EZB142" s="3"/>
      <c r="EZC142" s="3"/>
      <c r="EZD142" s="3"/>
      <c r="EZE142" s="3"/>
      <c r="EZF142" s="3"/>
      <c r="EZG142" s="3"/>
      <c r="EZH142" s="3"/>
      <c r="EZI142" s="3"/>
      <c r="EZJ142" s="3"/>
      <c r="EZK142" s="3"/>
      <c r="EZL142" s="3"/>
      <c r="EZM142" s="3"/>
      <c r="EZN142" s="3"/>
      <c r="EZO142" s="3"/>
      <c r="EZP142" s="3"/>
      <c r="EZQ142" s="3"/>
      <c r="EZR142" s="3"/>
      <c r="EZS142" s="3"/>
      <c r="EZT142" s="3"/>
      <c r="EZU142" s="3"/>
      <c r="EZV142" s="3"/>
      <c r="EZW142" s="3"/>
      <c r="EZX142" s="3"/>
      <c r="EZY142" s="3"/>
      <c r="EZZ142" s="3"/>
      <c r="FAA142" s="3"/>
      <c r="FAB142" s="3"/>
      <c r="FAC142" s="3"/>
      <c r="FAD142" s="3"/>
      <c r="FAE142" s="3"/>
      <c r="FAF142" s="3"/>
      <c r="FAG142" s="3"/>
      <c r="FAH142" s="3"/>
      <c r="FAI142" s="3"/>
      <c r="FAJ142" s="3"/>
      <c r="FAK142" s="3"/>
      <c r="FAL142" s="3"/>
      <c r="FAM142" s="3"/>
      <c r="FAN142" s="3"/>
      <c r="FAO142" s="3"/>
      <c r="FAP142" s="3"/>
      <c r="FAQ142" s="3"/>
      <c r="FAR142" s="3"/>
      <c r="FAS142" s="3"/>
      <c r="FAT142" s="3"/>
      <c r="FAU142" s="3"/>
      <c r="FAV142" s="3"/>
      <c r="FAW142" s="3"/>
      <c r="FAX142" s="3"/>
      <c r="FAY142" s="3"/>
      <c r="FAZ142" s="3"/>
      <c r="FBA142" s="3"/>
      <c r="FBB142" s="3"/>
      <c r="FBC142" s="3"/>
      <c r="FBD142" s="3"/>
      <c r="FBE142" s="3"/>
      <c r="FBF142" s="3"/>
      <c r="FBG142" s="3"/>
      <c r="FBH142" s="3"/>
      <c r="FBI142" s="3"/>
      <c r="FBJ142" s="3"/>
      <c r="FBK142" s="3"/>
      <c r="FBL142" s="3"/>
      <c r="FBM142" s="3"/>
      <c r="FBN142" s="3"/>
      <c r="FBO142" s="3"/>
      <c r="FBP142" s="3"/>
      <c r="FBQ142" s="3"/>
      <c r="FBR142" s="3"/>
      <c r="FBS142" s="3"/>
      <c r="FBT142" s="3"/>
      <c r="FBU142" s="3"/>
      <c r="FBV142" s="3"/>
      <c r="FBW142" s="3"/>
      <c r="FBX142" s="3"/>
      <c r="FBY142" s="3"/>
      <c r="FBZ142" s="3"/>
      <c r="FCA142" s="3"/>
      <c r="FCB142" s="3"/>
      <c r="FCC142" s="3"/>
      <c r="FCD142" s="3"/>
      <c r="FCE142" s="3"/>
      <c r="FCF142" s="3"/>
      <c r="FCG142" s="3"/>
      <c r="FCH142" s="3"/>
      <c r="FCI142" s="3"/>
      <c r="FCJ142" s="3"/>
      <c r="FCK142" s="3"/>
      <c r="FCL142" s="3"/>
      <c r="FCM142" s="3"/>
      <c r="FCN142" s="3"/>
      <c r="FCO142" s="3"/>
      <c r="FCP142" s="3"/>
      <c r="FCQ142" s="3"/>
      <c r="FCR142" s="3"/>
      <c r="FCS142" s="3"/>
      <c r="FCT142" s="3"/>
      <c r="FCU142" s="3"/>
      <c r="FCV142" s="3"/>
      <c r="FCW142" s="3"/>
      <c r="FCX142" s="3"/>
      <c r="FCY142" s="3"/>
      <c r="FCZ142" s="3"/>
      <c r="FDA142" s="3"/>
      <c r="FDB142" s="3"/>
      <c r="FDC142" s="3"/>
      <c r="FDD142" s="3"/>
      <c r="FDE142" s="3"/>
      <c r="FDF142" s="3"/>
      <c r="FDG142" s="3"/>
      <c r="FDH142" s="3"/>
      <c r="FDI142" s="3"/>
      <c r="FDJ142" s="3"/>
      <c r="FDK142" s="3"/>
      <c r="FDL142" s="3"/>
      <c r="FDM142" s="3"/>
      <c r="FDN142" s="3"/>
      <c r="FDO142" s="3"/>
      <c r="FDP142" s="3"/>
      <c r="FDQ142" s="3"/>
      <c r="FDR142" s="3"/>
      <c r="FDS142" s="3"/>
      <c r="FDT142" s="3"/>
      <c r="FDU142" s="3"/>
      <c r="FDV142" s="3"/>
      <c r="FDW142" s="3"/>
      <c r="FDX142" s="3"/>
      <c r="FDY142" s="3"/>
      <c r="FDZ142" s="3"/>
      <c r="FEA142" s="3"/>
      <c r="FEB142" s="3"/>
      <c r="FEC142" s="3"/>
      <c r="FED142" s="3"/>
      <c r="FEE142" s="3"/>
      <c r="FEF142" s="3"/>
      <c r="FEG142" s="3"/>
      <c r="FEH142" s="3"/>
      <c r="FEI142" s="3"/>
      <c r="FEJ142" s="3"/>
      <c r="FEK142" s="3"/>
      <c r="FEL142" s="3"/>
      <c r="FEM142" s="3"/>
      <c r="FEN142" s="3"/>
      <c r="FEO142" s="3"/>
      <c r="FEP142" s="3"/>
      <c r="FEQ142" s="3"/>
      <c r="FER142" s="3"/>
      <c r="FES142" s="3"/>
      <c r="FET142" s="3"/>
      <c r="FEU142" s="3"/>
      <c r="FEV142" s="3"/>
      <c r="FEW142" s="3"/>
      <c r="FEX142" s="3"/>
      <c r="FEY142" s="3"/>
      <c r="FEZ142" s="3"/>
      <c r="FFA142" s="3"/>
      <c r="FFB142" s="3"/>
      <c r="FFC142" s="3"/>
      <c r="FFD142" s="3"/>
      <c r="FFE142" s="3"/>
      <c r="FFF142" s="3"/>
      <c r="FFG142" s="3"/>
      <c r="FFH142" s="3"/>
      <c r="FFI142" s="3"/>
      <c r="FFJ142" s="3"/>
      <c r="FFK142" s="3"/>
      <c r="FFL142" s="3"/>
      <c r="FFM142" s="3"/>
      <c r="FFN142" s="3"/>
      <c r="FFO142" s="3"/>
      <c r="FFP142" s="3"/>
      <c r="FFQ142" s="3"/>
      <c r="FFR142" s="3"/>
      <c r="FFS142" s="3"/>
      <c r="FFT142" s="3"/>
      <c r="FFU142" s="3"/>
      <c r="FFV142" s="3"/>
      <c r="FFW142" s="3"/>
      <c r="FFX142" s="3"/>
      <c r="FFY142" s="3"/>
      <c r="FFZ142" s="3"/>
      <c r="FGA142" s="3"/>
      <c r="FGB142" s="3"/>
      <c r="FGC142" s="3"/>
      <c r="FGD142" s="3"/>
      <c r="FGE142" s="3"/>
      <c r="FGF142" s="3"/>
      <c r="FGG142" s="3"/>
      <c r="FGH142" s="3"/>
      <c r="FGI142" s="3"/>
      <c r="FGJ142" s="3"/>
      <c r="FGK142" s="3"/>
      <c r="FGL142" s="3"/>
      <c r="FGM142" s="3"/>
      <c r="FGN142" s="3"/>
      <c r="FGO142" s="3"/>
      <c r="FGP142" s="3"/>
      <c r="FGQ142" s="3"/>
      <c r="FGR142" s="3"/>
      <c r="FGS142" s="3"/>
      <c r="FGT142" s="3"/>
      <c r="FGU142" s="3"/>
      <c r="FGV142" s="3"/>
      <c r="FGW142" s="3"/>
      <c r="FGX142" s="3"/>
      <c r="FGY142" s="3"/>
      <c r="FGZ142" s="3"/>
      <c r="FHA142" s="3"/>
      <c r="FHB142" s="3"/>
      <c r="FHC142" s="3"/>
      <c r="FHD142" s="3"/>
      <c r="FHE142" s="3"/>
      <c r="FHF142" s="3"/>
      <c r="FHG142" s="3"/>
      <c r="FHH142" s="3"/>
      <c r="FHI142" s="3"/>
      <c r="FHJ142" s="3"/>
      <c r="FHK142" s="3"/>
      <c r="FHL142" s="3"/>
      <c r="FHM142" s="3"/>
      <c r="FHN142" s="3"/>
      <c r="FHO142" s="3"/>
      <c r="FHP142" s="3"/>
      <c r="FHQ142" s="3"/>
      <c r="FHR142" s="3"/>
      <c r="FHS142" s="3"/>
      <c r="FHT142" s="3"/>
      <c r="FHU142" s="3"/>
      <c r="FHV142" s="3"/>
      <c r="FHW142" s="3"/>
      <c r="FHX142" s="3"/>
      <c r="FHY142" s="3"/>
      <c r="FHZ142" s="3"/>
      <c r="FIA142" s="3"/>
      <c r="FIB142" s="3"/>
      <c r="FIC142" s="3"/>
      <c r="FID142" s="3"/>
      <c r="FIE142" s="3"/>
      <c r="FIF142" s="3"/>
      <c r="FIG142" s="3"/>
      <c r="FIH142" s="3"/>
      <c r="FII142" s="3"/>
      <c r="FIJ142" s="3"/>
      <c r="FIK142" s="3"/>
      <c r="FIL142" s="3"/>
      <c r="FIM142" s="3"/>
      <c r="FIN142" s="3"/>
      <c r="FIO142" s="3"/>
      <c r="FIP142" s="3"/>
      <c r="FIQ142" s="3"/>
      <c r="FIR142" s="3"/>
      <c r="FIS142" s="3"/>
      <c r="FIT142" s="3"/>
      <c r="FIU142" s="3"/>
      <c r="FIV142" s="3"/>
      <c r="FIW142" s="3"/>
      <c r="FIX142" s="3"/>
      <c r="FIY142" s="3"/>
      <c r="FIZ142" s="3"/>
      <c r="FJA142" s="3"/>
      <c r="FJB142" s="3"/>
      <c r="FJC142" s="3"/>
      <c r="FJD142" s="3"/>
      <c r="FJE142" s="3"/>
      <c r="FJF142" s="3"/>
      <c r="FJG142" s="3"/>
      <c r="FJH142" s="3"/>
      <c r="FJI142" s="3"/>
      <c r="FJJ142" s="3"/>
      <c r="FJK142" s="3"/>
      <c r="FJL142" s="3"/>
      <c r="FJM142" s="3"/>
      <c r="FJN142" s="3"/>
      <c r="FJO142" s="3"/>
      <c r="FJP142" s="3"/>
      <c r="FJQ142" s="3"/>
      <c r="FJR142" s="3"/>
      <c r="FJS142" s="3"/>
      <c r="FJT142" s="3"/>
      <c r="FJU142" s="3"/>
      <c r="FJV142" s="3"/>
      <c r="FJW142" s="3"/>
      <c r="FJX142" s="3"/>
      <c r="FJY142" s="3"/>
      <c r="FJZ142" s="3"/>
      <c r="FKA142" s="3"/>
      <c r="FKB142" s="3"/>
      <c r="FKC142" s="3"/>
      <c r="FKD142" s="3"/>
      <c r="FKE142" s="3"/>
      <c r="FKF142" s="3"/>
      <c r="FKG142" s="3"/>
      <c r="FKH142" s="3"/>
      <c r="FKI142" s="3"/>
      <c r="FKJ142" s="3"/>
      <c r="FKK142" s="3"/>
      <c r="FKL142" s="3"/>
      <c r="FKM142" s="3"/>
      <c r="FKN142" s="3"/>
      <c r="FKO142" s="3"/>
      <c r="FKP142" s="3"/>
      <c r="FKQ142" s="3"/>
      <c r="FKR142" s="3"/>
      <c r="FKS142" s="3"/>
      <c r="FKT142" s="3"/>
      <c r="FKU142" s="3"/>
      <c r="FKV142" s="3"/>
      <c r="FKW142" s="3"/>
      <c r="FKX142" s="3"/>
      <c r="FKY142" s="3"/>
      <c r="FKZ142" s="3"/>
      <c r="FLA142" s="3"/>
      <c r="FLB142" s="3"/>
      <c r="FLC142" s="3"/>
      <c r="FLD142" s="3"/>
      <c r="FLE142" s="3"/>
      <c r="FLF142" s="3"/>
      <c r="FLG142" s="3"/>
      <c r="FLH142" s="3"/>
      <c r="FLI142" s="3"/>
      <c r="FLJ142" s="3"/>
      <c r="FLK142" s="3"/>
      <c r="FLL142" s="3"/>
      <c r="FLM142" s="3"/>
      <c r="FLN142" s="3"/>
      <c r="FLO142" s="3"/>
      <c r="FLP142" s="3"/>
      <c r="FLQ142" s="3"/>
      <c r="FLR142" s="3"/>
      <c r="FLS142" s="3"/>
      <c r="FLT142" s="3"/>
      <c r="FLU142" s="3"/>
      <c r="FLV142" s="3"/>
      <c r="FLW142" s="3"/>
      <c r="FLX142" s="3"/>
      <c r="FLY142" s="3"/>
      <c r="FLZ142" s="3"/>
      <c r="FMA142" s="3"/>
      <c r="FMB142" s="3"/>
      <c r="FMC142" s="3"/>
      <c r="FMD142" s="3"/>
      <c r="FME142" s="3"/>
      <c r="FMF142" s="3"/>
      <c r="FMG142" s="3"/>
      <c r="FMH142" s="3"/>
      <c r="FMI142" s="3"/>
      <c r="FMJ142" s="3"/>
      <c r="FMK142" s="3"/>
      <c r="FML142" s="3"/>
      <c r="FMM142" s="3"/>
      <c r="FMN142" s="3"/>
      <c r="FMO142" s="3"/>
      <c r="FMP142" s="3"/>
      <c r="FMQ142" s="3"/>
      <c r="FMR142" s="3"/>
      <c r="FMS142" s="3"/>
      <c r="FMT142" s="3"/>
      <c r="FMU142" s="3"/>
      <c r="FMV142" s="3"/>
      <c r="FMW142" s="3"/>
      <c r="FMX142" s="3"/>
      <c r="FMY142" s="3"/>
      <c r="FMZ142" s="3"/>
      <c r="FNA142" s="3"/>
      <c r="FNB142" s="3"/>
      <c r="FNC142" s="3"/>
      <c r="FND142" s="3"/>
      <c r="FNE142" s="3"/>
      <c r="FNF142" s="3"/>
      <c r="FNG142" s="3"/>
      <c r="FNH142" s="3"/>
      <c r="FNI142" s="3"/>
      <c r="FNJ142" s="3"/>
      <c r="FNK142" s="3"/>
      <c r="FNL142" s="3"/>
      <c r="FNM142" s="3"/>
      <c r="FNN142" s="3"/>
      <c r="FNO142" s="3"/>
      <c r="FNP142" s="3"/>
      <c r="FNQ142" s="3"/>
      <c r="FNR142" s="3"/>
      <c r="FNS142" s="3"/>
      <c r="FNT142" s="3"/>
      <c r="FNU142" s="3"/>
      <c r="FNV142" s="3"/>
      <c r="FNW142" s="3"/>
      <c r="FNX142" s="3"/>
      <c r="FNY142" s="3"/>
      <c r="FNZ142" s="3"/>
      <c r="FOA142" s="3"/>
      <c r="FOB142" s="3"/>
      <c r="FOC142" s="3"/>
      <c r="FOD142" s="3"/>
      <c r="FOE142" s="3"/>
      <c r="FOF142" s="3"/>
      <c r="FOG142" s="3"/>
      <c r="FOH142" s="3"/>
      <c r="FOI142" s="3"/>
      <c r="FOJ142" s="3"/>
      <c r="FOK142" s="3"/>
      <c r="FOL142" s="3"/>
      <c r="FOM142" s="3"/>
      <c r="FON142" s="3"/>
      <c r="FOO142" s="3"/>
      <c r="FOP142" s="3"/>
      <c r="FOQ142" s="3"/>
      <c r="FOR142" s="3"/>
      <c r="FOS142" s="3"/>
      <c r="FOT142" s="3"/>
      <c r="FOU142" s="3"/>
      <c r="FOV142" s="3"/>
      <c r="FOW142" s="3"/>
      <c r="FOX142" s="3"/>
      <c r="FOY142" s="3"/>
      <c r="FOZ142" s="3"/>
      <c r="FPA142" s="3"/>
      <c r="FPB142" s="3"/>
      <c r="FPC142" s="3"/>
      <c r="FPD142" s="3"/>
      <c r="FPE142" s="3"/>
      <c r="FPF142" s="3"/>
      <c r="FPG142" s="3"/>
      <c r="FPH142" s="3"/>
      <c r="FPI142" s="3"/>
      <c r="FPJ142" s="3"/>
      <c r="FPK142" s="3"/>
      <c r="FPL142" s="3"/>
      <c r="FPM142" s="3"/>
      <c r="FPN142" s="3"/>
      <c r="FPO142" s="3"/>
      <c r="FPP142" s="3"/>
      <c r="FPQ142" s="3"/>
      <c r="FPR142" s="3"/>
      <c r="FPS142" s="3"/>
      <c r="FPT142" s="3"/>
      <c r="FPU142" s="3"/>
      <c r="FPV142" s="3"/>
      <c r="FPW142" s="3"/>
      <c r="FPX142" s="3"/>
      <c r="FPY142" s="3"/>
      <c r="FPZ142" s="3"/>
      <c r="FQA142" s="3"/>
      <c r="FQB142" s="3"/>
      <c r="FQC142" s="3"/>
      <c r="FQD142" s="3"/>
      <c r="FQE142" s="3"/>
      <c r="FQF142" s="3"/>
      <c r="FQG142" s="3"/>
      <c r="FQH142" s="3"/>
      <c r="FQI142" s="3"/>
      <c r="FQJ142" s="3"/>
      <c r="FQK142" s="3"/>
      <c r="FQL142" s="3"/>
      <c r="FQM142" s="3"/>
      <c r="FQN142" s="3"/>
      <c r="FQO142" s="3"/>
      <c r="FQP142" s="3"/>
      <c r="FQQ142" s="3"/>
      <c r="FQR142" s="3"/>
      <c r="FQS142" s="3"/>
      <c r="FQT142" s="3"/>
      <c r="FQU142" s="3"/>
      <c r="FQV142" s="3"/>
      <c r="FQW142" s="3"/>
      <c r="FQX142" s="3"/>
      <c r="FQY142" s="3"/>
      <c r="FQZ142" s="3"/>
      <c r="FRA142" s="3"/>
      <c r="FRB142" s="3"/>
      <c r="FRC142" s="3"/>
      <c r="FRD142" s="3"/>
      <c r="FRE142" s="3"/>
      <c r="FRF142" s="3"/>
      <c r="FRG142" s="3"/>
      <c r="FRH142" s="3"/>
      <c r="FRI142" s="3"/>
      <c r="FRJ142" s="3"/>
      <c r="FRK142" s="3"/>
      <c r="FRL142" s="3"/>
      <c r="FRM142" s="3"/>
      <c r="FRN142" s="3"/>
      <c r="FRO142" s="3"/>
      <c r="FRP142" s="3"/>
      <c r="FRQ142" s="3"/>
      <c r="FRR142" s="3"/>
      <c r="FRS142" s="3"/>
      <c r="FRT142" s="3"/>
      <c r="FRU142" s="3"/>
      <c r="FRV142" s="3"/>
      <c r="FRW142" s="3"/>
      <c r="FRX142" s="3"/>
      <c r="FRY142" s="3"/>
      <c r="FRZ142" s="3"/>
      <c r="FSA142" s="3"/>
      <c r="FSB142" s="3"/>
      <c r="FSC142" s="3"/>
      <c r="FSD142" s="3"/>
      <c r="FSE142" s="3"/>
      <c r="FSF142" s="3"/>
      <c r="FSG142" s="3"/>
      <c r="FSH142" s="3"/>
      <c r="FSI142" s="3"/>
      <c r="FSJ142" s="3"/>
      <c r="FSK142" s="3"/>
      <c r="FSL142" s="3"/>
      <c r="FSM142" s="3"/>
      <c r="FSN142" s="3"/>
      <c r="FSO142" s="3"/>
      <c r="FSP142" s="3"/>
      <c r="FSQ142" s="3"/>
      <c r="FSR142" s="3"/>
      <c r="FSS142" s="3"/>
      <c r="FST142" s="3"/>
      <c r="FSU142" s="3"/>
      <c r="FSV142" s="3"/>
      <c r="FSW142" s="3"/>
      <c r="FSX142" s="3"/>
      <c r="FSY142" s="3"/>
      <c r="FSZ142" s="3"/>
      <c r="FTA142" s="3"/>
      <c r="FTB142" s="3"/>
      <c r="FTC142" s="3"/>
      <c r="FTD142" s="3"/>
      <c r="FTE142" s="3"/>
      <c r="FTF142" s="3"/>
      <c r="FTG142" s="3"/>
      <c r="FTH142" s="3"/>
      <c r="FTI142" s="3"/>
      <c r="FTJ142" s="3"/>
      <c r="FTK142" s="3"/>
      <c r="FTL142" s="3"/>
      <c r="FTM142" s="3"/>
      <c r="FTN142" s="3"/>
      <c r="FTO142" s="3"/>
      <c r="FTP142" s="3"/>
      <c r="FTQ142" s="3"/>
      <c r="FTR142" s="3"/>
      <c r="FTS142" s="3"/>
      <c r="FTT142" s="3"/>
      <c r="FTU142" s="3"/>
      <c r="FTV142" s="3"/>
      <c r="FTW142" s="3"/>
      <c r="FTX142" s="3"/>
      <c r="FTY142" s="3"/>
      <c r="FTZ142" s="3"/>
      <c r="FUA142" s="3"/>
      <c r="FUB142" s="3"/>
      <c r="FUC142" s="3"/>
      <c r="FUD142" s="3"/>
      <c r="FUE142" s="3"/>
      <c r="FUF142" s="3"/>
      <c r="FUG142" s="3"/>
      <c r="FUH142" s="3"/>
      <c r="FUI142" s="3"/>
      <c r="FUJ142" s="3"/>
      <c r="FUK142" s="3"/>
      <c r="FUL142" s="3"/>
      <c r="FUM142" s="3"/>
      <c r="FUN142" s="3"/>
      <c r="FUO142" s="3"/>
      <c r="FUP142" s="3"/>
      <c r="FUQ142" s="3"/>
      <c r="FUR142" s="3"/>
      <c r="FUS142" s="3"/>
      <c r="FUT142" s="3"/>
      <c r="FUU142" s="3"/>
      <c r="FUV142" s="3"/>
      <c r="FUW142" s="3"/>
      <c r="FUX142" s="3"/>
      <c r="FUY142" s="3"/>
      <c r="FUZ142" s="3"/>
      <c r="FVA142" s="3"/>
      <c r="FVB142" s="3"/>
      <c r="FVC142" s="3"/>
      <c r="FVD142" s="3"/>
      <c r="FVE142" s="3"/>
      <c r="FVF142" s="3"/>
      <c r="FVG142" s="3"/>
      <c r="FVH142" s="3"/>
      <c r="FVI142" s="3"/>
      <c r="FVJ142" s="3"/>
      <c r="FVK142" s="3"/>
      <c r="FVL142" s="3"/>
      <c r="FVM142" s="3"/>
      <c r="FVN142" s="3"/>
      <c r="FVO142" s="3"/>
      <c r="FVP142" s="3"/>
      <c r="FVQ142" s="3"/>
      <c r="FVR142" s="3"/>
      <c r="FVS142" s="3"/>
      <c r="FVT142" s="3"/>
      <c r="FVU142" s="3"/>
      <c r="FVV142" s="3"/>
      <c r="FVW142" s="3"/>
      <c r="FVX142" s="3"/>
      <c r="FVY142" s="3"/>
      <c r="FVZ142" s="3"/>
      <c r="FWA142" s="3"/>
      <c r="FWB142" s="3"/>
      <c r="FWC142" s="3"/>
      <c r="FWD142" s="3"/>
      <c r="FWE142" s="3"/>
      <c r="FWF142" s="3"/>
      <c r="FWG142" s="3"/>
      <c r="FWH142" s="3"/>
      <c r="FWI142" s="3"/>
      <c r="FWJ142" s="3"/>
      <c r="FWK142" s="3"/>
      <c r="FWL142" s="3"/>
      <c r="FWM142" s="3"/>
      <c r="FWN142" s="3"/>
      <c r="FWO142" s="3"/>
      <c r="FWP142" s="3"/>
      <c r="FWQ142" s="3"/>
      <c r="FWR142" s="3"/>
      <c r="FWS142" s="3"/>
      <c r="FWT142" s="3"/>
      <c r="FWU142" s="3"/>
      <c r="FWV142" s="3"/>
      <c r="FWW142" s="3"/>
      <c r="FWX142" s="3"/>
      <c r="FWY142" s="3"/>
      <c r="FWZ142" s="3"/>
      <c r="FXA142" s="3"/>
      <c r="FXB142" s="3"/>
      <c r="FXC142" s="3"/>
      <c r="FXD142" s="3"/>
      <c r="FXE142" s="3"/>
      <c r="FXF142" s="3"/>
      <c r="FXG142" s="3"/>
      <c r="FXH142" s="3"/>
      <c r="FXI142" s="3"/>
      <c r="FXJ142" s="3"/>
      <c r="FXK142" s="3"/>
      <c r="FXL142" s="3"/>
      <c r="FXM142" s="3"/>
      <c r="FXN142" s="3"/>
      <c r="FXO142" s="3"/>
      <c r="FXP142" s="3"/>
      <c r="FXQ142" s="3"/>
      <c r="FXR142" s="3"/>
      <c r="FXS142" s="3"/>
      <c r="FXT142" s="3"/>
      <c r="FXU142" s="3"/>
      <c r="FXV142" s="3"/>
      <c r="FXW142" s="3"/>
      <c r="FXX142" s="3"/>
      <c r="FXY142" s="3"/>
      <c r="FXZ142" s="3"/>
      <c r="FYA142" s="3"/>
      <c r="FYB142" s="3"/>
      <c r="FYC142" s="3"/>
      <c r="FYD142" s="3"/>
      <c r="FYE142" s="3"/>
      <c r="FYF142" s="3"/>
      <c r="FYG142" s="3"/>
      <c r="FYH142" s="3"/>
      <c r="FYI142" s="3"/>
      <c r="FYJ142" s="3"/>
      <c r="FYK142" s="3"/>
      <c r="FYL142" s="3"/>
      <c r="FYM142" s="3"/>
      <c r="FYN142" s="3"/>
      <c r="FYO142" s="3"/>
      <c r="FYP142" s="3"/>
      <c r="FYQ142" s="3"/>
      <c r="FYR142" s="3"/>
      <c r="FYS142" s="3"/>
      <c r="FYT142" s="3"/>
      <c r="FYU142" s="3"/>
      <c r="FYV142" s="3"/>
      <c r="FYW142" s="3"/>
      <c r="FYX142" s="3"/>
      <c r="FYY142" s="3"/>
      <c r="FYZ142" s="3"/>
      <c r="FZA142" s="3"/>
      <c r="FZB142" s="3"/>
      <c r="FZC142" s="3"/>
      <c r="FZD142" s="3"/>
      <c r="FZE142" s="3"/>
      <c r="FZF142" s="3"/>
      <c r="FZG142" s="3"/>
      <c r="FZH142" s="3"/>
      <c r="FZI142" s="3"/>
      <c r="FZJ142" s="3"/>
      <c r="FZK142" s="3"/>
      <c r="FZL142" s="3"/>
      <c r="FZM142" s="3"/>
      <c r="FZN142" s="3"/>
      <c r="FZO142" s="3"/>
      <c r="FZP142" s="3"/>
      <c r="FZQ142" s="3"/>
      <c r="FZR142" s="3"/>
      <c r="FZS142" s="3"/>
      <c r="FZT142" s="3"/>
      <c r="FZU142" s="3"/>
      <c r="FZV142" s="3"/>
      <c r="FZW142" s="3"/>
      <c r="FZX142" s="3"/>
      <c r="FZY142" s="3"/>
      <c r="FZZ142" s="3"/>
      <c r="GAA142" s="3"/>
      <c r="GAB142" s="3"/>
      <c r="GAC142" s="3"/>
      <c r="GAD142" s="3"/>
      <c r="GAE142" s="3"/>
      <c r="GAF142" s="3"/>
      <c r="GAG142" s="3"/>
      <c r="GAH142" s="3"/>
      <c r="GAI142" s="3"/>
      <c r="GAJ142" s="3"/>
      <c r="GAK142" s="3"/>
      <c r="GAL142" s="3"/>
      <c r="GAM142" s="3"/>
      <c r="GAN142" s="3"/>
      <c r="GAO142" s="3"/>
      <c r="GAP142" s="3"/>
      <c r="GAQ142" s="3"/>
      <c r="GAR142" s="3"/>
      <c r="GAS142" s="3"/>
      <c r="GAT142" s="3"/>
      <c r="GAU142" s="3"/>
      <c r="GAV142" s="3"/>
      <c r="GAW142" s="3"/>
      <c r="GAX142" s="3"/>
      <c r="GAY142" s="3"/>
      <c r="GAZ142" s="3"/>
      <c r="GBA142" s="3"/>
      <c r="GBB142" s="3"/>
      <c r="GBC142" s="3"/>
      <c r="GBD142" s="3"/>
      <c r="GBE142" s="3"/>
      <c r="GBF142" s="3"/>
      <c r="GBG142" s="3"/>
      <c r="GBH142" s="3"/>
      <c r="GBI142" s="3"/>
      <c r="GBJ142" s="3"/>
      <c r="GBK142" s="3"/>
      <c r="GBL142" s="3"/>
      <c r="GBM142" s="3"/>
      <c r="GBN142" s="3"/>
      <c r="GBO142" s="3"/>
      <c r="GBP142" s="3"/>
      <c r="GBQ142" s="3"/>
      <c r="GBR142" s="3"/>
      <c r="GBS142" s="3"/>
      <c r="GBT142" s="3"/>
      <c r="GBU142" s="3"/>
      <c r="GBV142" s="3"/>
      <c r="GBW142" s="3"/>
      <c r="GBX142" s="3"/>
      <c r="GBY142" s="3"/>
      <c r="GBZ142" s="3"/>
      <c r="GCA142" s="3"/>
      <c r="GCB142" s="3"/>
      <c r="GCC142" s="3"/>
      <c r="GCD142" s="3"/>
      <c r="GCE142" s="3"/>
      <c r="GCF142" s="3"/>
      <c r="GCG142" s="3"/>
      <c r="GCH142" s="3"/>
      <c r="GCI142" s="3"/>
      <c r="GCJ142" s="3"/>
      <c r="GCK142" s="3"/>
      <c r="GCL142" s="3"/>
      <c r="GCM142" s="3"/>
      <c r="GCN142" s="3"/>
      <c r="GCO142" s="3"/>
      <c r="GCP142" s="3"/>
      <c r="GCQ142" s="3"/>
      <c r="GCR142" s="3"/>
      <c r="GCS142" s="3"/>
      <c r="GCT142" s="3"/>
      <c r="GCU142" s="3"/>
      <c r="GCV142" s="3"/>
      <c r="GCW142" s="3"/>
      <c r="GCX142" s="3"/>
      <c r="GCY142" s="3"/>
      <c r="GCZ142" s="3"/>
      <c r="GDA142" s="3"/>
      <c r="GDB142" s="3"/>
      <c r="GDC142" s="3"/>
      <c r="GDD142" s="3"/>
      <c r="GDE142" s="3"/>
      <c r="GDF142" s="3"/>
      <c r="GDG142" s="3"/>
      <c r="GDH142" s="3"/>
      <c r="GDI142" s="3"/>
      <c r="GDJ142" s="3"/>
      <c r="GDK142" s="3"/>
      <c r="GDL142" s="3"/>
      <c r="GDM142" s="3"/>
      <c r="GDN142" s="3"/>
      <c r="GDO142" s="3"/>
      <c r="GDP142" s="3"/>
      <c r="GDQ142" s="3"/>
      <c r="GDR142" s="3"/>
      <c r="GDS142" s="3"/>
      <c r="GDT142" s="3"/>
      <c r="GDU142" s="3"/>
      <c r="GDV142" s="3"/>
      <c r="GDW142" s="3"/>
      <c r="GDX142" s="3"/>
      <c r="GDY142" s="3"/>
      <c r="GDZ142" s="3"/>
      <c r="GEA142" s="3"/>
      <c r="GEB142" s="3"/>
      <c r="GEC142" s="3"/>
      <c r="GED142" s="3"/>
      <c r="GEE142" s="3"/>
      <c r="GEF142" s="3"/>
      <c r="GEG142" s="3"/>
      <c r="GEH142" s="3"/>
      <c r="GEI142" s="3"/>
      <c r="GEJ142" s="3"/>
      <c r="GEK142" s="3"/>
      <c r="GEL142" s="3"/>
      <c r="GEM142" s="3"/>
      <c r="GEN142" s="3"/>
      <c r="GEO142" s="3"/>
      <c r="GEP142" s="3"/>
      <c r="GEQ142" s="3"/>
      <c r="GER142" s="3"/>
      <c r="GES142" s="3"/>
      <c r="GET142" s="3"/>
      <c r="GEU142" s="3"/>
      <c r="GEV142" s="3"/>
      <c r="GEW142" s="3"/>
      <c r="GEX142" s="3"/>
      <c r="GEY142" s="3"/>
      <c r="GEZ142" s="3"/>
      <c r="GFA142" s="3"/>
      <c r="GFB142" s="3"/>
      <c r="GFC142" s="3"/>
      <c r="GFD142" s="3"/>
      <c r="GFE142" s="3"/>
      <c r="GFF142" s="3"/>
      <c r="GFG142" s="3"/>
      <c r="GFH142" s="3"/>
      <c r="GFI142" s="3"/>
      <c r="GFJ142" s="3"/>
      <c r="GFK142" s="3"/>
      <c r="GFL142" s="3"/>
      <c r="GFM142" s="3"/>
      <c r="GFN142" s="3"/>
      <c r="GFO142" s="3"/>
      <c r="GFP142" s="3"/>
      <c r="GFQ142" s="3"/>
      <c r="GFR142" s="3"/>
      <c r="GFS142" s="3"/>
      <c r="GFT142" s="3"/>
      <c r="GFU142" s="3"/>
      <c r="GFV142" s="3"/>
      <c r="GFW142" s="3"/>
      <c r="GFX142" s="3"/>
      <c r="GFY142" s="3"/>
      <c r="GFZ142" s="3"/>
      <c r="GGA142" s="3"/>
      <c r="GGB142" s="3"/>
      <c r="GGC142" s="3"/>
      <c r="GGD142" s="3"/>
      <c r="GGE142" s="3"/>
      <c r="GGF142" s="3"/>
      <c r="GGG142" s="3"/>
      <c r="GGH142" s="3"/>
      <c r="GGI142" s="3"/>
      <c r="GGJ142" s="3"/>
      <c r="GGK142" s="3"/>
      <c r="GGL142" s="3"/>
      <c r="GGM142" s="3"/>
      <c r="GGN142" s="3"/>
      <c r="GGO142" s="3"/>
      <c r="GGP142" s="3"/>
      <c r="GGQ142" s="3"/>
      <c r="GGR142" s="3"/>
      <c r="GGS142" s="3"/>
      <c r="GGT142" s="3"/>
      <c r="GGU142" s="3"/>
      <c r="GGV142" s="3"/>
      <c r="GGW142" s="3"/>
      <c r="GGX142" s="3"/>
      <c r="GGY142" s="3"/>
      <c r="GGZ142" s="3"/>
      <c r="GHA142" s="3"/>
      <c r="GHB142" s="3"/>
      <c r="GHC142" s="3"/>
      <c r="GHD142" s="3"/>
      <c r="GHE142" s="3"/>
      <c r="GHF142" s="3"/>
      <c r="GHG142" s="3"/>
      <c r="GHH142" s="3"/>
      <c r="GHI142" s="3"/>
      <c r="GHJ142" s="3"/>
      <c r="GHK142" s="3"/>
      <c r="GHL142" s="3"/>
      <c r="GHM142" s="3"/>
      <c r="GHN142" s="3"/>
      <c r="GHO142" s="3"/>
      <c r="GHP142" s="3"/>
      <c r="GHQ142" s="3"/>
      <c r="GHR142" s="3"/>
      <c r="GHS142" s="3"/>
      <c r="GHT142" s="3"/>
      <c r="GHU142" s="3"/>
      <c r="GHV142" s="3"/>
      <c r="GHW142" s="3"/>
      <c r="GHX142" s="3"/>
      <c r="GHY142" s="3"/>
      <c r="GHZ142" s="3"/>
      <c r="GIA142" s="3"/>
      <c r="GIB142" s="3"/>
      <c r="GIC142" s="3"/>
      <c r="GID142" s="3"/>
      <c r="GIE142" s="3"/>
      <c r="GIF142" s="3"/>
      <c r="GIG142" s="3"/>
      <c r="GIH142" s="3"/>
      <c r="GII142" s="3"/>
      <c r="GIJ142" s="3"/>
      <c r="GIK142" s="3"/>
      <c r="GIL142" s="3"/>
      <c r="GIM142" s="3"/>
      <c r="GIN142" s="3"/>
      <c r="GIO142" s="3"/>
      <c r="GIP142" s="3"/>
      <c r="GIQ142" s="3"/>
      <c r="GIR142" s="3"/>
      <c r="GIS142" s="3"/>
      <c r="GIT142" s="3"/>
      <c r="GIU142" s="3"/>
      <c r="GIV142" s="3"/>
      <c r="GIW142" s="3"/>
      <c r="GIX142" s="3"/>
      <c r="GIY142" s="3"/>
      <c r="GIZ142" s="3"/>
      <c r="GJA142" s="3"/>
      <c r="GJB142" s="3"/>
      <c r="GJC142" s="3"/>
      <c r="GJD142" s="3"/>
      <c r="GJE142" s="3"/>
      <c r="GJF142" s="3"/>
      <c r="GJG142" s="3"/>
      <c r="GJH142" s="3"/>
      <c r="GJI142" s="3"/>
      <c r="GJJ142" s="3"/>
      <c r="GJK142" s="3"/>
      <c r="GJL142" s="3"/>
      <c r="GJM142" s="3"/>
      <c r="GJN142" s="3"/>
      <c r="GJO142" s="3"/>
      <c r="GJP142" s="3"/>
      <c r="GJQ142" s="3"/>
      <c r="GJR142" s="3"/>
      <c r="GJS142" s="3"/>
      <c r="GJT142" s="3"/>
      <c r="GJU142" s="3"/>
      <c r="GJV142" s="3"/>
      <c r="GJW142" s="3"/>
      <c r="GJX142" s="3"/>
      <c r="GJY142" s="3"/>
      <c r="GJZ142" s="3"/>
      <c r="GKA142" s="3"/>
      <c r="GKB142" s="3"/>
      <c r="GKC142" s="3"/>
      <c r="GKD142" s="3"/>
      <c r="GKE142" s="3"/>
      <c r="GKF142" s="3"/>
      <c r="GKG142" s="3"/>
      <c r="GKH142" s="3"/>
      <c r="GKI142" s="3"/>
      <c r="GKJ142" s="3"/>
      <c r="GKK142" s="3"/>
      <c r="GKL142" s="3"/>
      <c r="GKM142" s="3"/>
      <c r="GKN142" s="3"/>
      <c r="GKO142" s="3"/>
      <c r="GKP142" s="3"/>
      <c r="GKQ142" s="3"/>
      <c r="GKR142" s="3"/>
      <c r="GKS142" s="3"/>
      <c r="GKT142" s="3"/>
      <c r="GKU142" s="3"/>
      <c r="GKV142" s="3"/>
      <c r="GKW142" s="3"/>
      <c r="GKX142" s="3"/>
      <c r="GKY142" s="3"/>
      <c r="GKZ142" s="3"/>
      <c r="GLA142" s="3"/>
      <c r="GLB142" s="3"/>
      <c r="GLC142" s="3"/>
      <c r="GLD142" s="3"/>
      <c r="GLE142" s="3"/>
      <c r="GLF142" s="3"/>
      <c r="GLG142" s="3"/>
      <c r="GLH142" s="3"/>
      <c r="GLI142" s="3"/>
      <c r="GLJ142" s="3"/>
      <c r="GLK142" s="3"/>
      <c r="GLL142" s="3"/>
      <c r="GLM142" s="3"/>
      <c r="GLN142" s="3"/>
      <c r="GLO142" s="3"/>
      <c r="GLP142" s="3"/>
      <c r="GLQ142" s="3"/>
      <c r="GLR142" s="3"/>
      <c r="GLS142" s="3"/>
      <c r="GLT142" s="3"/>
      <c r="GLU142" s="3"/>
      <c r="GLV142" s="3"/>
      <c r="GLW142" s="3"/>
      <c r="GLX142" s="3"/>
      <c r="GLY142" s="3"/>
      <c r="GLZ142" s="3"/>
      <c r="GMA142" s="3"/>
      <c r="GMB142" s="3"/>
      <c r="GMC142" s="3"/>
      <c r="GMD142" s="3"/>
      <c r="GME142" s="3"/>
      <c r="GMF142" s="3"/>
      <c r="GMG142" s="3"/>
      <c r="GMH142" s="3"/>
      <c r="GMI142" s="3"/>
      <c r="GMJ142" s="3"/>
      <c r="GMK142" s="3"/>
      <c r="GML142" s="3"/>
      <c r="GMM142" s="3"/>
      <c r="GMN142" s="3"/>
      <c r="GMO142" s="3"/>
      <c r="GMP142" s="3"/>
      <c r="GMQ142" s="3"/>
      <c r="GMR142" s="3"/>
      <c r="GMS142" s="3"/>
      <c r="GMT142" s="3"/>
      <c r="GMU142" s="3"/>
      <c r="GMV142" s="3"/>
      <c r="GMW142" s="3"/>
      <c r="GMX142" s="3"/>
      <c r="GMY142" s="3"/>
      <c r="GMZ142" s="3"/>
      <c r="GNA142" s="3"/>
      <c r="GNB142" s="3"/>
      <c r="GNC142" s="3"/>
      <c r="GND142" s="3"/>
      <c r="GNE142" s="3"/>
      <c r="GNF142" s="3"/>
      <c r="GNG142" s="3"/>
      <c r="GNH142" s="3"/>
      <c r="GNI142" s="3"/>
      <c r="GNJ142" s="3"/>
      <c r="GNK142" s="3"/>
      <c r="GNL142" s="3"/>
      <c r="GNM142" s="3"/>
      <c r="GNN142" s="3"/>
      <c r="GNO142" s="3"/>
      <c r="GNP142" s="3"/>
      <c r="GNQ142" s="3"/>
      <c r="GNR142" s="3"/>
      <c r="GNS142" s="3"/>
      <c r="GNT142" s="3"/>
      <c r="GNU142" s="3"/>
      <c r="GNV142" s="3"/>
      <c r="GNW142" s="3"/>
      <c r="GNX142" s="3"/>
      <c r="GNY142" s="3"/>
      <c r="GNZ142" s="3"/>
      <c r="GOA142" s="3"/>
      <c r="GOB142" s="3"/>
      <c r="GOC142" s="3"/>
      <c r="GOD142" s="3"/>
      <c r="GOE142" s="3"/>
      <c r="GOF142" s="3"/>
      <c r="GOG142" s="3"/>
      <c r="GOH142" s="3"/>
      <c r="GOI142" s="3"/>
      <c r="GOJ142" s="3"/>
      <c r="GOK142" s="3"/>
      <c r="GOL142" s="3"/>
      <c r="GOM142" s="3"/>
      <c r="GON142" s="3"/>
      <c r="GOO142" s="3"/>
      <c r="GOP142" s="3"/>
      <c r="GOQ142" s="3"/>
      <c r="GOR142" s="3"/>
      <c r="GOS142" s="3"/>
      <c r="GOT142" s="3"/>
      <c r="GOU142" s="3"/>
      <c r="GOV142" s="3"/>
      <c r="GOW142" s="3"/>
      <c r="GOX142" s="3"/>
      <c r="GOY142" s="3"/>
      <c r="GOZ142" s="3"/>
      <c r="GPA142" s="3"/>
      <c r="GPB142" s="3"/>
      <c r="GPC142" s="3"/>
      <c r="GPD142" s="3"/>
      <c r="GPE142" s="3"/>
      <c r="GPF142" s="3"/>
      <c r="GPG142" s="3"/>
      <c r="GPH142" s="3"/>
      <c r="GPI142" s="3"/>
      <c r="GPJ142" s="3"/>
      <c r="GPK142" s="3"/>
      <c r="GPL142" s="3"/>
      <c r="GPM142" s="3"/>
      <c r="GPN142" s="3"/>
      <c r="GPO142" s="3"/>
      <c r="GPP142" s="3"/>
      <c r="GPQ142" s="3"/>
      <c r="GPR142" s="3"/>
      <c r="GPS142" s="3"/>
      <c r="GPT142" s="3"/>
      <c r="GPU142" s="3"/>
      <c r="GPV142" s="3"/>
      <c r="GPW142" s="3"/>
      <c r="GPX142" s="3"/>
      <c r="GPY142" s="3"/>
      <c r="GPZ142" s="3"/>
      <c r="GQA142" s="3"/>
      <c r="GQB142" s="3"/>
      <c r="GQC142" s="3"/>
      <c r="GQD142" s="3"/>
      <c r="GQE142" s="3"/>
      <c r="GQF142" s="3"/>
      <c r="GQG142" s="3"/>
      <c r="GQH142" s="3"/>
      <c r="GQI142" s="3"/>
      <c r="GQJ142" s="3"/>
      <c r="GQK142" s="3"/>
      <c r="GQL142" s="3"/>
      <c r="GQM142" s="3"/>
      <c r="GQN142" s="3"/>
      <c r="GQO142" s="3"/>
      <c r="GQP142" s="3"/>
      <c r="GQQ142" s="3"/>
      <c r="GQR142" s="3"/>
      <c r="GQS142" s="3"/>
      <c r="GQT142" s="3"/>
      <c r="GQU142" s="3"/>
      <c r="GQV142" s="3"/>
      <c r="GQW142" s="3"/>
      <c r="GQX142" s="3"/>
      <c r="GQY142" s="3"/>
      <c r="GQZ142" s="3"/>
      <c r="GRA142" s="3"/>
      <c r="GRB142" s="3"/>
      <c r="GRC142" s="3"/>
      <c r="GRD142" s="3"/>
      <c r="GRE142" s="3"/>
      <c r="GRF142" s="3"/>
      <c r="GRG142" s="3"/>
      <c r="GRH142" s="3"/>
      <c r="GRI142" s="3"/>
      <c r="GRJ142" s="3"/>
      <c r="GRK142" s="3"/>
      <c r="GRL142" s="3"/>
      <c r="GRM142" s="3"/>
      <c r="GRN142" s="3"/>
      <c r="GRO142" s="3"/>
      <c r="GRP142" s="3"/>
      <c r="GRQ142" s="3"/>
      <c r="GRR142" s="3"/>
      <c r="GRS142" s="3"/>
      <c r="GRT142" s="3"/>
      <c r="GRU142" s="3"/>
      <c r="GRV142" s="3"/>
      <c r="GRW142" s="3"/>
      <c r="GRX142" s="3"/>
      <c r="GRY142" s="3"/>
      <c r="GRZ142" s="3"/>
      <c r="GSA142" s="3"/>
      <c r="GSB142" s="3"/>
      <c r="GSC142" s="3"/>
      <c r="GSD142" s="3"/>
      <c r="GSE142" s="3"/>
      <c r="GSF142" s="3"/>
      <c r="GSG142" s="3"/>
      <c r="GSH142" s="3"/>
      <c r="GSI142" s="3"/>
      <c r="GSJ142" s="3"/>
      <c r="GSK142" s="3"/>
      <c r="GSL142" s="3"/>
      <c r="GSM142" s="3"/>
      <c r="GSN142" s="3"/>
      <c r="GSO142" s="3"/>
      <c r="GSP142" s="3"/>
      <c r="GSQ142" s="3"/>
      <c r="GSR142" s="3"/>
      <c r="GSS142" s="3"/>
      <c r="GST142" s="3"/>
      <c r="GSU142" s="3"/>
      <c r="GSV142" s="3"/>
      <c r="GSW142" s="3"/>
      <c r="GSX142" s="3"/>
      <c r="GSY142" s="3"/>
      <c r="GSZ142" s="3"/>
      <c r="GTA142" s="3"/>
      <c r="GTB142" s="3"/>
      <c r="GTC142" s="3"/>
      <c r="GTD142" s="3"/>
      <c r="GTE142" s="3"/>
      <c r="GTF142" s="3"/>
      <c r="GTG142" s="3"/>
      <c r="GTH142" s="3"/>
      <c r="GTI142" s="3"/>
      <c r="GTJ142" s="3"/>
      <c r="GTK142" s="3"/>
      <c r="GTL142" s="3"/>
      <c r="GTM142" s="3"/>
      <c r="GTN142" s="3"/>
      <c r="GTO142" s="3"/>
      <c r="GTP142" s="3"/>
      <c r="GTQ142" s="3"/>
      <c r="GTR142" s="3"/>
      <c r="GTS142" s="3"/>
      <c r="GTT142" s="3"/>
      <c r="GTU142" s="3"/>
      <c r="GTV142" s="3"/>
      <c r="GTW142" s="3"/>
      <c r="GTX142" s="3"/>
      <c r="GTY142" s="3"/>
      <c r="GTZ142" s="3"/>
      <c r="GUA142" s="3"/>
      <c r="GUB142" s="3"/>
      <c r="GUC142" s="3"/>
      <c r="GUD142" s="3"/>
      <c r="GUE142" s="3"/>
      <c r="GUF142" s="3"/>
      <c r="GUG142" s="3"/>
      <c r="GUH142" s="3"/>
      <c r="GUI142" s="3"/>
      <c r="GUJ142" s="3"/>
      <c r="GUK142" s="3"/>
      <c r="GUL142" s="3"/>
      <c r="GUM142" s="3"/>
      <c r="GUN142" s="3"/>
      <c r="GUO142" s="3"/>
      <c r="GUP142" s="3"/>
      <c r="GUQ142" s="3"/>
      <c r="GUR142" s="3"/>
      <c r="GUS142" s="3"/>
      <c r="GUT142" s="3"/>
      <c r="GUU142" s="3"/>
      <c r="GUV142" s="3"/>
      <c r="GUW142" s="3"/>
      <c r="GUX142" s="3"/>
      <c r="GUY142" s="3"/>
      <c r="GUZ142" s="3"/>
      <c r="GVA142" s="3"/>
      <c r="GVB142" s="3"/>
      <c r="GVC142" s="3"/>
      <c r="GVD142" s="3"/>
      <c r="GVE142" s="3"/>
      <c r="GVF142" s="3"/>
      <c r="GVG142" s="3"/>
      <c r="GVH142" s="3"/>
      <c r="GVI142" s="3"/>
      <c r="GVJ142" s="3"/>
      <c r="GVK142" s="3"/>
      <c r="GVL142" s="3"/>
      <c r="GVM142" s="3"/>
      <c r="GVN142" s="3"/>
      <c r="GVO142" s="3"/>
      <c r="GVP142" s="3"/>
      <c r="GVQ142" s="3"/>
      <c r="GVR142" s="3"/>
      <c r="GVS142" s="3"/>
      <c r="GVT142" s="3"/>
      <c r="GVU142" s="3"/>
      <c r="GVV142" s="3"/>
      <c r="GVW142" s="3"/>
      <c r="GVX142" s="3"/>
      <c r="GVY142" s="3"/>
      <c r="GVZ142" s="3"/>
      <c r="GWA142" s="3"/>
      <c r="GWB142" s="3"/>
      <c r="GWC142" s="3"/>
      <c r="GWD142" s="3"/>
      <c r="GWE142" s="3"/>
      <c r="GWF142" s="3"/>
      <c r="GWG142" s="3"/>
      <c r="GWH142" s="3"/>
      <c r="GWI142" s="3"/>
      <c r="GWJ142" s="3"/>
      <c r="GWK142" s="3"/>
      <c r="GWL142" s="3"/>
      <c r="GWM142" s="3"/>
      <c r="GWN142" s="3"/>
      <c r="GWO142" s="3"/>
      <c r="GWP142" s="3"/>
      <c r="GWQ142" s="3"/>
      <c r="GWR142" s="3"/>
      <c r="GWS142" s="3"/>
      <c r="GWT142" s="3"/>
      <c r="GWU142" s="3"/>
      <c r="GWV142" s="3"/>
      <c r="GWW142" s="3"/>
      <c r="GWX142" s="3"/>
      <c r="GWY142" s="3"/>
      <c r="GWZ142" s="3"/>
      <c r="GXA142" s="3"/>
      <c r="GXB142" s="3"/>
      <c r="GXC142" s="3"/>
      <c r="GXD142" s="3"/>
      <c r="GXE142" s="3"/>
      <c r="GXF142" s="3"/>
      <c r="GXG142" s="3"/>
      <c r="GXH142" s="3"/>
      <c r="GXI142" s="3"/>
      <c r="GXJ142" s="3"/>
      <c r="GXK142" s="3"/>
      <c r="GXL142" s="3"/>
      <c r="GXM142" s="3"/>
      <c r="GXN142" s="3"/>
      <c r="GXO142" s="3"/>
      <c r="GXP142" s="3"/>
      <c r="GXQ142" s="3"/>
      <c r="GXR142" s="3"/>
      <c r="GXS142" s="3"/>
      <c r="GXT142" s="3"/>
      <c r="GXU142" s="3"/>
      <c r="GXV142" s="3"/>
      <c r="GXW142" s="3"/>
      <c r="GXX142" s="3"/>
      <c r="GXY142" s="3"/>
      <c r="GXZ142" s="3"/>
      <c r="GYA142" s="3"/>
      <c r="GYB142" s="3"/>
      <c r="GYC142" s="3"/>
      <c r="GYD142" s="3"/>
      <c r="GYE142" s="3"/>
      <c r="GYF142" s="3"/>
      <c r="GYG142" s="3"/>
      <c r="GYH142" s="3"/>
      <c r="GYI142" s="3"/>
      <c r="GYJ142" s="3"/>
      <c r="GYK142" s="3"/>
      <c r="GYL142" s="3"/>
      <c r="GYM142" s="3"/>
      <c r="GYN142" s="3"/>
      <c r="GYO142" s="3"/>
      <c r="GYP142" s="3"/>
      <c r="GYQ142" s="3"/>
      <c r="GYR142" s="3"/>
      <c r="GYS142" s="3"/>
      <c r="GYT142" s="3"/>
      <c r="GYU142" s="3"/>
      <c r="GYV142" s="3"/>
      <c r="GYW142" s="3"/>
      <c r="GYX142" s="3"/>
      <c r="GYY142" s="3"/>
      <c r="GYZ142" s="3"/>
      <c r="GZA142" s="3"/>
      <c r="GZB142" s="3"/>
      <c r="GZC142" s="3"/>
      <c r="GZD142" s="3"/>
      <c r="GZE142" s="3"/>
      <c r="GZF142" s="3"/>
      <c r="GZG142" s="3"/>
      <c r="GZH142" s="3"/>
      <c r="GZI142" s="3"/>
      <c r="GZJ142" s="3"/>
      <c r="GZK142" s="3"/>
      <c r="GZL142" s="3"/>
      <c r="GZM142" s="3"/>
      <c r="GZN142" s="3"/>
      <c r="GZO142" s="3"/>
      <c r="GZP142" s="3"/>
      <c r="GZQ142" s="3"/>
      <c r="GZR142" s="3"/>
      <c r="GZS142" s="3"/>
      <c r="GZT142" s="3"/>
      <c r="GZU142" s="3"/>
      <c r="GZV142" s="3"/>
      <c r="GZW142" s="3"/>
      <c r="GZX142" s="3"/>
      <c r="GZY142" s="3"/>
      <c r="GZZ142" s="3"/>
      <c r="HAA142" s="3"/>
      <c r="HAB142" s="3"/>
      <c r="HAC142" s="3"/>
      <c r="HAD142" s="3"/>
      <c r="HAE142" s="3"/>
      <c r="HAF142" s="3"/>
      <c r="HAG142" s="3"/>
      <c r="HAH142" s="3"/>
      <c r="HAI142" s="3"/>
      <c r="HAJ142" s="3"/>
      <c r="HAK142" s="3"/>
      <c r="HAL142" s="3"/>
      <c r="HAM142" s="3"/>
      <c r="HAN142" s="3"/>
      <c r="HAO142" s="3"/>
      <c r="HAP142" s="3"/>
      <c r="HAQ142" s="3"/>
      <c r="HAR142" s="3"/>
      <c r="HAS142" s="3"/>
      <c r="HAT142" s="3"/>
      <c r="HAU142" s="3"/>
      <c r="HAV142" s="3"/>
      <c r="HAW142" s="3"/>
      <c r="HAX142" s="3"/>
      <c r="HAY142" s="3"/>
      <c r="HAZ142" s="3"/>
      <c r="HBA142" s="3"/>
      <c r="HBB142" s="3"/>
      <c r="HBC142" s="3"/>
      <c r="HBD142" s="3"/>
      <c r="HBE142" s="3"/>
      <c r="HBF142" s="3"/>
      <c r="HBG142" s="3"/>
      <c r="HBH142" s="3"/>
      <c r="HBI142" s="3"/>
      <c r="HBJ142" s="3"/>
      <c r="HBK142" s="3"/>
      <c r="HBL142" s="3"/>
      <c r="HBM142" s="3"/>
      <c r="HBN142" s="3"/>
      <c r="HBO142" s="3"/>
      <c r="HBP142" s="3"/>
      <c r="HBQ142" s="3"/>
      <c r="HBR142" s="3"/>
      <c r="HBS142" s="3"/>
      <c r="HBT142" s="3"/>
      <c r="HBU142" s="3"/>
      <c r="HBV142" s="3"/>
      <c r="HBW142" s="3"/>
      <c r="HBX142" s="3"/>
      <c r="HBY142" s="3"/>
      <c r="HBZ142" s="3"/>
      <c r="HCA142" s="3"/>
      <c r="HCB142" s="3"/>
      <c r="HCC142" s="3"/>
      <c r="HCD142" s="3"/>
      <c r="HCE142" s="3"/>
      <c r="HCF142" s="3"/>
      <c r="HCG142" s="3"/>
      <c r="HCH142" s="3"/>
      <c r="HCI142" s="3"/>
      <c r="HCJ142" s="3"/>
      <c r="HCK142" s="3"/>
      <c r="HCL142" s="3"/>
      <c r="HCM142" s="3"/>
      <c r="HCN142" s="3"/>
      <c r="HCO142" s="3"/>
      <c r="HCP142" s="3"/>
      <c r="HCQ142" s="3"/>
      <c r="HCR142" s="3"/>
      <c r="HCS142" s="3"/>
      <c r="HCT142" s="3"/>
      <c r="HCU142" s="3"/>
      <c r="HCV142" s="3"/>
      <c r="HCW142" s="3"/>
      <c r="HCX142" s="3"/>
      <c r="HCY142" s="3"/>
      <c r="HCZ142" s="3"/>
      <c r="HDA142" s="3"/>
      <c r="HDB142" s="3"/>
      <c r="HDC142" s="3"/>
      <c r="HDD142" s="3"/>
      <c r="HDE142" s="3"/>
      <c r="HDF142" s="3"/>
      <c r="HDG142" s="3"/>
      <c r="HDH142" s="3"/>
      <c r="HDI142" s="3"/>
      <c r="HDJ142" s="3"/>
      <c r="HDK142" s="3"/>
      <c r="HDL142" s="3"/>
      <c r="HDM142" s="3"/>
      <c r="HDN142" s="3"/>
      <c r="HDO142" s="3"/>
      <c r="HDP142" s="3"/>
      <c r="HDQ142" s="3"/>
      <c r="HDR142" s="3"/>
      <c r="HDS142" s="3"/>
      <c r="HDT142" s="3"/>
      <c r="HDU142" s="3"/>
      <c r="HDV142" s="3"/>
      <c r="HDW142" s="3"/>
      <c r="HDX142" s="3"/>
      <c r="HDY142" s="3"/>
      <c r="HDZ142" s="3"/>
      <c r="HEA142" s="3"/>
      <c r="HEB142" s="3"/>
      <c r="HEC142" s="3"/>
      <c r="HED142" s="3"/>
      <c r="HEE142" s="3"/>
      <c r="HEF142" s="3"/>
      <c r="HEG142" s="3"/>
      <c r="HEH142" s="3"/>
      <c r="HEI142" s="3"/>
      <c r="HEJ142" s="3"/>
      <c r="HEK142" s="3"/>
      <c r="HEL142" s="3"/>
      <c r="HEM142" s="3"/>
      <c r="HEN142" s="3"/>
      <c r="HEO142" s="3"/>
      <c r="HEP142" s="3"/>
      <c r="HEQ142" s="3"/>
      <c r="HER142" s="3"/>
      <c r="HES142" s="3"/>
      <c r="HET142" s="3"/>
      <c r="HEU142" s="3"/>
      <c r="HEV142" s="3"/>
      <c r="HEW142" s="3"/>
      <c r="HEX142" s="3"/>
      <c r="HEY142" s="3"/>
      <c r="HEZ142" s="3"/>
      <c r="HFA142" s="3"/>
      <c r="HFB142" s="3"/>
      <c r="HFC142" s="3"/>
      <c r="HFD142" s="3"/>
      <c r="HFE142" s="3"/>
      <c r="HFF142" s="3"/>
      <c r="HFG142" s="3"/>
      <c r="HFH142" s="3"/>
      <c r="HFI142" s="3"/>
      <c r="HFJ142" s="3"/>
      <c r="HFK142" s="3"/>
      <c r="HFL142" s="3"/>
      <c r="HFM142" s="3"/>
      <c r="HFN142" s="3"/>
      <c r="HFO142" s="3"/>
      <c r="HFP142" s="3"/>
      <c r="HFQ142" s="3"/>
      <c r="HFR142" s="3"/>
      <c r="HFS142" s="3"/>
      <c r="HFT142" s="3"/>
      <c r="HFU142" s="3"/>
      <c r="HFV142" s="3"/>
      <c r="HFW142" s="3"/>
      <c r="HFX142" s="3"/>
      <c r="HFY142" s="3"/>
      <c r="HFZ142" s="3"/>
      <c r="HGA142" s="3"/>
      <c r="HGB142" s="3"/>
      <c r="HGC142" s="3"/>
      <c r="HGD142" s="3"/>
      <c r="HGE142" s="3"/>
      <c r="HGF142" s="3"/>
      <c r="HGG142" s="3"/>
      <c r="HGH142" s="3"/>
      <c r="HGI142" s="3"/>
      <c r="HGJ142" s="3"/>
      <c r="HGK142" s="3"/>
      <c r="HGL142" s="3"/>
      <c r="HGM142" s="3"/>
      <c r="HGN142" s="3"/>
      <c r="HGO142" s="3"/>
      <c r="HGP142" s="3"/>
      <c r="HGQ142" s="3"/>
      <c r="HGR142" s="3"/>
      <c r="HGS142" s="3"/>
      <c r="HGT142" s="3"/>
      <c r="HGU142" s="3"/>
      <c r="HGV142" s="3"/>
      <c r="HGW142" s="3"/>
      <c r="HGX142" s="3"/>
      <c r="HGY142" s="3"/>
      <c r="HGZ142" s="3"/>
      <c r="HHA142" s="3"/>
      <c r="HHB142" s="3"/>
      <c r="HHC142" s="3"/>
      <c r="HHD142" s="3"/>
      <c r="HHE142" s="3"/>
      <c r="HHF142" s="3"/>
      <c r="HHG142" s="3"/>
      <c r="HHH142" s="3"/>
      <c r="HHI142" s="3"/>
      <c r="HHJ142" s="3"/>
      <c r="HHK142" s="3"/>
      <c r="HHL142" s="3"/>
      <c r="HHM142" s="3"/>
      <c r="HHN142" s="3"/>
      <c r="HHO142" s="3"/>
      <c r="HHP142" s="3"/>
      <c r="HHQ142" s="3"/>
      <c r="HHR142" s="3"/>
      <c r="HHS142" s="3"/>
      <c r="HHT142" s="3"/>
      <c r="HHU142" s="3"/>
      <c r="HHV142" s="3"/>
      <c r="HHW142" s="3"/>
      <c r="HHX142" s="3"/>
      <c r="HHY142" s="3"/>
      <c r="HHZ142" s="3"/>
      <c r="HIA142" s="3"/>
      <c r="HIB142" s="3"/>
      <c r="HIC142" s="3"/>
      <c r="HID142" s="3"/>
      <c r="HIE142" s="3"/>
      <c r="HIF142" s="3"/>
      <c r="HIG142" s="3"/>
      <c r="HIH142" s="3"/>
      <c r="HII142" s="3"/>
      <c r="HIJ142" s="3"/>
      <c r="HIK142" s="3"/>
      <c r="HIL142" s="3"/>
      <c r="HIM142" s="3"/>
      <c r="HIN142" s="3"/>
      <c r="HIO142" s="3"/>
      <c r="HIP142" s="3"/>
      <c r="HIQ142" s="3"/>
      <c r="HIR142" s="3"/>
      <c r="HIS142" s="3"/>
      <c r="HIT142" s="3"/>
      <c r="HIU142" s="3"/>
      <c r="HIV142" s="3"/>
      <c r="HIW142" s="3"/>
      <c r="HIX142" s="3"/>
      <c r="HIY142" s="3"/>
      <c r="HIZ142" s="3"/>
      <c r="HJA142" s="3"/>
      <c r="HJB142" s="3"/>
      <c r="HJC142" s="3"/>
      <c r="HJD142" s="3"/>
      <c r="HJE142" s="3"/>
      <c r="HJF142" s="3"/>
      <c r="HJG142" s="3"/>
      <c r="HJH142" s="3"/>
      <c r="HJI142" s="3"/>
      <c r="HJJ142" s="3"/>
      <c r="HJK142" s="3"/>
      <c r="HJL142" s="3"/>
      <c r="HJM142" s="3"/>
      <c r="HJN142" s="3"/>
      <c r="HJO142" s="3"/>
      <c r="HJP142" s="3"/>
      <c r="HJQ142" s="3"/>
      <c r="HJR142" s="3"/>
      <c r="HJS142" s="3"/>
      <c r="HJT142" s="3"/>
      <c r="HJU142" s="3"/>
      <c r="HJV142" s="3"/>
      <c r="HJW142" s="3"/>
      <c r="HJX142" s="3"/>
      <c r="HJY142" s="3"/>
      <c r="HJZ142" s="3"/>
      <c r="HKA142" s="3"/>
      <c r="HKB142" s="3"/>
      <c r="HKC142" s="3"/>
      <c r="HKD142" s="3"/>
      <c r="HKE142" s="3"/>
      <c r="HKF142" s="3"/>
      <c r="HKG142" s="3"/>
      <c r="HKH142" s="3"/>
      <c r="HKI142" s="3"/>
      <c r="HKJ142" s="3"/>
      <c r="HKK142" s="3"/>
      <c r="HKL142" s="3"/>
      <c r="HKM142" s="3"/>
      <c r="HKN142" s="3"/>
      <c r="HKO142" s="3"/>
      <c r="HKP142" s="3"/>
      <c r="HKQ142" s="3"/>
      <c r="HKR142" s="3"/>
      <c r="HKS142" s="3"/>
      <c r="HKT142" s="3"/>
      <c r="HKU142" s="3"/>
      <c r="HKV142" s="3"/>
      <c r="HKW142" s="3"/>
      <c r="HKX142" s="3"/>
      <c r="HKY142" s="3"/>
      <c r="HKZ142" s="3"/>
      <c r="HLA142" s="3"/>
      <c r="HLB142" s="3"/>
      <c r="HLC142" s="3"/>
      <c r="HLD142" s="3"/>
      <c r="HLE142" s="3"/>
      <c r="HLF142" s="3"/>
      <c r="HLG142" s="3"/>
      <c r="HLH142" s="3"/>
      <c r="HLI142" s="3"/>
      <c r="HLJ142" s="3"/>
      <c r="HLK142" s="3"/>
      <c r="HLL142" s="3"/>
      <c r="HLM142" s="3"/>
      <c r="HLN142" s="3"/>
      <c r="HLO142" s="3"/>
      <c r="HLP142" s="3"/>
      <c r="HLQ142" s="3"/>
      <c r="HLR142" s="3"/>
      <c r="HLS142" s="3"/>
      <c r="HLT142" s="3"/>
      <c r="HLU142" s="3"/>
      <c r="HLV142" s="3"/>
      <c r="HLW142" s="3"/>
      <c r="HLX142" s="3"/>
      <c r="HLY142" s="3"/>
      <c r="HLZ142" s="3"/>
      <c r="HMA142" s="3"/>
      <c r="HMB142" s="3"/>
      <c r="HMC142" s="3"/>
      <c r="HMD142" s="3"/>
      <c r="HME142" s="3"/>
      <c r="HMF142" s="3"/>
      <c r="HMG142" s="3"/>
      <c r="HMH142" s="3"/>
      <c r="HMI142" s="3"/>
      <c r="HMJ142" s="3"/>
      <c r="HMK142" s="3"/>
      <c r="HML142" s="3"/>
      <c r="HMM142" s="3"/>
      <c r="HMN142" s="3"/>
      <c r="HMO142" s="3"/>
      <c r="HMP142" s="3"/>
      <c r="HMQ142" s="3"/>
      <c r="HMR142" s="3"/>
      <c r="HMS142" s="3"/>
      <c r="HMT142" s="3"/>
      <c r="HMU142" s="3"/>
      <c r="HMV142" s="3"/>
      <c r="HMW142" s="3"/>
      <c r="HMX142" s="3"/>
      <c r="HMY142" s="3"/>
      <c r="HMZ142" s="3"/>
      <c r="HNA142" s="3"/>
      <c r="HNB142" s="3"/>
      <c r="HNC142" s="3"/>
      <c r="HND142" s="3"/>
      <c r="HNE142" s="3"/>
      <c r="HNF142" s="3"/>
      <c r="HNG142" s="3"/>
      <c r="HNH142" s="3"/>
      <c r="HNI142" s="3"/>
      <c r="HNJ142" s="3"/>
      <c r="HNK142" s="3"/>
      <c r="HNL142" s="3"/>
      <c r="HNM142" s="3"/>
      <c r="HNN142" s="3"/>
      <c r="HNO142" s="3"/>
      <c r="HNP142" s="3"/>
      <c r="HNQ142" s="3"/>
      <c r="HNR142" s="3"/>
      <c r="HNS142" s="3"/>
      <c r="HNT142" s="3"/>
      <c r="HNU142" s="3"/>
      <c r="HNV142" s="3"/>
      <c r="HNW142" s="3"/>
      <c r="HNX142" s="3"/>
      <c r="HNY142" s="3"/>
      <c r="HNZ142" s="3"/>
      <c r="HOA142" s="3"/>
      <c r="HOB142" s="3"/>
      <c r="HOC142" s="3"/>
      <c r="HOD142" s="3"/>
      <c r="HOE142" s="3"/>
      <c r="HOF142" s="3"/>
      <c r="HOG142" s="3"/>
      <c r="HOH142" s="3"/>
      <c r="HOI142" s="3"/>
      <c r="HOJ142" s="3"/>
      <c r="HOK142" s="3"/>
      <c r="HOL142" s="3"/>
      <c r="HOM142" s="3"/>
      <c r="HON142" s="3"/>
      <c r="HOO142" s="3"/>
      <c r="HOP142" s="3"/>
      <c r="HOQ142" s="3"/>
      <c r="HOR142" s="3"/>
      <c r="HOS142" s="3"/>
      <c r="HOT142" s="3"/>
      <c r="HOU142" s="3"/>
      <c r="HOV142" s="3"/>
      <c r="HOW142" s="3"/>
      <c r="HOX142" s="3"/>
      <c r="HOY142" s="3"/>
      <c r="HOZ142" s="3"/>
      <c r="HPA142" s="3"/>
      <c r="HPB142" s="3"/>
      <c r="HPC142" s="3"/>
      <c r="HPD142" s="3"/>
      <c r="HPE142" s="3"/>
      <c r="HPF142" s="3"/>
      <c r="HPG142" s="3"/>
      <c r="HPH142" s="3"/>
      <c r="HPI142" s="3"/>
      <c r="HPJ142" s="3"/>
      <c r="HPK142" s="3"/>
      <c r="HPL142" s="3"/>
      <c r="HPM142" s="3"/>
      <c r="HPN142" s="3"/>
      <c r="HPO142" s="3"/>
      <c r="HPP142" s="3"/>
      <c r="HPQ142" s="3"/>
      <c r="HPR142" s="3"/>
      <c r="HPS142" s="3"/>
      <c r="HPT142" s="3"/>
      <c r="HPU142" s="3"/>
      <c r="HPV142" s="3"/>
      <c r="HPW142" s="3"/>
      <c r="HPX142" s="3"/>
      <c r="HPY142" s="3"/>
      <c r="HPZ142" s="3"/>
      <c r="HQA142" s="3"/>
      <c r="HQB142" s="3"/>
      <c r="HQC142" s="3"/>
      <c r="HQD142" s="3"/>
      <c r="HQE142" s="3"/>
      <c r="HQF142" s="3"/>
      <c r="HQG142" s="3"/>
      <c r="HQH142" s="3"/>
      <c r="HQI142" s="3"/>
      <c r="HQJ142" s="3"/>
      <c r="HQK142" s="3"/>
      <c r="HQL142" s="3"/>
      <c r="HQM142" s="3"/>
      <c r="HQN142" s="3"/>
      <c r="HQO142" s="3"/>
      <c r="HQP142" s="3"/>
      <c r="HQQ142" s="3"/>
      <c r="HQR142" s="3"/>
      <c r="HQS142" s="3"/>
      <c r="HQT142" s="3"/>
      <c r="HQU142" s="3"/>
      <c r="HQV142" s="3"/>
      <c r="HQW142" s="3"/>
      <c r="HQX142" s="3"/>
      <c r="HQY142" s="3"/>
      <c r="HQZ142" s="3"/>
      <c r="HRA142" s="3"/>
      <c r="HRB142" s="3"/>
      <c r="HRC142" s="3"/>
      <c r="HRD142" s="3"/>
      <c r="HRE142" s="3"/>
      <c r="HRF142" s="3"/>
      <c r="HRG142" s="3"/>
      <c r="HRH142" s="3"/>
      <c r="HRI142" s="3"/>
      <c r="HRJ142" s="3"/>
      <c r="HRK142" s="3"/>
      <c r="HRL142" s="3"/>
      <c r="HRM142" s="3"/>
      <c r="HRN142" s="3"/>
      <c r="HRO142" s="3"/>
      <c r="HRP142" s="3"/>
      <c r="HRQ142" s="3"/>
      <c r="HRR142" s="3"/>
      <c r="HRS142" s="3"/>
      <c r="HRT142" s="3"/>
      <c r="HRU142" s="3"/>
      <c r="HRV142" s="3"/>
      <c r="HRW142" s="3"/>
      <c r="HRX142" s="3"/>
      <c r="HRY142" s="3"/>
      <c r="HRZ142" s="3"/>
      <c r="HSA142" s="3"/>
      <c r="HSB142" s="3"/>
      <c r="HSC142" s="3"/>
      <c r="HSD142" s="3"/>
      <c r="HSE142" s="3"/>
      <c r="HSF142" s="3"/>
      <c r="HSG142" s="3"/>
      <c r="HSH142" s="3"/>
      <c r="HSI142" s="3"/>
      <c r="HSJ142" s="3"/>
      <c r="HSK142" s="3"/>
      <c r="HSL142" s="3"/>
      <c r="HSM142" s="3"/>
      <c r="HSN142" s="3"/>
      <c r="HSO142" s="3"/>
      <c r="HSP142" s="3"/>
      <c r="HSQ142" s="3"/>
      <c r="HSR142" s="3"/>
      <c r="HSS142" s="3"/>
      <c r="HST142" s="3"/>
      <c r="HSU142" s="3"/>
      <c r="HSV142" s="3"/>
      <c r="HSW142" s="3"/>
      <c r="HSX142" s="3"/>
      <c r="HSY142" s="3"/>
      <c r="HSZ142" s="3"/>
      <c r="HTA142" s="3"/>
      <c r="HTB142" s="3"/>
      <c r="HTC142" s="3"/>
      <c r="HTD142" s="3"/>
      <c r="HTE142" s="3"/>
      <c r="HTF142" s="3"/>
      <c r="HTG142" s="3"/>
      <c r="HTH142" s="3"/>
      <c r="HTI142" s="3"/>
      <c r="HTJ142" s="3"/>
      <c r="HTK142" s="3"/>
      <c r="HTL142" s="3"/>
      <c r="HTM142" s="3"/>
      <c r="HTN142" s="3"/>
      <c r="HTO142" s="3"/>
      <c r="HTP142" s="3"/>
      <c r="HTQ142" s="3"/>
      <c r="HTR142" s="3"/>
      <c r="HTS142" s="3"/>
      <c r="HTT142" s="3"/>
      <c r="HTU142" s="3"/>
      <c r="HTV142" s="3"/>
      <c r="HTW142" s="3"/>
      <c r="HTX142" s="3"/>
      <c r="HTY142" s="3"/>
      <c r="HTZ142" s="3"/>
      <c r="HUA142" s="3"/>
      <c r="HUB142" s="3"/>
      <c r="HUC142" s="3"/>
      <c r="HUD142" s="3"/>
      <c r="HUE142" s="3"/>
      <c r="HUF142" s="3"/>
      <c r="HUG142" s="3"/>
      <c r="HUH142" s="3"/>
      <c r="HUI142" s="3"/>
      <c r="HUJ142" s="3"/>
      <c r="HUK142" s="3"/>
      <c r="HUL142" s="3"/>
      <c r="HUM142" s="3"/>
      <c r="HUN142" s="3"/>
      <c r="HUO142" s="3"/>
      <c r="HUP142" s="3"/>
      <c r="HUQ142" s="3"/>
      <c r="HUR142" s="3"/>
      <c r="HUS142" s="3"/>
      <c r="HUT142" s="3"/>
      <c r="HUU142" s="3"/>
      <c r="HUV142" s="3"/>
      <c r="HUW142" s="3"/>
      <c r="HUX142" s="3"/>
      <c r="HUY142" s="3"/>
      <c r="HUZ142" s="3"/>
      <c r="HVA142" s="3"/>
      <c r="HVB142" s="3"/>
      <c r="HVC142" s="3"/>
      <c r="HVD142" s="3"/>
      <c r="HVE142" s="3"/>
      <c r="HVF142" s="3"/>
      <c r="HVG142" s="3"/>
      <c r="HVH142" s="3"/>
      <c r="HVI142" s="3"/>
      <c r="HVJ142" s="3"/>
      <c r="HVK142" s="3"/>
      <c r="HVL142" s="3"/>
      <c r="HVM142" s="3"/>
      <c r="HVN142" s="3"/>
      <c r="HVO142" s="3"/>
      <c r="HVP142" s="3"/>
      <c r="HVQ142" s="3"/>
      <c r="HVR142" s="3"/>
      <c r="HVS142" s="3"/>
      <c r="HVT142" s="3"/>
      <c r="HVU142" s="3"/>
      <c r="HVV142" s="3"/>
      <c r="HVW142" s="3"/>
      <c r="HVX142" s="3"/>
      <c r="HVY142" s="3"/>
      <c r="HVZ142" s="3"/>
      <c r="HWA142" s="3"/>
      <c r="HWB142" s="3"/>
      <c r="HWC142" s="3"/>
      <c r="HWD142" s="3"/>
      <c r="HWE142" s="3"/>
      <c r="HWF142" s="3"/>
      <c r="HWG142" s="3"/>
      <c r="HWH142" s="3"/>
      <c r="HWI142" s="3"/>
      <c r="HWJ142" s="3"/>
      <c r="HWK142" s="3"/>
      <c r="HWL142" s="3"/>
      <c r="HWM142" s="3"/>
      <c r="HWN142" s="3"/>
      <c r="HWO142" s="3"/>
      <c r="HWP142" s="3"/>
      <c r="HWQ142" s="3"/>
      <c r="HWR142" s="3"/>
      <c r="HWS142" s="3"/>
      <c r="HWT142" s="3"/>
      <c r="HWU142" s="3"/>
      <c r="HWV142" s="3"/>
      <c r="HWW142" s="3"/>
      <c r="HWX142" s="3"/>
      <c r="HWY142" s="3"/>
      <c r="HWZ142" s="3"/>
      <c r="HXA142" s="3"/>
      <c r="HXB142" s="3"/>
      <c r="HXC142" s="3"/>
      <c r="HXD142" s="3"/>
      <c r="HXE142" s="3"/>
      <c r="HXF142" s="3"/>
      <c r="HXG142" s="3"/>
      <c r="HXH142" s="3"/>
      <c r="HXI142" s="3"/>
      <c r="HXJ142" s="3"/>
      <c r="HXK142" s="3"/>
      <c r="HXL142" s="3"/>
      <c r="HXM142" s="3"/>
      <c r="HXN142" s="3"/>
      <c r="HXO142" s="3"/>
      <c r="HXP142" s="3"/>
      <c r="HXQ142" s="3"/>
      <c r="HXR142" s="3"/>
      <c r="HXS142" s="3"/>
      <c r="HXT142" s="3"/>
      <c r="HXU142" s="3"/>
      <c r="HXV142" s="3"/>
      <c r="HXW142" s="3"/>
      <c r="HXX142" s="3"/>
      <c r="HXY142" s="3"/>
      <c r="HXZ142" s="3"/>
      <c r="HYA142" s="3"/>
      <c r="HYB142" s="3"/>
      <c r="HYC142" s="3"/>
      <c r="HYD142" s="3"/>
      <c r="HYE142" s="3"/>
      <c r="HYF142" s="3"/>
      <c r="HYG142" s="3"/>
      <c r="HYH142" s="3"/>
      <c r="HYI142" s="3"/>
      <c r="HYJ142" s="3"/>
      <c r="HYK142" s="3"/>
      <c r="HYL142" s="3"/>
      <c r="HYM142" s="3"/>
      <c r="HYN142" s="3"/>
      <c r="HYO142" s="3"/>
      <c r="HYP142" s="3"/>
      <c r="HYQ142" s="3"/>
      <c r="HYR142" s="3"/>
      <c r="HYS142" s="3"/>
      <c r="HYT142" s="3"/>
      <c r="HYU142" s="3"/>
      <c r="HYV142" s="3"/>
      <c r="HYW142" s="3"/>
      <c r="HYX142" s="3"/>
      <c r="HYY142" s="3"/>
      <c r="HYZ142" s="3"/>
      <c r="HZA142" s="3"/>
      <c r="HZB142" s="3"/>
      <c r="HZC142" s="3"/>
      <c r="HZD142" s="3"/>
      <c r="HZE142" s="3"/>
      <c r="HZF142" s="3"/>
      <c r="HZG142" s="3"/>
      <c r="HZH142" s="3"/>
      <c r="HZI142" s="3"/>
      <c r="HZJ142" s="3"/>
      <c r="HZK142" s="3"/>
      <c r="HZL142" s="3"/>
      <c r="HZM142" s="3"/>
      <c r="HZN142" s="3"/>
      <c r="HZO142" s="3"/>
      <c r="HZP142" s="3"/>
      <c r="HZQ142" s="3"/>
      <c r="HZR142" s="3"/>
      <c r="HZS142" s="3"/>
      <c r="HZT142" s="3"/>
      <c r="HZU142" s="3"/>
      <c r="HZV142" s="3"/>
      <c r="HZW142" s="3"/>
      <c r="HZX142" s="3"/>
      <c r="HZY142" s="3"/>
      <c r="HZZ142" s="3"/>
      <c r="IAA142" s="3"/>
      <c r="IAB142" s="3"/>
      <c r="IAC142" s="3"/>
      <c r="IAD142" s="3"/>
      <c r="IAE142" s="3"/>
      <c r="IAF142" s="3"/>
      <c r="IAG142" s="3"/>
      <c r="IAH142" s="3"/>
      <c r="IAI142" s="3"/>
      <c r="IAJ142" s="3"/>
      <c r="IAK142" s="3"/>
      <c r="IAL142" s="3"/>
      <c r="IAM142" s="3"/>
      <c r="IAN142" s="3"/>
      <c r="IAO142" s="3"/>
      <c r="IAP142" s="3"/>
      <c r="IAQ142" s="3"/>
      <c r="IAR142" s="3"/>
      <c r="IAS142" s="3"/>
      <c r="IAT142" s="3"/>
      <c r="IAU142" s="3"/>
      <c r="IAV142" s="3"/>
      <c r="IAW142" s="3"/>
      <c r="IAX142" s="3"/>
      <c r="IAY142" s="3"/>
      <c r="IAZ142" s="3"/>
      <c r="IBA142" s="3"/>
      <c r="IBB142" s="3"/>
      <c r="IBC142" s="3"/>
      <c r="IBD142" s="3"/>
      <c r="IBE142" s="3"/>
      <c r="IBF142" s="3"/>
      <c r="IBG142" s="3"/>
      <c r="IBH142" s="3"/>
      <c r="IBI142" s="3"/>
      <c r="IBJ142" s="3"/>
      <c r="IBK142" s="3"/>
      <c r="IBL142" s="3"/>
      <c r="IBM142" s="3"/>
      <c r="IBN142" s="3"/>
      <c r="IBO142" s="3"/>
      <c r="IBP142" s="3"/>
      <c r="IBQ142" s="3"/>
      <c r="IBR142" s="3"/>
      <c r="IBS142" s="3"/>
      <c r="IBT142" s="3"/>
      <c r="IBU142" s="3"/>
      <c r="IBV142" s="3"/>
      <c r="IBW142" s="3"/>
      <c r="IBX142" s="3"/>
      <c r="IBY142" s="3"/>
      <c r="IBZ142" s="3"/>
      <c r="ICA142" s="3"/>
      <c r="ICB142" s="3"/>
      <c r="ICC142" s="3"/>
      <c r="ICD142" s="3"/>
      <c r="ICE142" s="3"/>
      <c r="ICF142" s="3"/>
      <c r="ICG142" s="3"/>
      <c r="ICH142" s="3"/>
      <c r="ICI142" s="3"/>
      <c r="ICJ142" s="3"/>
      <c r="ICK142" s="3"/>
      <c r="ICL142" s="3"/>
      <c r="ICM142" s="3"/>
      <c r="ICN142" s="3"/>
      <c r="ICO142" s="3"/>
      <c r="ICP142" s="3"/>
      <c r="ICQ142" s="3"/>
      <c r="ICR142" s="3"/>
      <c r="ICS142" s="3"/>
      <c r="ICT142" s="3"/>
      <c r="ICU142" s="3"/>
      <c r="ICV142" s="3"/>
      <c r="ICW142" s="3"/>
      <c r="ICX142" s="3"/>
      <c r="ICY142" s="3"/>
      <c r="ICZ142" s="3"/>
      <c r="IDA142" s="3"/>
      <c r="IDB142" s="3"/>
      <c r="IDC142" s="3"/>
      <c r="IDD142" s="3"/>
      <c r="IDE142" s="3"/>
      <c r="IDF142" s="3"/>
      <c r="IDG142" s="3"/>
      <c r="IDH142" s="3"/>
      <c r="IDI142" s="3"/>
      <c r="IDJ142" s="3"/>
      <c r="IDK142" s="3"/>
      <c r="IDL142" s="3"/>
      <c r="IDM142" s="3"/>
      <c r="IDN142" s="3"/>
      <c r="IDO142" s="3"/>
      <c r="IDP142" s="3"/>
      <c r="IDQ142" s="3"/>
      <c r="IDR142" s="3"/>
      <c r="IDS142" s="3"/>
      <c r="IDT142" s="3"/>
      <c r="IDU142" s="3"/>
      <c r="IDV142" s="3"/>
      <c r="IDW142" s="3"/>
      <c r="IDX142" s="3"/>
      <c r="IDY142" s="3"/>
      <c r="IDZ142" s="3"/>
      <c r="IEA142" s="3"/>
      <c r="IEB142" s="3"/>
      <c r="IEC142" s="3"/>
      <c r="IED142" s="3"/>
      <c r="IEE142" s="3"/>
      <c r="IEF142" s="3"/>
      <c r="IEG142" s="3"/>
      <c r="IEH142" s="3"/>
      <c r="IEI142" s="3"/>
      <c r="IEJ142" s="3"/>
      <c r="IEK142" s="3"/>
      <c r="IEL142" s="3"/>
      <c r="IEM142" s="3"/>
      <c r="IEN142" s="3"/>
      <c r="IEO142" s="3"/>
      <c r="IEP142" s="3"/>
      <c r="IEQ142" s="3"/>
      <c r="IER142" s="3"/>
      <c r="IES142" s="3"/>
      <c r="IET142" s="3"/>
      <c r="IEU142" s="3"/>
      <c r="IEV142" s="3"/>
      <c r="IEW142" s="3"/>
      <c r="IEX142" s="3"/>
      <c r="IEY142" s="3"/>
      <c r="IEZ142" s="3"/>
      <c r="IFA142" s="3"/>
      <c r="IFB142" s="3"/>
      <c r="IFC142" s="3"/>
      <c r="IFD142" s="3"/>
      <c r="IFE142" s="3"/>
      <c r="IFF142" s="3"/>
      <c r="IFG142" s="3"/>
      <c r="IFH142" s="3"/>
      <c r="IFI142" s="3"/>
      <c r="IFJ142" s="3"/>
      <c r="IFK142" s="3"/>
      <c r="IFL142" s="3"/>
      <c r="IFM142" s="3"/>
      <c r="IFN142" s="3"/>
      <c r="IFO142" s="3"/>
      <c r="IFP142" s="3"/>
      <c r="IFQ142" s="3"/>
      <c r="IFR142" s="3"/>
      <c r="IFS142" s="3"/>
      <c r="IFT142" s="3"/>
      <c r="IFU142" s="3"/>
      <c r="IFV142" s="3"/>
      <c r="IFW142" s="3"/>
      <c r="IFX142" s="3"/>
      <c r="IFY142" s="3"/>
      <c r="IFZ142" s="3"/>
      <c r="IGA142" s="3"/>
      <c r="IGB142" s="3"/>
      <c r="IGC142" s="3"/>
      <c r="IGD142" s="3"/>
      <c r="IGE142" s="3"/>
      <c r="IGF142" s="3"/>
      <c r="IGG142" s="3"/>
      <c r="IGH142" s="3"/>
      <c r="IGI142" s="3"/>
      <c r="IGJ142" s="3"/>
      <c r="IGK142" s="3"/>
      <c r="IGL142" s="3"/>
      <c r="IGM142" s="3"/>
      <c r="IGN142" s="3"/>
      <c r="IGO142" s="3"/>
      <c r="IGP142" s="3"/>
      <c r="IGQ142" s="3"/>
      <c r="IGR142" s="3"/>
      <c r="IGS142" s="3"/>
      <c r="IGT142" s="3"/>
      <c r="IGU142" s="3"/>
      <c r="IGV142" s="3"/>
      <c r="IGW142" s="3"/>
      <c r="IGX142" s="3"/>
      <c r="IGY142" s="3"/>
      <c r="IGZ142" s="3"/>
      <c r="IHA142" s="3"/>
      <c r="IHB142" s="3"/>
      <c r="IHC142" s="3"/>
      <c r="IHD142" s="3"/>
      <c r="IHE142" s="3"/>
      <c r="IHF142" s="3"/>
      <c r="IHG142" s="3"/>
      <c r="IHH142" s="3"/>
      <c r="IHI142" s="3"/>
      <c r="IHJ142" s="3"/>
      <c r="IHK142" s="3"/>
      <c r="IHL142" s="3"/>
      <c r="IHM142" s="3"/>
      <c r="IHN142" s="3"/>
      <c r="IHO142" s="3"/>
      <c r="IHP142" s="3"/>
      <c r="IHQ142" s="3"/>
      <c r="IHR142" s="3"/>
      <c r="IHS142" s="3"/>
      <c r="IHT142" s="3"/>
      <c r="IHU142" s="3"/>
      <c r="IHV142" s="3"/>
      <c r="IHW142" s="3"/>
      <c r="IHX142" s="3"/>
      <c r="IHY142" s="3"/>
      <c r="IHZ142" s="3"/>
      <c r="IIA142" s="3"/>
      <c r="IIB142" s="3"/>
      <c r="IIC142" s="3"/>
      <c r="IID142" s="3"/>
      <c r="IIE142" s="3"/>
      <c r="IIF142" s="3"/>
      <c r="IIG142" s="3"/>
      <c r="IIH142" s="3"/>
      <c r="III142" s="3"/>
      <c r="IIJ142" s="3"/>
      <c r="IIK142" s="3"/>
      <c r="IIL142" s="3"/>
      <c r="IIM142" s="3"/>
      <c r="IIN142" s="3"/>
      <c r="IIO142" s="3"/>
      <c r="IIP142" s="3"/>
      <c r="IIQ142" s="3"/>
      <c r="IIR142" s="3"/>
      <c r="IIS142" s="3"/>
      <c r="IIT142" s="3"/>
      <c r="IIU142" s="3"/>
      <c r="IIV142" s="3"/>
      <c r="IIW142" s="3"/>
      <c r="IIX142" s="3"/>
      <c r="IIY142" s="3"/>
      <c r="IIZ142" s="3"/>
      <c r="IJA142" s="3"/>
      <c r="IJB142" s="3"/>
      <c r="IJC142" s="3"/>
      <c r="IJD142" s="3"/>
      <c r="IJE142" s="3"/>
      <c r="IJF142" s="3"/>
      <c r="IJG142" s="3"/>
      <c r="IJH142" s="3"/>
      <c r="IJI142" s="3"/>
      <c r="IJJ142" s="3"/>
      <c r="IJK142" s="3"/>
      <c r="IJL142" s="3"/>
      <c r="IJM142" s="3"/>
      <c r="IJN142" s="3"/>
      <c r="IJO142" s="3"/>
      <c r="IJP142" s="3"/>
      <c r="IJQ142" s="3"/>
      <c r="IJR142" s="3"/>
      <c r="IJS142" s="3"/>
      <c r="IJT142" s="3"/>
      <c r="IJU142" s="3"/>
      <c r="IJV142" s="3"/>
      <c r="IJW142" s="3"/>
      <c r="IJX142" s="3"/>
      <c r="IJY142" s="3"/>
      <c r="IJZ142" s="3"/>
      <c r="IKA142" s="3"/>
      <c r="IKB142" s="3"/>
      <c r="IKC142" s="3"/>
      <c r="IKD142" s="3"/>
      <c r="IKE142" s="3"/>
      <c r="IKF142" s="3"/>
      <c r="IKG142" s="3"/>
      <c r="IKH142" s="3"/>
      <c r="IKI142" s="3"/>
      <c r="IKJ142" s="3"/>
      <c r="IKK142" s="3"/>
      <c r="IKL142" s="3"/>
      <c r="IKM142" s="3"/>
      <c r="IKN142" s="3"/>
      <c r="IKO142" s="3"/>
      <c r="IKP142" s="3"/>
      <c r="IKQ142" s="3"/>
      <c r="IKR142" s="3"/>
      <c r="IKS142" s="3"/>
      <c r="IKT142" s="3"/>
      <c r="IKU142" s="3"/>
      <c r="IKV142" s="3"/>
      <c r="IKW142" s="3"/>
      <c r="IKX142" s="3"/>
      <c r="IKY142" s="3"/>
      <c r="IKZ142" s="3"/>
      <c r="ILA142" s="3"/>
      <c r="ILB142" s="3"/>
      <c r="ILC142" s="3"/>
      <c r="ILD142" s="3"/>
      <c r="ILE142" s="3"/>
      <c r="ILF142" s="3"/>
      <c r="ILG142" s="3"/>
      <c r="ILH142" s="3"/>
      <c r="ILI142" s="3"/>
      <c r="ILJ142" s="3"/>
      <c r="ILK142" s="3"/>
      <c r="ILL142" s="3"/>
      <c r="ILM142" s="3"/>
      <c r="ILN142" s="3"/>
      <c r="ILO142" s="3"/>
      <c r="ILP142" s="3"/>
      <c r="ILQ142" s="3"/>
      <c r="ILR142" s="3"/>
      <c r="ILS142" s="3"/>
      <c r="ILT142" s="3"/>
      <c r="ILU142" s="3"/>
      <c r="ILV142" s="3"/>
      <c r="ILW142" s="3"/>
      <c r="ILX142" s="3"/>
      <c r="ILY142" s="3"/>
      <c r="ILZ142" s="3"/>
      <c r="IMA142" s="3"/>
      <c r="IMB142" s="3"/>
      <c r="IMC142" s="3"/>
      <c r="IMD142" s="3"/>
      <c r="IME142" s="3"/>
      <c r="IMF142" s="3"/>
      <c r="IMG142" s="3"/>
      <c r="IMH142" s="3"/>
      <c r="IMI142" s="3"/>
      <c r="IMJ142" s="3"/>
      <c r="IMK142" s="3"/>
      <c r="IML142" s="3"/>
      <c r="IMM142" s="3"/>
      <c r="IMN142" s="3"/>
      <c r="IMO142" s="3"/>
      <c r="IMP142" s="3"/>
      <c r="IMQ142" s="3"/>
      <c r="IMR142" s="3"/>
      <c r="IMS142" s="3"/>
      <c r="IMT142" s="3"/>
      <c r="IMU142" s="3"/>
      <c r="IMV142" s="3"/>
      <c r="IMW142" s="3"/>
      <c r="IMX142" s="3"/>
      <c r="IMY142" s="3"/>
      <c r="IMZ142" s="3"/>
      <c r="INA142" s="3"/>
      <c r="INB142" s="3"/>
      <c r="INC142" s="3"/>
      <c r="IND142" s="3"/>
      <c r="INE142" s="3"/>
      <c r="INF142" s="3"/>
      <c r="ING142" s="3"/>
      <c r="INH142" s="3"/>
      <c r="INI142" s="3"/>
      <c r="INJ142" s="3"/>
      <c r="INK142" s="3"/>
      <c r="INL142" s="3"/>
      <c r="INM142" s="3"/>
      <c r="INN142" s="3"/>
      <c r="INO142" s="3"/>
      <c r="INP142" s="3"/>
      <c r="INQ142" s="3"/>
      <c r="INR142" s="3"/>
      <c r="INS142" s="3"/>
      <c r="INT142" s="3"/>
      <c r="INU142" s="3"/>
      <c r="INV142" s="3"/>
      <c r="INW142" s="3"/>
      <c r="INX142" s="3"/>
      <c r="INY142" s="3"/>
      <c r="INZ142" s="3"/>
      <c r="IOA142" s="3"/>
      <c r="IOB142" s="3"/>
      <c r="IOC142" s="3"/>
      <c r="IOD142" s="3"/>
      <c r="IOE142" s="3"/>
      <c r="IOF142" s="3"/>
      <c r="IOG142" s="3"/>
      <c r="IOH142" s="3"/>
      <c r="IOI142" s="3"/>
      <c r="IOJ142" s="3"/>
      <c r="IOK142" s="3"/>
      <c r="IOL142" s="3"/>
      <c r="IOM142" s="3"/>
      <c r="ION142" s="3"/>
      <c r="IOO142" s="3"/>
      <c r="IOP142" s="3"/>
      <c r="IOQ142" s="3"/>
      <c r="IOR142" s="3"/>
      <c r="IOS142" s="3"/>
      <c r="IOT142" s="3"/>
      <c r="IOU142" s="3"/>
      <c r="IOV142" s="3"/>
      <c r="IOW142" s="3"/>
      <c r="IOX142" s="3"/>
      <c r="IOY142" s="3"/>
      <c r="IOZ142" s="3"/>
      <c r="IPA142" s="3"/>
      <c r="IPB142" s="3"/>
      <c r="IPC142" s="3"/>
      <c r="IPD142" s="3"/>
      <c r="IPE142" s="3"/>
      <c r="IPF142" s="3"/>
      <c r="IPG142" s="3"/>
      <c r="IPH142" s="3"/>
      <c r="IPI142" s="3"/>
      <c r="IPJ142" s="3"/>
      <c r="IPK142" s="3"/>
      <c r="IPL142" s="3"/>
      <c r="IPM142" s="3"/>
      <c r="IPN142" s="3"/>
      <c r="IPO142" s="3"/>
      <c r="IPP142" s="3"/>
      <c r="IPQ142" s="3"/>
      <c r="IPR142" s="3"/>
      <c r="IPS142" s="3"/>
      <c r="IPT142" s="3"/>
      <c r="IPU142" s="3"/>
      <c r="IPV142" s="3"/>
      <c r="IPW142" s="3"/>
      <c r="IPX142" s="3"/>
      <c r="IPY142" s="3"/>
      <c r="IPZ142" s="3"/>
      <c r="IQA142" s="3"/>
      <c r="IQB142" s="3"/>
      <c r="IQC142" s="3"/>
      <c r="IQD142" s="3"/>
      <c r="IQE142" s="3"/>
      <c r="IQF142" s="3"/>
      <c r="IQG142" s="3"/>
      <c r="IQH142" s="3"/>
      <c r="IQI142" s="3"/>
      <c r="IQJ142" s="3"/>
      <c r="IQK142" s="3"/>
      <c r="IQL142" s="3"/>
      <c r="IQM142" s="3"/>
      <c r="IQN142" s="3"/>
      <c r="IQO142" s="3"/>
      <c r="IQP142" s="3"/>
      <c r="IQQ142" s="3"/>
      <c r="IQR142" s="3"/>
      <c r="IQS142" s="3"/>
      <c r="IQT142" s="3"/>
      <c r="IQU142" s="3"/>
      <c r="IQV142" s="3"/>
      <c r="IQW142" s="3"/>
      <c r="IQX142" s="3"/>
      <c r="IQY142" s="3"/>
      <c r="IQZ142" s="3"/>
      <c r="IRA142" s="3"/>
      <c r="IRB142" s="3"/>
      <c r="IRC142" s="3"/>
      <c r="IRD142" s="3"/>
      <c r="IRE142" s="3"/>
      <c r="IRF142" s="3"/>
      <c r="IRG142" s="3"/>
      <c r="IRH142" s="3"/>
      <c r="IRI142" s="3"/>
      <c r="IRJ142" s="3"/>
      <c r="IRK142" s="3"/>
      <c r="IRL142" s="3"/>
      <c r="IRM142" s="3"/>
      <c r="IRN142" s="3"/>
      <c r="IRO142" s="3"/>
      <c r="IRP142" s="3"/>
      <c r="IRQ142" s="3"/>
      <c r="IRR142" s="3"/>
      <c r="IRS142" s="3"/>
      <c r="IRT142" s="3"/>
      <c r="IRU142" s="3"/>
      <c r="IRV142" s="3"/>
      <c r="IRW142" s="3"/>
      <c r="IRX142" s="3"/>
      <c r="IRY142" s="3"/>
      <c r="IRZ142" s="3"/>
      <c r="ISA142" s="3"/>
      <c r="ISB142" s="3"/>
      <c r="ISC142" s="3"/>
      <c r="ISD142" s="3"/>
      <c r="ISE142" s="3"/>
      <c r="ISF142" s="3"/>
      <c r="ISG142" s="3"/>
      <c r="ISH142" s="3"/>
      <c r="ISI142" s="3"/>
      <c r="ISJ142" s="3"/>
      <c r="ISK142" s="3"/>
      <c r="ISL142" s="3"/>
      <c r="ISM142" s="3"/>
      <c r="ISN142" s="3"/>
      <c r="ISO142" s="3"/>
      <c r="ISP142" s="3"/>
      <c r="ISQ142" s="3"/>
      <c r="ISR142" s="3"/>
      <c r="ISS142" s="3"/>
      <c r="IST142" s="3"/>
      <c r="ISU142" s="3"/>
      <c r="ISV142" s="3"/>
      <c r="ISW142" s="3"/>
      <c r="ISX142" s="3"/>
      <c r="ISY142" s="3"/>
      <c r="ISZ142" s="3"/>
      <c r="ITA142" s="3"/>
      <c r="ITB142" s="3"/>
      <c r="ITC142" s="3"/>
      <c r="ITD142" s="3"/>
      <c r="ITE142" s="3"/>
      <c r="ITF142" s="3"/>
      <c r="ITG142" s="3"/>
      <c r="ITH142" s="3"/>
      <c r="ITI142" s="3"/>
      <c r="ITJ142" s="3"/>
      <c r="ITK142" s="3"/>
      <c r="ITL142" s="3"/>
      <c r="ITM142" s="3"/>
      <c r="ITN142" s="3"/>
      <c r="ITO142" s="3"/>
      <c r="ITP142" s="3"/>
      <c r="ITQ142" s="3"/>
      <c r="ITR142" s="3"/>
      <c r="ITS142" s="3"/>
      <c r="ITT142" s="3"/>
      <c r="ITU142" s="3"/>
      <c r="ITV142" s="3"/>
      <c r="ITW142" s="3"/>
      <c r="ITX142" s="3"/>
      <c r="ITY142" s="3"/>
      <c r="ITZ142" s="3"/>
      <c r="IUA142" s="3"/>
      <c r="IUB142" s="3"/>
      <c r="IUC142" s="3"/>
      <c r="IUD142" s="3"/>
      <c r="IUE142" s="3"/>
      <c r="IUF142" s="3"/>
      <c r="IUG142" s="3"/>
      <c r="IUH142" s="3"/>
      <c r="IUI142" s="3"/>
      <c r="IUJ142" s="3"/>
      <c r="IUK142" s="3"/>
      <c r="IUL142" s="3"/>
      <c r="IUM142" s="3"/>
      <c r="IUN142" s="3"/>
      <c r="IUO142" s="3"/>
      <c r="IUP142" s="3"/>
      <c r="IUQ142" s="3"/>
      <c r="IUR142" s="3"/>
      <c r="IUS142" s="3"/>
      <c r="IUT142" s="3"/>
      <c r="IUU142" s="3"/>
      <c r="IUV142" s="3"/>
      <c r="IUW142" s="3"/>
      <c r="IUX142" s="3"/>
      <c r="IUY142" s="3"/>
      <c r="IUZ142" s="3"/>
      <c r="IVA142" s="3"/>
      <c r="IVB142" s="3"/>
      <c r="IVC142" s="3"/>
      <c r="IVD142" s="3"/>
      <c r="IVE142" s="3"/>
      <c r="IVF142" s="3"/>
      <c r="IVG142" s="3"/>
      <c r="IVH142" s="3"/>
      <c r="IVI142" s="3"/>
      <c r="IVJ142" s="3"/>
      <c r="IVK142" s="3"/>
      <c r="IVL142" s="3"/>
      <c r="IVM142" s="3"/>
      <c r="IVN142" s="3"/>
      <c r="IVO142" s="3"/>
      <c r="IVP142" s="3"/>
      <c r="IVQ142" s="3"/>
      <c r="IVR142" s="3"/>
      <c r="IVS142" s="3"/>
      <c r="IVT142" s="3"/>
      <c r="IVU142" s="3"/>
      <c r="IVV142" s="3"/>
      <c r="IVW142" s="3"/>
      <c r="IVX142" s="3"/>
      <c r="IVY142" s="3"/>
      <c r="IVZ142" s="3"/>
      <c r="IWA142" s="3"/>
      <c r="IWB142" s="3"/>
      <c r="IWC142" s="3"/>
      <c r="IWD142" s="3"/>
      <c r="IWE142" s="3"/>
      <c r="IWF142" s="3"/>
      <c r="IWG142" s="3"/>
      <c r="IWH142" s="3"/>
      <c r="IWI142" s="3"/>
      <c r="IWJ142" s="3"/>
      <c r="IWK142" s="3"/>
      <c r="IWL142" s="3"/>
      <c r="IWM142" s="3"/>
      <c r="IWN142" s="3"/>
      <c r="IWO142" s="3"/>
      <c r="IWP142" s="3"/>
      <c r="IWQ142" s="3"/>
      <c r="IWR142" s="3"/>
      <c r="IWS142" s="3"/>
      <c r="IWT142" s="3"/>
      <c r="IWU142" s="3"/>
      <c r="IWV142" s="3"/>
      <c r="IWW142" s="3"/>
      <c r="IWX142" s="3"/>
      <c r="IWY142" s="3"/>
      <c r="IWZ142" s="3"/>
      <c r="IXA142" s="3"/>
      <c r="IXB142" s="3"/>
      <c r="IXC142" s="3"/>
      <c r="IXD142" s="3"/>
      <c r="IXE142" s="3"/>
      <c r="IXF142" s="3"/>
      <c r="IXG142" s="3"/>
      <c r="IXH142" s="3"/>
      <c r="IXI142" s="3"/>
      <c r="IXJ142" s="3"/>
      <c r="IXK142" s="3"/>
      <c r="IXL142" s="3"/>
      <c r="IXM142" s="3"/>
      <c r="IXN142" s="3"/>
      <c r="IXO142" s="3"/>
      <c r="IXP142" s="3"/>
      <c r="IXQ142" s="3"/>
      <c r="IXR142" s="3"/>
      <c r="IXS142" s="3"/>
      <c r="IXT142" s="3"/>
      <c r="IXU142" s="3"/>
      <c r="IXV142" s="3"/>
      <c r="IXW142" s="3"/>
      <c r="IXX142" s="3"/>
      <c r="IXY142" s="3"/>
      <c r="IXZ142" s="3"/>
      <c r="IYA142" s="3"/>
      <c r="IYB142" s="3"/>
      <c r="IYC142" s="3"/>
      <c r="IYD142" s="3"/>
      <c r="IYE142" s="3"/>
      <c r="IYF142" s="3"/>
      <c r="IYG142" s="3"/>
      <c r="IYH142" s="3"/>
      <c r="IYI142" s="3"/>
      <c r="IYJ142" s="3"/>
      <c r="IYK142" s="3"/>
      <c r="IYL142" s="3"/>
      <c r="IYM142" s="3"/>
      <c r="IYN142" s="3"/>
      <c r="IYO142" s="3"/>
      <c r="IYP142" s="3"/>
      <c r="IYQ142" s="3"/>
      <c r="IYR142" s="3"/>
      <c r="IYS142" s="3"/>
      <c r="IYT142" s="3"/>
      <c r="IYU142" s="3"/>
      <c r="IYV142" s="3"/>
      <c r="IYW142" s="3"/>
      <c r="IYX142" s="3"/>
      <c r="IYY142" s="3"/>
      <c r="IYZ142" s="3"/>
      <c r="IZA142" s="3"/>
      <c r="IZB142" s="3"/>
      <c r="IZC142" s="3"/>
      <c r="IZD142" s="3"/>
      <c r="IZE142" s="3"/>
      <c r="IZF142" s="3"/>
      <c r="IZG142" s="3"/>
      <c r="IZH142" s="3"/>
      <c r="IZI142" s="3"/>
      <c r="IZJ142" s="3"/>
      <c r="IZK142" s="3"/>
      <c r="IZL142" s="3"/>
      <c r="IZM142" s="3"/>
      <c r="IZN142" s="3"/>
      <c r="IZO142" s="3"/>
      <c r="IZP142" s="3"/>
      <c r="IZQ142" s="3"/>
      <c r="IZR142" s="3"/>
      <c r="IZS142" s="3"/>
      <c r="IZT142" s="3"/>
      <c r="IZU142" s="3"/>
      <c r="IZV142" s="3"/>
      <c r="IZW142" s="3"/>
      <c r="IZX142" s="3"/>
      <c r="IZY142" s="3"/>
      <c r="IZZ142" s="3"/>
      <c r="JAA142" s="3"/>
      <c r="JAB142" s="3"/>
      <c r="JAC142" s="3"/>
      <c r="JAD142" s="3"/>
      <c r="JAE142" s="3"/>
      <c r="JAF142" s="3"/>
      <c r="JAG142" s="3"/>
      <c r="JAH142" s="3"/>
      <c r="JAI142" s="3"/>
      <c r="JAJ142" s="3"/>
      <c r="JAK142" s="3"/>
      <c r="JAL142" s="3"/>
      <c r="JAM142" s="3"/>
      <c r="JAN142" s="3"/>
      <c r="JAO142" s="3"/>
      <c r="JAP142" s="3"/>
      <c r="JAQ142" s="3"/>
      <c r="JAR142" s="3"/>
      <c r="JAS142" s="3"/>
      <c r="JAT142" s="3"/>
      <c r="JAU142" s="3"/>
      <c r="JAV142" s="3"/>
      <c r="JAW142" s="3"/>
      <c r="JAX142" s="3"/>
      <c r="JAY142" s="3"/>
      <c r="JAZ142" s="3"/>
      <c r="JBA142" s="3"/>
      <c r="JBB142" s="3"/>
      <c r="JBC142" s="3"/>
      <c r="JBD142" s="3"/>
      <c r="JBE142" s="3"/>
      <c r="JBF142" s="3"/>
      <c r="JBG142" s="3"/>
      <c r="JBH142" s="3"/>
      <c r="JBI142" s="3"/>
      <c r="JBJ142" s="3"/>
      <c r="JBK142" s="3"/>
      <c r="JBL142" s="3"/>
      <c r="JBM142" s="3"/>
      <c r="JBN142" s="3"/>
      <c r="JBO142" s="3"/>
      <c r="JBP142" s="3"/>
      <c r="JBQ142" s="3"/>
      <c r="JBR142" s="3"/>
      <c r="JBS142" s="3"/>
      <c r="JBT142" s="3"/>
      <c r="JBU142" s="3"/>
      <c r="JBV142" s="3"/>
      <c r="JBW142" s="3"/>
      <c r="JBX142" s="3"/>
      <c r="JBY142" s="3"/>
      <c r="JBZ142" s="3"/>
      <c r="JCA142" s="3"/>
      <c r="JCB142" s="3"/>
      <c r="JCC142" s="3"/>
      <c r="JCD142" s="3"/>
      <c r="JCE142" s="3"/>
      <c r="JCF142" s="3"/>
      <c r="JCG142" s="3"/>
      <c r="JCH142" s="3"/>
      <c r="JCI142" s="3"/>
      <c r="JCJ142" s="3"/>
      <c r="JCK142" s="3"/>
      <c r="JCL142" s="3"/>
      <c r="JCM142" s="3"/>
      <c r="JCN142" s="3"/>
      <c r="JCO142" s="3"/>
      <c r="JCP142" s="3"/>
      <c r="JCQ142" s="3"/>
      <c r="JCR142" s="3"/>
      <c r="JCS142" s="3"/>
      <c r="JCT142" s="3"/>
      <c r="JCU142" s="3"/>
      <c r="JCV142" s="3"/>
      <c r="JCW142" s="3"/>
      <c r="JCX142" s="3"/>
      <c r="JCY142" s="3"/>
      <c r="JCZ142" s="3"/>
      <c r="JDA142" s="3"/>
      <c r="JDB142" s="3"/>
      <c r="JDC142" s="3"/>
      <c r="JDD142" s="3"/>
      <c r="JDE142" s="3"/>
      <c r="JDF142" s="3"/>
      <c r="JDG142" s="3"/>
      <c r="JDH142" s="3"/>
      <c r="JDI142" s="3"/>
      <c r="JDJ142" s="3"/>
      <c r="JDK142" s="3"/>
      <c r="JDL142" s="3"/>
      <c r="JDM142" s="3"/>
      <c r="JDN142" s="3"/>
      <c r="JDO142" s="3"/>
      <c r="JDP142" s="3"/>
      <c r="JDQ142" s="3"/>
      <c r="JDR142" s="3"/>
      <c r="JDS142" s="3"/>
      <c r="JDT142" s="3"/>
      <c r="JDU142" s="3"/>
      <c r="JDV142" s="3"/>
      <c r="JDW142" s="3"/>
      <c r="JDX142" s="3"/>
      <c r="JDY142" s="3"/>
      <c r="JDZ142" s="3"/>
      <c r="JEA142" s="3"/>
      <c r="JEB142" s="3"/>
      <c r="JEC142" s="3"/>
      <c r="JED142" s="3"/>
      <c r="JEE142" s="3"/>
      <c r="JEF142" s="3"/>
      <c r="JEG142" s="3"/>
      <c r="JEH142" s="3"/>
      <c r="JEI142" s="3"/>
      <c r="JEJ142" s="3"/>
      <c r="JEK142" s="3"/>
      <c r="JEL142" s="3"/>
      <c r="JEM142" s="3"/>
      <c r="JEN142" s="3"/>
      <c r="JEO142" s="3"/>
      <c r="JEP142" s="3"/>
      <c r="JEQ142" s="3"/>
      <c r="JER142" s="3"/>
      <c r="JES142" s="3"/>
      <c r="JET142" s="3"/>
      <c r="JEU142" s="3"/>
      <c r="JEV142" s="3"/>
      <c r="JEW142" s="3"/>
      <c r="JEX142" s="3"/>
      <c r="JEY142" s="3"/>
      <c r="JEZ142" s="3"/>
      <c r="JFA142" s="3"/>
      <c r="JFB142" s="3"/>
      <c r="JFC142" s="3"/>
      <c r="JFD142" s="3"/>
      <c r="JFE142" s="3"/>
      <c r="JFF142" s="3"/>
      <c r="JFG142" s="3"/>
      <c r="JFH142" s="3"/>
      <c r="JFI142" s="3"/>
      <c r="JFJ142" s="3"/>
      <c r="JFK142" s="3"/>
      <c r="JFL142" s="3"/>
      <c r="JFM142" s="3"/>
      <c r="JFN142" s="3"/>
      <c r="JFO142" s="3"/>
      <c r="JFP142" s="3"/>
      <c r="JFQ142" s="3"/>
      <c r="JFR142" s="3"/>
      <c r="JFS142" s="3"/>
      <c r="JFT142" s="3"/>
      <c r="JFU142" s="3"/>
      <c r="JFV142" s="3"/>
      <c r="JFW142" s="3"/>
      <c r="JFX142" s="3"/>
      <c r="JFY142" s="3"/>
      <c r="JFZ142" s="3"/>
      <c r="JGA142" s="3"/>
      <c r="JGB142" s="3"/>
      <c r="JGC142" s="3"/>
      <c r="JGD142" s="3"/>
      <c r="JGE142" s="3"/>
      <c r="JGF142" s="3"/>
      <c r="JGG142" s="3"/>
      <c r="JGH142" s="3"/>
      <c r="JGI142" s="3"/>
      <c r="JGJ142" s="3"/>
      <c r="JGK142" s="3"/>
      <c r="JGL142" s="3"/>
      <c r="JGM142" s="3"/>
      <c r="JGN142" s="3"/>
      <c r="JGO142" s="3"/>
      <c r="JGP142" s="3"/>
      <c r="JGQ142" s="3"/>
      <c r="JGR142" s="3"/>
      <c r="JGS142" s="3"/>
      <c r="JGT142" s="3"/>
      <c r="JGU142" s="3"/>
      <c r="JGV142" s="3"/>
      <c r="JGW142" s="3"/>
      <c r="JGX142" s="3"/>
      <c r="JGY142" s="3"/>
      <c r="JGZ142" s="3"/>
      <c r="JHA142" s="3"/>
      <c r="JHB142" s="3"/>
      <c r="JHC142" s="3"/>
      <c r="JHD142" s="3"/>
      <c r="JHE142" s="3"/>
      <c r="JHF142" s="3"/>
      <c r="JHG142" s="3"/>
      <c r="JHH142" s="3"/>
      <c r="JHI142" s="3"/>
      <c r="JHJ142" s="3"/>
      <c r="JHK142" s="3"/>
      <c r="JHL142" s="3"/>
      <c r="JHM142" s="3"/>
      <c r="JHN142" s="3"/>
      <c r="JHO142" s="3"/>
      <c r="JHP142" s="3"/>
      <c r="JHQ142" s="3"/>
      <c r="JHR142" s="3"/>
      <c r="JHS142" s="3"/>
      <c r="JHT142" s="3"/>
      <c r="JHU142" s="3"/>
      <c r="JHV142" s="3"/>
      <c r="JHW142" s="3"/>
      <c r="JHX142" s="3"/>
      <c r="JHY142" s="3"/>
      <c r="JHZ142" s="3"/>
      <c r="JIA142" s="3"/>
      <c r="JIB142" s="3"/>
      <c r="JIC142" s="3"/>
      <c r="JID142" s="3"/>
      <c r="JIE142" s="3"/>
      <c r="JIF142" s="3"/>
      <c r="JIG142" s="3"/>
      <c r="JIH142" s="3"/>
      <c r="JII142" s="3"/>
      <c r="JIJ142" s="3"/>
      <c r="JIK142" s="3"/>
      <c r="JIL142" s="3"/>
      <c r="JIM142" s="3"/>
      <c r="JIN142" s="3"/>
      <c r="JIO142" s="3"/>
      <c r="JIP142" s="3"/>
      <c r="JIQ142" s="3"/>
      <c r="JIR142" s="3"/>
      <c r="JIS142" s="3"/>
      <c r="JIT142" s="3"/>
      <c r="JIU142" s="3"/>
      <c r="JIV142" s="3"/>
      <c r="JIW142" s="3"/>
      <c r="JIX142" s="3"/>
      <c r="JIY142" s="3"/>
      <c r="JIZ142" s="3"/>
      <c r="JJA142" s="3"/>
      <c r="JJB142" s="3"/>
      <c r="JJC142" s="3"/>
      <c r="JJD142" s="3"/>
      <c r="JJE142" s="3"/>
      <c r="JJF142" s="3"/>
      <c r="JJG142" s="3"/>
      <c r="JJH142" s="3"/>
      <c r="JJI142" s="3"/>
      <c r="JJJ142" s="3"/>
      <c r="JJK142" s="3"/>
      <c r="JJL142" s="3"/>
      <c r="JJM142" s="3"/>
      <c r="JJN142" s="3"/>
      <c r="JJO142" s="3"/>
      <c r="JJP142" s="3"/>
      <c r="JJQ142" s="3"/>
      <c r="JJR142" s="3"/>
      <c r="JJS142" s="3"/>
      <c r="JJT142" s="3"/>
      <c r="JJU142" s="3"/>
      <c r="JJV142" s="3"/>
      <c r="JJW142" s="3"/>
      <c r="JJX142" s="3"/>
      <c r="JJY142" s="3"/>
      <c r="JJZ142" s="3"/>
      <c r="JKA142" s="3"/>
      <c r="JKB142" s="3"/>
      <c r="JKC142" s="3"/>
      <c r="JKD142" s="3"/>
      <c r="JKE142" s="3"/>
      <c r="JKF142" s="3"/>
      <c r="JKG142" s="3"/>
      <c r="JKH142" s="3"/>
      <c r="JKI142" s="3"/>
      <c r="JKJ142" s="3"/>
      <c r="JKK142" s="3"/>
      <c r="JKL142" s="3"/>
      <c r="JKM142" s="3"/>
      <c r="JKN142" s="3"/>
      <c r="JKO142" s="3"/>
      <c r="JKP142" s="3"/>
      <c r="JKQ142" s="3"/>
      <c r="JKR142" s="3"/>
      <c r="JKS142" s="3"/>
      <c r="JKT142" s="3"/>
      <c r="JKU142" s="3"/>
      <c r="JKV142" s="3"/>
      <c r="JKW142" s="3"/>
      <c r="JKX142" s="3"/>
      <c r="JKY142" s="3"/>
      <c r="JKZ142" s="3"/>
      <c r="JLA142" s="3"/>
      <c r="JLB142" s="3"/>
      <c r="JLC142" s="3"/>
      <c r="JLD142" s="3"/>
      <c r="JLE142" s="3"/>
      <c r="JLF142" s="3"/>
      <c r="JLG142" s="3"/>
      <c r="JLH142" s="3"/>
      <c r="JLI142" s="3"/>
      <c r="JLJ142" s="3"/>
      <c r="JLK142" s="3"/>
      <c r="JLL142" s="3"/>
      <c r="JLM142" s="3"/>
      <c r="JLN142" s="3"/>
      <c r="JLO142" s="3"/>
      <c r="JLP142" s="3"/>
      <c r="JLQ142" s="3"/>
      <c r="JLR142" s="3"/>
      <c r="JLS142" s="3"/>
      <c r="JLT142" s="3"/>
      <c r="JLU142" s="3"/>
      <c r="JLV142" s="3"/>
      <c r="JLW142" s="3"/>
      <c r="JLX142" s="3"/>
      <c r="JLY142" s="3"/>
      <c r="JLZ142" s="3"/>
      <c r="JMA142" s="3"/>
      <c r="JMB142" s="3"/>
      <c r="JMC142" s="3"/>
      <c r="JMD142" s="3"/>
      <c r="JME142" s="3"/>
      <c r="JMF142" s="3"/>
      <c r="JMG142" s="3"/>
      <c r="JMH142" s="3"/>
      <c r="JMI142" s="3"/>
      <c r="JMJ142" s="3"/>
      <c r="JMK142" s="3"/>
      <c r="JML142" s="3"/>
      <c r="JMM142" s="3"/>
      <c r="JMN142" s="3"/>
      <c r="JMO142" s="3"/>
      <c r="JMP142" s="3"/>
      <c r="JMQ142" s="3"/>
      <c r="JMR142" s="3"/>
      <c r="JMS142" s="3"/>
      <c r="JMT142" s="3"/>
      <c r="JMU142" s="3"/>
      <c r="JMV142" s="3"/>
      <c r="JMW142" s="3"/>
      <c r="JMX142" s="3"/>
      <c r="JMY142" s="3"/>
      <c r="JMZ142" s="3"/>
      <c r="JNA142" s="3"/>
      <c r="JNB142" s="3"/>
      <c r="JNC142" s="3"/>
      <c r="JND142" s="3"/>
      <c r="JNE142" s="3"/>
      <c r="JNF142" s="3"/>
      <c r="JNG142" s="3"/>
      <c r="JNH142" s="3"/>
      <c r="JNI142" s="3"/>
      <c r="JNJ142" s="3"/>
      <c r="JNK142" s="3"/>
      <c r="JNL142" s="3"/>
      <c r="JNM142" s="3"/>
      <c r="JNN142" s="3"/>
      <c r="JNO142" s="3"/>
      <c r="JNP142" s="3"/>
      <c r="JNQ142" s="3"/>
      <c r="JNR142" s="3"/>
      <c r="JNS142" s="3"/>
      <c r="JNT142" s="3"/>
      <c r="JNU142" s="3"/>
      <c r="JNV142" s="3"/>
      <c r="JNW142" s="3"/>
      <c r="JNX142" s="3"/>
      <c r="JNY142" s="3"/>
      <c r="JNZ142" s="3"/>
      <c r="JOA142" s="3"/>
      <c r="JOB142" s="3"/>
      <c r="JOC142" s="3"/>
      <c r="JOD142" s="3"/>
      <c r="JOE142" s="3"/>
      <c r="JOF142" s="3"/>
      <c r="JOG142" s="3"/>
      <c r="JOH142" s="3"/>
      <c r="JOI142" s="3"/>
      <c r="JOJ142" s="3"/>
      <c r="JOK142" s="3"/>
      <c r="JOL142" s="3"/>
      <c r="JOM142" s="3"/>
      <c r="JON142" s="3"/>
      <c r="JOO142" s="3"/>
      <c r="JOP142" s="3"/>
      <c r="JOQ142" s="3"/>
      <c r="JOR142" s="3"/>
      <c r="JOS142" s="3"/>
      <c r="JOT142" s="3"/>
      <c r="JOU142" s="3"/>
      <c r="JOV142" s="3"/>
      <c r="JOW142" s="3"/>
      <c r="JOX142" s="3"/>
      <c r="JOY142" s="3"/>
      <c r="JOZ142" s="3"/>
      <c r="JPA142" s="3"/>
      <c r="JPB142" s="3"/>
      <c r="JPC142" s="3"/>
      <c r="JPD142" s="3"/>
      <c r="JPE142" s="3"/>
      <c r="JPF142" s="3"/>
      <c r="JPG142" s="3"/>
      <c r="JPH142" s="3"/>
      <c r="JPI142" s="3"/>
      <c r="JPJ142" s="3"/>
      <c r="JPK142" s="3"/>
      <c r="JPL142" s="3"/>
      <c r="JPM142" s="3"/>
      <c r="JPN142" s="3"/>
      <c r="JPO142" s="3"/>
      <c r="JPP142" s="3"/>
      <c r="JPQ142" s="3"/>
      <c r="JPR142" s="3"/>
      <c r="JPS142" s="3"/>
      <c r="JPT142" s="3"/>
      <c r="JPU142" s="3"/>
      <c r="JPV142" s="3"/>
      <c r="JPW142" s="3"/>
      <c r="JPX142" s="3"/>
      <c r="JPY142" s="3"/>
      <c r="JPZ142" s="3"/>
      <c r="JQA142" s="3"/>
      <c r="JQB142" s="3"/>
      <c r="JQC142" s="3"/>
      <c r="JQD142" s="3"/>
      <c r="JQE142" s="3"/>
      <c r="JQF142" s="3"/>
      <c r="JQG142" s="3"/>
      <c r="JQH142" s="3"/>
      <c r="JQI142" s="3"/>
      <c r="JQJ142" s="3"/>
      <c r="JQK142" s="3"/>
      <c r="JQL142" s="3"/>
      <c r="JQM142" s="3"/>
      <c r="JQN142" s="3"/>
      <c r="JQO142" s="3"/>
      <c r="JQP142" s="3"/>
      <c r="JQQ142" s="3"/>
      <c r="JQR142" s="3"/>
      <c r="JQS142" s="3"/>
      <c r="JQT142" s="3"/>
      <c r="JQU142" s="3"/>
      <c r="JQV142" s="3"/>
      <c r="JQW142" s="3"/>
      <c r="JQX142" s="3"/>
      <c r="JQY142" s="3"/>
      <c r="JQZ142" s="3"/>
      <c r="JRA142" s="3"/>
      <c r="JRB142" s="3"/>
      <c r="JRC142" s="3"/>
      <c r="JRD142" s="3"/>
      <c r="JRE142" s="3"/>
      <c r="JRF142" s="3"/>
      <c r="JRG142" s="3"/>
      <c r="JRH142" s="3"/>
      <c r="JRI142" s="3"/>
      <c r="JRJ142" s="3"/>
      <c r="JRK142" s="3"/>
      <c r="JRL142" s="3"/>
      <c r="JRM142" s="3"/>
      <c r="JRN142" s="3"/>
      <c r="JRO142" s="3"/>
      <c r="JRP142" s="3"/>
      <c r="JRQ142" s="3"/>
      <c r="JRR142" s="3"/>
      <c r="JRS142" s="3"/>
      <c r="JRT142" s="3"/>
      <c r="JRU142" s="3"/>
      <c r="JRV142" s="3"/>
      <c r="JRW142" s="3"/>
      <c r="JRX142" s="3"/>
      <c r="JRY142" s="3"/>
      <c r="JRZ142" s="3"/>
      <c r="JSA142" s="3"/>
      <c r="JSB142" s="3"/>
      <c r="JSC142" s="3"/>
      <c r="JSD142" s="3"/>
      <c r="JSE142" s="3"/>
      <c r="JSF142" s="3"/>
      <c r="JSG142" s="3"/>
      <c r="JSH142" s="3"/>
      <c r="JSI142" s="3"/>
      <c r="JSJ142" s="3"/>
      <c r="JSK142" s="3"/>
      <c r="JSL142" s="3"/>
      <c r="JSM142" s="3"/>
      <c r="JSN142" s="3"/>
      <c r="JSO142" s="3"/>
      <c r="JSP142" s="3"/>
      <c r="JSQ142" s="3"/>
      <c r="JSR142" s="3"/>
      <c r="JSS142" s="3"/>
      <c r="JST142" s="3"/>
      <c r="JSU142" s="3"/>
      <c r="JSV142" s="3"/>
      <c r="JSW142" s="3"/>
      <c r="JSX142" s="3"/>
      <c r="JSY142" s="3"/>
      <c r="JSZ142" s="3"/>
      <c r="JTA142" s="3"/>
      <c r="JTB142" s="3"/>
      <c r="JTC142" s="3"/>
      <c r="JTD142" s="3"/>
      <c r="JTE142" s="3"/>
      <c r="JTF142" s="3"/>
      <c r="JTG142" s="3"/>
      <c r="JTH142" s="3"/>
      <c r="JTI142" s="3"/>
      <c r="JTJ142" s="3"/>
      <c r="JTK142" s="3"/>
      <c r="JTL142" s="3"/>
      <c r="JTM142" s="3"/>
      <c r="JTN142" s="3"/>
      <c r="JTO142" s="3"/>
      <c r="JTP142" s="3"/>
      <c r="JTQ142" s="3"/>
      <c r="JTR142" s="3"/>
      <c r="JTS142" s="3"/>
      <c r="JTT142" s="3"/>
      <c r="JTU142" s="3"/>
      <c r="JTV142" s="3"/>
      <c r="JTW142" s="3"/>
      <c r="JTX142" s="3"/>
      <c r="JTY142" s="3"/>
      <c r="JTZ142" s="3"/>
      <c r="JUA142" s="3"/>
      <c r="JUB142" s="3"/>
      <c r="JUC142" s="3"/>
      <c r="JUD142" s="3"/>
      <c r="JUE142" s="3"/>
      <c r="JUF142" s="3"/>
      <c r="JUG142" s="3"/>
      <c r="JUH142" s="3"/>
      <c r="JUI142" s="3"/>
      <c r="JUJ142" s="3"/>
      <c r="JUK142" s="3"/>
      <c r="JUL142" s="3"/>
      <c r="JUM142" s="3"/>
      <c r="JUN142" s="3"/>
      <c r="JUO142" s="3"/>
      <c r="JUP142" s="3"/>
      <c r="JUQ142" s="3"/>
      <c r="JUR142" s="3"/>
      <c r="JUS142" s="3"/>
      <c r="JUT142" s="3"/>
      <c r="JUU142" s="3"/>
      <c r="JUV142" s="3"/>
      <c r="JUW142" s="3"/>
      <c r="JUX142" s="3"/>
      <c r="JUY142" s="3"/>
      <c r="JUZ142" s="3"/>
      <c r="JVA142" s="3"/>
      <c r="JVB142" s="3"/>
      <c r="JVC142" s="3"/>
      <c r="JVD142" s="3"/>
      <c r="JVE142" s="3"/>
      <c r="JVF142" s="3"/>
      <c r="JVG142" s="3"/>
      <c r="JVH142" s="3"/>
      <c r="JVI142" s="3"/>
      <c r="JVJ142" s="3"/>
      <c r="JVK142" s="3"/>
      <c r="JVL142" s="3"/>
      <c r="JVM142" s="3"/>
      <c r="JVN142" s="3"/>
      <c r="JVO142" s="3"/>
      <c r="JVP142" s="3"/>
      <c r="JVQ142" s="3"/>
      <c r="JVR142" s="3"/>
      <c r="JVS142" s="3"/>
      <c r="JVT142" s="3"/>
      <c r="JVU142" s="3"/>
      <c r="JVV142" s="3"/>
      <c r="JVW142" s="3"/>
      <c r="JVX142" s="3"/>
      <c r="JVY142" s="3"/>
      <c r="JVZ142" s="3"/>
      <c r="JWA142" s="3"/>
      <c r="JWB142" s="3"/>
      <c r="JWC142" s="3"/>
      <c r="JWD142" s="3"/>
      <c r="JWE142" s="3"/>
      <c r="JWF142" s="3"/>
      <c r="JWG142" s="3"/>
      <c r="JWH142" s="3"/>
      <c r="JWI142" s="3"/>
      <c r="JWJ142" s="3"/>
      <c r="JWK142" s="3"/>
      <c r="JWL142" s="3"/>
      <c r="JWM142" s="3"/>
      <c r="JWN142" s="3"/>
      <c r="JWO142" s="3"/>
      <c r="JWP142" s="3"/>
      <c r="JWQ142" s="3"/>
      <c r="JWR142" s="3"/>
      <c r="JWS142" s="3"/>
      <c r="JWT142" s="3"/>
      <c r="JWU142" s="3"/>
      <c r="JWV142" s="3"/>
      <c r="JWW142" s="3"/>
      <c r="JWX142" s="3"/>
      <c r="JWY142" s="3"/>
      <c r="JWZ142" s="3"/>
      <c r="JXA142" s="3"/>
      <c r="JXB142" s="3"/>
      <c r="JXC142" s="3"/>
      <c r="JXD142" s="3"/>
      <c r="JXE142" s="3"/>
      <c r="JXF142" s="3"/>
      <c r="JXG142" s="3"/>
      <c r="JXH142" s="3"/>
      <c r="JXI142" s="3"/>
      <c r="JXJ142" s="3"/>
      <c r="JXK142" s="3"/>
      <c r="JXL142" s="3"/>
      <c r="JXM142" s="3"/>
      <c r="JXN142" s="3"/>
      <c r="JXO142" s="3"/>
      <c r="JXP142" s="3"/>
      <c r="JXQ142" s="3"/>
      <c r="JXR142" s="3"/>
      <c r="JXS142" s="3"/>
      <c r="JXT142" s="3"/>
      <c r="JXU142" s="3"/>
      <c r="JXV142" s="3"/>
      <c r="JXW142" s="3"/>
      <c r="JXX142" s="3"/>
      <c r="JXY142" s="3"/>
      <c r="JXZ142" s="3"/>
      <c r="JYA142" s="3"/>
      <c r="JYB142" s="3"/>
      <c r="JYC142" s="3"/>
      <c r="JYD142" s="3"/>
      <c r="JYE142" s="3"/>
      <c r="JYF142" s="3"/>
      <c r="JYG142" s="3"/>
      <c r="JYH142" s="3"/>
      <c r="JYI142" s="3"/>
      <c r="JYJ142" s="3"/>
      <c r="JYK142" s="3"/>
      <c r="JYL142" s="3"/>
      <c r="JYM142" s="3"/>
      <c r="JYN142" s="3"/>
      <c r="JYO142" s="3"/>
      <c r="JYP142" s="3"/>
      <c r="JYQ142" s="3"/>
      <c r="JYR142" s="3"/>
      <c r="JYS142" s="3"/>
      <c r="JYT142" s="3"/>
      <c r="JYU142" s="3"/>
      <c r="JYV142" s="3"/>
      <c r="JYW142" s="3"/>
      <c r="JYX142" s="3"/>
      <c r="JYY142" s="3"/>
      <c r="JYZ142" s="3"/>
      <c r="JZA142" s="3"/>
      <c r="JZB142" s="3"/>
      <c r="JZC142" s="3"/>
      <c r="JZD142" s="3"/>
      <c r="JZE142" s="3"/>
      <c r="JZF142" s="3"/>
      <c r="JZG142" s="3"/>
      <c r="JZH142" s="3"/>
      <c r="JZI142" s="3"/>
      <c r="JZJ142" s="3"/>
      <c r="JZK142" s="3"/>
      <c r="JZL142" s="3"/>
      <c r="JZM142" s="3"/>
      <c r="JZN142" s="3"/>
      <c r="JZO142" s="3"/>
      <c r="JZP142" s="3"/>
      <c r="JZQ142" s="3"/>
      <c r="JZR142" s="3"/>
      <c r="JZS142" s="3"/>
      <c r="JZT142" s="3"/>
      <c r="JZU142" s="3"/>
      <c r="JZV142" s="3"/>
      <c r="JZW142" s="3"/>
      <c r="JZX142" s="3"/>
      <c r="JZY142" s="3"/>
      <c r="JZZ142" s="3"/>
      <c r="KAA142" s="3"/>
      <c r="KAB142" s="3"/>
      <c r="KAC142" s="3"/>
      <c r="KAD142" s="3"/>
      <c r="KAE142" s="3"/>
      <c r="KAF142" s="3"/>
      <c r="KAG142" s="3"/>
      <c r="KAH142" s="3"/>
      <c r="KAI142" s="3"/>
      <c r="KAJ142" s="3"/>
      <c r="KAK142" s="3"/>
      <c r="KAL142" s="3"/>
      <c r="KAM142" s="3"/>
      <c r="KAN142" s="3"/>
      <c r="KAO142" s="3"/>
      <c r="KAP142" s="3"/>
      <c r="KAQ142" s="3"/>
      <c r="KAR142" s="3"/>
      <c r="KAS142" s="3"/>
      <c r="KAT142" s="3"/>
      <c r="KAU142" s="3"/>
      <c r="KAV142" s="3"/>
      <c r="KAW142" s="3"/>
      <c r="KAX142" s="3"/>
      <c r="KAY142" s="3"/>
      <c r="KAZ142" s="3"/>
      <c r="KBA142" s="3"/>
      <c r="KBB142" s="3"/>
      <c r="KBC142" s="3"/>
      <c r="KBD142" s="3"/>
      <c r="KBE142" s="3"/>
      <c r="KBF142" s="3"/>
      <c r="KBG142" s="3"/>
      <c r="KBH142" s="3"/>
      <c r="KBI142" s="3"/>
      <c r="KBJ142" s="3"/>
      <c r="KBK142" s="3"/>
      <c r="KBL142" s="3"/>
      <c r="KBM142" s="3"/>
      <c r="KBN142" s="3"/>
      <c r="KBO142" s="3"/>
      <c r="KBP142" s="3"/>
      <c r="KBQ142" s="3"/>
      <c r="KBR142" s="3"/>
      <c r="KBS142" s="3"/>
      <c r="KBT142" s="3"/>
      <c r="KBU142" s="3"/>
      <c r="KBV142" s="3"/>
      <c r="KBW142" s="3"/>
      <c r="KBX142" s="3"/>
      <c r="KBY142" s="3"/>
      <c r="KBZ142" s="3"/>
      <c r="KCA142" s="3"/>
      <c r="KCB142" s="3"/>
      <c r="KCC142" s="3"/>
      <c r="KCD142" s="3"/>
      <c r="KCE142" s="3"/>
      <c r="KCF142" s="3"/>
      <c r="KCG142" s="3"/>
      <c r="KCH142" s="3"/>
      <c r="KCI142" s="3"/>
      <c r="KCJ142" s="3"/>
      <c r="KCK142" s="3"/>
      <c r="KCL142" s="3"/>
      <c r="KCM142" s="3"/>
      <c r="KCN142" s="3"/>
      <c r="KCO142" s="3"/>
      <c r="KCP142" s="3"/>
      <c r="KCQ142" s="3"/>
      <c r="KCR142" s="3"/>
      <c r="KCS142" s="3"/>
      <c r="KCT142" s="3"/>
      <c r="KCU142" s="3"/>
      <c r="KCV142" s="3"/>
      <c r="KCW142" s="3"/>
      <c r="KCX142" s="3"/>
      <c r="KCY142" s="3"/>
      <c r="KCZ142" s="3"/>
      <c r="KDA142" s="3"/>
      <c r="KDB142" s="3"/>
      <c r="KDC142" s="3"/>
      <c r="KDD142" s="3"/>
      <c r="KDE142" s="3"/>
      <c r="KDF142" s="3"/>
      <c r="KDG142" s="3"/>
      <c r="KDH142" s="3"/>
      <c r="KDI142" s="3"/>
      <c r="KDJ142" s="3"/>
      <c r="KDK142" s="3"/>
      <c r="KDL142" s="3"/>
      <c r="KDM142" s="3"/>
      <c r="KDN142" s="3"/>
      <c r="KDO142" s="3"/>
      <c r="KDP142" s="3"/>
      <c r="KDQ142" s="3"/>
      <c r="KDR142" s="3"/>
      <c r="KDS142" s="3"/>
      <c r="KDT142" s="3"/>
      <c r="KDU142" s="3"/>
      <c r="KDV142" s="3"/>
      <c r="KDW142" s="3"/>
      <c r="KDX142" s="3"/>
      <c r="KDY142" s="3"/>
      <c r="KDZ142" s="3"/>
      <c r="KEA142" s="3"/>
      <c r="KEB142" s="3"/>
      <c r="KEC142" s="3"/>
      <c r="KED142" s="3"/>
      <c r="KEE142" s="3"/>
      <c r="KEF142" s="3"/>
      <c r="KEG142" s="3"/>
      <c r="KEH142" s="3"/>
      <c r="KEI142" s="3"/>
      <c r="KEJ142" s="3"/>
      <c r="KEK142" s="3"/>
      <c r="KEL142" s="3"/>
      <c r="KEM142" s="3"/>
      <c r="KEN142" s="3"/>
      <c r="KEO142" s="3"/>
      <c r="KEP142" s="3"/>
      <c r="KEQ142" s="3"/>
      <c r="KER142" s="3"/>
      <c r="KES142" s="3"/>
      <c r="KET142" s="3"/>
      <c r="KEU142" s="3"/>
      <c r="KEV142" s="3"/>
      <c r="KEW142" s="3"/>
      <c r="KEX142" s="3"/>
      <c r="KEY142" s="3"/>
      <c r="KEZ142" s="3"/>
      <c r="KFA142" s="3"/>
      <c r="KFB142" s="3"/>
      <c r="KFC142" s="3"/>
      <c r="KFD142" s="3"/>
      <c r="KFE142" s="3"/>
      <c r="KFF142" s="3"/>
      <c r="KFG142" s="3"/>
      <c r="KFH142" s="3"/>
      <c r="KFI142" s="3"/>
      <c r="KFJ142" s="3"/>
      <c r="KFK142" s="3"/>
      <c r="KFL142" s="3"/>
      <c r="KFM142" s="3"/>
      <c r="KFN142" s="3"/>
      <c r="KFO142" s="3"/>
      <c r="KFP142" s="3"/>
      <c r="KFQ142" s="3"/>
      <c r="KFR142" s="3"/>
      <c r="KFS142" s="3"/>
      <c r="KFT142" s="3"/>
      <c r="KFU142" s="3"/>
      <c r="KFV142" s="3"/>
      <c r="KFW142" s="3"/>
      <c r="KFX142" s="3"/>
      <c r="KFY142" s="3"/>
      <c r="KFZ142" s="3"/>
      <c r="KGA142" s="3"/>
      <c r="KGB142" s="3"/>
      <c r="KGC142" s="3"/>
      <c r="KGD142" s="3"/>
      <c r="KGE142" s="3"/>
      <c r="KGF142" s="3"/>
      <c r="KGG142" s="3"/>
      <c r="KGH142" s="3"/>
      <c r="KGI142" s="3"/>
      <c r="KGJ142" s="3"/>
      <c r="KGK142" s="3"/>
      <c r="KGL142" s="3"/>
      <c r="KGM142" s="3"/>
      <c r="KGN142" s="3"/>
      <c r="KGO142" s="3"/>
      <c r="KGP142" s="3"/>
      <c r="KGQ142" s="3"/>
      <c r="KGR142" s="3"/>
      <c r="KGS142" s="3"/>
      <c r="KGT142" s="3"/>
      <c r="KGU142" s="3"/>
      <c r="KGV142" s="3"/>
      <c r="KGW142" s="3"/>
      <c r="KGX142" s="3"/>
      <c r="KGY142" s="3"/>
      <c r="KGZ142" s="3"/>
      <c r="KHA142" s="3"/>
      <c r="KHB142" s="3"/>
      <c r="KHC142" s="3"/>
      <c r="KHD142" s="3"/>
      <c r="KHE142" s="3"/>
      <c r="KHF142" s="3"/>
      <c r="KHG142" s="3"/>
      <c r="KHH142" s="3"/>
      <c r="KHI142" s="3"/>
      <c r="KHJ142" s="3"/>
      <c r="KHK142" s="3"/>
      <c r="KHL142" s="3"/>
      <c r="KHM142" s="3"/>
      <c r="KHN142" s="3"/>
      <c r="KHO142" s="3"/>
      <c r="KHP142" s="3"/>
      <c r="KHQ142" s="3"/>
      <c r="KHR142" s="3"/>
      <c r="KHS142" s="3"/>
      <c r="KHT142" s="3"/>
      <c r="KHU142" s="3"/>
      <c r="KHV142" s="3"/>
      <c r="KHW142" s="3"/>
      <c r="KHX142" s="3"/>
      <c r="KHY142" s="3"/>
      <c r="KHZ142" s="3"/>
      <c r="KIA142" s="3"/>
      <c r="KIB142" s="3"/>
      <c r="KIC142" s="3"/>
      <c r="KID142" s="3"/>
      <c r="KIE142" s="3"/>
      <c r="KIF142" s="3"/>
      <c r="KIG142" s="3"/>
      <c r="KIH142" s="3"/>
      <c r="KII142" s="3"/>
      <c r="KIJ142" s="3"/>
      <c r="KIK142" s="3"/>
      <c r="KIL142" s="3"/>
      <c r="KIM142" s="3"/>
      <c r="KIN142" s="3"/>
      <c r="KIO142" s="3"/>
      <c r="KIP142" s="3"/>
      <c r="KIQ142" s="3"/>
      <c r="KIR142" s="3"/>
      <c r="KIS142" s="3"/>
      <c r="KIT142" s="3"/>
      <c r="KIU142" s="3"/>
      <c r="KIV142" s="3"/>
      <c r="KIW142" s="3"/>
      <c r="KIX142" s="3"/>
      <c r="KIY142" s="3"/>
      <c r="KIZ142" s="3"/>
      <c r="KJA142" s="3"/>
      <c r="KJB142" s="3"/>
      <c r="KJC142" s="3"/>
      <c r="KJD142" s="3"/>
      <c r="KJE142" s="3"/>
      <c r="KJF142" s="3"/>
      <c r="KJG142" s="3"/>
      <c r="KJH142" s="3"/>
      <c r="KJI142" s="3"/>
      <c r="KJJ142" s="3"/>
      <c r="KJK142" s="3"/>
      <c r="KJL142" s="3"/>
      <c r="KJM142" s="3"/>
      <c r="KJN142" s="3"/>
      <c r="KJO142" s="3"/>
      <c r="KJP142" s="3"/>
      <c r="KJQ142" s="3"/>
      <c r="KJR142" s="3"/>
      <c r="KJS142" s="3"/>
      <c r="KJT142" s="3"/>
      <c r="KJU142" s="3"/>
      <c r="KJV142" s="3"/>
      <c r="KJW142" s="3"/>
      <c r="KJX142" s="3"/>
      <c r="KJY142" s="3"/>
      <c r="KJZ142" s="3"/>
      <c r="KKA142" s="3"/>
      <c r="KKB142" s="3"/>
      <c r="KKC142" s="3"/>
      <c r="KKD142" s="3"/>
      <c r="KKE142" s="3"/>
      <c r="KKF142" s="3"/>
      <c r="KKG142" s="3"/>
      <c r="KKH142" s="3"/>
      <c r="KKI142" s="3"/>
      <c r="KKJ142" s="3"/>
      <c r="KKK142" s="3"/>
      <c r="KKL142" s="3"/>
      <c r="KKM142" s="3"/>
      <c r="KKN142" s="3"/>
      <c r="KKO142" s="3"/>
      <c r="KKP142" s="3"/>
      <c r="KKQ142" s="3"/>
      <c r="KKR142" s="3"/>
      <c r="KKS142" s="3"/>
      <c r="KKT142" s="3"/>
      <c r="KKU142" s="3"/>
      <c r="KKV142" s="3"/>
      <c r="KKW142" s="3"/>
      <c r="KKX142" s="3"/>
      <c r="KKY142" s="3"/>
      <c r="KKZ142" s="3"/>
      <c r="KLA142" s="3"/>
      <c r="KLB142" s="3"/>
      <c r="KLC142" s="3"/>
      <c r="KLD142" s="3"/>
      <c r="KLE142" s="3"/>
      <c r="KLF142" s="3"/>
      <c r="KLG142" s="3"/>
      <c r="KLH142" s="3"/>
      <c r="KLI142" s="3"/>
      <c r="KLJ142" s="3"/>
      <c r="KLK142" s="3"/>
      <c r="KLL142" s="3"/>
      <c r="KLM142" s="3"/>
      <c r="KLN142" s="3"/>
      <c r="KLO142" s="3"/>
      <c r="KLP142" s="3"/>
      <c r="KLQ142" s="3"/>
      <c r="KLR142" s="3"/>
      <c r="KLS142" s="3"/>
      <c r="KLT142" s="3"/>
      <c r="KLU142" s="3"/>
      <c r="KLV142" s="3"/>
      <c r="KLW142" s="3"/>
      <c r="KLX142" s="3"/>
      <c r="KLY142" s="3"/>
      <c r="KLZ142" s="3"/>
      <c r="KMA142" s="3"/>
      <c r="KMB142" s="3"/>
      <c r="KMC142" s="3"/>
      <c r="KMD142" s="3"/>
      <c r="KME142" s="3"/>
      <c r="KMF142" s="3"/>
      <c r="KMG142" s="3"/>
      <c r="KMH142" s="3"/>
      <c r="KMI142" s="3"/>
      <c r="KMJ142" s="3"/>
      <c r="KMK142" s="3"/>
      <c r="KML142" s="3"/>
      <c r="KMM142" s="3"/>
      <c r="KMN142" s="3"/>
      <c r="KMO142" s="3"/>
      <c r="KMP142" s="3"/>
      <c r="KMQ142" s="3"/>
      <c r="KMR142" s="3"/>
      <c r="KMS142" s="3"/>
      <c r="KMT142" s="3"/>
      <c r="KMU142" s="3"/>
      <c r="KMV142" s="3"/>
      <c r="KMW142" s="3"/>
      <c r="KMX142" s="3"/>
      <c r="KMY142" s="3"/>
      <c r="KMZ142" s="3"/>
      <c r="KNA142" s="3"/>
      <c r="KNB142" s="3"/>
      <c r="KNC142" s="3"/>
      <c r="KND142" s="3"/>
      <c r="KNE142" s="3"/>
      <c r="KNF142" s="3"/>
      <c r="KNG142" s="3"/>
      <c r="KNH142" s="3"/>
      <c r="KNI142" s="3"/>
      <c r="KNJ142" s="3"/>
      <c r="KNK142" s="3"/>
      <c r="KNL142" s="3"/>
      <c r="KNM142" s="3"/>
      <c r="KNN142" s="3"/>
      <c r="KNO142" s="3"/>
      <c r="KNP142" s="3"/>
      <c r="KNQ142" s="3"/>
      <c r="KNR142" s="3"/>
      <c r="KNS142" s="3"/>
      <c r="KNT142" s="3"/>
      <c r="KNU142" s="3"/>
      <c r="KNV142" s="3"/>
      <c r="KNW142" s="3"/>
      <c r="KNX142" s="3"/>
      <c r="KNY142" s="3"/>
      <c r="KNZ142" s="3"/>
      <c r="KOA142" s="3"/>
      <c r="KOB142" s="3"/>
      <c r="KOC142" s="3"/>
      <c r="KOD142" s="3"/>
      <c r="KOE142" s="3"/>
      <c r="KOF142" s="3"/>
      <c r="KOG142" s="3"/>
      <c r="KOH142" s="3"/>
      <c r="KOI142" s="3"/>
      <c r="KOJ142" s="3"/>
      <c r="KOK142" s="3"/>
      <c r="KOL142" s="3"/>
      <c r="KOM142" s="3"/>
      <c r="KON142" s="3"/>
      <c r="KOO142" s="3"/>
      <c r="KOP142" s="3"/>
      <c r="KOQ142" s="3"/>
      <c r="KOR142" s="3"/>
      <c r="KOS142" s="3"/>
      <c r="KOT142" s="3"/>
      <c r="KOU142" s="3"/>
      <c r="KOV142" s="3"/>
      <c r="KOW142" s="3"/>
      <c r="KOX142" s="3"/>
      <c r="KOY142" s="3"/>
      <c r="KOZ142" s="3"/>
      <c r="KPA142" s="3"/>
      <c r="KPB142" s="3"/>
      <c r="KPC142" s="3"/>
      <c r="KPD142" s="3"/>
      <c r="KPE142" s="3"/>
      <c r="KPF142" s="3"/>
      <c r="KPG142" s="3"/>
      <c r="KPH142" s="3"/>
      <c r="KPI142" s="3"/>
      <c r="KPJ142" s="3"/>
      <c r="KPK142" s="3"/>
      <c r="KPL142" s="3"/>
      <c r="KPM142" s="3"/>
      <c r="KPN142" s="3"/>
      <c r="KPO142" s="3"/>
      <c r="KPP142" s="3"/>
      <c r="KPQ142" s="3"/>
      <c r="KPR142" s="3"/>
      <c r="KPS142" s="3"/>
      <c r="KPT142" s="3"/>
      <c r="KPU142" s="3"/>
      <c r="KPV142" s="3"/>
      <c r="KPW142" s="3"/>
      <c r="KPX142" s="3"/>
      <c r="KPY142" s="3"/>
      <c r="KPZ142" s="3"/>
      <c r="KQA142" s="3"/>
      <c r="KQB142" s="3"/>
      <c r="KQC142" s="3"/>
      <c r="KQD142" s="3"/>
      <c r="KQE142" s="3"/>
      <c r="KQF142" s="3"/>
      <c r="KQG142" s="3"/>
      <c r="KQH142" s="3"/>
      <c r="KQI142" s="3"/>
      <c r="KQJ142" s="3"/>
      <c r="KQK142" s="3"/>
      <c r="KQL142" s="3"/>
      <c r="KQM142" s="3"/>
      <c r="KQN142" s="3"/>
      <c r="KQO142" s="3"/>
      <c r="KQP142" s="3"/>
      <c r="KQQ142" s="3"/>
      <c r="KQR142" s="3"/>
      <c r="KQS142" s="3"/>
      <c r="KQT142" s="3"/>
      <c r="KQU142" s="3"/>
      <c r="KQV142" s="3"/>
      <c r="KQW142" s="3"/>
      <c r="KQX142" s="3"/>
      <c r="KQY142" s="3"/>
      <c r="KQZ142" s="3"/>
      <c r="KRA142" s="3"/>
      <c r="KRB142" s="3"/>
      <c r="KRC142" s="3"/>
      <c r="KRD142" s="3"/>
      <c r="KRE142" s="3"/>
      <c r="KRF142" s="3"/>
      <c r="KRG142" s="3"/>
      <c r="KRH142" s="3"/>
      <c r="KRI142" s="3"/>
      <c r="KRJ142" s="3"/>
      <c r="KRK142" s="3"/>
      <c r="KRL142" s="3"/>
      <c r="KRM142" s="3"/>
      <c r="KRN142" s="3"/>
      <c r="KRO142" s="3"/>
      <c r="KRP142" s="3"/>
      <c r="KRQ142" s="3"/>
      <c r="KRR142" s="3"/>
      <c r="KRS142" s="3"/>
      <c r="KRT142" s="3"/>
      <c r="KRU142" s="3"/>
      <c r="KRV142" s="3"/>
      <c r="KRW142" s="3"/>
      <c r="KRX142" s="3"/>
      <c r="KRY142" s="3"/>
      <c r="KRZ142" s="3"/>
      <c r="KSA142" s="3"/>
      <c r="KSB142" s="3"/>
      <c r="KSC142" s="3"/>
      <c r="KSD142" s="3"/>
      <c r="KSE142" s="3"/>
      <c r="KSF142" s="3"/>
      <c r="KSG142" s="3"/>
      <c r="KSH142" s="3"/>
      <c r="KSI142" s="3"/>
      <c r="KSJ142" s="3"/>
      <c r="KSK142" s="3"/>
      <c r="KSL142" s="3"/>
      <c r="KSM142" s="3"/>
      <c r="KSN142" s="3"/>
      <c r="KSO142" s="3"/>
      <c r="KSP142" s="3"/>
      <c r="KSQ142" s="3"/>
      <c r="KSR142" s="3"/>
      <c r="KSS142" s="3"/>
      <c r="KST142" s="3"/>
      <c r="KSU142" s="3"/>
      <c r="KSV142" s="3"/>
      <c r="KSW142" s="3"/>
      <c r="KSX142" s="3"/>
      <c r="KSY142" s="3"/>
      <c r="KSZ142" s="3"/>
      <c r="KTA142" s="3"/>
      <c r="KTB142" s="3"/>
      <c r="KTC142" s="3"/>
      <c r="KTD142" s="3"/>
      <c r="KTE142" s="3"/>
      <c r="KTF142" s="3"/>
      <c r="KTG142" s="3"/>
      <c r="KTH142" s="3"/>
      <c r="KTI142" s="3"/>
      <c r="KTJ142" s="3"/>
      <c r="KTK142" s="3"/>
      <c r="KTL142" s="3"/>
      <c r="KTM142" s="3"/>
      <c r="KTN142" s="3"/>
      <c r="KTO142" s="3"/>
      <c r="KTP142" s="3"/>
      <c r="KTQ142" s="3"/>
      <c r="KTR142" s="3"/>
      <c r="KTS142" s="3"/>
      <c r="KTT142" s="3"/>
      <c r="KTU142" s="3"/>
      <c r="KTV142" s="3"/>
      <c r="KTW142" s="3"/>
      <c r="KTX142" s="3"/>
      <c r="KTY142" s="3"/>
      <c r="KTZ142" s="3"/>
      <c r="KUA142" s="3"/>
      <c r="KUB142" s="3"/>
      <c r="KUC142" s="3"/>
      <c r="KUD142" s="3"/>
      <c r="KUE142" s="3"/>
      <c r="KUF142" s="3"/>
      <c r="KUG142" s="3"/>
      <c r="KUH142" s="3"/>
      <c r="KUI142" s="3"/>
      <c r="KUJ142" s="3"/>
      <c r="KUK142" s="3"/>
      <c r="KUL142" s="3"/>
      <c r="KUM142" s="3"/>
      <c r="KUN142" s="3"/>
      <c r="KUO142" s="3"/>
      <c r="KUP142" s="3"/>
      <c r="KUQ142" s="3"/>
      <c r="KUR142" s="3"/>
      <c r="KUS142" s="3"/>
      <c r="KUT142" s="3"/>
      <c r="KUU142" s="3"/>
      <c r="KUV142" s="3"/>
      <c r="KUW142" s="3"/>
      <c r="KUX142" s="3"/>
      <c r="KUY142" s="3"/>
      <c r="KUZ142" s="3"/>
      <c r="KVA142" s="3"/>
      <c r="KVB142" s="3"/>
      <c r="KVC142" s="3"/>
      <c r="KVD142" s="3"/>
      <c r="KVE142" s="3"/>
      <c r="KVF142" s="3"/>
      <c r="KVG142" s="3"/>
      <c r="KVH142" s="3"/>
      <c r="KVI142" s="3"/>
      <c r="KVJ142" s="3"/>
      <c r="KVK142" s="3"/>
      <c r="KVL142" s="3"/>
      <c r="KVM142" s="3"/>
      <c r="KVN142" s="3"/>
      <c r="KVO142" s="3"/>
      <c r="KVP142" s="3"/>
      <c r="KVQ142" s="3"/>
      <c r="KVR142" s="3"/>
      <c r="KVS142" s="3"/>
      <c r="KVT142" s="3"/>
      <c r="KVU142" s="3"/>
      <c r="KVV142" s="3"/>
      <c r="KVW142" s="3"/>
      <c r="KVX142" s="3"/>
      <c r="KVY142" s="3"/>
      <c r="KVZ142" s="3"/>
      <c r="KWA142" s="3"/>
      <c r="KWB142" s="3"/>
      <c r="KWC142" s="3"/>
      <c r="KWD142" s="3"/>
      <c r="KWE142" s="3"/>
      <c r="KWF142" s="3"/>
      <c r="KWG142" s="3"/>
      <c r="KWH142" s="3"/>
      <c r="KWI142" s="3"/>
      <c r="KWJ142" s="3"/>
      <c r="KWK142" s="3"/>
      <c r="KWL142" s="3"/>
      <c r="KWM142" s="3"/>
      <c r="KWN142" s="3"/>
      <c r="KWO142" s="3"/>
      <c r="KWP142" s="3"/>
      <c r="KWQ142" s="3"/>
      <c r="KWR142" s="3"/>
      <c r="KWS142" s="3"/>
      <c r="KWT142" s="3"/>
      <c r="KWU142" s="3"/>
      <c r="KWV142" s="3"/>
      <c r="KWW142" s="3"/>
      <c r="KWX142" s="3"/>
      <c r="KWY142" s="3"/>
      <c r="KWZ142" s="3"/>
      <c r="KXA142" s="3"/>
      <c r="KXB142" s="3"/>
      <c r="KXC142" s="3"/>
      <c r="KXD142" s="3"/>
      <c r="KXE142" s="3"/>
      <c r="KXF142" s="3"/>
      <c r="KXG142" s="3"/>
      <c r="KXH142" s="3"/>
      <c r="KXI142" s="3"/>
      <c r="KXJ142" s="3"/>
      <c r="KXK142" s="3"/>
      <c r="KXL142" s="3"/>
      <c r="KXM142" s="3"/>
      <c r="KXN142" s="3"/>
      <c r="KXO142" s="3"/>
      <c r="KXP142" s="3"/>
      <c r="KXQ142" s="3"/>
      <c r="KXR142" s="3"/>
      <c r="KXS142" s="3"/>
      <c r="KXT142" s="3"/>
      <c r="KXU142" s="3"/>
      <c r="KXV142" s="3"/>
      <c r="KXW142" s="3"/>
      <c r="KXX142" s="3"/>
      <c r="KXY142" s="3"/>
      <c r="KXZ142" s="3"/>
      <c r="KYA142" s="3"/>
      <c r="KYB142" s="3"/>
      <c r="KYC142" s="3"/>
      <c r="KYD142" s="3"/>
      <c r="KYE142" s="3"/>
      <c r="KYF142" s="3"/>
      <c r="KYG142" s="3"/>
      <c r="KYH142" s="3"/>
      <c r="KYI142" s="3"/>
      <c r="KYJ142" s="3"/>
      <c r="KYK142" s="3"/>
      <c r="KYL142" s="3"/>
      <c r="KYM142" s="3"/>
      <c r="KYN142" s="3"/>
      <c r="KYO142" s="3"/>
      <c r="KYP142" s="3"/>
      <c r="KYQ142" s="3"/>
      <c r="KYR142" s="3"/>
      <c r="KYS142" s="3"/>
      <c r="KYT142" s="3"/>
      <c r="KYU142" s="3"/>
      <c r="KYV142" s="3"/>
      <c r="KYW142" s="3"/>
      <c r="KYX142" s="3"/>
      <c r="KYY142" s="3"/>
      <c r="KYZ142" s="3"/>
      <c r="KZA142" s="3"/>
      <c r="KZB142" s="3"/>
      <c r="KZC142" s="3"/>
      <c r="KZD142" s="3"/>
      <c r="KZE142" s="3"/>
      <c r="KZF142" s="3"/>
      <c r="KZG142" s="3"/>
      <c r="KZH142" s="3"/>
      <c r="KZI142" s="3"/>
      <c r="KZJ142" s="3"/>
      <c r="KZK142" s="3"/>
      <c r="KZL142" s="3"/>
      <c r="KZM142" s="3"/>
      <c r="KZN142" s="3"/>
      <c r="KZO142" s="3"/>
      <c r="KZP142" s="3"/>
      <c r="KZQ142" s="3"/>
      <c r="KZR142" s="3"/>
      <c r="KZS142" s="3"/>
      <c r="KZT142" s="3"/>
      <c r="KZU142" s="3"/>
      <c r="KZV142" s="3"/>
      <c r="KZW142" s="3"/>
      <c r="KZX142" s="3"/>
      <c r="KZY142" s="3"/>
      <c r="KZZ142" s="3"/>
      <c r="LAA142" s="3"/>
      <c r="LAB142" s="3"/>
      <c r="LAC142" s="3"/>
      <c r="LAD142" s="3"/>
      <c r="LAE142" s="3"/>
      <c r="LAF142" s="3"/>
      <c r="LAG142" s="3"/>
      <c r="LAH142" s="3"/>
      <c r="LAI142" s="3"/>
      <c r="LAJ142" s="3"/>
      <c r="LAK142" s="3"/>
      <c r="LAL142" s="3"/>
      <c r="LAM142" s="3"/>
      <c r="LAN142" s="3"/>
      <c r="LAO142" s="3"/>
      <c r="LAP142" s="3"/>
      <c r="LAQ142" s="3"/>
      <c r="LAR142" s="3"/>
      <c r="LAS142" s="3"/>
      <c r="LAT142" s="3"/>
      <c r="LAU142" s="3"/>
      <c r="LAV142" s="3"/>
      <c r="LAW142" s="3"/>
      <c r="LAX142" s="3"/>
      <c r="LAY142" s="3"/>
      <c r="LAZ142" s="3"/>
      <c r="LBA142" s="3"/>
      <c r="LBB142" s="3"/>
      <c r="LBC142" s="3"/>
      <c r="LBD142" s="3"/>
      <c r="LBE142" s="3"/>
      <c r="LBF142" s="3"/>
      <c r="LBG142" s="3"/>
      <c r="LBH142" s="3"/>
      <c r="LBI142" s="3"/>
      <c r="LBJ142" s="3"/>
      <c r="LBK142" s="3"/>
      <c r="LBL142" s="3"/>
      <c r="LBM142" s="3"/>
      <c r="LBN142" s="3"/>
      <c r="LBO142" s="3"/>
      <c r="LBP142" s="3"/>
      <c r="LBQ142" s="3"/>
      <c r="LBR142" s="3"/>
      <c r="LBS142" s="3"/>
      <c r="LBT142" s="3"/>
      <c r="LBU142" s="3"/>
      <c r="LBV142" s="3"/>
      <c r="LBW142" s="3"/>
      <c r="LBX142" s="3"/>
      <c r="LBY142" s="3"/>
      <c r="LBZ142" s="3"/>
      <c r="LCA142" s="3"/>
      <c r="LCB142" s="3"/>
      <c r="LCC142" s="3"/>
      <c r="LCD142" s="3"/>
      <c r="LCE142" s="3"/>
      <c r="LCF142" s="3"/>
      <c r="LCG142" s="3"/>
      <c r="LCH142" s="3"/>
      <c r="LCI142" s="3"/>
      <c r="LCJ142" s="3"/>
      <c r="LCK142" s="3"/>
      <c r="LCL142" s="3"/>
      <c r="LCM142" s="3"/>
      <c r="LCN142" s="3"/>
      <c r="LCO142" s="3"/>
      <c r="LCP142" s="3"/>
      <c r="LCQ142" s="3"/>
      <c r="LCR142" s="3"/>
      <c r="LCS142" s="3"/>
      <c r="LCT142" s="3"/>
      <c r="LCU142" s="3"/>
      <c r="LCV142" s="3"/>
      <c r="LCW142" s="3"/>
      <c r="LCX142" s="3"/>
      <c r="LCY142" s="3"/>
      <c r="LCZ142" s="3"/>
      <c r="LDA142" s="3"/>
      <c r="LDB142" s="3"/>
      <c r="LDC142" s="3"/>
      <c r="LDD142" s="3"/>
      <c r="LDE142" s="3"/>
      <c r="LDF142" s="3"/>
      <c r="LDG142" s="3"/>
      <c r="LDH142" s="3"/>
      <c r="LDI142" s="3"/>
      <c r="LDJ142" s="3"/>
      <c r="LDK142" s="3"/>
      <c r="LDL142" s="3"/>
      <c r="LDM142" s="3"/>
      <c r="LDN142" s="3"/>
      <c r="LDO142" s="3"/>
      <c r="LDP142" s="3"/>
      <c r="LDQ142" s="3"/>
      <c r="LDR142" s="3"/>
      <c r="LDS142" s="3"/>
      <c r="LDT142" s="3"/>
      <c r="LDU142" s="3"/>
      <c r="LDV142" s="3"/>
      <c r="LDW142" s="3"/>
      <c r="LDX142" s="3"/>
      <c r="LDY142" s="3"/>
      <c r="LDZ142" s="3"/>
      <c r="LEA142" s="3"/>
      <c r="LEB142" s="3"/>
      <c r="LEC142" s="3"/>
      <c r="LED142" s="3"/>
      <c r="LEE142" s="3"/>
      <c r="LEF142" s="3"/>
      <c r="LEG142" s="3"/>
      <c r="LEH142" s="3"/>
      <c r="LEI142" s="3"/>
      <c r="LEJ142" s="3"/>
      <c r="LEK142" s="3"/>
      <c r="LEL142" s="3"/>
      <c r="LEM142" s="3"/>
      <c r="LEN142" s="3"/>
      <c r="LEO142" s="3"/>
      <c r="LEP142" s="3"/>
      <c r="LEQ142" s="3"/>
      <c r="LER142" s="3"/>
      <c r="LES142" s="3"/>
      <c r="LET142" s="3"/>
      <c r="LEU142" s="3"/>
      <c r="LEV142" s="3"/>
      <c r="LEW142" s="3"/>
      <c r="LEX142" s="3"/>
      <c r="LEY142" s="3"/>
      <c r="LEZ142" s="3"/>
      <c r="LFA142" s="3"/>
      <c r="LFB142" s="3"/>
      <c r="LFC142" s="3"/>
      <c r="LFD142" s="3"/>
      <c r="LFE142" s="3"/>
      <c r="LFF142" s="3"/>
      <c r="LFG142" s="3"/>
      <c r="LFH142" s="3"/>
      <c r="LFI142" s="3"/>
      <c r="LFJ142" s="3"/>
      <c r="LFK142" s="3"/>
      <c r="LFL142" s="3"/>
      <c r="LFM142" s="3"/>
      <c r="LFN142" s="3"/>
      <c r="LFO142" s="3"/>
      <c r="LFP142" s="3"/>
      <c r="LFQ142" s="3"/>
      <c r="LFR142" s="3"/>
      <c r="LFS142" s="3"/>
      <c r="LFT142" s="3"/>
      <c r="LFU142" s="3"/>
      <c r="LFV142" s="3"/>
      <c r="LFW142" s="3"/>
      <c r="LFX142" s="3"/>
      <c r="LFY142" s="3"/>
      <c r="LFZ142" s="3"/>
      <c r="LGA142" s="3"/>
      <c r="LGB142" s="3"/>
      <c r="LGC142" s="3"/>
      <c r="LGD142" s="3"/>
      <c r="LGE142" s="3"/>
      <c r="LGF142" s="3"/>
      <c r="LGG142" s="3"/>
      <c r="LGH142" s="3"/>
      <c r="LGI142" s="3"/>
      <c r="LGJ142" s="3"/>
      <c r="LGK142" s="3"/>
      <c r="LGL142" s="3"/>
      <c r="LGM142" s="3"/>
      <c r="LGN142" s="3"/>
      <c r="LGO142" s="3"/>
      <c r="LGP142" s="3"/>
      <c r="LGQ142" s="3"/>
      <c r="LGR142" s="3"/>
      <c r="LGS142" s="3"/>
      <c r="LGT142" s="3"/>
      <c r="LGU142" s="3"/>
      <c r="LGV142" s="3"/>
      <c r="LGW142" s="3"/>
      <c r="LGX142" s="3"/>
      <c r="LGY142" s="3"/>
      <c r="LGZ142" s="3"/>
      <c r="LHA142" s="3"/>
      <c r="LHB142" s="3"/>
      <c r="LHC142" s="3"/>
      <c r="LHD142" s="3"/>
      <c r="LHE142" s="3"/>
      <c r="LHF142" s="3"/>
      <c r="LHG142" s="3"/>
      <c r="LHH142" s="3"/>
      <c r="LHI142" s="3"/>
      <c r="LHJ142" s="3"/>
      <c r="LHK142" s="3"/>
      <c r="LHL142" s="3"/>
      <c r="LHM142" s="3"/>
      <c r="LHN142" s="3"/>
      <c r="LHO142" s="3"/>
      <c r="LHP142" s="3"/>
      <c r="LHQ142" s="3"/>
      <c r="LHR142" s="3"/>
      <c r="LHS142" s="3"/>
      <c r="LHT142" s="3"/>
      <c r="LHU142" s="3"/>
      <c r="LHV142" s="3"/>
      <c r="LHW142" s="3"/>
      <c r="LHX142" s="3"/>
      <c r="LHY142" s="3"/>
      <c r="LHZ142" s="3"/>
      <c r="LIA142" s="3"/>
      <c r="LIB142" s="3"/>
      <c r="LIC142" s="3"/>
      <c r="LID142" s="3"/>
      <c r="LIE142" s="3"/>
      <c r="LIF142" s="3"/>
      <c r="LIG142" s="3"/>
      <c r="LIH142" s="3"/>
      <c r="LII142" s="3"/>
      <c r="LIJ142" s="3"/>
      <c r="LIK142" s="3"/>
      <c r="LIL142" s="3"/>
      <c r="LIM142" s="3"/>
      <c r="LIN142" s="3"/>
      <c r="LIO142" s="3"/>
      <c r="LIP142" s="3"/>
      <c r="LIQ142" s="3"/>
      <c r="LIR142" s="3"/>
      <c r="LIS142" s="3"/>
      <c r="LIT142" s="3"/>
      <c r="LIU142" s="3"/>
      <c r="LIV142" s="3"/>
      <c r="LIW142" s="3"/>
      <c r="LIX142" s="3"/>
      <c r="LIY142" s="3"/>
      <c r="LIZ142" s="3"/>
      <c r="LJA142" s="3"/>
      <c r="LJB142" s="3"/>
      <c r="LJC142" s="3"/>
      <c r="LJD142" s="3"/>
      <c r="LJE142" s="3"/>
      <c r="LJF142" s="3"/>
      <c r="LJG142" s="3"/>
      <c r="LJH142" s="3"/>
      <c r="LJI142" s="3"/>
      <c r="LJJ142" s="3"/>
      <c r="LJK142" s="3"/>
      <c r="LJL142" s="3"/>
      <c r="LJM142" s="3"/>
      <c r="LJN142" s="3"/>
      <c r="LJO142" s="3"/>
      <c r="LJP142" s="3"/>
      <c r="LJQ142" s="3"/>
      <c r="LJR142" s="3"/>
      <c r="LJS142" s="3"/>
      <c r="LJT142" s="3"/>
      <c r="LJU142" s="3"/>
      <c r="LJV142" s="3"/>
      <c r="LJW142" s="3"/>
      <c r="LJX142" s="3"/>
      <c r="LJY142" s="3"/>
      <c r="LJZ142" s="3"/>
      <c r="LKA142" s="3"/>
      <c r="LKB142" s="3"/>
      <c r="LKC142" s="3"/>
      <c r="LKD142" s="3"/>
      <c r="LKE142" s="3"/>
      <c r="LKF142" s="3"/>
      <c r="LKG142" s="3"/>
      <c r="LKH142" s="3"/>
      <c r="LKI142" s="3"/>
      <c r="LKJ142" s="3"/>
      <c r="LKK142" s="3"/>
      <c r="LKL142" s="3"/>
      <c r="LKM142" s="3"/>
      <c r="LKN142" s="3"/>
      <c r="LKO142" s="3"/>
      <c r="LKP142" s="3"/>
      <c r="LKQ142" s="3"/>
      <c r="LKR142" s="3"/>
      <c r="LKS142" s="3"/>
      <c r="LKT142" s="3"/>
      <c r="LKU142" s="3"/>
      <c r="LKV142" s="3"/>
      <c r="LKW142" s="3"/>
      <c r="LKX142" s="3"/>
      <c r="LKY142" s="3"/>
      <c r="LKZ142" s="3"/>
      <c r="LLA142" s="3"/>
      <c r="LLB142" s="3"/>
      <c r="LLC142" s="3"/>
      <c r="LLD142" s="3"/>
      <c r="LLE142" s="3"/>
      <c r="LLF142" s="3"/>
      <c r="LLG142" s="3"/>
      <c r="LLH142" s="3"/>
      <c r="LLI142" s="3"/>
      <c r="LLJ142" s="3"/>
      <c r="LLK142" s="3"/>
      <c r="LLL142" s="3"/>
      <c r="LLM142" s="3"/>
      <c r="LLN142" s="3"/>
      <c r="LLO142" s="3"/>
      <c r="LLP142" s="3"/>
      <c r="LLQ142" s="3"/>
      <c r="LLR142" s="3"/>
      <c r="LLS142" s="3"/>
      <c r="LLT142" s="3"/>
      <c r="LLU142" s="3"/>
      <c r="LLV142" s="3"/>
      <c r="LLW142" s="3"/>
      <c r="LLX142" s="3"/>
      <c r="LLY142" s="3"/>
      <c r="LLZ142" s="3"/>
      <c r="LMA142" s="3"/>
      <c r="LMB142" s="3"/>
      <c r="LMC142" s="3"/>
      <c r="LMD142" s="3"/>
      <c r="LME142" s="3"/>
      <c r="LMF142" s="3"/>
      <c r="LMG142" s="3"/>
      <c r="LMH142" s="3"/>
      <c r="LMI142" s="3"/>
      <c r="LMJ142" s="3"/>
      <c r="LMK142" s="3"/>
      <c r="LML142" s="3"/>
      <c r="LMM142" s="3"/>
      <c r="LMN142" s="3"/>
      <c r="LMO142" s="3"/>
      <c r="LMP142" s="3"/>
      <c r="LMQ142" s="3"/>
      <c r="LMR142" s="3"/>
      <c r="LMS142" s="3"/>
      <c r="LMT142" s="3"/>
      <c r="LMU142" s="3"/>
      <c r="LMV142" s="3"/>
      <c r="LMW142" s="3"/>
      <c r="LMX142" s="3"/>
      <c r="LMY142" s="3"/>
      <c r="LMZ142" s="3"/>
      <c r="LNA142" s="3"/>
      <c r="LNB142" s="3"/>
      <c r="LNC142" s="3"/>
      <c r="LND142" s="3"/>
      <c r="LNE142" s="3"/>
      <c r="LNF142" s="3"/>
      <c r="LNG142" s="3"/>
      <c r="LNH142" s="3"/>
      <c r="LNI142" s="3"/>
      <c r="LNJ142" s="3"/>
      <c r="LNK142" s="3"/>
      <c r="LNL142" s="3"/>
      <c r="LNM142" s="3"/>
      <c r="LNN142" s="3"/>
      <c r="LNO142" s="3"/>
      <c r="LNP142" s="3"/>
      <c r="LNQ142" s="3"/>
      <c r="LNR142" s="3"/>
      <c r="LNS142" s="3"/>
      <c r="LNT142" s="3"/>
      <c r="LNU142" s="3"/>
      <c r="LNV142" s="3"/>
      <c r="LNW142" s="3"/>
      <c r="LNX142" s="3"/>
      <c r="LNY142" s="3"/>
      <c r="LNZ142" s="3"/>
      <c r="LOA142" s="3"/>
      <c r="LOB142" s="3"/>
      <c r="LOC142" s="3"/>
      <c r="LOD142" s="3"/>
      <c r="LOE142" s="3"/>
      <c r="LOF142" s="3"/>
      <c r="LOG142" s="3"/>
      <c r="LOH142" s="3"/>
      <c r="LOI142" s="3"/>
      <c r="LOJ142" s="3"/>
      <c r="LOK142" s="3"/>
      <c r="LOL142" s="3"/>
      <c r="LOM142" s="3"/>
      <c r="LON142" s="3"/>
      <c r="LOO142" s="3"/>
      <c r="LOP142" s="3"/>
      <c r="LOQ142" s="3"/>
      <c r="LOR142" s="3"/>
      <c r="LOS142" s="3"/>
      <c r="LOT142" s="3"/>
      <c r="LOU142" s="3"/>
      <c r="LOV142" s="3"/>
      <c r="LOW142" s="3"/>
      <c r="LOX142" s="3"/>
      <c r="LOY142" s="3"/>
      <c r="LOZ142" s="3"/>
      <c r="LPA142" s="3"/>
      <c r="LPB142" s="3"/>
      <c r="LPC142" s="3"/>
      <c r="LPD142" s="3"/>
      <c r="LPE142" s="3"/>
      <c r="LPF142" s="3"/>
      <c r="LPG142" s="3"/>
      <c r="LPH142" s="3"/>
      <c r="LPI142" s="3"/>
      <c r="LPJ142" s="3"/>
      <c r="LPK142" s="3"/>
      <c r="LPL142" s="3"/>
      <c r="LPM142" s="3"/>
      <c r="LPN142" s="3"/>
      <c r="LPO142" s="3"/>
      <c r="LPP142" s="3"/>
      <c r="LPQ142" s="3"/>
      <c r="LPR142" s="3"/>
      <c r="LPS142" s="3"/>
      <c r="LPT142" s="3"/>
      <c r="LPU142" s="3"/>
      <c r="LPV142" s="3"/>
      <c r="LPW142" s="3"/>
      <c r="LPX142" s="3"/>
      <c r="LPY142" s="3"/>
      <c r="LPZ142" s="3"/>
      <c r="LQA142" s="3"/>
      <c r="LQB142" s="3"/>
      <c r="LQC142" s="3"/>
      <c r="LQD142" s="3"/>
      <c r="LQE142" s="3"/>
      <c r="LQF142" s="3"/>
      <c r="LQG142" s="3"/>
      <c r="LQH142" s="3"/>
      <c r="LQI142" s="3"/>
      <c r="LQJ142" s="3"/>
      <c r="LQK142" s="3"/>
      <c r="LQL142" s="3"/>
      <c r="LQM142" s="3"/>
      <c r="LQN142" s="3"/>
      <c r="LQO142" s="3"/>
      <c r="LQP142" s="3"/>
      <c r="LQQ142" s="3"/>
      <c r="LQR142" s="3"/>
      <c r="LQS142" s="3"/>
      <c r="LQT142" s="3"/>
      <c r="LQU142" s="3"/>
      <c r="LQV142" s="3"/>
      <c r="LQW142" s="3"/>
      <c r="LQX142" s="3"/>
      <c r="LQY142" s="3"/>
      <c r="LQZ142" s="3"/>
      <c r="LRA142" s="3"/>
      <c r="LRB142" s="3"/>
      <c r="LRC142" s="3"/>
      <c r="LRD142" s="3"/>
      <c r="LRE142" s="3"/>
      <c r="LRF142" s="3"/>
      <c r="LRG142" s="3"/>
      <c r="LRH142" s="3"/>
      <c r="LRI142" s="3"/>
      <c r="LRJ142" s="3"/>
      <c r="LRK142" s="3"/>
      <c r="LRL142" s="3"/>
      <c r="LRM142" s="3"/>
      <c r="LRN142" s="3"/>
      <c r="LRO142" s="3"/>
      <c r="LRP142" s="3"/>
      <c r="LRQ142" s="3"/>
      <c r="LRR142" s="3"/>
      <c r="LRS142" s="3"/>
      <c r="LRT142" s="3"/>
      <c r="LRU142" s="3"/>
      <c r="LRV142" s="3"/>
      <c r="LRW142" s="3"/>
      <c r="LRX142" s="3"/>
      <c r="LRY142" s="3"/>
      <c r="LRZ142" s="3"/>
      <c r="LSA142" s="3"/>
      <c r="LSB142" s="3"/>
      <c r="LSC142" s="3"/>
      <c r="LSD142" s="3"/>
      <c r="LSE142" s="3"/>
      <c r="LSF142" s="3"/>
      <c r="LSG142" s="3"/>
      <c r="LSH142" s="3"/>
      <c r="LSI142" s="3"/>
      <c r="LSJ142" s="3"/>
      <c r="LSK142" s="3"/>
      <c r="LSL142" s="3"/>
      <c r="LSM142" s="3"/>
      <c r="LSN142" s="3"/>
      <c r="LSO142" s="3"/>
      <c r="LSP142" s="3"/>
      <c r="LSQ142" s="3"/>
      <c r="LSR142" s="3"/>
      <c r="LSS142" s="3"/>
      <c r="LST142" s="3"/>
      <c r="LSU142" s="3"/>
      <c r="LSV142" s="3"/>
      <c r="LSW142" s="3"/>
      <c r="LSX142" s="3"/>
      <c r="LSY142" s="3"/>
      <c r="LSZ142" s="3"/>
      <c r="LTA142" s="3"/>
      <c r="LTB142" s="3"/>
      <c r="LTC142" s="3"/>
      <c r="LTD142" s="3"/>
      <c r="LTE142" s="3"/>
      <c r="LTF142" s="3"/>
      <c r="LTG142" s="3"/>
      <c r="LTH142" s="3"/>
      <c r="LTI142" s="3"/>
      <c r="LTJ142" s="3"/>
      <c r="LTK142" s="3"/>
      <c r="LTL142" s="3"/>
      <c r="LTM142" s="3"/>
      <c r="LTN142" s="3"/>
      <c r="LTO142" s="3"/>
      <c r="LTP142" s="3"/>
      <c r="LTQ142" s="3"/>
      <c r="LTR142" s="3"/>
      <c r="LTS142" s="3"/>
      <c r="LTT142" s="3"/>
      <c r="LTU142" s="3"/>
      <c r="LTV142" s="3"/>
      <c r="LTW142" s="3"/>
      <c r="LTX142" s="3"/>
      <c r="LTY142" s="3"/>
      <c r="LTZ142" s="3"/>
      <c r="LUA142" s="3"/>
      <c r="LUB142" s="3"/>
      <c r="LUC142" s="3"/>
      <c r="LUD142" s="3"/>
      <c r="LUE142" s="3"/>
      <c r="LUF142" s="3"/>
      <c r="LUG142" s="3"/>
      <c r="LUH142" s="3"/>
      <c r="LUI142" s="3"/>
      <c r="LUJ142" s="3"/>
      <c r="LUK142" s="3"/>
      <c r="LUL142" s="3"/>
      <c r="LUM142" s="3"/>
      <c r="LUN142" s="3"/>
      <c r="LUO142" s="3"/>
      <c r="LUP142" s="3"/>
      <c r="LUQ142" s="3"/>
      <c r="LUR142" s="3"/>
      <c r="LUS142" s="3"/>
      <c r="LUT142" s="3"/>
      <c r="LUU142" s="3"/>
      <c r="LUV142" s="3"/>
      <c r="LUW142" s="3"/>
      <c r="LUX142" s="3"/>
      <c r="LUY142" s="3"/>
      <c r="LUZ142" s="3"/>
      <c r="LVA142" s="3"/>
      <c r="LVB142" s="3"/>
      <c r="LVC142" s="3"/>
      <c r="LVD142" s="3"/>
      <c r="LVE142" s="3"/>
      <c r="LVF142" s="3"/>
      <c r="LVG142" s="3"/>
      <c r="LVH142" s="3"/>
      <c r="LVI142" s="3"/>
      <c r="LVJ142" s="3"/>
      <c r="LVK142" s="3"/>
      <c r="LVL142" s="3"/>
      <c r="LVM142" s="3"/>
      <c r="LVN142" s="3"/>
      <c r="LVO142" s="3"/>
      <c r="LVP142" s="3"/>
      <c r="LVQ142" s="3"/>
      <c r="LVR142" s="3"/>
      <c r="LVS142" s="3"/>
      <c r="LVT142" s="3"/>
      <c r="LVU142" s="3"/>
      <c r="LVV142" s="3"/>
      <c r="LVW142" s="3"/>
      <c r="LVX142" s="3"/>
      <c r="LVY142" s="3"/>
      <c r="LVZ142" s="3"/>
      <c r="LWA142" s="3"/>
      <c r="LWB142" s="3"/>
      <c r="LWC142" s="3"/>
      <c r="LWD142" s="3"/>
      <c r="LWE142" s="3"/>
      <c r="LWF142" s="3"/>
      <c r="LWG142" s="3"/>
      <c r="LWH142" s="3"/>
      <c r="LWI142" s="3"/>
      <c r="LWJ142" s="3"/>
      <c r="LWK142" s="3"/>
      <c r="LWL142" s="3"/>
      <c r="LWM142" s="3"/>
      <c r="LWN142" s="3"/>
      <c r="LWO142" s="3"/>
      <c r="LWP142" s="3"/>
      <c r="LWQ142" s="3"/>
      <c r="LWR142" s="3"/>
      <c r="LWS142" s="3"/>
      <c r="LWT142" s="3"/>
      <c r="LWU142" s="3"/>
      <c r="LWV142" s="3"/>
      <c r="LWW142" s="3"/>
      <c r="LWX142" s="3"/>
      <c r="LWY142" s="3"/>
      <c r="LWZ142" s="3"/>
      <c r="LXA142" s="3"/>
      <c r="LXB142" s="3"/>
      <c r="LXC142" s="3"/>
      <c r="LXD142" s="3"/>
      <c r="LXE142" s="3"/>
      <c r="LXF142" s="3"/>
      <c r="LXG142" s="3"/>
      <c r="LXH142" s="3"/>
      <c r="LXI142" s="3"/>
      <c r="LXJ142" s="3"/>
      <c r="LXK142" s="3"/>
      <c r="LXL142" s="3"/>
      <c r="LXM142" s="3"/>
      <c r="LXN142" s="3"/>
      <c r="LXO142" s="3"/>
      <c r="LXP142" s="3"/>
      <c r="LXQ142" s="3"/>
      <c r="LXR142" s="3"/>
      <c r="LXS142" s="3"/>
      <c r="LXT142" s="3"/>
      <c r="LXU142" s="3"/>
      <c r="LXV142" s="3"/>
      <c r="LXW142" s="3"/>
      <c r="LXX142" s="3"/>
      <c r="LXY142" s="3"/>
      <c r="LXZ142" s="3"/>
      <c r="LYA142" s="3"/>
      <c r="LYB142" s="3"/>
      <c r="LYC142" s="3"/>
      <c r="LYD142" s="3"/>
      <c r="LYE142" s="3"/>
      <c r="LYF142" s="3"/>
      <c r="LYG142" s="3"/>
      <c r="LYH142" s="3"/>
      <c r="LYI142" s="3"/>
      <c r="LYJ142" s="3"/>
      <c r="LYK142" s="3"/>
      <c r="LYL142" s="3"/>
      <c r="LYM142" s="3"/>
      <c r="LYN142" s="3"/>
      <c r="LYO142" s="3"/>
      <c r="LYP142" s="3"/>
      <c r="LYQ142" s="3"/>
      <c r="LYR142" s="3"/>
      <c r="LYS142" s="3"/>
      <c r="LYT142" s="3"/>
      <c r="LYU142" s="3"/>
      <c r="LYV142" s="3"/>
      <c r="LYW142" s="3"/>
      <c r="LYX142" s="3"/>
      <c r="LYY142" s="3"/>
      <c r="LYZ142" s="3"/>
      <c r="LZA142" s="3"/>
      <c r="LZB142" s="3"/>
      <c r="LZC142" s="3"/>
      <c r="LZD142" s="3"/>
      <c r="LZE142" s="3"/>
      <c r="LZF142" s="3"/>
      <c r="LZG142" s="3"/>
      <c r="LZH142" s="3"/>
      <c r="LZI142" s="3"/>
      <c r="LZJ142" s="3"/>
      <c r="LZK142" s="3"/>
      <c r="LZL142" s="3"/>
      <c r="LZM142" s="3"/>
      <c r="LZN142" s="3"/>
      <c r="LZO142" s="3"/>
      <c r="LZP142" s="3"/>
      <c r="LZQ142" s="3"/>
      <c r="LZR142" s="3"/>
      <c r="LZS142" s="3"/>
      <c r="LZT142" s="3"/>
      <c r="LZU142" s="3"/>
      <c r="LZV142" s="3"/>
      <c r="LZW142" s="3"/>
      <c r="LZX142" s="3"/>
      <c r="LZY142" s="3"/>
      <c r="LZZ142" s="3"/>
      <c r="MAA142" s="3"/>
      <c r="MAB142" s="3"/>
      <c r="MAC142" s="3"/>
      <c r="MAD142" s="3"/>
      <c r="MAE142" s="3"/>
      <c r="MAF142" s="3"/>
      <c r="MAG142" s="3"/>
      <c r="MAH142" s="3"/>
      <c r="MAI142" s="3"/>
      <c r="MAJ142" s="3"/>
      <c r="MAK142" s="3"/>
      <c r="MAL142" s="3"/>
      <c r="MAM142" s="3"/>
      <c r="MAN142" s="3"/>
      <c r="MAO142" s="3"/>
      <c r="MAP142" s="3"/>
      <c r="MAQ142" s="3"/>
      <c r="MAR142" s="3"/>
      <c r="MAS142" s="3"/>
      <c r="MAT142" s="3"/>
      <c r="MAU142" s="3"/>
      <c r="MAV142" s="3"/>
      <c r="MAW142" s="3"/>
      <c r="MAX142" s="3"/>
      <c r="MAY142" s="3"/>
      <c r="MAZ142" s="3"/>
      <c r="MBA142" s="3"/>
      <c r="MBB142" s="3"/>
      <c r="MBC142" s="3"/>
      <c r="MBD142" s="3"/>
      <c r="MBE142" s="3"/>
      <c r="MBF142" s="3"/>
      <c r="MBG142" s="3"/>
      <c r="MBH142" s="3"/>
      <c r="MBI142" s="3"/>
      <c r="MBJ142" s="3"/>
      <c r="MBK142" s="3"/>
      <c r="MBL142" s="3"/>
      <c r="MBM142" s="3"/>
      <c r="MBN142" s="3"/>
      <c r="MBO142" s="3"/>
      <c r="MBP142" s="3"/>
      <c r="MBQ142" s="3"/>
      <c r="MBR142" s="3"/>
      <c r="MBS142" s="3"/>
      <c r="MBT142" s="3"/>
      <c r="MBU142" s="3"/>
      <c r="MBV142" s="3"/>
      <c r="MBW142" s="3"/>
      <c r="MBX142" s="3"/>
      <c r="MBY142" s="3"/>
      <c r="MBZ142" s="3"/>
      <c r="MCA142" s="3"/>
      <c r="MCB142" s="3"/>
      <c r="MCC142" s="3"/>
      <c r="MCD142" s="3"/>
      <c r="MCE142" s="3"/>
      <c r="MCF142" s="3"/>
      <c r="MCG142" s="3"/>
      <c r="MCH142" s="3"/>
      <c r="MCI142" s="3"/>
      <c r="MCJ142" s="3"/>
      <c r="MCK142" s="3"/>
      <c r="MCL142" s="3"/>
      <c r="MCM142" s="3"/>
      <c r="MCN142" s="3"/>
      <c r="MCO142" s="3"/>
      <c r="MCP142" s="3"/>
      <c r="MCQ142" s="3"/>
      <c r="MCR142" s="3"/>
      <c r="MCS142" s="3"/>
      <c r="MCT142" s="3"/>
      <c r="MCU142" s="3"/>
      <c r="MCV142" s="3"/>
      <c r="MCW142" s="3"/>
      <c r="MCX142" s="3"/>
      <c r="MCY142" s="3"/>
      <c r="MCZ142" s="3"/>
      <c r="MDA142" s="3"/>
      <c r="MDB142" s="3"/>
      <c r="MDC142" s="3"/>
      <c r="MDD142" s="3"/>
      <c r="MDE142" s="3"/>
      <c r="MDF142" s="3"/>
      <c r="MDG142" s="3"/>
      <c r="MDH142" s="3"/>
      <c r="MDI142" s="3"/>
      <c r="MDJ142" s="3"/>
      <c r="MDK142" s="3"/>
      <c r="MDL142" s="3"/>
      <c r="MDM142" s="3"/>
      <c r="MDN142" s="3"/>
      <c r="MDO142" s="3"/>
      <c r="MDP142" s="3"/>
      <c r="MDQ142" s="3"/>
      <c r="MDR142" s="3"/>
      <c r="MDS142" s="3"/>
      <c r="MDT142" s="3"/>
      <c r="MDU142" s="3"/>
      <c r="MDV142" s="3"/>
      <c r="MDW142" s="3"/>
      <c r="MDX142" s="3"/>
      <c r="MDY142" s="3"/>
      <c r="MDZ142" s="3"/>
      <c r="MEA142" s="3"/>
      <c r="MEB142" s="3"/>
      <c r="MEC142" s="3"/>
      <c r="MED142" s="3"/>
      <c r="MEE142" s="3"/>
      <c r="MEF142" s="3"/>
      <c r="MEG142" s="3"/>
      <c r="MEH142" s="3"/>
      <c r="MEI142" s="3"/>
      <c r="MEJ142" s="3"/>
      <c r="MEK142" s="3"/>
      <c r="MEL142" s="3"/>
      <c r="MEM142" s="3"/>
      <c r="MEN142" s="3"/>
      <c r="MEO142" s="3"/>
      <c r="MEP142" s="3"/>
      <c r="MEQ142" s="3"/>
      <c r="MER142" s="3"/>
      <c r="MES142" s="3"/>
      <c r="MET142" s="3"/>
      <c r="MEU142" s="3"/>
      <c r="MEV142" s="3"/>
      <c r="MEW142" s="3"/>
      <c r="MEX142" s="3"/>
      <c r="MEY142" s="3"/>
      <c r="MEZ142" s="3"/>
      <c r="MFA142" s="3"/>
      <c r="MFB142" s="3"/>
      <c r="MFC142" s="3"/>
      <c r="MFD142" s="3"/>
      <c r="MFE142" s="3"/>
      <c r="MFF142" s="3"/>
      <c r="MFG142" s="3"/>
      <c r="MFH142" s="3"/>
      <c r="MFI142" s="3"/>
      <c r="MFJ142" s="3"/>
      <c r="MFK142" s="3"/>
      <c r="MFL142" s="3"/>
      <c r="MFM142" s="3"/>
      <c r="MFN142" s="3"/>
      <c r="MFO142" s="3"/>
      <c r="MFP142" s="3"/>
      <c r="MFQ142" s="3"/>
      <c r="MFR142" s="3"/>
      <c r="MFS142" s="3"/>
      <c r="MFT142" s="3"/>
      <c r="MFU142" s="3"/>
      <c r="MFV142" s="3"/>
      <c r="MFW142" s="3"/>
      <c r="MFX142" s="3"/>
      <c r="MFY142" s="3"/>
      <c r="MFZ142" s="3"/>
      <c r="MGA142" s="3"/>
      <c r="MGB142" s="3"/>
      <c r="MGC142" s="3"/>
      <c r="MGD142" s="3"/>
      <c r="MGE142" s="3"/>
      <c r="MGF142" s="3"/>
      <c r="MGG142" s="3"/>
      <c r="MGH142" s="3"/>
      <c r="MGI142" s="3"/>
      <c r="MGJ142" s="3"/>
      <c r="MGK142" s="3"/>
      <c r="MGL142" s="3"/>
      <c r="MGM142" s="3"/>
      <c r="MGN142" s="3"/>
      <c r="MGO142" s="3"/>
      <c r="MGP142" s="3"/>
      <c r="MGQ142" s="3"/>
      <c r="MGR142" s="3"/>
      <c r="MGS142" s="3"/>
      <c r="MGT142" s="3"/>
      <c r="MGU142" s="3"/>
      <c r="MGV142" s="3"/>
      <c r="MGW142" s="3"/>
      <c r="MGX142" s="3"/>
      <c r="MGY142" s="3"/>
      <c r="MGZ142" s="3"/>
      <c r="MHA142" s="3"/>
      <c r="MHB142" s="3"/>
      <c r="MHC142" s="3"/>
      <c r="MHD142" s="3"/>
      <c r="MHE142" s="3"/>
      <c r="MHF142" s="3"/>
      <c r="MHG142" s="3"/>
      <c r="MHH142" s="3"/>
      <c r="MHI142" s="3"/>
      <c r="MHJ142" s="3"/>
      <c r="MHK142" s="3"/>
      <c r="MHL142" s="3"/>
      <c r="MHM142" s="3"/>
      <c r="MHN142" s="3"/>
      <c r="MHO142" s="3"/>
      <c r="MHP142" s="3"/>
      <c r="MHQ142" s="3"/>
      <c r="MHR142" s="3"/>
      <c r="MHS142" s="3"/>
      <c r="MHT142" s="3"/>
      <c r="MHU142" s="3"/>
      <c r="MHV142" s="3"/>
      <c r="MHW142" s="3"/>
      <c r="MHX142" s="3"/>
      <c r="MHY142" s="3"/>
      <c r="MHZ142" s="3"/>
      <c r="MIA142" s="3"/>
      <c r="MIB142" s="3"/>
      <c r="MIC142" s="3"/>
      <c r="MID142" s="3"/>
      <c r="MIE142" s="3"/>
      <c r="MIF142" s="3"/>
      <c r="MIG142" s="3"/>
      <c r="MIH142" s="3"/>
      <c r="MII142" s="3"/>
      <c r="MIJ142" s="3"/>
      <c r="MIK142" s="3"/>
      <c r="MIL142" s="3"/>
      <c r="MIM142" s="3"/>
      <c r="MIN142" s="3"/>
      <c r="MIO142" s="3"/>
      <c r="MIP142" s="3"/>
      <c r="MIQ142" s="3"/>
      <c r="MIR142" s="3"/>
      <c r="MIS142" s="3"/>
      <c r="MIT142" s="3"/>
      <c r="MIU142" s="3"/>
      <c r="MIV142" s="3"/>
      <c r="MIW142" s="3"/>
      <c r="MIX142" s="3"/>
      <c r="MIY142" s="3"/>
      <c r="MIZ142" s="3"/>
      <c r="MJA142" s="3"/>
      <c r="MJB142" s="3"/>
      <c r="MJC142" s="3"/>
      <c r="MJD142" s="3"/>
      <c r="MJE142" s="3"/>
      <c r="MJF142" s="3"/>
      <c r="MJG142" s="3"/>
      <c r="MJH142" s="3"/>
      <c r="MJI142" s="3"/>
      <c r="MJJ142" s="3"/>
      <c r="MJK142" s="3"/>
      <c r="MJL142" s="3"/>
      <c r="MJM142" s="3"/>
      <c r="MJN142" s="3"/>
      <c r="MJO142" s="3"/>
      <c r="MJP142" s="3"/>
      <c r="MJQ142" s="3"/>
      <c r="MJR142" s="3"/>
      <c r="MJS142" s="3"/>
      <c r="MJT142" s="3"/>
      <c r="MJU142" s="3"/>
      <c r="MJV142" s="3"/>
      <c r="MJW142" s="3"/>
      <c r="MJX142" s="3"/>
      <c r="MJY142" s="3"/>
      <c r="MJZ142" s="3"/>
      <c r="MKA142" s="3"/>
      <c r="MKB142" s="3"/>
      <c r="MKC142" s="3"/>
      <c r="MKD142" s="3"/>
      <c r="MKE142" s="3"/>
      <c r="MKF142" s="3"/>
      <c r="MKG142" s="3"/>
      <c r="MKH142" s="3"/>
      <c r="MKI142" s="3"/>
      <c r="MKJ142" s="3"/>
      <c r="MKK142" s="3"/>
      <c r="MKL142" s="3"/>
      <c r="MKM142" s="3"/>
      <c r="MKN142" s="3"/>
      <c r="MKO142" s="3"/>
      <c r="MKP142" s="3"/>
      <c r="MKQ142" s="3"/>
      <c r="MKR142" s="3"/>
      <c r="MKS142" s="3"/>
      <c r="MKT142" s="3"/>
      <c r="MKU142" s="3"/>
      <c r="MKV142" s="3"/>
      <c r="MKW142" s="3"/>
      <c r="MKX142" s="3"/>
      <c r="MKY142" s="3"/>
      <c r="MKZ142" s="3"/>
      <c r="MLA142" s="3"/>
      <c r="MLB142" s="3"/>
      <c r="MLC142" s="3"/>
      <c r="MLD142" s="3"/>
      <c r="MLE142" s="3"/>
      <c r="MLF142" s="3"/>
      <c r="MLG142" s="3"/>
      <c r="MLH142" s="3"/>
      <c r="MLI142" s="3"/>
      <c r="MLJ142" s="3"/>
      <c r="MLK142" s="3"/>
      <c r="MLL142" s="3"/>
      <c r="MLM142" s="3"/>
      <c r="MLN142" s="3"/>
      <c r="MLO142" s="3"/>
      <c r="MLP142" s="3"/>
      <c r="MLQ142" s="3"/>
      <c r="MLR142" s="3"/>
      <c r="MLS142" s="3"/>
      <c r="MLT142" s="3"/>
      <c r="MLU142" s="3"/>
      <c r="MLV142" s="3"/>
      <c r="MLW142" s="3"/>
      <c r="MLX142" s="3"/>
      <c r="MLY142" s="3"/>
      <c r="MLZ142" s="3"/>
      <c r="MMA142" s="3"/>
      <c r="MMB142" s="3"/>
      <c r="MMC142" s="3"/>
      <c r="MMD142" s="3"/>
      <c r="MME142" s="3"/>
      <c r="MMF142" s="3"/>
      <c r="MMG142" s="3"/>
      <c r="MMH142" s="3"/>
      <c r="MMI142" s="3"/>
      <c r="MMJ142" s="3"/>
      <c r="MMK142" s="3"/>
      <c r="MML142" s="3"/>
      <c r="MMM142" s="3"/>
      <c r="MMN142" s="3"/>
      <c r="MMO142" s="3"/>
      <c r="MMP142" s="3"/>
      <c r="MMQ142" s="3"/>
      <c r="MMR142" s="3"/>
      <c r="MMS142" s="3"/>
      <c r="MMT142" s="3"/>
      <c r="MMU142" s="3"/>
      <c r="MMV142" s="3"/>
      <c r="MMW142" s="3"/>
      <c r="MMX142" s="3"/>
      <c r="MMY142" s="3"/>
      <c r="MMZ142" s="3"/>
      <c r="MNA142" s="3"/>
      <c r="MNB142" s="3"/>
      <c r="MNC142" s="3"/>
      <c r="MND142" s="3"/>
      <c r="MNE142" s="3"/>
      <c r="MNF142" s="3"/>
      <c r="MNG142" s="3"/>
      <c r="MNH142" s="3"/>
      <c r="MNI142" s="3"/>
      <c r="MNJ142" s="3"/>
      <c r="MNK142" s="3"/>
      <c r="MNL142" s="3"/>
      <c r="MNM142" s="3"/>
      <c r="MNN142" s="3"/>
      <c r="MNO142" s="3"/>
      <c r="MNP142" s="3"/>
      <c r="MNQ142" s="3"/>
      <c r="MNR142" s="3"/>
      <c r="MNS142" s="3"/>
      <c r="MNT142" s="3"/>
      <c r="MNU142" s="3"/>
      <c r="MNV142" s="3"/>
      <c r="MNW142" s="3"/>
      <c r="MNX142" s="3"/>
      <c r="MNY142" s="3"/>
      <c r="MNZ142" s="3"/>
      <c r="MOA142" s="3"/>
      <c r="MOB142" s="3"/>
      <c r="MOC142" s="3"/>
      <c r="MOD142" s="3"/>
      <c r="MOE142" s="3"/>
      <c r="MOF142" s="3"/>
      <c r="MOG142" s="3"/>
      <c r="MOH142" s="3"/>
      <c r="MOI142" s="3"/>
      <c r="MOJ142" s="3"/>
      <c r="MOK142" s="3"/>
      <c r="MOL142" s="3"/>
      <c r="MOM142" s="3"/>
      <c r="MON142" s="3"/>
      <c r="MOO142" s="3"/>
      <c r="MOP142" s="3"/>
      <c r="MOQ142" s="3"/>
      <c r="MOR142" s="3"/>
      <c r="MOS142" s="3"/>
      <c r="MOT142" s="3"/>
      <c r="MOU142" s="3"/>
      <c r="MOV142" s="3"/>
      <c r="MOW142" s="3"/>
      <c r="MOX142" s="3"/>
      <c r="MOY142" s="3"/>
      <c r="MOZ142" s="3"/>
      <c r="MPA142" s="3"/>
      <c r="MPB142" s="3"/>
      <c r="MPC142" s="3"/>
      <c r="MPD142" s="3"/>
      <c r="MPE142" s="3"/>
      <c r="MPF142" s="3"/>
      <c r="MPG142" s="3"/>
      <c r="MPH142" s="3"/>
      <c r="MPI142" s="3"/>
      <c r="MPJ142" s="3"/>
      <c r="MPK142" s="3"/>
      <c r="MPL142" s="3"/>
      <c r="MPM142" s="3"/>
      <c r="MPN142" s="3"/>
      <c r="MPO142" s="3"/>
      <c r="MPP142" s="3"/>
      <c r="MPQ142" s="3"/>
      <c r="MPR142" s="3"/>
      <c r="MPS142" s="3"/>
      <c r="MPT142" s="3"/>
      <c r="MPU142" s="3"/>
      <c r="MPV142" s="3"/>
      <c r="MPW142" s="3"/>
      <c r="MPX142" s="3"/>
      <c r="MPY142" s="3"/>
      <c r="MPZ142" s="3"/>
      <c r="MQA142" s="3"/>
      <c r="MQB142" s="3"/>
      <c r="MQC142" s="3"/>
      <c r="MQD142" s="3"/>
      <c r="MQE142" s="3"/>
      <c r="MQF142" s="3"/>
      <c r="MQG142" s="3"/>
      <c r="MQH142" s="3"/>
      <c r="MQI142" s="3"/>
      <c r="MQJ142" s="3"/>
      <c r="MQK142" s="3"/>
      <c r="MQL142" s="3"/>
      <c r="MQM142" s="3"/>
      <c r="MQN142" s="3"/>
      <c r="MQO142" s="3"/>
      <c r="MQP142" s="3"/>
      <c r="MQQ142" s="3"/>
      <c r="MQR142" s="3"/>
      <c r="MQS142" s="3"/>
      <c r="MQT142" s="3"/>
      <c r="MQU142" s="3"/>
      <c r="MQV142" s="3"/>
      <c r="MQW142" s="3"/>
      <c r="MQX142" s="3"/>
      <c r="MQY142" s="3"/>
      <c r="MQZ142" s="3"/>
      <c r="MRA142" s="3"/>
      <c r="MRB142" s="3"/>
      <c r="MRC142" s="3"/>
      <c r="MRD142" s="3"/>
      <c r="MRE142" s="3"/>
      <c r="MRF142" s="3"/>
      <c r="MRG142" s="3"/>
      <c r="MRH142" s="3"/>
      <c r="MRI142" s="3"/>
      <c r="MRJ142" s="3"/>
      <c r="MRK142" s="3"/>
      <c r="MRL142" s="3"/>
      <c r="MRM142" s="3"/>
      <c r="MRN142" s="3"/>
      <c r="MRO142" s="3"/>
      <c r="MRP142" s="3"/>
      <c r="MRQ142" s="3"/>
      <c r="MRR142" s="3"/>
      <c r="MRS142" s="3"/>
      <c r="MRT142" s="3"/>
      <c r="MRU142" s="3"/>
      <c r="MRV142" s="3"/>
      <c r="MRW142" s="3"/>
      <c r="MRX142" s="3"/>
      <c r="MRY142" s="3"/>
      <c r="MRZ142" s="3"/>
      <c r="MSA142" s="3"/>
      <c r="MSB142" s="3"/>
      <c r="MSC142" s="3"/>
      <c r="MSD142" s="3"/>
      <c r="MSE142" s="3"/>
      <c r="MSF142" s="3"/>
      <c r="MSG142" s="3"/>
      <c r="MSH142" s="3"/>
      <c r="MSI142" s="3"/>
      <c r="MSJ142" s="3"/>
      <c r="MSK142" s="3"/>
      <c r="MSL142" s="3"/>
      <c r="MSM142" s="3"/>
      <c r="MSN142" s="3"/>
      <c r="MSO142" s="3"/>
      <c r="MSP142" s="3"/>
      <c r="MSQ142" s="3"/>
      <c r="MSR142" s="3"/>
      <c r="MSS142" s="3"/>
      <c r="MST142" s="3"/>
      <c r="MSU142" s="3"/>
      <c r="MSV142" s="3"/>
      <c r="MSW142" s="3"/>
      <c r="MSX142" s="3"/>
      <c r="MSY142" s="3"/>
      <c r="MSZ142" s="3"/>
      <c r="MTA142" s="3"/>
      <c r="MTB142" s="3"/>
      <c r="MTC142" s="3"/>
      <c r="MTD142" s="3"/>
      <c r="MTE142" s="3"/>
      <c r="MTF142" s="3"/>
      <c r="MTG142" s="3"/>
      <c r="MTH142" s="3"/>
      <c r="MTI142" s="3"/>
      <c r="MTJ142" s="3"/>
      <c r="MTK142" s="3"/>
      <c r="MTL142" s="3"/>
      <c r="MTM142" s="3"/>
      <c r="MTN142" s="3"/>
      <c r="MTO142" s="3"/>
      <c r="MTP142" s="3"/>
      <c r="MTQ142" s="3"/>
      <c r="MTR142" s="3"/>
      <c r="MTS142" s="3"/>
      <c r="MTT142" s="3"/>
      <c r="MTU142" s="3"/>
      <c r="MTV142" s="3"/>
      <c r="MTW142" s="3"/>
      <c r="MTX142" s="3"/>
      <c r="MTY142" s="3"/>
      <c r="MTZ142" s="3"/>
      <c r="MUA142" s="3"/>
      <c r="MUB142" s="3"/>
      <c r="MUC142" s="3"/>
      <c r="MUD142" s="3"/>
      <c r="MUE142" s="3"/>
      <c r="MUF142" s="3"/>
      <c r="MUG142" s="3"/>
      <c r="MUH142" s="3"/>
      <c r="MUI142" s="3"/>
      <c r="MUJ142" s="3"/>
      <c r="MUK142" s="3"/>
      <c r="MUL142" s="3"/>
      <c r="MUM142" s="3"/>
      <c r="MUN142" s="3"/>
      <c r="MUO142" s="3"/>
      <c r="MUP142" s="3"/>
      <c r="MUQ142" s="3"/>
      <c r="MUR142" s="3"/>
      <c r="MUS142" s="3"/>
      <c r="MUT142" s="3"/>
      <c r="MUU142" s="3"/>
      <c r="MUV142" s="3"/>
      <c r="MUW142" s="3"/>
      <c r="MUX142" s="3"/>
      <c r="MUY142" s="3"/>
      <c r="MUZ142" s="3"/>
      <c r="MVA142" s="3"/>
      <c r="MVB142" s="3"/>
      <c r="MVC142" s="3"/>
      <c r="MVD142" s="3"/>
      <c r="MVE142" s="3"/>
      <c r="MVF142" s="3"/>
      <c r="MVG142" s="3"/>
      <c r="MVH142" s="3"/>
      <c r="MVI142" s="3"/>
      <c r="MVJ142" s="3"/>
      <c r="MVK142" s="3"/>
      <c r="MVL142" s="3"/>
      <c r="MVM142" s="3"/>
      <c r="MVN142" s="3"/>
      <c r="MVO142" s="3"/>
      <c r="MVP142" s="3"/>
      <c r="MVQ142" s="3"/>
      <c r="MVR142" s="3"/>
      <c r="MVS142" s="3"/>
      <c r="MVT142" s="3"/>
      <c r="MVU142" s="3"/>
      <c r="MVV142" s="3"/>
      <c r="MVW142" s="3"/>
      <c r="MVX142" s="3"/>
      <c r="MVY142" s="3"/>
      <c r="MVZ142" s="3"/>
      <c r="MWA142" s="3"/>
      <c r="MWB142" s="3"/>
      <c r="MWC142" s="3"/>
      <c r="MWD142" s="3"/>
      <c r="MWE142" s="3"/>
      <c r="MWF142" s="3"/>
      <c r="MWG142" s="3"/>
      <c r="MWH142" s="3"/>
      <c r="MWI142" s="3"/>
      <c r="MWJ142" s="3"/>
      <c r="MWK142" s="3"/>
      <c r="MWL142" s="3"/>
      <c r="MWM142" s="3"/>
      <c r="MWN142" s="3"/>
      <c r="MWO142" s="3"/>
      <c r="MWP142" s="3"/>
      <c r="MWQ142" s="3"/>
      <c r="MWR142" s="3"/>
      <c r="MWS142" s="3"/>
      <c r="MWT142" s="3"/>
      <c r="MWU142" s="3"/>
      <c r="MWV142" s="3"/>
      <c r="MWW142" s="3"/>
      <c r="MWX142" s="3"/>
      <c r="MWY142" s="3"/>
      <c r="MWZ142" s="3"/>
      <c r="MXA142" s="3"/>
      <c r="MXB142" s="3"/>
      <c r="MXC142" s="3"/>
      <c r="MXD142" s="3"/>
      <c r="MXE142" s="3"/>
      <c r="MXF142" s="3"/>
      <c r="MXG142" s="3"/>
      <c r="MXH142" s="3"/>
      <c r="MXI142" s="3"/>
      <c r="MXJ142" s="3"/>
      <c r="MXK142" s="3"/>
      <c r="MXL142" s="3"/>
      <c r="MXM142" s="3"/>
      <c r="MXN142" s="3"/>
      <c r="MXO142" s="3"/>
      <c r="MXP142" s="3"/>
      <c r="MXQ142" s="3"/>
      <c r="MXR142" s="3"/>
      <c r="MXS142" s="3"/>
      <c r="MXT142" s="3"/>
      <c r="MXU142" s="3"/>
      <c r="MXV142" s="3"/>
      <c r="MXW142" s="3"/>
      <c r="MXX142" s="3"/>
      <c r="MXY142" s="3"/>
      <c r="MXZ142" s="3"/>
      <c r="MYA142" s="3"/>
      <c r="MYB142" s="3"/>
      <c r="MYC142" s="3"/>
      <c r="MYD142" s="3"/>
      <c r="MYE142" s="3"/>
      <c r="MYF142" s="3"/>
      <c r="MYG142" s="3"/>
      <c r="MYH142" s="3"/>
      <c r="MYI142" s="3"/>
      <c r="MYJ142" s="3"/>
      <c r="MYK142" s="3"/>
      <c r="MYL142" s="3"/>
      <c r="MYM142" s="3"/>
      <c r="MYN142" s="3"/>
      <c r="MYO142" s="3"/>
      <c r="MYP142" s="3"/>
      <c r="MYQ142" s="3"/>
      <c r="MYR142" s="3"/>
      <c r="MYS142" s="3"/>
      <c r="MYT142" s="3"/>
      <c r="MYU142" s="3"/>
      <c r="MYV142" s="3"/>
      <c r="MYW142" s="3"/>
      <c r="MYX142" s="3"/>
      <c r="MYY142" s="3"/>
      <c r="MYZ142" s="3"/>
      <c r="MZA142" s="3"/>
      <c r="MZB142" s="3"/>
      <c r="MZC142" s="3"/>
      <c r="MZD142" s="3"/>
      <c r="MZE142" s="3"/>
      <c r="MZF142" s="3"/>
      <c r="MZG142" s="3"/>
      <c r="MZH142" s="3"/>
      <c r="MZI142" s="3"/>
      <c r="MZJ142" s="3"/>
      <c r="MZK142" s="3"/>
      <c r="MZL142" s="3"/>
      <c r="MZM142" s="3"/>
      <c r="MZN142" s="3"/>
      <c r="MZO142" s="3"/>
      <c r="MZP142" s="3"/>
      <c r="MZQ142" s="3"/>
      <c r="MZR142" s="3"/>
      <c r="MZS142" s="3"/>
      <c r="MZT142" s="3"/>
      <c r="MZU142" s="3"/>
      <c r="MZV142" s="3"/>
      <c r="MZW142" s="3"/>
      <c r="MZX142" s="3"/>
      <c r="MZY142" s="3"/>
      <c r="MZZ142" s="3"/>
      <c r="NAA142" s="3"/>
      <c r="NAB142" s="3"/>
      <c r="NAC142" s="3"/>
      <c r="NAD142" s="3"/>
      <c r="NAE142" s="3"/>
      <c r="NAF142" s="3"/>
      <c r="NAG142" s="3"/>
      <c r="NAH142" s="3"/>
      <c r="NAI142" s="3"/>
      <c r="NAJ142" s="3"/>
      <c r="NAK142" s="3"/>
      <c r="NAL142" s="3"/>
      <c r="NAM142" s="3"/>
      <c r="NAN142" s="3"/>
      <c r="NAO142" s="3"/>
      <c r="NAP142" s="3"/>
      <c r="NAQ142" s="3"/>
      <c r="NAR142" s="3"/>
      <c r="NAS142" s="3"/>
      <c r="NAT142" s="3"/>
      <c r="NAU142" s="3"/>
      <c r="NAV142" s="3"/>
      <c r="NAW142" s="3"/>
      <c r="NAX142" s="3"/>
      <c r="NAY142" s="3"/>
      <c r="NAZ142" s="3"/>
      <c r="NBA142" s="3"/>
      <c r="NBB142" s="3"/>
      <c r="NBC142" s="3"/>
      <c r="NBD142" s="3"/>
      <c r="NBE142" s="3"/>
      <c r="NBF142" s="3"/>
      <c r="NBG142" s="3"/>
      <c r="NBH142" s="3"/>
      <c r="NBI142" s="3"/>
      <c r="NBJ142" s="3"/>
      <c r="NBK142" s="3"/>
      <c r="NBL142" s="3"/>
      <c r="NBM142" s="3"/>
      <c r="NBN142" s="3"/>
      <c r="NBO142" s="3"/>
      <c r="NBP142" s="3"/>
      <c r="NBQ142" s="3"/>
      <c r="NBR142" s="3"/>
      <c r="NBS142" s="3"/>
      <c r="NBT142" s="3"/>
      <c r="NBU142" s="3"/>
      <c r="NBV142" s="3"/>
      <c r="NBW142" s="3"/>
      <c r="NBX142" s="3"/>
      <c r="NBY142" s="3"/>
      <c r="NBZ142" s="3"/>
      <c r="NCA142" s="3"/>
      <c r="NCB142" s="3"/>
      <c r="NCC142" s="3"/>
      <c r="NCD142" s="3"/>
      <c r="NCE142" s="3"/>
      <c r="NCF142" s="3"/>
      <c r="NCG142" s="3"/>
      <c r="NCH142" s="3"/>
      <c r="NCI142" s="3"/>
      <c r="NCJ142" s="3"/>
      <c r="NCK142" s="3"/>
      <c r="NCL142" s="3"/>
      <c r="NCM142" s="3"/>
      <c r="NCN142" s="3"/>
      <c r="NCO142" s="3"/>
      <c r="NCP142" s="3"/>
      <c r="NCQ142" s="3"/>
      <c r="NCR142" s="3"/>
      <c r="NCS142" s="3"/>
      <c r="NCT142" s="3"/>
      <c r="NCU142" s="3"/>
      <c r="NCV142" s="3"/>
      <c r="NCW142" s="3"/>
      <c r="NCX142" s="3"/>
      <c r="NCY142" s="3"/>
      <c r="NCZ142" s="3"/>
      <c r="NDA142" s="3"/>
      <c r="NDB142" s="3"/>
      <c r="NDC142" s="3"/>
      <c r="NDD142" s="3"/>
      <c r="NDE142" s="3"/>
      <c r="NDF142" s="3"/>
      <c r="NDG142" s="3"/>
      <c r="NDH142" s="3"/>
      <c r="NDI142" s="3"/>
      <c r="NDJ142" s="3"/>
      <c r="NDK142" s="3"/>
      <c r="NDL142" s="3"/>
      <c r="NDM142" s="3"/>
      <c r="NDN142" s="3"/>
      <c r="NDO142" s="3"/>
      <c r="NDP142" s="3"/>
      <c r="NDQ142" s="3"/>
      <c r="NDR142" s="3"/>
      <c r="NDS142" s="3"/>
      <c r="NDT142" s="3"/>
      <c r="NDU142" s="3"/>
      <c r="NDV142" s="3"/>
      <c r="NDW142" s="3"/>
      <c r="NDX142" s="3"/>
      <c r="NDY142" s="3"/>
      <c r="NDZ142" s="3"/>
      <c r="NEA142" s="3"/>
      <c r="NEB142" s="3"/>
      <c r="NEC142" s="3"/>
      <c r="NED142" s="3"/>
      <c r="NEE142" s="3"/>
      <c r="NEF142" s="3"/>
      <c r="NEG142" s="3"/>
      <c r="NEH142" s="3"/>
      <c r="NEI142" s="3"/>
      <c r="NEJ142" s="3"/>
      <c r="NEK142" s="3"/>
      <c r="NEL142" s="3"/>
      <c r="NEM142" s="3"/>
      <c r="NEN142" s="3"/>
      <c r="NEO142" s="3"/>
      <c r="NEP142" s="3"/>
      <c r="NEQ142" s="3"/>
      <c r="NER142" s="3"/>
      <c r="NES142" s="3"/>
      <c r="NET142" s="3"/>
      <c r="NEU142" s="3"/>
      <c r="NEV142" s="3"/>
      <c r="NEW142" s="3"/>
      <c r="NEX142" s="3"/>
      <c r="NEY142" s="3"/>
      <c r="NEZ142" s="3"/>
      <c r="NFA142" s="3"/>
      <c r="NFB142" s="3"/>
      <c r="NFC142" s="3"/>
      <c r="NFD142" s="3"/>
      <c r="NFE142" s="3"/>
      <c r="NFF142" s="3"/>
      <c r="NFG142" s="3"/>
      <c r="NFH142" s="3"/>
      <c r="NFI142" s="3"/>
      <c r="NFJ142" s="3"/>
      <c r="NFK142" s="3"/>
      <c r="NFL142" s="3"/>
      <c r="NFM142" s="3"/>
      <c r="NFN142" s="3"/>
      <c r="NFO142" s="3"/>
      <c r="NFP142" s="3"/>
      <c r="NFQ142" s="3"/>
      <c r="NFR142" s="3"/>
      <c r="NFS142" s="3"/>
      <c r="NFT142" s="3"/>
      <c r="NFU142" s="3"/>
      <c r="NFV142" s="3"/>
      <c r="NFW142" s="3"/>
      <c r="NFX142" s="3"/>
      <c r="NFY142" s="3"/>
      <c r="NFZ142" s="3"/>
      <c r="NGA142" s="3"/>
      <c r="NGB142" s="3"/>
      <c r="NGC142" s="3"/>
      <c r="NGD142" s="3"/>
      <c r="NGE142" s="3"/>
      <c r="NGF142" s="3"/>
      <c r="NGG142" s="3"/>
      <c r="NGH142" s="3"/>
      <c r="NGI142" s="3"/>
      <c r="NGJ142" s="3"/>
      <c r="NGK142" s="3"/>
      <c r="NGL142" s="3"/>
      <c r="NGM142" s="3"/>
      <c r="NGN142" s="3"/>
      <c r="NGO142" s="3"/>
      <c r="NGP142" s="3"/>
      <c r="NGQ142" s="3"/>
      <c r="NGR142" s="3"/>
      <c r="NGS142" s="3"/>
      <c r="NGT142" s="3"/>
      <c r="NGU142" s="3"/>
      <c r="NGV142" s="3"/>
      <c r="NGW142" s="3"/>
      <c r="NGX142" s="3"/>
      <c r="NGY142" s="3"/>
      <c r="NGZ142" s="3"/>
      <c r="NHA142" s="3"/>
      <c r="NHB142" s="3"/>
      <c r="NHC142" s="3"/>
      <c r="NHD142" s="3"/>
      <c r="NHE142" s="3"/>
      <c r="NHF142" s="3"/>
      <c r="NHG142" s="3"/>
      <c r="NHH142" s="3"/>
      <c r="NHI142" s="3"/>
      <c r="NHJ142" s="3"/>
      <c r="NHK142" s="3"/>
      <c r="NHL142" s="3"/>
      <c r="NHM142" s="3"/>
      <c r="NHN142" s="3"/>
      <c r="NHO142" s="3"/>
      <c r="NHP142" s="3"/>
      <c r="NHQ142" s="3"/>
      <c r="NHR142" s="3"/>
      <c r="NHS142" s="3"/>
      <c r="NHT142" s="3"/>
      <c r="NHU142" s="3"/>
      <c r="NHV142" s="3"/>
      <c r="NHW142" s="3"/>
      <c r="NHX142" s="3"/>
      <c r="NHY142" s="3"/>
      <c r="NHZ142" s="3"/>
      <c r="NIA142" s="3"/>
      <c r="NIB142" s="3"/>
      <c r="NIC142" s="3"/>
      <c r="NID142" s="3"/>
      <c r="NIE142" s="3"/>
      <c r="NIF142" s="3"/>
      <c r="NIG142" s="3"/>
      <c r="NIH142" s="3"/>
      <c r="NII142" s="3"/>
      <c r="NIJ142" s="3"/>
      <c r="NIK142" s="3"/>
      <c r="NIL142" s="3"/>
      <c r="NIM142" s="3"/>
      <c r="NIN142" s="3"/>
      <c r="NIO142" s="3"/>
      <c r="NIP142" s="3"/>
      <c r="NIQ142" s="3"/>
      <c r="NIR142" s="3"/>
      <c r="NIS142" s="3"/>
      <c r="NIT142" s="3"/>
      <c r="NIU142" s="3"/>
      <c r="NIV142" s="3"/>
      <c r="NIW142" s="3"/>
      <c r="NIX142" s="3"/>
      <c r="NIY142" s="3"/>
      <c r="NIZ142" s="3"/>
      <c r="NJA142" s="3"/>
      <c r="NJB142" s="3"/>
      <c r="NJC142" s="3"/>
      <c r="NJD142" s="3"/>
      <c r="NJE142" s="3"/>
      <c r="NJF142" s="3"/>
      <c r="NJG142" s="3"/>
      <c r="NJH142" s="3"/>
      <c r="NJI142" s="3"/>
      <c r="NJJ142" s="3"/>
      <c r="NJK142" s="3"/>
      <c r="NJL142" s="3"/>
      <c r="NJM142" s="3"/>
      <c r="NJN142" s="3"/>
      <c r="NJO142" s="3"/>
      <c r="NJP142" s="3"/>
      <c r="NJQ142" s="3"/>
      <c r="NJR142" s="3"/>
      <c r="NJS142" s="3"/>
      <c r="NJT142" s="3"/>
      <c r="NJU142" s="3"/>
      <c r="NJV142" s="3"/>
      <c r="NJW142" s="3"/>
      <c r="NJX142" s="3"/>
      <c r="NJY142" s="3"/>
      <c r="NJZ142" s="3"/>
      <c r="NKA142" s="3"/>
      <c r="NKB142" s="3"/>
      <c r="NKC142" s="3"/>
      <c r="NKD142" s="3"/>
      <c r="NKE142" s="3"/>
      <c r="NKF142" s="3"/>
      <c r="NKG142" s="3"/>
      <c r="NKH142" s="3"/>
      <c r="NKI142" s="3"/>
      <c r="NKJ142" s="3"/>
      <c r="NKK142" s="3"/>
      <c r="NKL142" s="3"/>
      <c r="NKM142" s="3"/>
      <c r="NKN142" s="3"/>
      <c r="NKO142" s="3"/>
      <c r="NKP142" s="3"/>
      <c r="NKQ142" s="3"/>
      <c r="NKR142" s="3"/>
      <c r="NKS142" s="3"/>
      <c r="NKT142" s="3"/>
      <c r="NKU142" s="3"/>
      <c r="NKV142" s="3"/>
      <c r="NKW142" s="3"/>
      <c r="NKX142" s="3"/>
      <c r="NKY142" s="3"/>
      <c r="NKZ142" s="3"/>
      <c r="NLA142" s="3"/>
      <c r="NLB142" s="3"/>
      <c r="NLC142" s="3"/>
      <c r="NLD142" s="3"/>
      <c r="NLE142" s="3"/>
      <c r="NLF142" s="3"/>
      <c r="NLG142" s="3"/>
      <c r="NLH142" s="3"/>
      <c r="NLI142" s="3"/>
      <c r="NLJ142" s="3"/>
      <c r="NLK142" s="3"/>
      <c r="NLL142" s="3"/>
      <c r="NLM142" s="3"/>
      <c r="NLN142" s="3"/>
      <c r="NLO142" s="3"/>
      <c r="NLP142" s="3"/>
      <c r="NLQ142" s="3"/>
      <c r="NLR142" s="3"/>
      <c r="NLS142" s="3"/>
      <c r="NLT142" s="3"/>
      <c r="NLU142" s="3"/>
      <c r="NLV142" s="3"/>
      <c r="NLW142" s="3"/>
      <c r="NLX142" s="3"/>
      <c r="NLY142" s="3"/>
      <c r="NLZ142" s="3"/>
      <c r="NMA142" s="3"/>
      <c r="NMB142" s="3"/>
      <c r="NMC142" s="3"/>
      <c r="NMD142" s="3"/>
      <c r="NME142" s="3"/>
      <c r="NMF142" s="3"/>
      <c r="NMG142" s="3"/>
      <c r="NMH142" s="3"/>
      <c r="NMI142" s="3"/>
      <c r="NMJ142" s="3"/>
      <c r="NMK142" s="3"/>
      <c r="NML142" s="3"/>
      <c r="NMM142" s="3"/>
      <c r="NMN142" s="3"/>
      <c r="NMO142" s="3"/>
      <c r="NMP142" s="3"/>
      <c r="NMQ142" s="3"/>
      <c r="NMR142" s="3"/>
      <c r="NMS142" s="3"/>
      <c r="NMT142" s="3"/>
      <c r="NMU142" s="3"/>
      <c r="NMV142" s="3"/>
      <c r="NMW142" s="3"/>
      <c r="NMX142" s="3"/>
      <c r="NMY142" s="3"/>
      <c r="NMZ142" s="3"/>
      <c r="NNA142" s="3"/>
      <c r="NNB142" s="3"/>
      <c r="NNC142" s="3"/>
      <c r="NND142" s="3"/>
      <c r="NNE142" s="3"/>
      <c r="NNF142" s="3"/>
      <c r="NNG142" s="3"/>
      <c r="NNH142" s="3"/>
      <c r="NNI142" s="3"/>
      <c r="NNJ142" s="3"/>
      <c r="NNK142" s="3"/>
      <c r="NNL142" s="3"/>
      <c r="NNM142" s="3"/>
      <c r="NNN142" s="3"/>
      <c r="NNO142" s="3"/>
      <c r="NNP142" s="3"/>
      <c r="NNQ142" s="3"/>
      <c r="NNR142" s="3"/>
      <c r="NNS142" s="3"/>
      <c r="NNT142" s="3"/>
      <c r="NNU142" s="3"/>
      <c r="NNV142" s="3"/>
      <c r="NNW142" s="3"/>
      <c r="NNX142" s="3"/>
      <c r="NNY142" s="3"/>
      <c r="NNZ142" s="3"/>
      <c r="NOA142" s="3"/>
      <c r="NOB142" s="3"/>
      <c r="NOC142" s="3"/>
      <c r="NOD142" s="3"/>
      <c r="NOE142" s="3"/>
      <c r="NOF142" s="3"/>
      <c r="NOG142" s="3"/>
      <c r="NOH142" s="3"/>
      <c r="NOI142" s="3"/>
      <c r="NOJ142" s="3"/>
      <c r="NOK142" s="3"/>
      <c r="NOL142" s="3"/>
      <c r="NOM142" s="3"/>
      <c r="NON142" s="3"/>
      <c r="NOO142" s="3"/>
      <c r="NOP142" s="3"/>
      <c r="NOQ142" s="3"/>
      <c r="NOR142" s="3"/>
      <c r="NOS142" s="3"/>
      <c r="NOT142" s="3"/>
      <c r="NOU142" s="3"/>
      <c r="NOV142" s="3"/>
      <c r="NOW142" s="3"/>
      <c r="NOX142" s="3"/>
      <c r="NOY142" s="3"/>
      <c r="NOZ142" s="3"/>
      <c r="NPA142" s="3"/>
      <c r="NPB142" s="3"/>
      <c r="NPC142" s="3"/>
      <c r="NPD142" s="3"/>
      <c r="NPE142" s="3"/>
      <c r="NPF142" s="3"/>
      <c r="NPG142" s="3"/>
      <c r="NPH142" s="3"/>
      <c r="NPI142" s="3"/>
      <c r="NPJ142" s="3"/>
      <c r="NPK142" s="3"/>
      <c r="NPL142" s="3"/>
      <c r="NPM142" s="3"/>
      <c r="NPN142" s="3"/>
      <c r="NPO142" s="3"/>
      <c r="NPP142" s="3"/>
      <c r="NPQ142" s="3"/>
      <c r="NPR142" s="3"/>
      <c r="NPS142" s="3"/>
      <c r="NPT142" s="3"/>
      <c r="NPU142" s="3"/>
      <c r="NPV142" s="3"/>
      <c r="NPW142" s="3"/>
      <c r="NPX142" s="3"/>
      <c r="NPY142" s="3"/>
      <c r="NPZ142" s="3"/>
      <c r="NQA142" s="3"/>
      <c r="NQB142" s="3"/>
      <c r="NQC142" s="3"/>
      <c r="NQD142" s="3"/>
      <c r="NQE142" s="3"/>
      <c r="NQF142" s="3"/>
      <c r="NQG142" s="3"/>
      <c r="NQH142" s="3"/>
      <c r="NQI142" s="3"/>
      <c r="NQJ142" s="3"/>
      <c r="NQK142" s="3"/>
      <c r="NQL142" s="3"/>
      <c r="NQM142" s="3"/>
      <c r="NQN142" s="3"/>
      <c r="NQO142" s="3"/>
      <c r="NQP142" s="3"/>
      <c r="NQQ142" s="3"/>
      <c r="NQR142" s="3"/>
      <c r="NQS142" s="3"/>
      <c r="NQT142" s="3"/>
      <c r="NQU142" s="3"/>
      <c r="NQV142" s="3"/>
      <c r="NQW142" s="3"/>
      <c r="NQX142" s="3"/>
      <c r="NQY142" s="3"/>
      <c r="NQZ142" s="3"/>
      <c r="NRA142" s="3"/>
      <c r="NRB142" s="3"/>
      <c r="NRC142" s="3"/>
      <c r="NRD142" s="3"/>
      <c r="NRE142" s="3"/>
      <c r="NRF142" s="3"/>
      <c r="NRG142" s="3"/>
      <c r="NRH142" s="3"/>
      <c r="NRI142" s="3"/>
      <c r="NRJ142" s="3"/>
      <c r="NRK142" s="3"/>
      <c r="NRL142" s="3"/>
      <c r="NRM142" s="3"/>
      <c r="NRN142" s="3"/>
      <c r="NRO142" s="3"/>
      <c r="NRP142" s="3"/>
      <c r="NRQ142" s="3"/>
      <c r="NRR142" s="3"/>
      <c r="NRS142" s="3"/>
      <c r="NRT142" s="3"/>
      <c r="NRU142" s="3"/>
      <c r="NRV142" s="3"/>
      <c r="NRW142" s="3"/>
      <c r="NRX142" s="3"/>
      <c r="NRY142" s="3"/>
      <c r="NRZ142" s="3"/>
      <c r="NSA142" s="3"/>
      <c r="NSB142" s="3"/>
      <c r="NSC142" s="3"/>
      <c r="NSD142" s="3"/>
      <c r="NSE142" s="3"/>
      <c r="NSF142" s="3"/>
      <c r="NSG142" s="3"/>
      <c r="NSH142" s="3"/>
      <c r="NSI142" s="3"/>
      <c r="NSJ142" s="3"/>
      <c r="NSK142" s="3"/>
      <c r="NSL142" s="3"/>
      <c r="NSM142" s="3"/>
      <c r="NSN142" s="3"/>
      <c r="NSO142" s="3"/>
      <c r="NSP142" s="3"/>
      <c r="NSQ142" s="3"/>
      <c r="NSR142" s="3"/>
      <c r="NSS142" s="3"/>
      <c r="NST142" s="3"/>
      <c r="NSU142" s="3"/>
      <c r="NSV142" s="3"/>
      <c r="NSW142" s="3"/>
      <c r="NSX142" s="3"/>
      <c r="NSY142" s="3"/>
      <c r="NSZ142" s="3"/>
      <c r="NTA142" s="3"/>
      <c r="NTB142" s="3"/>
      <c r="NTC142" s="3"/>
      <c r="NTD142" s="3"/>
      <c r="NTE142" s="3"/>
      <c r="NTF142" s="3"/>
      <c r="NTG142" s="3"/>
      <c r="NTH142" s="3"/>
      <c r="NTI142" s="3"/>
      <c r="NTJ142" s="3"/>
      <c r="NTK142" s="3"/>
      <c r="NTL142" s="3"/>
      <c r="NTM142" s="3"/>
      <c r="NTN142" s="3"/>
      <c r="NTO142" s="3"/>
      <c r="NTP142" s="3"/>
      <c r="NTQ142" s="3"/>
      <c r="NTR142" s="3"/>
      <c r="NTS142" s="3"/>
      <c r="NTT142" s="3"/>
      <c r="NTU142" s="3"/>
      <c r="NTV142" s="3"/>
      <c r="NTW142" s="3"/>
      <c r="NTX142" s="3"/>
      <c r="NTY142" s="3"/>
      <c r="NTZ142" s="3"/>
      <c r="NUA142" s="3"/>
      <c r="NUB142" s="3"/>
      <c r="NUC142" s="3"/>
      <c r="NUD142" s="3"/>
      <c r="NUE142" s="3"/>
      <c r="NUF142" s="3"/>
      <c r="NUG142" s="3"/>
      <c r="NUH142" s="3"/>
      <c r="NUI142" s="3"/>
      <c r="NUJ142" s="3"/>
      <c r="NUK142" s="3"/>
      <c r="NUL142" s="3"/>
      <c r="NUM142" s="3"/>
      <c r="NUN142" s="3"/>
      <c r="NUO142" s="3"/>
      <c r="NUP142" s="3"/>
      <c r="NUQ142" s="3"/>
      <c r="NUR142" s="3"/>
      <c r="NUS142" s="3"/>
      <c r="NUT142" s="3"/>
      <c r="NUU142" s="3"/>
      <c r="NUV142" s="3"/>
      <c r="NUW142" s="3"/>
      <c r="NUX142" s="3"/>
      <c r="NUY142" s="3"/>
      <c r="NUZ142" s="3"/>
      <c r="NVA142" s="3"/>
      <c r="NVB142" s="3"/>
      <c r="NVC142" s="3"/>
      <c r="NVD142" s="3"/>
      <c r="NVE142" s="3"/>
      <c r="NVF142" s="3"/>
      <c r="NVG142" s="3"/>
      <c r="NVH142" s="3"/>
      <c r="NVI142" s="3"/>
      <c r="NVJ142" s="3"/>
      <c r="NVK142" s="3"/>
      <c r="NVL142" s="3"/>
      <c r="NVM142" s="3"/>
      <c r="NVN142" s="3"/>
      <c r="NVO142" s="3"/>
      <c r="NVP142" s="3"/>
      <c r="NVQ142" s="3"/>
      <c r="NVR142" s="3"/>
      <c r="NVS142" s="3"/>
      <c r="NVT142" s="3"/>
      <c r="NVU142" s="3"/>
      <c r="NVV142" s="3"/>
      <c r="NVW142" s="3"/>
      <c r="NVX142" s="3"/>
      <c r="NVY142" s="3"/>
      <c r="NVZ142" s="3"/>
      <c r="NWA142" s="3"/>
      <c r="NWB142" s="3"/>
      <c r="NWC142" s="3"/>
      <c r="NWD142" s="3"/>
      <c r="NWE142" s="3"/>
      <c r="NWF142" s="3"/>
      <c r="NWG142" s="3"/>
      <c r="NWH142" s="3"/>
      <c r="NWI142" s="3"/>
      <c r="NWJ142" s="3"/>
      <c r="NWK142" s="3"/>
      <c r="NWL142" s="3"/>
      <c r="NWM142" s="3"/>
      <c r="NWN142" s="3"/>
      <c r="NWO142" s="3"/>
      <c r="NWP142" s="3"/>
      <c r="NWQ142" s="3"/>
      <c r="NWR142" s="3"/>
      <c r="NWS142" s="3"/>
      <c r="NWT142" s="3"/>
      <c r="NWU142" s="3"/>
      <c r="NWV142" s="3"/>
      <c r="NWW142" s="3"/>
      <c r="NWX142" s="3"/>
      <c r="NWY142" s="3"/>
      <c r="NWZ142" s="3"/>
      <c r="NXA142" s="3"/>
      <c r="NXB142" s="3"/>
      <c r="NXC142" s="3"/>
      <c r="NXD142" s="3"/>
      <c r="NXE142" s="3"/>
      <c r="NXF142" s="3"/>
      <c r="NXG142" s="3"/>
      <c r="NXH142" s="3"/>
      <c r="NXI142" s="3"/>
      <c r="NXJ142" s="3"/>
      <c r="NXK142" s="3"/>
      <c r="NXL142" s="3"/>
      <c r="NXM142" s="3"/>
      <c r="NXN142" s="3"/>
      <c r="NXO142" s="3"/>
      <c r="NXP142" s="3"/>
      <c r="NXQ142" s="3"/>
      <c r="NXR142" s="3"/>
      <c r="NXS142" s="3"/>
      <c r="NXT142" s="3"/>
      <c r="NXU142" s="3"/>
      <c r="NXV142" s="3"/>
      <c r="NXW142" s="3"/>
      <c r="NXX142" s="3"/>
      <c r="NXY142" s="3"/>
      <c r="NXZ142" s="3"/>
      <c r="NYA142" s="3"/>
      <c r="NYB142" s="3"/>
      <c r="NYC142" s="3"/>
      <c r="NYD142" s="3"/>
      <c r="NYE142" s="3"/>
      <c r="NYF142" s="3"/>
      <c r="NYG142" s="3"/>
      <c r="NYH142" s="3"/>
      <c r="NYI142" s="3"/>
      <c r="NYJ142" s="3"/>
      <c r="NYK142" s="3"/>
      <c r="NYL142" s="3"/>
      <c r="NYM142" s="3"/>
      <c r="NYN142" s="3"/>
      <c r="NYO142" s="3"/>
      <c r="NYP142" s="3"/>
      <c r="NYQ142" s="3"/>
      <c r="NYR142" s="3"/>
      <c r="NYS142" s="3"/>
      <c r="NYT142" s="3"/>
      <c r="NYU142" s="3"/>
      <c r="NYV142" s="3"/>
      <c r="NYW142" s="3"/>
      <c r="NYX142" s="3"/>
      <c r="NYY142" s="3"/>
      <c r="NYZ142" s="3"/>
      <c r="NZA142" s="3"/>
      <c r="NZB142" s="3"/>
      <c r="NZC142" s="3"/>
      <c r="NZD142" s="3"/>
      <c r="NZE142" s="3"/>
      <c r="NZF142" s="3"/>
      <c r="NZG142" s="3"/>
      <c r="NZH142" s="3"/>
      <c r="NZI142" s="3"/>
      <c r="NZJ142" s="3"/>
      <c r="NZK142" s="3"/>
      <c r="NZL142" s="3"/>
      <c r="NZM142" s="3"/>
      <c r="NZN142" s="3"/>
      <c r="NZO142" s="3"/>
      <c r="NZP142" s="3"/>
      <c r="NZQ142" s="3"/>
      <c r="NZR142" s="3"/>
      <c r="NZS142" s="3"/>
      <c r="NZT142" s="3"/>
      <c r="NZU142" s="3"/>
      <c r="NZV142" s="3"/>
      <c r="NZW142" s="3"/>
      <c r="NZX142" s="3"/>
      <c r="NZY142" s="3"/>
      <c r="NZZ142" s="3"/>
      <c r="OAA142" s="3"/>
      <c r="OAB142" s="3"/>
      <c r="OAC142" s="3"/>
      <c r="OAD142" s="3"/>
      <c r="OAE142" s="3"/>
      <c r="OAF142" s="3"/>
      <c r="OAG142" s="3"/>
      <c r="OAH142" s="3"/>
      <c r="OAI142" s="3"/>
      <c r="OAJ142" s="3"/>
      <c r="OAK142" s="3"/>
      <c r="OAL142" s="3"/>
      <c r="OAM142" s="3"/>
      <c r="OAN142" s="3"/>
      <c r="OAO142" s="3"/>
      <c r="OAP142" s="3"/>
      <c r="OAQ142" s="3"/>
      <c r="OAR142" s="3"/>
      <c r="OAS142" s="3"/>
      <c r="OAT142" s="3"/>
      <c r="OAU142" s="3"/>
      <c r="OAV142" s="3"/>
      <c r="OAW142" s="3"/>
      <c r="OAX142" s="3"/>
      <c r="OAY142" s="3"/>
      <c r="OAZ142" s="3"/>
      <c r="OBA142" s="3"/>
      <c r="OBB142" s="3"/>
      <c r="OBC142" s="3"/>
      <c r="OBD142" s="3"/>
      <c r="OBE142" s="3"/>
      <c r="OBF142" s="3"/>
      <c r="OBG142" s="3"/>
      <c r="OBH142" s="3"/>
      <c r="OBI142" s="3"/>
      <c r="OBJ142" s="3"/>
      <c r="OBK142" s="3"/>
      <c r="OBL142" s="3"/>
      <c r="OBM142" s="3"/>
      <c r="OBN142" s="3"/>
      <c r="OBO142" s="3"/>
      <c r="OBP142" s="3"/>
      <c r="OBQ142" s="3"/>
      <c r="OBR142" s="3"/>
      <c r="OBS142" s="3"/>
      <c r="OBT142" s="3"/>
      <c r="OBU142" s="3"/>
      <c r="OBV142" s="3"/>
      <c r="OBW142" s="3"/>
      <c r="OBX142" s="3"/>
      <c r="OBY142" s="3"/>
      <c r="OBZ142" s="3"/>
      <c r="OCA142" s="3"/>
      <c r="OCB142" s="3"/>
      <c r="OCC142" s="3"/>
      <c r="OCD142" s="3"/>
      <c r="OCE142" s="3"/>
      <c r="OCF142" s="3"/>
      <c r="OCG142" s="3"/>
      <c r="OCH142" s="3"/>
      <c r="OCI142" s="3"/>
      <c r="OCJ142" s="3"/>
      <c r="OCK142" s="3"/>
      <c r="OCL142" s="3"/>
      <c r="OCM142" s="3"/>
      <c r="OCN142" s="3"/>
      <c r="OCO142" s="3"/>
      <c r="OCP142" s="3"/>
      <c r="OCQ142" s="3"/>
      <c r="OCR142" s="3"/>
      <c r="OCS142" s="3"/>
      <c r="OCT142" s="3"/>
      <c r="OCU142" s="3"/>
      <c r="OCV142" s="3"/>
      <c r="OCW142" s="3"/>
      <c r="OCX142" s="3"/>
      <c r="OCY142" s="3"/>
      <c r="OCZ142" s="3"/>
      <c r="ODA142" s="3"/>
      <c r="ODB142" s="3"/>
      <c r="ODC142" s="3"/>
      <c r="ODD142" s="3"/>
      <c r="ODE142" s="3"/>
      <c r="ODF142" s="3"/>
      <c r="ODG142" s="3"/>
      <c r="ODH142" s="3"/>
      <c r="ODI142" s="3"/>
      <c r="ODJ142" s="3"/>
      <c r="ODK142" s="3"/>
      <c r="ODL142" s="3"/>
      <c r="ODM142" s="3"/>
      <c r="ODN142" s="3"/>
      <c r="ODO142" s="3"/>
      <c r="ODP142" s="3"/>
      <c r="ODQ142" s="3"/>
      <c r="ODR142" s="3"/>
      <c r="ODS142" s="3"/>
      <c r="ODT142" s="3"/>
      <c r="ODU142" s="3"/>
      <c r="ODV142" s="3"/>
      <c r="ODW142" s="3"/>
      <c r="ODX142" s="3"/>
      <c r="ODY142" s="3"/>
      <c r="ODZ142" s="3"/>
      <c r="OEA142" s="3"/>
      <c r="OEB142" s="3"/>
      <c r="OEC142" s="3"/>
      <c r="OED142" s="3"/>
      <c r="OEE142" s="3"/>
      <c r="OEF142" s="3"/>
      <c r="OEG142" s="3"/>
      <c r="OEH142" s="3"/>
      <c r="OEI142" s="3"/>
      <c r="OEJ142" s="3"/>
      <c r="OEK142" s="3"/>
      <c r="OEL142" s="3"/>
      <c r="OEM142" s="3"/>
      <c r="OEN142" s="3"/>
      <c r="OEO142" s="3"/>
      <c r="OEP142" s="3"/>
      <c r="OEQ142" s="3"/>
      <c r="OER142" s="3"/>
      <c r="OES142" s="3"/>
      <c r="OET142" s="3"/>
      <c r="OEU142" s="3"/>
      <c r="OEV142" s="3"/>
      <c r="OEW142" s="3"/>
      <c r="OEX142" s="3"/>
      <c r="OEY142" s="3"/>
      <c r="OEZ142" s="3"/>
      <c r="OFA142" s="3"/>
      <c r="OFB142" s="3"/>
      <c r="OFC142" s="3"/>
      <c r="OFD142" s="3"/>
      <c r="OFE142" s="3"/>
      <c r="OFF142" s="3"/>
      <c r="OFG142" s="3"/>
      <c r="OFH142" s="3"/>
      <c r="OFI142" s="3"/>
      <c r="OFJ142" s="3"/>
      <c r="OFK142" s="3"/>
      <c r="OFL142" s="3"/>
      <c r="OFM142" s="3"/>
      <c r="OFN142" s="3"/>
      <c r="OFO142" s="3"/>
      <c r="OFP142" s="3"/>
      <c r="OFQ142" s="3"/>
      <c r="OFR142" s="3"/>
      <c r="OFS142" s="3"/>
      <c r="OFT142" s="3"/>
      <c r="OFU142" s="3"/>
      <c r="OFV142" s="3"/>
      <c r="OFW142" s="3"/>
      <c r="OFX142" s="3"/>
      <c r="OFY142" s="3"/>
      <c r="OFZ142" s="3"/>
      <c r="OGA142" s="3"/>
      <c r="OGB142" s="3"/>
      <c r="OGC142" s="3"/>
      <c r="OGD142" s="3"/>
      <c r="OGE142" s="3"/>
      <c r="OGF142" s="3"/>
      <c r="OGG142" s="3"/>
      <c r="OGH142" s="3"/>
      <c r="OGI142" s="3"/>
      <c r="OGJ142" s="3"/>
      <c r="OGK142" s="3"/>
      <c r="OGL142" s="3"/>
      <c r="OGM142" s="3"/>
      <c r="OGN142" s="3"/>
      <c r="OGO142" s="3"/>
      <c r="OGP142" s="3"/>
      <c r="OGQ142" s="3"/>
      <c r="OGR142" s="3"/>
      <c r="OGS142" s="3"/>
      <c r="OGT142" s="3"/>
      <c r="OGU142" s="3"/>
      <c r="OGV142" s="3"/>
      <c r="OGW142" s="3"/>
      <c r="OGX142" s="3"/>
      <c r="OGY142" s="3"/>
      <c r="OGZ142" s="3"/>
      <c r="OHA142" s="3"/>
      <c r="OHB142" s="3"/>
      <c r="OHC142" s="3"/>
      <c r="OHD142" s="3"/>
      <c r="OHE142" s="3"/>
      <c r="OHF142" s="3"/>
      <c r="OHG142" s="3"/>
      <c r="OHH142" s="3"/>
      <c r="OHI142" s="3"/>
      <c r="OHJ142" s="3"/>
      <c r="OHK142" s="3"/>
      <c r="OHL142" s="3"/>
      <c r="OHM142" s="3"/>
      <c r="OHN142" s="3"/>
      <c r="OHO142" s="3"/>
      <c r="OHP142" s="3"/>
      <c r="OHQ142" s="3"/>
      <c r="OHR142" s="3"/>
      <c r="OHS142" s="3"/>
      <c r="OHT142" s="3"/>
      <c r="OHU142" s="3"/>
      <c r="OHV142" s="3"/>
      <c r="OHW142" s="3"/>
      <c r="OHX142" s="3"/>
      <c r="OHY142" s="3"/>
      <c r="OHZ142" s="3"/>
      <c r="OIA142" s="3"/>
      <c r="OIB142" s="3"/>
      <c r="OIC142" s="3"/>
      <c r="OID142" s="3"/>
      <c r="OIE142" s="3"/>
      <c r="OIF142" s="3"/>
      <c r="OIG142" s="3"/>
      <c r="OIH142" s="3"/>
      <c r="OII142" s="3"/>
      <c r="OIJ142" s="3"/>
      <c r="OIK142" s="3"/>
      <c r="OIL142" s="3"/>
      <c r="OIM142" s="3"/>
      <c r="OIN142" s="3"/>
      <c r="OIO142" s="3"/>
      <c r="OIP142" s="3"/>
      <c r="OIQ142" s="3"/>
      <c r="OIR142" s="3"/>
      <c r="OIS142" s="3"/>
      <c r="OIT142" s="3"/>
      <c r="OIU142" s="3"/>
      <c r="OIV142" s="3"/>
      <c r="OIW142" s="3"/>
      <c r="OIX142" s="3"/>
      <c r="OIY142" s="3"/>
      <c r="OIZ142" s="3"/>
      <c r="OJA142" s="3"/>
      <c r="OJB142" s="3"/>
      <c r="OJC142" s="3"/>
      <c r="OJD142" s="3"/>
      <c r="OJE142" s="3"/>
      <c r="OJF142" s="3"/>
      <c r="OJG142" s="3"/>
      <c r="OJH142" s="3"/>
      <c r="OJI142" s="3"/>
      <c r="OJJ142" s="3"/>
      <c r="OJK142" s="3"/>
      <c r="OJL142" s="3"/>
      <c r="OJM142" s="3"/>
      <c r="OJN142" s="3"/>
      <c r="OJO142" s="3"/>
      <c r="OJP142" s="3"/>
      <c r="OJQ142" s="3"/>
      <c r="OJR142" s="3"/>
      <c r="OJS142" s="3"/>
      <c r="OJT142" s="3"/>
      <c r="OJU142" s="3"/>
      <c r="OJV142" s="3"/>
      <c r="OJW142" s="3"/>
      <c r="OJX142" s="3"/>
      <c r="OJY142" s="3"/>
      <c r="OJZ142" s="3"/>
      <c r="OKA142" s="3"/>
      <c r="OKB142" s="3"/>
      <c r="OKC142" s="3"/>
      <c r="OKD142" s="3"/>
      <c r="OKE142" s="3"/>
      <c r="OKF142" s="3"/>
      <c r="OKG142" s="3"/>
      <c r="OKH142" s="3"/>
      <c r="OKI142" s="3"/>
      <c r="OKJ142" s="3"/>
      <c r="OKK142" s="3"/>
      <c r="OKL142" s="3"/>
      <c r="OKM142" s="3"/>
      <c r="OKN142" s="3"/>
      <c r="OKO142" s="3"/>
      <c r="OKP142" s="3"/>
      <c r="OKQ142" s="3"/>
      <c r="OKR142" s="3"/>
      <c r="OKS142" s="3"/>
      <c r="OKT142" s="3"/>
      <c r="OKU142" s="3"/>
      <c r="OKV142" s="3"/>
      <c r="OKW142" s="3"/>
      <c r="OKX142" s="3"/>
      <c r="OKY142" s="3"/>
      <c r="OKZ142" s="3"/>
      <c r="OLA142" s="3"/>
      <c r="OLB142" s="3"/>
      <c r="OLC142" s="3"/>
      <c r="OLD142" s="3"/>
      <c r="OLE142" s="3"/>
      <c r="OLF142" s="3"/>
      <c r="OLG142" s="3"/>
      <c r="OLH142" s="3"/>
      <c r="OLI142" s="3"/>
      <c r="OLJ142" s="3"/>
      <c r="OLK142" s="3"/>
      <c r="OLL142" s="3"/>
      <c r="OLM142" s="3"/>
      <c r="OLN142" s="3"/>
      <c r="OLO142" s="3"/>
      <c r="OLP142" s="3"/>
      <c r="OLQ142" s="3"/>
      <c r="OLR142" s="3"/>
      <c r="OLS142" s="3"/>
      <c r="OLT142" s="3"/>
      <c r="OLU142" s="3"/>
      <c r="OLV142" s="3"/>
      <c r="OLW142" s="3"/>
      <c r="OLX142" s="3"/>
      <c r="OLY142" s="3"/>
      <c r="OLZ142" s="3"/>
      <c r="OMA142" s="3"/>
      <c r="OMB142" s="3"/>
      <c r="OMC142" s="3"/>
      <c r="OMD142" s="3"/>
      <c r="OME142" s="3"/>
      <c r="OMF142" s="3"/>
      <c r="OMG142" s="3"/>
      <c r="OMH142" s="3"/>
      <c r="OMI142" s="3"/>
      <c r="OMJ142" s="3"/>
      <c r="OMK142" s="3"/>
      <c r="OML142" s="3"/>
      <c r="OMM142" s="3"/>
      <c r="OMN142" s="3"/>
      <c r="OMO142" s="3"/>
      <c r="OMP142" s="3"/>
      <c r="OMQ142" s="3"/>
      <c r="OMR142" s="3"/>
      <c r="OMS142" s="3"/>
      <c r="OMT142" s="3"/>
      <c r="OMU142" s="3"/>
      <c r="OMV142" s="3"/>
      <c r="OMW142" s="3"/>
      <c r="OMX142" s="3"/>
      <c r="OMY142" s="3"/>
      <c r="OMZ142" s="3"/>
      <c r="ONA142" s="3"/>
      <c r="ONB142" s="3"/>
      <c r="ONC142" s="3"/>
      <c r="OND142" s="3"/>
      <c r="ONE142" s="3"/>
      <c r="ONF142" s="3"/>
      <c r="ONG142" s="3"/>
      <c r="ONH142" s="3"/>
      <c r="ONI142" s="3"/>
      <c r="ONJ142" s="3"/>
      <c r="ONK142" s="3"/>
      <c r="ONL142" s="3"/>
      <c r="ONM142" s="3"/>
      <c r="ONN142" s="3"/>
      <c r="ONO142" s="3"/>
      <c r="ONP142" s="3"/>
      <c r="ONQ142" s="3"/>
      <c r="ONR142" s="3"/>
      <c r="ONS142" s="3"/>
      <c r="ONT142" s="3"/>
      <c r="ONU142" s="3"/>
      <c r="ONV142" s="3"/>
      <c r="ONW142" s="3"/>
      <c r="ONX142" s="3"/>
      <c r="ONY142" s="3"/>
      <c r="ONZ142" s="3"/>
      <c r="OOA142" s="3"/>
      <c r="OOB142" s="3"/>
      <c r="OOC142" s="3"/>
      <c r="OOD142" s="3"/>
      <c r="OOE142" s="3"/>
      <c r="OOF142" s="3"/>
      <c r="OOG142" s="3"/>
      <c r="OOH142" s="3"/>
      <c r="OOI142" s="3"/>
      <c r="OOJ142" s="3"/>
      <c r="OOK142" s="3"/>
      <c r="OOL142" s="3"/>
      <c r="OOM142" s="3"/>
      <c r="OON142" s="3"/>
      <c r="OOO142" s="3"/>
      <c r="OOP142" s="3"/>
      <c r="OOQ142" s="3"/>
      <c r="OOR142" s="3"/>
      <c r="OOS142" s="3"/>
      <c r="OOT142" s="3"/>
      <c r="OOU142" s="3"/>
      <c r="OOV142" s="3"/>
      <c r="OOW142" s="3"/>
      <c r="OOX142" s="3"/>
      <c r="OOY142" s="3"/>
      <c r="OOZ142" s="3"/>
      <c r="OPA142" s="3"/>
      <c r="OPB142" s="3"/>
      <c r="OPC142" s="3"/>
      <c r="OPD142" s="3"/>
      <c r="OPE142" s="3"/>
      <c r="OPF142" s="3"/>
      <c r="OPG142" s="3"/>
      <c r="OPH142" s="3"/>
      <c r="OPI142" s="3"/>
      <c r="OPJ142" s="3"/>
      <c r="OPK142" s="3"/>
      <c r="OPL142" s="3"/>
      <c r="OPM142" s="3"/>
      <c r="OPN142" s="3"/>
      <c r="OPO142" s="3"/>
      <c r="OPP142" s="3"/>
      <c r="OPQ142" s="3"/>
      <c r="OPR142" s="3"/>
      <c r="OPS142" s="3"/>
      <c r="OPT142" s="3"/>
      <c r="OPU142" s="3"/>
      <c r="OPV142" s="3"/>
      <c r="OPW142" s="3"/>
      <c r="OPX142" s="3"/>
      <c r="OPY142" s="3"/>
      <c r="OPZ142" s="3"/>
      <c r="OQA142" s="3"/>
      <c r="OQB142" s="3"/>
      <c r="OQC142" s="3"/>
      <c r="OQD142" s="3"/>
      <c r="OQE142" s="3"/>
      <c r="OQF142" s="3"/>
      <c r="OQG142" s="3"/>
      <c r="OQH142" s="3"/>
      <c r="OQI142" s="3"/>
      <c r="OQJ142" s="3"/>
      <c r="OQK142" s="3"/>
      <c r="OQL142" s="3"/>
      <c r="OQM142" s="3"/>
      <c r="OQN142" s="3"/>
      <c r="OQO142" s="3"/>
      <c r="OQP142" s="3"/>
      <c r="OQQ142" s="3"/>
      <c r="OQR142" s="3"/>
      <c r="OQS142" s="3"/>
      <c r="OQT142" s="3"/>
      <c r="OQU142" s="3"/>
      <c r="OQV142" s="3"/>
      <c r="OQW142" s="3"/>
      <c r="OQX142" s="3"/>
      <c r="OQY142" s="3"/>
      <c r="OQZ142" s="3"/>
      <c r="ORA142" s="3"/>
      <c r="ORB142" s="3"/>
      <c r="ORC142" s="3"/>
      <c r="ORD142" s="3"/>
      <c r="ORE142" s="3"/>
      <c r="ORF142" s="3"/>
      <c r="ORG142" s="3"/>
      <c r="ORH142" s="3"/>
      <c r="ORI142" s="3"/>
      <c r="ORJ142" s="3"/>
      <c r="ORK142" s="3"/>
      <c r="ORL142" s="3"/>
      <c r="ORM142" s="3"/>
      <c r="ORN142" s="3"/>
      <c r="ORO142" s="3"/>
      <c r="ORP142" s="3"/>
      <c r="ORQ142" s="3"/>
      <c r="ORR142" s="3"/>
      <c r="ORS142" s="3"/>
      <c r="ORT142" s="3"/>
      <c r="ORU142" s="3"/>
      <c r="ORV142" s="3"/>
      <c r="ORW142" s="3"/>
      <c r="ORX142" s="3"/>
      <c r="ORY142" s="3"/>
      <c r="ORZ142" s="3"/>
      <c r="OSA142" s="3"/>
      <c r="OSB142" s="3"/>
      <c r="OSC142" s="3"/>
      <c r="OSD142" s="3"/>
      <c r="OSE142" s="3"/>
      <c r="OSF142" s="3"/>
      <c r="OSG142" s="3"/>
      <c r="OSH142" s="3"/>
      <c r="OSI142" s="3"/>
      <c r="OSJ142" s="3"/>
      <c r="OSK142" s="3"/>
      <c r="OSL142" s="3"/>
      <c r="OSM142" s="3"/>
      <c r="OSN142" s="3"/>
      <c r="OSO142" s="3"/>
      <c r="OSP142" s="3"/>
      <c r="OSQ142" s="3"/>
      <c r="OSR142" s="3"/>
      <c r="OSS142" s="3"/>
      <c r="OST142" s="3"/>
      <c r="OSU142" s="3"/>
      <c r="OSV142" s="3"/>
      <c r="OSW142" s="3"/>
      <c r="OSX142" s="3"/>
      <c r="OSY142" s="3"/>
      <c r="OSZ142" s="3"/>
      <c r="OTA142" s="3"/>
      <c r="OTB142" s="3"/>
      <c r="OTC142" s="3"/>
      <c r="OTD142" s="3"/>
      <c r="OTE142" s="3"/>
      <c r="OTF142" s="3"/>
      <c r="OTG142" s="3"/>
      <c r="OTH142" s="3"/>
      <c r="OTI142" s="3"/>
      <c r="OTJ142" s="3"/>
      <c r="OTK142" s="3"/>
      <c r="OTL142" s="3"/>
      <c r="OTM142" s="3"/>
      <c r="OTN142" s="3"/>
      <c r="OTO142" s="3"/>
      <c r="OTP142" s="3"/>
      <c r="OTQ142" s="3"/>
      <c r="OTR142" s="3"/>
      <c r="OTS142" s="3"/>
      <c r="OTT142" s="3"/>
      <c r="OTU142" s="3"/>
      <c r="OTV142" s="3"/>
      <c r="OTW142" s="3"/>
      <c r="OTX142" s="3"/>
      <c r="OTY142" s="3"/>
      <c r="OTZ142" s="3"/>
      <c r="OUA142" s="3"/>
      <c r="OUB142" s="3"/>
      <c r="OUC142" s="3"/>
      <c r="OUD142" s="3"/>
      <c r="OUE142" s="3"/>
      <c r="OUF142" s="3"/>
      <c r="OUG142" s="3"/>
      <c r="OUH142" s="3"/>
      <c r="OUI142" s="3"/>
      <c r="OUJ142" s="3"/>
      <c r="OUK142" s="3"/>
      <c r="OUL142" s="3"/>
      <c r="OUM142" s="3"/>
      <c r="OUN142" s="3"/>
      <c r="OUO142" s="3"/>
      <c r="OUP142" s="3"/>
      <c r="OUQ142" s="3"/>
      <c r="OUR142" s="3"/>
      <c r="OUS142" s="3"/>
      <c r="OUT142" s="3"/>
      <c r="OUU142" s="3"/>
      <c r="OUV142" s="3"/>
      <c r="OUW142" s="3"/>
      <c r="OUX142" s="3"/>
      <c r="OUY142" s="3"/>
      <c r="OUZ142" s="3"/>
      <c r="OVA142" s="3"/>
      <c r="OVB142" s="3"/>
      <c r="OVC142" s="3"/>
      <c r="OVD142" s="3"/>
      <c r="OVE142" s="3"/>
      <c r="OVF142" s="3"/>
      <c r="OVG142" s="3"/>
      <c r="OVH142" s="3"/>
      <c r="OVI142" s="3"/>
      <c r="OVJ142" s="3"/>
      <c r="OVK142" s="3"/>
      <c r="OVL142" s="3"/>
      <c r="OVM142" s="3"/>
      <c r="OVN142" s="3"/>
      <c r="OVO142" s="3"/>
      <c r="OVP142" s="3"/>
      <c r="OVQ142" s="3"/>
      <c r="OVR142" s="3"/>
      <c r="OVS142" s="3"/>
      <c r="OVT142" s="3"/>
      <c r="OVU142" s="3"/>
      <c r="OVV142" s="3"/>
      <c r="OVW142" s="3"/>
      <c r="OVX142" s="3"/>
      <c r="OVY142" s="3"/>
      <c r="OVZ142" s="3"/>
      <c r="OWA142" s="3"/>
      <c r="OWB142" s="3"/>
      <c r="OWC142" s="3"/>
      <c r="OWD142" s="3"/>
      <c r="OWE142" s="3"/>
      <c r="OWF142" s="3"/>
      <c r="OWG142" s="3"/>
      <c r="OWH142" s="3"/>
      <c r="OWI142" s="3"/>
      <c r="OWJ142" s="3"/>
      <c r="OWK142" s="3"/>
      <c r="OWL142" s="3"/>
      <c r="OWM142" s="3"/>
      <c r="OWN142" s="3"/>
      <c r="OWO142" s="3"/>
      <c r="OWP142" s="3"/>
      <c r="OWQ142" s="3"/>
      <c r="OWR142" s="3"/>
      <c r="OWS142" s="3"/>
      <c r="OWT142" s="3"/>
      <c r="OWU142" s="3"/>
      <c r="OWV142" s="3"/>
      <c r="OWW142" s="3"/>
      <c r="OWX142" s="3"/>
      <c r="OWY142" s="3"/>
      <c r="OWZ142" s="3"/>
      <c r="OXA142" s="3"/>
      <c r="OXB142" s="3"/>
      <c r="OXC142" s="3"/>
      <c r="OXD142" s="3"/>
      <c r="OXE142" s="3"/>
      <c r="OXF142" s="3"/>
      <c r="OXG142" s="3"/>
      <c r="OXH142" s="3"/>
      <c r="OXI142" s="3"/>
      <c r="OXJ142" s="3"/>
      <c r="OXK142" s="3"/>
      <c r="OXL142" s="3"/>
      <c r="OXM142" s="3"/>
      <c r="OXN142" s="3"/>
      <c r="OXO142" s="3"/>
      <c r="OXP142" s="3"/>
      <c r="OXQ142" s="3"/>
      <c r="OXR142" s="3"/>
      <c r="OXS142" s="3"/>
      <c r="OXT142" s="3"/>
      <c r="OXU142" s="3"/>
      <c r="OXV142" s="3"/>
      <c r="OXW142" s="3"/>
      <c r="OXX142" s="3"/>
      <c r="OXY142" s="3"/>
      <c r="OXZ142" s="3"/>
      <c r="OYA142" s="3"/>
      <c r="OYB142" s="3"/>
      <c r="OYC142" s="3"/>
      <c r="OYD142" s="3"/>
      <c r="OYE142" s="3"/>
      <c r="OYF142" s="3"/>
      <c r="OYG142" s="3"/>
      <c r="OYH142" s="3"/>
      <c r="OYI142" s="3"/>
      <c r="OYJ142" s="3"/>
      <c r="OYK142" s="3"/>
      <c r="OYL142" s="3"/>
      <c r="OYM142" s="3"/>
      <c r="OYN142" s="3"/>
      <c r="OYO142" s="3"/>
      <c r="OYP142" s="3"/>
      <c r="OYQ142" s="3"/>
      <c r="OYR142" s="3"/>
      <c r="OYS142" s="3"/>
      <c r="OYT142" s="3"/>
      <c r="OYU142" s="3"/>
      <c r="OYV142" s="3"/>
      <c r="OYW142" s="3"/>
      <c r="OYX142" s="3"/>
      <c r="OYY142" s="3"/>
      <c r="OYZ142" s="3"/>
      <c r="OZA142" s="3"/>
      <c r="OZB142" s="3"/>
      <c r="OZC142" s="3"/>
      <c r="OZD142" s="3"/>
      <c r="OZE142" s="3"/>
      <c r="OZF142" s="3"/>
      <c r="OZG142" s="3"/>
      <c r="OZH142" s="3"/>
      <c r="OZI142" s="3"/>
      <c r="OZJ142" s="3"/>
      <c r="OZK142" s="3"/>
      <c r="OZL142" s="3"/>
      <c r="OZM142" s="3"/>
      <c r="OZN142" s="3"/>
      <c r="OZO142" s="3"/>
      <c r="OZP142" s="3"/>
      <c r="OZQ142" s="3"/>
      <c r="OZR142" s="3"/>
      <c r="OZS142" s="3"/>
      <c r="OZT142" s="3"/>
      <c r="OZU142" s="3"/>
      <c r="OZV142" s="3"/>
      <c r="OZW142" s="3"/>
      <c r="OZX142" s="3"/>
      <c r="OZY142" s="3"/>
      <c r="OZZ142" s="3"/>
      <c r="PAA142" s="3"/>
      <c r="PAB142" s="3"/>
      <c r="PAC142" s="3"/>
      <c r="PAD142" s="3"/>
      <c r="PAE142" s="3"/>
      <c r="PAF142" s="3"/>
      <c r="PAG142" s="3"/>
      <c r="PAH142" s="3"/>
      <c r="PAI142" s="3"/>
      <c r="PAJ142" s="3"/>
      <c r="PAK142" s="3"/>
      <c r="PAL142" s="3"/>
      <c r="PAM142" s="3"/>
      <c r="PAN142" s="3"/>
      <c r="PAO142" s="3"/>
      <c r="PAP142" s="3"/>
      <c r="PAQ142" s="3"/>
      <c r="PAR142" s="3"/>
      <c r="PAS142" s="3"/>
      <c r="PAT142" s="3"/>
      <c r="PAU142" s="3"/>
      <c r="PAV142" s="3"/>
      <c r="PAW142" s="3"/>
      <c r="PAX142" s="3"/>
      <c r="PAY142" s="3"/>
      <c r="PAZ142" s="3"/>
      <c r="PBA142" s="3"/>
      <c r="PBB142" s="3"/>
      <c r="PBC142" s="3"/>
      <c r="PBD142" s="3"/>
      <c r="PBE142" s="3"/>
      <c r="PBF142" s="3"/>
      <c r="PBG142" s="3"/>
      <c r="PBH142" s="3"/>
      <c r="PBI142" s="3"/>
      <c r="PBJ142" s="3"/>
      <c r="PBK142" s="3"/>
      <c r="PBL142" s="3"/>
      <c r="PBM142" s="3"/>
      <c r="PBN142" s="3"/>
      <c r="PBO142" s="3"/>
      <c r="PBP142" s="3"/>
      <c r="PBQ142" s="3"/>
      <c r="PBR142" s="3"/>
      <c r="PBS142" s="3"/>
      <c r="PBT142" s="3"/>
      <c r="PBU142" s="3"/>
      <c r="PBV142" s="3"/>
      <c r="PBW142" s="3"/>
      <c r="PBX142" s="3"/>
      <c r="PBY142" s="3"/>
      <c r="PBZ142" s="3"/>
      <c r="PCA142" s="3"/>
      <c r="PCB142" s="3"/>
      <c r="PCC142" s="3"/>
      <c r="PCD142" s="3"/>
      <c r="PCE142" s="3"/>
      <c r="PCF142" s="3"/>
      <c r="PCG142" s="3"/>
      <c r="PCH142" s="3"/>
      <c r="PCI142" s="3"/>
      <c r="PCJ142" s="3"/>
      <c r="PCK142" s="3"/>
      <c r="PCL142" s="3"/>
      <c r="PCM142" s="3"/>
      <c r="PCN142" s="3"/>
      <c r="PCO142" s="3"/>
      <c r="PCP142" s="3"/>
      <c r="PCQ142" s="3"/>
      <c r="PCR142" s="3"/>
      <c r="PCS142" s="3"/>
      <c r="PCT142" s="3"/>
      <c r="PCU142" s="3"/>
      <c r="PCV142" s="3"/>
      <c r="PCW142" s="3"/>
      <c r="PCX142" s="3"/>
      <c r="PCY142" s="3"/>
      <c r="PCZ142" s="3"/>
      <c r="PDA142" s="3"/>
      <c r="PDB142" s="3"/>
      <c r="PDC142" s="3"/>
      <c r="PDD142" s="3"/>
      <c r="PDE142" s="3"/>
      <c r="PDF142" s="3"/>
      <c r="PDG142" s="3"/>
      <c r="PDH142" s="3"/>
      <c r="PDI142" s="3"/>
      <c r="PDJ142" s="3"/>
      <c r="PDK142" s="3"/>
      <c r="PDL142" s="3"/>
      <c r="PDM142" s="3"/>
      <c r="PDN142" s="3"/>
      <c r="PDO142" s="3"/>
      <c r="PDP142" s="3"/>
      <c r="PDQ142" s="3"/>
      <c r="PDR142" s="3"/>
      <c r="PDS142" s="3"/>
      <c r="PDT142" s="3"/>
      <c r="PDU142" s="3"/>
      <c r="PDV142" s="3"/>
      <c r="PDW142" s="3"/>
      <c r="PDX142" s="3"/>
      <c r="PDY142" s="3"/>
      <c r="PDZ142" s="3"/>
      <c r="PEA142" s="3"/>
      <c r="PEB142" s="3"/>
      <c r="PEC142" s="3"/>
      <c r="PED142" s="3"/>
      <c r="PEE142" s="3"/>
      <c r="PEF142" s="3"/>
      <c r="PEG142" s="3"/>
      <c r="PEH142" s="3"/>
      <c r="PEI142" s="3"/>
      <c r="PEJ142" s="3"/>
      <c r="PEK142" s="3"/>
      <c r="PEL142" s="3"/>
      <c r="PEM142" s="3"/>
      <c r="PEN142" s="3"/>
      <c r="PEO142" s="3"/>
      <c r="PEP142" s="3"/>
      <c r="PEQ142" s="3"/>
      <c r="PER142" s="3"/>
      <c r="PES142" s="3"/>
      <c r="PET142" s="3"/>
      <c r="PEU142" s="3"/>
      <c r="PEV142" s="3"/>
      <c r="PEW142" s="3"/>
      <c r="PEX142" s="3"/>
      <c r="PEY142" s="3"/>
      <c r="PEZ142" s="3"/>
      <c r="PFA142" s="3"/>
      <c r="PFB142" s="3"/>
      <c r="PFC142" s="3"/>
      <c r="PFD142" s="3"/>
      <c r="PFE142" s="3"/>
      <c r="PFF142" s="3"/>
      <c r="PFG142" s="3"/>
      <c r="PFH142" s="3"/>
      <c r="PFI142" s="3"/>
      <c r="PFJ142" s="3"/>
      <c r="PFK142" s="3"/>
      <c r="PFL142" s="3"/>
      <c r="PFM142" s="3"/>
      <c r="PFN142" s="3"/>
      <c r="PFO142" s="3"/>
      <c r="PFP142" s="3"/>
      <c r="PFQ142" s="3"/>
      <c r="PFR142" s="3"/>
      <c r="PFS142" s="3"/>
      <c r="PFT142" s="3"/>
      <c r="PFU142" s="3"/>
      <c r="PFV142" s="3"/>
      <c r="PFW142" s="3"/>
      <c r="PFX142" s="3"/>
      <c r="PFY142" s="3"/>
      <c r="PFZ142" s="3"/>
      <c r="PGA142" s="3"/>
      <c r="PGB142" s="3"/>
      <c r="PGC142" s="3"/>
      <c r="PGD142" s="3"/>
      <c r="PGE142" s="3"/>
      <c r="PGF142" s="3"/>
      <c r="PGG142" s="3"/>
      <c r="PGH142" s="3"/>
      <c r="PGI142" s="3"/>
      <c r="PGJ142" s="3"/>
      <c r="PGK142" s="3"/>
      <c r="PGL142" s="3"/>
      <c r="PGM142" s="3"/>
      <c r="PGN142" s="3"/>
      <c r="PGO142" s="3"/>
      <c r="PGP142" s="3"/>
      <c r="PGQ142" s="3"/>
      <c r="PGR142" s="3"/>
      <c r="PGS142" s="3"/>
      <c r="PGT142" s="3"/>
      <c r="PGU142" s="3"/>
      <c r="PGV142" s="3"/>
      <c r="PGW142" s="3"/>
      <c r="PGX142" s="3"/>
      <c r="PGY142" s="3"/>
      <c r="PGZ142" s="3"/>
      <c r="PHA142" s="3"/>
      <c r="PHB142" s="3"/>
      <c r="PHC142" s="3"/>
      <c r="PHD142" s="3"/>
      <c r="PHE142" s="3"/>
      <c r="PHF142" s="3"/>
      <c r="PHG142" s="3"/>
      <c r="PHH142" s="3"/>
      <c r="PHI142" s="3"/>
      <c r="PHJ142" s="3"/>
      <c r="PHK142" s="3"/>
      <c r="PHL142" s="3"/>
      <c r="PHM142" s="3"/>
      <c r="PHN142" s="3"/>
      <c r="PHO142" s="3"/>
      <c r="PHP142" s="3"/>
      <c r="PHQ142" s="3"/>
      <c r="PHR142" s="3"/>
      <c r="PHS142" s="3"/>
      <c r="PHT142" s="3"/>
      <c r="PHU142" s="3"/>
      <c r="PHV142" s="3"/>
      <c r="PHW142" s="3"/>
      <c r="PHX142" s="3"/>
      <c r="PHY142" s="3"/>
      <c r="PHZ142" s="3"/>
      <c r="PIA142" s="3"/>
      <c r="PIB142" s="3"/>
      <c r="PIC142" s="3"/>
      <c r="PID142" s="3"/>
      <c r="PIE142" s="3"/>
      <c r="PIF142" s="3"/>
      <c r="PIG142" s="3"/>
      <c r="PIH142" s="3"/>
      <c r="PII142" s="3"/>
      <c r="PIJ142" s="3"/>
      <c r="PIK142" s="3"/>
      <c r="PIL142" s="3"/>
      <c r="PIM142" s="3"/>
      <c r="PIN142" s="3"/>
      <c r="PIO142" s="3"/>
      <c r="PIP142" s="3"/>
      <c r="PIQ142" s="3"/>
      <c r="PIR142" s="3"/>
      <c r="PIS142" s="3"/>
      <c r="PIT142" s="3"/>
      <c r="PIU142" s="3"/>
      <c r="PIV142" s="3"/>
      <c r="PIW142" s="3"/>
      <c r="PIX142" s="3"/>
      <c r="PIY142" s="3"/>
      <c r="PIZ142" s="3"/>
      <c r="PJA142" s="3"/>
      <c r="PJB142" s="3"/>
      <c r="PJC142" s="3"/>
      <c r="PJD142" s="3"/>
      <c r="PJE142" s="3"/>
      <c r="PJF142" s="3"/>
      <c r="PJG142" s="3"/>
      <c r="PJH142" s="3"/>
      <c r="PJI142" s="3"/>
      <c r="PJJ142" s="3"/>
      <c r="PJK142" s="3"/>
      <c r="PJL142" s="3"/>
      <c r="PJM142" s="3"/>
      <c r="PJN142" s="3"/>
      <c r="PJO142" s="3"/>
      <c r="PJP142" s="3"/>
      <c r="PJQ142" s="3"/>
      <c r="PJR142" s="3"/>
      <c r="PJS142" s="3"/>
      <c r="PJT142" s="3"/>
      <c r="PJU142" s="3"/>
      <c r="PJV142" s="3"/>
      <c r="PJW142" s="3"/>
      <c r="PJX142" s="3"/>
      <c r="PJY142" s="3"/>
      <c r="PJZ142" s="3"/>
      <c r="PKA142" s="3"/>
      <c r="PKB142" s="3"/>
      <c r="PKC142" s="3"/>
      <c r="PKD142" s="3"/>
      <c r="PKE142" s="3"/>
      <c r="PKF142" s="3"/>
      <c r="PKG142" s="3"/>
      <c r="PKH142" s="3"/>
      <c r="PKI142" s="3"/>
      <c r="PKJ142" s="3"/>
      <c r="PKK142" s="3"/>
      <c r="PKL142" s="3"/>
      <c r="PKM142" s="3"/>
      <c r="PKN142" s="3"/>
      <c r="PKO142" s="3"/>
      <c r="PKP142" s="3"/>
      <c r="PKQ142" s="3"/>
      <c r="PKR142" s="3"/>
      <c r="PKS142" s="3"/>
      <c r="PKT142" s="3"/>
      <c r="PKU142" s="3"/>
      <c r="PKV142" s="3"/>
      <c r="PKW142" s="3"/>
      <c r="PKX142" s="3"/>
      <c r="PKY142" s="3"/>
      <c r="PKZ142" s="3"/>
      <c r="PLA142" s="3"/>
      <c r="PLB142" s="3"/>
      <c r="PLC142" s="3"/>
      <c r="PLD142" s="3"/>
      <c r="PLE142" s="3"/>
      <c r="PLF142" s="3"/>
      <c r="PLG142" s="3"/>
      <c r="PLH142" s="3"/>
      <c r="PLI142" s="3"/>
      <c r="PLJ142" s="3"/>
      <c r="PLK142" s="3"/>
      <c r="PLL142" s="3"/>
      <c r="PLM142" s="3"/>
      <c r="PLN142" s="3"/>
      <c r="PLO142" s="3"/>
      <c r="PLP142" s="3"/>
      <c r="PLQ142" s="3"/>
      <c r="PLR142" s="3"/>
      <c r="PLS142" s="3"/>
      <c r="PLT142" s="3"/>
      <c r="PLU142" s="3"/>
      <c r="PLV142" s="3"/>
      <c r="PLW142" s="3"/>
      <c r="PLX142" s="3"/>
      <c r="PLY142" s="3"/>
      <c r="PLZ142" s="3"/>
      <c r="PMA142" s="3"/>
      <c r="PMB142" s="3"/>
      <c r="PMC142" s="3"/>
      <c r="PMD142" s="3"/>
      <c r="PME142" s="3"/>
      <c r="PMF142" s="3"/>
      <c r="PMG142" s="3"/>
      <c r="PMH142" s="3"/>
      <c r="PMI142" s="3"/>
      <c r="PMJ142" s="3"/>
      <c r="PMK142" s="3"/>
      <c r="PML142" s="3"/>
      <c r="PMM142" s="3"/>
      <c r="PMN142" s="3"/>
      <c r="PMO142" s="3"/>
      <c r="PMP142" s="3"/>
      <c r="PMQ142" s="3"/>
      <c r="PMR142" s="3"/>
      <c r="PMS142" s="3"/>
      <c r="PMT142" s="3"/>
      <c r="PMU142" s="3"/>
      <c r="PMV142" s="3"/>
      <c r="PMW142" s="3"/>
      <c r="PMX142" s="3"/>
      <c r="PMY142" s="3"/>
      <c r="PMZ142" s="3"/>
      <c r="PNA142" s="3"/>
      <c r="PNB142" s="3"/>
      <c r="PNC142" s="3"/>
      <c r="PND142" s="3"/>
      <c r="PNE142" s="3"/>
      <c r="PNF142" s="3"/>
      <c r="PNG142" s="3"/>
      <c r="PNH142" s="3"/>
      <c r="PNI142" s="3"/>
      <c r="PNJ142" s="3"/>
      <c r="PNK142" s="3"/>
      <c r="PNL142" s="3"/>
      <c r="PNM142" s="3"/>
      <c r="PNN142" s="3"/>
      <c r="PNO142" s="3"/>
      <c r="PNP142" s="3"/>
      <c r="PNQ142" s="3"/>
      <c r="PNR142" s="3"/>
      <c r="PNS142" s="3"/>
      <c r="PNT142" s="3"/>
      <c r="PNU142" s="3"/>
      <c r="PNV142" s="3"/>
      <c r="PNW142" s="3"/>
      <c r="PNX142" s="3"/>
      <c r="PNY142" s="3"/>
      <c r="PNZ142" s="3"/>
      <c r="POA142" s="3"/>
      <c r="POB142" s="3"/>
      <c r="POC142" s="3"/>
      <c r="POD142" s="3"/>
      <c r="POE142" s="3"/>
      <c r="POF142" s="3"/>
      <c r="POG142" s="3"/>
      <c r="POH142" s="3"/>
      <c r="POI142" s="3"/>
      <c r="POJ142" s="3"/>
      <c r="POK142" s="3"/>
      <c r="POL142" s="3"/>
      <c r="POM142" s="3"/>
      <c r="PON142" s="3"/>
      <c r="POO142" s="3"/>
      <c r="POP142" s="3"/>
      <c r="POQ142" s="3"/>
      <c r="POR142" s="3"/>
      <c r="POS142" s="3"/>
      <c r="POT142" s="3"/>
      <c r="POU142" s="3"/>
      <c r="POV142" s="3"/>
      <c r="POW142" s="3"/>
      <c r="POX142" s="3"/>
      <c r="POY142" s="3"/>
      <c r="POZ142" s="3"/>
      <c r="PPA142" s="3"/>
      <c r="PPB142" s="3"/>
      <c r="PPC142" s="3"/>
      <c r="PPD142" s="3"/>
      <c r="PPE142" s="3"/>
      <c r="PPF142" s="3"/>
      <c r="PPG142" s="3"/>
      <c r="PPH142" s="3"/>
      <c r="PPI142" s="3"/>
      <c r="PPJ142" s="3"/>
      <c r="PPK142" s="3"/>
      <c r="PPL142" s="3"/>
      <c r="PPM142" s="3"/>
      <c r="PPN142" s="3"/>
      <c r="PPO142" s="3"/>
      <c r="PPP142" s="3"/>
      <c r="PPQ142" s="3"/>
      <c r="PPR142" s="3"/>
      <c r="PPS142" s="3"/>
      <c r="PPT142" s="3"/>
      <c r="PPU142" s="3"/>
      <c r="PPV142" s="3"/>
      <c r="PPW142" s="3"/>
      <c r="PPX142" s="3"/>
      <c r="PPY142" s="3"/>
      <c r="PPZ142" s="3"/>
      <c r="PQA142" s="3"/>
      <c r="PQB142" s="3"/>
      <c r="PQC142" s="3"/>
      <c r="PQD142" s="3"/>
      <c r="PQE142" s="3"/>
      <c r="PQF142" s="3"/>
      <c r="PQG142" s="3"/>
      <c r="PQH142" s="3"/>
      <c r="PQI142" s="3"/>
      <c r="PQJ142" s="3"/>
      <c r="PQK142" s="3"/>
      <c r="PQL142" s="3"/>
      <c r="PQM142" s="3"/>
      <c r="PQN142" s="3"/>
      <c r="PQO142" s="3"/>
      <c r="PQP142" s="3"/>
      <c r="PQQ142" s="3"/>
      <c r="PQR142" s="3"/>
      <c r="PQS142" s="3"/>
      <c r="PQT142" s="3"/>
      <c r="PQU142" s="3"/>
      <c r="PQV142" s="3"/>
      <c r="PQW142" s="3"/>
      <c r="PQX142" s="3"/>
      <c r="PQY142" s="3"/>
      <c r="PQZ142" s="3"/>
      <c r="PRA142" s="3"/>
      <c r="PRB142" s="3"/>
      <c r="PRC142" s="3"/>
      <c r="PRD142" s="3"/>
      <c r="PRE142" s="3"/>
      <c r="PRF142" s="3"/>
      <c r="PRG142" s="3"/>
      <c r="PRH142" s="3"/>
      <c r="PRI142" s="3"/>
      <c r="PRJ142" s="3"/>
      <c r="PRK142" s="3"/>
      <c r="PRL142" s="3"/>
      <c r="PRM142" s="3"/>
      <c r="PRN142" s="3"/>
      <c r="PRO142" s="3"/>
      <c r="PRP142" s="3"/>
      <c r="PRQ142" s="3"/>
      <c r="PRR142" s="3"/>
      <c r="PRS142" s="3"/>
      <c r="PRT142" s="3"/>
      <c r="PRU142" s="3"/>
      <c r="PRV142" s="3"/>
      <c r="PRW142" s="3"/>
      <c r="PRX142" s="3"/>
      <c r="PRY142" s="3"/>
      <c r="PRZ142" s="3"/>
      <c r="PSA142" s="3"/>
      <c r="PSB142" s="3"/>
      <c r="PSC142" s="3"/>
      <c r="PSD142" s="3"/>
      <c r="PSE142" s="3"/>
      <c r="PSF142" s="3"/>
      <c r="PSG142" s="3"/>
      <c r="PSH142" s="3"/>
      <c r="PSI142" s="3"/>
      <c r="PSJ142" s="3"/>
      <c r="PSK142" s="3"/>
      <c r="PSL142" s="3"/>
      <c r="PSM142" s="3"/>
      <c r="PSN142" s="3"/>
      <c r="PSO142" s="3"/>
      <c r="PSP142" s="3"/>
      <c r="PSQ142" s="3"/>
      <c r="PSR142" s="3"/>
      <c r="PSS142" s="3"/>
      <c r="PST142" s="3"/>
      <c r="PSU142" s="3"/>
      <c r="PSV142" s="3"/>
      <c r="PSW142" s="3"/>
      <c r="PSX142" s="3"/>
      <c r="PSY142" s="3"/>
      <c r="PSZ142" s="3"/>
      <c r="PTA142" s="3"/>
      <c r="PTB142" s="3"/>
      <c r="PTC142" s="3"/>
      <c r="PTD142" s="3"/>
      <c r="PTE142" s="3"/>
      <c r="PTF142" s="3"/>
      <c r="PTG142" s="3"/>
      <c r="PTH142" s="3"/>
      <c r="PTI142" s="3"/>
      <c r="PTJ142" s="3"/>
      <c r="PTK142" s="3"/>
      <c r="PTL142" s="3"/>
      <c r="PTM142" s="3"/>
      <c r="PTN142" s="3"/>
      <c r="PTO142" s="3"/>
      <c r="PTP142" s="3"/>
      <c r="PTQ142" s="3"/>
      <c r="PTR142" s="3"/>
      <c r="PTS142" s="3"/>
      <c r="PTT142" s="3"/>
      <c r="PTU142" s="3"/>
      <c r="PTV142" s="3"/>
      <c r="PTW142" s="3"/>
      <c r="PTX142" s="3"/>
      <c r="PTY142" s="3"/>
      <c r="PTZ142" s="3"/>
      <c r="PUA142" s="3"/>
      <c r="PUB142" s="3"/>
      <c r="PUC142" s="3"/>
      <c r="PUD142" s="3"/>
      <c r="PUE142" s="3"/>
      <c r="PUF142" s="3"/>
      <c r="PUG142" s="3"/>
      <c r="PUH142" s="3"/>
      <c r="PUI142" s="3"/>
      <c r="PUJ142" s="3"/>
      <c r="PUK142" s="3"/>
      <c r="PUL142" s="3"/>
      <c r="PUM142" s="3"/>
      <c r="PUN142" s="3"/>
      <c r="PUO142" s="3"/>
      <c r="PUP142" s="3"/>
      <c r="PUQ142" s="3"/>
      <c r="PUR142" s="3"/>
      <c r="PUS142" s="3"/>
      <c r="PUT142" s="3"/>
      <c r="PUU142" s="3"/>
      <c r="PUV142" s="3"/>
      <c r="PUW142" s="3"/>
      <c r="PUX142" s="3"/>
      <c r="PUY142" s="3"/>
      <c r="PUZ142" s="3"/>
      <c r="PVA142" s="3"/>
      <c r="PVB142" s="3"/>
      <c r="PVC142" s="3"/>
      <c r="PVD142" s="3"/>
      <c r="PVE142" s="3"/>
      <c r="PVF142" s="3"/>
      <c r="PVG142" s="3"/>
      <c r="PVH142" s="3"/>
      <c r="PVI142" s="3"/>
      <c r="PVJ142" s="3"/>
      <c r="PVK142" s="3"/>
      <c r="PVL142" s="3"/>
      <c r="PVM142" s="3"/>
      <c r="PVN142" s="3"/>
      <c r="PVO142" s="3"/>
      <c r="PVP142" s="3"/>
      <c r="PVQ142" s="3"/>
      <c r="PVR142" s="3"/>
      <c r="PVS142" s="3"/>
      <c r="PVT142" s="3"/>
      <c r="PVU142" s="3"/>
      <c r="PVV142" s="3"/>
      <c r="PVW142" s="3"/>
      <c r="PVX142" s="3"/>
      <c r="PVY142" s="3"/>
      <c r="PVZ142" s="3"/>
      <c r="PWA142" s="3"/>
      <c r="PWB142" s="3"/>
      <c r="PWC142" s="3"/>
      <c r="PWD142" s="3"/>
      <c r="PWE142" s="3"/>
      <c r="PWF142" s="3"/>
      <c r="PWG142" s="3"/>
      <c r="PWH142" s="3"/>
      <c r="PWI142" s="3"/>
      <c r="PWJ142" s="3"/>
      <c r="PWK142" s="3"/>
      <c r="PWL142" s="3"/>
      <c r="PWM142" s="3"/>
      <c r="PWN142" s="3"/>
      <c r="PWO142" s="3"/>
      <c r="PWP142" s="3"/>
      <c r="PWQ142" s="3"/>
      <c r="PWR142" s="3"/>
      <c r="PWS142" s="3"/>
      <c r="PWT142" s="3"/>
      <c r="PWU142" s="3"/>
      <c r="PWV142" s="3"/>
      <c r="PWW142" s="3"/>
      <c r="PWX142" s="3"/>
      <c r="PWY142" s="3"/>
      <c r="PWZ142" s="3"/>
      <c r="PXA142" s="3"/>
      <c r="PXB142" s="3"/>
      <c r="PXC142" s="3"/>
      <c r="PXD142" s="3"/>
      <c r="PXE142" s="3"/>
      <c r="PXF142" s="3"/>
      <c r="PXG142" s="3"/>
      <c r="PXH142" s="3"/>
      <c r="PXI142" s="3"/>
      <c r="PXJ142" s="3"/>
      <c r="PXK142" s="3"/>
      <c r="PXL142" s="3"/>
      <c r="PXM142" s="3"/>
      <c r="PXN142" s="3"/>
      <c r="PXO142" s="3"/>
      <c r="PXP142" s="3"/>
      <c r="PXQ142" s="3"/>
      <c r="PXR142" s="3"/>
      <c r="PXS142" s="3"/>
      <c r="PXT142" s="3"/>
      <c r="PXU142" s="3"/>
      <c r="PXV142" s="3"/>
      <c r="PXW142" s="3"/>
      <c r="PXX142" s="3"/>
      <c r="PXY142" s="3"/>
      <c r="PXZ142" s="3"/>
      <c r="PYA142" s="3"/>
      <c r="PYB142" s="3"/>
      <c r="PYC142" s="3"/>
      <c r="PYD142" s="3"/>
      <c r="PYE142" s="3"/>
      <c r="PYF142" s="3"/>
      <c r="PYG142" s="3"/>
      <c r="PYH142" s="3"/>
      <c r="PYI142" s="3"/>
      <c r="PYJ142" s="3"/>
      <c r="PYK142" s="3"/>
      <c r="PYL142" s="3"/>
      <c r="PYM142" s="3"/>
      <c r="PYN142" s="3"/>
      <c r="PYO142" s="3"/>
      <c r="PYP142" s="3"/>
      <c r="PYQ142" s="3"/>
      <c r="PYR142" s="3"/>
      <c r="PYS142" s="3"/>
      <c r="PYT142" s="3"/>
      <c r="PYU142" s="3"/>
      <c r="PYV142" s="3"/>
      <c r="PYW142" s="3"/>
      <c r="PYX142" s="3"/>
      <c r="PYY142" s="3"/>
      <c r="PYZ142" s="3"/>
      <c r="PZA142" s="3"/>
      <c r="PZB142" s="3"/>
      <c r="PZC142" s="3"/>
      <c r="PZD142" s="3"/>
      <c r="PZE142" s="3"/>
      <c r="PZF142" s="3"/>
      <c r="PZG142" s="3"/>
      <c r="PZH142" s="3"/>
      <c r="PZI142" s="3"/>
      <c r="PZJ142" s="3"/>
      <c r="PZK142" s="3"/>
      <c r="PZL142" s="3"/>
      <c r="PZM142" s="3"/>
      <c r="PZN142" s="3"/>
      <c r="PZO142" s="3"/>
      <c r="PZP142" s="3"/>
      <c r="PZQ142" s="3"/>
      <c r="PZR142" s="3"/>
      <c r="PZS142" s="3"/>
      <c r="PZT142" s="3"/>
      <c r="PZU142" s="3"/>
      <c r="PZV142" s="3"/>
      <c r="PZW142" s="3"/>
      <c r="PZX142" s="3"/>
      <c r="PZY142" s="3"/>
      <c r="PZZ142" s="3"/>
      <c r="QAA142" s="3"/>
      <c r="QAB142" s="3"/>
      <c r="QAC142" s="3"/>
      <c r="QAD142" s="3"/>
      <c r="QAE142" s="3"/>
      <c r="QAF142" s="3"/>
      <c r="QAG142" s="3"/>
      <c r="QAH142" s="3"/>
      <c r="QAI142" s="3"/>
      <c r="QAJ142" s="3"/>
      <c r="QAK142" s="3"/>
      <c r="QAL142" s="3"/>
      <c r="QAM142" s="3"/>
      <c r="QAN142" s="3"/>
      <c r="QAO142" s="3"/>
      <c r="QAP142" s="3"/>
      <c r="QAQ142" s="3"/>
      <c r="QAR142" s="3"/>
      <c r="QAS142" s="3"/>
      <c r="QAT142" s="3"/>
      <c r="QAU142" s="3"/>
      <c r="QAV142" s="3"/>
      <c r="QAW142" s="3"/>
      <c r="QAX142" s="3"/>
      <c r="QAY142" s="3"/>
      <c r="QAZ142" s="3"/>
      <c r="QBA142" s="3"/>
      <c r="QBB142" s="3"/>
      <c r="QBC142" s="3"/>
      <c r="QBD142" s="3"/>
      <c r="QBE142" s="3"/>
      <c r="QBF142" s="3"/>
      <c r="QBG142" s="3"/>
      <c r="QBH142" s="3"/>
      <c r="QBI142" s="3"/>
      <c r="QBJ142" s="3"/>
      <c r="QBK142" s="3"/>
      <c r="QBL142" s="3"/>
      <c r="QBM142" s="3"/>
      <c r="QBN142" s="3"/>
      <c r="QBO142" s="3"/>
      <c r="QBP142" s="3"/>
      <c r="QBQ142" s="3"/>
      <c r="QBR142" s="3"/>
      <c r="QBS142" s="3"/>
      <c r="QBT142" s="3"/>
      <c r="QBU142" s="3"/>
      <c r="QBV142" s="3"/>
      <c r="QBW142" s="3"/>
      <c r="QBX142" s="3"/>
      <c r="QBY142" s="3"/>
      <c r="QBZ142" s="3"/>
      <c r="QCA142" s="3"/>
      <c r="QCB142" s="3"/>
      <c r="QCC142" s="3"/>
      <c r="QCD142" s="3"/>
      <c r="QCE142" s="3"/>
      <c r="QCF142" s="3"/>
      <c r="QCG142" s="3"/>
      <c r="QCH142" s="3"/>
      <c r="QCI142" s="3"/>
      <c r="QCJ142" s="3"/>
      <c r="QCK142" s="3"/>
      <c r="QCL142" s="3"/>
      <c r="QCM142" s="3"/>
      <c r="QCN142" s="3"/>
      <c r="QCO142" s="3"/>
      <c r="QCP142" s="3"/>
      <c r="QCQ142" s="3"/>
      <c r="QCR142" s="3"/>
      <c r="QCS142" s="3"/>
      <c r="QCT142" s="3"/>
      <c r="QCU142" s="3"/>
      <c r="QCV142" s="3"/>
      <c r="QCW142" s="3"/>
      <c r="QCX142" s="3"/>
      <c r="QCY142" s="3"/>
      <c r="QCZ142" s="3"/>
      <c r="QDA142" s="3"/>
      <c r="QDB142" s="3"/>
      <c r="QDC142" s="3"/>
      <c r="QDD142" s="3"/>
      <c r="QDE142" s="3"/>
      <c r="QDF142" s="3"/>
      <c r="QDG142" s="3"/>
      <c r="QDH142" s="3"/>
      <c r="QDI142" s="3"/>
      <c r="QDJ142" s="3"/>
      <c r="QDK142" s="3"/>
      <c r="QDL142" s="3"/>
      <c r="QDM142" s="3"/>
      <c r="QDN142" s="3"/>
      <c r="QDO142" s="3"/>
      <c r="QDP142" s="3"/>
      <c r="QDQ142" s="3"/>
      <c r="QDR142" s="3"/>
      <c r="QDS142" s="3"/>
      <c r="QDT142" s="3"/>
      <c r="QDU142" s="3"/>
      <c r="QDV142" s="3"/>
      <c r="QDW142" s="3"/>
      <c r="QDX142" s="3"/>
      <c r="QDY142" s="3"/>
      <c r="QDZ142" s="3"/>
      <c r="QEA142" s="3"/>
      <c r="QEB142" s="3"/>
      <c r="QEC142" s="3"/>
      <c r="QED142" s="3"/>
      <c r="QEE142" s="3"/>
      <c r="QEF142" s="3"/>
      <c r="QEG142" s="3"/>
      <c r="QEH142" s="3"/>
      <c r="QEI142" s="3"/>
      <c r="QEJ142" s="3"/>
      <c r="QEK142" s="3"/>
      <c r="QEL142" s="3"/>
      <c r="QEM142" s="3"/>
      <c r="QEN142" s="3"/>
      <c r="QEO142" s="3"/>
      <c r="QEP142" s="3"/>
      <c r="QEQ142" s="3"/>
      <c r="QER142" s="3"/>
      <c r="QES142" s="3"/>
      <c r="QET142" s="3"/>
      <c r="QEU142" s="3"/>
      <c r="QEV142" s="3"/>
      <c r="QEW142" s="3"/>
      <c r="QEX142" s="3"/>
      <c r="QEY142" s="3"/>
      <c r="QEZ142" s="3"/>
      <c r="QFA142" s="3"/>
      <c r="QFB142" s="3"/>
      <c r="QFC142" s="3"/>
      <c r="QFD142" s="3"/>
      <c r="QFE142" s="3"/>
      <c r="QFF142" s="3"/>
      <c r="QFG142" s="3"/>
      <c r="QFH142" s="3"/>
      <c r="QFI142" s="3"/>
      <c r="QFJ142" s="3"/>
      <c r="QFK142" s="3"/>
      <c r="QFL142" s="3"/>
      <c r="QFM142" s="3"/>
      <c r="QFN142" s="3"/>
      <c r="QFO142" s="3"/>
      <c r="QFP142" s="3"/>
      <c r="QFQ142" s="3"/>
      <c r="QFR142" s="3"/>
      <c r="QFS142" s="3"/>
      <c r="QFT142" s="3"/>
      <c r="QFU142" s="3"/>
      <c r="QFV142" s="3"/>
      <c r="QFW142" s="3"/>
      <c r="QFX142" s="3"/>
      <c r="QFY142" s="3"/>
      <c r="QFZ142" s="3"/>
      <c r="QGA142" s="3"/>
      <c r="QGB142" s="3"/>
      <c r="QGC142" s="3"/>
      <c r="QGD142" s="3"/>
      <c r="QGE142" s="3"/>
      <c r="QGF142" s="3"/>
      <c r="QGG142" s="3"/>
      <c r="QGH142" s="3"/>
      <c r="QGI142" s="3"/>
      <c r="QGJ142" s="3"/>
      <c r="QGK142" s="3"/>
      <c r="QGL142" s="3"/>
      <c r="QGM142" s="3"/>
      <c r="QGN142" s="3"/>
      <c r="QGO142" s="3"/>
      <c r="QGP142" s="3"/>
      <c r="QGQ142" s="3"/>
      <c r="QGR142" s="3"/>
      <c r="QGS142" s="3"/>
      <c r="QGT142" s="3"/>
      <c r="QGU142" s="3"/>
      <c r="QGV142" s="3"/>
      <c r="QGW142" s="3"/>
      <c r="QGX142" s="3"/>
      <c r="QGY142" s="3"/>
      <c r="QGZ142" s="3"/>
      <c r="QHA142" s="3"/>
      <c r="QHB142" s="3"/>
      <c r="QHC142" s="3"/>
      <c r="QHD142" s="3"/>
      <c r="QHE142" s="3"/>
      <c r="QHF142" s="3"/>
      <c r="QHG142" s="3"/>
      <c r="QHH142" s="3"/>
      <c r="QHI142" s="3"/>
      <c r="QHJ142" s="3"/>
      <c r="QHK142" s="3"/>
      <c r="QHL142" s="3"/>
      <c r="QHM142" s="3"/>
      <c r="QHN142" s="3"/>
      <c r="QHO142" s="3"/>
      <c r="QHP142" s="3"/>
      <c r="QHQ142" s="3"/>
      <c r="QHR142" s="3"/>
      <c r="QHS142" s="3"/>
      <c r="QHT142" s="3"/>
      <c r="QHU142" s="3"/>
      <c r="QHV142" s="3"/>
      <c r="QHW142" s="3"/>
      <c r="QHX142" s="3"/>
      <c r="QHY142" s="3"/>
      <c r="QHZ142" s="3"/>
      <c r="QIA142" s="3"/>
      <c r="QIB142" s="3"/>
      <c r="QIC142" s="3"/>
      <c r="QID142" s="3"/>
      <c r="QIE142" s="3"/>
      <c r="QIF142" s="3"/>
      <c r="QIG142" s="3"/>
      <c r="QIH142" s="3"/>
      <c r="QII142" s="3"/>
      <c r="QIJ142" s="3"/>
      <c r="QIK142" s="3"/>
      <c r="QIL142" s="3"/>
      <c r="QIM142" s="3"/>
      <c r="QIN142" s="3"/>
      <c r="QIO142" s="3"/>
      <c r="QIP142" s="3"/>
      <c r="QIQ142" s="3"/>
      <c r="QIR142" s="3"/>
      <c r="QIS142" s="3"/>
      <c r="QIT142" s="3"/>
      <c r="QIU142" s="3"/>
      <c r="QIV142" s="3"/>
      <c r="QIW142" s="3"/>
      <c r="QIX142" s="3"/>
      <c r="QIY142" s="3"/>
      <c r="QIZ142" s="3"/>
      <c r="QJA142" s="3"/>
      <c r="QJB142" s="3"/>
      <c r="QJC142" s="3"/>
      <c r="QJD142" s="3"/>
      <c r="QJE142" s="3"/>
      <c r="QJF142" s="3"/>
      <c r="QJG142" s="3"/>
      <c r="QJH142" s="3"/>
      <c r="QJI142" s="3"/>
      <c r="QJJ142" s="3"/>
      <c r="QJK142" s="3"/>
      <c r="QJL142" s="3"/>
      <c r="QJM142" s="3"/>
      <c r="QJN142" s="3"/>
      <c r="QJO142" s="3"/>
      <c r="QJP142" s="3"/>
      <c r="QJQ142" s="3"/>
      <c r="QJR142" s="3"/>
      <c r="QJS142" s="3"/>
      <c r="QJT142" s="3"/>
      <c r="QJU142" s="3"/>
      <c r="QJV142" s="3"/>
      <c r="QJW142" s="3"/>
      <c r="QJX142" s="3"/>
      <c r="QJY142" s="3"/>
      <c r="QJZ142" s="3"/>
      <c r="QKA142" s="3"/>
      <c r="QKB142" s="3"/>
      <c r="QKC142" s="3"/>
      <c r="QKD142" s="3"/>
      <c r="QKE142" s="3"/>
      <c r="QKF142" s="3"/>
      <c r="QKG142" s="3"/>
      <c r="QKH142" s="3"/>
      <c r="QKI142" s="3"/>
      <c r="QKJ142" s="3"/>
      <c r="QKK142" s="3"/>
      <c r="QKL142" s="3"/>
      <c r="QKM142" s="3"/>
      <c r="QKN142" s="3"/>
      <c r="QKO142" s="3"/>
      <c r="QKP142" s="3"/>
      <c r="QKQ142" s="3"/>
      <c r="QKR142" s="3"/>
      <c r="QKS142" s="3"/>
      <c r="QKT142" s="3"/>
      <c r="QKU142" s="3"/>
      <c r="QKV142" s="3"/>
      <c r="QKW142" s="3"/>
      <c r="QKX142" s="3"/>
      <c r="QKY142" s="3"/>
      <c r="QKZ142" s="3"/>
      <c r="QLA142" s="3"/>
      <c r="QLB142" s="3"/>
      <c r="QLC142" s="3"/>
      <c r="QLD142" s="3"/>
      <c r="QLE142" s="3"/>
      <c r="QLF142" s="3"/>
      <c r="QLG142" s="3"/>
      <c r="QLH142" s="3"/>
      <c r="QLI142" s="3"/>
      <c r="QLJ142" s="3"/>
      <c r="QLK142" s="3"/>
      <c r="QLL142" s="3"/>
      <c r="QLM142" s="3"/>
      <c r="QLN142" s="3"/>
      <c r="QLO142" s="3"/>
      <c r="QLP142" s="3"/>
      <c r="QLQ142" s="3"/>
      <c r="QLR142" s="3"/>
      <c r="QLS142" s="3"/>
      <c r="QLT142" s="3"/>
      <c r="QLU142" s="3"/>
      <c r="QLV142" s="3"/>
      <c r="QLW142" s="3"/>
      <c r="QLX142" s="3"/>
      <c r="QLY142" s="3"/>
      <c r="QLZ142" s="3"/>
      <c r="QMA142" s="3"/>
      <c r="QMB142" s="3"/>
      <c r="QMC142" s="3"/>
      <c r="QMD142" s="3"/>
      <c r="QME142" s="3"/>
      <c r="QMF142" s="3"/>
      <c r="QMG142" s="3"/>
      <c r="QMH142" s="3"/>
      <c r="QMI142" s="3"/>
      <c r="QMJ142" s="3"/>
      <c r="QMK142" s="3"/>
      <c r="QML142" s="3"/>
      <c r="QMM142" s="3"/>
      <c r="QMN142" s="3"/>
      <c r="QMO142" s="3"/>
      <c r="QMP142" s="3"/>
      <c r="QMQ142" s="3"/>
      <c r="QMR142" s="3"/>
      <c r="QMS142" s="3"/>
      <c r="QMT142" s="3"/>
      <c r="QMU142" s="3"/>
      <c r="QMV142" s="3"/>
      <c r="QMW142" s="3"/>
      <c r="QMX142" s="3"/>
      <c r="QMY142" s="3"/>
      <c r="QMZ142" s="3"/>
      <c r="QNA142" s="3"/>
      <c r="QNB142" s="3"/>
      <c r="QNC142" s="3"/>
      <c r="QND142" s="3"/>
      <c r="QNE142" s="3"/>
      <c r="QNF142" s="3"/>
      <c r="QNG142" s="3"/>
      <c r="QNH142" s="3"/>
      <c r="QNI142" s="3"/>
      <c r="QNJ142" s="3"/>
      <c r="QNK142" s="3"/>
      <c r="QNL142" s="3"/>
      <c r="QNM142" s="3"/>
      <c r="QNN142" s="3"/>
      <c r="QNO142" s="3"/>
      <c r="QNP142" s="3"/>
      <c r="QNQ142" s="3"/>
      <c r="QNR142" s="3"/>
      <c r="QNS142" s="3"/>
      <c r="QNT142" s="3"/>
      <c r="QNU142" s="3"/>
      <c r="QNV142" s="3"/>
      <c r="QNW142" s="3"/>
      <c r="QNX142" s="3"/>
      <c r="QNY142" s="3"/>
      <c r="QNZ142" s="3"/>
      <c r="QOA142" s="3"/>
      <c r="QOB142" s="3"/>
      <c r="QOC142" s="3"/>
      <c r="QOD142" s="3"/>
      <c r="QOE142" s="3"/>
      <c r="QOF142" s="3"/>
      <c r="QOG142" s="3"/>
      <c r="QOH142" s="3"/>
      <c r="QOI142" s="3"/>
      <c r="QOJ142" s="3"/>
      <c r="QOK142" s="3"/>
      <c r="QOL142" s="3"/>
      <c r="QOM142" s="3"/>
      <c r="QON142" s="3"/>
      <c r="QOO142" s="3"/>
      <c r="QOP142" s="3"/>
      <c r="QOQ142" s="3"/>
      <c r="QOR142" s="3"/>
      <c r="QOS142" s="3"/>
      <c r="QOT142" s="3"/>
      <c r="QOU142" s="3"/>
      <c r="QOV142" s="3"/>
      <c r="QOW142" s="3"/>
      <c r="QOX142" s="3"/>
      <c r="QOY142" s="3"/>
      <c r="QOZ142" s="3"/>
      <c r="QPA142" s="3"/>
      <c r="QPB142" s="3"/>
      <c r="QPC142" s="3"/>
      <c r="QPD142" s="3"/>
      <c r="QPE142" s="3"/>
      <c r="QPF142" s="3"/>
      <c r="QPG142" s="3"/>
      <c r="QPH142" s="3"/>
      <c r="QPI142" s="3"/>
      <c r="QPJ142" s="3"/>
      <c r="QPK142" s="3"/>
      <c r="QPL142" s="3"/>
      <c r="QPM142" s="3"/>
      <c r="QPN142" s="3"/>
      <c r="QPO142" s="3"/>
      <c r="QPP142" s="3"/>
      <c r="QPQ142" s="3"/>
      <c r="QPR142" s="3"/>
      <c r="QPS142" s="3"/>
      <c r="QPT142" s="3"/>
      <c r="QPU142" s="3"/>
      <c r="QPV142" s="3"/>
      <c r="QPW142" s="3"/>
      <c r="QPX142" s="3"/>
      <c r="QPY142" s="3"/>
      <c r="QPZ142" s="3"/>
      <c r="QQA142" s="3"/>
      <c r="QQB142" s="3"/>
      <c r="QQC142" s="3"/>
      <c r="QQD142" s="3"/>
      <c r="QQE142" s="3"/>
      <c r="QQF142" s="3"/>
      <c r="QQG142" s="3"/>
      <c r="QQH142" s="3"/>
      <c r="QQI142" s="3"/>
      <c r="QQJ142" s="3"/>
      <c r="QQK142" s="3"/>
      <c r="QQL142" s="3"/>
      <c r="QQM142" s="3"/>
      <c r="QQN142" s="3"/>
      <c r="QQO142" s="3"/>
      <c r="QQP142" s="3"/>
      <c r="QQQ142" s="3"/>
      <c r="QQR142" s="3"/>
      <c r="QQS142" s="3"/>
      <c r="QQT142" s="3"/>
      <c r="QQU142" s="3"/>
      <c r="QQV142" s="3"/>
      <c r="QQW142" s="3"/>
      <c r="QQX142" s="3"/>
      <c r="QQY142" s="3"/>
      <c r="QQZ142" s="3"/>
      <c r="QRA142" s="3"/>
      <c r="QRB142" s="3"/>
      <c r="QRC142" s="3"/>
      <c r="QRD142" s="3"/>
      <c r="QRE142" s="3"/>
      <c r="QRF142" s="3"/>
      <c r="QRG142" s="3"/>
      <c r="QRH142" s="3"/>
      <c r="QRI142" s="3"/>
      <c r="QRJ142" s="3"/>
      <c r="QRK142" s="3"/>
      <c r="QRL142" s="3"/>
      <c r="QRM142" s="3"/>
      <c r="QRN142" s="3"/>
      <c r="QRO142" s="3"/>
      <c r="QRP142" s="3"/>
      <c r="QRQ142" s="3"/>
      <c r="QRR142" s="3"/>
      <c r="QRS142" s="3"/>
      <c r="QRT142" s="3"/>
      <c r="QRU142" s="3"/>
      <c r="QRV142" s="3"/>
      <c r="QRW142" s="3"/>
      <c r="QRX142" s="3"/>
      <c r="QRY142" s="3"/>
      <c r="QRZ142" s="3"/>
      <c r="QSA142" s="3"/>
      <c r="QSB142" s="3"/>
      <c r="QSC142" s="3"/>
      <c r="QSD142" s="3"/>
      <c r="QSE142" s="3"/>
      <c r="QSF142" s="3"/>
      <c r="QSG142" s="3"/>
      <c r="QSH142" s="3"/>
      <c r="QSI142" s="3"/>
      <c r="QSJ142" s="3"/>
      <c r="QSK142" s="3"/>
      <c r="QSL142" s="3"/>
      <c r="QSM142" s="3"/>
      <c r="QSN142" s="3"/>
      <c r="QSO142" s="3"/>
      <c r="QSP142" s="3"/>
      <c r="QSQ142" s="3"/>
      <c r="QSR142" s="3"/>
      <c r="QSS142" s="3"/>
      <c r="QST142" s="3"/>
      <c r="QSU142" s="3"/>
      <c r="QSV142" s="3"/>
      <c r="QSW142" s="3"/>
      <c r="QSX142" s="3"/>
      <c r="QSY142" s="3"/>
      <c r="QSZ142" s="3"/>
      <c r="QTA142" s="3"/>
      <c r="QTB142" s="3"/>
      <c r="QTC142" s="3"/>
      <c r="QTD142" s="3"/>
      <c r="QTE142" s="3"/>
      <c r="QTF142" s="3"/>
      <c r="QTG142" s="3"/>
      <c r="QTH142" s="3"/>
      <c r="QTI142" s="3"/>
      <c r="QTJ142" s="3"/>
      <c r="QTK142" s="3"/>
      <c r="QTL142" s="3"/>
      <c r="QTM142" s="3"/>
      <c r="QTN142" s="3"/>
      <c r="QTO142" s="3"/>
      <c r="QTP142" s="3"/>
      <c r="QTQ142" s="3"/>
      <c r="QTR142" s="3"/>
      <c r="QTS142" s="3"/>
      <c r="QTT142" s="3"/>
      <c r="QTU142" s="3"/>
      <c r="QTV142" s="3"/>
      <c r="QTW142" s="3"/>
      <c r="QTX142" s="3"/>
      <c r="QTY142" s="3"/>
      <c r="QTZ142" s="3"/>
      <c r="QUA142" s="3"/>
      <c r="QUB142" s="3"/>
      <c r="QUC142" s="3"/>
      <c r="QUD142" s="3"/>
      <c r="QUE142" s="3"/>
      <c r="QUF142" s="3"/>
      <c r="QUG142" s="3"/>
      <c r="QUH142" s="3"/>
      <c r="QUI142" s="3"/>
      <c r="QUJ142" s="3"/>
      <c r="QUK142" s="3"/>
      <c r="QUL142" s="3"/>
      <c r="QUM142" s="3"/>
      <c r="QUN142" s="3"/>
      <c r="QUO142" s="3"/>
      <c r="QUP142" s="3"/>
      <c r="QUQ142" s="3"/>
      <c r="QUR142" s="3"/>
      <c r="QUS142" s="3"/>
      <c r="QUT142" s="3"/>
      <c r="QUU142" s="3"/>
      <c r="QUV142" s="3"/>
      <c r="QUW142" s="3"/>
      <c r="QUX142" s="3"/>
      <c r="QUY142" s="3"/>
      <c r="QUZ142" s="3"/>
      <c r="QVA142" s="3"/>
      <c r="QVB142" s="3"/>
      <c r="QVC142" s="3"/>
      <c r="QVD142" s="3"/>
      <c r="QVE142" s="3"/>
      <c r="QVF142" s="3"/>
      <c r="QVG142" s="3"/>
      <c r="QVH142" s="3"/>
      <c r="QVI142" s="3"/>
      <c r="QVJ142" s="3"/>
      <c r="QVK142" s="3"/>
      <c r="QVL142" s="3"/>
      <c r="QVM142" s="3"/>
      <c r="QVN142" s="3"/>
      <c r="QVO142" s="3"/>
      <c r="QVP142" s="3"/>
      <c r="QVQ142" s="3"/>
      <c r="QVR142" s="3"/>
      <c r="QVS142" s="3"/>
      <c r="QVT142" s="3"/>
      <c r="QVU142" s="3"/>
      <c r="QVV142" s="3"/>
      <c r="QVW142" s="3"/>
      <c r="QVX142" s="3"/>
      <c r="QVY142" s="3"/>
      <c r="QVZ142" s="3"/>
      <c r="QWA142" s="3"/>
      <c r="QWB142" s="3"/>
      <c r="QWC142" s="3"/>
      <c r="QWD142" s="3"/>
      <c r="QWE142" s="3"/>
      <c r="QWF142" s="3"/>
      <c r="QWG142" s="3"/>
      <c r="QWH142" s="3"/>
      <c r="QWI142" s="3"/>
      <c r="QWJ142" s="3"/>
      <c r="QWK142" s="3"/>
      <c r="QWL142" s="3"/>
      <c r="QWM142" s="3"/>
      <c r="QWN142" s="3"/>
      <c r="QWO142" s="3"/>
      <c r="QWP142" s="3"/>
      <c r="QWQ142" s="3"/>
      <c r="QWR142" s="3"/>
      <c r="QWS142" s="3"/>
      <c r="QWT142" s="3"/>
      <c r="QWU142" s="3"/>
      <c r="QWV142" s="3"/>
      <c r="QWW142" s="3"/>
      <c r="QWX142" s="3"/>
      <c r="QWY142" s="3"/>
      <c r="QWZ142" s="3"/>
      <c r="QXA142" s="3"/>
      <c r="QXB142" s="3"/>
      <c r="QXC142" s="3"/>
      <c r="QXD142" s="3"/>
      <c r="QXE142" s="3"/>
      <c r="QXF142" s="3"/>
      <c r="QXG142" s="3"/>
      <c r="QXH142" s="3"/>
      <c r="QXI142" s="3"/>
      <c r="QXJ142" s="3"/>
      <c r="QXK142" s="3"/>
      <c r="QXL142" s="3"/>
      <c r="QXM142" s="3"/>
      <c r="QXN142" s="3"/>
      <c r="QXO142" s="3"/>
      <c r="QXP142" s="3"/>
      <c r="QXQ142" s="3"/>
      <c r="QXR142" s="3"/>
      <c r="QXS142" s="3"/>
      <c r="QXT142" s="3"/>
      <c r="QXU142" s="3"/>
      <c r="QXV142" s="3"/>
      <c r="QXW142" s="3"/>
      <c r="QXX142" s="3"/>
      <c r="QXY142" s="3"/>
      <c r="QXZ142" s="3"/>
      <c r="QYA142" s="3"/>
      <c r="QYB142" s="3"/>
      <c r="QYC142" s="3"/>
      <c r="QYD142" s="3"/>
      <c r="QYE142" s="3"/>
      <c r="QYF142" s="3"/>
      <c r="QYG142" s="3"/>
      <c r="QYH142" s="3"/>
      <c r="QYI142" s="3"/>
      <c r="QYJ142" s="3"/>
      <c r="QYK142" s="3"/>
      <c r="QYL142" s="3"/>
      <c r="QYM142" s="3"/>
      <c r="QYN142" s="3"/>
      <c r="QYO142" s="3"/>
      <c r="QYP142" s="3"/>
      <c r="QYQ142" s="3"/>
      <c r="QYR142" s="3"/>
      <c r="QYS142" s="3"/>
      <c r="QYT142" s="3"/>
      <c r="QYU142" s="3"/>
      <c r="QYV142" s="3"/>
      <c r="QYW142" s="3"/>
      <c r="QYX142" s="3"/>
      <c r="QYY142" s="3"/>
      <c r="QYZ142" s="3"/>
      <c r="QZA142" s="3"/>
      <c r="QZB142" s="3"/>
      <c r="QZC142" s="3"/>
      <c r="QZD142" s="3"/>
      <c r="QZE142" s="3"/>
      <c r="QZF142" s="3"/>
      <c r="QZG142" s="3"/>
      <c r="QZH142" s="3"/>
      <c r="QZI142" s="3"/>
      <c r="QZJ142" s="3"/>
      <c r="QZK142" s="3"/>
      <c r="QZL142" s="3"/>
      <c r="QZM142" s="3"/>
      <c r="QZN142" s="3"/>
      <c r="QZO142" s="3"/>
      <c r="QZP142" s="3"/>
      <c r="QZQ142" s="3"/>
      <c r="QZR142" s="3"/>
      <c r="QZS142" s="3"/>
      <c r="QZT142" s="3"/>
      <c r="QZU142" s="3"/>
      <c r="QZV142" s="3"/>
      <c r="QZW142" s="3"/>
      <c r="QZX142" s="3"/>
      <c r="QZY142" s="3"/>
      <c r="QZZ142" s="3"/>
      <c r="RAA142" s="3"/>
      <c r="RAB142" s="3"/>
      <c r="RAC142" s="3"/>
      <c r="RAD142" s="3"/>
      <c r="RAE142" s="3"/>
      <c r="RAF142" s="3"/>
      <c r="RAG142" s="3"/>
      <c r="RAH142" s="3"/>
      <c r="RAI142" s="3"/>
      <c r="RAJ142" s="3"/>
      <c r="RAK142" s="3"/>
      <c r="RAL142" s="3"/>
      <c r="RAM142" s="3"/>
      <c r="RAN142" s="3"/>
      <c r="RAO142" s="3"/>
      <c r="RAP142" s="3"/>
      <c r="RAQ142" s="3"/>
      <c r="RAR142" s="3"/>
      <c r="RAS142" s="3"/>
      <c r="RAT142" s="3"/>
      <c r="RAU142" s="3"/>
      <c r="RAV142" s="3"/>
      <c r="RAW142" s="3"/>
      <c r="RAX142" s="3"/>
      <c r="RAY142" s="3"/>
      <c r="RAZ142" s="3"/>
      <c r="RBA142" s="3"/>
      <c r="RBB142" s="3"/>
      <c r="RBC142" s="3"/>
      <c r="RBD142" s="3"/>
      <c r="RBE142" s="3"/>
      <c r="RBF142" s="3"/>
      <c r="RBG142" s="3"/>
      <c r="RBH142" s="3"/>
      <c r="RBI142" s="3"/>
      <c r="RBJ142" s="3"/>
      <c r="RBK142" s="3"/>
      <c r="RBL142" s="3"/>
      <c r="RBM142" s="3"/>
      <c r="RBN142" s="3"/>
      <c r="RBO142" s="3"/>
      <c r="RBP142" s="3"/>
      <c r="RBQ142" s="3"/>
      <c r="RBR142" s="3"/>
      <c r="RBS142" s="3"/>
      <c r="RBT142" s="3"/>
      <c r="RBU142" s="3"/>
      <c r="RBV142" s="3"/>
      <c r="RBW142" s="3"/>
      <c r="RBX142" s="3"/>
      <c r="RBY142" s="3"/>
      <c r="RBZ142" s="3"/>
      <c r="RCA142" s="3"/>
      <c r="RCB142" s="3"/>
      <c r="RCC142" s="3"/>
      <c r="RCD142" s="3"/>
      <c r="RCE142" s="3"/>
      <c r="RCF142" s="3"/>
      <c r="RCG142" s="3"/>
      <c r="RCH142" s="3"/>
      <c r="RCI142" s="3"/>
      <c r="RCJ142" s="3"/>
      <c r="RCK142" s="3"/>
      <c r="RCL142" s="3"/>
      <c r="RCM142" s="3"/>
      <c r="RCN142" s="3"/>
      <c r="RCO142" s="3"/>
      <c r="RCP142" s="3"/>
      <c r="RCQ142" s="3"/>
      <c r="RCR142" s="3"/>
      <c r="RCS142" s="3"/>
      <c r="RCT142" s="3"/>
      <c r="RCU142" s="3"/>
      <c r="RCV142" s="3"/>
      <c r="RCW142" s="3"/>
      <c r="RCX142" s="3"/>
      <c r="RCY142" s="3"/>
      <c r="RCZ142" s="3"/>
      <c r="RDA142" s="3"/>
      <c r="RDB142" s="3"/>
      <c r="RDC142" s="3"/>
      <c r="RDD142" s="3"/>
      <c r="RDE142" s="3"/>
      <c r="RDF142" s="3"/>
      <c r="RDG142" s="3"/>
      <c r="RDH142" s="3"/>
      <c r="RDI142" s="3"/>
      <c r="RDJ142" s="3"/>
      <c r="RDK142" s="3"/>
      <c r="RDL142" s="3"/>
      <c r="RDM142" s="3"/>
      <c r="RDN142" s="3"/>
      <c r="RDO142" s="3"/>
      <c r="RDP142" s="3"/>
      <c r="RDQ142" s="3"/>
      <c r="RDR142" s="3"/>
      <c r="RDS142" s="3"/>
      <c r="RDT142" s="3"/>
      <c r="RDU142" s="3"/>
      <c r="RDV142" s="3"/>
      <c r="RDW142" s="3"/>
      <c r="RDX142" s="3"/>
      <c r="RDY142" s="3"/>
      <c r="RDZ142" s="3"/>
      <c r="REA142" s="3"/>
      <c r="REB142" s="3"/>
      <c r="REC142" s="3"/>
      <c r="RED142" s="3"/>
      <c r="REE142" s="3"/>
      <c r="REF142" s="3"/>
      <c r="REG142" s="3"/>
      <c r="REH142" s="3"/>
      <c r="REI142" s="3"/>
      <c r="REJ142" s="3"/>
      <c r="REK142" s="3"/>
      <c r="REL142" s="3"/>
      <c r="REM142" s="3"/>
      <c r="REN142" s="3"/>
      <c r="REO142" s="3"/>
      <c r="REP142" s="3"/>
      <c r="REQ142" s="3"/>
      <c r="RER142" s="3"/>
      <c r="RES142" s="3"/>
      <c r="RET142" s="3"/>
      <c r="REU142" s="3"/>
      <c r="REV142" s="3"/>
      <c r="REW142" s="3"/>
      <c r="REX142" s="3"/>
      <c r="REY142" s="3"/>
      <c r="REZ142" s="3"/>
      <c r="RFA142" s="3"/>
      <c r="RFB142" s="3"/>
      <c r="RFC142" s="3"/>
      <c r="RFD142" s="3"/>
      <c r="RFE142" s="3"/>
      <c r="RFF142" s="3"/>
      <c r="RFG142" s="3"/>
      <c r="RFH142" s="3"/>
      <c r="RFI142" s="3"/>
      <c r="RFJ142" s="3"/>
      <c r="RFK142" s="3"/>
      <c r="RFL142" s="3"/>
      <c r="RFM142" s="3"/>
      <c r="RFN142" s="3"/>
      <c r="RFO142" s="3"/>
      <c r="RFP142" s="3"/>
      <c r="RFQ142" s="3"/>
      <c r="RFR142" s="3"/>
      <c r="RFS142" s="3"/>
      <c r="RFT142" s="3"/>
      <c r="RFU142" s="3"/>
      <c r="RFV142" s="3"/>
      <c r="RFW142" s="3"/>
      <c r="RFX142" s="3"/>
      <c r="RFY142" s="3"/>
      <c r="RFZ142" s="3"/>
      <c r="RGA142" s="3"/>
      <c r="RGB142" s="3"/>
      <c r="RGC142" s="3"/>
      <c r="RGD142" s="3"/>
      <c r="RGE142" s="3"/>
      <c r="RGF142" s="3"/>
      <c r="RGG142" s="3"/>
      <c r="RGH142" s="3"/>
      <c r="RGI142" s="3"/>
      <c r="RGJ142" s="3"/>
      <c r="RGK142" s="3"/>
      <c r="RGL142" s="3"/>
      <c r="RGM142" s="3"/>
      <c r="RGN142" s="3"/>
      <c r="RGO142" s="3"/>
      <c r="RGP142" s="3"/>
      <c r="RGQ142" s="3"/>
      <c r="RGR142" s="3"/>
      <c r="RGS142" s="3"/>
      <c r="RGT142" s="3"/>
      <c r="RGU142" s="3"/>
      <c r="RGV142" s="3"/>
      <c r="RGW142" s="3"/>
      <c r="RGX142" s="3"/>
      <c r="RGY142" s="3"/>
      <c r="RGZ142" s="3"/>
      <c r="RHA142" s="3"/>
      <c r="RHB142" s="3"/>
      <c r="RHC142" s="3"/>
      <c r="RHD142" s="3"/>
      <c r="RHE142" s="3"/>
      <c r="RHF142" s="3"/>
      <c r="RHG142" s="3"/>
      <c r="RHH142" s="3"/>
      <c r="RHI142" s="3"/>
      <c r="RHJ142" s="3"/>
      <c r="RHK142" s="3"/>
      <c r="RHL142" s="3"/>
      <c r="RHM142" s="3"/>
      <c r="RHN142" s="3"/>
      <c r="RHO142" s="3"/>
      <c r="RHP142" s="3"/>
      <c r="RHQ142" s="3"/>
      <c r="RHR142" s="3"/>
      <c r="RHS142" s="3"/>
      <c r="RHT142" s="3"/>
      <c r="RHU142" s="3"/>
      <c r="RHV142" s="3"/>
      <c r="RHW142" s="3"/>
      <c r="RHX142" s="3"/>
      <c r="RHY142" s="3"/>
      <c r="RHZ142" s="3"/>
      <c r="RIA142" s="3"/>
      <c r="RIB142" s="3"/>
      <c r="RIC142" s="3"/>
      <c r="RID142" s="3"/>
      <c r="RIE142" s="3"/>
      <c r="RIF142" s="3"/>
      <c r="RIG142" s="3"/>
      <c r="RIH142" s="3"/>
      <c r="RII142" s="3"/>
      <c r="RIJ142" s="3"/>
      <c r="RIK142" s="3"/>
      <c r="RIL142" s="3"/>
      <c r="RIM142" s="3"/>
      <c r="RIN142" s="3"/>
      <c r="RIO142" s="3"/>
      <c r="RIP142" s="3"/>
      <c r="RIQ142" s="3"/>
      <c r="RIR142" s="3"/>
      <c r="RIS142" s="3"/>
      <c r="RIT142" s="3"/>
      <c r="RIU142" s="3"/>
      <c r="RIV142" s="3"/>
      <c r="RIW142" s="3"/>
      <c r="RIX142" s="3"/>
      <c r="RIY142" s="3"/>
      <c r="RIZ142" s="3"/>
      <c r="RJA142" s="3"/>
      <c r="RJB142" s="3"/>
      <c r="RJC142" s="3"/>
      <c r="RJD142" s="3"/>
      <c r="RJE142" s="3"/>
      <c r="RJF142" s="3"/>
      <c r="RJG142" s="3"/>
      <c r="RJH142" s="3"/>
      <c r="RJI142" s="3"/>
      <c r="RJJ142" s="3"/>
      <c r="RJK142" s="3"/>
      <c r="RJL142" s="3"/>
      <c r="RJM142" s="3"/>
      <c r="RJN142" s="3"/>
      <c r="RJO142" s="3"/>
      <c r="RJP142" s="3"/>
      <c r="RJQ142" s="3"/>
      <c r="RJR142" s="3"/>
      <c r="RJS142" s="3"/>
      <c r="RJT142" s="3"/>
      <c r="RJU142" s="3"/>
      <c r="RJV142" s="3"/>
      <c r="RJW142" s="3"/>
      <c r="RJX142" s="3"/>
      <c r="RJY142" s="3"/>
      <c r="RJZ142" s="3"/>
      <c r="RKA142" s="3"/>
      <c r="RKB142" s="3"/>
      <c r="RKC142" s="3"/>
      <c r="RKD142" s="3"/>
      <c r="RKE142" s="3"/>
      <c r="RKF142" s="3"/>
      <c r="RKG142" s="3"/>
      <c r="RKH142" s="3"/>
      <c r="RKI142" s="3"/>
      <c r="RKJ142" s="3"/>
      <c r="RKK142" s="3"/>
      <c r="RKL142" s="3"/>
      <c r="RKM142" s="3"/>
      <c r="RKN142" s="3"/>
      <c r="RKO142" s="3"/>
      <c r="RKP142" s="3"/>
      <c r="RKQ142" s="3"/>
      <c r="RKR142" s="3"/>
      <c r="RKS142" s="3"/>
      <c r="RKT142" s="3"/>
      <c r="RKU142" s="3"/>
      <c r="RKV142" s="3"/>
      <c r="RKW142" s="3"/>
      <c r="RKX142" s="3"/>
      <c r="RKY142" s="3"/>
      <c r="RKZ142" s="3"/>
      <c r="RLA142" s="3"/>
      <c r="RLB142" s="3"/>
      <c r="RLC142" s="3"/>
      <c r="RLD142" s="3"/>
      <c r="RLE142" s="3"/>
      <c r="RLF142" s="3"/>
      <c r="RLG142" s="3"/>
      <c r="RLH142" s="3"/>
      <c r="RLI142" s="3"/>
      <c r="RLJ142" s="3"/>
      <c r="RLK142" s="3"/>
      <c r="RLL142" s="3"/>
      <c r="RLM142" s="3"/>
      <c r="RLN142" s="3"/>
      <c r="RLO142" s="3"/>
      <c r="RLP142" s="3"/>
      <c r="RLQ142" s="3"/>
      <c r="RLR142" s="3"/>
      <c r="RLS142" s="3"/>
      <c r="RLT142" s="3"/>
      <c r="RLU142" s="3"/>
      <c r="RLV142" s="3"/>
      <c r="RLW142" s="3"/>
      <c r="RLX142" s="3"/>
      <c r="RLY142" s="3"/>
      <c r="RLZ142" s="3"/>
      <c r="RMA142" s="3"/>
      <c r="RMB142" s="3"/>
      <c r="RMC142" s="3"/>
      <c r="RMD142" s="3"/>
      <c r="RME142" s="3"/>
      <c r="RMF142" s="3"/>
      <c r="RMG142" s="3"/>
      <c r="RMH142" s="3"/>
      <c r="RMI142" s="3"/>
      <c r="RMJ142" s="3"/>
      <c r="RMK142" s="3"/>
      <c r="RML142" s="3"/>
      <c r="RMM142" s="3"/>
      <c r="RMN142" s="3"/>
      <c r="RMO142" s="3"/>
      <c r="RMP142" s="3"/>
      <c r="RMQ142" s="3"/>
      <c r="RMR142" s="3"/>
      <c r="RMS142" s="3"/>
      <c r="RMT142" s="3"/>
      <c r="RMU142" s="3"/>
      <c r="RMV142" s="3"/>
      <c r="RMW142" s="3"/>
      <c r="RMX142" s="3"/>
      <c r="RMY142" s="3"/>
      <c r="RMZ142" s="3"/>
      <c r="RNA142" s="3"/>
      <c r="RNB142" s="3"/>
      <c r="RNC142" s="3"/>
      <c r="RND142" s="3"/>
      <c r="RNE142" s="3"/>
      <c r="RNF142" s="3"/>
      <c r="RNG142" s="3"/>
      <c r="RNH142" s="3"/>
      <c r="RNI142" s="3"/>
      <c r="RNJ142" s="3"/>
      <c r="RNK142" s="3"/>
      <c r="RNL142" s="3"/>
      <c r="RNM142" s="3"/>
      <c r="RNN142" s="3"/>
      <c r="RNO142" s="3"/>
      <c r="RNP142" s="3"/>
      <c r="RNQ142" s="3"/>
      <c r="RNR142" s="3"/>
      <c r="RNS142" s="3"/>
      <c r="RNT142" s="3"/>
      <c r="RNU142" s="3"/>
      <c r="RNV142" s="3"/>
      <c r="RNW142" s="3"/>
      <c r="RNX142" s="3"/>
      <c r="RNY142" s="3"/>
      <c r="RNZ142" s="3"/>
      <c r="ROA142" s="3"/>
      <c r="ROB142" s="3"/>
      <c r="ROC142" s="3"/>
      <c r="ROD142" s="3"/>
      <c r="ROE142" s="3"/>
      <c r="ROF142" s="3"/>
      <c r="ROG142" s="3"/>
      <c r="ROH142" s="3"/>
      <c r="ROI142" s="3"/>
      <c r="ROJ142" s="3"/>
      <c r="ROK142" s="3"/>
      <c r="ROL142" s="3"/>
      <c r="ROM142" s="3"/>
      <c r="RON142" s="3"/>
      <c r="ROO142" s="3"/>
      <c r="ROP142" s="3"/>
      <c r="ROQ142" s="3"/>
      <c r="ROR142" s="3"/>
      <c r="ROS142" s="3"/>
      <c r="ROT142" s="3"/>
      <c r="ROU142" s="3"/>
      <c r="ROV142" s="3"/>
      <c r="ROW142" s="3"/>
      <c r="ROX142" s="3"/>
      <c r="ROY142" s="3"/>
      <c r="ROZ142" s="3"/>
      <c r="RPA142" s="3"/>
      <c r="RPB142" s="3"/>
      <c r="RPC142" s="3"/>
      <c r="RPD142" s="3"/>
      <c r="RPE142" s="3"/>
      <c r="RPF142" s="3"/>
      <c r="RPG142" s="3"/>
      <c r="RPH142" s="3"/>
      <c r="RPI142" s="3"/>
      <c r="RPJ142" s="3"/>
      <c r="RPK142" s="3"/>
      <c r="RPL142" s="3"/>
      <c r="RPM142" s="3"/>
      <c r="RPN142" s="3"/>
      <c r="RPO142" s="3"/>
      <c r="RPP142" s="3"/>
      <c r="RPQ142" s="3"/>
      <c r="RPR142" s="3"/>
      <c r="RPS142" s="3"/>
      <c r="RPT142" s="3"/>
      <c r="RPU142" s="3"/>
      <c r="RPV142" s="3"/>
      <c r="RPW142" s="3"/>
      <c r="RPX142" s="3"/>
      <c r="RPY142" s="3"/>
      <c r="RPZ142" s="3"/>
      <c r="RQA142" s="3"/>
      <c r="RQB142" s="3"/>
      <c r="RQC142" s="3"/>
      <c r="RQD142" s="3"/>
      <c r="RQE142" s="3"/>
      <c r="RQF142" s="3"/>
      <c r="RQG142" s="3"/>
      <c r="RQH142" s="3"/>
      <c r="RQI142" s="3"/>
      <c r="RQJ142" s="3"/>
      <c r="RQK142" s="3"/>
      <c r="RQL142" s="3"/>
      <c r="RQM142" s="3"/>
      <c r="RQN142" s="3"/>
      <c r="RQO142" s="3"/>
      <c r="RQP142" s="3"/>
      <c r="RQQ142" s="3"/>
      <c r="RQR142" s="3"/>
      <c r="RQS142" s="3"/>
      <c r="RQT142" s="3"/>
      <c r="RQU142" s="3"/>
      <c r="RQV142" s="3"/>
      <c r="RQW142" s="3"/>
      <c r="RQX142" s="3"/>
      <c r="RQY142" s="3"/>
      <c r="RQZ142" s="3"/>
      <c r="RRA142" s="3"/>
      <c r="RRB142" s="3"/>
      <c r="RRC142" s="3"/>
      <c r="RRD142" s="3"/>
      <c r="RRE142" s="3"/>
      <c r="RRF142" s="3"/>
      <c r="RRG142" s="3"/>
      <c r="RRH142" s="3"/>
      <c r="RRI142" s="3"/>
      <c r="RRJ142" s="3"/>
      <c r="RRK142" s="3"/>
      <c r="RRL142" s="3"/>
      <c r="RRM142" s="3"/>
      <c r="RRN142" s="3"/>
      <c r="RRO142" s="3"/>
      <c r="RRP142" s="3"/>
      <c r="RRQ142" s="3"/>
      <c r="RRR142" s="3"/>
      <c r="RRS142" s="3"/>
      <c r="RRT142" s="3"/>
      <c r="RRU142" s="3"/>
      <c r="RRV142" s="3"/>
      <c r="RRW142" s="3"/>
      <c r="RRX142" s="3"/>
      <c r="RRY142" s="3"/>
      <c r="RRZ142" s="3"/>
      <c r="RSA142" s="3"/>
      <c r="RSB142" s="3"/>
      <c r="RSC142" s="3"/>
      <c r="RSD142" s="3"/>
      <c r="RSE142" s="3"/>
      <c r="RSF142" s="3"/>
      <c r="RSG142" s="3"/>
      <c r="RSH142" s="3"/>
      <c r="RSI142" s="3"/>
      <c r="RSJ142" s="3"/>
      <c r="RSK142" s="3"/>
      <c r="RSL142" s="3"/>
      <c r="RSM142" s="3"/>
      <c r="RSN142" s="3"/>
      <c r="RSO142" s="3"/>
      <c r="RSP142" s="3"/>
      <c r="RSQ142" s="3"/>
      <c r="RSR142" s="3"/>
      <c r="RSS142" s="3"/>
      <c r="RST142" s="3"/>
      <c r="RSU142" s="3"/>
      <c r="RSV142" s="3"/>
      <c r="RSW142" s="3"/>
      <c r="RSX142" s="3"/>
      <c r="RSY142" s="3"/>
      <c r="RSZ142" s="3"/>
      <c r="RTA142" s="3"/>
      <c r="RTB142" s="3"/>
      <c r="RTC142" s="3"/>
      <c r="RTD142" s="3"/>
      <c r="RTE142" s="3"/>
      <c r="RTF142" s="3"/>
      <c r="RTG142" s="3"/>
      <c r="RTH142" s="3"/>
      <c r="RTI142" s="3"/>
      <c r="RTJ142" s="3"/>
      <c r="RTK142" s="3"/>
      <c r="RTL142" s="3"/>
      <c r="RTM142" s="3"/>
      <c r="RTN142" s="3"/>
      <c r="RTO142" s="3"/>
      <c r="RTP142" s="3"/>
      <c r="RTQ142" s="3"/>
      <c r="RTR142" s="3"/>
      <c r="RTS142" s="3"/>
      <c r="RTT142" s="3"/>
      <c r="RTU142" s="3"/>
      <c r="RTV142" s="3"/>
      <c r="RTW142" s="3"/>
      <c r="RTX142" s="3"/>
      <c r="RTY142" s="3"/>
      <c r="RTZ142" s="3"/>
      <c r="RUA142" s="3"/>
      <c r="RUB142" s="3"/>
      <c r="RUC142" s="3"/>
      <c r="RUD142" s="3"/>
      <c r="RUE142" s="3"/>
      <c r="RUF142" s="3"/>
      <c r="RUG142" s="3"/>
      <c r="RUH142" s="3"/>
      <c r="RUI142" s="3"/>
      <c r="RUJ142" s="3"/>
      <c r="RUK142" s="3"/>
      <c r="RUL142" s="3"/>
      <c r="RUM142" s="3"/>
      <c r="RUN142" s="3"/>
      <c r="RUO142" s="3"/>
      <c r="RUP142" s="3"/>
      <c r="RUQ142" s="3"/>
      <c r="RUR142" s="3"/>
      <c r="RUS142" s="3"/>
      <c r="RUT142" s="3"/>
      <c r="RUU142" s="3"/>
      <c r="RUV142" s="3"/>
      <c r="RUW142" s="3"/>
      <c r="RUX142" s="3"/>
      <c r="RUY142" s="3"/>
      <c r="RUZ142" s="3"/>
      <c r="RVA142" s="3"/>
      <c r="RVB142" s="3"/>
      <c r="RVC142" s="3"/>
      <c r="RVD142" s="3"/>
      <c r="RVE142" s="3"/>
      <c r="RVF142" s="3"/>
      <c r="RVG142" s="3"/>
      <c r="RVH142" s="3"/>
      <c r="RVI142" s="3"/>
      <c r="RVJ142" s="3"/>
      <c r="RVK142" s="3"/>
      <c r="RVL142" s="3"/>
      <c r="RVM142" s="3"/>
      <c r="RVN142" s="3"/>
      <c r="RVO142" s="3"/>
      <c r="RVP142" s="3"/>
      <c r="RVQ142" s="3"/>
      <c r="RVR142" s="3"/>
      <c r="RVS142" s="3"/>
      <c r="RVT142" s="3"/>
      <c r="RVU142" s="3"/>
      <c r="RVV142" s="3"/>
      <c r="RVW142" s="3"/>
      <c r="RVX142" s="3"/>
      <c r="RVY142" s="3"/>
      <c r="RVZ142" s="3"/>
      <c r="RWA142" s="3"/>
      <c r="RWB142" s="3"/>
      <c r="RWC142" s="3"/>
      <c r="RWD142" s="3"/>
      <c r="RWE142" s="3"/>
      <c r="RWF142" s="3"/>
      <c r="RWG142" s="3"/>
      <c r="RWH142" s="3"/>
      <c r="RWI142" s="3"/>
      <c r="RWJ142" s="3"/>
      <c r="RWK142" s="3"/>
      <c r="RWL142" s="3"/>
      <c r="RWM142" s="3"/>
      <c r="RWN142" s="3"/>
      <c r="RWO142" s="3"/>
      <c r="RWP142" s="3"/>
      <c r="RWQ142" s="3"/>
      <c r="RWR142" s="3"/>
      <c r="RWS142" s="3"/>
      <c r="RWT142" s="3"/>
      <c r="RWU142" s="3"/>
      <c r="RWV142" s="3"/>
      <c r="RWW142" s="3"/>
      <c r="RWX142" s="3"/>
      <c r="RWY142" s="3"/>
      <c r="RWZ142" s="3"/>
      <c r="RXA142" s="3"/>
      <c r="RXB142" s="3"/>
      <c r="RXC142" s="3"/>
      <c r="RXD142" s="3"/>
      <c r="RXE142" s="3"/>
      <c r="RXF142" s="3"/>
      <c r="RXG142" s="3"/>
      <c r="RXH142" s="3"/>
      <c r="RXI142" s="3"/>
      <c r="RXJ142" s="3"/>
      <c r="RXK142" s="3"/>
      <c r="RXL142" s="3"/>
      <c r="RXM142" s="3"/>
      <c r="RXN142" s="3"/>
      <c r="RXO142" s="3"/>
      <c r="RXP142" s="3"/>
      <c r="RXQ142" s="3"/>
      <c r="RXR142" s="3"/>
      <c r="RXS142" s="3"/>
      <c r="RXT142" s="3"/>
      <c r="RXU142" s="3"/>
      <c r="RXV142" s="3"/>
      <c r="RXW142" s="3"/>
      <c r="RXX142" s="3"/>
      <c r="RXY142" s="3"/>
      <c r="RXZ142" s="3"/>
      <c r="RYA142" s="3"/>
      <c r="RYB142" s="3"/>
      <c r="RYC142" s="3"/>
      <c r="RYD142" s="3"/>
      <c r="RYE142" s="3"/>
      <c r="RYF142" s="3"/>
      <c r="RYG142" s="3"/>
      <c r="RYH142" s="3"/>
      <c r="RYI142" s="3"/>
      <c r="RYJ142" s="3"/>
      <c r="RYK142" s="3"/>
      <c r="RYL142" s="3"/>
      <c r="RYM142" s="3"/>
      <c r="RYN142" s="3"/>
      <c r="RYO142" s="3"/>
      <c r="RYP142" s="3"/>
      <c r="RYQ142" s="3"/>
      <c r="RYR142" s="3"/>
      <c r="RYS142" s="3"/>
      <c r="RYT142" s="3"/>
      <c r="RYU142" s="3"/>
      <c r="RYV142" s="3"/>
      <c r="RYW142" s="3"/>
      <c r="RYX142" s="3"/>
      <c r="RYY142" s="3"/>
      <c r="RYZ142" s="3"/>
      <c r="RZA142" s="3"/>
      <c r="RZB142" s="3"/>
      <c r="RZC142" s="3"/>
      <c r="RZD142" s="3"/>
      <c r="RZE142" s="3"/>
      <c r="RZF142" s="3"/>
      <c r="RZG142" s="3"/>
      <c r="RZH142" s="3"/>
      <c r="RZI142" s="3"/>
      <c r="RZJ142" s="3"/>
      <c r="RZK142" s="3"/>
      <c r="RZL142" s="3"/>
      <c r="RZM142" s="3"/>
      <c r="RZN142" s="3"/>
      <c r="RZO142" s="3"/>
      <c r="RZP142" s="3"/>
      <c r="RZQ142" s="3"/>
      <c r="RZR142" s="3"/>
      <c r="RZS142" s="3"/>
      <c r="RZT142" s="3"/>
      <c r="RZU142" s="3"/>
      <c r="RZV142" s="3"/>
      <c r="RZW142" s="3"/>
      <c r="RZX142" s="3"/>
      <c r="RZY142" s="3"/>
      <c r="RZZ142" s="3"/>
      <c r="SAA142" s="3"/>
      <c r="SAB142" s="3"/>
      <c r="SAC142" s="3"/>
      <c r="SAD142" s="3"/>
      <c r="SAE142" s="3"/>
      <c r="SAF142" s="3"/>
      <c r="SAG142" s="3"/>
      <c r="SAH142" s="3"/>
      <c r="SAI142" s="3"/>
      <c r="SAJ142" s="3"/>
      <c r="SAK142" s="3"/>
      <c r="SAL142" s="3"/>
      <c r="SAM142" s="3"/>
      <c r="SAN142" s="3"/>
      <c r="SAO142" s="3"/>
      <c r="SAP142" s="3"/>
      <c r="SAQ142" s="3"/>
      <c r="SAR142" s="3"/>
      <c r="SAS142" s="3"/>
      <c r="SAT142" s="3"/>
      <c r="SAU142" s="3"/>
      <c r="SAV142" s="3"/>
      <c r="SAW142" s="3"/>
      <c r="SAX142" s="3"/>
      <c r="SAY142" s="3"/>
      <c r="SAZ142" s="3"/>
      <c r="SBA142" s="3"/>
      <c r="SBB142" s="3"/>
      <c r="SBC142" s="3"/>
      <c r="SBD142" s="3"/>
      <c r="SBE142" s="3"/>
      <c r="SBF142" s="3"/>
      <c r="SBG142" s="3"/>
      <c r="SBH142" s="3"/>
      <c r="SBI142" s="3"/>
      <c r="SBJ142" s="3"/>
      <c r="SBK142" s="3"/>
      <c r="SBL142" s="3"/>
      <c r="SBM142" s="3"/>
      <c r="SBN142" s="3"/>
      <c r="SBO142" s="3"/>
      <c r="SBP142" s="3"/>
      <c r="SBQ142" s="3"/>
      <c r="SBR142" s="3"/>
      <c r="SBS142" s="3"/>
      <c r="SBT142" s="3"/>
      <c r="SBU142" s="3"/>
      <c r="SBV142" s="3"/>
      <c r="SBW142" s="3"/>
      <c r="SBX142" s="3"/>
      <c r="SBY142" s="3"/>
      <c r="SBZ142" s="3"/>
      <c r="SCA142" s="3"/>
      <c r="SCB142" s="3"/>
      <c r="SCC142" s="3"/>
      <c r="SCD142" s="3"/>
      <c r="SCE142" s="3"/>
      <c r="SCF142" s="3"/>
      <c r="SCG142" s="3"/>
      <c r="SCH142" s="3"/>
      <c r="SCI142" s="3"/>
      <c r="SCJ142" s="3"/>
      <c r="SCK142" s="3"/>
      <c r="SCL142" s="3"/>
      <c r="SCM142" s="3"/>
      <c r="SCN142" s="3"/>
      <c r="SCO142" s="3"/>
      <c r="SCP142" s="3"/>
      <c r="SCQ142" s="3"/>
      <c r="SCR142" s="3"/>
      <c r="SCS142" s="3"/>
      <c r="SCT142" s="3"/>
      <c r="SCU142" s="3"/>
      <c r="SCV142" s="3"/>
      <c r="SCW142" s="3"/>
      <c r="SCX142" s="3"/>
      <c r="SCY142" s="3"/>
      <c r="SCZ142" s="3"/>
      <c r="SDA142" s="3"/>
      <c r="SDB142" s="3"/>
      <c r="SDC142" s="3"/>
      <c r="SDD142" s="3"/>
      <c r="SDE142" s="3"/>
      <c r="SDF142" s="3"/>
      <c r="SDG142" s="3"/>
      <c r="SDH142" s="3"/>
      <c r="SDI142" s="3"/>
      <c r="SDJ142" s="3"/>
      <c r="SDK142" s="3"/>
      <c r="SDL142" s="3"/>
      <c r="SDM142" s="3"/>
      <c r="SDN142" s="3"/>
      <c r="SDO142" s="3"/>
      <c r="SDP142" s="3"/>
      <c r="SDQ142" s="3"/>
      <c r="SDR142" s="3"/>
      <c r="SDS142" s="3"/>
      <c r="SDT142" s="3"/>
      <c r="SDU142" s="3"/>
      <c r="SDV142" s="3"/>
      <c r="SDW142" s="3"/>
      <c r="SDX142" s="3"/>
      <c r="SDY142" s="3"/>
      <c r="SDZ142" s="3"/>
      <c r="SEA142" s="3"/>
      <c r="SEB142" s="3"/>
      <c r="SEC142" s="3"/>
      <c r="SED142" s="3"/>
      <c r="SEE142" s="3"/>
      <c r="SEF142" s="3"/>
      <c r="SEG142" s="3"/>
      <c r="SEH142" s="3"/>
      <c r="SEI142" s="3"/>
      <c r="SEJ142" s="3"/>
      <c r="SEK142" s="3"/>
      <c r="SEL142" s="3"/>
      <c r="SEM142" s="3"/>
      <c r="SEN142" s="3"/>
      <c r="SEO142" s="3"/>
      <c r="SEP142" s="3"/>
      <c r="SEQ142" s="3"/>
      <c r="SER142" s="3"/>
      <c r="SES142" s="3"/>
      <c r="SET142" s="3"/>
      <c r="SEU142" s="3"/>
      <c r="SEV142" s="3"/>
      <c r="SEW142" s="3"/>
      <c r="SEX142" s="3"/>
      <c r="SEY142" s="3"/>
      <c r="SEZ142" s="3"/>
      <c r="SFA142" s="3"/>
      <c r="SFB142" s="3"/>
      <c r="SFC142" s="3"/>
      <c r="SFD142" s="3"/>
      <c r="SFE142" s="3"/>
      <c r="SFF142" s="3"/>
      <c r="SFG142" s="3"/>
      <c r="SFH142" s="3"/>
      <c r="SFI142" s="3"/>
      <c r="SFJ142" s="3"/>
      <c r="SFK142" s="3"/>
      <c r="SFL142" s="3"/>
      <c r="SFM142" s="3"/>
      <c r="SFN142" s="3"/>
      <c r="SFO142" s="3"/>
      <c r="SFP142" s="3"/>
      <c r="SFQ142" s="3"/>
      <c r="SFR142" s="3"/>
      <c r="SFS142" s="3"/>
      <c r="SFT142" s="3"/>
      <c r="SFU142" s="3"/>
      <c r="SFV142" s="3"/>
      <c r="SFW142" s="3"/>
      <c r="SFX142" s="3"/>
      <c r="SFY142" s="3"/>
      <c r="SFZ142" s="3"/>
      <c r="SGA142" s="3"/>
      <c r="SGB142" s="3"/>
      <c r="SGC142" s="3"/>
      <c r="SGD142" s="3"/>
      <c r="SGE142" s="3"/>
      <c r="SGF142" s="3"/>
      <c r="SGG142" s="3"/>
      <c r="SGH142" s="3"/>
      <c r="SGI142" s="3"/>
      <c r="SGJ142" s="3"/>
      <c r="SGK142" s="3"/>
      <c r="SGL142" s="3"/>
      <c r="SGM142" s="3"/>
      <c r="SGN142" s="3"/>
      <c r="SGO142" s="3"/>
      <c r="SGP142" s="3"/>
      <c r="SGQ142" s="3"/>
      <c r="SGR142" s="3"/>
      <c r="SGS142" s="3"/>
      <c r="SGT142" s="3"/>
      <c r="SGU142" s="3"/>
      <c r="SGV142" s="3"/>
      <c r="SGW142" s="3"/>
      <c r="SGX142" s="3"/>
      <c r="SGY142" s="3"/>
      <c r="SGZ142" s="3"/>
      <c r="SHA142" s="3"/>
      <c r="SHB142" s="3"/>
      <c r="SHC142" s="3"/>
      <c r="SHD142" s="3"/>
      <c r="SHE142" s="3"/>
      <c r="SHF142" s="3"/>
      <c r="SHG142" s="3"/>
      <c r="SHH142" s="3"/>
      <c r="SHI142" s="3"/>
      <c r="SHJ142" s="3"/>
      <c r="SHK142" s="3"/>
      <c r="SHL142" s="3"/>
      <c r="SHM142" s="3"/>
      <c r="SHN142" s="3"/>
      <c r="SHO142" s="3"/>
      <c r="SHP142" s="3"/>
      <c r="SHQ142" s="3"/>
      <c r="SHR142" s="3"/>
      <c r="SHS142" s="3"/>
      <c r="SHT142" s="3"/>
      <c r="SHU142" s="3"/>
      <c r="SHV142" s="3"/>
      <c r="SHW142" s="3"/>
      <c r="SHX142" s="3"/>
      <c r="SHY142" s="3"/>
      <c r="SHZ142" s="3"/>
      <c r="SIA142" s="3"/>
      <c r="SIB142" s="3"/>
      <c r="SIC142" s="3"/>
      <c r="SID142" s="3"/>
      <c r="SIE142" s="3"/>
      <c r="SIF142" s="3"/>
      <c r="SIG142" s="3"/>
      <c r="SIH142" s="3"/>
      <c r="SII142" s="3"/>
      <c r="SIJ142" s="3"/>
      <c r="SIK142" s="3"/>
      <c r="SIL142" s="3"/>
      <c r="SIM142" s="3"/>
      <c r="SIN142" s="3"/>
      <c r="SIO142" s="3"/>
      <c r="SIP142" s="3"/>
      <c r="SIQ142" s="3"/>
      <c r="SIR142" s="3"/>
      <c r="SIS142" s="3"/>
      <c r="SIT142" s="3"/>
      <c r="SIU142" s="3"/>
      <c r="SIV142" s="3"/>
      <c r="SIW142" s="3"/>
      <c r="SIX142" s="3"/>
      <c r="SIY142" s="3"/>
      <c r="SIZ142" s="3"/>
      <c r="SJA142" s="3"/>
      <c r="SJB142" s="3"/>
      <c r="SJC142" s="3"/>
      <c r="SJD142" s="3"/>
      <c r="SJE142" s="3"/>
      <c r="SJF142" s="3"/>
      <c r="SJG142" s="3"/>
      <c r="SJH142" s="3"/>
      <c r="SJI142" s="3"/>
      <c r="SJJ142" s="3"/>
      <c r="SJK142" s="3"/>
      <c r="SJL142" s="3"/>
      <c r="SJM142" s="3"/>
      <c r="SJN142" s="3"/>
      <c r="SJO142" s="3"/>
      <c r="SJP142" s="3"/>
      <c r="SJQ142" s="3"/>
      <c r="SJR142" s="3"/>
      <c r="SJS142" s="3"/>
      <c r="SJT142" s="3"/>
      <c r="SJU142" s="3"/>
      <c r="SJV142" s="3"/>
      <c r="SJW142" s="3"/>
      <c r="SJX142" s="3"/>
      <c r="SJY142" s="3"/>
      <c r="SJZ142" s="3"/>
      <c r="SKA142" s="3"/>
      <c r="SKB142" s="3"/>
      <c r="SKC142" s="3"/>
      <c r="SKD142" s="3"/>
      <c r="SKE142" s="3"/>
      <c r="SKF142" s="3"/>
      <c r="SKG142" s="3"/>
      <c r="SKH142" s="3"/>
      <c r="SKI142" s="3"/>
      <c r="SKJ142" s="3"/>
      <c r="SKK142" s="3"/>
      <c r="SKL142" s="3"/>
      <c r="SKM142" s="3"/>
      <c r="SKN142" s="3"/>
      <c r="SKO142" s="3"/>
      <c r="SKP142" s="3"/>
      <c r="SKQ142" s="3"/>
      <c r="SKR142" s="3"/>
      <c r="SKS142" s="3"/>
      <c r="SKT142" s="3"/>
      <c r="SKU142" s="3"/>
      <c r="SKV142" s="3"/>
      <c r="SKW142" s="3"/>
      <c r="SKX142" s="3"/>
      <c r="SKY142" s="3"/>
      <c r="SKZ142" s="3"/>
      <c r="SLA142" s="3"/>
      <c r="SLB142" s="3"/>
      <c r="SLC142" s="3"/>
      <c r="SLD142" s="3"/>
      <c r="SLE142" s="3"/>
      <c r="SLF142" s="3"/>
      <c r="SLG142" s="3"/>
      <c r="SLH142" s="3"/>
      <c r="SLI142" s="3"/>
      <c r="SLJ142" s="3"/>
      <c r="SLK142" s="3"/>
      <c r="SLL142" s="3"/>
      <c r="SLM142" s="3"/>
      <c r="SLN142" s="3"/>
      <c r="SLO142" s="3"/>
      <c r="SLP142" s="3"/>
      <c r="SLQ142" s="3"/>
      <c r="SLR142" s="3"/>
      <c r="SLS142" s="3"/>
      <c r="SLT142" s="3"/>
      <c r="SLU142" s="3"/>
      <c r="SLV142" s="3"/>
      <c r="SLW142" s="3"/>
      <c r="SLX142" s="3"/>
      <c r="SLY142" s="3"/>
      <c r="SLZ142" s="3"/>
      <c r="SMA142" s="3"/>
      <c r="SMB142" s="3"/>
      <c r="SMC142" s="3"/>
      <c r="SMD142" s="3"/>
      <c r="SME142" s="3"/>
      <c r="SMF142" s="3"/>
      <c r="SMG142" s="3"/>
      <c r="SMH142" s="3"/>
      <c r="SMI142" s="3"/>
      <c r="SMJ142" s="3"/>
      <c r="SMK142" s="3"/>
      <c r="SML142" s="3"/>
      <c r="SMM142" s="3"/>
      <c r="SMN142" s="3"/>
      <c r="SMO142" s="3"/>
      <c r="SMP142" s="3"/>
      <c r="SMQ142" s="3"/>
      <c r="SMR142" s="3"/>
      <c r="SMS142" s="3"/>
      <c r="SMT142" s="3"/>
      <c r="SMU142" s="3"/>
      <c r="SMV142" s="3"/>
      <c r="SMW142" s="3"/>
      <c r="SMX142" s="3"/>
      <c r="SMY142" s="3"/>
      <c r="SMZ142" s="3"/>
      <c r="SNA142" s="3"/>
      <c r="SNB142" s="3"/>
      <c r="SNC142" s="3"/>
      <c r="SND142" s="3"/>
      <c r="SNE142" s="3"/>
      <c r="SNF142" s="3"/>
      <c r="SNG142" s="3"/>
      <c r="SNH142" s="3"/>
      <c r="SNI142" s="3"/>
      <c r="SNJ142" s="3"/>
      <c r="SNK142" s="3"/>
      <c r="SNL142" s="3"/>
      <c r="SNM142" s="3"/>
      <c r="SNN142" s="3"/>
      <c r="SNO142" s="3"/>
      <c r="SNP142" s="3"/>
      <c r="SNQ142" s="3"/>
      <c r="SNR142" s="3"/>
      <c r="SNS142" s="3"/>
      <c r="SNT142" s="3"/>
      <c r="SNU142" s="3"/>
      <c r="SNV142" s="3"/>
      <c r="SNW142" s="3"/>
      <c r="SNX142" s="3"/>
      <c r="SNY142" s="3"/>
      <c r="SNZ142" s="3"/>
      <c r="SOA142" s="3"/>
      <c r="SOB142" s="3"/>
      <c r="SOC142" s="3"/>
      <c r="SOD142" s="3"/>
      <c r="SOE142" s="3"/>
      <c r="SOF142" s="3"/>
      <c r="SOG142" s="3"/>
      <c r="SOH142" s="3"/>
      <c r="SOI142" s="3"/>
      <c r="SOJ142" s="3"/>
      <c r="SOK142" s="3"/>
      <c r="SOL142" s="3"/>
      <c r="SOM142" s="3"/>
      <c r="SON142" s="3"/>
      <c r="SOO142" s="3"/>
      <c r="SOP142" s="3"/>
      <c r="SOQ142" s="3"/>
      <c r="SOR142" s="3"/>
      <c r="SOS142" s="3"/>
      <c r="SOT142" s="3"/>
      <c r="SOU142" s="3"/>
      <c r="SOV142" s="3"/>
      <c r="SOW142" s="3"/>
      <c r="SOX142" s="3"/>
      <c r="SOY142" s="3"/>
      <c r="SOZ142" s="3"/>
      <c r="SPA142" s="3"/>
      <c r="SPB142" s="3"/>
      <c r="SPC142" s="3"/>
      <c r="SPD142" s="3"/>
      <c r="SPE142" s="3"/>
      <c r="SPF142" s="3"/>
      <c r="SPG142" s="3"/>
      <c r="SPH142" s="3"/>
      <c r="SPI142" s="3"/>
      <c r="SPJ142" s="3"/>
      <c r="SPK142" s="3"/>
      <c r="SPL142" s="3"/>
      <c r="SPM142" s="3"/>
      <c r="SPN142" s="3"/>
      <c r="SPO142" s="3"/>
      <c r="SPP142" s="3"/>
      <c r="SPQ142" s="3"/>
      <c r="SPR142" s="3"/>
      <c r="SPS142" s="3"/>
      <c r="SPT142" s="3"/>
      <c r="SPU142" s="3"/>
      <c r="SPV142" s="3"/>
      <c r="SPW142" s="3"/>
      <c r="SPX142" s="3"/>
      <c r="SPY142" s="3"/>
      <c r="SPZ142" s="3"/>
      <c r="SQA142" s="3"/>
      <c r="SQB142" s="3"/>
      <c r="SQC142" s="3"/>
      <c r="SQD142" s="3"/>
      <c r="SQE142" s="3"/>
      <c r="SQF142" s="3"/>
      <c r="SQG142" s="3"/>
      <c r="SQH142" s="3"/>
      <c r="SQI142" s="3"/>
      <c r="SQJ142" s="3"/>
      <c r="SQK142" s="3"/>
      <c r="SQL142" s="3"/>
      <c r="SQM142" s="3"/>
      <c r="SQN142" s="3"/>
      <c r="SQO142" s="3"/>
      <c r="SQP142" s="3"/>
      <c r="SQQ142" s="3"/>
      <c r="SQR142" s="3"/>
      <c r="SQS142" s="3"/>
      <c r="SQT142" s="3"/>
      <c r="SQU142" s="3"/>
      <c r="SQV142" s="3"/>
      <c r="SQW142" s="3"/>
      <c r="SQX142" s="3"/>
      <c r="SQY142" s="3"/>
      <c r="SQZ142" s="3"/>
      <c r="SRA142" s="3"/>
      <c r="SRB142" s="3"/>
      <c r="SRC142" s="3"/>
      <c r="SRD142" s="3"/>
      <c r="SRE142" s="3"/>
      <c r="SRF142" s="3"/>
      <c r="SRG142" s="3"/>
      <c r="SRH142" s="3"/>
      <c r="SRI142" s="3"/>
      <c r="SRJ142" s="3"/>
      <c r="SRK142" s="3"/>
      <c r="SRL142" s="3"/>
      <c r="SRM142" s="3"/>
      <c r="SRN142" s="3"/>
      <c r="SRO142" s="3"/>
      <c r="SRP142" s="3"/>
      <c r="SRQ142" s="3"/>
      <c r="SRR142" s="3"/>
      <c r="SRS142" s="3"/>
      <c r="SRT142" s="3"/>
      <c r="SRU142" s="3"/>
      <c r="SRV142" s="3"/>
      <c r="SRW142" s="3"/>
      <c r="SRX142" s="3"/>
      <c r="SRY142" s="3"/>
      <c r="SRZ142" s="3"/>
      <c r="SSA142" s="3"/>
      <c r="SSB142" s="3"/>
      <c r="SSC142" s="3"/>
      <c r="SSD142" s="3"/>
      <c r="SSE142" s="3"/>
      <c r="SSF142" s="3"/>
      <c r="SSG142" s="3"/>
      <c r="SSH142" s="3"/>
      <c r="SSI142" s="3"/>
      <c r="SSJ142" s="3"/>
      <c r="SSK142" s="3"/>
      <c r="SSL142" s="3"/>
      <c r="SSM142" s="3"/>
      <c r="SSN142" s="3"/>
      <c r="SSO142" s="3"/>
      <c r="SSP142" s="3"/>
      <c r="SSQ142" s="3"/>
      <c r="SSR142" s="3"/>
      <c r="SSS142" s="3"/>
      <c r="SST142" s="3"/>
      <c r="SSU142" s="3"/>
      <c r="SSV142" s="3"/>
      <c r="SSW142" s="3"/>
      <c r="SSX142" s="3"/>
      <c r="SSY142" s="3"/>
      <c r="SSZ142" s="3"/>
      <c r="STA142" s="3"/>
      <c r="STB142" s="3"/>
      <c r="STC142" s="3"/>
      <c r="STD142" s="3"/>
      <c r="STE142" s="3"/>
      <c r="STF142" s="3"/>
      <c r="STG142" s="3"/>
      <c r="STH142" s="3"/>
      <c r="STI142" s="3"/>
      <c r="STJ142" s="3"/>
      <c r="STK142" s="3"/>
      <c r="STL142" s="3"/>
      <c r="STM142" s="3"/>
      <c r="STN142" s="3"/>
      <c r="STO142" s="3"/>
      <c r="STP142" s="3"/>
      <c r="STQ142" s="3"/>
      <c r="STR142" s="3"/>
      <c r="STS142" s="3"/>
      <c r="STT142" s="3"/>
      <c r="STU142" s="3"/>
      <c r="STV142" s="3"/>
      <c r="STW142" s="3"/>
      <c r="STX142" s="3"/>
      <c r="STY142" s="3"/>
      <c r="STZ142" s="3"/>
      <c r="SUA142" s="3"/>
      <c r="SUB142" s="3"/>
      <c r="SUC142" s="3"/>
      <c r="SUD142" s="3"/>
      <c r="SUE142" s="3"/>
      <c r="SUF142" s="3"/>
      <c r="SUG142" s="3"/>
      <c r="SUH142" s="3"/>
      <c r="SUI142" s="3"/>
      <c r="SUJ142" s="3"/>
      <c r="SUK142" s="3"/>
      <c r="SUL142" s="3"/>
      <c r="SUM142" s="3"/>
      <c r="SUN142" s="3"/>
      <c r="SUO142" s="3"/>
      <c r="SUP142" s="3"/>
      <c r="SUQ142" s="3"/>
      <c r="SUR142" s="3"/>
      <c r="SUS142" s="3"/>
      <c r="SUT142" s="3"/>
      <c r="SUU142" s="3"/>
      <c r="SUV142" s="3"/>
      <c r="SUW142" s="3"/>
      <c r="SUX142" s="3"/>
      <c r="SUY142" s="3"/>
      <c r="SUZ142" s="3"/>
      <c r="SVA142" s="3"/>
      <c r="SVB142" s="3"/>
      <c r="SVC142" s="3"/>
      <c r="SVD142" s="3"/>
      <c r="SVE142" s="3"/>
      <c r="SVF142" s="3"/>
      <c r="SVG142" s="3"/>
      <c r="SVH142" s="3"/>
      <c r="SVI142" s="3"/>
      <c r="SVJ142" s="3"/>
      <c r="SVK142" s="3"/>
      <c r="SVL142" s="3"/>
      <c r="SVM142" s="3"/>
      <c r="SVN142" s="3"/>
      <c r="SVO142" s="3"/>
      <c r="SVP142" s="3"/>
      <c r="SVQ142" s="3"/>
      <c r="SVR142" s="3"/>
      <c r="SVS142" s="3"/>
      <c r="SVT142" s="3"/>
      <c r="SVU142" s="3"/>
      <c r="SVV142" s="3"/>
      <c r="SVW142" s="3"/>
      <c r="SVX142" s="3"/>
      <c r="SVY142" s="3"/>
      <c r="SVZ142" s="3"/>
      <c r="SWA142" s="3"/>
      <c r="SWB142" s="3"/>
      <c r="SWC142" s="3"/>
      <c r="SWD142" s="3"/>
      <c r="SWE142" s="3"/>
      <c r="SWF142" s="3"/>
      <c r="SWG142" s="3"/>
      <c r="SWH142" s="3"/>
      <c r="SWI142" s="3"/>
      <c r="SWJ142" s="3"/>
      <c r="SWK142" s="3"/>
      <c r="SWL142" s="3"/>
      <c r="SWM142" s="3"/>
      <c r="SWN142" s="3"/>
      <c r="SWO142" s="3"/>
      <c r="SWP142" s="3"/>
      <c r="SWQ142" s="3"/>
      <c r="SWR142" s="3"/>
      <c r="SWS142" s="3"/>
      <c r="SWT142" s="3"/>
      <c r="SWU142" s="3"/>
      <c r="SWV142" s="3"/>
      <c r="SWW142" s="3"/>
      <c r="SWX142" s="3"/>
      <c r="SWY142" s="3"/>
      <c r="SWZ142" s="3"/>
      <c r="SXA142" s="3"/>
      <c r="SXB142" s="3"/>
      <c r="SXC142" s="3"/>
      <c r="SXD142" s="3"/>
      <c r="SXE142" s="3"/>
      <c r="SXF142" s="3"/>
      <c r="SXG142" s="3"/>
      <c r="SXH142" s="3"/>
      <c r="SXI142" s="3"/>
      <c r="SXJ142" s="3"/>
      <c r="SXK142" s="3"/>
      <c r="SXL142" s="3"/>
      <c r="SXM142" s="3"/>
      <c r="SXN142" s="3"/>
      <c r="SXO142" s="3"/>
      <c r="SXP142" s="3"/>
      <c r="SXQ142" s="3"/>
      <c r="SXR142" s="3"/>
      <c r="SXS142" s="3"/>
      <c r="SXT142" s="3"/>
      <c r="SXU142" s="3"/>
      <c r="SXV142" s="3"/>
      <c r="SXW142" s="3"/>
      <c r="SXX142" s="3"/>
      <c r="SXY142" s="3"/>
      <c r="SXZ142" s="3"/>
      <c r="SYA142" s="3"/>
      <c r="SYB142" s="3"/>
      <c r="SYC142" s="3"/>
      <c r="SYD142" s="3"/>
      <c r="SYE142" s="3"/>
      <c r="SYF142" s="3"/>
      <c r="SYG142" s="3"/>
      <c r="SYH142" s="3"/>
      <c r="SYI142" s="3"/>
      <c r="SYJ142" s="3"/>
      <c r="SYK142" s="3"/>
      <c r="SYL142" s="3"/>
      <c r="SYM142" s="3"/>
      <c r="SYN142" s="3"/>
      <c r="SYO142" s="3"/>
      <c r="SYP142" s="3"/>
      <c r="SYQ142" s="3"/>
      <c r="SYR142" s="3"/>
      <c r="SYS142" s="3"/>
      <c r="SYT142" s="3"/>
      <c r="SYU142" s="3"/>
      <c r="SYV142" s="3"/>
      <c r="SYW142" s="3"/>
      <c r="SYX142" s="3"/>
      <c r="SYY142" s="3"/>
      <c r="SYZ142" s="3"/>
      <c r="SZA142" s="3"/>
      <c r="SZB142" s="3"/>
      <c r="SZC142" s="3"/>
      <c r="SZD142" s="3"/>
      <c r="SZE142" s="3"/>
      <c r="SZF142" s="3"/>
      <c r="SZG142" s="3"/>
      <c r="SZH142" s="3"/>
      <c r="SZI142" s="3"/>
      <c r="SZJ142" s="3"/>
      <c r="SZK142" s="3"/>
      <c r="SZL142" s="3"/>
      <c r="SZM142" s="3"/>
      <c r="SZN142" s="3"/>
      <c r="SZO142" s="3"/>
      <c r="SZP142" s="3"/>
      <c r="SZQ142" s="3"/>
      <c r="SZR142" s="3"/>
      <c r="SZS142" s="3"/>
      <c r="SZT142" s="3"/>
      <c r="SZU142" s="3"/>
      <c r="SZV142" s="3"/>
      <c r="SZW142" s="3"/>
      <c r="SZX142" s="3"/>
      <c r="SZY142" s="3"/>
      <c r="SZZ142" s="3"/>
      <c r="TAA142" s="3"/>
      <c r="TAB142" s="3"/>
      <c r="TAC142" s="3"/>
      <c r="TAD142" s="3"/>
      <c r="TAE142" s="3"/>
      <c r="TAF142" s="3"/>
      <c r="TAG142" s="3"/>
      <c r="TAH142" s="3"/>
      <c r="TAI142" s="3"/>
      <c r="TAJ142" s="3"/>
      <c r="TAK142" s="3"/>
      <c r="TAL142" s="3"/>
      <c r="TAM142" s="3"/>
      <c r="TAN142" s="3"/>
      <c r="TAO142" s="3"/>
      <c r="TAP142" s="3"/>
      <c r="TAQ142" s="3"/>
      <c r="TAR142" s="3"/>
      <c r="TAS142" s="3"/>
      <c r="TAT142" s="3"/>
      <c r="TAU142" s="3"/>
      <c r="TAV142" s="3"/>
      <c r="TAW142" s="3"/>
      <c r="TAX142" s="3"/>
      <c r="TAY142" s="3"/>
      <c r="TAZ142" s="3"/>
      <c r="TBA142" s="3"/>
      <c r="TBB142" s="3"/>
      <c r="TBC142" s="3"/>
      <c r="TBD142" s="3"/>
      <c r="TBE142" s="3"/>
      <c r="TBF142" s="3"/>
      <c r="TBG142" s="3"/>
      <c r="TBH142" s="3"/>
      <c r="TBI142" s="3"/>
      <c r="TBJ142" s="3"/>
      <c r="TBK142" s="3"/>
      <c r="TBL142" s="3"/>
      <c r="TBM142" s="3"/>
      <c r="TBN142" s="3"/>
      <c r="TBO142" s="3"/>
      <c r="TBP142" s="3"/>
      <c r="TBQ142" s="3"/>
      <c r="TBR142" s="3"/>
      <c r="TBS142" s="3"/>
      <c r="TBT142" s="3"/>
      <c r="TBU142" s="3"/>
      <c r="TBV142" s="3"/>
      <c r="TBW142" s="3"/>
      <c r="TBX142" s="3"/>
      <c r="TBY142" s="3"/>
      <c r="TBZ142" s="3"/>
      <c r="TCA142" s="3"/>
      <c r="TCB142" s="3"/>
      <c r="TCC142" s="3"/>
      <c r="TCD142" s="3"/>
      <c r="TCE142" s="3"/>
      <c r="TCF142" s="3"/>
      <c r="TCG142" s="3"/>
      <c r="TCH142" s="3"/>
      <c r="TCI142" s="3"/>
      <c r="TCJ142" s="3"/>
      <c r="TCK142" s="3"/>
      <c r="TCL142" s="3"/>
      <c r="TCM142" s="3"/>
      <c r="TCN142" s="3"/>
      <c r="TCO142" s="3"/>
      <c r="TCP142" s="3"/>
      <c r="TCQ142" s="3"/>
      <c r="TCR142" s="3"/>
      <c r="TCS142" s="3"/>
      <c r="TCT142" s="3"/>
      <c r="TCU142" s="3"/>
      <c r="TCV142" s="3"/>
      <c r="TCW142" s="3"/>
      <c r="TCX142" s="3"/>
      <c r="TCY142" s="3"/>
      <c r="TCZ142" s="3"/>
      <c r="TDA142" s="3"/>
      <c r="TDB142" s="3"/>
      <c r="TDC142" s="3"/>
      <c r="TDD142" s="3"/>
      <c r="TDE142" s="3"/>
      <c r="TDF142" s="3"/>
      <c r="TDG142" s="3"/>
      <c r="TDH142" s="3"/>
      <c r="TDI142" s="3"/>
      <c r="TDJ142" s="3"/>
      <c r="TDK142" s="3"/>
      <c r="TDL142" s="3"/>
      <c r="TDM142" s="3"/>
      <c r="TDN142" s="3"/>
      <c r="TDO142" s="3"/>
      <c r="TDP142" s="3"/>
      <c r="TDQ142" s="3"/>
      <c r="TDR142" s="3"/>
      <c r="TDS142" s="3"/>
      <c r="TDT142" s="3"/>
      <c r="TDU142" s="3"/>
      <c r="TDV142" s="3"/>
      <c r="TDW142" s="3"/>
      <c r="TDX142" s="3"/>
      <c r="TDY142" s="3"/>
      <c r="TDZ142" s="3"/>
      <c r="TEA142" s="3"/>
      <c r="TEB142" s="3"/>
      <c r="TEC142" s="3"/>
      <c r="TED142" s="3"/>
      <c r="TEE142" s="3"/>
      <c r="TEF142" s="3"/>
      <c r="TEG142" s="3"/>
      <c r="TEH142" s="3"/>
      <c r="TEI142" s="3"/>
      <c r="TEJ142" s="3"/>
      <c r="TEK142" s="3"/>
      <c r="TEL142" s="3"/>
      <c r="TEM142" s="3"/>
      <c r="TEN142" s="3"/>
      <c r="TEO142" s="3"/>
      <c r="TEP142" s="3"/>
      <c r="TEQ142" s="3"/>
      <c r="TER142" s="3"/>
      <c r="TES142" s="3"/>
      <c r="TET142" s="3"/>
      <c r="TEU142" s="3"/>
      <c r="TEV142" s="3"/>
      <c r="TEW142" s="3"/>
      <c r="TEX142" s="3"/>
      <c r="TEY142" s="3"/>
      <c r="TEZ142" s="3"/>
      <c r="TFA142" s="3"/>
      <c r="TFB142" s="3"/>
      <c r="TFC142" s="3"/>
      <c r="TFD142" s="3"/>
      <c r="TFE142" s="3"/>
      <c r="TFF142" s="3"/>
      <c r="TFG142" s="3"/>
      <c r="TFH142" s="3"/>
      <c r="TFI142" s="3"/>
      <c r="TFJ142" s="3"/>
      <c r="TFK142" s="3"/>
      <c r="TFL142" s="3"/>
      <c r="TFM142" s="3"/>
      <c r="TFN142" s="3"/>
      <c r="TFO142" s="3"/>
      <c r="TFP142" s="3"/>
      <c r="TFQ142" s="3"/>
      <c r="TFR142" s="3"/>
      <c r="TFS142" s="3"/>
      <c r="TFT142" s="3"/>
      <c r="TFU142" s="3"/>
      <c r="TFV142" s="3"/>
      <c r="TFW142" s="3"/>
      <c r="TFX142" s="3"/>
      <c r="TFY142" s="3"/>
      <c r="TFZ142" s="3"/>
      <c r="TGA142" s="3"/>
      <c r="TGB142" s="3"/>
      <c r="TGC142" s="3"/>
      <c r="TGD142" s="3"/>
      <c r="TGE142" s="3"/>
      <c r="TGF142" s="3"/>
      <c r="TGG142" s="3"/>
      <c r="TGH142" s="3"/>
      <c r="TGI142" s="3"/>
      <c r="TGJ142" s="3"/>
      <c r="TGK142" s="3"/>
      <c r="TGL142" s="3"/>
      <c r="TGM142" s="3"/>
      <c r="TGN142" s="3"/>
      <c r="TGO142" s="3"/>
      <c r="TGP142" s="3"/>
      <c r="TGQ142" s="3"/>
      <c r="TGR142" s="3"/>
      <c r="TGS142" s="3"/>
      <c r="TGT142" s="3"/>
      <c r="TGU142" s="3"/>
      <c r="TGV142" s="3"/>
      <c r="TGW142" s="3"/>
      <c r="TGX142" s="3"/>
      <c r="TGY142" s="3"/>
      <c r="TGZ142" s="3"/>
      <c r="THA142" s="3"/>
      <c r="THB142" s="3"/>
      <c r="THC142" s="3"/>
      <c r="THD142" s="3"/>
      <c r="THE142" s="3"/>
      <c r="THF142" s="3"/>
      <c r="THG142" s="3"/>
      <c r="THH142" s="3"/>
      <c r="THI142" s="3"/>
      <c r="THJ142" s="3"/>
      <c r="THK142" s="3"/>
      <c r="THL142" s="3"/>
      <c r="THM142" s="3"/>
      <c r="THN142" s="3"/>
      <c r="THO142" s="3"/>
      <c r="THP142" s="3"/>
      <c r="THQ142" s="3"/>
      <c r="THR142" s="3"/>
      <c r="THS142" s="3"/>
      <c r="THT142" s="3"/>
      <c r="THU142" s="3"/>
      <c r="THV142" s="3"/>
      <c r="THW142" s="3"/>
      <c r="THX142" s="3"/>
      <c r="THY142" s="3"/>
      <c r="THZ142" s="3"/>
      <c r="TIA142" s="3"/>
      <c r="TIB142" s="3"/>
      <c r="TIC142" s="3"/>
      <c r="TID142" s="3"/>
      <c r="TIE142" s="3"/>
      <c r="TIF142" s="3"/>
      <c r="TIG142" s="3"/>
      <c r="TIH142" s="3"/>
      <c r="TII142" s="3"/>
      <c r="TIJ142" s="3"/>
      <c r="TIK142" s="3"/>
      <c r="TIL142" s="3"/>
      <c r="TIM142" s="3"/>
      <c r="TIN142" s="3"/>
      <c r="TIO142" s="3"/>
      <c r="TIP142" s="3"/>
      <c r="TIQ142" s="3"/>
      <c r="TIR142" s="3"/>
      <c r="TIS142" s="3"/>
      <c r="TIT142" s="3"/>
      <c r="TIU142" s="3"/>
      <c r="TIV142" s="3"/>
      <c r="TIW142" s="3"/>
      <c r="TIX142" s="3"/>
      <c r="TIY142" s="3"/>
      <c r="TIZ142" s="3"/>
      <c r="TJA142" s="3"/>
      <c r="TJB142" s="3"/>
      <c r="TJC142" s="3"/>
      <c r="TJD142" s="3"/>
      <c r="TJE142" s="3"/>
      <c r="TJF142" s="3"/>
      <c r="TJG142" s="3"/>
      <c r="TJH142" s="3"/>
      <c r="TJI142" s="3"/>
      <c r="TJJ142" s="3"/>
      <c r="TJK142" s="3"/>
      <c r="TJL142" s="3"/>
      <c r="TJM142" s="3"/>
      <c r="TJN142" s="3"/>
      <c r="TJO142" s="3"/>
      <c r="TJP142" s="3"/>
      <c r="TJQ142" s="3"/>
      <c r="TJR142" s="3"/>
      <c r="TJS142" s="3"/>
      <c r="TJT142" s="3"/>
      <c r="TJU142" s="3"/>
      <c r="TJV142" s="3"/>
      <c r="TJW142" s="3"/>
      <c r="TJX142" s="3"/>
      <c r="TJY142" s="3"/>
      <c r="TJZ142" s="3"/>
      <c r="TKA142" s="3"/>
      <c r="TKB142" s="3"/>
      <c r="TKC142" s="3"/>
      <c r="TKD142" s="3"/>
      <c r="TKE142" s="3"/>
      <c r="TKF142" s="3"/>
      <c r="TKG142" s="3"/>
      <c r="TKH142" s="3"/>
      <c r="TKI142" s="3"/>
      <c r="TKJ142" s="3"/>
      <c r="TKK142" s="3"/>
      <c r="TKL142" s="3"/>
      <c r="TKM142" s="3"/>
      <c r="TKN142" s="3"/>
      <c r="TKO142" s="3"/>
      <c r="TKP142" s="3"/>
      <c r="TKQ142" s="3"/>
      <c r="TKR142" s="3"/>
      <c r="TKS142" s="3"/>
      <c r="TKT142" s="3"/>
      <c r="TKU142" s="3"/>
      <c r="TKV142" s="3"/>
      <c r="TKW142" s="3"/>
      <c r="TKX142" s="3"/>
      <c r="TKY142" s="3"/>
      <c r="TKZ142" s="3"/>
      <c r="TLA142" s="3"/>
      <c r="TLB142" s="3"/>
      <c r="TLC142" s="3"/>
      <c r="TLD142" s="3"/>
      <c r="TLE142" s="3"/>
      <c r="TLF142" s="3"/>
      <c r="TLG142" s="3"/>
      <c r="TLH142" s="3"/>
      <c r="TLI142" s="3"/>
      <c r="TLJ142" s="3"/>
      <c r="TLK142" s="3"/>
      <c r="TLL142" s="3"/>
      <c r="TLM142" s="3"/>
      <c r="TLN142" s="3"/>
      <c r="TLO142" s="3"/>
      <c r="TLP142" s="3"/>
      <c r="TLQ142" s="3"/>
      <c r="TLR142" s="3"/>
      <c r="TLS142" s="3"/>
      <c r="TLT142" s="3"/>
      <c r="TLU142" s="3"/>
      <c r="TLV142" s="3"/>
      <c r="TLW142" s="3"/>
      <c r="TLX142" s="3"/>
      <c r="TLY142" s="3"/>
      <c r="TLZ142" s="3"/>
      <c r="TMA142" s="3"/>
      <c r="TMB142" s="3"/>
      <c r="TMC142" s="3"/>
      <c r="TMD142" s="3"/>
      <c r="TME142" s="3"/>
      <c r="TMF142" s="3"/>
      <c r="TMG142" s="3"/>
      <c r="TMH142" s="3"/>
      <c r="TMI142" s="3"/>
      <c r="TMJ142" s="3"/>
      <c r="TMK142" s="3"/>
      <c r="TML142" s="3"/>
      <c r="TMM142" s="3"/>
      <c r="TMN142" s="3"/>
      <c r="TMO142" s="3"/>
      <c r="TMP142" s="3"/>
      <c r="TMQ142" s="3"/>
      <c r="TMR142" s="3"/>
      <c r="TMS142" s="3"/>
      <c r="TMT142" s="3"/>
      <c r="TMU142" s="3"/>
      <c r="TMV142" s="3"/>
      <c r="TMW142" s="3"/>
      <c r="TMX142" s="3"/>
      <c r="TMY142" s="3"/>
      <c r="TMZ142" s="3"/>
      <c r="TNA142" s="3"/>
      <c r="TNB142" s="3"/>
      <c r="TNC142" s="3"/>
      <c r="TND142" s="3"/>
      <c r="TNE142" s="3"/>
      <c r="TNF142" s="3"/>
      <c r="TNG142" s="3"/>
      <c r="TNH142" s="3"/>
      <c r="TNI142" s="3"/>
      <c r="TNJ142" s="3"/>
      <c r="TNK142" s="3"/>
      <c r="TNL142" s="3"/>
      <c r="TNM142" s="3"/>
      <c r="TNN142" s="3"/>
      <c r="TNO142" s="3"/>
      <c r="TNP142" s="3"/>
      <c r="TNQ142" s="3"/>
      <c r="TNR142" s="3"/>
      <c r="TNS142" s="3"/>
      <c r="TNT142" s="3"/>
      <c r="TNU142" s="3"/>
      <c r="TNV142" s="3"/>
      <c r="TNW142" s="3"/>
      <c r="TNX142" s="3"/>
      <c r="TNY142" s="3"/>
      <c r="TNZ142" s="3"/>
      <c r="TOA142" s="3"/>
      <c r="TOB142" s="3"/>
      <c r="TOC142" s="3"/>
      <c r="TOD142" s="3"/>
      <c r="TOE142" s="3"/>
      <c r="TOF142" s="3"/>
      <c r="TOG142" s="3"/>
      <c r="TOH142" s="3"/>
      <c r="TOI142" s="3"/>
      <c r="TOJ142" s="3"/>
      <c r="TOK142" s="3"/>
      <c r="TOL142" s="3"/>
      <c r="TOM142" s="3"/>
      <c r="TON142" s="3"/>
      <c r="TOO142" s="3"/>
      <c r="TOP142" s="3"/>
      <c r="TOQ142" s="3"/>
      <c r="TOR142" s="3"/>
      <c r="TOS142" s="3"/>
      <c r="TOT142" s="3"/>
      <c r="TOU142" s="3"/>
      <c r="TOV142" s="3"/>
      <c r="TOW142" s="3"/>
      <c r="TOX142" s="3"/>
      <c r="TOY142" s="3"/>
      <c r="TOZ142" s="3"/>
      <c r="TPA142" s="3"/>
      <c r="TPB142" s="3"/>
      <c r="TPC142" s="3"/>
      <c r="TPD142" s="3"/>
      <c r="TPE142" s="3"/>
      <c r="TPF142" s="3"/>
      <c r="TPG142" s="3"/>
      <c r="TPH142" s="3"/>
      <c r="TPI142" s="3"/>
      <c r="TPJ142" s="3"/>
      <c r="TPK142" s="3"/>
      <c r="TPL142" s="3"/>
      <c r="TPM142" s="3"/>
      <c r="TPN142" s="3"/>
      <c r="TPO142" s="3"/>
      <c r="TPP142" s="3"/>
      <c r="TPQ142" s="3"/>
      <c r="TPR142" s="3"/>
      <c r="TPS142" s="3"/>
      <c r="TPT142" s="3"/>
      <c r="TPU142" s="3"/>
      <c r="TPV142" s="3"/>
      <c r="TPW142" s="3"/>
      <c r="TPX142" s="3"/>
      <c r="TPY142" s="3"/>
      <c r="TPZ142" s="3"/>
      <c r="TQA142" s="3"/>
      <c r="TQB142" s="3"/>
      <c r="TQC142" s="3"/>
      <c r="TQD142" s="3"/>
      <c r="TQE142" s="3"/>
      <c r="TQF142" s="3"/>
      <c r="TQG142" s="3"/>
      <c r="TQH142" s="3"/>
      <c r="TQI142" s="3"/>
      <c r="TQJ142" s="3"/>
      <c r="TQK142" s="3"/>
      <c r="TQL142" s="3"/>
      <c r="TQM142" s="3"/>
      <c r="TQN142" s="3"/>
      <c r="TQO142" s="3"/>
      <c r="TQP142" s="3"/>
      <c r="TQQ142" s="3"/>
      <c r="TQR142" s="3"/>
      <c r="TQS142" s="3"/>
      <c r="TQT142" s="3"/>
      <c r="TQU142" s="3"/>
      <c r="TQV142" s="3"/>
      <c r="TQW142" s="3"/>
      <c r="TQX142" s="3"/>
      <c r="TQY142" s="3"/>
      <c r="TQZ142" s="3"/>
      <c r="TRA142" s="3"/>
      <c r="TRB142" s="3"/>
      <c r="TRC142" s="3"/>
      <c r="TRD142" s="3"/>
      <c r="TRE142" s="3"/>
      <c r="TRF142" s="3"/>
      <c r="TRG142" s="3"/>
      <c r="TRH142" s="3"/>
      <c r="TRI142" s="3"/>
      <c r="TRJ142" s="3"/>
      <c r="TRK142" s="3"/>
      <c r="TRL142" s="3"/>
      <c r="TRM142" s="3"/>
      <c r="TRN142" s="3"/>
      <c r="TRO142" s="3"/>
      <c r="TRP142" s="3"/>
      <c r="TRQ142" s="3"/>
      <c r="TRR142" s="3"/>
      <c r="TRS142" s="3"/>
      <c r="TRT142" s="3"/>
      <c r="TRU142" s="3"/>
      <c r="TRV142" s="3"/>
      <c r="TRW142" s="3"/>
      <c r="TRX142" s="3"/>
      <c r="TRY142" s="3"/>
      <c r="TRZ142" s="3"/>
      <c r="TSA142" s="3"/>
      <c r="TSB142" s="3"/>
      <c r="TSC142" s="3"/>
      <c r="TSD142" s="3"/>
      <c r="TSE142" s="3"/>
      <c r="TSF142" s="3"/>
      <c r="TSG142" s="3"/>
      <c r="TSH142" s="3"/>
      <c r="TSI142" s="3"/>
      <c r="TSJ142" s="3"/>
      <c r="TSK142" s="3"/>
      <c r="TSL142" s="3"/>
      <c r="TSM142" s="3"/>
      <c r="TSN142" s="3"/>
      <c r="TSO142" s="3"/>
      <c r="TSP142" s="3"/>
      <c r="TSQ142" s="3"/>
      <c r="TSR142" s="3"/>
      <c r="TSS142" s="3"/>
      <c r="TST142" s="3"/>
      <c r="TSU142" s="3"/>
      <c r="TSV142" s="3"/>
      <c r="TSW142" s="3"/>
      <c r="TSX142" s="3"/>
      <c r="TSY142" s="3"/>
      <c r="TSZ142" s="3"/>
      <c r="TTA142" s="3"/>
      <c r="TTB142" s="3"/>
      <c r="TTC142" s="3"/>
      <c r="TTD142" s="3"/>
      <c r="TTE142" s="3"/>
      <c r="TTF142" s="3"/>
      <c r="TTG142" s="3"/>
      <c r="TTH142" s="3"/>
      <c r="TTI142" s="3"/>
      <c r="TTJ142" s="3"/>
      <c r="TTK142" s="3"/>
      <c r="TTL142" s="3"/>
      <c r="TTM142" s="3"/>
      <c r="TTN142" s="3"/>
      <c r="TTO142" s="3"/>
      <c r="TTP142" s="3"/>
      <c r="TTQ142" s="3"/>
      <c r="TTR142" s="3"/>
      <c r="TTS142" s="3"/>
      <c r="TTT142" s="3"/>
      <c r="TTU142" s="3"/>
      <c r="TTV142" s="3"/>
      <c r="TTW142" s="3"/>
      <c r="TTX142" s="3"/>
      <c r="TTY142" s="3"/>
      <c r="TTZ142" s="3"/>
      <c r="TUA142" s="3"/>
      <c r="TUB142" s="3"/>
      <c r="TUC142" s="3"/>
      <c r="TUD142" s="3"/>
      <c r="TUE142" s="3"/>
      <c r="TUF142" s="3"/>
      <c r="TUG142" s="3"/>
      <c r="TUH142" s="3"/>
      <c r="TUI142" s="3"/>
      <c r="TUJ142" s="3"/>
      <c r="TUK142" s="3"/>
      <c r="TUL142" s="3"/>
      <c r="TUM142" s="3"/>
      <c r="TUN142" s="3"/>
      <c r="TUO142" s="3"/>
      <c r="TUP142" s="3"/>
      <c r="TUQ142" s="3"/>
      <c r="TUR142" s="3"/>
      <c r="TUS142" s="3"/>
      <c r="TUT142" s="3"/>
      <c r="TUU142" s="3"/>
      <c r="TUV142" s="3"/>
      <c r="TUW142" s="3"/>
      <c r="TUX142" s="3"/>
      <c r="TUY142" s="3"/>
      <c r="TUZ142" s="3"/>
      <c r="TVA142" s="3"/>
      <c r="TVB142" s="3"/>
      <c r="TVC142" s="3"/>
      <c r="TVD142" s="3"/>
      <c r="TVE142" s="3"/>
      <c r="TVF142" s="3"/>
      <c r="TVG142" s="3"/>
      <c r="TVH142" s="3"/>
      <c r="TVI142" s="3"/>
      <c r="TVJ142" s="3"/>
      <c r="TVK142" s="3"/>
      <c r="TVL142" s="3"/>
      <c r="TVM142" s="3"/>
      <c r="TVN142" s="3"/>
      <c r="TVO142" s="3"/>
      <c r="TVP142" s="3"/>
      <c r="TVQ142" s="3"/>
      <c r="TVR142" s="3"/>
      <c r="TVS142" s="3"/>
      <c r="TVT142" s="3"/>
      <c r="TVU142" s="3"/>
      <c r="TVV142" s="3"/>
      <c r="TVW142" s="3"/>
      <c r="TVX142" s="3"/>
      <c r="TVY142" s="3"/>
      <c r="TVZ142" s="3"/>
      <c r="TWA142" s="3"/>
      <c r="TWB142" s="3"/>
      <c r="TWC142" s="3"/>
      <c r="TWD142" s="3"/>
      <c r="TWE142" s="3"/>
      <c r="TWF142" s="3"/>
      <c r="TWG142" s="3"/>
      <c r="TWH142" s="3"/>
      <c r="TWI142" s="3"/>
      <c r="TWJ142" s="3"/>
      <c r="TWK142" s="3"/>
      <c r="TWL142" s="3"/>
      <c r="TWM142" s="3"/>
      <c r="TWN142" s="3"/>
      <c r="TWO142" s="3"/>
      <c r="TWP142" s="3"/>
      <c r="TWQ142" s="3"/>
      <c r="TWR142" s="3"/>
      <c r="TWS142" s="3"/>
      <c r="TWT142" s="3"/>
      <c r="TWU142" s="3"/>
      <c r="TWV142" s="3"/>
      <c r="TWW142" s="3"/>
      <c r="TWX142" s="3"/>
      <c r="TWY142" s="3"/>
      <c r="TWZ142" s="3"/>
      <c r="TXA142" s="3"/>
      <c r="TXB142" s="3"/>
      <c r="TXC142" s="3"/>
      <c r="TXD142" s="3"/>
      <c r="TXE142" s="3"/>
      <c r="TXF142" s="3"/>
      <c r="TXG142" s="3"/>
      <c r="TXH142" s="3"/>
      <c r="TXI142" s="3"/>
      <c r="TXJ142" s="3"/>
      <c r="TXK142" s="3"/>
      <c r="TXL142" s="3"/>
      <c r="TXM142" s="3"/>
      <c r="TXN142" s="3"/>
      <c r="TXO142" s="3"/>
      <c r="TXP142" s="3"/>
      <c r="TXQ142" s="3"/>
      <c r="TXR142" s="3"/>
      <c r="TXS142" s="3"/>
      <c r="TXT142" s="3"/>
      <c r="TXU142" s="3"/>
      <c r="TXV142" s="3"/>
      <c r="TXW142" s="3"/>
      <c r="TXX142" s="3"/>
      <c r="TXY142" s="3"/>
      <c r="TXZ142" s="3"/>
      <c r="TYA142" s="3"/>
      <c r="TYB142" s="3"/>
      <c r="TYC142" s="3"/>
      <c r="TYD142" s="3"/>
      <c r="TYE142" s="3"/>
      <c r="TYF142" s="3"/>
      <c r="TYG142" s="3"/>
      <c r="TYH142" s="3"/>
      <c r="TYI142" s="3"/>
      <c r="TYJ142" s="3"/>
      <c r="TYK142" s="3"/>
      <c r="TYL142" s="3"/>
      <c r="TYM142" s="3"/>
      <c r="TYN142" s="3"/>
      <c r="TYO142" s="3"/>
      <c r="TYP142" s="3"/>
      <c r="TYQ142" s="3"/>
      <c r="TYR142" s="3"/>
      <c r="TYS142" s="3"/>
      <c r="TYT142" s="3"/>
      <c r="TYU142" s="3"/>
      <c r="TYV142" s="3"/>
      <c r="TYW142" s="3"/>
      <c r="TYX142" s="3"/>
      <c r="TYY142" s="3"/>
      <c r="TYZ142" s="3"/>
      <c r="TZA142" s="3"/>
      <c r="TZB142" s="3"/>
      <c r="TZC142" s="3"/>
      <c r="TZD142" s="3"/>
      <c r="TZE142" s="3"/>
      <c r="TZF142" s="3"/>
      <c r="TZG142" s="3"/>
      <c r="TZH142" s="3"/>
      <c r="TZI142" s="3"/>
      <c r="TZJ142" s="3"/>
      <c r="TZK142" s="3"/>
      <c r="TZL142" s="3"/>
      <c r="TZM142" s="3"/>
      <c r="TZN142" s="3"/>
      <c r="TZO142" s="3"/>
      <c r="TZP142" s="3"/>
      <c r="TZQ142" s="3"/>
      <c r="TZR142" s="3"/>
      <c r="TZS142" s="3"/>
      <c r="TZT142" s="3"/>
      <c r="TZU142" s="3"/>
      <c r="TZV142" s="3"/>
      <c r="TZW142" s="3"/>
      <c r="TZX142" s="3"/>
      <c r="TZY142" s="3"/>
      <c r="TZZ142" s="3"/>
      <c r="UAA142" s="3"/>
      <c r="UAB142" s="3"/>
      <c r="UAC142" s="3"/>
      <c r="UAD142" s="3"/>
      <c r="UAE142" s="3"/>
      <c r="UAF142" s="3"/>
      <c r="UAG142" s="3"/>
      <c r="UAH142" s="3"/>
      <c r="UAI142" s="3"/>
      <c r="UAJ142" s="3"/>
      <c r="UAK142" s="3"/>
      <c r="UAL142" s="3"/>
      <c r="UAM142" s="3"/>
      <c r="UAN142" s="3"/>
      <c r="UAO142" s="3"/>
      <c r="UAP142" s="3"/>
      <c r="UAQ142" s="3"/>
      <c r="UAR142" s="3"/>
      <c r="UAS142" s="3"/>
      <c r="UAT142" s="3"/>
      <c r="UAU142" s="3"/>
      <c r="UAV142" s="3"/>
      <c r="UAW142" s="3"/>
      <c r="UAX142" s="3"/>
      <c r="UAY142" s="3"/>
      <c r="UAZ142" s="3"/>
      <c r="UBA142" s="3"/>
      <c r="UBB142" s="3"/>
      <c r="UBC142" s="3"/>
      <c r="UBD142" s="3"/>
      <c r="UBE142" s="3"/>
      <c r="UBF142" s="3"/>
      <c r="UBG142" s="3"/>
      <c r="UBH142" s="3"/>
      <c r="UBI142" s="3"/>
      <c r="UBJ142" s="3"/>
      <c r="UBK142" s="3"/>
      <c r="UBL142" s="3"/>
      <c r="UBM142" s="3"/>
      <c r="UBN142" s="3"/>
      <c r="UBO142" s="3"/>
      <c r="UBP142" s="3"/>
      <c r="UBQ142" s="3"/>
      <c r="UBR142" s="3"/>
      <c r="UBS142" s="3"/>
      <c r="UBT142" s="3"/>
      <c r="UBU142" s="3"/>
      <c r="UBV142" s="3"/>
      <c r="UBW142" s="3"/>
      <c r="UBX142" s="3"/>
      <c r="UBY142" s="3"/>
      <c r="UBZ142" s="3"/>
      <c r="UCA142" s="3"/>
      <c r="UCB142" s="3"/>
      <c r="UCC142" s="3"/>
      <c r="UCD142" s="3"/>
      <c r="UCE142" s="3"/>
      <c r="UCF142" s="3"/>
      <c r="UCG142" s="3"/>
      <c r="UCH142" s="3"/>
      <c r="UCI142" s="3"/>
      <c r="UCJ142" s="3"/>
      <c r="UCK142" s="3"/>
      <c r="UCL142" s="3"/>
      <c r="UCM142" s="3"/>
      <c r="UCN142" s="3"/>
      <c r="UCO142" s="3"/>
      <c r="UCP142" s="3"/>
      <c r="UCQ142" s="3"/>
      <c r="UCR142" s="3"/>
      <c r="UCS142" s="3"/>
      <c r="UCT142" s="3"/>
      <c r="UCU142" s="3"/>
      <c r="UCV142" s="3"/>
      <c r="UCW142" s="3"/>
      <c r="UCX142" s="3"/>
      <c r="UCY142" s="3"/>
      <c r="UCZ142" s="3"/>
      <c r="UDA142" s="3"/>
      <c r="UDB142" s="3"/>
      <c r="UDC142" s="3"/>
      <c r="UDD142" s="3"/>
      <c r="UDE142" s="3"/>
      <c r="UDF142" s="3"/>
      <c r="UDG142" s="3"/>
      <c r="UDH142" s="3"/>
      <c r="UDI142" s="3"/>
      <c r="UDJ142" s="3"/>
      <c r="UDK142" s="3"/>
      <c r="UDL142" s="3"/>
      <c r="UDM142" s="3"/>
      <c r="UDN142" s="3"/>
      <c r="UDO142" s="3"/>
      <c r="UDP142" s="3"/>
      <c r="UDQ142" s="3"/>
      <c r="UDR142" s="3"/>
      <c r="UDS142" s="3"/>
      <c r="UDT142" s="3"/>
      <c r="UDU142" s="3"/>
      <c r="UDV142" s="3"/>
      <c r="UDW142" s="3"/>
      <c r="UDX142" s="3"/>
      <c r="UDY142" s="3"/>
      <c r="UDZ142" s="3"/>
      <c r="UEA142" s="3"/>
      <c r="UEB142" s="3"/>
      <c r="UEC142" s="3"/>
      <c r="UED142" s="3"/>
      <c r="UEE142" s="3"/>
      <c r="UEF142" s="3"/>
      <c r="UEG142" s="3"/>
      <c r="UEH142" s="3"/>
      <c r="UEI142" s="3"/>
      <c r="UEJ142" s="3"/>
      <c r="UEK142" s="3"/>
      <c r="UEL142" s="3"/>
      <c r="UEM142" s="3"/>
      <c r="UEN142" s="3"/>
      <c r="UEO142" s="3"/>
      <c r="UEP142" s="3"/>
      <c r="UEQ142" s="3"/>
      <c r="UER142" s="3"/>
      <c r="UES142" s="3"/>
      <c r="UET142" s="3"/>
      <c r="UEU142" s="3"/>
      <c r="UEV142" s="3"/>
      <c r="UEW142" s="3"/>
      <c r="UEX142" s="3"/>
      <c r="UEY142" s="3"/>
      <c r="UEZ142" s="3"/>
      <c r="UFA142" s="3"/>
      <c r="UFB142" s="3"/>
      <c r="UFC142" s="3"/>
      <c r="UFD142" s="3"/>
      <c r="UFE142" s="3"/>
      <c r="UFF142" s="3"/>
      <c r="UFG142" s="3"/>
      <c r="UFH142" s="3"/>
      <c r="UFI142" s="3"/>
      <c r="UFJ142" s="3"/>
      <c r="UFK142" s="3"/>
      <c r="UFL142" s="3"/>
      <c r="UFM142" s="3"/>
      <c r="UFN142" s="3"/>
      <c r="UFO142" s="3"/>
      <c r="UFP142" s="3"/>
      <c r="UFQ142" s="3"/>
      <c r="UFR142" s="3"/>
      <c r="UFS142" s="3"/>
      <c r="UFT142" s="3"/>
      <c r="UFU142" s="3"/>
      <c r="UFV142" s="3"/>
      <c r="UFW142" s="3"/>
      <c r="UFX142" s="3"/>
      <c r="UFY142" s="3"/>
      <c r="UFZ142" s="3"/>
      <c r="UGA142" s="3"/>
      <c r="UGB142" s="3"/>
      <c r="UGC142" s="3"/>
      <c r="UGD142" s="3"/>
      <c r="UGE142" s="3"/>
      <c r="UGF142" s="3"/>
      <c r="UGG142" s="3"/>
      <c r="UGH142" s="3"/>
      <c r="UGI142" s="3"/>
      <c r="UGJ142" s="3"/>
      <c r="UGK142" s="3"/>
      <c r="UGL142" s="3"/>
      <c r="UGM142" s="3"/>
      <c r="UGN142" s="3"/>
      <c r="UGO142" s="3"/>
      <c r="UGP142" s="3"/>
      <c r="UGQ142" s="3"/>
      <c r="UGR142" s="3"/>
      <c r="UGS142" s="3"/>
      <c r="UGT142" s="3"/>
      <c r="UGU142" s="3"/>
      <c r="UGV142" s="3"/>
      <c r="UGW142" s="3"/>
      <c r="UGX142" s="3"/>
      <c r="UGY142" s="3"/>
      <c r="UGZ142" s="3"/>
      <c r="UHA142" s="3"/>
      <c r="UHB142" s="3"/>
      <c r="UHC142" s="3"/>
      <c r="UHD142" s="3"/>
      <c r="UHE142" s="3"/>
      <c r="UHF142" s="3"/>
      <c r="UHG142" s="3"/>
      <c r="UHH142" s="3"/>
      <c r="UHI142" s="3"/>
      <c r="UHJ142" s="3"/>
      <c r="UHK142" s="3"/>
      <c r="UHL142" s="3"/>
      <c r="UHM142" s="3"/>
      <c r="UHN142" s="3"/>
      <c r="UHO142" s="3"/>
      <c r="UHP142" s="3"/>
      <c r="UHQ142" s="3"/>
      <c r="UHR142" s="3"/>
      <c r="UHS142" s="3"/>
      <c r="UHT142" s="3"/>
      <c r="UHU142" s="3"/>
      <c r="UHV142" s="3"/>
      <c r="UHW142" s="3"/>
      <c r="UHX142" s="3"/>
      <c r="UHY142" s="3"/>
      <c r="UHZ142" s="3"/>
      <c r="UIA142" s="3"/>
      <c r="UIB142" s="3"/>
      <c r="UIC142" s="3"/>
      <c r="UID142" s="3"/>
      <c r="UIE142" s="3"/>
      <c r="UIF142" s="3"/>
      <c r="UIG142" s="3"/>
      <c r="UIH142" s="3"/>
      <c r="UII142" s="3"/>
      <c r="UIJ142" s="3"/>
      <c r="UIK142" s="3"/>
      <c r="UIL142" s="3"/>
      <c r="UIM142" s="3"/>
      <c r="UIN142" s="3"/>
      <c r="UIO142" s="3"/>
      <c r="UIP142" s="3"/>
      <c r="UIQ142" s="3"/>
      <c r="UIR142" s="3"/>
      <c r="UIS142" s="3"/>
      <c r="UIT142" s="3"/>
      <c r="UIU142" s="3"/>
      <c r="UIV142" s="3"/>
      <c r="UIW142" s="3"/>
      <c r="UIX142" s="3"/>
      <c r="UIY142" s="3"/>
      <c r="UIZ142" s="3"/>
      <c r="UJA142" s="3"/>
      <c r="UJB142" s="3"/>
      <c r="UJC142" s="3"/>
      <c r="UJD142" s="3"/>
      <c r="UJE142" s="3"/>
      <c r="UJF142" s="3"/>
      <c r="UJG142" s="3"/>
      <c r="UJH142" s="3"/>
      <c r="UJI142" s="3"/>
      <c r="UJJ142" s="3"/>
      <c r="UJK142" s="3"/>
      <c r="UJL142" s="3"/>
      <c r="UJM142" s="3"/>
      <c r="UJN142" s="3"/>
      <c r="UJO142" s="3"/>
      <c r="UJP142" s="3"/>
      <c r="UJQ142" s="3"/>
      <c r="UJR142" s="3"/>
      <c r="UJS142" s="3"/>
      <c r="UJT142" s="3"/>
      <c r="UJU142" s="3"/>
      <c r="UJV142" s="3"/>
      <c r="UJW142" s="3"/>
      <c r="UJX142" s="3"/>
      <c r="UJY142" s="3"/>
      <c r="UJZ142" s="3"/>
      <c r="UKA142" s="3"/>
      <c r="UKB142" s="3"/>
      <c r="UKC142" s="3"/>
      <c r="UKD142" s="3"/>
      <c r="UKE142" s="3"/>
      <c r="UKF142" s="3"/>
      <c r="UKG142" s="3"/>
      <c r="UKH142" s="3"/>
      <c r="UKI142" s="3"/>
      <c r="UKJ142" s="3"/>
      <c r="UKK142" s="3"/>
      <c r="UKL142" s="3"/>
      <c r="UKM142" s="3"/>
      <c r="UKN142" s="3"/>
      <c r="UKO142" s="3"/>
      <c r="UKP142" s="3"/>
      <c r="UKQ142" s="3"/>
      <c r="UKR142" s="3"/>
      <c r="UKS142" s="3"/>
      <c r="UKT142" s="3"/>
      <c r="UKU142" s="3"/>
      <c r="UKV142" s="3"/>
      <c r="UKW142" s="3"/>
      <c r="UKX142" s="3"/>
      <c r="UKY142" s="3"/>
      <c r="UKZ142" s="3"/>
      <c r="ULA142" s="3"/>
      <c r="ULB142" s="3"/>
      <c r="ULC142" s="3"/>
      <c r="ULD142" s="3"/>
      <c r="ULE142" s="3"/>
      <c r="ULF142" s="3"/>
      <c r="ULG142" s="3"/>
      <c r="ULH142" s="3"/>
      <c r="ULI142" s="3"/>
      <c r="ULJ142" s="3"/>
      <c r="ULK142" s="3"/>
      <c r="ULL142" s="3"/>
      <c r="ULM142" s="3"/>
      <c r="ULN142" s="3"/>
      <c r="ULO142" s="3"/>
      <c r="ULP142" s="3"/>
      <c r="ULQ142" s="3"/>
      <c r="ULR142" s="3"/>
      <c r="ULS142" s="3"/>
      <c r="ULT142" s="3"/>
      <c r="ULU142" s="3"/>
      <c r="ULV142" s="3"/>
      <c r="ULW142" s="3"/>
      <c r="ULX142" s="3"/>
      <c r="ULY142" s="3"/>
      <c r="ULZ142" s="3"/>
      <c r="UMA142" s="3"/>
      <c r="UMB142" s="3"/>
      <c r="UMC142" s="3"/>
      <c r="UMD142" s="3"/>
      <c r="UME142" s="3"/>
      <c r="UMF142" s="3"/>
      <c r="UMG142" s="3"/>
      <c r="UMH142" s="3"/>
      <c r="UMI142" s="3"/>
      <c r="UMJ142" s="3"/>
      <c r="UMK142" s="3"/>
      <c r="UML142" s="3"/>
      <c r="UMM142" s="3"/>
      <c r="UMN142" s="3"/>
      <c r="UMO142" s="3"/>
      <c r="UMP142" s="3"/>
      <c r="UMQ142" s="3"/>
      <c r="UMR142" s="3"/>
      <c r="UMS142" s="3"/>
      <c r="UMT142" s="3"/>
      <c r="UMU142" s="3"/>
      <c r="UMV142" s="3"/>
      <c r="UMW142" s="3"/>
      <c r="UMX142" s="3"/>
      <c r="UMY142" s="3"/>
      <c r="UMZ142" s="3"/>
      <c r="UNA142" s="3"/>
      <c r="UNB142" s="3"/>
      <c r="UNC142" s="3"/>
      <c r="UND142" s="3"/>
      <c r="UNE142" s="3"/>
      <c r="UNF142" s="3"/>
      <c r="UNG142" s="3"/>
      <c r="UNH142" s="3"/>
      <c r="UNI142" s="3"/>
      <c r="UNJ142" s="3"/>
      <c r="UNK142" s="3"/>
      <c r="UNL142" s="3"/>
      <c r="UNM142" s="3"/>
      <c r="UNN142" s="3"/>
      <c r="UNO142" s="3"/>
      <c r="UNP142" s="3"/>
      <c r="UNQ142" s="3"/>
      <c r="UNR142" s="3"/>
      <c r="UNS142" s="3"/>
      <c r="UNT142" s="3"/>
      <c r="UNU142" s="3"/>
      <c r="UNV142" s="3"/>
      <c r="UNW142" s="3"/>
      <c r="UNX142" s="3"/>
      <c r="UNY142" s="3"/>
      <c r="UNZ142" s="3"/>
      <c r="UOA142" s="3"/>
      <c r="UOB142" s="3"/>
      <c r="UOC142" s="3"/>
      <c r="UOD142" s="3"/>
      <c r="UOE142" s="3"/>
      <c r="UOF142" s="3"/>
      <c r="UOG142" s="3"/>
      <c r="UOH142" s="3"/>
      <c r="UOI142" s="3"/>
      <c r="UOJ142" s="3"/>
      <c r="UOK142" s="3"/>
      <c r="UOL142" s="3"/>
      <c r="UOM142" s="3"/>
      <c r="UON142" s="3"/>
      <c r="UOO142" s="3"/>
      <c r="UOP142" s="3"/>
      <c r="UOQ142" s="3"/>
      <c r="UOR142" s="3"/>
      <c r="UOS142" s="3"/>
      <c r="UOT142" s="3"/>
      <c r="UOU142" s="3"/>
      <c r="UOV142" s="3"/>
      <c r="UOW142" s="3"/>
      <c r="UOX142" s="3"/>
      <c r="UOY142" s="3"/>
      <c r="UOZ142" s="3"/>
      <c r="UPA142" s="3"/>
      <c r="UPB142" s="3"/>
      <c r="UPC142" s="3"/>
      <c r="UPD142" s="3"/>
      <c r="UPE142" s="3"/>
      <c r="UPF142" s="3"/>
      <c r="UPG142" s="3"/>
      <c r="UPH142" s="3"/>
      <c r="UPI142" s="3"/>
      <c r="UPJ142" s="3"/>
      <c r="UPK142" s="3"/>
      <c r="UPL142" s="3"/>
      <c r="UPM142" s="3"/>
      <c r="UPN142" s="3"/>
      <c r="UPO142" s="3"/>
      <c r="UPP142" s="3"/>
      <c r="UPQ142" s="3"/>
      <c r="UPR142" s="3"/>
      <c r="UPS142" s="3"/>
      <c r="UPT142" s="3"/>
      <c r="UPU142" s="3"/>
      <c r="UPV142" s="3"/>
      <c r="UPW142" s="3"/>
      <c r="UPX142" s="3"/>
      <c r="UPY142" s="3"/>
      <c r="UPZ142" s="3"/>
      <c r="UQA142" s="3"/>
      <c r="UQB142" s="3"/>
      <c r="UQC142" s="3"/>
      <c r="UQD142" s="3"/>
      <c r="UQE142" s="3"/>
      <c r="UQF142" s="3"/>
      <c r="UQG142" s="3"/>
      <c r="UQH142" s="3"/>
      <c r="UQI142" s="3"/>
      <c r="UQJ142" s="3"/>
      <c r="UQK142" s="3"/>
      <c r="UQL142" s="3"/>
      <c r="UQM142" s="3"/>
      <c r="UQN142" s="3"/>
      <c r="UQO142" s="3"/>
      <c r="UQP142" s="3"/>
      <c r="UQQ142" s="3"/>
      <c r="UQR142" s="3"/>
      <c r="UQS142" s="3"/>
      <c r="UQT142" s="3"/>
      <c r="UQU142" s="3"/>
      <c r="UQV142" s="3"/>
      <c r="UQW142" s="3"/>
      <c r="UQX142" s="3"/>
      <c r="UQY142" s="3"/>
      <c r="UQZ142" s="3"/>
      <c r="URA142" s="3"/>
      <c r="URB142" s="3"/>
      <c r="URC142" s="3"/>
      <c r="URD142" s="3"/>
      <c r="URE142" s="3"/>
      <c r="URF142" s="3"/>
      <c r="URG142" s="3"/>
      <c r="URH142" s="3"/>
      <c r="URI142" s="3"/>
      <c r="URJ142" s="3"/>
      <c r="URK142" s="3"/>
      <c r="URL142" s="3"/>
      <c r="URM142" s="3"/>
      <c r="URN142" s="3"/>
      <c r="URO142" s="3"/>
      <c r="URP142" s="3"/>
      <c r="URQ142" s="3"/>
      <c r="URR142" s="3"/>
      <c r="URS142" s="3"/>
      <c r="URT142" s="3"/>
      <c r="URU142" s="3"/>
      <c r="URV142" s="3"/>
      <c r="URW142" s="3"/>
      <c r="URX142" s="3"/>
      <c r="URY142" s="3"/>
      <c r="URZ142" s="3"/>
      <c r="USA142" s="3"/>
      <c r="USB142" s="3"/>
      <c r="USC142" s="3"/>
      <c r="USD142" s="3"/>
      <c r="USE142" s="3"/>
      <c r="USF142" s="3"/>
      <c r="USG142" s="3"/>
      <c r="USH142" s="3"/>
      <c r="USI142" s="3"/>
      <c r="USJ142" s="3"/>
      <c r="USK142" s="3"/>
      <c r="USL142" s="3"/>
      <c r="USM142" s="3"/>
      <c r="USN142" s="3"/>
      <c r="USO142" s="3"/>
      <c r="USP142" s="3"/>
      <c r="USQ142" s="3"/>
      <c r="USR142" s="3"/>
      <c r="USS142" s="3"/>
      <c r="UST142" s="3"/>
      <c r="USU142" s="3"/>
      <c r="USV142" s="3"/>
      <c r="USW142" s="3"/>
      <c r="USX142" s="3"/>
      <c r="USY142" s="3"/>
      <c r="USZ142" s="3"/>
      <c r="UTA142" s="3"/>
      <c r="UTB142" s="3"/>
      <c r="UTC142" s="3"/>
      <c r="UTD142" s="3"/>
      <c r="UTE142" s="3"/>
      <c r="UTF142" s="3"/>
      <c r="UTG142" s="3"/>
      <c r="UTH142" s="3"/>
      <c r="UTI142" s="3"/>
      <c r="UTJ142" s="3"/>
      <c r="UTK142" s="3"/>
      <c r="UTL142" s="3"/>
      <c r="UTM142" s="3"/>
      <c r="UTN142" s="3"/>
      <c r="UTO142" s="3"/>
      <c r="UTP142" s="3"/>
      <c r="UTQ142" s="3"/>
      <c r="UTR142" s="3"/>
      <c r="UTS142" s="3"/>
      <c r="UTT142" s="3"/>
      <c r="UTU142" s="3"/>
      <c r="UTV142" s="3"/>
      <c r="UTW142" s="3"/>
      <c r="UTX142" s="3"/>
      <c r="UTY142" s="3"/>
      <c r="UTZ142" s="3"/>
      <c r="UUA142" s="3"/>
      <c r="UUB142" s="3"/>
      <c r="UUC142" s="3"/>
      <c r="UUD142" s="3"/>
      <c r="UUE142" s="3"/>
      <c r="UUF142" s="3"/>
      <c r="UUG142" s="3"/>
      <c r="UUH142" s="3"/>
      <c r="UUI142" s="3"/>
      <c r="UUJ142" s="3"/>
      <c r="UUK142" s="3"/>
      <c r="UUL142" s="3"/>
      <c r="UUM142" s="3"/>
      <c r="UUN142" s="3"/>
      <c r="UUO142" s="3"/>
      <c r="UUP142" s="3"/>
      <c r="UUQ142" s="3"/>
      <c r="UUR142" s="3"/>
      <c r="UUS142" s="3"/>
      <c r="UUT142" s="3"/>
      <c r="UUU142" s="3"/>
      <c r="UUV142" s="3"/>
      <c r="UUW142" s="3"/>
      <c r="UUX142" s="3"/>
      <c r="UUY142" s="3"/>
      <c r="UUZ142" s="3"/>
      <c r="UVA142" s="3"/>
      <c r="UVB142" s="3"/>
      <c r="UVC142" s="3"/>
      <c r="UVD142" s="3"/>
      <c r="UVE142" s="3"/>
      <c r="UVF142" s="3"/>
      <c r="UVG142" s="3"/>
      <c r="UVH142" s="3"/>
      <c r="UVI142" s="3"/>
      <c r="UVJ142" s="3"/>
      <c r="UVK142" s="3"/>
      <c r="UVL142" s="3"/>
      <c r="UVM142" s="3"/>
      <c r="UVN142" s="3"/>
      <c r="UVO142" s="3"/>
      <c r="UVP142" s="3"/>
      <c r="UVQ142" s="3"/>
      <c r="UVR142" s="3"/>
      <c r="UVS142" s="3"/>
      <c r="UVT142" s="3"/>
      <c r="UVU142" s="3"/>
      <c r="UVV142" s="3"/>
      <c r="UVW142" s="3"/>
      <c r="UVX142" s="3"/>
      <c r="UVY142" s="3"/>
      <c r="UVZ142" s="3"/>
      <c r="UWA142" s="3"/>
      <c r="UWB142" s="3"/>
      <c r="UWC142" s="3"/>
      <c r="UWD142" s="3"/>
      <c r="UWE142" s="3"/>
      <c r="UWF142" s="3"/>
      <c r="UWG142" s="3"/>
      <c r="UWH142" s="3"/>
      <c r="UWI142" s="3"/>
      <c r="UWJ142" s="3"/>
      <c r="UWK142" s="3"/>
      <c r="UWL142" s="3"/>
      <c r="UWM142" s="3"/>
      <c r="UWN142" s="3"/>
      <c r="UWO142" s="3"/>
      <c r="UWP142" s="3"/>
      <c r="UWQ142" s="3"/>
      <c r="UWR142" s="3"/>
      <c r="UWS142" s="3"/>
      <c r="UWT142" s="3"/>
      <c r="UWU142" s="3"/>
      <c r="UWV142" s="3"/>
      <c r="UWW142" s="3"/>
      <c r="UWX142" s="3"/>
      <c r="UWY142" s="3"/>
      <c r="UWZ142" s="3"/>
      <c r="UXA142" s="3"/>
      <c r="UXB142" s="3"/>
      <c r="UXC142" s="3"/>
      <c r="UXD142" s="3"/>
      <c r="UXE142" s="3"/>
      <c r="UXF142" s="3"/>
      <c r="UXG142" s="3"/>
      <c r="UXH142" s="3"/>
      <c r="UXI142" s="3"/>
      <c r="UXJ142" s="3"/>
      <c r="UXK142" s="3"/>
      <c r="UXL142" s="3"/>
      <c r="UXM142" s="3"/>
      <c r="UXN142" s="3"/>
      <c r="UXO142" s="3"/>
      <c r="UXP142" s="3"/>
      <c r="UXQ142" s="3"/>
      <c r="UXR142" s="3"/>
      <c r="UXS142" s="3"/>
      <c r="UXT142" s="3"/>
      <c r="UXU142" s="3"/>
      <c r="UXV142" s="3"/>
      <c r="UXW142" s="3"/>
      <c r="UXX142" s="3"/>
      <c r="UXY142" s="3"/>
      <c r="UXZ142" s="3"/>
      <c r="UYA142" s="3"/>
      <c r="UYB142" s="3"/>
      <c r="UYC142" s="3"/>
      <c r="UYD142" s="3"/>
      <c r="UYE142" s="3"/>
      <c r="UYF142" s="3"/>
      <c r="UYG142" s="3"/>
      <c r="UYH142" s="3"/>
      <c r="UYI142" s="3"/>
      <c r="UYJ142" s="3"/>
      <c r="UYK142" s="3"/>
      <c r="UYL142" s="3"/>
      <c r="UYM142" s="3"/>
      <c r="UYN142" s="3"/>
      <c r="UYO142" s="3"/>
      <c r="UYP142" s="3"/>
      <c r="UYQ142" s="3"/>
      <c r="UYR142" s="3"/>
      <c r="UYS142" s="3"/>
      <c r="UYT142" s="3"/>
      <c r="UYU142" s="3"/>
      <c r="UYV142" s="3"/>
      <c r="UYW142" s="3"/>
      <c r="UYX142" s="3"/>
      <c r="UYY142" s="3"/>
      <c r="UYZ142" s="3"/>
      <c r="UZA142" s="3"/>
      <c r="UZB142" s="3"/>
      <c r="UZC142" s="3"/>
      <c r="UZD142" s="3"/>
      <c r="UZE142" s="3"/>
      <c r="UZF142" s="3"/>
      <c r="UZG142" s="3"/>
      <c r="UZH142" s="3"/>
      <c r="UZI142" s="3"/>
      <c r="UZJ142" s="3"/>
      <c r="UZK142" s="3"/>
      <c r="UZL142" s="3"/>
      <c r="UZM142" s="3"/>
      <c r="UZN142" s="3"/>
      <c r="UZO142" s="3"/>
      <c r="UZP142" s="3"/>
      <c r="UZQ142" s="3"/>
      <c r="UZR142" s="3"/>
      <c r="UZS142" s="3"/>
      <c r="UZT142" s="3"/>
      <c r="UZU142" s="3"/>
      <c r="UZV142" s="3"/>
      <c r="UZW142" s="3"/>
      <c r="UZX142" s="3"/>
      <c r="UZY142" s="3"/>
      <c r="UZZ142" s="3"/>
      <c r="VAA142" s="3"/>
      <c r="VAB142" s="3"/>
      <c r="VAC142" s="3"/>
      <c r="VAD142" s="3"/>
      <c r="VAE142" s="3"/>
      <c r="VAF142" s="3"/>
      <c r="VAG142" s="3"/>
      <c r="VAH142" s="3"/>
      <c r="VAI142" s="3"/>
      <c r="VAJ142" s="3"/>
      <c r="VAK142" s="3"/>
      <c r="VAL142" s="3"/>
      <c r="VAM142" s="3"/>
      <c r="VAN142" s="3"/>
      <c r="VAO142" s="3"/>
      <c r="VAP142" s="3"/>
      <c r="VAQ142" s="3"/>
      <c r="VAR142" s="3"/>
      <c r="VAS142" s="3"/>
      <c r="VAT142" s="3"/>
      <c r="VAU142" s="3"/>
      <c r="VAV142" s="3"/>
      <c r="VAW142" s="3"/>
      <c r="VAX142" s="3"/>
      <c r="VAY142" s="3"/>
      <c r="VAZ142" s="3"/>
      <c r="VBA142" s="3"/>
      <c r="VBB142" s="3"/>
      <c r="VBC142" s="3"/>
      <c r="VBD142" s="3"/>
      <c r="VBE142" s="3"/>
      <c r="VBF142" s="3"/>
      <c r="VBG142" s="3"/>
      <c r="VBH142" s="3"/>
      <c r="VBI142" s="3"/>
      <c r="VBJ142" s="3"/>
      <c r="VBK142" s="3"/>
      <c r="VBL142" s="3"/>
      <c r="VBM142" s="3"/>
      <c r="VBN142" s="3"/>
      <c r="VBO142" s="3"/>
      <c r="VBP142" s="3"/>
      <c r="VBQ142" s="3"/>
      <c r="VBR142" s="3"/>
      <c r="VBS142" s="3"/>
      <c r="VBT142" s="3"/>
      <c r="VBU142" s="3"/>
      <c r="VBV142" s="3"/>
      <c r="VBW142" s="3"/>
      <c r="VBX142" s="3"/>
      <c r="VBY142" s="3"/>
      <c r="VBZ142" s="3"/>
      <c r="VCA142" s="3"/>
      <c r="VCB142" s="3"/>
      <c r="VCC142" s="3"/>
      <c r="VCD142" s="3"/>
      <c r="VCE142" s="3"/>
      <c r="VCF142" s="3"/>
      <c r="VCG142" s="3"/>
      <c r="VCH142" s="3"/>
      <c r="VCI142" s="3"/>
      <c r="VCJ142" s="3"/>
      <c r="VCK142" s="3"/>
      <c r="VCL142" s="3"/>
      <c r="VCM142" s="3"/>
      <c r="VCN142" s="3"/>
      <c r="VCO142" s="3"/>
      <c r="VCP142" s="3"/>
      <c r="VCQ142" s="3"/>
      <c r="VCR142" s="3"/>
      <c r="VCS142" s="3"/>
      <c r="VCT142" s="3"/>
      <c r="VCU142" s="3"/>
      <c r="VCV142" s="3"/>
      <c r="VCW142" s="3"/>
      <c r="VCX142" s="3"/>
      <c r="VCY142" s="3"/>
      <c r="VCZ142" s="3"/>
      <c r="VDA142" s="3"/>
      <c r="VDB142" s="3"/>
      <c r="VDC142" s="3"/>
      <c r="VDD142" s="3"/>
      <c r="VDE142" s="3"/>
      <c r="VDF142" s="3"/>
      <c r="VDG142" s="3"/>
      <c r="VDH142" s="3"/>
      <c r="VDI142" s="3"/>
      <c r="VDJ142" s="3"/>
      <c r="VDK142" s="3"/>
      <c r="VDL142" s="3"/>
      <c r="VDM142" s="3"/>
      <c r="VDN142" s="3"/>
      <c r="VDO142" s="3"/>
      <c r="VDP142" s="3"/>
      <c r="VDQ142" s="3"/>
      <c r="VDR142" s="3"/>
      <c r="VDS142" s="3"/>
      <c r="VDT142" s="3"/>
      <c r="VDU142" s="3"/>
      <c r="VDV142" s="3"/>
      <c r="VDW142" s="3"/>
      <c r="VDX142" s="3"/>
      <c r="VDY142" s="3"/>
      <c r="VDZ142" s="3"/>
      <c r="VEA142" s="3"/>
      <c r="VEB142" s="3"/>
      <c r="VEC142" s="3"/>
      <c r="VED142" s="3"/>
      <c r="VEE142" s="3"/>
      <c r="VEF142" s="3"/>
      <c r="VEG142" s="3"/>
      <c r="VEH142" s="3"/>
      <c r="VEI142" s="3"/>
      <c r="VEJ142" s="3"/>
      <c r="VEK142" s="3"/>
      <c r="VEL142" s="3"/>
      <c r="VEM142" s="3"/>
      <c r="VEN142" s="3"/>
      <c r="VEO142" s="3"/>
      <c r="VEP142" s="3"/>
      <c r="VEQ142" s="3"/>
      <c r="VER142" s="3"/>
      <c r="VES142" s="3"/>
      <c r="VET142" s="3"/>
      <c r="VEU142" s="3"/>
      <c r="VEV142" s="3"/>
      <c r="VEW142" s="3"/>
      <c r="VEX142" s="3"/>
      <c r="VEY142" s="3"/>
      <c r="VEZ142" s="3"/>
      <c r="VFA142" s="3"/>
      <c r="VFB142" s="3"/>
      <c r="VFC142" s="3"/>
      <c r="VFD142" s="3"/>
      <c r="VFE142" s="3"/>
      <c r="VFF142" s="3"/>
      <c r="VFG142" s="3"/>
      <c r="VFH142" s="3"/>
      <c r="VFI142" s="3"/>
      <c r="VFJ142" s="3"/>
      <c r="VFK142" s="3"/>
      <c r="VFL142" s="3"/>
      <c r="VFM142" s="3"/>
      <c r="VFN142" s="3"/>
      <c r="VFO142" s="3"/>
      <c r="VFP142" s="3"/>
      <c r="VFQ142" s="3"/>
      <c r="VFR142" s="3"/>
      <c r="VFS142" s="3"/>
      <c r="VFT142" s="3"/>
      <c r="VFU142" s="3"/>
      <c r="VFV142" s="3"/>
      <c r="VFW142" s="3"/>
      <c r="VFX142" s="3"/>
      <c r="VFY142" s="3"/>
      <c r="VFZ142" s="3"/>
      <c r="VGA142" s="3"/>
      <c r="VGB142" s="3"/>
      <c r="VGC142" s="3"/>
      <c r="VGD142" s="3"/>
      <c r="VGE142"/>
      <c r="VGF142"/>
      <c r="VGG142"/>
      <c r="VGH142"/>
      <c r="VGI142"/>
      <c r="VGJ142"/>
      <c r="VGK142"/>
      <c r="VGL142"/>
      <c r="VGM142"/>
      <c r="VGN142"/>
      <c r="VGO142"/>
      <c r="VGP142"/>
      <c r="VGQ142"/>
      <c r="VGR142"/>
      <c r="VGS142"/>
      <c r="VGT142"/>
      <c r="VGU142"/>
      <c r="VGV142"/>
      <c r="VGW142"/>
      <c r="VGX142"/>
      <c r="VGY142"/>
      <c r="VGZ142"/>
      <c r="VHA142"/>
      <c r="VHB142"/>
      <c r="VHC142"/>
      <c r="VHD142"/>
      <c r="VHE142"/>
      <c r="VHF142"/>
      <c r="VHG142"/>
      <c r="VHH142"/>
      <c r="VHI142"/>
      <c r="VHJ142"/>
      <c r="VHK142"/>
      <c r="VHL142"/>
      <c r="VHM142"/>
      <c r="VHN142"/>
      <c r="VHO142"/>
      <c r="VHP142"/>
      <c r="VHQ142"/>
      <c r="VHR142"/>
      <c r="VHS142"/>
      <c r="VHT142"/>
      <c r="VHU142"/>
      <c r="VHV142"/>
      <c r="VHW142"/>
      <c r="VHX142"/>
      <c r="VHY142"/>
      <c r="VHZ142"/>
      <c r="VIA142"/>
      <c r="VIB142"/>
      <c r="VIC142"/>
      <c r="VID142"/>
      <c r="VIE142"/>
      <c r="VIF142"/>
      <c r="VIG142"/>
      <c r="VIH142"/>
      <c r="VII142"/>
      <c r="VIJ142"/>
      <c r="VIK142"/>
      <c r="VIL142"/>
      <c r="VIM142"/>
      <c r="VIN142"/>
      <c r="VIO142"/>
      <c r="VIP142"/>
      <c r="VIQ142"/>
      <c r="VIR142"/>
      <c r="VIS142"/>
      <c r="VIT142"/>
      <c r="VIU142"/>
      <c r="VIV142"/>
      <c r="VIW142"/>
      <c r="VIX142"/>
      <c r="VIY142"/>
      <c r="VIZ142"/>
      <c r="VJA142"/>
      <c r="VJB142"/>
      <c r="VJC142"/>
      <c r="VJD142"/>
      <c r="VJE142"/>
      <c r="VJF142"/>
      <c r="VJG142"/>
      <c r="VJH142"/>
      <c r="VJI142"/>
      <c r="VJJ142"/>
      <c r="VJK142"/>
      <c r="VJL142"/>
      <c r="VJM142"/>
      <c r="VJN142"/>
      <c r="VJO142"/>
      <c r="VJP142"/>
      <c r="VJQ142"/>
      <c r="VJR142"/>
      <c r="VJS142"/>
      <c r="VJT142"/>
      <c r="VJU142"/>
      <c r="VJV142"/>
      <c r="VJW142"/>
      <c r="VJX142"/>
      <c r="VJY142"/>
      <c r="VJZ142"/>
      <c r="VKA142"/>
      <c r="VKB142"/>
      <c r="VKC142"/>
      <c r="VKD142"/>
      <c r="VKE142"/>
      <c r="VKF142"/>
      <c r="VKG142"/>
      <c r="VKH142"/>
      <c r="VKI142"/>
      <c r="VKJ142"/>
      <c r="VKK142"/>
      <c r="VKL142"/>
      <c r="VKM142"/>
      <c r="VKN142"/>
      <c r="VKO142"/>
      <c r="VKP142"/>
      <c r="VKQ142"/>
      <c r="VKR142"/>
      <c r="VKS142"/>
      <c r="VKT142"/>
      <c r="VKU142"/>
      <c r="VKV142"/>
      <c r="VKW142"/>
      <c r="VKX142"/>
      <c r="VKY142"/>
      <c r="VKZ142"/>
      <c r="VLA142"/>
      <c r="VLB142"/>
      <c r="VLC142"/>
      <c r="VLD142"/>
      <c r="VLE142"/>
      <c r="VLF142"/>
      <c r="VLG142"/>
      <c r="VLH142"/>
      <c r="VLI142"/>
      <c r="VLJ142"/>
      <c r="VLK142"/>
      <c r="VLL142"/>
      <c r="VLM142"/>
      <c r="VLN142"/>
      <c r="VLO142"/>
      <c r="VLP142"/>
      <c r="VLQ142"/>
      <c r="VLR142"/>
      <c r="VLS142"/>
      <c r="VLT142"/>
      <c r="VLU142"/>
      <c r="VLV142"/>
      <c r="VLW142"/>
      <c r="VLX142"/>
      <c r="VLY142"/>
      <c r="VLZ142"/>
      <c r="VMA142"/>
      <c r="VMB142"/>
      <c r="VMC142"/>
      <c r="VMD142"/>
      <c r="VME142"/>
      <c r="VMF142"/>
      <c r="VMG142"/>
      <c r="VMH142"/>
      <c r="VMI142"/>
      <c r="VMJ142"/>
      <c r="VMK142"/>
      <c r="VML142"/>
      <c r="VMM142"/>
      <c r="VMN142"/>
      <c r="VMO142"/>
      <c r="VMP142"/>
      <c r="VMQ142"/>
      <c r="VMR142"/>
      <c r="VMS142"/>
      <c r="VMT142"/>
      <c r="VMU142"/>
      <c r="VMV142"/>
      <c r="VMW142"/>
      <c r="VMX142"/>
      <c r="VMY142"/>
      <c r="VMZ142"/>
      <c r="VNA142"/>
      <c r="VNB142"/>
      <c r="VNC142"/>
      <c r="VND142"/>
      <c r="VNE142"/>
      <c r="VNF142"/>
      <c r="VNG142"/>
      <c r="VNH142"/>
      <c r="VNI142"/>
      <c r="VNJ142"/>
      <c r="VNK142"/>
      <c r="VNL142"/>
      <c r="VNM142"/>
      <c r="VNN142"/>
      <c r="VNO142"/>
      <c r="VNP142"/>
      <c r="VNQ142"/>
      <c r="VNR142"/>
      <c r="VNS142"/>
      <c r="VNT142"/>
      <c r="VNU142"/>
      <c r="VNV142"/>
      <c r="VNW142"/>
      <c r="VNX142"/>
      <c r="VNY142"/>
      <c r="VNZ142"/>
      <c r="VOA142"/>
      <c r="VOB142"/>
      <c r="VOC142"/>
      <c r="VOD142"/>
      <c r="VOE142"/>
      <c r="VOF142"/>
      <c r="VOG142"/>
      <c r="VOH142"/>
      <c r="VOI142"/>
      <c r="VOJ142"/>
      <c r="VOK142"/>
      <c r="VOL142"/>
      <c r="VOM142"/>
      <c r="VON142"/>
      <c r="VOO142"/>
      <c r="VOP142"/>
      <c r="VOQ142"/>
      <c r="VOR142"/>
      <c r="VOS142"/>
      <c r="VOT142"/>
      <c r="VOU142"/>
      <c r="VOV142"/>
      <c r="VOW142"/>
      <c r="VOX142"/>
      <c r="VOY142"/>
      <c r="VOZ142"/>
      <c r="VPA142"/>
      <c r="VPB142"/>
      <c r="VPC142"/>
      <c r="VPD142"/>
      <c r="VPE142"/>
      <c r="VPF142"/>
      <c r="VPG142"/>
      <c r="VPH142"/>
      <c r="VPI142"/>
      <c r="VPJ142"/>
      <c r="VPK142"/>
      <c r="VPL142"/>
      <c r="VPM142"/>
      <c r="VPN142"/>
      <c r="VPO142"/>
      <c r="VPP142"/>
      <c r="VPQ142"/>
      <c r="VPR142"/>
      <c r="VPS142"/>
      <c r="VPT142"/>
      <c r="VPU142"/>
      <c r="VPV142"/>
      <c r="VPW142"/>
      <c r="VPX142"/>
      <c r="VPY142"/>
      <c r="VPZ142"/>
      <c r="VQA142"/>
      <c r="VQB142"/>
      <c r="VQC142"/>
      <c r="VQD142"/>
      <c r="VQE142"/>
      <c r="VQF142"/>
      <c r="VQG142"/>
      <c r="VQH142"/>
      <c r="VQI142"/>
      <c r="VQJ142"/>
      <c r="VQK142"/>
      <c r="VQL142"/>
      <c r="VQM142"/>
      <c r="VQN142"/>
      <c r="VQO142"/>
      <c r="VQP142"/>
      <c r="VQQ142"/>
      <c r="VQR142"/>
      <c r="VQS142"/>
      <c r="VQT142"/>
      <c r="VQU142"/>
      <c r="VQV142"/>
      <c r="VQW142"/>
      <c r="VQX142"/>
      <c r="VQY142"/>
      <c r="VQZ142"/>
      <c r="VRA142"/>
      <c r="VRB142"/>
      <c r="VRC142"/>
      <c r="VRD142"/>
      <c r="VRE142"/>
      <c r="VRF142"/>
      <c r="VRG142"/>
      <c r="VRH142"/>
      <c r="VRI142"/>
      <c r="VRJ142"/>
      <c r="VRK142"/>
      <c r="VRL142"/>
      <c r="VRM142"/>
      <c r="VRN142"/>
      <c r="VRO142"/>
      <c r="VRP142"/>
      <c r="VRQ142"/>
      <c r="VRR142"/>
      <c r="VRS142"/>
      <c r="VRT142"/>
      <c r="VRU142"/>
      <c r="VRV142"/>
      <c r="VRW142"/>
      <c r="VRX142"/>
      <c r="VRY142"/>
      <c r="VRZ142"/>
      <c r="VSA142"/>
      <c r="VSB142"/>
      <c r="VSC142"/>
      <c r="VSD142"/>
      <c r="VSE142"/>
      <c r="VSF142"/>
      <c r="VSG142"/>
      <c r="VSH142"/>
      <c r="VSI142"/>
      <c r="VSJ142"/>
      <c r="VSK142"/>
      <c r="VSL142"/>
      <c r="VSM142"/>
      <c r="VSN142"/>
      <c r="VSO142"/>
      <c r="VSP142"/>
      <c r="VSQ142"/>
      <c r="VSR142"/>
      <c r="VSS142"/>
      <c r="VST142"/>
      <c r="VSU142"/>
      <c r="VSV142"/>
      <c r="VSW142"/>
      <c r="VSX142"/>
      <c r="VSY142"/>
      <c r="VSZ142"/>
      <c r="VTA142"/>
      <c r="VTB142"/>
      <c r="VTC142"/>
      <c r="VTD142"/>
      <c r="VTE142"/>
      <c r="VTF142"/>
      <c r="VTG142"/>
      <c r="VTH142"/>
      <c r="VTI142"/>
      <c r="VTJ142"/>
      <c r="VTK142"/>
      <c r="VTL142"/>
      <c r="VTM142"/>
      <c r="VTN142"/>
      <c r="VTO142"/>
      <c r="VTP142"/>
      <c r="VTQ142"/>
      <c r="VTR142"/>
      <c r="VTS142"/>
      <c r="VTT142"/>
      <c r="VTU142"/>
      <c r="VTV142"/>
      <c r="VTW142"/>
      <c r="VTX142"/>
      <c r="VTY142"/>
      <c r="VTZ142"/>
      <c r="VUA142"/>
      <c r="VUB142"/>
      <c r="VUC142"/>
      <c r="VUD142"/>
      <c r="VUE142"/>
      <c r="VUF142"/>
      <c r="VUG142"/>
      <c r="VUH142"/>
      <c r="VUI142"/>
      <c r="VUJ142"/>
      <c r="VUK142"/>
      <c r="VUL142"/>
      <c r="VUM142"/>
      <c r="VUN142"/>
      <c r="VUO142"/>
      <c r="VUP142"/>
      <c r="VUQ142"/>
      <c r="VUR142"/>
      <c r="VUS142"/>
      <c r="VUT142"/>
      <c r="VUU142"/>
      <c r="VUV142"/>
      <c r="VUW142"/>
      <c r="VUX142"/>
      <c r="VUY142"/>
      <c r="VUZ142"/>
      <c r="VVA142"/>
      <c r="VVB142"/>
      <c r="VVC142"/>
      <c r="VVD142"/>
      <c r="VVE142"/>
      <c r="VVF142"/>
      <c r="VVG142"/>
    </row>
    <row r="143" spans="1:15451" s="1" customFormat="1" ht="14.25" hidden="1">
      <c r="B143" s="55"/>
      <c r="C143" s="218" t="s">
        <v>67</v>
      </c>
      <c r="D143" s="59"/>
      <c r="E143" s="55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105"/>
      <c r="AL143" s="153" t="s">
        <v>67</v>
      </c>
      <c r="AN143" s="106"/>
      <c r="EB143" s="233"/>
      <c r="EC143" s="233"/>
      <c r="FI143" s="233"/>
    </row>
    <row r="144" spans="1:15451" s="1" customFormat="1" ht="14.25" hidden="1">
      <c r="B144" s="55"/>
      <c r="C144" s="137" t="s">
        <v>116</v>
      </c>
      <c r="D144" s="59"/>
      <c r="E144" s="219" t="s">
        <v>69</v>
      </c>
      <c r="F144" s="44">
        <v>0</v>
      </c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105"/>
      <c r="AL144" s="155">
        <f>SUM(F144:AJ144)</f>
        <v>0</v>
      </c>
      <c r="AN144" s="106"/>
      <c r="EB144" s="233"/>
      <c r="EC144" s="233"/>
      <c r="FI144" s="233"/>
    </row>
    <row r="145" spans="1:15451" s="1" customFormat="1" ht="14.25" hidden="1">
      <c r="B145" s="55"/>
      <c r="C145" s="137" t="s">
        <v>117</v>
      </c>
      <c r="D145" s="59"/>
      <c r="E145" s="219" t="s">
        <v>69</v>
      </c>
      <c r="F145" s="44">
        <v>0</v>
      </c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105"/>
      <c r="AL145" s="155">
        <f>SUM(F145:AJ145)</f>
        <v>0</v>
      </c>
      <c r="AN145" s="106"/>
      <c r="EB145" s="233"/>
      <c r="EC145" s="233"/>
      <c r="FI145" s="233"/>
    </row>
    <row r="146" spans="1:15451" s="1" customFormat="1" ht="14.25" hidden="1">
      <c r="B146" s="55"/>
      <c r="C146" s="218" t="s">
        <v>71</v>
      </c>
      <c r="D146" s="59"/>
      <c r="E146" s="55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105"/>
      <c r="AL146" s="153" t="s">
        <v>71</v>
      </c>
      <c r="AN146" s="106"/>
      <c r="EB146" s="233"/>
      <c r="EC146" s="233"/>
      <c r="FI146" s="233"/>
    </row>
    <row r="147" spans="1:15451" s="1" customFormat="1" ht="14.25" hidden="1">
      <c r="B147" s="55"/>
      <c r="C147" s="137" t="s">
        <v>116</v>
      </c>
      <c r="D147" s="59"/>
      <c r="E147" s="219" t="s">
        <v>71</v>
      </c>
      <c r="F147" s="44">
        <v>0</v>
      </c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105"/>
      <c r="AL147" s="155">
        <f>SUM(F147:AJ147)</f>
        <v>0</v>
      </c>
      <c r="AN147" s="106"/>
      <c r="EB147" s="233"/>
      <c r="EC147" s="233"/>
      <c r="FI147" s="233"/>
    </row>
    <row r="148" spans="1:15451" s="1" customFormat="1" ht="14.25" hidden="1">
      <c r="B148" s="55"/>
      <c r="C148" s="137" t="s">
        <v>117</v>
      </c>
      <c r="D148" s="59"/>
      <c r="E148" s="219" t="s">
        <v>71</v>
      </c>
      <c r="F148" s="44">
        <v>0</v>
      </c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105"/>
      <c r="AL148" s="155">
        <f>SUM(F148:AJ148)</f>
        <v>0</v>
      </c>
      <c r="AN148" s="106"/>
      <c r="EB148" s="233"/>
      <c r="EC148" s="233"/>
      <c r="FI148" s="233"/>
    </row>
    <row r="149" spans="1:15451" s="1" customFormat="1" hidden="1">
      <c r="A149" s="3"/>
      <c r="B149" s="41"/>
      <c r="C149" s="20" t="s">
        <v>78</v>
      </c>
      <c r="D149" s="39"/>
      <c r="E149" s="39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91"/>
      <c r="AD149" s="40"/>
      <c r="AE149" s="40"/>
      <c r="AF149" s="40"/>
      <c r="AG149" s="40"/>
      <c r="AH149" s="40"/>
      <c r="AI149" s="40"/>
      <c r="AJ149" s="40"/>
      <c r="AK149" s="95"/>
      <c r="AL149" s="203" t="s">
        <v>77</v>
      </c>
      <c r="AM149" s="3"/>
      <c r="AN149" s="14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252"/>
      <c r="EC149" s="252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252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WR149" s="3"/>
      <c r="WS149" s="3"/>
      <c r="WT149" s="3"/>
      <c r="WU149" s="3"/>
      <c r="WV149" s="3"/>
      <c r="WW149" s="3"/>
      <c r="WX149" s="3"/>
      <c r="WY149" s="3"/>
      <c r="WZ149" s="3"/>
      <c r="XA149" s="3"/>
      <c r="XB149" s="3"/>
      <c r="XC149" s="3"/>
      <c r="XD149" s="3"/>
      <c r="XE149" s="3"/>
      <c r="XF149" s="3"/>
      <c r="XG149" s="3"/>
      <c r="XH149" s="3"/>
      <c r="XI149" s="3"/>
      <c r="XJ149" s="3"/>
      <c r="XK149" s="3"/>
      <c r="XL149" s="3"/>
      <c r="XM149" s="3"/>
      <c r="XN149" s="3"/>
      <c r="XO149" s="3"/>
      <c r="XP149" s="3"/>
      <c r="XQ149" s="3"/>
      <c r="XR149" s="3"/>
      <c r="XS149" s="3"/>
      <c r="XT149" s="3"/>
      <c r="XU149" s="3"/>
      <c r="XV149" s="3"/>
      <c r="XW149" s="3"/>
      <c r="XX149" s="3"/>
      <c r="XY149" s="3"/>
      <c r="XZ149" s="3"/>
      <c r="YA149" s="3"/>
      <c r="YB149" s="3"/>
      <c r="YC149" s="3"/>
      <c r="YD149" s="3"/>
      <c r="YE149" s="3"/>
      <c r="YF149" s="3"/>
      <c r="YG149" s="3"/>
      <c r="YH149" s="3"/>
      <c r="YI149" s="3"/>
      <c r="YJ149" s="3"/>
      <c r="YK149" s="3"/>
      <c r="YL149" s="3"/>
      <c r="YM149" s="3"/>
      <c r="YN149" s="3"/>
      <c r="YO149" s="3"/>
      <c r="YP149" s="3"/>
      <c r="YQ149" s="3"/>
      <c r="YR149" s="3"/>
      <c r="YS149" s="3"/>
      <c r="YT149" s="3"/>
      <c r="YU149" s="3"/>
      <c r="YV149" s="3"/>
      <c r="YW149" s="3"/>
      <c r="YX149" s="3"/>
      <c r="YY149" s="3"/>
      <c r="YZ149" s="3"/>
      <c r="ZA149" s="3"/>
      <c r="ZB149" s="3"/>
      <c r="ZC149" s="3"/>
      <c r="ZD149" s="3"/>
      <c r="ZE149" s="3"/>
      <c r="ZF149" s="3"/>
      <c r="ZG149" s="3"/>
      <c r="ZH149" s="3"/>
      <c r="ZI149" s="3"/>
      <c r="ZJ149" s="3"/>
      <c r="ZK149" s="3"/>
      <c r="ZL149" s="3"/>
      <c r="ZM149" s="3"/>
      <c r="ZN149" s="3"/>
      <c r="ZO149" s="3"/>
      <c r="ZP149" s="3"/>
      <c r="ZQ149" s="3"/>
      <c r="ZR149" s="3"/>
      <c r="ZS149" s="3"/>
      <c r="ZT149" s="3"/>
      <c r="ZU149" s="3"/>
      <c r="ZV149" s="3"/>
      <c r="ZW149" s="3"/>
      <c r="ZX149" s="3"/>
      <c r="ZY149" s="3"/>
      <c r="ZZ149" s="3"/>
      <c r="AAA149" s="3"/>
      <c r="AAB149" s="3"/>
      <c r="AAC149" s="3"/>
      <c r="AAD149" s="3"/>
      <c r="AAE149" s="3"/>
      <c r="AAF149" s="3"/>
      <c r="AAG149" s="3"/>
      <c r="AAH149" s="3"/>
      <c r="AAI149" s="3"/>
      <c r="AAJ149" s="3"/>
      <c r="AAK149" s="3"/>
      <c r="AAL149" s="3"/>
      <c r="AAM149" s="3"/>
      <c r="AAN149" s="3"/>
      <c r="AAO149" s="3"/>
      <c r="AAP149" s="3"/>
      <c r="AAQ149" s="3"/>
      <c r="AAR149" s="3"/>
      <c r="AAS149" s="3"/>
      <c r="AAT149" s="3"/>
      <c r="AAU149" s="3"/>
      <c r="AAV149" s="3"/>
      <c r="AAW149" s="3"/>
      <c r="AAX149" s="3"/>
      <c r="AAY149" s="3"/>
      <c r="AAZ149" s="3"/>
      <c r="ABA149" s="3"/>
      <c r="ABB149" s="3"/>
      <c r="ABC149" s="3"/>
      <c r="ABD149" s="3"/>
      <c r="ABE149" s="3"/>
      <c r="ABF149" s="3"/>
      <c r="ABG149" s="3"/>
      <c r="ABH149" s="3"/>
      <c r="ABI149" s="3"/>
      <c r="ABJ149" s="3"/>
      <c r="ABK149" s="3"/>
      <c r="ABL149" s="3"/>
      <c r="ABM149" s="3"/>
      <c r="ABN149" s="3"/>
      <c r="ABO149" s="3"/>
      <c r="ABP149" s="3"/>
      <c r="ABQ149" s="3"/>
      <c r="ABR149" s="3"/>
      <c r="ABS149" s="3"/>
      <c r="ABT149" s="3"/>
      <c r="ABU149" s="3"/>
      <c r="ABV149" s="3"/>
      <c r="ABW149" s="3"/>
      <c r="ABX149" s="3"/>
      <c r="ABY149" s="3"/>
      <c r="ABZ149" s="3"/>
      <c r="ACA149" s="3"/>
      <c r="ACB149" s="3"/>
      <c r="ACC149" s="3"/>
      <c r="ACD149" s="3"/>
      <c r="ACE149" s="3"/>
      <c r="ACF149" s="3"/>
      <c r="ACG149" s="3"/>
      <c r="ACH149" s="3"/>
      <c r="ACI149" s="3"/>
      <c r="ACJ149" s="3"/>
      <c r="ACK149" s="3"/>
      <c r="ACL149" s="3"/>
      <c r="ACM149" s="3"/>
      <c r="ACN149" s="3"/>
      <c r="ACO149" s="3"/>
      <c r="ACP149" s="3"/>
      <c r="ACQ149" s="3"/>
      <c r="ACR149" s="3"/>
      <c r="ACS149" s="3"/>
      <c r="ACT149" s="3"/>
      <c r="ACU149" s="3"/>
      <c r="ACV149" s="3"/>
      <c r="ACW149" s="3"/>
      <c r="ACX149" s="3"/>
      <c r="ACY149" s="3"/>
      <c r="ACZ149" s="3"/>
      <c r="ADA149" s="3"/>
      <c r="ADB149" s="3"/>
      <c r="ADC149" s="3"/>
      <c r="ADD149" s="3"/>
      <c r="ADE149" s="3"/>
      <c r="ADF149" s="3"/>
      <c r="ADG149" s="3"/>
      <c r="ADH149" s="3"/>
      <c r="ADI149" s="3"/>
      <c r="ADJ149" s="3"/>
      <c r="ADK149" s="3"/>
      <c r="ADL149" s="3"/>
      <c r="ADM149" s="3"/>
      <c r="ADN149" s="3"/>
      <c r="ADO149" s="3"/>
      <c r="ADP149" s="3"/>
      <c r="ADQ149" s="3"/>
      <c r="ADR149" s="3"/>
      <c r="ADS149" s="3"/>
      <c r="ADT149" s="3"/>
      <c r="ADU149" s="3"/>
      <c r="ADV149" s="3"/>
      <c r="ADW149" s="3"/>
      <c r="ADX149" s="3"/>
      <c r="ADY149" s="3"/>
      <c r="ADZ149" s="3"/>
      <c r="AEA149" s="3"/>
      <c r="AEB149" s="3"/>
      <c r="AEC149" s="3"/>
      <c r="AED149" s="3"/>
      <c r="AEE149" s="3"/>
      <c r="AEF149" s="3"/>
      <c r="AEG149" s="3"/>
      <c r="AEH149" s="3"/>
      <c r="AEI149" s="3"/>
      <c r="AEJ149" s="3"/>
      <c r="AEK149" s="3"/>
      <c r="AEL149" s="3"/>
      <c r="AEM149" s="3"/>
      <c r="AEN149" s="3"/>
      <c r="AEO149" s="3"/>
      <c r="AEP149" s="3"/>
      <c r="AEQ149" s="3"/>
      <c r="AER149" s="3"/>
      <c r="AES149" s="3"/>
      <c r="AET149" s="3"/>
      <c r="AEU149" s="3"/>
      <c r="AEV149" s="3"/>
      <c r="AEW149" s="3"/>
      <c r="AEX149" s="3"/>
      <c r="AEY149" s="3"/>
      <c r="AEZ149" s="3"/>
      <c r="AFA149" s="3"/>
      <c r="AFB149" s="3"/>
      <c r="AFC149" s="3"/>
      <c r="AFD149" s="3"/>
      <c r="AFE149" s="3"/>
      <c r="AFF149" s="3"/>
      <c r="AFG149" s="3"/>
      <c r="AFH149" s="3"/>
      <c r="AFI149" s="3"/>
      <c r="AFJ149" s="3"/>
      <c r="AFK149" s="3"/>
      <c r="AFL149" s="3"/>
      <c r="AFM149" s="3"/>
      <c r="AFN149" s="3"/>
      <c r="AFO149" s="3"/>
      <c r="AFP149" s="3"/>
      <c r="AFQ149" s="3"/>
      <c r="AFR149" s="3"/>
      <c r="AFS149" s="3"/>
      <c r="AFT149" s="3"/>
      <c r="AFU149" s="3"/>
      <c r="AFV149" s="3"/>
      <c r="AFW149" s="3"/>
      <c r="AFX149" s="3"/>
      <c r="AFY149" s="3"/>
      <c r="AFZ149" s="3"/>
      <c r="AGA149" s="3"/>
      <c r="AGB149" s="3"/>
      <c r="AGC149" s="3"/>
      <c r="AGD149" s="3"/>
      <c r="AGE149" s="3"/>
      <c r="AGF149" s="3"/>
      <c r="AGG149" s="3"/>
      <c r="AGH149" s="3"/>
      <c r="AGI149" s="3"/>
      <c r="AGJ149" s="3"/>
      <c r="AGK149" s="3"/>
      <c r="AGL149" s="3"/>
      <c r="AGM149" s="3"/>
      <c r="AGN149" s="3"/>
      <c r="AGO149" s="3"/>
      <c r="AGP149" s="3"/>
      <c r="AGQ149" s="3"/>
      <c r="AGR149" s="3"/>
      <c r="AGS149" s="3"/>
      <c r="AGT149" s="3"/>
      <c r="AGU149" s="3"/>
      <c r="AGV149" s="3"/>
      <c r="AGW149" s="3"/>
      <c r="AGX149" s="3"/>
      <c r="AGY149" s="3"/>
      <c r="AGZ149" s="3"/>
      <c r="AHA149" s="3"/>
      <c r="AHB149" s="3"/>
      <c r="AHC149" s="3"/>
      <c r="AHD149" s="3"/>
      <c r="AHE149" s="3"/>
      <c r="AHF149" s="3"/>
      <c r="AHG149" s="3"/>
      <c r="AHH149" s="3"/>
      <c r="AHI149" s="3"/>
      <c r="AHJ149" s="3"/>
      <c r="AHK149" s="3"/>
      <c r="AHL149" s="3"/>
      <c r="AHM149" s="3"/>
      <c r="AHN149" s="3"/>
      <c r="AHO149" s="3"/>
      <c r="AHP149" s="3"/>
      <c r="AHQ149" s="3"/>
      <c r="AHR149" s="3"/>
      <c r="AHS149" s="3"/>
      <c r="AHT149" s="3"/>
      <c r="AHU149" s="3"/>
      <c r="AHV149" s="3"/>
      <c r="AHW149" s="3"/>
      <c r="AHX149" s="3"/>
      <c r="AHY149" s="3"/>
      <c r="AHZ149" s="3"/>
      <c r="AIA149" s="3"/>
      <c r="AIB149" s="3"/>
      <c r="AIC149" s="3"/>
      <c r="AID149" s="3"/>
      <c r="AIE149" s="3"/>
      <c r="AIF149" s="3"/>
      <c r="AIG149" s="3"/>
      <c r="AIH149" s="3"/>
      <c r="AII149" s="3"/>
      <c r="AIJ149" s="3"/>
      <c r="AIK149" s="3"/>
      <c r="AIL149" s="3"/>
      <c r="AIM149" s="3"/>
      <c r="AIN149" s="3"/>
      <c r="AIO149" s="3"/>
      <c r="AIP149" s="3"/>
      <c r="AIQ149" s="3"/>
      <c r="AIR149" s="3"/>
      <c r="AIS149" s="3"/>
      <c r="AIT149" s="3"/>
      <c r="AIU149" s="3"/>
      <c r="AIV149" s="3"/>
      <c r="AIW149" s="3"/>
      <c r="AIX149" s="3"/>
      <c r="AIY149" s="3"/>
      <c r="AIZ149" s="3"/>
      <c r="AJA149" s="3"/>
      <c r="AJB149" s="3"/>
      <c r="AJC149" s="3"/>
      <c r="AJD149" s="3"/>
      <c r="AJE149" s="3"/>
      <c r="AJF149" s="3"/>
      <c r="AJG149" s="3"/>
      <c r="AJH149" s="3"/>
      <c r="AJI149" s="3"/>
      <c r="AJJ149" s="3"/>
      <c r="AJK149" s="3"/>
      <c r="AJL149" s="3"/>
      <c r="AJM149" s="3"/>
      <c r="AJN149" s="3"/>
      <c r="AJO149" s="3"/>
      <c r="AJP149" s="3"/>
      <c r="AJQ149" s="3"/>
      <c r="AJR149" s="3"/>
      <c r="AJS149" s="3"/>
      <c r="AJT149" s="3"/>
      <c r="AJU149" s="3"/>
      <c r="AJV149" s="3"/>
      <c r="AJW149" s="3"/>
      <c r="AJX149" s="3"/>
      <c r="AJY149" s="3"/>
      <c r="AJZ149" s="3"/>
      <c r="AKA149" s="3"/>
      <c r="AKB149" s="3"/>
      <c r="AKC149" s="3"/>
      <c r="AKD149" s="3"/>
      <c r="AKE149" s="3"/>
      <c r="AKF149" s="3"/>
      <c r="AKG149" s="3"/>
      <c r="AKH149" s="3"/>
      <c r="AKI149" s="3"/>
      <c r="AKJ149" s="3"/>
      <c r="AKK149" s="3"/>
      <c r="AKL149" s="3"/>
      <c r="AKM149" s="3"/>
      <c r="AKN149" s="3"/>
      <c r="AKO149" s="3"/>
      <c r="AKP149" s="3"/>
      <c r="AKQ149" s="3"/>
      <c r="AKR149" s="3"/>
      <c r="AKS149" s="3"/>
      <c r="AKT149" s="3"/>
      <c r="AKU149" s="3"/>
      <c r="AKV149" s="3"/>
      <c r="AKW149" s="3"/>
      <c r="AKX149" s="3"/>
      <c r="AKY149" s="3"/>
      <c r="AKZ149" s="3"/>
      <c r="ALA149" s="3"/>
      <c r="ALB149" s="3"/>
      <c r="ALC149" s="3"/>
      <c r="ALD149" s="3"/>
      <c r="ALE149" s="3"/>
      <c r="ALF149" s="3"/>
      <c r="ALG149" s="3"/>
      <c r="ALH149" s="3"/>
      <c r="ALI149" s="3"/>
      <c r="ALJ149" s="3"/>
      <c r="ALK149" s="3"/>
      <c r="ALL149" s="3"/>
      <c r="ALM149" s="3"/>
      <c r="ALN149" s="3"/>
      <c r="ALO149" s="3"/>
      <c r="ALP149" s="3"/>
      <c r="ALQ149" s="3"/>
      <c r="ALR149" s="3"/>
      <c r="ALS149" s="3"/>
      <c r="ALT149" s="3"/>
      <c r="ALU149" s="3"/>
      <c r="ALV149" s="3"/>
      <c r="ALW149" s="3"/>
      <c r="ALX149" s="3"/>
      <c r="ALY149" s="3"/>
      <c r="ALZ149" s="3"/>
      <c r="AMA149" s="3"/>
      <c r="AMB149" s="3"/>
      <c r="AMC149" s="3"/>
      <c r="AMD149" s="3"/>
      <c r="AME149" s="3"/>
      <c r="AMF149" s="3"/>
      <c r="AMG149" s="3"/>
      <c r="AMH149" s="3"/>
      <c r="AMI149" s="3"/>
      <c r="AMJ149" s="3"/>
      <c r="AMK149" s="3"/>
      <c r="AML149" s="3"/>
      <c r="AMM149" s="3"/>
      <c r="AMN149" s="3"/>
      <c r="AMO149" s="3"/>
      <c r="AMP149" s="3"/>
      <c r="AMQ149" s="3"/>
      <c r="AMR149" s="3"/>
      <c r="AMS149" s="3"/>
      <c r="AMT149" s="3"/>
      <c r="AMU149" s="3"/>
      <c r="AMV149" s="3"/>
      <c r="AMW149" s="3"/>
      <c r="AMX149" s="3"/>
      <c r="AMY149" s="3"/>
      <c r="AMZ149" s="3"/>
      <c r="ANA149" s="3"/>
      <c r="ANB149" s="3"/>
      <c r="ANC149" s="3"/>
      <c r="AND149" s="3"/>
      <c r="ANE149" s="3"/>
      <c r="ANF149" s="3"/>
      <c r="ANG149" s="3"/>
      <c r="ANH149" s="3"/>
      <c r="ANI149" s="3"/>
      <c r="ANJ149" s="3"/>
      <c r="ANK149" s="3"/>
      <c r="ANL149" s="3"/>
      <c r="ANM149" s="3"/>
      <c r="ANN149" s="3"/>
      <c r="ANO149" s="3"/>
      <c r="ANP149" s="3"/>
      <c r="ANQ149" s="3"/>
      <c r="ANR149" s="3"/>
      <c r="ANS149" s="3"/>
      <c r="ANT149" s="3"/>
      <c r="ANU149" s="3"/>
      <c r="ANV149" s="3"/>
      <c r="ANW149" s="3"/>
      <c r="ANX149" s="3"/>
      <c r="ANY149" s="3"/>
      <c r="ANZ149" s="3"/>
      <c r="AOA149" s="3"/>
      <c r="AOB149" s="3"/>
      <c r="AOC149" s="3"/>
      <c r="AOD149" s="3"/>
      <c r="AOE149" s="3"/>
      <c r="AOF149" s="3"/>
      <c r="AOG149" s="3"/>
      <c r="AOH149" s="3"/>
      <c r="AOI149" s="3"/>
      <c r="AOJ149" s="3"/>
      <c r="AOK149" s="3"/>
      <c r="AOL149" s="3"/>
      <c r="AOM149" s="3"/>
      <c r="AON149" s="3"/>
      <c r="AOO149" s="3"/>
      <c r="AOP149" s="3"/>
      <c r="AOQ149" s="3"/>
      <c r="AOR149" s="3"/>
      <c r="AOS149" s="3"/>
      <c r="AOT149" s="3"/>
      <c r="AOU149" s="3"/>
      <c r="AOV149" s="3"/>
      <c r="AOW149" s="3"/>
      <c r="AOX149" s="3"/>
      <c r="AOY149" s="3"/>
      <c r="AOZ149" s="3"/>
      <c r="APA149" s="3"/>
      <c r="APB149" s="3"/>
      <c r="APC149" s="3"/>
      <c r="APD149" s="3"/>
      <c r="APE149" s="3"/>
      <c r="APF149" s="3"/>
      <c r="APG149" s="3"/>
      <c r="APH149" s="3"/>
      <c r="API149" s="3"/>
      <c r="APJ149" s="3"/>
      <c r="APK149" s="3"/>
      <c r="APL149" s="3"/>
      <c r="APM149" s="3"/>
      <c r="APN149" s="3"/>
      <c r="APO149" s="3"/>
      <c r="APP149" s="3"/>
      <c r="APQ149" s="3"/>
      <c r="APR149" s="3"/>
      <c r="APS149" s="3"/>
      <c r="APT149" s="3"/>
      <c r="APU149" s="3"/>
      <c r="APV149" s="3"/>
      <c r="APW149" s="3"/>
      <c r="APX149" s="3"/>
      <c r="APY149" s="3"/>
      <c r="APZ149" s="3"/>
      <c r="AQA149" s="3"/>
      <c r="AQB149" s="3"/>
      <c r="AQC149" s="3"/>
      <c r="AQD149" s="3"/>
      <c r="AQE149" s="3"/>
      <c r="AQF149" s="3"/>
      <c r="AQG149" s="3"/>
      <c r="AQH149" s="3"/>
      <c r="AQI149" s="3"/>
      <c r="AQJ149" s="3"/>
      <c r="AQK149" s="3"/>
      <c r="AQL149" s="3"/>
      <c r="AQM149" s="3"/>
      <c r="AQN149" s="3"/>
      <c r="AQO149" s="3"/>
      <c r="AQP149" s="3"/>
      <c r="AQQ149" s="3"/>
      <c r="AQR149" s="3"/>
      <c r="AQS149" s="3"/>
      <c r="AQT149" s="3"/>
      <c r="AQU149" s="3"/>
      <c r="AQV149" s="3"/>
      <c r="AQW149" s="3"/>
      <c r="AQX149" s="3"/>
      <c r="AQY149" s="3"/>
      <c r="AQZ149" s="3"/>
      <c r="ARA149" s="3"/>
      <c r="ARB149" s="3"/>
      <c r="ARC149" s="3"/>
      <c r="ARD149" s="3"/>
      <c r="ARE149" s="3"/>
      <c r="ARF149" s="3"/>
      <c r="ARG149" s="3"/>
      <c r="ARH149" s="3"/>
      <c r="ARI149" s="3"/>
      <c r="ARJ149" s="3"/>
      <c r="ARK149" s="3"/>
      <c r="ARL149" s="3"/>
      <c r="ARM149" s="3"/>
      <c r="ARN149" s="3"/>
      <c r="ARO149" s="3"/>
      <c r="ARP149" s="3"/>
      <c r="ARQ149" s="3"/>
      <c r="ARR149" s="3"/>
      <c r="ARS149" s="3"/>
      <c r="ART149" s="3"/>
      <c r="ARU149" s="3"/>
      <c r="ARV149" s="3"/>
      <c r="ARW149" s="3"/>
      <c r="ARX149" s="3"/>
      <c r="ARY149" s="3"/>
      <c r="ARZ149" s="3"/>
      <c r="ASA149" s="3"/>
      <c r="ASB149" s="3"/>
      <c r="ASC149" s="3"/>
      <c r="ASD149" s="3"/>
      <c r="ASE149" s="3"/>
      <c r="ASF149" s="3"/>
      <c r="ASG149" s="3"/>
      <c r="ASH149" s="3"/>
      <c r="ASI149" s="3"/>
      <c r="ASJ149" s="3"/>
      <c r="ASK149" s="3"/>
      <c r="ASL149" s="3"/>
      <c r="ASM149" s="3"/>
      <c r="ASN149" s="3"/>
      <c r="ASO149" s="3"/>
      <c r="ASP149" s="3"/>
      <c r="ASQ149" s="3"/>
      <c r="ASR149" s="3"/>
      <c r="ASS149" s="3"/>
      <c r="AST149" s="3"/>
      <c r="ASU149" s="3"/>
      <c r="ASV149" s="3"/>
      <c r="ASW149" s="3"/>
      <c r="ASX149" s="3"/>
      <c r="ASY149" s="3"/>
      <c r="ASZ149" s="3"/>
      <c r="ATA149" s="3"/>
      <c r="ATB149" s="3"/>
      <c r="ATC149" s="3"/>
      <c r="ATD149" s="3"/>
      <c r="ATE149" s="3"/>
      <c r="ATF149" s="3"/>
      <c r="ATG149" s="3"/>
      <c r="ATH149" s="3"/>
      <c r="ATI149" s="3"/>
      <c r="ATJ149" s="3"/>
      <c r="ATK149" s="3"/>
      <c r="ATL149" s="3"/>
      <c r="ATM149" s="3"/>
      <c r="ATN149" s="3"/>
      <c r="ATO149" s="3"/>
      <c r="ATP149" s="3"/>
      <c r="ATQ149" s="3"/>
      <c r="ATR149" s="3"/>
      <c r="ATS149" s="3"/>
      <c r="ATT149" s="3"/>
      <c r="ATU149" s="3"/>
      <c r="ATV149" s="3"/>
      <c r="ATW149" s="3"/>
      <c r="ATX149" s="3"/>
      <c r="ATY149" s="3"/>
      <c r="ATZ149" s="3"/>
      <c r="AUA149" s="3"/>
      <c r="AUB149" s="3"/>
      <c r="AUC149" s="3"/>
      <c r="AUD149" s="3"/>
      <c r="AUE149" s="3"/>
      <c r="AUF149" s="3"/>
      <c r="AUG149" s="3"/>
      <c r="AUH149" s="3"/>
      <c r="AUI149" s="3"/>
      <c r="AUJ149" s="3"/>
      <c r="AUK149" s="3"/>
      <c r="AUL149" s="3"/>
      <c r="AUM149" s="3"/>
      <c r="AUN149" s="3"/>
      <c r="AUO149" s="3"/>
      <c r="AUP149" s="3"/>
      <c r="AUQ149" s="3"/>
      <c r="AUR149" s="3"/>
      <c r="AUS149" s="3"/>
      <c r="AUT149" s="3"/>
      <c r="AUU149" s="3"/>
      <c r="AUV149" s="3"/>
      <c r="AUW149" s="3"/>
      <c r="AUX149" s="3"/>
      <c r="AUY149" s="3"/>
      <c r="AUZ149" s="3"/>
      <c r="AVA149" s="3"/>
      <c r="AVB149" s="3"/>
      <c r="AVC149" s="3"/>
      <c r="AVD149" s="3"/>
      <c r="AVE149" s="3"/>
      <c r="AVF149" s="3"/>
      <c r="AVG149" s="3"/>
      <c r="AVH149" s="3"/>
      <c r="AVI149" s="3"/>
      <c r="AVJ149" s="3"/>
      <c r="AVK149" s="3"/>
      <c r="AVL149" s="3"/>
      <c r="AVM149" s="3"/>
      <c r="AVN149" s="3"/>
      <c r="AVO149" s="3"/>
      <c r="AVP149" s="3"/>
      <c r="AVQ149" s="3"/>
      <c r="AVR149" s="3"/>
      <c r="AVS149" s="3"/>
      <c r="AVT149" s="3"/>
      <c r="AVU149" s="3"/>
      <c r="AVV149" s="3"/>
      <c r="AVW149" s="3"/>
      <c r="AVX149" s="3"/>
      <c r="AVY149" s="3"/>
      <c r="AVZ149" s="3"/>
      <c r="AWA149" s="3"/>
      <c r="AWB149" s="3"/>
      <c r="AWC149" s="3"/>
      <c r="AWD149" s="3"/>
      <c r="AWE149" s="3"/>
      <c r="AWF149" s="3"/>
      <c r="AWG149" s="3"/>
      <c r="AWH149" s="3"/>
      <c r="AWI149" s="3"/>
      <c r="AWJ149" s="3"/>
      <c r="AWK149" s="3"/>
      <c r="AWL149" s="3"/>
      <c r="AWM149" s="3"/>
      <c r="AWN149" s="3"/>
      <c r="AWO149" s="3"/>
      <c r="AWP149" s="3"/>
      <c r="AWQ149" s="3"/>
      <c r="AWR149" s="3"/>
      <c r="AWS149" s="3"/>
      <c r="AWT149" s="3"/>
      <c r="AWU149" s="3"/>
      <c r="AWV149" s="3"/>
      <c r="AWW149" s="3"/>
      <c r="AWX149" s="3"/>
      <c r="AWY149" s="3"/>
      <c r="AWZ149" s="3"/>
      <c r="AXA149" s="3"/>
      <c r="AXB149" s="3"/>
      <c r="AXC149" s="3"/>
      <c r="AXD149" s="3"/>
      <c r="AXE149" s="3"/>
      <c r="AXF149" s="3"/>
      <c r="AXG149" s="3"/>
      <c r="AXH149" s="3"/>
      <c r="AXI149" s="3"/>
      <c r="AXJ149" s="3"/>
      <c r="AXK149" s="3"/>
      <c r="AXL149" s="3"/>
      <c r="AXM149" s="3"/>
      <c r="AXN149" s="3"/>
      <c r="AXO149" s="3"/>
      <c r="AXP149" s="3"/>
      <c r="AXQ149" s="3"/>
      <c r="AXR149" s="3"/>
      <c r="AXS149" s="3"/>
      <c r="AXT149" s="3"/>
      <c r="AXU149" s="3"/>
      <c r="AXV149" s="3"/>
      <c r="AXW149" s="3"/>
      <c r="AXX149" s="3"/>
      <c r="AXY149" s="3"/>
      <c r="AXZ149" s="3"/>
      <c r="AYA149" s="3"/>
      <c r="AYB149" s="3"/>
      <c r="AYC149" s="3"/>
      <c r="AYD149" s="3"/>
      <c r="AYE149" s="3"/>
      <c r="AYF149" s="3"/>
      <c r="AYG149" s="3"/>
      <c r="AYH149" s="3"/>
      <c r="AYI149" s="3"/>
      <c r="AYJ149" s="3"/>
      <c r="AYK149" s="3"/>
      <c r="AYL149" s="3"/>
      <c r="AYM149" s="3"/>
      <c r="AYN149" s="3"/>
      <c r="AYO149" s="3"/>
      <c r="AYP149" s="3"/>
      <c r="AYQ149" s="3"/>
      <c r="AYR149" s="3"/>
      <c r="AYS149" s="3"/>
      <c r="AYT149" s="3"/>
      <c r="AYU149" s="3"/>
      <c r="AYV149" s="3"/>
      <c r="AYW149" s="3"/>
      <c r="AYX149" s="3"/>
      <c r="AYY149" s="3"/>
      <c r="AYZ149" s="3"/>
      <c r="AZA149" s="3"/>
      <c r="AZB149" s="3"/>
      <c r="AZC149" s="3"/>
      <c r="AZD149" s="3"/>
      <c r="AZE149" s="3"/>
      <c r="AZF149" s="3"/>
      <c r="AZG149" s="3"/>
      <c r="AZH149" s="3"/>
      <c r="AZI149" s="3"/>
      <c r="AZJ149" s="3"/>
      <c r="AZK149" s="3"/>
      <c r="AZL149" s="3"/>
      <c r="AZM149" s="3"/>
      <c r="AZN149" s="3"/>
      <c r="AZO149" s="3"/>
      <c r="AZP149" s="3"/>
      <c r="AZQ149" s="3"/>
      <c r="AZR149" s="3"/>
      <c r="AZS149" s="3"/>
      <c r="AZT149" s="3"/>
      <c r="AZU149" s="3"/>
      <c r="AZV149" s="3"/>
      <c r="AZW149" s="3"/>
      <c r="AZX149" s="3"/>
      <c r="AZY149" s="3"/>
      <c r="AZZ149" s="3"/>
      <c r="BAA149" s="3"/>
      <c r="BAB149" s="3"/>
      <c r="BAC149" s="3"/>
      <c r="BAD149" s="3"/>
      <c r="BAE149" s="3"/>
      <c r="BAF149" s="3"/>
      <c r="BAG149" s="3"/>
      <c r="BAH149" s="3"/>
      <c r="BAI149" s="3"/>
      <c r="BAJ149" s="3"/>
      <c r="BAK149" s="3"/>
      <c r="BAL149" s="3"/>
      <c r="BAM149" s="3"/>
      <c r="BAN149" s="3"/>
      <c r="BAO149" s="3"/>
      <c r="BAP149" s="3"/>
      <c r="BAQ149" s="3"/>
      <c r="BAR149" s="3"/>
      <c r="BAS149" s="3"/>
      <c r="BAT149" s="3"/>
      <c r="BAU149" s="3"/>
      <c r="BAV149" s="3"/>
      <c r="BAW149" s="3"/>
      <c r="BAX149" s="3"/>
      <c r="BAY149" s="3"/>
      <c r="BAZ149" s="3"/>
      <c r="BBA149" s="3"/>
      <c r="BBB149" s="3"/>
      <c r="BBC149" s="3"/>
      <c r="BBD149" s="3"/>
      <c r="BBE149" s="3"/>
      <c r="BBF149" s="3"/>
      <c r="BBG149" s="3"/>
      <c r="BBH149" s="3"/>
      <c r="BBI149" s="3"/>
      <c r="BBJ149" s="3"/>
      <c r="BBK149" s="3"/>
      <c r="BBL149" s="3"/>
      <c r="BBM149" s="3"/>
      <c r="BBN149" s="3"/>
      <c r="BBO149" s="3"/>
      <c r="BBP149" s="3"/>
      <c r="BBQ149" s="3"/>
      <c r="BBR149" s="3"/>
      <c r="BBS149" s="3"/>
      <c r="BBT149" s="3"/>
      <c r="BBU149" s="3"/>
      <c r="BBV149" s="3"/>
      <c r="BBW149" s="3"/>
      <c r="BBX149" s="3"/>
      <c r="BBY149" s="3"/>
      <c r="BBZ149" s="3"/>
      <c r="BCA149" s="3"/>
      <c r="BCB149" s="3"/>
      <c r="BCC149" s="3"/>
      <c r="BCD149" s="3"/>
      <c r="BCE149" s="3"/>
      <c r="BCF149" s="3"/>
      <c r="BCG149" s="3"/>
      <c r="BCH149" s="3"/>
      <c r="BCI149" s="3"/>
      <c r="BCJ149" s="3"/>
      <c r="BCK149" s="3"/>
      <c r="BCL149" s="3"/>
      <c r="BCM149" s="3"/>
      <c r="BCN149" s="3"/>
      <c r="BCO149" s="3"/>
      <c r="BCP149" s="3"/>
      <c r="BCQ149" s="3"/>
      <c r="BCR149" s="3"/>
      <c r="BCS149" s="3"/>
      <c r="BCT149" s="3"/>
      <c r="BCU149" s="3"/>
      <c r="BCV149" s="3"/>
      <c r="BCW149" s="3"/>
      <c r="BCX149" s="3"/>
      <c r="BCY149" s="3"/>
      <c r="BCZ149" s="3"/>
      <c r="BDA149" s="3"/>
      <c r="BDB149" s="3"/>
      <c r="BDC149" s="3"/>
      <c r="BDD149" s="3"/>
      <c r="BDE149" s="3"/>
      <c r="BDF149" s="3"/>
      <c r="BDG149" s="3"/>
      <c r="BDH149" s="3"/>
      <c r="BDI149" s="3"/>
      <c r="BDJ149" s="3"/>
      <c r="BDK149" s="3"/>
      <c r="BDL149" s="3"/>
      <c r="BDM149" s="3"/>
      <c r="BDN149" s="3"/>
      <c r="BDO149" s="3"/>
      <c r="BDP149" s="3"/>
      <c r="BDQ149" s="3"/>
      <c r="BDR149" s="3"/>
      <c r="BDS149" s="3"/>
      <c r="BDT149" s="3"/>
      <c r="BDU149" s="3"/>
      <c r="BDV149" s="3"/>
      <c r="BDW149" s="3"/>
      <c r="BDX149" s="3"/>
      <c r="BDY149" s="3"/>
      <c r="BDZ149" s="3"/>
      <c r="BEA149" s="3"/>
      <c r="BEB149" s="3"/>
      <c r="BEC149" s="3"/>
      <c r="BED149" s="3"/>
      <c r="BEE149" s="3"/>
      <c r="BEF149" s="3"/>
      <c r="BEG149" s="3"/>
      <c r="BEH149" s="3"/>
      <c r="BEI149" s="3"/>
      <c r="BEJ149" s="3"/>
      <c r="BEK149" s="3"/>
      <c r="BEL149" s="3"/>
      <c r="BEM149" s="3"/>
      <c r="BEN149" s="3"/>
      <c r="BEO149" s="3"/>
      <c r="BEP149" s="3"/>
      <c r="BEQ149" s="3"/>
      <c r="BER149" s="3"/>
      <c r="BES149" s="3"/>
      <c r="BET149" s="3"/>
      <c r="BEU149" s="3"/>
      <c r="BEV149" s="3"/>
      <c r="BEW149" s="3"/>
      <c r="BEX149" s="3"/>
      <c r="BEY149" s="3"/>
      <c r="BEZ149" s="3"/>
      <c r="BFA149" s="3"/>
      <c r="BFB149" s="3"/>
      <c r="BFC149" s="3"/>
      <c r="BFD149" s="3"/>
      <c r="BFE149" s="3"/>
      <c r="BFF149" s="3"/>
      <c r="BFG149" s="3"/>
      <c r="BFH149" s="3"/>
      <c r="BFI149" s="3"/>
      <c r="BFJ149" s="3"/>
      <c r="BFK149" s="3"/>
      <c r="BFL149" s="3"/>
      <c r="BFM149" s="3"/>
      <c r="BFN149" s="3"/>
      <c r="BFO149" s="3"/>
      <c r="BFP149" s="3"/>
      <c r="BFQ149" s="3"/>
      <c r="BFR149" s="3"/>
      <c r="BFS149" s="3"/>
      <c r="BFT149" s="3"/>
      <c r="BFU149" s="3"/>
      <c r="BFV149" s="3"/>
      <c r="BFW149" s="3"/>
      <c r="BFX149" s="3"/>
      <c r="BFY149" s="3"/>
      <c r="BFZ149" s="3"/>
      <c r="BGA149" s="3"/>
      <c r="BGB149" s="3"/>
      <c r="BGC149" s="3"/>
      <c r="BGD149" s="3"/>
      <c r="BGE149" s="3"/>
      <c r="BGF149" s="3"/>
      <c r="BGG149" s="3"/>
      <c r="BGH149" s="3"/>
      <c r="BGI149" s="3"/>
      <c r="BGJ149" s="3"/>
      <c r="BGK149" s="3"/>
      <c r="BGL149" s="3"/>
      <c r="BGM149" s="3"/>
      <c r="BGN149" s="3"/>
      <c r="BGO149" s="3"/>
      <c r="BGP149" s="3"/>
      <c r="BGQ149" s="3"/>
      <c r="BGR149" s="3"/>
      <c r="BGS149" s="3"/>
      <c r="BGT149" s="3"/>
      <c r="BGU149" s="3"/>
      <c r="BGV149" s="3"/>
      <c r="BGW149" s="3"/>
      <c r="BGX149" s="3"/>
      <c r="BGY149" s="3"/>
      <c r="BGZ149" s="3"/>
      <c r="BHA149" s="3"/>
      <c r="BHB149" s="3"/>
      <c r="BHC149" s="3"/>
      <c r="BHD149" s="3"/>
      <c r="BHE149" s="3"/>
      <c r="BHF149" s="3"/>
      <c r="BHG149" s="3"/>
      <c r="BHH149" s="3"/>
      <c r="BHI149" s="3"/>
      <c r="BHJ149" s="3"/>
      <c r="BHK149" s="3"/>
      <c r="BHL149" s="3"/>
      <c r="BHM149" s="3"/>
      <c r="BHN149" s="3"/>
      <c r="BHO149" s="3"/>
      <c r="BHP149" s="3"/>
      <c r="BHQ149" s="3"/>
      <c r="BHR149" s="3"/>
      <c r="BHS149" s="3"/>
      <c r="BHT149" s="3"/>
      <c r="BHU149" s="3"/>
      <c r="BHV149" s="3"/>
      <c r="BHW149" s="3"/>
      <c r="BHX149" s="3"/>
      <c r="BHY149" s="3"/>
      <c r="BHZ149" s="3"/>
      <c r="BIA149" s="3"/>
      <c r="BIB149" s="3"/>
      <c r="BIC149" s="3"/>
      <c r="BID149" s="3"/>
      <c r="BIE149" s="3"/>
      <c r="BIF149" s="3"/>
      <c r="BIG149" s="3"/>
      <c r="BIH149" s="3"/>
      <c r="BII149" s="3"/>
      <c r="BIJ149" s="3"/>
      <c r="BIK149" s="3"/>
      <c r="BIL149" s="3"/>
      <c r="BIM149" s="3"/>
      <c r="BIN149" s="3"/>
      <c r="BIO149" s="3"/>
      <c r="BIP149" s="3"/>
      <c r="BIQ149" s="3"/>
      <c r="BIR149" s="3"/>
      <c r="BIS149" s="3"/>
      <c r="BIT149" s="3"/>
      <c r="BIU149" s="3"/>
      <c r="BIV149" s="3"/>
      <c r="BIW149" s="3"/>
      <c r="BIX149" s="3"/>
      <c r="BIY149" s="3"/>
      <c r="BIZ149" s="3"/>
      <c r="BJA149" s="3"/>
      <c r="BJB149" s="3"/>
      <c r="BJC149" s="3"/>
      <c r="BJD149" s="3"/>
      <c r="BJE149" s="3"/>
      <c r="BJF149" s="3"/>
      <c r="BJG149" s="3"/>
      <c r="BJH149" s="3"/>
      <c r="BJI149" s="3"/>
      <c r="BJJ149" s="3"/>
      <c r="BJK149" s="3"/>
      <c r="BJL149" s="3"/>
      <c r="BJM149" s="3"/>
      <c r="BJN149" s="3"/>
      <c r="BJO149" s="3"/>
      <c r="BJP149" s="3"/>
      <c r="BJQ149" s="3"/>
      <c r="BJR149" s="3"/>
      <c r="BJS149" s="3"/>
      <c r="BJT149" s="3"/>
      <c r="BJU149" s="3"/>
      <c r="BJV149" s="3"/>
      <c r="BJW149" s="3"/>
      <c r="BJX149" s="3"/>
      <c r="BJY149" s="3"/>
      <c r="BJZ149" s="3"/>
      <c r="BKA149" s="3"/>
      <c r="BKB149" s="3"/>
      <c r="BKC149" s="3"/>
      <c r="BKD149" s="3"/>
      <c r="BKE149" s="3"/>
      <c r="BKF149" s="3"/>
      <c r="BKG149" s="3"/>
      <c r="BKH149" s="3"/>
      <c r="BKI149" s="3"/>
      <c r="BKJ149" s="3"/>
      <c r="BKK149" s="3"/>
      <c r="BKL149" s="3"/>
      <c r="BKM149" s="3"/>
      <c r="BKN149" s="3"/>
      <c r="BKO149" s="3"/>
      <c r="BKP149" s="3"/>
      <c r="BKQ149" s="3"/>
      <c r="BKR149" s="3"/>
      <c r="BKS149" s="3"/>
      <c r="BKT149" s="3"/>
      <c r="BKU149" s="3"/>
      <c r="BKV149" s="3"/>
      <c r="BKW149" s="3"/>
      <c r="BKX149" s="3"/>
      <c r="BKY149" s="3"/>
      <c r="BKZ149" s="3"/>
      <c r="BLA149" s="3"/>
      <c r="BLB149" s="3"/>
      <c r="BLC149" s="3"/>
      <c r="BLD149" s="3"/>
      <c r="BLE149" s="3"/>
      <c r="BLF149" s="3"/>
      <c r="BLG149" s="3"/>
      <c r="BLH149" s="3"/>
      <c r="BLI149" s="3"/>
      <c r="BLJ149" s="3"/>
      <c r="BLK149" s="3"/>
      <c r="BLL149" s="3"/>
      <c r="BLM149" s="3"/>
      <c r="BLN149" s="3"/>
      <c r="BLO149" s="3"/>
      <c r="BLP149" s="3"/>
      <c r="BLQ149" s="3"/>
      <c r="BLR149" s="3"/>
      <c r="BLS149" s="3"/>
      <c r="BLT149" s="3"/>
      <c r="BLU149" s="3"/>
      <c r="BLV149" s="3"/>
      <c r="BLW149" s="3"/>
      <c r="BLX149" s="3"/>
      <c r="BLY149" s="3"/>
      <c r="BLZ149" s="3"/>
      <c r="BMA149" s="3"/>
      <c r="BMB149" s="3"/>
      <c r="BMC149" s="3"/>
      <c r="BMD149" s="3"/>
      <c r="BME149" s="3"/>
      <c r="BMF149" s="3"/>
      <c r="BMG149" s="3"/>
      <c r="BMH149" s="3"/>
      <c r="BMI149" s="3"/>
      <c r="BMJ149" s="3"/>
      <c r="BMK149" s="3"/>
      <c r="BML149" s="3"/>
      <c r="BMM149" s="3"/>
      <c r="BMN149" s="3"/>
      <c r="BMO149" s="3"/>
      <c r="BMP149" s="3"/>
      <c r="BMQ149" s="3"/>
      <c r="BMR149" s="3"/>
      <c r="BMS149" s="3"/>
      <c r="BMT149" s="3"/>
      <c r="BMU149" s="3"/>
      <c r="BMV149" s="3"/>
      <c r="BMW149" s="3"/>
      <c r="BMX149" s="3"/>
      <c r="BMY149" s="3"/>
      <c r="BMZ149" s="3"/>
      <c r="BNA149" s="3"/>
      <c r="BNB149" s="3"/>
      <c r="BNC149" s="3"/>
      <c r="BND149" s="3"/>
      <c r="BNE149" s="3"/>
      <c r="BNF149" s="3"/>
      <c r="BNG149" s="3"/>
      <c r="BNH149" s="3"/>
      <c r="BNI149" s="3"/>
      <c r="BNJ149" s="3"/>
      <c r="BNK149" s="3"/>
      <c r="BNL149" s="3"/>
      <c r="BNM149" s="3"/>
      <c r="BNN149" s="3"/>
      <c r="BNO149" s="3"/>
      <c r="BNP149" s="3"/>
      <c r="BNQ149" s="3"/>
      <c r="BNR149" s="3"/>
      <c r="BNS149" s="3"/>
      <c r="BNT149" s="3"/>
      <c r="BNU149" s="3"/>
      <c r="BNV149" s="3"/>
      <c r="BNW149" s="3"/>
      <c r="BNX149" s="3"/>
      <c r="BNY149" s="3"/>
      <c r="BNZ149" s="3"/>
      <c r="BOA149" s="3"/>
      <c r="BOB149" s="3"/>
      <c r="BOC149" s="3"/>
      <c r="BOD149" s="3"/>
      <c r="BOE149" s="3"/>
      <c r="BOF149" s="3"/>
      <c r="BOG149" s="3"/>
      <c r="BOH149" s="3"/>
      <c r="BOI149" s="3"/>
      <c r="BOJ149" s="3"/>
      <c r="BOK149" s="3"/>
      <c r="BOL149" s="3"/>
      <c r="BOM149" s="3"/>
      <c r="BON149" s="3"/>
      <c r="BOO149" s="3"/>
      <c r="BOP149" s="3"/>
      <c r="BOQ149" s="3"/>
      <c r="BOR149" s="3"/>
      <c r="BOS149" s="3"/>
      <c r="BOT149" s="3"/>
      <c r="BOU149" s="3"/>
      <c r="BOV149" s="3"/>
      <c r="BOW149" s="3"/>
      <c r="BOX149" s="3"/>
      <c r="BOY149" s="3"/>
      <c r="BOZ149" s="3"/>
      <c r="BPA149" s="3"/>
      <c r="BPB149" s="3"/>
      <c r="BPC149" s="3"/>
      <c r="BPD149" s="3"/>
      <c r="BPE149" s="3"/>
      <c r="BPF149" s="3"/>
      <c r="BPG149" s="3"/>
      <c r="BPH149" s="3"/>
      <c r="BPI149" s="3"/>
      <c r="BPJ149" s="3"/>
      <c r="BPK149" s="3"/>
      <c r="BPL149" s="3"/>
      <c r="BPM149" s="3"/>
      <c r="BPN149" s="3"/>
      <c r="BPO149" s="3"/>
      <c r="BPP149" s="3"/>
      <c r="BPQ149" s="3"/>
      <c r="BPR149" s="3"/>
      <c r="BPS149" s="3"/>
      <c r="BPT149" s="3"/>
      <c r="BPU149" s="3"/>
      <c r="BPV149" s="3"/>
      <c r="BPW149" s="3"/>
      <c r="BPX149" s="3"/>
      <c r="BPY149" s="3"/>
      <c r="BPZ149" s="3"/>
      <c r="BQA149" s="3"/>
      <c r="BQB149" s="3"/>
      <c r="BQC149" s="3"/>
      <c r="BQD149" s="3"/>
      <c r="BQE149" s="3"/>
      <c r="BQF149" s="3"/>
      <c r="BQG149" s="3"/>
      <c r="BQH149" s="3"/>
      <c r="BQI149" s="3"/>
      <c r="BQJ149" s="3"/>
      <c r="BQK149" s="3"/>
      <c r="BQL149" s="3"/>
      <c r="BQM149" s="3"/>
      <c r="BQN149" s="3"/>
      <c r="BQO149" s="3"/>
      <c r="BQP149" s="3"/>
      <c r="BQQ149" s="3"/>
      <c r="BQR149" s="3"/>
      <c r="BQS149" s="3"/>
      <c r="BQT149" s="3"/>
      <c r="BQU149" s="3"/>
      <c r="BQV149" s="3"/>
      <c r="BQW149" s="3"/>
      <c r="BQX149" s="3"/>
      <c r="BQY149" s="3"/>
      <c r="BQZ149" s="3"/>
      <c r="BRA149" s="3"/>
      <c r="BRB149" s="3"/>
      <c r="BRC149" s="3"/>
      <c r="BRD149" s="3"/>
      <c r="BRE149" s="3"/>
      <c r="BRF149" s="3"/>
      <c r="BRG149" s="3"/>
      <c r="BRH149" s="3"/>
      <c r="BRI149" s="3"/>
      <c r="BRJ149" s="3"/>
      <c r="BRK149" s="3"/>
      <c r="BRL149" s="3"/>
      <c r="BRM149" s="3"/>
      <c r="BRN149" s="3"/>
      <c r="BRO149" s="3"/>
      <c r="BRP149" s="3"/>
      <c r="BRQ149" s="3"/>
      <c r="BRR149" s="3"/>
      <c r="BRS149" s="3"/>
      <c r="BRT149" s="3"/>
      <c r="BRU149" s="3"/>
      <c r="BRV149" s="3"/>
      <c r="BRW149" s="3"/>
      <c r="BRX149" s="3"/>
      <c r="BRY149" s="3"/>
      <c r="BRZ149" s="3"/>
      <c r="BSA149" s="3"/>
      <c r="BSB149" s="3"/>
      <c r="BSC149" s="3"/>
      <c r="BSD149" s="3"/>
      <c r="BSE149" s="3"/>
      <c r="BSF149" s="3"/>
      <c r="BSG149" s="3"/>
      <c r="BSH149" s="3"/>
      <c r="BSI149" s="3"/>
      <c r="BSJ149" s="3"/>
      <c r="BSK149" s="3"/>
      <c r="BSL149" s="3"/>
      <c r="BSM149" s="3"/>
      <c r="BSN149" s="3"/>
      <c r="BSO149" s="3"/>
      <c r="BSP149" s="3"/>
      <c r="BSQ149" s="3"/>
      <c r="BSR149" s="3"/>
      <c r="BSS149" s="3"/>
      <c r="BST149" s="3"/>
      <c r="BSU149" s="3"/>
      <c r="BSV149" s="3"/>
      <c r="BSW149" s="3"/>
      <c r="BSX149" s="3"/>
      <c r="BSY149" s="3"/>
      <c r="BSZ149" s="3"/>
      <c r="BTA149" s="3"/>
      <c r="BTB149" s="3"/>
      <c r="BTC149" s="3"/>
      <c r="BTD149" s="3"/>
      <c r="BTE149" s="3"/>
      <c r="BTF149" s="3"/>
      <c r="BTG149" s="3"/>
      <c r="BTH149" s="3"/>
      <c r="BTI149" s="3"/>
      <c r="BTJ149" s="3"/>
      <c r="BTK149" s="3"/>
      <c r="BTL149" s="3"/>
      <c r="BTM149" s="3"/>
      <c r="BTN149" s="3"/>
      <c r="BTO149" s="3"/>
      <c r="BTP149" s="3"/>
      <c r="BTQ149" s="3"/>
      <c r="BTR149" s="3"/>
      <c r="BTS149" s="3"/>
      <c r="BTT149" s="3"/>
      <c r="BTU149" s="3"/>
      <c r="BTV149" s="3"/>
      <c r="BTW149" s="3"/>
      <c r="BTX149" s="3"/>
      <c r="BTY149" s="3"/>
      <c r="BTZ149" s="3"/>
      <c r="BUA149" s="3"/>
      <c r="BUB149" s="3"/>
      <c r="BUC149" s="3"/>
      <c r="BUD149" s="3"/>
      <c r="BUE149" s="3"/>
      <c r="BUF149" s="3"/>
      <c r="BUG149" s="3"/>
      <c r="BUH149" s="3"/>
      <c r="BUI149" s="3"/>
      <c r="BUJ149" s="3"/>
      <c r="BUK149" s="3"/>
      <c r="BUL149" s="3"/>
      <c r="BUM149" s="3"/>
      <c r="BUN149" s="3"/>
      <c r="BUO149" s="3"/>
      <c r="BUP149" s="3"/>
      <c r="BUQ149" s="3"/>
      <c r="BUR149" s="3"/>
      <c r="BUS149" s="3"/>
      <c r="BUT149" s="3"/>
      <c r="BUU149" s="3"/>
      <c r="BUV149" s="3"/>
      <c r="BUW149" s="3"/>
      <c r="BUX149" s="3"/>
      <c r="BUY149" s="3"/>
      <c r="BUZ149" s="3"/>
      <c r="BVA149" s="3"/>
      <c r="BVB149" s="3"/>
      <c r="BVC149" s="3"/>
      <c r="BVD149" s="3"/>
      <c r="BVE149" s="3"/>
      <c r="BVF149" s="3"/>
      <c r="BVG149" s="3"/>
      <c r="BVH149" s="3"/>
      <c r="BVI149" s="3"/>
      <c r="BVJ149" s="3"/>
      <c r="BVK149" s="3"/>
      <c r="BVL149" s="3"/>
      <c r="BVM149" s="3"/>
      <c r="BVN149" s="3"/>
      <c r="BVO149" s="3"/>
      <c r="BVP149" s="3"/>
      <c r="BVQ149" s="3"/>
      <c r="BVR149" s="3"/>
      <c r="BVS149" s="3"/>
      <c r="BVT149" s="3"/>
      <c r="BVU149" s="3"/>
      <c r="BVV149" s="3"/>
      <c r="BVW149" s="3"/>
      <c r="BVX149" s="3"/>
      <c r="BVY149" s="3"/>
      <c r="BVZ149" s="3"/>
      <c r="BWA149" s="3"/>
      <c r="BWB149" s="3"/>
      <c r="BWC149" s="3"/>
      <c r="BWD149" s="3"/>
      <c r="BWE149" s="3"/>
      <c r="BWF149" s="3"/>
      <c r="BWG149" s="3"/>
      <c r="BWH149" s="3"/>
      <c r="BWI149" s="3"/>
      <c r="BWJ149" s="3"/>
      <c r="BWK149" s="3"/>
      <c r="BWL149" s="3"/>
      <c r="BWM149" s="3"/>
      <c r="BWN149" s="3"/>
      <c r="BWO149" s="3"/>
      <c r="BWP149" s="3"/>
      <c r="BWQ149" s="3"/>
      <c r="BWR149" s="3"/>
      <c r="BWS149" s="3"/>
      <c r="BWT149" s="3"/>
      <c r="BWU149" s="3"/>
      <c r="BWV149" s="3"/>
      <c r="BWW149" s="3"/>
      <c r="BWX149" s="3"/>
      <c r="BWY149" s="3"/>
      <c r="BWZ149" s="3"/>
      <c r="BXA149" s="3"/>
      <c r="BXB149" s="3"/>
      <c r="BXC149" s="3"/>
      <c r="BXD149" s="3"/>
      <c r="BXE149" s="3"/>
      <c r="BXF149" s="3"/>
      <c r="BXG149" s="3"/>
      <c r="BXH149" s="3"/>
      <c r="BXI149" s="3"/>
      <c r="BXJ149" s="3"/>
      <c r="BXK149" s="3"/>
      <c r="BXL149" s="3"/>
      <c r="BXM149" s="3"/>
      <c r="BXN149" s="3"/>
      <c r="BXO149" s="3"/>
      <c r="BXP149" s="3"/>
      <c r="BXQ149" s="3"/>
      <c r="BXR149" s="3"/>
      <c r="BXS149" s="3"/>
      <c r="BXT149" s="3"/>
      <c r="BXU149" s="3"/>
      <c r="BXV149" s="3"/>
      <c r="BXW149" s="3"/>
      <c r="BXX149" s="3"/>
      <c r="BXY149" s="3"/>
      <c r="BXZ149" s="3"/>
      <c r="BYA149" s="3"/>
      <c r="BYB149" s="3"/>
      <c r="BYC149" s="3"/>
      <c r="BYD149" s="3"/>
      <c r="BYE149" s="3"/>
      <c r="BYF149" s="3"/>
      <c r="BYG149" s="3"/>
      <c r="BYH149" s="3"/>
      <c r="BYI149" s="3"/>
      <c r="BYJ149" s="3"/>
      <c r="BYK149" s="3"/>
      <c r="BYL149" s="3"/>
      <c r="BYM149" s="3"/>
      <c r="BYN149" s="3"/>
      <c r="BYO149" s="3"/>
      <c r="BYP149" s="3"/>
      <c r="BYQ149" s="3"/>
      <c r="BYR149" s="3"/>
      <c r="BYS149" s="3"/>
      <c r="BYT149" s="3"/>
      <c r="BYU149" s="3"/>
      <c r="BYV149" s="3"/>
      <c r="BYW149" s="3"/>
      <c r="BYX149" s="3"/>
      <c r="BYY149" s="3"/>
      <c r="BYZ149" s="3"/>
      <c r="BZA149" s="3"/>
      <c r="BZB149" s="3"/>
      <c r="BZC149" s="3"/>
      <c r="BZD149" s="3"/>
      <c r="BZE149" s="3"/>
      <c r="BZF149" s="3"/>
      <c r="BZG149" s="3"/>
      <c r="BZH149" s="3"/>
      <c r="BZI149" s="3"/>
      <c r="BZJ149" s="3"/>
      <c r="BZK149" s="3"/>
      <c r="BZL149" s="3"/>
      <c r="BZM149" s="3"/>
      <c r="BZN149" s="3"/>
      <c r="BZO149" s="3"/>
      <c r="BZP149" s="3"/>
      <c r="BZQ149" s="3"/>
      <c r="BZR149" s="3"/>
      <c r="BZS149" s="3"/>
      <c r="BZT149" s="3"/>
      <c r="BZU149" s="3"/>
      <c r="BZV149" s="3"/>
      <c r="BZW149" s="3"/>
      <c r="BZX149" s="3"/>
      <c r="BZY149" s="3"/>
      <c r="BZZ149" s="3"/>
      <c r="CAA149" s="3"/>
      <c r="CAB149" s="3"/>
      <c r="CAC149" s="3"/>
      <c r="CAD149" s="3"/>
      <c r="CAE149" s="3"/>
      <c r="CAF149" s="3"/>
      <c r="CAG149" s="3"/>
      <c r="CAH149" s="3"/>
      <c r="CAI149" s="3"/>
      <c r="CAJ149" s="3"/>
      <c r="CAK149" s="3"/>
      <c r="CAL149" s="3"/>
      <c r="CAM149" s="3"/>
      <c r="CAN149" s="3"/>
      <c r="CAO149" s="3"/>
      <c r="CAP149" s="3"/>
      <c r="CAQ149" s="3"/>
      <c r="CAR149" s="3"/>
      <c r="CAS149" s="3"/>
      <c r="CAT149" s="3"/>
      <c r="CAU149" s="3"/>
      <c r="CAV149" s="3"/>
      <c r="CAW149" s="3"/>
      <c r="CAX149" s="3"/>
      <c r="CAY149" s="3"/>
      <c r="CAZ149" s="3"/>
      <c r="CBA149" s="3"/>
      <c r="CBB149" s="3"/>
      <c r="CBC149" s="3"/>
      <c r="CBD149" s="3"/>
      <c r="CBE149" s="3"/>
      <c r="CBF149" s="3"/>
      <c r="CBG149" s="3"/>
      <c r="CBH149" s="3"/>
      <c r="CBI149" s="3"/>
      <c r="CBJ149" s="3"/>
      <c r="CBK149" s="3"/>
      <c r="CBL149" s="3"/>
      <c r="CBM149" s="3"/>
      <c r="CBN149" s="3"/>
      <c r="CBO149" s="3"/>
      <c r="CBP149" s="3"/>
      <c r="CBQ149" s="3"/>
      <c r="CBR149" s="3"/>
      <c r="CBS149" s="3"/>
      <c r="CBT149" s="3"/>
      <c r="CBU149" s="3"/>
      <c r="CBV149" s="3"/>
      <c r="CBW149" s="3"/>
      <c r="CBX149" s="3"/>
      <c r="CBY149" s="3"/>
      <c r="CBZ149" s="3"/>
      <c r="CCA149" s="3"/>
      <c r="CCB149" s="3"/>
      <c r="CCC149" s="3"/>
      <c r="CCD149" s="3"/>
      <c r="CCE149" s="3"/>
      <c r="CCF149" s="3"/>
      <c r="CCG149" s="3"/>
      <c r="CCH149" s="3"/>
      <c r="CCI149" s="3"/>
      <c r="CCJ149" s="3"/>
      <c r="CCK149" s="3"/>
      <c r="CCL149" s="3"/>
      <c r="CCM149" s="3"/>
      <c r="CCN149" s="3"/>
      <c r="CCO149" s="3"/>
      <c r="CCP149" s="3"/>
      <c r="CCQ149" s="3"/>
      <c r="CCR149" s="3"/>
      <c r="CCS149" s="3"/>
      <c r="CCT149" s="3"/>
      <c r="CCU149" s="3"/>
      <c r="CCV149" s="3"/>
      <c r="CCW149" s="3"/>
      <c r="CCX149" s="3"/>
      <c r="CCY149" s="3"/>
      <c r="CCZ149" s="3"/>
      <c r="CDA149" s="3"/>
      <c r="CDB149" s="3"/>
      <c r="CDC149" s="3"/>
      <c r="CDD149" s="3"/>
      <c r="CDE149" s="3"/>
      <c r="CDF149" s="3"/>
      <c r="CDG149" s="3"/>
      <c r="CDH149" s="3"/>
      <c r="CDI149" s="3"/>
      <c r="CDJ149" s="3"/>
      <c r="CDK149" s="3"/>
      <c r="CDL149" s="3"/>
      <c r="CDM149" s="3"/>
      <c r="CDN149" s="3"/>
      <c r="CDO149" s="3"/>
      <c r="CDP149" s="3"/>
      <c r="CDQ149" s="3"/>
      <c r="CDR149" s="3"/>
      <c r="CDS149" s="3"/>
      <c r="CDT149" s="3"/>
      <c r="CDU149" s="3"/>
      <c r="CDV149" s="3"/>
      <c r="CDW149" s="3"/>
      <c r="CDX149" s="3"/>
      <c r="CDY149" s="3"/>
      <c r="CDZ149" s="3"/>
      <c r="CEA149" s="3"/>
      <c r="CEB149" s="3"/>
      <c r="CEC149" s="3"/>
      <c r="CED149" s="3"/>
      <c r="CEE149" s="3"/>
      <c r="CEF149" s="3"/>
      <c r="CEG149" s="3"/>
      <c r="CEH149" s="3"/>
      <c r="CEI149" s="3"/>
      <c r="CEJ149" s="3"/>
      <c r="CEK149" s="3"/>
      <c r="CEL149" s="3"/>
      <c r="CEM149" s="3"/>
      <c r="CEN149" s="3"/>
      <c r="CEO149" s="3"/>
      <c r="CEP149" s="3"/>
      <c r="CEQ149" s="3"/>
      <c r="CER149" s="3"/>
      <c r="CES149" s="3"/>
      <c r="CET149" s="3"/>
      <c r="CEU149" s="3"/>
      <c r="CEV149" s="3"/>
      <c r="CEW149" s="3"/>
      <c r="CEX149" s="3"/>
      <c r="CEY149" s="3"/>
      <c r="CEZ149" s="3"/>
      <c r="CFA149" s="3"/>
      <c r="CFB149" s="3"/>
      <c r="CFC149" s="3"/>
      <c r="CFD149" s="3"/>
      <c r="CFE149" s="3"/>
      <c r="CFF149" s="3"/>
      <c r="CFG149" s="3"/>
      <c r="CFH149" s="3"/>
      <c r="CFI149" s="3"/>
      <c r="CFJ149" s="3"/>
      <c r="CFK149" s="3"/>
      <c r="CFL149" s="3"/>
      <c r="CFM149" s="3"/>
      <c r="CFN149" s="3"/>
      <c r="CFO149" s="3"/>
      <c r="CFP149" s="3"/>
      <c r="CFQ149" s="3"/>
      <c r="CFR149" s="3"/>
      <c r="CFS149" s="3"/>
      <c r="CFT149" s="3"/>
      <c r="CFU149" s="3"/>
      <c r="CFV149" s="3"/>
      <c r="CFW149" s="3"/>
      <c r="CFX149" s="3"/>
      <c r="CFY149" s="3"/>
      <c r="CFZ149" s="3"/>
      <c r="CGA149" s="3"/>
      <c r="CGB149" s="3"/>
      <c r="CGC149" s="3"/>
      <c r="CGD149" s="3"/>
      <c r="CGE149" s="3"/>
      <c r="CGF149" s="3"/>
      <c r="CGG149" s="3"/>
      <c r="CGH149" s="3"/>
      <c r="CGI149" s="3"/>
      <c r="CGJ149" s="3"/>
      <c r="CGK149" s="3"/>
      <c r="CGL149" s="3"/>
      <c r="CGM149" s="3"/>
      <c r="CGN149" s="3"/>
      <c r="CGO149" s="3"/>
      <c r="CGP149" s="3"/>
      <c r="CGQ149" s="3"/>
      <c r="CGR149" s="3"/>
      <c r="CGS149" s="3"/>
      <c r="CGT149" s="3"/>
      <c r="CGU149" s="3"/>
      <c r="CGV149" s="3"/>
      <c r="CGW149" s="3"/>
      <c r="CGX149" s="3"/>
      <c r="CGY149" s="3"/>
      <c r="CGZ149" s="3"/>
      <c r="CHA149" s="3"/>
      <c r="CHB149" s="3"/>
      <c r="CHC149" s="3"/>
      <c r="CHD149" s="3"/>
      <c r="CHE149" s="3"/>
      <c r="CHF149" s="3"/>
      <c r="CHG149" s="3"/>
      <c r="CHH149" s="3"/>
      <c r="CHI149" s="3"/>
      <c r="CHJ149" s="3"/>
      <c r="CHK149" s="3"/>
      <c r="CHL149" s="3"/>
      <c r="CHM149" s="3"/>
      <c r="CHN149" s="3"/>
      <c r="CHO149" s="3"/>
      <c r="CHP149" s="3"/>
      <c r="CHQ149" s="3"/>
      <c r="CHR149" s="3"/>
      <c r="CHS149" s="3"/>
      <c r="CHT149" s="3"/>
      <c r="CHU149" s="3"/>
      <c r="CHV149" s="3"/>
      <c r="CHW149" s="3"/>
      <c r="CHX149" s="3"/>
      <c r="CHY149" s="3"/>
      <c r="CHZ149" s="3"/>
      <c r="CIA149" s="3"/>
      <c r="CIB149" s="3"/>
      <c r="CIC149" s="3"/>
      <c r="CID149" s="3"/>
      <c r="CIE149" s="3"/>
      <c r="CIF149" s="3"/>
      <c r="CIG149" s="3"/>
      <c r="CIH149" s="3"/>
      <c r="CII149" s="3"/>
      <c r="CIJ149" s="3"/>
      <c r="CIK149" s="3"/>
      <c r="CIL149" s="3"/>
      <c r="CIM149" s="3"/>
      <c r="CIN149" s="3"/>
      <c r="CIO149" s="3"/>
      <c r="CIP149" s="3"/>
      <c r="CIQ149" s="3"/>
      <c r="CIR149" s="3"/>
      <c r="CIS149" s="3"/>
      <c r="CIT149" s="3"/>
      <c r="CIU149" s="3"/>
      <c r="CIV149" s="3"/>
      <c r="CIW149" s="3"/>
      <c r="CIX149" s="3"/>
      <c r="CIY149" s="3"/>
      <c r="CIZ149" s="3"/>
      <c r="CJA149" s="3"/>
      <c r="CJB149" s="3"/>
      <c r="CJC149" s="3"/>
      <c r="CJD149" s="3"/>
      <c r="CJE149" s="3"/>
      <c r="CJF149" s="3"/>
      <c r="CJG149" s="3"/>
      <c r="CJH149" s="3"/>
      <c r="CJI149" s="3"/>
      <c r="CJJ149" s="3"/>
      <c r="CJK149" s="3"/>
      <c r="CJL149" s="3"/>
      <c r="CJM149" s="3"/>
      <c r="CJN149" s="3"/>
      <c r="CJO149" s="3"/>
      <c r="CJP149" s="3"/>
      <c r="CJQ149" s="3"/>
      <c r="CJR149" s="3"/>
      <c r="CJS149" s="3"/>
      <c r="CJT149" s="3"/>
      <c r="CJU149" s="3"/>
      <c r="CJV149" s="3"/>
      <c r="CJW149" s="3"/>
      <c r="CJX149" s="3"/>
      <c r="CJY149" s="3"/>
      <c r="CJZ149" s="3"/>
      <c r="CKA149" s="3"/>
      <c r="CKB149" s="3"/>
      <c r="CKC149" s="3"/>
      <c r="CKD149" s="3"/>
      <c r="CKE149" s="3"/>
      <c r="CKF149" s="3"/>
      <c r="CKG149" s="3"/>
      <c r="CKH149" s="3"/>
      <c r="CKI149" s="3"/>
      <c r="CKJ149" s="3"/>
      <c r="CKK149" s="3"/>
      <c r="CKL149" s="3"/>
      <c r="CKM149" s="3"/>
      <c r="CKN149" s="3"/>
      <c r="CKO149" s="3"/>
      <c r="CKP149" s="3"/>
      <c r="CKQ149" s="3"/>
      <c r="CKR149" s="3"/>
      <c r="CKS149" s="3"/>
      <c r="CKT149" s="3"/>
      <c r="CKU149" s="3"/>
      <c r="CKV149" s="3"/>
      <c r="CKW149" s="3"/>
      <c r="CKX149" s="3"/>
      <c r="CKY149" s="3"/>
      <c r="CKZ149" s="3"/>
      <c r="CLA149" s="3"/>
      <c r="CLB149" s="3"/>
      <c r="CLC149" s="3"/>
      <c r="CLD149" s="3"/>
      <c r="CLE149" s="3"/>
      <c r="CLF149" s="3"/>
      <c r="CLG149" s="3"/>
      <c r="CLH149" s="3"/>
      <c r="CLI149" s="3"/>
      <c r="CLJ149" s="3"/>
      <c r="CLK149" s="3"/>
      <c r="CLL149" s="3"/>
      <c r="CLM149" s="3"/>
      <c r="CLN149" s="3"/>
      <c r="CLO149" s="3"/>
      <c r="CLP149" s="3"/>
      <c r="CLQ149" s="3"/>
      <c r="CLR149" s="3"/>
      <c r="CLS149" s="3"/>
      <c r="CLT149" s="3"/>
      <c r="CLU149" s="3"/>
      <c r="CLV149" s="3"/>
      <c r="CLW149" s="3"/>
      <c r="CLX149" s="3"/>
      <c r="CLY149" s="3"/>
      <c r="CLZ149" s="3"/>
      <c r="CMA149" s="3"/>
      <c r="CMB149" s="3"/>
      <c r="CMC149" s="3"/>
      <c r="CMD149" s="3"/>
      <c r="CME149" s="3"/>
      <c r="CMF149" s="3"/>
      <c r="CMG149" s="3"/>
      <c r="CMH149" s="3"/>
      <c r="CMI149" s="3"/>
      <c r="CMJ149" s="3"/>
      <c r="CMK149" s="3"/>
      <c r="CML149" s="3"/>
      <c r="CMM149" s="3"/>
      <c r="CMN149" s="3"/>
      <c r="CMO149" s="3"/>
      <c r="CMP149" s="3"/>
      <c r="CMQ149" s="3"/>
      <c r="CMR149" s="3"/>
      <c r="CMS149" s="3"/>
      <c r="CMT149" s="3"/>
      <c r="CMU149" s="3"/>
      <c r="CMV149" s="3"/>
      <c r="CMW149" s="3"/>
      <c r="CMX149" s="3"/>
      <c r="CMY149" s="3"/>
      <c r="CMZ149" s="3"/>
      <c r="CNA149" s="3"/>
      <c r="CNB149" s="3"/>
      <c r="CNC149" s="3"/>
      <c r="CND149" s="3"/>
      <c r="CNE149" s="3"/>
      <c r="CNF149" s="3"/>
      <c r="CNG149" s="3"/>
      <c r="CNH149" s="3"/>
      <c r="CNI149" s="3"/>
      <c r="CNJ149" s="3"/>
      <c r="CNK149" s="3"/>
      <c r="CNL149" s="3"/>
      <c r="CNM149" s="3"/>
      <c r="CNN149" s="3"/>
      <c r="CNO149" s="3"/>
      <c r="CNP149" s="3"/>
      <c r="CNQ149" s="3"/>
      <c r="CNR149" s="3"/>
      <c r="CNS149" s="3"/>
      <c r="CNT149" s="3"/>
      <c r="CNU149" s="3"/>
      <c r="CNV149" s="3"/>
      <c r="CNW149" s="3"/>
      <c r="CNX149" s="3"/>
      <c r="CNY149" s="3"/>
      <c r="CNZ149" s="3"/>
      <c r="COA149" s="3"/>
      <c r="COB149" s="3"/>
      <c r="COC149" s="3"/>
      <c r="COD149" s="3"/>
      <c r="COE149" s="3"/>
      <c r="COF149" s="3"/>
      <c r="COG149" s="3"/>
      <c r="COH149" s="3"/>
      <c r="COI149" s="3"/>
      <c r="COJ149" s="3"/>
      <c r="COK149" s="3"/>
      <c r="COL149" s="3"/>
      <c r="COM149" s="3"/>
      <c r="CON149" s="3"/>
      <c r="COO149" s="3"/>
      <c r="COP149" s="3"/>
      <c r="COQ149" s="3"/>
      <c r="COR149" s="3"/>
      <c r="COS149" s="3"/>
      <c r="COT149" s="3"/>
      <c r="COU149" s="3"/>
      <c r="COV149" s="3"/>
      <c r="COW149" s="3"/>
      <c r="COX149" s="3"/>
      <c r="COY149" s="3"/>
      <c r="COZ149" s="3"/>
      <c r="CPA149" s="3"/>
      <c r="CPB149" s="3"/>
      <c r="CPC149" s="3"/>
      <c r="CPD149" s="3"/>
      <c r="CPE149" s="3"/>
      <c r="CPF149" s="3"/>
      <c r="CPG149" s="3"/>
      <c r="CPH149" s="3"/>
      <c r="CPI149" s="3"/>
      <c r="CPJ149" s="3"/>
      <c r="CPK149" s="3"/>
      <c r="CPL149" s="3"/>
      <c r="CPM149" s="3"/>
      <c r="CPN149" s="3"/>
      <c r="CPO149" s="3"/>
      <c r="CPP149" s="3"/>
      <c r="CPQ149" s="3"/>
      <c r="CPR149" s="3"/>
      <c r="CPS149" s="3"/>
      <c r="CPT149" s="3"/>
      <c r="CPU149" s="3"/>
      <c r="CPV149" s="3"/>
      <c r="CPW149" s="3"/>
      <c r="CPX149" s="3"/>
      <c r="CPY149" s="3"/>
      <c r="CPZ149" s="3"/>
      <c r="CQA149" s="3"/>
      <c r="CQB149" s="3"/>
      <c r="CQC149" s="3"/>
      <c r="CQD149" s="3"/>
      <c r="CQE149" s="3"/>
      <c r="CQF149" s="3"/>
      <c r="CQG149" s="3"/>
      <c r="CQH149" s="3"/>
      <c r="CQI149" s="3"/>
      <c r="CQJ149" s="3"/>
      <c r="CQK149" s="3"/>
      <c r="CQL149" s="3"/>
      <c r="CQM149" s="3"/>
      <c r="CQN149" s="3"/>
      <c r="CQO149" s="3"/>
      <c r="CQP149" s="3"/>
      <c r="CQQ149" s="3"/>
      <c r="CQR149" s="3"/>
      <c r="CQS149" s="3"/>
      <c r="CQT149" s="3"/>
      <c r="CQU149" s="3"/>
      <c r="CQV149" s="3"/>
      <c r="CQW149" s="3"/>
      <c r="CQX149" s="3"/>
      <c r="CQY149" s="3"/>
      <c r="CQZ149" s="3"/>
      <c r="CRA149" s="3"/>
      <c r="CRB149" s="3"/>
      <c r="CRC149" s="3"/>
      <c r="CRD149" s="3"/>
      <c r="CRE149" s="3"/>
      <c r="CRF149" s="3"/>
      <c r="CRG149" s="3"/>
      <c r="CRH149" s="3"/>
      <c r="CRI149" s="3"/>
      <c r="CRJ149" s="3"/>
      <c r="CRK149" s="3"/>
      <c r="CRL149" s="3"/>
      <c r="CRM149" s="3"/>
      <c r="CRN149" s="3"/>
      <c r="CRO149" s="3"/>
      <c r="CRP149" s="3"/>
      <c r="CRQ149" s="3"/>
      <c r="CRR149" s="3"/>
      <c r="CRS149" s="3"/>
      <c r="CRT149" s="3"/>
      <c r="CRU149" s="3"/>
      <c r="CRV149" s="3"/>
      <c r="CRW149" s="3"/>
      <c r="CRX149" s="3"/>
      <c r="CRY149" s="3"/>
      <c r="CRZ149" s="3"/>
      <c r="CSA149" s="3"/>
      <c r="CSB149" s="3"/>
      <c r="CSC149" s="3"/>
      <c r="CSD149" s="3"/>
      <c r="CSE149" s="3"/>
      <c r="CSF149" s="3"/>
      <c r="CSG149" s="3"/>
      <c r="CSH149" s="3"/>
      <c r="CSI149" s="3"/>
      <c r="CSJ149" s="3"/>
      <c r="CSK149" s="3"/>
      <c r="CSL149" s="3"/>
      <c r="CSM149" s="3"/>
      <c r="CSN149" s="3"/>
      <c r="CSO149" s="3"/>
      <c r="CSP149" s="3"/>
      <c r="CSQ149" s="3"/>
      <c r="CSR149" s="3"/>
      <c r="CSS149" s="3"/>
      <c r="CST149" s="3"/>
      <c r="CSU149" s="3"/>
      <c r="CSV149" s="3"/>
      <c r="CSW149" s="3"/>
      <c r="CSX149" s="3"/>
      <c r="CSY149" s="3"/>
      <c r="CSZ149" s="3"/>
      <c r="CTA149" s="3"/>
      <c r="CTB149" s="3"/>
      <c r="CTC149" s="3"/>
      <c r="CTD149" s="3"/>
      <c r="CTE149" s="3"/>
      <c r="CTF149" s="3"/>
      <c r="CTG149" s="3"/>
      <c r="CTH149" s="3"/>
      <c r="CTI149" s="3"/>
      <c r="CTJ149" s="3"/>
      <c r="CTK149" s="3"/>
      <c r="CTL149" s="3"/>
      <c r="CTM149" s="3"/>
      <c r="CTN149" s="3"/>
      <c r="CTO149" s="3"/>
      <c r="CTP149" s="3"/>
      <c r="CTQ149" s="3"/>
      <c r="CTR149" s="3"/>
      <c r="CTS149" s="3"/>
      <c r="CTT149" s="3"/>
      <c r="CTU149" s="3"/>
      <c r="CTV149" s="3"/>
      <c r="CTW149" s="3"/>
      <c r="CTX149" s="3"/>
      <c r="CTY149" s="3"/>
      <c r="CTZ149" s="3"/>
      <c r="CUA149" s="3"/>
      <c r="CUB149" s="3"/>
      <c r="CUC149" s="3"/>
      <c r="CUD149" s="3"/>
      <c r="CUE149" s="3"/>
      <c r="CUF149" s="3"/>
      <c r="CUG149" s="3"/>
      <c r="CUH149" s="3"/>
      <c r="CUI149" s="3"/>
      <c r="CUJ149" s="3"/>
      <c r="CUK149" s="3"/>
      <c r="CUL149" s="3"/>
      <c r="CUM149" s="3"/>
      <c r="CUN149" s="3"/>
      <c r="CUO149" s="3"/>
      <c r="CUP149" s="3"/>
      <c r="CUQ149" s="3"/>
      <c r="CUR149" s="3"/>
      <c r="CUS149" s="3"/>
      <c r="CUT149" s="3"/>
      <c r="CUU149" s="3"/>
      <c r="CUV149" s="3"/>
      <c r="CUW149" s="3"/>
      <c r="CUX149" s="3"/>
      <c r="CUY149" s="3"/>
      <c r="CUZ149" s="3"/>
      <c r="CVA149" s="3"/>
      <c r="CVB149" s="3"/>
      <c r="CVC149" s="3"/>
      <c r="CVD149" s="3"/>
      <c r="CVE149" s="3"/>
      <c r="CVF149" s="3"/>
      <c r="CVG149" s="3"/>
      <c r="CVH149" s="3"/>
      <c r="CVI149" s="3"/>
      <c r="CVJ149" s="3"/>
      <c r="CVK149" s="3"/>
      <c r="CVL149" s="3"/>
      <c r="CVM149" s="3"/>
      <c r="CVN149" s="3"/>
      <c r="CVO149" s="3"/>
      <c r="CVP149" s="3"/>
      <c r="CVQ149" s="3"/>
      <c r="CVR149" s="3"/>
      <c r="CVS149" s="3"/>
      <c r="CVT149" s="3"/>
      <c r="CVU149" s="3"/>
      <c r="CVV149" s="3"/>
      <c r="CVW149" s="3"/>
      <c r="CVX149" s="3"/>
      <c r="CVY149" s="3"/>
      <c r="CVZ149" s="3"/>
      <c r="CWA149" s="3"/>
      <c r="CWB149" s="3"/>
      <c r="CWC149" s="3"/>
      <c r="CWD149" s="3"/>
      <c r="CWE149" s="3"/>
      <c r="CWF149" s="3"/>
      <c r="CWG149" s="3"/>
      <c r="CWH149" s="3"/>
      <c r="CWI149" s="3"/>
      <c r="CWJ149" s="3"/>
      <c r="CWK149" s="3"/>
      <c r="CWL149" s="3"/>
      <c r="CWM149" s="3"/>
      <c r="CWN149" s="3"/>
      <c r="CWO149" s="3"/>
      <c r="CWP149" s="3"/>
      <c r="CWQ149" s="3"/>
      <c r="CWR149" s="3"/>
      <c r="CWS149" s="3"/>
      <c r="CWT149" s="3"/>
      <c r="CWU149" s="3"/>
      <c r="CWV149" s="3"/>
      <c r="CWW149" s="3"/>
      <c r="CWX149" s="3"/>
      <c r="CWY149" s="3"/>
      <c r="CWZ149" s="3"/>
      <c r="CXA149" s="3"/>
      <c r="CXB149" s="3"/>
      <c r="CXC149" s="3"/>
      <c r="CXD149" s="3"/>
      <c r="CXE149" s="3"/>
      <c r="CXF149" s="3"/>
      <c r="CXG149" s="3"/>
      <c r="CXH149" s="3"/>
      <c r="CXI149" s="3"/>
      <c r="CXJ149" s="3"/>
      <c r="CXK149" s="3"/>
      <c r="CXL149" s="3"/>
      <c r="CXM149" s="3"/>
      <c r="CXN149" s="3"/>
      <c r="CXO149" s="3"/>
      <c r="CXP149" s="3"/>
      <c r="CXQ149" s="3"/>
      <c r="CXR149" s="3"/>
      <c r="CXS149" s="3"/>
      <c r="CXT149" s="3"/>
      <c r="CXU149" s="3"/>
      <c r="CXV149" s="3"/>
      <c r="CXW149" s="3"/>
      <c r="CXX149" s="3"/>
      <c r="CXY149" s="3"/>
      <c r="CXZ149" s="3"/>
      <c r="CYA149" s="3"/>
      <c r="CYB149" s="3"/>
      <c r="CYC149" s="3"/>
      <c r="CYD149" s="3"/>
      <c r="CYE149" s="3"/>
      <c r="CYF149" s="3"/>
      <c r="CYG149" s="3"/>
      <c r="CYH149" s="3"/>
      <c r="CYI149" s="3"/>
      <c r="CYJ149" s="3"/>
      <c r="CYK149" s="3"/>
      <c r="CYL149" s="3"/>
      <c r="CYM149" s="3"/>
      <c r="CYN149" s="3"/>
      <c r="CYO149" s="3"/>
      <c r="CYP149" s="3"/>
      <c r="CYQ149" s="3"/>
      <c r="CYR149" s="3"/>
      <c r="CYS149" s="3"/>
      <c r="CYT149" s="3"/>
      <c r="CYU149" s="3"/>
      <c r="CYV149" s="3"/>
      <c r="CYW149" s="3"/>
      <c r="CYX149" s="3"/>
      <c r="CYY149" s="3"/>
      <c r="CYZ149" s="3"/>
      <c r="CZA149" s="3"/>
      <c r="CZB149" s="3"/>
      <c r="CZC149" s="3"/>
      <c r="CZD149" s="3"/>
      <c r="CZE149" s="3"/>
      <c r="CZF149" s="3"/>
      <c r="CZG149" s="3"/>
      <c r="CZH149" s="3"/>
      <c r="CZI149" s="3"/>
      <c r="CZJ149" s="3"/>
      <c r="CZK149" s="3"/>
      <c r="CZL149" s="3"/>
      <c r="CZM149" s="3"/>
      <c r="CZN149" s="3"/>
      <c r="CZO149" s="3"/>
      <c r="CZP149" s="3"/>
      <c r="CZQ149" s="3"/>
      <c r="CZR149" s="3"/>
      <c r="CZS149" s="3"/>
      <c r="CZT149" s="3"/>
      <c r="CZU149" s="3"/>
      <c r="CZV149" s="3"/>
      <c r="CZW149" s="3"/>
      <c r="CZX149" s="3"/>
      <c r="CZY149" s="3"/>
      <c r="CZZ149" s="3"/>
      <c r="DAA149" s="3"/>
      <c r="DAB149" s="3"/>
      <c r="DAC149" s="3"/>
      <c r="DAD149" s="3"/>
      <c r="DAE149" s="3"/>
      <c r="DAF149" s="3"/>
      <c r="DAG149" s="3"/>
      <c r="DAH149" s="3"/>
      <c r="DAI149" s="3"/>
      <c r="DAJ149" s="3"/>
      <c r="DAK149" s="3"/>
      <c r="DAL149" s="3"/>
      <c r="DAM149" s="3"/>
      <c r="DAN149" s="3"/>
      <c r="DAO149" s="3"/>
      <c r="DAP149" s="3"/>
      <c r="DAQ149" s="3"/>
      <c r="DAR149" s="3"/>
      <c r="DAS149" s="3"/>
      <c r="DAT149" s="3"/>
      <c r="DAU149" s="3"/>
      <c r="DAV149" s="3"/>
      <c r="DAW149" s="3"/>
      <c r="DAX149" s="3"/>
      <c r="DAY149" s="3"/>
      <c r="DAZ149" s="3"/>
      <c r="DBA149" s="3"/>
      <c r="DBB149" s="3"/>
      <c r="DBC149" s="3"/>
      <c r="DBD149" s="3"/>
      <c r="DBE149" s="3"/>
      <c r="DBF149" s="3"/>
      <c r="DBG149" s="3"/>
      <c r="DBH149" s="3"/>
      <c r="DBI149" s="3"/>
      <c r="DBJ149" s="3"/>
      <c r="DBK149" s="3"/>
      <c r="DBL149" s="3"/>
      <c r="DBM149" s="3"/>
      <c r="DBN149" s="3"/>
      <c r="DBO149" s="3"/>
      <c r="DBP149" s="3"/>
      <c r="DBQ149" s="3"/>
      <c r="DBR149" s="3"/>
      <c r="DBS149" s="3"/>
      <c r="DBT149" s="3"/>
      <c r="DBU149" s="3"/>
      <c r="DBV149" s="3"/>
      <c r="DBW149" s="3"/>
      <c r="DBX149" s="3"/>
      <c r="DBY149" s="3"/>
      <c r="DBZ149" s="3"/>
      <c r="DCA149" s="3"/>
      <c r="DCB149" s="3"/>
      <c r="DCC149" s="3"/>
      <c r="DCD149" s="3"/>
      <c r="DCE149" s="3"/>
      <c r="DCF149" s="3"/>
      <c r="DCG149" s="3"/>
      <c r="DCH149" s="3"/>
      <c r="DCI149" s="3"/>
      <c r="DCJ149" s="3"/>
      <c r="DCK149" s="3"/>
      <c r="DCL149" s="3"/>
      <c r="DCM149" s="3"/>
      <c r="DCN149" s="3"/>
      <c r="DCO149" s="3"/>
      <c r="DCP149" s="3"/>
      <c r="DCQ149" s="3"/>
      <c r="DCR149" s="3"/>
      <c r="DCS149" s="3"/>
      <c r="DCT149" s="3"/>
      <c r="DCU149" s="3"/>
      <c r="DCV149" s="3"/>
      <c r="DCW149" s="3"/>
      <c r="DCX149" s="3"/>
      <c r="DCY149" s="3"/>
      <c r="DCZ149" s="3"/>
      <c r="DDA149" s="3"/>
      <c r="DDB149" s="3"/>
      <c r="DDC149" s="3"/>
      <c r="DDD149" s="3"/>
      <c r="DDE149" s="3"/>
      <c r="DDF149" s="3"/>
      <c r="DDG149" s="3"/>
      <c r="DDH149" s="3"/>
      <c r="DDI149" s="3"/>
      <c r="DDJ149" s="3"/>
      <c r="DDK149" s="3"/>
      <c r="DDL149" s="3"/>
      <c r="DDM149" s="3"/>
      <c r="DDN149" s="3"/>
      <c r="DDO149" s="3"/>
      <c r="DDP149" s="3"/>
      <c r="DDQ149" s="3"/>
      <c r="DDR149" s="3"/>
      <c r="DDS149" s="3"/>
      <c r="DDT149" s="3"/>
      <c r="DDU149" s="3"/>
      <c r="DDV149" s="3"/>
      <c r="DDW149" s="3"/>
      <c r="DDX149" s="3"/>
      <c r="DDY149" s="3"/>
      <c r="DDZ149" s="3"/>
      <c r="DEA149" s="3"/>
      <c r="DEB149" s="3"/>
      <c r="DEC149" s="3"/>
      <c r="DED149" s="3"/>
      <c r="DEE149" s="3"/>
      <c r="DEF149" s="3"/>
      <c r="DEG149" s="3"/>
      <c r="DEH149" s="3"/>
      <c r="DEI149" s="3"/>
      <c r="DEJ149" s="3"/>
      <c r="DEK149" s="3"/>
      <c r="DEL149" s="3"/>
      <c r="DEM149" s="3"/>
      <c r="DEN149" s="3"/>
      <c r="DEO149" s="3"/>
      <c r="DEP149" s="3"/>
      <c r="DEQ149" s="3"/>
      <c r="DER149" s="3"/>
      <c r="DES149" s="3"/>
      <c r="DET149" s="3"/>
      <c r="DEU149" s="3"/>
      <c r="DEV149" s="3"/>
      <c r="DEW149" s="3"/>
      <c r="DEX149" s="3"/>
      <c r="DEY149" s="3"/>
      <c r="DEZ149" s="3"/>
      <c r="DFA149" s="3"/>
      <c r="DFB149" s="3"/>
      <c r="DFC149" s="3"/>
      <c r="DFD149" s="3"/>
      <c r="DFE149" s="3"/>
      <c r="DFF149" s="3"/>
      <c r="DFG149" s="3"/>
      <c r="DFH149" s="3"/>
      <c r="DFI149" s="3"/>
      <c r="DFJ149" s="3"/>
      <c r="DFK149" s="3"/>
      <c r="DFL149" s="3"/>
      <c r="DFM149" s="3"/>
      <c r="DFN149" s="3"/>
      <c r="DFO149" s="3"/>
      <c r="DFP149" s="3"/>
      <c r="DFQ149" s="3"/>
      <c r="DFR149" s="3"/>
      <c r="DFS149" s="3"/>
      <c r="DFT149" s="3"/>
      <c r="DFU149" s="3"/>
      <c r="DFV149" s="3"/>
      <c r="DFW149" s="3"/>
      <c r="DFX149" s="3"/>
      <c r="DFY149" s="3"/>
      <c r="DFZ149" s="3"/>
      <c r="DGA149" s="3"/>
      <c r="DGB149" s="3"/>
      <c r="DGC149" s="3"/>
      <c r="DGD149" s="3"/>
      <c r="DGE149" s="3"/>
      <c r="DGF149" s="3"/>
      <c r="DGG149" s="3"/>
      <c r="DGH149" s="3"/>
      <c r="DGI149" s="3"/>
      <c r="DGJ149" s="3"/>
      <c r="DGK149" s="3"/>
      <c r="DGL149" s="3"/>
      <c r="DGM149" s="3"/>
      <c r="DGN149" s="3"/>
      <c r="DGO149" s="3"/>
      <c r="DGP149" s="3"/>
      <c r="DGQ149" s="3"/>
      <c r="DGR149" s="3"/>
      <c r="DGS149" s="3"/>
      <c r="DGT149" s="3"/>
      <c r="DGU149" s="3"/>
      <c r="DGV149" s="3"/>
      <c r="DGW149" s="3"/>
      <c r="DGX149" s="3"/>
      <c r="DGY149" s="3"/>
      <c r="DGZ149" s="3"/>
      <c r="DHA149" s="3"/>
      <c r="DHB149" s="3"/>
      <c r="DHC149" s="3"/>
      <c r="DHD149" s="3"/>
      <c r="DHE149" s="3"/>
      <c r="DHF149" s="3"/>
      <c r="DHG149" s="3"/>
      <c r="DHH149" s="3"/>
      <c r="DHI149" s="3"/>
      <c r="DHJ149" s="3"/>
      <c r="DHK149" s="3"/>
      <c r="DHL149" s="3"/>
      <c r="DHM149" s="3"/>
      <c r="DHN149" s="3"/>
      <c r="DHO149" s="3"/>
      <c r="DHP149" s="3"/>
      <c r="DHQ149" s="3"/>
      <c r="DHR149" s="3"/>
      <c r="DHS149" s="3"/>
      <c r="DHT149" s="3"/>
      <c r="DHU149" s="3"/>
      <c r="DHV149" s="3"/>
      <c r="DHW149" s="3"/>
      <c r="DHX149" s="3"/>
      <c r="DHY149" s="3"/>
      <c r="DHZ149" s="3"/>
      <c r="DIA149" s="3"/>
      <c r="DIB149" s="3"/>
      <c r="DIC149" s="3"/>
      <c r="DID149" s="3"/>
      <c r="DIE149" s="3"/>
      <c r="DIF149" s="3"/>
      <c r="DIG149" s="3"/>
      <c r="DIH149" s="3"/>
      <c r="DII149" s="3"/>
      <c r="DIJ149" s="3"/>
      <c r="DIK149" s="3"/>
      <c r="DIL149" s="3"/>
      <c r="DIM149" s="3"/>
      <c r="DIN149" s="3"/>
      <c r="DIO149" s="3"/>
      <c r="DIP149" s="3"/>
      <c r="DIQ149" s="3"/>
      <c r="DIR149" s="3"/>
      <c r="DIS149" s="3"/>
      <c r="DIT149" s="3"/>
      <c r="DIU149" s="3"/>
      <c r="DIV149" s="3"/>
      <c r="DIW149" s="3"/>
      <c r="DIX149" s="3"/>
      <c r="DIY149" s="3"/>
      <c r="DIZ149" s="3"/>
      <c r="DJA149" s="3"/>
      <c r="DJB149" s="3"/>
      <c r="DJC149" s="3"/>
      <c r="DJD149" s="3"/>
      <c r="DJE149" s="3"/>
      <c r="DJF149" s="3"/>
      <c r="DJG149" s="3"/>
      <c r="DJH149" s="3"/>
      <c r="DJI149" s="3"/>
      <c r="DJJ149" s="3"/>
      <c r="DJK149" s="3"/>
      <c r="DJL149" s="3"/>
      <c r="DJM149" s="3"/>
      <c r="DJN149" s="3"/>
      <c r="DJO149" s="3"/>
      <c r="DJP149" s="3"/>
      <c r="DJQ149" s="3"/>
      <c r="DJR149" s="3"/>
      <c r="DJS149" s="3"/>
      <c r="DJT149" s="3"/>
      <c r="DJU149" s="3"/>
      <c r="DJV149" s="3"/>
      <c r="DJW149" s="3"/>
      <c r="DJX149" s="3"/>
      <c r="DJY149" s="3"/>
      <c r="DJZ149" s="3"/>
      <c r="DKA149" s="3"/>
      <c r="DKB149" s="3"/>
      <c r="DKC149" s="3"/>
      <c r="DKD149" s="3"/>
      <c r="DKE149" s="3"/>
      <c r="DKF149" s="3"/>
      <c r="DKG149" s="3"/>
      <c r="DKH149" s="3"/>
      <c r="DKI149" s="3"/>
      <c r="DKJ149" s="3"/>
      <c r="DKK149" s="3"/>
      <c r="DKL149" s="3"/>
      <c r="DKM149" s="3"/>
      <c r="DKN149" s="3"/>
      <c r="DKO149" s="3"/>
      <c r="DKP149" s="3"/>
      <c r="DKQ149" s="3"/>
      <c r="DKR149" s="3"/>
      <c r="DKS149" s="3"/>
      <c r="DKT149" s="3"/>
      <c r="DKU149" s="3"/>
      <c r="DKV149" s="3"/>
      <c r="DKW149" s="3"/>
      <c r="DKX149" s="3"/>
      <c r="DKY149" s="3"/>
      <c r="DKZ149" s="3"/>
      <c r="DLA149" s="3"/>
      <c r="DLB149" s="3"/>
      <c r="DLC149" s="3"/>
      <c r="DLD149" s="3"/>
      <c r="DLE149" s="3"/>
      <c r="DLF149" s="3"/>
      <c r="DLG149" s="3"/>
      <c r="DLH149" s="3"/>
      <c r="DLI149" s="3"/>
      <c r="DLJ149" s="3"/>
      <c r="DLK149" s="3"/>
      <c r="DLL149" s="3"/>
      <c r="DLM149" s="3"/>
      <c r="DLN149" s="3"/>
      <c r="DLO149" s="3"/>
      <c r="DLP149" s="3"/>
      <c r="DLQ149" s="3"/>
      <c r="DLR149" s="3"/>
      <c r="DLS149" s="3"/>
      <c r="DLT149" s="3"/>
      <c r="DLU149" s="3"/>
      <c r="DLV149" s="3"/>
      <c r="DLW149" s="3"/>
      <c r="DLX149" s="3"/>
      <c r="DLY149" s="3"/>
      <c r="DLZ149" s="3"/>
      <c r="DMA149" s="3"/>
      <c r="DMB149" s="3"/>
      <c r="DMC149" s="3"/>
      <c r="DMD149" s="3"/>
      <c r="DME149" s="3"/>
      <c r="DMF149" s="3"/>
      <c r="DMG149" s="3"/>
      <c r="DMH149" s="3"/>
      <c r="DMI149" s="3"/>
      <c r="DMJ149" s="3"/>
      <c r="DMK149" s="3"/>
      <c r="DML149" s="3"/>
      <c r="DMM149" s="3"/>
      <c r="DMN149" s="3"/>
      <c r="DMO149" s="3"/>
      <c r="DMP149" s="3"/>
      <c r="DMQ149" s="3"/>
      <c r="DMR149" s="3"/>
      <c r="DMS149" s="3"/>
      <c r="DMT149" s="3"/>
      <c r="DMU149" s="3"/>
      <c r="DMV149" s="3"/>
      <c r="DMW149" s="3"/>
      <c r="DMX149" s="3"/>
      <c r="DMY149" s="3"/>
      <c r="DMZ149" s="3"/>
      <c r="DNA149" s="3"/>
      <c r="DNB149" s="3"/>
      <c r="DNC149" s="3"/>
      <c r="DND149" s="3"/>
      <c r="DNE149" s="3"/>
      <c r="DNF149" s="3"/>
      <c r="DNG149" s="3"/>
      <c r="DNH149" s="3"/>
      <c r="DNI149" s="3"/>
      <c r="DNJ149" s="3"/>
      <c r="DNK149" s="3"/>
      <c r="DNL149" s="3"/>
      <c r="DNM149" s="3"/>
      <c r="DNN149" s="3"/>
      <c r="DNO149" s="3"/>
      <c r="DNP149" s="3"/>
      <c r="DNQ149" s="3"/>
      <c r="DNR149" s="3"/>
      <c r="DNS149" s="3"/>
      <c r="DNT149" s="3"/>
      <c r="DNU149" s="3"/>
      <c r="DNV149" s="3"/>
      <c r="DNW149" s="3"/>
      <c r="DNX149" s="3"/>
      <c r="DNY149" s="3"/>
      <c r="DNZ149" s="3"/>
      <c r="DOA149" s="3"/>
      <c r="DOB149" s="3"/>
      <c r="DOC149" s="3"/>
      <c r="DOD149" s="3"/>
      <c r="DOE149" s="3"/>
      <c r="DOF149" s="3"/>
      <c r="DOG149" s="3"/>
      <c r="DOH149" s="3"/>
      <c r="DOI149" s="3"/>
      <c r="DOJ149" s="3"/>
      <c r="DOK149" s="3"/>
      <c r="DOL149" s="3"/>
      <c r="DOM149" s="3"/>
      <c r="DON149" s="3"/>
      <c r="DOO149" s="3"/>
      <c r="DOP149" s="3"/>
      <c r="DOQ149" s="3"/>
      <c r="DOR149" s="3"/>
      <c r="DOS149" s="3"/>
      <c r="DOT149" s="3"/>
      <c r="DOU149" s="3"/>
      <c r="DOV149" s="3"/>
      <c r="DOW149" s="3"/>
      <c r="DOX149" s="3"/>
      <c r="DOY149" s="3"/>
      <c r="DOZ149" s="3"/>
      <c r="DPA149" s="3"/>
      <c r="DPB149" s="3"/>
      <c r="DPC149" s="3"/>
      <c r="DPD149" s="3"/>
      <c r="DPE149" s="3"/>
      <c r="DPF149" s="3"/>
      <c r="DPG149" s="3"/>
      <c r="DPH149" s="3"/>
      <c r="DPI149" s="3"/>
      <c r="DPJ149" s="3"/>
      <c r="DPK149" s="3"/>
      <c r="DPL149" s="3"/>
      <c r="DPM149" s="3"/>
      <c r="DPN149" s="3"/>
      <c r="DPO149" s="3"/>
      <c r="DPP149" s="3"/>
      <c r="DPQ149" s="3"/>
      <c r="DPR149" s="3"/>
      <c r="DPS149" s="3"/>
      <c r="DPT149" s="3"/>
      <c r="DPU149" s="3"/>
      <c r="DPV149" s="3"/>
      <c r="DPW149" s="3"/>
      <c r="DPX149" s="3"/>
      <c r="DPY149" s="3"/>
      <c r="DPZ149" s="3"/>
      <c r="DQA149" s="3"/>
      <c r="DQB149" s="3"/>
      <c r="DQC149" s="3"/>
      <c r="DQD149" s="3"/>
      <c r="DQE149" s="3"/>
      <c r="DQF149" s="3"/>
      <c r="DQG149" s="3"/>
      <c r="DQH149" s="3"/>
      <c r="DQI149" s="3"/>
      <c r="DQJ149" s="3"/>
      <c r="DQK149" s="3"/>
      <c r="DQL149" s="3"/>
      <c r="DQM149" s="3"/>
      <c r="DQN149" s="3"/>
      <c r="DQO149" s="3"/>
      <c r="DQP149" s="3"/>
      <c r="DQQ149" s="3"/>
      <c r="DQR149" s="3"/>
      <c r="DQS149" s="3"/>
      <c r="DQT149" s="3"/>
      <c r="DQU149" s="3"/>
      <c r="DQV149" s="3"/>
      <c r="DQW149" s="3"/>
      <c r="DQX149" s="3"/>
      <c r="DQY149" s="3"/>
      <c r="DQZ149" s="3"/>
      <c r="DRA149" s="3"/>
      <c r="DRB149" s="3"/>
      <c r="DRC149" s="3"/>
      <c r="DRD149" s="3"/>
      <c r="DRE149" s="3"/>
      <c r="DRF149" s="3"/>
      <c r="DRG149" s="3"/>
      <c r="DRH149" s="3"/>
      <c r="DRI149" s="3"/>
      <c r="DRJ149" s="3"/>
      <c r="DRK149" s="3"/>
      <c r="DRL149" s="3"/>
      <c r="DRM149" s="3"/>
      <c r="DRN149" s="3"/>
      <c r="DRO149" s="3"/>
      <c r="DRP149" s="3"/>
      <c r="DRQ149" s="3"/>
      <c r="DRR149" s="3"/>
      <c r="DRS149" s="3"/>
      <c r="DRT149" s="3"/>
      <c r="DRU149" s="3"/>
      <c r="DRV149" s="3"/>
      <c r="DRW149" s="3"/>
      <c r="DRX149" s="3"/>
      <c r="DRY149" s="3"/>
      <c r="DRZ149" s="3"/>
      <c r="DSA149" s="3"/>
      <c r="DSB149" s="3"/>
      <c r="DSC149" s="3"/>
      <c r="DSD149" s="3"/>
      <c r="DSE149" s="3"/>
      <c r="DSF149" s="3"/>
      <c r="DSG149" s="3"/>
      <c r="DSH149" s="3"/>
      <c r="DSI149" s="3"/>
      <c r="DSJ149" s="3"/>
      <c r="DSK149" s="3"/>
      <c r="DSL149" s="3"/>
      <c r="DSM149" s="3"/>
      <c r="DSN149" s="3"/>
      <c r="DSO149" s="3"/>
      <c r="DSP149" s="3"/>
      <c r="DSQ149" s="3"/>
      <c r="DSR149" s="3"/>
      <c r="DSS149" s="3"/>
      <c r="DST149" s="3"/>
      <c r="DSU149" s="3"/>
      <c r="DSV149" s="3"/>
      <c r="DSW149" s="3"/>
      <c r="DSX149" s="3"/>
      <c r="DSY149" s="3"/>
      <c r="DSZ149" s="3"/>
      <c r="DTA149" s="3"/>
      <c r="DTB149" s="3"/>
      <c r="DTC149" s="3"/>
      <c r="DTD149" s="3"/>
      <c r="DTE149" s="3"/>
      <c r="DTF149" s="3"/>
      <c r="DTG149" s="3"/>
      <c r="DTH149" s="3"/>
      <c r="DTI149" s="3"/>
      <c r="DTJ149" s="3"/>
      <c r="DTK149" s="3"/>
      <c r="DTL149" s="3"/>
      <c r="DTM149" s="3"/>
      <c r="DTN149" s="3"/>
      <c r="DTO149" s="3"/>
      <c r="DTP149" s="3"/>
      <c r="DTQ149" s="3"/>
      <c r="DTR149" s="3"/>
      <c r="DTS149" s="3"/>
      <c r="DTT149" s="3"/>
      <c r="DTU149" s="3"/>
      <c r="DTV149" s="3"/>
      <c r="DTW149" s="3"/>
      <c r="DTX149" s="3"/>
      <c r="DTY149" s="3"/>
      <c r="DTZ149" s="3"/>
      <c r="DUA149" s="3"/>
      <c r="DUB149" s="3"/>
      <c r="DUC149" s="3"/>
      <c r="DUD149" s="3"/>
      <c r="DUE149" s="3"/>
      <c r="DUF149" s="3"/>
      <c r="DUG149" s="3"/>
      <c r="DUH149" s="3"/>
      <c r="DUI149" s="3"/>
      <c r="DUJ149" s="3"/>
      <c r="DUK149" s="3"/>
      <c r="DUL149" s="3"/>
      <c r="DUM149" s="3"/>
      <c r="DUN149" s="3"/>
      <c r="DUO149" s="3"/>
      <c r="DUP149" s="3"/>
      <c r="DUQ149" s="3"/>
      <c r="DUR149" s="3"/>
      <c r="DUS149" s="3"/>
      <c r="DUT149" s="3"/>
      <c r="DUU149" s="3"/>
      <c r="DUV149" s="3"/>
      <c r="DUW149" s="3"/>
      <c r="DUX149" s="3"/>
      <c r="DUY149" s="3"/>
      <c r="DUZ149" s="3"/>
      <c r="DVA149" s="3"/>
      <c r="DVB149" s="3"/>
      <c r="DVC149" s="3"/>
      <c r="DVD149" s="3"/>
      <c r="DVE149" s="3"/>
      <c r="DVF149" s="3"/>
      <c r="DVG149" s="3"/>
      <c r="DVH149" s="3"/>
      <c r="DVI149" s="3"/>
      <c r="DVJ149" s="3"/>
      <c r="DVK149" s="3"/>
      <c r="DVL149" s="3"/>
      <c r="DVM149" s="3"/>
      <c r="DVN149" s="3"/>
      <c r="DVO149" s="3"/>
      <c r="DVP149" s="3"/>
      <c r="DVQ149" s="3"/>
      <c r="DVR149" s="3"/>
      <c r="DVS149" s="3"/>
      <c r="DVT149" s="3"/>
      <c r="DVU149" s="3"/>
      <c r="DVV149" s="3"/>
      <c r="DVW149" s="3"/>
      <c r="DVX149" s="3"/>
      <c r="DVY149" s="3"/>
      <c r="DVZ149" s="3"/>
      <c r="DWA149" s="3"/>
      <c r="DWB149" s="3"/>
      <c r="DWC149" s="3"/>
      <c r="DWD149" s="3"/>
      <c r="DWE149" s="3"/>
      <c r="DWF149" s="3"/>
      <c r="DWG149" s="3"/>
      <c r="DWH149" s="3"/>
      <c r="DWI149" s="3"/>
      <c r="DWJ149" s="3"/>
      <c r="DWK149" s="3"/>
      <c r="DWL149" s="3"/>
      <c r="DWM149" s="3"/>
      <c r="DWN149" s="3"/>
      <c r="DWO149" s="3"/>
      <c r="DWP149" s="3"/>
      <c r="DWQ149" s="3"/>
      <c r="DWR149" s="3"/>
      <c r="DWS149" s="3"/>
      <c r="DWT149" s="3"/>
      <c r="DWU149" s="3"/>
      <c r="DWV149" s="3"/>
      <c r="DWW149" s="3"/>
      <c r="DWX149" s="3"/>
      <c r="DWY149" s="3"/>
      <c r="DWZ149" s="3"/>
      <c r="DXA149" s="3"/>
      <c r="DXB149" s="3"/>
      <c r="DXC149" s="3"/>
      <c r="DXD149" s="3"/>
      <c r="DXE149" s="3"/>
      <c r="DXF149" s="3"/>
      <c r="DXG149" s="3"/>
      <c r="DXH149" s="3"/>
      <c r="DXI149" s="3"/>
      <c r="DXJ149" s="3"/>
      <c r="DXK149" s="3"/>
      <c r="DXL149" s="3"/>
      <c r="DXM149" s="3"/>
      <c r="DXN149" s="3"/>
      <c r="DXO149" s="3"/>
      <c r="DXP149" s="3"/>
      <c r="DXQ149" s="3"/>
      <c r="DXR149" s="3"/>
      <c r="DXS149" s="3"/>
      <c r="DXT149" s="3"/>
      <c r="DXU149" s="3"/>
      <c r="DXV149" s="3"/>
      <c r="DXW149" s="3"/>
      <c r="DXX149" s="3"/>
      <c r="DXY149" s="3"/>
      <c r="DXZ149" s="3"/>
      <c r="DYA149" s="3"/>
      <c r="DYB149" s="3"/>
      <c r="DYC149" s="3"/>
      <c r="DYD149" s="3"/>
      <c r="DYE149" s="3"/>
      <c r="DYF149" s="3"/>
      <c r="DYG149" s="3"/>
      <c r="DYH149" s="3"/>
      <c r="DYI149" s="3"/>
      <c r="DYJ149" s="3"/>
      <c r="DYK149" s="3"/>
      <c r="DYL149" s="3"/>
      <c r="DYM149" s="3"/>
      <c r="DYN149" s="3"/>
      <c r="DYO149" s="3"/>
      <c r="DYP149" s="3"/>
      <c r="DYQ149" s="3"/>
      <c r="DYR149" s="3"/>
      <c r="DYS149" s="3"/>
      <c r="DYT149" s="3"/>
      <c r="DYU149" s="3"/>
      <c r="DYV149" s="3"/>
      <c r="DYW149" s="3"/>
      <c r="DYX149" s="3"/>
      <c r="DYY149" s="3"/>
      <c r="DYZ149" s="3"/>
      <c r="DZA149" s="3"/>
      <c r="DZB149" s="3"/>
      <c r="DZC149" s="3"/>
      <c r="DZD149" s="3"/>
      <c r="DZE149" s="3"/>
      <c r="DZF149" s="3"/>
      <c r="DZG149" s="3"/>
      <c r="DZH149" s="3"/>
      <c r="DZI149" s="3"/>
      <c r="DZJ149" s="3"/>
      <c r="DZK149" s="3"/>
      <c r="DZL149" s="3"/>
      <c r="DZM149" s="3"/>
      <c r="DZN149" s="3"/>
      <c r="DZO149" s="3"/>
      <c r="DZP149" s="3"/>
      <c r="DZQ149" s="3"/>
      <c r="DZR149" s="3"/>
      <c r="DZS149" s="3"/>
      <c r="DZT149" s="3"/>
      <c r="DZU149" s="3"/>
      <c r="DZV149" s="3"/>
      <c r="DZW149" s="3"/>
      <c r="DZX149" s="3"/>
      <c r="DZY149" s="3"/>
      <c r="DZZ149" s="3"/>
      <c r="EAA149" s="3"/>
      <c r="EAB149" s="3"/>
      <c r="EAC149" s="3"/>
      <c r="EAD149" s="3"/>
      <c r="EAE149" s="3"/>
      <c r="EAF149" s="3"/>
      <c r="EAG149" s="3"/>
      <c r="EAH149" s="3"/>
      <c r="EAI149" s="3"/>
      <c r="EAJ149" s="3"/>
      <c r="EAK149" s="3"/>
      <c r="EAL149" s="3"/>
      <c r="EAM149" s="3"/>
      <c r="EAN149" s="3"/>
      <c r="EAO149" s="3"/>
      <c r="EAP149" s="3"/>
      <c r="EAQ149" s="3"/>
      <c r="EAR149" s="3"/>
      <c r="EAS149" s="3"/>
      <c r="EAT149" s="3"/>
      <c r="EAU149" s="3"/>
      <c r="EAV149" s="3"/>
      <c r="EAW149" s="3"/>
      <c r="EAX149" s="3"/>
      <c r="EAY149" s="3"/>
      <c r="EAZ149" s="3"/>
      <c r="EBA149" s="3"/>
      <c r="EBB149" s="3"/>
      <c r="EBC149" s="3"/>
      <c r="EBD149" s="3"/>
      <c r="EBE149" s="3"/>
      <c r="EBF149" s="3"/>
      <c r="EBG149" s="3"/>
      <c r="EBH149" s="3"/>
      <c r="EBI149" s="3"/>
      <c r="EBJ149" s="3"/>
      <c r="EBK149" s="3"/>
      <c r="EBL149" s="3"/>
      <c r="EBM149" s="3"/>
      <c r="EBN149" s="3"/>
      <c r="EBO149" s="3"/>
      <c r="EBP149" s="3"/>
      <c r="EBQ149" s="3"/>
      <c r="EBR149" s="3"/>
      <c r="EBS149" s="3"/>
      <c r="EBT149" s="3"/>
      <c r="EBU149" s="3"/>
      <c r="EBV149" s="3"/>
      <c r="EBW149" s="3"/>
      <c r="EBX149" s="3"/>
      <c r="EBY149" s="3"/>
      <c r="EBZ149" s="3"/>
      <c r="ECA149" s="3"/>
      <c r="ECB149" s="3"/>
      <c r="ECC149" s="3"/>
      <c r="ECD149" s="3"/>
      <c r="ECE149" s="3"/>
      <c r="ECF149" s="3"/>
      <c r="ECG149" s="3"/>
      <c r="ECH149" s="3"/>
      <c r="ECI149" s="3"/>
      <c r="ECJ149" s="3"/>
      <c r="ECK149" s="3"/>
      <c r="ECL149" s="3"/>
      <c r="ECM149" s="3"/>
      <c r="ECN149" s="3"/>
      <c r="ECO149" s="3"/>
      <c r="ECP149" s="3"/>
      <c r="ECQ149" s="3"/>
      <c r="ECR149" s="3"/>
      <c r="ECS149" s="3"/>
      <c r="ECT149" s="3"/>
      <c r="ECU149" s="3"/>
      <c r="ECV149" s="3"/>
      <c r="ECW149" s="3"/>
      <c r="ECX149" s="3"/>
      <c r="ECY149" s="3"/>
      <c r="ECZ149" s="3"/>
      <c r="EDA149" s="3"/>
      <c r="EDB149" s="3"/>
      <c r="EDC149" s="3"/>
      <c r="EDD149" s="3"/>
      <c r="EDE149" s="3"/>
      <c r="EDF149" s="3"/>
      <c r="EDG149" s="3"/>
      <c r="EDH149" s="3"/>
      <c r="EDI149" s="3"/>
      <c r="EDJ149" s="3"/>
      <c r="EDK149" s="3"/>
      <c r="EDL149" s="3"/>
      <c r="EDM149" s="3"/>
      <c r="EDN149" s="3"/>
      <c r="EDO149" s="3"/>
      <c r="EDP149" s="3"/>
      <c r="EDQ149" s="3"/>
      <c r="EDR149" s="3"/>
      <c r="EDS149" s="3"/>
      <c r="EDT149" s="3"/>
      <c r="EDU149" s="3"/>
      <c r="EDV149" s="3"/>
      <c r="EDW149" s="3"/>
      <c r="EDX149" s="3"/>
      <c r="EDY149" s="3"/>
      <c r="EDZ149" s="3"/>
      <c r="EEA149" s="3"/>
      <c r="EEB149" s="3"/>
      <c r="EEC149" s="3"/>
      <c r="EED149" s="3"/>
      <c r="EEE149" s="3"/>
      <c r="EEF149" s="3"/>
      <c r="EEG149" s="3"/>
      <c r="EEH149" s="3"/>
      <c r="EEI149" s="3"/>
      <c r="EEJ149" s="3"/>
      <c r="EEK149" s="3"/>
      <c r="EEL149" s="3"/>
      <c r="EEM149" s="3"/>
      <c r="EEN149" s="3"/>
      <c r="EEO149" s="3"/>
      <c r="EEP149" s="3"/>
      <c r="EEQ149" s="3"/>
      <c r="EER149" s="3"/>
      <c r="EES149" s="3"/>
      <c r="EET149" s="3"/>
      <c r="EEU149" s="3"/>
      <c r="EEV149" s="3"/>
      <c r="EEW149" s="3"/>
      <c r="EEX149" s="3"/>
      <c r="EEY149" s="3"/>
      <c r="EEZ149" s="3"/>
      <c r="EFA149" s="3"/>
      <c r="EFB149" s="3"/>
      <c r="EFC149" s="3"/>
      <c r="EFD149" s="3"/>
      <c r="EFE149" s="3"/>
      <c r="EFF149" s="3"/>
      <c r="EFG149" s="3"/>
      <c r="EFH149" s="3"/>
      <c r="EFI149" s="3"/>
      <c r="EFJ149" s="3"/>
      <c r="EFK149" s="3"/>
      <c r="EFL149" s="3"/>
      <c r="EFM149" s="3"/>
      <c r="EFN149" s="3"/>
      <c r="EFO149" s="3"/>
      <c r="EFP149" s="3"/>
      <c r="EFQ149" s="3"/>
      <c r="EFR149" s="3"/>
      <c r="EFS149" s="3"/>
      <c r="EFT149" s="3"/>
      <c r="EFU149" s="3"/>
      <c r="EFV149" s="3"/>
      <c r="EFW149" s="3"/>
      <c r="EFX149" s="3"/>
      <c r="EFY149" s="3"/>
      <c r="EFZ149" s="3"/>
      <c r="EGA149" s="3"/>
      <c r="EGB149" s="3"/>
      <c r="EGC149" s="3"/>
      <c r="EGD149" s="3"/>
      <c r="EGE149" s="3"/>
      <c r="EGF149" s="3"/>
      <c r="EGG149" s="3"/>
      <c r="EGH149" s="3"/>
      <c r="EGI149" s="3"/>
      <c r="EGJ149" s="3"/>
      <c r="EGK149" s="3"/>
      <c r="EGL149" s="3"/>
      <c r="EGM149" s="3"/>
      <c r="EGN149" s="3"/>
      <c r="EGO149" s="3"/>
      <c r="EGP149" s="3"/>
      <c r="EGQ149" s="3"/>
      <c r="EGR149" s="3"/>
      <c r="EGS149" s="3"/>
      <c r="EGT149" s="3"/>
      <c r="EGU149" s="3"/>
      <c r="EGV149" s="3"/>
      <c r="EGW149" s="3"/>
      <c r="EGX149" s="3"/>
      <c r="EGY149" s="3"/>
      <c r="EGZ149" s="3"/>
      <c r="EHA149" s="3"/>
      <c r="EHB149" s="3"/>
      <c r="EHC149" s="3"/>
      <c r="EHD149" s="3"/>
      <c r="EHE149" s="3"/>
      <c r="EHF149" s="3"/>
      <c r="EHG149" s="3"/>
      <c r="EHH149" s="3"/>
      <c r="EHI149" s="3"/>
      <c r="EHJ149" s="3"/>
      <c r="EHK149" s="3"/>
      <c r="EHL149" s="3"/>
      <c r="EHM149" s="3"/>
      <c r="EHN149" s="3"/>
      <c r="EHO149" s="3"/>
      <c r="EHP149" s="3"/>
      <c r="EHQ149" s="3"/>
      <c r="EHR149" s="3"/>
      <c r="EHS149" s="3"/>
      <c r="EHT149" s="3"/>
      <c r="EHU149" s="3"/>
      <c r="EHV149" s="3"/>
      <c r="EHW149" s="3"/>
      <c r="EHX149" s="3"/>
      <c r="EHY149" s="3"/>
      <c r="EHZ149" s="3"/>
      <c r="EIA149" s="3"/>
      <c r="EIB149" s="3"/>
      <c r="EIC149" s="3"/>
      <c r="EID149" s="3"/>
      <c r="EIE149" s="3"/>
      <c r="EIF149" s="3"/>
      <c r="EIG149" s="3"/>
      <c r="EIH149" s="3"/>
      <c r="EII149" s="3"/>
      <c r="EIJ149" s="3"/>
      <c r="EIK149" s="3"/>
      <c r="EIL149" s="3"/>
      <c r="EIM149" s="3"/>
      <c r="EIN149" s="3"/>
      <c r="EIO149" s="3"/>
      <c r="EIP149" s="3"/>
      <c r="EIQ149" s="3"/>
      <c r="EIR149" s="3"/>
      <c r="EIS149" s="3"/>
      <c r="EIT149" s="3"/>
      <c r="EIU149" s="3"/>
      <c r="EIV149" s="3"/>
      <c r="EIW149" s="3"/>
      <c r="EIX149" s="3"/>
      <c r="EIY149" s="3"/>
      <c r="EIZ149" s="3"/>
      <c r="EJA149" s="3"/>
      <c r="EJB149" s="3"/>
      <c r="EJC149" s="3"/>
      <c r="EJD149" s="3"/>
      <c r="EJE149" s="3"/>
      <c r="EJF149" s="3"/>
      <c r="EJG149" s="3"/>
      <c r="EJH149" s="3"/>
      <c r="EJI149" s="3"/>
      <c r="EJJ149" s="3"/>
      <c r="EJK149" s="3"/>
      <c r="EJL149" s="3"/>
      <c r="EJM149" s="3"/>
      <c r="EJN149" s="3"/>
      <c r="EJO149" s="3"/>
      <c r="EJP149" s="3"/>
      <c r="EJQ149" s="3"/>
      <c r="EJR149" s="3"/>
      <c r="EJS149" s="3"/>
      <c r="EJT149" s="3"/>
      <c r="EJU149" s="3"/>
      <c r="EJV149" s="3"/>
      <c r="EJW149" s="3"/>
      <c r="EJX149" s="3"/>
      <c r="EJY149" s="3"/>
      <c r="EJZ149" s="3"/>
      <c r="EKA149" s="3"/>
      <c r="EKB149" s="3"/>
      <c r="EKC149" s="3"/>
      <c r="EKD149" s="3"/>
      <c r="EKE149" s="3"/>
      <c r="EKF149" s="3"/>
      <c r="EKG149" s="3"/>
      <c r="EKH149" s="3"/>
      <c r="EKI149" s="3"/>
      <c r="EKJ149" s="3"/>
      <c r="EKK149" s="3"/>
      <c r="EKL149" s="3"/>
      <c r="EKM149" s="3"/>
      <c r="EKN149" s="3"/>
      <c r="EKO149" s="3"/>
      <c r="EKP149" s="3"/>
      <c r="EKQ149" s="3"/>
      <c r="EKR149" s="3"/>
      <c r="EKS149" s="3"/>
      <c r="EKT149" s="3"/>
      <c r="EKU149" s="3"/>
      <c r="EKV149" s="3"/>
      <c r="EKW149" s="3"/>
      <c r="EKX149" s="3"/>
      <c r="EKY149" s="3"/>
      <c r="EKZ149" s="3"/>
      <c r="ELA149" s="3"/>
      <c r="ELB149" s="3"/>
      <c r="ELC149" s="3"/>
      <c r="ELD149" s="3"/>
      <c r="ELE149" s="3"/>
      <c r="ELF149" s="3"/>
      <c r="ELG149" s="3"/>
      <c r="ELH149" s="3"/>
      <c r="ELI149" s="3"/>
      <c r="ELJ149" s="3"/>
      <c r="ELK149" s="3"/>
      <c r="ELL149" s="3"/>
      <c r="ELM149" s="3"/>
      <c r="ELN149" s="3"/>
      <c r="ELO149" s="3"/>
      <c r="ELP149" s="3"/>
      <c r="ELQ149" s="3"/>
      <c r="ELR149" s="3"/>
      <c r="ELS149" s="3"/>
      <c r="ELT149" s="3"/>
      <c r="ELU149" s="3"/>
      <c r="ELV149" s="3"/>
      <c r="ELW149" s="3"/>
      <c r="ELX149" s="3"/>
      <c r="ELY149" s="3"/>
      <c r="ELZ149" s="3"/>
      <c r="EMA149" s="3"/>
      <c r="EMB149" s="3"/>
      <c r="EMC149" s="3"/>
      <c r="EMD149" s="3"/>
      <c r="EME149" s="3"/>
      <c r="EMF149" s="3"/>
      <c r="EMG149" s="3"/>
      <c r="EMH149" s="3"/>
      <c r="EMI149" s="3"/>
      <c r="EMJ149" s="3"/>
      <c r="EMK149" s="3"/>
      <c r="EML149" s="3"/>
      <c r="EMM149" s="3"/>
      <c r="EMN149" s="3"/>
      <c r="EMO149" s="3"/>
      <c r="EMP149" s="3"/>
      <c r="EMQ149" s="3"/>
      <c r="EMR149" s="3"/>
      <c r="EMS149" s="3"/>
      <c r="EMT149" s="3"/>
      <c r="EMU149" s="3"/>
      <c r="EMV149" s="3"/>
      <c r="EMW149" s="3"/>
      <c r="EMX149" s="3"/>
      <c r="EMY149" s="3"/>
      <c r="EMZ149" s="3"/>
      <c r="ENA149" s="3"/>
      <c r="ENB149" s="3"/>
      <c r="ENC149" s="3"/>
      <c r="END149" s="3"/>
      <c r="ENE149" s="3"/>
      <c r="ENF149" s="3"/>
      <c r="ENG149" s="3"/>
      <c r="ENH149" s="3"/>
      <c r="ENI149" s="3"/>
      <c r="ENJ149" s="3"/>
      <c r="ENK149" s="3"/>
      <c r="ENL149" s="3"/>
      <c r="ENM149" s="3"/>
      <c r="ENN149" s="3"/>
      <c r="ENO149" s="3"/>
      <c r="ENP149" s="3"/>
      <c r="ENQ149" s="3"/>
      <c r="ENR149" s="3"/>
      <c r="ENS149" s="3"/>
      <c r="ENT149" s="3"/>
      <c r="ENU149" s="3"/>
      <c r="ENV149" s="3"/>
      <c r="ENW149" s="3"/>
      <c r="ENX149" s="3"/>
      <c r="ENY149" s="3"/>
      <c r="ENZ149" s="3"/>
      <c r="EOA149" s="3"/>
      <c r="EOB149" s="3"/>
      <c r="EOC149" s="3"/>
      <c r="EOD149" s="3"/>
      <c r="EOE149" s="3"/>
      <c r="EOF149" s="3"/>
      <c r="EOG149" s="3"/>
      <c r="EOH149" s="3"/>
      <c r="EOI149" s="3"/>
      <c r="EOJ149" s="3"/>
      <c r="EOK149" s="3"/>
      <c r="EOL149" s="3"/>
      <c r="EOM149" s="3"/>
      <c r="EON149" s="3"/>
      <c r="EOO149" s="3"/>
      <c r="EOP149" s="3"/>
      <c r="EOQ149" s="3"/>
      <c r="EOR149" s="3"/>
      <c r="EOS149" s="3"/>
      <c r="EOT149" s="3"/>
      <c r="EOU149" s="3"/>
      <c r="EOV149" s="3"/>
      <c r="EOW149" s="3"/>
      <c r="EOX149" s="3"/>
      <c r="EOY149" s="3"/>
      <c r="EOZ149" s="3"/>
      <c r="EPA149" s="3"/>
      <c r="EPB149" s="3"/>
      <c r="EPC149" s="3"/>
      <c r="EPD149" s="3"/>
      <c r="EPE149" s="3"/>
      <c r="EPF149" s="3"/>
      <c r="EPG149" s="3"/>
      <c r="EPH149" s="3"/>
      <c r="EPI149" s="3"/>
      <c r="EPJ149" s="3"/>
      <c r="EPK149" s="3"/>
      <c r="EPL149" s="3"/>
      <c r="EPM149" s="3"/>
      <c r="EPN149" s="3"/>
      <c r="EPO149" s="3"/>
      <c r="EPP149" s="3"/>
      <c r="EPQ149" s="3"/>
      <c r="EPR149" s="3"/>
      <c r="EPS149" s="3"/>
      <c r="EPT149" s="3"/>
      <c r="EPU149" s="3"/>
      <c r="EPV149" s="3"/>
      <c r="EPW149" s="3"/>
      <c r="EPX149" s="3"/>
      <c r="EPY149" s="3"/>
      <c r="EPZ149" s="3"/>
      <c r="EQA149" s="3"/>
      <c r="EQB149" s="3"/>
      <c r="EQC149" s="3"/>
      <c r="EQD149" s="3"/>
      <c r="EQE149" s="3"/>
      <c r="EQF149" s="3"/>
      <c r="EQG149" s="3"/>
      <c r="EQH149" s="3"/>
      <c r="EQI149" s="3"/>
      <c r="EQJ149" s="3"/>
      <c r="EQK149" s="3"/>
      <c r="EQL149" s="3"/>
      <c r="EQM149" s="3"/>
      <c r="EQN149" s="3"/>
      <c r="EQO149" s="3"/>
      <c r="EQP149" s="3"/>
      <c r="EQQ149" s="3"/>
      <c r="EQR149" s="3"/>
      <c r="EQS149" s="3"/>
      <c r="EQT149" s="3"/>
      <c r="EQU149" s="3"/>
      <c r="EQV149" s="3"/>
      <c r="EQW149" s="3"/>
      <c r="EQX149" s="3"/>
      <c r="EQY149" s="3"/>
      <c r="EQZ149" s="3"/>
      <c r="ERA149" s="3"/>
      <c r="ERB149" s="3"/>
      <c r="ERC149" s="3"/>
      <c r="ERD149" s="3"/>
      <c r="ERE149" s="3"/>
      <c r="ERF149" s="3"/>
      <c r="ERG149" s="3"/>
      <c r="ERH149" s="3"/>
      <c r="ERI149" s="3"/>
      <c r="ERJ149" s="3"/>
      <c r="ERK149" s="3"/>
      <c r="ERL149" s="3"/>
      <c r="ERM149" s="3"/>
      <c r="ERN149" s="3"/>
      <c r="ERO149" s="3"/>
      <c r="ERP149" s="3"/>
      <c r="ERQ149" s="3"/>
      <c r="ERR149" s="3"/>
      <c r="ERS149" s="3"/>
      <c r="ERT149" s="3"/>
      <c r="ERU149" s="3"/>
      <c r="ERV149" s="3"/>
      <c r="ERW149" s="3"/>
      <c r="ERX149" s="3"/>
      <c r="ERY149" s="3"/>
      <c r="ERZ149" s="3"/>
      <c r="ESA149" s="3"/>
      <c r="ESB149" s="3"/>
      <c r="ESC149" s="3"/>
      <c r="ESD149" s="3"/>
      <c r="ESE149" s="3"/>
      <c r="ESF149" s="3"/>
      <c r="ESG149" s="3"/>
      <c r="ESH149" s="3"/>
      <c r="ESI149" s="3"/>
      <c r="ESJ149" s="3"/>
      <c r="ESK149" s="3"/>
      <c r="ESL149" s="3"/>
      <c r="ESM149" s="3"/>
      <c r="ESN149" s="3"/>
      <c r="ESO149" s="3"/>
      <c r="ESP149" s="3"/>
      <c r="ESQ149" s="3"/>
      <c r="ESR149" s="3"/>
      <c r="ESS149" s="3"/>
      <c r="EST149" s="3"/>
      <c r="ESU149" s="3"/>
      <c r="ESV149" s="3"/>
      <c r="ESW149" s="3"/>
      <c r="ESX149" s="3"/>
      <c r="ESY149" s="3"/>
      <c r="ESZ149" s="3"/>
      <c r="ETA149" s="3"/>
      <c r="ETB149" s="3"/>
      <c r="ETC149" s="3"/>
      <c r="ETD149" s="3"/>
      <c r="ETE149" s="3"/>
      <c r="ETF149" s="3"/>
      <c r="ETG149" s="3"/>
      <c r="ETH149" s="3"/>
      <c r="ETI149" s="3"/>
      <c r="ETJ149" s="3"/>
      <c r="ETK149" s="3"/>
      <c r="ETL149" s="3"/>
      <c r="ETM149" s="3"/>
      <c r="ETN149" s="3"/>
      <c r="ETO149" s="3"/>
      <c r="ETP149" s="3"/>
      <c r="ETQ149" s="3"/>
      <c r="ETR149" s="3"/>
      <c r="ETS149" s="3"/>
      <c r="ETT149" s="3"/>
      <c r="ETU149" s="3"/>
      <c r="ETV149" s="3"/>
      <c r="ETW149" s="3"/>
      <c r="ETX149" s="3"/>
      <c r="ETY149" s="3"/>
      <c r="ETZ149" s="3"/>
      <c r="EUA149" s="3"/>
      <c r="EUB149" s="3"/>
      <c r="EUC149" s="3"/>
      <c r="EUD149" s="3"/>
      <c r="EUE149" s="3"/>
      <c r="EUF149" s="3"/>
      <c r="EUG149" s="3"/>
      <c r="EUH149" s="3"/>
      <c r="EUI149" s="3"/>
      <c r="EUJ149" s="3"/>
      <c r="EUK149" s="3"/>
      <c r="EUL149" s="3"/>
      <c r="EUM149" s="3"/>
      <c r="EUN149" s="3"/>
      <c r="EUO149" s="3"/>
      <c r="EUP149" s="3"/>
      <c r="EUQ149" s="3"/>
      <c r="EUR149" s="3"/>
      <c r="EUS149" s="3"/>
      <c r="EUT149" s="3"/>
      <c r="EUU149" s="3"/>
      <c r="EUV149" s="3"/>
      <c r="EUW149" s="3"/>
      <c r="EUX149" s="3"/>
      <c r="EUY149" s="3"/>
      <c r="EUZ149" s="3"/>
      <c r="EVA149" s="3"/>
      <c r="EVB149" s="3"/>
      <c r="EVC149" s="3"/>
      <c r="EVD149" s="3"/>
      <c r="EVE149" s="3"/>
      <c r="EVF149" s="3"/>
      <c r="EVG149" s="3"/>
      <c r="EVH149" s="3"/>
      <c r="EVI149" s="3"/>
      <c r="EVJ149" s="3"/>
      <c r="EVK149" s="3"/>
      <c r="EVL149" s="3"/>
      <c r="EVM149" s="3"/>
      <c r="EVN149" s="3"/>
      <c r="EVO149" s="3"/>
      <c r="EVP149" s="3"/>
      <c r="EVQ149" s="3"/>
      <c r="EVR149" s="3"/>
      <c r="EVS149" s="3"/>
      <c r="EVT149" s="3"/>
      <c r="EVU149" s="3"/>
      <c r="EVV149" s="3"/>
      <c r="EVW149" s="3"/>
      <c r="EVX149" s="3"/>
      <c r="EVY149" s="3"/>
      <c r="EVZ149" s="3"/>
      <c r="EWA149" s="3"/>
      <c r="EWB149" s="3"/>
      <c r="EWC149" s="3"/>
      <c r="EWD149" s="3"/>
      <c r="EWE149" s="3"/>
      <c r="EWF149" s="3"/>
      <c r="EWG149" s="3"/>
      <c r="EWH149" s="3"/>
      <c r="EWI149" s="3"/>
      <c r="EWJ149" s="3"/>
      <c r="EWK149" s="3"/>
      <c r="EWL149" s="3"/>
      <c r="EWM149" s="3"/>
      <c r="EWN149" s="3"/>
      <c r="EWO149" s="3"/>
      <c r="EWP149" s="3"/>
      <c r="EWQ149" s="3"/>
      <c r="EWR149" s="3"/>
      <c r="EWS149" s="3"/>
      <c r="EWT149" s="3"/>
      <c r="EWU149" s="3"/>
      <c r="EWV149" s="3"/>
      <c r="EWW149" s="3"/>
      <c r="EWX149" s="3"/>
      <c r="EWY149" s="3"/>
      <c r="EWZ149" s="3"/>
      <c r="EXA149" s="3"/>
      <c r="EXB149" s="3"/>
      <c r="EXC149" s="3"/>
      <c r="EXD149" s="3"/>
      <c r="EXE149" s="3"/>
      <c r="EXF149" s="3"/>
      <c r="EXG149" s="3"/>
      <c r="EXH149" s="3"/>
      <c r="EXI149" s="3"/>
      <c r="EXJ149" s="3"/>
      <c r="EXK149" s="3"/>
      <c r="EXL149" s="3"/>
      <c r="EXM149" s="3"/>
      <c r="EXN149" s="3"/>
      <c r="EXO149" s="3"/>
      <c r="EXP149" s="3"/>
      <c r="EXQ149" s="3"/>
      <c r="EXR149" s="3"/>
      <c r="EXS149" s="3"/>
      <c r="EXT149" s="3"/>
      <c r="EXU149" s="3"/>
      <c r="EXV149" s="3"/>
      <c r="EXW149" s="3"/>
      <c r="EXX149" s="3"/>
      <c r="EXY149" s="3"/>
      <c r="EXZ149" s="3"/>
      <c r="EYA149" s="3"/>
      <c r="EYB149" s="3"/>
      <c r="EYC149" s="3"/>
      <c r="EYD149" s="3"/>
      <c r="EYE149" s="3"/>
      <c r="EYF149" s="3"/>
      <c r="EYG149" s="3"/>
      <c r="EYH149" s="3"/>
      <c r="EYI149" s="3"/>
      <c r="EYJ149" s="3"/>
      <c r="EYK149" s="3"/>
      <c r="EYL149" s="3"/>
      <c r="EYM149" s="3"/>
      <c r="EYN149" s="3"/>
      <c r="EYO149" s="3"/>
      <c r="EYP149" s="3"/>
      <c r="EYQ149" s="3"/>
      <c r="EYR149" s="3"/>
      <c r="EYS149" s="3"/>
      <c r="EYT149" s="3"/>
      <c r="EYU149" s="3"/>
      <c r="EYV149" s="3"/>
      <c r="EYW149" s="3"/>
      <c r="EYX149" s="3"/>
      <c r="EYY149" s="3"/>
      <c r="EYZ149" s="3"/>
      <c r="EZA149" s="3"/>
      <c r="EZB149" s="3"/>
      <c r="EZC149" s="3"/>
      <c r="EZD149" s="3"/>
      <c r="EZE149" s="3"/>
      <c r="EZF149" s="3"/>
      <c r="EZG149" s="3"/>
      <c r="EZH149" s="3"/>
      <c r="EZI149" s="3"/>
      <c r="EZJ149" s="3"/>
      <c r="EZK149" s="3"/>
      <c r="EZL149" s="3"/>
      <c r="EZM149" s="3"/>
      <c r="EZN149" s="3"/>
      <c r="EZO149" s="3"/>
      <c r="EZP149" s="3"/>
      <c r="EZQ149" s="3"/>
      <c r="EZR149" s="3"/>
      <c r="EZS149" s="3"/>
      <c r="EZT149" s="3"/>
      <c r="EZU149" s="3"/>
      <c r="EZV149" s="3"/>
      <c r="EZW149" s="3"/>
      <c r="EZX149" s="3"/>
      <c r="EZY149" s="3"/>
      <c r="EZZ149" s="3"/>
      <c r="FAA149" s="3"/>
      <c r="FAB149" s="3"/>
      <c r="FAC149" s="3"/>
      <c r="FAD149" s="3"/>
      <c r="FAE149" s="3"/>
      <c r="FAF149" s="3"/>
      <c r="FAG149" s="3"/>
      <c r="FAH149" s="3"/>
      <c r="FAI149" s="3"/>
      <c r="FAJ149" s="3"/>
      <c r="FAK149" s="3"/>
      <c r="FAL149" s="3"/>
      <c r="FAM149" s="3"/>
      <c r="FAN149" s="3"/>
      <c r="FAO149" s="3"/>
      <c r="FAP149" s="3"/>
      <c r="FAQ149" s="3"/>
      <c r="FAR149" s="3"/>
      <c r="FAS149" s="3"/>
      <c r="FAT149" s="3"/>
      <c r="FAU149" s="3"/>
      <c r="FAV149" s="3"/>
      <c r="FAW149" s="3"/>
      <c r="FAX149" s="3"/>
      <c r="FAY149" s="3"/>
      <c r="FAZ149" s="3"/>
      <c r="FBA149" s="3"/>
      <c r="FBB149" s="3"/>
      <c r="FBC149" s="3"/>
      <c r="FBD149" s="3"/>
      <c r="FBE149" s="3"/>
      <c r="FBF149" s="3"/>
      <c r="FBG149" s="3"/>
      <c r="FBH149" s="3"/>
      <c r="FBI149" s="3"/>
      <c r="FBJ149" s="3"/>
      <c r="FBK149" s="3"/>
      <c r="FBL149" s="3"/>
      <c r="FBM149" s="3"/>
      <c r="FBN149" s="3"/>
      <c r="FBO149" s="3"/>
      <c r="FBP149" s="3"/>
      <c r="FBQ149" s="3"/>
      <c r="FBR149" s="3"/>
      <c r="FBS149" s="3"/>
      <c r="FBT149" s="3"/>
      <c r="FBU149" s="3"/>
      <c r="FBV149" s="3"/>
      <c r="FBW149" s="3"/>
      <c r="FBX149" s="3"/>
      <c r="FBY149" s="3"/>
      <c r="FBZ149" s="3"/>
      <c r="FCA149" s="3"/>
      <c r="FCB149" s="3"/>
      <c r="FCC149" s="3"/>
      <c r="FCD149" s="3"/>
      <c r="FCE149" s="3"/>
      <c r="FCF149" s="3"/>
      <c r="FCG149" s="3"/>
      <c r="FCH149" s="3"/>
      <c r="FCI149" s="3"/>
      <c r="FCJ149" s="3"/>
      <c r="FCK149" s="3"/>
      <c r="FCL149" s="3"/>
      <c r="FCM149" s="3"/>
      <c r="FCN149" s="3"/>
      <c r="FCO149" s="3"/>
      <c r="FCP149" s="3"/>
      <c r="FCQ149" s="3"/>
      <c r="FCR149" s="3"/>
      <c r="FCS149" s="3"/>
      <c r="FCT149" s="3"/>
      <c r="FCU149" s="3"/>
      <c r="FCV149" s="3"/>
      <c r="FCW149" s="3"/>
      <c r="FCX149" s="3"/>
      <c r="FCY149" s="3"/>
      <c r="FCZ149" s="3"/>
      <c r="FDA149" s="3"/>
      <c r="FDB149" s="3"/>
      <c r="FDC149" s="3"/>
      <c r="FDD149" s="3"/>
      <c r="FDE149" s="3"/>
      <c r="FDF149" s="3"/>
      <c r="FDG149" s="3"/>
      <c r="FDH149" s="3"/>
      <c r="FDI149" s="3"/>
      <c r="FDJ149" s="3"/>
      <c r="FDK149" s="3"/>
      <c r="FDL149" s="3"/>
      <c r="FDM149" s="3"/>
      <c r="FDN149" s="3"/>
      <c r="FDO149" s="3"/>
      <c r="FDP149" s="3"/>
      <c r="FDQ149" s="3"/>
      <c r="FDR149" s="3"/>
      <c r="FDS149" s="3"/>
      <c r="FDT149" s="3"/>
      <c r="FDU149" s="3"/>
      <c r="FDV149" s="3"/>
      <c r="FDW149" s="3"/>
      <c r="FDX149" s="3"/>
      <c r="FDY149" s="3"/>
      <c r="FDZ149" s="3"/>
      <c r="FEA149" s="3"/>
      <c r="FEB149" s="3"/>
      <c r="FEC149" s="3"/>
      <c r="FED149" s="3"/>
      <c r="FEE149" s="3"/>
      <c r="FEF149" s="3"/>
      <c r="FEG149" s="3"/>
      <c r="FEH149" s="3"/>
      <c r="FEI149" s="3"/>
      <c r="FEJ149" s="3"/>
      <c r="FEK149" s="3"/>
      <c r="FEL149" s="3"/>
      <c r="FEM149" s="3"/>
      <c r="FEN149" s="3"/>
      <c r="FEO149" s="3"/>
      <c r="FEP149" s="3"/>
      <c r="FEQ149" s="3"/>
      <c r="FER149" s="3"/>
      <c r="FES149" s="3"/>
      <c r="FET149" s="3"/>
      <c r="FEU149" s="3"/>
      <c r="FEV149" s="3"/>
      <c r="FEW149" s="3"/>
      <c r="FEX149" s="3"/>
      <c r="FEY149" s="3"/>
      <c r="FEZ149" s="3"/>
      <c r="FFA149" s="3"/>
      <c r="FFB149" s="3"/>
      <c r="FFC149" s="3"/>
      <c r="FFD149" s="3"/>
      <c r="FFE149" s="3"/>
      <c r="FFF149" s="3"/>
      <c r="FFG149" s="3"/>
      <c r="FFH149" s="3"/>
      <c r="FFI149" s="3"/>
      <c r="FFJ149" s="3"/>
      <c r="FFK149" s="3"/>
      <c r="FFL149" s="3"/>
      <c r="FFM149" s="3"/>
      <c r="FFN149" s="3"/>
      <c r="FFO149" s="3"/>
      <c r="FFP149" s="3"/>
      <c r="FFQ149" s="3"/>
      <c r="FFR149" s="3"/>
      <c r="FFS149" s="3"/>
      <c r="FFT149" s="3"/>
      <c r="FFU149" s="3"/>
      <c r="FFV149" s="3"/>
      <c r="FFW149" s="3"/>
      <c r="FFX149" s="3"/>
      <c r="FFY149" s="3"/>
      <c r="FFZ149" s="3"/>
      <c r="FGA149" s="3"/>
      <c r="FGB149" s="3"/>
      <c r="FGC149" s="3"/>
      <c r="FGD149" s="3"/>
      <c r="FGE149" s="3"/>
      <c r="FGF149" s="3"/>
      <c r="FGG149" s="3"/>
      <c r="FGH149" s="3"/>
      <c r="FGI149" s="3"/>
      <c r="FGJ149" s="3"/>
      <c r="FGK149" s="3"/>
      <c r="FGL149" s="3"/>
      <c r="FGM149" s="3"/>
      <c r="FGN149" s="3"/>
      <c r="FGO149" s="3"/>
      <c r="FGP149" s="3"/>
      <c r="FGQ149" s="3"/>
      <c r="FGR149" s="3"/>
      <c r="FGS149" s="3"/>
      <c r="FGT149" s="3"/>
      <c r="FGU149" s="3"/>
      <c r="FGV149" s="3"/>
      <c r="FGW149" s="3"/>
      <c r="FGX149" s="3"/>
      <c r="FGY149" s="3"/>
      <c r="FGZ149" s="3"/>
      <c r="FHA149" s="3"/>
      <c r="FHB149" s="3"/>
      <c r="FHC149" s="3"/>
      <c r="FHD149" s="3"/>
      <c r="FHE149" s="3"/>
      <c r="FHF149" s="3"/>
      <c r="FHG149" s="3"/>
      <c r="FHH149" s="3"/>
      <c r="FHI149" s="3"/>
      <c r="FHJ149" s="3"/>
      <c r="FHK149" s="3"/>
      <c r="FHL149" s="3"/>
      <c r="FHM149" s="3"/>
      <c r="FHN149" s="3"/>
      <c r="FHO149" s="3"/>
      <c r="FHP149" s="3"/>
      <c r="FHQ149" s="3"/>
      <c r="FHR149" s="3"/>
      <c r="FHS149" s="3"/>
      <c r="FHT149" s="3"/>
      <c r="FHU149" s="3"/>
      <c r="FHV149" s="3"/>
      <c r="FHW149" s="3"/>
      <c r="FHX149" s="3"/>
      <c r="FHY149" s="3"/>
      <c r="FHZ149" s="3"/>
      <c r="FIA149" s="3"/>
      <c r="FIB149" s="3"/>
      <c r="FIC149" s="3"/>
      <c r="FID149" s="3"/>
      <c r="FIE149" s="3"/>
      <c r="FIF149" s="3"/>
      <c r="FIG149" s="3"/>
      <c r="FIH149" s="3"/>
      <c r="FII149" s="3"/>
      <c r="FIJ149" s="3"/>
      <c r="FIK149" s="3"/>
      <c r="FIL149" s="3"/>
      <c r="FIM149" s="3"/>
      <c r="FIN149" s="3"/>
      <c r="FIO149" s="3"/>
      <c r="FIP149" s="3"/>
      <c r="FIQ149" s="3"/>
      <c r="FIR149" s="3"/>
      <c r="FIS149" s="3"/>
      <c r="FIT149" s="3"/>
      <c r="FIU149" s="3"/>
      <c r="FIV149" s="3"/>
      <c r="FIW149" s="3"/>
      <c r="FIX149" s="3"/>
      <c r="FIY149" s="3"/>
      <c r="FIZ149" s="3"/>
      <c r="FJA149" s="3"/>
      <c r="FJB149" s="3"/>
      <c r="FJC149" s="3"/>
      <c r="FJD149" s="3"/>
      <c r="FJE149" s="3"/>
      <c r="FJF149" s="3"/>
      <c r="FJG149" s="3"/>
      <c r="FJH149" s="3"/>
      <c r="FJI149" s="3"/>
      <c r="FJJ149" s="3"/>
      <c r="FJK149" s="3"/>
      <c r="FJL149" s="3"/>
      <c r="FJM149" s="3"/>
      <c r="FJN149" s="3"/>
      <c r="FJO149" s="3"/>
      <c r="FJP149" s="3"/>
      <c r="FJQ149" s="3"/>
      <c r="FJR149" s="3"/>
      <c r="FJS149" s="3"/>
      <c r="FJT149" s="3"/>
      <c r="FJU149" s="3"/>
      <c r="FJV149" s="3"/>
      <c r="FJW149" s="3"/>
      <c r="FJX149" s="3"/>
      <c r="FJY149" s="3"/>
      <c r="FJZ149" s="3"/>
      <c r="FKA149" s="3"/>
      <c r="FKB149" s="3"/>
      <c r="FKC149" s="3"/>
      <c r="FKD149" s="3"/>
      <c r="FKE149" s="3"/>
      <c r="FKF149" s="3"/>
      <c r="FKG149" s="3"/>
      <c r="FKH149" s="3"/>
      <c r="FKI149" s="3"/>
      <c r="FKJ149" s="3"/>
      <c r="FKK149" s="3"/>
      <c r="FKL149" s="3"/>
      <c r="FKM149" s="3"/>
      <c r="FKN149" s="3"/>
      <c r="FKO149" s="3"/>
      <c r="FKP149" s="3"/>
      <c r="FKQ149" s="3"/>
      <c r="FKR149" s="3"/>
      <c r="FKS149" s="3"/>
      <c r="FKT149" s="3"/>
      <c r="FKU149" s="3"/>
      <c r="FKV149" s="3"/>
      <c r="FKW149" s="3"/>
      <c r="FKX149" s="3"/>
      <c r="FKY149" s="3"/>
      <c r="FKZ149" s="3"/>
      <c r="FLA149" s="3"/>
      <c r="FLB149" s="3"/>
      <c r="FLC149" s="3"/>
      <c r="FLD149" s="3"/>
      <c r="FLE149" s="3"/>
      <c r="FLF149" s="3"/>
      <c r="FLG149" s="3"/>
      <c r="FLH149" s="3"/>
      <c r="FLI149" s="3"/>
      <c r="FLJ149" s="3"/>
      <c r="FLK149" s="3"/>
      <c r="FLL149" s="3"/>
      <c r="FLM149" s="3"/>
      <c r="FLN149" s="3"/>
      <c r="FLO149" s="3"/>
      <c r="FLP149" s="3"/>
      <c r="FLQ149" s="3"/>
      <c r="FLR149" s="3"/>
      <c r="FLS149" s="3"/>
      <c r="FLT149" s="3"/>
      <c r="FLU149" s="3"/>
      <c r="FLV149" s="3"/>
      <c r="FLW149" s="3"/>
      <c r="FLX149" s="3"/>
      <c r="FLY149" s="3"/>
      <c r="FLZ149" s="3"/>
      <c r="FMA149" s="3"/>
      <c r="FMB149" s="3"/>
      <c r="FMC149" s="3"/>
      <c r="FMD149" s="3"/>
      <c r="FME149" s="3"/>
      <c r="FMF149" s="3"/>
      <c r="FMG149" s="3"/>
      <c r="FMH149" s="3"/>
      <c r="FMI149" s="3"/>
      <c r="FMJ149" s="3"/>
      <c r="FMK149" s="3"/>
      <c r="FML149" s="3"/>
      <c r="FMM149" s="3"/>
      <c r="FMN149" s="3"/>
      <c r="FMO149" s="3"/>
      <c r="FMP149" s="3"/>
      <c r="FMQ149" s="3"/>
      <c r="FMR149" s="3"/>
      <c r="FMS149" s="3"/>
      <c r="FMT149" s="3"/>
      <c r="FMU149" s="3"/>
      <c r="FMV149" s="3"/>
      <c r="FMW149" s="3"/>
      <c r="FMX149" s="3"/>
      <c r="FMY149" s="3"/>
      <c r="FMZ149" s="3"/>
      <c r="FNA149" s="3"/>
      <c r="FNB149" s="3"/>
      <c r="FNC149" s="3"/>
      <c r="FND149" s="3"/>
      <c r="FNE149" s="3"/>
      <c r="FNF149" s="3"/>
      <c r="FNG149" s="3"/>
      <c r="FNH149" s="3"/>
      <c r="FNI149" s="3"/>
      <c r="FNJ149" s="3"/>
      <c r="FNK149" s="3"/>
      <c r="FNL149" s="3"/>
      <c r="FNM149" s="3"/>
      <c r="FNN149" s="3"/>
      <c r="FNO149" s="3"/>
      <c r="FNP149" s="3"/>
      <c r="FNQ149" s="3"/>
      <c r="FNR149" s="3"/>
      <c r="FNS149" s="3"/>
      <c r="FNT149" s="3"/>
      <c r="FNU149" s="3"/>
      <c r="FNV149" s="3"/>
      <c r="FNW149" s="3"/>
      <c r="FNX149" s="3"/>
      <c r="FNY149" s="3"/>
      <c r="FNZ149" s="3"/>
      <c r="FOA149" s="3"/>
      <c r="FOB149" s="3"/>
      <c r="FOC149" s="3"/>
      <c r="FOD149" s="3"/>
      <c r="FOE149" s="3"/>
      <c r="FOF149" s="3"/>
      <c r="FOG149" s="3"/>
      <c r="FOH149" s="3"/>
      <c r="FOI149" s="3"/>
      <c r="FOJ149" s="3"/>
      <c r="FOK149" s="3"/>
      <c r="FOL149" s="3"/>
      <c r="FOM149" s="3"/>
      <c r="FON149" s="3"/>
      <c r="FOO149" s="3"/>
      <c r="FOP149" s="3"/>
      <c r="FOQ149" s="3"/>
      <c r="FOR149" s="3"/>
      <c r="FOS149" s="3"/>
      <c r="FOT149" s="3"/>
      <c r="FOU149" s="3"/>
      <c r="FOV149" s="3"/>
      <c r="FOW149" s="3"/>
      <c r="FOX149" s="3"/>
      <c r="FOY149" s="3"/>
      <c r="FOZ149" s="3"/>
      <c r="FPA149" s="3"/>
      <c r="FPB149" s="3"/>
      <c r="FPC149" s="3"/>
      <c r="FPD149" s="3"/>
      <c r="FPE149" s="3"/>
      <c r="FPF149" s="3"/>
      <c r="FPG149" s="3"/>
      <c r="FPH149" s="3"/>
      <c r="FPI149" s="3"/>
      <c r="FPJ149" s="3"/>
      <c r="FPK149" s="3"/>
      <c r="FPL149" s="3"/>
      <c r="FPM149" s="3"/>
      <c r="FPN149" s="3"/>
      <c r="FPO149" s="3"/>
      <c r="FPP149" s="3"/>
      <c r="FPQ149" s="3"/>
      <c r="FPR149" s="3"/>
      <c r="FPS149" s="3"/>
      <c r="FPT149" s="3"/>
      <c r="FPU149" s="3"/>
      <c r="FPV149" s="3"/>
      <c r="FPW149" s="3"/>
      <c r="FPX149" s="3"/>
      <c r="FPY149" s="3"/>
      <c r="FPZ149" s="3"/>
      <c r="FQA149" s="3"/>
      <c r="FQB149" s="3"/>
      <c r="FQC149" s="3"/>
      <c r="FQD149" s="3"/>
      <c r="FQE149" s="3"/>
      <c r="FQF149" s="3"/>
      <c r="FQG149" s="3"/>
      <c r="FQH149" s="3"/>
      <c r="FQI149" s="3"/>
      <c r="FQJ149" s="3"/>
      <c r="FQK149" s="3"/>
      <c r="FQL149" s="3"/>
      <c r="FQM149" s="3"/>
      <c r="FQN149" s="3"/>
      <c r="FQO149" s="3"/>
      <c r="FQP149" s="3"/>
      <c r="FQQ149" s="3"/>
      <c r="FQR149" s="3"/>
      <c r="FQS149" s="3"/>
      <c r="FQT149" s="3"/>
      <c r="FQU149" s="3"/>
      <c r="FQV149" s="3"/>
      <c r="FQW149" s="3"/>
      <c r="FQX149" s="3"/>
      <c r="FQY149" s="3"/>
      <c r="FQZ149" s="3"/>
      <c r="FRA149" s="3"/>
      <c r="FRB149" s="3"/>
      <c r="FRC149" s="3"/>
      <c r="FRD149" s="3"/>
      <c r="FRE149" s="3"/>
      <c r="FRF149" s="3"/>
      <c r="FRG149" s="3"/>
      <c r="FRH149" s="3"/>
      <c r="FRI149" s="3"/>
      <c r="FRJ149" s="3"/>
      <c r="FRK149" s="3"/>
      <c r="FRL149" s="3"/>
      <c r="FRM149" s="3"/>
      <c r="FRN149" s="3"/>
      <c r="FRO149" s="3"/>
      <c r="FRP149" s="3"/>
      <c r="FRQ149" s="3"/>
      <c r="FRR149" s="3"/>
      <c r="FRS149" s="3"/>
      <c r="FRT149" s="3"/>
      <c r="FRU149" s="3"/>
      <c r="FRV149" s="3"/>
      <c r="FRW149" s="3"/>
      <c r="FRX149" s="3"/>
      <c r="FRY149" s="3"/>
      <c r="FRZ149" s="3"/>
      <c r="FSA149" s="3"/>
      <c r="FSB149" s="3"/>
      <c r="FSC149" s="3"/>
      <c r="FSD149" s="3"/>
      <c r="FSE149" s="3"/>
      <c r="FSF149" s="3"/>
      <c r="FSG149" s="3"/>
      <c r="FSH149" s="3"/>
      <c r="FSI149" s="3"/>
      <c r="FSJ149" s="3"/>
      <c r="FSK149" s="3"/>
      <c r="FSL149" s="3"/>
      <c r="FSM149" s="3"/>
      <c r="FSN149" s="3"/>
      <c r="FSO149" s="3"/>
      <c r="FSP149" s="3"/>
      <c r="FSQ149" s="3"/>
      <c r="FSR149" s="3"/>
      <c r="FSS149" s="3"/>
      <c r="FST149" s="3"/>
      <c r="FSU149" s="3"/>
      <c r="FSV149" s="3"/>
      <c r="FSW149" s="3"/>
      <c r="FSX149" s="3"/>
      <c r="FSY149" s="3"/>
      <c r="FSZ149" s="3"/>
      <c r="FTA149" s="3"/>
      <c r="FTB149" s="3"/>
      <c r="FTC149" s="3"/>
      <c r="FTD149" s="3"/>
      <c r="FTE149" s="3"/>
      <c r="FTF149" s="3"/>
      <c r="FTG149" s="3"/>
      <c r="FTH149" s="3"/>
      <c r="FTI149" s="3"/>
      <c r="FTJ149" s="3"/>
      <c r="FTK149" s="3"/>
      <c r="FTL149" s="3"/>
      <c r="FTM149" s="3"/>
      <c r="FTN149" s="3"/>
      <c r="FTO149" s="3"/>
      <c r="FTP149" s="3"/>
      <c r="FTQ149" s="3"/>
      <c r="FTR149" s="3"/>
      <c r="FTS149" s="3"/>
      <c r="FTT149" s="3"/>
      <c r="FTU149" s="3"/>
      <c r="FTV149" s="3"/>
      <c r="FTW149" s="3"/>
      <c r="FTX149" s="3"/>
      <c r="FTY149" s="3"/>
      <c r="FTZ149" s="3"/>
      <c r="FUA149" s="3"/>
      <c r="FUB149" s="3"/>
      <c r="FUC149" s="3"/>
      <c r="FUD149" s="3"/>
      <c r="FUE149" s="3"/>
      <c r="FUF149" s="3"/>
      <c r="FUG149" s="3"/>
      <c r="FUH149" s="3"/>
      <c r="FUI149" s="3"/>
      <c r="FUJ149" s="3"/>
      <c r="FUK149" s="3"/>
      <c r="FUL149" s="3"/>
      <c r="FUM149" s="3"/>
      <c r="FUN149" s="3"/>
      <c r="FUO149" s="3"/>
      <c r="FUP149" s="3"/>
      <c r="FUQ149" s="3"/>
      <c r="FUR149" s="3"/>
      <c r="FUS149" s="3"/>
      <c r="FUT149" s="3"/>
      <c r="FUU149" s="3"/>
      <c r="FUV149" s="3"/>
      <c r="FUW149" s="3"/>
      <c r="FUX149" s="3"/>
      <c r="FUY149" s="3"/>
      <c r="FUZ149" s="3"/>
      <c r="FVA149" s="3"/>
      <c r="FVB149" s="3"/>
      <c r="FVC149" s="3"/>
      <c r="FVD149" s="3"/>
      <c r="FVE149" s="3"/>
      <c r="FVF149" s="3"/>
      <c r="FVG149" s="3"/>
      <c r="FVH149" s="3"/>
      <c r="FVI149" s="3"/>
      <c r="FVJ149" s="3"/>
      <c r="FVK149" s="3"/>
      <c r="FVL149" s="3"/>
      <c r="FVM149" s="3"/>
      <c r="FVN149" s="3"/>
      <c r="FVO149" s="3"/>
      <c r="FVP149" s="3"/>
      <c r="FVQ149" s="3"/>
      <c r="FVR149" s="3"/>
      <c r="FVS149" s="3"/>
      <c r="FVT149" s="3"/>
      <c r="FVU149" s="3"/>
      <c r="FVV149" s="3"/>
      <c r="FVW149" s="3"/>
      <c r="FVX149" s="3"/>
      <c r="FVY149" s="3"/>
      <c r="FVZ149" s="3"/>
      <c r="FWA149" s="3"/>
      <c r="FWB149" s="3"/>
      <c r="FWC149" s="3"/>
      <c r="FWD149" s="3"/>
      <c r="FWE149" s="3"/>
      <c r="FWF149" s="3"/>
      <c r="FWG149" s="3"/>
      <c r="FWH149" s="3"/>
      <c r="FWI149" s="3"/>
      <c r="FWJ149" s="3"/>
      <c r="FWK149" s="3"/>
      <c r="FWL149" s="3"/>
      <c r="FWM149" s="3"/>
      <c r="FWN149" s="3"/>
      <c r="FWO149" s="3"/>
      <c r="FWP149" s="3"/>
      <c r="FWQ149" s="3"/>
      <c r="FWR149" s="3"/>
      <c r="FWS149" s="3"/>
      <c r="FWT149" s="3"/>
      <c r="FWU149" s="3"/>
      <c r="FWV149" s="3"/>
      <c r="FWW149" s="3"/>
      <c r="FWX149" s="3"/>
      <c r="FWY149" s="3"/>
      <c r="FWZ149" s="3"/>
      <c r="FXA149" s="3"/>
      <c r="FXB149" s="3"/>
      <c r="FXC149" s="3"/>
      <c r="FXD149" s="3"/>
      <c r="FXE149" s="3"/>
      <c r="FXF149" s="3"/>
      <c r="FXG149" s="3"/>
      <c r="FXH149" s="3"/>
      <c r="FXI149" s="3"/>
      <c r="FXJ149" s="3"/>
      <c r="FXK149" s="3"/>
      <c r="FXL149" s="3"/>
      <c r="FXM149" s="3"/>
      <c r="FXN149" s="3"/>
      <c r="FXO149" s="3"/>
      <c r="FXP149" s="3"/>
      <c r="FXQ149" s="3"/>
      <c r="FXR149" s="3"/>
      <c r="FXS149" s="3"/>
      <c r="FXT149" s="3"/>
      <c r="FXU149" s="3"/>
      <c r="FXV149" s="3"/>
      <c r="FXW149" s="3"/>
      <c r="FXX149" s="3"/>
      <c r="FXY149" s="3"/>
      <c r="FXZ149" s="3"/>
      <c r="FYA149" s="3"/>
      <c r="FYB149" s="3"/>
      <c r="FYC149" s="3"/>
      <c r="FYD149" s="3"/>
      <c r="FYE149" s="3"/>
      <c r="FYF149" s="3"/>
      <c r="FYG149" s="3"/>
      <c r="FYH149" s="3"/>
      <c r="FYI149" s="3"/>
      <c r="FYJ149" s="3"/>
      <c r="FYK149" s="3"/>
      <c r="FYL149" s="3"/>
      <c r="FYM149" s="3"/>
      <c r="FYN149" s="3"/>
      <c r="FYO149" s="3"/>
      <c r="FYP149" s="3"/>
      <c r="FYQ149" s="3"/>
      <c r="FYR149" s="3"/>
      <c r="FYS149" s="3"/>
      <c r="FYT149" s="3"/>
      <c r="FYU149" s="3"/>
      <c r="FYV149" s="3"/>
      <c r="FYW149" s="3"/>
      <c r="FYX149" s="3"/>
      <c r="FYY149" s="3"/>
      <c r="FYZ149" s="3"/>
      <c r="FZA149" s="3"/>
      <c r="FZB149" s="3"/>
      <c r="FZC149" s="3"/>
      <c r="FZD149" s="3"/>
      <c r="FZE149" s="3"/>
      <c r="FZF149" s="3"/>
      <c r="FZG149" s="3"/>
      <c r="FZH149" s="3"/>
      <c r="FZI149" s="3"/>
      <c r="FZJ149" s="3"/>
      <c r="FZK149" s="3"/>
      <c r="FZL149" s="3"/>
      <c r="FZM149" s="3"/>
      <c r="FZN149" s="3"/>
      <c r="FZO149" s="3"/>
      <c r="FZP149" s="3"/>
      <c r="FZQ149" s="3"/>
      <c r="FZR149" s="3"/>
      <c r="FZS149" s="3"/>
      <c r="FZT149" s="3"/>
      <c r="FZU149" s="3"/>
      <c r="FZV149" s="3"/>
      <c r="FZW149" s="3"/>
      <c r="FZX149" s="3"/>
      <c r="FZY149" s="3"/>
      <c r="FZZ149" s="3"/>
      <c r="GAA149" s="3"/>
      <c r="GAB149" s="3"/>
      <c r="GAC149" s="3"/>
      <c r="GAD149" s="3"/>
      <c r="GAE149" s="3"/>
      <c r="GAF149" s="3"/>
      <c r="GAG149" s="3"/>
      <c r="GAH149" s="3"/>
      <c r="GAI149" s="3"/>
      <c r="GAJ149" s="3"/>
      <c r="GAK149" s="3"/>
      <c r="GAL149" s="3"/>
      <c r="GAM149" s="3"/>
      <c r="GAN149" s="3"/>
      <c r="GAO149" s="3"/>
      <c r="GAP149" s="3"/>
      <c r="GAQ149" s="3"/>
      <c r="GAR149" s="3"/>
      <c r="GAS149" s="3"/>
      <c r="GAT149" s="3"/>
      <c r="GAU149" s="3"/>
      <c r="GAV149" s="3"/>
      <c r="GAW149" s="3"/>
      <c r="GAX149" s="3"/>
      <c r="GAY149" s="3"/>
      <c r="GAZ149" s="3"/>
      <c r="GBA149" s="3"/>
      <c r="GBB149" s="3"/>
      <c r="GBC149" s="3"/>
      <c r="GBD149" s="3"/>
      <c r="GBE149" s="3"/>
      <c r="GBF149" s="3"/>
      <c r="GBG149" s="3"/>
      <c r="GBH149" s="3"/>
      <c r="GBI149" s="3"/>
      <c r="GBJ149" s="3"/>
      <c r="GBK149" s="3"/>
      <c r="GBL149" s="3"/>
      <c r="GBM149" s="3"/>
      <c r="GBN149" s="3"/>
      <c r="GBO149" s="3"/>
      <c r="GBP149" s="3"/>
      <c r="GBQ149" s="3"/>
      <c r="GBR149" s="3"/>
      <c r="GBS149" s="3"/>
      <c r="GBT149" s="3"/>
      <c r="GBU149" s="3"/>
      <c r="GBV149" s="3"/>
      <c r="GBW149" s="3"/>
      <c r="GBX149" s="3"/>
      <c r="GBY149" s="3"/>
      <c r="GBZ149" s="3"/>
      <c r="GCA149" s="3"/>
      <c r="GCB149" s="3"/>
      <c r="GCC149" s="3"/>
      <c r="GCD149" s="3"/>
      <c r="GCE149" s="3"/>
      <c r="GCF149" s="3"/>
      <c r="GCG149" s="3"/>
      <c r="GCH149" s="3"/>
      <c r="GCI149" s="3"/>
      <c r="GCJ149" s="3"/>
      <c r="GCK149" s="3"/>
      <c r="GCL149" s="3"/>
      <c r="GCM149" s="3"/>
      <c r="GCN149" s="3"/>
      <c r="GCO149" s="3"/>
      <c r="GCP149" s="3"/>
      <c r="GCQ149" s="3"/>
      <c r="GCR149" s="3"/>
      <c r="GCS149" s="3"/>
      <c r="GCT149" s="3"/>
      <c r="GCU149" s="3"/>
      <c r="GCV149" s="3"/>
      <c r="GCW149" s="3"/>
      <c r="GCX149" s="3"/>
      <c r="GCY149" s="3"/>
      <c r="GCZ149" s="3"/>
      <c r="GDA149" s="3"/>
      <c r="GDB149" s="3"/>
      <c r="GDC149" s="3"/>
      <c r="GDD149" s="3"/>
      <c r="GDE149" s="3"/>
      <c r="GDF149" s="3"/>
      <c r="GDG149" s="3"/>
      <c r="GDH149" s="3"/>
      <c r="GDI149" s="3"/>
      <c r="GDJ149" s="3"/>
      <c r="GDK149" s="3"/>
      <c r="GDL149" s="3"/>
      <c r="GDM149" s="3"/>
      <c r="GDN149" s="3"/>
      <c r="GDO149" s="3"/>
      <c r="GDP149" s="3"/>
      <c r="GDQ149" s="3"/>
      <c r="GDR149" s="3"/>
      <c r="GDS149" s="3"/>
      <c r="GDT149" s="3"/>
      <c r="GDU149" s="3"/>
      <c r="GDV149" s="3"/>
      <c r="GDW149" s="3"/>
      <c r="GDX149" s="3"/>
      <c r="GDY149" s="3"/>
      <c r="GDZ149" s="3"/>
      <c r="GEA149" s="3"/>
      <c r="GEB149" s="3"/>
      <c r="GEC149" s="3"/>
      <c r="GED149" s="3"/>
      <c r="GEE149" s="3"/>
      <c r="GEF149" s="3"/>
      <c r="GEG149" s="3"/>
      <c r="GEH149" s="3"/>
      <c r="GEI149" s="3"/>
      <c r="GEJ149" s="3"/>
      <c r="GEK149" s="3"/>
      <c r="GEL149" s="3"/>
      <c r="GEM149" s="3"/>
      <c r="GEN149" s="3"/>
      <c r="GEO149" s="3"/>
      <c r="GEP149" s="3"/>
      <c r="GEQ149" s="3"/>
      <c r="GER149" s="3"/>
      <c r="GES149" s="3"/>
      <c r="GET149" s="3"/>
      <c r="GEU149" s="3"/>
      <c r="GEV149" s="3"/>
      <c r="GEW149" s="3"/>
      <c r="GEX149" s="3"/>
      <c r="GEY149" s="3"/>
      <c r="GEZ149" s="3"/>
      <c r="GFA149" s="3"/>
      <c r="GFB149" s="3"/>
      <c r="GFC149" s="3"/>
      <c r="GFD149" s="3"/>
      <c r="GFE149" s="3"/>
      <c r="GFF149" s="3"/>
      <c r="GFG149" s="3"/>
      <c r="GFH149" s="3"/>
      <c r="GFI149" s="3"/>
      <c r="GFJ149" s="3"/>
      <c r="GFK149" s="3"/>
      <c r="GFL149" s="3"/>
      <c r="GFM149" s="3"/>
      <c r="GFN149" s="3"/>
      <c r="GFO149" s="3"/>
      <c r="GFP149" s="3"/>
      <c r="GFQ149" s="3"/>
      <c r="GFR149" s="3"/>
      <c r="GFS149" s="3"/>
      <c r="GFT149" s="3"/>
      <c r="GFU149" s="3"/>
      <c r="GFV149" s="3"/>
      <c r="GFW149" s="3"/>
      <c r="GFX149" s="3"/>
      <c r="GFY149" s="3"/>
      <c r="GFZ149" s="3"/>
      <c r="GGA149" s="3"/>
      <c r="GGB149" s="3"/>
      <c r="GGC149" s="3"/>
      <c r="GGD149" s="3"/>
      <c r="GGE149" s="3"/>
      <c r="GGF149" s="3"/>
      <c r="GGG149" s="3"/>
      <c r="GGH149" s="3"/>
      <c r="GGI149" s="3"/>
      <c r="GGJ149" s="3"/>
      <c r="GGK149" s="3"/>
      <c r="GGL149" s="3"/>
      <c r="GGM149" s="3"/>
      <c r="GGN149" s="3"/>
      <c r="GGO149" s="3"/>
      <c r="GGP149" s="3"/>
      <c r="GGQ149" s="3"/>
      <c r="GGR149" s="3"/>
      <c r="GGS149" s="3"/>
      <c r="GGT149" s="3"/>
      <c r="GGU149" s="3"/>
      <c r="GGV149" s="3"/>
      <c r="GGW149" s="3"/>
      <c r="GGX149" s="3"/>
      <c r="GGY149" s="3"/>
      <c r="GGZ149" s="3"/>
      <c r="GHA149" s="3"/>
      <c r="GHB149" s="3"/>
      <c r="GHC149" s="3"/>
      <c r="GHD149" s="3"/>
      <c r="GHE149" s="3"/>
      <c r="GHF149" s="3"/>
      <c r="GHG149" s="3"/>
      <c r="GHH149" s="3"/>
      <c r="GHI149" s="3"/>
      <c r="GHJ149" s="3"/>
      <c r="GHK149" s="3"/>
      <c r="GHL149" s="3"/>
      <c r="GHM149" s="3"/>
      <c r="GHN149" s="3"/>
      <c r="GHO149" s="3"/>
      <c r="GHP149" s="3"/>
      <c r="GHQ149" s="3"/>
      <c r="GHR149" s="3"/>
      <c r="GHS149" s="3"/>
      <c r="GHT149" s="3"/>
      <c r="GHU149" s="3"/>
      <c r="GHV149" s="3"/>
      <c r="GHW149" s="3"/>
      <c r="GHX149" s="3"/>
      <c r="GHY149" s="3"/>
      <c r="GHZ149" s="3"/>
      <c r="GIA149" s="3"/>
      <c r="GIB149" s="3"/>
      <c r="GIC149" s="3"/>
      <c r="GID149" s="3"/>
      <c r="GIE149" s="3"/>
      <c r="GIF149" s="3"/>
      <c r="GIG149" s="3"/>
      <c r="GIH149" s="3"/>
      <c r="GII149" s="3"/>
      <c r="GIJ149" s="3"/>
      <c r="GIK149" s="3"/>
      <c r="GIL149" s="3"/>
      <c r="GIM149" s="3"/>
      <c r="GIN149" s="3"/>
      <c r="GIO149" s="3"/>
      <c r="GIP149" s="3"/>
      <c r="GIQ149" s="3"/>
      <c r="GIR149" s="3"/>
      <c r="GIS149" s="3"/>
      <c r="GIT149" s="3"/>
      <c r="GIU149" s="3"/>
      <c r="GIV149" s="3"/>
      <c r="GIW149" s="3"/>
      <c r="GIX149" s="3"/>
      <c r="GIY149" s="3"/>
      <c r="GIZ149" s="3"/>
      <c r="GJA149" s="3"/>
      <c r="GJB149" s="3"/>
      <c r="GJC149" s="3"/>
      <c r="GJD149" s="3"/>
      <c r="GJE149" s="3"/>
      <c r="GJF149" s="3"/>
      <c r="GJG149" s="3"/>
      <c r="GJH149" s="3"/>
      <c r="GJI149" s="3"/>
      <c r="GJJ149" s="3"/>
      <c r="GJK149" s="3"/>
      <c r="GJL149" s="3"/>
      <c r="GJM149" s="3"/>
      <c r="GJN149" s="3"/>
      <c r="GJO149" s="3"/>
      <c r="GJP149" s="3"/>
      <c r="GJQ149" s="3"/>
      <c r="GJR149" s="3"/>
      <c r="GJS149" s="3"/>
      <c r="GJT149" s="3"/>
      <c r="GJU149" s="3"/>
      <c r="GJV149" s="3"/>
      <c r="GJW149" s="3"/>
      <c r="GJX149" s="3"/>
      <c r="GJY149" s="3"/>
      <c r="GJZ149" s="3"/>
      <c r="GKA149" s="3"/>
      <c r="GKB149" s="3"/>
      <c r="GKC149" s="3"/>
      <c r="GKD149" s="3"/>
      <c r="GKE149" s="3"/>
      <c r="GKF149" s="3"/>
      <c r="GKG149" s="3"/>
      <c r="GKH149" s="3"/>
      <c r="GKI149" s="3"/>
      <c r="GKJ149" s="3"/>
      <c r="GKK149" s="3"/>
      <c r="GKL149" s="3"/>
      <c r="GKM149" s="3"/>
      <c r="GKN149" s="3"/>
      <c r="GKO149" s="3"/>
      <c r="GKP149" s="3"/>
      <c r="GKQ149" s="3"/>
      <c r="GKR149" s="3"/>
      <c r="GKS149" s="3"/>
      <c r="GKT149" s="3"/>
      <c r="GKU149" s="3"/>
      <c r="GKV149" s="3"/>
      <c r="GKW149" s="3"/>
      <c r="GKX149" s="3"/>
      <c r="GKY149" s="3"/>
      <c r="GKZ149" s="3"/>
      <c r="GLA149" s="3"/>
      <c r="GLB149" s="3"/>
      <c r="GLC149" s="3"/>
      <c r="GLD149" s="3"/>
      <c r="GLE149" s="3"/>
      <c r="GLF149" s="3"/>
      <c r="GLG149" s="3"/>
      <c r="GLH149" s="3"/>
      <c r="GLI149" s="3"/>
      <c r="GLJ149" s="3"/>
      <c r="GLK149" s="3"/>
      <c r="GLL149" s="3"/>
      <c r="GLM149" s="3"/>
      <c r="GLN149" s="3"/>
      <c r="GLO149" s="3"/>
      <c r="GLP149" s="3"/>
      <c r="GLQ149" s="3"/>
      <c r="GLR149" s="3"/>
      <c r="GLS149" s="3"/>
      <c r="GLT149" s="3"/>
      <c r="GLU149" s="3"/>
      <c r="GLV149" s="3"/>
      <c r="GLW149" s="3"/>
      <c r="GLX149" s="3"/>
      <c r="GLY149" s="3"/>
      <c r="GLZ149" s="3"/>
      <c r="GMA149" s="3"/>
      <c r="GMB149" s="3"/>
      <c r="GMC149" s="3"/>
      <c r="GMD149" s="3"/>
      <c r="GME149" s="3"/>
      <c r="GMF149" s="3"/>
      <c r="GMG149" s="3"/>
      <c r="GMH149" s="3"/>
      <c r="GMI149" s="3"/>
      <c r="GMJ149" s="3"/>
      <c r="GMK149" s="3"/>
      <c r="GML149" s="3"/>
      <c r="GMM149" s="3"/>
      <c r="GMN149" s="3"/>
      <c r="GMO149" s="3"/>
      <c r="GMP149" s="3"/>
      <c r="GMQ149" s="3"/>
      <c r="GMR149" s="3"/>
      <c r="GMS149" s="3"/>
      <c r="GMT149" s="3"/>
      <c r="GMU149" s="3"/>
      <c r="GMV149" s="3"/>
      <c r="GMW149" s="3"/>
      <c r="GMX149" s="3"/>
      <c r="GMY149" s="3"/>
      <c r="GMZ149" s="3"/>
      <c r="GNA149" s="3"/>
      <c r="GNB149" s="3"/>
      <c r="GNC149" s="3"/>
      <c r="GND149" s="3"/>
      <c r="GNE149" s="3"/>
      <c r="GNF149" s="3"/>
      <c r="GNG149" s="3"/>
      <c r="GNH149" s="3"/>
      <c r="GNI149" s="3"/>
      <c r="GNJ149" s="3"/>
      <c r="GNK149" s="3"/>
      <c r="GNL149" s="3"/>
      <c r="GNM149" s="3"/>
      <c r="GNN149" s="3"/>
      <c r="GNO149" s="3"/>
      <c r="GNP149" s="3"/>
      <c r="GNQ149" s="3"/>
      <c r="GNR149" s="3"/>
      <c r="GNS149" s="3"/>
      <c r="GNT149" s="3"/>
      <c r="GNU149" s="3"/>
      <c r="GNV149" s="3"/>
      <c r="GNW149" s="3"/>
      <c r="GNX149" s="3"/>
      <c r="GNY149" s="3"/>
      <c r="GNZ149" s="3"/>
      <c r="GOA149" s="3"/>
      <c r="GOB149" s="3"/>
      <c r="GOC149" s="3"/>
      <c r="GOD149" s="3"/>
      <c r="GOE149" s="3"/>
      <c r="GOF149" s="3"/>
      <c r="GOG149" s="3"/>
      <c r="GOH149" s="3"/>
      <c r="GOI149" s="3"/>
      <c r="GOJ149" s="3"/>
      <c r="GOK149" s="3"/>
      <c r="GOL149" s="3"/>
      <c r="GOM149" s="3"/>
      <c r="GON149" s="3"/>
      <c r="GOO149" s="3"/>
      <c r="GOP149" s="3"/>
      <c r="GOQ149" s="3"/>
      <c r="GOR149" s="3"/>
      <c r="GOS149" s="3"/>
      <c r="GOT149" s="3"/>
      <c r="GOU149" s="3"/>
      <c r="GOV149" s="3"/>
      <c r="GOW149" s="3"/>
      <c r="GOX149" s="3"/>
      <c r="GOY149" s="3"/>
      <c r="GOZ149" s="3"/>
      <c r="GPA149" s="3"/>
      <c r="GPB149" s="3"/>
      <c r="GPC149" s="3"/>
      <c r="GPD149" s="3"/>
      <c r="GPE149" s="3"/>
      <c r="GPF149" s="3"/>
      <c r="GPG149" s="3"/>
      <c r="GPH149" s="3"/>
      <c r="GPI149" s="3"/>
      <c r="GPJ149" s="3"/>
      <c r="GPK149" s="3"/>
      <c r="GPL149" s="3"/>
      <c r="GPM149" s="3"/>
      <c r="GPN149" s="3"/>
      <c r="GPO149" s="3"/>
      <c r="GPP149" s="3"/>
      <c r="GPQ149" s="3"/>
      <c r="GPR149" s="3"/>
      <c r="GPS149" s="3"/>
      <c r="GPT149" s="3"/>
      <c r="GPU149" s="3"/>
      <c r="GPV149" s="3"/>
      <c r="GPW149" s="3"/>
      <c r="GPX149" s="3"/>
      <c r="GPY149" s="3"/>
      <c r="GPZ149" s="3"/>
      <c r="GQA149" s="3"/>
      <c r="GQB149" s="3"/>
      <c r="GQC149" s="3"/>
      <c r="GQD149" s="3"/>
      <c r="GQE149" s="3"/>
      <c r="GQF149" s="3"/>
      <c r="GQG149" s="3"/>
      <c r="GQH149" s="3"/>
      <c r="GQI149" s="3"/>
      <c r="GQJ149" s="3"/>
      <c r="GQK149" s="3"/>
      <c r="GQL149" s="3"/>
      <c r="GQM149" s="3"/>
      <c r="GQN149" s="3"/>
      <c r="GQO149" s="3"/>
      <c r="GQP149" s="3"/>
      <c r="GQQ149" s="3"/>
      <c r="GQR149" s="3"/>
      <c r="GQS149" s="3"/>
      <c r="GQT149" s="3"/>
      <c r="GQU149" s="3"/>
      <c r="GQV149" s="3"/>
      <c r="GQW149" s="3"/>
      <c r="GQX149" s="3"/>
      <c r="GQY149" s="3"/>
      <c r="GQZ149" s="3"/>
      <c r="GRA149" s="3"/>
      <c r="GRB149" s="3"/>
      <c r="GRC149" s="3"/>
      <c r="GRD149" s="3"/>
      <c r="GRE149" s="3"/>
      <c r="GRF149" s="3"/>
      <c r="GRG149" s="3"/>
      <c r="GRH149" s="3"/>
      <c r="GRI149" s="3"/>
      <c r="GRJ149" s="3"/>
      <c r="GRK149" s="3"/>
      <c r="GRL149" s="3"/>
      <c r="GRM149" s="3"/>
      <c r="GRN149" s="3"/>
      <c r="GRO149" s="3"/>
      <c r="GRP149" s="3"/>
      <c r="GRQ149" s="3"/>
      <c r="GRR149" s="3"/>
      <c r="GRS149" s="3"/>
      <c r="GRT149" s="3"/>
      <c r="GRU149" s="3"/>
      <c r="GRV149" s="3"/>
      <c r="GRW149" s="3"/>
      <c r="GRX149" s="3"/>
      <c r="GRY149" s="3"/>
      <c r="GRZ149" s="3"/>
      <c r="GSA149" s="3"/>
      <c r="GSB149" s="3"/>
      <c r="GSC149" s="3"/>
      <c r="GSD149" s="3"/>
      <c r="GSE149" s="3"/>
      <c r="GSF149" s="3"/>
      <c r="GSG149" s="3"/>
      <c r="GSH149" s="3"/>
      <c r="GSI149" s="3"/>
      <c r="GSJ149" s="3"/>
      <c r="GSK149" s="3"/>
      <c r="GSL149" s="3"/>
      <c r="GSM149" s="3"/>
      <c r="GSN149" s="3"/>
      <c r="GSO149" s="3"/>
      <c r="GSP149" s="3"/>
      <c r="GSQ149" s="3"/>
      <c r="GSR149" s="3"/>
      <c r="GSS149" s="3"/>
      <c r="GST149" s="3"/>
      <c r="GSU149" s="3"/>
      <c r="GSV149" s="3"/>
      <c r="GSW149" s="3"/>
      <c r="GSX149" s="3"/>
      <c r="GSY149" s="3"/>
      <c r="GSZ149" s="3"/>
      <c r="GTA149" s="3"/>
      <c r="GTB149" s="3"/>
      <c r="GTC149" s="3"/>
      <c r="GTD149" s="3"/>
      <c r="GTE149" s="3"/>
      <c r="GTF149" s="3"/>
      <c r="GTG149" s="3"/>
      <c r="GTH149" s="3"/>
      <c r="GTI149" s="3"/>
      <c r="GTJ149" s="3"/>
      <c r="GTK149" s="3"/>
      <c r="GTL149" s="3"/>
      <c r="GTM149" s="3"/>
      <c r="GTN149" s="3"/>
      <c r="GTO149" s="3"/>
      <c r="GTP149" s="3"/>
      <c r="GTQ149" s="3"/>
      <c r="GTR149" s="3"/>
      <c r="GTS149" s="3"/>
      <c r="GTT149" s="3"/>
      <c r="GTU149" s="3"/>
      <c r="GTV149" s="3"/>
      <c r="GTW149" s="3"/>
      <c r="GTX149" s="3"/>
      <c r="GTY149" s="3"/>
      <c r="GTZ149" s="3"/>
      <c r="GUA149" s="3"/>
      <c r="GUB149" s="3"/>
      <c r="GUC149" s="3"/>
      <c r="GUD149" s="3"/>
      <c r="GUE149" s="3"/>
      <c r="GUF149" s="3"/>
      <c r="GUG149" s="3"/>
      <c r="GUH149" s="3"/>
      <c r="GUI149" s="3"/>
      <c r="GUJ149" s="3"/>
      <c r="GUK149" s="3"/>
      <c r="GUL149" s="3"/>
      <c r="GUM149" s="3"/>
      <c r="GUN149" s="3"/>
      <c r="GUO149" s="3"/>
      <c r="GUP149" s="3"/>
      <c r="GUQ149" s="3"/>
      <c r="GUR149" s="3"/>
      <c r="GUS149" s="3"/>
      <c r="GUT149" s="3"/>
      <c r="GUU149" s="3"/>
      <c r="GUV149" s="3"/>
      <c r="GUW149" s="3"/>
      <c r="GUX149" s="3"/>
      <c r="GUY149" s="3"/>
      <c r="GUZ149" s="3"/>
      <c r="GVA149" s="3"/>
      <c r="GVB149" s="3"/>
      <c r="GVC149" s="3"/>
      <c r="GVD149" s="3"/>
      <c r="GVE149" s="3"/>
      <c r="GVF149" s="3"/>
      <c r="GVG149" s="3"/>
      <c r="GVH149" s="3"/>
      <c r="GVI149" s="3"/>
      <c r="GVJ149" s="3"/>
      <c r="GVK149" s="3"/>
      <c r="GVL149" s="3"/>
      <c r="GVM149" s="3"/>
      <c r="GVN149" s="3"/>
      <c r="GVO149" s="3"/>
      <c r="GVP149" s="3"/>
      <c r="GVQ149" s="3"/>
      <c r="GVR149" s="3"/>
      <c r="GVS149" s="3"/>
      <c r="GVT149" s="3"/>
      <c r="GVU149" s="3"/>
      <c r="GVV149" s="3"/>
      <c r="GVW149" s="3"/>
      <c r="GVX149" s="3"/>
      <c r="GVY149" s="3"/>
      <c r="GVZ149" s="3"/>
      <c r="GWA149" s="3"/>
      <c r="GWB149" s="3"/>
      <c r="GWC149" s="3"/>
      <c r="GWD149" s="3"/>
      <c r="GWE149" s="3"/>
      <c r="GWF149" s="3"/>
      <c r="GWG149" s="3"/>
      <c r="GWH149" s="3"/>
      <c r="GWI149" s="3"/>
      <c r="GWJ149" s="3"/>
      <c r="GWK149" s="3"/>
      <c r="GWL149" s="3"/>
      <c r="GWM149" s="3"/>
      <c r="GWN149" s="3"/>
      <c r="GWO149" s="3"/>
      <c r="GWP149" s="3"/>
      <c r="GWQ149" s="3"/>
      <c r="GWR149" s="3"/>
      <c r="GWS149" s="3"/>
      <c r="GWT149" s="3"/>
      <c r="GWU149" s="3"/>
      <c r="GWV149" s="3"/>
      <c r="GWW149" s="3"/>
      <c r="GWX149" s="3"/>
      <c r="GWY149" s="3"/>
      <c r="GWZ149" s="3"/>
      <c r="GXA149" s="3"/>
      <c r="GXB149" s="3"/>
      <c r="GXC149" s="3"/>
      <c r="GXD149" s="3"/>
      <c r="GXE149" s="3"/>
      <c r="GXF149" s="3"/>
      <c r="GXG149" s="3"/>
      <c r="GXH149" s="3"/>
      <c r="GXI149" s="3"/>
      <c r="GXJ149" s="3"/>
      <c r="GXK149" s="3"/>
      <c r="GXL149" s="3"/>
      <c r="GXM149" s="3"/>
      <c r="GXN149" s="3"/>
      <c r="GXO149" s="3"/>
      <c r="GXP149" s="3"/>
      <c r="GXQ149" s="3"/>
      <c r="GXR149" s="3"/>
      <c r="GXS149" s="3"/>
      <c r="GXT149" s="3"/>
      <c r="GXU149" s="3"/>
      <c r="GXV149" s="3"/>
      <c r="GXW149" s="3"/>
      <c r="GXX149" s="3"/>
      <c r="GXY149" s="3"/>
      <c r="GXZ149" s="3"/>
      <c r="GYA149" s="3"/>
      <c r="GYB149" s="3"/>
      <c r="GYC149" s="3"/>
      <c r="GYD149" s="3"/>
      <c r="GYE149" s="3"/>
      <c r="GYF149" s="3"/>
      <c r="GYG149" s="3"/>
      <c r="GYH149" s="3"/>
      <c r="GYI149" s="3"/>
      <c r="GYJ149" s="3"/>
      <c r="GYK149" s="3"/>
      <c r="GYL149" s="3"/>
      <c r="GYM149" s="3"/>
      <c r="GYN149" s="3"/>
      <c r="GYO149" s="3"/>
      <c r="GYP149" s="3"/>
      <c r="GYQ149" s="3"/>
      <c r="GYR149" s="3"/>
      <c r="GYS149" s="3"/>
      <c r="GYT149" s="3"/>
      <c r="GYU149" s="3"/>
      <c r="GYV149" s="3"/>
      <c r="GYW149" s="3"/>
      <c r="GYX149" s="3"/>
      <c r="GYY149" s="3"/>
      <c r="GYZ149" s="3"/>
      <c r="GZA149" s="3"/>
      <c r="GZB149" s="3"/>
      <c r="GZC149" s="3"/>
      <c r="GZD149" s="3"/>
      <c r="GZE149" s="3"/>
      <c r="GZF149" s="3"/>
      <c r="GZG149" s="3"/>
      <c r="GZH149" s="3"/>
      <c r="GZI149" s="3"/>
      <c r="GZJ149" s="3"/>
      <c r="GZK149" s="3"/>
      <c r="GZL149" s="3"/>
      <c r="GZM149" s="3"/>
      <c r="GZN149" s="3"/>
      <c r="GZO149" s="3"/>
      <c r="GZP149" s="3"/>
      <c r="GZQ149" s="3"/>
      <c r="GZR149" s="3"/>
      <c r="GZS149" s="3"/>
      <c r="GZT149" s="3"/>
      <c r="GZU149" s="3"/>
      <c r="GZV149" s="3"/>
      <c r="GZW149" s="3"/>
      <c r="GZX149" s="3"/>
      <c r="GZY149" s="3"/>
      <c r="GZZ149" s="3"/>
      <c r="HAA149" s="3"/>
      <c r="HAB149" s="3"/>
      <c r="HAC149" s="3"/>
      <c r="HAD149" s="3"/>
      <c r="HAE149" s="3"/>
      <c r="HAF149" s="3"/>
      <c r="HAG149" s="3"/>
      <c r="HAH149" s="3"/>
      <c r="HAI149" s="3"/>
      <c r="HAJ149" s="3"/>
      <c r="HAK149" s="3"/>
      <c r="HAL149" s="3"/>
      <c r="HAM149" s="3"/>
      <c r="HAN149" s="3"/>
      <c r="HAO149" s="3"/>
      <c r="HAP149" s="3"/>
      <c r="HAQ149" s="3"/>
      <c r="HAR149" s="3"/>
      <c r="HAS149" s="3"/>
      <c r="HAT149" s="3"/>
      <c r="HAU149" s="3"/>
      <c r="HAV149" s="3"/>
      <c r="HAW149" s="3"/>
      <c r="HAX149" s="3"/>
      <c r="HAY149" s="3"/>
      <c r="HAZ149" s="3"/>
      <c r="HBA149" s="3"/>
      <c r="HBB149" s="3"/>
      <c r="HBC149" s="3"/>
      <c r="HBD149" s="3"/>
      <c r="HBE149" s="3"/>
      <c r="HBF149" s="3"/>
      <c r="HBG149" s="3"/>
      <c r="HBH149" s="3"/>
      <c r="HBI149" s="3"/>
      <c r="HBJ149" s="3"/>
      <c r="HBK149" s="3"/>
      <c r="HBL149" s="3"/>
      <c r="HBM149" s="3"/>
      <c r="HBN149" s="3"/>
      <c r="HBO149" s="3"/>
      <c r="HBP149" s="3"/>
      <c r="HBQ149" s="3"/>
      <c r="HBR149" s="3"/>
      <c r="HBS149" s="3"/>
      <c r="HBT149" s="3"/>
      <c r="HBU149" s="3"/>
      <c r="HBV149" s="3"/>
      <c r="HBW149" s="3"/>
      <c r="HBX149" s="3"/>
      <c r="HBY149" s="3"/>
      <c r="HBZ149" s="3"/>
      <c r="HCA149" s="3"/>
      <c r="HCB149" s="3"/>
      <c r="HCC149" s="3"/>
      <c r="HCD149" s="3"/>
      <c r="HCE149" s="3"/>
      <c r="HCF149" s="3"/>
      <c r="HCG149" s="3"/>
      <c r="HCH149" s="3"/>
      <c r="HCI149" s="3"/>
      <c r="HCJ149" s="3"/>
      <c r="HCK149" s="3"/>
      <c r="HCL149" s="3"/>
      <c r="HCM149" s="3"/>
      <c r="HCN149" s="3"/>
      <c r="HCO149" s="3"/>
      <c r="HCP149" s="3"/>
      <c r="HCQ149" s="3"/>
      <c r="HCR149" s="3"/>
      <c r="HCS149" s="3"/>
      <c r="HCT149" s="3"/>
      <c r="HCU149" s="3"/>
      <c r="HCV149" s="3"/>
      <c r="HCW149" s="3"/>
      <c r="HCX149" s="3"/>
      <c r="HCY149" s="3"/>
      <c r="HCZ149" s="3"/>
      <c r="HDA149" s="3"/>
      <c r="HDB149" s="3"/>
      <c r="HDC149" s="3"/>
      <c r="HDD149" s="3"/>
      <c r="HDE149" s="3"/>
      <c r="HDF149" s="3"/>
      <c r="HDG149" s="3"/>
      <c r="HDH149" s="3"/>
      <c r="HDI149" s="3"/>
      <c r="HDJ149" s="3"/>
      <c r="HDK149" s="3"/>
      <c r="HDL149" s="3"/>
      <c r="HDM149" s="3"/>
      <c r="HDN149" s="3"/>
      <c r="HDO149" s="3"/>
      <c r="HDP149" s="3"/>
      <c r="HDQ149" s="3"/>
      <c r="HDR149" s="3"/>
      <c r="HDS149" s="3"/>
      <c r="HDT149" s="3"/>
      <c r="HDU149" s="3"/>
      <c r="HDV149" s="3"/>
      <c r="HDW149" s="3"/>
      <c r="HDX149" s="3"/>
      <c r="HDY149" s="3"/>
      <c r="HDZ149" s="3"/>
      <c r="HEA149" s="3"/>
      <c r="HEB149" s="3"/>
      <c r="HEC149" s="3"/>
      <c r="HED149" s="3"/>
      <c r="HEE149" s="3"/>
      <c r="HEF149" s="3"/>
      <c r="HEG149" s="3"/>
      <c r="HEH149" s="3"/>
      <c r="HEI149" s="3"/>
      <c r="HEJ149" s="3"/>
      <c r="HEK149" s="3"/>
      <c r="HEL149" s="3"/>
      <c r="HEM149" s="3"/>
      <c r="HEN149" s="3"/>
      <c r="HEO149" s="3"/>
      <c r="HEP149" s="3"/>
      <c r="HEQ149" s="3"/>
      <c r="HER149" s="3"/>
      <c r="HES149" s="3"/>
      <c r="HET149" s="3"/>
      <c r="HEU149" s="3"/>
      <c r="HEV149" s="3"/>
      <c r="HEW149" s="3"/>
      <c r="HEX149" s="3"/>
      <c r="HEY149" s="3"/>
      <c r="HEZ149" s="3"/>
      <c r="HFA149" s="3"/>
      <c r="HFB149" s="3"/>
      <c r="HFC149" s="3"/>
      <c r="HFD149" s="3"/>
      <c r="HFE149" s="3"/>
      <c r="HFF149" s="3"/>
      <c r="HFG149" s="3"/>
      <c r="HFH149" s="3"/>
      <c r="HFI149" s="3"/>
      <c r="HFJ149" s="3"/>
      <c r="HFK149" s="3"/>
      <c r="HFL149" s="3"/>
      <c r="HFM149" s="3"/>
      <c r="HFN149" s="3"/>
      <c r="HFO149" s="3"/>
      <c r="HFP149" s="3"/>
      <c r="HFQ149" s="3"/>
      <c r="HFR149" s="3"/>
      <c r="HFS149" s="3"/>
      <c r="HFT149" s="3"/>
      <c r="HFU149" s="3"/>
      <c r="HFV149" s="3"/>
      <c r="HFW149" s="3"/>
      <c r="HFX149" s="3"/>
      <c r="HFY149" s="3"/>
      <c r="HFZ149" s="3"/>
      <c r="HGA149" s="3"/>
      <c r="HGB149" s="3"/>
      <c r="HGC149" s="3"/>
      <c r="HGD149" s="3"/>
      <c r="HGE149" s="3"/>
      <c r="HGF149" s="3"/>
      <c r="HGG149" s="3"/>
      <c r="HGH149" s="3"/>
      <c r="HGI149" s="3"/>
      <c r="HGJ149" s="3"/>
      <c r="HGK149" s="3"/>
      <c r="HGL149" s="3"/>
      <c r="HGM149" s="3"/>
      <c r="HGN149" s="3"/>
      <c r="HGO149" s="3"/>
      <c r="HGP149" s="3"/>
      <c r="HGQ149" s="3"/>
      <c r="HGR149" s="3"/>
      <c r="HGS149" s="3"/>
      <c r="HGT149" s="3"/>
      <c r="HGU149" s="3"/>
      <c r="HGV149" s="3"/>
      <c r="HGW149" s="3"/>
      <c r="HGX149" s="3"/>
      <c r="HGY149" s="3"/>
      <c r="HGZ149" s="3"/>
      <c r="HHA149" s="3"/>
      <c r="HHB149" s="3"/>
      <c r="HHC149" s="3"/>
      <c r="HHD149" s="3"/>
      <c r="HHE149" s="3"/>
      <c r="HHF149" s="3"/>
      <c r="HHG149" s="3"/>
      <c r="HHH149" s="3"/>
      <c r="HHI149" s="3"/>
      <c r="HHJ149" s="3"/>
      <c r="HHK149" s="3"/>
      <c r="HHL149" s="3"/>
      <c r="HHM149" s="3"/>
      <c r="HHN149" s="3"/>
      <c r="HHO149" s="3"/>
      <c r="HHP149" s="3"/>
      <c r="HHQ149" s="3"/>
      <c r="HHR149" s="3"/>
      <c r="HHS149" s="3"/>
      <c r="HHT149" s="3"/>
      <c r="HHU149" s="3"/>
      <c r="HHV149" s="3"/>
      <c r="HHW149" s="3"/>
      <c r="HHX149" s="3"/>
      <c r="HHY149" s="3"/>
      <c r="HHZ149" s="3"/>
      <c r="HIA149" s="3"/>
      <c r="HIB149" s="3"/>
      <c r="HIC149" s="3"/>
      <c r="HID149" s="3"/>
      <c r="HIE149" s="3"/>
      <c r="HIF149" s="3"/>
      <c r="HIG149" s="3"/>
      <c r="HIH149" s="3"/>
      <c r="HII149" s="3"/>
      <c r="HIJ149" s="3"/>
      <c r="HIK149" s="3"/>
      <c r="HIL149" s="3"/>
      <c r="HIM149" s="3"/>
      <c r="HIN149" s="3"/>
      <c r="HIO149" s="3"/>
      <c r="HIP149" s="3"/>
      <c r="HIQ149" s="3"/>
      <c r="HIR149" s="3"/>
      <c r="HIS149" s="3"/>
      <c r="HIT149" s="3"/>
      <c r="HIU149" s="3"/>
      <c r="HIV149" s="3"/>
      <c r="HIW149" s="3"/>
      <c r="HIX149" s="3"/>
      <c r="HIY149" s="3"/>
      <c r="HIZ149" s="3"/>
      <c r="HJA149" s="3"/>
      <c r="HJB149" s="3"/>
      <c r="HJC149" s="3"/>
      <c r="HJD149" s="3"/>
      <c r="HJE149" s="3"/>
      <c r="HJF149" s="3"/>
      <c r="HJG149" s="3"/>
      <c r="HJH149" s="3"/>
      <c r="HJI149" s="3"/>
      <c r="HJJ149" s="3"/>
      <c r="HJK149" s="3"/>
      <c r="HJL149" s="3"/>
      <c r="HJM149" s="3"/>
      <c r="HJN149" s="3"/>
      <c r="HJO149" s="3"/>
      <c r="HJP149" s="3"/>
      <c r="HJQ149" s="3"/>
      <c r="HJR149" s="3"/>
      <c r="HJS149" s="3"/>
      <c r="HJT149" s="3"/>
      <c r="HJU149" s="3"/>
      <c r="HJV149" s="3"/>
      <c r="HJW149" s="3"/>
      <c r="HJX149" s="3"/>
      <c r="HJY149" s="3"/>
      <c r="HJZ149" s="3"/>
      <c r="HKA149" s="3"/>
      <c r="HKB149" s="3"/>
      <c r="HKC149" s="3"/>
      <c r="HKD149" s="3"/>
      <c r="HKE149" s="3"/>
      <c r="HKF149" s="3"/>
      <c r="HKG149" s="3"/>
      <c r="HKH149" s="3"/>
      <c r="HKI149" s="3"/>
      <c r="HKJ149" s="3"/>
      <c r="HKK149" s="3"/>
      <c r="HKL149" s="3"/>
      <c r="HKM149" s="3"/>
      <c r="HKN149" s="3"/>
      <c r="HKO149" s="3"/>
      <c r="HKP149" s="3"/>
      <c r="HKQ149" s="3"/>
      <c r="HKR149" s="3"/>
      <c r="HKS149" s="3"/>
      <c r="HKT149" s="3"/>
      <c r="HKU149" s="3"/>
      <c r="HKV149" s="3"/>
      <c r="HKW149" s="3"/>
      <c r="HKX149" s="3"/>
      <c r="HKY149" s="3"/>
      <c r="HKZ149" s="3"/>
      <c r="HLA149" s="3"/>
      <c r="HLB149" s="3"/>
      <c r="HLC149" s="3"/>
      <c r="HLD149" s="3"/>
      <c r="HLE149" s="3"/>
      <c r="HLF149" s="3"/>
      <c r="HLG149" s="3"/>
      <c r="HLH149" s="3"/>
      <c r="HLI149" s="3"/>
      <c r="HLJ149" s="3"/>
      <c r="HLK149" s="3"/>
      <c r="HLL149" s="3"/>
      <c r="HLM149" s="3"/>
      <c r="HLN149" s="3"/>
      <c r="HLO149" s="3"/>
      <c r="HLP149" s="3"/>
      <c r="HLQ149" s="3"/>
      <c r="HLR149" s="3"/>
      <c r="HLS149" s="3"/>
      <c r="HLT149" s="3"/>
      <c r="HLU149" s="3"/>
      <c r="HLV149" s="3"/>
      <c r="HLW149" s="3"/>
      <c r="HLX149" s="3"/>
      <c r="HLY149" s="3"/>
      <c r="HLZ149" s="3"/>
      <c r="HMA149" s="3"/>
      <c r="HMB149" s="3"/>
      <c r="HMC149" s="3"/>
      <c r="HMD149" s="3"/>
      <c r="HME149" s="3"/>
      <c r="HMF149" s="3"/>
      <c r="HMG149" s="3"/>
      <c r="HMH149" s="3"/>
      <c r="HMI149" s="3"/>
      <c r="HMJ149" s="3"/>
      <c r="HMK149" s="3"/>
      <c r="HML149" s="3"/>
      <c r="HMM149" s="3"/>
      <c r="HMN149" s="3"/>
      <c r="HMO149" s="3"/>
      <c r="HMP149" s="3"/>
      <c r="HMQ149" s="3"/>
      <c r="HMR149" s="3"/>
      <c r="HMS149" s="3"/>
      <c r="HMT149" s="3"/>
      <c r="HMU149" s="3"/>
      <c r="HMV149" s="3"/>
      <c r="HMW149" s="3"/>
      <c r="HMX149" s="3"/>
      <c r="HMY149" s="3"/>
      <c r="HMZ149" s="3"/>
      <c r="HNA149" s="3"/>
      <c r="HNB149" s="3"/>
      <c r="HNC149" s="3"/>
      <c r="HND149" s="3"/>
      <c r="HNE149" s="3"/>
      <c r="HNF149" s="3"/>
      <c r="HNG149" s="3"/>
      <c r="HNH149" s="3"/>
      <c r="HNI149" s="3"/>
      <c r="HNJ149" s="3"/>
      <c r="HNK149" s="3"/>
      <c r="HNL149" s="3"/>
      <c r="HNM149" s="3"/>
      <c r="HNN149" s="3"/>
      <c r="HNO149" s="3"/>
      <c r="HNP149" s="3"/>
      <c r="HNQ149" s="3"/>
      <c r="HNR149" s="3"/>
      <c r="HNS149" s="3"/>
      <c r="HNT149" s="3"/>
      <c r="HNU149" s="3"/>
      <c r="HNV149" s="3"/>
      <c r="HNW149" s="3"/>
      <c r="HNX149" s="3"/>
      <c r="HNY149" s="3"/>
      <c r="HNZ149" s="3"/>
      <c r="HOA149" s="3"/>
      <c r="HOB149" s="3"/>
      <c r="HOC149" s="3"/>
      <c r="HOD149" s="3"/>
      <c r="HOE149" s="3"/>
      <c r="HOF149" s="3"/>
      <c r="HOG149" s="3"/>
      <c r="HOH149" s="3"/>
      <c r="HOI149" s="3"/>
      <c r="HOJ149" s="3"/>
      <c r="HOK149" s="3"/>
      <c r="HOL149" s="3"/>
      <c r="HOM149" s="3"/>
      <c r="HON149" s="3"/>
      <c r="HOO149" s="3"/>
      <c r="HOP149" s="3"/>
      <c r="HOQ149" s="3"/>
      <c r="HOR149" s="3"/>
      <c r="HOS149" s="3"/>
      <c r="HOT149" s="3"/>
      <c r="HOU149" s="3"/>
      <c r="HOV149" s="3"/>
      <c r="HOW149" s="3"/>
      <c r="HOX149" s="3"/>
      <c r="HOY149" s="3"/>
      <c r="HOZ149" s="3"/>
      <c r="HPA149" s="3"/>
      <c r="HPB149" s="3"/>
      <c r="HPC149" s="3"/>
      <c r="HPD149" s="3"/>
      <c r="HPE149" s="3"/>
      <c r="HPF149" s="3"/>
      <c r="HPG149" s="3"/>
      <c r="HPH149" s="3"/>
      <c r="HPI149" s="3"/>
      <c r="HPJ149" s="3"/>
      <c r="HPK149" s="3"/>
      <c r="HPL149" s="3"/>
      <c r="HPM149" s="3"/>
      <c r="HPN149" s="3"/>
      <c r="HPO149" s="3"/>
      <c r="HPP149" s="3"/>
      <c r="HPQ149" s="3"/>
      <c r="HPR149" s="3"/>
      <c r="HPS149" s="3"/>
      <c r="HPT149" s="3"/>
      <c r="HPU149" s="3"/>
      <c r="HPV149" s="3"/>
      <c r="HPW149" s="3"/>
      <c r="HPX149" s="3"/>
      <c r="HPY149" s="3"/>
      <c r="HPZ149" s="3"/>
      <c r="HQA149" s="3"/>
      <c r="HQB149" s="3"/>
      <c r="HQC149" s="3"/>
      <c r="HQD149" s="3"/>
      <c r="HQE149" s="3"/>
      <c r="HQF149" s="3"/>
      <c r="HQG149" s="3"/>
      <c r="HQH149" s="3"/>
      <c r="HQI149" s="3"/>
      <c r="HQJ149" s="3"/>
      <c r="HQK149" s="3"/>
      <c r="HQL149" s="3"/>
      <c r="HQM149" s="3"/>
      <c r="HQN149" s="3"/>
      <c r="HQO149" s="3"/>
      <c r="HQP149" s="3"/>
      <c r="HQQ149" s="3"/>
      <c r="HQR149" s="3"/>
      <c r="HQS149" s="3"/>
      <c r="HQT149" s="3"/>
      <c r="HQU149" s="3"/>
      <c r="HQV149" s="3"/>
      <c r="HQW149" s="3"/>
      <c r="HQX149" s="3"/>
      <c r="HQY149" s="3"/>
      <c r="HQZ149" s="3"/>
      <c r="HRA149" s="3"/>
      <c r="HRB149" s="3"/>
      <c r="HRC149" s="3"/>
      <c r="HRD149" s="3"/>
      <c r="HRE149" s="3"/>
      <c r="HRF149" s="3"/>
      <c r="HRG149" s="3"/>
      <c r="HRH149" s="3"/>
      <c r="HRI149" s="3"/>
      <c r="HRJ149" s="3"/>
      <c r="HRK149" s="3"/>
      <c r="HRL149" s="3"/>
      <c r="HRM149" s="3"/>
      <c r="HRN149" s="3"/>
      <c r="HRO149" s="3"/>
      <c r="HRP149" s="3"/>
      <c r="HRQ149" s="3"/>
      <c r="HRR149" s="3"/>
      <c r="HRS149" s="3"/>
      <c r="HRT149" s="3"/>
      <c r="HRU149" s="3"/>
      <c r="HRV149" s="3"/>
      <c r="HRW149" s="3"/>
      <c r="HRX149" s="3"/>
      <c r="HRY149" s="3"/>
      <c r="HRZ149" s="3"/>
      <c r="HSA149" s="3"/>
      <c r="HSB149" s="3"/>
      <c r="HSC149" s="3"/>
      <c r="HSD149" s="3"/>
      <c r="HSE149" s="3"/>
      <c r="HSF149" s="3"/>
      <c r="HSG149" s="3"/>
      <c r="HSH149" s="3"/>
      <c r="HSI149" s="3"/>
      <c r="HSJ149" s="3"/>
      <c r="HSK149" s="3"/>
      <c r="HSL149" s="3"/>
      <c r="HSM149" s="3"/>
      <c r="HSN149" s="3"/>
      <c r="HSO149" s="3"/>
      <c r="HSP149" s="3"/>
      <c r="HSQ149" s="3"/>
      <c r="HSR149" s="3"/>
      <c r="HSS149" s="3"/>
      <c r="HST149" s="3"/>
      <c r="HSU149" s="3"/>
      <c r="HSV149" s="3"/>
      <c r="HSW149" s="3"/>
      <c r="HSX149" s="3"/>
      <c r="HSY149" s="3"/>
      <c r="HSZ149" s="3"/>
      <c r="HTA149" s="3"/>
      <c r="HTB149" s="3"/>
      <c r="HTC149" s="3"/>
      <c r="HTD149" s="3"/>
      <c r="HTE149" s="3"/>
      <c r="HTF149" s="3"/>
      <c r="HTG149" s="3"/>
      <c r="HTH149" s="3"/>
      <c r="HTI149" s="3"/>
      <c r="HTJ149" s="3"/>
      <c r="HTK149" s="3"/>
      <c r="HTL149" s="3"/>
      <c r="HTM149" s="3"/>
      <c r="HTN149" s="3"/>
      <c r="HTO149" s="3"/>
      <c r="HTP149" s="3"/>
      <c r="HTQ149" s="3"/>
      <c r="HTR149" s="3"/>
      <c r="HTS149" s="3"/>
      <c r="HTT149" s="3"/>
      <c r="HTU149" s="3"/>
      <c r="HTV149" s="3"/>
      <c r="HTW149" s="3"/>
      <c r="HTX149" s="3"/>
      <c r="HTY149" s="3"/>
      <c r="HTZ149" s="3"/>
      <c r="HUA149" s="3"/>
      <c r="HUB149" s="3"/>
      <c r="HUC149" s="3"/>
      <c r="HUD149" s="3"/>
      <c r="HUE149" s="3"/>
      <c r="HUF149" s="3"/>
      <c r="HUG149" s="3"/>
      <c r="HUH149" s="3"/>
      <c r="HUI149" s="3"/>
      <c r="HUJ149" s="3"/>
      <c r="HUK149" s="3"/>
      <c r="HUL149" s="3"/>
      <c r="HUM149" s="3"/>
      <c r="HUN149" s="3"/>
      <c r="HUO149" s="3"/>
      <c r="HUP149" s="3"/>
      <c r="HUQ149" s="3"/>
      <c r="HUR149" s="3"/>
      <c r="HUS149" s="3"/>
      <c r="HUT149" s="3"/>
      <c r="HUU149" s="3"/>
      <c r="HUV149" s="3"/>
      <c r="HUW149" s="3"/>
      <c r="HUX149" s="3"/>
      <c r="HUY149" s="3"/>
      <c r="HUZ149" s="3"/>
      <c r="HVA149" s="3"/>
      <c r="HVB149" s="3"/>
      <c r="HVC149" s="3"/>
      <c r="HVD149" s="3"/>
      <c r="HVE149" s="3"/>
      <c r="HVF149" s="3"/>
      <c r="HVG149" s="3"/>
      <c r="HVH149" s="3"/>
      <c r="HVI149" s="3"/>
      <c r="HVJ149" s="3"/>
      <c r="HVK149" s="3"/>
      <c r="HVL149" s="3"/>
      <c r="HVM149" s="3"/>
      <c r="HVN149" s="3"/>
      <c r="HVO149" s="3"/>
      <c r="HVP149" s="3"/>
      <c r="HVQ149" s="3"/>
      <c r="HVR149" s="3"/>
      <c r="HVS149" s="3"/>
      <c r="HVT149" s="3"/>
      <c r="HVU149" s="3"/>
      <c r="HVV149" s="3"/>
      <c r="HVW149" s="3"/>
      <c r="HVX149" s="3"/>
      <c r="HVY149" s="3"/>
      <c r="HVZ149" s="3"/>
      <c r="HWA149" s="3"/>
      <c r="HWB149" s="3"/>
      <c r="HWC149" s="3"/>
      <c r="HWD149" s="3"/>
      <c r="HWE149" s="3"/>
      <c r="HWF149" s="3"/>
      <c r="HWG149" s="3"/>
      <c r="HWH149" s="3"/>
      <c r="HWI149" s="3"/>
      <c r="HWJ149" s="3"/>
      <c r="HWK149" s="3"/>
      <c r="HWL149" s="3"/>
      <c r="HWM149" s="3"/>
      <c r="HWN149" s="3"/>
      <c r="HWO149" s="3"/>
      <c r="HWP149" s="3"/>
      <c r="HWQ149" s="3"/>
      <c r="HWR149" s="3"/>
      <c r="HWS149" s="3"/>
      <c r="HWT149" s="3"/>
      <c r="HWU149" s="3"/>
      <c r="HWV149" s="3"/>
      <c r="HWW149" s="3"/>
      <c r="HWX149" s="3"/>
      <c r="HWY149" s="3"/>
      <c r="HWZ149" s="3"/>
      <c r="HXA149" s="3"/>
      <c r="HXB149" s="3"/>
      <c r="HXC149" s="3"/>
      <c r="HXD149" s="3"/>
      <c r="HXE149" s="3"/>
      <c r="HXF149" s="3"/>
      <c r="HXG149" s="3"/>
      <c r="HXH149" s="3"/>
      <c r="HXI149" s="3"/>
      <c r="HXJ149" s="3"/>
      <c r="HXK149" s="3"/>
      <c r="HXL149" s="3"/>
      <c r="HXM149" s="3"/>
      <c r="HXN149" s="3"/>
      <c r="HXO149" s="3"/>
      <c r="HXP149" s="3"/>
      <c r="HXQ149" s="3"/>
      <c r="HXR149" s="3"/>
      <c r="HXS149" s="3"/>
      <c r="HXT149" s="3"/>
      <c r="HXU149" s="3"/>
      <c r="HXV149" s="3"/>
      <c r="HXW149" s="3"/>
      <c r="HXX149" s="3"/>
      <c r="HXY149" s="3"/>
      <c r="HXZ149" s="3"/>
      <c r="HYA149" s="3"/>
      <c r="HYB149" s="3"/>
      <c r="HYC149" s="3"/>
      <c r="HYD149" s="3"/>
      <c r="HYE149" s="3"/>
      <c r="HYF149" s="3"/>
      <c r="HYG149" s="3"/>
      <c r="HYH149" s="3"/>
      <c r="HYI149" s="3"/>
      <c r="HYJ149" s="3"/>
      <c r="HYK149" s="3"/>
      <c r="HYL149" s="3"/>
      <c r="HYM149" s="3"/>
      <c r="HYN149" s="3"/>
      <c r="HYO149" s="3"/>
      <c r="HYP149" s="3"/>
      <c r="HYQ149" s="3"/>
      <c r="HYR149" s="3"/>
      <c r="HYS149" s="3"/>
      <c r="HYT149" s="3"/>
      <c r="HYU149" s="3"/>
      <c r="HYV149" s="3"/>
      <c r="HYW149" s="3"/>
      <c r="HYX149" s="3"/>
      <c r="HYY149" s="3"/>
      <c r="HYZ149" s="3"/>
      <c r="HZA149" s="3"/>
      <c r="HZB149" s="3"/>
      <c r="HZC149" s="3"/>
      <c r="HZD149" s="3"/>
      <c r="HZE149" s="3"/>
      <c r="HZF149" s="3"/>
      <c r="HZG149" s="3"/>
      <c r="HZH149" s="3"/>
      <c r="HZI149" s="3"/>
      <c r="HZJ149" s="3"/>
      <c r="HZK149" s="3"/>
      <c r="HZL149" s="3"/>
      <c r="HZM149" s="3"/>
      <c r="HZN149" s="3"/>
      <c r="HZO149" s="3"/>
      <c r="HZP149" s="3"/>
      <c r="HZQ149" s="3"/>
      <c r="HZR149" s="3"/>
      <c r="HZS149" s="3"/>
      <c r="HZT149" s="3"/>
      <c r="HZU149" s="3"/>
      <c r="HZV149" s="3"/>
      <c r="HZW149" s="3"/>
      <c r="HZX149" s="3"/>
      <c r="HZY149" s="3"/>
      <c r="HZZ149" s="3"/>
      <c r="IAA149" s="3"/>
      <c r="IAB149" s="3"/>
      <c r="IAC149" s="3"/>
      <c r="IAD149" s="3"/>
      <c r="IAE149" s="3"/>
      <c r="IAF149" s="3"/>
      <c r="IAG149" s="3"/>
      <c r="IAH149" s="3"/>
      <c r="IAI149" s="3"/>
      <c r="IAJ149" s="3"/>
      <c r="IAK149" s="3"/>
      <c r="IAL149" s="3"/>
      <c r="IAM149" s="3"/>
      <c r="IAN149" s="3"/>
      <c r="IAO149" s="3"/>
      <c r="IAP149" s="3"/>
      <c r="IAQ149" s="3"/>
      <c r="IAR149" s="3"/>
      <c r="IAS149" s="3"/>
      <c r="IAT149" s="3"/>
      <c r="IAU149" s="3"/>
      <c r="IAV149" s="3"/>
      <c r="IAW149" s="3"/>
      <c r="IAX149" s="3"/>
      <c r="IAY149" s="3"/>
      <c r="IAZ149" s="3"/>
      <c r="IBA149" s="3"/>
      <c r="IBB149" s="3"/>
      <c r="IBC149" s="3"/>
      <c r="IBD149" s="3"/>
      <c r="IBE149" s="3"/>
      <c r="IBF149" s="3"/>
      <c r="IBG149" s="3"/>
      <c r="IBH149" s="3"/>
      <c r="IBI149" s="3"/>
      <c r="IBJ149" s="3"/>
      <c r="IBK149" s="3"/>
      <c r="IBL149" s="3"/>
      <c r="IBM149" s="3"/>
      <c r="IBN149" s="3"/>
      <c r="IBO149" s="3"/>
      <c r="IBP149" s="3"/>
      <c r="IBQ149" s="3"/>
      <c r="IBR149" s="3"/>
      <c r="IBS149" s="3"/>
      <c r="IBT149" s="3"/>
      <c r="IBU149" s="3"/>
      <c r="IBV149" s="3"/>
      <c r="IBW149" s="3"/>
      <c r="IBX149" s="3"/>
      <c r="IBY149" s="3"/>
      <c r="IBZ149" s="3"/>
      <c r="ICA149" s="3"/>
      <c r="ICB149" s="3"/>
      <c r="ICC149" s="3"/>
      <c r="ICD149" s="3"/>
      <c r="ICE149" s="3"/>
      <c r="ICF149" s="3"/>
      <c r="ICG149" s="3"/>
      <c r="ICH149" s="3"/>
      <c r="ICI149" s="3"/>
      <c r="ICJ149" s="3"/>
      <c r="ICK149" s="3"/>
      <c r="ICL149" s="3"/>
      <c r="ICM149" s="3"/>
      <c r="ICN149" s="3"/>
      <c r="ICO149" s="3"/>
      <c r="ICP149" s="3"/>
      <c r="ICQ149" s="3"/>
      <c r="ICR149" s="3"/>
      <c r="ICS149" s="3"/>
      <c r="ICT149" s="3"/>
      <c r="ICU149" s="3"/>
      <c r="ICV149" s="3"/>
      <c r="ICW149" s="3"/>
      <c r="ICX149" s="3"/>
      <c r="ICY149" s="3"/>
      <c r="ICZ149" s="3"/>
      <c r="IDA149" s="3"/>
      <c r="IDB149" s="3"/>
      <c r="IDC149" s="3"/>
      <c r="IDD149" s="3"/>
      <c r="IDE149" s="3"/>
      <c r="IDF149" s="3"/>
      <c r="IDG149" s="3"/>
      <c r="IDH149" s="3"/>
      <c r="IDI149" s="3"/>
      <c r="IDJ149" s="3"/>
      <c r="IDK149" s="3"/>
      <c r="IDL149" s="3"/>
      <c r="IDM149" s="3"/>
      <c r="IDN149" s="3"/>
      <c r="IDO149" s="3"/>
      <c r="IDP149" s="3"/>
      <c r="IDQ149" s="3"/>
      <c r="IDR149" s="3"/>
      <c r="IDS149" s="3"/>
      <c r="IDT149" s="3"/>
      <c r="IDU149" s="3"/>
      <c r="IDV149" s="3"/>
      <c r="IDW149" s="3"/>
      <c r="IDX149" s="3"/>
      <c r="IDY149" s="3"/>
      <c r="IDZ149" s="3"/>
      <c r="IEA149" s="3"/>
      <c r="IEB149" s="3"/>
      <c r="IEC149" s="3"/>
      <c r="IED149" s="3"/>
      <c r="IEE149" s="3"/>
      <c r="IEF149" s="3"/>
      <c r="IEG149" s="3"/>
      <c r="IEH149" s="3"/>
      <c r="IEI149" s="3"/>
      <c r="IEJ149" s="3"/>
      <c r="IEK149" s="3"/>
      <c r="IEL149" s="3"/>
      <c r="IEM149" s="3"/>
      <c r="IEN149" s="3"/>
      <c r="IEO149" s="3"/>
      <c r="IEP149" s="3"/>
      <c r="IEQ149" s="3"/>
      <c r="IER149" s="3"/>
      <c r="IES149" s="3"/>
      <c r="IET149" s="3"/>
      <c r="IEU149" s="3"/>
      <c r="IEV149" s="3"/>
      <c r="IEW149" s="3"/>
      <c r="IEX149" s="3"/>
      <c r="IEY149" s="3"/>
      <c r="IEZ149" s="3"/>
      <c r="IFA149" s="3"/>
      <c r="IFB149" s="3"/>
      <c r="IFC149" s="3"/>
      <c r="IFD149" s="3"/>
      <c r="IFE149" s="3"/>
      <c r="IFF149" s="3"/>
      <c r="IFG149" s="3"/>
      <c r="IFH149" s="3"/>
      <c r="IFI149" s="3"/>
      <c r="IFJ149" s="3"/>
      <c r="IFK149" s="3"/>
      <c r="IFL149" s="3"/>
      <c r="IFM149" s="3"/>
      <c r="IFN149" s="3"/>
      <c r="IFO149" s="3"/>
      <c r="IFP149" s="3"/>
      <c r="IFQ149" s="3"/>
      <c r="IFR149" s="3"/>
      <c r="IFS149" s="3"/>
      <c r="IFT149" s="3"/>
      <c r="IFU149" s="3"/>
      <c r="IFV149" s="3"/>
      <c r="IFW149" s="3"/>
      <c r="IFX149" s="3"/>
      <c r="IFY149" s="3"/>
      <c r="IFZ149" s="3"/>
      <c r="IGA149" s="3"/>
      <c r="IGB149" s="3"/>
      <c r="IGC149" s="3"/>
      <c r="IGD149" s="3"/>
      <c r="IGE149" s="3"/>
      <c r="IGF149" s="3"/>
      <c r="IGG149" s="3"/>
      <c r="IGH149" s="3"/>
      <c r="IGI149" s="3"/>
      <c r="IGJ149" s="3"/>
      <c r="IGK149" s="3"/>
      <c r="IGL149" s="3"/>
      <c r="IGM149" s="3"/>
      <c r="IGN149" s="3"/>
      <c r="IGO149" s="3"/>
      <c r="IGP149" s="3"/>
      <c r="IGQ149" s="3"/>
      <c r="IGR149" s="3"/>
      <c r="IGS149" s="3"/>
      <c r="IGT149" s="3"/>
      <c r="IGU149" s="3"/>
      <c r="IGV149" s="3"/>
      <c r="IGW149" s="3"/>
      <c r="IGX149" s="3"/>
      <c r="IGY149" s="3"/>
      <c r="IGZ149" s="3"/>
      <c r="IHA149" s="3"/>
      <c r="IHB149" s="3"/>
      <c r="IHC149" s="3"/>
      <c r="IHD149" s="3"/>
      <c r="IHE149" s="3"/>
      <c r="IHF149" s="3"/>
      <c r="IHG149" s="3"/>
      <c r="IHH149" s="3"/>
      <c r="IHI149" s="3"/>
      <c r="IHJ149" s="3"/>
      <c r="IHK149" s="3"/>
      <c r="IHL149" s="3"/>
      <c r="IHM149" s="3"/>
      <c r="IHN149" s="3"/>
      <c r="IHO149" s="3"/>
      <c r="IHP149" s="3"/>
      <c r="IHQ149" s="3"/>
      <c r="IHR149" s="3"/>
      <c r="IHS149" s="3"/>
      <c r="IHT149" s="3"/>
      <c r="IHU149" s="3"/>
      <c r="IHV149" s="3"/>
      <c r="IHW149" s="3"/>
      <c r="IHX149" s="3"/>
      <c r="IHY149" s="3"/>
      <c r="IHZ149" s="3"/>
      <c r="IIA149" s="3"/>
      <c r="IIB149" s="3"/>
      <c r="IIC149" s="3"/>
      <c r="IID149" s="3"/>
      <c r="IIE149" s="3"/>
      <c r="IIF149" s="3"/>
      <c r="IIG149" s="3"/>
      <c r="IIH149" s="3"/>
      <c r="III149" s="3"/>
      <c r="IIJ149" s="3"/>
      <c r="IIK149" s="3"/>
      <c r="IIL149" s="3"/>
      <c r="IIM149" s="3"/>
      <c r="IIN149" s="3"/>
      <c r="IIO149" s="3"/>
      <c r="IIP149" s="3"/>
      <c r="IIQ149" s="3"/>
      <c r="IIR149" s="3"/>
      <c r="IIS149" s="3"/>
      <c r="IIT149" s="3"/>
      <c r="IIU149" s="3"/>
      <c r="IIV149" s="3"/>
      <c r="IIW149" s="3"/>
      <c r="IIX149" s="3"/>
      <c r="IIY149" s="3"/>
      <c r="IIZ149" s="3"/>
      <c r="IJA149" s="3"/>
      <c r="IJB149" s="3"/>
      <c r="IJC149" s="3"/>
      <c r="IJD149" s="3"/>
      <c r="IJE149" s="3"/>
      <c r="IJF149" s="3"/>
      <c r="IJG149" s="3"/>
      <c r="IJH149" s="3"/>
      <c r="IJI149" s="3"/>
      <c r="IJJ149" s="3"/>
      <c r="IJK149" s="3"/>
      <c r="IJL149" s="3"/>
      <c r="IJM149" s="3"/>
      <c r="IJN149" s="3"/>
      <c r="IJO149" s="3"/>
      <c r="IJP149" s="3"/>
      <c r="IJQ149" s="3"/>
      <c r="IJR149" s="3"/>
      <c r="IJS149" s="3"/>
      <c r="IJT149" s="3"/>
      <c r="IJU149" s="3"/>
      <c r="IJV149" s="3"/>
      <c r="IJW149" s="3"/>
      <c r="IJX149" s="3"/>
      <c r="IJY149" s="3"/>
      <c r="IJZ149" s="3"/>
      <c r="IKA149" s="3"/>
      <c r="IKB149" s="3"/>
      <c r="IKC149" s="3"/>
      <c r="IKD149" s="3"/>
      <c r="IKE149" s="3"/>
      <c r="IKF149" s="3"/>
      <c r="IKG149" s="3"/>
      <c r="IKH149" s="3"/>
      <c r="IKI149" s="3"/>
      <c r="IKJ149" s="3"/>
      <c r="IKK149" s="3"/>
      <c r="IKL149" s="3"/>
      <c r="IKM149" s="3"/>
      <c r="IKN149" s="3"/>
      <c r="IKO149" s="3"/>
      <c r="IKP149" s="3"/>
      <c r="IKQ149" s="3"/>
      <c r="IKR149" s="3"/>
      <c r="IKS149" s="3"/>
      <c r="IKT149" s="3"/>
      <c r="IKU149" s="3"/>
      <c r="IKV149" s="3"/>
      <c r="IKW149" s="3"/>
      <c r="IKX149" s="3"/>
      <c r="IKY149" s="3"/>
      <c r="IKZ149" s="3"/>
      <c r="ILA149" s="3"/>
      <c r="ILB149" s="3"/>
      <c r="ILC149" s="3"/>
      <c r="ILD149" s="3"/>
      <c r="ILE149" s="3"/>
      <c r="ILF149" s="3"/>
      <c r="ILG149" s="3"/>
      <c r="ILH149" s="3"/>
      <c r="ILI149" s="3"/>
      <c r="ILJ149" s="3"/>
      <c r="ILK149" s="3"/>
      <c r="ILL149" s="3"/>
      <c r="ILM149" s="3"/>
      <c r="ILN149" s="3"/>
      <c r="ILO149" s="3"/>
      <c r="ILP149" s="3"/>
      <c r="ILQ149" s="3"/>
      <c r="ILR149" s="3"/>
      <c r="ILS149" s="3"/>
      <c r="ILT149" s="3"/>
      <c r="ILU149" s="3"/>
      <c r="ILV149" s="3"/>
      <c r="ILW149" s="3"/>
      <c r="ILX149" s="3"/>
      <c r="ILY149" s="3"/>
      <c r="ILZ149" s="3"/>
      <c r="IMA149" s="3"/>
      <c r="IMB149" s="3"/>
      <c r="IMC149" s="3"/>
      <c r="IMD149" s="3"/>
      <c r="IME149" s="3"/>
      <c r="IMF149" s="3"/>
      <c r="IMG149" s="3"/>
      <c r="IMH149" s="3"/>
      <c r="IMI149" s="3"/>
      <c r="IMJ149" s="3"/>
      <c r="IMK149" s="3"/>
      <c r="IML149" s="3"/>
      <c r="IMM149" s="3"/>
      <c r="IMN149" s="3"/>
      <c r="IMO149" s="3"/>
      <c r="IMP149" s="3"/>
      <c r="IMQ149" s="3"/>
      <c r="IMR149" s="3"/>
      <c r="IMS149" s="3"/>
      <c r="IMT149" s="3"/>
      <c r="IMU149" s="3"/>
      <c r="IMV149" s="3"/>
      <c r="IMW149" s="3"/>
      <c r="IMX149" s="3"/>
      <c r="IMY149" s="3"/>
      <c r="IMZ149" s="3"/>
      <c r="INA149" s="3"/>
      <c r="INB149" s="3"/>
      <c r="INC149" s="3"/>
      <c r="IND149" s="3"/>
      <c r="INE149" s="3"/>
      <c r="INF149" s="3"/>
      <c r="ING149" s="3"/>
      <c r="INH149" s="3"/>
      <c r="INI149" s="3"/>
      <c r="INJ149" s="3"/>
      <c r="INK149" s="3"/>
      <c r="INL149" s="3"/>
      <c r="INM149" s="3"/>
      <c r="INN149" s="3"/>
      <c r="INO149" s="3"/>
      <c r="INP149" s="3"/>
      <c r="INQ149" s="3"/>
      <c r="INR149" s="3"/>
      <c r="INS149" s="3"/>
      <c r="INT149" s="3"/>
      <c r="INU149" s="3"/>
      <c r="INV149" s="3"/>
      <c r="INW149" s="3"/>
      <c r="INX149" s="3"/>
      <c r="INY149" s="3"/>
      <c r="INZ149" s="3"/>
      <c r="IOA149" s="3"/>
      <c r="IOB149" s="3"/>
      <c r="IOC149" s="3"/>
      <c r="IOD149" s="3"/>
      <c r="IOE149" s="3"/>
      <c r="IOF149" s="3"/>
      <c r="IOG149" s="3"/>
      <c r="IOH149" s="3"/>
      <c r="IOI149" s="3"/>
      <c r="IOJ149" s="3"/>
      <c r="IOK149" s="3"/>
      <c r="IOL149" s="3"/>
      <c r="IOM149" s="3"/>
      <c r="ION149" s="3"/>
      <c r="IOO149" s="3"/>
      <c r="IOP149" s="3"/>
      <c r="IOQ149" s="3"/>
      <c r="IOR149" s="3"/>
      <c r="IOS149" s="3"/>
      <c r="IOT149" s="3"/>
      <c r="IOU149" s="3"/>
      <c r="IOV149" s="3"/>
      <c r="IOW149" s="3"/>
      <c r="IOX149" s="3"/>
      <c r="IOY149" s="3"/>
      <c r="IOZ149" s="3"/>
      <c r="IPA149" s="3"/>
      <c r="IPB149" s="3"/>
      <c r="IPC149" s="3"/>
      <c r="IPD149" s="3"/>
      <c r="IPE149" s="3"/>
      <c r="IPF149" s="3"/>
      <c r="IPG149" s="3"/>
      <c r="IPH149" s="3"/>
      <c r="IPI149" s="3"/>
      <c r="IPJ149" s="3"/>
      <c r="IPK149" s="3"/>
      <c r="IPL149" s="3"/>
      <c r="IPM149" s="3"/>
      <c r="IPN149" s="3"/>
      <c r="IPO149" s="3"/>
      <c r="IPP149" s="3"/>
      <c r="IPQ149" s="3"/>
      <c r="IPR149" s="3"/>
      <c r="IPS149" s="3"/>
      <c r="IPT149" s="3"/>
      <c r="IPU149" s="3"/>
      <c r="IPV149" s="3"/>
      <c r="IPW149" s="3"/>
      <c r="IPX149" s="3"/>
      <c r="IPY149" s="3"/>
      <c r="IPZ149" s="3"/>
      <c r="IQA149" s="3"/>
      <c r="IQB149" s="3"/>
      <c r="IQC149" s="3"/>
      <c r="IQD149" s="3"/>
      <c r="IQE149" s="3"/>
      <c r="IQF149" s="3"/>
      <c r="IQG149" s="3"/>
      <c r="IQH149" s="3"/>
      <c r="IQI149" s="3"/>
      <c r="IQJ149" s="3"/>
      <c r="IQK149" s="3"/>
      <c r="IQL149" s="3"/>
      <c r="IQM149" s="3"/>
      <c r="IQN149" s="3"/>
      <c r="IQO149" s="3"/>
      <c r="IQP149" s="3"/>
      <c r="IQQ149" s="3"/>
      <c r="IQR149" s="3"/>
      <c r="IQS149" s="3"/>
      <c r="IQT149" s="3"/>
      <c r="IQU149" s="3"/>
      <c r="IQV149" s="3"/>
      <c r="IQW149" s="3"/>
      <c r="IQX149" s="3"/>
      <c r="IQY149" s="3"/>
      <c r="IQZ149" s="3"/>
      <c r="IRA149" s="3"/>
      <c r="IRB149" s="3"/>
      <c r="IRC149" s="3"/>
      <c r="IRD149" s="3"/>
      <c r="IRE149" s="3"/>
      <c r="IRF149" s="3"/>
      <c r="IRG149" s="3"/>
      <c r="IRH149" s="3"/>
      <c r="IRI149" s="3"/>
      <c r="IRJ149" s="3"/>
      <c r="IRK149" s="3"/>
      <c r="IRL149" s="3"/>
      <c r="IRM149" s="3"/>
      <c r="IRN149" s="3"/>
      <c r="IRO149" s="3"/>
      <c r="IRP149" s="3"/>
      <c r="IRQ149" s="3"/>
      <c r="IRR149" s="3"/>
      <c r="IRS149" s="3"/>
      <c r="IRT149" s="3"/>
      <c r="IRU149" s="3"/>
      <c r="IRV149" s="3"/>
      <c r="IRW149" s="3"/>
      <c r="IRX149" s="3"/>
      <c r="IRY149" s="3"/>
      <c r="IRZ149" s="3"/>
      <c r="ISA149" s="3"/>
      <c r="ISB149" s="3"/>
      <c r="ISC149" s="3"/>
      <c r="ISD149" s="3"/>
      <c r="ISE149" s="3"/>
      <c r="ISF149" s="3"/>
      <c r="ISG149" s="3"/>
      <c r="ISH149" s="3"/>
      <c r="ISI149" s="3"/>
      <c r="ISJ149" s="3"/>
      <c r="ISK149" s="3"/>
      <c r="ISL149" s="3"/>
      <c r="ISM149" s="3"/>
      <c r="ISN149" s="3"/>
      <c r="ISO149" s="3"/>
      <c r="ISP149" s="3"/>
      <c r="ISQ149" s="3"/>
      <c r="ISR149" s="3"/>
      <c r="ISS149" s="3"/>
      <c r="IST149" s="3"/>
      <c r="ISU149" s="3"/>
      <c r="ISV149" s="3"/>
      <c r="ISW149" s="3"/>
      <c r="ISX149" s="3"/>
      <c r="ISY149" s="3"/>
      <c r="ISZ149" s="3"/>
      <c r="ITA149" s="3"/>
      <c r="ITB149" s="3"/>
      <c r="ITC149" s="3"/>
      <c r="ITD149" s="3"/>
      <c r="ITE149" s="3"/>
      <c r="ITF149" s="3"/>
      <c r="ITG149" s="3"/>
      <c r="ITH149" s="3"/>
      <c r="ITI149" s="3"/>
      <c r="ITJ149" s="3"/>
      <c r="ITK149" s="3"/>
      <c r="ITL149" s="3"/>
      <c r="ITM149" s="3"/>
      <c r="ITN149" s="3"/>
      <c r="ITO149" s="3"/>
      <c r="ITP149" s="3"/>
      <c r="ITQ149" s="3"/>
      <c r="ITR149" s="3"/>
      <c r="ITS149" s="3"/>
      <c r="ITT149" s="3"/>
      <c r="ITU149" s="3"/>
      <c r="ITV149" s="3"/>
      <c r="ITW149" s="3"/>
      <c r="ITX149" s="3"/>
      <c r="ITY149" s="3"/>
      <c r="ITZ149" s="3"/>
      <c r="IUA149" s="3"/>
      <c r="IUB149" s="3"/>
      <c r="IUC149" s="3"/>
      <c r="IUD149" s="3"/>
      <c r="IUE149" s="3"/>
      <c r="IUF149" s="3"/>
      <c r="IUG149" s="3"/>
      <c r="IUH149" s="3"/>
      <c r="IUI149" s="3"/>
      <c r="IUJ149" s="3"/>
      <c r="IUK149" s="3"/>
      <c r="IUL149" s="3"/>
      <c r="IUM149" s="3"/>
      <c r="IUN149" s="3"/>
      <c r="IUO149" s="3"/>
      <c r="IUP149" s="3"/>
      <c r="IUQ149" s="3"/>
      <c r="IUR149" s="3"/>
      <c r="IUS149" s="3"/>
      <c r="IUT149" s="3"/>
      <c r="IUU149" s="3"/>
      <c r="IUV149" s="3"/>
      <c r="IUW149" s="3"/>
      <c r="IUX149" s="3"/>
      <c r="IUY149" s="3"/>
      <c r="IUZ149" s="3"/>
      <c r="IVA149" s="3"/>
      <c r="IVB149" s="3"/>
      <c r="IVC149" s="3"/>
      <c r="IVD149" s="3"/>
      <c r="IVE149" s="3"/>
      <c r="IVF149" s="3"/>
      <c r="IVG149" s="3"/>
      <c r="IVH149" s="3"/>
      <c r="IVI149" s="3"/>
      <c r="IVJ149" s="3"/>
      <c r="IVK149" s="3"/>
      <c r="IVL149" s="3"/>
      <c r="IVM149" s="3"/>
      <c r="IVN149" s="3"/>
      <c r="IVO149" s="3"/>
      <c r="IVP149" s="3"/>
      <c r="IVQ149" s="3"/>
      <c r="IVR149" s="3"/>
      <c r="IVS149" s="3"/>
      <c r="IVT149" s="3"/>
      <c r="IVU149" s="3"/>
      <c r="IVV149" s="3"/>
      <c r="IVW149" s="3"/>
      <c r="IVX149" s="3"/>
      <c r="IVY149" s="3"/>
      <c r="IVZ149" s="3"/>
      <c r="IWA149" s="3"/>
      <c r="IWB149" s="3"/>
      <c r="IWC149" s="3"/>
      <c r="IWD149" s="3"/>
      <c r="IWE149" s="3"/>
      <c r="IWF149" s="3"/>
      <c r="IWG149" s="3"/>
      <c r="IWH149" s="3"/>
      <c r="IWI149" s="3"/>
      <c r="IWJ149" s="3"/>
      <c r="IWK149" s="3"/>
      <c r="IWL149" s="3"/>
      <c r="IWM149" s="3"/>
      <c r="IWN149" s="3"/>
      <c r="IWO149" s="3"/>
      <c r="IWP149" s="3"/>
      <c r="IWQ149" s="3"/>
      <c r="IWR149" s="3"/>
      <c r="IWS149" s="3"/>
      <c r="IWT149" s="3"/>
      <c r="IWU149" s="3"/>
      <c r="IWV149" s="3"/>
      <c r="IWW149" s="3"/>
      <c r="IWX149" s="3"/>
      <c r="IWY149" s="3"/>
      <c r="IWZ149" s="3"/>
      <c r="IXA149" s="3"/>
      <c r="IXB149" s="3"/>
      <c r="IXC149" s="3"/>
      <c r="IXD149" s="3"/>
      <c r="IXE149" s="3"/>
      <c r="IXF149" s="3"/>
      <c r="IXG149" s="3"/>
      <c r="IXH149" s="3"/>
      <c r="IXI149" s="3"/>
      <c r="IXJ149" s="3"/>
      <c r="IXK149" s="3"/>
      <c r="IXL149" s="3"/>
      <c r="IXM149" s="3"/>
      <c r="IXN149" s="3"/>
      <c r="IXO149" s="3"/>
      <c r="IXP149" s="3"/>
      <c r="IXQ149" s="3"/>
      <c r="IXR149" s="3"/>
      <c r="IXS149" s="3"/>
      <c r="IXT149" s="3"/>
      <c r="IXU149" s="3"/>
      <c r="IXV149" s="3"/>
      <c r="IXW149" s="3"/>
      <c r="IXX149" s="3"/>
      <c r="IXY149" s="3"/>
      <c r="IXZ149" s="3"/>
      <c r="IYA149" s="3"/>
      <c r="IYB149" s="3"/>
      <c r="IYC149" s="3"/>
      <c r="IYD149" s="3"/>
      <c r="IYE149" s="3"/>
      <c r="IYF149" s="3"/>
      <c r="IYG149" s="3"/>
      <c r="IYH149" s="3"/>
      <c r="IYI149" s="3"/>
      <c r="IYJ149" s="3"/>
      <c r="IYK149" s="3"/>
      <c r="IYL149" s="3"/>
      <c r="IYM149" s="3"/>
      <c r="IYN149" s="3"/>
      <c r="IYO149" s="3"/>
      <c r="IYP149" s="3"/>
      <c r="IYQ149" s="3"/>
      <c r="IYR149" s="3"/>
      <c r="IYS149" s="3"/>
      <c r="IYT149" s="3"/>
      <c r="IYU149" s="3"/>
      <c r="IYV149" s="3"/>
      <c r="IYW149" s="3"/>
      <c r="IYX149" s="3"/>
      <c r="IYY149" s="3"/>
      <c r="IYZ149" s="3"/>
      <c r="IZA149" s="3"/>
      <c r="IZB149" s="3"/>
      <c r="IZC149" s="3"/>
      <c r="IZD149" s="3"/>
      <c r="IZE149" s="3"/>
      <c r="IZF149" s="3"/>
      <c r="IZG149" s="3"/>
      <c r="IZH149" s="3"/>
      <c r="IZI149" s="3"/>
      <c r="IZJ149" s="3"/>
      <c r="IZK149" s="3"/>
      <c r="IZL149" s="3"/>
      <c r="IZM149" s="3"/>
      <c r="IZN149" s="3"/>
      <c r="IZO149" s="3"/>
      <c r="IZP149" s="3"/>
      <c r="IZQ149" s="3"/>
      <c r="IZR149" s="3"/>
      <c r="IZS149" s="3"/>
      <c r="IZT149" s="3"/>
      <c r="IZU149" s="3"/>
      <c r="IZV149" s="3"/>
      <c r="IZW149" s="3"/>
      <c r="IZX149" s="3"/>
      <c r="IZY149" s="3"/>
      <c r="IZZ149" s="3"/>
      <c r="JAA149" s="3"/>
      <c r="JAB149" s="3"/>
      <c r="JAC149" s="3"/>
      <c r="JAD149" s="3"/>
      <c r="JAE149" s="3"/>
      <c r="JAF149" s="3"/>
      <c r="JAG149" s="3"/>
      <c r="JAH149" s="3"/>
      <c r="JAI149" s="3"/>
      <c r="JAJ149" s="3"/>
      <c r="JAK149" s="3"/>
      <c r="JAL149" s="3"/>
      <c r="JAM149" s="3"/>
      <c r="JAN149" s="3"/>
      <c r="JAO149" s="3"/>
      <c r="JAP149" s="3"/>
      <c r="JAQ149" s="3"/>
      <c r="JAR149" s="3"/>
      <c r="JAS149" s="3"/>
      <c r="JAT149" s="3"/>
      <c r="JAU149" s="3"/>
      <c r="JAV149" s="3"/>
      <c r="JAW149" s="3"/>
      <c r="JAX149" s="3"/>
      <c r="JAY149" s="3"/>
      <c r="JAZ149" s="3"/>
      <c r="JBA149" s="3"/>
      <c r="JBB149" s="3"/>
      <c r="JBC149" s="3"/>
      <c r="JBD149" s="3"/>
      <c r="JBE149" s="3"/>
      <c r="JBF149" s="3"/>
      <c r="JBG149" s="3"/>
      <c r="JBH149" s="3"/>
      <c r="JBI149" s="3"/>
      <c r="JBJ149" s="3"/>
      <c r="JBK149" s="3"/>
      <c r="JBL149" s="3"/>
      <c r="JBM149" s="3"/>
      <c r="JBN149" s="3"/>
      <c r="JBO149" s="3"/>
      <c r="JBP149" s="3"/>
      <c r="JBQ149" s="3"/>
      <c r="JBR149" s="3"/>
      <c r="JBS149" s="3"/>
      <c r="JBT149" s="3"/>
      <c r="JBU149" s="3"/>
      <c r="JBV149" s="3"/>
      <c r="JBW149" s="3"/>
      <c r="JBX149" s="3"/>
      <c r="JBY149" s="3"/>
      <c r="JBZ149" s="3"/>
      <c r="JCA149" s="3"/>
      <c r="JCB149" s="3"/>
      <c r="JCC149" s="3"/>
      <c r="JCD149" s="3"/>
      <c r="JCE149" s="3"/>
      <c r="JCF149" s="3"/>
      <c r="JCG149" s="3"/>
      <c r="JCH149" s="3"/>
      <c r="JCI149" s="3"/>
      <c r="JCJ149" s="3"/>
      <c r="JCK149" s="3"/>
      <c r="JCL149" s="3"/>
      <c r="JCM149" s="3"/>
      <c r="JCN149" s="3"/>
      <c r="JCO149" s="3"/>
      <c r="JCP149" s="3"/>
      <c r="JCQ149" s="3"/>
      <c r="JCR149" s="3"/>
      <c r="JCS149" s="3"/>
      <c r="JCT149" s="3"/>
      <c r="JCU149" s="3"/>
      <c r="JCV149" s="3"/>
      <c r="JCW149" s="3"/>
      <c r="JCX149" s="3"/>
      <c r="JCY149" s="3"/>
      <c r="JCZ149" s="3"/>
      <c r="JDA149" s="3"/>
      <c r="JDB149" s="3"/>
      <c r="JDC149" s="3"/>
      <c r="JDD149" s="3"/>
      <c r="JDE149" s="3"/>
      <c r="JDF149" s="3"/>
      <c r="JDG149" s="3"/>
      <c r="JDH149" s="3"/>
      <c r="JDI149" s="3"/>
      <c r="JDJ149" s="3"/>
      <c r="JDK149" s="3"/>
      <c r="JDL149" s="3"/>
      <c r="JDM149" s="3"/>
      <c r="JDN149" s="3"/>
      <c r="JDO149" s="3"/>
      <c r="JDP149" s="3"/>
      <c r="JDQ149" s="3"/>
      <c r="JDR149" s="3"/>
      <c r="JDS149" s="3"/>
      <c r="JDT149" s="3"/>
      <c r="JDU149" s="3"/>
      <c r="JDV149" s="3"/>
      <c r="JDW149" s="3"/>
      <c r="JDX149" s="3"/>
      <c r="JDY149" s="3"/>
      <c r="JDZ149" s="3"/>
      <c r="JEA149" s="3"/>
      <c r="JEB149" s="3"/>
      <c r="JEC149" s="3"/>
      <c r="JED149" s="3"/>
      <c r="JEE149" s="3"/>
      <c r="JEF149" s="3"/>
      <c r="JEG149" s="3"/>
      <c r="JEH149" s="3"/>
      <c r="JEI149" s="3"/>
      <c r="JEJ149" s="3"/>
      <c r="JEK149" s="3"/>
      <c r="JEL149" s="3"/>
      <c r="JEM149" s="3"/>
      <c r="JEN149" s="3"/>
      <c r="JEO149" s="3"/>
      <c r="JEP149" s="3"/>
      <c r="JEQ149" s="3"/>
      <c r="JER149" s="3"/>
      <c r="JES149" s="3"/>
      <c r="JET149" s="3"/>
      <c r="JEU149" s="3"/>
      <c r="JEV149" s="3"/>
      <c r="JEW149" s="3"/>
      <c r="JEX149" s="3"/>
      <c r="JEY149" s="3"/>
      <c r="JEZ149" s="3"/>
      <c r="JFA149" s="3"/>
      <c r="JFB149" s="3"/>
      <c r="JFC149" s="3"/>
      <c r="JFD149" s="3"/>
      <c r="JFE149" s="3"/>
      <c r="JFF149" s="3"/>
      <c r="JFG149" s="3"/>
      <c r="JFH149" s="3"/>
      <c r="JFI149" s="3"/>
      <c r="JFJ149" s="3"/>
      <c r="JFK149" s="3"/>
      <c r="JFL149" s="3"/>
      <c r="JFM149" s="3"/>
      <c r="JFN149" s="3"/>
      <c r="JFO149" s="3"/>
      <c r="JFP149" s="3"/>
      <c r="JFQ149" s="3"/>
      <c r="JFR149" s="3"/>
      <c r="JFS149" s="3"/>
      <c r="JFT149" s="3"/>
      <c r="JFU149" s="3"/>
      <c r="JFV149" s="3"/>
      <c r="JFW149" s="3"/>
      <c r="JFX149" s="3"/>
      <c r="JFY149" s="3"/>
      <c r="JFZ149" s="3"/>
      <c r="JGA149" s="3"/>
      <c r="JGB149" s="3"/>
      <c r="JGC149" s="3"/>
      <c r="JGD149" s="3"/>
      <c r="JGE149" s="3"/>
      <c r="JGF149" s="3"/>
      <c r="JGG149" s="3"/>
      <c r="JGH149" s="3"/>
      <c r="JGI149" s="3"/>
      <c r="JGJ149" s="3"/>
      <c r="JGK149" s="3"/>
      <c r="JGL149" s="3"/>
      <c r="JGM149" s="3"/>
      <c r="JGN149" s="3"/>
      <c r="JGO149" s="3"/>
      <c r="JGP149" s="3"/>
      <c r="JGQ149" s="3"/>
      <c r="JGR149" s="3"/>
      <c r="JGS149" s="3"/>
      <c r="JGT149" s="3"/>
      <c r="JGU149" s="3"/>
      <c r="JGV149" s="3"/>
      <c r="JGW149" s="3"/>
      <c r="JGX149" s="3"/>
      <c r="JGY149" s="3"/>
      <c r="JGZ149" s="3"/>
      <c r="JHA149" s="3"/>
      <c r="JHB149" s="3"/>
      <c r="JHC149" s="3"/>
      <c r="JHD149" s="3"/>
      <c r="JHE149" s="3"/>
      <c r="JHF149" s="3"/>
      <c r="JHG149" s="3"/>
      <c r="JHH149" s="3"/>
      <c r="JHI149" s="3"/>
      <c r="JHJ149" s="3"/>
      <c r="JHK149" s="3"/>
      <c r="JHL149" s="3"/>
      <c r="JHM149" s="3"/>
      <c r="JHN149" s="3"/>
      <c r="JHO149" s="3"/>
      <c r="JHP149" s="3"/>
      <c r="JHQ149" s="3"/>
      <c r="JHR149" s="3"/>
      <c r="JHS149" s="3"/>
      <c r="JHT149" s="3"/>
      <c r="JHU149" s="3"/>
      <c r="JHV149" s="3"/>
      <c r="JHW149" s="3"/>
      <c r="JHX149" s="3"/>
      <c r="JHY149" s="3"/>
      <c r="JHZ149" s="3"/>
      <c r="JIA149" s="3"/>
      <c r="JIB149" s="3"/>
      <c r="JIC149" s="3"/>
      <c r="JID149" s="3"/>
      <c r="JIE149" s="3"/>
      <c r="JIF149" s="3"/>
      <c r="JIG149" s="3"/>
      <c r="JIH149" s="3"/>
      <c r="JII149" s="3"/>
      <c r="JIJ149" s="3"/>
      <c r="JIK149" s="3"/>
      <c r="JIL149" s="3"/>
      <c r="JIM149" s="3"/>
      <c r="JIN149" s="3"/>
      <c r="JIO149" s="3"/>
      <c r="JIP149" s="3"/>
      <c r="JIQ149" s="3"/>
      <c r="JIR149" s="3"/>
      <c r="JIS149" s="3"/>
      <c r="JIT149" s="3"/>
      <c r="JIU149" s="3"/>
      <c r="JIV149" s="3"/>
      <c r="JIW149" s="3"/>
      <c r="JIX149" s="3"/>
      <c r="JIY149" s="3"/>
      <c r="JIZ149" s="3"/>
      <c r="JJA149" s="3"/>
      <c r="JJB149" s="3"/>
      <c r="JJC149" s="3"/>
      <c r="JJD149" s="3"/>
      <c r="JJE149" s="3"/>
      <c r="JJF149" s="3"/>
      <c r="JJG149" s="3"/>
      <c r="JJH149" s="3"/>
      <c r="JJI149" s="3"/>
      <c r="JJJ149" s="3"/>
      <c r="JJK149" s="3"/>
      <c r="JJL149" s="3"/>
      <c r="JJM149" s="3"/>
      <c r="JJN149" s="3"/>
      <c r="JJO149" s="3"/>
      <c r="JJP149" s="3"/>
      <c r="JJQ149" s="3"/>
      <c r="JJR149" s="3"/>
      <c r="JJS149" s="3"/>
      <c r="JJT149" s="3"/>
      <c r="JJU149" s="3"/>
      <c r="JJV149" s="3"/>
      <c r="JJW149" s="3"/>
      <c r="JJX149" s="3"/>
      <c r="JJY149" s="3"/>
      <c r="JJZ149" s="3"/>
      <c r="JKA149" s="3"/>
      <c r="JKB149" s="3"/>
      <c r="JKC149" s="3"/>
      <c r="JKD149" s="3"/>
      <c r="JKE149" s="3"/>
      <c r="JKF149" s="3"/>
      <c r="JKG149" s="3"/>
      <c r="JKH149" s="3"/>
      <c r="JKI149" s="3"/>
      <c r="JKJ149" s="3"/>
      <c r="JKK149" s="3"/>
      <c r="JKL149" s="3"/>
      <c r="JKM149" s="3"/>
      <c r="JKN149" s="3"/>
      <c r="JKO149" s="3"/>
      <c r="JKP149" s="3"/>
      <c r="JKQ149" s="3"/>
      <c r="JKR149" s="3"/>
      <c r="JKS149" s="3"/>
      <c r="JKT149" s="3"/>
      <c r="JKU149" s="3"/>
      <c r="JKV149" s="3"/>
      <c r="JKW149" s="3"/>
      <c r="JKX149" s="3"/>
      <c r="JKY149" s="3"/>
      <c r="JKZ149" s="3"/>
      <c r="JLA149" s="3"/>
      <c r="JLB149" s="3"/>
      <c r="JLC149" s="3"/>
      <c r="JLD149" s="3"/>
      <c r="JLE149" s="3"/>
      <c r="JLF149" s="3"/>
      <c r="JLG149" s="3"/>
      <c r="JLH149" s="3"/>
      <c r="JLI149" s="3"/>
      <c r="JLJ149" s="3"/>
      <c r="JLK149" s="3"/>
      <c r="JLL149" s="3"/>
      <c r="JLM149" s="3"/>
      <c r="JLN149" s="3"/>
      <c r="JLO149" s="3"/>
      <c r="JLP149" s="3"/>
      <c r="JLQ149" s="3"/>
      <c r="JLR149" s="3"/>
      <c r="JLS149" s="3"/>
      <c r="JLT149" s="3"/>
      <c r="JLU149" s="3"/>
      <c r="JLV149" s="3"/>
      <c r="JLW149" s="3"/>
      <c r="JLX149" s="3"/>
      <c r="JLY149" s="3"/>
      <c r="JLZ149" s="3"/>
      <c r="JMA149" s="3"/>
      <c r="JMB149" s="3"/>
      <c r="JMC149" s="3"/>
      <c r="JMD149" s="3"/>
      <c r="JME149" s="3"/>
      <c r="JMF149" s="3"/>
      <c r="JMG149" s="3"/>
      <c r="JMH149" s="3"/>
      <c r="JMI149" s="3"/>
      <c r="JMJ149" s="3"/>
      <c r="JMK149" s="3"/>
      <c r="JML149" s="3"/>
      <c r="JMM149" s="3"/>
      <c r="JMN149" s="3"/>
      <c r="JMO149" s="3"/>
      <c r="JMP149" s="3"/>
      <c r="JMQ149" s="3"/>
      <c r="JMR149" s="3"/>
      <c r="JMS149" s="3"/>
      <c r="JMT149" s="3"/>
      <c r="JMU149" s="3"/>
      <c r="JMV149" s="3"/>
      <c r="JMW149" s="3"/>
      <c r="JMX149" s="3"/>
      <c r="JMY149" s="3"/>
      <c r="JMZ149" s="3"/>
      <c r="JNA149" s="3"/>
      <c r="JNB149" s="3"/>
      <c r="JNC149" s="3"/>
      <c r="JND149" s="3"/>
      <c r="JNE149" s="3"/>
      <c r="JNF149" s="3"/>
      <c r="JNG149" s="3"/>
      <c r="JNH149" s="3"/>
      <c r="JNI149" s="3"/>
      <c r="JNJ149" s="3"/>
      <c r="JNK149" s="3"/>
      <c r="JNL149" s="3"/>
      <c r="JNM149" s="3"/>
      <c r="JNN149" s="3"/>
      <c r="JNO149" s="3"/>
      <c r="JNP149" s="3"/>
      <c r="JNQ149" s="3"/>
      <c r="JNR149" s="3"/>
      <c r="JNS149" s="3"/>
      <c r="JNT149" s="3"/>
      <c r="JNU149" s="3"/>
      <c r="JNV149" s="3"/>
      <c r="JNW149" s="3"/>
      <c r="JNX149" s="3"/>
      <c r="JNY149" s="3"/>
      <c r="JNZ149" s="3"/>
      <c r="JOA149" s="3"/>
      <c r="JOB149" s="3"/>
      <c r="JOC149" s="3"/>
      <c r="JOD149" s="3"/>
      <c r="JOE149" s="3"/>
      <c r="JOF149" s="3"/>
      <c r="JOG149" s="3"/>
      <c r="JOH149" s="3"/>
      <c r="JOI149" s="3"/>
      <c r="JOJ149" s="3"/>
      <c r="JOK149" s="3"/>
      <c r="JOL149" s="3"/>
      <c r="JOM149" s="3"/>
      <c r="JON149" s="3"/>
      <c r="JOO149" s="3"/>
      <c r="JOP149" s="3"/>
      <c r="JOQ149" s="3"/>
      <c r="JOR149" s="3"/>
      <c r="JOS149" s="3"/>
      <c r="JOT149" s="3"/>
      <c r="JOU149" s="3"/>
      <c r="JOV149" s="3"/>
      <c r="JOW149" s="3"/>
      <c r="JOX149" s="3"/>
      <c r="JOY149" s="3"/>
      <c r="JOZ149" s="3"/>
      <c r="JPA149" s="3"/>
      <c r="JPB149" s="3"/>
      <c r="JPC149" s="3"/>
      <c r="JPD149" s="3"/>
      <c r="JPE149" s="3"/>
      <c r="JPF149" s="3"/>
      <c r="JPG149" s="3"/>
      <c r="JPH149" s="3"/>
      <c r="JPI149" s="3"/>
      <c r="JPJ149" s="3"/>
      <c r="JPK149" s="3"/>
      <c r="JPL149" s="3"/>
      <c r="JPM149" s="3"/>
      <c r="JPN149" s="3"/>
      <c r="JPO149" s="3"/>
      <c r="JPP149" s="3"/>
      <c r="JPQ149" s="3"/>
      <c r="JPR149" s="3"/>
      <c r="JPS149" s="3"/>
      <c r="JPT149" s="3"/>
      <c r="JPU149" s="3"/>
      <c r="JPV149" s="3"/>
      <c r="JPW149" s="3"/>
      <c r="JPX149" s="3"/>
      <c r="JPY149" s="3"/>
      <c r="JPZ149" s="3"/>
      <c r="JQA149" s="3"/>
      <c r="JQB149" s="3"/>
      <c r="JQC149" s="3"/>
      <c r="JQD149" s="3"/>
      <c r="JQE149" s="3"/>
      <c r="JQF149" s="3"/>
      <c r="JQG149" s="3"/>
      <c r="JQH149" s="3"/>
      <c r="JQI149" s="3"/>
      <c r="JQJ149" s="3"/>
      <c r="JQK149" s="3"/>
      <c r="JQL149" s="3"/>
      <c r="JQM149" s="3"/>
      <c r="JQN149" s="3"/>
      <c r="JQO149" s="3"/>
      <c r="JQP149" s="3"/>
      <c r="JQQ149" s="3"/>
      <c r="JQR149" s="3"/>
      <c r="JQS149" s="3"/>
      <c r="JQT149" s="3"/>
      <c r="JQU149" s="3"/>
      <c r="JQV149" s="3"/>
      <c r="JQW149" s="3"/>
      <c r="JQX149" s="3"/>
      <c r="JQY149" s="3"/>
      <c r="JQZ149" s="3"/>
      <c r="JRA149" s="3"/>
      <c r="JRB149" s="3"/>
      <c r="JRC149" s="3"/>
      <c r="JRD149" s="3"/>
      <c r="JRE149" s="3"/>
      <c r="JRF149" s="3"/>
      <c r="JRG149" s="3"/>
      <c r="JRH149" s="3"/>
      <c r="JRI149" s="3"/>
      <c r="JRJ149" s="3"/>
      <c r="JRK149" s="3"/>
      <c r="JRL149" s="3"/>
      <c r="JRM149" s="3"/>
      <c r="JRN149" s="3"/>
      <c r="JRO149" s="3"/>
      <c r="JRP149" s="3"/>
      <c r="JRQ149" s="3"/>
      <c r="JRR149" s="3"/>
      <c r="JRS149" s="3"/>
      <c r="JRT149" s="3"/>
      <c r="JRU149" s="3"/>
      <c r="JRV149" s="3"/>
      <c r="JRW149" s="3"/>
      <c r="JRX149" s="3"/>
      <c r="JRY149" s="3"/>
      <c r="JRZ149" s="3"/>
      <c r="JSA149" s="3"/>
      <c r="JSB149" s="3"/>
      <c r="JSC149" s="3"/>
      <c r="JSD149" s="3"/>
      <c r="JSE149" s="3"/>
      <c r="JSF149" s="3"/>
      <c r="JSG149" s="3"/>
      <c r="JSH149" s="3"/>
      <c r="JSI149" s="3"/>
      <c r="JSJ149" s="3"/>
      <c r="JSK149" s="3"/>
      <c r="JSL149" s="3"/>
      <c r="JSM149" s="3"/>
      <c r="JSN149" s="3"/>
      <c r="JSO149" s="3"/>
      <c r="JSP149" s="3"/>
      <c r="JSQ149" s="3"/>
      <c r="JSR149" s="3"/>
      <c r="JSS149" s="3"/>
      <c r="JST149" s="3"/>
      <c r="JSU149" s="3"/>
      <c r="JSV149" s="3"/>
      <c r="JSW149" s="3"/>
      <c r="JSX149" s="3"/>
      <c r="JSY149" s="3"/>
      <c r="JSZ149" s="3"/>
      <c r="JTA149" s="3"/>
      <c r="JTB149" s="3"/>
      <c r="JTC149" s="3"/>
      <c r="JTD149" s="3"/>
      <c r="JTE149" s="3"/>
      <c r="JTF149" s="3"/>
      <c r="JTG149" s="3"/>
      <c r="JTH149" s="3"/>
      <c r="JTI149" s="3"/>
      <c r="JTJ149" s="3"/>
      <c r="JTK149" s="3"/>
      <c r="JTL149" s="3"/>
      <c r="JTM149" s="3"/>
      <c r="JTN149" s="3"/>
      <c r="JTO149" s="3"/>
      <c r="JTP149" s="3"/>
      <c r="JTQ149" s="3"/>
      <c r="JTR149" s="3"/>
      <c r="JTS149" s="3"/>
      <c r="JTT149" s="3"/>
      <c r="JTU149" s="3"/>
      <c r="JTV149" s="3"/>
      <c r="JTW149" s="3"/>
      <c r="JTX149" s="3"/>
      <c r="JTY149" s="3"/>
      <c r="JTZ149" s="3"/>
      <c r="JUA149" s="3"/>
      <c r="JUB149" s="3"/>
      <c r="JUC149" s="3"/>
      <c r="JUD149" s="3"/>
      <c r="JUE149" s="3"/>
      <c r="JUF149" s="3"/>
      <c r="JUG149" s="3"/>
      <c r="JUH149" s="3"/>
      <c r="JUI149" s="3"/>
      <c r="JUJ149" s="3"/>
      <c r="JUK149" s="3"/>
      <c r="JUL149" s="3"/>
      <c r="JUM149" s="3"/>
      <c r="JUN149" s="3"/>
      <c r="JUO149" s="3"/>
      <c r="JUP149" s="3"/>
      <c r="JUQ149" s="3"/>
      <c r="JUR149" s="3"/>
      <c r="JUS149" s="3"/>
      <c r="JUT149" s="3"/>
      <c r="JUU149" s="3"/>
      <c r="JUV149" s="3"/>
      <c r="JUW149" s="3"/>
      <c r="JUX149" s="3"/>
      <c r="JUY149" s="3"/>
      <c r="JUZ149" s="3"/>
      <c r="JVA149" s="3"/>
      <c r="JVB149" s="3"/>
      <c r="JVC149" s="3"/>
      <c r="JVD149" s="3"/>
      <c r="JVE149" s="3"/>
      <c r="JVF149" s="3"/>
      <c r="JVG149" s="3"/>
      <c r="JVH149" s="3"/>
      <c r="JVI149" s="3"/>
      <c r="JVJ149" s="3"/>
      <c r="JVK149" s="3"/>
      <c r="JVL149" s="3"/>
      <c r="JVM149" s="3"/>
      <c r="JVN149" s="3"/>
      <c r="JVO149" s="3"/>
      <c r="JVP149" s="3"/>
      <c r="JVQ149" s="3"/>
      <c r="JVR149" s="3"/>
      <c r="JVS149" s="3"/>
      <c r="JVT149" s="3"/>
      <c r="JVU149" s="3"/>
      <c r="JVV149" s="3"/>
      <c r="JVW149" s="3"/>
      <c r="JVX149" s="3"/>
      <c r="JVY149" s="3"/>
      <c r="JVZ149" s="3"/>
      <c r="JWA149" s="3"/>
      <c r="JWB149" s="3"/>
      <c r="JWC149" s="3"/>
      <c r="JWD149" s="3"/>
      <c r="JWE149" s="3"/>
      <c r="JWF149" s="3"/>
      <c r="JWG149" s="3"/>
      <c r="JWH149" s="3"/>
      <c r="JWI149" s="3"/>
      <c r="JWJ149" s="3"/>
      <c r="JWK149" s="3"/>
      <c r="JWL149" s="3"/>
      <c r="JWM149" s="3"/>
      <c r="JWN149" s="3"/>
      <c r="JWO149" s="3"/>
      <c r="JWP149" s="3"/>
      <c r="JWQ149" s="3"/>
      <c r="JWR149" s="3"/>
      <c r="JWS149" s="3"/>
      <c r="JWT149" s="3"/>
      <c r="JWU149" s="3"/>
      <c r="JWV149" s="3"/>
      <c r="JWW149" s="3"/>
      <c r="JWX149" s="3"/>
      <c r="JWY149" s="3"/>
      <c r="JWZ149" s="3"/>
      <c r="JXA149" s="3"/>
      <c r="JXB149" s="3"/>
      <c r="JXC149" s="3"/>
      <c r="JXD149" s="3"/>
      <c r="JXE149" s="3"/>
      <c r="JXF149" s="3"/>
      <c r="JXG149" s="3"/>
      <c r="JXH149" s="3"/>
      <c r="JXI149" s="3"/>
      <c r="JXJ149" s="3"/>
      <c r="JXK149" s="3"/>
      <c r="JXL149" s="3"/>
      <c r="JXM149" s="3"/>
      <c r="JXN149" s="3"/>
      <c r="JXO149" s="3"/>
      <c r="JXP149" s="3"/>
      <c r="JXQ149" s="3"/>
      <c r="JXR149" s="3"/>
      <c r="JXS149" s="3"/>
      <c r="JXT149" s="3"/>
      <c r="JXU149" s="3"/>
      <c r="JXV149" s="3"/>
      <c r="JXW149" s="3"/>
      <c r="JXX149" s="3"/>
      <c r="JXY149" s="3"/>
      <c r="JXZ149" s="3"/>
      <c r="JYA149" s="3"/>
      <c r="JYB149" s="3"/>
      <c r="JYC149" s="3"/>
      <c r="JYD149" s="3"/>
      <c r="JYE149" s="3"/>
      <c r="JYF149" s="3"/>
      <c r="JYG149" s="3"/>
      <c r="JYH149" s="3"/>
      <c r="JYI149" s="3"/>
      <c r="JYJ149" s="3"/>
      <c r="JYK149" s="3"/>
      <c r="JYL149" s="3"/>
      <c r="JYM149" s="3"/>
      <c r="JYN149" s="3"/>
      <c r="JYO149" s="3"/>
      <c r="JYP149" s="3"/>
      <c r="JYQ149" s="3"/>
      <c r="JYR149" s="3"/>
      <c r="JYS149" s="3"/>
      <c r="JYT149" s="3"/>
      <c r="JYU149" s="3"/>
      <c r="JYV149" s="3"/>
      <c r="JYW149" s="3"/>
      <c r="JYX149" s="3"/>
      <c r="JYY149" s="3"/>
      <c r="JYZ149" s="3"/>
      <c r="JZA149" s="3"/>
      <c r="JZB149" s="3"/>
      <c r="JZC149" s="3"/>
      <c r="JZD149" s="3"/>
      <c r="JZE149" s="3"/>
      <c r="JZF149" s="3"/>
      <c r="JZG149" s="3"/>
      <c r="JZH149" s="3"/>
      <c r="JZI149" s="3"/>
      <c r="JZJ149" s="3"/>
      <c r="JZK149" s="3"/>
      <c r="JZL149" s="3"/>
      <c r="JZM149" s="3"/>
      <c r="JZN149" s="3"/>
      <c r="JZO149" s="3"/>
      <c r="JZP149" s="3"/>
      <c r="JZQ149" s="3"/>
      <c r="JZR149" s="3"/>
      <c r="JZS149" s="3"/>
      <c r="JZT149" s="3"/>
      <c r="JZU149" s="3"/>
      <c r="JZV149" s="3"/>
      <c r="JZW149" s="3"/>
      <c r="JZX149" s="3"/>
      <c r="JZY149" s="3"/>
      <c r="JZZ149" s="3"/>
      <c r="KAA149" s="3"/>
      <c r="KAB149" s="3"/>
      <c r="KAC149" s="3"/>
      <c r="KAD149" s="3"/>
      <c r="KAE149" s="3"/>
      <c r="KAF149" s="3"/>
      <c r="KAG149" s="3"/>
      <c r="KAH149" s="3"/>
      <c r="KAI149" s="3"/>
      <c r="KAJ149" s="3"/>
      <c r="KAK149" s="3"/>
      <c r="KAL149" s="3"/>
      <c r="KAM149" s="3"/>
      <c r="KAN149" s="3"/>
      <c r="KAO149" s="3"/>
      <c r="KAP149" s="3"/>
      <c r="KAQ149" s="3"/>
      <c r="KAR149" s="3"/>
      <c r="KAS149" s="3"/>
      <c r="KAT149" s="3"/>
      <c r="KAU149" s="3"/>
      <c r="KAV149" s="3"/>
      <c r="KAW149" s="3"/>
      <c r="KAX149" s="3"/>
      <c r="KAY149" s="3"/>
      <c r="KAZ149" s="3"/>
      <c r="KBA149" s="3"/>
      <c r="KBB149" s="3"/>
      <c r="KBC149" s="3"/>
      <c r="KBD149" s="3"/>
      <c r="KBE149" s="3"/>
      <c r="KBF149" s="3"/>
      <c r="KBG149" s="3"/>
      <c r="KBH149" s="3"/>
      <c r="KBI149" s="3"/>
      <c r="KBJ149" s="3"/>
      <c r="KBK149" s="3"/>
      <c r="KBL149" s="3"/>
      <c r="KBM149" s="3"/>
      <c r="KBN149" s="3"/>
      <c r="KBO149" s="3"/>
      <c r="KBP149" s="3"/>
      <c r="KBQ149" s="3"/>
      <c r="KBR149" s="3"/>
      <c r="KBS149" s="3"/>
      <c r="KBT149" s="3"/>
      <c r="KBU149" s="3"/>
      <c r="KBV149" s="3"/>
      <c r="KBW149" s="3"/>
      <c r="KBX149" s="3"/>
      <c r="KBY149" s="3"/>
      <c r="KBZ149" s="3"/>
      <c r="KCA149" s="3"/>
      <c r="KCB149" s="3"/>
      <c r="KCC149" s="3"/>
      <c r="KCD149" s="3"/>
      <c r="KCE149" s="3"/>
      <c r="KCF149" s="3"/>
      <c r="KCG149" s="3"/>
      <c r="KCH149" s="3"/>
      <c r="KCI149" s="3"/>
      <c r="KCJ149" s="3"/>
      <c r="KCK149" s="3"/>
      <c r="KCL149" s="3"/>
      <c r="KCM149" s="3"/>
      <c r="KCN149" s="3"/>
      <c r="KCO149" s="3"/>
      <c r="KCP149" s="3"/>
      <c r="KCQ149" s="3"/>
      <c r="KCR149" s="3"/>
      <c r="KCS149" s="3"/>
      <c r="KCT149" s="3"/>
      <c r="KCU149" s="3"/>
      <c r="KCV149" s="3"/>
      <c r="KCW149" s="3"/>
      <c r="KCX149" s="3"/>
      <c r="KCY149" s="3"/>
      <c r="KCZ149" s="3"/>
      <c r="KDA149" s="3"/>
      <c r="KDB149" s="3"/>
      <c r="KDC149" s="3"/>
      <c r="KDD149" s="3"/>
      <c r="KDE149" s="3"/>
      <c r="KDF149" s="3"/>
      <c r="KDG149" s="3"/>
      <c r="KDH149" s="3"/>
      <c r="KDI149" s="3"/>
      <c r="KDJ149" s="3"/>
      <c r="KDK149" s="3"/>
      <c r="KDL149" s="3"/>
      <c r="KDM149" s="3"/>
      <c r="KDN149" s="3"/>
      <c r="KDO149" s="3"/>
      <c r="KDP149" s="3"/>
      <c r="KDQ149" s="3"/>
      <c r="KDR149" s="3"/>
      <c r="KDS149" s="3"/>
      <c r="KDT149" s="3"/>
      <c r="KDU149" s="3"/>
      <c r="KDV149" s="3"/>
      <c r="KDW149" s="3"/>
      <c r="KDX149" s="3"/>
      <c r="KDY149" s="3"/>
      <c r="KDZ149" s="3"/>
      <c r="KEA149" s="3"/>
      <c r="KEB149" s="3"/>
      <c r="KEC149" s="3"/>
      <c r="KED149" s="3"/>
      <c r="KEE149" s="3"/>
      <c r="KEF149" s="3"/>
      <c r="KEG149" s="3"/>
      <c r="KEH149" s="3"/>
      <c r="KEI149" s="3"/>
      <c r="KEJ149" s="3"/>
      <c r="KEK149" s="3"/>
      <c r="KEL149" s="3"/>
      <c r="KEM149" s="3"/>
      <c r="KEN149" s="3"/>
      <c r="KEO149" s="3"/>
      <c r="KEP149" s="3"/>
      <c r="KEQ149" s="3"/>
      <c r="KER149" s="3"/>
      <c r="KES149" s="3"/>
      <c r="KET149" s="3"/>
      <c r="KEU149" s="3"/>
      <c r="KEV149" s="3"/>
      <c r="KEW149" s="3"/>
      <c r="KEX149" s="3"/>
      <c r="KEY149" s="3"/>
      <c r="KEZ149" s="3"/>
      <c r="KFA149" s="3"/>
      <c r="KFB149" s="3"/>
      <c r="KFC149" s="3"/>
      <c r="KFD149" s="3"/>
      <c r="KFE149" s="3"/>
      <c r="KFF149" s="3"/>
      <c r="KFG149" s="3"/>
      <c r="KFH149" s="3"/>
      <c r="KFI149" s="3"/>
      <c r="KFJ149" s="3"/>
      <c r="KFK149" s="3"/>
      <c r="KFL149" s="3"/>
      <c r="KFM149" s="3"/>
      <c r="KFN149" s="3"/>
      <c r="KFO149" s="3"/>
      <c r="KFP149" s="3"/>
      <c r="KFQ149" s="3"/>
      <c r="KFR149" s="3"/>
      <c r="KFS149" s="3"/>
      <c r="KFT149" s="3"/>
      <c r="KFU149" s="3"/>
      <c r="KFV149" s="3"/>
      <c r="KFW149" s="3"/>
      <c r="KFX149" s="3"/>
      <c r="KFY149" s="3"/>
      <c r="KFZ149" s="3"/>
      <c r="KGA149" s="3"/>
      <c r="KGB149" s="3"/>
      <c r="KGC149" s="3"/>
      <c r="KGD149" s="3"/>
      <c r="KGE149" s="3"/>
      <c r="KGF149" s="3"/>
      <c r="KGG149" s="3"/>
      <c r="KGH149" s="3"/>
      <c r="KGI149" s="3"/>
      <c r="KGJ149" s="3"/>
      <c r="KGK149" s="3"/>
      <c r="KGL149" s="3"/>
      <c r="KGM149" s="3"/>
      <c r="KGN149" s="3"/>
      <c r="KGO149" s="3"/>
      <c r="KGP149" s="3"/>
      <c r="KGQ149" s="3"/>
      <c r="KGR149" s="3"/>
      <c r="KGS149" s="3"/>
      <c r="KGT149" s="3"/>
      <c r="KGU149" s="3"/>
      <c r="KGV149" s="3"/>
      <c r="KGW149" s="3"/>
      <c r="KGX149" s="3"/>
      <c r="KGY149" s="3"/>
      <c r="KGZ149" s="3"/>
      <c r="KHA149" s="3"/>
      <c r="KHB149" s="3"/>
      <c r="KHC149" s="3"/>
      <c r="KHD149" s="3"/>
      <c r="KHE149" s="3"/>
      <c r="KHF149" s="3"/>
      <c r="KHG149" s="3"/>
      <c r="KHH149" s="3"/>
      <c r="KHI149" s="3"/>
      <c r="KHJ149" s="3"/>
      <c r="KHK149" s="3"/>
      <c r="KHL149" s="3"/>
      <c r="KHM149" s="3"/>
      <c r="KHN149" s="3"/>
      <c r="KHO149" s="3"/>
      <c r="KHP149" s="3"/>
      <c r="KHQ149" s="3"/>
      <c r="KHR149" s="3"/>
      <c r="KHS149" s="3"/>
      <c r="KHT149" s="3"/>
      <c r="KHU149" s="3"/>
      <c r="KHV149" s="3"/>
      <c r="KHW149" s="3"/>
      <c r="KHX149" s="3"/>
      <c r="KHY149" s="3"/>
      <c r="KHZ149" s="3"/>
      <c r="KIA149" s="3"/>
      <c r="KIB149" s="3"/>
      <c r="KIC149" s="3"/>
      <c r="KID149" s="3"/>
      <c r="KIE149" s="3"/>
      <c r="KIF149" s="3"/>
      <c r="KIG149" s="3"/>
      <c r="KIH149" s="3"/>
      <c r="KII149" s="3"/>
      <c r="KIJ149" s="3"/>
      <c r="KIK149" s="3"/>
      <c r="KIL149" s="3"/>
      <c r="KIM149" s="3"/>
      <c r="KIN149" s="3"/>
      <c r="KIO149" s="3"/>
      <c r="KIP149" s="3"/>
      <c r="KIQ149" s="3"/>
      <c r="KIR149" s="3"/>
      <c r="KIS149" s="3"/>
      <c r="KIT149" s="3"/>
      <c r="KIU149" s="3"/>
      <c r="KIV149" s="3"/>
      <c r="KIW149" s="3"/>
      <c r="KIX149" s="3"/>
      <c r="KIY149" s="3"/>
      <c r="KIZ149" s="3"/>
      <c r="KJA149" s="3"/>
      <c r="KJB149" s="3"/>
      <c r="KJC149" s="3"/>
      <c r="KJD149" s="3"/>
      <c r="KJE149" s="3"/>
      <c r="KJF149" s="3"/>
      <c r="KJG149" s="3"/>
      <c r="KJH149" s="3"/>
      <c r="KJI149" s="3"/>
      <c r="KJJ149" s="3"/>
      <c r="KJK149" s="3"/>
      <c r="KJL149" s="3"/>
      <c r="KJM149" s="3"/>
      <c r="KJN149" s="3"/>
      <c r="KJO149" s="3"/>
      <c r="KJP149" s="3"/>
      <c r="KJQ149" s="3"/>
      <c r="KJR149" s="3"/>
      <c r="KJS149" s="3"/>
      <c r="KJT149" s="3"/>
      <c r="KJU149" s="3"/>
      <c r="KJV149" s="3"/>
      <c r="KJW149" s="3"/>
      <c r="KJX149" s="3"/>
      <c r="KJY149" s="3"/>
      <c r="KJZ149" s="3"/>
      <c r="KKA149" s="3"/>
      <c r="KKB149" s="3"/>
      <c r="KKC149" s="3"/>
      <c r="KKD149" s="3"/>
      <c r="KKE149" s="3"/>
      <c r="KKF149" s="3"/>
      <c r="KKG149" s="3"/>
      <c r="KKH149" s="3"/>
      <c r="KKI149" s="3"/>
      <c r="KKJ149" s="3"/>
      <c r="KKK149" s="3"/>
      <c r="KKL149" s="3"/>
      <c r="KKM149" s="3"/>
      <c r="KKN149" s="3"/>
      <c r="KKO149" s="3"/>
      <c r="KKP149" s="3"/>
      <c r="KKQ149" s="3"/>
      <c r="KKR149" s="3"/>
      <c r="KKS149" s="3"/>
      <c r="KKT149" s="3"/>
      <c r="KKU149" s="3"/>
      <c r="KKV149" s="3"/>
      <c r="KKW149" s="3"/>
      <c r="KKX149" s="3"/>
      <c r="KKY149" s="3"/>
      <c r="KKZ149" s="3"/>
      <c r="KLA149" s="3"/>
      <c r="KLB149" s="3"/>
      <c r="KLC149" s="3"/>
      <c r="KLD149" s="3"/>
      <c r="KLE149" s="3"/>
      <c r="KLF149" s="3"/>
      <c r="KLG149" s="3"/>
      <c r="KLH149" s="3"/>
      <c r="KLI149" s="3"/>
      <c r="KLJ149" s="3"/>
      <c r="KLK149" s="3"/>
      <c r="KLL149" s="3"/>
      <c r="KLM149" s="3"/>
      <c r="KLN149" s="3"/>
      <c r="KLO149" s="3"/>
      <c r="KLP149" s="3"/>
      <c r="KLQ149" s="3"/>
      <c r="KLR149" s="3"/>
      <c r="KLS149" s="3"/>
      <c r="KLT149" s="3"/>
      <c r="KLU149" s="3"/>
      <c r="KLV149" s="3"/>
      <c r="KLW149" s="3"/>
      <c r="KLX149" s="3"/>
      <c r="KLY149" s="3"/>
      <c r="KLZ149" s="3"/>
      <c r="KMA149" s="3"/>
      <c r="KMB149" s="3"/>
      <c r="KMC149" s="3"/>
      <c r="KMD149" s="3"/>
      <c r="KME149" s="3"/>
      <c r="KMF149" s="3"/>
      <c r="KMG149" s="3"/>
      <c r="KMH149" s="3"/>
      <c r="KMI149" s="3"/>
      <c r="KMJ149" s="3"/>
      <c r="KMK149" s="3"/>
      <c r="KML149" s="3"/>
      <c r="KMM149" s="3"/>
      <c r="KMN149" s="3"/>
      <c r="KMO149" s="3"/>
      <c r="KMP149" s="3"/>
      <c r="KMQ149" s="3"/>
      <c r="KMR149" s="3"/>
      <c r="KMS149" s="3"/>
      <c r="KMT149" s="3"/>
      <c r="KMU149" s="3"/>
      <c r="KMV149" s="3"/>
      <c r="KMW149" s="3"/>
      <c r="KMX149" s="3"/>
      <c r="KMY149" s="3"/>
      <c r="KMZ149" s="3"/>
      <c r="KNA149" s="3"/>
      <c r="KNB149" s="3"/>
      <c r="KNC149" s="3"/>
      <c r="KND149" s="3"/>
      <c r="KNE149" s="3"/>
      <c r="KNF149" s="3"/>
      <c r="KNG149" s="3"/>
      <c r="KNH149" s="3"/>
      <c r="KNI149" s="3"/>
      <c r="KNJ149" s="3"/>
      <c r="KNK149" s="3"/>
      <c r="KNL149" s="3"/>
      <c r="KNM149" s="3"/>
      <c r="KNN149" s="3"/>
      <c r="KNO149" s="3"/>
      <c r="KNP149" s="3"/>
      <c r="KNQ149" s="3"/>
      <c r="KNR149" s="3"/>
      <c r="KNS149" s="3"/>
      <c r="KNT149" s="3"/>
      <c r="KNU149" s="3"/>
      <c r="KNV149" s="3"/>
      <c r="KNW149" s="3"/>
      <c r="KNX149" s="3"/>
      <c r="KNY149" s="3"/>
      <c r="KNZ149" s="3"/>
      <c r="KOA149" s="3"/>
      <c r="KOB149" s="3"/>
      <c r="KOC149" s="3"/>
      <c r="KOD149" s="3"/>
      <c r="KOE149" s="3"/>
      <c r="KOF149" s="3"/>
      <c r="KOG149" s="3"/>
      <c r="KOH149" s="3"/>
      <c r="KOI149" s="3"/>
      <c r="KOJ149" s="3"/>
      <c r="KOK149" s="3"/>
      <c r="KOL149" s="3"/>
      <c r="KOM149" s="3"/>
      <c r="KON149" s="3"/>
      <c r="KOO149" s="3"/>
      <c r="KOP149" s="3"/>
      <c r="KOQ149" s="3"/>
      <c r="KOR149" s="3"/>
      <c r="KOS149" s="3"/>
      <c r="KOT149" s="3"/>
      <c r="KOU149" s="3"/>
      <c r="KOV149" s="3"/>
      <c r="KOW149" s="3"/>
      <c r="KOX149" s="3"/>
      <c r="KOY149" s="3"/>
      <c r="KOZ149" s="3"/>
      <c r="KPA149" s="3"/>
      <c r="KPB149" s="3"/>
      <c r="KPC149" s="3"/>
      <c r="KPD149" s="3"/>
      <c r="KPE149" s="3"/>
      <c r="KPF149" s="3"/>
      <c r="KPG149" s="3"/>
      <c r="KPH149" s="3"/>
      <c r="KPI149" s="3"/>
      <c r="KPJ149" s="3"/>
      <c r="KPK149" s="3"/>
      <c r="KPL149" s="3"/>
      <c r="KPM149" s="3"/>
      <c r="KPN149" s="3"/>
      <c r="KPO149" s="3"/>
      <c r="KPP149" s="3"/>
      <c r="KPQ149" s="3"/>
      <c r="KPR149" s="3"/>
      <c r="KPS149" s="3"/>
      <c r="KPT149" s="3"/>
      <c r="KPU149" s="3"/>
      <c r="KPV149" s="3"/>
      <c r="KPW149" s="3"/>
      <c r="KPX149" s="3"/>
      <c r="KPY149" s="3"/>
      <c r="KPZ149" s="3"/>
      <c r="KQA149" s="3"/>
      <c r="KQB149" s="3"/>
      <c r="KQC149" s="3"/>
      <c r="KQD149" s="3"/>
      <c r="KQE149" s="3"/>
      <c r="KQF149" s="3"/>
      <c r="KQG149" s="3"/>
      <c r="KQH149" s="3"/>
      <c r="KQI149" s="3"/>
      <c r="KQJ149" s="3"/>
      <c r="KQK149" s="3"/>
      <c r="KQL149" s="3"/>
      <c r="KQM149" s="3"/>
      <c r="KQN149" s="3"/>
      <c r="KQO149" s="3"/>
      <c r="KQP149" s="3"/>
      <c r="KQQ149" s="3"/>
      <c r="KQR149" s="3"/>
      <c r="KQS149" s="3"/>
      <c r="KQT149" s="3"/>
      <c r="KQU149" s="3"/>
      <c r="KQV149" s="3"/>
      <c r="KQW149" s="3"/>
      <c r="KQX149" s="3"/>
      <c r="KQY149" s="3"/>
      <c r="KQZ149" s="3"/>
      <c r="KRA149" s="3"/>
      <c r="KRB149" s="3"/>
      <c r="KRC149" s="3"/>
      <c r="KRD149" s="3"/>
      <c r="KRE149" s="3"/>
      <c r="KRF149" s="3"/>
      <c r="KRG149" s="3"/>
      <c r="KRH149" s="3"/>
      <c r="KRI149" s="3"/>
      <c r="KRJ149" s="3"/>
      <c r="KRK149" s="3"/>
      <c r="KRL149" s="3"/>
      <c r="KRM149" s="3"/>
      <c r="KRN149" s="3"/>
      <c r="KRO149" s="3"/>
      <c r="KRP149" s="3"/>
      <c r="KRQ149" s="3"/>
      <c r="KRR149" s="3"/>
      <c r="KRS149" s="3"/>
      <c r="KRT149" s="3"/>
      <c r="KRU149" s="3"/>
      <c r="KRV149" s="3"/>
      <c r="KRW149" s="3"/>
      <c r="KRX149" s="3"/>
      <c r="KRY149" s="3"/>
      <c r="KRZ149" s="3"/>
      <c r="KSA149" s="3"/>
      <c r="KSB149" s="3"/>
      <c r="KSC149" s="3"/>
      <c r="KSD149" s="3"/>
      <c r="KSE149" s="3"/>
      <c r="KSF149" s="3"/>
      <c r="KSG149" s="3"/>
      <c r="KSH149" s="3"/>
      <c r="KSI149" s="3"/>
      <c r="KSJ149" s="3"/>
      <c r="KSK149" s="3"/>
      <c r="KSL149" s="3"/>
      <c r="KSM149" s="3"/>
      <c r="KSN149" s="3"/>
      <c r="KSO149" s="3"/>
      <c r="KSP149" s="3"/>
      <c r="KSQ149" s="3"/>
      <c r="KSR149" s="3"/>
      <c r="KSS149" s="3"/>
      <c r="KST149" s="3"/>
      <c r="KSU149" s="3"/>
      <c r="KSV149" s="3"/>
      <c r="KSW149" s="3"/>
      <c r="KSX149" s="3"/>
      <c r="KSY149" s="3"/>
      <c r="KSZ149" s="3"/>
      <c r="KTA149" s="3"/>
      <c r="KTB149" s="3"/>
      <c r="KTC149" s="3"/>
      <c r="KTD149" s="3"/>
      <c r="KTE149" s="3"/>
      <c r="KTF149" s="3"/>
      <c r="KTG149" s="3"/>
      <c r="KTH149" s="3"/>
      <c r="KTI149" s="3"/>
      <c r="KTJ149" s="3"/>
      <c r="KTK149" s="3"/>
      <c r="KTL149" s="3"/>
      <c r="KTM149" s="3"/>
      <c r="KTN149" s="3"/>
      <c r="KTO149" s="3"/>
      <c r="KTP149" s="3"/>
      <c r="KTQ149" s="3"/>
      <c r="KTR149" s="3"/>
      <c r="KTS149" s="3"/>
      <c r="KTT149" s="3"/>
      <c r="KTU149" s="3"/>
      <c r="KTV149" s="3"/>
      <c r="KTW149" s="3"/>
      <c r="KTX149" s="3"/>
      <c r="KTY149" s="3"/>
      <c r="KTZ149" s="3"/>
      <c r="KUA149" s="3"/>
      <c r="KUB149" s="3"/>
      <c r="KUC149" s="3"/>
      <c r="KUD149" s="3"/>
      <c r="KUE149" s="3"/>
      <c r="KUF149" s="3"/>
      <c r="KUG149" s="3"/>
      <c r="KUH149" s="3"/>
      <c r="KUI149" s="3"/>
      <c r="KUJ149" s="3"/>
      <c r="KUK149" s="3"/>
      <c r="KUL149" s="3"/>
      <c r="KUM149" s="3"/>
      <c r="KUN149" s="3"/>
      <c r="KUO149" s="3"/>
      <c r="KUP149" s="3"/>
      <c r="KUQ149" s="3"/>
      <c r="KUR149" s="3"/>
      <c r="KUS149" s="3"/>
      <c r="KUT149" s="3"/>
      <c r="KUU149" s="3"/>
      <c r="KUV149" s="3"/>
      <c r="KUW149" s="3"/>
      <c r="KUX149" s="3"/>
      <c r="KUY149" s="3"/>
      <c r="KUZ149" s="3"/>
      <c r="KVA149" s="3"/>
      <c r="KVB149" s="3"/>
      <c r="KVC149" s="3"/>
      <c r="KVD149" s="3"/>
      <c r="KVE149" s="3"/>
      <c r="KVF149" s="3"/>
      <c r="KVG149" s="3"/>
      <c r="KVH149" s="3"/>
      <c r="KVI149" s="3"/>
      <c r="KVJ149" s="3"/>
      <c r="KVK149" s="3"/>
      <c r="KVL149" s="3"/>
      <c r="KVM149" s="3"/>
      <c r="KVN149" s="3"/>
      <c r="KVO149" s="3"/>
      <c r="KVP149" s="3"/>
      <c r="KVQ149" s="3"/>
      <c r="KVR149" s="3"/>
      <c r="KVS149" s="3"/>
      <c r="KVT149" s="3"/>
      <c r="KVU149" s="3"/>
      <c r="KVV149" s="3"/>
      <c r="KVW149" s="3"/>
      <c r="KVX149" s="3"/>
      <c r="KVY149" s="3"/>
      <c r="KVZ149" s="3"/>
      <c r="KWA149" s="3"/>
      <c r="KWB149" s="3"/>
      <c r="KWC149" s="3"/>
      <c r="KWD149" s="3"/>
      <c r="KWE149" s="3"/>
      <c r="KWF149" s="3"/>
      <c r="KWG149" s="3"/>
      <c r="KWH149" s="3"/>
      <c r="KWI149" s="3"/>
      <c r="KWJ149" s="3"/>
      <c r="KWK149" s="3"/>
      <c r="KWL149" s="3"/>
      <c r="KWM149" s="3"/>
      <c r="KWN149" s="3"/>
      <c r="KWO149" s="3"/>
      <c r="KWP149" s="3"/>
      <c r="KWQ149" s="3"/>
      <c r="KWR149" s="3"/>
      <c r="KWS149" s="3"/>
      <c r="KWT149" s="3"/>
      <c r="KWU149" s="3"/>
      <c r="KWV149" s="3"/>
      <c r="KWW149" s="3"/>
      <c r="KWX149" s="3"/>
      <c r="KWY149" s="3"/>
      <c r="KWZ149" s="3"/>
      <c r="KXA149" s="3"/>
      <c r="KXB149" s="3"/>
      <c r="KXC149" s="3"/>
      <c r="KXD149" s="3"/>
      <c r="KXE149" s="3"/>
      <c r="KXF149" s="3"/>
      <c r="KXG149" s="3"/>
      <c r="KXH149" s="3"/>
      <c r="KXI149" s="3"/>
      <c r="KXJ149" s="3"/>
      <c r="KXK149" s="3"/>
      <c r="KXL149" s="3"/>
      <c r="KXM149" s="3"/>
      <c r="KXN149" s="3"/>
      <c r="KXO149" s="3"/>
      <c r="KXP149" s="3"/>
      <c r="KXQ149" s="3"/>
      <c r="KXR149" s="3"/>
      <c r="KXS149" s="3"/>
      <c r="KXT149" s="3"/>
      <c r="KXU149" s="3"/>
      <c r="KXV149" s="3"/>
      <c r="KXW149" s="3"/>
      <c r="KXX149" s="3"/>
      <c r="KXY149" s="3"/>
      <c r="KXZ149" s="3"/>
      <c r="KYA149" s="3"/>
      <c r="KYB149" s="3"/>
      <c r="KYC149" s="3"/>
      <c r="KYD149" s="3"/>
      <c r="KYE149" s="3"/>
      <c r="KYF149" s="3"/>
      <c r="KYG149" s="3"/>
      <c r="KYH149" s="3"/>
      <c r="KYI149" s="3"/>
      <c r="KYJ149" s="3"/>
      <c r="KYK149" s="3"/>
      <c r="KYL149" s="3"/>
      <c r="KYM149" s="3"/>
      <c r="KYN149" s="3"/>
      <c r="KYO149" s="3"/>
      <c r="KYP149" s="3"/>
      <c r="KYQ149" s="3"/>
      <c r="KYR149" s="3"/>
      <c r="KYS149" s="3"/>
      <c r="KYT149" s="3"/>
      <c r="KYU149" s="3"/>
      <c r="KYV149" s="3"/>
      <c r="KYW149" s="3"/>
      <c r="KYX149" s="3"/>
      <c r="KYY149" s="3"/>
      <c r="KYZ149" s="3"/>
      <c r="KZA149" s="3"/>
      <c r="KZB149" s="3"/>
      <c r="KZC149" s="3"/>
      <c r="KZD149" s="3"/>
      <c r="KZE149" s="3"/>
      <c r="KZF149" s="3"/>
      <c r="KZG149" s="3"/>
      <c r="KZH149" s="3"/>
      <c r="KZI149" s="3"/>
      <c r="KZJ149" s="3"/>
      <c r="KZK149" s="3"/>
      <c r="KZL149" s="3"/>
      <c r="KZM149" s="3"/>
      <c r="KZN149" s="3"/>
      <c r="KZO149" s="3"/>
      <c r="KZP149" s="3"/>
      <c r="KZQ149" s="3"/>
      <c r="KZR149" s="3"/>
      <c r="KZS149" s="3"/>
      <c r="KZT149" s="3"/>
      <c r="KZU149" s="3"/>
      <c r="KZV149" s="3"/>
      <c r="KZW149" s="3"/>
      <c r="KZX149" s="3"/>
      <c r="KZY149" s="3"/>
      <c r="KZZ149" s="3"/>
      <c r="LAA149" s="3"/>
      <c r="LAB149" s="3"/>
      <c r="LAC149" s="3"/>
      <c r="LAD149" s="3"/>
      <c r="LAE149" s="3"/>
      <c r="LAF149" s="3"/>
      <c r="LAG149" s="3"/>
      <c r="LAH149" s="3"/>
      <c r="LAI149" s="3"/>
      <c r="LAJ149" s="3"/>
      <c r="LAK149" s="3"/>
      <c r="LAL149" s="3"/>
      <c r="LAM149" s="3"/>
      <c r="LAN149" s="3"/>
      <c r="LAO149" s="3"/>
      <c r="LAP149" s="3"/>
      <c r="LAQ149" s="3"/>
      <c r="LAR149" s="3"/>
      <c r="LAS149" s="3"/>
      <c r="LAT149" s="3"/>
      <c r="LAU149" s="3"/>
      <c r="LAV149" s="3"/>
      <c r="LAW149" s="3"/>
      <c r="LAX149" s="3"/>
      <c r="LAY149" s="3"/>
      <c r="LAZ149" s="3"/>
      <c r="LBA149" s="3"/>
      <c r="LBB149" s="3"/>
      <c r="LBC149" s="3"/>
      <c r="LBD149" s="3"/>
      <c r="LBE149" s="3"/>
      <c r="LBF149" s="3"/>
      <c r="LBG149" s="3"/>
      <c r="LBH149" s="3"/>
      <c r="LBI149" s="3"/>
      <c r="LBJ149" s="3"/>
      <c r="LBK149" s="3"/>
      <c r="LBL149" s="3"/>
      <c r="LBM149" s="3"/>
      <c r="LBN149" s="3"/>
      <c r="LBO149" s="3"/>
      <c r="LBP149" s="3"/>
      <c r="LBQ149" s="3"/>
      <c r="LBR149" s="3"/>
      <c r="LBS149" s="3"/>
      <c r="LBT149" s="3"/>
      <c r="LBU149" s="3"/>
      <c r="LBV149" s="3"/>
      <c r="LBW149" s="3"/>
      <c r="LBX149" s="3"/>
      <c r="LBY149" s="3"/>
      <c r="LBZ149" s="3"/>
      <c r="LCA149" s="3"/>
      <c r="LCB149" s="3"/>
      <c r="LCC149" s="3"/>
      <c r="LCD149" s="3"/>
      <c r="LCE149" s="3"/>
      <c r="LCF149" s="3"/>
      <c r="LCG149" s="3"/>
      <c r="LCH149" s="3"/>
      <c r="LCI149" s="3"/>
      <c r="LCJ149" s="3"/>
      <c r="LCK149" s="3"/>
      <c r="LCL149" s="3"/>
      <c r="LCM149" s="3"/>
      <c r="LCN149" s="3"/>
      <c r="LCO149" s="3"/>
      <c r="LCP149" s="3"/>
      <c r="LCQ149" s="3"/>
      <c r="LCR149" s="3"/>
      <c r="LCS149" s="3"/>
      <c r="LCT149" s="3"/>
      <c r="LCU149" s="3"/>
      <c r="LCV149" s="3"/>
      <c r="LCW149" s="3"/>
      <c r="LCX149" s="3"/>
      <c r="LCY149" s="3"/>
      <c r="LCZ149" s="3"/>
      <c r="LDA149" s="3"/>
      <c r="LDB149" s="3"/>
      <c r="LDC149" s="3"/>
      <c r="LDD149" s="3"/>
      <c r="LDE149" s="3"/>
      <c r="LDF149" s="3"/>
      <c r="LDG149" s="3"/>
      <c r="LDH149" s="3"/>
      <c r="LDI149" s="3"/>
      <c r="LDJ149" s="3"/>
      <c r="LDK149" s="3"/>
      <c r="LDL149" s="3"/>
      <c r="LDM149" s="3"/>
      <c r="LDN149" s="3"/>
      <c r="LDO149" s="3"/>
      <c r="LDP149" s="3"/>
      <c r="LDQ149" s="3"/>
      <c r="LDR149" s="3"/>
      <c r="LDS149" s="3"/>
      <c r="LDT149" s="3"/>
      <c r="LDU149" s="3"/>
      <c r="LDV149" s="3"/>
      <c r="LDW149" s="3"/>
      <c r="LDX149" s="3"/>
      <c r="LDY149" s="3"/>
      <c r="LDZ149" s="3"/>
      <c r="LEA149" s="3"/>
      <c r="LEB149" s="3"/>
      <c r="LEC149" s="3"/>
      <c r="LED149" s="3"/>
      <c r="LEE149" s="3"/>
      <c r="LEF149" s="3"/>
      <c r="LEG149" s="3"/>
      <c r="LEH149" s="3"/>
      <c r="LEI149" s="3"/>
      <c r="LEJ149" s="3"/>
      <c r="LEK149" s="3"/>
      <c r="LEL149" s="3"/>
      <c r="LEM149" s="3"/>
      <c r="LEN149" s="3"/>
      <c r="LEO149" s="3"/>
      <c r="LEP149" s="3"/>
      <c r="LEQ149" s="3"/>
      <c r="LER149" s="3"/>
      <c r="LES149" s="3"/>
      <c r="LET149" s="3"/>
      <c r="LEU149" s="3"/>
      <c r="LEV149" s="3"/>
      <c r="LEW149" s="3"/>
      <c r="LEX149" s="3"/>
      <c r="LEY149" s="3"/>
      <c r="LEZ149" s="3"/>
      <c r="LFA149" s="3"/>
      <c r="LFB149" s="3"/>
      <c r="LFC149" s="3"/>
      <c r="LFD149" s="3"/>
      <c r="LFE149" s="3"/>
      <c r="LFF149" s="3"/>
      <c r="LFG149" s="3"/>
      <c r="LFH149" s="3"/>
      <c r="LFI149" s="3"/>
      <c r="LFJ149" s="3"/>
      <c r="LFK149" s="3"/>
      <c r="LFL149" s="3"/>
      <c r="LFM149" s="3"/>
      <c r="LFN149" s="3"/>
      <c r="LFO149" s="3"/>
      <c r="LFP149" s="3"/>
      <c r="LFQ149" s="3"/>
      <c r="LFR149" s="3"/>
      <c r="LFS149" s="3"/>
      <c r="LFT149" s="3"/>
      <c r="LFU149" s="3"/>
      <c r="LFV149" s="3"/>
      <c r="LFW149" s="3"/>
      <c r="LFX149" s="3"/>
      <c r="LFY149" s="3"/>
      <c r="LFZ149" s="3"/>
      <c r="LGA149" s="3"/>
      <c r="LGB149" s="3"/>
      <c r="LGC149" s="3"/>
      <c r="LGD149" s="3"/>
      <c r="LGE149" s="3"/>
      <c r="LGF149" s="3"/>
      <c r="LGG149" s="3"/>
      <c r="LGH149" s="3"/>
      <c r="LGI149" s="3"/>
      <c r="LGJ149" s="3"/>
      <c r="LGK149" s="3"/>
      <c r="LGL149" s="3"/>
      <c r="LGM149" s="3"/>
      <c r="LGN149" s="3"/>
      <c r="LGO149" s="3"/>
      <c r="LGP149" s="3"/>
      <c r="LGQ149" s="3"/>
      <c r="LGR149" s="3"/>
      <c r="LGS149" s="3"/>
      <c r="LGT149" s="3"/>
      <c r="LGU149" s="3"/>
      <c r="LGV149" s="3"/>
      <c r="LGW149" s="3"/>
      <c r="LGX149" s="3"/>
      <c r="LGY149" s="3"/>
      <c r="LGZ149" s="3"/>
      <c r="LHA149" s="3"/>
      <c r="LHB149" s="3"/>
      <c r="LHC149" s="3"/>
      <c r="LHD149" s="3"/>
      <c r="LHE149" s="3"/>
      <c r="LHF149" s="3"/>
      <c r="LHG149" s="3"/>
      <c r="LHH149" s="3"/>
      <c r="LHI149" s="3"/>
      <c r="LHJ149" s="3"/>
      <c r="LHK149" s="3"/>
      <c r="LHL149" s="3"/>
      <c r="LHM149" s="3"/>
      <c r="LHN149" s="3"/>
      <c r="LHO149" s="3"/>
      <c r="LHP149" s="3"/>
      <c r="LHQ149" s="3"/>
      <c r="LHR149" s="3"/>
      <c r="LHS149" s="3"/>
      <c r="LHT149" s="3"/>
      <c r="LHU149" s="3"/>
      <c r="LHV149" s="3"/>
      <c r="LHW149" s="3"/>
      <c r="LHX149" s="3"/>
      <c r="LHY149" s="3"/>
      <c r="LHZ149" s="3"/>
      <c r="LIA149" s="3"/>
      <c r="LIB149" s="3"/>
      <c r="LIC149" s="3"/>
      <c r="LID149" s="3"/>
      <c r="LIE149" s="3"/>
      <c r="LIF149" s="3"/>
      <c r="LIG149" s="3"/>
      <c r="LIH149" s="3"/>
      <c r="LII149" s="3"/>
      <c r="LIJ149" s="3"/>
      <c r="LIK149" s="3"/>
      <c r="LIL149" s="3"/>
      <c r="LIM149" s="3"/>
      <c r="LIN149" s="3"/>
      <c r="LIO149" s="3"/>
      <c r="LIP149" s="3"/>
      <c r="LIQ149" s="3"/>
      <c r="LIR149" s="3"/>
      <c r="LIS149" s="3"/>
      <c r="LIT149" s="3"/>
      <c r="LIU149" s="3"/>
      <c r="LIV149" s="3"/>
      <c r="LIW149" s="3"/>
      <c r="LIX149" s="3"/>
      <c r="LIY149" s="3"/>
      <c r="LIZ149" s="3"/>
      <c r="LJA149" s="3"/>
      <c r="LJB149" s="3"/>
      <c r="LJC149" s="3"/>
      <c r="LJD149" s="3"/>
      <c r="LJE149" s="3"/>
      <c r="LJF149" s="3"/>
      <c r="LJG149" s="3"/>
      <c r="LJH149" s="3"/>
      <c r="LJI149" s="3"/>
      <c r="LJJ149" s="3"/>
      <c r="LJK149" s="3"/>
      <c r="LJL149" s="3"/>
      <c r="LJM149" s="3"/>
      <c r="LJN149" s="3"/>
      <c r="LJO149" s="3"/>
      <c r="LJP149" s="3"/>
      <c r="LJQ149" s="3"/>
      <c r="LJR149" s="3"/>
      <c r="LJS149" s="3"/>
      <c r="LJT149" s="3"/>
      <c r="LJU149" s="3"/>
      <c r="LJV149" s="3"/>
      <c r="LJW149" s="3"/>
      <c r="LJX149" s="3"/>
      <c r="LJY149" s="3"/>
      <c r="LJZ149" s="3"/>
      <c r="LKA149" s="3"/>
      <c r="LKB149" s="3"/>
      <c r="LKC149" s="3"/>
      <c r="LKD149" s="3"/>
      <c r="LKE149" s="3"/>
      <c r="LKF149" s="3"/>
      <c r="LKG149" s="3"/>
      <c r="LKH149" s="3"/>
      <c r="LKI149" s="3"/>
      <c r="LKJ149" s="3"/>
      <c r="LKK149" s="3"/>
      <c r="LKL149" s="3"/>
      <c r="LKM149" s="3"/>
      <c r="LKN149" s="3"/>
      <c r="LKO149" s="3"/>
      <c r="LKP149" s="3"/>
      <c r="LKQ149" s="3"/>
      <c r="LKR149" s="3"/>
      <c r="LKS149" s="3"/>
      <c r="LKT149" s="3"/>
      <c r="LKU149" s="3"/>
      <c r="LKV149" s="3"/>
      <c r="LKW149" s="3"/>
      <c r="LKX149" s="3"/>
      <c r="LKY149" s="3"/>
      <c r="LKZ149" s="3"/>
      <c r="LLA149" s="3"/>
      <c r="LLB149" s="3"/>
      <c r="LLC149" s="3"/>
      <c r="LLD149" s="3"/>
      <c r="LLE149" s="3"/>
      <c r="LLF149" s="3"/>
      <c r="LLG149" s="3"/>
      <c r="LLH149" s="3"/>
      <c r="LLI149" s="3"/>
      <c r="LLJ149" s="3"/>
      <c r="LLK149" s="3"/>
      <c r="LLL149" s="3"/>
      <c r="LLM149" s="3"/>
      <c r="LLN149" s="3"/>
      <c r="LLO149" s="3"/>
      <c r="LLP149" s="3"/>
      <c r="LLQ149" s="3"/>
      <c r="LLR149" s="3"/>
      <c r="LLS149" s="3"/>
      <c r="LLT149" s="3"/>
      <c r="LLU149" s="3"/>
      <c r="LLV149" s="3"/>
      <c r="LLW149" s="3"/>
      <c r="LLX149" s="3"/>
      <c r="LLY149" s="3"/>
      <c r="LLZ149" s="3"/>
      <c r="LMA149" s="3"/>
      <c r="LMB149" s="3"/>
      <c r="LMC149" s="3"/>
      <c r="LMD149" s="3"/>
      <c r="LME149" s="3"/>
      <c r="LMF149" s="3"/>
      <c r="LMG149" s="3"/>
      <c r="LMH149" s="3"/>
      <c r="LMI149" s="3"/>
      <c r="LMJ149" s="3"/>
      <c r="LMK149" s="3"/>
      <c r="LML149" s="3"/>
      <c r="LMM149" s="3"/>
      <c r="LMN149" s="3"/>
      <c r="LMO149" s="3"/>
      <c r="LMP149" s="3"/>
      <c r="LMQ149" s="3"/>
      <c r="LMR149" s="3"/>
      <c r="LMS149" s="3"/>
      <c r="LMT149" s="3"/>
      <c r="LMU149" s="3"/>
      <c r="LMV149" s="3"/>
      <c r="LMW149" s="3"/>
      <c r="LMX149" s="3"/>
      <c r="LMY149" s="3"/>
      <c r="LMZ149" s="3"/>
      <c r="LNA149" s="3"/>
      <c r="LNB149" s="3"/>
      <c r="LNC149" s="3"/>
      <c r="LND149" s="3"/>
      <c r="LNE149" s="3"/>
      <c r="LNF149" s="3"/>
      <c r="LNG149" s="3"/>
      <c r="LNH149" s="3"/>
      <c r="LNI149" s="3"/>
      <c r="LNJ149" s="3"/>
      <c r="LNK149" s="3"/>
      <c r="LNL149" s="3"/>
      <c r="LNM149" s="3"/>
      <c r="LNN149" s="3"/>
      <c r="LNO149" s="3"/>
      <c r="LNP149" s="3"/>
      <c r="LNQ149" s="3"/>
      <c r="LNR149" s="3"/>
      <c r="LNS149" s="3"/>
      <c r="LNT149" s="3"/>
      <c r="LNU149" s="3"/>
      <c r="LNV149" s="3"/>
      <c r="LNW149" s="3"/>
      <c r="LNX149" s="3"/>
      <c r="LNY149" s="3"/>
      <c r="LNZ149" s="3"/>
      <c r="LOA149" s="3"/>
      <c r="LOB149" s="3"/>
      <c r="LOC149" s="3"/>
      <c r="LOD149" s="3"/>
      <c r="LOE149" s="3"/>
      <c r="LOF149" s="3"/>
      <c r="LOG149" s="3"/>
      <c r="LOH149" s="3"/>
      <c r="LOI149" s="3"/>
      <c r="LOJ149" s="3"/>
      <c r="LOK149" s="3"/>
      <c r="LOL149" s="3"/>
      <c r="LOM149" s="3"/>
      <c r="LON149" s="3"/>
      <c r="LOO149" s="3"/>
      <c r="LOP149" s="3"/>
      <c r="LOQ149" s="3"/>
      <c r="LOR149" s="3"/>
      <c r="LOS149" s="3"/>
      <c r="LOT149" s="3"/>
      <c r="LOU149" s="3"/>
      <c r="LOV149" s="3"/>
      <c r="LOW149" s="3"/>
      <c r="LOX149" s="3"/>
      <c r="LOY149" s="3"/>
      <c r="LOZ149" s="3"/>
      <c r="LPA149" s="3"/>
      <c r="LPB149" s="3"/>
      <c r="LPC149" s="3"/>
      <c r="LPD149" s="3"/>
      <c r="LPE149" s="3"/>
      <c r="LPF149" s="3"/>
      <c r="LPG149" s="3"/>
      <c r="LPH149" s="3"/>
      <c r="LPI149" s="3"/>
      <c r="LPJ149" s="3"/>
      <c r="LPK149" s="3"/>
      <c r="LPL149" s="3"/>
      <c r="LPM149" s="3"/>
      <c r="LPN149" s="3"/>
      <c r="LPO149" s="3"/>
      <c r="LPP149" s="3"/>
      <c r="LPQ149" s="3"/>
      <c r="LPR149" s="3"/>
      <c r="LPS149" s="3"/>
      <c r="LPT149" s="3"/>
      <c r="LPU149" s="3"/>
      <c r="LPV149" s="3"/>
      <c r="LPW149" s="3"/>
      <c r="LPX149" s="3"/>
      <c r="LPY149" s="3"/>
      <c r="LPZ149" s="3"/>
      <c r="LQA149" s="3"/>
      <c r="LQB149" s="3"/>
      <c r="LQC149" s="3"/>
      <c r="LQD149" s="3"/>
      <c r="LQE149" s="3"/>
      <c r="LQF149" s="3"/>
      <c r="LQG149" s="3"/>
      <c r="LQH149" s="3"/>
      <c r="LQI149" s="3"/>
      <c r="LQJ149" s="3"/>
      <c r="LQK149" s="3"/>
      <c r="LQL149" s="3"/>
      <c r="LQM149" s="3"/>
      <c r="LQN149" s="3"/>
      <c r="LQO149" s="3"/>
      <c r="LQP149" s="3"/>
      <c r="LQQ149" s="3"/>
      <c r="LQR149" s="3"/>
      <c r="LQS149" s="3"/>
      <c r="LQT149" s="3"/>
      <c r="LQU149" s="3"/>
      <c r="LQV149" s="3"/>
      <c r="LQW149" s="3"/>
      <c r="LQX149" s="3"/>
      <c r="LQY149" s="3"/>
      <c r="LQZ149" s="3"/>
      <c r="LRA149" s="3"/>
      <c r="LRB149" s="3"/>
      <c r="LRC149" s="3"/>
      <c r="LRD149" s="3"/>
      <c r="LRE149" s="3"/>
      <c r="LRF149" s="3"/>
      <c r="LRG149" s="3"/>
      <c r="LRH149" s="3"/>
      <c r="LRI149" s="3"/>
      <c r="LRJ149" s="3"/>
      <c r="LRK149" s="3"/>
      <c r="LRL149" s="3"/>
      <c r="LRM149" s="3"/>
      <c r="LRN149" s="3"/>
      <c r="LRO149" s="3"/>
      <c r="LRP149" s="3"/>
      <c r="LRQ149" s="3"/>
      <c r="LRR149" s="3"/>
      <c r="LRS149" s="3"/>
      <c r="LRT149" s="3"/>
      <c r="LRU149" s="3"/>
      <c r="LRV149" s="3"/>
      <c r="LRW149" s="3"/>
      <c r="LRX149" s="3"/>
      <c r="LRY149" s="3"/>
      <c r="LRZ149" s="3"/>
      <c r="LSA149" s="3"/>
      <c r="LSB149" s="3"/>
      <c r="LSC149" s="3"/>
      <c r="LSD149" s="3"/>
      <c r="LSE149" s="3"/>
      <c r="LSF149" s="3"/>
      <c r="LSG149" s="3"/>
      <c r="LSH149" s="3"/>
      <c r="LSI149" s="3"/>
      <c r="LSJ149" s="3"/>
      <c r="LSK149" s="3"/>
      <c r="LSL149" s="3"/>
      <c r="LSM149" s="3"/>
      <c r="LSN149" s="3"/>
      <c r="LSO149" s="3"/>
      <c r="LSP149" s="3"/>
      <c r="LSQ149" s="3"/>
      <c r="LSR149" s="3"/>
      <c r="LSS149" s="3"/>
      <c r="LST149" s="3"/>
      <c r="LSU149" s="3"/>
      <c r="LSV149" s="3"/>
      <c r="LSW149" s="3"/>
      <c r="LSX149" s="3"/>
      <c r="LSY149" s="3"/>
      <c r="LSZ149" s="3"/>
      <c r="LTA149" s="3"/>
      <c r="LTB149" s="3"/>
      <c r="LTC149" s="3"/>
      <c r="LTD149" s="3"/>
      <c r="LTE149" s="3"/>
      <c r="LTF149" s="3"/>
      <c r="LTG149" s="3"/>
      <c r="LTH149" s="3"/>
      <c r="LTI149" s="3"/>
      <c r="LTJ149" s="3"/>
      <c r="LTK149" s="3"/>
      <c r="LTL149" s="3"/>
      <c r="LTM149" s="3"/>
      <c r="LTN149" s="3"/>
      <c r="LTO149" s="3"/>
      <c r="LTP149" s="3"/>
      <c r="LTQ149" s="3"/>
      <c r="LTR149" s="3"/>
      <c r="LTS149" s="3"/>
      <c r="LTT149" s="3"/>
      <c r="LTU149" s="3"/>
      <c r="LTV149" s="3"/>
      <c r="LTW149" s="3"/>
      <c r="LTX149" s="3"/>
      <c r="LTY149" s="3"/>
      <c r="LTZ149" s="3"/>
      <c r="LUA149" s="3"/>
      <c r="LUB149" s="3"/>
      <c r="LUC149" s="3"/>
      <c r="LUD149" s="3"/>
      <c r="LUE149" s="3"/>
      <c r="LUF149" s="3"/>
      <c r="LUG149" s="3"/>
      <c r="LUH149" s="3"/>
      <c r="LUI149" s="3"/>
      <c r="LUJ149" s="3"/>
      <c r="LUK149" s="3"/>
      <c r="LUL149" s="3"/>
      <c r="LUM149" s="3"/>
      <c r="LUN149" s="3"/>
      <c r="LUO149" s="3"/>
      <c r="LUP149" s="3"/>
      <c r="LUQ149" s="3"/>
      <c r="LUR149" s="3"/>
      <c r="LUS149" s="3"/>
      <c r="LUT149" s="3"/>
      <c r="LUU149" s="3"/>
      <c r="LUV149" s="3"/>
      <c r="LUW149" s="3"/>
      <c r="LUX149" s="3"/>
      <c r="LUY149" s="3"/>
      <c r="LUZ149" s="3"/>
      <c r="LVA149" s="3"/>
      <c r="LVB149" s="3"/>
      <c r="LVC149" s="3"/>
      <c r="LVD149" s="3"/>
      <c r="LVE149" s="3"/>
      <c r="LVF149" s="3"/>
      <c r="LVG149" s="3"/>
      <c r="LVH149" s="3"/>
      <c r="LVI149" s="3"/>
      <c r="LVJ149" s="3"/>
      <c r="LVK149" s="3"/>
      <c r="LVL149" s="3"/>
      <c r="LVM149" s="3"/>
      <c r="LVN149" s="3"/>
      <c r="LVO149" s="3"/>
      <c r="LVP149" s="3"/>
      <c r="LVQ149" s="3"/>
      <c r="LVR149" s="3"/>
      <c r="LVS149" s="3"/>
      <c r="LVT149" s="3"/>
      <c r="LVU149" s="3"/>
      <c r="LVV149" s="3"/>
      <c r="LVW149" s="3"/>
      <c r="LVX149" s="3"/>
      <c r="LVY149" s="3"/>
      <c r="LVZ149" s="3"/>
      <c r="LWA149" s="3"/>
      <c r="LWB149" s="3"/>
      <c r="LWC149" s="3"/>
      <c r="LWD149" s="3"/>
      <c r="LWE149" s="3"/>
      <c r="LWF149" s="3"/>
      <c r="LWG149" s="3"/>
      <c r="LWH149" s="3"/>
      <c r="LWI149" s="3"/>
      <c r="LWJ149" s="3"/>
      <c r="LWK149" s="3"/>
      <c r="LWL149" s="3"/>
      <c r="LWM149" s="3"/>
      <c r="LWN149" s="3"/>
      <c r="LWO149" s="3"/>
      <c r="LWP149" s="3"/>
      <c r="LWQ149" s="3"/>
      <c r="LWR149" s="3"/>
      <c r="LWS149" s="3"/>
      <c r="LWT149" s="3"/>
      <c r="LWU149" s="3"/>
      <c r="LWV149" s="3"/>
      <c r="LWW149" s="3"/>
      <c r="LWX149" s="3"/>
      <c r="LWY149" s="3"/>
      <c r="LWZ149" s="3"/>
      <c r="LXA149" s="3"/>
      <c r="LXB149" s="3"/>
      <c r="LXC149" s="3"/>
      <c r="LXD149" s="3"/>
      <c r="LXE149" s="3"/>
      <c r="LXF149" s="3"/>
      <c r="LXG149" s="3"/>
      <c r="LXH149" s="3"/>
      <c r="LXI149" s="3"/>
      <c r="LXJ149" s="3"/>
      <c r="LXK149" s="3"/>
      <c r="LXL149" s="3"/>
      <c r="LXM149" s="3"/>
      <c r="LXN149" s="3"/>
      <c r="LXO149" s="3"/>
      <c r="LXP149" s="3"/>
      <c r="LXQ149" s="3"/>
      <c r="LXR149" s="3"/>
      <c r="LXS149" s="3"/>
      <c r="LXT149" s="3"/>
      <c r="LXU149" s="3"/>
      <c r="LXV149" s="3"/>
      <c r="LXW149" s="3"/>
      <c r="LXX149" s="3"/>
      <c r="LXY149" s="3"/>
      <c r="LXZ149" s="3"/>
      <c r="LYA149" s="3"/>
      <c r="LYB149" s="3"/>
      <c r="LYC149" s="3"/>
      <c r="LYD149" s="3"/>
      <c r="LYE149" s="3"/>
      <c r="LYF149" s="3"/>
      <c r="LYG149" s="3"/>
      <c r="LYH149" s="3"/>
      <c r="LYI149" s="3"/>
      <c r="LYJ149" s="3"/>
      <c r="LYK149" s="3"/>
      <c r="LYL149" s="3"/>
      <c r="LYM149" s="3"/>
      <c r="LYN149" s="3"/>
      <c r="LYO149" s="3"/>
      <c r="LYP149" s="3"/>
      <c r="LYQ149" s="3"/>
      <c r="LYR149" s="3"/>
      <c r="LYS149" s="3"/>
      <c r="LYT149" s="3"/>
      <c r="LYU149" s="3"/>
      <c r="LYV149" s="3"/>
      <c r="LYW149" s="3"/>
      <c r="LYX149" s="3"/>
      <c r="LYY149" s="3"/>
      <c r="LYZ149" s="3"/>
      <c r="LZA149" s="3"/>
      <c r="LZB149" s="3"/>
      <c r="LZC149" s="3"/>
      <c r="LZD149" s="3"/>
      <c r="LZE149" s="3"/>
      <c r="LZF149" s="3"/>
      <c r="LZG149" s="3"/>
      <c r="LZH149" s="3"/>
      <c r="LZI149" s="3"/>
      <c r="LZJ149" s="3"/>
      <c r="LZK149" s="3"/>
      <c r="LZL149" s="3"/>
      <c r="LZM149" s="3"/>
      <c r="LZN149" s="3"/>
      <c r="LZO149" s="3"/>
      <c r="LZP149" s="3"/>
      <c r="LZQ149" s="3"/>
      <c r="LZR149" s="3"/>
      <c r="LZS149" s="3"/>
      <c r="LZT149" s="3"/>
      <c r="LZU149" s="3"/>
      <c r="LZV149" s="3"/>
      <c r="LZW149" s="3"/>
      <c r="LZX149" s="3"/>
      <c r="LZY149" s="3"/>
      <c r="LZZ149" s="3"/>
      <c r="MAA149" s="3"/>
      <c r="MAB149" s="3"/>
      <c r="MAC149" s="3"/>
      <c r="MAD149" s="3"/>
      <c r="MAE149" s="3"/>
      <c r="MAF149" s="3"/>
      <c r="MAG149" s="3"/>
      <c r="MAH149" s="3"/>
      <c r="MAI149" s="3"/>
      <c r="MAJ149" s="3"/>
      <c r="MAK149" s="3"/>
      <c r="MAL149" s="3"/>
      <c r="MAM149" s="3"/>
      <c r="MAN149" s="3"/>
      <c r="MAO149" s="3"/>
      <c r="MAP149" s="3"/>
      <c r="MAQ149" s="3"/>
      <c r="MAR149" s="3"/>
      <c r="MAS149" s="3"/>
      <c r="MAT149" s="3"/>
      <c r="MAU149" s="3"/>
      <c r="MAV149" s="3"/>
      <c r="MAW149" s="3"/>
      <c r="MAX149" s="3"/>
      <c r="MAY149" s="3"/>
      <c r="MAZ149" s="3"/>
      <c r="MBA149" s="3"/>
      <c r="MBB149" s="3"/>
      <c r="MBC149" s="3"/>
      <c r="MBD149" s="3"/>
      <c r="MBE149" s="3"/>
      <c r="MBF149" s="3"/>
      <c r="MBG149" s="3"/>
      <c r="MBH149" s="3"/>
      <c r="MBI149" s="3"/>
      <c r="MBJ149" s="3"/>
      <c r="MBK149" s="3"/>
      <c r="MBL149" s="3"/>
      <c r="MBM149" s="3"/>
      <c r="MBN149" s="3"/>
      <c r="MBO149" s="3"/>
      <c r="MBP149" s="3"/>
      <c r="MBQ149" s="3"/>
      <c r="MBR149" s="3"/>
      <c r="MBS149" s="3"/>
      <c r="MBT149" s="3"/>
      <c r="MBU149" s="3"/>
      <c r="MBV149" s="3"/>
      <c r="MBW149" s="3"/>
      <c r="MBX149" s="3"/>
      <c r="MBY149" s="3"/>
      <c r="MBZ149" s="3"/>
      <c r="MCA149" s="3"/>
      <c r="MCB149" s="3"/>
      <c r="MCC149" s="3"/>
      <c r="MCD149" s="3"/>
      <c r="MCE149" s="3"/>
      <c r="MCF149" s="3"/>
      <c r="MCG149" s="3"/>
      <c r="MCH149" s="3"/>
      <c r="MCI149" s="3"/>
      <c r="MCJ149" s="3"/>
      <c r="MCK149" s="3"/>
      <c r="MCL149" s="3"/>
      <c r="MCM149" s="3"/>
      <c r="MCN149" s="3"/>
      <c r="MCO149" s="3"/>
      <c r="MCP149" s="3"/>
      <c r="MCQ149" s="3"/>
      <c r="MCR149" s="3"/>
      <c r="MCS149" s="3"/>
      <c r="MCT149" s="3"/>
      <c r="MCU149" s="3"/>
      <c r="MCV149" s="3"/>
      <c r="MCW149" s="3"/>
      <c r="MCX149" s="3"/>
      <c r="MCY149" s="3"/>
      <c r="MCZ149" s="3"/>
      <c r="MDA149" s="3"/>
      <c r="MDB149" s="3"/>
      <c r="MDC149" s="3"/>
      <c r="MDD149" s="3"/>
      <c r="MDE149" s="3"/>
      <c r="MDF149" s="3"/>
      <c r="MDG149" s="3"/>
      <c r="MDH149" s="3"/>
      <c r="MDI149" s="3"/>
      <c r="MDJ149" s="3"/>
      <c r="MDK149" s="3"/>
      <c r="MDL149" s="3"/>
      <c r="MDM149" s="3"/>
      <c r="MDN149" s="3"/>
      <c r="MDO149" s="3"/>
      <c r="MDP149" s="3"/>
      <c r="MDQ149" s="3"/>
      <c r="MDR149" s="3"/>
      <c r="MDS149" s="3"/>
      <c r="MDT149" s="3"/>
      <c r="MDU149" s="3"/>
      <c r="MDV149" s="3"/>
      <c r="MDW149" s="3"/>
      <c r="MDX149" s="3"/>
      <c r="MDY149" s="3"/>
      <c r="MDZ149" s="3"/>
      <c r="MEA149" s="3"/>
      <c r="MEB149" s="3"/>
      <c r="MEC149" s="3"/>
      <c r="MED149" s="3"/>
      <c r="MEE149" s="3"/>
      <c r="MEF149" s="3"/>
      <c r="MEG149" s="3"/>
      <c r="MEH149" s="3"/>
      <c r="MEI149" s="3"/>
      <c r="MEJ149" s="3"/>
      <c r="MEK149" s="3"/>
      <c r="MEL149" s="3"/>
      <c r="MEM149" s="3"/>
      <c r="MEN149" s="3"/>
      <c r="MEO149" s="3"/>
      <c r="MEP149" s="3"/>
      <c r="MEQ149" s="3"/>
      <c r="MER149" s="3"/>
      <c r="MES149" s="3"/>
      <c r="MET149" s="3"/>
      <c r="MEU149" s="3"/>
      <c r="MEV149" s="3"/>
      <c r="MEW149" s="3"/>
      <c r="MEX149" s="3"/>
      <c r="MEY149" s="3"/>
      <c r="MEZ149" s="3"/>
      <c r="MFA149" s="3"/>
      <c r="MFB149" s="3"/>
      <c r="MFC149" s="3"/>
      <c r="MFD149" s="3"/>
      <c r="MFE149" s="3"/>
      <c r="MFF149" s="3"/>
      <c r="MFG149" s="3"/>
      <c r="MFH149" s="3"/>
      <c r="MFI149" s="3"/>
      <c r="MFJ149" s="3"/>
      <c r="MFK149" s="3"/>
      <c r="MFL149" s="3"/>
      <c r="MFM149" s="3"/>
      <c r="MFN149" s="3"/>
      <c r="MFO149" s="3"/>
      <c r="MFP149" s="3"/>
      <c r="MFQ149" s="3"/>
      <c r="MFR149" s="3"/>
      <c r="MFS149" s="3"/>
      <c r="MFT149" s="3"/>
      <c r="MFU149" s="3"/>
      <c r="MFV149" s="3"/>
      <c r="MFW149" s="3"/>
      <c r="MFX149" s="3"/>
      <c r="MFY149" s="3"/>
      <c r="MFZ149" s="3"/>
      <c r="MGA149" s="3"/>
      <c r="MGB149" s="3"/>
      <c r="MGC149" s="3"/>
      <c r="MGD149" s="3"/>
      <c r="MGE149" s="3"/>
      <c r="MGF149" s="3"/>
      <c r="MGG149" s="3"/>
      <c r="MGH149" s="3"/>
      <c r="MGI149" s="3"/>
      <c r="MGJ149" s="3"/>
      <c r="MGK149" s="3"/>
      <c r="MGL149" s="3"/>
      <c r="MGM149" s="3"/>
      <c r="MGN149" s="3"/>
      <c r="MGO149" s="3"/>
      <c r="MGP149" s="3"/>
      <c r="MGQ149" s="3"/>
      <c r="MGR149" s="3"/>
      <c r="MGS149" s="3"/>
      <c r="MGT149" s="3"/>
      <c r="MGU149" s="3"/>
      <c r="MGV149" s="3"/>
      <c r="MGW149" s="3"/>
      <c r="MGX149" s="3"/>
      <c r="MGY149" s="3"/>
      <c r="MGZ149" s="3"/>
      <c r="MHA149" s="3"/>
      <c r="MHB149" s="3"/>
      <c r="MHC149" s="3"/>
      <c r="MHD149" s="3"/>
      <c r="MHE149" s="3"/>
      <c r="MHF149" s="3"/>
      <c r="MHG149" s="3"/>
      <c r="MHH149" s="3"/>
      <c r="MHI149" s="3"/>
      <c r="MHJ149" s="3"/>
      <c r="MHK149" s="3"/>
      <c r="MHL149" s="3"/>
      <c r="MHM149" s="3"/>
      <c r="MHN149" s="3"/>
      <c r="MHO149" s="3"/>
      <c r="MHP149" s="3"/>
      <c r="MHQ149" s="3"/>
      <c r="MHR149" s="3"/>
      <c r="MHS149" s="3"/>
      <c r="MHT149" s="3"/>
      <c r="MHU149" s="3"/>
      <c r="MHV149" s="3"/>
      <c r="MHW149" s="3"/>
      <c r="MHX149" s="3"/>
      <c r="MHY149" s="3"/>
      <c r="MHZ149" s="3"/>
      <c r="MIA149" s="3"/>
      <c r="MIB149" s="3"/>
      <c r="MIC149" s="3"/>
      <c r="MID149" s="3"/>
      <c r="MIE149" s="3"/>
      <c r="MIF149" s="3"/>
      <c r="MIG149" s="3"/>
      <c r="MIH149" s="3"/>
      <c r="MII149" s="3"/>
      <c r="MIJ149" s="3"/>
      <c r="MIK149" s="3"/>
      <c r="MIL149" s="3"/>
      <c r="MIM149" s="3"/>
      <c r="MIN149" s="3"/>
      <c r="MIO149" s="3"/>
      <c r="MIP149" s="3"/>
      <c r="MIQ149" s="3"/>
      <c r="MIR149" s="3"/>
      <c r="MIS149" s="3"/>
      <c r="MIT149" s="3"/>
      <c r="MIU149" s="3"/>
      <c r="MIV149" s="3"/>
      <c r="MIW149" s="3"/>
      <c r="MIX149" s="3"/>
      <c r="MIY149" s="3"/>
      <c r="MIZ149" s="3"/>
      <c r="MJA149" s="3"/>
      <c r="MJB149" s="3"/>
      <c r="MJC149" s="3"/>
      <c r="MJD149" s="3"/>
      <c r="MJE149" s="3"/>
      <c r="MJF149" s="3"/>
      <c r="MJG149" s="3"/>
      <c r="MJH149" s="3"/>
      <c r="MJI149" s="3"/>
      <c r="MJJ149" s="3"/>
      <c r="MJK149" s="3"/>
      <c r="MJL149" s="3"/>
      <c r="MJM149" s="3"/>
      <c r="MJN149" s="3"/>
      <c r="MJO149" s="3"/>
      <c r="MJP149" s="3"/>
      <c r="MJQ149" s="3"/>
      <c r="MJR149" s="3"/>
      <c r="MJS149" s="3"/>
      <c r="MJT149" s="3"/>
      <c r="MJU149" s="3"/>
      <c r="MJV149" s="3"/>
      <c r="MJW149" s="3"/>
      <c r="MJX149" s="3"/>
      <c r="MJY149" s="3"/>
      <c r="MJZ149" s="3"/>
      <c r="MKA149" s="3"/>
      <c r="MKB149" s="3"/>
      <c r="MKC149" s="3"/>
      <c r="MKD149" s="3"/>
      <c r="MKE149" s="3"/>
      <c r="MKF149" s="3"/>
      <c r="MKG149" s="3"/>
      <c r="MKH149" s="3"/>
      <c r="MKI149" s="3"/>
      <c r="MKJ149" s="3"/>
      <c r="MKK149" s="3"/>
      <c r="MKL149" s="3"/>
      <c r="MKM149" s="3"/>
      <c r="MKN149" s="3"/>
      <c r="MKO149" s="3"/>
      <c r="MKP149" s="3"/>
      <c r="MKQ149" s="3"/>
      <c r="MKR149" s="3"/>
      <c r="MKS149" s="3"/>
      <c r="MKT149" s="3"/>
      <c r="MKU149" s="3"/>
      <c r="MKV149" s="3"/>
      <c r="MKW149" s="3"/>
      <c r="MKX149" s="3"/>
      <c r="MKY149" s="3"/>
      <c r="MKZ149" s="3"/>
      <c r="MLA149" s="3"/>
      <c r="MLB149" s="3"/>
      <c r="MLC149" s="3"/>
      <c r="MLD149" s="3"/>
      <c r="MLE149" s="3"/>
      <c r="MLF149" s="3"/>
      <c r="MLG149" s="3"/>
      <c r="MLH149" s="3"/>
      <c r="MLI149" s="3"/>
      <c r="MLJ149" s="3"/>
      <c r="MLK149" s="3"/>
      <c r="MLL149" s="3"/>
      <c r="MLM149" s="3"/>
      <c r="MLN149" s="3"/>
      <c r="MLO149" s="3"/>
      <c r="MLP149" s="3"/>
      <c r="MLQ149" s="3"/>
      <c r="MLR149" s="3"/>
      <c r="MLS149" s="3"/>
      <c r="MLT149" s="3"/>
      <c r="MLU149" s="3"/>
      <c r="MLV149" s="3"/>
      <c r="MLW149" s="3"/>
      <c r="MLX149" s="3"/>
      <c r="MLY149" s="3"/>
      <c r="MLZ149" s="3"/>
      <c r="MMA149" s="3"/>
      <c r="MMB149" s="3"/>
      <c r="MMC149" s="3"/>
      <c r="MMD149" s="3"/>
      <c r="MME149" s="3"/>
      <c r="MMF149" s="3"/>
      <c r="MMG149" s="3"/>
      <c r="MMH149" s="3"/>
      <c r="MMI149" s="3"/>
      <c r="MMJ149" s="3"/>
      <c r="MMK149" s="3"/>
      <c r="MML149" s="3"/>
      <c r="MMM149" s="3"/>
      <c r="MMN149" s="3"/>
      <c r="MMO149" s="3"/>
      <c r="MMP149" s="3"/>
      <c r="MMQ149" s="3"/>
      <c r="MMR149" s="3"/>
      <c r="MMS149" s="3"/>
      <c r="MMT149" s="3"/>
      <c r="MMU149" s="3"/>
      <c r="MMV149" s="3"/>
      <c r="MMW149" s="3"/>
      <c r="MMX149" s="3"/>
      <c r="MMY149" s="3"/>
      <c r="MMZ149" s="3"/>
      <c r="MNA149" s="3"/>
      <c r="MNB149" s="3"/>
      <c r="MNC149" s="3"/>
      <c r="MND149" s="3"/>
      <c r="MNE149" s="3"/>
      <c r="MNF149" s="3"/>
      <c r="MNG149" s="3"/>
      <c r="MNH149" s="3"/>
      <c r="MNI149" s="3"/>
      <c r="MNJ149" s="3"/>
      <c r="MNK149" s="3"/>
      <c r="MNL149" s="3"/>
      <c r="MNM149" s="3"/>
      <c r="MNN149" s="3"/>
      <c r="MNO149" s="3"/>
      <c r="MNP149" s="3"/>
      <c r="MNQ149" s="3"/>
      <c r="MNR149" s="3"/>
      <c r="MNS149" s="3"/>
      <c r="MNT149" s="3"/>
      <c r="MNU149" s="3"/>
      <c r="MNV149" s="3"/>
      <c r="MNW149" s="3"/>
      <c r="MNX149" s="3"/>
      <c r="MNY149" s="3"/>
      <c r="MNZ149" s="3"/>
      <c r="MOA149" s="3"/>
      <c r="MOB149" s="3"/>
      <c r="MOC149" s="3"/>
      <c r="MOD149" s="3"/>
      <c r="MOE149" s="3"/>
      <c r="MOF149" s="3"/>
      <c r="MOG149" s="3"/>
      <c r="MOH149" s="3"/>
      <c r="MOI149" s="3"/>
      <c r="MOJ149" s="3"/>
      <c r="MOK149" s="3"/>
      <c r="MOL149" s="3"/>
      <c r="MOM149" s="3"/>
      <c r="MON149" s="3"/>
      <c r="MOO149" s="3"/>
      <c r="MOP149" s="3"/>
      <c r="MOQ149" s="3"/>
      <c r="MOR149" s="3"/>
      <c r="MOS149" s="3"/>
      <c r="MOT149" s="3"/>
      <c r="MOU149" s="3"/>
      <c r="MOV149" s="3"/>
      <c r="MOW149" s="3"/>
      <c r="MOX149" s="3"/>
      <c r="MOY149" s="3"/>
      <c r="MOZ149" s="3"/>
      <c r="MPA149" s="3"/>
      <c r="MPB149" s="3"/>
      <c r="MPC149" s="3"/>
      <c r="MPD149" s="3"/>
      <c r="MPE149" s="3"/>
      <c r="MPF149" s="3"/>
      <c r="MPG149" s="3"/>
      <c r="MPH149" s="3"/>
      <c r="MPI149" s="3"/>
      <c r="MPJ149" s="3"/>
      <c r="MPK149" s="3"/>
      <c r="MPL149" s="3"/>
      <c r="MPM149" s="3"/>
      <c r="MPN149" s="3"/>
      <c r="MPO149" s="3"/>
      <c r="MPP149" s="3"/>
      <c r="MPQ149" s="3"/>
      <c r="MPR149" s="3"/>
      <c r="MPS149" s="3"/>
      <c r="MPT149" s="3"/>
      <c r="MPU149" s="3"/>
      <c r="MPV149" s="3"/>
      <c r="MPW149" s="3"/>
      <c r="MPX149" s="3"/>
      <c r="MPY149" s="3"/>
      <c r="MPZ149" s="3"/>
      <c r="MQA149" s="3"/>
      <c r="MQB149" s="3"/>
      <c r="MQC149" s="3"/>
      <c r="MQD149" s="3"/>
      <c r="MQE149" s="3"/>
      <c r="MQF149" s="3"/>
      <c r="MQG149" s="3"/>
      <c r="MQH149" s="3"/>
      <c r="MQI149" s="3"/>
      <c r="MQJ149" s="3"/>
      <c r="MQK149" s="3"/>
      <c r="MQL149" s="3"/>
      <c r="MQM149" s="3"/>
      <c r="MQN149" s="3"/>
      <c r="MQO149" s="3"/>
      <c r="MQP149" s="3"/>
      <c r="MQQ149" s="3"/>
      <c r="MQR149" s="3"/>
      <c r="MQS149" s="3"/>
      <c r="MQT149" s="3"/>
      <c r="MQU149" s="3"/>
      <c r="MQV149" s="3"/>
      <c r="MQW149" s="3"/>
      <c r="MQX149" s="3"/>
      <c r="MQY149" s="3"/>
      <c r="MQZ149" s="3"/>
      <c r="MRA149" s="3"/>
      <c r="MRB149" s="3"/>
      <c r="MRC149" s="3"/>
      <c r="MRD149" s="3"/>
      <c r="MRE149" s="3"/>
      <c r="MRF149" s="3"/>
      <c r="MRG149" s="3"/>
      <c r="MRH149" s="3"/>
      <c r="MRI149" s="3"/>
      <c r="MRJ149" s="3"/>
      <c r="MRK149" s="3"/>
      <c r="MRL149" s="3"/>
      <c r="MRM149" s="3"/>
      <c r="MRN149" s="3"/>
      <c r="MRO149" s="3"/>
      <c r="MRP149" s="3"/>
      <c r="MRQ149" s="3"/>
      <c r="MRR149" s="3"/>
      <c r="MRS149" s="3"/>
      <c r="MRT149" s="3"/>
      <c r="MRU149" s="3"/>
      <c r="MRV149" s="3"/>
      <c r="MRW149" s="3"/>
      <c r="MRX149" s="3"/>
      <c r="MRY149" s="3"/>
      <c r="MRZ149" s="3"/>
      <c r="MSA149" s="3"/>
      <c r="MSB149" s="3"/>
      <c r="MSC149" s="3"/>
      <c r="MSD149" s="3"/>
      <c r="MSE149" s="3"/>
      <c r="MSF149" s="3"/>
      <c r="MSG149" s="3"/>
      <c r="MSH149" s="3"/>
      <c r="MSI149" s="3"/>
      <c r="MSJ149" s="3"/>
      <c r="MSK149" s="3"/>
      <c r="MSL149" s="3"/>
      <c r="MSM149" s="3"/>
      <c r="MSN149" s="3"/>
      <c r="MSO149" s="3"/>
      <c r="MSP149" s="3"/>
      <c r="MSQ149" s="3"/>
      <c r="MSR149" s="3"/>
      <c r="MSS149" s="3"/>
      <c r="MST149" s="3"/>
      <c r="MSU149" s="3"/>
      <c r="MSV149" s="3"/>
      <c r="MSW149" s="3"/>
      <c r="MSX149" s="3"/>
      <c r="MSY149" s="3"/>
      <c r="MSZ149" s="3"/>
      <c r="MTA149" s="3"/>
      <c r="MTB149" s="3"/>
      <c r="MTC149" s="3"/>
      <c r="MTD149" s="3"/>
      <c r="MTE149" s="3"/>
      <c r="MTF149" s="3"/>
      <c r="MTG149" s="3"/>
      <c r="MTH149" s="3"/>
      <c r="MTI149" s="3"/>
      <c r="MTJ149" s="3"/>
      <c r="MTK149" s="3"/>
      <c r="MTL149" s="3"/>
      <c r="MTM149" s="3"/>
      <c r="MTN149" s="3"/>
      <c r="MTO149" s="3"/>
      <c r="MTP149" s="3"/>
      <c r="MTQ149" s="3"/>
      <c r="MTR149" s="3"/>
      <c r="MTS149" s="3"/>
      <c r="MTT149" s="3"/>
      <c r="MTU149" s="3"/>
      <c r="MTV149" s="3"/>
      <c r="MTW149" s="3"/>
      <c r="MTX149" s="3"/>
      <c r="MTY149" s="3"/>
      <c r="MTZ149" s="3"/>
      <c r="MUA149" s="3"/>
      <c r="MUB149" s="3"/>
      <c r="MUC149" s="3"/>
      <c r="MUD149" s="3"/>
      <c r="MUE149" s="3"/>
      <c r="MUF149" s="3"/>
      <c r="MUG149" s="3"/>
      <c r="MUH149" s="3"/>
      <c r="MUI149" s="3"/>
      <c r="MUJ149" s="3"/>
      <c r="MUK149" s="3"/>
      <c r="MUL149" s="3"/>
      <c r="MUM149" s="3"/>
      <c r="MUN149" s="3"/>
      <c r="MUO149" s="3"/>
      <c r="MUP149" s="3"/>
      <c r="MUQ149" s="3"/>
      <c r="MUR149" s="3"/>
      <c r="MUS149" s="3"/>
      <c r="MUT149" s="3"/>
      <c r="MUU149" s="3"/>
      <c r="MUV149" s="3"/>
      <c r="MUW149" s="3"/>
      <c r="MUX149" s="3"/>
      <c r="MUY149" s="3"/>
      <c r="MUZ149" s="3"/>
      <c r="MVA149" s="3"/>
      <c r="MVB149" s="3"/>
      <c r="MVC149" s="3"/>
      <c r="MVD149" s="3"/>
      <c r="MVE149" s="3"/>
      <c r="MVF149" s="3"/>
      <c r="MVG149" s="3"/>
      <c r="MVH149" s="3"/>
      <c r="MVI149" s="3"/>
      <c r="MVJ149" s="3"/>
      <c r="MVK149" s="3"/>
      <c r="MVL149" s="3"/>
      <c r="MVM149" s="3"/>
      <c r="MVN149" s="3"/>
      <c r="MVO149" s="3"/>
      <c r="MVP149" s="3"/>
      <c r="MVQ149" s="3"/>
      <c r="MVR149" s="3"/>
      <c r="MVS149" s="3"/>
      <c r="MVT149" s="3"/>
      <c r="MVU149" s="3"/>
      <c r="MVV149" s="3"/>
      <c r="MVW149" s="3"/>
      <c r="MVX149" s="3"/>
      <c r="MVY149" s="3"/>
      <c r="MVZ149" s="3"/>
      <c r="MWA149" s="3"/>
      <c r="MWB149" s="3"/>
      <c r="MWC149" s="3"/>
      <c r="MWD149" s="3"/>
      <c r="MWE149" s="3"/>
      <c r="MWF149" s="3"/>
      <c r="MWG149" s="3"/>
      <c r="MWH149" s="3"/>
      <c r="MWI149" s="3"/>
      <c r="MWJ149" s="3"/>
      <c r="MWK149" s="3"/>
      <c r="MWL149" s="3"/>
      <c r="MWM149" s="3"/>
      <c r="MWN149" s="3"/>
      <c r="MWO149" s="3"/>
      <c r="MWP149" s="3"/>
      <c r="MWQ149" s="3"/>
      <c r="MWR149" s="3"/>
      <c r="MWS149" s="3"/>
      <c r="MWT149" s="3"/>
      <c r="MWU149" s="3"/>
      <c r="MWV149" s="3"/>
      <c r="MWW149" s="3"/>
      <c r="MWX149" s="3"/>
      <c r="MWY149" s="3"/>
      <c r="MWZ149" s="3"/>
      <c r="MXA149" s="3"/>
      <c r="MXB149" s="3"/>
      <c r="MXC149" s="3"/>
      <c r="MXD149" s="3"/>
      <c r="MXE149" s="3"/>
      <c r="MXF149" s="3"/>
      <c r="MXG149" s="3"/>
      <c r="MXH149" s="3"/>
      <c r="MXI149" s="3"/>
      <c r="MXJ149" s="3"/>
      <c r="MXK149" s="3"/>
      <c r="MXL149" s="3"/>
      <c r="MXM149" s="3"/>
      <c r="MXN149" s="3"/>
      <c r="MXO149" s="3"/>
      <c r="MXP149" s="3"/>
      <c r="MXQ149" s="3"/>
      <c r="MXR149" s="3"/>
      <c r="MXS149" s="3"/>
      <c r="MXT149" s="3"/>
      <c r="MXU149" s="3"/>
      <c r="MXV149" s="3"/>
      <c r="MXW149" s="3"/>
      <c r="MXX149" s="3"/>
      <c r="MXY149" s="3"/>
      <c r="MXZ149" s="3"/>
      <c r="MYA149" s="3"/>
      <c r="MYB149" s="3"/>
      <c r="MYC149" s="3"/>
      <c r="MYD149" s="3"/>
      <c r="MYE149" s="3"/>
      <c r="MYF149" s="3"/>
      <c r="MYG149" s="3"/>
      <c r="MYH149" s="3"/>
      <c r="MYI149" s="3"/>
      <c r="MYJ149" s="3"/>
      <c r="MYK149" s="3"/>
      <c r="MYL149" s="3"/>
      <c r="MYM149" s="3"/>
      <c r="MYN149" s="3"/>
      <c r="MYO149" s="3"/>
      <c r="MYP149" s="3"/>
      <c r="MYQ149" s="3"/>
      <c r="MYR149" s="3"/>
      <c r="MYS149" s="3"/>
      <c r="MYT149" s="3"/>
      <c r="MYU149" s="3"/>
      <c r="MYV149" s="3"/>
      <c r="MYW149" s="3"/>
      <c r="MYX149" s="3"/>
      <c r="MYY149" s="3"/>
      <c r="MYZ149" s="3"/>
      <c r="MZA149" s="3"/>
      <c r="MZB149" s="3"/>
      <c r="MZC149" s="3"/>
      <c r="MZD149" s="3"/>
      <c r="MZE149" s="3"/>
      <c r="MZF149" s="3"/>
      <c r="MZG149" s="3"/>
      <c r="MZH149" s="3"/>
      <c r="MZI149" s="3"/>
      <c r="MZJ149" s="3"/>
      <c r="MZK149" s="3"/>
      <c r="MZL149" s="3"/>
      <c r="MZM149" s="3"/>
      <c r="MZN149" s="3"/>
      <c r="MZO149" s="3"/>
      <c r="MZP149" s="3"/>
      <c r="MZQ149" s="3"/>
      <c r="MZR149" s="3"/>
      <c r="MZS149" s="3"/>
      <c r="MZT149" s="3"/>
      <c r="MZU149" s="3"/>
      <c r="MZV149" s="3"/>
      <c r="MZW149" s="3"/>
      <c r="MZX149" s="3"/>
      <c r="MZY149" s="3"/>
      <c r="MZZ149" s="3"/>
      <c r="NAA149" s="3"/>
      <c r="NAB149" s="3"/>
      <c r="NAC149" s="3"/>
      <c r="NAD149" s="3"/>
      <c r="NAE149" s="3"/>
      <c r="NAF149" s="3"/>
      <c r="NAG149" s="3"/>
      <c r="NAH149" s="3"/>
      <c r="NAI149" s="3"/>
      <c r="NAJ149" s="3"/>
      <c r="NAK149" s="3"/>
      <c r="NAL149" s="3"/>
      <c r="NAM149" s="3"/>
      <c r="NAN149" s="3"/>
      <c r="NAO149" s="3"/>
      <c r="NAP149" s="3"/>
      <c r="NAQ149" s="3"/>
      <c r="NAR149" s="3"/>
      <c r="NAS149" s="3"/>
      <c r="NAT149" s="3"/>
      <c r="NAU149" s="3"/>
      <c r="NAV149" s="3"/>
      <c r="NAW149" s="3"/>
      <c r="NAX149" s="3"/>
      <c r="NAY149" s="3"/>
      <c r="NAZ149" s="3"/>
      <c r="NBA149" s="3"/>
      <c r="NBB149" s="3"/>
      <c r="NBC149" s="3"/>
      <c r="NBD149" s="3"/>
      <c r="NBE149" s="3"/>
      <c r="NBF149" s="3"/>
      <c r="NBG149" s="3"/>
      <c r="NBH149" s="3"/>
      <c r="NBI149" s="3"/>
      <c r="NBJ149" s="3"/>
      <c r="NBK149" s="3"/>
      <c r="NBL149" s="3"/>
      <c r="NBM149" s="3"/>
      <c r="NBN149" s="3"/>
      <c r="NBO149" s="3"/>
      <c r="NBP149" s="3"/>
      <c r="NBQ149" s="3"/>
      <c r="NBR149" s="3"/>
      <c r="NBS149" s="3"/>
      <c r="NBT149" s="3"/>
      <c r="NBU149" s="3"/>
      <c r="NBV149" s="3"/>
      <c r="NBW149" s="3"/>
      <c r="NBX149" s="3"/>
      <c r="NBY149" s="3"/>
      <c r="NBZ149" s="3"/>
      <c r="NCA149" s="3"/>
      <c r="NCB149" s="3"/>
      <c r="NCC149" s="3"/>
      <c r="NCD149" s="3"/>
      <c r="NCE149" s="3"/>
      <c r="NCF149" s="3"/>
      <c r="NCG149" s="3"/>
      <c r="NCH149" s="3"/>
      <c r="NCI149" s="3"/>
      <c r="NCJ149" s="3"/>
      <c r="NCK149" s="3"/>
      <c r="NCL149" s="3"/>
      <c r="NCM149" s="3"/>
      <c r="NCN149" s="3"/>
      <c r="NCO149" s="3"/>
      <c r="NCP149" s="3"/>
      <c r="NCQ149" s="3"/>
      <c r="NCR149" s="3"/>
      <c r="NCS149" s="3"/>
      <c r="NCT149" s="3"/>
      <c r="NCU149" s="3"/>
      <c r="NCV149" s="3"/>
      <c r="NCW149" s="3"/>
      <c r="NCX149" s="3"/>
      <c r="NCY149" s="3"/>
      <c r="NCZ149" s="3"/>
      <c r="NDA149" s="3"/>
      <c r="NDB149" s="3"/>
      <c r="NDC149" s="3"/>
      <c r="NDD149" s="3"/>
      <c r="NDE149" s="3"/>
      <c r="NDF149" s="3"/>
      <c r="NDG149" s="3"/>
      <c r="NDH149" s="3"/>
      <c r="NDI149" s="3"/>
      <c r="NDJ149" s="3"/>
      <c r="NDK149" s="3"/>
      <c r="NDL149" s="3"/>
      <c r="NDM149" s="3"/>
      <c r="NDN149" s="3"/>
      <c r="NDO149" s="3"/>
      <c r="NDP149" s="3"/>
      <c r="NDQ149" s="3"/>
      <c r="NDR149" s="3"/>
      <c r="NDS149" s="3"/>
      <c r="NDT149" s="3"/>
      <c r="NDU149" s="3"/>
      <c r="NDV149" s="3"/>
      <c r="NDW149" s="3"/>
      <c r="NDX149" s="3"/>
      <c r="NDY149" s="3"/>
      <c r="NDZ149" s="3"/>
      <c r="NEA149" s="3"/>
      <c r="NEB149" s="3"/>
      <c r="NEC149" s="3"/>
      <c r="NED149" s="3"/>
      <c r="NEE149" s="3"/>
      <c r="NEF149" s="3"/>
      <c r="NEG149" s="3"/>
      <c r="NEH149" s="3"/>
      <c r="NEI149" s="3"/>
      <c r="NEJ149" s="3"/>
      <c r="NEK149" s="3"/>
      <c r="NEL149" s="3"/>
      <c r="NEM149" s="3"/>
      <c r="NEN149" s="3"/>
      <c r="NEO149" s="3"/>
      <c r="NEP149" s="3"/>
      <c r="NEQ149" s="3"/>
      <c r="NER149" s="3"/>
      <c r="NES149" s="3"/>
      <c r="NET149" s="3"/>
      <c r="NEU149" s="3"/>
      <c r="NEV149" s="3"/>
      <c r="NEW149" s="3"/>
      <c r="NEX149" s="3"/>
      <c r="NEY149" s="3"/>
      <c r="NEZ149" s="3"/>
      <c r="NFA149" s="3"/>
      <c r="NFB149" s="3"/>
      <c r="NFC149" s="3"/>
      <c r="NFD149" s="3"/>
      <c r="NFE149" s="3"/>
      <c r="NFF149" s="3"/>
      <c r="NFG149" s="3"/>
      <c r="NFH149" s="3"/>
      <c r="NFI149" s="3"/>
      <c r="NFJ149" s="3"/>
      <c r="NFK149" s="3"/>
      <c r="NFL149" s="3"/>
      <c r="NFM149" s="3"/>
      <c r="NFN149" s="3"/>
      <c r="NFO149" s="3"/>
      <c r="NFP149" s="3"/>
      <c r="NFQ149" s="3"/>
      <c r="NFR149" s="3"/>
      <c r="NFS149" s="3"/>
      <c r="NFT149" s="3"/>
      <c r="NFU149" s="3"/>
      <c r="NFV149" s="3"/>
      <c r="NFW149" s="3"/>
      <c r="NFX149" s="3"/>
      <c r="NFY149" s="3"/>
      <c r="NFZ149" s="3"/>
      <c r="NGA149" s="3"/>
      <c r="NGB149" s="3"/>
      <c r="NGC149" s="3"/>
      <c r="NGD149" s="3"/>
      <c r="NGE149" s="3"/>
      <c r="NGF149" s="3"/>
      <c r="NGG149" s="3"/>
      <c r="NGH149" s="3"/>
      <c r="NGI149" s="3"/>
      <c r="NGJ149" s="3"/>
      <c r="NGK149" s="3"/>
      <c r="NGL149" s="3"/>
      <c r="NGM149" s="3"/>
      <c r="NGN149" s="3"/>
      <c r="NGO149" s="3"/>
      <c r="NGP149" s="3"/>
      <c r="NGQ149" s="3"/>
      <c r="NGR149" s="3"/>
      <c r="NGS149" s="3"/>
      <c r="NGT149" s="3"/>
      <c r="NGU149" s="3"/>
      <c r="NGV149" s="3"/>
      <c r="NGW149" s="3"/>
      <c r="NGX149" s="3"/>
      <c r="NGY149" s="3"/>
      <c r="NGZ149" s="3"/>
      <c r="NHA149" s="3"/>
      <c r="NHB149" s="3"/>
      <c r="NHC149" s="3"/>
      <c r="NHD149" s="3"/>
      <c r="NHE149" s="3"/>
      <c r="NHF149" s="3"/>
      <c r="NHG149" s="3"/>
      <c r="NHH149" s="3"/>
      <c r="NHI149" s="3"/>
      <c r="NHJ149" s="3"/>
      <c r="NHK149" s="3"/>
      <c r="NHL149" s="3"/>
      <c r="NHM149" s="3"/>
      <c r="NHN149" s="3"/>
      <c r="NHO149" s="3"/>
      <c r="NHP149" s="3"/>
      <c r="NHQ149" s="3"/>
      <c r="NHR149" s="3"/>
      <c r="NHS149" s="3"/>
      <c r="NHT149" s="3"/>
      <c r="NHU149" s="3"/>
      <c r="NHV149" s="3"/>
      <c r="NHW149" s="3"/>
      <c r="NHX149" s="3"/>
      <c r="NHY149" s="3"/>
      <c r="NHZ149" s="3"/>
      <c r="NIA149" s="3"/>
      <c r="NIB149" s="3"/>
      <c r="NIC149" s="3"/>
      <c r="NID149" s="3"/>
      <c r="NIE149" s="3"/>
      <c r="NIF149" s="3"/>
      <c r="NIG149" s="3"/>
      <c r="NIH149" s="3"/>
      <c r="NII149" s="3"/>
      <c r="NIJ149" s="3"/>
      <c r="NIK149" s="3"/>
      <c r="NIL149" s="3"/>
      <c r="NIM149" s="3"/>
      <c r="NIN149" s="3"/>
      <c r="NIO149" s="3"/>
      <c r="NIP149" s="3"/>
      <c r="NIQ149" s="3"/>
      <c r="NIR149" s="3"/>
      <c r="NIS149" s="3"/>
      <c r="NIT149" s="3"/>
      <c r="NIU149" s="3"/>
      <c r="NIV149" s="3"/>
      <c r="NIW149" s="3"/>
      <c r="NIX149" s="3"/>
      <c r="NIY149" s="3"/>
      <c r="NIZ149" s="3"/>
      <c r="NJA149" s="3"/>
      <c r="NJB149" s="3"/>
      <c r="NJC149" s="3"/>
      <c r="NJD149" s="3"/>
      <c r="NJE149" s="3"/>
      <c r="NJF149" s="3"/>
      <c r="NJG149" s="3"/>
      <c r="NJH149" s="3"/>
      <c r="NJI149" s="3"/>
      <c r="NJJ149" s="3"/>
      <c r="NJK149" s="3"/>
      <c r="NJL149" s="3"/>
      <c r="NJM149" s="3"/>
      <c r="NJN149" s="3"/>
      <c r="NJO149" s="3"/>
      <c r="NJP149" s="3"/>
      <c r="NJQ149" s="3"/>
      <c r="NJR149" s="3"/>
      <c r="NJS149" s="3"/>
      <c r="NJT149" s="3"/>
      <c r="NJU149" s="3"/>
      <c r="NJV149" s="3"/>
      <c r="NJW149" s="3"/>
      <c r="NJX149" s="3"/>
      <c r="NJY149" s="3"/>
      <c r="NJZ149" s="3"/>
      <c r="NKA149" s="3"/>
      <c r="NKB149" s="3"/>
      <c r="NKC149" s="3"/>
      <c r="NKD149" s="3"/>
      <c r="NKE149" s="3"/>
      <c r="NKF149" s="3"/>
      <c r="NKG149" s="3"/>
      <c r="NKH149" s="3"/>
      <c r="NKI149" s="3"/>
      <c r="NKJ149" s="3"/>
      <c r="NKK149" s="3"/>
      <c r="NKL149" s="3"/>
      <c r="NKM149" s="3"/>
      <c r="NKN149" s="3"/>
      <c r="NKO149" s="3"/>
      <c r="NKP149" s="3"/>
      <c r="NKQ149" s="3"/>
      <c r="NKR149" s="3"/>
      <c r="NKS149" s="3"/>
      <c r="NKT149" s="3"/>
      <c r="NKU149" s="3"/>
      <c r="NKV149" s="3"/>
      <c r="NKW149" s="3"/>
      <c r="NKX149" s="3"/>
      <c r="NKY149" s="3"/>
      <c r="NKZ149" s="3"/>
      <c r="NLA149" s="3"/>
      <c r="NLB149" s="3"/>
      <c r="NLC149" s="3"/>
      <c r="NLD149" s="3"/>
      <c r="NLE149" s="3"/>
      <c r="NLF149" s="3"/>
      <c r="NLG149" s="3"/>
      <c r="NLH149" s="3"/>
      <c r="NLI149" s="3"/>
      <c r="NLJ149" s="3"/>
      <c r="NLK149" s="3"/>
      <c r="NLL149" s="3"/>
      <c r="NLM149" s="3"/>
      <c r="NLN149" s="3"/>
      <c r="NLO149" s="3"/>
      <c r="NLP149" s="3"/>
      <c r="NLQ149" s="3"/>
      <c r="NLR149" s="3"/>
      <c r="NLS149" s="3"/>
      <c r="NLT149" s="3"/>
      <c r="NLU149" s="3"/>
      <c r="NLV149" s="3"/>
      <c r="NLW149" s="3"/>
      <c r="NLX149" s="3"/>
      <c r="NLY149" s="3"/>
      <c r="NLZ149" s="3"/>
      <c r="NMA149" s="3"/>
      <c r="NMB149" s="3"/>
      <c r="NMC149" s="3"/>
      <c r="NMD149" s="3"/>
      <c r="NME149" s="3"/>
      <c r="NMF149" s="3"/>
      <c r="NMG149" s="3"/>
      <c r="NMH149" s="3"/>
      <c r="NMI149" s="3"/>
      <c r="NMJ149" s="3"/>
      <c r="NMK149" s="3"/>
      <c r="NML149" s="3"/>
      <c r="NMM149" s="3"/>
      <c r="NMN149" s="3"/>
      <c r="NMO149" s="3"/>
      <c r="NMP149" s="3"/>
      <c r="NMQ149" s="3"/>
      <c r="NMR149" s="3"/>
      <c r="NMS149" s="3"/>
      <c r="NMT149" s="3"/>
      <c r="NMU149" s="3"/>
      <c r="NMV149" s="3"/>
      <c r="NMW149" s="3"/>
      <c r="NMX149" s="3"/>
      <c r="NMY149" s="3"/>
      <c r="NMZ149" s="3"/>
      <c r="NNA149" s="3"/>
      <c r="NNB149" s="3"/>
      <c r="NNC149" s="3"/>
      <c r="NND149" s="3"/>
      <c r="NNE149" s="3"/>
      <c r="NNF149" s="3"/>
      <c r="NNG149" s="3"/>
      <c r="NNH149" s="3"/>
      <c r="NNI149" s="3"/>
      <c r="NNJ149" s="3"/>
      <c r="NNK149" s="3"/>
      <c r="NNL149" s="3"/>
      <c r="NNM149" s="3"/>
      <c r="NNN149" s="3"/>
      <c r="NNO149" s="3"/>
      <c r="NNP149" s="3"/>
      <c r="NNQ149" s="3"/>
      <c r="NNR149" s="3"/>
      <c r="NNS149" s="3"/>
      <c r="NNT149" s="3"/>
      <c r="NNU149" s="3"/>
      <c r="NNV149" s="3"/>
      <c r="NNW149" s="3"/>
      <c r="NNX149" s="3"/>
      <c r="NNY149" s="3"/>
      <c r="NNZ149" s="3"/>
      <c r="NOA149" s="3"/>
      <c r="NOB149" s="3"/>
      <c r="NOC149" s="3"/>
      <c r="NOD149" s="3"/>
      <c r="NOE149" s="3"/>
      <c r="NOF149" s="3"/>
      <c r="NOG149" s="3"/>
      <c r="NOH149" s="3"/>
      <c r="NOI149" s="3"/>
      <c r="NOJ149" s="3"/>
      <c r="NOK149" s="3"/>
      <c r="NOL149" s="3"/>
      <c r="NOM149" s="3"/>
      <c r="NON149" s="3"/>
      <c r="NOO149" s="3"/>
      <c r="NOP149" s="3"/>
      <c r="NOQ149" s="3"/>
      <c r="NOR149" s="3"/>
      <c r="NOS149" s="3"/>
      <c r="NOT149" s="3"/>
      <c r="NOU149" s="3"/>
      <c r="NOV149" s="3"/>
      <c r="NOW149" s="3"/>
      <c r="NOX149" s="3"/>
      <c r="NOY149" s="3"/>
      <c r="NOZ149" s="3"/>
      <c r="NPA149" s="3"/>
      <c r="NPB149" s="3"/>
      <c r="NPC149" s="3"/>
      <c r="NPD149" s="3"/>
      <c r="NPE149" s="3"/>
      <c r="NPF149" s="3"/>
      <c r="NPG149" s="3"/>
      <c r="NPH149" s="3"/>
      <c r="NPI149" s="3"/>
      <c r="NPJ149" s="3"/>
      <c r="NPK149" s="3"/>
      <c r="NPL149" s="3"/>
      <c r="NPM149" s="3"/>
      <c r="NPN149" s="3"/>
      <c r="NPO149" s="3"/>
      <c r="NPP149" s="3"/>
      <c r="NPQ149" s="3"/>
      <c r="NPR149" s="3"/>
      <c r="NPS149" s="3"/>
      <c r="NPT149" s="3"/>
      <c r="NPU149" s="3"/>
      <c r="NPV149" s="3"/>
      <c r="NPW149" s="3"/>
      <c r="NPX149" s="3"/>
      <c r="NPY149" s="3"/>
      <c r="NPZ149" s="3"/>
      <c r="NQA149" s="3"/>
      <c r="NQB149" s="3"/>
      <c r="NQC149" s="3"/>
      <c r="NQD149" s="3"/>
      <c r="NQE149" s="3"/>
      <c r="NQF149" s="3"/>
      <c r="NQG149" s="3"/>
      <c r="NQH149" s="3"/>
      <c r="NQI149" s="3"/>
      <c r="NQJ149" s="3"/>
      <c r="NQK149" s="3"/>
      <c r="NQL149" s="3"/>
      <c r="NQM149" s="3"/>
      <c r="NQN149" s="3"/>
      <c r="NQO149" s="3"/>
      <c r="NQP149" s="3"/>
      <c r="NQQ149" s="3"/>
      <c r="NQR149" s="3"/>
      <c r="NQS149" s="3"/>
      <c r="NQT149" s="3"/>
      <c r="NQU149" s="3"/>
      <c r="NQV149" s="3"/>
      <c r="NQW149" s="3"/>
      <c r="NQX149" s="3"/>
      <c r="NQY149" s="3"/>
      <c r="NQZ149" s="3"/>
      <c r="NRA149" s="3"/>
      <c r="NRB149" s="3"/>
      <c r="NRC149" s="3"/>
      <c r="NRD149" s="3"/>
      <c r="NRE149" s="3"/>
      <c r="NRF149" s="3"/>
      <c r="NRG149" s="3"/>
      <c r="NRH149" s="3"/>
      <c r="NRI149" s="3"/>
      <c r="NRJ149" s="3"/>
      <c r="NRK149" s="3"/>
      <c r="NRL149" s="3"/>
      <c r="NRM149" s="3"/>
      <c r="NRN149" s="3"/>
      <c r="NRO149" s="3"/>
      <c r="NRP149" s="3"/>
      <c r="NRQ149" s="3"/>
      <c r="NRR149" s="3"/>
      <c r="NRS149" s="3"/>
      <c r="NRT149" s="3"/>
      <c r="NRU149" s="3"/>
      <c r="NRV149" s="3"/>
      <c r="NRW149" s="3"/>
      <c r="NRX149" s="3"/>
      <c r="NRY149" s="3"/>
      <c r="NRZ149" s="3"/>
      <c r="NSA149" s="3"/>
      <c r="NSB149" s="3"/>
      <c r="NSC149" s="3"/>
      <c r="NSD149" s="3"/>
      <c r="NSE149" s="3"/>
      <c r="NSF149" s="3"/>
      <c r="NSG149" s="3"/>
      <c r="NSH149" s="3"/>
      <c r="NSI149" s="3"/>
      <c r="NSJ149" s="3"/>
      <c r="NSK149" s="3"/>
      <c r="NSL149" s="3"/>
      <c r="NSM149" s="3"/>
      <c r="NSN149" s="3"/>
      <c r="NSO149" s="3"/>
      <c r="NSP149" s="3"/>
      <c r="NSQ149" s="3"/>
      <c r="NSR149" s="3"/>
      <c r="NSS149" s="3"/>
      <c r="NST149" s="3"/>
      <c r="NSU149" s="3"/>
      <c r="NSV149" s="3"/>
      <c r="NSW149" s="3"/>
      <c r="NSX149" s="3"/>
      <c r="NSY149" s="3"/>
      <c r="NSZ149" s="3"/>
      <c r="NTA149" s="3"/>
      <c r="NTB149" s="3"/>
      <c r="NTC149" s="3"/>
      <c r="NTD149" s="3"/>
      <c r="NTE149" s="3"/>
      <c r="NTF149" s="3"/>
      <c r="NTG149" s="3"/>
      <c r="NTH149" s="3"/>
      <c r="NTI149" s="3"/>
      <c r="NTJ149" s="3"/>
      <c r="NTK149" s="3"/>
      <c r="NTL149" s="3"/>
      <c r="NTM149" s="3"/>
      <c r="NTN149" s="3"/>
      <c r="NTO149" s="3"/>
      <c r="NTP149" s="3"/>
      <c r="NTQ149" s="3"/>
      <c r="NTR149" s="3"/>
      <c r="NTS149" s="3"/>
      <c r="NTT149" s="3"/>
      <c r="NTU149" s="3"/>
      <c r="NTV149" s="3"/>
      <c r="NTW149" s="3"/>
      <c r="NTX149" s="3"/>
      <c r="NTY149" s="3"/>
      <c r="NTZ149" s="3"/>
      <c r="NUA149" s="3"/>
      <c r="NUB149" s="3"/>
      <c r="NUC149" s="3"/>
      <c r="NUD149" s="3"/>
      <c r="NUE149" s="3"/>
      <c r="NUF149" s="3"/>
      <c r="NUG149" s="3"/>
      <c r="NUH149" s="3"/>
      <c r="NUI149" s="3"/>
      <c r="NUJ149" s="3"/>
      <c r="NUK149" s="3"/>
      <c r="NUL149" s="3"/>
      <c r="NUM149" s="3"/>
      <c r="NUN149" s="3"/>
      <c r="NUO149" s="3"/>
      <c r="NUP149" s="3"/>
      <c r="NUQ149" s="3"/>
      <c r="NUR149" s="3"/>
      <c r="NUS149" s="3"/>
      <c r="NUT149" s="3"/>
      <c r="NUU149" s="3"/>
      <c r="NUV149" s="3"/>
      <c r="NUW149" s="3"/>
      <c r="NUX149" s="3"/>
      <c r="NUY149" s="3"/>
      <c r="NUZ149" s="3"/>
      <c r="NVA149" s="3"/>
      <c r="NVB149" s="3"/>
      <c r="NVC149" s="3"/>
      <c r="NVD149" s="3"/>
      <c r="NVE149" s="3"/>
      <c r="NVF149" s="3"/>
      <c r="NVG149" s="3"/>
      <c r="NVH149" s="3"/>
      <c r="NVI149" s="3"/>
      <c r="NVJ149" s="3"/>
      <c r="NVK149" s="3"/>
      <c r="NVL149" s="3"/>
      <c r="NVM149" s="3"/>
      <c r="NVN149" s="3"/>
      <c r="NVO149" s="3"/>
      <c r="NVP149" s="3"/>
      <c r="NVQ149" s="3"/>
      <c r="NVR149" s="3"/>
      <c r="NVS149" s="3"/>
      <c r="NVT149" s="3"/>
      <c r="NVU149" s="3"/>
      <c r="NVV149" s="3"/>
      <c r="NVW149" s="3"/>
      <c r="NVX149" s="3"/>
      <c r="NVY149" s="3"/>
      <c r="NVZ149" s="3"/>
      <c r="NWA149" s="3"/>
      <c r="NWB149" s="3"/>
      <c r="NWC149" s="3"/>
      <c r="NWD149" s="3"/>
      <c r="NWE149" s="3"/>
      <c r="NWF149" s="3"/>
      <c r="NWG149" s="3"/>
      <c r="NWH149" s="3"/>
      <c r="NWI149" s="3"/>
      <c r="NWJ149" s="3"/>
      <c r="NWK149" s="3"/>
      <c r="NWL149" s="3"/>
      <c r="NWM149" s="3"/>
      <c r="NWN149" s="3"/>
      <c r="NWO149" s="3"/>
      <c r="NWP149" s="3"/>
      <c r="NWQ149" s="3"/>
      <c r="NWR149" s="3"/>
      <c r="NWS149" s="3"/>
      <c r="NWT149" s="3"/>
      <c r="NWU149" s="3"/>
      <c r="NWV149" s="3"/>
      <c r="NWW149" s="3"/>
      <c r="NWX149" s="3"/>
      <c r="NWY149" s="3"/>
      <c r="NWZ149" s="3"/>
      <c r="NXA149" s="3"/>
      <c r="NXB149" s="3"/>
      <c r="NXC149" s="3"/>
      <c r="NXD149" s="3"/>
      <c r="NXE149" s="3"/>
      <c r="NXF149" s="3"/>
      <c r="NXG149" s="3"/>
      <c r="NXH149" s="3"/>
      <c r="NXI149" s="3"/>
      <c r="NXJ149" s="3"/>
      <c r="NXK149" s="3"/>
      <c r="NXL149" s="3"/>
      <c r="NXM149" s="3"/>
      <c r="NXN149" s="3"/>
      <c r="NXO149" s="3"/>
      <c r="NXP149" s="3"/>
      <c r="NXQ149" s="3"/>
      <c r="NXR149" s="3"/>
      <c r="NXS149" s="3"/>
      <c r="NXT149" s="3"/>
      <c r="NXU149" s="3"/>
      <c r="NXV149" s="3"/>
      <c r="NXW149" s="3"/>
      <c r="NXX149" s="3"/>
      <c r="NXY149" s="3"/>
      <c r="NXZ149" s="3"/>
      <c r="NYA149" s="3"/>
      <c r="NYB149" s="3"/>
      <c r="NYC149" s="3"/>
      <c r="NYD149" s="3"/>
      <c r="NYE149" s="3"/>
      <c r="NYF149" s="3"/>
      <c r="NYG149" s="3"/>
      <c r="NYH149" s="3"/>
      <c r="NYI149" s="3"/>
      <c r="NYJ149" s="3"/>
      <c r="NYK149" s="3"/>
      <c r="NYL149" s="3"/>
      <c r="NYM149" s="3"/>
      <c r="NYN149" s="3"/>
      <c r="NYO149" s="3"/>
      <c r="NYP149" s="3"/>
      <c r="NYQ149" s="3"/>
      <c r="NYR149" s="3"/>
      <c r="NYS149" s="3"/>
      <c r="NYT149" s="3"/>
      <c r="NYU149" s="3"/>
      <c r="NYV149" s="3"/>
      <c r="NYW149" s="3"/>
      <c r="NYX149" s="3"/>
      <c r="NYY149" s="3"/>
      <c r="NYZ149" s="3"/>
      <c r="NZA149" s="3"/>
      <c r="NZB149" s="3"/>
      <c r="NZC149" s="3"/>
      <c r="NZD149" s="3"/>
      <c r="NZE149" s="3"/>
      <c r="NZF149" s="3"/>
      <c r="NZG149" s="3"/>
      <c r="NZH149" s="3"/>
      <c r="NZI149" s="3"/>
      <c r="NZJ149" s="3"/>
      <c r="NZK149" s="3"/>
      <c r="NZL149" s="3"/>
      <c r="NZM149" s="3"/>
      <c r="NZN149" s="3"/>
      <c r="NZO149" s="3"/>
      <c r="NZP149" s="3"/>
      <c r="NZQ149" s="3"/>
      <c r="NZR149" s="3"/>
      <c r="NZS149" s="3"/>
      <c r="NZT149" s="3"/>
      <c r="NZU149" s="3"/>
      <c r="NZV149" s="3"/>
      <c r="NZW149" s="3"/>
      <c r="NZX149" s="3"/>
      <c r="NZY149" s="3"/>
      <c r="NZZ149" s="3"/>
      <c r="OAA149" s="3"/>
      <c r="OAB149" s="3"/>
      <c r="OAC149" s="3"/>
      <c r="OAD149" s="3"/>
      <c r="OAE149" s="3"/>
      <c r="OAF149" s="3"/>
      <c r="OAG149" s="3"/>
      <c r="OAH149" s="3"/>
      <c r="OAI149" s="3"/>
      <c r="OAJ149" s="3"/>
      <c r="OAK149" s="3"/>
      <c r="OAL149" s="3"/>
      <c r="OAM149" s="3"/>
      <c r="OAN149" s="3"/>
      <c r="OAO149" s="3"/>
      <c r="OAP149" s="3"/>
      <c r="OAQ149" s="3"/>
      <c r="OAR149" s="3"/>
      <c r="OAS149" s="3"/>
      <c r="OAT149" s="3"/>
      <c r="OAU149" s="3"/>
      <c r="OAV149" s="3"/>
      <c r="OAW149" s="3"/>
      <c r="OAX149" s="3"/>
      <c r="OAY149" s="3"/>
      <c r="OAZ149" s="3"/>
      <c r="OBA149" s="3"/>
      <c r="OBB149" s="3"/>
      <c r="OBC149" s="3"/>
      <c r="OBD149" s="3"/>
      <c r="OBE149" s="3"/>
      <c r="OBF149" s="3"/>
      <c r="OBG149" s="3"/>
      <c r="OBH149" s="3"/>
      <c r="OBI149" s="3"/>
      <c r="OBJ149" s="3"/>
      <c r="OBK149" s="3"/>
      <c r="OBL149" s="3"/>
      <c r="OBM149" s="3"/>
      <c r="OBN149" s="3"/>
      <c r="OBO149" s="3"/>
      <c r="OBP149" s="3"/>
      <c r="OBQ149" s="3"/>
      <c r="OBR149" s="3"/>
      <c r="OBS149" s="3"/>
      <c r="OBT149" s="3"/>
      <c r="OBU149" s="3"/>
      <c r="OBV149" s="3"/>
      <c r="OBW149" s="3"/>
      <c r="OBX149" s="3"/>
      <c r="OBY149" s="3"/>
      <c r="OBZ149" s="3"/>
      <c r="OCA149" s="3"/>
      <c r="OCB149" s="3"/>
      <c r="OCC149" s="3"/>
      <c r="OCD149" s="3"/>
      <c r="OCE149" s="3"/>
      <c r="OCF149" s="3"/>
      <c r="OCG149" s="3"/>
      <c r="OCH149" s="3"/>
      <c r="OCI149" s="3"/>
      <c r="OCJ149" s="3"/>
      <c r="OCK149" s="3"/>
      <c r="OCL149" s="3"/>
      <c r="OCM149" s="3"/>
      <c r="OCN149" s="3"/>
      <c r="OCO149" s="3"/>
      <c r="OCP149" s="3"/>
      <c r="OCQ149" s="3"/>
      <c r="OCR149" s="3"/>
      <c r="OCS149" s="3"/>
      <c r="OCT149" s="3"/>
      <c r="OCU149" s="3"/>
      <c r="OCV149" s="3"/>
      <c r="OCW149" s="3"/>
      <c r="OCX149" s="3"/>
      <c r="OCY149" s="3"/>
      <c r="OCZ149" s="3"/>
      <c r="ODA149" s="3"/>
      <c r="ODB149" s="3"/>
      <c r="ODC149" s="3"/>
      <c r="ODD149" s="3"/>
      <c r="ODE149" s="3"/>
      <c r="ODF149" s="3"/>
      <c r="ODG149" s="3"/>
      <c r="ODH149" s="3"/>
      <c r="ODI149" s="3"/>
      <c r="ODJ149" s="3"/>
      <c r="ODK149" s="3"/>
      <c r="ODL149" s="3"/>
      <c r="ODM149" s="3"/>
      <c r="ODN149" s="3"/>
      <c r="ODO149" s="3"/>
      <c r="ODP149" s="3"/>
      <c r="ODQ149" s="3"/>
      <c r="ODR149" s="3"/>
      <c r="ODS149" s="3"/>
      <c r="ODT149" s="3"/>
      <c r="ODU149" s="3"/>
      <c r="ODV149" s="3"/>
      <c r="ODW149" s="3"/>
      <c r="ODX149" s="3"/>
      <c r="ODY149" s="3"/>
      <c r="ODZ149" s="3"/>
      <c r="OEA149" s="3"/>
      <c r="OEB149" s="3"/>
      <c r="OEC149" s="3"/>
      <c r="OED149" s="3"/>
      <c r="OEE149" s="3"/>
      <c r="OEF149" s="3"/>
      <c r="OEG149" s="3"/>
      <c r="OEH149" s="3"/>
      <c r="OEI149" s="3"/>
      <c r="OEJ149" s="3"/>
      <c r="OEK149" s="3"/>
      <c r="OEL149" s="3"/>
      <c r="OEM149" s="3"/>
      <c r="OEN149" s="3"/>
      <c r="OEO149" s="3"/>
      <c r="OEP149" s="3"/>
      <c r="OEQ149" s="3"/>
      <c r="OER149" s="3"/>
      <c r="OES149" s="3"/>
      <c r="OET149" s="3"/>
      <c r="OEU149" s="3"/>
      <c r="OEV149" s="3"/>
      <c r="OEW149" s="3"/>
      <c r="OEX149" s="3"/>
      <c r="OEY149" s="3"/>
      <c r="OEZ149" s="3"/>
      <c r="OFA149" s="3"/>
      <c r="OFB149" s="3"/>
      <c r="OFC149" s="3"/>
      <c r="OFD149" s="3"/>
      <c r="OFE149" s="3"/>
      <c r="OFF149" s="3"/>
      <c r="OFG149" s="3"/>
      <c r="OFH149" s="3"/>
      <c r="OFI149" s="3"/>
      <c r="OFJ149" s="3"/>
      <c r="OFK149" s="3"/>
      <c r="OFL149" s="3"/>
      <c r="OFM149" s="3"/>
      <c r="OFN149" s="3"/>
      <c r="OFO149" s="3"/>
      <c r="OFP149" s="3"/>
      <c r="OFQ149" s="3"/>
      <c r="OFR149" s="3"/>
      <c r="OFS149" s="3"/>
      <c r="OFT149" s="3"/>
      <c r="OFU149" s="3"/>
      <c r="OFV149" s="3"/>
      <c r="OFW149" s="3"/>
      <c r="OFX149" s="3"/>
      <c r="OFY149" s="3"/>
      <c r="OFZ149" s="3"/>
      <c r="OGA149" s="3"/>
      <c r="OGB149" s="3"/>
      <c r="OGC149" s="3"/>
      <c r="OGD149" s="3"/>
      <c r="OGE149" s="3"/>
      <c r="OGF149" s="3"/>
      <c r="OGG149" s="3"/>
      <c r="OGH149" s="3"/>
      <c r="OGI149" s="3"/>
      <c r="OGJ149" s="3"/>
      <c r="OGK149" s="3"/>
      <c r="OGL149" s="3"/>
      <c r="OGM149" s="3"/>
      <c r="OGN149" s="3"/>
      <c r="OGO149" s="3"/>
      <c r="OGP149" s="3"/>
      <c r="OGQ149" s="3"/>
      <c r="OGR149" s="3"/>
      <c r="OGS149" s="3"/>
      <c r="OGT149" s="3"/>
      <c r="OGU149" s="3"/>
      <c r="OGV149" s="3"/>
      <c r="OGW149" s="3"/>
      <c r="OGX149" s="3"/>
      <c r="OGY149" s="3"/>
      <c r="OGZ149" s="3"/>
      <c r="OHA149" s="3"/>
      <c r="OHB149" s="3"/>
      <c r="OHC149" s="3"/>
      <c r="OHD149" s="3"/>
      <c r="OHE149" s="3"/>
      <c r="OHF149" s="3"/>
      <c r="OHG149" s="3"/>
      <c r="OHH149" s="3"/>
      <c r="OHI149" s="3"/>
      <c r="OHJ149" s="3"/>
      <c r="OHK149" s="3"/>
      <c r="OHL149" s="3"/>
      <c r="OHM149" s="3"/>
      <c r="OHN149" s="3"/>
      <c r="OHO149" s="3"/>
      <c r="OHP149" s="3"/>
      <c r="OHQ149" s="3"/>
      <c r="OHR149" s="3"/>
      <c r="OHS149" s="3"/>
      <c r="OHT149" s="3"/>
      <c r="OHU149" s="3"/>
      <c r="OHV149" s="3"/>
      <c r="OHW149" s="3"/>
      <c r="OHX149" s="3"/>
      <c r="OHY149" s="3"/>
      <c r="OHZ149" s="3"/>
      <c r="OIA149" s="3"/>
      <c r="OIB149" s="3"/>
      <c r="OIC149" s="3"/>
      <c r="OID149" s="3"/>
      <c r="OIE149" s="3"/>
      <c r="OIF149" s="3"/>
      <c r="OIG149" s="3"/>
      <c r="OIH149" s="3"/>
      <c r="OII149" s="3"/>
      <c r="OIJ149" s="3"/>
      <c r="OIK149" s="3"/>
      <c r="OIL149" s="3"/>
      <c r="OIM149" s="3"/>
      <c r="OIN149" s="3"/>
      <c r="OIO149" s="3"/>
      <c r="OIP149" s="3"/>
      <c r="OIQ149" s="3"/>
      <c r="OIR149" s="3"/>
      <c r="OIS149" s="3"/>
      <c r="OIT149" s="3"/>
      <c r="OIU149" s="3"/>
      <c r="OIV149" s="3"/>
      <c r="OIW149" s="3"/>
      <c r="OIX149" s="3"/>
      <c r="OIY149" s="3"/>
      <c r="OIZ149" s="3"/>
      <c r="OJA149" s="3"/>
      <c r="OJB149" s="3"/>
      <c r="OJC149" s="3"/>
      <c r="OJD149" s="3"/>
      <c r="OJE149" s="3"/>
      <c r="OJF149" s="3"/>
      <c r="OJG149" s="3"/>
      <c r="OJH149" s="3"/>
      <c r="OJI149" s="3"/>
      <c r="OJJ149" s="3"/>
      <c r="OJK149" s="3"/>
      <c r="OJL149" s="3"/>
      <c r="OJM149" s="3"/>
      <c r="OJN149" s="3"/>
      <c r="OJO149" s="3"/>
      <c r="OJP149" s="3"/>
      <c r="OJQ149" s="3"/>
      <c r="OJR149" s="3"/>
      <c r="OJS149" s="3"/>
      <c r="OJT149" s="3"/>
      <c r="OJU149" s="3"/>
      <c r="OJV149" s="3"/>
      <c r="OJW149" s="3"/>
      <c r="OJX149" s="3"/>
      <c r="OJY149" s="3"/>
      <c r="OJZ149" s="3"/>
      <c r="OKA149" s="3"/>
      <c r="OKB149" s="3"/>
      <c r="OKC149" s="3"/>
      <c r="OKD149" s="3"/>
      <c r="OKE149" s="3"/>
      <c r="OKF149" s="3"/>
      <c r="OKG149" s="3"/>
      <c r="OKH149" s="3"/>
      <c r="OKI149" s="3"/>
      <c r="OKJ149" s="3"/>
      <c r="OKK149" s="3"/>
      <c r="OKL149" s="3"/>
      <c r="OKM149" s="3"/>
      <c r="OKN149" s="3"/>
      <c r="OKO149" s="3"/>
      <c r="OKP149" s="3"/>
      <c r="OKQ149" s="3"/>
      <c r="OKR149" s="3"/>
      <c r="OKS149" s="3"/>
      <c r="OKT149" s="3"/>
      <c r="OKU149" s="3"/>
      <c r="OKV149" s="3"/>
      <c r="OKW149" s="3"/>
      <c r="OKX149" s="3"/>
      <c r="OKY149" s="3"/>
      <c r="OKZ149" s="3"/>
      <c r="OLA149" s="3"/>
      <c r="OLB149" s="3"/>
      <c r="OLC149" s="3"/>
      <c r="OLD149" s="3"/>
      <c r="OLE149" s="3"/>
      <c r="OLF149" s="3"/>
      <c r="OLG149" s="3"/>
      <c r="OLH149" s="3"/>
      <c r="OLI149" s="3"/>
      <c r="OLJ149" s="3"/>
      <c r="OLK149" s="3"/>
      <c r="OLL149" s="3"/>
      <c r="OLM149" s="3"/>
      <c r="OLN149" s="3"/>
      <c r="OLO149" s="3"/>
      <c r="OLP149" s="3"/>
      <c r="OLQ149" s="3"/>
      <c r="OLR149" s="3"/>
      <c r="OLS149" s="3"/>
      <c r="OLT149" s="3"/>
      <c r="OLU149" s="3"/>
      <c r="OLV149" s="3"/>
      <c r="OLW149" s="3"/>
      <c r="OLX149" s="3"/>
      <c r="OLY149" s="3"/>
      <c r="OLZ149" s="3"/>
      <c r="OMA149" s="3"/>
      <c r="OMB149" s="3"/>
      <c r="OMC149" s="3"/>
      <c r="OMD149" s="3"/>
      <c r="OME149" s="3"/>
      <c r="OMF149" s="3"/>
      <c r="OMG149" s="3"/>
      <c r="OMH149" s="3"/>
      <c r="OMI149" s="3"/>
      <c r="OMJ149" s="3"/>
      <c r="OMK149" s="3"/>
      <c r="OML149" s="3"/>
      <c r="OMM149" s="3"/>
      <c r="OMN149" s="3"/>
      <c r="OMO149" s="3"/>
      <c r="OMP149" s="3"/>
      <c r="OMQ149" s="3"/>
      <c r="OMR149" s="3"/>
      <c r="OMS149" s="3"/>
      <c r="OMT149" s="3"/>
      <c r="OMU149" s="3"/>
      <c r="OMV149" s="3"/>
      <c r="OMW149" s="3"/>
      <c r="OMX149" s="3"/>
      <c r="OMY149" s="3"/>
      <c r="OMZ149" s="3"/>
      <c r="ONA149" s="3"/>
      <c r="ONB149" s="3"/>
      <c r="ONC149" s="3"/>
      <c r="OND149" s="3"/>
      <c r="ONE149" s="3"/>
      <c r="ONF149" s="3"/>
      <c r="ONG149" s="3"/>
      <c r="ONH149" s="3"/>
      <c r="ONI149" s="3"/>
      <c r="ONJ149" s="3"/>
      <c r="ONK149" s="3"/>
      <c r="ONL149" s="3"/>
      <c r="ONM149" s="3"/>
      <c r="ONN149" s="3"/>
      <c r="ONO149" s="3"/>
      <c r="ONP149" s="3"/>
      <c r="ONQ149" s="3"/>
      <c r="ONR149" s="3"/>
      <c r="ONS149" s="3"/>
      <c r="ONT149" s="3"/>
      <c r="ONU149" s="3"/>
      <c r="ONV149" s="3"/>
      <c r="ONW149" s="3"/>
      <c r="ONX149" s="3"/>
      <c r="ONY149" s="3"/>
      <c r="ONZ149" s="3"/>
      <c r="OOA149" s="3"/>
      <c r="OOB149" s="3"/>
      <c r="OOC149" s="3"/>
      <c r="OOD149" s="3"/>
      <c r="OOE149" s="3"/>
      <c r="OOF149" s="3"/>
      <c r="OOG149" s="3"/>
      <c r="OOH149" s="3"/>
      <c r="OOI149" s="3"/>
      <c r="OOJ149" s="3"/>
      <c r="OOK149" s="3"/>
      <c r="OOL149" s="3"/>
      <c r="OOM149" s="3"/>
      <c r="OON149" s="3"/>
      <c r="OOO149" s="3"/>
      <c r="OOP149" s="3"/>
      <c r="OOQ149" s="3"/>
      <c r="OOR149" s="3"/>
      <c r="OOS149" s="3"/>
      <c r="OOT149" s="3"/>
      <c r="OOU149" s="3"/>
      <c r="OOV149" s="3"/>
      <c r="OOW149" s="3"/>
      <c r="OOX149" s="3"/>
      <c r="OOY149" s="3"/>
      <c r="OOZ149" s="3"/>
      <c r="OPA149" s="3"/>
      <c r="OPB149" s="3"/>
      <c r="OPC149" s="3"/>
      <c r="OPD149" s="3"/>
      <c r="OPE149" s="3"/>
      <c r="OPF149" s="3"/>
      <c r="OPG149" s="3"/>
      <c r="OPH149" s="3"/>
      <c r="OPI149" s="3"/>
      <c r="OPJ149" s="3"/>
      <c r="OPK149" s="3"/>
      <c r="OPL149" s="3"/>
      <c r="OPM149" s="3"/>
      <c r="OPN149" s="3"/>
      <c r="OPO149" s="3"/>
      <c r="OPP149" s="3"/>
      <c r="OPQ149" s="3"/>
      <c r="OPR149" s="3"/>
      <c r="OPS149" s="3"/>
      <c r="OPT149" s="3"/>
      <c r="OPU149" s="3"/>
      <c r="OPV149" s="3"/>
      <c r="OPW149" s="3"/>
      <c r="OPX149" s="3"/>
      <c r="OPY149" s="3"/>
      <c r="OPZ149" s="3"/>
      <c r="OQA149" s="3"/>
      <c r="OQB149" s="3"/>
      <c r="OQC149" s="3"/>
      <c r="OQD149" s="3"/>
      <c r="OQE149" s="3"/>
      <c r="OQF149" s="3"/>
      <c r="OQG149" s="3"/>
      <c r="OQH149" s="3"/>
      <c r="OQI149" s="3"/>
      <c r="OQJ149" s="3"/>
      <c r="OQK149" s="3"/>
      <c r="OQL149" s="3"/>
      <c r="OQM149" s="3"/>
      <c r="OQN149" s="3"/>
      <c r="OQO149" s="3"/>
      <c r="OQP149" s="3"/>
      <c r="OQQ149" s="3"/>
      <c r="OQR149" s="3"/>
      <c r="OQS149" s="3"/>
      <c r="OQT149" s="3"/>
      <c r="OQU149" s="3"/>
      <c r="OQV149" s="3"/>
      <c r="OQW149" s="3"/>
      <c r="OQX149" s="3"/>
      <c r="OQY149" s="3"/>
      <c r="OQZ149" s="3"/>
      <c r="ORA149" s="3"/>
      <c r="ORB149" s="3"/>
      <c r="ORC149" s="3"/>
      <c r="ORD149" s="3"/>
      <c r="ORE149" s="3"/>
      <c r="ORF149" s="3"/>
      <c r="ORG149" s="3"/>
      <c r="ORH149" s="3"/>
      <c r="ORI149" s="3"/>
      <c r="ORJ149" s="3"/>
      <c r="ORK149" s="3"/>
      <c r="ORL149" s="3"/>
      <c r="ORM149" s="3"/>
      <c r="ORN149" s="3"/>
      <c r="ORO149" s="3"/>
      <c r="ORP149" s="3"/>
      <c r="ORQ149" s="3"/>
      <c r="ORR149" s="3"/>
      <c r="ORS149" s="3"/>
      <c r="ORT149" s="3"/>
      <c r="ORU149" s="3"/>
      <c r="ORV149" s="3"/>
      <c r="ORW149" s="3"/>
      <c r="ORX149" s="3"/>
      <c r="ORY149" s="3"/>
      <c r="ORZ149" s="3"/>
      <c r="OSA149" s="3"/>
      <c r="OSB149" s="3"/>
      <c r="OSC149" s="3"/>
      <c r="OSD149" s="3"/>
      <c r="OSE149" s="3"/>
      <c r="OSF149" s="3"/>
      <c r="OSG149" s="3"/>
      <c r="OSH149" s="3"/>
      <c r="OSI149" s="3"/>
      <c r="OSJ149" s="3"/>
      <c r="OSK149" s="3"/>
      <c r="OSL149" s="3"/>
      <c r="OSM149" s="3"/>
      <c r="OSN149" s="3"/>
      <c r="OSO149" s="3"/>
      <c r="OSP149" s="3"/>
      <c r="OSQ149" s="3"/>
      <c r="OSR149" s="3"/>
      <c r="OSS149" s="3"/>
      <c r="OST149" s="3"/>
      <c r="OSU149" s="3"/>
      <c r="OSV149" s="3"/>
      <c r="OSW149" s="3"/>
      <c r="OSX149" s="3"/>
      <c r="OSY149" s="3"/>
      <c r="OSZ149" s="3"/>
      <c r="OTA149" s="3"/>
      <c r="OTB149" s="3"/>
      <c r="OTC149" s="3"/>
      <c r="OTD149" s="3"/>
      <c r="OTE149" s="3"/>
      <c r="OTF149" s="3"/>
      <c r="OTG149" s="3"/>
      <c r="OTH149" s="3"/>
      <c r="OTI149" s="3"/>
      <c r="OTJ149" s="3"/>
      <c r="OTK149" s="3"/>
      <c r="OTL149" s="3"/>
      <c r="OTM149" s="3"/>
      <c r="OTN149" s="3"/>
      <c r="OTO149" s="3"/>
      <c r="OTP149" s="3"/>
      <c r="OTQ149" s="3"/>
      <c r="OTR149" s="3"/>
      <c r="OTS149" s="3"/>
      <c r="OTT149" s="3"/>
      <c r="OTU149" s="3"/>
      <c r="OTV149" s="3"/>
      <c r="OTW149" s="3"/>
      <c r="OTX149" s="3"/>
      <c r="OTY149" s="3"/>
      <c r="OTZ149" s="3"/>
      <c r="OUA149" s="3"/>
      <c r="OUB149" s="3"/>
      <c r="OUC149" s="3"/>
      <c r="OUD149" s="3"/>
      <c r="OUE149" s="3"/>
      <c r="OUF149" s="3"/>
      <c r="OUG149" s="3"/>
      <c r="OUH149" s="3"/>
      <c r="OUI149" s="3"/>
      <c r="OUJ149" s="3"/>
      <c r="OUK149" s="3"/>
      <c r="OUL149" s="3"/>
      <c r="OUM149" s="3"/>
      <c r="OUN149" s="3"/>
      <c r="OUO149" s="3"/>
      <c r="OUP149" s="3"/>
      <c r="OUQ149" s="3"/>
      <c r="OUR149" s="3"/>
      <c r="OUS149" s="3"/>
      <c r="OUT149" s="3"/>
      <c r="OUU149" s="3"/>
      <c r="OUV149" s="3"/>
      <c r="OUW149" s="3"/>
      <c r="OUX149" s="3"/>
      <c r="OUY149" s="3"/>
      <c r="OUZ149" s="3"/>
      <c r="OVA149" s="3"/>
      <c r="OVB149" s="3"/>
      <c r="OVC149" s="3"/>
      <c r="OVD149" s="3"/>
      <c r="OVE149" s="3"/>
      <c r="OVF149" s="3"/>
      <c r="OVG149" s="3"/>
      <c r="OVH149" s="3"/>
      <c r="OVI149" s="3"/>
      <c r="OVJ149" s="3"/>
      <c r="OVK149" s="3"/>
      <c r="OVL149" s="3"/>
      <c r="OVM149" s="3"/>
      <c r="OVN149" s="3"/>
      <c r="OVO149" s="3"/>
      <c r="OVP149" s="3"/>
      <c r="OVQ149" s="3"/>
      <c r="OVR149" s="3"/>
      <c r="OVS149" s="3"/>
      <c r="OVT149" s="3"/>
      <c r="OVU149" s="3"/>
      <c r="OVV149" s="3"/>
      <c r="OVW149" s="3"/>
      <c r="OVX149" s="3"/>
      <c r="OVY149" s="3"/>
      <c r="OVZ149" s="3"/>
      <c r="OWA149" s="3"/>
      <c r="OWB149" s="3"/>
      <c r="OWC149" s="3"/>
      <c r="OWD149" s="3"/>
      <c r="OWE149" s="3"/>
      <c r="OWF149" s="3"/>
      <c r="OWG149" s="3"/>
      <c r="OWH149" s="3"/>
      <c r="OWI149" s="3"/>
      <c r="OWJ149" s="3"/>
      <c r="OWK149" s="3"/>
      <c r="OWL149" s="3"/>
      <c r="OWM149" s="3"/>
      <c r="OWN149" s="3"/>
      <c r="OWO149" s="3"/>
      <c r="OWP149" s="3"/>
      <c r="OWQ149" s="3"/>
      <c r="OWR149" s="3"/>
      <c r="OWS149" s="3"/>
      <c r="OWT149" s="3"/>
      <c r="OWU149" s="3"/>
      <c r="OWV149" s="3"/>
      <c r="OWW149" s="3"/>
      <c r="OWX149" s="3"/>
      <c r="OWY149" s="3"/>
      <c r="OWZ149" s="3"/>
      <c r="OXA149" s="3"/>
      <c r="OXB149" s="3"/>
      <c r="OXC149" s="3"/>
      <c r="OXD149" s="3"/>
      <c r="OXE149" s="3"/>
      <c r="OXF149" s="3"/>
      <c r="OXG149" s="3"/>
      <c r="OXH149" s="3"/>
      <c r="OXI149" s="3"/>
      <c r="OXJ149" s="3"/>
      <c r="OXK149" s="3"/>
      <c r="OXL149" s="3"/>
      <c r="OXM149" s="3"/>
      <c r="OXN149" s="3"/>
      <c r="OXO149" s="3"/>
      <c r="OXP149" s="3"/>
      <c r="OXQ149" s="3"/>
      <c r="OXR149" s="3"/>
      <c r="OXS149" s="3"/>
      <c r="OXT149" s="3"/>
      <c r="OXU149" s="3"/>
      <c r="OXV149" s="3"/>
      <c r="OXW149" s="3"/>
      <c r="OXX149" s="3"/>
      <c r="OXY149" s="3"/>
      <c r="OXZ149" s="3"/>
      <c r="OYA149" s="3"/>
      <c r="OYB149" s="3"/>
      <c r="OYC149" s="3"/>
      <c r="OYD149" s="3"/>
      <c r="OYE149" s="3"/>
      <c r="OYF149" s="3"/>
      <c r="OYG149" s="3"/>
      <c r="OYH149" s="3"/>
      <c r="OYI149" s="3"/>
      <c r="OYJ149" s="3"/>
      <c r="OYK149" s="3"/>
      <c r="OYL149" s="3"/>
      <c r="OYM149" s="3"/>
      <c r="OYN149" s="3"/>
      <c r="OYO149" s="3"/>
      <c r="OYP149" s="3"/>
      <c r="OYQ149" s="3"/>
      <c r="OYR149" s="3"/>
      <c r="OYS149" s="3"/>
      <c r="OYT149" s="3"/>
      <c r="OYU149" s="3"/>
      <c r="OYV149" s="3"/>
      <c r="OYW149" s="3"/>
      <c r="OYX149" s="3"/>
      <c r="OYY149" s="3"/>
      <c r="OYZ149" s="3"/>
      <c r="OZA149" s="3"/>
      <c r="OZB149" s="3"/>
      <c r="OZC149" s="3"/>
      <c r="OZD149" s="3"/>
      <c r="OZE149" s="3"/>
      <c r="OZF149" s="3"/>
      <c r="OZG149" s="3"/>
      <c r="OZH149" s="3"/>
      <c r="OZI149" s="3"/>
      <c r="OZJ149" s="3"/>
      <c r="OZK149" s="3"/>
      <c r="OZL149" s="3"/>
      <c r="OZM149" s="3"/>
      <c r="OZN149" s="3"/>
      <c r="OZO149" s="3"/>
      <c r="OZP149" s="3"/>
      <c r="OZQ149" s="3"/>
      <c r="OZR149" s="3"/>
      <c r="OZS149" s="3"/>
      <c r="OZT149" s="3"/>
      <c r="OZU149" s="3"/>
      <c r="OZV149" s="3"/>
      <c r="OZW149" s="3"/>
      <c r="OZX149" s="3"/>
      <c r="OZY149" s="3"/>
      <c r="OZZ149" s="3"/>
      <c r="PAA149" s="3"/>
      <c r="PAB149" s="3"/>
      <c r="PAC149" s="3"/>
      <c r="PAD149" s="3"/>
      <c r="PAE149" s="3"/>
      <c r="PAF149" s="3"/>
      <c r="PAG149" s="3"/>
      <c r="PAH149" s="3"/>
      <c r="PAI149" s="3"/>
      <c r="PAJ149" s="3"/>
      <c r="PAK149" s="3"/>
      <c r="PAL149" s="3"/>
      <c r="PAM149" s="3"/>
      <c r="PAN149" s="3"/>
      <c r="PAO149" s="3"/>
      <c r="PAP149" s="3"/>
      <c r="PAQ149" s="3"/>
      <c r="PAR149" s="3"/>
      <c r="PAS149" s="3"/>
      <c r="PAT149" s="3"/>
      <c r="PAU149" s="3"/>
      <c r="PAV149" s="3"/>
      <c r="PAW149" s="3"/>
      <c r="PAX149" s="3"/>
      <c r="PAY149" s="3"/>
      <c r="PAZ149" s="3"/>
      <c r="PBA149" s="3"/>
      <c r="PBB149" s="3"/>
      <c r="PBC149" s="3"/>
      <c r="PBD149" s="3"/>
      <c r="PBE149" s="3"/>
      <c r="PBF149" s="3"/>
      <c r="PBG149" s="3"/>
      <c r="PBH149" s="3"/>
      <c r="PBI149" s="3"/>
      <c r="PBJ149" s="3"/>
      <c r="PBK149" s="3"/>
      <c r="PBL149" s="3"/>
      <c r="PBM149" s="3"/>
      <c r="PBN149" s="3"/>
      <c r="PBO149" s="3"/>
      <c r="PBP149" s="3"/>
      <c r="PBQ149" s="3"/>
      <c r="PBR149" s="3"/>
      <c r="PBS149" s="3"/>
      <c r="PBT149" s="3"/>
      <c r="PBU149" s="3"/>
      <c r="PBV149" s="3"/>
      <c r="PBW149" s="3"/>
      <c r="PBX149" s="3"/>
      <c r="PBY149" s="3"/>
      <c r="PBZ149" s="3"/>
      <c r="PCA149" s="3"/>
      <c r="PCB149" s="3"/>
      <c r="PCC149" s="3"/>
      <c r="PCD149" s="3"/>
      <c r="PCE149" s="3"/>
      <c r="PCF149" s="3"/>
      <c r="PCG149" s="3"/>
      <c r="PCH149" s="3"/>
      <c r="PCI149" s="3"/>
      <c r="PCJ149" s="3"/>
      <c r="PCK149" s="3"/>
      <c r="PCL149" s="3"/>
      <c r="PCM149" s="3"/>
      <c r="PCN149" s="3"/>
      <c r="PCO149" s="3"/>
      <c r="PCP149" s="3"/>
      <c r="PCQ149" s="3"/>
      <c r="PCR149" s="3"/>
      <c r="PCS149" s="3"/>
      <c r="PCT149" s="3"/>
      <c r="PCU149" s="3"/>
      <c r="PCV149" s="3"/>
      <c r="PCW149" s="3"/>
      <c r="PCX149" s="3"/>
      <c r="PCY149" s="3"/>
      <c r="PCZ149" s="3"/>
      <c r="PDA149" s="3"/>
      <c r="PDB149" s="3"/>
      <c r="PDC149" s="3"/>
      <c r="PDD149" s="3"/>
      <c r="PDE149" s="3"/>
      <c r="PDF149" s="3"/>
      <c r="PDG149" s="3"/>
      <c r="PDH149" s="3"/>
      <c r="PDI149" s="3"/>
      <c r="PDJ149" s="3"/>
      <c r="PDK149" s="3"/>
      <c r="PDL149" s="3"/>
      <c r="PDM149" s="3"/>
      <c r="PDN149" s="3"/>
      <c r="PDO149" s="3"/>
      <c r="PDP149" s="3"/>
      <c r="PDQ149" s="3"/>
      <c r="PDR149" s="3"/>
      <c r="PDS149" s="3"/>
      <c r="PDT149" s="3"/>
      <c r="PDU149" s="3"/>
      <c r="PDV149" s="3"/>
      <c r="PDW149" s="3"/>
      <c r="PDX149" s="3"/>
      <c r="PDY149" s="3"/>
      <c r="PDZ149" s="3"/>
      <c r="PEA149" s="3"/>
      <c r="PEB149" s="3"/>
      <c r="PEC149" s="3"/>
      <c r="PED149" s="3"/>
      <c r="PEE149" s="3"/>
      <c r="PEF149" s="3"/>
      <c r="PEG149" s="3"/>
      <c r="PEH149" s="3"/>
      <c r="PEI149" s="3"/>
      <c r="PEJ149" s="3"/>
      <c r="PEK149" s="3"/>
      <c r="PEL149" s="3"/>
      <c r="PEM149" s="3"/>
      <c r="PEN149" s="3"/>
      <c r="PEO149" s="3"/>
      <c r="PEP149" s="3"/>
      <c r="PEQ149" s="3"/>
      <c r="PER149" s="3"/>
      <c r="PES149" s="3"/>
      <c r="PET149" s="3"/>
      <c r="PEU149" s="3"/>
      <c r="PEV149" s="3"/>
      <c r="PEW149" s="3"/>
      <c r="PEX149" s="3"/>
      <c r="PEY149" s="3"/>
      <c r="PEZ149" s="3"/>
      <c r="PFA149" s="3"/>
      <c r="PFB149" s="3"/>
      <c r="PFC149" s="3"/>
      <c r="PFD149" s="3"/>
      <c r="PFE149" s="3"/>
      <c r="PFF149" s="3"/>
      <c r="PFG149" s="3"/>
      <c r="PFH149" s="3"/>
      <c r="PFI149" s="3"/>
      <c r="PFJ149" s="3"/>
      <c r="PFK149" s="3"/>
      <c r="PFL149" s="3"/>
      <c r="PFM149" s="3"/>
      <c r="PFN149" s="3"/>
      <c r="PFO149" s="3"/>
      <c r="PFP149" s="3"/>
      <c r="PFQ149" s="3"/>
      <c r="PFR149" s="3"/>
      <c r="PFS149" s="3"/>
      <c r="PFT149" s="3"/>
      <c r="PFU149" s="3"/>
      <c r="PFV149" s="3"/>
      <c r="PFW149" s="3"/>
      <c r="PFX149" s="3"/>
      <c r="PFY149" s="3"/>
      <c r="PFZ149" s="3"/>
      <c r="PGA149" s="3"/>
      <c r="PGB149" s="3"/>
      <c r="PGC149" s="3"/>
      <c r="PGD149" s="3"/>
      <c r="PGE149" s="3"/>
      <c r="PGF149" s="3"/>
      <c r="PGG149" s="3"/>
      <c r="PGH149" s="3"/>
      <c r="PGI149" s="3"/>
      <c r="PGJ149" s="3"/>
      <c r="PGK149" s="3"/>
      <c r="PGL149" s="3"/>
      <c r="PGM149" s="3"/>
      <c r="PGN149" s="3"/>
      <c r="PGO149" s="3"/>
      <c r="PGP149" s="3"/>
      <c r="PGQ149" s="3"/>
      <c r="PGR149" s="3"/>
      <c r="PGS149" s="3"/>
      <c r="PGT149" s="3"/>
      <c r="PGU149" s="3"/>
      <c r="PGV149" s="3"/>
      <c r="PGW149" s="3"/>
      <c r="PGX149" s="3"/>
      <c r="PGY149" s="3"/>
      <c r="PGZ149" s="3"/>
      <c r="PHA149" s="3"/>
      <c r="PHB149" s="3"/>
      <c r="PHC149" s="3"/>
      <c r="PHD149" s="3"/>
      <c r="PHE149" s="3"/>
      <c r="PHF149" s="3"/>
      <c r="PHG149" s="3"/>
      <c r="PHH149" s="3"/>
      <c r="PHI149" s="3"/>
      <c r="PHJ149" s="3"/>
      <c r="PHK149" s="3"/>
      <c r="PHL149" s="3"/>
      <c r="PHM149" s="3"/>
      <c r="PHN149" s="3"/>
      <c r="PHO149" s="3"/>
      <c r="PHP149" s="3"/>
      <c r="PHQ149" s="3"/>
      <c r="PHR149" s="3"/>
      <c r="PHS149" s="3"/>
      <c r="PHT149" s="3"/>
      <c r="PHU149" s="3"/>
      <c r="PHV149" s="3"/>
      <c r="PHW149" s="3"/>
      <c r="PHX149" s="3"/>
      <c r="PHY149" s="3"/>
      <c r="PHZ149" s="3"/>
      <c r="PIA149" s="3"/>
      <c r="PIB149" s="3"/>
      <c r="PIC149" s="3"/>
      <c r="PID149" s="3"/>
      <c r="PIE149" s="3"/>
      <c r="PIF149" s="3"/>
      <c r="PIG149" s="3"/>
      <c r="PIH149" s="3"/>
      <c r="PII149" s="3"/>
      <c r="PIJ149" s="3"/>
      <c r="PIK149" s="3"/>
      <c r="PIL149" s="3"/>
      <c r="PIM149" s="3"/>
      <c r="PIN149" s="3"/>
      <c r="PIO149" s="3"/>
      <c r="PIP149" s="3"/>
      <c r="PIQ149" s="3"/>
      <c r="PIR149" s="3"/>
      <c r="PIS149" s="3"/>
      <c r="PIT149" s="3"/>
      <c r="PIU149" s="3"/>
      <c r="PIV149" s="3"/>
      <c r="PIW149" s="3"/>
      <c r="PIX149" s="3"/>
      <c r="PIY149" s="3"/>
      <c r="PIZ149" s="3"/>
      <c r="PJA149" s="3"/>
      <c r="PJB149" s="3"/>
      <c r="PJC149" s="3"/>
      <c r="PJD149" s="3"/>
      <c r="PJE149" s="3"/>
      <c r="PJF149" s="3"/>
      <c r="PJG149" s="3"/>
      <c r="PJH149" s="3"/>
      <c r="PJI149" s="3"/>
      <c r="PJJ149" s="3"/>
      <c r="PJK149" s="3"/>
      <c r="PJL149" s="3"/>
      <c r="PJM149" s="3"/>
      <c r="PJN149" s="3"/>
      <c r="PJO149" s="3"/>
      <c r="PJP149" s="3"/>
      <c r="PJQ149" s="3"/>
      <c r="PJR149" s="3"/>
      <c r="PJS149" s="3"/>
      <c r="PJT149" s="3"/>
      <c r="PJU149" s="3"/>
      <c r="PJV149" s="3"/>
      <c r="PJW149" s="3"/>
      <c r="PJX149" s="3"/>
      <c r="PJY149" s="3"/>
      <c r="PJZ149" s="3"/>
      <c r="PKA149" s="3"/>
      <c r="PKB149" s="3"/>
      <c r="PKC149" s="3"/>
      <c r="PKD149" s="3"/>
      <c r="PKE149" s="3"/>
      <c r="PKF149" s="3"/>
      <c r="PKG149" s="3"/>
      <c r="PKH149" s="3"/>
      <c r="PKI149" s="3"/>
      <c r="PKJ149" s="3"/>
      <c r="PKK149" s="3"/>
      <c r="PKL149" s="3"/>
      <c r="PKM149" s="3"/>
      <c r="PKN149" s="3"/>
      <c r="PKO149" s="3"/>
      <c r="PKP149" s="3"/>
      <c r="PKQ149" s="3"/>
      <c r="PKR149" s="3"/>
      <c r="PKS149" s="3"/>
      <c r="PKT149" s="3"/>
      <c r="PKU149" s="3"/>
      <c r="PKV149" s="3"/>
      <c r="PKW149" s="3"/>
      <c r="PKX149" s="3"/>
      <c r="PKY149" s="3"/>
      <c r="PKZ149" s="3"/>
      <c r="PLA149" s="3"/>
      <c r="PLB149" s="3"/>
      <c r="PLC149" s="3"/>
      <c r="PLD149" s="3"/>
      <c r="PLE149" s="3"/>
      <c r="PLF149" s="3"/>
      <c r="PLG149" s="3"/>
      <c r="PLH149" s="3"/>
      <c r="PLI149" s="3"/>
      <c r="PLJ149" s="3"/>
      <c r="PLK149" s="3"/>
      <c r="PLL149" s="3"/>
      <c r="PLM149" s="3"/>
      <c r="PLN149" s="3"/>
      <c r="PLO149" s="3"/>
      <c r="PLP149" s="3"/>
      <c r="PLQ149" s="3"/>
      <c r="PLR149" s="3"/>
      <c r="PLS149" s="3"/>
      <c r="PLT149" s="3"/>
      <c r="PLU149" s="3"/>
      <c r="PLV149" s="3"/>
      <c r="PLW149" s="3"/>
      <c r="PLX149" s="3"/>
      <c r="PLY149" s="3"/>
      <c r="PLZ149" s="3"/>
      <c r="PMA149" s="3"/>
      <c r="PMB149" s="3"/>
      <c r="PMC149" s="3"/>
      <c r="PMD149" s="3"/>
      <c r="PME149" s="3"/>
      <c r="PMF149" s="3"/>
      <c r="PMG149" s="3"/>
      <c r="PMH149" s="3"/>
      <c r="PMI149" s="3"/>
      <c r="PMJ149" s="3"/>
      <c r="PMK149" s="3"/>
      <c r="PML149" s="3"/>
      <c r="PMM149" s="3"/>
      <c r="PMN149" s="3"/>
      <c r="PMO149" s="3"/>
      <c r="PMP149" s="3"/>
      <c r="PMQ149" s="3"/>
      <c r="PMR149" s="3"/>
      <c r="PMS149" s="3"/>
      <c r="PMT149" s="3"/>
      <c r="PMU149" s="3"/>
      <c r="PMV149" s="3"/>
      <c r="PMW149" s="3"/>
      <c r="PMX149" s="3"/>
      <c r="PMY149" s="3"/>
      <c r="PMZ149" s="3"/>
      <c r="PNA149" s="3"/>
      <c r="PNB149" s="3"/>
      <c r="PNC149" s="3"/>
      <c r="PND149" s="3"/>
      <c r="PNE149" s="3"/>
      <c r="PNF149" s="3"/>
      <c r="PNG149" s="3"/>
      <c r="PNH149" s="3"/>
      <c r="PNI149" s="3"/>
      <c r="PNJ149" s="3"/>
      <c r="PNK149" s="3"/>
      <c r="PNL149" s="3"/>
      <c r="PNM149" s="3"/>
      <c r="PNN149" s="3"/>
      <c r="PNO149" s="3"/>
      <c r="PNP149" s="3"/>
      <c r="PNQ149" s="3"/>
      <c r="PNR149" s="3"/>
      <c r="PNS149" s="3"/>
      <c r="PNT149" s="3"/>
      <c r="PNU149" s="3"/>
      <c r="PNV149" s="3"/>
      <c r="PNW149" s="3"/>
      <c r="PNX149" s="3"/>
      <c r="PNY149" s="3"/>
      <c r="PNZ149" s="3"/>
      <c r="POA149" s="3"/>
      <c r="POB149" s="3"/>
      <c r="POC149" s="3"/>
      <c r="POD149" s="3"/>
      <c r="POE149" s="3"/>
      <c r="POF149" s="3"/>
      <c r="POG149" s="3"/>
      <c r="POH149" s="3"/>
      <c r="POI149" s="3"/>
      <c r="POJ149" s="3"/>
      <c r="POK149" s="3"/>
      <c r="POL149" s="3"/>
      <c r="POM149" s="3"/>
      <c r="PON149" s="3"/>
      <c r="POO149" s="3"/>
      <c r="POP149" s="3"/>
      <c r="POQ149" s="3"/>
      <c r="POR149" s="3"/>
      <c r="POS149" s="3"/>
      <c r="POT149" s="3"/>
      <c r="POU149" s="3"/>
      <c r="POV149" s="3"/>
      <c r="POW149" s="3"/>
      <c r="POX149" s="3"/>
      <c r="POY149" s="3"/>
      <c r="POZ149" s="3"/>
      <c r="PPA149" s="3"/>
      <c r="PPB149" s="3"/>
      <c r="PPC149" s="3"/>
      <c r="PPD149" s="3"/>
      <c r="PPE149" s="3"/>
      <c r="PPF149" s="3"/>
      <c r="PPG149" s="3"/>
      <c r="PPH149" s="3"/>
      <c r="PPI149" s="3"/>
      <c r="PPJ149" s="3"/>
      <c r="PPK149" s="3"/>
      <c r="PPL149" s="3"/>
      <c r="PPM149" s="3"/>
      <c r="PPN149" s="3"/>
      <c r="PPO149" s="3"/>
      <c r="PPP149" s="3"/>
      <c r="PPQ149" s="3"/>
      <c r="PPR149" s="3"/>
      <c r="PPS149" s="3"/>
      <c r="PPT149" s="3"/>
      <c r="PPU149" s="3"/>
      <c r="PPV149" s="3"/>
      <c r="PPW149" s="3"/>
      <c r="PPX149" s="3"/>
      <c r="PPY149" s="3"/>
      <c r="PPZ149" s="3"/>
      <c r="PQA149" s="3"/>
      <c r="PQB149" s="3"/>
      <c r="PQC149" s="3"/>
      <c r="PQD149" s="3"/>
      <c r="PQE149" s="3"/>
      <c r="PQF149" s="3"/>
      <c r="PQG149" s="3"/>
      <c r="PQH149" s="3"/>
      <c r="PQI149" s="3"/>
      <c r="PQJ149" s="3"/>
      <c r="PQK149" s="3"/>
      <c r="PQL149" s="3"/>
      <c r="PQM149" s="3"/>
      <c r="PQN149" s="3"/>
      <c r="PQO149" s="3"/>
      <c r="PQP149" s="3"/>
      <c r="PQQ149" s="3"/>
      <c r="PQR149" s="3"/>
      <c r="PQS149" s="3"/>
      <c r="PQT149" s="3"/>
      <c r="PQU149" s="3"/>
      <c r="PQV149" s="3"/>
      <c r="PQW149" s="3"/>
      <c r="PQX149" s="3"/>
      <c r="PQY149" s="3"/>
      <c r="PQZ149" s="3"/>
      <c r="PRA149" s="3"/>
      <c r="PRB149" s="3"/>
      <c r="PRC149" s="3"/>
      <c r="PRD149" s="3"/>
      <c r="PRE149" s="3"/>
      <c r="PRF149" s="3"/>
      <c r="PRG149" s="3"/>
      <c r="PRH149" s="3"/>
      <c r="PRI149" s="3"/>
      <c r="PRJ149" s="3"/>
      <c r="PRK149" s="3"/>
      <c r="PRL149" s="3"/>
      <c r="PRM149" s="3"/>
      <c r="PRN149" s="3"/>
      <c r="PRO149" s="3"/>
      <c r="PRP149" s="3"/>
      <c r="PRQ149" s="3"/>
      <c r="PRR149" s="3"/>
      <c r="PRS149" s="3"/>
      <c r="PRT149" s="3"/>
      <c r="PRU149" s="3"/>
      <c r="PRV149" s="3"/>
      <c r="PRW149" s="3"/>
      <c r="PRX149" s="3"/>
      <c r="PRY149" s="3"/>
      <c r="PRZ149" s="3"/>
      <c r="PSA149" s="3"/>
      <c r="PSB149" s="3"/>
      <c r="PSC149" s="3"/>
      <c r="PSD149" s="3"/>
      <c r="PSE149" s="3"/>
      <c r="PSF149" s="3"/>
      <c r="PSG149" s="3"/>
      <c r="PSH149" s="3"/>
      <c r="PSI149" s="3"/>
      <c r="PSJ149" s="3"/>
      <c r="PSK149" s="3"/>
      <c r="PSL149" s="3"/>
      <c r="PSM149" s="3"/>
      <c r="PSN149" s="3"/>
      <c r="PSO149" s="3"/>
      <c r="PSP149" s="3"/>
      <c r="PSQ149" s="3"/>
      <c r="PSR149" s="3"/>
      <c r="PSS149" s="3"/>
      <c r="PST149" s="3"/>
      <c r="PSU149" s="3"/>
      <c r="PSV149" s="3"/>
      <c r="PSW149" s="3"/>
      <c r="PSX149" s="3"/>
      <c r="PSY149" s="3"/>
      <c r="PSZ149" s="3"/>
      <c r="PTA149" s="3"/>
      <c r="PTB149" s="3"/>
      <c r="PTC149" s="3"/>
      <c r="PTD149" s="3"/>
      <c r="PTE149" s="3"/>
      <c r="PTF149" s="3"/>
      <c r="PTG149" s="3"/>
      <c r="PTH149" s="3"/>
      <c r="PTI149" s="3"/>
      <c r="PTJ149" s="3"/>
      <c r="PTK149" s="3"/>
      <c r="PTL149" s="3"/>
      <c r="PTM149" s="3"/>
      <c r="PTN149" s="3"/>
      <c r="PTO149" s="3"/>
      <c r="PTP149" s="3"/>
      <c r="PTQ149" s="3"/>
      <c r="PTR149" s="3"/>
      <c r="PTS149" s="3"/>
      <c r="PTT149" s="3"/>
      <c r="PTU149" s="3"/>
      <c r="PTV149" s="3"/>
      <c r="PTW149" s="3"/>
      <c r="PTX149" s="3"/>
      <c r="PTY149" s="3"/>
      <c r="PTZ149" s="3"/>
      <c r="PUA149" s="3"/>
      <c r="PUB149" s="3"/>
      <c r="PUC149" s="3"/>
      <c r="PUD149" s="3"/>
      <c r="PUE149" s="3"/>
      <c r="PUF149" s="3"/>
      <c r="PUG149" s="3"/>
      <c r="PUH149" s="3"/>
      <c r="PUI149" s="3"/>
      <c r="PUJ149" s="3"/>
      <c r="PUK149" s="3"/>
      <c r="PUL149" s="3"/>
      <c r="PUM149" s="3"/>
      <c r="PUN149" s="3"/>
      <c r="PUO149" s="3"/>
      <c r="PUP149" s="3"/>
      <c r="PUQ149" s="3"/>
      <c r="PUR149" s="3"/>
      <c r="PUS149" s="3"/>
      <c r="PUT149" s="3"/>
      <c r="PUU149" s="3"/>
      <c r="PUV149" s="3"/>
      <c r="PUW149" s="3"/>
      <c r="PUX149" s="3"/>
      <c r="PUY149" s="3"/>
      <c r="PUZ149" s="3"/>
      <c r="PVA149" s="3"/>
      <c r="PVB149" s="3"/>
      <c r="PVC149" s="3"/>
      <c r="PVD149" s="3"/>
      <c r="PVE149" s="3"/>
      <c r="PVF149" s="3"/>
      <c r="PVG149" s="3"/>
      <c r="PVH149" s="3"/>
      <c r="PVI149" s="3"/>
      <c r="PVJ149" s="3"/>
      <c r="PVK149" s="3"/>
      <c r="PVL149" s="3"/>
      <c r="PVM149" s="3"/>
      <c r="PVN149" s="3"/>
      <c r="PVO149" s="3"/>
      <c r="PVP149" s="3"/>
      <c r="PVQ149" s="3"/>
      <c r="PVR149" s="3"/>
      <c r="PVS149" s="3"/>
      <c r="PVT149" s="3"/>
      <c r="PVU149" s="3"/>
      <c r="PVV149" s="3"/>
      <c r="PVW149" s="3"/>
      <c r="PVX149" s="3"/>
      <c r="PVY149" s="3"/>
      <c r="PVZ149" s="3"/>
      <c r="PWA149" s="3"/>
      <c r="PWB149" s="3"/>
      <c r="PWC149" s="3"/>
      <c r="PWD149" s="3"/>
      <c r="PWE149" s="3"/>
      <c r="PWF149" s="3"/>
      <c r="PWG149" s="3"/>
      <c r="PWH149" s="3"/>
      <c r="PWI149" s="3"/>
      <c r="PWJ149" s="3"/>
      <c r="PWK149" s="3"/>
      <c r="PWL149" s="3"/>
      <c r="PWM149" s="3"/>
      <c r="PWN149" s="3"/>
      <c r="PWO149" s="3"/>
      <c r="PWP149" s="3"/>
      <c r="PWQ149" s="3"/>
      <c r="PWR149" s="3"/>
      <c r="PWS149" s="3"/>
      <c r="PWT149" s="3"/>
      <c r="PWU149" s="3"/>
      <c r="PWV149" s="3"/>
      <c r="PWW149" s="3"/>
      <c r="PWX149" s="3"/>
      <c r="PWY149" s="3"/>
      <c r="PWZ149" s="3"/>
      <c r="PXA149" s="3"/>
      <c r="PXB149" s="3"/>
      <c r="PXC149" s="3"/>
      <c r="PXD149" s="3"/>
      <c r="PXE149" s="3"/>
      <c r="PXF149" s="3"/>
      <c r="PXG149" s="3"/>
      <c r="PXH149" s="3"/>
      <c r="PXI149" s="3"/>
      <c r="PXJ149" s="3"/>
      <c r="PXK149" s="3"/>
      <c r="PXL149" s="3"/>
      <c r="PXM149" s="3"/>
      <c r="PXN149" s="3"/>
      <c r="PXO149" s="3"/>
      <c r="PXP149" s="3"/>
      <c r="PXQ149" s="3"/>
      <c r="PXR149" s="3"/>
      <c r="PXS149" s="3"/>
      <c r="PXT149" s="3"/>
      <c r="PXU149" s="3"/>
      <c r="PXV149" s="3"/>
      <c r="PXW149" s="3"/>
      <c r="PXX149" s="3"/>
      <c r="PXY149" s="3"/>
      <c r="PXZ149" s="3"/>
      <c r="PYA149" s="3"/>
      <c r="PYB149" s="3"/>
      <c r="PYC149" s="3"/>
      <c r="PYD149" s="3"/>
      <c r="PYE149" s="3"/>
      <c r="PYF149" s="3"/>
      <c r="PYG149" s="3"/>
      <c r="PYH149" s="3"/>
      <c r="PYI149" s="3"/>
      <c r="PYJ149" s="3"/>
      <c r="PYK149" s="3"/>
      <c r="PYL149" s="3"/>
      <c r="PYM149" s="3"/>
      <c r="PYN149" s="3"/>
      <c r="PYO149" s="3"/>
      <c r="PYP149" s="3"/>
      <c r="PYQ149" s="3"/>
      <c r="PYR149" s="3"/>
      <c r="PYS149" s="3"/>
      <c r="PYT149" s="3"/>
      <c r="PYU149" s="3"/>
      <c r="PYV149" s="3"/>
      <c r="PYW149" s="3"/>
      <c r="PYX149" s="3"/>
      <c r="PYY149" s="3"/>
      <c r="PYZ149" s="3"/>
      <c r="PZA149" s="3"/>
      <c r="PZB149" s="3"/>
      <c r="PZC149" s="3"/>
      <c r="PZD149" s="3"/>
      <c r="PZE149" s="3"/>
      <c r="PZF149" s="3"/>
      <c r="PZG149" s="3"/>
      <c r="PZH149" s="3"/>
      <c r="PZI149" s="3"/>
      <c r="PZJ149" s="3"/>
      <c r="PZK149" s="3"/>
      <c r="PZL149" s="3"/>
      <c r="PZM149" s="3"/>
      <c r="PZN149" s="3"/>
      <c r="PZO149" s="3"/>
      <c r="PZP149" s="3"/>
      <c r="PZQ149" s="3"/>
      <c r="PZR149" s="3"/>
      <c r="PZS149" s="3"/>
      <c r="PZT149" s="3"/>
      <c r="PZU149" s="3"/>
      <c r="PZV149" s="3"/>
      <c r="PZW149" s="3"/>
      <c r="PZX149" s="3"/>
      <c r="PZY149" s="3"/>
      <c r="PZZ149" s="3"/>
      <c r="QAA149" s="3"/>
      <c r="QAB149" s="3"/>
      <c r="QAC149" s="3"/>
      <c r="QAD149" s="3"/>
      <c r="QAE149" s="3"/>
      <c r="QAF149" s="3"/>
      <c r="QAG149" s="3"/>
      <c r="QAH149" s="3"/>
      <c r="QAI149" s="3"/>
      <c r="QAJ149" s="3"/>
      <c r="QAK149" s="3"/>
      <c r="QAL149" s="3"/>
      <c r="QAM149" s="3"/>
      <c r="QAN149" s="3"/>
      <c r="QAO149" s="3"/>
      <c r="QAP149" s="3"/>
      <c r="QAQ149" s="3"/>
      <c r="QAR149" s="3"/>
      <c r="QAS149" s="3"/>
      <c r="QAT149" s="3"/>
      <c r="QAU149" s="3"/>
      <c r="QAV149" s="3"/>
      <c r="QAW149" s="3"/>
      <c r="QAX149" s="3"/>
      <c r="QAY149" s="3"/>
      <c r="QAZ149" s="3"/>
      <c r="QBA149" s="3"/>
      <c r="QBB149" s="3"/>
      <c r="QBC149" s="3"/>
      <c r="QBD149" s="3"/>
      <c r="QBE149" s="3"/>
      <c r="QBF149" s="3"/>
      <c r="QBG149" s="3"/>
      <c r="QBH149" s="3"/>
      <c r="QBI149" s="3"/>
      <c r="QBJ149" s="3"/>
      <c r="QBK149" s="3"/>
      <c r="QBL149" s="3"/>
      <c r="QBM149" s="3"/>
      <c r="QBN149" s="3"/>
      <c r="QBO149" s="3"/>
      <c r="QBP149" s="3"/>
      <c r="QBQ149" s="3"/>
      <c r="QBR149" s="3"/>
      <c r="QBS149" s="3"/>
      <c r="QBT149" s="3"/>
      <c r="QBU149" s="3"/>
      <c r="QBV149" s="3"/>
      <c r="QBW149" s="3"/>
      <c r="QBX149" s="3"/>
      <c r="QBY149" s="3"/>
      <c r="QBZ149" s="3"/>
      <c r="QCA149" s="3"/>
      <c r="QCB149" s="3"/>
      <c r="QCC149" s="3"/>
      <c r="QCD149" s="3"/>
      <c r="QCE149" s="3"/>
      <c r="QCF149" s="3"/>
      <c r="QCG149" s="3"/>
      <c r="QCH149" s="3"/>
      <c r="QCI149" s="3"/>
      <c r="QCJ149" s="3"/>
      <c r="QCK149" s="3"/>
      <c r="QCL149" s="3"/>
      <c r="QCM149" s="3"/>
      <c r="QCN149" s="3"/>
      <c r="QCO149" s="3"/>
      <c r="QCP149" s="3"/>
      <c r="QCQ149" s="3"/>
      <c r="QCR149" s="3"/>
      <c r="QCS149" s="3"/>
      <c r="QCT149" s="3"/>
      <c r="QCU149" s="3"/>
      <c r="QCV149" s="3"/>
      <c r="QCW149" s="3"/>
      <c r="QCX149" s="3"/>
      <c r="QCY149" s="3"/>
      <c r="QCZ149" s="3"/>
      <c r="QDA149" s="3"/>
      <c r="QDB149" s="3"/>
      <c r="QDC149" s="3"/>
      <c r="QDD149" s="3"/>
      <c r="QDE149" s="3"/>
      <c r="QDF149" s="3"/>
      <c r="QDG149" s="3"/>
      <c r="QDH149" s="3"/>
      <c r="QDI149" s="3"/>
      <c r="QDJ149" s="3"/>
      <c r="QDK149" s="3"/>
      <c r="QDL149" s="3"/>
      <c r="QDM149" s="3"/>
      <c r="QDN149" s="3"/>
      <c r="QDO149" s="3"/>
      <c r="QDP149" s="3"/>
      <c r="QDQ149" s="3"/>
      <c r="QDR149" s="3"/>
      <c r="QDS149" s="3"/>
      <c r="QDT149" s="3"/>
      <c r="QDU149" s="3"/>
      <c r="QDV149" s="3"/>
      <c r="QDW149" s="3"/>
      <c r="QDX149" s="3"/>
      <c r="QDY149" s="3"/>
      <c r="QDZ149" s="3"/>
      <c r="QEA149" s="3"/>
      <c r="QEB149" s="3"/>
      <c r="QEC149" s="3"/>
      <c r="QED149" s="3"/>
      <c r="QEE149" s="3"/>
      <c r="QEF149" s="3"/>
      <c r="QEG149" s="3"/>
      <c r="QEH149" s="3"/>
      <c r="QEI149" s="3"/>
      <c r="QEJ149" s="3"/>
      <c r="QEK149" s="3"/>
      <c r="QEL149" s="3"/>
      <c r="QEM149" s="3"/>
      <c r="QEN149" s="3"/>
      <c r="QEO149" s="3"/>
      <c r="QEP149" s="3"/>
      <c r="QEQ149" s="3"/>
      <c r="QER149" s="3"/>
      <c r="QES149" s="3"/>
      <c r="QET149" s="3"/>
      <c r="QEU149" s="3"/>
      <c r="QEV149" s="3"/>
      <c r="QEW149" s="3"/>
      <c r="QEX149" s="3"/>
      <c r="QEY149" s="3"/>
      <c r="QEZ149" s="3"/>
      <c r="QFA149" s="3"/>
      <c r="QFB149" s="3"/>
      <c r="QFC149" s="3"/>
      <c r="QFD149" s="3"/>
      <c r="QFE149" s="3"/>
      <c r="QFF149" s="3"/>
      <c r="QFG149" s="3"/>
      <c r="QFH149" s="3"/>
      <c r="QFI149" s="3"/>
      <c r="QFJ149" s="3"/>
      <c r="QFK149" s="3"/>
      <c r="QFL149" s="3"/>
      <c r="QFM149" s="3"/>
      <c r="QFN149" s="3"/>
      <c r="QFO149" s="3"/>
      <c r="QFP149" s="3"/>
      <c r="QFQ149" s="3"/>
      <c r="QFR149" s="3"/>
      <c r="QFS149" s="3"/>
      <c r="QFT149" s="3"/>
      <c r="QFU149" s="3"/>
      <c r="QFV149" s="3"/>
      <c r="QFW149" s="3"/>
      <c r="QFX149" s="3"/>
      <c r="QFY149" s="3"/>
      <c r="QFZ149" s="3"/>
      <c r="QGA149" s="3"/>
      <c r="QGB149" s="3"/>
      <c r="QGC149" s="3"/>
      <c r="QGD149" s="3"/>
      <c r="QGE149" s="3"/>
      <c r="QGF149" s="3"/>
      <c r="QGG149" s="3"/>
      <c r="QGH149" s="3"/>
      <c r="QGI149" s="3"/>
      <c r="QGJ149" s="3"/>
      <c r="QGK149" s="3"/>
      <c r="QGL149" s="3"/>
      <c r="QGM149" s="3"/>
      <c r="QGN149" s="3"/>
      <c r="QGO149" s="3"/>
      <c r="QGP149" s="3"/>
      <c r="QGQ149" s="3"/>
      <c r="QGR149" s="3"/>
      <c r="QGS149" s="3"/>
      <c r="QGT149" s="3"/>
      <c r="QGU149" s="3"/>
      <c r="QGV149" s="3"/>
      <c r="QGW149" s="3"/>
      <c r="QGX149" s="3"/>
      <c r="QGY149" s="3"/>
      <c r="QGZ149" s="3"/>
      <c r="QHA149" s="3"/>
      <c r="QHB149" s="3"/>
      <c r="QHC149" s="3"/>
      <c r="QHD149" s="3"/>
      <c r="QHE149" s="3"/>
      <c r="QHF149" s="3"/>
      <c r="QHG149" s="3"/>
      <c r="QHH149" s="3"/>
      <c r="QHI149" s="3"/>
      <c r="QHJ149" s="3"/>
      <c r="QHK149" s="3"/>
      <c r="QHL149" s="3"/>
      <c r="QHM149" s="3"/>
      <c r="QHN149" s="3"/>
      <c r="QHO149" s="3"/>
      <c r="QHP149" s="3"/>
      <c r="QHQ149" s="3"/>
      <c r="QHR149" s="3"/>
      <c r="QHS149" s="3"/>
      <c r="QHT149" s="3"/>
      <c r="QHU149" s="3"/>
      <c r="QHV149" s="3"/>
      <c r="QHW149" s="3"/>
      <c r="QHX149" s="3"/>
      <c r="QHY149" s="3"/>
      <c r="QHZ149" s="3"/>
      <c r="QIA149" s="3"/>
      <c r="QIB149" s="3"/>
      <c r="QIC149" s="3"/>
      <c r="QID149" s="3"/>
      <c r="QIE149" s="3"/>
      <c r="QIF149" s="3"/>
      <c r="QIG149" s="3"/>
      <c r="QIH149" s="3"/>
      <c r="QII149" s="3"/>
      <c r="QIJ149" s="3"/>
      <c r="QIK149" s="3"/>
      <c r="QIL149" s="3"/>
      <c r="QIM149" s="3"/>
      <c r="QIN149" s="3"/>
      <c r="QIO149" s="3"/>
      <c r="QIP149" s="3"/>
      <c r="QIQ149" s="3"/>
      <c r="QIR149" s="3"/>
      <c r="QIS149" s="3"/>
      <c r="QIT149" s="3"/>
      <c r="QIU149" s="3"/>
      <c r="QIV149" s="3"/>
      <c r="QIW149" s="3"/>
      <c r="QIX149" s="3"/>
      <c r="QIY149" s="3"/>
      <c r="QIZ149" s="3"/>
      <c r="QJA149" s="3"/>
      <c r="QJB149" s="3"/>
      <c r="QJC149" s="3"/>
      <c r="QJD149" s="3"/>
      <c r="QJE149" s="3"/>
      <c r="QJF149" s="3"/>
      <c r="QJG149" s="3"/>
      <c r="QJH149" s="3"/>
      <c r="QJI149" s="3"/>
      <c r="QJJ149" s="3"/>
      <c r="QJK149" s="3"/>
      <c r="QJL149" s="3"/>
      <c r="QJM149" s="3"/>
      <c r="QJN149" s="3"/>
      <c r="QJO149" s="3"/>
      <c r="QJP149" s="3"/>
      <c r="QJQ149" s="3"/>
      <c r="QJR149" s="3"/>
      <c r="QJS149" s="3"/>
      <c r="QJT149" s="3"/>
      <c r="QJU149" s="3"/>
      <c r="QJV149" s="3"/>
      <c r="QJW149" s="3"/>
      <c r="QJX149" s="3"/>
      <c r="QJY149" s="3"/>
      <c r="QJZ149" s="3"/>
      <c r="QKA149" s="3"/>
      <c r="QKB149" s="3"/>
      <c r="QKC149" s="3"/>
      <c r="QKD149" s="3"/>
      <c r="QKE149" s="3"/>
      <c r="QKF149" s="3"/>
      <c r="QKG149" s="3"/>
      <c r="QKH149" s="3"/>
      <c r="QKI149" s="3"/>
      <c r="QKJ149" s="3"/>
      <c r="QKK149" s="3"/>
      <c r="QKL149" s="3"/>
      <c r="QKM149" s="3"/>
      <c r="QKN149" s="3"/>
      <c r="QKO149" s="3"/>
      <c r="QKP149" s="3"/>
      <c r="QKQ149" s="3"/>
      <c r="QKR149" s="3"/>
      <c r="QKS149" s="3"/>
      <c r="QKT149" s="3"/>
      <c r="QKU149" s="3"/>
      <c r="QKV149" s="3"/>
      <c r="QKW149" s="3"/>
      <c r="QKX149" s="3"/>
      <c r="QKY149" s="3"/>
      <c r="QKZ149" s="3"/>
      <c r="QLA149" s="3"/>
      <c r="QLB149" s="3"/>
      <c r="QLC149" s="3"/>
      <c r="QLD149" s="3"/>
      <c r="QLE149" s="3"/>
      <c r="QLF149" s="3"/>
      <c r="QLG149" s="3"/>
      <c r="QLH149" s="3"/>
      <c r="QLI149" s="3"/>
      <c r="QLJ149" s="3"/>
      <c r="QLK149" s="3"/>
      <c r="QLL149" s="3"/>
      <c r="QLM149" s="3"/>
      <c r="QLN149" s="3"/>
      <c r="QLO149" s="3"/>
      <c r="QLP149" s="3"/>
      <c r="QLQ149" s="3"/>
      <c r="QLR149" s="3"/>
      <c r="QLS149" s="3"/>
      <c r="QLT149" s="3"/>
      <c r="QLU149" s="3"/>
      <c r="QLV149" s="3"/>
      <c r="QLW149" s="3"/>
      <c r="QLX149" s="3"/>
      <c r="QLY149" s="3"/>
      <c r="QLZ149" s="3"/>
      <c r="QMA149" s="3"/>
      <c r="QMB149" s="3"/>
      <c r="QMC149" s="3"/>
      <c r="QMD149" s="3"/>
      <c r="QME149" s="3"/>
      <c r="QMF149" s="3"/>
      <c r="QMG149" s="3"/>
      <c r="QMH149" s="3"/>
      <c r="QMI149" s="3"/>
      <c r="QMJ149" s="3"/>
      <c r="QMK149" s="3"/>
      <c r="QML149" s="3"/>
      <c r="QMM149" s="3"/>
      <c r="QMN149" s="3"/>
      <c r="QMO149" s="3"/>
      <c r="QMP149" s="3"/>
      <c r="QMQ149" s="3"/>
      <c r="QMR149" s="3"/>
      <c r="QMS149" s="3"/>
      <c r="QMT149" s="3"/>
      <c r="QMU149" s="3"/>
      <c r="QMV149" s="3"/>
      <c r="QMW149" s="3"/>
      <c r="QMX149" s="3"/>
      <c r="QMY149" s="3"/>
      <c r="QMZ149" s="3"/>
      <c r="QNA149" s="3"/>
      <c r="QNB149" s="3"/>
      <c r="QNC149" s="3"/>
      <c r="QND149" s="3"/>
      <c r="QNE149" s="3"/>
      <c r="QNF149" s="3"/>
      <c r="QNG149" s="3"/>
      <c r="QNH149" s="3"/>
      <c r="QNI149" s="3"/>
      <c r="QNJ149" s="3"/>
      <c r="QNK149" s="3"/>
      <c r="QNL149" s="3"/>
      <c r="QNM149" s="3"/>
      <c r="QNN149" s="3"/>
      <c r="QNO149" s="3"/>
      <c r="QNP149" s="3"/>
      <c r="QNQ149" s="3"/>
      <c r="QNR149" s="3"/>
      <c r="QNS149" s="3"/>
      <c r="QNT149" s="3"/>
      <c r="QNU149" s="3"/>
      <c r="QNV149" s="3"/>
      <c r="QNW149" s="3"/>
      <c r="QNX149" s="3"/>
      <c r="QNY149" s="3"/>
      <c r="QNZ149" s="3"/>
      <c r="QOA149" s="3"/>
      <c r="QOB149" s="3"/>
      <c r="QOC149" s="3"/>
      <c r="QOD149" s="3"/>
      <c r="QOE149" s="3"/>
      <c r="QOF149" s="3"/>
      <c r="QOG149" s="3"/>
      <c r="QOH149" s="3"/>
      <c r="QOI149" s="3"/>
      <c r="QOJ149" s="3"/>
      <c r="QOK149" s="3"/>
      <c r="QOL149" s="3"/>
      <c r="QOM149" s="3"/>
      <c r="QON149" s="3"/>
      <c r="QOO149" s="3"/>
      <c r="QOP149" s="3"/>
      <c r="QOQ149" s="3"/>
      <c r="QOR149" s="3"/>
      <c r="QOS149" s="3"/>
      <c r="QOT149" s="3"/>
      <c r="QOU149" s="3"/>
      <c r="QOV149" s="3"/>
      <c r="QOW149" s="3"/>
      <c r="QOX149" s="3"/>
      <c r="QOY149" s="3"/>
      <c r="QOZ149" s="3"/>
      <c r="QPA149" s="3"/>
      <c r="QPB149" s="3"/>
      <c r="QPC149" s="3"/>
      <c r="QPD149" s="3"/>
      <c r="QPE149" s="3"/>
      <c r="QPF149" s="3"/>
      <c r="QPG149" s="3"/>
      <c r="QPH149" s="3"/>
      <c r="QPI149" s="3"/>
      <c r="QPJ149" s="3"/>
      <c r="QPK149" s="3"/>
      <c r="QPL149" s="3"/>
      <c r="QPM149" s="3"/>
      <c r="QPN149" s="3"/>
      <c r="QPO149" s="3"/>
      <c r="QPP149" s="3"/>
      <c r="QPQ149" s="3"/>
      <c r="QPR149" s="3"/>
      <c r="QPS149" s="3"/>
      <c r="QPT149" s="3"/>
      <c r="QPU149" s="3"/>
      <c r="QPV149" s="3"/>
      <c r="QPW149" s="3"/>
      <c r="QPX149" s="3"/>
      <c r="QPY149" s="3"/>
      <c r="QPZ149" s="3"/>
      <c r="QQA149" s="3"/>
      <c r="QQB149" s="3"/>
      <c r="QQC149" s="3"/>
      <c r="QQD149" s="3"/>
      <c r="QQE149" s="3"/>
      <c r="QQF149" s="3"/>
      <c r="QQG149" s="3"/>
      <c r="QQH149" s="3"/>
      <c r="QQI149" s="3"/>
      <c r="QQJ149" s="3"/>
      <c r="QQK149" s="3"/>
      <c r="QQL149" s="3"/>
      <c r="QQM149" s="3"/>
      <c r="QQN149" s="3"/>
      <c r="QQO149" s="3"/>
      <c r="QQP149" s="3"/>
      <c r="QQQ149" s="3"/>
      <c r="QQR149" s="3"/>
      <c r="QQS149" s="3"/>
      <c r="QQT149" s="3"/>
      <c r="QQU149" s="3"/>
      <c r="QQV149" s="3"/>
      <c r="QQW149" s="3"/>
      <c r="QQX149" s="3"/>
      <c r="QQY149" s="3"/>
      <c r="QQZ149" s="3"/>
      <c r="QRA149" s="3"/>
      <c r="QRB149" s="3"/>
      <c r="QRC149" s="3"/>
      <c r="QRD149" s="3"/>
      <c r="QRE149" s="3"/>
      <c r="QRF149" s="3"/>
      <c r="QRG149" s="3"/>
      <c r="QRH149" s="3"/>
      <c r="QRI149" s="3"/>
      <c r="QRJ149" s="3"/>
      <c r="QRK149" s="3"/>
      <c r="QRL149" s="3"/>
      <c r="QRM149" s="3"/>
      <c r="QRN149" s="3"/>
      <c r="QRO149" s="3"/>
      <c r="QRP149" s="3"/>
      <c r="QRQ149" s="3"/>
      <c r="QRR149" s="3"/>
      <c r="QRS149" s="3"/>
      <c r="QRT149" s="3"/>
      <c r="QRU149" s="3"/>
      <c r="QRV149" s="3"/>
      <c r="QRW149" s="3"/>
      <c r="QRX149" s="3"/>
      <c r="QRY149" s="3"/>
      <c r="QRZ149" s="3"/>
      <c r="QSA149" s="3"/>
      <c r="QSB149" s="3"/>
      <c r="QSC149" s="3"/>
      <c r="QSD149" s="3"/>
      <c r="QSE149" s="3"/>
      <c r="QSF149" s="3"/>
      <c r="QSG149" s="3"/>
      <c r="QSH149" s="3"/>
      <c r="QSI149" s="3"/>
      <c r="QSJ149" s="3"/>
      <c r="QSK149" s="3"/>
      <c r="QSL149" s="3"/>
      <c r="QSM149" s="3"/>
      <c r="QSN149" s="3"/>
      <c r="QSO149" s="3"/>
      <c r="QSP149" s="3"/>
      <c r="QSQ149" s="3"/>
      <c r="QSR149" s="3"/>
      <c r="QSS149" s="3"/>
      <c r="QST149" s="3"/>
      <c r="QSU149" s="3"/>
      <c r="QSV149" s="3"/>
      <c r="QSW149" s="3"/>
      <c r="QSX149" s="3"/>
      <c r="QSY149" s="3"/>
      <c r="QSZ149" s="3"/>
      <c r="QTA149" s="3"/>
      <c r="QTB149" s="3"/>
      <c r="QTC149" s="3"/>
      <c r="QTD149" s="3"/>
      <c r="QTE149" s="3"/>
      <c r="QTF149" s="3"/>
      <c r="QTG149" s="3"/>
      <c r="QTH149" s="3"/>
      <c r="QTI149" s="3"/>
      <c r="QTJ149" s="3"/>
      <c r="QTK149" s="3"/>
      <c r="QTL149" s="3"/>
      <c r="QTM149" s="3"/>
      <c r="QTN149" s="3"/>
      <c r="QTO149" s="3"/>
      <c r="QTP149" s="3"/>
      <c r="QTQ149" s="3"/>
      <c r="QTR149" s="3"/>
      <c r="QTS149" s="3"/>
      <c r="QTT149" s="3"/>
      <c r="QTU149" s="3"/>
      <c r="QTV149" s="3"/>
      <c r="QTW149" s="3"/>
      <c r="QTX149" s="3"/>
      <c r="QTY149" s="3"/>
      <c r="QTZ149" s="3"/>
      <c r="QUA149" s="3"/>
      <c r="QUB149" s="3"/>
      <c r="QUC149" s="3"/>
      <c r="QUD149" s="3"/>
      <c r="QUE149" s="3"/>
      <c r="QUF149" s="3"/>
      <c r="QUG149" s="3"/>
      <c r="QUH149" s="3"/>
      <c r="QUI149" s="3"/>
      <c r="QUJ149" s="3"/>
      <c r="QUK149" s="3"/>
      <c r="QUL149" s="3"/>
      <c r="QUM149" s="3"/>
      <c r="QUN149" s="3"/>
      <c r="QUO149" s="3"/>
      <c r="QUP149" s="3"/>
      <c r="QUQ149" s="3"/>
      <c r="QUR149" s="3"/>
      <c r="QUS149" s="3"/>
      <c r="QUT149" s="3"/>
      <c r="QUU149" s="3"/>
      <c r="QUV149" s="3"/>
      <c r="QUW149" s="3"/>
      <c r="QUX149" s="3"/>
      <c r="QUY149" s="3"/>
      <c r="QUZ149" s="3"/>
      <c r="QVA149" s="3"/>
      <c r="QVB149" s="3"/>
      <c r="QVC149" s="3"/>
      <c r="QVD149" s="3"/>
      <c r="QVE149" s="3"/>
      <c r="QVF149" s="3"/>
      <c r="QVG149" s="3"/>
      <c r="QVH149" s="3"/>
      <c r="QVI149" s="3"/>
      <c r="QVJ149" s="3"/>
      <c r="QVK149" s="3"/>
      <c r="QVL149" s="3"/>
      <c r="QVM149" s="3"/>
      <c r="QVN149" s="3"/>
      <c r="QVO149" s="3"/>
      <c r="QVP149" s="3"/>
      <c r="QVQ149" s="3"/>
      <c r="QVR149" s="3"/>
      <c r="QVS149" s="3"/>
      <c r="QVT149" s="3"/>
      <c r="QVU149" s="3"/>
      <c r="QVV149" s="3"/>
      <c r="QVW149" s="3"/>
      <c r="QVX149" s="3"/>
      <c r="QVY149" s="3"/>
      <c r="QVZ149" s="3"/>
      <c r="QWA149" s="3"/>
      <c r="QWB149" s="3"/>
      <c r="QWC149" s="3"/>
      <c r="QWD149" s="3"/>
      <c r="QWE149" s="3"/>
      <c r="QWF149" s="3"/>
      <c r="QWG149" s="3"/>
      <c r="QWH149" s="3"/>
      <c r="QWI149" s="3"/>
      <c r="QWJ149" s="3"/>
      <c r="QWK149" s="3"/>
      <c r="QWL149" s="3"/>
      <c r="QWM149" s="3"/>
      <c r="QWN149" s="3"/>
      <c r="QWO149" s="3"/>
      <c r="QWP149" s="3"/>
      <c r="QWQ149" s="3"/>
      <c r="QWR149" s="3"/>
      <c r="QWS149" s="3"/>
      <c r="QWT149" s="3"/>
      <c r="QWU149" s="3"/>
      <c r="QWV149" s="3"/>
      <c r="QWW149" s="3"/>
      <c r="QWX149" s="3"/>
      <c r="QWY149" s="3"/>
      <c r="QWZ149" s="3"/>
      <c r="QXA149" s="3"/>
      <c r="QXB149" s="3"/>
      <c r="QXC149" s="3"/>
      <c r="QXD149" s="3"/>
      <c r="QXE149" s="3"/>
      <c r="QXF149" s="3"/>
      <c r="QXG149" s="3"/>
      <c r="QXH149" s="3"/>
      <c r="QXI149" s="3"/>
      <c r="QXJ149" s="3"/>
      <c r="QXK149" s="3"/>
      <c r="QXL149" s="3"/>
      <c r="QXM149" s="3"/>
      <c r="QXN149" s="3"/>
      <c r="QXO149" s="3"/>
      <c r="QXP149" s="3"/>
      <c r="QXQ149" s="3"/>
      <c r="QXR149" s="3"/>
      <c r="QXS149" s="3"/>
      <c r="QXT149" s="3"/>
      <c r="QXU149" s="3"/>
      <c r="QXV149" s="3"/>
      <c r="QXW149" s="3"/>
      <c r="QXX149" s="3"/>
      <c r="QXY149" s="3"/>
      <c r="QXZ149" s="3"/>
      <c r="QYA149" s="3"/>
      <c r="QYB149" s="3"/>
      <c r="QYC149" s="3"/>
      <c r="QYD149" s="3"/>
      <c r="QYE149" s="3"/>
      <c r="QYF149" s="3"/>
      <c r="QYG149" s="3"/>
      <c r="QYH149" s="3"/>
      <c r="QYI149" s="3"/>
      <c r="QYJ149" s="3"/>
      <c r="QYK149" s="3"/>
      <c r="QYL149" s="3"/>
      <c r="QYM149" s="3"/>
      <c r="QYN149" s="3"/>
      <c r="QYO149" s="3"/>
      <c r="QYP149" s="3"/>
      <c r="QYQ149" s="3"/>
      <c r="QYR149" s="3"/>
      <c r="QYS149" s="3"/>
      <c r="QYT149" s="3"/>
      <c r="QYU149" s="3"/>
      <c r="QYV149" s="3"/>
      <c r="QYW149" s="3"/>
      <c r="QYX149" s="3"/>
      <c r="QYY149" s="3"/>
      <c r="QYZ149" s="3"/>
      <c r="QZA149" s="3"/>
      <c r="QZB149" s="3"/>
      <c r="QZC149" s="3"/>
      <c r="QZD149" s="3"/>
      <c r="QZE149" s="3"/>
      <c r="QZF149" s="3"/>
      <c r="QZG149" s="3"/>
      <c r="QZH149" s="3"/>
      <c r="QZI149" s="3"/>
      <c r="QZJ149" s="3"/>
      <c r="QZK149" s="3"/>
      <c r="QZL149" s="3"/>
      <c r="QZM149" s="3"/>
      <c r="QZN149" s="3"/>
      <c r="QZO149" s="3"/>
      <c r="QZP149" s="3"/>
      <c r="QZQ149" s="3"/>
      <c r="QZR149" s="3"/>
      <c r="QZS149" s="3"/>
      <c r="QZT149" s="3"/>
      <c r="QZU149" s="3"/>
      <c r="QZV149" s="3"/>
      <c r="QZW149" s="3"/>
      <c r="QZX149" s="3"/>
      <c r="QZY149" s="3"/>
      <c r="QZZ149" s="3"/>
      <c r="RAA149" s="3"/>
      <c r="RAB149" s="3"/>
      <c r="RAC149" s="3"/>
      <c r="RAD149" s="3"/>
      <c r="RAE149" s="3"/>
      <c r="RAF149" s="3"/>
      <c r="RAG149" s="3"/>
      <c r="RAH149" s="3"/>
      <c r="RAI149" s="3"/>
      <c r="RAJ149" s="3"/>
      <c r="RAK149" s="3"/>
      <c r="RAL149" s="3"/>
      <c r="RAM149" s="3"/>
      <c r="RAN149" s="3"/>
      <c r="RAO149" s="3"/>
      <c r="RAP149" s="3"/>
      <c r="RAQ149" s="3"/>
      <c r="RAR149" s="3"/>
      <c r="RAS149" s="3"/>
      <c r="RAT149" s="3"/>
      <c r="RAU149" s="3"/>
      <c r="RAV149" s="3"/>
      <c r="RAW149" s="3"/>
      <c r="RAX149" s="3"/>
      <c r="RAY149" s="3"/>
      <c r="RAZ149" s="3"/>
      <c r="RBA149" s="3"/>
      <c r="RBB149" s="3"/>
      <c r="RBC149" s="3"/>
      <c r="RBD149" s="3"/>
      <c r="RBE149" s="3"/>
      <c r="RBF149" s="3"/>
      <c r="RBG149" s="3"/>
      <c r="RBH149" s="3"/>
      <c r="RBI149" s="3"/>
      <c r="RBJ149" s="3"/>
      <c r="RBK149" s="3"/>
      <c r="RBL149" s="3"/>
      <c r="RBM149" s="3"/>
      <c r="RBN149" s="3"/>
      <c r="RBO149" s="3"/>
      <c r="RBP149" s="3"/>
      <c r="RBQ149" s="3"/>
      <c r="RBR149" s="3"/>
      <c r="RBS149" s="3"/>
      <c r="RBT149" s="3"/>
      <c r="RBU149" s="3"/>
      <c r="RBV149" s="3"/>
      <c r="RBW149" s="3"/>
      <c r="RBX149" s="3"/>
      <c r="RBY149" s="3"/>
      <c r="RBZ149" s="3"/>
      <c r="RCA149" s="3"/>
      <c r="RCB149" s="3"/>
      <c r="RCC149" s="3"/>
      <c r="RCD149" s="3"/>
      <c r="RCE149" s="3"/>
      <c r="RCF149" s="3"/>
      <c r="RCG149" s="3"/>
      <c r="RCH149" s="3"/>
      <c r="RCI149" s="3"/>
      <c r="RCJ149" s="3"/>
      <c r="RCK149" s="3"/>
      <c r="RCL149" s="3"/>
      <c r="RCM149" s="3"/>
      <c r="RCN149" s="3"/>
      <c r="RCO149" s="3"/>
      <c r="RCP149" s="3"/>
      <c r="RCQ149" s="3"/>
      <c r="RCR149" s="3"/>
      <c r="RCS149" s="3"/>
      <c r="RCT149" s="3"/>
      <c r="RCU149" s="3"/>
      <c r="RCV149" s="3"/>
      <c r="RCW149" s="3"/>
      <c r="RCX149" s="3"/>
      <c r="RCY149" s="3"/>
      <c r="RCZ149" s="3"/>
      <c r="RDA149" s="3"/>
      <c r="RDB149" s="3"/>
      <c r="RDC149" s="3"/>
      <c r="RDD149" s="3"/>
      <c r="RDE149" s="3"/>
      <c r="RDF149" s="3"/>
      <c r="RDG149" s="3"/>
      <c r="RDH149" s="3"/>
      <c r="RDI149" s="3"/>
      <c r="RDJ149" s="3"/>
      <c r="RDK149" s="3"/>
      <c r="RDL149" s="3"/>
      <c r="RDM149" s="3"/>
      <c r="RDN149" s="3"/>
      <c r="RDO149" s="3"/>
      <c r="RDP149" s="3"/>
      <c r="RDQ149" s="3"/>
      <c r="RDR149" s="3"/>
      <c r="RDS149" s="3"/>
      <c r="RDT149" s="3"/>
      <c r="RDU149" s="3"/>
      <c r="RDV149" s="3"/>
      <c r="RDW149" s="3"/>
      <c r="RDX149" s="3"/>
      <c r="RDY149" s="3"/>
      <c r="RDZ149" s="3"/>
      <c r="REA149" s="3"/>
      <c r="REB149" s="3"/>
      <c r="REC149" s="3"/>
      <c r="RED149" s="3"/>
      <c r="REE149" s="3"/>
      <c r="REF149" s="3"/>
      <c r="REG149" s="3"/>
      <c r="REH149" s="3"/>
      <c r="REI149" s="3"/>
      <c r="REJ149" s="3"/>
      <c r="REK149" s="3"/>
      <c r="REL149" s="3"/>
      <c r="REM149" s="3"/>
      <c r="REN149" s="3"/>
      <c r="REO149" s="3"/>
      <c r="REP149" s="3"/>
      <c r="REQ149" s="3"/>
      <c r="RER149" s="3"/>
      <c r="RES149" s="3"/>
      <c r="RET149" s="3"/>
      <c r="REU149" s="3"/>
      <c r="REV149" s="3"/>
      <c r="REW149" s="3"/>
      <c r="REX149" s="3"/>
      <c r="REY149" s="3"/>
      <c r="REZ149" s="3"/>
      <c r="RFA149" s="3"/>
      <c r="RFB149" s="3"/>
      <c r="RFC149" s="3"/>
      <c r="RFD149" s="3"/>
      <c r="RFE149" s="3"/>
      <c r="RFF149" s="3"/>
      <c r="RFG149" s="3"/>
      <c r="RFH149" s="3"/>
      <c r="RFI149" s="3"/>
      <c r="RFJ149" s="3"/>
      <c r="RFK149" s="3"/>
      <c r="RFL149" s="3"/>
      <c r="RFM149" s="3"/>
      <c r="RFN149" s="3"/>
      <c r="RFO149" s="3"/>
      <c r="RFP149" s="3"/>
      <c r="RFQ149" s="3"/>
      <c r="RFR149" s="3"/>
      <c r="RFS149" s="3"/>
      <c r="RFT149" s="3"/>
      <c r="RFU149" s="3"/>
      <c r="RFV149" s="3"/>
      <c r="RFW149" s="3"/>
      <c r="RFX149" s="3"/>
      <c r="RFY149" s="3"/>
      <c r="RFZ149" s="3"/>
      <c r="RGA149" s="3"/>
      <c r="RGB149" s="3"/>
      <c r="RGC149" s="3"/>
      <c r="RGD149" s="3"/>
      <c r="RGE149" s="3"/>
      <c r="RGF149" s="3"/>
      <c r="RGG149" s="3"/>
      <c r="RGH149" s="3"/>
      <c r="RGI149" s="3"/>
      <c r="RGJ149" s="3"/>
      <c r="RGK149" s="3"/>
      <c r="RGL149" s="3"/>
      <c r="RGM149" s="3"/>
      <c r="RGN149" s="3"/>
      <c r="RGO149" s="3"/>
      <c r="RGP149" s="3"/>
      <c r="RGQ149" s="3"/>
      <c r="RGR149" s="3"/>
      <c r="RGS149" s="3"/>
      <c r="RGT149" s="3"/>
      <c r="RGU149" s="3"/>
      <c r="RGV149" s="3"/>
      <c r="RGW149" s="3"/>
      <c r="RGX149" s="3"/>
      <c r="RGY149" s="3"/>
      <c r="RGZ149" s="3"/>
      <c r="RHA149" s="3"/>
      <c r="RHB149" s="3"/>
      <c r="RHC149" s="3"/>
      <c r="RHD149" s="3"/>
      <c r="RHE149" s="3"/>
      <c r="RHF149" s="3"/>
      <c r="RHG149" s="3"/>
      <c r="RHH149" s="3"/>
      <c r="RHI149" s="3"/>
      <c r="RHJ149" s="3"/>
      <c r="RHK149" s="3"/>
      <c r="RHL149" s="3"/>
      <c r="RHM149" s="3"/>
      <c r="RHN149" s="3"/>
      <c r="RHO149" s="3"/>
      <c r="RHP149" s="3"/>
      <c r="RHQ149" s="3"/>
      <c r="RHR149" s="3"/>
      <c r="RHS149" s="3"/>
      <c r="RHT149" s="3"/>
      <c r="RHU149" s="3"/>
      <c r="RHV149" s="3"/>
      <c r="RHW149" s="3"/>
      <c r="RHX149" s="3"/>
      <c r="RHY149" s="3"/>
      <c r="RHZ149" s="3"/>
      <c r="RIA149" s="3"/>
      <c r="RIB149" s="3"/>
      <c r="RIC149" s="3"/>
      <c r="RID149" s="3"/>
      <c r="RIE149" s="3"/>
      <c r="RIF149" s="3"/>
      <c r="RIG149" s="3"/>
      <c r="RIH149" s="3"/>
      <c r="RII149" s="3"/>
      <c r="RIJ149" s="3"/>
      <c r="RIK149" s="3"/>
      <c r="RIL149" s="3"/>
      <c r="RIM149" s="3"/>
      <c r="RIN149" s="3"/>
      <c r="RIO149" s="3"/>
      <c r="RIP149" s="3"/>
      <c r="RIQ149" s="3"/>
      <c r="RIR149" s="3"/>
      <c r="RIS149" s="3"/>
      <c r="RIT149" s="3"/>
      <c r="RIU149" s="3"/>
      <c r="RIV149" s="3"/>
      <c r="RIW149" s="3"/>
      <c r="RIX149" s="3"/>
      <c r="RIY149" s="3"/>
      <c r="RIZ149" s="3"/>
      <c r="RJA149" s="3"/>
      <c r="RJB149" s="3"/>
      <c r="RJC149" s="3"/>
      <c r="RJD149" s="3"/>
      <c r="RJE149" s="3"/>
      <c r="RJF149" s="3"/>
      <c r="RJG149" s="3"/>
      <c r="RJH149" s="3"/>
      <c r="RJI149" s="3"/>
      <c r="RJJ149" s="3"/>
      <c r="RJK149" s="3"/>
      <c r="RJL149" s="3"/>
      <c r="RJM149" s="3"/>
      <c r="RJN149" s="3"/>
      <c r="RJO149" s="3"/>
      <c r="RJP149" s="3"/>
      <c r="RJQ149" s="3"/>
      <c r="RJR149" s="3"/>
      <c r="RJS149" s="3"/>
      <c r="RJT149" s="3"/>
      <c r="RJU149" s="3"/>
      <c r="RJV149" s="3"/>
      <c r="RJW149" s="3"/>
      <c r="RJX149" s="3"/>
      <c r="RJY149" s="3"/>
      <c r="RJZ149" s="3"/>
      <c r="RKA149" s="3"/>
      <c r="RKB149" s="3"/>
      <c r="RKC149" s="3"/>
      <c r="RKD149" s="3"/>
      <c r="RKE149" s="3"/>
      <c r="RKF149" s="3"/>
      <c r="RKG149" s="3"/>
      <c r="RKH149" s="3"/>
      <c r="RKI149" s="3"/>
      <c r="RKJ149" s="3"/>
      <c r="RKK149" s="3"/>
      <c r="RKL149" s="3"/>
      <c r="RKM149" s="3"/>
      <c r="RKN149" s="3"/>
      <c r="RKO149" s="3"/>
      <c r="RKP149" s="3"/>
      <c r="RKQ149" s="3"/>
      <c r="RKR149" s="3"/>
      <c r="RKS149" s="3"/>
      <c r="RKT149" s="3"/>
      <c r="RKU149" s="3"/>
      <c r="RKV149" s="3"/>
      <c r="RKW149" s="3"/>
      <c r="RKX149" s="3"/>
      <c r="RKY149" s="3"/>
      <c r="RKZ149" s="3"/>
      <c r="RLA149" s="3"/>
      <c r="RLB149" s="3"/>
      <c r="RLC149" s="3"/>
      <c r="RLD149" s="3"/>
      <c r="RLE149" s="3"/>
      <c r="RLF149" s="3"/>
      <c r="RLG149" s="3"/>
      <c r="RLH149" s="3"/>
      <c r="RLI149" s="3"/>
      <c r="RLJ149" s="3"/>
      <c r="RLK149" s="3"/>
      <c r="RLL149" s="3"/>
      <c r="RLM149" s="3"/>
      <c r="RLN149" s="3"/>
      <c r="RLO149" s="3"/>
      <c r="RLP149" s="3"/>
      <c r="RLQ149" s="3"/>
      <c r="RLR149" s="3"/>
      <c r="RLS149" s="3"/>
      <c r="RLT149" s="3"/>
      <c r="RLU149" s="3"/>
      <c r="RLV149" s="3"/>
      <c r="RLW149" s="3"/>
      <c r="RLX149" s="3"/>
      <c r="RLY149" s="3"/>
      <c r="RLZ149" s="3"/>
      <c r="RMA149" s="3"/>
      <c r="RMB149" s="3"/>
      <c r="RMC149" s="3"/>
      <c r="RMD149" s="3"/>
      <c r="RME149" s="3"/>
      <c r="RMF149" s="3"/>
      <c r="RMG149" s="3"/>
      <c r="RMH149" s="3"/>
      <c r="RMI149" s="3"/>
      <c r="RMJ149" s="3"/>
      <c r="RMK149" s="3"/>
      <c r="RML149" s="3"/>
      <c r="RMM149" s="3"/>
      <c r="RMN149" s="3"/>
      <c r="RMO149" s="3"/>
      <c r="RMP149" s="3"/>
      <c r="RMQ149" s="3"/>
      <c r="RMR149" s="3"/>
      <c r="RMS149" s="3"/>
      <c r="RMT149" s="3"/>
      <c r="RMU149" s="3"/>
      <c r="RMV149" s="3"/>
      <c r="RMW149" s="3"/>
      <c r="RMX149" s="3"/>
      <c r="RMY149" s="3"/>
      <c r="RMZ149" s="3"/>
      <c r="RNA149" s="3"/>
      <c r="RNB149" s="3"/>
      <c r="RNC149" s="3"/>
      <c r="RND149" s="3"/>
      <c r="RNE149" s="3"/>
      <c r="RNF149" s="3"/>
      <c r="RNG149" s="3"/>
      <c r="RNH149" s="3"/>
      <c r="RNI149" s="3"/>
      <c r="RNJ149" s="3"/>
      <c r="RNK149" s="3"/>
      <c r="RNL149" s="3"/>
      <c r="RNM149" s="3"/>
      <c r="RNN149" s="3"/>
      <c r="RNO149" s="3"/>
      <c r="RNP149" s="3"/>
      <c r="RNQ149" s="3"/>
      <c r="RNR149" s="3"/>
      <c r="RNS149" s="3"/>
      <c r="RNT149" s="3"/>
      <c r="RNU149" s="3"/>
      <c r="RNV149" s="3"/>
      <c r="RNW149" s="3"/>
      <c r="RNX149" s="3"/>
      <c r="RNY149" s="3"/>
      <c r="RNZ149" s="3"/>
      <c r="ROA149" s="3"/>
      <c r="ROB149" s="3"/>
      <c r="ROC149" s="3"/>
      <c r="ROD149" s="3"/>
      <c r="ROE149" s="3"/>
      <c r="ROF149" s="3"/>
      <c r="ROG149" s="3"/>
      <c r="ROH149" s="3"/>
      <c r="ROI149" s="3"/>
      <c r="ROJ149" s="3"/>
      <c r="ROK149" s="3"/>
      <c r="ROL149" s="3"/>
      <c r="ROM149" s="3"/>
      <c r="RON149" s="3"/>
      <c r="ROO149" s="3"/>
      <c r="ROP149" s="3"/>
      <c r="ROQ149" s="3"/>
      <c r="ROR149" s="3"/>
      <c r="ROS149" s="3"/>
      <c r="ROT149" s="3"/>
      <c r="ROU149" s="3"/>
      <c r="ROV149" s="3"/>
      <c r="ROW149" s="3"/>
      <c r="ROX149" s="3"/>
      <c r="ROY149" s="3"/>
      <c r="ROZ149" s="3"/>
      <c r="RPA149" s="3"/>
      <c r="RPB149" s="3"/>
      <c r="RPC149" s="3"/>
      <c r="RPD149" s="3"/>
      <c r="RPE149" s="3"/>
      <c r="RPF149" s="3"/>
      <c r="RPG149" s="3"/>
      <c r="RPH149" s="3"/>
      <c r="RPI149" s="3"/>
      <c r="RPJ149" s="3"/>
      <c r="RPK149" s="3"/>
      <c r="RPL149" s="3"/>
      <c r="RPM149" s="3"/>
      <c r="RPN149" s="3"/>
      <c r="RPO149" s="3"/>
      <c r="RPP149" s="3"/>
      <c r="RPQ149" s="3"/>
      <c r="RPR149" s="3"/>
      <c r="RPS149" s="3"/>
      <c r="RPT149" s="3"/>
      <c r="RPU149" s="3"/>
      <c r="RPV149" s="3"/>
      <c r="RPW149" s="3"/>
      <c r="RPX149" s="3"/>
      <c r="RPY149" s="3"/>
      <c r="RPZ149" s="3"/>
      <c r="RQA149" s="3"/>
      <c r="RQB149" s="3"/>
      <c r="RQC149" s="3"/>
      <c r="RQD149" s="3"/>
      <c r="RQE149" s="3"/>
      <c r="RQF149" s="3"/>
      <c r="RQG149" s="3"/>
      <c r="RQH149" s="3"/>
      <c r="RQI149" s="3"/>
      <c r="RQJ149" s="3"/>
      <c r="RQK149" s="3"/>
      <c r="RQL149" s="3"/>
      <c r="RQM149" s="3"/>
      <c r="RQN149" s="3"/>
      <c r="RQO149" s="3"/>
      <c r="RQP149" s="3"/>
      <c r="RQQ149" s="3"/>
      <c r="RQR149" s="3"/>
      <c r="RQS149" s="3"/>
      <c r="RQT149" s="3"/>
      <c r="RQU149" s="3"/>
      <c r="RQV149" s="3"/>
      <c r="RQW149" s="3"/>
      <c r="RQX149" s="3"/>
      <c r="RQY149" s="3"/>
      <c r="RQZ149" s="3"/>
      <c r="RRA149" s="3"/>
      <c r="RRB149" s="3"/>
      <c r="RRC149" s="3"/>
      <c r="RRD149" s="3"/>
      <c r="RRE149" s="3"/>
      <c r="RRF149" s="3"/>
      <c r="RRG149" s="3"/>
      <c r="RRH149" s="3"/>
      <c r="RRI149" s="3"/>
      <c r="RRJ149" s="3"/>
      <c r="RRK149" s="3"/>
      <c r="RRL149" s="3"/>
      <c r="RRM149" s="3"/>
      <c r="RRN149" s="3"/>
      <c r="RRO149" s="3"/>
      <c r="RRP149" s="3"/>
      <c r="RRQ149" s="3"/>
      <c r="RRR149" s="3"/>
      <c r="RRS149" s="3"/>
      <c r="RRT149" s="3"/>
      <c r="RRU149" s="3"/>
      <c r="RRV149" s="3"/>
      <c r="RRW149" s="3"/>
      <c r="RRX149" s="3"/>
      <c r="RRY149" s="3"/>
      <c r="RRZ149" s="3"/>
      <c r="RSA149" s="3"/>
      <c r="RSB149" s="3"/>
      <c r="RSC149" s="3"/>
      <c r="RSD149" s="3"/>
      <c r="RSE149" s="3"/>
      <c r="RSF149" s="3"/>
      <c r="RSG149" s="3"/>
      <c r="RSH149" s="3"/>
      <c r="RSI149" s="3"/>
      <c r="RSJ149" s="3"/>
      <c r="RSK149" s="3"/>
      <c r="RSL149" s="3"/>
      <c r="RSM149" s="3"/>
      <c r="RSN149" s="3"/>
      <c r="RSO149" s="3"/>
      <c r="RSP149" s="3"/>
      <c r="RSQ149" s="3"/>
      <c r="RSR149" s="3"/>
      <c r="RSS149" s="3"/>
      <c r="RST149" s="3"/>
      <c r="RSU149" s="3"/>
      <c r="RSV149" s="3"/>
      <c r="RSW149" s="3"/>
      <c r="RSX149" s="3"/>
      <c r="RSY149" s="3"/>
      <c r="RSZ149" s="3"/>
      <c r="RTA149" s="3"/>
      <c r="RTB149" s="3"/>
      <c r="RTC149" s="3"/>
      <c r="RTD149" s="3"/>
      <c r="RTE149" s="3"/>
      <c r="RTF149" s="3"/>
      <c r="RTG149" s="3"/>
      <c r="RTH149" s="3"/>
      <c r="RTI149" s="3"/>
      <c r="RTJ149" s="3"/>
      <c r="RTK149" s="3"/>
      <c r="RTL149" s="3"/>
      <c r="RTM149" s="3"/>
      <c r="RTN149" s="3"/>
      <c r="RTO149" s="3"/>
      <c r="RTP149" s="3"/>
      <c r="RTQ149" s="3"/>
      <c r="RTR149" s="3"/>
      <c r="RTS149" s="3"/>
      <c r="RTT149" s="3"/>
      <c r="RTU149" s="3"/>
      <c r="RTV149" s="3"/>
      <c r="RTW149" s="3"/>
      <c r="RTX149" s="3"/>
      <c r="RTY149" s="3"/>
      <c r="RTZ149" s="3"/>
      <c r="RUA149" s="3"/>
      <c r="RUB149" s="3"/>
      <c r="RUC149" s="3"/>
      <c r="RUD149" s="3"/>
      <c r="RUE149" s="3"/>
      <c r="RUF149" s="3"/>
      <c r="RUG149" s="3"/>
      <c r="RUH149" s="3"/>
      <c r="RUI149" s="3"/>
      <c r="RUJ149" s="3"/>
      <c r="RUK149" s="3"/>
      <c r="RUL149" s="3"/>
      <c r="RUM149" s="3"/>
      <c r="RUN149" s="3"/>
      <c r="RUO149" s="3"/>
      <c r="RUP149" s="3"/>
      <c r="RUQ149" s="3"/>
      <c r="RUR149" s="3"/>
      <c r="RUS149" s="3"/>
      <c r="RUT149" s="3"/>
      <c r="RUU149" s="3"/>
      <c r="RUV149" s="3"/>
      <c r="RUW149" s="3"/>
      <c r="RUX149" s="3"/>
      <c r="RUY149" s="3"/>
      <c r="RUZ149" s="3"/>
      <c r="RVA149" s="3"/>
      <c r="RVB149" s="3"/>
      <c r="RVC149" s="3"/>
      <c r="RVD149" s="3"/>
      <c r="RVE149" s="3"/>
      <c r="RVF149" s="3"/>
      <c r="RVG149" s="3"/>
      <c r="RVH149" s="3"/>
      <c r="RVI149" s="3"/>
      <c r="RVJ149" s="3"/>
      <c r="RVK149" s="3"/>
      <c r="RVL149" s="3"/>
      <c r="RVM149" s="3"/>
      <c r="RVN149" s="3"/>
      <c r="RVO149" s="3"/>
      <c r="RVP149" s="3"/>
      <c r="RVQ149" s="3"/>
      <c r="RVR149" s="3"/>
      <c r="RVS149" s="3"/>
      <c r="RVT149" s="3"/>
      <c r="RVU149" s="3"/>
      <c r="RVV149" s="3"/>
      <c r="RVW149" s="3"/>
      <c r="RVX149" s="3"/>
      <c r="RVY149" s="3"/>
      <c r="RVZ149" s="3"/>
      <c r="RWA149" s="3"/>
      <c r="RWB149" s="3"/>
      <c r="RWC149" s="3"/>
      <c r="RWD149" s="3"/>
      <c r="RWE149" s="3"/>
      <c r="RWF149" s="3"/>
      <c r="RWG149" s="3"/>
      <c r="RWH149" s="3"/>
      <c r="RWI149" s="3"/>
      <c r="RWJ149" s="3"/>
      <c r="RWK149" s="3"/>
      <c r="RWL149" s="3"/>
      <c r="RWM149" s="3"/>
      <c r="RWN149" s="3"/>
      <c r="RWO149" s="3"/>
      <c r="RWP149" s="3"/>
      <c r="RWQ149" s="3"/>
      <c r="RWR149" s="3"/>
      <c r="RWS149" s="3"/>
      <c r="RWT149" s="3"/>
      <c r="RWU149" s="3"/>
      <c r="RWV149" s="3"/>
      <c r="RWW149" s="3"/>
      <c r="RWX149" s="3"/>
      <c r="RWY149" s="3"/>
      <c r="RWZ149" s="3"/>
      <c r="RXA149" s="3"/>
      <c r="RXB149" s="3"/>
      <c r="RXC149" s="3"/>
      <c r="RXD149" s="3"/>
      <c r="RXE149" s="3"/>
      <c r="RXF149" s="3"/>
      <c r="RXG149" s="3"/>
      <c r="RXH149" s="3"/>
      <c r="RXI149" s="3"/>
      <c r="RXJ149" s="3"/>
      <c r="RXK149" s="3"/>
      <c r="RXL149" s="3"/>
      <c r="RXM149" s="3"/>
      <c r="RXN149" s="3"/>
      <c r="RXO149" s="3"/>
      <c r="RXP149" s="3"/>
      <c r="RXQ149" s="3"/>
      <c r="RXR149" s="3"/>
      <c r="RXS149" s="3"/>
      <c r="RXT149" s="3"/>
      <c r="RXU149" s="3"/>
      <c r="RXV149" s="3"/>
      <c r="RXW149" s="3"/>
      <c r="RXX149" s="3"/>
      <c r="RXY149" s="3"/>
      <c r="RXZ149" s="3"/>
      <c r="RYA149" s="3"/>
      <c r="RYB149" s="3"/>
      <c r="RYC149" s="3"/>
      <c r="RYD149" s="3"/>
      <c r="RYE149" s="3"/>
      <c r="RYF149" s="3"/>
      <c r="RYG149" s="3"/>
      <c r="RYH149" s="3"/>
      <c r="RYI149" s="3"/>
      <c r="RYJ149" s="3"/>
      <c r="RYK149" s="3"/>
      <c r="RYL149" s="3"/>
      <c r="RYM149" s="3"/>
      <c r="RYN149" s="3"/>
      <c r="RYO149" s="3"/>
      <c r="RYP149" s="3"/>
      <c r="RYQ149" s="3"/>
      <c r="RYR149" s="3"/>
      <c r="RYS149" s="3"/>
      <c r="RYT149" s="3"/>
      <c r="RYU149" s="3"/>
      <c r="RYV149" s="3"/>
      <c r="RYW149" s="3"/>
      <c r="RYX149" s="3"/>
      <c r="RYY149" s="3"/>
      <c r="RYZ149" s="3"/>
      <c r="RZA149" s="3"/>
      <c r="RZB149" s="3"/>
      <c r="RZC149" s="3"/>
      <c r="RZD149" s="3"/>
      <c r="RZE149" s="3"/>
      <c r="RZF149" s="3"/>
      <c r="RZG149" s="3"/>
      <c r="RZH149" s="3"/>
      <c r="RZI149" s="3"/>
      <c r="RZJ149" s="3"/>
      <c r="RZK149" s="3"/>
      <c r="RZL149" s="3"/>
      <c r="RZM149" s="3"/>
      <c r="RZN149" s="3"/>
      <c r="RZO149" s="3"/>
      <c r="RZP149" s="3"/>
      <c r="RZQ149" s="3"/>
      <c r="RZR149" s="3"/>
      <c r="RZS149" s="3"/>
      <c r="RZT149" s="3"/>
      <c r="RZU149" s="3"/>
      <c r="RZV149" s="3"/>
      <c r="RZW149" s="3"/>
      <c r="RZX149" s="3"/>
      <c r="RZY149" s="3"/>
      <c r="RZZ149" s="3"/>
      <c r="SAA149" s="3"/>
      <c r="SAB149" s="3"/>
      <c r="SAC149" s="3"/>
      <c r="SAD149" s="3"/>
      <c r="SAE149" s="3"/>
      <c r="SAF149" s="3"/>
      <c r="SAG149" s="3"/>
      <c r="SAH149" s="3"/>
      <c r="SAI149" s="3"/>
      <c r="SAJ149" s="3"/>
      <c r="SAK149" s="3"/>
      <c r="SAL149" s="3"/>
      <c r="SAM149" s="3"/>
      <c r="SAN149" s="3"/>
      <c r="SAO149" s="3"/>
      <c r="SAP149" s="3"/>
      <c r="SAQ149" s="3"/>
      <c r="SAR149" s="3"/>
      <c r="SAS149" s="3"/>
      <c r="SAT149" s="3"/>
      <c r="SAU149" s="3"/>
      <c r="SAV149" s="3"/>
      <c r="SAW149" s="3"/>
      <c r="SAX149" s="3"/>
      <c r="SAY149" s="3"/>
      <c r="SAZ149" s="3"/>
      <c r="SBA149" s="3"/>
      <c r="SBB149" s="3"/>
      <c r="SBC149" s="3"/>
      <c r="SBD149" s="3"/>
      <c r="SBE149" s="3"/>
      <c r="SBF149" s="3"/>
      <c r="SBG149" s="3"/>
      <c r="SBH149" s="3"/>
      <c r="SBI149" s="3"/>
      <c r="SBJ149" s="3"/>
      <c r="SBK149" s="3"/>
      <c r="SBL149" s="3"/>
      <c r="SBM149" s="3"/>
      <c r="SBN149" s="3"/>
      <c r="SBO149" s="3"/>
      <c r="SBP149" s="3"/>
      <c r="SBQ149" s="3"/>
      <c r="SBR149" s="3"/>
      <c r="SBS149" s="3"/>
      <c r="SBT149" s="3"/>
      <c r="SBU149" s="3"/>
      <c r="SBV149" s="3"/>
      <c r="SBW149" s="3"/>
      <c r="SBX149" s="3"/>
      <c r="SBY149" s="3"/>
      <c r="SBZ149" s="3"/>
      <c r="SCA149" s="3"/>
      <c r="SCB149" s="3"/>
      <c r="SCC149" s="3"/>
      <c r="SCD149" s="3"/>
      <c r="SCE149" s="3"/>
      <c r="SCF149" s="3"/>
      <c r="SCG149" s="3"/>
      <c r="SCH149" s="3"/>
      <c r="SCI149" s="3"/>
      <c r="SCJ149" s="3"/>
      <c r="SCK149" s="3"/>
      <c r="SCL149" s="3"/>
      <c r="SCM149" s="3"/>
      <c r="SCN149" s="3"/>
      <c r="SCO149" s="3"/>
      <c r="SCP149" s="3"/>
      <c r="SCQ149" s="3"/>
      <c r="SCR149" s="3"/>
      <c r="SCS149" s="3"/>
      <c r="SCT149" s="3"/>
      <c r="SCU149" s="3"/>
      <c r="SCV149" s="3"/>
      <c r="SCW149" s="3"/>
      <c r="SCX149" s="3"/>
      <c r="SCY149" s="3"/>
      <c r="SCZ149" s="3"/>
      <c r="SDA149" s="3"/>
      <c r="SDB149" s="3"/>
      <c r="SDC149" s="3"/>
      <c r="SDD149" s="3"/>
      <c r="SDE149" s="3"/>
      <c r="SDF149" s="3"/>
      <c r="SDG149" s="3"/>
      <c r="SDH149" s="3"/>
      <c r="SDI149" s="3"/>
      <c r="SDJ149" s="3"/>
      <c r="SDK149" s="3"/>
      <c r="SDL149" s="3"/>
      <c r="SDM149" s="3"/>
      <c r="SDN149" s="3"/>
      <c r="SDO149" s="3"/>
      <c r="SDP149" s="3"/>
      <c r="SDQ149" s="3"/>
      <c r="SDR149" s="3"/>
      <c r="SDS149" s="3"/>
      <c r="SDT149" s="3"/>
      <c r="SDU149" s="3"/>
      <c r="SDV149" s="3"/>
      <c r="SDW149" s="3"/>
      <c r="SDX149" s="3"/>
      <c r="SDY149" s="3"/>
      <c r="SDZ149" s="3"/>
      <c r="SEA149" s="3"/>
      <c r="SEB149" s="3"/>
      <c r="SEC149" s="3"/>
      <c r="SED149" s="3"/>
      <c r="SEE149" s="3"/>
      <c r="SEF149" s="3"/>
      <c r="SEG149" s="3"/>
      <c r="SEH149" s="3"/>
      <c r="SEI149" s="3"/>
      <c r="SEJ149" s="3"/>
      <c r="SEK149" s="3"/>
      <c r="SEL149" s="3"/>
      <c r="SEM149" s="3"/>
      <c r="SEN149" s="3"/>
      <c r="SEO149" s="3"/>
      <c r="SEP149" s="3"/>
      <c r="SEQ149" s="3"/>
      <c r="SER149" s="3"/>
      <c r="SES149" s="3"/>
      <c r="SET149" s="3"/>
      <c r="SEU149" s="3"/>
      <c r="SEV149" s="3"/>
      <c r="SEW149" s="3"/>
      <c r="SEX149" s="3"/>
      <c r="SEY149" s="3"/>
      <c r="SEZ149" s="3"/>
      <c r="SFA149" s="3"/>
      <c r="SFB149" s="3"/>
      <c r="SFC149" s="3"/>
      <c r="SFD149" s="3"/>
      <c r="SFE149" s="3"/>
      <c r="SFF149" s="3"/>
      <c r="SFG149" s="3"/>
      <c r="SFH149" s="3"/>
      <c r="SFI149" s="3"/>
      <c r="SFJ149" s="3"/>
      <c r="SFK149" s="3"/>
      <c r="SFL149" s="3"/>
      <c r="SFM149" s="3"/>
      <c r="SFN149" s="3"/>
      <c r="SFO149" s="3"/>
      <c r="SFP149" s="3"/>
      <c r="SFQ149" s="3"/>
      <c r="SFR149" s="3"/>
      <c r="SFS149" s="3"/>
      <c r="SFT149" s="3"/>
      <c r="SFU149" s="3"/>
      <c r="SFV149" s="3"/>
      <c r="SFW149" s="3"/>
      <c r="SFX149" s="3"/>
      <c r="SFY149" s="3"/>
      <c r="SFZ149" s="3"/>
      <c r="SGA149" s="3"/>
      <c r="SGB149" s="3"/>
      <c r="SGC149" s="3"/>
      <c r="SGD149" s="3"/>
      <c r="SGE149" s="3"/>
      <c r="SGF149" s="3"/>
      <c r="SGG149" s="3"/>
      <c r="SGH149" s="3"/>
      <c r="SGI149" s="3"/>
      <c r="SGJ149" s="3"/>
      <c r="SGK149" s="3"/>
      <c r="SGL149" s="3"/>
      <c r="SGM149" s="3"/>
      <c r="SGN149" s="3"/>
      <c r="SGO149" s="3"/>
      <c r="SGP149" s="3"/>
      <c r="SGQ149" s="3"/>
      <c r="SGR149" s="3"/>
      <c r="SGS149" s="3"/>
      <c r="SGT149" s="3"/>
      <c r="SGU149" s="3"/>
      <c r="SGV149" s="3"/>
      <c r="SGW149" s="3"/>
      <c r="SGX149" s="3"/>
      <c r="SGY149" s="3"/>
      <c r="SGZ149" s="3"/>
      <c r="SHA149" s="3"/>
      <c r="SHB149" s="3"/>
      <c r="SHC149" s="3"/>
      <c r="SHD149" s="3"/>
      <c r="SHE149" s="3"/>
      <c r="SHF149" s="3"/>
      <c r="SHG149" s="3"/>
      <c r="SHH149" s="3"/>
      <c r="SHI149" s="3"/>
      <c r="SHJ149" s="3"/>
      <c r="SHK149" s="3"/>
      <c r="SHL149" s="3"/>
      <c r="SHM149" s="3"/>
      <c r="SHN149" s="3"/>
      <c r="SHO149" s="3"/>
      <c r="SHP149" s="3"/>
      <c r="SHQ149" s="3"/>
      <c r="SHR149" s="3"/>
      <c r="SHS149" s="3"/>
      <c r="SHT149" s="3"/>
      <c r="SHU149" s="3"/>
      <c r="SHV149" s="3"/>
      <c r="SHW149" s="3"/>
      <c r="SHX149" s="3"/>
      <c r="SHY149" s="3"/>
      <c r="SHZ149" s="3"/>
      <c r="SIA149" s="3"/>
      <c r="SIB149" s="3"/>
      <c r="SIC149" s="3"/>
      <c r="SID149" s="3"/>
      <c r="SIE149" s="3"/>
      <c r="SIF149" s="3"/>
      <c r="SIG149" s="3"/>
      <c r="SIH149" s="3"/>
      <c r="SII149" s="3"/>
      <c r="SIJ149" s="3"/>
      <c r="SIK149" s="3"/>
      <c r="SIL149" s="3"/>
      <c r="SIM149" s="3"/>
      <c r="SIN149" s="3"/>
      <c r="SIO149" s="3"/>
      <c r="SIP149" s="3"/>
      <c r="SIQ149" s="3"/>
      <c r="SIR149" s="3"/>
      <c r="SIS149" s="3"/>
      <c r="SIT149" s="3"/>
      <c r="SIU149" s="3"/>
      <c r="SIV149" s="3"/>
      <c r="SIW149" s="3"/>
      <c r="SIX149" s="3"/>
      <c r="SIY149" s="3"/>
      <c r="SIZ149" s="3"/>
      <c r="SJA149" s="3"/>
      <c r="SJB149" s="3"/>
      <c r="SJC149" s="3"/>
      <c r="SJD149" s="3"/>
      <c r="SJE149" s="3"/>
      <c r="SJF149" s="3"/>
      <c r="SJG149" s="3"/>
      <c r="SJH149" s="3"/>
      <c r="SJI149" s="3"/>
      <c r="SJJ149" s="3"/>
      <c r="SJK149" s="3"/>
      <c r="SJL149" s="3"/>
      <c r="SJM149" s="3"/>
      <c r="SJN149" s="3"/>
      <c r="SJO149" s="3"/>
      <c r="SJP149" s="3"/>
      <c r="SJQ149" s="3"/>
      <c r="SJR149" s="3"/>
      <c r="SJS149" s="3"/>
      <c r="SJT149" s="3"/>
      <c r="SJU149" s="3"/>
      <c r="SJV149" s="3"/>
      <c r="SJW149" s="3"/>
      <c r="SJX149" s="3"/>
      <c r="SJY149" s="3"/>
      <c r="SJZ149" s="3"/>
      <c r="SKA149" s="3"/>
      <c r="SKB149" s="3"/>
      <c r="SKC149" s="3"/>
      <c r="SKD149" s="3"/>
      <c r="SKE149" s="3"/>
      <c r="SKF149" s="3"/>
      <c r="SKG149" s="3"/>
      <c r="SKH149" s="3"/>
      <c r="SKI149" s="3"/>
      <c r="SKJ149" s="3"/>
      <c r="SKK149" s="3"/>
      <c r="SKL149" s="3"/>
      <c r="SKM149" s="3"/>
      <c r="SKN149" s="3"/>
      <c r="SKO149" s="3"/>
      <c r="SKP149" s="3"/>
      <c r="SKQ149" s="3"/>
      <c r="SKR149" s="3"/>
      <c r="SKS149" s="3"/>
      <c r="SKT149" s="3"/>
      <c r="SKU149" s="3"/>
      <c r="SKV149" s="3"/>
      <c r="SKW149" s="3"/>
      <c r="SKX149" s="3"/>
      <c r="SKY149" s="3"/>
      <c r="SKZ149" s="3"/>
      <c r="SLA149" s="3"/>
      <c r="SLB149" s="3"/>
      <c r="SLC149" s="3"/>
      <c r="SLD149" s="3"/>
      <c r="SLE149" s="3"/>
      <c r="SLF149" s="3"/>
      <c r="SLG149" s="3"/>
      <c r="SLH149" s="3"/>
      <c r="SLI149" s="3"/>
      <c r="SLJ149" s="3"/>
      <c r="SLK149" s="3"/>
      <c r="SLL149" s="3"/>
      <c r="SLM149" s="3"/>
      <c r="SLN149" s="3"/>
      <c r="SLO149" s="3"/>
      <c r="SLP149" s="3"/>
      <c r="SLQ149" s="3"/>
      <c r="SLR149" s="3"/>
      <c r="SLS149" s="3"/>
      <c r="SLT149" s="3"/>
      <c r="SLU149" s="3"/>
      <c r="SLV149" s="3"/>
      <c r="SLW149" s="3"/>
      <c r="SLX149" s="3"/>
      <c r="SLY149" s="3"/>
      <c r="SLZ149" s="3"/>
      <c r="SMA149" s="3"/>
      <c r="SMB149" s="3"/>
      <c r="SMC149" s="3"/>
      <c r="SMD149" s="3"/>
      <c r="SME149" s="3"/>
      <c r="SMF149" s="3"/>
      <c r="SMG149" s="3"/>
      <c r="SMH149" s="3"/>
      <c r="SMI149" s="3"/>
      <c r="SMJ149" s="3"/>
      <c r="SMK149" s="3"/>
      <c r="SML149" s="3"/>
      <c r="SMM149" s="3"/>
      <c r="SMN149" s="3"/>
      <c r="SMO149" s="3"/>
      <c r="SMP149" s="3"/>
      <c r="SMQ149" s="3"/>
      <c r="SMR149" s="3"/>
      <c r="SMS149" s="3"/>
      <c r="SMT149" s="3"/>
      <c r="SMU149" s="3"/>
      <c r="SMV149" s="3"/>
      <c r="SMW149" s="3"/>
      <c r="SMX149" s="3"/>
      <c r="SMY149" s="3"/>
      <c r="SMZ149" s="3"/>
      <c r="SNA149" s="3"/>
      <c r="SNB149" s="3"/>
      <c r="SNC149" s="3"/>
      <c r="SND149" s="3"/>
      <c r="SNE149" s="3"/>
      <c r="SNF149" s="3"/>
      <c r="SNG149" s="3"/>
      <c r="SNH149" s="3"/>
      <c r="SNI149" s="3"/>
      <c r="SNJ149" s="3"/>
      <c r="SNK149" s="3"/>
      <c r="SNL149" s="3"/>
      <c r="SNM149" s="3"/>
      <c r="SNN149" s="3"/>
      <c r="SNO149" s="3"/>
      <c r="SNP149" s="3"/>
      <c r="SNQ149" s="3"/>
      <c r="SNR149" s="3"/>
      <c r="SNS149" s="3"/>
      <c r="SNT149" s="3"/>
      <c r="SNU149" s="3"/>
      <c r="SNV149" s="3"/>
      <c r="SNW149" s="3"/>
      <c r="SNX149" s="3"/>
      <c r="SNY149" s="3"/>
      <c r="SNZ149" s="3"/>
      <c r="SOA149" s="3"/>
      <c r="SOB149" s="3"/>
      <c r="SOC149" s="3"/>
      <c r="SOD149" s="3"/>
      <c r="SOE149" s="3"/>
      <c r="SOF149" s="3"/>
      <c r="SOG149" s="3"/>
      <c r="SOH149" s="3"/>
      <c r="SOI149" s="3"/>
      <c r="SOJ149" s="3"/>
      <c r="SOK149" s="3"/>
      <c r="SOL149" s="3"/>
      <c r="SOM149" s="3"/>
      <c r="SON149" s="3"/>
      <c r="SOO149" s="3"/>
      <c r="SOP149" s="3"/>
      <c r="SOQ149" s="3"/>
      <c r="SOR149" s="3"/>
      <c r="SOS149" s="3"/>
      <c r="SOT149" s="3"/>
      <c r="SOU149" s="3"/>
      <c r="SOV149" s="3"/>
      <c r="SOW149" s="3"/>
      <c r="SOX149" s="3"/>
      <c r="SOY149" s="3"/>
      <c r="SOZ149" s="3"/>
      <c r="SPA149" s="3"/>
      <c r="SPB149" s="3"/>
      <c r="SPC149" s="3"/>
      <c r="SPD149" s="3"/>
      <c r="SPE149" s="3"/>
      <c r="SPF149" s="3"/>
      <c r="SPG149" s="3"/>
      <c r="SPH149" s="3"/>
      <c r="SPI149" s="3"/>
      <c r="SPJ149" s="3"/>
      <c r="SPK149" s="3"/>
      <c r="SPL149" s="3"/>
      <c r="SPM149" s="3"/>
      <c r="SPN149" s="3"/>
      <c r="SPO149" s="3"/>
      <c r="SPP149" s="3"/>
      <c r="SPQ149" s="3"/>
      <c r="SPR149" s="3"/>
      <c r="SPS149" s="3"/>
      <c r="SPT149" s="3"/>
      <c r="SPU149" s="3"/>
      <c r="SPV149" s="3"/>
      <c r="SPW149" s="3"/>
      <c r="SPX149" s="3"/>
      <c r="SPY149" s="3"/>
      <c r="SPZ149" s="3"/>
      <c r="SQA149" s="3"/>
      <c r="SQB149" s="3"/>
      <c r="SQC149" s="3"/>
      <c r="SQD149" s="3"/>
      <c r="SQE149" s="3"/>
      <c r="SQF149" s="3"/>
      <c r="SQG149" s="3"/>
      <c r="SQH149" s="3"/>
      <c r="SQI149" s="3"/>
      <c r="SQJ149" s="3"/>
      <c r="SQK149" s="3"/>
      <c r="SQL149" s="3"/>
      <c r="SQM149" s="3"/>
      <c r="SQN149" s="3"/>
      <c r="SQO149" s="3"/>
      <c r="SQP149" s="3"/>
      <c r="SQQ149" s="3"/>
      <c r="SQR149" s="3"/>
      <c r="SQS149" s="3"/>
      <c r="SQT149" s="3"/>
      <c r="SQU149" s="3"/>
      <c r="SQV149" s="3"/>
      <c r="SQW149" s="3"/>
      <c r="SQX149" s="3"/>
      <c r="SQY149" s="3"/>
      <c r="SQZ149" s="3"/>
      <c r="SRA149" s="3"/>
      <c r="SRB149" s="3"/>
      <c r="SRC149" s="3"/>
      <c r="SRD149" s="3"/>
      <c r="SRE149" s="3"/>
      <c r="SRF149" s="3"/>
      <c r="SRG149" s="3"/>
      <c r="SRH149" s="3"/>
      <c r="SRI149" s="3"/>
      <c r="SRJ149" s="3"/>
      <c r="SRK149" s="3"/>
      <c r="SRL149" s="3"/>
      <c r="SRM149" s="3"/>
      <c r="SRN149" s="3"/>
      <c r="SRO149" s="3"/>
      <c r="SRP149" s="3"/>
      <c r="SRQ149" s="3"/>
      <c r="SRR149" s="3"/>
      <c r="SRS149" s="3"/>
      <c r="SRT149" s="3"/>
      <c r="SRU149" s="3"/>
      <c r="SRV149" s="3"/>
      <c r="SRW149" s="3"/>
      <c r="SRX149" s="3"/>
      <c r="SRY149" s="3"/>
      <c r="SRZ149" s="3"/>
      <c r="SSA149" s="3"/>
      <c r="SSB149" s="3"/>
      <c r="SSC149" s="3"/>
      <c r="SSD149" s="3"/>
      <c r="SSE149" s="3"/>
      <c r="SSF149" s="3"/>
      <c r="SSG149" s="3"/>
      <c r="SSH149" s="3"/>
      <c r="SSI149" s="3"/>
      <c r="SSJ149" s="3"/>
      <c r="SSK149" s="3"/>
      <c r="SSL149" s="3"/>
      <c r="SSM149" s="3"/>
      <c r="SSN149" s="3"/>
      <c r="SSO149" s="3"/>
      <c r="SSP149" s="3"/>
      <c r="SSQ149" s="3"/>
      <c r="SSR149" s="3"/>
      <c r="SSS149" s="3"/>
      <c r="SST149" s="3"/>
      <c r="SSU149" s="3"/>
      <c r="SSV149" s="3"/>
      <c r="SSW149" s="3"/>
      <c r="SSX149" s="3"/>
      <c r="SSY149" s="3"/>
      <c r="SSZ149" s="3"/>
      <c r="STA149" s="3"/>
      <c r="STB149" s="3"/>
      <c r="STC149" s="3"/>
      <c r="STD149" s="3"/>
      <c r="STE149" s="3"/>
      <c r="STF149" s="3"/>
      <c r="STG149" s="3"/>
      <c r="STH149" s="3"/>
      <c r="STI149" s="3"/>
      <c r="STJ149" s="3"/>
      <c r="STK149" s="3"/>
      <c r="STL149" s="3"/>
      <c r="STM149" s="3"/>
      <c r="STN149" s="3"/>
      <c r="STO149" s="3"/>
      <c r="STP149" s="3"/>
      <c r="STQ149" s="3"/>
      <c r="STR149" s="3"/>
      <c r="STS149" s="3"/>
      <c r="STT149" s="3"/>
      <c r="STU149" s="3"/>
      <c r="STV149" s="3"/>
      <c r="STW149" s="3"/>
      <c r="STX149" s="3"/>
      <c r="STY149" s="3"/>
      <c r="STZ149" s="3"/>
      <c r="SUA149" s="3"/>
      <c r="SUB149" s="3"/>
      <c r="SUC149" s="3"/>
      <c r="SUD149" s="3"/>
      <c r="SUE149" s="3"/>
      <c r="SUF149" s="3"/>
      <c r="SUG149" s="3"/>
      <c r="SUH149" s="3"/>
      <c r="SUI149" s="3"/>
      <c r="SUJ149" s="3"/>
      <c r="SUK149" s="3"/>
      <c r="SUL149" s="3"/>
      <c r="SUM149" s="3"/>
      <c r="SUN149" s="3"/>
      <c r="SUO149" s="3"/>
      <c r="SUP149" s="3"/>
      <c r="SUQ149" s="3"/>
      <c r="SUR149" s="3"/>
      <c r="SUS149" s="3"/>
      <c r="SUT149" s="3"/>
      <c r="SUU149" s="3"/>
      <c r="SUV149" s="3"/>
      <c r="SUW149" s="3"/>
      <c r="SUX149" s="3"/>
      <c r="SUY149" s="3"/>
      <c r="SUZ149" s="3"/>
      <c r="SVA149" s="3"/>
      <c r="SVB149" s="3"/>
      <c r="SVC149" s="3"/>
      <c r="SVD149" s="3"/>
      <c r="SVE149" s="3"/>
      <c r="SVF149" s="3"/>
      <c r="SVG149" s="3"/>
      <c r="SVH149" s="3"/>
      <c r="SVI149" s="3"/>
      <c r="SVJ149" s="3"/>
      <c r="SVK149" s="3"/>
      <c r="SVL149" s="3"/>
      <c r="SVM149" s="3"/>
      <c r="SVN149" s="3"/>
      <c r="SVO149" s="3"/>
      <c r="SVP149" s="3"/>
      <c r="SVQ149" s="3"/>
      <c r="SVR149" s="3"/>
      <c r="SVS149" s="3"/>
      <c r="SVT149" s="3"/>
      <c r="SVU149" s="3"/>
      <c r="SVV149" s="3"/>
      <c r="SVW149" s="3"/>
      <c r="SVX149" s="3"/>
      <c r="SVY149" s="3"/>
      <c r="SVZ149" s="3"/>
      <c r="SWA149" s="3"/>
      <c r="SWB149" s="3"/>
      <c r="SWC149" s="3"/>
      <c r="SWD149" s="3"/>
      <c r="SWE149" s="3"/>
      <c r="SWF149" s="3"/>
      <c r="SWG149" s="3"/>
      <c r="SWH149" s="3"/>
      <c r="SWI149" s="3"/>
      <c r="SWJ149" s="3"/>
      <c r="SWK149" s="3"/>
      <c r="SWL149" s="3"/>
      <c r="SWM149" s="3"/>
      <c r="SWN149" s="3"/>
      <c r="SWO149" s="3"/>
      <c r="SWP149" s="3"/>
      <c r="SWQ149" s="3"/>
      <c r="SWR149" s="3"/>
      <c r="SWS149" s="3"/>
      <c r="SWT149" s="3"/>
      <c r="SWU149" s="3"/>
      <c r="SWV149" s="3"/>
      <c r="SWW149" s="3"/>
      <c r="SWX149" s="3"/>
      <c r="SWY149" s="3"/>
      <c r="SWZ149" s="3"/>
      <c r="SXA149" s="3"/>
      <c r="SXB149" s="3"/>
      <c r="SXC149" s="3"/>
      <c r="SXD149" s="3"/>
      <c r="SXE149" s="3"/>
      <c r="SXF149" s="3"/>
      <c r="SXG149" s="3"/>
      <c r="SXH149" s="3"/>
      <c r="SXI149" s="3"/>
      <c r="SXJ149" s="3"/>
      <c r="SXK149" s="3"/>
      <c r="SXL149" s="3"/>
      <c r="SXM149" s="3"/>
      <c r="SXN149" s="3"/>
      <c r="SXO149" s="3"/>
      <c r="SXP149" s="3"/>
      <c r="SXQ149" s="3"/>
      <c r="SXR149" s="3"/>
      <c r="SXS149" s="3"/>
      <c r="SXT149" s="3"/>
      <c r="SXU149" s="3"/>
      <c r="SXV149" s="3"/>
      <c r="SXW149" s="3"/>
      <c r="SXX149" s="3"/>
      <c r="SXY149" s="3"/>
      <c r="SXZ149" s="3"/>
      <c r="SYA149" s="3"/>
      <c r="SYB149" s="3"/>
      <c r="SYC149" s="3"/>
      <c r="SYD149" s="3"/>
      <c r="SYE149" s="3"/>
      <c r="SYF149" s="3"/>
      <c r="SYG149" s="3"/>
      <c r="SYH149" s="3"/>
      <c r="SYI149" s="3"/>
      <c r="SYJ149" s="3"/>
      <c r="SYK149" s="3"/>
      <c r="SYL149" s="3"/>
      <c r="SYM149" s="3"/>
      <c r="SYN149" s="3"/>
      <c r="SYO149" s="3"/>
      <c r="SYP149" s="3"/>
      <c r="SYQ149" s="3"/>
      <c r="SYR149" s="3"/>
      <c r="SYS149" s="3"/>
      <c r="SYT149" s="3"/>
      <c r="SYU149" s="3"/>
      <c r="SYV149" s="3"/>
      <c r="SYW149" s="3"/>
      <c r="SYX149" s="3"/>
      <c r="SYY149" s="3"/>
      <c r="SYZ149" s="3"/>
      <c r="SZA149" s="3"/>
      <c r="SZB149" s="3"/>
      <c r="SZC149" s="3"/>
      <c r="SZD149" s="3"/>
      <c r="SZE149" s="3"/>
      <c r="SZF149" s="3"/>
      <c r="SZG149" s="3"/>
      <c r="SZH149" s="3"/>
      <c r="SZI149" s="3"/>
      <c r="SZJ149" s="3"/>
      <c r="SZK149" s="3"/>
      <c r="SZL149" s="3"/>
      <c r="SZM149" s="3"/>
      <c r="SZN149" s="3"/>
      <c r="SZO149" s="3"/>
      <c r="SZP149" s="3"/>
      <c r="SZQ149" s="3"/>
      <c r="SZR149" s="3"/>
      <c r="SZS149" s="3"/>
      <c r="SZT149" s="3"/>
      <c r="SZU149" s="3"/>
      <c r="SZV149" s="3"/>
      <c r="SZW149" s="3"/>
      <c r="SZX149" s="3"/>
      <c r="SZY149" s="3"/>
      <c r="SZZ149" s="3"/>
      <c r="TAA149" s="3"/>
      <c r="TAB149" s="3"/>
      <c r="TAC149" s="3"/>
      <c r="TAD149" s="3"/>
      <c r="TAE149" s="3"/>
      <c r="TAF149" s="3"/>
      <c r="TAG149" s="3"/>
      <c r="TAH149" s="3"/>
      <c r="TAI149" s="3"/>
      <c r="TAJ149" s="3"/>
      <c r="TAK149" s="3"/>
      <c r="TAL149" s="3"/>
      <c r="TAM149" s="3"/>
      <c r="TAN149" s="3"/>
      <c r="TAO149" s="3"/>
      <c r="TAP149" s="3"/>
      <c r="TAQ149" s="3"/>
      <c r="TAR149" s="3"/>
      <c r="TAS149" s="3"/>
      <c r="TAT149" s="3"/>
      <c r="TAU149" s="3"/>
      <c r="TAV149" s="3"/>
      <c r="TAW149" s="3"/>
      <c r="TAX149" s="3"/>
      <c r="TAY149" s="3"/>
      <c r="TAZ149" s="3"/>
      <c r="TBA149" s="3"/>
      <c r="TBB149" s="3"/>
      <c r="TBC149" s="3"/>
      <c r="TBD149" s="3"/>
      <c r="TBE149" s="3"/>
      <c r="TBF149" s="3"/>
      <c r="TBG149" s="3"/>
      <c r="TBH149" s="3"/>
      <c r="TBI149" s="3"/>
      <c r="TBJ149" s="3"/>
      <c r="TBK149" s="3"/>
      <c r="TBL149" s="3"/>
      <c r="TBM149" s="3"/>
      <c r="TBN149" s="3"/>
      <c r="TBO149" s="3"/>
      <c r="TBP149" s="3"/>
      <c r="TBQ149" s="3"/>
      <c r="TBR149" s="3"/>
      <c r="TBS149" s="3"/>
      <c r="TBT149" s="3"/>
      <c r="TBU149" s="3"/>
      <c r="TBV149" s="3"/>
      <c r="TBW149" s="3"/>
      <c r="TBX149" s="3"/>
      <c r="TBY149" s="3"/>
      <c r="TBZ149" s="3"/>
      <c r="TCA149" s="3"/>
      <c r="TCB149" s="3"/>
      <c r="TCC149" s="3"/>
      <c r="TCD149" s="3"/>
      <c r="TCE149" s="3"/>
      <c r="TCF149" s="3"/>
      <c r="TCG149" s="3"/>
      <c r="TCH149" s="3"/>
      <c r="TCI149" s="3"/>
      <c r="TCJ149" s="3"/>
      <c r="TCK149" s="3"/>
      <c r="TCL149" s="3"/>
      <c r="TCM149" s="3"/>
      <c r="TCN149" s="3"/>
      <c r="TCO149" s="3"/>
      <c r="TCP149" s="3"/>
      <c r="TCQ149" s="3"/>
      <c r="TCR149" s="3"/>
      <c r="TCS149" s="3"/>
      <c r="TCT149" s="3"/>
      <c r="TCU149" s="3"/>
      <c r="TCV149" s="3"/>
      <c r="TCW149" s="3"/>
      <c r="TCX149" s="3"/>
      <c r="TCY149" s="3"/>
      <c r="TCZ149" s="3"/>
      <c r="TDA149" s="3"/>
      <c r="TDB149" s="3"/>
      <c r="TDC149" s="3"/>
      <c r="TDD149" s="3"/>
      <c r="TDE149" s="3"/>
      <c r="TDF149" s="3"/>
      <c r="TDG149" s="3"/>
      <c r="TDH149" s="3"/>
      <c r="TDI149" s="3"/>
      <c r="TDJ149" s="3"/>
      <c r="TDK149" s="3"/>
      <c r="TDL149" s="3"/>
      <c r="TDM149" s="3"/>
      <c r="TDN149" s="3"/>
      <c r="TDO149" s="3"/>
      <c r="TDP149" s="3"/>
      <c r="TDQ149" s="3"/>
      <c r="TDR149" s="3"/>
      <c r="TDS149" s="3"/>
      <c r="TDT149" s="3"/>
      <c r="TDU149" s="3"/>
      <c r="TDV149" s="3"/>
      <c r="TDW149" s="3"/>
      <c r="TDX149" s="3"/>
      <c r="TDY149" s="3"/>
      <c r="TDZ149" s="3"/>
      <c r="TEA149" s="3"/>
      <c r="TEB149" s="3"/>
      <c r="TEC149" s="3"/>
      <c r="TED149" s="3"/>
      <c r="TEE149" s="3"/>
      <c r="TEF149" s="3"/>
      <c r="TEG149" s="3"/>
      <c r="TEH149" s="3"/>
      <c r="TEI149" s="3"/>
      <c r="TEJ149" s="3"/>
      <c r="TEK149" s="3"/>
      <c r="TEL149" s="3"/>
      <c r="TEM149" s="3"/>
      <c r="TEN149" s="3"/>
      <c r="TEO149" s="3"/>
      <c r="TEP149" s="3"/>
      <c r="TEQ149" s="3"/>
      <c r="TER149" s="3"/>
      <c r="TES149" s="3"/>
      <c r="TET149" s="3"/>
      <c r="TEU149" s="3"/>
      <c r="TEV149" s="3"/>
      <c r="TEW149" s="3"/>
      <c r="TEX149" s="3"/>
      <c r="TEY149" s="3"/>
      <c r="TEZ149" s="3"/>
      <c r="TFA149" s="3"/>
      <c r="TFB149" s="3"/>
      <c r="TFC149" s="3"/>
      <c r="TFD149" s="3"/>
      <c r="TFE149" s="3"/>
      <c r="TFF149" s="3"/>
      <c r="TFG149" s="3"/>
      <c r="TFH149" s="3"/>
      <c r="TFI149" s="3"/>
      <c r="TFJ149" s="3"/>
      <c r="TFK149" s="3"/>
      <c r="TFL149" s="3"/>
      <c r="TFM149" s="3"/>
      <c r="TFN149" s="3"/>
      <c r="TFO149" s="3"/>
      <c r="TFP149" s="3"/>
      <c r="TFQ149" s="3"/>
      <c r="TFR149" s="3"/>
      <c r="TFS149" s="3"/>
      <c r="TFT149" s="3"/>
      <c r="TFU149" s="3"/>
      <c r="TFV149" s="3"/>
      <c r="TFW149" s="3"/>
      <c r="TFX149" s="3"/>
      <c r="TFY149" s="3"/>
      <c r="TFZ149" s="3"/>
      <c r="TGA149" s="3"/>
      <c r="TGB149" s="3"/>
      <c r="TGC149" s="3"/>
      <c r="TGD149" s="3"/>
      <c r="TGE149" s="3"/>
      <c r="TGF149" s="3"/>
      <c r="TGG149" s="3"/>
      <c r="TGH149" s="3"/>
      <c r="TGI149" s="3"/>
      <c r="TGJ149" s="3"/>
      <c r="TGK149" s="3"/>
      <c r="TGL149" s="3"/>
      <c r="TGM149" s="3"/>
      <c r="TGN149" s="3"/>
      <c r="TGO149" s="3"/>
      <c r="TGP149" s="3"/>
      <c r="TGQ149" s="3"/>
      <c r="TGR149" s="3"/>
      <c r="TGS149" s="3"/>
      <c r="TGT149" s="3"/>
      <c r="TGU149" s="3"/>
      <c r="TGV149" s="3"/>
      <c r="TGW149" s="3"/>
      <c r="TGX149" s="3"/>
      <c r="TGY149" s="3"/>
      <c r="TGZ149" s="3"/>
      <c r="THA149" s="3"/>
      <c r="THB149" s="3"/>
      <c r="THC149" s="3"/>
      <c r="THD149" s="3"/>
      <c r="THE149" s="3"/>
      <c r="THF149" s="3"/>
      <c r="THG149" s="3"/>
      <c r="THH149" s="3"/>
      <c r="THI149" s="3"/>
      <c r="THJ149" s="3"/>
      <c r="THK149" s="3"/>
      <c r="THL149" s="3"/>
      <c r="THM149" s="3"/>
      <c r="THN149" s="3"/>
      <c r="THO149" s="3"/>
      <c r="THP149" s="3"/>
      <c r="THQ149" s="3"/>
      <c r="THR149" s="3"/>
      <c r="THS149" s="3"/>
      <c r="THT149" s="3"/>
      <c r="THU149" s="3"/>
      <c r="THV149" s="3"/>
      <c r="THW149" s="3"/>
      <c r="THX149" s="3"/>
      <c r="THY149" s="3"/>
      <c r="THZ149" s="3"/>
      <c r="TIA149" s="3"/>
      <c r="TIB149" s="3"/>
      <c r="TIC149" s="3"/>
      <c r="TID149" s="3"/>
      <c r="TIE149" s="3"/>
      <c r="TIF149" s="3"/>
      <c r="TIG149" s="3"/>
      <c r="TIH149" s="3"/>
      <c r="TII149" s="3"/>
      <c r="TIJ149" s="3"/>
      <c r="TIK149" s="3"/>
      <c r="TIL149" s="3"/>
      <c r="TIM149" s="3"/>
      <c r="TIN149" s="3"/>
      <c r="TIO149" s="3"/>
      <c r="TIP149" s="3"/>
      <c r="TIQ149" s="3"/>
      <c r="TIR149" s="3"/>
      <c r="TIS149" s="3"/>
      <c r="TIT149" s="3"/>
      <c r="TIU149" s="3"/>
      <c r="TIV149" s="3"/>
      <c r="TIW149" s="3"/>
      <c r="TIX149" s="3"/>
      <c r="TIY149" s="3"/>
      <c r="TIZ149" s="3"/>
      <c r="TJA149" s="3"/>
      <c r="TJB149" s="3"/>
      <c r="TJC149" s="3"/>
      <c r="TJD149" s="3"/>
      <c r="TJE149" s="3"/>
      <c r="TJF149" s="3"/>
      <c r="TJG149" s="3"/>
      <c r="TJH149" s="3"/>
      <c r="TJI149" s="3"/>
      <c r="TJJ149" s="3"/>
      <c r="TJK149" s="3"/>
      <c r="TJL149" s="3"/>
      <c r="TJM149" s="3"/>
      <c r="TJN149" s="3"/>
      <c r="TJO149" s="3"/>
      <c r="TJP149" s="3"/>
      <c r="TJQ149" s="3"/>
      <c r="TJR149" s="3"/>
      <c r="TJS149" s="3"/>
      <c r="TJT149" s="3"/>
      <c r="TJU149" s="3"/>
      <c r="TJV149" s="3"/>
      <c r="TJW149" s="3"/>
      <c r="TJX149" s="3"/>
      <c r="TJY149" s="3"/>
      <c r="TJZ149" s="3"/>
      <c r="TKA149" s="3"/>
      <c r="TKB149" s="3"/>
      <c r="TKC149" s="3"/>
      <c r="TKD149" s="3"/>
      <c r="TKE149" s="3"/>
      <c r="TKF149" s="3"/>
      <c r="TKG149" s="3"/>
      <c r="TKH149" s="3"/>
      <c r="TKI149" s="3"/>
      <c r="TKJ149" s="3"/>
      <c r="TKK149" s="3"/>
      <c r="TKL149" s="3"/>
      <c r="TKM149" s="3"/>
      <c r="TKN149" s="3"/>
      <c r="TKO149" s="3"/>
      <c r="TKP149" s="3"/>
      <c r="TKQ149" s="3"/>
      <c r="TKR149" s="3"/>
      <c r="TKS149" s="3"/>
      <c r="TKT149" s="3"/>
      <c r="TKU149" s="3"/>
      <c r="TKV149" s="3"/>
      <c r="TKW149" s="3"/>
      <c r="TKX149" s="3"/>
      <c r="TKY149" s="3"/>
      <c r="TKZ149" s="3"/>
      <c r="TLA149" s="3"/>
      <c r="TLB149" s="3"/>
      <c r="TLC149" s="3"/>
      <c r="TLD149" s="3"/>
      <c r="TLE149" s="3"/>
      <c r="TLF149" s="3"/>
      <c r="TLG149" s="3"/>
      <c r="TLH149" s="3"/>
      <c r="TLI149" s="3"/>
      <c r="TLJ149" s="3"/>
      <c r="TLK149" s="3"/>
      <c r="TLL149" s="3"/>
      <c r="TLM149" s="3"/>
      <c r="TLN149" s="3"/>
      <c r="TLO149" s="3"/>
      <c r="TLP149" s="3"/>
      <c r="TLQ149" s="3"/>
      <c r="TLR149" s="3"/>
      <c r="TLS149" s="3"/>
      <c r="TLT149" s="3"/>
      <c r="TLU149" s="3"/>
      <c r="TLV149" s="3"/>
      <c r="TLW149" s="3"/>
      <c r="TLX149" s="3"/>
      <c r="TLY149" s="3"/>
      <c r="TLZ149" s="3"/>
      <c r="TMA149" s="3"/>
      <c r="TMB149" s="3"/>
      <c r="TMC149" s="3"/>
      <c r="TMD149" s="3"/>
      <c r="TME149" s="3"/>
      <c r="TMF149" s="3"/>
      <c r="TMG149" s="3"/>
      <c r="TMH149" s="3"/>
      <c r="TMI149" s="3"/>
      <c r="TMJ149" s="3"/>
      <c r="TMK149" s="3"/>
      <c r="TML149" s="3"/>
      <c r="TMM149" s="3"/>
      <c r="TMN149" s="3"/>
      <c r="TMO149" s="3"/>
      <c r="TMP149" s="3"/>
      <c r="TMQ149" s="3"/>
      <c r="TMR149" s="3"/>
      <c r="TMS149" s="3"/>
      <c r="TMT149" s="3"/>
      <c r="TMU149" s="3"/>
      <c r="TMV149" s="3"/>
      <c r="TMW149" s="3"/>
      <c r="TMX149" s="3"/>
      <c r="TMY149" s="3"/>
      <c r="TMZ149" s="3"/>
      <c r="TNA149" s="3"/>
      <c r="TNB149" s="3"/>
      <c r="TNC149" s="3"/>
      <c r="TND149" s="3"/>
      <c r="TNE149" s="3"/>
      <c r="TNF149" s="3"/>
      <c r="TNG149" s="3"/>
      <c r="TNH149" s="3"/>
      <c r="TNI149" s="3"/>
      <c r="TNJ149" s="3"/>
      <c r="TNK149" s="3"/>
      <c r="TNL149" s="3"/>
      <c r="TNM149" s="3"/>
      <c r="TNN149" s="3"/>
      <c r="TNO149" s="3"/>
      <c r="TNP149" s="3"/>
      <c r="TNQ149" s="3"/>
      <c r="TNR149" s="3"/>
      <c r="TNS149" s="3"/>
      <c r="TNT149" s="3"/>
      <c r="TNU149" s="3"/>
      <c r="TNV149" s="3"/>
      <c r="TNW149" s="3"/>
      <c r="TNX149" s="3"/>
      <c r="TNY149" s="3"/>
      <c r="TNZ149" s="3"/>
      <c r="TOA149" s="3"/>
      <c r="TOB149" s="3"/>
      <c r="TOC149" s="3"/>
      <c r="TOD149" s="3"/>
      <c r="TOE149" s="3"/>
      <c r="TOF149" s="3"/>
      <c r="TOG149" s="3"/>
      <c r="TOH149" s="3"/>
      <c r="TOI149" s="3"/>
      <c r="TOJ149" s="3"/>
      <c r="TOK149" s="3"/>
      <c r="TOL149" s="3"/>
      <c r="TOM149" s="3"/>
      <c r="TON149" s="3"/>
      <c r="TOO149" s="3"/>
      <c r="TOP149" s="3"/>
      <c r="TOQ149" s="3"/>
      <c r="TOR149" s="3"/>
      <c r="TOS149" s="3"/>
      <c r="TOT149" s="3"/>
      <c r="TOU149" s="3"/>
      <c r="TOV149" s="3"/>
      <c r="TOW149" s="3"/>
      <c r="TOX149" s="3"/>
      <c r="TOY149" s="3"/>
      <c r="TOZ149" s="3"/>
      <c r="TPA149" s="3"/>
      <c r="TPB149" s="3"/>
      <c r="TPC149" s="3"/>
      <c r="TPD149" s="3"/>
      <c r="TPE149" s="3"/>
      <c r="TPF149" s="3"/>
      <c r="TPG149" s="3"/>
      <c r="TPH149" s="3"/>
      <c r="TPI149" s="3"/>
      <c r="TPJ149" s="3"/>
      <c r="TPK149" s="3"/>
      <c r="TPL149" s="3"/>
      <c r="TPM149" s="3"/>
      <c r="TPN149" s="3"/>
      <c r="TPO149" s="3"/>
      <c r="TPP149" s="3"/>
      <c r="TPQ149" s="3"/>
      <c r="TPR149" s="3"/>
      <c r="TPS149" s="3"/>
      <c r="TPT149" s="3"/>
      <c r="TPU149" s="3"/>
      <c r="TPV149" s="3"/>
      <c r="TPW149" s="3"/>
      <c r="TPX149" s="3"/>
      <c r="TPY149" s="3"/>
      <c r="TPZ149" s="3"/>
      <c r="TQA149" s="3"/>
      <c r="TQB149" s="3"/>
      <c r="TQC149" s="3"/>
      <c r="TQD149" s="3"/>
      <c r="TQE149" s="3"/>
      <c r="TQF149" s="3"/>
      <c r="TQG149" s="3"/>
      <c r="TQH149" s="3"/>
      <c r="TQI149" s="3"/>
      <c r="TQJ149" s="3"/>
      <c r="TQK149" s="3"/>
      <c r="TQL149" s="3"/>
      <c r="TQM149" s="3"/>
      <c r="TQN149" s="3"/>
      <c r="TQO149" s="3"/>
      <c r="TQP149" s="3"/>
      <c r="TQQ149" s="3"/>
      <c r="TQR149" s="3"/>
      <c r="TQS149" s="3"/>
      <c r="TQT149" s="3"/>
      <c r="TQU149" s="3"/>
      <c r="TQV149" s="3"/>
      <c r="TQW149" s="3"/>
      <c r="TQX149" s="3"/>
      <c r="TQY149" s="3"/>
      <c r="TQZ149" s="3"/>
      <c r="TRA149" s="3"/>
      <c r="TRB149" s="3"/>
      <c r="TRC149" s="3"/>
      <c r="TRD149" s="3"/>
      <c r="TRE149" s="3"/>
      <c r="TRF149" s="3"/>
      <c r="TRG149" s="3"/>
      <c r="TRH149" s="3"/>
      <c r="TRI149" s="3"/>
      <c r="TRJ149" s="3"/>
      <c r="TRK149" s="3"/>
      <c r="TRL149" s="3"/>
      <c r="TRM149" s="3"/>
      <c r="TRN149" s="3"/>
      <c r="TRO149" s="3"/>
      <c r="TRP149" s="3"/>
      <c r="TRQ149" s="3"/>
      <c r="TRR149" s="3"/>
      <c r="TRS149" s="3"/>
      <c r="TRT149" s="3"/>
      <c r="TRU149" s="3"/>
      <c r="TRV149" s="3"/>
      <c r="TRW149" s="3"/>
      <c r="TRX149" s="3"/>
      <c r="TRY149" s="3"/>
      <c r="TRZ149" s="3"/>
      <c r="TSA149" s="3"/>
      <c r="TSB149" s="3"/>
      <c r="TSC149" s="3"/>
      <c r="TSD149" s="3"/>
      <c r="TSE149" s="3"/>
      <c r="TSF149" s="3"/>
      <c r="TSG149" s="3"/>
      <c r="TSH149" s="3"/>
      <c r="TSI149" s="3"/>
      <c r="TSJ149" s="3"/>
      <c r="TSK149" s="3"/>
      <c r="TSL149" s="3"/>
      <c r="TSM149" s="3"/>
      <c r="TSN149" s="3"/>
      <c r="TSO149" s="3"/>
      <c r="TSP149" s="3"/>
      <c r="TSQ149" s="3"/>
      <c r="TSR149" s="3"/>
      <c r="TSS149" s="3"/>
      <c r="TST149" s="3"/>
      <c r="TSU149" s="3"/>
      <c r="TSV149" s="3"/>
      <c r="TSW149" s="3"/>
      <c r="TSX149" s="3"/>
      <c r="TSY149" s="3"/>
      <c r="TSZ149" s="3"/>
      <c r="TTA149" s="3"/>
      <c r="TTB149" s="3"/>
      <c r="TTC149" s="3"/>
      <c r="TTD149" s="3"/>
      <c r="TTE149" s="3"/>
      <c r="TTF149" s="3"/>
      <c r="TTG149" s="3"/>
      <c r="TTH149" s="3"/>
      <c r="TTI149" s="3"/>
      <c r="TTJ149" s="3"/>
      <c r="TTK149" s="3"/>
      <c r="TTL149" s="3"/>
      <c r="TTM149" s="3"/>
      <c r="TTN149" s="3"/>
      <c r="TTO149" s="3"/>
      <c r="TTP149" s="3"/>
      <c r="TTQ149" s="3"/>
      <c r="TTR149" s="3"/>
      <c r="TTS149" s="3"/>
      <c r="TTT149" s="3"/>
      <c r="TTU149" s="3"/>
      <c r="TTV149" s="3"/>
      <c r="TTW149" s="3"/>
      <c r="TTX149" s="3"/>
      <c r="TTY149" s="3"/>
      <c r="TTZ149" s="3"/>
      <c r="TUA149" s="3"/>
      <c r="TUB149" s="3"/>
      <c r="TUC149" s="3"/>
      <c r="TUD149" s="3"/>
      <c r="TUE149" s="3"/>
      <c r="TUF149" s="3"/>
      <c r="TUG149" s="3"/>
      <c r="TUH149" s="3"/>
      <c r="TUI149" s="3"/>
      <c r="TUJ149" s="3"/>
      <c r="TUK149" s="3"/>
      <c r="TUL149" s="3"/>
      <c r="TUM149" s="3"/>
      <c r="TUN149" s="3"/>
      <c r="TUO149" s="3"/>
      <c r="TUP149" s="3"/>
      <c r="TUQ149" s="3"/>
      <c r="TUR149" s="3"/>
      <c r="TUS149" s="3"/>
      <c r="TUT149" s="3"/>
      <c r="TUU149" s="3"/>
      <c r="TUV149" s="3"/>
      <c r="TUW149" s="3"/>
      <c r="TUX149" s="3"/>
      <c r="TUY149" s="3"/>
      <c r="TUZ149" s="3"/>
      <c r="TVA149" s="3"/>
      <c r="TVB149" s="3"/>
      <c r="TVC149" s="3"/>
      <c r="TVD149" s="3"/>
      <c r="TVE149" s="3"/>
      <c r="TVF149" s="3"/>
      <c r="TVG149" s="3"/>
      <c r="TVH149" s="3"/>
      <c r="TVI149" s="3"/>
      <c r="TVJ149" s="3"/>
      <c r="TVK149" s="3"/>
      <c r="TVL149" s="3"/>
      <c r="TVM149" s="3"/>
      <c r="TVN149" s="3"/>
      <c r="TVO149" s="3"/>
      <c r="TVP149" s="3"/>
      <c r="TVQ149" s="3"/>
      <c r="TVR149" s="3"/>
      <c r="TVS149" s="3"/>
      <c r="TVT149" s="3"/>
      <c r="TVU149" s="3"/>
      <c r="TVV149" s="3"/>
      <c r="TVW149" s="3"/>
      <c r="TVX149" s="3"/>
      <c r="TVY149" s="3"/>
      <c r="TVZ149" s="3"/>
      <c r="TWA149" s="3"/>
      <c r="TWB149" s="3"/>
      <c r="TWC149" s="3"/>
      <c r="TWD149" s="3"/>
      <c r="TWE149" s="3"/>
      <c r="TWF149" s="3"/>
      <c r="TWG149" s="3"/>
      <c r="TWH149" s="3"/>
      <c r="TWI149" s="3"/>
      <c r="TWJ149" s="3"/>
      <c r="TWK149" s="3"/>
      <c r="TWL149" s="3"/>
      <c r="TWM149" s="3"/>
      <c r="TWN149" s="3"/>
      <c r="TWO149" s="3"/>
      <c r="TWP149" s="3"/>
      <c r="TWQ149" s="3"/>
      <c r="TWR149" s="3"/>
      <c r="TWS149" s="3"/>
      <c r="TWT149" s="3"/>
      <c r="TWU149" s="3"/>
      <c r="TWV149" s="3"/>
      <c r="TWW149" s="3"/>
      <c r="TWX149" s="3"/>
      <c r="TWY149" s="3"/>
      <c r="TWZ149" s="3"/>
      <c r="TXA149" s="3"/>
      <c r="TXB149" s="3"/>
      <c r="TXC149" s="3"/>
      <c r="TXD149" s="3"/>
      <c r="TXE149" s="3"/>
      <c r="TXF149" s="3"/>
      <c r="TXG149" s="3"/>
      <c r="TXH149" s="3"/>
      <c r="TXI149" s="3"/>
      <c r="TXJ149" s="3"/>
      <c r="TXK149" s="3"/>
      <c r="TXL149" s="3"/>
      <c r="TXM149" s="3"/>
      <c r="TXN149" s="3"/>
      <c r="TXO149" s="3"/>
      <c r="TXP149" s="3"/>
      <c r="TXQ149" s="3"/>
      <c r="TXR149" s="3"/>
      <c r="TXS149" s="3"/>
      <c r="TXT149" s="3"/>
      <c r="TXU149" s="3"/>
      <c r="TXV149" s="3"/>
      <c r="TXW149" s="3"/>
      <c r="TXX149" s="3"/>
      <c r="TXY149" s="3"/>
      <c r="TXZ149" s="3"/>
      <c r="TYA149" s="3"/>
      <c r="TYB149" s="3"/>
      <c r="TYC149" s="3"/>
      <c r="TYD149" s="3"/>
      <c r="TYE149" s="3"/>
      <c r="TYF149" s="3"/>
      <c r="TYG149" s="3"/>
      <c r="TYH149" s="3"/>
      <c r="TYI149" s="3"/>
      <c r="TYJ149" s="3"/>
      <c r="TYK149" s="3"/>
      <c r="TYL149" s="3"/>
      <c r="TYM149" s="3"/>
      <c r="TYN149" s="3"/>
      <c r="TYO149" s="3"/>
      <c r="TYP149" s="3"/>
      <c r="TYQ149" s="3"/>
      <c r="TYR149" s="3"/>
      <c r="TYS149" s="3"/>
      <c r="TYT149" s="3"/>
      <c r="TYU149" s="3"/>
      <c r="TYV149" s="3"/>
      <c r="TYW149" s="3"/>
      <c r="TYX149" s="3"/>
      <c r="TYY149" s="3"/>
      <c r="TYZ149" s="3"/>
      <c r="TZA149" s="3"/>
      <c r="TZB149" s="3"/>
      <c r="TZC149" s="3"/>
      <c r="TZD149" s="3"/>
      <c r="TZE149" s="3"/>
      <c r="TZF149" s="3"/>
      <c r="TZG149" s="3"/>
      <c r="TZH149" s="3"/>
      <c r="TZI149" s="3"/>
      <c r="TZJ149" s="3"/>
      <c r="TZK149" s="3"/>
      <c r="TZL149" s="3"/>
      <c r="TZM149" s="3"/>
      <c r="TZN149" s="3"/>
      <c r="TZO149" s="3"/>
      <c r="TZP149" s="3"/>
      <c r="TZQ149" s="3"/>
      <c r="TZR149" s="3"/>
      <c r="TZS149" s="3"/>
      <c r="TZT149" s="3"/>
      <c r="TZU149" s="3"/>
      <c r="TZV149" s="3"/>
      <c r="TZW149" s="3"/>
      <c r="TZX149" s="3"/>
      <c r="TZY149" s="3"/>
      <c r="TZZ149" s="3"/>
      <c r="UAA149" s="3"/>
      <c r="UAB149" s="3"/>
      <c r="UAC149" s="3"/>
      <c r="UAD149" s="3"/>
      <c r="UAE149" s="3"/>
      <c r="UAF149" s="3"/>
      <c r="UAG149" s="3"/>
      <c r="UAH149" s="3"/>
      <c r="UAI149" s="3"/>
      <c r="UAJ149" s="3"/>
      <c r="UAK149" s="3"/>
      <c r="UAL149" s="3"/>
      <c r="UAM149" s="3"/>
      <c r="UAN149" s="3"/>
      <c r="UAO149" s="3"/>
      <c r="UAP149" s="3"/>
      <c r="UAQ149" s="3"/>
      <c r="UAR149" s="3"/>
      <c r="UAS149" s="3"/>
      <c r="UAT149" s="3"/>
      <c r="UAU149" s="3"/>
      <c r="UAV149" s="3"/>
      <c r="UAW149" s="3"/>
      <c r="UAX149" s="3"/>
      <c r="UAY149" s="3"/>
      <c r="UAZ149" s="3"/>
      <c r="UBA149" s="3"/>
      <c r="UBB149" s="3"/>
      <c r="UBC149" s="3"/>
      <c r="UBD149" s="3"/>
      <c r="UBE149" s="3"/>
      <c r="UBF149" s="3"/>
      <c r="UBG149" s="3"/>
      <c r="UBH149" s="3"/>
      <c r="UBI149" s="3"/>
      <c r="UBJ149" s="3"/>
      <c r="UBK149" s="3"/>
      <c r="UBL149" s="3"/>
      <c r="UBM149" s="3"/>
      <c r="UBN149" s="3"/>
      <c r="UBO149" s="3"/>
      <c r="UBP149" s="3"/>
      <c r="UBQ149" s="3"/>
      <c r="UBR149" s="3"/>
      <c r="UBS149" s="3"/>
      <c r="UBT149" s="3"/>
      <c r="UBU149" s="3"/>
      <c r="UBV149" s="3"/>
      <c r="UBW149" s="3"/>
      <c r="UBX149" s="3"/>
      <c r="UBY149" s="3"/>
      <c r="UBZ149" s="3"/>
      <c r="UCA149" s="3"/>
      <c r="UCB149" s="3"/>
      <c r="UCC149" s="3"/>
      <c r="UCD149" s="3"/>
      <c r="UCE149" s="3"/>
      <c r="UCF149" s="3"/>
      <c r="UCG149" s="3"/>
      <c r="UCH149" s="3"/>
      <c r="UCI149" s="3"/>
      <c r="UCJ149" s="3"/>
      <c r="UCK149" s="3"/>
      <c r="UCL149" s="3"/>
      <c r="UCM149" s="3"/>
      <c r="UCN149" s="3"/>
      <c r="UCO149" s="3"/>
      <c r="UCP149" s="3"/>
      <c r="UCQ149" s="3"/>
      <c r="UCR149" s="3"/>
      <c r="UCS149" s="3"/>
      <c r="UCT149" s="3"/>
      <c r="UCU149" s="3"/>
      <c r="UCV149" s="3"/>
      <c r="UCW149" s="3"/>
      <c r="UCX149" s="3"/>
      <c r="UCY149" s="3"/>
      <c r="UCZ149" s="3"/>
      <c r="UDA149" s="3"/>
      <c r="UDB149" s="3"/>
      <c r="UDC149" s="3"/>
      <c r="UDD149" s="3"/>
      <c r="UDE149" s="3"/>
      <c r="UDF149" s="3"/>
      <c r="UDG149" s="3"/>
      <c r="UDH149" s="3"/>
      <c r="UDI149" s="3"/>
      <c r="UDJ149" s="3"/>
      <c r="UDK149" s="3"/>
      <c r="UDL149" s="3"/>
      <c r="UDM149" s="3"/>
      <c r="UDN149" s="3"/>
      <c r="UDO149" s="3"/>
      <c r="UDP149" s="3"/>
      <c r="UDQ149" s="3"/>
      <c r="UDR149" s="3"/>
      <c r="UDS149" s="3"/>
      <c r="UDT149" s="3"/>
      <c r="UDU149" s="3"/>
      <c r="UDV149" s="3"/>
      <c r="UDW149" s="3"/>
      <c r="UDX149" s="3"/>
      <c r="UDY149" s="3"/>
      <c r="UDZ149" s="3"/>
      <c r="UEA149" s="3"/>
      <c r="UEB149" s="3"/>
      <c r="UEC149" s="3"/>
      <c r="UED149" s="3"/>
      <c r="UEE149" s="3"/>
      <c r="UEF149" s="3"/>
      <c r="UEG149" s="3"/>
      <c r="UEH149" s="3"/>
      <c r="UEI149" s="3"/>
      <c r="UEJ149" s="3"/>
      <c r="UEK149" s="3"/>
      <c r="UEL149" s="3"/>
      <c r="UEM149" s="3"/>
      <c r="UEN149" s="3"/>
      <c r="UEO149" s="3"/>
      <c r="UEP149" s="3"/>
      <c r="UEQ149" s="3"/>
      <c r="UER149" s="3"/>
      <c r="UES149" s="3"/>
      <c r="UET149" s="3"/>
      <c r="UEU149" s="3"/>
      <c r="UEV149" s="3"/>
      <c r="UEW149" s="3"/>
      <c r="UEX149" s="3"/>
      <c r="UEY149" s="3"/>
      <c r="UEZ149" s="3"/>
      <c r="UFA149" s="3"/>
      <c r="UFB149" s="3"/>
      <c r="UFC149" s="3"/>
      <c r="UFD149" s="3"/>
      <c r="UFE149" s="3"/>
      <c r="UFF149" s="3"/>
      <c r="UFG149" s="3"/>
      <c r="UFH149" s="3"/>
      <c r="UFI149" s="3"/>
      <c r="UFJ149" s="3"/>
      <c r="UFK149" s="3"/>
      <c r="UFL149" s="3"/>
      <c r="UFM149" s="3"/>
      <c r="UFN149" s="3"/>
      <c r="UFO149" s="3"/>
      <c r="UFP149" s="3"/>
      <c r="UFQ149" s="3"/>
      <c r="UFR149" s="3"/>
      <c r="UFS149" s="3"/>
      <c r="UFT149" s="3"/>
      <c r="UFU149" s="3"/>
      <c r="UFV149" s="3"/>
      <c r="UFW149" s="3"/>
      <c r="UFX149" s="3"/>
      <c r="UFY149" s="3"/>
      <c r="UFZ149" s="3"/>
      <c r="UGA149" s="3"/>
      <c r="UGB149" s="3"/>
      <c r="UGC149" s="3"/>
      <c r="UGD149" s="3"/>
      <c r="UGE149" s="3"/>
      <c r="UGF149" s="3"/>
      <c r="UGG149" s="3"/>
      <c r="UGH149" s="3"/>
      <c r="UGI149" s="3"/>
      <c r="UGJ149" s="3"/>
      <c r="UGK149" s="3"/>
      <c r="UGL149" s="3"/>
      <c r="UGM149" s="3"/>
      <c r="UGN149" s="3"/>
      <c r="UGO149" s="3"/>
      <c r="UGP149" s="3"/>
      <c r="UGQ149" s="3"/>
      <c r="UGR149" s="3"/>
      <c r="UGS149" s="3"/>
      <c r="UGT149" s="3"/>
      <c r="UGU149" s="3"/>
      <c r="UGV149" s="3"/>
      <c r="UGW149" s="3"/>
      <c r="UGX149" s="3"/>
      <c r="UGY149" s="3"/>
      <c r="UGZ149" s="3"/>
      <c r="UHA149" s="3"/>
      <c r="UHB149" s="3"/>
      <c r="UHC149" s="3"/>
      <c r="UHD149" s="3"/>
      <c r="UHE149" s="3"/>
      <c r="UHF149" s="3"/>
      <c r="UHG149" s="3"/>
      <c r="UHH149" s="3"/>
      <c r="UHI149" s="3"/>
      <c r="UHJ149" s="3"/>
      <c r="UHK149" s="3"/>
      <c r="UHL149" s="3"/>
      <c r="UHM149" s="3"/>
      <c r="UHN149" s="3"/>
      <c r="UHO149" s="3"/>
      <c r="UHP149" s="3"/>
      <c r="UHQ149" s="3"/>
      <c r="UHR149" s="3"/>
      <c r="UHS149" s="3"/>
      <c r="UHT149" s="3"/>
      <c r="UHU149" s="3"/>
      <c r="UHV149" s="3"/>
      <c r="UHW149" s="3"/>
      <c r="UHX149" s="3"/>
      <c r="UHY149" s="3"/>
      <c r="UHZ149" s="3"/>
      <c r="UIA149" s="3"/>
      <c r="UIB149" s="3"/>
      <c r="UIC149" s="3"/>
      <c r="UID149" s="3"/>
      <c r="UIE149" s="3"/>
      <c r="UIF149" s="3"/>
      <c r="UIG149" s="3"/>
      <c r="UIH149" s="3"/>
      <c r="UII149" s="3"/>
      <c r="UIJ149" s="3"/>
      <c r="UIK149" s="3"/>
      <c r="UIL149" s="3"/>
      <c r="UIM149" s="3"/>
      <c r="UIN149" s="3"/>
      <c r="UIO149" s="3"/>
      <c r="UIP149" s="3"/>
      <c r="UIQ149" s="3"/>
      <c r="UIR149" s="3"/>
      <c r="UIS149" s="3"/>
      <c r="UIT149" s="3"/>
      <c r="UIU149" s="3"/>
      <c r="UIV149" s="3"/>
      <c r="UIW149" s="3"/>
      <c r="UIX149" s="3"/>
      <c r="UIY149" s="3"/>
      <c r="UIZ149" s="3"/>
      <c r="UJA149" s="3"/>
      <c r="UJB149" s="3"/>
      <c r="UJC149" s="3"/>
      <c r="UJD149" s="3"/>
      <c r="UJE149" s="3"/>
      <c r="UJF149" s="3"/>
      <c r="UJG149" s="3"/>
      <c r="UJH149" s="3"/>
      <c r="UJI149" s="3"/>
      <c r="UJJ149" s="3"/>
      <c r="UJK149" s="3"/>
      <c r="UJL149" s="3"/>
      <c r="UJM149" s="3"/>
      <c r="UJN149" s="3"/>
      <c r="UJO149" s="3"/>
      <c r="UJP149" s="3"/>
      <c r="UJQ149" s="3"/>
      <c r="UJR149" s="3"/>
      <c r="UJS149" s="3"/>
      <c r="UJT149" s="3"/>
      <c r="UJU149" s="3"/>
      <c r="UJV149" s="3"/>
      <c r="UJW149" s="3"/>
      <c r="UJX149" s="3"/>
      <c r="UJY149" s="3"/>
      <c r="UJZ149" s="3"/>
      <c r="UKA149" s="3"/>
      <c r="UKB149" s="3"/>
      <c r="UKC149" s="3"/>
      <c r="UKD149" s="3"/>
      <c r="UKE149" s="3"/>
      <c r="UKF149" s="3"/>
      <c r="UKG149" s="3"/>
      <c r="UKH149" s="3"/>
      <c r="UKI149" s="3"/>
      <c r="UKJ149" s="3"/>
      <c r="UKK149" s="3"/>
      <c r="UKL149" s="3"/>
      <c r="UKM149" s="3"/>
      <c r="UKN149" s="3"/>
      <c r="UKO149" s="3"/>
      <c r="UKP149" s="3"/>
      <c r="UKQ149" s="3"/>
      <c r="UKR149" s="3"/>
      <c r="UKS149" s="3"/>
      <c r="UKT149" s="3"/>
      <c r="UKU149" s="3"/>
      <c r="UKV149" s="3"/>
      <c r="UKW149" s="3"/>
      <c r="UKX149" s="3"/>
      <c r="UKY149" s="3"/>
      <c r="UKZ149" s="3"/>
      <c r="ULA149" s="3"/>
      <c r="ULB149" s="3"/>
      <c r="ULC149" s="3"/>
      <c r="ULD149" s="3"/>
      <c r="ULE149" s="3"/>
      <c r="ULF149" s="3"/>
      <c r="ULG149" s="3"/>
      <c r="ULH149" s="3"/>
      <c r="ULI149" s="3"/>
      <c r="ULJ149" s="3"/>
      <c r="ULK149" s="3"/>
      <c r="ULL149" s="3"/>
      <c r="ULM149" s="3"/>
      <c r="ULN149" s="3"/>
      <c r="ULO149" s="3"/>
      <c r="ULP149" s="3"/>
      <c r="ULQ149" s="3"/>
      <c r="ULR149" s="3"/>
      <c r="ULS149" s="3"/>
      <c r="ULT149" s="3"/>
      <c r="ULU149" s="3"/>
      <c r="ULV149" s="3"/>
      <c r="ULW149" s="3"/>
      <c r="ULX149" s="3"/>
      <c r="ULY149" s="3"/>
      <c r="ULZ149" s="3"/>
      <c r="UMA149" s="3"/>
      <c r="UMB149" s="3"/>
      <c r="UMC149" s="3"/>
      <c r="UMD149" s="3"/>
      <c r="UME149" s="3"/>
      <c r="UMF149" s="3"/>
      <c r="UMG149" s="3"/>
      <c r="UMH149" s="3"/>
      <c r="UMI149" s="3"/>
      <c r="UMJ149" s="3"/>
      <c r="UMK149" s="3"/>
      <c r="UML149" s="3"/>
      <c r="UMM149" s="3"/>
      <c r="UMN149" s="3"/>
      <c r="UMO149" s="3"/>
      <c r="UMP149" s="3"/>
      <c r="UMQ149" s="3"/>
      <c r="UMR149" s="3"/>
      <c r="UMS149" s="3"/>
      <c r="UMT149" s="3"/>
      <c r="UMU149" s="3"/>
      <c r="UMV149" s="3"/>
      <c r="UMW149" s="3"/>
      <c r="UMX149" s="3"/>
      <c r="UMY149" s="3"/>
      <c r="UMZ149" s="3"/>
      <c r="UNA149" s="3"/>
      <c r="UNB149" s="3"/>
      <c r="UNC149" s="3"/>
      <c r="UND149" s="3"/>
      <c r="UNE149" s="3"/>
      <c r="UNF149" s="3"/>
      <c r="UNG149" s="3"/>
      <c r="UNH149" s="3"/>
      <c r="UNI149" s="3"/>
      <c r="UNJ149" s="3"/>
      <c r="UNK149" s="3"/>
      <c r="UNL149" s="3"/>
      <c r="UNM149" s="3"/>
      <c r="UNN149" s="3"/>
      <c r="UNO149" s="3"/>
      <c r="UNP149" s="3"/>
      <c r="UNQ149" s="3"/>
      <c r="UNR149" s="3"/>
      <c r="UNS149" s="3"/>
      <c r="UNT149" s="3"/>
      <c r="UNU149" s="3"/>
      <c r="UNV149" s="3"/>
      <c r="UNW149" s="3"/>
      <c r="UNX149" s="3"/>
      <c r="UNY149" s="3"/>
      <c r="UNZ149" s="3"/>
      <c r="UOA149" s="3"/>
      <c r="UOB149" s="3"/>
      <c r="UOC149" s="3"/>
      <c r="UOD149" s="3"/>
      <c r="UOE149" s="3"/>
      <c r="UOF149" s="3"/>
      <c r="UOG149" s="3"/>
      <c r="UOH149" s="3"/>
      <c r="UOI149" s="3"/>
      <c r="UOJ149" s="3"/>
      <c r="UOK149" s="3"/>
      <c r="UOL149" s="3"/>
      <c r="UOM149" s="3"/>
      <c r="UON149" s="3"/>
      <c r="UOO149" s="3"/>
      <c r="UOP149" s="3"/>
      <c r="UOQ149" s="3"/>
      <c r="UOR149" s="3"/>
      <c r="UOS149" s="3"/>
      <c r="UOT149" s="3"/>
      <c r="UOU149" s="3"/>
      <c r="UOV149" s="3"/>
      <c r="UOW149" s="3"/>
      <c r="UOX149" s="3"/>
      <c r="UOY149" s="3"/>
      <c r="UOZ149" s="3"/>
      <c r="UPA149" s="3"/>
      <c r="UPB149" s="3"/>
      <c r="UPC149" s="3"/>
      <c r="UPD149" s="3"/>
      <c r="UPE149" s="3"/>
      <c r="UPF149" s="3"/>
      <c r="UPG149" s="3"/>
      <c r="UPH149" s="3"/>
      <c r="UPI149" s="3"/>
      <c r="UPJ149" s="3"/>
      <c r="UPK149" s="3"/>
      <c r="UPL149" s="3"/>
      <c r="UPM149" s="3"/>
      <c r="UPN149" s="3"/>
      <c r="UPO149" s="3"/>
      <c r="UPP149" s="3"/>
      <c r="UPQ149" s="3"/>
      <c r="UPR149" s="3"/>
      <c r="UPS149" s="3"/>
      <c r="UPT149" s="3"/>
      <c r="UPU149" s="3"/>
      <c r="UPV149" s="3"/>
      <c r="UPW149" s="3"/>
      <c r="UPX149" s="3"/>
      <c r="UPY149" s="3"/>
      <c r="UPZ149" s="3"/>
      <c r="UQA149" s="3"/>
      <c r="UQB149" s="3"/>
      <c r="UQC149" s="3"/>
      <c r="UQD149" s="3"/>
      <c r="UQE149" s="3"/>
      <c r="UQF149" s="3"/>
      <c r="UQG149" s="3"/>
      <c r="UQH149" s="3"/>
      <c r="UQI149" s="3"/>
      <c r="UQJ149" s="3"/>
      <c r="UQK149" s="3"/>
      <c r="UQL149" s="3"/>
      <c r="UQM149" s="3"/>
      <c r="UQN149" s="3"/>
      <c r="UQO149" s="3"/>
      <c r="UQP149" s="3"/>
      <c r="UQQ149" s="3"/>
      <c r="UQR149" s="3"/>
      <c r="UQS149" s="3"/>
      <c r="UQT149" s="3"/>
      <c r="UQU149" s="3"/>
      <c r="UQV149" s="3"/>
      <c r="UQW149" s="3"/>
      <c r="UQX149" s="3"/>
      <c r="UQY149" s="3"/>
      <c r="UQZ149" s="3"/>
      <c r="URA149" s="3"/>
      <c r="URB149" s="3"/>
      <c r="URC149" s="3"/>
      <c r="URD149" s="3"/>
      <c r="URE149" s="3"/>
      <c r="URF149" s="3"/>
      <c r="URG149" s="3"/>
      <c r="URH149" s="3"/>
      <c r="URI149" s="3"/>
      <c r="URJ149" s="3"/>
      <c r="URK149" s="3"/>
      <c r="URL149" s="3"/>
      <c r="URM149" s="3"/>
      <c r="URN149" s="3"/>
      <c r="URO149" s="3"/>
      <c r="URP149" s="3"/>
      <c r="URQ149" s="3"/>
      <c r="URR149" s="3"/>
      <c r="URS149" s="3"/>
      <c r="URT149" s="3"/>
      <c r="URU149" s="3"/>
      <c r="URV149" s="3"/>
      <c r="URW149" s="3"/>
      <c r="URX149" s="3"/>
      <c r="URY149" s="3"/>
      <c r="URZ149" s="3"/>
      <c r="USA149" s="3"/>
      <c r="USB149" s="3"/>
      <c r="USC149" s="3"/>
      <c r="USD149" s="3"/>
      <c r="USE149" s="3"/>
      <c r="USF149" s="3"/>
      <c r="USG149" s="3"/>
      <c r="USH149" s="3"/>
      <c r="USI149" s="3"/>
      <c r="USJ149" s="3"/>
      <c r="USK149" s="3"/>
      <c r="USL149" s="3"/>
      <c r="USM149" s="3"/>
      <c r="USN149" s="3"/>
      <c r="USO149" s="3"/>
      <c r="USP149" s="3"/>
      <c r="USQ149" s="3"/>
      <c r="USR149" s="3"/>
      <c r="USS149" s="3"/>
      <c r="UST149" s="3"/>
      <c r="USU149" s="3"/>
      <c r="USV149" s="3"/>
      <c r="USW149" s="3"/>
      <c r="USX149" s="3"/>
      <c r="USY149" s="3"/>
      <c r="USZ149" s="3"/>
      <c r="UTA149" s="3"/>
      <c r="UTB149" s="3"/>
      <c r="UTC149" s="3"/>
      <c r="UTD149" s="3"/>
      <c r="UTE149" s="3"/>
      <c r="UTF149" s="3"/>
      <c r="UTG149" s="3"/>
      <c r="UTH149" s="3"/>
      <c r="UTI149" s="3"/>
      <c r="UTJ149" s="3"/>
      <c r="UTK149" s="3"/>
      <c r="UTL149" s="3"/>
      <c r="UTM149" s="3"/>
      <c r="UTN149" s="3"/>
      <c r="UTO149" s="3"/>
      <c r="UTP149" s="3"/>
      <c r="UTQ149" s="3"/>
      <c r="UTR149" s="3"/>
      <c r="UTS149" s="3"/>
      <c r="UTT149" s="3"/>
      <c r="UTU149" s="3"/>
      <c r="UTV149" s="3"/>
      <c r="UTW149" s="3"/>
      <c r="UTX149" s="3"/>
      <c r="UTY149" s="3"/>
      <c r="UTZ149" s="3"/>
      <c r="UUA149" s="3"/>
      <c r="UUB149" s="3"/>
      <c r="UUC149" s="3"/>
      <c r="UUD149" s="3"/>
      <c r="UUE149" s="3"/>
      <c r="UUF149" s="3"/>
      <c r="UUG149" s="3"/>
      <c r="UUH149" s="3"/>
      <c r="UUI149" s="3"/>
      <c r="UUJ149" s="3"/>
      <c r="UUK149" s="3"/>
      <c r="UUL149" s="3"/>
      <c r="UUM149" s="3"/>
      <c r="UUN149" s="3"/>
      <c r="UUO149" s="3"/>
      <c r="UUP149" s="3"/>
      <c r="UUQ149" s="3"/>
      <c r="UUR149" s="3"/>
      <c r="UUS149" s="3"/>
      <c r="UUT149" s="3"/>
      <c r="UUU149" s="3"/>
      <c r="UUV149" s="3"/>
      <c r="UUW149" s="3"/>
      <c r="UUX149" s="3"/>
      <c r="UUY149" s="3"/>
      <c r="UUZ149" s="3"/>
      <c r="UVA149" s="3"/>
      <c r="UVB149" s="3"/>
      <c r="UVC149" s="3"/>
      <c r="UVD149" s="3"/>
      <c r="UVE149" s="3"/>
      <c r="UVF149" s="3"/>
      <c r="UVG149" s="3"/>
      <c r="UVH149" s="3"/>
      <c r="UVI149" s="3"/>
      <c r="UVJ149" s="3"/>
      <c r="UVK149" s="3"/>
      <c r="UVL149" s="3"/>
      <c r="UVM149" s="3"/>
      <c r="UVN149" s="3"/>
      <c r="UVO149" s="3"/>
      <c r="UVP149" s="3"/>
      <c r="UVQ149" s="3"/>
      <c r="UVR149" s="3"/>
      <c r="UVS149" s="3"/>
      <c r="UVT149" s="3"/>
      <c r="UVU149" s="3"/>
      <c r="UVV149" s="3"/>
      <c r="UVW149" s="3"/>
      <c r="UVX149" s="3"/>
      <c r="UVY149" s="3"/>
      <c r="UVZ149" s="3"/>
      <c r="UWA149" s="3"/>
      <c r="UWB149" s="3"/>
      <c r="UWC149" s="3"/>
      <c r="UWD149" s="3"/>
      <c r="UWE149" s="3"/>
      <c r="UWF149" s="3"/>
      <c r="UWG149" s="3"/>
      <c r="UWH149" s="3"/>
      <c r="UWI149" s="3"/>
      <c r="UWJ149" s="3"/>
      <c r="UWK149" s="3"/>
      <c r="UWL149" s="3"/>
      <c r="UWM149" s="3"/>
      <c r="UWN149" s="3"/>
      <c r="UWO149" s="3"/>
      <c r="UWP149" s="3"/>
      <c r="UWQ149" s="3"/>
      <c r="UWR149" s="3"/>
      <c r="UWS149" s="3"/>
      <c r="UWT149" s="3"/>
      <c r="UWU149" s="3"/>
      <c r="UWV149" s="3"/>
      <c r="UWW149" s="3"/>
      <c r="UWX149" s="3"/>
      <c r="UWY149" s="3"/>
      <c r="UWZ149" s="3"/>
      <c r="UXA149" s="3"/>
      <c r="UXB149" s="3"/>
      <c r="UXC149" s="3"/>
      <c r="UXD149" s="3"/>
      <c r="UXE149" s="3"/>
      <c r="UXF149" s="3"/>
      <c r="UXG149" s="3"/>
      <c r="UXH149" s="3"/>
      <c r="UXI149" s="3"/>
      <c r="UXJ149" s="3"/>
      <c r="UXK149" s="3"/>
      <c r="UXL149" s="3"/>
      <c r="UXM149" s="3"/>
      <c r="UXN149" s="3"/>
      <c r="UXO149" s="3"/>
      <c r="UXP149" s="3"/>
      <c r="UXQ149" s="3"/>
      <c r="UXR149" s="3"/>
      <c r="UXS149" s="3"/>
      <c r="UXT149" s="3"/>
      <c r="UXU149" s="3"/>
      <c r="UXV149" s="3"/>
      <c r="UXW149" s="3"/>
      <c r="UXX149" s="3"/>
      <c r="UXY149" s="3"/>
      <c r="UXZ149" s="3"/>
      <c r="UYA149" s="3"/>
      <c r="UYB149" s="3"/>
      <c r="UYC149" s="3"/>
      <c r="UYD149" s="3"/>
      <c r="UYE149" s="3"/>
      <c r="UYF149" s="3"/>
      <c r="UYG149" s="3"/>
      <c r="UYH149" s="3"/>
      <c r="UYI149" s="3"/>
      <c r="UYJ149" s="3"/>
      <c r="UYK149" s="3"/>
      <c r="UYL149" s="3"/>
      <c r="UYM149" s="3"/>
      <c r="UYN149" s="3"/>
      <c r="UYO149" s="3"/>
      <c r="UYP149" s="3"/>
      <c r="UYQ149" s="3"/>
      <c r="UYR149" s="3"/>
      <c r="UYS149" s="3"/>
      <c r="UYT149" s="3"/>
      <c r="UYU149" s="3"/>
      <c r="UYV149" s="3"/>
      <c r="UYW149" s="3"/>
      <c r="UYX149" s="3"/>
      <c r="UYY149" s="3"/>
      <c r="UYZ149" s="3"/>
      <c r="UZA149" s="3"/>
      <c r="UZB149" s="3"/>
      <c r="UZC149" s="3"/>
      <c r="UZD149" s="3"/>
      <c r="UZE149" s="3"/>
      <c r="UZF149" s="3"/>
      <c r="UZG149" s="3"/>
      <c r="UZH149" s="3"/>
      <c r="UZI149" s="3"/>
      <c r="UZJ149" s="3"/>
      <c r="UZK149" s="3"/>
      <c r="UZL149" s="3"/>
      <c r="UZM149" s="3"/>
      <c r="UZN149" s="3"/>
      <c r="UZO149" s="3"/>
      <c r="UZP149" s="3"/>
      <c r="UZQ149" s="3"/>
      <c r="UZR149" s="3"/>
      <c r="UZS149" s="3"/>
      <c r="UZT149" s="3"/>
      <c r="UZU149" s="3"/>
      <c r="UZV149" s="3"/>
      <c r="UZW149" s="3"/>
      <c r="UZX149" s="3"/>
      <c r="UZY149" s="3"/>
      <c r="UZZ149" s="3"/>
      <c r="VAA149" s="3"/>
      <c r="VAB149" s="3"/>
      <c r="VAC149" s="3"/>
      <c r="VAD149" s="3"/>
      <c r="VAE149" s="3"/>
      <c r="VAF149" s="3"/>
      <c r="VAG149" s="3"/>
      <c r="VAH149" s="3"/>
      <c r="VAI149" s="3"/>
      <c r="VAJ149" s="3"/>
      <c r="VAK149" s="3"/>
      <c r="VAL149" s="3"/>
      <c r="VAM149" s="3"/>
      <c r="VAN149" s="3"/>
      <c r="VAO149" s="3"/>
      <c r="VAP149" s="3"/>
      <c r="VAQ149" s="3"/>
      <c r="VAR149" s="3"/>
      <c r="VAS149" s="3"/>
      <c r="VAT149" s="3"/>
      <c r="VAU149" s="3"/>
      <c r="VAV149" s="3"/>
      <c r="VAW149" s="3"/>
      <c r="VAX149" s="3"/>
      <c r="VAY149" s="3"/>
      <c r="VAZ149" s="3"/>
      <c r="VBA149" s="3"/>
      <c r="VBB149" s="3"/>
      <c r="VBC149" s="3"/>
      <c r="VBD149" s="3"/>
      <c r="VBE149" s="3"/>
      <c r="VBF149" s="3"/>
      <c r="VBG149" s="3"/>
      <c r="VBH149" s="3"/>
      <c r="VBI149" s="3"/>
      <c r="VBJ149" s="3"/>
      <c r="VBK149" s="3"/>
      <c r="VBL149" s="3"/>
      <c r="VBM149" s="3"/>
      <c r="VBN149" s="3"/>
      <c r="VBO149" s="3"/>
      <c r="VBP149" s="3"/>
      <c r="VBQ149" s="3"/>
      <c r="VBR149" s="3"/>
      <c r="VBS149" s="3"/>
      <c r="VBT149" s="3"/>
      <c r="VBU149" s="3"/>
      <c r="VBV149" s="3"/>
      <c r="VBW149" s="3"/>
      <c r="VBX149" s="3"/>
      <c r="VBY149" s="3"/>
      <c r="VBZ149" s="3"/>
      <c r="VCA149" s="3"/>
      <c r="VCB149" s="3"/>
      <c r="VCC149" s="3"/>
      <c r="VCD149" s="3"/>
      <c r="VCE149" s="3"/>
      <c r="VCF149" s="3"/>
      <c r="VCG149" s="3"/>
      <c r="VCH149" s="3"/>
      <c r="VCI149" s="3"/>
      <c r="VCJ149" s="3"/>
      <c r="VCK149" s="3"/>
      <c r="VCL149" s="3"/>
      <c r="VCM149" s="3"/>
      <c r="VCN149" s="3"/>
      <c r="VCO149" s="3"/>
      <c r="VCP149" s="3"/>
      <c r="VCQ149" s="3"/>
      <c r="VCR149" s="3"/>
      <c r="VCS149" s="3"/>
      <c r="VCT149" s="3"/>
      <c r="VCU149" s="3"/>
      <c r="VCV149" s="3"/>
      <c r="VCW149" s="3"/>
      <c r="VCX149" s="3"/>
      <c r="VCY149" s="3"/>
      <c r="VCZ149" s="3"/>
      <c r="VDA149" s="3"/>
      <c r="VDB149" s="3"/>
      <c r="VDC149" s="3"/>
      <c r="VDD149" s="3"/>
      <c r="VDE149" s="3"/>
      <c r="VDF149" s="3"/>
      <c r="VDG149" s="3"/>
      <c r="VDH149" s="3"/>
      <c r="VDI149" s="3"/>
      <c r="VDJ149" s="3"/>
      <c r="VDK149" s="3"/>
      <c r="VDL149" s="3"/>
      <c r="VDM149" s="3"/>
      <c r="VDN149" s="3"/>
      <c r="VDO149" s="3"/>
      <c r="VDP149" s="3"/>
      <c r="VDQ149" s="3"/>
      <c r="VDR149" s="3"/>
      <c r="VDS149" s="3"/>
      <c r="VDT149" s="3"/>
      <c r="VDU149" s="3"/>
      <c r="VDV149" s="3"/>
      <c r="VDW149" s="3"/>
      <c r="VDX149" s="3"/>
      <c r="VDY149" s="3"/>
      <c r="VDZ149" s="3"/>
      <c r="VEA149" s="3"/>
      <c r="VEB149" s="3"/>
      <c r="VEC149" s="3"/>
      <c r="VED149" s="3"/>
      <c r="VEE149" s="3"/>
      <c r="VEF149" s="3"/>
      <c r="VEG149" s="3"/>
      <c r="VEH149" s="3"/>
      <c r="VEI149" s="3"/>
      <c r="VEJ149" s="3"/>
      <c r="VEK149" s="3"/>
      <c r="VEL149" s="3"/>
      <c r="VEM149" s="3"/>
      <c r="VEN149" s="3"/>
      <c r="VEO149" s="3"/>
      <c r="VEP149" s="3"/>
      <c r="VEQ149" s="3"/>
      <c r="VER149" s="3"/>
      <c r="VES149" s="3"/>
      <c r="VET149" s="3"/>
      <c r="VEU149" s="3"/>
      <c r="VEV149" s="3"/>
      <c r="VEW149" s="3"/>
      <c r="VEX149" s="3"/>
      <c r="VEY149" s="3"/>
      <c r="VEZ149" s="3"/>
      <c r="VFA149" s="3"/>
      <c r="VFB149" s="3"/>
      <c r="VFC149" s="3"/>
      <c r="VFD149" s="3"/>
      <c r="VFE149" s="3"/>
      <c r="VFF149" s="3"/>
      <c r="VFG149" s="3"/>
      <c r="VFH149" s="3"/>
      <c r="VFI149" s="3"/>
      <c r="VFJ149" s="3"/>
      <c r="VFK149" s="3"/>
      <c r="VFL149" s="3"/>
      <c r="VFM149" s="3"/>
      <c r="VFN149" s="3"/>
      <c r="VFO149" s="3"/>
      <c r="VFP149" s="3"/>
      <c r="VFQ149" s="3"/>
      <c r="VFR149" s="3"/>
      <c r="VFS149" s="3"/>
      <c r="VFT149" s="3"/>
      <c r="VFU149" s="3"/>
      <c r="VFV149" s="3"/>
      <c r="VFW149" s="3"/>
      <c r="VFX149" s="3"/>
      <c r="VFY149" s="3"/>
      <c r="VFZ149" s="3"/>
      <c r="VGA149" s="3"/>
      <c r="VGB149" s="3"/>
      <c r="VGC149" s="3"/>
      <c r="VGD149" s="3"/>
      <c r="VGE149"/>
      <c r="VGF149"/>
      <c r="VGG149"/>
      <c r="VGH149"/>
      <c r="VGI149"/>
      <c r="VGJ149"/>
      <c r="VGK149"/>
      <c r="VGL149"/>
      <c r="VGM149"/>
      <c r="VGN149"/>
      <c r="VGO149"/>
      <c r="VGP149"/>
      <c r="VGQ149"/>
      <c r="VGR149"/>
      <c r="VGS149"/>
      <c r="VGT149"/>
      <c r="VGU149"/>
      <c r="VGV149"/>
      <c r="VGW149"/>
      <c r="VGX149"/>
      <c r="VGY149"/>
      <c r="VGZ149"/>
      <c r="VHA149"/>
      <c r="VHB149"/>
      <c r="VHC149"/>
      <c r="VHD149"/>
      <c r="VHE149"/>
      <c r="VHF149"/>
      <c r="VHG149"/>
      <c r="VHH149"/>
      <c r="VHI149"/>
      <c r="VHJ149"/>
      <c r="VHK149"/>
      <c r="VHL149"/>
      <c r="VHM149"/>
      <c r="VHN149"/>
      <c r="VHO149"/>
      <c r="VHP149"/>
      <c r="VHQ149"/>
      <c r="VHR149"/>
      <c r="VHS149"/>
      <c r="VHT149"/>
      <c r="VHU149"/>
      <c r="VHV149"/>
      <c r="VHW149"/>
      <c r="VHX149"/>
      <c r="VHY149"/>
      <c r="VHZ149"/>
      <c r="VIA149"/>
      <c r="VIB149"/>
      <c r="VIC149"/>
      <c r="VID149"/>
      <c r="VIE149"/>
      <c r="VIF149"/>
      <c r="VIG149"/>
      <c r="VIH149"/>
      <c r="VII149"/>
      <c r="VIJ149"/>
      <c r="VIK149"/>
      <c r="VIL149"/>
      <c r="VIM149"/>
      <c r="VIN149"/>
      <c r="VIO149"/>
      <c r="VIP149"/>
      <c r="VIQ149"/>
      <c r="VIR149"/>
      <c r="VIS149"/>
      <c r="VIT149"/>
      <c r="VIU149"/>
      <c r="VIV149"/>
      <c r="VIW149"/>
      <c r="VIX149"/>
      <c r="VIY149"/>
      <c r="VIZ149"/>
      <c r="VJA149"/>
      <c r="VJB149"/>
      <c r="VJC149"/>
      <c r="VJD149"/>
      <c r="VJE149"/>
      <c r="VJF149"/>
      <c r="VJG149"/>
      <c r="VJH149"/>
      <c r="VJI149"/>
      <c r="VJJ149"/>
      <c r="VJK149"/>
      <c r="VJL149"/>
      <c r="VJM149"/>
      <c r="VJN149"/>
      <c r="VJO149"/>
      <c r="VJP149"/>
      <c r="VJQ149"/>
      <c r="VJR149"/>
      <c r="VJS149"/>
      <c r="VJT149"/>
      <c r="VJU149"/>
      <c r="VJV149"/>
      <c r="VJW149"/>
      <c r="VJX149"/>
      <c r="VJY149"/>
      <c r="VJZ149"/>
      <c r="VKA149"/>
      <c r="VKB149"/>
      <c r="VKC149"/>
      <c r="VKD149"/>
      <c r="VKE149"/>
      <c r="VKF149"/>
      <c r="VKG149"/>
      <c r="VKH149"/>
      <c r="VKI149"/>
      <c r="VKJ149"/>
      <c r="VKK149"/>
      <c r="VKL149"/>
      <c r="VKM149"/>
      <c r="VKN149"/>
      <c r="VKO149"/>
      <c r="VKP149"/>
      <c r="VKQ149"/>
      <c r="VKR149"/>
      <c r="VKS149"/>
      <c r="VKT149"/>
      <c r="VKU149"/>
      <c r="VKV149"/>
      <c r="VKW149"/>
      <c r="VKX149"/>
      <c r="VKY149"/>
      <c r="VKZ149"/>
      <c r="VLA149"/>
      <c r="VLB149"/>
      <c r="VLC149"/>
      <c r="VLD149"/>
      <c r="VLE149"/>
      <c r="VLF149"/>
      <c r="VLG149"/>
      <c r="VLH149"/>
      <c r="VLI149"/>
      <c r="VLJ149"/>
      <c r="VLK149"/>
      <c r="VLL149"/>
      <c r="VLM149"/>
      <c r="VLN149"/>
      <c r="VLO149"/>
      <c r="VLP149"/>
      <c r="VLQ149"/>
      <c r="VLR149"/>
      <c r="VLS149"/>
      <c r="VLT149"/>
      <c r="VLU149"/>
      <c r="VLV149"/>
      <c r="VLW149"/>
      <c r="VLX149"/>
      <c r="VLY149"/>
      <c r="VLZ149"/>
      <c r="VMA149"/>
      <c r="VMB149"/>
      <c r="VMC149"/>
      <c r="VMD149"/>
      <c r="VME149"/>
      <c r="VMF149"/>
      <c r="VMG149"/>
      <c r="VMH149"/>
      <c r="VMI149"/>
      <c r="VMJ149"/>
      <c r="VMK149"/>
      <c r="VML149"/>
      <c r="VMM149"/>
      <c r="VMN149"/>
      <c r="VMO149"/>
      <c r="VMP149"/>
      <c r="VMQ149"/>
      <c r="VMR149"/>
      <c r="VMS149"/>
      <c r="VMT149"/>
      <c r="VMU149"/>
      <c r="VMV149"/>
      <c r="VMW149"/>
      <c r="VMX149"/>
      <c r="VMY149"/>
      <c r="VMZ149"/>
      <c r="VNA149"/>
      <c r="VNB149"/>
      <c r="VNC149"/>
      <c r="VND149"/>
      <c r="VNE149"/>
      <c r="VNF149"/>
      <c r="VNG149"/>
      <c r="VNH149"/>
      <c r="VNI149"/>
      <c r="VNJ149"/>
      <c r="VNK149"/>
      <c r="VNL149"/>
      <c r="VNM149"/>
      <c r="VNN149"/>
      <c r="VNO149"/>
      <c r="VNP149"/>
      <c r="VNQ149"/>
      <c r="VNR149"/>
      <c r="VNS149"/>
      <c r="VNT149"/>
      <c r="VNU149"/>
      <c r="VNV149"/>
      <c r="VNW149"/>
      <c r="VNX149"/>
      <c r="VNY149"/>
      <c r="VNZ149"/>
      <c r="VOA149"/>
      <c r="VOB149"/>
      <c r="VOC149"/>
      <c r="VOD149"/>
      <c r="VOE149"/>
      <c r="VOF149"/>
      <c r="VOG149"/>
      <c r="VOH149"/>
      <c r="VOI149"/>
      <c r="VOJ149"/>
      <c r="VOK149"/>
      <c r="VOL149"/>
      <c r="VOM149"/>
      <c r="VON149"/>
      <c r="VOO149"/>
      <c r="VOP149"/>
      <c r="VOQ149"/>
      <c r="VOR149"/>
      <c r="VOS149"/>
      <c r="VOT149"/>
      <c r="VOU149"/>
      <c r="VOV149"/>
      <c r="VOW149"/>
      <c r="VOX149"/>
      <c r="VOY149"/>
      <c r="VOZ149"/>
      <c r="VPA149"/>
      <c r="VPB149"/>
      <c r="VPC149"/>
      <c r="VPD149"/>
      <c r="VPE149"/>
      <c r="VPF149"/>
      <c r="VPG149"/>
      <c r="VPH149"/>
      <c r="VPI149"/>
      <c r="VPJ149"/>
      <c r="VPK149"/>
      <c r="VPL149"/>
      <c r="VPM149"/>
      <c r="VPN149"/>
      <c r="VPO149"/>
      <c r="VPP149"/>
      <c r="VPQ149"/>
      <c r="VPR149"/>
      <c r="VPS149"/>
      <c r="VPT149"/>
      <c r="VPU149"/>
      <c r="VPV149"/>
      <c r="VPW149"/>
      <c r="VPX149"/>
      <c r="VPY149"/>
      <c r="VPZ149"/>
      <c r="VQA149"/>
      <c r="VQB149"/>
      <c r="VQC149"/>
      <c r="VQD149"/>
      <c r="VQE149"/>
      <c r="VQF149"/>
      <c r="VQG149"/>
      <c r="VQH149"/>
      <c r="VQI149"/>
      <c r="VQJ149"/>
      <c r="VQK149"/>
      <c r="VQL149"/>
      <c r="VQM149"/>
      <c r="VQN149"/>
      <c r="VQO149"/>
      <c r="VQP149"/>
      <c r="VQQ149"/>
      <c r="VQR149"/>
      <c r="VQS149"/>
      <c r="VQT149"/>
      <c r="VQU149"/>
      <c r="VQV149"/>
      <c r="VQW149"/>
      <c r="VQX149"/>
      <c r="VQY149"/>
      <c r="VQZ149"/>
      <c r="VRA149"/>
      <c r="VRB149"/>
      <c r="VRC149"/>
      <c r="VRD149"/>
      <c r="VRE149"/>
      <c r="VRF149"/>
      <c r="VRG149"/>
      <c r="VRH149"/>
      <c r="VRI149"/>
      <c r="VRJ149"/>
      <c r="VRK149"/>
      <c r="VRL149"/>
      <c r="VRM149"/>
      <c r="VRN149"/>
      <c r="VRO149"/>
      <c r="VRP149"/>
      <c r="VRQ149"/>
      <c r="VRR149"/>
      <c r="VRS149"/>
      <c r="VRT149"/>
      <c r="VRU149"/>
      <c r="VRV149"/>
      <c r="VRW149"/>
      <c r="VRX149"/>
      <c r="VRY149"/>
      <c r="VRZ149"/>
      <c r="VSA149"/>
      <c r="VSB149"/>
      <c r="VSC149"/>
      <c r="VSD149"/>
      <c r="VSE149"/>
      <c r="VSF149"/>
      <c r="VSG149"/>
      <c r="VSH149"/>
      <c r="VSI149"/>
      <c r="VSJ149"/>
      <c r="VSK149"/>
      <c r="VSL149"/>
      <c r="VSM149"/>
      <c r="VSN149"/>
      <c r="VSO149"/>
      <c r="VSP149"/>
      <c r="VSQ149"/>
      <c r="VSR149"/>
      <c r="VSS149"/>
      <c r="VST149"/>
      <c r="VSU149"/>
      <c r="VSV149"/>
      <c r="VSW149"/>
      <c r="VSX149"/>
      <c r="VSY149"/>
      <c r="VSZ149"/>
      <c r="VTA149"/>
      <c r="VTB149"/>
      <c r="VTC149"/>
      <c r="VTD149"/>
      <c r="VTE149"/>
      <c r="VTF149"/>
      <c r="VTG149"/>
      <c r="VTH149"/>
      <c r="VTI149"/>
      <c r="VTJ149"/>
      <c r="VTK149"/>
      <c r="VTL149"/>
      <c r="VTM149"/>
      <c r="VTN149"/>
      <c r="VTO149"/>
      <c r="VTP149"/>
      <c r="VTQ149"/>
      <c r="VTR149"/>
      <c r="VTS149"/>
      <c r="VTT149"/>
      <c r="VTU149"/>
      <c r="VTV149"/>
      <c r="VTW149"/>
      <c r="VTX149"/>
      <c r="VTY149"/>
      <c r="VTZ149"/>
      <c r="VUA149"/>
      <c r="VUB149"/>
      <c r="VUC149"/>
      <c r="VUD149"/>
      <c r="VUE149"/>
      <c r="VUF149"/>
      <c r="VUG149"/>
      <c r="VUH149"/>
      <c r="VUI149"/>
      <c r="VUJ149"/>
      <c r="VUK149"/>
      <c r="VUL149"/>
      <c r="VUM149"/>
      <c r="VUN149"/>
      <c r="VUO149"/>
      <c r="VUP149"/>
      <c r="VUQ149"/>
      <c r="VUR149"/>
      <c r="VUS149"/>
      <c r="VUT149"/>
      <c r="VUU149"/>
      <c r="VUV149"/>
      <c r="VUW149"/>
      <c r="VUX149"/>
      <c r="VUY149"/>
      <c r="VUZ149"/>
      <c r="VVA149"/>
      <c r="VVB149"/>
      <c r="VVC149"/>
      <c r="VVD149"/>
      <c r="VVE149"/>
      <c r="VVF149"/>
      <c r="VVG149"/>
    </row>
    <row r="150" spans="1:15451" s="1" customFormat="1" ht="14.25" hidden="1">
      <c r="B150" s="55"/>
      <c r="C150" s="218" t="s">
        <v>67</v>
      </c>
      <c r="D150" s="59"/>
      <c r="E150" s="55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105"/>
      <c r="AL150" s="153" t="s">
        <v>67</v>
      </c>
      <c r="AN150" s="106"/>
      <c r="EB150" s="233"/>
      <c r="EC150" s="233"/>
      <c r="FI150" s="233"/>
    </row>
    <row r="151" spans="1:15451" s="1" customFormat="1" ht="14.25" hidden="1">
      <c r="B151" s="55"/>
      <c r="C151" s="137" t="s">
        <v>116</v>
      </c>
      <c r="D151" s="54">
        <v>0.3</v>
      </c>
      <c r="E151" s="219" t="s">
        <v>12</v>
      </c>
      <c r="F151" s="71">
        <f t="shared" ref="F151:AJ151" si="114">F144/F133*100</f>
        <v>0</v>
      </c>
      <c r="G151" s="71" t="e">
        <f t="shared" si="114"/>
        <v>#DIV/0!</v>
      </c>
      <c r="H151" s="71" t="e">
        <f t="shared" si="114"/>
        <v>#DIV/0!</v>
      </c>
      <c r="I151" s="71" t="e">
        <f t="shared" si="114"/>
        <v>#DIV/0!</v>
      </c>
      <c r="J151" s="71" t="e">
        <f t="shared" si="114"/>
        <v>#DIV/0!</v>
      </c>
      <c r="K151" s="71" t="e">
        <f t="shared" si="114"/>
        <v>#DIV/0!</v>
      </c>
      <c r="L151" s="71" t="e">
        <f t="shared" si="114"/>
        <v>#DIV/0!</v>
      </c>
      <c r="M151" s="71" t="e">
        <f t="shared" si="114"/>
        <v>#DIV/0!</v>
      </c>
      <c r="N151" s="71" t="e">
        <f t="shared" si="114"/>
        <v>#DIV/0!</v>
      </c>
      <c r="O151" s="71" t="e">
        <f t="shared" si="114"/>
        <v>#DIV/0!</v>
      </c>
      <c r="P151" s="71" t="e">
        <f t="shared" si="114"/>
        <v>#DIV/0!</v>
      </c>
      <c r="Q151" s="71" t="e">
        <f t="shared" si="114"/>
        <v>#DIV/0!</v>
      </c>
      <c r="R151" s="71" t="e">
        <f t="shared" si="114"/>
        <v>#DIV/0!</v>
      </c>
      <c r="S151" s="71" t="e">
        <f t="shared" si="114"/>
        <v>#DIV/0!</v>
      </c>
      <c r="T151" s="71" t="e">
        <f t="shared" si="114"/>
        <v>#DIV/0!</v>
      </c>
      <c r="U151" s="71" t="e">
        <f t="shared" si="114"/>
        <v>#DIV/0!</v>
      </c>
      <c r="V151" s="71" t="e">
        <f t="shared" si="114"/>
        <v>#DIV/0!</v>
      </c>
      <c r="W151" s="71" t="e">
        <f t="shared" si="114"/>
        <v>#DIV/0!</v>
      </c>
      <c r="X151" s="71" t="e">
        <f t="shared" si="114"/>
        <v>#DIV/0!</v>
      </c>
      <c r="Y151" s="71" t="e">
        <f t="shared" si="114"/>
        <v>#DIV/0!</v>
      </c>
      <c r="Z151" s="71" t="e">
        <f t="shared" si="114"/>
        <v>#DIV/0!</v>
      </c>
      <c r="AA151" s="71" t="e">
        <f t="shared" si="114"/>
        <v>#DIV/0!</v>
      </c>
      <c r="AB151" s="71" t="e">
        <f t="shared" si="114"/>
        <v>#DIV/0!</v>
      </c>
      <c r="AC151" s="71" t="e">
        <f t="shared" si="114"/>
        <v>#DIV/0!</v>
      </c>
      <c r="AD151" s="71" t="e">
        <f t="shared" si="114"/>
        <v>#DIV/0!</v>
      </c>
      <c r="AE151" s="71" t="e">
        <f t="shared" ref="AE151:AG151" si="115">AE144/AE133*100</f>
        <v>#DIV/0!</v>
      </c>
      <c r="AF151" s="71" t="e">
        <f t="shared" si="115"/>
        <v>#DIV/0!</v>
      </c>
      <c r="AG151" s="71" t="e">
        <f t="shared" si="115"/>
        <v>#DIV/0!</v>
      </c>
      <c r="AH151" s="71" t="e">
        <f t="shared" si="114"/>
        <v>#DIV/0!</v>
      </c>
      <c r="AI151" s="71" t="e">
        <f t="shared" si="114"/>
        <v>#DIV/0!</v>
      </c>
      <c r="AJ151" s="71" t="e">
        <f t="shared" si="114"/>
        <v>#DIV/0!</v>
      </c>
      <c r="AK151" s="105"/>
      <c r="AL151" s="107">
        <f>AL144/AL133*100</f>
        <v>0</v>
      </c>
      <c r="AN151" s="106"/>
      <c r="EB151" s="233"/>
      <c r="EC151" s="233"/>
      <c r="FI151" s="233"/>
    </row>
    <row r="152" spans="1:15451" s="1" customFormat="1" ht="14.25" hidden="1">
      <c r="B152" s="55"/>
      <c r="C152" s="137" t="s">
        <v>117</v>
      </c>
      <c r="D152" s="54">
        <v>0.3</v>
      </c>
      <c r="E152" s="219" t="s">
        <v>12</v>
      </c>
      <c r="F152" s="71" t="e">
        <f t="shared" ref="F152:AJ152" si="116">F145/F135*100</f>
        <v>#DIV/0!</v>
      </c>
      <c r="G152" s="71" t="e">
        <f t="shared" si="116"/>
        <v>#DIV/0!</v>
      </c>
      <c r="H152" s="71" t="e">
        <f t="shared" si="116"/>
        <v>#DIV/0!</v>
      </c>
      <c r="I152" s="71" t="e">
        <f t="shared" si="116"/>
        <v>#DIV/0!</v>
      </c>
      <c r="J152" s="71" t="e">
        <f t="shared" si="116"/>
        <v>#DIV/0!</v>
      </c>
      <c r="K152" s="71" t="e">
        <f t="shared" si="116"/>
        <v>#DIV/0!</v>
      </c>
      <c r="L152" s="71" t="e">
        <f t="shared" si="116"/>
        <v>#DIV/0!</v>
      </c>
      <c r="M152" s="71" t="e">
        <f t="shared" si="116"/>
        <v>#DIV/0!</v>
      </c>
      <c r="N152" s="71" t="e">
        <f t="shared" si="116"/>
        <v>#DIV/0!</v>
      </c>
      <c r="O152" s="71" t="e">
        <f t="shared" si="116"/>
        <v>#DIV/0!</v>
      </c>
      <c r="P152" s="71" t="e">
        <f t="shared" si="116"/>
        <v>#DIV/0!</v>
      </c>
      <c r="Q152" s="71" t="e">
        <f t="shared" si="116"/>
        <v>#DIV/0!</v>
      </c>
      <c r="R152" s="71" t="e">
        <f t="shared" si="116"/>
        <v>#DIV/0!</v>
      </c>
      <c r="S152" s="71" t="e">
        <f t="shared" si="116"/>
        <v>#DIV/0!</v>
      </c>
      <c r="T152" s="71" t="e">
        <f t="shared" si="116"/>
        <v>#DIV/0!</v>
      </c>
      <c r="U152" s="71" t="e">
        <f t="shared" si="116"/>
        <v>#DIV/0!</v>
      </c>
      <c r="V152" s="71" t="e">
        <f t="shared" si="116"/>
        <v>#DIV/0!</v>
      </c>
      <c r="W152" s="71" t="e">
        <f t="shared" si="116"/>
        <v>#DIV/0!</v>
      </c>
      <c r="X152" s="71" t="e">
        <f t="shared" si="116"/>
        <v>#DIV/0!</v>
      </c>
      <c r="Y152" s="71" t="e">
        <f t="shared" si="116"/>
        <v>#DIV/0!</v>
      </c>
      <c r="Z152" s="71" t="e">
        <f t="shared" si="116"/>
        <v>#DIV/0!</v>
      </c>
      <c r="AA152" s="71" t="e">
        <f t="shared" si="116"/>
        <v>#DIV/0!</v>
      </c>
      <c r="AB152" s="71" t="e">
        <f t="shared" si="116"/>
        <v>#DIV/0!</v>
      </c>
      <c r="AC152" s="71" t="e">
        <f t="shared" si="116"/>
        <v>#DIV/0!</v>
      </c>
      <c r="AD152" s="71" t="e">
        <f t="shared" si="116"/>
        <v>#DIV/0!</v>
      </c>
      <c r="AE152" s="71" t="e">
        <f t="shared" ref="AE152:AG152" si="117">AE145/AE135*100</f>
        <v>#DIV/0!</v>
      </c>
      <c r="AF152" s="71" t="e">
        <f t="shared" si="117"/>
        <v>#DIV/0!</v>
      </c>
      <c r="AG152" s="71" t="e">
        <f t="shared" si="117"/>
        <v>#DIV/0!</v>
      </c>
      <c r="AH152" s="71" t="e">
        <f t="shared" si="116"/>
        <v>#DIV/0!</v>
      </c>
      <c r="AI152" s="71" t="e">
        <f t="shared" si="116"/>
        <v>#DIV/0!</v>
      </c>
      <c r="AJ152" s="71" t="e">
        <f t="shared" si="116"/>
        <v>#DIV/0!</v>
      </c>
      <c r="AK152" s="105"/>
      <c r="AL152" s="107" t="e">
        <f>AL145/AL135*100</f>
        <v>#DIV/0!</v>
      </c>
      <c r="AN152" s="106"/>
      <c r="EB152" s="233"/>
      <c r="EC152" s="233"/>
      <c r="FI152" s="233"/>
    </row>
    <row r="153" spans="1:15451" s="1" customFormat="1" ht="14.25" hidden="1">
      <c r="B153" s="55"/>
      <c r="C153" s="218" t="s">
        <v>71</v>
      </c>
      <c r="D153" s="54"/>
      <c r="E153" s="55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105"/>
      <c r="AL153" s="153" t="s">
        <v>71</v>
      </c>
      <c r="AN153" s="106"/>
      <c r="EB153" s="233"/>
      <c r="EC153" s="233"/>
      <c r="FI153" s="233"/>
    </row>
    <row r="154" spans="1:15451" s="1" customFormat="1" ht="14.25" hidden="1">
      <c r="B154" s="55"/>
      <c r="C154" s="137" t="s">
        <v>116</v>
      </c>
      <c r="D154" s="54">
        <v>0.5</v>
      </c>
      <c r="E154" s="219" t="s">
        <v>12</v>
      </c>
      <c r="F154" s="71">
        <f t="shared" ref="F154:AJ154" si="118">F147/F137*100</f>
        <v>0</v>
      </c>
      <c r="G154" s="71" t="e">
        <f t="shared" si="118"/>
        <v>#DIV/0!</v>
      </c>
      <c r="H154" s="71" t="e">
        <f t="shared" si="118"/>
        <v>#DIV/0!</v>
      </c>
      <c r="I154" s="71" t="e">
        <f t="shared" si="118"/>
        <v>#DIV/0!</v>
      </c>
      <c r="J154" s="71" t="e">
        <f t="shared" si="118"/>
        <v>#DIV/0!</v>
      </c>
      <c r="K154" s="71" t="e">
        <f t="shared" si="118"/>
        <v>#DIV/0!</v>
      </c>
      <c r="L154" s="71" t="e">
        <f t="shared" si="118"/>
        <v>#DIV/0!</v>
      </c>
      <c r="M154" s="71" t="e">
        <f t="shared" si="118"/>
        <v>#DIV/0!</v>
      </c>
      <c r="N154" s="71" t="e">
        <f t="shared" si="118"/>
        <v>#DIV/0!</v>
      </c>
      <c r="O154" s="71" t="e">
        <f t="shared" si="118"/>
        <v>#DIV/0!</v>
      </c>
      <c r="P154" s="71" t="e">
        <f t="shared" si="118"/>
        <v>#DIV/0!</v>
      </c>
      <c r="Q154" s="71" t="e">
        <f t="shared" si="118"/>
        <v>#DIV/0!</v>
      </c>
      <c r="R154" s="71" t="e">
        <f t="shared" si="118"/>
        <v>#DIV/0!</v>
      </c>
      <c r="S154" s="71" t="e">
        <f t="shared" si="118"/>
        <v>#DIV/0!</v>
      </c>
      <c r="T154" s="71" t="e">
        <f t="shared" si="118"/>
        <v>#DIV/0!</v>
      </c>
      <c r="U154" s="71" t="e">
        <f t="shared" si="118"/>
        <v>#DIV/0!</v>
      </c>
      <c r="V154" s="71" t="e">
        <f t="shared" si="118"/>
        <v>#DIV/0!</v>
      </c>
      <c r="W154" s="71" t="e">
        <f t="shared" si="118"/>
        <v>#DIV/0!</v>
      </c>
      <c r="X154" s="71" t="e">
        <f t="shared" si="118"/>
        <v>#DIV/0!</v>
      </c>
      <c r="Y154" s="71" t="e">
        <f t="shared" si="118"/>
        <v>#DIV/0!</v>
      </c>
      <c r="Z154" s="71" t="e">
        <f t="shared" si="118"/>
        <v>#DIV/0!</v>
      </c>
      <c r="AA154" s="71" t="e">
        <f t="shared" si="118"/>
        <v>#DIV/0!</v>
      </c>
      <c r="AB154" s="71" t="e">
        <f t="shared" si="118"/>
        <v>#DIV/0!</v>
      </c>
      <c r="AC154" s="71" t="e">
        <f t="shared" si="118"/>
        <v>#DIV/0!</v>
      </c>
      <c r="AD154" s="71" t="e">
        <f t="shared" si="118"/>
        <v>#DIV/0!</v>
      </c>
      <c r="AE154" s="71" t="e">
        <f t="shared" ref="AE154:AG154" si="119">AE147/AE137*100</f>
        <v>#DIV/0!</v>
      </c>
      <c r="AF154" s="71" t="e">
        <f t="shared" si="119"/>
        <v>#DIV/0!</v>
      </c>
      <c r="AG154" s="71" t="e">
        <f t="shared" si="119"/>
        <v>#DIV/0!</v>
      </c>
      <c r="AH154" s="71" t="e">
        <f t="shared" si="118"/>
        <v>#DIV/0!</v>
      </c>
      <c r="AI154" s="71" t="e">
        <f t="shared" si="118"/>
        <v>#DIV/0!</v>
      </c>
      <c r="AJ154" s="71" t="e">
        <f t="shared" si="118"/>
        <v>#DIV/0!</v>
      </c>
      <c r="AK154" s="105"/>
      <c r="AL154" s="107">
        <f>AL147/AL137*100</f>
        <v>0</v>
      </c>
      <c r="AN154" s="106"/>
      <c r="EB154" s="233"/>
      <c r="EC154" s="233"/>
      <c r="FI154" s="233"/>
    </row>
    <row r="155" spans="1:15451" s="1" customFormat="1" ht="14.25" hidden="1">
      <c r="B155" s="55"/>
      <c r="C155" s="137" t="s">
        <v>117</v>
      </c>
      <c r="D155" s="54">
        <v>0.5</v>
      </c>
      <c r="E155" s="219" t="s">
        <v>12</v>
      </c>
      <c r="F155" s="71" t="e">
        <f t="shared" ref="F155:AJ155" si="120">F148/F139*100</f>
        <v>#DIV/0!</v>
      </c>
      <c r="G155" s="71" t="e">
        <f t="shared" si="120"/>
        <v>#DIV/0!</v>
      </c>
      <c r="H155" s="71" t="e">
        <f t="shared" si="120"/>
        <v>#DIV/0!</v>
      </c>
      <c r="I155" s="71" t="e">
        <f t="shared" si="120"/>
        <v>#DIV/0!</v>
      </c>
      <c r="J155" s="71" t="e">
        <f t="shared" si="120"/>
        <v>#DIV/0!</v>
      </c>
      <c r="K155" s="71" t="e">
        <f t="shared" si="120"/>
        <v>#DIV/0!</v>
      </c>
      <c r="L155" s="71" t="e">
        <f t="shared" si="120"/>
        <v>#DIV/0!</v>
      </c>
      <c r="M155" s="71" t="e">
        <f t="shared" si="120"/>
        <v>#DIV/0!</v>
      </c>
      <c r="N155" s="71" t="e">
        <f t="shared" si="120"/>
        <v>#DIV/0!</v>
      </c>
      <c r="O155" s="71" t="e">
        <f t="shared" si="120"/>
        <v>#DIV/0!</v>
      </c>
      <c r="P155" s="71" t="e">
        <f t="shared" si="120"/>
        <v>#DIV/0!</v>
      </c>
      <c r="Q155" s="71" t="e">
        <f t="shared" si="120"/>
        <v>#DIV/0!</v>
      </c>
      <c r="R155" s="71" t="e">
        <f t="shared" si="120"/>
        <v>#DIV/0!</v>
      </c>
      <c r="S155" s="71" t="e">
        <f t="shared" si="120"/>
        <v>#DIV/0!</v>
      </c>
      <c r="T155" s="71" t="e">
        <f t="shared" si="120"/>
        <v>#DIV/0!</v>
      </c>
      <c r="U155" s="71" t="e">
        <f t="shared" si="120"/>
        <v>#DIV/0!</v>
      </c>
      <c r="V155" s="71" t="e">
        <f t="shared" si="120"/>
        <v>#DIV/0!</v>
      </c>
      <c r="W155" s="71" t="e">
        <f t="shared" si="120"/>
        <v>#DIV/0!</v>
      </c>
      <c r="X155" s="71" t="e">
        <f t="shared" si="120"/>
        <v>#DIV/0!</v>
      </c>
      <c r="Y155" s="71" t="e">
        <f t="shared" si="120"/>
        <v>#DIV/0!</v>
      </c>
      <c r="Z155" s="71" t="e">
        <f t="shared" si="120"/>
        <v>#DIV/0!</v>
      </c>
      <c r="AA155" s="71" t="e">
        <f t="shared" si="120"/>
        <v>#DIV/0!</v>
      </c>
      <c r="AB155" s="71" t="e">
        <f t="shared" si="120"/>
        <v>#DIV/0!</v>
      </c>
      <c r="AC155" s="71" t="e">
        <f t="shared" si="120"/>
        <v>#DIV/0!</v>
      </c>
      <c r="AD155" s="71" t="e">
        <f t="shared" si="120"/>
        <v>#DIV/0!</v>
      </c>
      <c r="AE155" s="71" t="e">
        <f t="shared" ref="AE155:AG155" si="121">AE148/AE139*100</f>
        <v>#DIV/0!</v>
      </c>
      <c r="AF155" s="71" t="e">
        <f t="shared" si="121"/>
        <v>#DIV/0!</v>
      </c>
      <c r="AG155" s="71" t="e">
        <f t="shared" si="121"/>
        <v>#DIV/0!</v>
      </c>
      <c r="AH155" s="71" t="e">
        <f t="shared" si="120"/>
        <v>#DIV/0!</v>
      </c>
      <c r="AI155" s="71" t="e">
        <f t="shared" si="120"/>
        <v>#DIV/0!</v>
      </c>
      <c r="AJ155" s="71" t="e">
        <f t="shared" si="120"/>
        <v>#DIV/0!</v>
      </c>
      <c r="AK155" s="105"/>
      <c r="AL155" s="107" t="e">
        <f>AL148/AL139*100</f>
        <v>#DIV/0!</v>
      </c>
      <c r="AN155" s="106"/>
      <c r="EB155" s="233"/>
      <c r="EC155" s="233"/>
      <c r="FI155" s="233"/>
    </row>
    <row r="156" spans="1:15451">
      <c r="B156" s="38">
        <v>8</v>
      </c>
      <c r="C156" s="202" t="s">
        <v>82</v>
      </c>
      <c r="D156" s="39"/>
      <c r="E156" s="68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111"/>
      <c r="AL156" s="118" t="s">
        <v>83</v>
      </c>
    </row>
    <row r="157" spans="1:15451" s="1" customFormat="1">
      <c r="B157" s="45"/>
      <c r="C157" s="199" t="s">
        <v>84</v>
      </c>
      <c r="D157" s="59"/>
      <c r="E157" s="219" t="s">
        <v>85</v>
      </c>
      <c r="F157" s="145">
        <v>1502.8043</v>
      </c>
      <c r="G157" s="141">
        <v>1396.8176000000001</v>
      </c>
      <c r="H157" s="141">
        <v>1322.7433000000001</v>
      </c>
      <c r="I157" s="145">
        <v>1294.4993999999999</v>
      </c>
      <c r="J157" s="147">
        <v>1222.0609999999999</v>
      </c>
      <c r="K157" s="147">
        <v>1234.5340000000001</v>
      </c>
      <c r="L157" s="147">
        <v>1253.4305999999999</v>
      </c>
      <c r="M157" s="147">
        <v>1240.6657</v>
      </c>
      <c r="N157" s="145">
        <v>1274.1391000000001</v>
      </c>
      <c r="O157" s="145">
        <v>1401.2985000000001</v>
      </c>
      <c r="P157" s="145">
        <v>1282.7826</v>
      </c>
      <c r="Q157" s="147">
        <v>1265.6341</v>
      </c>
      <c r="R157" s="145">
        <v>1308.0842</v>
      </c>
      <c r="S157" s="145">
        <v>1344.3688999999999</v>
      </c>
      <c r="T157" s="145">
        <v>1292.7325000000001</v>
      </c>
      <c r="U157" s="268">
        <v>1210.1569999999999</v>
      </c>
      <c r="V157" s="147">
        <v>1174.2129</v>
      </c>
      <c r="W157" s="145">
        <v>1333.2023999999999</v>
      </c>
      <c r="X157" s="145">
        <v>1336.7062000000001</v>
      </c>
      <c r="Y157" s="145">
        <v>1291.2127</v>
      </c>
      <c r="Z157" s="147">
        <v>1267.0117</v>
      </c>
      <c r="AA157" s="147">
        <v>1249.6124</v>
      </c>
      <c r="AB157" s="145">
        <v>1316.2111</v>
      </c>
      <c r="AC157" s="147">
        <v>1253.4305999999999</v>
      </c>
      <c r="AD157" s="145">
        <v>1504.5675000000001</v>
      </c>
      <c r="AE157" s="145">
        <v>1497.4849999999999</v>
      </c>
      <c r="AF157" s="145">
        <v>1294.4993999999999</v>
      </c>
      <c r="AG157" s="145">
        <v>1403.2412999999999</v>
      </c>
      <c r="AH157" s="147">
        <v>1264.5074</v>
      </c>
      <c r="AI157" s="145">
        <v>1415.0779</v>
      </c>
      <c r="AJ157" s="145">
        <v>1488.3586</v>
      </c>
      <c r="AK157" s="105"/>
      <c r="AL157" s="158">
        <f>SUM(F157:AJ157)</f>
        <v>40936.089899999999</v>
      </c>
      <c r="AN157" s="106"/>
      <c r="EB157" s="233"/>
      <c r="EC157" s="233"/>
      <c r="FI157" s="233"/>
    </row>
    <row r="158" spans="1:15451" s="5" customFormat="1">
      <c r="B158" s="60"/>
      <c r="C158" s="204" t="s">
        <v>86</v>
      </c>
      <c r="D158" s="142">
        <v>1269.566</v>
      </c>
      <c r="E158" s="205" t="s">
        <v>85</v>
      </c>
      <c r="F158" s="147">
        <v>1304.4603</v>
      </c>
      <c r="G158" s="143">
        <v>1220.6975</v>
      </c>
      <c r="H158" s="143">
        <v>1206.6763000000001</v>
      </c>
      <c r="I158" s="147">
        <v>1132.2126000000001</v>
      </c>
      <c r="J158" s="143">
        <v>1156.8248000000001</v>
      </c>
      <c r="K158" s="146">
        <v>1167.6333</v>
      </c>
      <c r="L158" s="146">
        <v>1157.5918999999999</v>
      </c>
      <c r="M158" s="147">
        <v>1188.3851</v>
      </c>
      <c r="N158" s="145">
        <v>1310.6759999999999</v>
      </c>
      <c r="O158" s="147">
        <v>1202.337</v>
      </c>
      <c r="P158" s="147">
        <v>1181.4259999999999</v>
      </c>
      <c r="Q158" s="147">
        <v>1241.2547</v>
      </c>
      <c r="R158" s="145">
        <v>1285.1306999999999</v>
      </c>
      <c r="S158" s="147">
        <v>1203.5526</v>
      </c>
      <c r="T158" s="147">
        <v>1140.8494000000001</v>
      </c>
      <c r="U158" s="147">
        <v>1046.5509</v>
      </c>
      <c r="V158" s="147">
        <v>1250.6505</v>
      </c>
      <c r="W158" s="147">
        <v>1262.1547</v>
      </c>
      <c r="X158" s="147">
        <v>1223.3655000000001</v>
      </c>
      <c r="Y158" s="147">
        <v>1190.9671000000001</v>
      </c>
      <c r="Z158" s="147">
        <v>1167.0632000000001</v>
      </c>
      <c r="AA158" s="147">
        <v>1228.0360000000001</v>
      </c>
      <c r="AB158" s="145">
        <v>1233.4280000000001</v>
      </c>
      <c r="AC158" s="145">
        <v>1449.6298999999999</v>
      </c>
      <c r="AD158" s="145">
        <v>1416.3779999999999</v>
      </c>
      <c r="AE158" s="145">
        <v>1398.5327</v>
      </c>
      <c r="AF158" s="145">
        <v>1352.2295999999999</v>
      </c>
      <c r="AG158" s="282">
        <v>1199.2058</v>
      </c>
      <c r="AH158" s="145">
        <v>1350.5369000000001</v>
      </c>
      <c r="AI158" s="145">
        <v>1413.3068000000001</v>
      </c>
      <c r="AJ158" s="275">
        <v>1464.7344000000001</v>
      </c>
      <c r="AL158" s="159">
        <f>SUM(F158:AJ158)</f>
        <v>38746.478199999998</v>
      </c>
      <c r="AN158" s="258">
        <f>AL158/AL30</f>
        <v>1249.8863935483871</v>
      </c>
      <c r="EB158" s="276"/>
      <c r="EC158" s="276"/>
      <c r="FI158" s="276"/>
    </row>
    <row r="159" spans="1:15451">
      <c r="B159" s="61"/>
      <c r="C159" s="222" t="s">
        <v>87</v>
      </c>
      <c r="D159" s="59"/>
      <c r="E159" s="61"/>
      <c r="F159" s="147"/>
      <c r="G159" s="143"/>
      <c r="H159" s="143"/>
      <c r="I159" s="44"/>
      <c r="J159" s="143"/>
      <c r="K159" s="146"/>
      <c r="L159" s="146"/>
      <c r="M159" s="44"/>
      <c r="N159" s="44"/>
      <c r="O159" s="44"/>
      <c r="P159" s="44"/>
      <c r="Q159" s="171"/>
      <c r="R159" s="171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71"/>
      <c r="AD159" s="71"/>
      <c r="AE159" s="71"/>
      <c r="AF159" s="71"/>
      <c r="AG159" s="71"/>
      <c r="AH159" s="71"/>
      <c r="AI159" s="71"/>
      <c r="AJ159" s="71"/>
      <c r="AK159" s="111"/>
      <c r="AL159" s="180" t="s">
        <v>87</v>
      </c>
    </row>
    <row r="160" spans="1:15451">
      <c r="B160" s="61"/>
      <c r="C160" s="206" t="s">
        <v>88</v>
      </c>
      <c r="D160" s="54">
        <v>253.91319999999999</v>
      </c>
      <c r="E160" s="207" t="s">
        <v>85</v>
      </c>
      <c r="F160" s="147">
        <v>185.03847358319871</v>
      </c>
      <c r="G160" s="268">
        <v>167.79146230529491</v>
      </c>
      <c r="H160" s="143">
        <v>178.16769816115271</v>
      </c>
      <c r="I160" s="147">
        <v>177.32178123918175</v>
      </c>
      <c r="J160" s="143">
        <v>172.07958391625448</v>
      </c>
      <c r="K160" s="146">
        <v>165.18398823708699</v>
      </c>
      <c r="L160" s="146">
        <v>162.26511666963327</v>
      </c>
      <c r="M160" s="147">
        <v>156.22086879474602</v>
      </c>
      <c r="N160" s="147">
        <v>162.95122378097651</v>
      </c>
      <c r="O160" s="147">
        <v>165.25047437978694</v>
      </c>
      <c r="P160" s="147">
        <v>167.59489790870185</v>
      </c>
      <c r="Q160" s="147">
        <v>179.50726761623579</v>
      </c>
      <c r="R160" s="147">
        <v>179.21642880415033</v>
      </c>
      <c r="S160" s="147">
        <v>171.61268800664766</v>
      </c>
      <c r="T160" s="147">
        <v>168.5848196678258</v>
      </c>
      <c r="U160" s="147">
        <v>176.71387651027487</v>
      </c>
      <c r="V160" s="147">
        <v>201.08795598822337</v>
      </c>
      <c r="W160" s="147">
        <v>190.99865108646802</v>
      </c>
      <c r="X160" s="147">
        <v>188.98182789095065</v>
      </c>
      <c r="Y160" s="147">
        <v>177.54372286899076</v>
      </c>
      <c r="Z160" s="147">
        <v>170.46255941283826</v>
      </c>
      <c r="AA160" s="147">
        <v>181.41759887649349</v>
      </c>
      <c r="AB160" s="147">
        <v>178.9414434718735</v>
      </c>
      <c r="AC160" s="147">
        <v>252.42945768218596</v>
      </c>
      <c r="AD160" s="147">
        <v>254.36870499418941</v>
      </c>
      <c r="AE160" s="147">
        <v>254.7870099465147</v>
      </c>
      <c r="AF160" s="147">
        <v>240.14604618495378</v>
      </c>
      <c r="AG160" s="147">
        <v>214.81282958556244</v>
      </c>
      <c r="AH160" s="147">
        <v>251.19641540408293</v>
      </c>
      <c r="AI160" s="147">
        <v>252.73214747257146</v>
      </c>
      <c r="AJ160" s="147">
        <v>251.5126532332811</v>
      </c>
      <c r="AK160" s="111"/>
      <c r="AL160" s="181">
        <f>SUM(F160:AJ160)</f>
        <v>5996.9196736803269</v>
      </c>
      <c r="BH160" s="243"/>
      <c r="GM160" s="243"/>
    </row>
    <row r="161" spans="2:195">
      <c r="B161" s="61"/>
      <c r="C161" s="206" t="s">
        <v>89</v>
      </c>
      <c r="D161" s="54">
        <v>1015.6528</v>
      </c>
      <c r="E161" s="207" t="s">
        <v>85</v>
      </c>
      <c r="F161" s="147">
        <f t="shared" ref="F161:AJ161" si="122">F162-F160</f>
        <v>1119.4218264168012</v>
      </c>
      <c r="G161" s="143">
        <f t="shared" si="122"/>
        <v>1052.906037694705</v>
      </c>
      <c r="H161" s="143">
        <f t="shared" si="122"/>
        <v>1028.5086018388474</v>
      </c>
      <c r="I161" s="147">
        <f t="shared" si="122"/>
        <v>954.89081876081832</v>
      </c>
      <c r="J161" s="143">
        <f t="shared" si="122"/>
        <v>984.74521608374562</v>
      </c>
      <c r="K161" s="146">
        <f t="shared" si="122"/>
        <v>1002.449311762913</v>
      </c>
      <c r="L161" s="146">
        <f t="shared" si="122"/>
        <v>995.32678333036665</v>
      </c>
      <c r="M161" s="147">
        <f t="shared" si="122"/>
        <v>1032.1642312052541</v>
      </c>
      <c r="N161" s="147">
        <f t="shared" si="122"/>
        <v>1147.7247762190234</v>
      </c>
      <c r="O161" s="147">
        <f t="shared" si="122"/>
        <v>1037.086525620213</v>
      </c>
      <c r="P161" s="147">
        <f t="shared" si="122"/>
        <v>1013.8311020912981</v>
      </c>
      <c r="Q161" s="147">
        <f t="shared" si="122"/>
        <v>1061.7474323837641</v>
      </c>
      <c r="R161" s="147">
        <f t="shared" si="122"/>
        <v>1105.9142711958496</v>
      </c>
      <c r="S161" s="147">
        <f t="shared" si="122"/>
        <v>1031.9399119933523</v>
      </c>
      <c r="T161" s="147">
        <f t="shared" si="122"/>
        <v>972.26458033217432</v>
      </c>
      <c r="U161" s="147">
        <f t="shared" si="122"/>
        <v>869.83702348972508</v>
      </c>
      <c r="V161" s="147">
        <f t="shared" si="122"/>
        <v>1049.5625440117765</v>
      </c>
      <c r="W161" s="147">
        <f t="shared" si="122"/>
        <v>1071.156048913532</v>
      </c>
      <c r="X161" s="147">
        <f t="shared" si="122"/>
        <v>1034.3836721090495</v>
      </c>
      <c r="Y161" s="147">
        <f t="shared" si="122"/>
        <v>1013.4233771310094</v>
      </c>
      <c r="Z161" s="147">
        <f t="shared" si="122"/>
        <v>996.60064058716182</v>
      </c>
      <c r="AA161" s="147">
        <f t="shared" si="122"/>
        <v>1046.6184011235066</v>
      </c>
      <c r="AB161" s="147">
        <f t="shared" si="122"/>
        <v>1054.4865565281266</v>
      </c>
      <c r="AC161" s="147">
        <f t="shared" si="122"/>
        <v>1197.2004423178139</v>
      </c>
      <c r="AD161" s="147">
        <f t="shared" si="122"/>
        <v>1162.0092950058106</v>
      </c>
      <c r="AE161" s="147">
        <f t="shared" ref="AE161:AG161" si="123">AE162-AE160</f>
        <v>1143.7456900534853</v>
      </c>
      <c r="AF161" s="147">
        <f t="shared" si="123"/>
        <v>1112.0835538150461</v>
      </c>
      <c r="AG161" s="147">
        <f t="shared" si="123"/>
        <v>984.39297041443751</v>
      </c>
      <c r="AH161" s="147">
        <f t="shared" si="122"/>
        <v>1099.3404845959171</v>
      </c>
      <c r="AI161" s="147">
        <f t="shared" si="122"/>
        <v>1160.5746525274285</v>
      </c>
      <c r="AJ161" s="147">
        <f t="shared" si="122"/>
        <v>1213.221746766719</v>
      </c>
      <c r="AK161" s="111"/>
      <c r="AL161" s="181">
        <f>SUM(F161:AJ161)</f>
        <v>32749.558526319674</v>
      </c>
      <c r="GM161" s="243"/>
    </row>
    <row r="162" spans="2:195" s="8" customFormat="1">
      <c r="B162" s="160"/>
      <c r="C162" s="223" t="s">
        <v>90</v>
      </c>
      <c r="D162" s="161">
        <f>SUM(D160:D161)</f>
        <v>1269.566</v>
      </c>
      <c r="E162" s="224" t="s">
        <v>85</v>
      </c>
      <c r="F162" s="177">
        <f t="shared" ref="F162:AJ162" si="124">F158</f>
        <v>1304.4603</v>
      </c>
      <c r="G162" s="162">
        <f t="shared" si="124"/>
        <v>1220.6975</v>
      </c>
      <c r="H162" s="162">
        <f t="shared" si="124"/>
        <v>1206.6763000000001</v>
      </c>
      <c r="I162" s="177">
        <f t="shared" si="124"/>
        <v>1132.2126000000001</v>
      </c>
      <c r="J162" s="177">
        <f t="shared" si="124"/>
        <v>1156.8248000000001</v>
      </c>
      <c r="K162" s="177">
        <f t="shared" si="124"/>
        <v>1167.6333</v>
      </c>
      <c r="L162" s="177">
        <f t="shared" si="124"/>
        <v>1157.5918999999999</v>
      </c>
      <c r="M162" s="177">
        <f t="shared" si="124"/>
        <v>1188.3851</v>
      </c>
      <c r="N162" s="177">
        <f t="shared" si="124"/>
        <v>1310.6759999999999</v>
      </c>
      <c r="O162" s="177">
        <f t="shared" si="124"/>
        <v>1202.337</v>
      </c>
      <c r="P162" s="177">
        <f t="shared" si="124"/>
        <v>1181.4259999999999</v>
      </c>
      <c r="Q162" s="177">
        <f t="shared" si="124"/>
        <v>1241.2547</v>
      </c>
      <c r="R162" s="177">
        <f t="shared" si="124"/>
        <v>1285.1306999999999</v>
      </c>
      <c r="S162" s="177">
        <f t="shared" si="124"/>
        <v>1203.5526</v>
      </c>
      <c r="T162" s="177">
        <f t="shared" si="124"/>
        <v>1140.8494000000001</v>
      </c>
      <c r="U162" s="177">
        <f t="shared" si="124"/>
        <v>1046.5509</v>
      </c>
      <c r="V162" s="177">
        <f t="shared" si="124"/>
        <v>1250.6505</v>
      </c>
      <c r="W162" s="177">
        <f t="shared" si="124"/>
        <v>1262.1547</v>
      </c>
      <c r="X162" s="177">
        <f t="shared" si="124"/>
        <v>1223.3655000000001</v>
      </c>
      <c r="Y162" s="177">
        <f t="shared" si="124"/>
        <v>1190.9671000000001</v>
      </c>
      <c r="Z162" s="177">
        <f t="shared" si="124"/>
        <v>1167.0632000000001</v>
      </c>
      <c r="AA162" s="177">
        <f t="shared" si="124"/>
        <v>1228.0360000000001</v>
      </c>
      <c r="AB162" s="177">
        <f t="shared" si="124"/>
        <v>1233.4280000000001</v>
      </c>
      <c r="AC162" s="177">
        <f t="shared" si="124"/>
        <v>1449.6298999999999</v>
      </c>
      <c r="AD162" s="177">
        <f t="shared" si="124"/>
        <v>1416.3779999999999</v>
      </c>
      <c r="AE162" s="177">
        <f t="shared" ref="AE162:AG162" si="125">AE158</f>
        <v>1398.5327</v>
      </c>
      <c r="AF162" s="177">
        <f t="shared" si="125"/>
        <v>1352.2295999999999</v>
      </c>
      <c r="AG162" s="177">
        <f t="shared" si="125"/>
        <v>1199.2058</v>
      </c>
      <c r="AH162" s="177">
        <f t="shared" si="124"/>
        <v>1350.5369000000001</v>
      </c>
      <c r="AI162" s="177">
        <f t="shared" si="124"/>
        <v>1413.3068000000001</v>
      </c>
      <c r="AJ162" s="177">
        <f t="shared" si="124"/>
        <v>1464.7344000000001</v>
      </c>
      <c r="AK162" s="182"/>
      <c r="AL162" s="183">
        <f>SUM(AL160:AL161)</f>
        <v>38746.478199999998</v>
      </c>
      <c r="AN162" s="184"/>
      <c r="BH162" s="244"/>
      <c r="EB162" s="277"/>
      <c r="EC162" s="277"/>
      <c r="FI162" s="277"/>
    </row>
    <row r="163" spans="2:195" s="8" customFormat="1">
      <c r="B163" s="41">
        <v>9</v>
      </c>
      <c r="C163" s="225" t="s">
        <v>91</v>
      </c>
      <c r="D163" s="163"/>
      <c r="E163" s="163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4"/>
      <c r="AF163" s="164"/>
      <c r="AG163" s="164"/>
      <c r="AH163" s="164"/>
      <c r="AI163" s="164"/>
      <c r="AJ163" s="164"/>
      <c r="AK163" s="182"/>
      <c r="AL163" s="185" t="s">
        <v>92</v>
      </c>
      <c r="AN163" s="184"/>
      <c r="EB163" s="277"/>
      <c r="EC163" s="277"/>
      <c r="FI163" s="277"/>
    </row>
    <row r="164" spans="2:195" s="8" customFormat="1">
      <c r="B164" s="41"/>
      <c r="C164" s="206" t="s">
        <v>93</v>
      </c>
      <c r="D164" s="47">
        <f>17000*24</f>
        <v>408000</v>
      </c>
      <c r="E164" s="207" t="s">
        <v>9</v>
      </c>
      <c r="F164" s="133">
        <f>250000+53280</f>
        <v>303280</v>
      </c>
      <c r="G164" s="133">
        <v>276210</v>
      </c>
      <c r="H164" s="133">
        <v>273120</v>
      </c>
      <c r="I164" s="133">
        <v>265440</v>
      </c>
      <c r="J164" s="133">
        <v>264720</v>
      </c>
      <c r="K164" s="133">
        <v>271920</v>
      </c>
      <c r="L164" s="133">
        <v>261360</v>
      </c>
      <c r="M164" s="133">
        <v>309600</v>
      </c>
      <c r="N164" s="133">
        <v>313680</v>
      </c>
      <c r="O164" s="133">
        <v>273600</v>
      </c>
      <c r="P164" s="133">
        <v>277200</v>
      </c>
      <c r="Q164" s="133">
        <v>299760</v>
      </c>
      <c r="R164" s="133">
        <v>300720</v>
      </c>
      <c r="S164" s="133">
        <v>279360</v>
      </c>
      <c r="T164" s="133">
        <v>278160</v>
      </c>
      <c r="U164" s="133">
        <v>218450</v>
      </c>
      <c r="V164" s="133">
        <v>281760</v>
      </c>
      <c r="W164" s="133">
        <v>304560</v>
      </c>
      <c r="X164" s="133">
        <v>286800</v>
      </c>
      <c r="Y164" s="133">
        <v>267840</v>
      </c>
      <c r="Z164" s="133">
        <v>279840</v>
      </c>
      <c r="AA164" s="133">
        <v>300000</v>
      </c>
      <c r="AB164" s="133">
        <v>290880</v>
      </c>
      <c r="AC164" s="133">
        <v>335520</v>
      </c>
      <c r="AD164" s="133">
        <v>320880</v>
      </c>
      <c r="AE164" s="133">
        <v>332880</v>
      </c>
      <c r="AF164" s="133">
        <v>296304</v>
      </c>
      <c r="AG164" s="133">
        <v>266160</v>
      </c>
      <c r="AH164" s="133">
        <v>318792</v>
      </c>
      <c r="AI164" s="133">
        <v>326400</v>
      </c>
      <c r="AJ164" s="133">
        <v>339360</v>
      </c>
      <c r="AK164" s="182"/>
      <c r="AL164" s="186">
        <f>SUM(F164:AJ164)</f>
        <v>9014556</v>
      </c>
      <c r="AM164" s="187"/>
      <c r="AN164" s="184">
        <f>AL164/AL30</f>
        <v>290792.12903225806</v>
      </c>
      <c r="EB164" s="277"/>
      <c r="EC164" s="277"/>
      <c r="FI164" s="277"/>
    </row>
    <row r="165" spans="2:195" s="8" customFormat="1">
      <c r="B165" s="41"/>
      <c r="C165" s="226" t="s">
        <v>94</v>
      </c>
      <c r="D165" s="134"/>
      <c r="E165" s="41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5"/>
      <c r="Z165" s="135"/>
      <c r="AA165" s="135"/>
      <c r="AB165" s="135"/>
      <c r="AC165" s="135"/>
      <c r="AD165" s="133"/>
      <c r="AE165" s="133"/>
      <c r="AF165" s="133"/>
      <c r="AG165" s="133"/>
      <c r="AH165" s="133"/>
      <c r="AI165" s="133"/>
      <c r="AJ165" s="133"/>
      <c r="AK165" s="182"/>
      <c r="AL165" s="188" t="s">
        <v>94</v>
      </c>
      <c r="AM165" s="187"/>
      <c r="AN165" s="184">
        <f>AN164/24</f>
        <v>12116.338709677419</v>
      </c>
      <c r="EB165" s="277"/>
      <c r="EC165" s="277"/>
      <c r="FI165" s="277"/>
    </row>
    <row r="166" spans="2:195">
      <c r="B166" s="61"/>
      <c r="C166" s="206" t="s">
        <v>21</v>
      </c>
      <c r="D166" s="47">
        <v>180000</v>
      </c>
      <c r="E166" s="207" t="s">
        <v>9</v>
      </c>
      <c r="F166" s="44">
        <v>151339.99999999924</v>
      </c>
      <c r="G166" s="44">
        <v>141900.00000000055</v>
      </c>
      <c r="H166" s="44">
        <v>145599.99999999945</v>
      </c>
      <c r="I166" s="44">
        <v>150140.00000000032</v>
      </c>
      <c r="J166" s="44">
        <v>148520.00000000044</v>
      </c>
      <c r="K166" s="44">
        <v>149039.99999999997</v>
      </c>
      <c r="L166" s="44">
        <v>149599.99999999945</v>
      </c>
      <c r="M166" s="44">
        <v>152000</v>
      </c>
      <c r="N166" s="44">
        <v>151500</v>
      </c>
      <c r="O166" s="44">
        <v>147610.00000000058</v>
      </c>
      <c r="P166" s="44">
        <v>148189.99999999959</v>
      </c>
      <c r="Q166" s="44">
        <v>146800.00000000017</v>
      </c>
      <c r="R166" s="44">
        <v>146800.00000000017</v>
      </c>
      <c r="S166" s="44">
        <v>146599.99999999945</v>
      </c>
      <c r="T166" s="44">
        <v>148500</v>
      </c>
      <c r="U166" s="44">
        <v>136300.00000000017</v>
      </c>
      <c r="V166" s="44">
        <v>160300.00000000017</v>
      </c>
      <c r="W166" s="44">
        <v>157500</v>
      </c>
      <c r="X166" s="44">
        <v>158599.99999999945</v>
      </c>
      <c r="Y166" s="44">
        <v>157900.00000000055</v>
      </c>
      <c r="Z166" s="44">
        <v>153699.99999999983</v>
      </c>
      <c r="AA166" s="44">
        <v>159600.00000000035</v>
      </c>
      <c r="AB166" s="44">
        <v>169000</v>
      </c>
      <c r="AC166" s="44">
        <v>173199.99999999983</v>
      </c>
      <c r="AD166" s="44">
        <v>176800.00000000017</v>
      </c>
      <c r="AE166" s="44">
        <v>179399.99999999965</v>
      </c>
      <c r="AF166" s="44">
        <v>175299.99999999927</v>
      </c>
      <c r="AG166" s="44">
        <v>167300.00000000111</v>
      </c>
      <c r="AH166" s="44">
        <v>182229.99999999956</v>
      </c>
      <c r="AI166" s="44">
        <v>190069.99999999971</v>
      </c>
      <c r="AJ166" s="44">
        <v>197800.00000000111</v>
      </c>
      <c r="AK166" s="111"/>
      <c r="AL166" s="104">
        <f>SUM(F166:AJ166)</f>
        <v>4919140.0000000009</v>
      </c>
      <c r="AM166" s="279"/>
    </row>
    <row r="167" spans="2:195">
      <c r="B167" s="61"/>
      <c r="C167" s="206" t="s">
        <v>95</v>
      </c>
      <c r="D167" s="47">
        <v>122000</v>
      </c>
      <c r="E167" s="207" t="s">
        <v>9</v>
      </c>
      <c r="F167" s="44">
        <v>73200</v>
      </c>
      <c r="G167" s="44">
        <v>76999.999999999985</v>
      </c>
      <c r="H167" s="44">
        <v>79100.000000000029</v>
      </c>
      <c r="I167" s="44">
        <v>89000</v>
      </c>
      <c r="J167" s="44">
        <v>82399.999999999971</v>
      </c>
      <c r="K167" s="44">
        <v>75300.000000000015</v>
      </c>
      <c r="L167" s="44">
        <v>68600.000000000029</v>
      </c>
      <c r="M167" s="44">
        <v>86699.999999999927</v>
      </c>
      <c r="N167" s="44">
        <v>94100.000000000029</v>
      </c>
      <c r="O167" s="44">
        <v>98899.999999999971</v>
      </c>
      <c r="P167" s="44">
        <v>95200.000000000044</v>
      </c>
      <c r="Q167" s="44">
        <v>111500</v>
      </c>
      <c r="R167" s="44">
        <v>103900.00000000009</v>
      </c>
      <c r="S167" s="44">
        <v>90399.999999999869</v>
      </c>
      <c r="T167" s="44">
        <v>71400.000000000087</v>
      </c>
      <c r="U167" s="44">
        <v>57299.999999999956</v>
      </c>
      <c r="V167" s="44">
        <v>67799.999999999956</v>
      </c>
      <c r="W167" s="44">
        <v>65200.000000000044</v>
      </c>
      <c r="X167" s="44">
        <v>69000</v>
      </c>
      <c r="Y167" s="44">
        <v>70000</v>
      </c>
      <c r="Z167" s="44">
        <v>72700.000000000044</v>
      </c>
      <c r="AA167" s="44">
        <v>67399.999999999869</v>
      </c>
      <c r="AB167" s="44">
        <v>69500</v>
      </c>
      <c r="AC167" s="44">
        <v>92600.000000000131</v>
      </c>
      <c r="AD167" s="44">
        <v>91099.999999999913</v>
      </c>
      <c r="AE167" s="44">
        <v>92600.000000000131</v>
      </c>
      <c r="AF167" s="44">
        <v>88000</v>
      </c>
      <c r="AG167" s="44">
        <v>67799.999999999724</v>
      </c>
      <c r="AH167" s="44">
        <v>69900.000000000087</v>
      </c>
      <c r="AI167" s="44">
        <v>92300.000000000175</v>
      </c>
      <c r="AJ167" s="44">
        <v>100199.99999999983</v>
      </c>
      <c r="AK167" s="111"/>
      <c r="AL167" s="104">
        <f>SUM(F167:AJ167)</f>
        <v>2530099.9999999995</v>
      </c>
    </row>
    <row r="168" spans="2:195">
      <c r="B168" s="61"/>
      <c r="C168" s="206" t="s">
        <v>96</v>
      </c>
      <c r="D168" s="47">
        <f>D164-D166-D167</f>
        <v>106000</v>
      </c>
      <c r="E168" s="207" t="s">
        <v>9</v>
      </c>
      <c r="F168" s="44">
        <f t="shared" ref="F168:AJ168" si="126">F164-F166-F167</f>
        <v>78740.000000000757</v>
      </c>
      <c r="G168" s="44">
        <f t="shared" si="126"/>
        <v>57309.999999999462</v>
      </c>
      <c r="H168" s="44">
        <f t="shared" si="126"/>
        <v>48420.000000000524</v>
      </c>
      <c r="I168" s="44">
        <f t="shared" si="126"/>
        <v>26299.99999999968</v>
      </c>
      <c r="J168" s="44">
        <f t="shared" si="126"/>
        <v>33799.999999999593</v>
      </c>
      <c r="K168" s="44">
        <f t="shared" si="126"/>
        <v>47580.000000000015</v>
      </c>
      <c r="L168" s="44">
        <f t="shared" si="126"/>
        <v>43160.000000000524</v>
      </c>
      <c r="M168" s="44">
        <f t="shared" si="126"/>
        <v>70900.000000000073</v>
      </c>
      <c r="N168" s="44">
        <f t="shared" si="126"/>
        <v>68079.999999999971</v>
      </c>
      <c r="O168" s="44">
        <f t="shared" si="126"/>
        <v>27089.999999999447</v>
      </c>
      <c r="P168" s="44">
        <f t="shared" si="126"/>
        <v>33810.000000000364</v>
      </c>
      <c r="Q168" s="44">
        <f t="shared" si="126"/>
        <v>41459.999999999825</v>
      </c>
      <c r="R168" s="44">
        <f t="shared" si="126"/>
        <v>50019.999999999738</v>
      </c>
      <c r="S168" s="44">
        <f t="shared" si="126"/>
        <v>42360.000000000684</v>
      </c>
      <c r="T168" s="44">
        <f t="shared" si="126"/>
        <v>58259.999999999913</v>
      </c>
      <c r="U168" s="44">
        <f t="shared" si="126"/>
        <v>24849.999999999869</v>
      </c>
      <c r="V168" s="44">
        <f t="shared" si="126"/>
        <v>53659.999999999869</v>
      </c>
      <c r="W168" s="44">
        <f t="shared" si="126"/>
        <v>81859.999999999956</v>
      </c>
      <c r="X168" s="44">
        <f t="shared" si="126"/>
        <v>59200.000000000553</v>
      </c>
      <c r="Y168" s="44">
        <f t="shared" si="126"/>
        <v>39939.999999999447</v>
      </c>
      <c r="Z168" s="44">
        <f t="shared" si="126"/>
        <v>53440.000000000131</v>
      </c>
      <c r="AA168" s="44">
        <f t="shared" si="126"/>
        <v>72999.999999999782</v>
      </c>
      <c r="AB168" s="44">
        <f t="shared" si="126"/>
        <v>52380</v>
      </c>
      <c r="AC168" s="44">
        <f t="shared" si="126"/>
        <v>69720.000000000044</v>
      </c>
      <c r="AD168" s="44">
        <f t="shared" si="126"/>
        <v>52979.999999999913</v>
      </c>
      <c r="AE168" s="44">
        <f t="shared" ref="AE168:AG168" si="127">AE164-AE166-AE167</f>
        <v>60880.000000000218</v>
      </c>
      <c r="AF168" s="44">
        <f t="shared" si="127"/>
        <v>33004.000000000728</v>
      </c>
      <c r="AG168" s="44">
        <f t="shared" si="127"/>
        <v>31059.999999999171</v>
      </c>
      <c r="AH168" s="44">
        <f t="shared" si="126"/>
        <v>66662.000000000349</v>
      </c>
      <c r="AI168" s="44">
        <f t="shared" si="126"/>
        <v>44030.000000000116</v>
      </c>
      <c r="AJ168" s="44">
        <f t="shared" si="126"/>
        <v>41359.999999999069</v>
      </c>
      <c r="AK168" s="111"/>
      <c r="AL168" s="104">
        <f>SUM(F168:AJ168)</f>
        <v>1565315.9999999995</v>
      </c>
    </row>
    <row r="169" spans="2:195" s="8" customFormat="1">
      <c r="B169" s="41"/>
      <c r="C169" s="222" t="s">
        <v>90</v>
      </c>
      <c r="D169" s="165">
        <f>SUM(D166:D168)</f>
        <v>408000</v>
      </c>
      <c r="E169" s="207" t="s">
        <v>9</v>
      </c>
      <c r="F169" s="133">
        <f t="shared" ref="F169:AJ169" si="128">SUM(F166:F168)</f>
        <v>303280</v>
      </c>
      <c r="G169" s="133">
        <f t="shared" si="128"/>
        <v>276210</v>
      </c>
      <c r="H169" s="133">
        <f t="shared" si="128"/>
        <v>273120</v>
      </c>
      <c r="I169" s="133">
        <f t="shared" si="128"/>
        <v>265440</v>
      </c>
      <c r="J169" s="133">
        <f t="shared" si="128"/>
        <v>264720</v>
      </c>
      <c r="K169" s="133">
        <f t="shared" si="128"/>
        <v>271920</v>
      </c>
      <c r="L169" s="133">
        <f t="shared" si="128"/>
        <v>261360</v>
      </c>
      <c r="M169" s="133">
        <f t="shared" si="128"/>
        <v>309600</v>
      </c>
      <c r="N169" s="133">
        <f t="shared" si="128"/>
        <v>313680</v>
      </c>
      <c r="O169" s="133">
        <f t="shared" si="128"/>
        <v>273600</v>
      </c>
      <c r="P169" s="133">
        <f t="shared" si="128"/>
        <v>277200</v>
      </c>
      <c r="Q169" s="133">
        <f t="shared" si="128"/>
        <v>299760</v>
      </c>
      <c r="R169" s="133">
        <f t="shared" si="128"/>
        <v>300720</v>
      </c>
      <c r="S169" s="133">
        <f t="shared" si="128"/>
        <v>279360</v>
      </c>
      <c r="T169" s="133">
        <f t="shared" si="128"/>
        <v>278160</v>
      </c>
      <c r="U169" s="133">
        <f t="shared" si="128"/>
        <v>218450</v>
      </c>
      <c r="V169" s="133">
        <f t="shared" si="128"/>
        <v>281760</v>
      </c>
      <c r="W169" s="133">
        <f t="shared" si="128"/>
        <v>304560</v>
      </c>
      <c r="X169" s="133">
        <f t="shared" si="128"/>
        <v>286800</v>
      </c>
      <c r="Y169" s="133">
        <f t="shared" si="128"/>
        <v>267840</v>
      </c>
      <c r="Z169" s="133">
        <f t="shared" si="128"/>
        <v>279840</v>
      </c>
      <c r="AA169" s="133">
        <f t="shared" si="128"/>
        <v>300000</v>
      </c>
      <c r="AB169" s="133">
        <f t="shared" si="128"/>
        <v>290880</v>
      </c>
      <c r="AC169" s="133">
        <f t="shared" si="128"/>
        <v>335520</v>
      </c>
      <c r="AD169" s="133">
        <f t="shared" si="128"/>
        <v>320880</v>
      </c>
      <c r="AE169" s="133">
        <f t="shared" ref="AE169:AG169" si="129">SUM(AE166:AE168)</f>
        <v>332880</v>
      </c>
      <c r="AF169" s="133">
        <f t="shared" si="129"/>
        <v>296304</v>
      </c>
      <c r="AG169" s="133">
        <f t="shared" si="129"/>
        <v>266160</v>
      </c>
      <c r="AH169" s="133">
        <f t="shared" si="128"/>
        <v>318792</v>
      </c>
      <c r="AI169" s="133">
        <f t="shared" si="128"/>
        <v>326400</v>
      </c>
      <c r="AJ169" s="133">
        <f t="shared" si="128"/>
        <v>339360</v>
      </c>
      <c r="AK169" s="182"/>
      <c r="AL169" s="186">
        <f>SUM(AL166:AL168)</f>
        <v>9014556</v>
      </c>
      <c r="AN169" s="184"/>
      <c r="EB169" s="277"/>
      <c r="EC169" s="277"/>
      <c r="FI169" s="277"/>
    </row>
    <row r="170" spans="2:195">
      <c r="B170" s="38">
        <v>10</v>
      </c>
      <c r="C170" s="202" t="s">
        <v>97</v>
      </c>
      <c r="D170" s="68"/>
      <c r="E170" s="68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179"/>
      <c r="AD170" s="179"/>
      <c r="AE170" s="179"/>
      <c r="AF170" s="179"/>
      <c r="AG170" s="179"/>
      <c r="AH170" s="179"/>
      <c r="AI170" s="179"/>
      <c r="AJ170" s="179"/>
      <c r="AK170" s="111"/>
      <c r="AL170" s="185" t="s">
        <v>98</v>
      </c>
    </row>
    <row r="171" spans="2:195" s="9" customFormat="1" ht="16.5">
      <c r="B171" s="26"/>
      <c r="C171" s="227" t="s">
        <v>99</v>
      </c>
      <c r="D171" s="166">
        <v>670</v>
      </c>
      <c r="E171" s="228" t="s">
        <v>120</v>
      </c>
      <c r="F171" s="167">
        <v>523</v>
      </c>
      <c r="G171" s="167">
        <v>551</v>
      </c>
      <c r="H171" s="167">
        <v>663</v>
      </c>
      <c r="I171" s="167">
        <v>582</v>
      </c>
      <c r="J171" s="167">
        <v>596</v>
      </c>
      <c r="K171" s="167">
        <v>535</v>
      </c>
      <c r="L171" s="167">
        <v>500</v>
      </c>
      <c r="M171" s="278">
        <v>708</v>
      </c>
      <c r="N171" s="167">
        <v>636</v>
      </c>
      <c r="O171" s="167">
        <v>568</v>
      </c>
      <c r="P171" s="167">
        <v>724</v>
      </c>
      <c r="Q171" s="167">
        <v>759</v>
      </c>
      <c r="R171" s="167">
        <v>672</v>
      </c>
      <c r="S171" s="167">
        <v>642</v>
      </c>
      <c r="T171" s="167">
        <v>566</v>
      </c>
      <c r="U171" s="167">
        <v>483</v>
      </c>
      <c r="V171" s="167">
        <v>632</v>
      </c>
      <c r="W171" s="167">
        <v>632</v>
      </c>
      <c r="X171" s="167">
        <v>607</v>
      </c>
      <c r="Y171" s="167">
        <v>670</v>
      </c>
      <c r="Z171" s="167">
        <v>559</v>
      </c>
      <c r="AA171" s="167">
        <v>587</v>
      </c>
      <c r="AB171" s="167">
        <v>692</v>
      </c>
      <c r="AC171" s="278">
        <v>911</v>
      </c>
      <c r="AD171" s="167">
        <v>711</v>
      </c>
      <c r="AE171" s="167">
        <v>709</v>
      </c>
      <c r="AF171" s="167">
        <v>732</v>
      </c>
      <c r="AG171" s="167">
        <v>668</v>
      </c>
      <c r="AH171" s="167">
        <v>691</v>
      </c>
      <c r="AI171" s="167">
        <v>612</v>
      </c>
      <c r="AJ171" s="167">
        <v>735</v>
      </c>
      <c r="AL171" s="189">
        <f>SUM(F171:AJ171)</f>
        <v>19856</v>
      </c>
      <c r="AN171" s="115">
        <f>AL171/AL30</f>
        <v>640.51612903225805</v>
      </c>
      <c r="EB171" s="242"/>
      <c r="EC171" s="242"/>
      <c r="FI171" s="242"/>
    </row>
    <row r="172" spans="2:195" s="9" customFormat="1">
      <c r="B172" s="26"/>
      <c r="C172" s="229" t="s">
        <v>87</v>
      </c>
      <c r="D172" s="25"/>
      <c r="E172" s="26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  <c r="AA172" s="167"/>
      <c r="AB172" s="167"/>
      <c r="AC172" s="167"/>
      <c r="AD172" s="167"/>
      <c r="AE172" s="167"/>
      <c r="AF172" s="167"/>
      <c r="AG172" s="167"/>
      <c r="AH172" s="167"/>
      <c r="AI172" s="167"/>
      <c r="AJ172" s="167"/>
      <c r="AL172" s="190" t="s">
        <v>87</v>
      </c>
      <c r="AN172" s="115"/>
      <c r="EB172" s="242"/>
      <c r="EC172" s="242"/>
      <c r="FI172" s="242"/>
    </row>
    <row r="173" spans="2:195" s="9" customFormat="1" ht="16.5">
      <c r="B173" s="26"/>
      <c r="C173" s="227" t="s">
        <v>100</v>
      </c>
      <c r="D173" s="168">
        <v>78.959999999999994</v>
      </c>
      <c r="E173" s="228" t="s">
        <v>120</v>
      </c>
      <c r="F173" s="167">
        <v>40</v>
      </c>
      <c r="G173" s="167">
        <v>40</v>
      </c>
      <c r="H173" s="167">
        <v>40</v>
      </c>
      <c r="I173" s="167">
        <v>74</v>
      </c>
      <c r="J173" s="167">
        <v>74</v>
      </c>
      <c r="K173" s="167">
        <v>44</v>
      </c>
      <c r="L173" s="167">
        <v>32</v>
      </c>
      <c r="M173" s="167">
        <v>58</v>
      </c>
      <c r="N173" s="167">
        <v>55</v>
      </c>
      <c r="O173" s="167">
        <v>71</v>
      </c>
      <c r="P173" s="167">
        <v>63</v>
      </c>
      <c r="Q173" s="167">
        <v>92</v>
      </c>
      <c r="R173" s="167">
        <v>80</v>
      </c>
      <c r="S173" s="167">
        <v>34</v>
      </c>
      <c r="T173" s="167">
        <v>30</v>
      </c>
      <c r="U173" s="167">
        <v>63</v>
      </c>
      <c r="V173" s="167">
        <v>53</v>
      </c>
      <c r="W173" s="167">
        <v>51</v>
      </c>
      <c r="X173" s="167">
        <v>43</v>
      </c>
      <c r="Y173" s="167">
        <v>107</v>
      </c>
      <c r="Z173" s="167">
        <v>43</v>
      </c>
      <c r="AA173" s="167">
        <v>41</v>
      </c>
      <c r="AB173" s="167">
        <v>56</v>
      </c>
      <c r="AC173" s="167">
        <v>80</v>
      </c>
      <c r="AD173" s="167">
        <v>87</v>
      </c>
      <c r="AE173" s="167">
        <v>93</v>
      </c>
      <c r="AF173" s="167">
        <v>108</v>
      </c>
      <c r="AG173" s="167">
        <v>99</v>
      </c>
      <c r="AH173" s="167">
        <v>131</v>
      </c>
      <c r="AI173" s="167">
        <v>89</v>
      </c>
      <c r="AJ173" s="167">
        <v>76</v>
      </c>
      <c r="AL173" s="191">
        <f>SUM(F173:AJ173)</f>
        <v>2047</v>
      </c>
      <c r="AN173" s="115"/>
      <c r="BG173" s="242"/>
      <c r="EB173" s="242"/>
      <c r="EC173" s="242"/>
      <c r="FI173" s="242"/>
    </row>
    <row r="174" spans="2:195" s="9" customFormat="1" ht="16.5">
      <c r="B174" s="26"/>
      <c r="C174" s="227" t="s">
        <v>101</v>
      </c>
      <c r="D174" s="168">
        <v>118.4</v>
      </c>
      <c r="E174" s="228" t="s">
        <v>120</v>
      </c>
      <c r="F174" s="167">
        <v>95</v>
      </c>
      <c r="G174" s="167">
        <v>109</v>
      </c>
      <c r="H174" s="167">
        <v>100</v>
      </c>
      <c r="I174" s="167">
        <v>111</v>
      </c>
      <c r="J174" s="167">
        <v>100</v>
      </c>
      <c r="K174" s="167">
        <v>94</v>
      </c>
      <c r="L174" s="167">
        <v>82</v>
      </c>
      <c r="M174" s="167">
        <v>109</v>
      </c>
      <c r="N174" s="167">
        <v>119</v>
      </c>
      <c r="O174" s="167">
        <v>106</v>
      </c>
      <c r="P174" s="167">
        <v>106</v>
      </c>
      <c r="Q174" s="167">
        <v>174</v>
      </c>
      <c r="R174" s="167">
        <v>142</v>
      </c>
      <c r="S174" s="167">
        <v>84</v>
      </c>
      <c r="T174" s="167">
        <v>92</v>
      </c>
      <c r="U174" s="167">
        <v>79</v>
      </c>
      <c r="V174" s="167">
        <v>101</v>
      </c>
      <c r="W174" s="167">
        <v>92</v>
      </c>
      <c r="X174" s="167">
        <v>82</v>
      </c>
      <c r="Y174" s="167">
        <v>103</v>
      </c>
      <c r="Z174" s="167">
        <v>88</v>
      </c>
      <c r="AA174" s="167">
        <v>98</v>
      </c>
      <c r="AB174" s="167">
        <v>107</v>
      </c>
      <c r="AC174" s="167">
        <v>120</v>
      </c>
      <c r="AD174" s="167">
        <v>141</v>
      </c>
      <c r="AE174" s="167">
        <v>126</v>
      </c>
      <c r="AF174" s="167">
        <v>120</v>
      </c>
      <c r="AG174" s="167">
        <v>92</v>
      </c>
      <c r="AH174" s="167">
        <v>79</v>
      </c>
      <c r="AI174" s="167">
        <v>108</v>
      </c>
      <c r="AJ174" s="167">
        <v>137</v>
      </c>
      <c r="AL174" s="191">
        <f>SUM(F174:AJ174)</f>
        <v>3296</v>
      </c>
      <c r="AN174" s="115"/>
      <c r="BG174" s="242"/>
      <c r="EB174" s="242"/>
      <c r="EC174" s="242"/>
      <c r="FI174" s="242"/>
    </row>
    <row r="175" spans="2:195" s="9" customFormat="1" ht="16.5">
      <c r="B175" s="26"/>
      <c r="C175" s="227" t="s">
        <v>102</v>
      </c>
      <c r="D175" s="166">
        <f>44.69%*D171</f>
        <v>299.423</v>
      </c>
      <c r="E175" s="228" t="s">
        <v>120</v>
      </c>
      <c r="F175" s="167">
        <v>320.10000000000002</v>
      </c>
      <c r="G175" s="167">
        <v>340</v>
      </c>
      <c r="H175" s="167">
        <v>279.3</v>
      </c>
      <c r="I175" s="167">
        <v>274</v>
      </c>
      <c r="J175" s="167">
        <v>300.39999999999998</v>
      </c>
      <c r="K175" s="167">
        <v>329.5</v>
      </c>
      <c r="L175" s="167">
        <v>262.2</v>
      </c>
      <c r="M175" s="167">
        <v>325.89999999999998</v>
      </c>
      <c r="N175" s="167">
        <v>353.6</v>
      </c>
      <c r="O175" s="167">
        <v>280.5</v>
      </c>
      <c r="P175" s="167">
        <v>317.89999999999998</v>
      </c>
      <c r="Q175" s="167">
        <v>311.89999999999998</v>
      </c>
      <c r="R175" s="167">
        <v>299.2</v>
      </c>
      <c r="S175" s="167">
        <v>322.7</v>
      </c>
      <c r="T175" s="167">
        <v>292.3</v>
      </c>
      <c r="U175" s="167">
        <v>284.5</v>
      </c>
      <c r="V175" s="167">
        <v>280.7</v>
      </c>
      <c r="W175" s="167">
        <v>325.39999999999998</v>
      </c>
      <c r="X175" s="167">
        <v>321.7</v>
      </c>
      <c r="Y175" s="167">
        <v>310.89999999999998</v>
      </c>
      <c r="Z175" s="167">
        <v>338.3</v>
      </c>
      <c r="AA175" s="167">
        <v>319.3</v>
      </c>
      <c r="AB175" s="167">
        <v>271.89999999999998</v>
      </c>
      <c r="AC175" s="167">
        <v>378.4</v>
      </c>
      <c r="AD175" s="167">
        <v>332.8</v>
      </c>
      <c r="AE175" s="167">
        <v>308.3</v>
      </c>
      <c r="AF175" s="167">
        <v>278.89999999999998</v>
      </c>
      <c r="AG175" s="167">
        <v>276</v>
      </c>
      <c r="AH175" s="167">
        <v>347</v>
      </c>
      <c r="AI175" s="167">
        <v>284.3</v>
      </c>
      <c r="AJ175" s="167">
        <v>323.39999999999998</v>
      </c>
      <c r="AL175" s="191">
        <f>SUM(F175:AJ175)</f>
        <v>9591.2999999999975</v>
      </c>
      <c r="AM175" s="263"/>
      <c r="AN175" s="115"/>
      <c r="EB175" s="242"/>
      <c r="EC175" s="242"/>
      <c r="FI175" s="242"/>
    </row>
    <row r="176" spans="2:195" s="9" customFormat="1" ht="16.5">
      <c r="B176" s="26"/>
      <c r="C176" s="227" t="s">
        <v>96</v>
      </c>
      <c r="D176" s="166">
        <f>D171-SUM(D173:D175)</f>
        <v>173.21699999999998</v>
      </c>
      <c r="E176" s="228" t="s">
        <v>120</v>
      </c>
      <c r="F176" s="167">
        <f>F171-(SUM(F173:F175))</f>
        <v>67.899999999999977</v>
      </c>
      <c r="G176" s="167">
        <f t="shared" ref="G176:K176" si="130">G171-(SUM(G173:G175))</f>
        <v>62</v>
      </c>
      <c r="H176" s="167">
        <f t="shared" si="130"/>
        <v>243.7</v>
      </c>
      <c r="I176" s="167">
        <f t="shared" si="130"/>
        <v>123</v>
      </c>
      <c r="J176" s="167">
        <f t="shared" si="130"/>
        <v>121.60000000000002</v>
      </c>
      <c r="K176" s="167">
        <f t="shared" si="130"/>
        <v>67.5</v>
      </c>
      <c r="L176" s="167">
        <f t="shared" ref="L176:AJ176" si="131">L171-(SUM(L173:L175))</f>
        <v>123.80000000000001</v>
      </c>
      <c r="M176" s="167">
        <f t="shared" si="131"/>
        <v>215.10000000000002</v>
      </c>
      <c r="N176" s="167">
        <f t="shared" si="131"/>
        <v>108.39999999999998</v>
      </c>
      <c r="O176" s="167">
        <f t="shared" si="131"/>
        <v>110.5</v>
      </c>
      <c r="P176" s="167">
        <f t="shared" si="131"/>
        <v>237.10000000000002</v>
      </c>
      <c r="Q176" s="167">
        <f t="shared" si="131"/>
        <v>181.10000000000002</v>
      </c>
      <c r="R176" s="167">
        <f t="shared" si="131"/>
        <v>150.79999999999995</v>
      </c>
      <c r="S176" s="167">
        <f t="shared" si="131"/>
        <v>201.3</v>
      </c>
      <c r="T176" s="167">
        <f t="shared" si="131"/>
        <v>151.69999999999999</v>
      </c>
      <c r="U176" s="167">
        <f t="shared" si="131"/>
        <v>56.5</v>
      </c>
      <c r="V176" s="167">
        <f t="shared" si="131"/>
        <v>197.3</v>
      </c>
      <c r="W176" s="167">
        <f t="shared" si="131"/>
        <v>163.60000000000002</v>
      </c>
      <c r="X176" s="167">
        <f t="shared" si="131"/>
        <v>160.30000000000001</v>
      </c>
      <c r="Y176" s="167">
        <f t="shared" si="131"/>
        <v>149.10000000000002</v>
      </c>
      <c r="Z176" s="167">
        <f t="shared" si="131"/>
        <v>89.699999999999989</v>
      </c>
      <c r="AA176" s="167">
        <f t="shared" si="131"/>
        <v>128.69999999999999</v>
      </c>
      <c r="AB176" s="167">
        <f t="shared" si="131"/>
        <v>257.10000000000002</v>
      </c>
      <c r="AC176" s="167">
        <f t="shared" si="131"/>
        <v>332.6</v>
      </c>
      <c r="AD176" s="167">
        <f t="shared" si="131"/>
        <v>150.20000000000005</v>
      </c>
      <c r="AE176" s="167">
        <f t="shared" ref="AE176:AG176" si="132">AE171-(SUM(AE173:AE175))</f>
        <v>181.70000000000005</v>
      </c>
      <c r="AF176" s="167">
        <f t="shared" si="132"/>
        <v>225.10000000000002</v>
      </c>
      <c r="AG176" s="167">
        <f t="shared" si="132"/>
        <v>201</v>
      </c>
      <c r="AH176" s="167">
        <f t="shared" si="131"/>
        <v>134</v>
      </c>
      <c r="AI176" s="167">
        <f t="shared" si="131"/>
        <v>130.69999999999999</v>
      </c>
      <c r="AJ176" s="167">
        <f t="shared" si="131"/>
        <v>198.60000000000002</v>
      </c>
      <c r="AL176" s="191">
        <f>SUM(F176:AJ176)</f>
        <v>4921.7</v>
      </c>
      <c r="AM176" s="129"/>
      <c r="AN176" s="115"/>
      <c r="EB176" s="242"/>
      <c r="EC176" s="242"/>
      <c r="FI176" s="242"/>
    </row>
    <row r="177" spans="2:165" s="9" customFormat="1" ht="16.5">
      <c r="B177" s="26"/>
      <c r="C177" s="227" t="s">
        <v>103</v>
      </c>
      <c r="D177" s="166">
        <v>287.83999999999997</v>
      </c>
      <c r="E177" s="228" t="s">
        <v>120</v>
      </c>
      <c r="F177" s="167">
        <v>140</v>
      </c>
      <c r="G177" s="167">
        <v>125</v>
      </c>
      <c r="H177" s="167">
        <v>125</v>
      </c>
      <c r="I177" s="167">
        <v>155</v>
      </c>
      <c r="J177" s="167">
        <v>159</v>
      </c>
      <c r="K177" s="167">
        <v>120</v>
      </c>
      <c r="L177" s="167">
        <v>137</v>
      </c>
      <c r="M177" s="167">
        <v>161</v>
      </c>
      <c r="N177" s="167">
        <v>170</v>
      </c>
      <c r="O177" s="167">
        <v>180</v>
      </c>
      <c r="P177" s="167">
        <v>178</v>
      </c>
      <c r="Q177" s="167">
        <v>203</v>
      </c>
      <c r="R177" s="167">
        <v>164</v>
      </c>
      <c r="S177" s="167">
        <v>127</v>
      </c>
      <c r="T177" s="167">
        <v>144</v>
      </c>
      <c r="U177" s="167">
        <v>98</v>
      </c>
      <c r="V177" s="167">
        <v>152</v>
      </c>
      <c r="W177" s="167">
        <v>123</v>
      </c>
      <c r="X177" s="167">
        <v>136</v>
      </c>
      <c r="Y177" s="167">
        <v>181</v>
      </c>
      <c r="Z177" s="167">
        <v>137</v>
      </c>
      <c r="AA177" s="167">
        <v>111</v>
      </c>
      <c r="AB177" s="167">
        <v>136</v>
      </c>
      <c r="AC177" s="167">
        <v>302</v>
      </c>
      <c r="AD177" s="167">
        <v>149</v>
      </c>
      <c r="AE177" s="167">
        <v>134</v>
      </c>
      <c r="AF177" s="167">
        <v>145</v>
      </c>
      <c r="AG177" s="167">
        <v>160</v>
      </c>
      <c r="AH177" s="167">
        <v>155</v>
      </c>
      <c r="AI177" s="167">
        <v>130</v>
      </c>
      <c r="AJ177" s="167">
        <v>146</v>
      </c>
      <c r="AL177" s="191">
        <f>SUM(F177:AJ177)</f>
        <v>4683</v>
      </c>
      <c r="AN177" s="115"/>
      <c r="EB177" s="242"/>
      <c r="EC177" s="242"/>
      <c r="FI177" s="242"/>
    </row>
    <row r="178" spans="2:165">
      <c r="B178" s="81">
        <v>11</v>
      </c>
      <c r="C178" s="202" t="s">
        <v>104</v>
      </c>
      <c r="D178" s="68"/>
      <c r="E178" s="68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111"/>
      <c r="AL178" s="192" t="s">
        <v>105</v>
      </c>
    </row>
    <row r="179" spans="2:165">
      <c r="B179" s="140"/>
      <c r="C179" s="230" t="s">
        <v>93</v>
      </c>
      <c r="D179" s="169"/>
      <c r="E179" s="170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111"/>
      <c r="AL179" s="180" t="s">
        <v>93</v>
      </c>
    </row>
    <row r="180" spans="2:165">
      <c r="B180" s="140"/>
      <c r="C180" s="204" t="s">
        <v>106</v>
      </c>
      <c r="D180" s="47">
        <v>28700</v>
      </c>
      <c r="E180" s="60" t="s">
        <v>107</v>
      </c>
      <c r="F180" s="44">
        <v>24100</v>
      </c>
      <c r="G180" s="44">
        <v>23400</v>
      </c>
      <c r="H180" s="232">
        <v>23300</v>
      </c>
      <c r="I180" s="178">
        <v>24300</v>
      </c>
      <c r="J180" s="44">
        <v>22900</v>
      </c>
      <c r="K180" s="178">
        <v>22500</v>
      </c>
      <c r="L180" s="44">
        <v>22600</v>
      </c>
      <c r="M180" s="178">
        <v>24700</v>
      </c>
      <c r="N180" s="44">
        <v>25700</v>
      </c>
      <c r="O180" s="44">
        <v>25200</v>
      </c>
      <c r="P180" s="44">
        <v>24600</v>
      </c>
      <c r="Q180" s="44">
        <v>25700</v>
      </c>
      <c r="R180" s="44">
        <v>24400</v>
      </c>
      <c r="S180" s="44">
        <v>24100</v>
      </c>
      <c r="T180" s="44">
        <v>23100</v>
      </c>
      <c r="U180" s="178">
        <v>22100</v>
      </c>
      <c r="V180" s="44">
        <v>23900</v>
      </c>
      <c r="W180" s="44">
        <v>23600</v>
      </c>
      <c r="X180" s="44">
        <v>22900</v>
      </c>
      <c r="Y180" s="178">
        <v>22200</v>
      </c>
      <c r="Z180" s="44">
        <v>23000</v>
      </c>
      <c r="AA180" s="44">
        <v>23100</v>
      </c>
      <c r="AB180" s="44">
        <v>23600</v>
      </c>
      <c r="AC180" s="44">
        <v>26500</v>
      </c>
      <c r="AD180" s="44">
        <v>26800</v>
      </c>
      <c r="AE180" s="44">
        <v>26400</v>
      </c>
      <c r="AF180" s="44">
        <v>23600</v>
      </c>
      <c r="AG180" s="44">
        <v>23500</v>
      </c>
      <c r="AH180" s="44">
        <v>24500</v>
      </c>
      <c r="AI180" s="44">
        <v>27800</v>
      </c>
      <c r="AJ180" s="44">
        <v>27800</v>
      </c>
      <c r="AK180" s="111"/>
      <c r="AL180" s="97">
        <f>SUM(F180:AJ180)</f>
        <v>751900</v>
      </c>
      <c r="AN180" s="14">
        <f>AL180/AL30</f>
        <v>24254.83870967742</v>
      </c>
    </row>
    <row r="181" spans="2:165">
      <c r="B181" s="140"/>
      <c r="C181" s="230" t="s">
        <v>90</v>
      </c>
      <c r="D181" s="134"/>
      <c r="E181" s="231" t="s">
        <v>108</v>
      </c>
      <c r="F181" s="133">
        <f t="shared" ref="F181:AJ181" si="133">SUM(F180:F180)</f>
        <v>24100</v>
      </c>
      <c r="G181" s="133">
        <f t="shared" si="133"/>
        <v>23400</v>
      </c>
      <c r="H181" s="133">
        <f t="shared" si="133"/>
        <v>23300</v>
      </c>
      <c r="I181" s="133">
        <f t="shared" si="133"/>
        <v>24300</v>
      </c>
      <c r="J181" s="133">
        <f t="shared" si="133"/>
        <v>22900</v>
      </c>
      <c r="K181" s="133">
        <f t="shared" si="133"/>
        <v>22500</v>
      </c>
      <c r="L181" s="133">
        <f t="shared" si="133"/>
        <v>22600</v>
      </c>
      <c r="M181" s="133">
        <f t="shared" si="133"/>
        <v>24700</v>
      </c>
      <c r="N181" s="133">
        <f t="shared" si="133"/>
        <v>25700</v>
      </c>
      <c r="O181" s="133">
        <f t="shared" si="133"/>
        <v>25200</v>
      </c>
      <c r="P181" s="133">
        <f t="shared" si="133"/>
        <v>24600</v>
      </c>
      <c r="Q181" s="133">
        <f t="shared" si="133"/>
        <v>25700</v>
      </c>
      <c r="R181" s="133">
        <f t="shared" si="133"/>
        <v>24400</v>
      </c>
      <c r="S181" s="133">
        <f t="shared" si="133"/>
        <v>24100</v>
      </c>
      <c r="T181" s="133">
        <f t="shared" si="133"/>
        <v>23100</v>
      </c>
      <c r="U181" s="133">
        <f t="shared" si="133"/>
        <v>22100</v>
      </c>
      <c r="V181" s="133">
        <f t="shared" si="133"/>
        <v>23900</v>
      </c>
      <c r="W181" s="133">
        <f t="shared" si="133"/>
        <v>23600</v>
      </c>
      <c r="X181" s="133">
        <f t="shared" si="133"/>
        <v>22900</v>
      </c>
      <c r="Y181" s="133">
        <f t="shared" si="133"/>
        <v>22200</v>
      </c>
      <c r="Z181" s="133">
        <f t="shared" si="133"/>
        <v>23000</v>
      </c>
      <c r="AA181" s="133">
        <f t="shared" si="133"/>
        <v>23100</v>
      </c>
      <c r="AB181" s="133">
        <f t="shared" si="133"/>
        <v>23600</v>
      </c>
      <c r="AC181" s="133">
        <f t="shared" si="133"/>
        <v>26500</v>
      </c>
      <c r="AD181" s="133">
        <f t="shared" si="133"/>
        <v>26800</v>
      </c>
      <c r="AE181" s="133">
        <f t="shared" ref="AE181:AG181" si="134">SUM(AE180:AE180)</f>
        <v>26400</v>
      </c>
      <c r="AF181" s="133">
        <f t="shared" si="134"/>
        <v>23600</v>
      </c>
      <c r="AG181" s="133">
        <f t="shared" si="134"/>
        <v>23500</v>
      </c>
      <c r="AH181" s="133">
        <f t="shared" si="133"/>
        <v>24500</v>
      </c>
      <c r="AI181" s="133">
        <f t="shared" si="133"/>
        <v>27800</v>
      </c>
      <c r="AJ181" s="133">
        <f t="shared" si="133"/>
        <v>27800</v>
      </c>
      <c r="AK181" s="109"/>
      <c r="AL181" s="186">
        <f>SUM(F181:AJ181)</f>
        <v>751900</v>
      </c>
    </row>
    <row r="182" spans="2:165">
      <c r="B182" s="38">
        <v>12</v>
      </c>
      <c r="C182" s="67" t="s">
        <v>109</v>
      </c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  <c r="AA182" s="172"/>
      <c r="AB182" s="172"/>
      <c r="AC182" s="172"/>
      <c r="AD182" s="172"/>
      <c r="AE182" s="172"/>
      <c r="AF182" s="172"/>
      <c r="AG182" s="172"/>
      <c r="AH182" s="172"/>
      <c r="AI182" s="172"/>
      <c r="AJ182" s="172"/>
      <c r="AL182" s="193" t="s">
        <v>110</v>
      </c>
    </row>
    <row r="183" spans="2:165">
      <c r="B183" s="61"/>
      <c r="C183" s="69" t="s">
        <v>111</v>
      </c>
      <c r="D183" s="59"/>
      <c r="E183" s="60" t="s">
        <v>9</v>
      </c>
      <c r="F183" s="144">
        <v>105880</v>
      </c>
      <c r="G183" s="144">
        <v>0</v>
      </c>
      <c r="H183" s="144">
        <v>82570</v>
      </c>
      <c r="I183" s="144">
        <v>83340</v>
      </c>
      <c r="J183" s="144">
        <v>83380</v>
      </c>
      <c r="K183" s="144">
        <v>40960</v>
      </c>
      <c r="L183" s="144">
        <v>42080</v>
      </c>
      <c r="M183" s="144">
        <v>0</v>
      </c>
      <c r="N183" s="144">
        <v>0</v>
      </c>
      <c r="O183" s="144">
        <v>0</v>
      </c>
      <c r="P183" s="144">
        <v>0</v>
      </c>
      <c r="Q183" s="144">
        <v>0</v>
      </c>
      <c r="R183" s="144">
        <v>0</v>
      </c>
      <c r="S183" s="144">
        <v>90630</v>
      </c>
      <c r="T183" s="144">
        <v>90870</v>
      </c>
      <c r="U183" s="144">
        <v>91330</v>
      </c>
      <c r="V183" s="144">
        <v>0</v>
      </c>
      <c r="W183" s="144">
        <v>0</v>
      </c>
      <c r="X183" s="144">
        <v>0</v>
      </c>
      <c r="Y183" s="144">
        <v>0</v>
      </c>
      <c r="Z183" s="144">
        <v>152950</v>
      </c>
      <c r="AA183" s="144">
        <v>152360</v>
      </c>
      <c r="AB183" s="144">
        <v>213880</v>
      </c>
      <c r="AC183" s="144">
        <v>122260</v>
      </c>
      <c r="AD183" s="144">
        <v>90220</v>
      </c>
      <c r="AE183" s="144">
        <v>0</v>
      </c>
      <c r="AF183" s="144">
        <v>0</v>
      </c>
      <c r="AG183" s="144">
        <v>0</v>
      </c>
      <c r="AH183" s="144">
        <v>0</v>
      </c>
      <c r="AI183" s="144">
        <v>0</v>
      </c>
      <c r="AJ183" s="144"/>
      <c r="AL183" s="97">
        <f>SUM(F183:AJ183)</f>
        <v>1442710</v>
      </c>
    </row>
    <row r="184" spans="2:165">
      <c r="B184" s="61"/>
      <c r="C184" s="69" t="s">
        <v>32</v>
      </c>
      <c r="D184" s="59"/>
      <c r="E184" s="60" t="s">
        <v>9</v>
      </c>
      <c r="F184" s="144">
        <v>0</v>
      </c>
      <c r="G184" s="144">
        <v>0</v>
      </c>
      <c r="H184" s="144">
        <v>0</v>
      </c>
      <c r="I184" s="144">
        <v>0</v>
      </c>
      <c r="J184" s="144">
        <v>0</v>
      </c>
      <c r="K184" s="144">
        <v>0</v>
      </c>
      <c r="L184" s="144">
        <v>0</v>
      </c>
      <c r="M184" s="144">
        <v>162460</v>
      </c>
      <c r="N184" s="144">
        <v>130160</v>
      </c>
      <c r="O184" s="144">
        <v>0</v>
      </c>
      <c r="P184" s="144">
        <v>0</v>
      </c>
      <c r="Q184" s="144">
        <v>13850</v>
      </c>
      <c r="R184" s="144">
        <v>0</v>
      </c>
      <c r="S184" s="144">
        <v>0</v>
      </c>
      <c r="T184" s="144">
        <v>0</v>
      </c>
      <c r="U184" s="144">
        <v>0</v>
      </c>
      <c r="V184" s="144">
        <v>0</v>
      </c>
      <c r="W184" s="144">
        <v>0</v>
      </c>
      <c r="X184" s="144">
        <v>0</v>
      </c>
      <c r="Y184" s="144">
        <v>0</v>
      </c>
      <c r="Z184" s="144">
        <v>0</v>
      </c>
      <c r="AA184" s="144">
        <v>0</v>
      </c>
      <c r="AB184" s="144">
        <v>0</v>
      </c>
      <c r="AC184" s="144">
        <v>0</v>
      </c>
      <c r="AD184" s="144">
        <v>0</v>
      </c>
      <c r="AE184" s="144">
        <v>0</v>
      </c>
      <c r="AF184" s="144">
        <v>0</v>
      </c>
      <c r="AG184" s="144">
        <v>0</v>
      </c>
      <c r="AH184" s="144">
        <v>0</v>
      </c>
      <c r="AI184" s="144">
        <v>0</v>
      </c>
      <c r="AJ184" s="144"/>
      <c r="AL184" s="97">
        <f>SUM(F184:AJ184)</f>
        <v>306470</v>
      </c>
    </row>
    <row r="185" spans="2:165">
      <c r="B185" s="61"/>
      <c r="C185" s="69" t="s">
        <v>34</v>
      </c>
      <c r="D185" s="59"/>
      <c r="E185" s="60" t="s">
        <v>9</v>
      </c>
      <c r="F185" s="144">
        <v>53630</v>
      </c>
      <c r="G185" s="144">
        <v>34880</v>
      </c>
      <c r="H185" s="144">
        <v>0</v>
      </c>
      <c r="I185" s="144">
        <v>56150</v>
      </c>
      <c r="J185" s="144">
        <v>212070</v>
      </c>
      <c r="K185" s="144">
        <v>442600</v>
      </c>
      <c r="L185" s="144">
        <v>331490</v>
      </c>
      <c r="M185" s="144">
        <v>194540</v>
      </c>
      <c r="N185" s="144">
        <v>216670</v>
      </c>
      <c r="O185" s="144">
        <v>138360</v>
      </c>
      <c r="P185" s="144">
        <v>253960</v>
      </c>
      <c r="Q185" s="144">
        <v>146840</v>
      </c>
      <c r="R185" s="144">
        <v>26530</v>
      </c>
      <c r="S185" s="144">
        <v>182960</v>
      </c>
      <c r="T185" s="144">
        <v>244990</v>
      </c>
      <c r="U185" s="144">
        <v>284890</v>
      </c>
      <c r="V185" s="144">
        <v>248780</v>
      </c>
      <c r="W185" s="144">
        <v>736650</v>
      </c>
      <c r="X185" s="144">
        <v>364240</v>
      </c>
      <c r="Y185" s="144">
        <v>0</v>
      </c>
      <c r="Z185" s="144">
        <v>96480</v>
      </c>
      <c r="AA185" s="144">
        <v>332470</v>
      </c>
      <c r="AB185" s="144">
        <v>387400</v>
      </c>
      <c r="AC185" s="144">
        <v>527220</v>
      </c>
      <c r="AD185" s="144">
        <v>580080</v>
      </c>
      <c r="AE185" s="144">
        <v>350470</v>
      </c>
      <c r="AF185" s="144">
        <v>0</v>
      </c>
      <c r="AG185" s="144">
        <v>273870</v>
      </c>
      <c r="AH185" s="144">
        <v>556100</v>
      </c>
      <c r="AI185" s="144">
        <v>627770</v>
      </c>
      <c r="AJ185" s="144"/>
      <c r="AL185" s="97">
        <f>SUM(F185:AJ185)</f>
        <v>7902090</v>
      </c>
    </row>
    <row r="186" spans="2:165" hidden="1">
      <c r="B186" s="61"/>
      <c r="C186" s="69" t="s">
        <v>39</v>
      </c>
      <c r="D186" s="59"/>
      <c r="E186" s="60" t="s">
        <v>9</v>
      </c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  <c r="AF186" s="144">
        <v>0</v>
      </c>
      <c r="AG186" s="144"/>
      <c r="AH186" s="144"/>
      <c r="AI186" s="44"/>
      <c r="AJ186" s="144"/>
      <c r="AL186" s="97">
        <f>SUM(F186:AJ186)</f>
        <v>0</v>
      </c>
    </row>
    <row r="187" spans="2:165">
      <c r="B187" s="61"/>
      <c r="C187" s="69" t="s">
        <v>50</v>
      </c>
      <c r="D187" s="59"/>
      <c r="E187" s="60" t="s">
        <v>9</v>
      </c>
      <c r="F187" s="144">
        <v>85430</v>
      </c>
      <c r="G187" s="144">
        <v>86490</v>
      </c>
      <c r="H187" s="144">
        <v>63440</v>
      </c>
      <c r="I187" s="144">
        <v>191610</v>
      </c>
      <c r="J187" s="144">
        <v>0</v>
      </c>
      <c r="K187" s="144">
        <v>0</v>
      </c>
      <c r="L187" s="144">
        <v>168130</v>
      </c>
      <c r="M187" s="144">
        <v>275310</v>
      </c>
      <c r="N187" s="144">
        <v>176630</v>
      </c>
      <c r="O187" s="144">
        <v>214650</v>
      </c>
      <c r="P187" s="144">
        <v>168690</v>
      </c>
      <c r="Q187" s="144">
        <v>0</v>
      </c>
      <c r="R187" s="144">
        <v>0</v>
      </c>
      <c r="S187" s="144">
        <v>107290</v>
      </c>
      <c r="T187" s="144">
        <v>171310</v>
      </c>
      <c r="U187" s="144">
        <v>171730</v>
      </c>
      <c r="V187" s="144">
        <v>341430</v>
      </c>
      <c r="W187" s="144">
        <v>21580</v>
      </c>
      <c r="X187" s="144">
        <v>0</v>
      </c>
      <c r="Y187" s="144">
        <v>83840</v>
      </c>
      <c r="Z187" s="144">
        <v>335600</v>
      </c>
      <c r="AA187" s="144">
        <v>676440</v>
      </c>
      <c r="AB187" s="144">
        <v>406230</v>
      </c>
      <c r="AC187" s="144">
        <v>0</v>
      </c>
      <c r="AD187" s="144">
        <v>166590</v>
      </c>
      <c r="AE187" s="144">
        <v>0</v>
      </c>
      <c r="AF187" s="144">
        <v>0</v>
      </c>
      <c r="AG187" s="144">
        <v>42720</v>
      </c>
      <c r="AH187" s="144">
        <v>30420</v>
      </c>
      <c r="AI187" s="144">
        <v>0</v>
      </c>
      <c r="AJ187" s="144"/>
      <c r="AL187" s="97">
        <f>SUM(F187:AJ187)</f>
        <v>3985560</v>
      </c>
      <c r="AM187" s="184"/>
    </row>
    <row r="188" spans="2:165" s="8" customFormat="1">
      <c r="B188" s="160"/>
      <c r="C188" s="173" t="s">
        <v>90</v>
      </c>
      <c r="D188" s="174"/>
      <c r="E188" s="175" t="s">
        <v>9</v>
      </c>
      <c r="F188" s="176">
        <f t="shared" ref="F188:AJ188" si="135">SUM(F183:F187)</f>
        <v>244940</v>
      </c>
      <c r="G188" s="176">
        <f t="shared" si="135"/>
        <v>121370</v>
      </c>
      <c r="H188" s="176">
        <f t="shared" si="135"/>
        <v>146010</v>
      </c>
      <c r="I188" s="176">
        <f t="shared" si="135"/>
        <v>331100</v>
      </c>
      <c r="J188" s="176">
        <f t="shared" si="135"/>
        <v>295450</v>
      </c>
      <c r="K188" s="176">
        <f t="shared" si="135"/>
        <v>483560</v>
      </c>
      <c r="L188" s="176">
        <f t="shared" si="135"/>
        <v>541700</v>
      </c>
      <c r="M188" s="176">
        <f t="shared" si="135"/>
        <v>632310</v>
      </c>
      <c r="N188" s="176">
        <f t="shared" si="135"/>
        <v>523460</v>
      </c>
      <c r="O188" s="176">
        <f t="shared" si="135"/>
        <v>353010</v>
      </c>
      <c r="P188" s="176">
        <f t="shared" si="135"/>
        <v>422650</v>
      </c>
      <c r="Q188" s="176">
        <f t="shared" si="135"/>
        <v>160690</v>
      </c>
      <c r="R188" s="176">
        <f t="shared" si="135"/>
        <v>26530</v>
      </c>
      <c r="S188" s="176">
        <f t="shared" si="135"/>
        <v>380880</v>
      </c>
      <c r="T188" s="176">
        <f t="shared" si="135"/>
        <v>507170</v>
      </c>
      <c r="U188" s="176">
        <f t="shared" si="135"/>
        <v>547950</v>
      </c>
      <c r="V188" s="176">
        <f t="shared" si="135"/>
        <v>590210</v>
      </c>
      <c r="W188" s="176">
        <f t="shared" si="135"/>
        <v>758230</v>
      </c>
      <c r="X188" s="176">
        <f t="shared" si="135"/>
        <v>364240</v>
      </c>
      <c r="Y188" s="176">
        <f t="shared" si="135"/>
        <v>83840</v>
      </c>
      <c r="Z188" s="176">
        <f t="shared" si="135"/>
        <v>585030</v>
      </c>
      <c r="AA188" s="176">
        <f t="shared" si="135"/>
        <v>1161270</v>
      </c>
      <c r="AB188" s="176">
        <f t="shared" si="135"/>
        <v>1007510</v>
      </c>
      <c r="AC188" s="176">
        <f t="shared" si="135"/>
        <v>649480</v>
      </c>
      <c r="AD188" s="176">
        <f>SUM(AD183:AD187)</f>
        <v>836890</v>
      </c>
      <c r="AE188" s="176">
        <f t="shared" ref="AE188:AG188" si="136">SUM(AE183:AE187)</f>
        <v>350470</v>
      </c>
      <c r="AF188" s="176">
        <f t="shared" si="136"/>
        <v>0</v>
      </c>
      <c r="AG188" s="176">
        <f t="shared" si="136"/>
        <v>316590</v>
      </c>
      <c r="AH188" s="176">
        <f t="shared" si="135"/>
        <v>586520</v>
      </c>
      <c r="AI188" s="176">
        <f t="shared" si="135"/>
        <v>627770</v>
      </c>
      <c r="AJ188" s="176">
        <f t="shared" si="135"/>
        <v>0</v>
      </c>
      <c r="AL188" s="194">
        <f>SUM(AL183:AL187)</f>
        <v>13636830</v>
      </c>
      <c r="AM188" s="184"/>
      <c r="AN188" s="187"/>
      <c r="EB188" s="277"/>
      <c r="EC188" s="277"/>
      <c r="FI188" s="277"/>
    </row>
    <row r="189" spans="2:165">
      <c r="B189" s="38">
        <v>13</v>
      </c>
      <c r="C189" s="67" t="s">
        <v>112</v>
      </c>
      <c r="D189" s="172"/>
      <c r="E189" s="172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L189" s="195" t="s">
        <v>113</v>
      </c>
    </row>
    <row r="190" spans="2:165">
      <c r="B190" s="61"/>
      <c r="C190" s="69" t="s">
        <v>111</v>
      </c>
      <c r="D190" s="59"/>
      <c r="E190" s="60" t="s">
        <v>9</v>
      </c>
      <c r="F190" s="144">
        <v>0</v>
      </c>
      <c r="G190" s="144">
        <v>0</v>
      </c>
      <c r="H190" s="144">
        <v>0</v>
      </c>
      <c r="I190" s="144">
        <v>0</v>
      </c>
      <c r="J190" s="144">
        <v>0</v>
      </c>
      <c r="K190" s="144">
        <v>0</v>
      </c>
      <c r="L190" s="144">
        <v>0</v>
      </c>
      <c r="M190" s="144">
        <v>0</v>
      </c>
      <c r="N190" s="144">
        <v>0</v>
      </c>
      <c r="O190" s="144">
        <v>0</v>
      </c>
      <c r="P190" s="144">
        <v>0</v>
      </c>
      <c r="Q190" s="144">
        <v>0</v>
      </c>
      <c r="R190" s="144">
        <v>0</v>
      </c>
      <c r="S190" s="144">
        <v>0</v>
      </c>
      <c r="T190" s="144">
        <v>0</v>
      </c>
      <c r="U190" s="144">
        <v>0</v>
      </c>
      <c r="V190" s="144">
        <v>0</v>
      </c>
      <c r="W190" s="144">
        <v>0</v>
      </c>
      <c r="X190" s="144">
        <v>0</v>
      </c>
      <c r="Y190" s="144">
        <v>0</v>
      </c>
      <c r="Z190" s="144">
        <v>0</v>
      </c>
      <c r="AA190" s="144">
        <v>0</v>
      </c>
      <c r="AB190" s="144">
        <v>0</v>
      </c>
      <c r="AC190" s="144">
        <v>0</v>
      </c>
      <c r="AD190" s="144">
        <v>0</v>
      </c>
      <c r="AE190" s="144">
        <v>0</v>
      </c>
      <c r="AF190" s="144">
        <v>0</v>
      </c>
      <c r="AG190" s="144">
        <v>0</v>
      </c>
      <c r="AH190" s="144">
        <v>0</v>
      </c>
      <c r="AI190" s="144">
        <v>0</v>
      </c>
      <c r="AJ190" s="144"/>
      <c r="AL190" s="97">
        <f>SUM(F190:AJ190)</f>
        <v>0</v>
      </c>
    </row>
    <row r="191" spans="2:165">
      <c r="B191" s="61"/>
      <c r="C191" s="69" t="s">
        <v>32</v>
      </c>
      <c r="D191" s="59"/>
      <c r="E191" s="60" t="s">
        <v>9</v>
      </c>
      <c r="F191" s="144">
        <v>84010</v>
      </c>
      <c r="G191" s="144">
        <v>0</v>
      </c>
      <c r="H191" s="144">
        <v>0</v>
      </c>
      <c r="I191" s="144">
        <v>83180</v>
      </c>
      <c r="J191" s="144">
        <v>55820</v>
      </c>
      <c r="K191" s="144">
        <v>0</v>
      </c>
      <c r="L191" s="144">
        <v>218860</v>
      </c>
      <c r="M191" s="144">
        <v>136100</v>
      </c>
      <c r="N191" s="144">
        <v>0</v>
      </c>
      <c r="O191" s="144">
        <v>0</v>
      </c>
      <c r="P191" s="144">
        <v>0</v>
      </c>
      <c r="Q191" s="144">
        <v>0</v>
      </c>
      <c r="R191" s="144">
        <v>0</v>
      </c>
      <c r="S191" s="144">
        <v>0</v>
      </c>
      <c r="T191" s="144">
        <v>0</v>
      </c>
      <c r="U191" s="144">
        <v>100000</v>
      </c>
      <c r="V191" s="144">
        <v>0</v>
      </c>
      <c r="W191" s="144">
        <v>0</v>
      </c>
      <c r="X191" s="144">
        <v>0</v>
      </c>
      <c r="Y191" s="144">
        <v>0</v>
      </c>
      <c r="Z191" s="144">
        <v>182810</v>
      </c>
      <c r="AA191" s="144">
        <v>239530</v>
      </c>
      <c r="AB191" s="144">
        <v>0</v>
      </c>
      <c r="AC191" s="144">
        <v>80360</v>
      </c>
      <c r="AD191" s="144">
        <v>0</v>
      </c>
      <c r="AE191" s="144">
        <v>0</v>
      </c>
      <c r="AF191" s="144">
        <v>0</v>
      </c>
      <c r="AG191" s="144">
        <v>40360</v>
      </c>
      <c r="AH191" s="144">
        <v>143820</v>
      </c>
      <c r="AI191" s="144">
        <v>82230</v>
      </c>
      <c r="AJ191" s="144"/>
      <c r="AL191" s="97">
        <f>SUM(F191:AJ191)</f>
        <v>1447080</v>
      </c>
    </row>
    <row r="192" spans="2:165">
      <c r="B192" s="61"/>
      <c r="C192" s="69" t="s">
        <v>34</v>
      </c>
      <c r="D192" s="59"/>
      <c r="E192" s="60" t="s">
        <v>9</v>
      </c>
      <c r="F192" s="144">
        <v>1096520</v>
      </c>
      <c r="G192" s="144">
        <v>1032970</v>
      </c>
      <c r="H192" s="144">
        <v>0</v>
      </c>
      <c r="I192" s="144">
        <v>1507110</v>
      </c>
      <c r="J192" s="144">
        <v>827460</v>
      </c>
      <c r="K192" s="144">
        <v>0</v>
      </c>
      <c r="L192" s="144">
        <v>1877740</v>
      </c>
      <c r="M192" s="144">
        <v>1277210</v>
      </c>
      <c r="N192" s="144">
        <v>1303630</v>
      </c>
      <c r="O192" s="144">
        <v>1398210</v>
      </c>
      <c r="P192" s="144">
        <v>283930</v>
      </c>
      <c r="Q192" s="144">
        <v>428410</v>
      </c>
      <c r="R192" s="144">
        <v>0</v>
      </c>
      <c r="S192" s="144">
        <v>1458050</v>
      </c>
      <c r="T192" s="144">
        <v>1386090</v>
      </c>
      <c r="U192" s="144">
        <v>1332610</v>
      </c>
      <c r="V192" s="144">
        <v>1915440</v>
      </c>
      <c r="W192" s="144">
        <v>0</v>
      </c>
      <c r="X192" s="144">
        <v>0</v>
      </c>
      <c r="Y192" s="144">
        <v>0</v>
      </c>
      <c r="Z192" s="144">
        <v>0</v>
      </c>
      <c r="AA192" s="144">
        <v>0</v>
      </c>
      <c r="AB192" s="144">
        <v>0</v>
      </c>
      <c r="AC192" s="144">
        <v>0</v>
      </c>
      <c r="AD192" s="144">
        <v>489060</v>
      </c>
      <c r="AE192" s="144">
        <v>1543450</v>
      </c>
      <c r="AF192" s="144">
        <v>320950</v>
      </c>
      <c r="AG192" s="144">
        <v>1894550</v>
      </c>
      <c r="AH192" s="144">
        <v>1794450</v>
      </c>
      <c r="AI192" s="144">
        <v>1453110</v>
      </c>
      <c r="AJ192" s="144"/>
      <c r="AL192" s="97">
        <f>SUM(F192:AJ192)</f>
        <v>24620950</v>
      </c>
    </row>
    <row r="193" spans="2:165" hidden="1">
      <c r="B193" s="61"/>
      <c r="C193" s="69" t="s">
        <v>43</v>
      </c>
      <c r="D193" s="59"/>
      <c r="E193" s="60" t="s">
        <v>9</v>
      </c>
      <c r="F193" s="144"/>
      <c r="G193" s="144"/>
      <c r="H193" s="144">
        <v>0</v>
      </c>
      <c r="I193" s="144"/>
      <c r="J193" s="144"/>
      <c r="K193" s="144"/>
      <c r="L193" s="144"/>
      <c r="M193" s="144"/>
      <c r="N193" s="144"/>
      <c r="O193" s="144"/>
      <c r="P193" s="144"/>
      <c r="Q193" s="144"/>
      <c r="R193" s="144">
        <v>0</v>
      </c>
      <c r="S193" s="144"/>
      <c r="T193" s="144"/>
      <c r="U193" s="144"/>
      <c r="V193" s="144"/>
      <c r="W193" s="144"/>
      <c r="X193" s="144"/>
      <c r="Y193" s="144"/>
      <c r="Z193" s="144"/>
      <c r="AA193" s="144">
        <v>0</v>
      </c>
      <c r="AB193" s="144">
        <v>0</v>
      </c>
      <c r="AC193" s="144"/>
      <c r="AD193" s="144"/>
      <c r="AE193" s="144"/>
      <c r="AF193" s="144"/>
      <c r="AG193" s="144"/>
      <c r="AH193" s="144"/>
      <c r="AI193" s="144"/>
      <c r="AJ193" s="144"/>
      <c r="AL193" s="97">
        <f>SUM(F193:AJ193)</f>
        <v>0</v>
      </c>
    </row>
    <row r="194" spans="2:165">
      <c r="B194" s="61"/>
      <c r="C194" s="69" t="s">
        <v>50</v>
      </c>
      <c r="D194" s="59"/>
      <c r="E194" s="60" t="s">
        <v>9</v>
      </c>
      <c r="F194" s="144">
        <v>0</v>
      </c>
      <c r="G194" s="144">
        <v>0</v>
      </c>
      <c r="H194" s="144">
        <v>0</v>
      </c>
      <c r="I194" s="144">
        <v>0</v>
      </c>
      <c r="J194" s="144">
        <v>0</v>
      </c>
      <c r="K194" s="144">
        <v>0</v>
      </c>
      <c r="L194" s="144">
        <v>0</v>
      </c>
      <c r="M194" s="144">
        <v>0</v>
      </c>
      <c r="N194" s="144">
        <v>0</v>
      </c>
      <c r="O194" s="144">
        <v>0</v>
      </c>
      <c r="P194" s="144">
        <v>140080</v>
      </c>
      <c r="Q194" s="144">
        <v>55330</v>
      </c>
      <c r="R194" s="144">
        <v>0</v>
      </c>
      <c r="S194" s="144">
        <v>297190</v>
      </c>
      <c r="T194" s="144">
        <v>297600</v>
      </c>
      <c r="U194" s="144">
        <v>216670</v>
      </c>
      <c r="V194" s="144">
        <v>353230</v>
      </c>
      <c r="W194" s="144">
        <v>248220</v>
      </c>
      <c r="X194" s="144">
        <v>138240</v>
      </c>
      <c r="Y194" s="144">
        <v>297410</v>
      </c>
      <c r="Z194" s="144">
        <v>57130</v>
      </c>
      <c r="AA194" s="144">
        <v>0</v>
      </c>
      <c r="AB194" s="144">
        <v>0</v>
      </c>
      <c r="AC194" s="144">
        <v>54910</v>
      </c>
      <c r="AD194" s="144">
        <v>54910</v>
      </c>
      <c r="AE194" s="144">
        <v>195770</v>
      </c>
      <c r="AF194" s="144">
        <v>0</v>
      </c>
      <c r="AG194" s="144">
        <v>223330</v>
      </c>
      <c r="AH194" s="144">
        <v>28470</v>
      </c>
      <c r="AI194" s="144">
        <v>350750</v>
      </c>
      <c r="AJ194" s="144"/>
      <c r="AL194" s="97">
        <f>SUM(F194:AJ194)</f>
        <v>3009240</v>
      </c>
    </row>
    <row r="195" spans="2:165" s="8" customFormat="1" ht="15.75" thickBot="1">
      <c r="B195" s="160"/>
      <c r="C195" s="173" t="s">
        <v>90</v>
      </c>
      <c r="D195" s="174"/>
      <c r="E195" s="175" t="s">
        <v>9</v>
      </c>
      <c r="F195" s="176">
        <f t="shared" ref="F195:AJ195" si="137">SUM(F190:F194)</f>
        <v>1180530</v>
      </c>
      <c r="G195" s="176">
        <f t="shared" si="137"/>
        <v>1032970</v>
      </c>
      <c r="H195" s="176">
        <f t="shared" si="137"/>
        <v>0</v>
      </c>
      <c r="I195" s="176">
        <f t="shared" si="137"/>
        <v>1590290</v>
      </c>
      <c r="J195" s="176">
        <f t="shared" si="137"/>
        <v>883280</v>
      </c>
      <c r="K195" s="176">
        <f t="shared" si="137"/>
        <v>0</v>
      </c>
      <c r="L195" s="176">
        <f t="shared" si="137"/>
        <v>2096600</v>
      </c>
      <c r="M195" s="176">
        <f t="shared" si="137"/>
        <v>1413310</v>
      </c>
      <c r="N195" s="176">
        <f t="shared" si="137"/>
        <v>1303630</v>
      </c>
      <c r="O195" s="176">
        <f t="shared" si="137"/>
        <v>1398210</v>
      </c>
      <c r="P195" s="176">
        <f t="shared" si="137"/>
        <v>424010</v>
      </c>
      <c r="Q195" s="176">
        <f t="shared" si="137"/>
        <v>483740</v>
      </c>
      <c r="R195" s="176">
        <f t="shared" si="137"/>
        <v>0</v>
      </c>
      <c r="S195" s="176">
        <f t="shared" si="137"/>
        <v>1755240</v>
      </c>
      <c r="T195" s="176">
        <f t="shared" si="137"/>
        <v>1683690</v>
      </c>
      <c r="U195" s="176">
        <f t="shared" si="137"/>
        <v>1649280</v>
      </c>
      <c r="V195" s="176">
        <f t="shared" si="137"/>
        <v>2268670</v>
      </c>
      <c r="W195" s="176">
        <f t="shared" si="137"/>
        <v>248220</v>
      </c>
      <c r="X195" s="176">
        <f t="shared" si="137"/>
        <v>138240</v>
      </c>
      <c r="Y195" s="176">
        <f t="shared" si="137"/>
        <v>297410</v>
      </c>
      <c r="Z195" s="176">
        <f t="shared" si="137"/>
        <v>239940</v>
      </c>
      <c r="AA195" s="176">
        <f t="shared" si="137"/>
        <v>239530</v>
      </c>
      <c r="AB195" s="176">
        <f t="shared" si="137"/>
        <v>0</v>
      </c>
      <c r="AC195" s="176">
        <f t="shared" si="137"/>
        <v>135270</v>
      </c>
      <c r="AD195" s="176">
        <f t="shared" si="137"/>
        <v>543970</v>
      </c>
      <c r="AE195" s="176">
        <f t="shared" ref="AE195:AG195" si="138">SUM(AE190:AE194)</f>
        <v>1739220</v>
      </c>
      <c r="AF195" s="176">
        <f t="shared" si="138"/>
        <v>320950</v>
      </c>
      <c r="AG195" s="176">
        <f t="shared" si="138"/>
        <v>2158240</v>
      </c>
      <c r="AH195" s="176">
        <f t="shared" si="137"/>
        <v>1966740</v>
      </c>
      <c r="AI195" s="176">
        <f t="shared" si="137"/>
        <v>1886090</v>
      </c>
      <c r="AJ195" s="176">
        <f t="shared" si="137"/>
        <v>0</v>
      </c>
      <c r="AL195" s="196">
        <f>SUM(AL190:AL194)</f>
        <v>29077270</v>
      </c>
      <c r="AN195" s="187"/>
      <c r="EB195" s="277"/>
      <c r="EC195" s="277"/>
      <c r="FI195" s="277"/>
    </row>
  </sheetData>
  <mergeCells count="7">
    <mergeCell ref="AL5:AL6"/>
    <mergeCell ref="B2:AJ2"/>
    <mergeCell ref="B5:B6"/>
    <mergeCell ref="C5:C6"/>
    <mergeCell ref="D5:D6"/>
    <mergeCell ref="E5:E6"/>
    <mergeCell ref="F5:AJ5"/>
  </mergeCells>
  <pageMargins left="0.7" right="0.7" top="0.75" bottom="0.75" header="0.3" footer="0.3"/>
  <pageSetup paperSize="9" orientation="portrait" horizontalDpi="300" verticalDpi="300" r:id="rId1"/>
  <ignoredErrors>
    <ignoredError sqref="AH55:AI62 G65:O65 G69:O69 L18 F18:K19 M15:O15 F67:M67 M10:O10 F10:K10 O67:S67 T14 T18 U10:U11 U14:U15 U18:U19 W22:Y23 U67:Z67 V69:Z69 V65:AA65 AB69 AC10:AC11 AC14:AC15 AC18:AC19 AC22:AC23 W26:AC26 AJ59:AJ62 AH67:AI67 AL35 AL57:AL62 F57:F62 F14:K15 AL10:AL22 P10:S11 P14:S15 M18:S19 F22:U22 O14 M14 T10 V14 V18 W10:Z11 W18:Z19 W14:Z15 Z22:AA22 AB19 AD67 G55:AD62 AB18 AA14:AB14 AA10:AB11 AA15:AB15 AA18 AB22 AC65 AD10:AF11 AE59:AF62 AE67:AF67 AG59:AG63 AG55:AG57 AG69:AG70 AD22:AF22 AD14:AF15 AD18:AF19 AH14:AI14 AJ67 AI65 AI69" evalError="1"/>
    <ignoredError sqref="L70 N70:O70 V70:Z70 G70:K70 AB70 AI70" evalError="1" formulaRange="1"/>
    <ignoredError sqref="AL65:AL66 AL72 AL129 AL68:AL70" formula="1"/>
    <ignoredError sqref="AH70 F70 M70 Q50 W76 W86 AC70:AD70 AF70 AJ70 AJ50" formulaRange="1"/>
    <ignoredError sqref="T67 AC67 AL67 N67" evalError="1" formula="1"/>
    <ignoredError sqref="AL34" evalError="1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C28F-4447-4346-A2C6-AA06F99ABA48}">
  <dimension ref="D4:D21"/>
  <sheetViews>
    <sheetView showGridLines="0" workbookViewId="0">
      <selection activeCell="D3" sqref="D3"/>
    </sheetView>
  </sheetViews>
  <sheetFormatPr defaultRowHeight="15"/>
  <cols>
    <col min="4" max="4" width="21" bestFit="1" customWidth="1"/>
  </cols>
  <sheetData>
    <row r="4" spans="4:4">
      <c r="D4" s="1" t="s">
        <v>126</v>
      </c>
    </row>
    <row r="5" spans="4:4">
      <c r="D5" s="1" t="s">
        <v>127</v>
      </c>
    </row>
    <row r="6" spans="4:4">
      <c r="D6" s="1" t="s">
        <v>128</v>
      </c>
    </row>
    <row r="7" spans="4:4">
      <c r="D7" s="3" t="s">
        <v>129</v>
      </c>
    </row>
    <row r="8" spans="4:4">
      <c r="D8" s="1" t="s">
        <v>130</v>
      </c>
    </row>
    <row r="9" spans="4:4">
      <c r="D9" s="5" t="s">
        <v>131</v>
      </c>
    </row>
    <row r="10" spans="4:4">
      <c r="D10" s="1" t="s">
        <v>132</v>
      </c>
    </row>
    <row r="11" spans="4:4">
      <c r="D11" s="1" t="s">
        <v>133</v>
      </c>
    </row>
    <row r="12" spans="4:4">
      <c r="D12" s="1" t="s">
        <v>134</v>
      </c>
    </row>
    <row r="13" spans="4:4">
      <c r="D13" s="1" t="s">
        <v>135</v>
      </c>
    </row>
    <row r="15" spans="4:4">
      <c r="D15" s="1" t="s">
        <v>136</v>
      </c>
    </row>
    <row r="16" spans="4:4">
      <c r="D16" s="1" t="s">
        <v>132</v>
      </c>
    </row>
    <row r="17" spans="4:4">
      <c r="D17" s="1" t="s">
        <v>132</v>
      </c>
    </row>
    <row r="18" spans="4:4">
      <c r="D18" s="1" t="s">
        <v>133</v>
      </c>
    </row>
    <row r="19" spans="4:4">
      <c r="D19" s="1" t="s">
        <v>134</v>
      </c>
    </row>
    <row r="20" spans="4:4">
      <c r="D20" s="1" t="s">
        <v>135</v>
      </c>
    </row>
    <row r="21" spans="4:4">
      <c r="D21" s="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User</cp:lastModifiedBy>
  <cp:lastPrinted>2020-09-29T04:26:00Z</cp:lastPrinted>
  <dcterms:created xsi:type="dcterms:W3CDTF">2019-05-08T06:22:00Z</dcterms:created>
  <dcterms:modified xsi:type="dcterms:W3CDTF">2022-05-23T09:27:46Z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0FD302088A264398A2DB14BB338036A8</vt:lpwstr>
  </property>
</Properties>
</file>