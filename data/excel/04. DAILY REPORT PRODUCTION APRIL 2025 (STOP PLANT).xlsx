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duction Report 2025\"/>
    </mc:Choice>
  </mc:AlternateContent>
  <xr:revisionPtr revIDLastSave="0" documentId="13_ncr:1_{C888D151-89A0-497A-AEA3-4F5F7D736825}" xr6:coauthVersionLast="47" xr6:coauthVersionMax="47" xr10:uidLastSave="{00000000-0000-0000-0000-000000000000}"/>
  <bookViews>
    <workbookView xWindow="-108" yWindow="-108" windowWidth="23256" windowHeight="12456" activeTab="14" xr2:uid="{00000000-000D-0000-FFFF-FFFF00000000}"/>
  </bookViews>
  <sheets>
    <sheet name="April 2025" sheetId="43" r:id="rId1"/>
    <sheet name="OIP Refinery " sheetId="36" state="hidden" r:id="rId2"/>
    <sheet name="Oip Fract ." sheetId="37" state="hidden" r:id="rId3"/>
    <sheet name="Downtime Ref Apr" sheetId="41" r:id="rId4"/>
    <sheet name="Downtime Fract Apr" sheetId="42" r:id="rId5"/>
    <sheet name="Peformance test Fract 1" sheetId="40" state="hidden" r:id="rId6"/>
    <sheet name="Peformance Test REFINERY 1" sheetId="38" state="hidden" r:id="rId7"/>
    <sheet name="peformance  test REFINERY 2" sheetId="39" state="hidden" r:id="rId8"/>
    <sheet name="HPP REF " sheetId="17" state="hidden" r:id="rId9"/>
    <sheet name="HPP FRACT" sheetId="18" state="hidden" r:id="rId10"/>
    <sheet name="SUMMARY HPP " sheetId="19" state="hidden" r:id="rId11"/>
    <sheet name="Convert Gas" sheetId="3" state="hidden" r:id="rId12"/>
    <sheet name="Prod" sheetId="31" r:id="rId13"/>
    <sheet name="Utility" sheetId="32" r:id="rId14"/>
    <sheet name="Qty cons analysis" sheetId="33" r:id="rId15"/>
    <sheet name="2025" sheetId="16" state="hidden" r:id="rId16"/>
    <sheet name="Steam" sheetId="26" state="hidden" r:id="rId17"/>
    <sheet name="WWTP" sheetId="27" state="hidden" r:id="rId18"/>
    <sheet name="WTP" sheetId="28" state="hidden" r:id="rId19"/>
    <sheet name="lab" sheetId="29" state="hidden" r:id="rId20"/>
    <sheet name="genset" sheetId="30" state="hidden" r:id="rId21"/>
    <sheet name="AMOR" sheetId="24" state="hidden" r:id="rId22"/>
    <sheet name="DEP" sheetId="23" state="hidden" r:id="rId23"/>
    <sheet name="MTC" sheetId="20" state="hidden" r:id="rId24"/>
    <sheet name="LOG" sheetId="21" state="hidden" r:id="rId25"/>
    <sheet name="OH" sheetId="22" state="hidden" r:id="rId26"/>
    <sheet name="Time Sheet Bulanan" sheetId="25" state="hidden" r:id="rId27"/>
    <sheet name="Flow Meter" sheetId="8" state="hidden" r:id="rId28"/>
  </sheets>
  <externalReferences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'April 2025'!$A$4:$VUA$4</definedName>
    <definedName name="_xlnm.Print_Area" localSheetId="0">'April 2025'!$D$1:$AM$72</definedName>
    <definedName name="_xlnm.Print_Area" localSheetId="4">'Downtime Fract Apr'!$C$1:$H$69</definedName>
    <definedName name="_xlnm.Print_Area" localSheetId="3">'Downtime Ref Apr'!$D$1:$I$67</definedName>
    <definedName name="_xlnm.Print_Area" localSheetId="6">'Peformance Test REFINERY 1'!#REF!</definedName>
    <definedName name="_xlnm.Print_Area" localSheetId="12">Prod!$B$2:$H$85</definedName>
    <definedName name="_xlnm.Print_Area" localSheetId="14">'Qty cons analysis'!$D$2:$I$53</definedName>
    <definedName name="_xlnm.Print_Area" localSheetId="13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33" l="1"/>
  <c r="H6" i="33"/>
  <c r="H34" i="42"/>
  <c r="H33" i="42"/>
  <c r="H32" i="42"/>
  <c r="H31" i="42"/>
  <c r="H30" i="42"/>
  <c r="H29" i="42"/>
  <c r="H28" i="42"/>
  <c r="H27" i="42"/>
  <c r="H26" i="42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8" i="42"/>
  <c r="H7" i="42"/>
  <c r="AJ72" i="43"/>
  <c r="AI72" i="43"/>
  <c r="AJ71" i="43"/>
  <c r="AI71" i="43"/>
  <c r="AJ70" i="43"/>
  <c r="AI70" i="43"/>
  <c r="AJ69" i="43"/>
  <c r="AI69" i="43"/>
  <c r="AJ68" i="43"/>
  <c r="AI68" i="43"/>
  <c r="AJ67" i="43"/>
  <c r="AI67" i="43"/>
  <c r="AJ66" i="43"/>
  <c r="AI66" i="43"/>
  <c r="AJ65" i="43"/>
  <c r="AI65" i="43"/>
  <c r="AJ64" i="43"/>
  <c r="AI64" i="43"/>
  <c r="AJ63" i="43"/>
  <c r="AI63" i="43"/>
  <c r="AJ62" i="43"/>
  <c r="AI62" i="43"/>
  <c r="AJ61" i="43"/>
  <c r="AI61" i="43"/>
  <c r="AJ60" i="43"/>
  <c r="AI60" i="43"/>
  <c r="AJ59" i="43"/>
  <c r="AI59" i="43"/>
  <c r="AC72" i="43"/>
  <c r="AC71" i="43"/>
  <c r="AC70" i="43"/>
  <c r="AC69" i="43"/>
  <c r="AC68" i="43"/>
  <c r="AC67" i="43"/>
  <c r="AC66" i="43"/>
  <c r="AC65" i="43"/>
  <c r="AC64" i="43"/>
  <c r="AC63" i="43"/>
  <c r="AC62" i="43"/>
  <c r="AC61" i="43"/>
  <c r="AC60" i="43"/>
  <c r="AC59" i="43"/>
  <c r="AJ252" i="43"/>
  <c r="AI252" i="43"/>
  <c r="AJ250" i="43"/>
  <c r="AI250" i="43"/>
  <c r="AC250" i="43"/>
  <c r="AJ262" i="43"/>
  <c r="AI262" i="43"/>
  <c r="AJ260" i="43"/>
  <c r="AI260" i="43"/>
  <c r="S262" i="43"/>
  <c r="AC262" i="43"/>
  <c r="AE260" i="43"/>
  <c r="AJ280" i="43"/>
  <c r="AI280" i="43"/>
  <c r="AJ278" i="43"/>
  <c r="AI278" i="43"/>
  <c r="AJ275" i="43"/>
  <c r="AI275" i="43"/>
  <c r="AJ273" i="43"/>
  <c r="AI273" i="43"/>
  <c r="AF280" i="43"/>
  <c r="AF278" i="43"/>
  <c r="AF275" i="43"/>
  <c r="AF273" i="43"/>
  <c r="V275" i="43"/>
  <c r="U275" i="43"/>
  <c r="T275" i="43"/>
  <c r="V273" i="43"/>
  <c r="U273" i="43"/>
  <c r="T273" i="43"/>
  <c r="W280" i="43"/>
  <c r="V280" i="43"/>
  <c r="W278" i="43"/>
  <c r="V278" i="43"/>
  <c r="Q278" i="43"/>
  <c r="P278" i="43"/>
  <c r="O278" i="43"/>
  <c r="N278" i="43"/>
  <c r="M278" i="43"/>
  <c r="L278" i="43"/>
  <c r="K278" i="43"/>
  <c r="J278" i="43"/>
  <c r="I278" i="43"/>
  <c r="H278" i="43"/>
  <c r="G278" i="43"/>
  <c r="M280" i="43"/>
  <c r="L280" i="43"/>
  <c r="K280" i="43"/>
  <c r="J280" i="43"/>
  <c r="I280" i="43"/>
  <c r="H280" i="43"/>
  <c r="G280" i="43"/>
  <c r="V260" i="43"/>
  <c r="U260" i="43"/>
  <c r="T260" i="43"/>
  <c r="V252" i="43"/>
  <c r="U252" i="43"/>
  <c r="V250" i="43"/>
  <c r="U250" i="43"/>
  <c r="T250" i="43"/>
  <c r="S75" i="43"/>
  <c r="S72" i="43"/>
  <c r="S71" i="43"/>
  <c r="S70" i="43"/>
  <c r="S69" i="43"/>
  <c r="S68" i="43"/>
  <c r="S67" i="43"/>
  <c r="S66" i="43"/>
  <c r="S65" i="43"/>
  <c r="S64" i="43"/>
  <c r="S63" i="43"/>
  <c r="S62" i="43"/>
  <c r="S61" i="43"/>
  <c r="S60" i="43"/>
  <c r="S59" i="43"/>
  <c r="S87" i="43"/>
  <c r="S85" i="43"/>
  <c r="S84" i="43"/>
  <c r="I23" i="32"/>
  <c r="I15" i="32"/>
  <c r="I42" i="32"/>
  <c r="K42" i="32" s="1"/>
  <c r="J39" i="32"/>
  <c r="J42" i="32" l="1"/>
  <c r="K39" i="32"/>
  <c r="AM24" i="43"/>
  <c r="AM86" i="43"/>
  <c r="M273" i="43"/>
  <c r="V301" i="43"/>
  <c r="AM283" i="43"/>
  <c r="AM282" i="43"/>
  <c r="E280" i="43"/>
  <c r="AM279" i="43"/>
  <c r="E278" i="43"/>
  <c r="AM277" i="43"/>
  <c r="AK275" i="43"/>
  <c r="AH275" i="43"/>
  <c r="AG275" i="43"/>
  <c r="AD275" i="43"/>
  <c r="AC275" i="43"/>
  <c r="AB275" i="43"/>
  <c r="AA275" i="43"/>
  <c r="Z275" i="43"/>
  <c r="Y275" i="43"/>
  <c r="X275" i="43"/>
  <c r="W275" i="43"/>
  <c r="S275" i="43"/>
  <c r="Q275" i="43"/>
  <c r="P275" i="43"/>
  <c r="O275" i="43"/>
  <c r="N275" i="43"/>
  <c r="M275" i="43"/>
  <c r="L275" i="43"/>
  <c r="K275" i="43"/>
  <c r="J275" i="43"/>
  <c r="I275" i="43"/>
  <c r="H275" i="43"/>
  <c r="G275" i="43"/>
  <c r="E275" i="43"/>
  <c r="AM274" i="43"/>
  <c r="AK273" i="43"/>
  <c r="AH273" i="43"/>
  <c r="AG273" i="43"/>
  <c r="AD273" i="43"/>
  <c r="AC273" i="43"/>
  <c r="AB273" i="43"/>
  <c r="AA273" i="43"/>
  <c r="Z273" i="43"/>
  <c r="Y273" i="43"/>
  <c r="X273" i="43"/>
  <c r="W273" i="43"/>
  <c r="S273" i="43"/>
  <c r="Q273" i="43"/>
  <c r="P273" i="43"/>
  <c r="O273" i="43"/>
  <c r="N273" i="43"/>
  <c r="L273" i="43"/>
  <c r="K273" i="43"/>
  <c r="I273" i="43"/>
  <c r="H273" i="43"/>
  <c r="G273" i="43"/>
  <c r="E273" i="43"/>
  <c r="AM272" i="43"/>
  <c r="AK270" i="43"/>
  <c r="P270" i="43"/>
  <c r="O270" i="43"/>
  <c r="N270" i="43"/>
  <c r="M270" i="43"/>
  <c r="L270" i="43"/>
  <c r="K270" i="43"/>
  <c r="J270" i="43"/>
  <c r="I270" i="43"/>
  <c r="H270" i="43"/>
  <c r="G270" i="43"/>
  <c r="AM269" i="43"/>
  <c r="AM265" i="43"/>
  <c r="AK264" i="43"/>
  <c r="AH264" i="43"/>
  <c r="AG264" i="43"/>
  <c r="AF264" i="43"/>
  <c r="AE264" i="43"/>
  <c r="AD264" i="43"/>
  <c r="AC264" i="43"/>
  <c r="AB264" i="43"/>
  <c r="AA264" i="43"/>
  <c r="Z264" i="43"/>
  <c r="Y264" i="43"/>
  <c r="X264" i="43"/>
  <c r="W264" i="43"/>
  <c r="V264" i="43"/>
  <c r="U264" i="43"/>
  <c r="T264" i="43"/>
  <c r="S264" i="43"/>
  <c r="R264" i="43"/>
  <c r="Q264" i="43"/>
  <c r="P264" i="43"/>
  <c r="O264" i="43"/>
  <c r="N264" i="43"/>
  <c r="M264" i="43"/>
  <c r="L264" i="43"/>
  <c r="J264" i="43"/>
  <c r="I264" i="43"/>
  <c r="H264" i="43"/>
  <c r="G264" i="43"/>
  <c r="AM263" i="43"/>
  <c r="AK262" i="43"/>
  <c r="AH262" i="43"/>
  <c r="AG262" i="43"/>
  <c r="AD262" i="43"/>
  <c r="Z262" i="43"/>
  <c r="Y262" i="43"/>
  <c r="X262" i="43"/>
  <c r="W262" i="43"/>
  <c r="Q262" i="43"/>
  <c r="P262" i="43"/>
  <c r="O262" i="43"/>
  <c r="N262" i="43"/>
  <c r="M262" i="43"/>
  <c r="L262" i="43"/>
  <c r="K262" i="43"/>
  <c r="J262" i="43"/>
  <c r="I262" i="43"/>
  <c r="H262" i="43"/>
  <c r="G262" i="43"/>
  <c r="E262" i="43"/>
  <c r="AM261" i="43"/>
  <c r="AK260" i="43"/>
  <c r="AH260" i="43"/>
  <c r="AG260" i="43"/>
  <c r="AD260" i="43"/>
  <c r="AC260" i="43"/>
  <c r="AB260" i="43"/>
  <c r="AA260" i="43"/>
  <c r="Z260" i="43"/>
  <c r="Y260" i="43"/>
  <c r="X260" i="43"/>
  <c r="W260" i="43"/>
  <c r="S260" i="43"/>
  <c r="Q260" i="43"/>
  <c r="P260" i="43"/>
  <c r="O260" i="43"/>
  <c r="N260" i="43"/>
  <c r="M260" i="43"/>
  <c r="L260" i="43"/>
  <c r="K260" i="43"/>
  <c r="J260" i="43"/>
  <c r="I260" i="43"/>
  <c r="H260" i="43"/>
  <c r="G260" i="43"/>
  <c r="E260" i="43"/>
  <c r="AM259" i="43"/>
  <c r="AM257" i="43"/>
  <c r="P255" i="43"/>
  <c r="O255" i="43"/>
  <c r="M255" i="43"/>
  <c r="L255" i="43"/>
  <c r="K255" i="43"/>
  <c r="J255" i="43"/>
  <c r="I255" i="43"/>
  <c r="AK253" i="43"/>
  <c r="AK255" i="43" s="1"/>
  <c r="AH253" i="43"/>
  <c r="AH255" i="43" s="1"/>
  <c r="AG253" i="43"/>
  <c r="AG255" i="43" s="1"/>
  <c r="AF253" i="43"/>
  <c r="AF255" i="43" s="1"/>
  <c r="AE255" i="43"/>
  <c r="AD255" i="43"/>
  <c r="AB255" i="43"/>
  <c r="AA255" i="43"/>
  <c r="Z255" i="43"/>
  <c r="Y255" i="43"/>
  <c r="X253" i="43"/>
  <c r="X255" i="43" s="1"/>
  <c r="W253" i="43"/>
  <c r="W255" i="43" s="1"/>
  <c r="V253" i="43"/>
  <c r="V255" i="43" s="1"/>
  <c r="U253" i="43"/>
  <c r="U255" i="43" s="1"/>
  <c r="T253" i="43"/>
  <c r="T255" i="43" s="1"/>
  <c r="R253" i="43"/>
  <c r="R255" i="43" s="1"/>
  <c r="Q253" i="43"/>
  <c r="Q255" i="43" s="1"/>
  <c r="N253" i="43"/>
  <c r="N255" i="43" s="1"/>
  <c r="H253" i="43"/>
  <c r="H255" i="43" s="1"/>
  <c r="G253" i="43"/>
  <c r="G255" i="43" s="1"/>
  <c r="AK252" i="43"/>
  <c r="AH252" i="43"/>
  <c r="AG252" i="43"/>
  <c r="W252" i="43"/>
  <c r="Q252" i="43"/>
  <c r="P252" i="43"/>
  <c r="O252" i="43"/>
  <c r="N252" i="43"/>
  <c r="M252" i="43"/>
  <c r="L252" i="43"/>
  <c r="K252" i="43"/>
  <c r="J252" i="43"/>
  <c r="I252" i="43"/>
  <c r="H252" i="43"/>
  <c r="G252" i="43"/>
  <c r="E252" i="43"/>
  <c r="AM251" i="43"/>
  <c r="AK250" i="43"/>
  <c r="AH250" i="43"/>
  <c r="AG250" i="43"/>
  <c r="AD250" i="43"/>
  <c r="AB250" i="43"/>
  <c r="AA250" i="43"/>
  <c r="Z250" i="43"/>
  <c r="Y250" i="43"/>
  <c r="X250" i="43"/>
  <c r="W250" i="43"/>
  <c r="S250" i="43"/>
  <c r="Q250" i="43"/>
  <c r="P250" i="43"/>
  <c r="O250" i="43"/>
  <c r="N250" i="43"/>
  <c r="M250" i="43"/>
  <c r="L250" i="43"/>
  <c r="K250" i="43"/>
  <c r="J250" i="43"/>
  <c r="I250" i="43"/>
  <c r="H250" i="43"/>
  <c r="G250" i="43"/>
  <c r="E250" i="43"/>
  <c r="AM249" i="43"/>
  <c r="AM247" i="43"/>
  <c r="AK244" i="43"/>
  <c r="AK245" i="43" s="1"/>
  <c r="AH244" i="43"/>
  <c r="AH245" i="43" s="1"/>
  <c r="AG244" i="43"/>
  <c r="AG245" i="43" s="1"/>
  <c r="AF244" i="43"/>
  <c r="AF245" i="43" s="1"/>
  <c r="AE244" i="43"/>
  <c r="AE245" i="43" s="1"/>
  <c r="AD244" i="43"/>
  <c r="AD245" i="43" s="1"/>
  <c r="AC244" i="43"/>
  <c r="AB244" i="43"/>
  <c r="AB245" i="43" s="1"/>
  <c r="AA244" i="43"/>
  <c r="AA245" i="43" s="1"/>
  <c r="Z244" i="43"/>
  <c r="Z245" i="43" s="1"/>
  <c r="Y244" i="43"/>
  <c r="Y245" i="43" s="1"/>
  <c r="W244" i="43"/>
  <c r="W245" i="43" s="1"/>
  <c r="V244" i="43"/>
  <c r="V245" i="43" s="1"/>
  <c r="U244" i="43"/>
  <c r="U245" i="43" s="1"/>
  <c r="T244" i="43"/>
  <c r="T245" i="43" s="1"/>
  <c r="P244" i="43"/>
  <c r="P245" i="43" s="1"/>
  <c r="O244" i="43"/>
  <c r="O245" i="43" s="1"/>
  <c r="N244" i="43"/>
  <c r="N245" i="43" s="1"/>
  <c r="M244" i="43"/>
  <c r="M245" i="43" s="1"/>
  <c r="L244" i="43"/>
  <c r="L245" i="43" s="1"/>
  <c r="K244" i="43"/>
  <c r="K245" i="43" s="1"/>
  <c r="J244" i="43"/>
  <c r="J245" i="43" s="1"/>
  <c r="I244" i="43"/>
  <c r="I245" i="43" s="1"/>
  <c r="H244" i="43"/>
  <c r="H245" i="43" s="1"/>
  <c r="G244" i="43"/>
  <c r="G245" i="43" s="1"/>
  <c r="AD243" i="43"/>
  <c r="AC243" i="43"/>
  <c r="AB243" i="43"/>
  <c r="AA243" i="43"/>
  <c r="Z243" i="43"/>
  <c r="Y243" i="43"/>
  <c r="X243" i="43"/>
  <c r="W243" i="43"/>
  <c r="V243" i="43"/>
  <c r="U243" i="43"/>
  <c r="T243" i="43"/>
  <c r="P243" i="43"/>
  <c r="O243" i="43"/>
  <c r="N243" i="43"/>
  <c r="M243" i="43"/>
  <c r="L243" i="43"/>
  <c r="K243" i="43"/>
  <c r="J243" i="43"/>
  <c r="I243" i="43"/>
  <c r="H243" i="43"/>
  <c r="G243" i="43"/>
  <c r="X244" i="43"/>
  <c r="X245" i="43" s="1"/>
  <c r="Q243" i="43"/>
  <c r="E242" i="43"/>
  <c r="AM240" i="43"/>
  <c r="AM238" i="43"/>
  <c r="AK87" i="43"/>
  <c r="AF87" i="43"/>
  <c r="AE87" i="43"/>
  <c r="AD87" i="43"/>
  <c r="AB87" i="43"/>
  <c r="AA87" i="43"/>
  <c r="Z87" i="43"/>
  <c r="Y87" i="43"/>
  <c r="X87" i="43"/>
  <c r="W87" i="43"/>
  <c r="R87" i="43"/>
  <c r="Q87" i="43"/>
  <c r="AK84" i="43"/>
  <c r="AK85" i="43" s="1"/>
  <c r="AH84" i="43"/>
  <c r="AH85" i="43" s="1"/>
  <c r="AG84" i="43"/>
  <c r="AG85" i="43" s="1"/>
  <c r="AD84" i="43"/>
  <c r="AD85" i="43" s="1"/>
  <c r="AA84" i="43"/>
  <c r="AA85" i="43" s="1"/>
  <c r="Z84" i="43"/>
  <c r="Z85" i="43" s="1"/>
  <c r="Y84" i="43"/>
  <c r="Y85" i="43" s="1"/>
  <c r="X84" i="43"/>
  <c r="X85" i="43" s="1"/>
  <c r="Q84" i="43"/>
  <c r="Q85" i="43" s="1"/>
  <c r="P84" i="43"/>
  <c r="P85" i="43" s="1"/>
  <c r="O84" i="43"/>
  <c r="O85" i="43" s="1"/>
  <c r="N84" i="43"/>
  <c r="N85" i="43" s="1"/>
  <c r="M84" i="43"/>
  <c r="M85" i="43" s="1"/>
  <c r="L84" i="43"/>
  <c r="L85" i="43" s="1"/>
  <c r="K84" i="43"/>
  <c r="K85" i="43" s="1"/>
  <c r="J84" i="43"/>
  <c r="J85" i="43" s="1"/>
  <c r="I84" i="43"/>
  <c r="I85" i="43" s="1"/>
  <c r="H84" i="43"/>
  <c r="H85" i="43" s="1"/>
  <c r="G84" i="43"/>
  <c r="G85" i="43" s="1"/>
  <c r="AK83" i="43"/>
  <c r="AH83" i="43"/>
  <c r="AG83" i="43"/>
  <c r="AD83" i="43"/>
  <c r="AC83" i="43"/>
  <c r="AB83" i="43"/>
  <c r="AA83" i="43"/>
  <c r="Z83" i="43"/>
  <c r="Y83" i="43"/>
  <c r="X83" i="43"/>
  <c r="W83" i="43"/>
  <c r="S83" i="43"/>
  <c r="P83" i="43"/>
  <c r="O83" i="43"/>
  <c r="N83" i="43"/>
  <c r="M83" i="43"/>
  <c r="L83" i="43"/>
  <c r="K83" i="43"/>
  <c r="J83" i="43"/>
  <c r="I83" i="43"/>
  <c r="H83" i="43"/>
  <c r="G83" i="43"/>
  <c r="AC81" i="43"/>
  <c r="AM80" i="43"/>
  <c r="AM78" i="43"/>
  <c r="AM76" i="43"/>
  <c r="T75" i="43"/>
  <c r="AM74" i="43"/>
  <c r="AH72" i="43"/>
  <c r="AF72" i="43"/>
  <c r="Z72" i="43"/>
  <c r="T72" i="43"/>
  <c r="R72" i="43"/>
  <c r="L72" i="43"/>
  <c r="AH71" i="43"/>
  <c r="AG71" i="43"/>
  <c r="AF71" i="43"/>
  <c r="AE71" i="43"/>
  <c r="AD71" i="43"/>
  <c r="AB71" i="43"/>
  <c r="AA71" i="43"/>
  <c r="Z71" i="43"/>
  <c r="Y71" i="43"/>
  <c r="X71" i="43"/>
  <c r="W71" i="43"/>
  <c r="V71" i="43"/>
  <c r="U71" i="43"/>
  <c r="T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AK70" i="43"/>
  <c r="AH70" i="43"/>
  <c r="AG70" i="43"/>
  <c r="AF70" i="43"/>
  <c r="AE70" i="43"/>
  <c r="AD70" i="43"/>
  <c r="AB70" i="43"/>
  <c r="AA70" i="43"/>
  <c r="Z70" i="43"/>
  <c r="Y70" i="43"/>
  <c r="X70" i="43"/>
  <c r="W70" i="43"/>
  <c r="V70" i="43"/>
  <c r="U70" i="43"/>
  <c r="T70" i="43"/>
  <c r="R70" i="43"/>
  <c r="Q70" i="43"/>
  <c r="P70" i="43"/>
  <c r="O70" i="43"/>
  <c r="N70" i="43"/>
  <c r="M70" i="43"/>
  <c r="L70" i="43"/>
  <c r="J70" i="43"/>
  <c r="I70" i="43"/>
  <c r="H70" i="43"/>
  <c r="G70" i="43"/>
  <c r="AK69" i="43"/>
  <c r="AH69" i="43"/>
  <c r="AG69" i="43"/>
  <c r="AF69" i="43"/>
  <c r="AE69" i="43"/>
  <c r="AD69" i="43"/>
  <c r="AB69" i="43"/>
  <c r="AA69" i="43"/>
  <c r="Z69" i="43"/>
  <c r="Y69" i="43"/>
  <c r="X69" i="43"/>
  <c r="W69" i="43"/>
  <c r="V69" i="43"/>
  <c r="U69" i="43"/>
  <c r="T69" i="43"/>
  <c r="R69" i="43"/>
  <c r="Q69" i="43"/>
  <c r="P69" i="43"/>
  <c r="O69" i="43"/>
  <c r="N69" i="43"/>
  <c r="M69" i="43"/>
  <c r="L69" i="43"/>
  <c r="J69" i="43"/>
  <c r="I69" i="43"/>
  <c r="H69" i="43"/>
  <c r="G69" i="43"/>
  <c r="AK68" i="43"/>
  <c r="AH68" i="43"/>
  <c r="AG68" i="43"/>
  <c r="AF68" i="43"/>
  <c r="AD68" i="43"/>
  <c r="AB68" i="43"/>
  <c r="Z68" i="43"/>
  <c r="Y68" i="43"/>
  <c r="X68" i="43"/>
  <c r="W68" i="43"/>
  <c r="V68" i="43"/>
  <c r="U68" i="43"/>
  <c r="R68" i="43"/>
  <c r="Q68" i="43"/>
  <c r="P68" i="43"/>
  <c r="O68" i="43"/>
  <c r="M68" i="43"/>
  <c r="L68" i="43"/>
  <c r="K68" i="43"/>
  <c r="J68" i="43"/>
  <c r="I68" i="43"/>
  <c r="H68" i="43"/>
  <c r="G68" i="43"/>
  <c r="AK67" i="43"/>
  <c r="AH67" i="43"/>
  <c r="AG67" i="43"/>
  <c r="AF67" i="43"/>
  <c r="AD67" i="43"/>
  <c r="AB67" i="43"/>
  <c r="Z67" i="43"/>
  <c r="Y67" i="43"/>
  <c r="X67" i="43"/>
  <c r="W67" i="43"/>
  <c r="V67" i="43"/>
  <c r="R67" i="43"/>
  <c r="Q67" i="43"/>
  <c r="P67" i="43"/>
  <c r="O67" i="43"/>
  <c r="M67" i="43"/>
  <c r="L67" i="43"/>
  <c r="K67" i="43"/>
  <c r="J67" i="43"/>
  <c r="I67" i="43"/>
  <c r="H67" i="43"/>
  <c r="G67" i="43"/>
  <c r="Z66" i="43"/>
  <c r="Y66" i="43"/>
  <c r="AG65" i="43"/>
  <c r="Z65" i="43"/>
  <c r="Y65" i="43"/>
  <c r="Z64" i="43"/>
  <c r="Y64" i="43"/>
  <c r="Z63" i="43"/>
  <c r="Y63" i="43"/>
  <c r="AG62" i="43"/>
  <c r="AB62" i="43"/>
  <c r="X62" i="43"/>
  <c r="W62" i="43"/>
  <c r="V62" i="43"/>
  <c r="AK61" i="43"/>
  <c r="AH61" i="43"/>
  <c r="AG61" i="43"/>
  <c r="AF61" i="43"/>
  <c r="AE61" i="43"/>
  <c r="AD61" i="43"/>
  <c r="AB61" i="43"/>
  <c r="AA61" i="43"/>
  <c r="Z61" i="43"/>
  <c r="Y61" i="43"/>
  <c r="X61" i="43"/>
  <c r="W61" i="43"/>
  <c r="V61" i="43"/>
  <c r="U61" i="43"/>
  <c r="T61" i="43"/>
  <c r="R61" i="43"/>
  <c r="Q61" i="43"/>
  <c r="P61" i="43"/>
  <c r="O61" i="43"/>
  <c r="N61" i="43"/>
  <c r="M61" i="43"/>
  <c r="L61" i="43"/>
  <c r="J61" i="43"/>
  <c r="I61" i="43"/>
  <c r="H61" i="43"/>
  <c r="G61" i="43"/>
  <c r="AK60" i="43"/>
  <c r="AH60" i="43"/>
  <c r="AG60" i="43"/>
  <c r="AD60" i="43"/>
  <c r="AB60" i="43"/>
  <c r="AA60" i="43"/>
  <c r="Z60" i="43"/>
  <c r="Y60" i="43"/>
  <c r="X60" i="43"/>
  <c r="W60" i="43"/>
  <c r="V60" i="43"/>
  <c r="U60" i="43"/>
  <c r="Q60" i="43"/>
  <c r="P60" i="43"/>
  <c r="O60" i="43"/>
  <c r="N60" i="43"/>
  <c r="M60" i="43"/>
  <c r="L60" i="43"/>
  <c r="K60" i="43"/>
  <c r="J60" i="43"/>
  <c r="I60" i="43"/>
  <c r="H60" i="43"/>
  <c r="G60" i="43"/>
  <c r="AK59" i="43"/>
  <c r="AH59" i="43"/>
  <c r="AG59" i="43"/>
  <c r="AD59" i="43"/>
  <c r="AA59" i="43"/>
  <c r="Z59" i="43"/>
  <c r="Y59" i="43"/>
  <c r="X59" i="43"/>
  <c r="Q59" i="43"/>
  <c r="P59" i="43"/>
  <c r="O59" i="43"/>
  <c r="N59" i="43"/>
  <c r="M59" i="43"/>
  <c r="L59" i="43"/>
  <c r="K59" i="43"/>
  <c r="J59" i="43"/>
  <c r="I59" i="43"/>
  <c r="H59" i="43"/>
  <c r="G59" i="43"/>
  <c r="AM57" i="43"/>
  <c r="AM56" i="43"/>
  <c r="AM55" i="43"/>
  <c r="AK54" i="43"/>
  <c r="AK71" i="43" s="1"/>
  <c r="AH54" i="43"/>
  <c r="AG54" i="43"/>
  <c r="AG72" i="43" s="1"/>
  <c r="AE72" i="43"/>
  <c r="AD72" i="43"/>
  <c r="AB72" i="43"/>
  <c r="AA72" i="43"/>
  <c r="Y72" i="43"/>
  <c r="X72" i="43"/>
  <c r="W54" i="43"/>
  <c r="W72" i="43" s="1"/>
  <c r="V54" i="43"/>
  <c r="V72" i="43" s="1"/>
  <c r="U72" i="43"/>
  <c r="W301" i="43"/>
  <c r="Q54" i="43"/>
  <c r="Q72" i="43" s="1"/>
  <c r="P54" i="43"/>
  <c r="P72" i="43" s="1"/>
  <c r="O54" i="43"/>
  <c r="O72" i="43" s="1"/>
  <c r="N54" i="43"/>
  <c r="N72" i="43" s="1"/>
  <c r="M54" i="43"/>
  <c r="M72" i="43" s="1"/>
  <c r="J54" i="43"/>
  <c r="J72" i="43" s="1"/>
  <c r="I54" i="43"/>
  <c r="I72" i="43" s="1"/>
  <c r="H54" i="43"/>
  <c r="H72" i="43" s="1"/>
  <c r="G54" i="43"/>
  <c r="AM53" i="43"/>
  <c r="AM51" i="43"/>
  <c r="AM50" i="43"/>
  <c r="AK49" i="43"/>
  <c r="AH49" i="43"/>
  <c r="AG49" i="43"/>
  <c r="W49" i="43"/>
  <c r="V49" i="43"/>
  <c r="R49" i="43"/>
  <c r="Q49" i="43"/>
  <c r="P49" i="43"/>
  <c r="O49" i="43"/>
  <c r="N49" i="43"/>
  <c r="M49" i="43"/>
  <c r="L49" i="43"/>
  <c r="J49" i="43"/>
  <c r="I49" i="43"/>
  <c r="H49" i="43"/>
  <c r="G49" i="43"/>
  <c r="E49" i="43"/>
  <c r="AM48" i="43"/>
  <c r="AA68" i="43"/>
  <c r="AA67" i="43"/>
  <c r="U67" i="43"/>
  <c r="N45" i="43"/>
  <c r="AK44" i="43"/>
  <c r="AH44" i="43"/>
  <c r="AG44" i="43"/>
  <c r="W44" i="43"/>
  <c r="V44" i="43"/>
  <c r="R44" i="43"/>
  <c r="Q44" i="43"/>
  <c r="O44" i="43"/>
  <c r="L44" i="43"/>
  <c r="J44" i="43"/>
  <c r="I44" i="43"/>
  <c r="H44" i="43"/>
  <c r="G44" i="43"/>
  <c r="AM42" i="43"/>
  <c r="AM41" i="43"/>
  <c r="AK40" i="43"/>
  <c r="AH40" i="43"/>
  <c r="AH65" i="43" s="1"/>
  <c r="AG40" i="43"/>
  <c r="AG66" i="43" s="1"/>
  <c r="AF40" i="43"/>
  <c r="AF65" i="43" s="1"/>
  <c r="AE40" i="43"/>
  <c r="AD40" i="43"/>
  <c r="AD65" i="43" s="1"/>
  <c r="AB40" i="43"/>
  <c r="AA40" i="43"/>
  <c r="AA66" i="43" s="1"/>
  <c r="X40" i="43"/>
  <c r="W40" i="43"/>
  <c r="W66" i="43" s="1"/>
  <c r="V40" i="43"/>
  <c r="U40" i="43"/>
  <c r="U65" i="43" s="1"/>
  <c r="T40" i="43"/>
  <c r="R40" i="43"/>
  <c r="R66" i="43" s="1"/>
  <c r="Q40" i="43"/>
  <c r="Q66" i="43" s="1"/>
  <c r="P40" i="43"/>
  <c r="P65" i="43" s="1"/>
  <c r="O40" i="43"/>
  <c r="O65" i="43" s="1"/>
  <c r="N40" i="43"/>
  <c r="N66" i="43" s="1"/>
  <c r="M40" i="43"/>
  <c r="L40" i="43"/>
  <c r="L65" i="43" s="1"/>
  <c r="J40" i="43"/>
  <c r="J66" i="43" s="1"/>
  <c r="I40" i="43"/>
  <c r="I65" i="43" s="1"/>
  <c r="H40" i="43"/>
  <c r="G40" i="43"/>
  <c r="G65" i="43" s="1"/>
  <c r="AM39" i="43"/>
  <c r="AM37" i="43"/>
  <c r="AM36" i="43"/>
  <c r="AK35" i="43"/>
  <c r="AK64" i="43" s="1"/>
  <c r="AH35" i="43"/>
  <c r="AH64" i="43" s="1"/>
  <c r="AG35" i="43"/>
  <c r="AF35" i="43"/>
  <c r="AF63" i="43" s="1"/>
  <c r="AD35" i="43"/>
  <c r="AD63" i="43" s="1"/>
  <c r="AB35" i="43"/>
  <c r="AA35" i="43"/>
  <c r="AA63" i="43" s="1"/>
  <c r="X35" i="43"/>
  <c r="X64" i="43" s="1"/>
  <c r="W35" i="43"/>
  <c r="W63" i="43" s="1"/>
  <c r="V35" i="43"/>
  <c r="U35" i="43"/>
  <c r="U63" i="43" s="1"/>
  <c r="T35" i="43"/>
  <c r="T64" i="43" s="1"/>
  <c r="R35" i="43"/>
  <c r="R63" i="43" s="1"/>
  <c r="Q35" i="43"/>
  <c r="P35" i="43"/>
  <c r="P63" i="43" s="1"/>
  <c r="O35" i="43"/>
  <c r="O63" i="43" s="1"/>
  <c r="N35" i="43"/>
  <c r="N63" i="43" s="1"/>
  <c r="M35" i="43"/>
  <c r="L35" i="43"/>
  <c r="L63" i="43" s="1"/>
  <c r="J35" i="43"/>
  <c r="I35" i="43"/>
  <c r="I64" i="43" s="1"/>
  <c r="H35" i="43"/>
  <c r="G35" i="43"/>
  <c r="G64" i="43" s="1"/>
  <c r="AM33" i="43"/>
  <c r="AM32" i="43"/>
  <c r="AK31" i="43"/>
  <c r="AK62" i="43" s="1"/>
  <c r="AH31" i="43"/>
  <c r="AH62" i="43" s="1"/>
  <c r="AF62" i="43"/>
  <c r="AE62" i="43"/>
  <c r="AD62" i="43"/>
  <c r="Z62" i="43"/>
  <c r="W31" i="43"/>
  <c r="V31" i="43"/>
  <c r="U31" i="43"/>
  <c r="T31" i="43"/>
  <c r="T62" i="43" s="1"/>
  <c r="R31" i="43"/>
  <c r="R62" i="43" s="1"/>
  <c r="Q31" i="43"/>
  <c r="Q62" i="43" s="1"/>
  <c r="P31" i="43"/>
  <c r="P62" i="43" s="1"/>
  <c r="O31" i="43"/>
  <c r="O62" i="43" s="1"/>
  <c r="N31" i="43"/>
  <c r="N62" i="43" s="1"/>
  <c r="M31" i="43"/>
  <c r="M62" i="43" s="1"/>
  <c r="L31" i="43"/>
  <c r="L62" i="43" s="1"/>
  <c r="J31" i="43"/>
  <c r="J62" i="43" s="1"/>
  <c r="I31" i="43"/>
  <c r="I62" i="43" s="1"/>
  <c r="H31" i="43"/>
  <c r="H62" i="43" s="1"/>
  <c r="G31" i="43"/>
  <c r="G62" i="43" s="1"/>
  <c r="J29" i="43"/>
  <c r="AC278" i="43"/>
  <c r="AE262" i="43"/>
  <c r="AB262" i="43"/>
  <c r="T262" i="43"/>
  <c r="AM22" i="43"/>
  <c r="T60" i="43"/>
  <c r="W59" i="43"/>
  <c r="U84" i="43"/>
  <c r="U85" i="43" s="1"/>
  <c r="AK12" i="43"/>
  <c r="AK81" i="43" s="1"/>
  <c r="AH81" i="43"/>
  <c r="AG81" i="43"/>
  <c r="AF81" i="43"/>
  <c r="AE81" i="43"/>
  <c r="AD81" i="43"/>
  <c r="AB81" i="43"/>
  <c r="AA81" i="43"/>
  <c r="Z81" i="43"/>
  <c r="Y81" i="43"/>
  <c r="X81" i="43"/>
  <c r="W81" i="43"/>
  <c r="V81" i="43"/>
  <c r="U81" i="43"/>
  <c r="T81" i="43"/>
  <c r="R81" i="43"/>
  <c r="Q81" i="43"/>
  <c r="P12" i="43"/>
  <c r="P81" i="43" s="1"/>
  <c r="O12" i="43"/>
  <c r="O81" i="43" s="1"/>
  <c r="N12" i="43"/>
  <c r="N81" i="43" s="1"/>
  <c r="M12" i="43"/>
  <c r="M81" i="43" s="1"/>
  <c r="L12" i="43"/>
  <c r="L81" i="43" s="1"/>
  <c r="J12" i="43"/>
  <c r="J81" i="43" s="1"/>
  <c r="I12" i="43"/>
  <c r="I81" i="43" s="1"/>
  <c r="H12" i="43"/>
  <c r="H81" i="43" s="1"/>
  <c r="G12" i="43"/>
  <c r="G81" i="43" s="1"/>
  <c r="AK11" i="43"/>
  <c r="AK75" i="43" s="1"/>
  <c r="AH75" i="43"/>
  <c r="AE75" i="43"/>
  <c r="AD75" i="43"/>
  <c r="Z75" i="43"/>
  <c r="Y75" i="43"/>
  <c r="V75" i="43"/>
  <c r="U75" i="43"/>
  <c r="Q75" i="43"/>
  <c r="M11" i="43"/>
  <c r="M75" i="43" s="1"/>
  <c r="K11" i="43"/>
  <c r="K75" i="43" s="1"/>
  <c r="H11" i="43"/>
  <c r="H75" i="43" s="1"/>
  <c r="AM9" i="43"/>
  <c r="AK8" i="43"/>
  <c r="P8" i="43"/>
  <c r="O8" i="43"/>
  <c r="N8" i="43"/>
  <c r="M8" i="43"/>
  <c r="L8" i="43"/>
  <c r="K8" i="43"/>
  <c r="J8" i="43"/>
  <c r="I8" i="43"/>
  <c r="H8" i="43"/>
  <c r="G8" i="43"/>
  <c r="J273" i="43"/>
  <c r="AM7" i="43"/>
  <c r="AQ7" i="43" s="1"/>
  <c r="AM6" i="43"/>
  <c r="AM14" i="43" s="1"/>
  <c r="G39" i="41"/>
  <c r="E39" i="41"/>
  <c r="K38" i="41"/>
  <c r="I38" i="41"/>
  <c r="H38" i="41"/>
  <c r="K37" i="41"/>
  <c r="I37" i="41"/>
  <c r="H37" i="41"/>
  <c r="K36" i="41"/>
  <c r="I36" i="41"/>
  <c r="H36" i="41"/>
  <c r="K35" i="41"/>
  <c r="I35" i="41"/>
  <c r="H35" i="41"/>
  <c r="K34" i="41"/>
  <c r="I34" i="41"/>
  <c r="H34" i="41"/>
  <c r="K33" i="41"/>
  <c r="I33" i="41"/>
  <c r="H33" i="41"/>
  <c r="K32" i="41"/>
  <c r="I32" i="41"/>
  <c r="H32" i="41"/>
  <c r="K31" i="41"/>
  <c r="I31" i="41"/>
  <c r="H31" i="41"/>
  <c r="K30" i="41"/>
  <c r="I30" i="41"/>
  <c r="H30" i="41"/>
  <c r="K29" i="41"/>
  <c r="I29" i="41"/>
  <c r="H29" i="41"/>
  <c r="K28" i="41"/>
  <c r="I28" i="41"/>
  <c r="H28" i="41"/>
  <c r="K27" i="41"/>
  <c r="I27" i="41"/>
  <c r="H27" i="41"/>
  <c r="K26" i="41"/>
  <c r="I26" i="41"/>
  <c r="H26" i="41"/>
  <c r="K25" i="41"/>
  <c r="I25" i="41"/>
  <c r="H25" i="41"/>
  <c r="K24" i="41"/>
  <c r="I24" i="41"/>
  <c r="H24" i="41"/>
  <c r="K23" i="41"/>
  <c r="I23" i="41"/>
  <c r="H23" i="41"/>
  <c r="K22" i="41"/>
  <c r="I22" i="41"/>
  <c r="H22" i="41"/>
  <c r="K21" i="41"/>
  <c r="I21" i="41"/>
  <c r="H21" i="41"/>
  <c r="K20" i="41"/>
  <c r="I20" i="41"/>
  <c r="H20" i="41"/>
  <c r="K19" i="41"/>
  <c r="I19" i="41"/>
  <c r="H19" i="41"/>
  <c r="K18" i="41"/>
  <c r="I18" i="41"/>
  <c r="H18" i="41"/>
  <c r="K17" i="41"/>
  <c r="I17" i="41"/>
  <c r="H17" i="41"/>
  <c r="K16" i="41"/>
  <c r="I16" i="41"/>
  <c r="H16" i="41"/>
  <c r="K15" i="41"/>
  <c r="I15" i="41"/>
  <c r="H15" i="41"/>
  <c r="K14" i="41"/>
  <c r="I14" i="41"/>
  <c r="H14" i="41"/>
  <c r="K13" i="41"/>
  <c r="I13" i="41"/>
  <c r="H13" i="41"/>
  <c r="K12" i="41"/>
  <c r="I12" i="41"/>
  <c r="H12" i="41"/>
  <c r="K11" i="41"/>
  <c r="I11" i="41"/>
  <c r="H11" i="41"/>
  <c r="K10" i="41"/>
  <c r="I10" i="41"/>
  <c r="H10" i="41"/>
  <c r="K9" i="41"/>
  <c r="I9" i="41"/>
  <c r="H9" i="41"/>
  <c r="K8" i="41"/>
  <c r="K39" i="41" s="1"/>
  <c r="I8" i="41"/>
  <c r="H8" i="41"/>
  <c r="F38" i="42"/>
  <c r="D38" i="42"/>
  <c r="J37" i="42"/>
  <c r="H37" i="42"/>
  <c r="G37" i="42"/>
  <c r="J36" i="42"/>
  <c r="H36" i="42"/>
  <c r="G36" i="42"/>
  <c r="J35" i="42"/>
  <c r="H35" i="42"/>
  <c r="G35" i="42"/>
  <c r="J34" i="42"/>
  <c r="G34" i="42"/>
  <c r="J33" i="42"/>
  <c r="G33" i="42"/>
  <c r="J32" i="42"/>
  <c r="G32" i="42"/>
  <c r="J31" i="42"/>
  <c r="G31" i="42"/>
  <c r="J30" i="42"/>
  <c r="G30" i="42"/>
  <c r="J29" i="42"/>
  <c r="G29" i="42"/>
  <c r="J28" i="42"/>
  <c r="G28" i="42"/>
  <c r="J27" i="42"/>
  <c r="G27" i="42"/>
  <c r="J26" i="42"/>
  <c r="G26" i="42"/>
  <c r="J25" i="42"/>
  <c r="G25" i="42"/>
  <c r="J24" i="42"/>
  <c r="G24" i="42"/>
  <c r="J23" i="42"/>
  <c r="G23" i="42"/>
  <c r="J22" i="42"/>
  <c r="G22" i="42"/>
  <c r="J21" i="42"/>
  <c r="G21" i="42"/>
  <c r="J20" i="42"/>
  <c r="G20" i="42"/>
  <c r="J19" i="42"/>
  <c r="G19" i="42"/>
  <c r="J18" i="42"/>
  <c r="G18" i="42"/>
  <c r="J17" i="42"/>
  <c r="G17" i="42"/>
  <c r="J16" i="42"/>
  <c r="G16" i="42"/>
  <c r="J15" i="42"/>
  <c r="G15" i="42"/>
  <c r="J14" i="42"/>
  <c r="G14" i="42"/>
  <c r="J13" i="42"/>
  <c r="G13" i="42"/>
  <c r="J12" i="42"/>
  <c r="G12" i="42"/>
  <c r="J11" i="42"/>
  <c r="G11" i="42"/>
  <c r="J10" i="42"/>
  <c r="G10" i="42"/>
  <c r="J9" i="42"/>
  <c r="G9" i="42"/>
  <c r="J8" i="42"/>
  <c r="G8" i="42"/>
  <c r="J7" i="42"/>
  <c r="J38" i="42" s="1"/>
  <c r="G7" i="42"/>
  <c r="G11" i="43" l="1"/>
  <c r="G75" i="43" s="1"/>
  <c r="AD64" i="43"/>
  <c r="O66" i="43"/>
  <c r="R64" i="43"/>
  <c r="U66" i="43"/>
  <c r="X301" i="43"/>
  <c r="AM270" i="43"/>
  <c r="O11" i="43"/>
  <c r="O75" i="43" s="1"/>
  <c r="G28" i="43"/>
  <c r="G29" i="43" s="1"/>
  <c r="AM49" i="43"/>
  <c r="W64" i="43"/>
  <c r="J65" i="43"/>
  <c r="W65" i="43"/>
  <c r="I66" i="43"/>
  <c r="AH66" i="43"/>
  <c r="L64" i="43"/>
  <c r="N65" i="43"/>
  <c r="R65" i="43"/>
  <c r="P11" i="43"/>
  <c r="P75" i="43" s="1"/>
  <c r="I28" i="43"/>
  <c r="I29" i="43" s="1"/>
  <c r="L11" i="43"/>
  <c r="L75" i="43" s="1"/>
  <c r="N64" i="43"/>
  <c r="Q65" i="43"/>
  <c r="AM258" i="43"/>
  <c r="AM264" i="43"/>
  <c r="AM255" i="43"/>
  <c r="AM70" i="43"/>
  <c r="AM69" i="43"/>
  <c r="AA65" i="43"/>
  <c r="AF66" i="43"/>
  <c r="AM61" i="43"/>
  <c r="AM10" i="43"/>
  <c r="AF250" i="43"/>
  <c r="AF260" i="43"/>
  <c r="AF59" i="43"/>
  <c r="AM15" i="43"/>
  <c r="V59" i="43"/>
  <c r="V84" i="43"/>
  <c r="V85" i="43" s="1"/>
  <c r="R60" i="43"/>
  <c r="AM20" i="43"/>
  <c r="AM60" i="43" s="1"/>
  <c r="V262" i="43"/>
  <c r="AA252" i="43"/>
  <c r="AA280" i="43"/>
  <c r="AA278" i="43"/>
  <c r="AM31" i="43"/>
  <c r="H64" i="43"/>
  <c r="H63" i="43"/>
  <c r="M64" i="43"/>
  <c r="M28" i="43"/>
  <c r="M29" i="43" s="1"/>
  <c r="M63" i="43"/>
  <c r="Q63" i="43"/>
  <c r="V64" i="43"/>
  <c r="V63" i="43"/>
  <c r="AB64" i="43"/>
  <c r="AB63" i="43"/>
  <c r="AG64" i="43"/>
  <c r="AG63" i="43"/>
  <c r="T68" i="43"/>
  <c r="AM46" i="43"/>
  <c r="AM275" i="43"/>
  <c r="U262" i="43"/>
  <c r="AF262" i="43"/>
  <c r="AF252" i="43"/>
  <c r="H28" i="43"/>
  <c r="P28" i="43"/>
  <c r="T66" i="43"/>
  <c r="T65" i="43"/>
  <c r="X65" i="43"/>
  <c r="X66" i="43"/>
  <c r="AE66" i="43"/>
  <c r="AE65" i="43"/>
  <c r="AK66" i="43"/>
  <c r="AK65" i="43"/>
  <c r="T63" i="43"/>
  <c r="Q64" i="43"/>
  <c r="T67" i="43"/>
  <c r="AM82" i="43"/>
  <c r="AM83" i="43" s="1"/>
  <c r="Q83" i="43"/>
  <c r="AF84" i="43"/>
  <c r="AF85" i="43" s="1"/>
  <c r="AM273" i="43"/>
  <c r="AM8" i="43"/>
  <c r="AM12" i="43"/>
  <c r="AM81" i="43" s="1"/>
  <c r="R84" i="43"/>
  <c r="R85" i="43" s="1"/>
  <c r="R59" i="43"/>
  <c r="R260" i="43"/>
  <c r="R83" i="43"/>
  <c r="R250" i="43"/>
  <c r="R275" i="43"/>
  <c r="R273" i="43"/>
  <c r="I11" i="43"/>
  <c r="I75" i="43" s="1"/>
  <c r="W75" i="43"/>
  <c r="AA75" i="43"/>
  <c r="AF75" i="43"/>
  <c r="AM13" i="43"/>
  <c r="T59" i="43"/>
  <c r="T84" i="43"/>
  <c r="T85" i="43" s="1"/>
  <c r="AB84" i="43"/>
  <c r="AB85" i="43" s="1"/>
  <c r="AB59" i="43"/>
  <c r="AE60" i="43"/>
  <c r="AE84" i="43"/>
  <c r="AE85" i="43" s="1"/>
  <c r="AA262" i="43"/>
  <c r="Z280" i="43"/>
  <c r="Z278" i="43"/>
  <c r="Z252" i="43"/>
  <c r="U62" i="43"/>
  <c r="Y62" i="43"/>
  <c r="J64" i="43"/>
  <c r="J28" i="43"/>
  <c r="O64" i="43"/>
  <c r="O28" i="43"/>
  <c r="AE64" i="43"/>
  <c r="AE63" i="43"/>
  <c r="AP56" i="43"/>
  <c r="AA62" i="43"/>
  <c r="AM62" i="43"/>
  <c r="X63" i="43"/>
  <c r="AK63" i="43"/>
  <c r="AM239" i="43"/>
  <c r="R244" i="43"/>
  <c r="R245" i="43" s="1"/>
  <c r="R243" i="43"/>
  <c r="AM250" i="43"/>
  <c r="AM260" i="43"/>
  <c r="AE83" i="43"/>
  <c r="AE59" i="43"/>
  <c r="AE275" i="43"/>
  <c r="AE273" i="43"/>
  <c r="AE243" i="43"/>
  <c r="AE250" i="43"/>
  <c r="AN10" i="43"/>
  <c r="J11" i="43"/>
  <c r="J75" i="43" s="1"/>
  <c r="N11" i="43"/>
  <c r="N75" i="43" s="1"/>
  <c r="R75" i="43"/>
  <c r="X75" i="43"/>
  <c r="AB75" i="43"/>
  <c r="AG75" i="43"/>
  <c r="AM19" i="43"/>
  <c r="AF60" i="43"/>
  <c r="L28" i="43"/>
  <c r="L29" i="43" s="1"/>
  <c r="H66" i="43"/>
  <c r="H65" i="43"/>
  <c r="M66" i="43"/>
  <c r="M65" i="43"/>
  <c r="V66" i="43"/>
  <c r="V65" i="43"/>
  <c r="AB65" i="43"/>
  <c r="AB66" i="43"/>
  <c r="N44" i="43"/>
  <c r="N28" i="43" s="1"/>
  <c r="N67" i="43"/>
  <c r="AM45" i="43"/>
  <c r="AM67" i="43" s="1"/>
  <c r="N68" i="43"/>
  <c r="G72" i="43"/>
  <c r="AM54" i="43"/>
  <c r="AM71" i="43" s="1"/>
  <c r="U59" i="43"/>
  <c r="J63" i="43"/>
  <c r="W84" i="43"/>
  <c r="W85" i="43" s="1"/>
  <c r="AE68" i="43"/>
  <c r="AE67" i="43"/>
  <c r="U64" i="43"/>
  <c r="AF64" i="43"/>
  <c r="L66" i="43"/>
  <c r="AM87" i="43"/>
  <c r="R278" i="43"/>
  <c r="R262" i="43"/>
  <c r="AK28" i="43"/>
  <c r="I63" i="43"/>
  <c r="AH63" i="43"/>
  <c r="P64" i="43"/>
  <c r="AA64" i="43"/>
  <c r="G66" i="43"/>
  <c r="AD66" i="43"/>
  <c r="AK72" i="43"/>
  <c r="AM242" i="43"/>
  <c r="AM243" i="43" s="1"/>
  <c r="S243" i="43"/>
  <c r="Q244" i="43"/>
  <c r="Q245" i="43" s="1"/>
  <c r="AM245" i="43" s="1"/>
  <c r="AM266" i="43"/>
  <c r="AC280" i="43"/>
  <c r="AM253" i="43"/>
  <c r="AM254" i="43" s="1"/>
  <c r="R280" i="43"/>
  <c r="AM35" i="43"/>
  <c r="AM40" i="43"/>
  <c r="AM64" i="43" s="1"/>
  <c r="G63" i="43"/>
  <c r="P66" i="43"/>
  <c r="R252" i="43"/>
  <c r="AC252" i="43"/>
  <c r="AM44" i="43" l="1"/>
  <c r="AM28" i="43"/>
  <c r="AM262" i="43" s="1"/>
  <c r="AO258" i="43" s="1"/>
  <c r="AM29" i="43"/>
  <c r="AM66" i="43"/>
  <c r="AM63" i="43"/>
  <c r="AN28" i="43"/>
  <c r="AD280" i="43"/>
  <c r="AD278" i="43"/>
  <c r="AD252" i="43"/>
  <c r="AG278" i="43"/>
  <c r="AG280" i="43"/>
  <c r="AM72" i="43"/>
  <c r="S280" i="43"/>
  <c r="S278" i="43"/>
  <c r="S252" i="43"/>
  <c r="T280" i="43"/>
  <c r="T278" i="43"/>
  <c r="T252" i="43"/>
  <c r="AM59" i="43"/>
  <c r="AM84" i="43"/>
  <c r="AM85" i="43" s="1"/>
  <c r="X278" i="43"/>
  <c r="X252" i="43"/>
  <c r="X280" i="43"/>
  <c r="AE252" i="43"/>
  <c r="AE280" i="43"/>
  <c r="AE278" i="43"/>
  <c r="AB278" i="43"/>
  <c r="AB252" i="43"/>
  <c r="AB280" i="43"/>
  <c r="AM252" i="43"/>
  <c r="AM248" i="43" s="1"/>
  <c r="AM280" i="43"/>
  <c r="AM278" i="43"/>
  <c r="AM244" i="43"/>
  <c r="U278" i="43"/>
  <c r="U280" i="43"/>
  <c r="AM11" i="43"/>
  <c r="AM75" i="43" s="1"/>
  <c r="P280" i="43"/>
  <c r="P29" i="43"/>
  <c r="AK280" i="43"/>
  <c r="AK278" i="43"/>
  <c r="AK29" i="43"/>
  <c r="N280" i="43"/>
  <c r="N29" i="43"/>
  <c r="AH280" i="43"/>
  <c r="AH278" i="43"/>
  <c r="AM65" i="43"/>
  <c r="O280" i="43"/>
  <c r="O29" i="43"/>
  <c r="AM68" i="43"/>
  <c r="Q280" i="43"/>
  <c r="Y280" i="43"/>
  <c r="Y278" i="43"/>
  <c r="Y252" i="43"/>
  <c r="K50" i="42"/>
  <c r="AM23" i="43" l="1"/>
  <c r="AM27" i="43"/>
  <c r="E22" i="31" l="1"/>
  <c r="E23" i="31"/>
  <c r="E25" i="31"/>
  <c r="E34" i="31"/>
  <c r="E38" i="31"/>
  <c r="E43" i="31"/>
  <c r="I111" i="29" l="1"/>
  <c r="H63" i="29"/>
  <c r="H61" i="29"/>
  <c r="H54" i="29"/>
  <c r="H33" i="29"/>
  <c r="H6" i="29"/>
  <c r="C8" i="27"/>
  <c r="L19" i="17" l="1"/>
  <c r="W17" i="37" l="1"/>
  <c r="D9" i="17" l="1"/>
  <c r="L19" i="36" l="1"/>
  <c r="L21" i="36"/>
  <c r="L22" i="36"/>
  <c r="N4" i="17" l="1"/>
  <c r="N3" i="17"/>
  <c r="N5" i="17" l="1"/>
  <c r="L20" i="36" l="1"/>
  <c r="E19" i="3" l="1"/>
  <c r="E6" i="36" l="1"/>
  <c r="G6" i="36" s="1"/>
  <c r="L12" i="36"/>
  <c r="L11" i="36"/>
  <c r="F22" i="16"/>
  <c r="T49" i="16" l="1"/>
  <c r="L30" i="36" l="1"/>
  <c r="L29" i="36" l="1"/>
  <c r="L28" i="36" l="1"/>
  <c r="L27" i="36"/>
  <c r="L26" i="36"/>
  <c r="L25" i="36"/>
  <c r="T38" i="37" l="1"/>
  <c r="L24" i="36" l="1"/>
  <c r="K13" i="17" l="1"/>
  <c r="K12" i="17"/>
  <c r="K267" i="38" l="1"/>
  <c r="C92" i="40"/>
  <c r="C101" i="40" l="1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L23" i="36" l="1"/>
  <c r="M25" i="3"/>
  <c r="H9" i="39" l="1"/>
  <c r="H19" i="39"/>
  <c r="C281" i="39" l="1"/>
  <c r="C272" i="39"/>
  <c r="C261" i="39"/>
  <c r="C253" i="39"/>
  <c r="C252" i="39"/>
  <c r="C244" i="39"/>
  <c r="C53" i="39"/>
  <c r="C48" i="39"/>
  <c r="C26" i="39"/>
  <c r="C19" i="39"/>
  <c r="H85" i="39"/>
  <c r="G85" i="39"/>
  <c r="R257" i="39"/>
  <c r="R256" i="39"/>
  <c r="E14" i="3"/>
  <c r="G99" i="40" l="1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L17" i="36"/>
  <c r="L18" i="36"/>
  <c r="H15" i="40" l="1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L15" i="36"/>
  <c r="F18" i="3"/>
  <c r="F19" i="3"/>
  <c r="F20" i="3"/>
  <c r="L16" i="37" l="1"/>
  <c r="O16" i="37"/>
  <c r="R16" i="37"/>
  <c r="O15" i="36" l="1"/>
  <c r="R15" i="36"/>
  <c r="R14" i="36"/>
  <c r="L13" i="36"/>
  <c r="L14" i="36"/>
  <c r="S14" i="36" s="1"/>
  <c r="J17" i="3"/>
  <c r="S15" i="36" l="1"/>
  <c r="K10" i="3" l="1"/>
  <c r="J10" i="3"/>
  <c r="J16" i="3"/>
  <c r="J15" i="3"/>
  <c r="J13" i="3"/>
  <c r="J12" i="3"/>
  <c r="J11" i="3"/>
  <c r="J14" i="3"/>
  <c r="L15" i="37" l="1"/>
  <c r="L14" i="37"/>
  <c r="D28" i="37" l="1"/>
  <c r="D27" i="37"/>
  <c r="E27" i="37" s="1"/>
  <c r="C24" i="36"/>
  <c r="E28" i="37" l="1"/>
  <c r="G28" i="37" s="1"/>
  <c r="G35" i="37" l="1"/>
  <c r="G34" i="37"/>
  <c r="D30" i="37"/>
  <c r="E30" i="37" s="1"/>
  <c r="G30" i="37" s="1"/>
  <c r="D29" i="37"/>
  <c r="G27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E14" i="37"/>
  <c r="G14" i="37" s="1"/>
  <c r="E13" i="37"/>
  <c r="G13" i="37" s="1"/>
  <c r="E12" i="37"/>
  <c r="G12" i="37" s="1"/>
  <c r="E11" i="37"/>
  <c r="G11" i="37" s="1"/>
  <c r="E10" i="37"/>
  <c r="G10" i="37" s="1"/>
  <c r="E9" i="37"/>
  <c r="G9" i="37" s="1"/>
  <c r="E8" i="37"/>
  <c r="G8" i="37" s="1"/>
  <c r="E7" i="37"/>
  <c r="G7" i="37" s="1"/>
  <c r="C31" i="36"/>
  <c r="E31" i="36" s="1"/>
  <c r="G31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G16" i="36" s="1"/>
  <c r="E15" i="36"/>
  <c r="G15" i="36" s="1"/>
  <c r="E14" i="36"/>
  <c r="G14" i="36" s="1"/>
  <c r="E13" i="36"/>
  <c r="G13" i="36" s="1"/>
  <c r="E12" i="36"/>
  <c r="G12" i="36" s="1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G29" i="37"/>
  <c r="G31" i="37" s="1"/>
  <c r="E29" i="37"/>
  <c r="G36" i="37"/>
  <c r="G19" i="36"/>
  <c r="G25" i="36" s="1"/>
  <c r="E24" i="36"/>
  <c r="O4" i="18" l="1"/>
  <c r="K14" i="17" l="1"/>
  <c r="T13" i="16" l="1"/>
  <c r="O3" i="18" l="1"/>
  <c r="O5" i="18" s="1"/>
  <c r="E8" i="3" l="1"/>
  <c r="F8" i="3" s="1"/>
  <c r="H8" i="3" s="1"/>
  <c r="J8" i="3" s="1"/>
  <c r="K8" i="3" l="1"/>
  <c r="N8" i="3" s="1"/>
  <c r="M8" i="3"/>
  <c r="T71" i="16" l="1"/>
  <c r="T72" i="16" s="1"/>
  <c r="T47" i="16"/>
  <c r="D16" i="17" l="1"/>
  <c r="T50" i="16"/>
  <c r="T51" i="16"/>
  <c r="E5" i="26"/>
  <c r="H5" i="26" s="1"/>
  <c r="T48" i="16" l="1"/>
  <c r="T67" i="16" s="1"/>
  <c r="D37" i="17"/>
  <c r="T76" i="16"/>
  <c r="T66" i="16" l="1"/>
  <c r="E28" i="3" l="1"/>
  <c r="F28" i="3" s="1"/>
  <c r="H28" i="3" s="1"/>
  <c r="J28" i="3" s="1"/>
  <c r="M28" i="3" l="1"/>
  <c r="K28" i="3"/>
  <c r="N28" i="3" s="1"/>
  <c r="E29" i="3" l="1"/>
  <c r="F29" i="3" s="1"/>
  <c r="H29" i="3" s="1"/>
  <c r="J29" i="3" s="1"/>
  <c r="M29" i="3" l="1"/>
  <c r="K29" i="3"/>
  <c r="N29" i="3" s="1"/>
  <c r="F12" i="26" l="1"/>
  <c r="E18" i="3" l="1"/>
  <c r="H18" i="3" s="1"/>
  <c r="J18" i="3" s="1"/>
  <c r="K18" i="3" s="1"/>
  <c r="K36" i="32" l="1"/>
  <c r="K28" i="32"/>
  <c r="K19" i="32"/>
  <c r="G63" i="31"/>
  <c r="G54" i="31"/>
  <c r="G53" i="31"/>
  <c r="G52" i="31"/>
  <c r="G51" i="31"/>
  <c r="G42" i="31"/>
  <c r="G36" i="31"/>
  <c r="G35" i="31"/>
  <c r="F34" i="31"/>
  <c r="G34" i="31" s="1"/>
  <c r="G33" i="31"/>
  <c r="G16" i="31"/>
  <c r="F226" i="16" l="1"/>
  <c r="F225" i="16"/>
  <c r="F224" i="16"/>
  <c r="F223" i="16"/>
  <c r="F222" i="16"/>
  <c r="F214" i="16"/>
  <c r="F210" i="16"/>
  <c r="F213" i="16" s="1"/>
  <c r="F202" i="16"/>
  <c r="F218" i="16" s="1"/>
  <c r="F201" i="16"/>
  <c r="F196" i="16"/>
  <c r="F195" i="16"/>
  <c r="F168" i="16"/>
  <c r="F172" i="16" s="1"/>
  <c r="F193" i="16" s="1"/>
  <c r="F167" i="16"/>
  <c r="F188" i="16" s="1"/>
  <c r="F166" i="16"/>
  <c r="F165" i="16"/>
  <c r="F161" i="16"/>
  <c r="F173" i="16" s="1"/>
  <c r="F149" i="16"/>
  <c r="F152" i="16" s="1"/>
  <c r="F148" i="16"/>
  <c r="F151" i="16" s="1"/>
  <c r="F140" i="16"/>
  <c r="F139" i="16"/>
  <c r="F142" i="16" s="1"/>
  <c r="F135" i="16"/>
  <c r="F144" i="16" s="1"/>
  <c r="F134" i="16"/>
  <c r="F122" i="16"/>
  <c r="F125" i="16" s="1"/>
  <c r="F121" i="16"/>
  <c r="F113" i="16"/>
  <c r="F112" i="16"/>
  <c r="F107" i="16"/>
  <c r="F95" i="16"/>
  <c r="F94" i="16"/>
  <c r="F86" i="16"/>
  <c r="F89" i="16" s="1"/>
  <c r="F85" i="16"/>
  <c r="F88" i="16" s="1"/>
  <c r="F83" i="16"/>
  <c r="F80" i="16"/>
  <c r="F90" i="16" s="1"/>
  <c r="F79" i="16"/>
  <c r="F136" i="16" l="1"/>
  <c r="F137" i="16" s="1"/>
  <c r="F118" i="16"/>
  <c r="F171" i="16"/>
  <c r="F192" i="16" s="1"/>
  <c r="F174" i="16"/>
  <c r="F128" i="16"/>
  <c r="F143" i="16"/>
  <c r="F159" i="16" s="1"/>
  <c r="F91" i="16"/>
  <c r="F101" i="16"/>
  <c r="F197" i="16"/>
  <c r="F198" i="16" s="1"/>
  <c r="F81" i="16"/>
  <c r="F82" i="16" s="1"/>
  <c r="F108" i="16"/>
  <c r="F109" i="16" s="1"/>
  <c r="F145" i="16"/>
  <c r="F221" i="16"/>
  <c r="F102" i="16"/>
  <c r="F158" i="16"/>
  <c r="F155" i="16"/>
  <c r="F187" i="16"/>
  <c r="F129" i="16"/>
  <c r="F156" i="16"/>
  <c r="F117" i="16"/>
  <c r="F189" i="16"/>
  <c r="F217" i="16"/>
  <c r="F97" i="16"/>
  <c r="F104" i="16" s="1"/>
  <c r="F170" i="16"/>
  <c r="F191" i="16" s="1"/>
  <c r="F98" i="16"/>
  <c r="F105" i="16" s="1"/>
  <c r="F204" i="16"/>
  <c r="F124" i="16"/>
  <c r="F162" i="16"/>
  <c r="F163" i="16" s="1"/>
  <c r="F206" i="16"/>
  <c r="F220" i="16"/>
  <c r="F115" i="16"/>
  <c r="F207" i="16"/>
  <c r="F116" i="16"/>
  <c r="F132" i="16" s="1"/>
  <c r="F131" i="16" l="1"/>
  <c r="F53" i="16"/>
  <c r="F25" i="19" l="1"/>
  <c r="F24" i="19"/>
  <c r="F23" i="19"/>
  <c r="F22" i="19"/>
  <c r="F17" i="19"/>
  <c r="G17" i="19"/>
  <c r="D44" i="17"/>
  <c r="D41" i="17"/>
  <c r="D40" i="17"/>
  <c r="K10" i="18"/>
  <c r="K18" i="32" l="1"/>
  <c r="J18" i="32"/>
  <c r="H2" i="2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E14" i="27"/>
  <c r="E13" i="27"/>
  <c r="H13" i="27" s="1"/>
  <c r="E12" i="27"/>
  <c r="H12" i="27" s="1"/>
  <c r="H11" i="27"/>
  <c r="H10" i="27"/>
  <c r="C10" i="27"/>
  <c r="H9" i="27"/>
  <c r="C9" i="27"/>
  <c r="H8" i="27"/>
  <c r="H7" i="27"/>
  <c r="E7" i="27"/>
  <c r="C4" i="27"/>
  <c r="C11" i="27" s="1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4" i="27" l="1"/>
  <c r="H16" i="27" s="1"/>
  <c r="H10" i="28"/>
  <c r="T40" i="16"/>
  <c r="T39" i="16"/>
  <c r="T38" i="16" l="1"/>
  <c r="D8" i="18" l="1"/>
  <c r="G55" i="31" l="1"/>
  <c r="K35" i="32"/>
  <c r="J35" i="32"/>
  <c r="G40" i="31"/>
  <c r="G39" i="31"/>
  <c r="G38" i="31" l="1"/>
  <c r="G56" i="31"/>
  <c r="T54" i="16" l="1"/>
  <c r="T14" i="16"/>
  <c r="T248" i="16" l="1"/>
  <c r="T235" i="16"/>
  <c r="G9" i="31"/>
  <c r="G44" i="31" l="1"/>
  <c r="G43" i="31"/>
  <c r="G57" i="31"/>
  <c r="G45" i="31"/>
  <c r="G58" i="31"/>
  <c r="T65" i="16"/>
  <c r="T64" i="16"/>
  <c r="T251" i="16"/>
  <c r="T228" i="16"/>
  <c r="T258" i="16"/>
  <c r="T257" i="16"/>
  <c r="I16" i="32"/>
  <c r="T245" i="16"/>
  <c r="T261" i="16"/>
  <c r="T69" i="16"/>
  <c r="T238" i="16"/>
  <c r="T242" i="16"/>
  <c r="G23" i="31"/>
  <c r="T20" i="16"/>
  <c r="T260" i="16"/>
  <c r="T246" i="16"/>
  <c r="T237" i="16"/>
  <c r="T254" i="16"/>
  <c r="T255" i="16"/>
  <c r="T244" i="16"/>
  <c r="G68" i="31"/>
  <c r="G49" i="31" l="1"/>
  <c r="J21" i="32"/>
  <c r="K21" i="32"/>
  <c r="J20" i="32"/>
  <c r="K20" i="32"/>
  <c r="G19" i="31"/>
  <c r="E4" i="27"/>
  <c r="H17" i="27" s="1"/>
  <c r="K35" i="17" s="1"/>
  <c r="D35" i="17"/>
  <c r="T73" i="16"/>
  <c r="T229" i="16"/>
  <c r="T77" i="16"/>
  <c r="J38" i="32"/>
  <c r="K38" i="32"/>
  <c r="K41" i="32"/>
  <c r="J41" i="32"/>
  <c r="G60" i="31"/>
  <c r="K12" i="32"/>
  <c r="J16" i="32"/>
  <c r="J12" i="32"/>
  <c r="K26" i="32"/>
  <c r="G27" i="31"/>
  <c r="G25" i="31"/>
  <c r="G26" i="31"/>
  <c r="G64" i="31"/>
  <c r="E4" i="28"/>
  <c r="H5" i="28" s="1"/>
  <c r="H12" i="28" s="1"/>
  <c r="H13" i="28" s="1"/>
  <c r="K13" i="18" s="1"/>
  <c r="G69" i="31"/>
  <c r="G50" i="31" l="1"/>
  <c r="K29" i="32"/>
  <c r="J29" i="32"/>
  <c r="K30" i="32"/>
  <c r="J30" i="32"/>
  <c r="J40" i="32"/>
  <c r="K40" i="32"/>
  <c r="K23" i="17"/>
  <c r="K37" i="32"/>
  <c r="J37" i="32"/>
  <c r="K22" i="32" l="1"/>
  <c r="J22" i="32"/>
  <c r="G62" i="31"/>
  <c r="T239" i="16" l="1"/>
  <c r="T240" i="16" s="1"/>
  <c r="K31" i="32"/>
  <c r="J31" i="32"/>
  <c r="K23" i="32"/>
  <c r="J23" i="32"/>
  <c r="G22" i="31" l="1"/>
  <c r="I32" i="32"/>
  <c r="K27" i="32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32" i="32" l="1"/>
  <c r="K32" i="32"/>
  <c r="J25" i="32"/>
  <c r="K25" i="32"/>
  <c r="G26" i="19"/>
  <c r="F34" i="17"/>
  <c r="F47" i="17"/>
  <c r="F46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AX251" i="16" l="1"/>
  <c r="T252" i="16"/>
  <c r="D248" i="16"/>
  <c r="U247" i="16"/>
  <c r="D247" i="16"/>
  <c r="D246" i="16"/>
  <c r="AX242" i="16"/>
  <c r="U240" i="16"/>
  <c r="D235" i="16"/>
  <c r="D239" i="16" s="1"/>
  <c r="D240" i="16" s="1"/>
  <c r="U233" i="16"/>
  <c r="D233" i="16"/>
  <c r="D229" i="16" s="1"/>
  <c r="AX229" i="16"/>
  <c r="U226" i="16"/>
  <c r="U225" i="16"/>
  <c r="T212" i="16"/>
  <c r="U171" i="16"/>
  <c r="U170" i="16"/>
  <c r="U173" i="16"/>
  <c r="C152" i="16"/>
  <c r="C151" i="16"/>
  <c r="U148" i="16"/>
  <c r="U143" i="16"/>
  <c r="U142" i="16"/>
  <c r="U145" i="16"/>
  <c r="GA137" i="16"/>
  <c r="U144" i="16"/>
  <c r="U116" i="16"/>
  <c r="U115" i="16"/>
  <c r="U117" i="16"/>
  <c r="U95" i="16"/>
  <c r="U102" i="16" s="1"/>
  <c r="U91" i="16"/>
  <c r="U89" i="16"/>
  <c r="U88" i="16"/>
  <c r="FX82" i="16"/>
  <c r="OZ82" i="16" s="1"/>
  <c r="FX81" i="16"/>
  <c r="OZ81" i="16" s="1"/>
  <c r="U81" i="16"/>
  <c r="U79" i="16"/>
  <c r="OY78" i="16"/>
  <c r="GA77" i="16"/>
  <c r="U75" i="16"/>
  <c r="FN70" i="16"/>
  <c r="OR67" i="16"/>
  <c r="OR66" i="16" s="1"/>
  <c r="FN67" i="16"/>
  <c r="OP57" i="16"/>
  <c r="OR57" i="16" s="1"/>
  <c r="U57" i="16"/>
  <c r="OR56" i="16"/>
  <c r="U56" i="16"/>
  <c r="DG51" i="16"/>
  <c r="U48" i="16"/>
  <c r="U67" i="16" s="1"/>
  <c r="R40" i="16"/>
  <c r="R39" i="16"/>
  <c r="U38" i="16"/>
  <c r="R36" i="16"/>
  <c r="T36" i="16"/>
  <c r="R35" i="16"/>
  <c r="T35" i="16"/>
  <c r="U34" i="16"/>
  <c r="D34" i="16"/>
  <c r="DI33" i="16"/>
  <c r="DH33" i="16"/>
  <c r="DG33" i="16"/>
  <c r="R33" i="16"/>
  <c r="T33" i="16"/>
  <c r="PF32" i="16"/>
  <c r="DI32" i="16"/>
  <c r="DH32" i="16"/>
  <c r="DG32" i="16"/>
  <c r="R31" i="16"/>
  <c r="T31" i="16"/>
  <c r="R30" i="16"/>
  <c r="U29" i="16"/>
  <c r="PF27" i="16"/>
  <c r="R27" i="16"/>
  <c r="T27" i="16"/>
  <c r="AEG26" i="16"/>
  <c r="PF26" i="16"/>
  <c r="OO26" i="16"/>
  <c r="OO32" i="16" s="1"/>
  <c r="R26" i="16"/>
  <c r="T26" i="16"/>
  <c r="AEG25" i="16"/>
  <c r="U25" i="16"/>
  <c r="AEG20" i="16"/>
  <c r="AER20" i="16" s="1"/>
  <c r="PF20" i="16"/>
  <c r="R20" i="16"/>
  <c r="AEG19" i="16"/>
  <c r="AER19" i="16" s="1"/>
  <c r="R19" i="16"/>
  <c r="AGV17" i="16"/>
  <c r="OR17" i="16"/>
  <c r="R17" i="16"/>
  <c r="AGV16" i="16"/>
  <c r="AGV19" i="16" s="1"/>
  <c r="OR16" i="16"/>
  <c r="OR15" i="16" s="1"/>
  <c r="OS17" i="16" s="1"/>
  <c r="DI16" i="16"/>
  <c r="DH16" i="16"/>
  <c r="DG16" i="16"/>
  <c r="R16" i="16"/>
  <c r="R15" i="16"/>
  <c r="R13" i="16"/>
  <c r="AX13" i="16"/>
  <c r="R12" i="16"/>
  <c r="AEE11" i="16"/>
  <c r="AEE26" i="16" s="1"/>
  <c r="R11" i="16"/>
  <c r="R9" i="16"/>
  <c r="R8" i="16"/>
  <c r="T8" i="16" s="1"/>
  <c r="T34" i="16" l="1"/>
  <c r="T63" i="16" s="1"/>
  <c r="T25" i="16"/>
  <c r="T58" i="16" s="1"/>
  <c r="T30" i="16"/>
  <c r="PF34" i="16"/>
  <c r="OS24" i="16" s="1"/>
  <c r="PF24" i="16" s="1"/>
  <c r="U66" i="16"/>
  <c r="AEE25" i="16"/>
  <c r="U47" i="16"/>
  <c r="V47" i="16" s="1"/>
  <c r="R38" i="16"/>
  <c r="R25" i="16"/>
  <c r="U163" i="16"/>
  <c r="U195" i="16"/>
  <c r="T247" i="16"/>
  <c r="R34" i="16"/>
  <c r="U83" i="16"/>
  <c r="T148" i="16"/>
  <c r="V148" i="16" s="1"/>
  <c r="U82" i="16"/>
  <c r="U80" i="16" s="1"/>
  <c r="U90" i="16" s="1"/>
  <c r="V71" i="16"/>
  <c r="T83" i="16"/>
  <c r="U137" i="16"/>
  <c r="T223" i="16"/>
  <c r="V223" i="16" s="1"/>
  <c r="T225" i="16"/>
  <c r="V225" i="16" s="1"/>
  <c r="R29" i="16"/>
  <c r="T195" i="16"/>
  <c r="V195" i="16" s="1"/>
  <c r="U168" i="16"/>
  <c r="U172" i="16" s="1"/>
  <c r="T79" i="16"/>
  <c r="V79" i="16" s="1"/>
  <c r="T205" i="16"/>
  <c r="T222" i="16"/>
  <c r="V222" i="16" s="1"/>
  <c r="T224" i="16"/>
  <c r="V224" i="16" s="1"/>
  <c r="AGV24" i="16"/>
  <c r="AGV20" i="16"/>
  <c r="OR68" i="16"/>
  <c r="T86" i="16"/>
  <c r="R10" i="16"/>
  <c r="U59" i="16"/>
  <c r="U58" i="16"/>
  <c r="U33" i="16"/>
  <c r="T122" i="16"/>
  <c r="OS16" i="16"/>
  <c r="T95" i="16"/>
  <c r="T179" i="16"/>
  <c r="V179" i="16" s="1"/>
  <c r="U179" i="16"/>
  <c r="T178" i="16"/>
  <c r="U178" i="16"/>
  <c r="U187" i="16" s="1"/>
  <c r="T113" i="16"/>
  <c r="T140" i="16"/>
  <c r="T143" i="16" s="1"/>
  <c r="T145" i="16"/>
  <c r="T166" i="16"/>
  <c r="T170" i="16" s="1"/>
  <c r="V178" i="16"/>
  <c r="T202" i="16"/>
  <c r="T85" i="16"/>
  <c r="T94" i="16"/>
  <c r="T144" i="16"/>
  <c r="T173" i="16"/>
  <c r="U94" i="16"/>
  <c r="U101" i="16" s="1"/>
  <c r="U109" i="16"/>
  <c r="T117" i="16"/>
  <c r="T168" i="16"/>
  <c r="T172" i="16" s="1"/>
  <c r="T211" i="16"/>
  <c r="T112" i="16"/>
  <c r="T121" i="16"/>
  <c r="U122" i="16"/>
  <c r="U129" i="16" s="1"/>
  <c r="T149" i="16"/>
  <c r="V149" i="16" s="1"/>
  <c r="T167" i="16"/>
  <c r="T171" i="16" s="1"/>
  <c r="U121" i="16"/>
  <c r="U128" i="16" s="1"/>
  <c r="T139" i="16"/>
  <c r="U149" i="16"/>
  <c r="T201" i="16"/>
  <c r="T210" i="16"/>
  <c r="V168" i="16" l="1"/>
  <c r="V172" i="16" s="1"/>
  <c r="V166" i="16"/>
  <c r="V170" i="16" s="1"/>
  <c r="V167" i="16"/>
  <c r="V171" i="16" s="1"/>
  <c r="T59" i="16"/>
  <c r="T62" i="16"/>
  <c r="T29" i="16"/>
  <c r="T61" i="16" s="1"/>
  <c r="T91" i="16"/>
  <c r="V91" i="16" s="1"/>
  <c r="T52" i="16"/>
  <c r="U98" i="16"/>
  <c r="U105" i="16" s="1"/>
  <c r="AX30" i="16"/>
  <c r="U124" i="16"/>
  <c r="U131" i="16" s="1"/>
  <c r="T218" i="16"/>
  <c r="U97" i="16"/>
  <c r="U104" i="16" s="1"/>
  <c r="V30" i="16"/>
  <c r="T97" i="16"/>
  <c r="V97" i="16" s="1"/>
  <c r="T226" i="16"/>
  <c r="V226" i="16" s="1"/>
  <c r="T90" i="16"/>
  <c r="V90" i="16" s="1"/>
  <c r="OR71" i="16"/>
  <c r="U188" i="16"/>
  <c r="T163" i="16"/>
  <c r="V163" i="16" s="1"/>
  <c r="T136" i="16"/>
  <c r="T134" i="16" s="1"/>
  <c r="U136" i="16"/>
  <c r="U134" i="16" s="1"/>
  <c r="OR70" i="16"/>
  <c r="T204" i="16"/>
  <c r="V33" i="16"/>
  <c r="T137" i="16"/>
  <c r="T128" i="16"/>
  <c r="V173" i="16"/>
  <c r="T129" i="16"/>
  <c r="T82" i="16"/>
  <c r="V82" i="16" s="1"/>
  <c r="U108" i="16"/>
  <c r="U107" i="16" s="1"/>
  <c r="V34" i="16"/>
  <c r="T102" i="16"/>
  <c r="U162" i="16"/>
  <c r="U161" i="16" s="1"/>
  <c r="V35" i="16"/>
  <c r="U118" i="16"/>
  <c r="V144" i="16"/>
  <c r="V117" i="16"/>
  <c r="T118" i="16"/>
  <c r="V118" i="16" s="1"/>
  <c r="T207" i="16"/>
  <c r="T206" i="16"/>
  <c r="T174" i="16"/>
  <c r="V174" i="16" s="1"/>
  <c r="V95" i="16"/>
  <c r="U125" i="16"/>
  <c r="U132" i="16" s="1"/>
  <c r="T124" i="16"/>
  <c r="V124" i="16" s="1"/>
  <c r="U151" i="16"/>
  <c r="T217" i="16"/>
  <c r="V122" i="16"/>
  <c r="T152" i="16"/>
  <c r="T159" i="16" s="1"/>
  <c r="T214" i="16"/>
  <c r="T221" i="16" s="1"/>
  <c r="V140" i="16"/>
  <c r="V143" i="16" s="1"/>
  <c r="V121" i="16"/>
  <c r="T187" i="16"/>
  <c r="T125" i="16"/>
  <c r="V125" i="16" s="1"/>
  <c r="V51" i="16"/>
  <c r="V86" i="16"/>
  <c r="T89" i="16"/>
  <c r="V89" i="16" s="1"/>
  <c r="T142" i="16"/>
  <c r="V139" i="16"/>
  <c r="V142" i="16" s="1"/>
  <c r="T213" i="16"/>
  <c r="T220" i="16" s="1"/>
  <c r="U152" i="16"/>
  <c r="T151" i="16"/>
  <c r="V151" i="16" s="1"/>
  <c r="V145" i="16"/>
  <c r="T109" i="16"/>
  <c r="T184" i="16"/>
  <c r="V113" i="16"/>
  <c r="V116" i="16" s="1"/>
  <c r="T116" i="16"/>
  <c r="T182" i="16"/>
  <c r="T191" i="16" s="1"/>
  <c r="U182" i="16"/>
  <c r="U191" i="16" s="1"/>
  <c r="T183" i="16"/>
  <c r="T192" i="16" s="1"/>
  <c r="U183" i="16"/>
  <c r="U192" i="16" s="1"/>
  <c r="V183" i="16"/>
  <c r="T188" i="16"/>
  <c r="V112" i="16"/>
  <c r="V115" i="16" s="1"/>
  <c r="V131" i="16" s="1"/>
  <c r="T115" i="16"/>
  <c r="T156" i="16"/>
  <c r="T162" i="16"/>
  <c r="U197" i="16"/>
  <c r="U198" i="16"/>
  <c r="U184" i="16"/>
  <c r="U174" i="16"/>
  <c r="T101" i="16"/>
  <c r="V94" i="16"/>
  <c r="V85" i="16"/>
  <c r="T88" i="16"/>
  <c r="V88" i="16" s="1"/>
  <c r="T81" i="16"/>
  <c r="T197" i="16"/>
  <c r="V184" i="16"/>
  <c r="T108" i="16"/>
  <c r="V108" i="16" s="1"/>
  <c r="T155" i="16"/>
  <c r="T98" i="16"/>
  <c r="V31" i="16"/>
  <c r="AX31" i="16"/>
  <c r="V26" i="16"/>
  <c r="AIV16" i="16"/>
  <c r="AIW16" i="16" s="1"/>
  <c r="V36" i="16"/>
  <c r="T161" i="16" l="1"/>
  <c r="V187" i="16"/>
  <c r="V188" i="16"/>
  <c r="V192" i="16"/>
  <c r="V162" i="16"/>
  <c r="V161" i="16" s="1"/>
  <c r="V132" i="16"/>
  <c r="V182" i="16"/>
  <c r="V191" i="16" s="1"/>
  <c r="T60" i="16"/>
  <c r="T22" i="16"/>
  <c r="T23" i="16"/>
  <c r="AX72" i="16"/>
  <c r="V29" i="16"/>
  <c r="V102" i="16"/>
  <c r="OR72" i="16"/>
  <c r="OR74" i="16" s="1"/>
  <c r="U135" i="16"/>
  <c r="V137" i="16"/>
  <c r="T158" i="16"/>
  <c r="V136" i="16"/>
  <c r="T135" i="16"/>
  <c r="AX29" i="16"/>
  <c r="V101" i="16"/>
  <c r="T105" i="16"/>
  <c r="T131" i="16"/>
  <c r="T104" i="16"/>
  <c r="T80" i="16"/>
  <c r="V80" i="16" s="1"/>
  <c r="V81" i="16"/>
  <c r="U196" i="16"/>
  <c r="T132" i="16"/>
  <c r="V104" i="16"/>
  <c r="T107" i="16"/>
  <c r="V109" i="16"/>
  <c r="V107" i="16" s="1"/>
  <c r="V152" i="16"/>
  <c r="V197" i="16"/>
  <c r="V98" i="16"/>
  <c r="V105" i="16" s="1"/>
  <c r="V129" i="16"/>
  <c r="T198" i="16"/>
  <c r="T196" i="16" s="1"/>
  <c r="V128" i="16"/>
  <c r="V135" i="16" l="1"/>
  <c r="V134" i="16"/>
  <c r="V198" i="16"/>
  <c r="V196" i="16" s="1"/>
  <c r="E37" i="3" l="1"/>
  <c r="F37" i="3" s="1"/>
  <c r="H37" i="3" s="1"/>
  <c r="J37" i="3" s="1"/>
  <c r="F2" i="20" l="1"/>
  <c r="F14" i="20" s="1"/>
  <c r="C2" i="20"/>
  <c r="C18" i="20" s="1"/>
  <c r="C19" i="20" s="1"/>
  <c r="V8" i="16"/>
  <c r="M37" i="3"/>
  <c r="K37" i="3"/>
  <c r="N37" i="3" s="1"/>
  <c r="F35" i="17" l="1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M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V69" i="16" l="1"/>
  <c r="V242" i="16"/>
  <c r="V237" i="16" l="1"/>
  <c r="I6" i="19" l="1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V229" i="16"/>
  <c r="V73" i="16" l="1"/>
  <c r="V27" i="16" l="1"/>
  <c r="AIV17" i="16"/>
  <c r="AIW17" i="16" s="1"/>
  <c r="T17" i="16" l="1"/>
  <c r="V17" i="16"/>
  <c r="U17" i="16"/>
  <c r="T19" i="16"/>
  <c r="G18" i="31"/>
  <c r="V25" i="16"/>
  <c r="G14" i="31" l="1"/>
  <c r="T16" i="16"/>
  <c r="G15" i="31"/>
  <c r="T15" i="16" l="1"/>
  <c r="U15" i="16"/>
  <c r="V15" i="16"/>
  <c r="U16" i="16"/>
  <c r="V16" i="16"/>
  <c r="S16" i="8" l="1"/>
  <c r="V76" i="16" l="1"/>
  <c r="V77" i="16" s="1"/>
  <c r="V228" i="16" l="1"/>
  <c r="T53" i="16" l="1"/>
  <c r="V50" i="16"/>
  <c r="V48" i="16" l="1"/>
  <c r="OP15" i="16"/>
  <c r="OP17" i="16" s="1"/>
  <c r="S18" i="8"/>
  <c r="R21" i="8"/>
  <c r="OP20" i="16" l="1"/>
  <c r="OP18" i="16"/>
  <c r="R39" i="8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U257" i="16" l="1"/>
  <c r="D10" i="18"/>
  <c r="F10" i="18" s="1"/>
  <c r="D13" i="18"/>
  <c r="F13" i="18" s="1"/>
  <c r="J13" i="18" s="1"/>
  <c r="M13" i="18" s="1"/>
  <c r="U258" i="16"/>
  <c r="D11" i="18"/>
  <c r="F11" i="18" s="1"/>
  <c r="V238" i="16"/>
  <c r="V246" i="16"/>
  <c r="V248" i="16"/>
  <c r="V235" i="16"/>
  <c r="U261" i="16"/>
  <c r="U260" i="16"/>
  <c r="U255" i="16"/>
  <c r="F8" i="18"/>
  <c r="J8" i="18" s="1"/>
  <c r="U254" i="16" l="1"/>
  <c r="J11" i="18"/>
  <c r="M11" i="18"/>
  <c r="N13" i="18"/>
  <c r="O13" i="18"/>
  <c r="M10" i="18"/>
  <c r="J10" i="18"/>
  <c r="V244" i="16"/>
  <c r="AFR244" i="16"/>
  <c r="V247" i="16"/>
  <c r="U49" i="16"/>
  <c r="V49" i="16"/>
  <c r="AFR245" i="16"/>
  <c r="V245" i="16"/>
  <c r="V252" i="16"/>
  <c r="V251" i="16"/>
  <c r="N10" i="18" l="1"/>
  <c r="O10" i="18"/>
  <c r="O11" i="18"/>
  <c r="N11" i="18"/>
  <c r="V39" i="16"/>
  <c r="V239" i="16"/>
  <c r="V240" i="16"/>
  <c r="AIV11" i="16"/>
  <c r="AIW11" i="16" s="1"/>
  <c r="V20" i="16"/>
  <c r="V40" i="16"/>
  <c r="V19" i="16" l="1"/>
  <c r="E22" i="3"/>
  <c r="F22" i="3" s="1"/>
  <c r="H22" i="3" s="1"/>
  <c r="J22" i="3" s="1"/>
  <c r="E23" i="3"/>
  <c r="F23" i="3" s="1"/>
  <c r="H23" i="3" s="1"/>
  <c r="J23" i="3" s="1"/>
  <c r="E24" i="3"/>
  <c r="F24" i="3" s="1"/>
  <c r="H24" i="3" s="1"/>
  <c r="J24" i="3" s="1"/>
  <c r="E25" i="3"/>
  <c r="F25" i="3" s="1"/>
  <c r="H25" i="3" s="1"/>
  <c r="J25" i="3" s="1"/>
  <c r="E26" i="3"/>
  <c r="F26" i="3" s="1"/>
  <c r="H26" i="3" s="1"/>
  <c r="J26" i="3" s="1"/>
  <c r="E27" i="3"/>
  <c r="F27" i="3" s="1"/>
  <c r="H27" i="3" s="1"/>
  <c r="J27" i="3" s="1"/>
  <c r="E30" i="3"/>
  <c r="F30" i="3" s="1"/>
  <c r="H30" i="3" s="1"/>
  <c r="J30" i="3" s="1"/>
  <c r="E31" i="3"/>
  <c r="F31" i="3" s="1"/>
  <c r="H31" i="3" s="1"/>
  <c r="J31" i="3" s="1"/>
  <c r="E32" i="3"/>
  <c r="F32" i="3" s="1"/>
  <c r="H32" i="3" s="1"/>
  <c r="J32" i="3" s="1"/>
  <c r="E33" i="3"/>
  <c r="F33" i="3" s="1"/>
  <c r="H33" i="3" s="1"/>
  <c r="J33" i="3" s="1"/>
  <c r="E34" i="3"/>
  <c r="F34" i="3" s="1"/>
  <c r="H34" i="3" s="1"/>
  <c r="J34" i="3" s="1"/>
  <c r="E35" i="3"/>
  <c r="F35" i="3" s="1"/>
  <c r="H35" i="3" s="1"/>
  <c r="J35" i="3" s="1"/>
  <c r="E36" i="3"/>
  <c r="F36" i="3" s="1"/>
  <c r="H36" i="3" s="1"/>
  <c r="J36" i="3" s="1"/>
  <c r="AX20" i="16" l="1"/>
  <c r="AX19" i="16" s="1"/>
  <c r="V38" i="16"/>
  <c r="K24" i="3"/>
  <c r="N24" i="3" s="1"/>
  <c r="M24" i="3"/>
  <c r="K35" i="3"/>
  <c r="N35" i="3" s="1"/>
  <c r="M35" i="3"/>
  <c r="K31" i="3"/>
  <c r="N31" i="3" s="1"/>
  <c r="M31" i="3"/>
  <c r="K23" i="3"/>
  <c r="N23" i="3" s="1"/>
  <c r="M23" i="3"/>
  <c r="K36" i="3"/>
  <c r="N36" i="3" s="1"/>
  <c r="M36" i="3"/>
  <c r="K27" i="3"/>
  <c r="N27" i="3" s="1"/>
  <c r="M27" i="3"/>
  <c r="K33" i="3"/>
  <c r="N33" i="3" s="1"/>
  <c r="M33" i="3"/>
  <c r="K30" i="3"/>
  <c r="N30" i="3" s="1"/>
  <c r="M30" i="3"/>
  <c r="K26" i="3"/>
  <c r="N26" i="3" s="1"/>
  <c r="M26" i="3"/>
  <c r="K32" i="3"/>
  <c r="N32" i="3" s="1"/>
  <c r="M32" i="3"/>
  <c r="K34" i="3"/>
  <c r="N34" i="3" s="1"/>
  <c r="M34" i="3"/>
  <c r="K22" i="3"/>
  <c r="N22" i="3" s="1"/>
  <c r="M22" i="3"/>
  <c r="K25" i="3"/>
  <c r="N25" i="3" s="1"/>
  <c r="C47" i="3" l="1"/>
  <c r="L38" i="3"/>
  <c r="I38" i="3"/>
  <c r="C49" i="3" s="1"/>
  <c r="E21" i="3"/>
  <c r="F21" i="3" s="1"/>
  <c r="H21" i="3" s="1"/>
  <c r="J21" i="3" s="1"/>
  <c r="E20" i="3"/>
  <c r="H20" i="3" s="1"/>
  <c r="J20" i="3" s="1"/>
  <c r="H19" i="3"/>
  <c r="J19" i="3" s="1"/>
  <c r="E17" i="3"/>
  <c r="F17" i="3" s="1"/>
  <c r="H17" i="3" s="1"/>
  <c r="E16" i="3"/>
  <c r="F16" i="3" s="1"/>
  <c r="H16" i="3" s="1"/>
  <c r="E15" i="3"/>
  <c r="F15" i="3" s="1"/>
  <c r="H15" i="3" s="1"/>
  <c r="F14" i="3"/>
  <c r="H14" i="3" s="1"/>
  <c r="E13" i="3"/>
  <c r="F13" i="3" s="1"/>
  <c r="H13" i="3" s="1"/>
  <c r="E12" i="3"/>
  <c r="F12" i="3" s="1"/>
  <c r="H12" i="3" s="1"/>
  <c r="E11" i="3"/>
  <c r="F11" i="3" s="1"/>
  <c r="H11" i="3" s="1"/>
  <c r="E10" i="3"/>
  <c r="F10" i="3" s="1"/>
  <c r="H10" i="3" s="1"/>
  <c r="E9" i="3"/>
  <c r="F9" i="3" s="1"/>
  <c r="H9" i="3" s="1"/>
  <c r="J9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K15" i="3" l="1"/>
  <c r="N15" i="3" s="1"/>
  <c r="M9" i="3"/>
  <c r="K9" i="3"/>
  <c r="N9" i="3" s="1"/>
  <c r="M16" i="3"/>
  <c r="K16" i="3"/>
  <c r="N16" i="3" s="1"/>
  <c r="K21" i="3"/>
  <c r="N21" i="3" s="1"/>
  <c r="M21" i="3"/>
  <c r="M10" i="3"/>
  <c r="N10" i="3"/>
  <c r="M17" i="3"/>
  <c r="K17" i="3"/>
  <c r="N17" i="3" s="1"/>
  <c r="M18" i="3"/>
  <c r="N18" i="3"/>
  <c r="M13" i="3"/>
  <c r="K13" i="3"/>
  <c r="N13" i="3" s="1"/>
  <c r="M11" i="3"/>
  <c r="K11" i="3"/>
  <c r="N11" i="3" s="1"/>
  <c r="M12" i="3"/>
  <c r="K12" i="3"/>
  <c r="N12" i="3" s="1"/>
  <c r="M14" i="3"/>
  <c r="K14" i="3"/>
  <c r="N14" i="3" s="1"/>
  <c r="K19" i="3"/>
  <c r="N19" i="3" s="1"/>
  <c r="M19" i="3"/>
  <c r="F39" i="3"/>
  <c r="F38" i="3"/>
  <c r="M15" i="3"/>
  <c r="M20" i="3"/>
  <c r="K20" i="3"/>
  <c r="N20" i="3" s="1"/>
  <c r="C39" i="3"/>
  <c r="E39" i="3"/>
  <c r="T231" i="16" l="1"/>
  <c r="G45" i="3"/>
  <c r="C44" i="3"/>
  <c r="C46" i="3" s="1"/>
  <c r="C48" i="3" s="1"/>
  <c r="C50" i="3" s="1"/>
  <c r="F44" i="3"/>
  <c r="F46" i="3" s="1"/>
  <c r="H39" i="3"/>
  <c r="H41" i="3" s="1"/>
  <c r="H38" i="3"/>
  <c r="T232" i="16" l="1"/>
  <c r="T233" i="16" s="1"/>
  <c r="K14" i="32"/>
  <c r="J14" i="32"/>
  <c r="V231" i="16"/>
  <c r="J39" i="3"/>
  <c r="J41" i="3" s="1"/>
  <c r="J38" i="3"/>
  <c r="M38" i="3"/>
  <c r="K15" i="32" l="1"/>
  <c r="K16" i="32" s="1"/>
  <c r="J15" i="32"/>
  <c r="K38" i="3"/>
  <c r="N38" i="3"/>
  <c r="V232" i="16" l="1"/>
  <c r="V233" i="16"/>
  <c r="T12" i="16" l="1"/>
  <c r="D17" i="17"/>
  <c r="F14" i="17"/>
  <c r="J14" i="17" s="1"/>
  <c r="M14" i="17" s="1"/>
  <c r="D20" i="17"/>
  <c r="D19" i="17"/>
  <c r="F19" i="17" s="1"/>
  <c r="M19" i="17" l="1"/>
  <c r="J19" i="17"/>
  <c r="D8" i="17"/>
  <c r="F8" i="17" s="1"/>
  <c r="FN74" i="16"/>
  <c r="F9" i="17"/>
  <c r="J9" i="17" s="1"/>
  <c r="M9" i="17" s="1"/>
  <c r="I3" i="24"/>
  <c r="I5" i="24" s="1"/>
  <c r="H15" i="24" s="1"/>
  <c r="I3" i="19"/>
  <c r="I5" i="19" s="1"/>
  <c r="H13" i="19" s="1"/>
  <c r="F21" i="17"/>
  <c r="M21" i="17" s="1"/>
  <c r="F17" i="17"/>
  <c r="J17" i="17" s="1"/>
  <c r="F20" i="17"/>
  <c r="M20" i="17" s="1"/>
  <c r="T10" i="16"/>
  <c r="T11" i="16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G67" i="31"/>
  <c r="K16" i="17"/>
  <c r="F16" i="17"/>
  <c r="J16" i="17" s="1"/>
  <c r="D12" i="17"/>
  <c r="F12" i="17" s="1"/>
  <c r="J12" i="17" s="1"/>
  <c r="M12" i="17" s="1"/>
  <c r="N35" i="17" l="1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T57" i="16"/>
  <c r="AX11" i="16"/>
  <c r="T74" i="16"/>
  <c r="AX74" i="16" s="1"/>
  <c r="T56" i="16"/>
  <c r="V11" i="16"/>
  <c r="V74" i="16" s="1"/>
  <c r="T70" i="16"/>
  <c r="AX70" i="16" s="1"/>
  <c r="T75" i="16"/>
  <c r="V75" i="16" s="1"/>
  <c r="OO15" i="16"/>
  <c r="OO17" i="16" s="1"/>
  <c r="AIV8" i="16"/>
  <c r="AIW8" i="16" s="1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J8" i="17"/>
  <c r="M8" i="17" s="1"/>
  <c r="G61" i="31"/>
  <c r="O12" i="17"/>
  <c r="N12" i="17"/>
  <c r="O23" i="17"/>
  <c r="N23" i="17"/>
  <c r="N21" i="17"/>
  <c r="O21" i="17"/>
  <c r="M16" i="17"/>
  <c r="K17" i="17"/>
  <c r="M17" i="17" s="1"/>
  <c r="K8" i="18"/>
  <c r="M8" i="18" s="1"/>
  <c r="G11" i="31" l="1"/>
  <c r="G48" i="31"/>
  <c r="G47" i="31"/>
  <c r="H20" i="24"/>
  <c r="I20" i="24"/>
  <c r="H26" i="19"/>
  <c r="I26" i="19"/>
  <c r="K9" i="23"/>
  <c r="O20" i="17"/>
  <c r="N20" i="17"/>
  <c r="F15" i="21"/>
  <c r="I15" i="21" s="1"/>
  <c r="F18" i="21"/>
  <c r="I8" i="21"/>
  <c r="OO20" i="16"/>
  <c r="OO18" i="16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G65" i="31"/>
  <c r="N17" i="17"/>
  <c r="O17" i="17"/>
  <c r="M48" i="17"/>
  <c r="G11" i="19" s="1"/>
  <c r="N8" i="17"/>
  <c r="O8" i="17"/>
  <c r="O48" i="17" l="1"/>
  <c r="N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I14" i="19" l="1"/>
  <c r="K14" i="19" s="1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21" i="21" l="1"/>
  <c r="J21" i="21"/>
  <c r="J20" i="21"/>
  <c r="K20" i="21"/>
  <c r="I25" i="21"/>
  <c r="G18" i="19"/>
  <c r="K26" i="19"/>
  <c r="K25" i="21" l="1"/>
  <c r="H18" i="19"/>
  <c r="H20" i="19" s="1"/>
  <c r="H28" i="19" s="1"/>
  <c r="G20" i="19"/>
  <c r="G28" i="19" s="1"/>
  <c r="I18" i="19"/>
  <c r="I20" i="19" s="1"/>
  <c r="I28" i="19" s="1"/>
  <c r="J25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6" authorId="0" shapeId="0" xr:uid="{0D5A3CA9-C3F6-4FD0-8FBA-6893F0CE0B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Plant Hold
</t>
        </r>
      </text>
    </comment>
    <comment ref="U6" authorId="0" shapeId="0" xr:uid="{646ABD56-E0DF-411A-9F69-ABC9E6203E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Plant Hold
</t>
        </r>
      </text>
    </comment>
    <comment ref="V6" authorId="0" shapeId="0" xr:uid="{CF127635-9DF0-4085-B3EE-027A315698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Plant Hold
</t>
        </r>
      </text>
    </comment>
    <comment ref="Q9" authorId="0" shapeId="0" xr:uid="{9A3B3CAB-144A-4408-B82D-1103868D0CB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START UP PLANT tgl 10/02/24 jam 22.00 wib 
- jam 22.00 start PU 781 A
- jam 22.15 start VP 611 A
- jam 22.20 start VP 734
- jam 22.30 start PU 792 A&amp;C
-jam 22.35 start CT781 A
- jam 00.45 steam supplay to PMG2
- jam 01.00 firing HPB
- jam 01.00 vacum blech - 0,7 bar
- jam 03.00 vacum deod 80 mbar
- jam 06.00 vacum deod 47 mbar,bleacher 40 mbar, test fdrying niagara,heatong he 312&amp; 751,venting cpo 
tgl 11/02/24
- jam 10.00 start feed cpo 
- jam 11.10 pengisian bleacher
-jam 12.45 pengisian niagara, set pa 0,50,set be 1,6 proses brand salvaco
- jam 15.00 pengisian 701
- jam 15.30 start ice conden
- jam 17.00 pengisian 722
-jam 17.35 pegnisian 731
- jam 17.40 pengisian 751
- jam 18.00 pengisian deo
- jam 22.00 start up temp dan cari quality
tgl 12/02/24 
- jam 08.10 qaulity inspec rpo 0,056,0,06,1,9 
- </t>
        </r>
      </text>
    </comment>
    <comment ref="U22" authorId="0" shapeId="0" xr:uid="{D7EE9CB1-7CE9-407C-BE8F-127FD218C3A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Stop Plant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sharedStrings.xml><?xml version="1.0" encoding="utf-8"?>
<sst xmlns="http://schemas.openxmlformats.org/spreadsheetml/2006/main" count="3787" uniqueCount="1088">
  <si>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</si>
  <si>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</si>
  <si>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</si>
  <si>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</si>
  <si>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</si>
  <si>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</si>
  <si>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</si>
  <si>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</si>
  <si>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</si>
  <si>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</si>
  <si>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</si>
  <si>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</si>
  <si>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</si>
  <si>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</si>
  <si>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</si>
  <si>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</si>
  <si>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</si>
  <si>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</si>
  <si>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</si>
  <si>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</si>
  <si>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</si>
  <si>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</si>
  <si>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</si>
  <si>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</si>
  <si>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</si>
  <si>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</si>
  <si>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</si>
  <si>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</si>
  <si>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</si>
  <si>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</si>
  <si>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</si>
  <si>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</si>
  <si>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</si>
  <si>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</si>
  <si>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</si>
  <si>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</si>
  <si>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</si>
  <si>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</si>
  <si>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</si>
  <si>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</si>
  <si>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</si>
  <si>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</si>
  <si>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</si>
  <si>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</si>
  <si>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</si>
  <si>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</si>
  <si>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</si>
  <si>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</si>
  <si>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</si>
  <si>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</si>
  <si>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</si>
  <si>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</si>
  <si>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</si>
  <si>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</si>
  <si>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</si>
  <si>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</si>
  <si>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</si>
  <si>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</si>
  <si>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</si>
  <si>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</si>
  <si>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</si>
  <si>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</si>
  <si>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</si>
  <si>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</si>
  <si>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</si>
  <si>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</si>
  <si>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</si>
  <si>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</si>
  <si>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</si>
  <si>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</si>
  <si>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</si>
  <si>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</si>
  <si>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</si>
  <si>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</si>
  <si>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</si>
  <si>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</si>
  <si>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</si>
  <si>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</si>
  <si>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</si>
  <si>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</si>
  <si>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</si>
  <si>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</si>
  <si>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</si>
  <si>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</si>
  <si>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</si>
  <si>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</si>
  <si>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</si>
  <si>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</si>
  <si>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</si>
  <si>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</si>
  <si>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</si>
  <si>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</si>
  <si>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</si>
  <si>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</si>
  <si>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</si>
  <si>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</si>
  <si>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</si>
  <si>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</si>
  <si>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</si>
  <si>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</si>
  <si>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</si>
  <si>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</si>
  <si>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</si>
  <si>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</si>
  <si>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</si>
  <si>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</si>
  <si>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</si>
  <si>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</si>
  <si>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</si>
  <si>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</si>
  <si>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</si>
  <si>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</si>
  <si>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</si>
  <si>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</si>
  <si>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</si>
  <si>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</si>
  <si>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</si>
  <si>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</si>
  <si>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</si>
  <si>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</si>
  <si>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</si>
  <si>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</si>
  <si>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</si>
  <si>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</si>
  <si>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</si>
  <si>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</si>
  <si>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</si>
  <si>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</si>
  <si>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</si>
  <si>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</si>
  <si>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</si>
  <si>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</si>
  <si>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</si>
  <si>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</si>
  <si>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</si>
  <si>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</si>
  <si>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</si>
  <si>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</si>
  <si>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</si>
  <si>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</si>
  <si>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</si>
  <si>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</si>
  <si>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</si>
  <si>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</si>
  <si>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</si>
  <si>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</si>
  <si>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</si>
  <si>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</si>
  <si>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</si>
  <si>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</si>
  <si>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</si>
  <si>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</si>
  <si>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</si>
  <si>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</si>
  <si>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</si>
  <si>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</si>
  <si>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</si>
  <si>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</si>
  <si>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</si>
  <si>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</si>
  <si>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</si>
  <si>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</si>
  <si>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</si>
  <si>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</si>
  <si>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</si>
  <si>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</si>
  <si>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</si>
  <si>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</si>
  <si>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</si>
  <si>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</si>
  <si>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</si>
  <si>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</si>
  <si>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</si>
  <si>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</si>
  <si>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</si>
  <si>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</si>
  <si>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</si>
  <si>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</si>
  <si>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</si>
  <si>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</si>
  <si>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</si>
  <si>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</si>
  <si>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</si>
  <si>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</si>
  <si>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</si>
  <si>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</si>
  <si>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</si>
  <si>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</si>
  <si>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</si>
  <si>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</si>
  <si>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</si>
  <si>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</si>
  <si>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</si>
  <si>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</si>
  <si>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</si>
  <si>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</si>
  <si>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</si>
  <si>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</si>
  <si>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</si>
  <si>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</si>
  <si>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</si>
  <si>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</si>
  <si>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</si>
  <si>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</si>
  <si>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</si>
  <si>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</si>
  <si>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</si>
  <si>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</si>
  <si>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</si>
  <si>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</si>
  <si>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</si>
  <si>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</si>
  <si>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</si>
  <si>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</si>
  <si>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</si>
  <si>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</si>
  <si>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</si>
  <si>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</si>
  <si>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</si>
  <si>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</si>
  <si>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</si>
  <si>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</si>
  <si>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</si>
  <si>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</si>
  <si>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</si>
  <si>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</si>
  <si>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</si>
  <si>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</si>
  <si>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</si>
  <si>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</si>
  <si>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</si>
  <si>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</si>
  <si>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</si>
  <si>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</si>
  <si>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</si>
  <si>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</si>
  <si>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</si>
  <si>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</si>
  <si>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</si>
  <si>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</si>
  <si>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</si>
  <si>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</si>
  <si>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</si>
  <si>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</si>
  <si>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</si>
  <si>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</si>
  <si>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</si>
  <si>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</si>
  <si>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</si>
  <si>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</si>
  <si>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</si>
  <si>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</si>
  <si>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</si>
  <si>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</si>
  <si>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</si>
  <si>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</si>
  <si>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</si>
  <si>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</si>
  <si>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</si>
  <si>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</si>
  <si>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</si>
  <si>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</si>
  <si>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</si>
  <si>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</si>
  <si>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</si>
  <si>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</si>
  <si>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</si>
  <si>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</si>
  <si>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</si>
  <si>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</si>
  <si>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</si>
  <si>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</si>
  <si>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</si>
  <si>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</si>
  <si>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</si>
  <si>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</si>
  <si>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</si>
  <si>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</si>
  <si>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</si>
  <si>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</si>
  <si>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</si>
  <si>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</si>
  <si>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</si>
  <si>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</si>
  <si>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</si>
  <si>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</si>
  <si>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</si>
  <si>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</si>
  <si>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</si>
  <si>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</si>
  <si>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</si>
  <si>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</si>
  <si>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</si>
  <si>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</si>
  <si>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</si>
  <si>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</si>
  <si>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</si>
  <si>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MONTHLY REPORT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</si>
  <si>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</si>
  <si>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</si>
  <si>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</si>
  <si>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</si>
  <si>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</si>
  <si>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</si>
  <si>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</si>
  <si>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</si>
  <si>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</si>
  <si>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</si>
  <si>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</si>
  <si>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</si>
  <si>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</si>
  <si>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</si>
  <si>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</si>
  <si>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</si>
  <si>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</si>
  <si>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</si>
  <si>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</si>
  <si>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</si>
  <si>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</si>
  <si>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</si>
  <si>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>Utilitas CPO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</si>
  <si>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</si>
  <si>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</si>
  <si>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</si>
  <si>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</si>
  <si>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</si>
  <si>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</si>
  <si>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</si>
  <si>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</si>
  <si>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</si>
  <si>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</si>
  <si>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</si>
  <si>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</si>
  <si>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</si>
  <si>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</si>
  <si>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</si>
  <si>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</si>
  <si>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</si>
  <si>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</si>
  <si>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</si>
  <si>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</si>
  <si>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</si>
  <si>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</si>
  <si>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</si>
  <si>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</si>
  <si>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</si>
  <si>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</si>
  <si>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</si>
  <si>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</si>
  <si>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</si>
  <si>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</si>
  <si>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</si>
  <si>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</si>
  <si>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</si>
  <si>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</si>
  <si>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</si>
  <si>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</si>
  <si>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</si>
  <si>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</si>
  <si>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</si>
  <si>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</si>
  <si>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</si>
  <si>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</si>
  <si>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</si>
  <si>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</si>
  <si>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</si>
  <si>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</si>
  <si>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</si>
  <si>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</si>
  <si>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</si>
  <si>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</si>
  <si>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</si>
  <si>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</si>
  <si>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</si>
  <si>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</si>
  <si>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</si>
  <si>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</si>
  <si>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</si>
  <si>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</si>
  <si>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</si>
  <si>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</si>
  <si>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 xml:space="preserve">Production Cost September 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</si>
  <si>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</si>
  <si>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</si>
  <si>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</si>
  <si>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</si>
  <si>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</si>
  <si>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</si>
  <si>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</si>
  <si>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</si>
  <si>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</si>
  <si>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</si>
  <si>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</si>
  <si>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</si>
  <si>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</si>
  <si>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</si>
  <si>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</si>
  <si>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</si>
  <si>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</si>
  <si>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</si>
  <si>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</si>
  <si>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</si>
  <si>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</si>
  <si>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</si>
  <si>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</si>
  <si>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</si>
  <si>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</si>
  <si>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</si>
  <si>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</si>
  <si>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</si>
  <si>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</si>
  <si>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</si>
  <si>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</si>
  <si>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</si>
  <si>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</si>
  <si>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</si>
  <si>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</si>
  <si>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</si>
  <si>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</si>
  <si>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</si>
  <si>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</si>
  <si>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</si>
  <si>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</si>
  <si>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</si>
  <si>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</si>
  <si>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</si>
  <si>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</si>
  <si>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</si>
  <si>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</si>
  <si>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</si>
  <si>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</si>
  <si>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</si>
  <si>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</si>
  <si>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</si>
  <si>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</si>
  <si>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</si>
  <si>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</si>
  <si>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</si>
  <si>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</si>
  <si>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</si>
  <si>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</si>
  <si>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</si>
  <si>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</si>
  <si>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</si>
  <si>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</si>
  <si>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</si>
  <si>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</si>
  <si>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</si>
  <si>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</si>
  <si>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</si>
  <si>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</si>
  <si>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</si>
  <si>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</si>
  <si>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</si>
  <si>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</si>
  <si>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</si>
  <si>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</si>
  <si>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</si>
  <si>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</si>
  <si>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</si>
  <si>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</si>
  <si>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</si>
  <si>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</si>
  <si>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</si>
  <si>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</si>
  <si>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</si>
  <si>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</si>
  <si>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</si>
  <si>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</si>
  <si>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</si>
  <si>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</si>
  <si>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</si>
  <si>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</si>
  <si>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</si>
  <si>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</si>
  <si>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</si>
  <si>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</si>
  <si>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</si>
  <si>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</si>
  <si>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</si>
  <si>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</si>
  <si>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</si>
  <si>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</si>
  <si>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</si>
  <si>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</si>
  <si>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</si>
  <si>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</si>
  <si>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</si>
  <si>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</si>
  <si>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</si>
  <si>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</si>
  <si>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</si>
  <si>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</si>
  <si>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</si>
  <si>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</si>
  <si>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</si>
  <si>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</si>
  <si>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</si>
  <si>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</si>
  <si>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</si>
  <si>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</si>
  <si>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</si>
  <si>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</si>
  <si>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</si>
  <si>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</si>
  <si>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</si>
  <si>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</si>
  <si>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</si>
  <si>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</si>
  <si>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</si>
  <si>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</si>
  <si>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</si>
  <si>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</si>
  <si>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</si>
  <si>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</si>
  <si>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</si>
  <si>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</si>
  <si>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</si>
  <si>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</si>
  <si>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</si>
  <si>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</si>
  <si>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</si>
  <si>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</si>
  <si>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</si>
  <si>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</si>
  <si>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</si>
  <si>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</si>
  <si>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</si>
  <si>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</si>
  <si>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</si>
  <si>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</si>
  <si>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</si>
  <si>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</si>
  <si>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</si>
  <si>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</si>
  <si>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</si>
  <si>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</si>
  <si>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</si>
  <si>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</si>
  <si>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</si>
  <si>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</si>
  <si>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</si>
  <si>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</si>
  <si>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</si>
  <si>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</si>
  <si>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</si>
  <si>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</si>
  <si>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</si>
  <si>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</si>
  <si>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</si>
  <si>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</si>
  <si>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</si>
  <si>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</si>
  <si>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</si>
  <si>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</si>
  <si>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</si>
  <si>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</si>
  <si>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</si>
  <si>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</si>
  <si>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</si>
  <si>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</si>
  <si>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</si>
  <si>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</si>
  <si>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</si>
  <si>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</si>
  <si>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</si>
  <si>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</si>
  <si>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</si>
  <si>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</si>
  <si>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</si>
  <si>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</si>
  <si>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</si>
  <si>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</si>
  <si>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</si>
  <si>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</si>
  <si>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</si>
  <si>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</si>
  <si>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</si>
  <si>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</si>
  <si>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</si>
  <si>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</si>
  <si>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</si>
  <si>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</si>
  <si>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</si>
  <si>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</si>
  <si>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</si>
  <si>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</si>
  <si>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</si>
  <si>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</si>
  <si>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</si>
  <si>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</si>
  <si>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</si>
  <si>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</si>
  <si>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</si>
  <si>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</si>
  <si>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</si>
  <si>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</si>
  <si>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</si>
  <si>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</si>
  <si>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</si>
  <si>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</si>
  <si>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</si>
  <si>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</si>
  <si>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</si>
  <si>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</si>
  <si>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</si>
  <si>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</si>
  <si>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</si>
  <si>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</si>
  <si>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</si>
  <si>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</si>
  <si>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</si>
  <si>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</si>
  <si>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</si>
  <si>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</si>
  <si>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</si>
  <si>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</si>
  <si>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</si>
  <si>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</si>
  <si>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</si>
  <si>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</si>
  <si>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</si>
  <si>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</si>
  <si>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</si>
  <si>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</si>
  <si>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</si>
  <si>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</si>
  <si>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</si>
  <si>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</si>
  <si>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</si>
  <si>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</si>
  <si>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</si>
  <si>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</si>
  <si>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</si>
  <si>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</si>
  <si>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</si>
  <si>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</si>
  <si>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</si>
  <si>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</si>
  <si>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</si>
  <si>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</si>
  <si>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</si>
  <si>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</si>
  <si>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</si>
  <si>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</si>
  <si>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</si>
  <si>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</si>
  <si>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</si>
  <si>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</si>
  <si>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</si>
  <si>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</si>
  <si>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</si>
  <si>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</si>
  <si>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</si>
  <si>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</si>
  <si>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</si>
  <si>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</si>
  <si>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</si>
  <si>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</si>
  <si>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</si>
  <si>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</si>
  <si>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</si>
  <si>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</si>
  <si>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</si>
  <si>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</si>
  <si>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</si>
  <si>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</si>
  <si>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</si>
  <si>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</si>
  <si>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</si>
  <si>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</si>
  <si>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</si>
  <si>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</si>
  <si>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</si>
  <si>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</si>
  <si>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</si>
  <si>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</si>
  <si>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</si>
  <si>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</si>
  <si>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</si>
  <si>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</si>
  <si>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</si>
  <si>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</si>
  <si>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</si>
  <si>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</si>
  <si>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</si>
  <si>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</si>
  <si>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</si>
  <si>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</si>
  <si>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</si>
  <si>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</si>
  <si>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</si>
  <si>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</si>
  <si>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</si>
  <si>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</si>
  <si>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</si>
  <si>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</si>
  <si>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</si>
  <si>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</si>
  <si>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</si>
  <si>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</si>
  <si>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</si>
  <si>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</si>
  <si>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</si>
  <si>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</si>
  <si>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</si>
  <si>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</si>
  <si>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</si>
  <si>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</si>
  <si>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</si>
  <si>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</si>
  <si>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</si>
  <si>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</si>
  <si>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</si>
  <si>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</si>
  <si>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</si>
  <si>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</si>
  <si>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</si>
  <si>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</si>
  <si>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</si>
  <si>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</si>
  <si>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</si>
  <si>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</si>
  <si>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</si>
  <si>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</si>
  <si>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</si>
  <si>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</si>
  <si>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</si>
  <si>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</si>
  <si>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</si>
  <si>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</si>
  <si>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</si>
  <si>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</si>
  <si>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</si>
  <si>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</si>
  <si>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</si>
  <si>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Remaks</t>
  </si>
  <si>
    <t>Budget</t>
  </si>
  <si>
    <t>Actual</t>
  </si>
  <si>
    <t>Percentage Act.</t>
  </si>
  <si>
    <t>1.</t>
  </si>
  <si>
    <t>Refinery Plant</t>
  </si>
  <si>
    <t>CPO Incoming</t>
  </si>
  <si>
    <t>Total CPO Consume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</si>
  <si>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</si>
  <si>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</si>
  <si>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</si>
  <si>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</si>
  <si>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</si>
  <si>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</si>
  <si>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</si>
  <si>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</si>
  <si>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57 ( Retail )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</si>
  <si>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</si>
  <si>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</si>
  <si>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</si>
  <si>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</si>
  <si>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</si>
  <si>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</si>
  <si>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</si>
  <si>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</si>
  <si>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</si>
  <si>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</si>
  <si>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</si>
  <si>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</si>
  <si>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Prepared by,</t>
  </si>
  <si>
    <t>Checked by,</t>
  </si>
  <si>
    <t>Approved by,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</si>
  <si>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</si>
  <si>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</si>
  <si>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</si>
  <si>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</si>
  <si>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</si>
  <si>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</si>
  <si>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</si>
  <si>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</si>
  <si>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</si>
  <si>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</si>
  <si>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</si>
  <si>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</si>
  <si>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</si>
  <si>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</si>
  <si>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Incoming Raw Water</t>
  </si>
  <si>
    <t>- Suplay To RO Product</t>
  </si>
  <si>
    <t>- Suplay To Proses dan Sanitary</t>
  </si>
  <si>
    <t>Rincian Outgoing Proses</t>
  </si>
  <si>
    <t>PLN *base on BA Kinra</t>
  </si>
  <si>
    <t>- Physical Refinery Plant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</si>
  <si>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</si>
  <si>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</si>
  <si>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</si>
  <si>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</si>
  <si>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</si>
  <si>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</si>
  <si>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</si>
  <si>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</si>
  <si>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</si>
  <si>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</si>
  <si>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</si>
  <si>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</si>
  <si>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</si>
  <si>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</si>
  <si>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</si>
  <si>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</si>
  <si>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</si>
  <si>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</si>
  <si>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</si>
  <si>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>Gas Consumption (HP Boiler) **)</t>
  </si>
  <si>
    <t>mmbtu/MT</t>
  </si>
  <si>
    <t>m3/MT</t>
  </si>
  <si>
    <t xml:space="preserve">Steam </t>
  </si>
  <si>
    <t>Kwh/MT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</si>
  <si>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</si>
  <si>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</si>
  <si>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Manager Plant</t>
  </si>
  <si>
    <t>Gas Consumption (MP Boiler)</t>
  </si>
  <si>
    <t>Fractionation OLEIN IV 58 ( Retail  )</t>
  </si>
  <si>
    <t>Olein IV 58 ( Retail )</t>
  </si>
  <si>
    <t>ok</t>
  </si>
  <si>
    <t>OK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</si>
  <si>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</si>
  <si>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</si>
  <si>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</si>
  <si>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</si>
  <si>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</si>
  <si>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</si>
  <si>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</si>
  <si>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Summary</t>
  </si>
  <si>
    <t>1. Slow flow rate due to Space Tank High</t>
  </si>
  <si>
    <t>hours</t>
  </si>
  <si>
    <t>2. Slow flow rate due to Olein IV 60 process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</si>
  <si>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</si>
  <si>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</si>
  <si>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</si>
  <si>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</si>
  <si>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</si>
  <si>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</si>
  <si>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</si>
  <si>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</si>
  <si>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DOWN TIME SLOW FLOWRATE PRODUCTION FRACTIONATION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</si>
  <si>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</si>
  <si>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</si>
  <si>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</si>
  <si>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</si>
  <si>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</si>
  <si>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14. Slow flow rate due to Olein IV 56 process &amp; IV 58 process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</si>
  <si>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</si>
  <si>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</si>
  <si>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</si>
  <si>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</si>
  <si>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</si>
  <si>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</si>
  <si>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</si>
  <si>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</si>
  <si>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</si>
  <si>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</si>
  <si>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</si>
  <si>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</si>
  <si>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</si>
  <si>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</si>
  <si>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</si>
  <si>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</si>
  <si>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</si>
  <si>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</si>
  <si>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</si>
  <si>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</si>
  <si>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</si>
  <si>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</si>
  <si>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</si>
  <si>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</si>
  <si>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</si>
  <si>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</si>
  <si>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</si>
  <si>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</si>
  <si>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Read</t>
  </si>
  <si>
    <t>End Read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</si>
  <si>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</si>
  <si>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</si>
  <si>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</si>
  <si>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</si>
  <si>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</si>
  <si>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</si>
  <si>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</si>
  <si>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</si>
  <si>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</si>
  <si>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</si>
  <si>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</si>
  <si>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</si>
  <si>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</si>
  <si>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</si>
  <si>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</si>
  <si>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</si>
  <si>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</si>
  <si>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</si>
  <si>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</si>
  <si>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</si>
  <si>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</si>
  <si>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</si>
  <si>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</si>
  <si>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</si>
  <si>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</si>
  <si>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</si>
  <si>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</si>
  <si>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</si>
  <si>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</si>
  <si>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</si>
  <si>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</si>
  <si>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</si>
  <si>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</si>
  <si>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</si>
  <si>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OLEIN</t>
  </si>
  <si>
    <t>Total STEARIN</t>
  </si>
  <si>
    <t>2CL251</t>
  </si>
  <si>
    <t>utility system/chiller</t>
  </si>
  <si>
    <t>TANK</t>
  </si>
  <si>
    <t>PRODUCTION REPORT PMG2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</si>
  <si>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</si>
  <si>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</si>
  <si>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</si>
  <si>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</si>
  <si>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</si>
  <si>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</si>
  <si>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</si>
  <si>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</si>
  <si>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</si>
  <si>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</si>
  <si>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</si>
  <si>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</si>
  <si>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</si>
  <si>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</si>
  <si>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</si>
  <si>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</si>
  <si>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</si>
  <si>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</si>
  <si>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</si>
  <si>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</si>
  <si>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</si>
  <si>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</si>
  <si>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</si>
  <si>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</si>
  <si>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</si>
  <si>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</si>
  <si>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</si>
  <si>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</si>
  <si>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</si>
  <si>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</si>
  <si>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</si>
  <si>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</si>
  <si>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</si>
  <si>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</si>
  <si>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</si>
  <si>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</si>
  <si>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</si>
  <si>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</si>
  <si>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</si>
  <si>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</si>
  <si>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</si>
  <si>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</si>
  <si>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</si>
  <si>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</si>
  <si>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</si>
  <si>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</si>
  <si>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</si>
  <si>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</si>
  <si>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</si>
  <si>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</si>
  <si>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</si>
  <si>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</si>
  <si>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</si>
  <si>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</si>
  <si>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</si>
  <si>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</si>
  <si>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</si>
  <si>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</si>
  <si>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</si>
  <si>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</si>
  <si>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</si>
  <si>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</si>
  <si>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</si>
  <si>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</si>
  <si>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</si>
  <si>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</si>
  <si>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</si>
  <si>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</si>
  <si>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</si>
  <si>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</si>
  <si>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</si>
  <si>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</si>
  <si>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</si>
  <si>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</si>
  <si>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</si>
  <si>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</si>
  <si>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</si>
  <si>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</si>
  <si>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</si>
  <si>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</si>
  <si>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</si>
  <si>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</si>
  <si>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</si>
  <si>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</si>
  <si>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</si>
  <si>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</si>
  <si>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</si>
  <si>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</si>
  <si>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</si>
  <si>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</si>
  <si>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</si>
  <si>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</si>
  <si>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</si>
  <si>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</si>
  <si>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</si>
  <si>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</si>
  <si>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</si>
  <si>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</si>
  <si>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</si>
  <si>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</si>
  <si>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</si>
  <si>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</si>
  <si>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</si>
  <si>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</si>
  <si>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</si>
  <si>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</si>
  <si>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</si>
  <si>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</si>
  <si>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</si>
  <si>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</si>
  <si>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</si>
  <si>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</si>
  <si>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</si>
  <si>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</si>
  <si>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</si>
  <si>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</si>
  <si>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</si>
  <si>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</si>
  <si>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</si>
  <si>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</si>
  <si>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</si>
  <si>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</si>
  <si>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</si>
  <si>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</si>
  <si>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</si>
  <si>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</si>
  <si>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</si>
  <si>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</si>
  <si>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</si>
  <si>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</si>
  <si>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</si>
  <si>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</si>
  <si>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</si>
  <si>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</si>
  <si>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</si>
  <si>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</si>
  <si>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</si>
  <si>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</si>
  <si>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</si>
  <si>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</si>
  <si>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</si>
  <si>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</si>
  <si>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</si>
  <si>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</si>
  <si>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</si>
  <si>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</si>
  <si>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</si>
  <si>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</si>
  <si>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</si>
  <si>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</si>
  <si>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RBDPO OIP pmg 2</t>
  </si>
  <si>
    <t>PRODUCTION REPORT 2025</t>
  </si>
  <si>
    <t xml:space="preserve">FEBUARI </t>
  </si>
  <si>
    <t>Ratio Run CPO ( utilisasi kapasitas )</t>
  </si>
  <si>
    <t>Bany Subana</t>
  </si>
  <si>
    <t>SHUT DOWN</t>
  </si>
  <si>
    <t>Note : Kapasitas 2500 TPD</t>
  </si>
  <si>
    <t>8. Note : Kapasitas 2500 TPD</t>
  </si>
  <si>
    <t xml:space="preserve">Bany Subana </t>
  </si>
  <si>
    <t>3. Slow flow rate due to Olein IV 57 process</t>
  </si>
  <si>
    <t>13. Slow flow rate due to Olein IV 56 process &amp; IV 57 process</t>
  </si>
  <si>
    <t>3. Hold plant due to trip MP boiler &amp; maintenance</t>
  </si>
  <si>
    <t>- Utility System/chiller</t>
  </si>
  <si>
    <t>Periode 01 s/d 31 Januari 2025</t>
  </si>
  <si>
    <t>- Over pemakaian Gas dikarenakan running sesuai RKAP 25 hari namun plant running  hari</t>
  </si>
  <si>
    <t>Unit</t>
  </si>
  <si>
    <t>Stop Plant</t>
  </si>
  <si>
    <t>STOP PLANT</t>
  </si>
  <si>
    <t>APRIL 2025 STOP PLANT</t>
  </si>
  <si>
    <t>Periode 01 s.d 30 April 2025</t>
  </si>
  <si>
    <t>Periode 01 s/d 30 April 2025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</si>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</sst>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_);_(* \(#,##0\);_(* &quot;-&quot;_);_(@_)"/>
    <numFmt numFmtId="189" formatCode="_(* #,##0.00_);_(* \(#,##0.00\);_(* &quot;-&quot;??.00_);_(@_)"/>
    <numFmt numFmtId="190" formatCode="_(* #,##0.0000_);_(* \(#,##0.0000\);_(* &quot;-&quot;??.0000_);_(@_)"/>
    <numFmt numFmtId="191" formatCode="_-* #,##0.00_-;\-* #,##0.00_-;_-* &quot;-&quot;????_-;_-@_-"/>
    <numFmt numFmtId="192" formatCode="[$-409]d\-mmm;@"/>
    <numFmt numFmtId="193" formatCode="_(* #,##0.00_);_(* \(#,##0.00\);_(* &quot;-&quot;_);_(@_)"/>
    <numFmt numFmtId="194" formatCode="_(* #,##0.000_);_(* \(#,##0.000\);_(* &quot;-&quot;_);_(@_)"/>
    <numFmt numFmtId="195" formatCode="_(* #,##0.0_);_(* \(#,##0.0\);_(* &quot;-&quot;_);_(@_)"/>
    <numFmt numFmtId="196" formatCode="_-* #,##0.000_-;\-* #,##0.000_-;_-* &quot;-&quot;???_-;_-@_-"/>
    <numFmt numFmtId="197" formatCode="0.000"/>
    <numFmt numFmtId="198" formatCode="_-* #,##0.0_-;\-* #,##0.0_-;_-* &quot;-&quot;_-;_-@_-"/>
    <numFmt numFmtId="199" formatCode="_-* #,##0_-;\-* #,##0_-;_-* &quot;-&quot;???_-;_-@_-"/>
    <numFmt numFmtId="200" formatCode="_-* #,##0.0_-;\-* #,##0.0_-;_-* &quot;-&quot;?_-;_-@_-"/>
    <numFmt numFmtId="201" formatCode="_-* #,##0.000_-;\-* #,##0.000_-;_-* &quot;-&quot;?_-;_-@_-"/>
  </numFmts>
  <fonts count="9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charset val="134"/>
      <scheme val="minor"/>
    </font>
    <font>
      <sz val="11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9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8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84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0" fontId="3" fillId="4" borderId="33" xfId="0" quotePrefix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3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4" xfId="2" applyNumberFormat="1" applyFont="1" applyFill="1" applyBorder="1" applyAlignment="1">
      <alignment horizontal="center" vertical="center" wrapText="1"/>
    </xf>
    <xf numFmtId="165" fontId="13" fillId="6" borderId="34" xfId="2" applyNumberFormat="1" applyFont="1" applyFill="1" applyBorder="1" applyAlignment="1">
      <alignment horizontal="center" vertical="center" wrapText="1"/>
    </xf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3" xfId="5" applyNumberFormat="1" applyFont="1" applyBorder="1"/>
    <xf numFmtId="175" fontId="2" fillId="6" borderId="44" xfId="2" applyNumberFormat="1" applyFont="1" applyFill="1" applyBorder="1"/>
    <xf numFmtId="10" fontId="2" fillId="0" borderId="43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0" xfId="2" applyNumberFormat="1" applyFont="1" applyFill="1" applyBorder="1" applyAlignment="1"/>
    <xf numFmtId="165" fontId="3" fillId="6" borderId="52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69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8" fontId="3" fillId="0" borderId="42" xfId="6" applyNumberFormat="1" applyFont="1" applyBorder="1"/>
    <xf numFmtId="168" fontId="3" fillId="6" borderId="42" xfId="6" applyNumberFormat="1" applyFont="1" applyFill="1" applyBorder="1"/>
    <xf numFmtId="168" fontId="3" fillId="0" borderId="44" xfId="6" applyNumberFormat="1" applyFont="1" applyBorder="1"/>
    <xf numFmtId="168" fontId="3" fillId="0" borderId="19" xfId="6" applyNumberFormat="1" applyFont="1" applyBorder="1"/>
    <xf numFmtId="168" fontId="3" fillId="6" borderId="48" xfId="6" applyNumberFormat="1" applyFont="1" applyFill="1" applyBorder="1"/>
    <xf numFmtId="168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8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8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2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4" fontId="2" fillId="0" borderId="0" xfId="0" applyNumberFormat="1" applyFont="1"/>
    <xf numFmtId="164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18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7" fontId="0" fillId="0" borderId="58" xfId="1" applyNumberFormat="1" applyFont="1" applyBorder="1" applyAlignment="1">
      <alignment horizontal="left" vertical="center"/>
    </xf>
    <xf numFmtId="177" fontId="0" fillId="0" borderId="58" xfId="1" applyNumberFormat="1" applyFont="1" applyBorder="1"/>
    <xf numFmtId="177" fontId="0" fillId="0" borderId="58" xfId="0" applyNumberFormat="1" applyBorder="1"/>
    <xf numFmtId="177" fontId="0" fillId="4" borderId="58" xfId="1" applyNumberFormat="1" applyFont="1" applyFill="1" applyBorder="1"/>
    <xf numFmtId="10" fontId="0" fillId="0" borderId="58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6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0" fontId="24" fillId="0" borderId="62" xfId="7" applyNumberFormat="1" applyFont="1" applyBorder="1" applyAlignment="1">
      <alignment horizontal="center" vertical="center"/>
    </xf>
    <xf numFmtId="179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79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79" fontId="22" fillId="0" borderId="4" xfId="0" applyNumberFormat="1" applyFont="1" applyBorder="1" applyAlignment="1">
      <alignment horizontal="center" vertical="center"/>
    </xf>
    <xf numFmtId="179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166" fontId="3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5" fontId="10" fillId="0" borderId="75" xfId="2" applyNumberFormat="1" applyFont="1" applyBorder="1"/>
    <xf numFmtId="165" fontId="10" fillId="0" borderId="0" xfId="2" applyNumberFormat="1" applyFont="1" applyBorder="1"/>
    <xf numFmtId="165" fontId="10" fillId="0" borderId="28" xfId="2" applyNumberFormat="1" applyFont="1" applyBorder="1"/>
    <xf numFmtId="166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5" fontId="34" fillId="0" borderId="73" xfId="2" applyNumberFormat="1" applyFont="1" applyFill="1" applyBorder="1"/>
    <xf numFmtId="165" fontId="34" fillId="0" borderId="74" xfId="2" applyNumberFormat="1" applyFont="1" applyFill="1" applyBorder="1"/>
    <xf numFmtId="165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73" xfId="2" applyNumberFormat="1" applyFont="1" applyFill="1" applyBorder="1"/>
    <xf numFmtId="165" fontId="2" fillId="0" borderId="74" xfId="2" applyNumberFormat="1" applyFont="1" applyFill="1" applyBorder="1"/>
    <xf numFmtId="165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7" xfId="1" applyNumberFormat="1" applyFont="1" applyFill="1" applyBorder="1"/>
    <xf numFmtId="166" fontId="2" fillId="0" borderId="10" xfId="1" applyNumberFormat="1" applyFont="1" applyFill="1" applyBorder="1"/>
    <xf numFmtId="166" fontId="2" fillId="0" borderId="25" xfId="1" applyNumberFormat="1" applyFont="1" applyFill="1" applyBorder="1"/>
    <xf numFmtId="166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0" fontId="3" fillId="5" borderId="6" xfId="0" quotePrefix="1" applyFont="1" applyFill="1" applyBorder="1"/>
    <xf numFmtId="170" fontId="2" fillId="12" borderId="6" xfId="1" applyNumberFormat="1" applyFont="1" applyFill="1" applyBorder="1" applyAlignment="1">
      <alignment horizontal="center"/>
    </xf>
    <xf numFmtId="43" fontId="16" fillId="0" borderId="13" xfId="1" applyFont="1" applyFill="1" applyBorder="1"/>
    <xf numFmtId="43" fontId="16" fillId="0" borderId="6" xfId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2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2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19" fillId="0" borderId="0" xfId="0" applyFont="1"/>
    <xf numFmtId="166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34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6" fontId="3" fillId="0" borderId="55" xfId="0" applyNumberFormat="1" applyFont="1" applyBorder="1"/>
    <xf numFmtId="166" fontId="3" fillId="0" borderId="40" xfId="0" applyNumberFormat="1" applyFont="1" applyBorder="1"/>
    <xf numFmtId="166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2" fillId="0" borderId="28" xfId="0" applyNumberFormat="1" applyFont="1" applyBorder="1"/>
    <xf numFmtId="166" fontId="2" fillId="4" borderId="28" xfId="0" applyNumberFormat="1" applyFont="1" applyFill="1" applyBorder="1"/>
    <xf numFmtId="166" fontId="2" fillId="6" borderId="28" xfId="1" applyNumberFormat="1" applyFont="1" applyFill="1" applyBorder="1"/>
    <xf numFmtId="164" fontId="2" fillId="0" borderId="28" xfId="0" applyNumberFormat="1" applyFont="1" applyBorder="1"/>
    <xf numFmtId="166" fontId="5" fillId="0" borderId="28" xfId="0" applyNumberFormat="1" applyFont="1" applyBorder="1" applyAlignment="1">
      <alignment horizontal="center"/>
    </xf>
    <xf numFmtId="166" fontId="2" fillId="6" borderId="28" xfId="0" applyNumberFormat="1" applyFont="1" applyFill="1" applyBorder="1"/>
    <xf numFmtId="166" fontId="5" fillId="0" borderId="81" xfId="0" applyNumberFormat="1" applyFont="1" applyBorder="1" applyAlignment="1">
      <alignment horizontal="center"/>
    </xf>
    <xf numFmtId="166" fontId="2" fillId="6" borderId="28" xfId="0" applyNumberFormat="1" applyFont="1" applyFill="1" applyBorder="1" applyAlignment="1">
      <alignment vertical="center"/>
    </xf>
    <xf numFmtId="166" fontId="2" fillId="4" borderId="28" xfId="0" applyNumberFormat="1" applyFont="1" applyFill="1" applyBorder="1" applyAlignment="1">
      <alignment vertical="center"/>
    </xf>
    <xf numFmtId="166" fontId="2" fillId="6" borderId="28" xfId="1" applyNumberFormat="1" applyFont="1" applyFill="1" applyBorder="1" applyAlignment="1">
      <alignment vertical="center"/>
    </xf>
    <xf numFmtId="166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2" xfId="0" applyNumberFormat="1" applyFont="1" applyFill="1" applyBorder="1"/>
    <xf numFmtId="43" fontId="2" fillId="0" borderId="26" xfId="1" applyFont="1" applyFill="1" applyBorder="1"/>
    <xf numFmtId="172" fontId="2" fillId="0" borderId="28" xfId="1" applyNumberFormat="1" applyFont="1" applyBorder="1"/>
    <xf numFmtId="43" fontId="16" fillId="0" borderId="23" xfId="1" applyFont="1" applyFill="1" applyBorder="1"/>
    <xf numFmtId="164" fontId="2" fillId="5" borderId="28" xfId="0" applyNumberFormat="1" applyFont="1" applyFill="1" applyBorder="1"/>
    <xf numFmtId="164" fontId="3" fillId="6" borderId="28" xfId="0" applyNumberFormat="1" applyFont="1" applyFill="1" applyBorder="1"/>
    <xf numFmtId="164" fontId="3" fillId="0" borderId="28" xfId="0" applyNumberFormat="1" applyFont="1" applyBorder="1"/>
    <xf numFmtId="43" fontId="10" fillId="0" borderId="64" xfId="1" applyFont="1" applyFill="1" applyBorder="1"/>
    <xf numFmtId="166" fontId="6" fillId="0" borderId="28" xfId="0" applyNumberFormat="1" applyFont="1" applyBorder="1"/>
    <xf numFmtId="166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/>
    <xf numFmtId="166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4" fontId="2" fillId="6" borderId="81" xfId="0" applyNumberFormat="1" applyFont="1" applyFill="1" applyBorder="1"/>
    <xf numFmtId="164" fontId="2" fillId="6" borderId="46" xfId="0" applyNumberFormat="1" applyFont="1" applyFill="1" applyBorder="1"/>
    <xf numFmtId="164" fontId="3" fillId="6" borderId="46" xfId="0" applyNumberFormat="1" applyFont="1" applyFill="1" applyBorder="1"/>
    <xf numFmtId="168" fontId="2" fillId="6" borderId="28" xfId="0" applyNumberFormat="1" applyFont="1" applyFill="1" applyBorder="1"/>
    <xf numFmtId="168" fontId="3" fillId="6" borderId="28" xfId="0" applyNumberFormat="1" applyFont="1" applyFill="1" applyBorder="1"/>
    <xf numFmtId="0" fontId="6" fillId="0" borderId="28" xfId="0" applyFont="1" applyBorder="1"/>
    <xf numFmtId="183" fontId="2" fillId="0" borderId="28" xfId="0" applyNumberFormat="1" applyFont="1" applyBorder="1"/>
    <xf numFmtId="168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6" fontId="3" fillId="6" borderId="28" xfId="0" applyNumberFormat="1" applyFont="1" applyFill="1" applyBorder="1"/>
    <xf numFmtId="167" fontId="6" fillId="0" borderId="28" xfId="0" applyNumberFormat="1" applyFont="1" applyBorder="1"/>
    <xf numFmtId="166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6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0" fillId="0" borderId="76" xfId="0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16" fillId="5" borderId="0" xfId="0" applyFont="1" applyFill="1"/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5" fontId="2" fillId="5" borderId="31" xfId="2" applyNumberFormat="1" applyFont="1" applyFill="1" applyBorder="1" applyAlignment="1">
      <alignment horizontal="center"/>
    </xf>
    <xf numFmtId="165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6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0" fontId="0" fillId="0" borderId="86" xfId="0" applyBorder="1"/>
    <xf numFmtId="166" fontId="3" fillId="0" borderId="1" xfId="0" applyNumberFormat="1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166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4" fontId="2" fillId="0" borderId="75" xfId="0" applyNumberFormat="1" applyFont="1" applyBorder="1"/>
    <xf numFmtId="9" fontId="2" fillId="6" borderId="75" xfId="3" applyFont="1" applyFill="1" applyBorder="1"/>
    <xf numFmtId="164" fontId="2" fillId="6" borderId="75" xfId="0" applyNumberFormat="1" applyFont="1" applyFill="1" applyBorder="1"/>
    <xf numFmtId="166" fontId="5" fillId="0" borderId="75" xfId="0" applyNumberFormat="1" applyFont="1" applyBorder="1" applyAlignment="1">
      <alignment horizontal="center"/>
    </xf>
    <xf numFmtId="166" fontId="5" fillId="0" borderId="87" xfId="0" applyNumberFormat="1" applyFont="1" applyBorder="1" applyAlignment="1">
      <alignment horizontal="center"/>
    </xf>
    <xf numFmtId="166" fontId="2" fillId="6" borderId="75" xfId="0" applyNumberFormat="1" applyFont="1" applyFill="1" applyBorder="1"/>
    <xf numFmtId="164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6" fontId="2" fillId="6" borderId="90" xfId="0" applyNumberFormat="1" applyFont="1" applyFill="1" applyBorder="1"/>
    <xf numFmtId="172" fontId="2" fillId="0" borderId="75" xfId="1" applyNumberFormat="1" applyFont="1" applyBorder="1"/>
    <xf numFmtId="164" fontId="3" fillId="6" borderId="75" xfId="0" applyNumberFormat="1" applyFont="1" applyFill="1" applyBorder="1"/>
    <xf numFmtId="166" fontId="6" fillId="0" borderId="75" xfId="0" applyNumberFormat="1" applyFont="1" applyBorder="1"/>
    <xf numFmtId="166" fontId="2" fillId="0" borderId="75" xfId="0" applyNumberFormat="1" applyFont="1" applyBorder="1"/>
    <xf numFmtId="164" fontId="3" fillId="0" borderId="75" xfId="0" applyNumberFormat="1" applyFont="1" applyBorder="1"/>
    <xf numFmtId="167" fontId="2" fillId="0" borderId="75" xfId="0" applyNumberFormat="1" applyFont="1" applyBorder="1"/>
    <xf numFmtId="166" fontId="2" fillId="0" borderId="75" xfId="0" applyNumberFormat="1" applyFont="1" applyBorder="1" applyAlignment="1">
      <alignment vertical="center"/>
    </xf>
    <xf numFmtId="166" fontId="2" fillId="4" borderId="87" xfId="0" applyNumberFormat="1" applyFont="1" applyFill="1" applyBorder="1"/>
    <xf numFmtId="164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4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7" fontId="6" fillId="0" borderId="75" xfId="0" applyNumberFormat="1" applyFont="1" applyBorder="1"/>
    <xf numFmtId="166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6" fontId="3" fillId="4" borderId="87" xfId="1" applyNumberFormat="1" applyFont="1" applyFill="1" applyBorder="1" applyAlignment="1">
      <alignment horizontal="center"/>
    </xf>
    <xf numFmtId="164" fontId="3" fillId="0" borderId="73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41" fontId="2" fillId="0" borderId="12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79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79" fontId="22" fillId="0" borderId="128" xfId="0" applyNumberFormat="1" applyFont="1" applyBorder="1" applyAlignment="1">
      <alignment horizontal="center" vertical="center"/>
    </xf>
    <xf numFmtId="179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79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79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79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79" fontId="22" fillId="0" borderId="66" xfId="0" applyNumberFormat="1" applyFont="1" applyBorder="1" applyAlignment="1">
      <alignment horizontal="center" vertical="center"/>
    </xf>
    <xf numFmtId="179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79" fontId="31" fillId="0" borderId="66" xfId="0" applyNumberFormat="1" applyFont="1" applyBorder="1" applyAlignment="1">
      <alignment horizontal="center" vertical="center"/>
    </xf>
    <xf numFmtId="179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6" fontId="26" fillId="0" borderId="94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7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8" fontId="2" fillId="5" borderId="0" xfId="3" applyNumberFormat="1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0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7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7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79" fontId="22" fillId="0" borderId="6" xfId="0" applyNumberFormat="1" applyFont="1" applyBorder="1" applyAlignment="1">
      <alignment horizontal="center" vertical="center"/>
    </xf>
    <xf numFmtId="187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7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7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4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10" fillId="0" borderId="130" xfId="5" applyNumberFormat="1" applyFont="1" applyFill="1" applyBorder="1" applyAlignment="1">
      <alignment horizontal="center" vertical="center"/>
    </xf>
    <xf numFmtId="166" fontId="64" fillId="0" borderId="0" xfId="16" applyNumberFormat="1" applyFont="1"/>
    <xf numFmtId="166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6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6" fontId="9" fillId="16" borderId="28" xfId="5" applyNumberFormat="1" applyFont="1" applyFill="1" applyBorder="1" applyAlignment="1">
      <alignment horizontal="center" vertical="center"/>
    </xf>
    <xf numFmtId="188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0" borderId="130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right" vertical="center"/>
    </xf>
    <xf numFmtId="166" fontId="10" fillId="16" borderId="28" xfId="5" applyNumberFormat="1" applyFont="1" applyFill="1" applyBorder="1" applyAlignment="1">
      <alignment horizontal="center" vertical="center"/>
    </xf>
    <xf numFmtId="164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89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0" borderId="28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vertical="center"/>
    </xf>
    <xf numFmtId="164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6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166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10" fillId="0" borderId="153" xfId="5" applyNumberFormat="1" applyFont="1" applyFill="1" applyBorder="1" applyAlignment="1">
      <alignment horizontal="center" vertical="center"/>
    </xf>
    <xf numFmtId="166" fontId="9" fillId="0" borderId="130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6" fontId="9" fillId="16" borderId="130" xfId="5" applyNumberFormat="1" applyFont="1" applyFill="1" applyBorder="1" applyAlignment="1">
      <alignment horizontal="center" vertical="center"/>
    </xf>
    <xf numFmtId="43" fontId="64" fillId="0" borderId="0" xfId="16" applyNumberFormat="1" applyFont="1"/>
    <xf numFmtId="166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4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6" fontId="10" fillId="0" borderId="81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4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166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0" borderId="153" xfId="5" applyFont="1" applyFill="1" applyBorder="1" applyAlignment="1">
      <alignment horizontal="center" vertical="center"/>
    </xf>
    <xf numFmtId="164" fontId="10" fillId="5" borderId="2" xfId="5" applyFont="1" applyFill="1" applyBorder="1" applyAlignment="1">
      <alignment vertical="center"/>
    </xf>
    <xf numFmtId="164" fontId="10" fillId="0" borderId="24" xfId="5" applyFont="1" applyFill="1" applyBorder="1" applyAlignment="1">
      <alignment horizontal="center" vertical="center"/>
    </xf>
    <xf numFmtId="166" fontId="9" fillId="0" borderId="28" xfId="5" applyNumberFormat="1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4" fontId="10" fillId="16" borderId="4" xfId="5" applyNumberFormat="1" applyFont="1" applyFill="1" applyBorder="1" applyAlignment="1">
      <alignment vertical="center"/>
    </xf>
    <xf numFmtId="164" fontId="9" fillId="16" borderId="28" xfId="5" applyFont="1" applyFill="1" applyBorder="1" applyAlignment="1">
      <alignment horizontal="center" vertical="center"/>
    </xf>
    <xf numFmtId="164" fontId="10" fillId="16" borderId="4" xfId="5" applyFont="1" applyFill="1" applyBorder="1" applyAlignment="1">
      <alignment vertical="center"/>
    </xf>
    <xf numFmtId="164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0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164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1" fontId="2" fillId="16" borderId="4" xfId="5" applyNumberFormat="1" applyFont="1" applyFill="1" applyBorder="1"/>
    <xf numFmtId="168" fontId="10" fillId="16" borderId="4" xfId="5" applyNumberFormat="1" applyFont="1" applyFill="1" applyBorder="1"/>
    <xf numFmtId="9" fontId="10" fillId="16" borderId="4" xfId="3" applyFont="1" applyFill="1" applyBorder="1"/>
    <xf numFmtId="164" fontId="9" fillId="16" borderId="4" xfId="5" applyFont="1" applyFill="1" applyBorder="1"/>
    <xf numFmtId="181" fontId="9" fillId="16" borderId="8" xfId="5" applyNumberFormat="1" applyFont="1" applyFill="1" applyBorder="1"/>
    <xf numFmtId="0" fontId="2" fillId="5" borderId="0" xfId="16" applyFont="1" applyFill="1"/>
    <xf numFmtId="169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1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1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16" applyNumberFormat="1" applyFont="1"/>
    <xf numFmtId="190" fontId="10" fillId="5" borderId="4" xfId="5" applyNumberFormat="1" applyFont="1" applyFill="1" applyBorder="1"/>
    <xf numFmtId="182" fontId="10" fillId="0" borderId="8" xfId="5" applyNumberFormat="1" applyFont="1" applyFill="1" applyBorder="1"/>
    <xf numFmtId="168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1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1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6" fontId="2" fillId="17" borderId="4" xfId="5" applyNumberFormat="1" applyFont="1" applyFill="1" applyBorder="1"/>
    <xf numFmtId="164" fontId="9" fillId="5" borderId="4" xfId="5" applyFont="1" applyFill="1" applyBorder="1"/>
    <xf numFmtId="166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4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16" borderId="4" xfId="5" applyFont="1" applyFill="1" applyBorder="1"/>
    <xf numFmtId="164" fontId="10" fillId="16" borderId="4" xfId="5" applyFont="1" applyFill="1" applyBorder="1"/>
    <xf numFmtId="189" fontId="9" fillId="16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89" fontId="9" fillId="0" borderId="8" xfId="5" applyNumberFormat="1" applyFont="1" applyFill="1" applyBorder="1"/>
    <xf numFmtId="189" fontId="10" fillId="0" borderId="8" xfId="5" applyNumberFormat="1" applyFont="1" applyFill="1" applyBorder="1"/>
    <xf numFmtId="170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4" fontId="9" fillId="16" borderId="8" xfId="5" applyFont="1" applyFill="1" applyBorder="1"/>
    <xf numFmtId="191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4" fontId="2" fillId="5" borderId="2" xfId="5" applyFont="1" applyFill="1" applyBorder="1"/>
    <xf numFmtId="164" fontId="10" fillId="0" borderId="2" xfId="5" applyFont="1" applyFill="1" applyBorder="1"/>
    <xf numFmtId="164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6" fillId="0" borderId="0" xfId="16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4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4" xfId="16" applyFont="1" applyFill="1" applyBorder="1" applyAlignment="1">
      <alignment horizontal="center" vertical="center"/>
    </xf>
    <xf numFmtId="0" fontId="76" fillId="6" borderId="155" xfId="16" applyFont="1" applyFill="1" applyBorder="1" applyAlignment="1">
      <alignment horizontal="center" vertical="center"/>
    </xf>
    <xf numFmtId="192" fontId="76" fillId="6" borderId="155" xfId="16" applyNumberFormat="1" applyFont="1" applyFill="1" applyBorder="1" applyAlignment="1">
      <alignment horizontal="center" vertical="center"/>
    </xf>
    <xf numFmtId="40" fontId="76" fillId="6" borderId="155" xfId="16" applyNumberFormat="1" applyFont="1" applyFill="1" applyBorder="1" applyAlignment="1">
      <alignment horizontal="center" vertical="center" wrapText="1"/>
    </xf>
    <xf numFmtId="192" fontId="76" fillId="6" borderId="156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6" fontId="23" fillId="5" borderId="4" xfId="5" applyNumberFormat="1" applyFont="1" applyFill="1" applyBorder="1" applyAlignment="1">
      <alignment horizontal="center" vertical="center"/>
    </xf>
    <xf numFmtId="188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2" fontId="1" fillId="0" borderId="0" xfId="16" applyNumberFormat="1"/>
    <xf numFmtId="164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horizontal="center" vertical="center"/>
    </xf>
    <xf numFmtId="188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7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3" fontId="23" fillId="6" borderId="66" xfId="12" applyNumberFormat="1" applyFont="1" applyFill="1" applyBorder="1" applyAlignment="1">
      <alignment horizontal="center" vertical="center"/>
    </xf>
    <xf numFmtId="188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8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88" fontId="23" fillId="5" borderId="62" xfId="12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left" vertical="center" wrapText="1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4" fontId="23" fillId="6" borderId="62" xfId="16" applyNumberFormat="1" applyFont="1" applyFill="1" applyBorder="1" applyAlignment="1">
      <alignment horizontal="center" vertical="center"/>
    </xf>
    <xf numFmtId="193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88" fontId="23" fillId="5" borderId="62" xfId="16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88" fontId="23" fillId="5" borderId="65" xfId="16" applyNumberFormat="1" applyFont="1" applyFill="1" applyBorder="1" applyAlignment="1">
      <alignment horizontal="center" vertical="center"/>
    </xf>
    <xf numFmtId="40" fontId="23" fillId="5" borderId="157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2" fontId="76" fillId="6" borderId="4" xfId="16" applyNumberFormat="1" applyFont="1" applyFill="1" applyBorder="1" applyAlignment="1">
      <alignment horizontal="center" vertical="center"/>
    </xf>
    <xf numFmtId="192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8" xfId="16" applyNumberFormat="1" applyFont="1" applyFill="1" applyBorder="1" applyAlignment="1">
      <alignment horizontal="center" vertical="center" wrapText="1"/>
    </xf>
    <xf numFmtId="193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4" fontId="23" fillId="0" borderId="64" xfId="5" applyFont="1" applyBorder="1" applyAlignment="1">
      <alignment horizontal="right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97" xfId="16" applyFont="1" applyBorder="1" applyAlignment="1">
      <alignment vertical="center" wrapText="1"/>
    </xf>
    <xf numFmtId="0" fontId="23" fillId="0" borderId="117" xfId="16" applyFont="1" applyBorder="1" applyAlignment="1">
      <alignment vertical="center" wrapText="1"/>
    </xf>
    <xf numFmtId="164" fontId="23" fillId="0" borderId="62" xfId="5" applyFont="1" applyBorder="1" applyAlignment="1">
      <alignment horizontal="right" vertical="center"/>
    </xf>
    <xf numFmtId="0" fontId="23" fillId="0" borderId="117" xfId="16" applyFont="1" applyBorder="1" applyAlignment="1">
      <alignment horizontal="left" vertical="center" wrapText="1"/>
    </xf>
    <xf numFmtId="193" fontId="23" fillId="0" borderId="97" xfId="12" applyNumberFormat="1" applyFont="1" applyBorder="1" applyAlignment="1">
      <alignment horizontal="lef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4" fontId="23" fillId="7" borderId="62" xfId="16" applyNumberFormat="1" applyFont="1" applyFill="1" applyBorder="1" applyAlignment="1">
      <alignment horizontal="right" vertical="center"/>
    </xf>
    <xf numFmtId="193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5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4" fontId="23" fillId="7" borderId="115" xfId="16" applyNumberFormat="1" applyFont="1" applyFill="1" applyBorder="1" applyAlignment="1">
      <alignment horizontal="center" vertical="center"/>
    </xf>
    <xf numFmtId="193" fontId="23" fillId="7" borderId="159" xfId="16" applyNumberFormat="1" applyFont="1" applyFill="1" applyBorder="1" applyAlignment="1">
      <alignment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4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67" fontId="2" fillId="7" borderId="4" xfId="1" applyNumberFormat="1" applyFont="1" applyFill="1" applyBorder="1" applyAlignment="1">
      <alignment vertical="center"/>
    </xf>
    <xf numFmtId="166" fontId="2" fillId="0" borderId="13" xfId="1" applyNumberFormat="1" applyFont="1" applyFill="1" applyBorder="1"/>
    <xf numFmtId="166" fontId="2" fillId="6" borderId="14" xfId="1" applyNumberFormat="1" applyFont="1" applyFill="1" applyBorder="1"/>
    <xf numFmtId="165" fontId="2" fillId="0" borderId="14" xfId="2" applyNumberFormat="1" applyFont="1" applyFill="1" applyBorder="1"/>
    <xf numFmtId="166" fontId="2" fillId="5" borderId="13" xfId="1" applyNumberFormat="1" applyFont="1" applyFill="1" applyBorder="1"/>
    <xf numFmtId="166" fontId="2" fillId="5" borderId="14" xfId="1" applyNumberFormat="1" applyFont="1" applyFill="1" applyBorder="1"/>
    <xf numFmtId="43" fontId="2" fillId="5" borderId="14" xfId="1" applyFont="1" applyFill="1" applyBorder="1"/>
    <xf numFmtId="177" fontId="2" fillId="5" borderId="14" xfId="1" applyNumberFormat="1" applyFont="1" applyFill="1" applyBorder="1"/>
    <xf numFmtId="166" fontId="3" fillId="0" borderId="23" xfId="1" applyNumberFormat="1" applyFont="1" applyFill="1" applyBorder="1"/>
    <xf numFmtId="166" fontId="2" fillId="6" borderId="8" xfId="1" applyNumberFormat="1" applyFont="1" applyFill="1" applyBorder="1"/>
    <xf numFmtId="165" fontId="2" fillId="0" borderId="8" xfId="2" applyNumberFormat="1" applyFont="1" applyFill="1" applyBorder="1"/>
    <xf numFmtId="166" fontId="2" fillId="0" borderId="23" xfId="1" applyNumberFormat="1" applyFont="1" applyFill="1" applyBorder="1"/>
    <xf numFmtId="166" fontId="2" fillId="5" borderId="23" xfId="1" applyNumberFormat="1" applyFont="1" applyFill="1" applyBorder="1"/>
    <xf numFmtId="166" fontId="2" fillId="5" borderId="8" xfId="1" applyNumberFormat="1" applyFont="1" applyFill="1" applyBorder="1"/>
    <xf numFmtId="43" fontId="2" fillId="5" borderId="8" xfId="1" applyFont="1" applyFill="1" applyBorder="1"/>
    <xf numFmtId="177" fontId="2" fillId="5" borderId="8" xfId="1" applyNumberFormat="1" applyFont="1" applyFill="1" applyBorder="1"/>
    <xf numFmtId="166" fontId="10" fillId="18" borderId="4" xfId="0" applyNumberFormat="1" applyFont="1" applyFill="1" applyBorder="1"/>
    <xf numFmtId="166" fontId="10" fillId="18" borderId="4" xfId="1" applyNumberFormat="1" applyFont="1" applyFill="1" applyBorder="1"/>
    <xf numFmtId="166" fontId="10" fillId="18" borderId="4" xfId="0" applyNumberFormat="1" applyFont="1" applyFill="1" applyBorder="1" applyAlignment="1">
      <alignment vertical="center"/>
    </xf>
    <xf numFmtId="166" fontId="10" fillId="20" borderId="2" xfId="1" applyNumberFormat="1" applyFont="1" applyFill="1" applyBorder="1" applyAlignment="1">
      <alignment horizontal="center"/>
    </xf>
    <xf numFmtId="164" fontId="10" fillId="19" borderId="4" xfId="1" applyNumberFormat="1" applyFont="1" applyFill="1" applyBorder="1"/>
    <xf numFmtId="43" fontId="2" fillId="4" borderId="4" xfId="1" applyFont="1" applyFill="1" applyBorder="1"/>
    <xf numFmtId="166" fontId="10" fillId="6" borderId="4" xfId="1" applyNumberFormat="1" applyFont="1" applyFill="1" applyBorder="1"/>
    <xf numFmtId="168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9" fillId="0" borderId="168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/>
    </xf>
    <xf numFmtId="0" fontId="2" fillId="0" borderId="171" xfId="0" applyFont="1" applyBorder="1" applyAlignment="1">
      <alignment horizontal="center" vertical="center"/>
    </xf>
    <xf numFmtId="0" fontId="2" fillId="0" borderId="174" xfId="0" applyFont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0" fontId="10" fillId="0" borderId="175" xfId="0" applyFont="1" applyBorder="1" applyAlignment="1">
      <alignment horizontal="center" vertical="center"/>
    </xf>
    <xf numFmtId="0" fontId="10" fillId="0" borderId="176" xfId="0" applyFont="1" applyBorder="1" applyAlignment="1">
      <alignment horizontal="center" vertical="center"/>
    </xf>
    <xf numFmtId="0" fontId="9" fillId="0" borderId="180" xfId="0" applyFont="1" applyBorder="1" applyAlignment="1">
      <alignment vertical="center"/>
    </xf>
    <xf numFmtId="0" fontId="76" fillId="0" borderId="0" xfId="0" applyFont="1" applyAlignment="1">
      <alignment horizontal="center"/>
    </xf>
    <xf numFmtId="0" fontId="76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5" borderId="174" xfId="0" applyFont="1" applyFill="1" applyBorder="1" applyAlignment="1">
      <alignment horizontal="center" vertical="center"/>
    </xf>
    <xf numFmtId="0" fontId="9" fillId="0" borderId="163" xfId="0" applyFont="1" applyBorder="1" applyAlignment="1">
      <alignment vertical="center"/>
    </xf>
    <xf numFmtId="164" fontId="2" fillId="10" borderId="4" xfId="1" applyNumberFormat="1" applyFont="1" applyFill="1" applyBorder="1" applyAlignment="1">
      <alignment horizontal="center"/>
    </xf>
    <xf numFmtId="43" fontId="2" fillId="0" borderId="10" xfId="23" applyFont="1" applyFill="1" applyBorder="1"/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6" fontId="15" fillId="0" borderId="0" xfId="6" applyNumberFormat="1"/>
    <xf numFmtId="0" fontId="15" fillId="4" borderId="11" xfId="6" applyFill="1" applyBorder="1"/>
    <xf numFmtId="0" fontId="15" fillId="0" borderId="11" xfId="6" applyBorder="1"/>
    <xf numFmtId="180" fontId="15" fillId="0" borderId="11" xfId="6" applyNumberFormat="1" applyBorder="1"/>
    <xf numFmtId="180" fontId="15" fillId="21" borderId="11" xfId="6" applyNumberFormat="1" applyFill="1" applyBorder="1"/>
    <xf numFmtId="166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0" fontId="15" fillId="5" borderId="11" xfId="6" applyNumberFormat="1" applyFill="1" applyBorder="1"/>
    <xf numFmtId="197" fontId="15" fillId="0" borderId="0" xfId="6" applyNumberFormat="1"/>
    <xf numFmtId="180" fontId="15" fillId="0" borderId="0" xfId="6" applyNumberFormat="1"/>
    <xf numFmtId="166" fontId="1" fillId="0" borderId="11" xfId="17" applyNumberFormat="1" applyFill="1" applyBorder="1"/>
    <xf numFmtId="180" fontId="82" fillId="21" borderId="0" xfId="6" applyNumberFormat="1" applyFont="1" applyFill="1"/>
    <xf numFmtId="41" fontId="0" fillId="0" borderId="0" xfId="15" applyFont="1"/>
    <xf numFmtId="166" fontId="0" fillId="0" borderId="11" xfId="17" applyNumberFormat="1" applyFont="1" applyBorder="1"/>
    <xf numFmtId="0" fontId="15" fillId="0" borderId="11" xfId="6" applyBorder="1" applyAlignment="1">
      <alignment horizontal="center"/>
    </xf>
    <xf numFmtId="174" fontId="0" fillId="0" borderId="11" xfId="17" applyNumberFormat="1" applyFont="1" applyBorder="1"/>
    <xf numFmtId="180" fontId="82" fillId="5" borderId="0" xfId="6" applyNumberFormat="1" applyFont="1" applyFill="1"/>
    <xf numFmtId="166" fontId="21" fillId="0" borderId="0" xfId="17" applyNumberFormat="1" applyFont="1" applyFill="1" applyBorder="1"/>
    <xf numFmtId="0" fontId="19" fillId="0" borderId="0" xfId="6" applyFont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3" borderId="11" xfId="6" applyFill="1" applyBorder="1"/>
    <xf numFmtId="197" fontId="15" fillId="0" borderId="11" xfId="6" applyNumberFormat="1" applyBorder="1"/>
    <xf numFmtId="198" fontId="81" fillId="21" borderId="11" xfId="15" applyNumberFormat="1" applyFont="1" applyFill="1" applyBorder="1"/>
    <xf numFmtId="166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0" fontId="15" fillId="0" borderId="11" xfId="6" applyNumberFormat="1" applyBorder="1" applyAlignment="1">
      <alignment vertical="center"/>
    </xf>
    <xf numFmtId="197" fontId="15" fillId="0" borderId="11" xfId="6" applyNumberFormat="1" applyBorder="1" applyAlignment="1">
      <alignment vertical="center"/>
    </xf>
    <xf numFmtId="198" fontId="81" fillId="21" borderId="11" xfId="15" applyNumberFormat="1" applyFont="1" applyFill="1" applyBorder="1" applyAlignment="1">
      <alignment vertical="center"/>
    </xf>
    <xf numFmtId="166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6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180" fontId="15" fillId="21" borderId="16" xfId="6" applyNumberFormat="1" applyFill="1" applyBorder="1" applyAlignment="1">
      <alignment vertical="center"/>
    </xf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0" fontId="15" fillId="0" borderId="0" xfId="6" applyNumberFormat="1" applyAlignment="1">
      <alignment horizontal="center" vertical="center"/>
    </xf>
    <xf numFmtId="197" fontId="15" fillId="0" borderId="0" xfId="6" applyNumberFormat="1" applyAlignment="1">
      <alignment horizontal="center" vertical="center"/>
    </xf>
    <xf numFmtId="174" fontId="0" fillId="0" borderId="0" xfId="17" applyNumberFormat="1" applyFont="1" applyAlignment="1">
      <alignment horizontal="center" vertical="center"/>
    </xf>
    <xf numFmtId="166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7" fontId="15" fillId="0" borderId="0" xfId="6" applyNumberFormat="1"/>
    <xf numFmtId="0" fontId="15" fillId="4" borderId="11" xfId="6" applyFill="1" applyBorder="1" applyAlignment="1">
      <alignment horizontal="center" vertical="center"/>
    </xf>
    <xf numFmtId="167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6" fontId="83" fillId="0" borderId="0" xfId="17" applyNumberFormat="1" applyFont="1" applyAlignment="1">
      <alignment horizontal="right" vertical="center"/>
    </xf>
    <xf numFmtId="174" fontId="2" fillId="7" borderId="4" xfId="1" applyNumberFormat="1" applyFont="1" applyFill="1" applyBorder="1" applyAlignment="1">
      <alignment vertical="center"/>
    </xf>
    <xf numFmtId="167" fontId="3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6" fontId="15" fillId="0" borderId="11" xfId="6" applyNumberFormat="1" applyBorder="1"/>
    <xf numFmtId="0" fontId="0" fillId="4" borderId="11" xfId="6" applyFont="1" applyFill="1" applyBorder="1"/>
    <xf numFmtId="165" fontId="2" fillId="0" borderId="4" xfId="2" applyNumberFormat="1" applyFont="1" applyFill="1" applyBorder="1" applyAlignment="1">
      <alignment horizontal="right" vertical="center"/>
    </xf>
    <xf numFmtId="164" fontId="2" fillId="6" borderId="4" xfId="1" applyNumberFormat="1" applyFont="1" applyFill="1" applyBorder="1" applyAlignment="1">
      <alignment horizontal="right"/>
    </xf>
    <xf numFmtId="165" fontId="2" fillId="6" borderId="4" xfId="2" applyNumberFormat="1" applyFont="1" applyFill="1" applyBorder="1" applyAlignment="1">
      <alignment vertical="center"/>
    </xf>
    <xf numFmtId="41" fontId="2" fillId="6" borderId="4" xfId="2" applyFont="1" applyFill="1" applyBorder="1" applyAlignment="1">
      <alignment vertical="center"/>
    </xf>
    <xf numFmtId="166" fontId="0" fillId="0" borderId="0" xfId="17" applyNumberFormat="1" applyFont="1" applyBorder="1"/>
    <xf numFmtId="180" fontId="15" fillId="5" borderId="0" xfId="6" applyNumberFormat="1" applyFill="1"/>
    <xf numFmtId="0" fontId="0" fillId="0" borderId="11" xfId="6" applyFont="1" applyBorder="1"/>
    <xf numFmtId="185" fontId="0" fillId="0" borderId="59" xfId="0" applyNumberFormat="1" applyBorder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67" fontId="3" fillId="7" borderId="4" xfId="1" applyNumberFormat="1" applyFont="1" applyFill="1" applyBorder="1" applyAlignment="1">
      <alignment horizontal="center" vertical="center"/>
    </xf>
    <xf numFmtId="167" fontId="3" fillId="0" borderId="4" xfId="1" applyNumberFormat="1" applyFont="1" applyFill="1" applyBorder="1" applyAlignment="1">
      <alignment vertical="center"/>
    </xf>
    <xf numFmtId="167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1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68" fontId="3" fillId="7" borderId="2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6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4" xfId="0" applyFont="1" applyFill="1" applyBorder="1" applyAlignment="1">
      <alignment vertical="center"/>
    </xf>
    <xf numFmtId="0" fontId="2" fillId="4" borderId="155" xfId="0" applyFont="1" applyFill="1" applyBorder="1" applyAlignment="1">
      <alignment horizontal="center" vertical="center"/>
    </xf>
    <xf numFmtId="166" fontId="2" fillId="4" borderId="155" xfId="1" applyNumberFormat="1" applyFont="1" applyFill="1" applyBorder="1"/>
    <xf numFmtId="0" fontId="2" fillId="4" borderId="155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7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7" fontId="2" fillId="7" borderId="14" xfId="1" applyNumberFormat="1" applyFont="1" applyFill="1" applyBorder="1" applyAlignment="1">
      <alignment vertical="center"/>
    </xf>
    <xf numFmtId="166" fontId="2" fillId="7" borderId="14" xfId="1" applyNumberFormat="1" applyFont="1" applyFill="1" applyBorder="1" applyAlignment="1">
      <alignment vertical="center"/>
    </xf>
    <xf numFmtId="196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6" fontId="3" fillId="0" borderId="2" xfId="1" applyNumberFormat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164" fontId="2" fillId="7" borderId="2" xfId="1" applyNumberFormat="1" applyFont="1" applyFill="1" applyBorder="1" applyAlignment="1">
      <alignment vertical="center"/>
    </xf>
    <xf numFmtId="164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3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7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vertical="center"/>
    </xf>
    <xf numFmtId="164" fontId="2" fillId="4" borderId="4" xfId="0" applyNumberFormat="1" applyFont="1" applyFill="1" applyBorder="1"/>
    <xf numFmtId="180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6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6" fontId="19" fillId="0" borderId="11" xfId="17" applyNumberFormat="1" applyFont="1" applyFill="1" applyBorder="1"/>
    <xf numFmtId="166" fontId="1" fillId="0" borderId="11" xfId="6" applyNumberFormat="1" applyFont="1" applyBorder="1"/>
    <xf numFmtId="166" fontId="1" fillId="0" borderId="11" xfId="17" applyNumberFormat="1" applyFont="1" applyFill="1" applyBorder="1"/>
    <xf numFmtId="3" fontId="1" fillId="0" borderId="11" xfId="6" applyNumberFormat="1" applyFont="1" applyBorder="1"/>
    <xf numFmtId="174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6" fontId="15" fillId="26" borderId="11" xfId="6" applyNumberFormat="1" applyFill="1" applyBorder="1"/>
    <xf numFmtId="166" fontId="15" fillId="4" borderId="11" xfId="6" applyNumberFormat="1" applyFill="1" applyBorder="1"/>
    <xf numFmtId="0" fontId="15" fillId="6" borderId="11" xfId="6" applyFill="1" applyBorder="1"/>
    <xf numFmtId="166" fontId="15" fillId="6" borderId="11" xfId="6" applyNumberFormat="1" applyFill="1" applyBorder="1"/>
    <xf numFmtId="0" fontId="1" fillId="6" borderId="11" xfId="6" applyFont="1" applyFill="1" applyBorder="1"/>
    <xf numFmtId="166" fontId="19" fillId="6" borderId="11" xfId="17" applyNumberFormat="1" applyFont="1" applyFill="1" applyBorder="1"/>
    <xf numFmtId="166" fontId="1" fillId="6" borderId="11" xfId="6" applyNumberFormat="1" applyFont="1" applyFill="1" applyBorder="1"/>
    <xf numFmtId="0" fontId="1" fillId="4" borderId="11" xfId="6" applyFont="1" applyFill="1" applyBorder="1"/>
    <xf numFmtId="166" fontId="19" fillId="4" borderId="11" xfId="17" applyNumberFormat="1" applyFont="1" applyFill="1" applyBorder="1"/>
    <xf numFmtId="166" fontId="1" fillId="4" borderId="11" xfId="6" applyNumberFormat="1" applyFont="1" applyFill="1" applyBorder="1"/>
    <xf numFmtId="166" fontId="1" fillId="4" borderId="11" xfId="17" applyNumberFormat="1" applyFont="1" applyFill="1" applyBorder="1"/>
    <xf numFmtId="3" fontId="1" fillId="4" borderId="11" xfId="6" applyNumberFormat="1" applyFont="1" applyFill="1" applyBorder="1"/>
    <xf numFmtId="166" fontId="2" fillId="8" borderId="4" xfId="1" applyNumberFormat="1" applyFont="1" applyFill="1" applyBorder="1" applyAlignment="1">
      <alignment horizontal="left"/>
    </xf>
    <xf numFmtId="166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8" fontId="3" fillId="7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/>
    <xf numFmtId="164" fontId="3" fillId="0" borderId="4" xfId="1" applyNumberFormat="1" applyFont="1" applyFill="1" applyBorder="1"/>
    <xf numFmtId="43" fontId="2" fillId="5" borderId="3" xfId="55" applyFont="1" applyFill="1" applyBorder="1"/>
    <xf numFmtId="43" fontId="2" fillId="5" borderId="3" xfId="54" applyFont="1" applyFill="1" applyBorder="1"/>
    <xf numFmtId="43" fontId="2" fillId="5" borderId="3" xfId="55" applyFont="1" applyFill="1" applyBorder="1" applyAlignment="1">
      <alignment vertical="center"/>
    </xf>
    <xf numFmtId="166" fontId="3" fillId="5" borderId="3" xfId="0" applyNumberFormat="1" applyFont="1" applyFill="1" applyBorder="1"/>
    <xf numFmtId="43" fontId="2" fillId="0" borderId="3" xfId="0" applyNumberFormat="1" applyFont="1" applyBorder="1"/>
    <xf numFmtId="43" fontId="2" fillId="5" borderId="3" xfId="54" applyFont="1" applyFill="1" applyBorder="1" applyAlignment="1">
      <alignment vertical="center"/>
    </xf>
    <xf numFmtId="166" fontId="2" fillId="0" borderId="3" xfId="48" applyNumberFormat="1" applyFont="1" applyBorder="1"/>
    <xf numFmtId="43" fontId="10" fillId="0" borderId="56" xfId="31" applyFont="1" applyFill="1" applyBorder="1"/>
    <xf numFmtId="172" fontId="2" fillId="0" borderId="3" xfId="30" applyNumberFormat="1" applyFont="1" applyBorder="1"/>
    <xf numFmtId="43" fontId="2" fillId="0" borderId="56" xfId="30" applyFont="1" applyFill="1" applyBorder="1"/>
    <xf numFmtId="43" fontId="16" fillId="0" borderId="5" xfId="58" applyFont="1" applyFill="1" applyBorder="1"/>
    <xf numFmtId="43" fontId="2" fillId="0" borderId="56" xfId="56" applyFont="1" applyFill="1" applyBorder="1"/>
    <xf numFmtId="3" fontId="2" fillId="5" borderId="3" xfId="0" applyNumberFormat="1" applyFont="1" applyFill="1" applyBorder="1"/>
    <xf numFmtId="166" fontId="2" fillId="0" borderId="3" xfId="71" applyNumberFormat="1" applyFont="1" applyBorder="1"/>
    <xf numFmtId="166" fontId="2" fillId="0" borderId="3" xfId="49" applyNumberFormat="1" applyFont="1" applyBorder="1"/>
    <xf numFmtId="2" fontId="2" fillId="6" borderId="8" xfId="0" applyNumberFormat="1" applyFont="1" applyFill="1" applyBorder="1" applyAlignment="1">
      <alignment horizontal="center"/>
    </xf>
    <xf numFmtId="167" fontId="2" fillId="0" borderId="3" xfId="1" applyNumberFormat="1" applyFont="1" applyBorder="1"/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78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4" fontId="2" fillId="4" borderId="12" xfId="0" applyNumberFormat="1" applyFont="1" applyFill="1" applyBorder="1"/>
    <xf numFmtId="166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3" xfId="0" applyBorder="1"/>
    <xf numFmtId="0" fontId="3" fillId="4" borderId="155" xfId="0" applyFont="1" applyFill="1" applyBorder="1" applyAlignment="1">
      <alignment horizontal="center" vertical="center"/>
    </xf>
    <xf numFmtId="0" fontId="3" fillId="4" borderId="155" xfId="0" applyFont="1" applyFill="1" applyBorder="1" applyAlignment="1">
      <alignment horizontal="center"/>
    </xf>
    <xf numFmtId="0" fontId="3" fillId="4" borderId="156" xfId="0" applyFont="1" applyFill="1" applyBorder="1" applyAlignment="1">
      <alignment horizontal="center"/>
    </xf>
    <xf numFmtId="0" fontId="2" fillId="29" borderId="8" xfId="0" applyFont="1" applyFill="1" applyBorder="1"/>
    <xf numFmtId="164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4" fontId="2" fillId="29" borderId="4" xfId="1" applyNumberFormat="1" applyFont="1" applyFill="1" applyBorder="1" applyAlignment="1">
      <alignment horizontal="center"/>
    </xf>
    <xf numFmtId="166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6" fontId="3" fillId="4" borderId="184" xfId="1" applyNumberFormat="1" applyFont="1" applyFill="1" applyBorder="1"/>
    <xf numFmtId="0" fontId="3" fillId="4" borderId="154" xfId="0" quotePrefix="1" applyFont="1" applyFill="1" applyBorder="1"/>
    <xf numFmtId="166" fontId="3" fillId="4" borderId="156" xfId="1" applyNumberFormat="1" applyFont="1" applyFill="1" applyBorder="1"/>
    <xf numFmtId="166" fontId="2" fillId="7" borderId="4" xfId="1" applyNumberFormat="1" applyFont="1" applyFill="1" applyBorder="1" applyAlignment="1">
      <alignment horizontal="left" wrapText="1"/>
    </xf>
    <xf numFmtId="166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199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4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79" fontId="2" fillId="8" borderId="4" xfId="1" applyNumberFormat="1" applyFont="1" applyFill="1" applyBorder="1" applyAlignment="1">
      <alignment horizontal="right"/>
    </xf>
    <xf numFmtId="168" fontId="3" fillId="0" borderId="4" xfId="1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vertical="center"/>
    </xf>
    <xf numFmtId="197" fontId="0" fillId="0" borderId="0" xfId="0" applyNumberFormat="1"/>
    <xf numFmtId="197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0" fontId="10" fillId="4" borderId="6" xfId="1" quotePrefix="1" applyNumberFormat="1" applyFont="1" applyFill="1" applyBorder="1" applyAlignment="1">
      <alignment horizontal="right"/>
    </xf>
    <xf numFmtId="171" fontId="2" fillId="7" borderId="4" xfId="1" applyNumberFormat="1" applyFont="1" applyFill="1" applyBorder="1" applyAlignment="1">
      <alignment horizontal="right"/>
    </xf>
    <xf numFmtId="0" fontId="3" fillId="4" borderId="154" xfId="0" applyFont="1" applyFill="1" applyBorder="1"/>
    <xf numFmtId="164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4" xfId="0" quotePrefix="1" applyFont="1" applyFill="1" applyBorder="1"/>
    <xf numFmtId="166" fontId="2" fillId="8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 vertical="center"/>
    </xf>
    <xf numFmtId="166" fontId="2" fillId="5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right" vertical="center"/>
    </xf>
    <xf numFmtId="166" fontId="2" fillId="7" borderId="4" xfId="1" applyNumberFormat="1" applyFont="1" applyFill="1" applyBorder="1" applyAlignment="1">
      <alignment horizontal="center" vertical="center"/>
    </xf>
    <xf numFmtId="164" fontId="2" fillId="29" borderId="4" xfId="1" applyNumberFormat="1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>
      <alignment horizontal="center" vertical="center"/>
    </xf>
    <xf numFmtId="166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4" fontId="2" fillId="5" borderId="12" xfId="0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horizontal="right"/>
    </xf>
    <xf numFmtId="174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6" fontId="3" fillId="4" borderId="155" xfId="1" applyNumberFormat="1" applyFont="1" applyFill="1" applyBorder="1" applyAlignment="1">
      <alignment horizontal="center"/>
    </xf>
    <xf numFmtId="0" fontId="0" fillId="0" borderId="187" xfId="0" applyBorder="1"/>
    <xf numFmtId="0" fontId="0" fillId="0" borderId="84" xfId="0" applyBorder="1"/>
    <xf numFmtId="164" fontId="0" fillId="0" borderId="84" xfId="0" applyNumberFormat="1" applyBorder="1"/>
    <xf numFmtId="0" fontId="0" fillId="0" borderId="188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4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89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center" vertical="center"/>
    </xf>
    <xf numFmtId="0" fontId="1" fillId="0" borderId="59" xfId="6" applyFont="1" applyBorder="1"/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7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90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1" xfId="0" applyFont="1" applyBorder="1"/>
    <xf numFmtId="167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6" fontId="2" fillId="4" borderId="155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7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7" fontId="9" fillId="0" borderId="4" xfId="1" applyNumberFormat="1" applyFont="1" applyFill="1" applyBorder="1" applyAlignment="1">
      <alignment vertical="center"/>
    </xf>
    <xf numFmtId="167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3" xfId="0" applyNumberFormat="1" applyFont="1" applyBorder="1" applyAlignment="1">
      <alignment horizontal="center"/>
    </xf>
    <xf numFmtId="0" fontId="0" fillId="0" borderId="192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0" fontId="2" fillId="0" borderId="0" xfId="0" applyNumberFormat="1" applyFont="1"/>
    <xf numFmtId="200" fontId="0" fillId="0" borderId="0" xfId="0" applyNumberFormat="1"/>
    <xf numFmtId="201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7" fontId="10" fillId="7" borderId="4" xfId="1" applyNumberFormat="1" applyFont="1" applyFill="1" applyBorder="1" applyAlignment="1">
      <alignment vertical="center"/>
    </xf>
    <xf numFmtId="0" fontId="15" fillId="6" borderId="11" xfId="6" applyFill="1" applyBorder="1" applyAlignment="1">
      <alignment vertical="center"/>
    </xf>
    <xf numFmtId="0" fontId="15" fillId="4" borderId="11" xfId="6" applyFill="1" applyBorder="1" applyAlignment="1">
      <alignment vertical="center"/>
    </xf>
    <xf numFmtId="0" fontId="15" fillId="26" borderId="11" xfId="6" applyFill="1" applyBorder="1" applyAlignment="1">
      <alignment vertical="center"/>
    </xf>
    <xf numFmtId="166" fontId="1" fillId="0" borderId="11" xfId="17" applyNumberFormat="1" applyFont="1" applyFill="1" applyBorder="1" applyAlignment="1">
      <alignment vertical="center"/>
    </xf>
    <xf numFmtId="166" fontId="1" fillId="0" borderId="11" xfId="17" applyNumberFormat="1" applyFont="1" applyFill="1" applyBorder="1" applyAlignment="1">
      <alignment horizontal="center" vertical="center"/>
    </xf>
    <xf numFmtId="166" fontId="1" fillId="6" borderId="11" xfId="6" applyNumberFormat="1" applyFont="1" applyFill="1" applyBorder="1" applyAlignment="1">
      <alignment horizontal="center" vertical="center"/>
    </xf>
    <xf numFmtId="166" fontId="15" fillId="0" borderId="11" xfId="6" applyNumberFormat="1" applyBorder="1" applyAlignment="1">
      <alignment horizontal="center" vertical="center"/>
    </xf>
    <xf numFmtId="0" fontId="15" fillId="0" borderId="11" xfId="6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6" fontId="2" fillId="0" borderId="2" xfId="1" applyNumberFormat="1" applyFont="1" applyBorder="1" applyAlignment="1">
      <alignment vertical="center"/>
    </xf>
    <xf numFmtId="0" fontId="2" fillId="0" borderId="58" xfId="0" applyFont="1" applyBorder="1"/>
    <xf numFmtId="166" fontId="3" fillId="0" borderId="7" xfId="1" applyNumberFormat="1" applyFont="1" applyBorder="1"/>
    <xf numFmtId="0" fontId="1" fillId="0" borderId="11" xfId="6" applyFont="1" applyBorder="1" applyAlignment="1">
      <alignment horizontal="center" vertical="center"/>
    </xf>
    <xf numFmtId="0" fontId="1" fillId="6" borderId="11" xfId="6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66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6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0" fontId="2" fillId="0" borderId="3" xfId="1" applyNumberFormat="1" applyFont="1" applyBorder="1"/>
    <xf numFmtId="166" fontId="1" fillId="6" borderId="11" xfId="73" applyNumberFormat="1" applyFill="1" applyBorder="1"/>
    <xf numFmtId="180" fontId="1" fillId="21" borderId="11" xfId="73" applyNumberFormat="1" applyFill="1" applyBorder="1"/>
    <xf numFmtId="180" fontId="1" fillId="21" borderId="16" xfId="73" applyNumberFormat="1" applyFill="1" applyBorder="1"/>
    <xf numFmtId="166" fontId="1" fillId="0" borderId="11" xfId="73" applyNumberFormat="1" applyBorder="1"/>
    <xf numFmtId="0" fontId="1" fillId="6" borderId="11" xfId="73" applyFill="1" applyBorder="1"/>
    <xf numFmtId="166" fontId="1" fillId="4" borderId="11" xfId="73" applyNumberFormat="1" applyFill="1" applyBorder="1"/>
    <xf numFmtId="166" fontId="1" fillId="26" borderId="11" xfId="73" applyNumberFormat="1" applyFill="1" applyBorder="1"/>
    <xf numFmtId="0" fontId="1" fillId="0" borderId="11" xfId="73" applyBorder="1"/>
    <xf numFmtId="0" fontId="1" fillId="26" borderId="11" xfId="73" applyFill="1" applyBorder="1"/>
    <xf numFmtId="166" fontId="1" fillId="0" borderId="11" xfId="17" applyNumberFormat="1" applyFont="1" applyFill="1" applyBorder="1" applyAlignment="1"/>
    <xf numFmtId="166" fontId="15" fillId="0" borderId="11" xfId="6" applyNumberFormat="1" applyBorder="1" applyAlignment="1">
      <alignment horizontal="center"/>
    </xf>
    <xf numFmtId="41" fontId="2" fillId="6" borderId="4" xfId="2" applyFont="1" applyFill="1" applyBorder="1" applyAlignment="1">
      <alignment horizontal="center" vertical="center"/>
    </xf>
    <xf numFmtId="164" fontId="2" fillId="7" borderId="10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horizontal="center" vertical="center"/>
    </xf>
    <xf numFmtId="165" fontId="2" fillId="0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6" fontId="2" fillId="4" borderId="6" xfId="95" applyNumberFormat="1" applyFont="1" applyFill="1" applyBorder="1" applyAlignment="1">
      <alignment vertical="center"/>
    </xf>
    <xf numFmtId="43" fontId="3" fillId="7" borderId="4" xfId="95" applyFont="1" applyFill="1" applyBorder="1" applyAlignment="1">
      <alignment vertical="center"/>
    </xf>
    <xf numFmtId="43" fontId="2" fillId="7" borderId="4" xfId="95" applyFont="1" applyFill="1" applyBorder="1" applyAlignment="1">
      <alignment vertical="center"/>
    </xf>
    <xf numFmtId="166" fontId="2" fillId="6" borderId="4" xfId="95" applyNumberFormat="1" applyFont="1" applyFill="1" applyBorder="1" applyAlignment="1">
      <alignment vertical="center"/>
    </xf>
    <xf numFmtId="166" fontId="2" fillId="6" borderId="2" xfId="95" applyNumberFormat="1" applyFont="1" applyFill="1" applyBorder="1" applyAlignment="1">
      <alignment vertical="center"/>
    </xf>
    <xf numFmtId="166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166" fontId="2" fillId="7" borderId="4" xfId="95" applyNumberFormat="1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6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6" fontId="3" fillId="0" borderId="4" xfId="95" applyNumberFormat="1" applyFont="1" applyFill="1" applyBorder="1" applyAlignment="1">
      <alignment vertical="center"/>
    </xf>
    <xf numFmtId="165" fontId="2" fillId="5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5" fontId="3" fillId="6" borderId="11" xfId="124" applyNumberFormat="1" applyFont="1" applyFill="1" applyBorder="1" applyAlignment="1">
      <alignment vertical="center"/>
    </xf>
    <xf numFmtId="168" fontId="2" fillId="7" borderId="4" xfId="95" applyNumberFormat="1" applyFont="1" applyFill="1" applyBorder="1" applyAlignment="1">
      <alignment horizontal="center" vertical="center"/>
    </xf>
    <xf numFmtId="168" fontId="2" fillId="0" borderId="4" xfId="95" applyNumberFormat="1" applyFont="1" applyFill="1" applyBorder="1" applyAlignment="1">
      <alignment vertical="center"/>
    </xf>
    <xf numFmtId="168" fontId="3" fillId="4" borderId="4" xfId="95" applyNumberFormat="1" applyFont="1" applyFill="1" applyBorder="1" applyAlignment="1">
      <alignment vertical="center"/>
    </xf>
    <xf numFmtId="166" fontId="2" fillId="0" borderId="4" xfId="95" applyNumberFormat="1" applyFont="1" applyBorder="1" applyAlignment="1">
      <alignment vertical="center"/>
    </xf>
    <xf numFmtId="166" fontId="2" fillId="5" borderId="4" xfId="95" applyNumberFormat="1" applyFont="1" applyFill="1" applyBorder="1" applyAlignment="1">
      <alignment vertical="center"/>
    </xf>
    <xf numFmtId="167" fontId="2" fillId="7" borderId="4" xfId="95" applyNumberFormat="1" applyFont="1" applyFill="1" applyBorder="1" applyAlignment="1">
      <alignment vertical="center"/>
    </xf>
    <xf numFmtId="174" fontId="2" fillId="7" borderId="4" xfId="95" applyNumberFormat="1" applyFont="1" applyFill="1" applyBorder="1" applyAlignment="1">
      <alignment vertical="center"/>
    </xf>
    <xf numFmtId="41" fontId="2" fillId="6" borderId="4" xfId="124" applyFont="1" applyFill="1" applyBorder="1" applyAlignment="1">
      <alignment vertical="center"/>
    </xf>
    <xf numFmtId="168" fontId="3" fillId="7" borderId="4" xfId="95" applyNumberFormat="1" applyFont="1" applyFill="1" applyBorder="1" applyAlignment="1">
      <alignment vertical="center"/>
    </xf>
    <xf numFmtId="178" fontId="2" fillId="0" borderId="4" xfId="95" applyNumberFormat="1" applyFont="1" applyFill="1" applyBorder="1" applyAlignment="1">
      <alignment vertical="center"/>
    </xf>
    <xf numFmtId="166" fontId="2" fillId="0" borderId="2" xfId="95" applyNumberFormat="1" applyFont="1" applyBorder="1" applyAlignment="1">
      <alignment vertical="center"/>
    </xf>
    <xf numFmtId="3" fontId="2" fillId="0" borderId="0" xfId="0" applyNumberFormat="1" applyFont="1"/>
    <xf numFmtId="174" fontId="2" fillId="0" borderId="3" xfId="1" applyNumberFormat="1" applyFont="1" applyBorder="1"/>
    <xf numFmtId="174" fontId="2" fillId="5" borderId="3" xfId="1" applyNumberFormat="1" applyFont="1" applyFill="1" applyBorder="1"/>
    <xf numFmtId="166" fontId="15" fillId="4" borderId="0" xfId="6" applyNumberFormat="1" applyFill="1"/>
    <xf numFmtId="0" fontId="11" fillId="0" borderId="0" xfId="0" applyFont="1" applyAlignment="1">
      <alignment vertical="center"/>
    </xf>
    <xf numFmtId="0" fontId="53" fillId="2" borderId="50" xfId="0" applyFont="1" applyFill="1" applyBorder="1" applyAlignment="1">
      <alignment vertical="center"/>
    </xf>
    <xf numFmtId="166" fontId="14" fillId="6" borderId="4" xfId="1" applyNumberFormat="1" applyFont="1" applyFill="1" applyBorder="1" applyAlignment="1">
      <alignment vertical="center"/>
    </xf>
    <xf numFmtId="166" fontId="10" fillId="0" borderId="24" xfId="5" applyNumberFormat="1" applyFont="1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 wrapText="1"/>
    </xf>
    <xf numFmtId="43" fontId="2" fillId="8" borderId="4" xfId="0" applyNumberFormat="1" applyFont="1" applyFill="1" applyBorder="1" applyAlignment="1">
      <alignment horizontal="center"/>
    </xf>
    <xf numFmtId="166" fontId="3" fillId="0" borderId="4" xfId="0" quotePrefix="1" applyNumberFormat="1" applyFont="1" applyBorder="1" applyAlignment="1">
      <alignment horizontal="center"/>
    </xf>
    <xf numFmtId="3" fontId="2" fillId="17" borderId="4" xfId="16" quotePrefix="1" applyNumberFormat="1" applyFont="1" applyFill="1" applyBorder="1" applyAlignment="1">
      <alignment horizontal="center" vertical="center"/>
    </xf>
    <xf numFmtId="43" fontId="1" fillId="0" borderId="0" xfId="16" applyNumberFormat="1"/>
    <xf numFmtId="43" fontId="2" fillId="0" borderId="170" xfId="1" applyFont="1" applyFill="1" applyBorder="1" applyAlignment="1">
      <alignment vertical="center"/>
    </xf>
    <xf numFmtId="10" fontId="2" fillId="0" borderId="148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43" fontId="2" fillId="0" borderId="172" xfId="1" applyFont="1" applyFill="1" applyBorder="1" applyAlignment="1">
      <alignment vertical="center"/>
    </xf>
    <xf numFmtId="10" fontId="2" fillId="0" borderId="173" xfId="1" applyNumberFormat="1" applyFont="1" applyFill="1" applyBorder="1" applyAlignment="1">
      <alignment vertical="center"/>
    </xf>
    <xf numFmtId="43" fontId="2" fillId="5" borderId="172" xfId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3" fontId="2" fillId="0" borderId="181" xfId="1" applyFont="1" applyFill="1" applyBorder="1" applyAlignment="1">
      <alignment vertical="center"/>
    </xf>
    <xf numFmtId="43" fontId="2" fillId="0" borderId="182" xfId="1" applyFont="1" applyFill="1" applyBorder="1" applyAlignment="1">
      <alignment vertical="center"/>
    </xf>
    <xf numFmtId="43" fontId="2" fillId="0" borderId="177" xfId="1" applyFont="1" applyFill="1" applyBorder="1" applyAlignment="1">
      <alignment vertical="center"/>
    </xf>
    <xf numFmtId="43" fontId="2" fillId="0" borderId="178" xfId="1" applyFont="1" applyFill="1" applyBorder="1" applyAlignment="1">
      <alignment vertical="center"/>
    </xf>
    <xf numFmtId="166" fontId="9" fillId="0" borderId="167" xfId="1" applyNumberFormat="1" applyFont="1" applyFill="1" applyBorder="1" applyAlignment="1">
      <alignment vertical="center"/>
    </xf>
    <xf numFmtId="43" fontId="3" fillId="0" borderId="167" xfId="1" applyFont="1" applyFill="1" applyBorder="1" applyAlignment="1">
      <alignment vertical="center"/>
    </xf>
    <xf numFmtId="43" fontId="3" fillId="0" borderId="163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69" fillId="0" borderId="0" xfId="1" applyFont="1" applyFill="1" applyAlignment="1">
      <alignment vertical="center"/>
    </xf>
    <xf numFmtId="166" fontId="76" fillId="0" borderId="0" xfId="1" applyNumberFormat="1" applyFont="1" applyFill="1"/>
    <xf numFmtId="174" fontId="2" fillId="0" borderId="0" xfId="1" applyNumberFormat="1" applyFont="1" applyAlignment="1">
      <alignment vertical="center"/>
    </xf>
    <xf numFmtId="166" fontId="2" fillId="5" borderId="108" xfId="1" applyNumberFormat="1" applyFont="1" applyFill="1" applyBorder="1" applyAlignment="1">
      <alignment vertical="center"/>
    </xf>
    <xf numFmtId="166" fontId="2" fillId="5" borderId="62" xfId="1" applyNumberFormat="1" applyFont="1" applyFill="1" applyBorder="1" applyAlignment="1">
      <alignment vertical="center"/>
    </xf>
    <xf numFmtId="43" fontId="2" fillId="0" borderId="173" xfId="1" applyFont="1" applyFill="1" applyBorder="1" applyAlignment="1">
      <alignment vertical="center"/>
    </xf>
    <xf numFmtId="166" fontId="9" fillId="0" borderId="179" xfId="1" applyNumberFormat="1" applyFont="1" applyFill="1" applyBorder="1" applyAlignment="1">
      <alignment vertical="center"/>
    </xf>
    <xf numFmtId="3" fontId="2" fillId="5" borderId="4" xfId="16" quotePrefix="1" applyNumberFormat="1" applyFont="1" applyFill="1" applyBorder="1" applyAlignment="1">
      <alignment horizontal="center" vertical="center"/>
    </xf>
    <xf numFmtId="166" fontId="9" fillId="6" borderId="153" xfId="5" applyNumberFormat="1" applyFont="1" applyFill="1" applyBorder="1" applyAlignment="1">
      <alignment horizontal="center" vertical="center"/>
    </xf>
    <xf numFmtId="40" fontId="76" fillId="5" borderId="43" xfId="16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3" fillId="2" borderId="16" xfId="0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6" fontId="15" fillId="0" borderId="16" xfId="6" applyNumberFormat="1" applyBorder="1" applyAlignment="1">
      <alignment horizontal="center"/>
    </xf>
    <xf numFmtId="0" fontId="15" fillId="0" borderId="0" xfId="6" applyAlignment="1">
      <alignment horizontal="center"/>
    </xf>
    <xf numFmtId="0" fontId="43" fillId="27" borderId="16" xfId="6" applyFont="1" applyFill="1" applyBorder="1" applyAlignment="1">
      <alignment horizontal="center"/>
    </xf>
    <xf numFmtId="0" fontId="43" fillId="27" borderId="50" xfId="6" applyFont="1" applyFill="1" applyBorder="1" applyAlignment="1">
      <alignment horizontal="center"/>
    </xf>
    <xf numFmtId="0" fontId="43" fillId="27" borderId="21" xfId="6" applyFont="1" applyFill="1" applyBorder="1" applyAlignment="1">
      <alignment horizontal="center"/>
    </xf>
    <xf numFmtId="0" fontId="43" fillId="28" borderId="16" xfId="6" applyFont="1" applyFill="1" applyBorder="1" applyAlignment="1">
      <alignment horizontal="center"/>
    </xf>
    <xf numFmtId="0" fontId="43" fillId="28" borderId="50" xfId="6" applyFont="1" applyFill="1" applyBorder="1" applyAlignment="1">
      <alignment horizontal="center"/>
    </xf>
    <xf numFmtId="167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2" fillId="0" borderId="0" xfId="0" applyFont="1" applyAlignment="1">
      <alignment horizontal="left"/>
    </xf>
    <xf numFmtId="0" fontId="9" fillId="0" borderId="0" xfId="16" applyFont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5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7" fillId="0" borderId="147" xfId="0" applyFont="1" applyBorder="1" applyAlignment="1">
      <alignment horizontal="center"/>
    </xf>
    <xf numFmtId="0" fontId="87" fillId="0" borderId="175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6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6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117" xfId="16" applyFont="1" applyBorder="1" applyAlignment="1">
      <alignment horizontal="left" vertical="center" wrapText="1"/>
    </xf>
    <xf numFmtId="40" fontId="23" fillId="0" borderId="100" xfId="16" applyNumberFormat="1" applyFont="1" applyBorder="1" applyAlignment="1">
      <alignment horizontal="left" vertical="center"/>
    </xf>
    <xf numFmtId="40" fontId="23" fillId="0" borderId="117" xfId="16" applyNumberFormat="1" applyFont="1" applyBorder="1" applyAlignment="1">
      <alignment horizontal="left" vertical="center"/>
    </xf>
    <xf numFmtId="0" fontId="77" fillId="0" borderId="0" xfId="16" quotePrefix="1" applyFont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7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88" fontId="49" fillId="9" borderId="19" xfId="0" applyNumberFormat="1" applyFont="1" applyFill="1" applyBorder="1" applyAlignment="1">
      <alignment horizontal="center" vertical="center" wrapText="1"/>
    </xf>
    <xf numFmtId="188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85" xfId="0" applyNumberFormat="1" applyFont="1" applyFill="1" applyBorder="1" applyAlignment="1">
      <alignment horizontal="center" vertical="center" wrapText="1"/>
    </xf>
    <xf numFmtId="188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88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center"/>
    </xf>
    <xf numFmtId="10" fontId="0" fillId="0" borderId="11" xfId="0" applyNumberFormat="1" applyBorder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  <xf numFmtId="0" fontId="9" fillId="0" borderId="0" xfId="16" applyFont="1"/>
  </cellXfs>
  <cellStyles count="163">
    <cellStyle name="Comma" xfId="1" builtinId="3"/>
    <cellStyle name="Comma [0]" xfId="2" builtinId="6"/>
    <cellStyle name="Comma [0] 2" xfId="18" xr:uid="{325EA78D-2DDD-4F27-8B46-B0F3C559863F}"/>
    <cellStyle name="Comma [0] 2 2" xfId="15" xr:uid="{C9B81FE9-6A9A-4DDD-8A00-157CD5DDC22E}"/>
    <cellStyle name="Comma [0] 2 2 2" xfId="35" xr:uid="{24B74CA3-616A-480D-A6FF-4400E113CAF9}"/>
    <cellStyle name="Comma [0] 2 2 2 2" xfId="114" xr:uid="{1A30C232-B0AC-44FA-8167-96E4D1D4527E}"/>
    <cellStyle name="Comma [0] 2 2 3" xfId="97" xr:uid="{BB137A42-3991-4EA9-9FBE-CBC0F40E7BB9}"/>
    <cellStyle name="Comma [0] 2 3" xfId="39" xr:uid="{797D288C-C5C7-4F24-BFDB-2C1780659DB5}"/>
    <cellStyle name="Comma [0] 2 3 2" xfId="118" xr:uid="{D6EAD35C-E6D1-4371-8694-D0BEAF696EE0}"/>
    <cellStyle name="Comma [0] 2 4" xfId="89" xr:uid="{2752D895-9A99-4F1A-9AAC-C8B7DCBFCBC0}"/>
    <cellStyle name="Comma [0] 2 4 2" xfId="160" xr:uid="{246AD37A-85F8-4413-8199-10F532C15171}"/>
    <cellStyle name="Comma [0] 2 5" xfId="99" xr:uid="{524A435A-E4A0-4512-A210-CB477A4033CE}"/>
    <cellStyle name="Comma [0] 3" xfId="27" xr:uid="{D1D915A8-AD67-4C83-B00D-6F1F8CAC39C2}"/>
    <cellStyle name="Comma [0] 3 2" xfId="106" xr:uid="{7F8AE49C-74D1-47F6-A227-04C8FEA4532C}"/>
    <cellStyle name="Comma [0] 7 6" xfId="4" xr:uid="{ECFD3BC1-7400-4267-8DA1-28CB919DA43E}"/>
    <cellStyle name="Comma [0] 7 6 2" xfId="20" xr:uid="{E8FDAA44-597E-491B-A8BD-F123401E61A6}"/>
    <cellStyle name="Comma [0] 7 6 2 2" xfId="41" xr:uid="{6974B004-4BE9-4587-A04C-A0731384CD7B}"/>
    <cellStyle name="Comma [0] 7 6 2 2 2" xfId="81" xr:uid="{564E505A-1940-4545-A4D5-874270F5CDFB}"/>
    <cellStyle name="Comma [0] 7 6 2 2 2 2" xfId="155" xr:uid="{FC72C397-75A5-4225-A8E4-DC5BAE08CF28}"/>
    <cellStyle name="Comma [0] 7 6 2 2 3" xfId="120" xr:uid="{41A94981-CDA5-44FE-9760-1ED4B5FE8F1E}"/>
    <cellStyle name="Comma [0] 7 6 2 3" xfId="86" xr:uid="{E9824DFF-9C1D-4B7E-A469-864326F4B36F}"/>
    <cellStyle name="Comma [0] 7 6 2 3 2" xfId="158" xr:uid="{08FC29F5-E98A-4F45-9949-4F87C15374FF}"/>
    <cellStyle name="Comma [0] 7 6 2 4" xfId="76" xr:uid="{76202EC3-B6A1-4F29-8DC9-C5022B13BC19}"/>
    <cellStyle name="Comma [0] 7 6 2 4 2" xfId="152" xr:uid="{8E44D8DB-A981-4171-9543-1CC2C9096021}"/>
    <cellStyle name="Comma [0] 7 6 2 5" xfId="91" xr:uid="{5F5553B6-EC2E-4291-83C9-6FDB17EA1339}"/>
    <cellStyle name="Comma [0] 7 6 2 5 2" xfId="162" xr:uid="{4B72C860-DF1D-42D8-81A7-CC71F2E6DE73}"/>
    <cellStyle name="Comma [0] 7 6 2 6" xfId="101" xr:uid="{7C78E31A-E4AC-4B14-B473-4589E95F9554}"/>
    <cellStyle name="Comma [0] 7 6 3" xfId="29" xr:uid="{04ACA5F1-DD3F-418D-BD60-6181D4261DF5}"/>
    <cellStyle name="Comma [0] 7 6 3 2" xfId="108" xr:uid="{5246501A-2EF5-4E99-89AD-ADEFB6CCC12B}"/>
    <cellStyle name="Comma [0] 7 6 4" xfId="94" xr:uid="{821B1593-77E7-4AA7-AE61-64CC18978BDE}"/>
    <cellStyle name="Comma 10" xfId="14" xr:uid="{D19F8384-4AD9-4057-9DEE-0CB81B34BF07}"/>
    <cellStyle name="Comma 10 2" xfId="34" xr:uid="{8EAE8B3D-977F-46B7-90AB-A47603A9F3CD}"/>
    <cellStyle name="Comma 10 2 2" xfId="113" xr:uid="{16EB171E-30B1-46F1-8966-7854F9D1CD0C}"/>
    <cellStyle name="Comma 10 3" xfId="96" xr:uid="{A98A90D7-BC1B-4827-AB69-581A852A7E21}"/>
    <cellStyle name="Comma 11" xfId="33" xr:uid="{A18E9DF8-0166-49A6-A49F-508A00938552}"/>
    <cellStyle name="Comma 11 2" xfId="112" xr:uid="{C2736D6C-1AFF-4044-8946-FAFBECEDE478}"/>
    <cellStyle name="Comma 12" xfId="37" xr:uid="{513BAD3F-5FDE-4902-B235-AC6711FDBF75}"/>
    <cellStyle name="Comma 12 2" xfId="116" xr:uid="{4842DF05-0210-4C5E-ABAD-A7C3F3203FCA}"/>
    <cellStyle name="Comma 13" xfId="51" xr:uid="{36878A85-C09B-4E82-8B46-3C3B31997AA6}"/>
    <cellStyle name="Comma 13 2" xfId="130" xr:uid="{3B6B6012-CEC3-4B4D-AA38-88C85F70C0D0}"/>
    <cellStyle name="Comma 14" xfId="52" xr:uid="{3BC2A69F-85B5-4721-B3CA-44243E17A28C}"/>
    <cellStyle name="Comma 14 2" xfId="131" xr:uid="{A0D2A966-6ACF-4327-A5FF-35FA392BA11A}"/>
    <cellStyle name="Comma 15" xfId="53" xr:uid="{31594E66-BE66-4550-B2CC-D2EE1DE5CA1B}"/>
    <cellStyle name="Comma 15 2" xfId="132" xr:uid="{A1679416-C3AE-41BE-B1FB-F7FE22A11B6B}"/>
    <cellStyle name="Comma 16" xfId="54" xr:uid="{A01E7C94-4AA8-49D9-BF5A-E280F5085C89}"/>
    <cellStyle name="Comma 16 2" xfId="133" xr:uid="{FA0BE0AB-3139-42CD-AB8E-B0511EB767C4}"/>
    <cellStyle name="Comma 17" xfId="55" xr:uid="{A37EAD8C-8A90-4613-B13E-873CF5615D25}"/>
    <cellStyle name="Comma 17 2" xfId="134" xr:uid="{53F22891-7AB1-4B30-B615-5563678BCF6C}"/>
    <cellStyle name="Comma 18" xfId="48" xr:uid="{B97B05EC-54CC-45AB-B636-F7842D8E7E38}"/>
    <cellStyle name="Comma 18 2" xfId="127" xr:uid="{98360B94-1FA8-4F99-9708-35F23C9A0D29}"/>
    <cellStyle name="Comma 19" xfId="31" xr:uid="{D42E312C-06C8-409A-86D8-6AAA58E0C17C}"/>
    <cellStyle name="Comma 19 2" xfId="110" xr:uid="{D2AAC002-AA03-4C81-A769-FAFB42081BA3}"/>
    <cellStyle name="Comma 2" xfId="17" xr:uid="{BFEC1C6B-1A73-441D-B9AF-09F8F438D727}"/>
    <cellStyle name="Comma 2 2" xfId="38" xr:uid="{EDFED93E-E29C-400E-9FD4-77D8BD799D1B}"/>
    <cellStyle name="Comma 2 2 2" xfId="83" xr:uid="{755B623F-53BE-4E6F-9428-95A63A34FD58}"/>
    <cellStyle name="Comma 2 2 2 2" xfId="156" xr:uid="{AE8776D9-F5C8-40D8-9EAA-D67C88DED3CF}"/>
    <cellStyle name="Comma 2 2 3" xfId="117" xr:uid="{7E1DB8DF-B4F0-4663-9DC4-C507E90DBD0B}"/>
    <cellStyle name="Comma 2 3" xfId="88" xr:uid="{F534A226-CCE2-408B-B0B2-2FCE5703897D}"/>
    <cellStyle name="Comma 2 3 2" xfId="159" xr:uid="{D85F061C-BB38-4DDC-BE17-22D977E57B8B}"/>
    <cellStyle name="Comma 2 4" xfId="78" xr:uid="{2EAB4A5B-8377-48D4-9DA4-39939CF65DFB}"/>
    <cellStyle name="Comma 2 4 2" xfId="153" xr:uid="{C1990E23-4C6C-446A-9DE9-F677BE92CEDC}"/>
    <cellStyle name="Comma 2 5" xfId="98" xr:uid="{709235A8-C36A-4BF1-A72E-271578A65DB2}"/>
    <cellStyle name="Comma 20" xfId="30" xr:uid="{ADD69484-F603-479D-B1B0-523F1B63F3FC}"/>
    <cellStyle name="Comma 20 2" xfId="109" xr:uid="{DC5EBB86-27BE-4FD8-B70C-5A0DCA460A1E}"/>
    <cellStyle name="Comma 21" xfId="58" xr:uid="{FB38CD4A-7003-4578-9CC7-5379CBB24538}"/>
    <cellStyle name="Comma 21 2" xfId="137" xr:uid="{53BDFE47-7E0F-4E4D-B4F8-E637ABF89FE2}"/>
    <cellStyle name="Comma 22" xfId="56" xr:uid="{CC95F0BC-AA1B-41A5-99DD-8FF7E8E3FAAA}"/>
    <cellStyle name="Comma 22 2" xfId="135" xr:uid="{5B5BBE37-2A56-4743-874C-4446F663957E}"/>
    <cellStyle name="Comma 23" xfId="46" xr:uid="{57316692-215C-43C1-9A17-1E2C89D4B299}"/>
    <cellStyle name="Comma 23 2" xfId="125" xr:uid="{2AAD40B2-A073-44C2-81D0-C589EC50C11E}"/>
    <cellStyle name="Comma 24" xfId="59" xr:uid="{815E800E-142D-4081-A39F-C1C99F46C3DB}"/>
    <cellStyle name="Comma 24 2" xfId="138" xr:uid="{20FE889B-F680-476A-AE74-DDF83D7F860F}"/>
    <cellStyle name="Comma 25" xfId="60" xr:uid="{87EB0049-15DC-4AFB-935C-9BC7E763DA92}"/>
    <cellStyle name="Comma 25 2" xfId="139" xr:uid="{F9F5B820-9376-48A6-9599-81C29F81ADC2}"/>
    <cellStyle name="Comma 26" xfId="61" xr:uid="{C70692F9-33F1-4C3E-A690-D1AFB3D1D492}"/>
    <cellStyle name="Comma 26 2" xfId="140" xr:uid="{54235AE9-6F98-4C3F-B8F9-3FA193A3F74B}"/>
    <cellStyle name="Comma 27" xfId="62" xr:uid="{2537D875-3D33-445A-93A7-A336E57BC92E}"/>
    <cellStyle name="Comma 27 2" xfId="141" xr:uid="{7AFE8C7E-FB39-469C-AD07-825AF6EC2891}"/>
    <cellStyle name="Comma 28" xfId="63" xr:uid="{DF478E1E-919D-43CE-9B38-3510DE34C88A}"/>
    <cellStyle name="Comma 28 2" xfId="142" xr:uid="{7B6304E9-869A-4E12-90E8-92048FD345BD}"/>
    <cellStyle name="Comma 29" xfId="64" xr:uid="{E6A8AD48-430A-459C-A9FF-326CC71D493A}"/>
    <cellStyle name="Comma 29 2" xfId="143" xr:uid="{0DC52077-702A-41A6-B944-E149F0B5E16B}"/>
    <cellStyle name="Comma 3" xfId="19" xr:uid="{44D675AE-C82A-41B6-B56D-ABEF675C7D9E}"/>
    <cellStyle name="Comma 3 2" xfId="40" xr:uid="{B9605F6C-6D33-4C4B-9BE6-647185645F32}"/>
    <cellStyle name="Comma 3 2 2" xfId="119" xr:uid="{5ED384FB-F1DC-4C83-9940-0279FD1B03E3}"/>
    <cellStyle name="Comma 3 3" xfId="100" xr:uid="{C398CFA0-6E97-4F26-A4A7-42D68BDE0FA3}"/>
    <cellStyle name="Comma 30" xfId="65" xr:uid="{3059CF6A-7A09-4731-B595-1BD7AF3A6EDF}"/>
    <cellStyle name="Comma 30 2" xfId="144" xr:uid="{2ADA9823-EFA3-4F65-A124-831D259B4BAA}"/>
    <cellStyle name="Comma 31" xfId="66" xr:uid="{1FA83441-1F9E-452D-B3E7-EB04D182F245}"/>
    <cellStyle name="Comma 31 2" xfId="145" xr:uid="{0DB787C0-5A0F-4C53-BA83-E5D70B927E32}"/>
    <cellStyle name="Comma 32" xfId="67" xr:uid="{284FCDD1-10FF-4FF1-A1FB-640739149608}"/>
    <cellStyle name="Comma 32 2" xfId="146" xr:uid="{63621C34-5011-4DBB-9B6F-7578D32FE66D}"/>
    <cellStyle name="Comma 33" xfId="69" xr:uid="{5C628A5A-9AD8-456D-91D0-6DF50FC519BE}"/>
    <cellStyle name="Comma 33 2" xfId="148" xr:uid="{86324F05-DEE6-45C7-9B3A-49007386D98F}"/>
    <cellStyle name="Comma 34" xfId="57" xr:uid="{64C0B890-845A-4B34-9C89-074E450EE9E9}"/>
    <cellStyle name="Comma 34 2" xfId="136" xr:uid="{5D5F6779-EC0C-43FA-8416-9694E9347857}"/>
    <cellStyle name="Comma 35" xfId="32" xr:uid="{2E6465F5-C249-4ADE-A0F5-876ED874D48D}"/>
    <cellStyle name="Comma 35 2" xfId="111" xr:uid="{87274635-1602-45B4-AF83-310EA6866B4A}"/>
    <cellStyle name="Comma 36" xfId="70" xr:uid="{D7257EE1-F5A8-4D66-AD01-3DCEFAB50B1C}"/>
    <cellStyle name="Comma 36 2" xfId="149" xr:uid="{C7C1222E-CE6E-440C-B06F-39425737574E}"/>
    <cellStyle name="Comma 37" xfId="68" xr:uid="{4BFEDA01-3F5A-42A3-88F1-DBCF3BDD88E7}"/>
    <cellStyle name="Comma 37 2" xfId="147" xr:uid="{1897150E-2D72-426B-BF1C-7879E77AC36A}"/>
    <cellStyle name="Comma 38" xfId="43" xr:uid="{2257C0D6-E320-426C-AF6B-EFD976DD48CD}"/>
    <cellStyle name="Comma 38 2" xfId="122" xr:uid="{EDFA1EEA-1C3A-4CDA-AD01-8037BF024435}"/>
    <cellStyle name="Comma 39" xfId="71" xr:uid="{4CA9D2C6-7921-4E8E-802F-0DCC10E6F385}"/>
    <cellStyle name="Comma 39 2" xfId="150" xr:uid="{DC911AF3-7892-48D4-ABAB-554F9B3D9E86}"/>
    <cellStyle name="Comma 4" xfId="23" xr:uid="{633D257A-A42F-4E38-B591-D20E04F9D3BB}"/>
    <cellStyle name="Comma 4 2" xfId="44" xr:uid="{7E94CA32-F87B-4430-80FD-526567A478E5}"/>
    <cellStyle name="Comma 4 2 2" xfId="123" xr:uid="{E518EA4A-6A3A-4A53-85CB-822CE5B4487D}"/>
    <cellStyle name="Comma 4 3" xfId="103" xr:uid="{146F1603-97C0-47E6-A6DF-F5213C22D0E8}"/>
    <cellStyle name="Comma 40" xfId="49" xr:uid="{CD055125-697C-4484-904E-C5B6555AC713}"/>
    <cellStyle name="Comma 40 2" xfId="128" xr:uid="{470F4A09-55A6-4398-80C8-A8D9BE8FF409}"/>
    <cellStyle name="Comma 5" xfId="26" xr:uid="{AD9202DF-4176-4253-BA9F-E22A010814DC}"/>
    <cellStyle name="Comma 5 2" xfId="105" xr:uid="{79A67A63-9BD2-4BD3-83CE-0DDF9245DD81}"/>
    <cellStyle name="Comma 6" xfId="28" xr:uid="{FFF74D1C-F09D-4A33-B1DC-7D73CDBBA2D7}"/>
    <cellStyle name="Comma 6 2" xfId="107" xr:uid="{6425F9EE-B02E-442C-A6FF-94AADA9831D6}"/>
    <cellStyle name="Comma 6 6 2" xfId="75" xr:uid="{F337BE6F-C89C-472D-AB25-C968ED011ECE}"/>
    <cellStyle name="Comma 6 6 2 2" xfId="80" xr:uid="{AFC4C5D4-692C-437E-B23B-A9A4529260B2}"/>
    <cellStyle name="Comma 6 6 2 2 2" xfId="154" xr:uid="{0C10789E-48AD-4DC9-A1A4-00478491B761}"/>
    <cellStyle name="Comma 6 6 2 3" xfId="85" xr:uid="{7D3F7E80-0005-4D83-B749-32B2FCA86685}"/>
    <cellStyle name="Comma 6 6 2 3 2" xfId="157" xr:uid="{F456DDD9-CA37-4167-BC8F-57DCC66F0B6A}"/>
    <cellStyle name="Comma 6 6 2 4" xfId="90" xr:uid="{2D17D26F-5E0E-4402-8760-D72B1B77DAD5}"/>
    <cellStyle name="Comma 6 6 2 4 2" xfId="161" xr:uid="{D250879F-24AF-40FE-8C5E-93771E17453A}"/>
    <cellStyle name="Comma 6 6 2 5" xfId="151" xr:uid="{E23F7913-4A18-48A8-B186-51F74AE0BD7C}"/>
    <cellStyle name="Comma 7" xfId="36" xr:uid="{BBA746ED-4AC1-42F8-BDA4-BEE4B5C75D32}"/>
    <cellStyle name="Comma 7 2" xfId="115" xr:uid="{11ACE661-9AD5-4D72-8233-563FBC150209}"/>
    <cellStyle name="Comma 8" xfId="47" xr:uid="{F6B419F5-CD27-4289-9A75-1F200423A92F}"/>
    <cellStyle name="Comma 8 2" xfId="126" xr:uid="{A233741D-9FD6-4F6D-972E-1A7AC179C7C0}"/>
    <cellStyle name="Comma 9" xfId="50" xr:uid="{0B2ABB2F-F64B-427E-8550-34B5DAD35401}"/>
    <cellStyle name="Comma 9 2" xfId="129" xr:uid="{85B20970-5B92-4945-ABE4-C829AE930707}"/>
    <cellStyle name="Koma [0] 2" xfId="12" xr:uid="{5EB15217-C1FF-48F7-9B32-5BAA40EA76DC}"/>
    <cellStyle name="Koma [0] 2 2" xfId="24" xr:uid="{F12568CA-9E1C-4326-92F0-447EED56528A}"/>
    <cellStyle name="Koma [0] 2 2 2" xfId="45" xr:uid="{83115EC7-FE13-407A-A651-9E8027784D56}"/>
    <cellStyle name="Koma [0] 2 2 2 2" xfId="124" xr:uid="{89812ACC-42D6-4359-9BBB-1C1F036BEA8C}"/>
    <cellStyle name="Koma [0] 2 2 3" xfId="104" xr:uid="{7F0D15FE-AB92-4EAF-9564-6A5ECF094910}"/>
    <cellStyle name="Koma [0] 3" xfId="93" xr:uid="{2C92E993-AFE4-4434-8075-0789376D0999}"/>
    <cellStyle name="Koma 2" xfId="5" xr:uid="{18F76E38-5E99-403C-A587-8F4C77CDF59E}"/>
    <cellStyle name="Koma 2 2" xfId="21" xr:uid="{21AB7A5F-3BFF-439E-8AB8-2F7D9287792F}"/>
    <cellStyle name="Koma 2 2 2" xfId="42" xr:uid="{696BD70C-D4A1-471A-8CA9-0C592524AC3D}"/>
    <cellStyle name="Koma 2 2 2 2" xfId="121" xr:uid="{02559F8A-C212-4951-A96F-55A2AB24B6B5}"/>
    <cellStyle name="Koma 2 2 3" xfId="102" xr:uid="{961672C2-FAD1-47B3-808A-1C0DF6ED6995}"/>
    <cellStyle name="Koma 3" xfId="92" xr:uid="{21279107-E7AD-4AA0-8AB5-A85926D1D88A}"/>
    <cellStyle name="Koma 4" xfId="95" xr:uid="{9EED6753-1DA0-433D-A5CC-CEFB0F4723C5}"/>
    <cellStyle name="Normal" xfId="0" builtinId="0"/>
    <cellStyle name="Normal 2" xfId="6" xr:uid="{A6D52D10-6F0D-4177-BF70-8FFCE34C9EC3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3" xfId="22" xr:uid="{A7EC4393-1FCE-4D9E-B1A6-1C6424BDDB34}"/>
    <cellStyle name="Normal 2 4" xfId="74" xr:uid="{573FC1FA-6F55-4B1E-AD8E-3DBF368C1575}"/>
    <cellStyle name="Normal 236" xfId="9" xr:uid="{587CA2C4-5861-4065-B597-D078C10DB76E}"/>
    <cellStyle name="Normal 3" xfId="10" xr:uid="{70337782-CF02-4E3D-8A8B-402E134C3B03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Percent" xfId="3" builtinId="5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4" xfId="8" xr:uid="{80ED6CE8-C19A-4395-B593-7DB5B1686D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/Users/User/Downloads/Formula%20Production%20Cost%20IN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file:///D:\01.%20PEKERJAAN\LAPORAN%20PRODUKSI\Production%20Report%20Yearly\Production%20Report%20BELAJA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file:///D:\HPP\Norma%20Biaya%20Operasional%20Plant%202%202024%20-%20Cop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PT%20INL\Format%20Cost\Formula%20Cost%20Production_Rev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/Users/User/Downloads/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2">
          <cell r="C12">
            <v>491.59</v>
          </cell>
          <cell r="F12">
            <v>10162</v>
          </cell>
        </row>
      </sheetData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A9BB-9889-46F0-B55D-DF17BEA2CAA0}">
  <sheetPr>
    <pageSetUpPr fitToPage="1"/>
  </sheetPr>
  <dimension ref="A1:VUA308"/>
  <sheetViews>
    <sheetView topLeftCell="A237" zoomScale="40" zoomScaleNormal="40" zoomScaleSheetLayoutView="85" workbookViewId="0">
      <selection activeCell="S18" sqref="S18"/>
    </sheetView>
  </sheetViews>
  <sheetFormatPr defaultColWidth="9" defaultRowHeight="14.4"/>
  <cols>
    <col min="1" max="1" width="3" style="1" customWidth="1"/>
    <col min="2" max="2" width="3" style="1" hidden="1" customWidth="1"/>
    <col min="3" max="3" width="4.5546875" style="5" customWidth="1"/>
    <col min="4" max="4" width="41.44140625" style="1" customWidth="1"/>
    <col min="5" max="5" width="14.5546875" style="1" customWidth="1"/>
    <col min="6" max="6" width="11.5546875" style="2" customWidth="1"/>
    <col min="7" max="12" width="13.5546875" style="1" customWidth="1"/>
    <col min="13" max="13" width="14.5546875" style="1" customWidth="1"/>
    <col min="14" max="14" width="13.5546875" style="1" customWidth="1"/>
    <col min="15" max="16" width="14.5546875" style="1" customWidth="1"/>
    <col min="17" max="17" width="12.33203125" style="1" customWidth="1"/>
    <col min="18" max="19" width="13.5546875" style="1" customWidth="1"/>
    <col min="20" max="25" width="14.5546875" style="1" customWidth="1"/>
    <col min="26" max="29" width="13.5546875" style="1" customWidth="1"/>
    <col min="30" max="31" width="14.5546875" style="1" customWidth="1"/>
    <col min="32" max="36" width="13.5546875" style="1" customWidth="1"/>
    <col min="37" max="37" width="11.5546875" style="1" customWidth="1"/>
    <col min="38" max="38" width="3.6640625" style="1" customWidth="1"/>
    <col min="39" max="39" width="23.6640625" style="1" bestFit="1" customWidth="1"/>
    <col min="40" max="40" width="8.33203125" style="1" hidden="1" customWidth="1"/>
    <col min="41" max="41" width="13" style="1" hidden="1" customWidth="1"/>
    <col min="42" max="42" width="18.33203125" style="1" customWidth="1"/>
    <col min="43" max="43" width="12.33203125" style="1" customWidth="1"/>
    <col min="44" max="44" width="9.33203125" style="1" customWidth="1"/>
    <col min="45" max="45" width="9.6640625" style="1" customWidth="1"/>
    <col min="46" max="46" width="15.6640625" style="1" customWidth="1"/>
    <col min="47" max="47" width="12.6640625" style="1" customWidth="1"/>
    <col min="48" max="48" width="14.33203125" style="1" customWidth="1"/>
    <col min="49" max="60" width="9" style="1"/>
    <col min="61" max="61" width="9.5546875" style="142" customWidth="1"/>
    <col min="62" max="62" width="12.44140625" style="1" customWidth="1"/>
    <col min="63" max="15026" width="9" style="1"/>
    <col min="15027" max="16384" width="9" style="46"/>
  </cols>
  <sheetData>
    <row r="1" spans="3:61" ht="45" customHeight="1" thickBot="1">
      <c r="C1" s="2043" t="s">
        <v>915</v>
      </c>
      <c r="D1" s="2043"/>
      <c r="E1" s="2043"/>
      <c r="F1" s="2043"/>
      <c r="G1" s="2043"/>
      <c r="H1" s="2043"/>
      <c r="I1" s="2043"/>
      <c r="J1" s="2043"/>
      <c r="K1" s="2043"/>
      <c r="L1" s="2043"/>
      <c r="M1" s="2043"/>
      <c r="N1" s="2043"/>
      <c r="O1" s="2043"/>
      <c r="P1" s="2043"/>
      <c r="Q1" s="2043"/>
      <c r="R1" s="2043"/>
      <c r="S1" s="2043"/>
      <c r="T1" s="2043"/>
      <c r="U1" s="2043"/>
      <c r="V1" s="2005"/>
      <c r="W1" s="2005"/>
      <c r="X1" s="2005"/>
      <c r="Y1" s="2005"/>
      <c r="Z1" s="2005"/>
      <c r="AA1" s="2005"/>
      <c r="AB1" s="2005"/>
      <c r="AC1" s="2005"/>
      <c r="AD1" s="2005"/>
      <c r="AE1" s="2005"/>
      <c r="AF1" s="2005"/>
      <c r="AG1" s="2005"/>
      <c r="AH1" s="2005"/>
      <c r="AI1" s="2005"/>
      <c r="AJ1" s="2005"/>
      <c r="AK1" s="2005"/>
      <c r="AL1" s="2005"/>
      <c r="AM1" s="2005"/>
    </row>
    <row r="2" spans="3:61" ht="30" customHeight="1">
      <c r="C2" s="2044" t="s">
        <v>99</v>
      </c>
      <c r="D2" s="2046" t="s">
        <v>100</v>
      </c>
      <c r="E2" s="2048" t="s">
        <v>101</v>
      </c>
      <c r="F2" s="2050" t="s">
        <v>102</v>
      </c>
      <c r="G2" s="2052" t="s">
        <v>1084</v>
      </c>
      <c r="H2" s="2053"/>
      <c r="I2" s="2053"/>
      <c r="J2" s="2053"/>
      <c r="K2" s="2053"/>
      <c r="L2" s="2053"/>
      <c r="M2" s="2053"/>
      <c r="N2" s="2053"/>
      <c r="O2" s="2053"/>
      <c r="P2" s="2053"/>
      <c r="Q2" s="2053"/>
      <c r="R2" s="2053"/>
      <c r="S2" s="2053"/>
      <c r="T2" s="2053"/>
      <c r="U2" s="2053"/>
      <c r="V2" s="2006"/>
      <c r="W2" s="2006"/>
      <c r="X2" s="2006"/>
      <c r="Y2" s="2006"/>
      <c r="Z2" s="2006"/>
      <c r="AA2" s="2006"/>
      <c r="AB2" s="2006"/>
      <c r="AC2" s="2006"/>
      <c r="AD2" s="2006"/>
      <c r="AE2" s="2006"/>
      <c r="AF2" s="2006"/>
      <c r="AG2" s="2006"/>
      <c r="AH2" s="2006"/>
      <c r="AI2" s="2006"/>
      <c r="AJ2" s="2006"/>
      <c r="AK2" s="2006"/>
      <c r="AM2" s="2041" t="s">
        <v>296</v>
      </c>
    </row>
    <row r="3" spans="3:61">
      <c r="C3" s="2045"/>
      <c r="D3" s="2047"/>
      <c r="E3" s="2049"/>
      <c r="F3" s="2051"/>
      <c r="G3" s="365">
        <v>1</v>
      </c>
      <c r="H3" s="365">
        <v>2</v>
      </c>
      <c r="I3" s="365">
        <v>3</v>
      </c>
      <c r="J3" s="365">
        <v>4</v>
      </c>
      <c r="K3" s="365">
        <v>5</v>
      </c>
      <c r="L3" s="365">
        <v>6</v>
      </c>
      <c r="M3" s="365">
        <v>7</v>
      </c>
      <c r="N3" s="365">
        <v>8</v>
      </c>
      <c r="O3" s="365">
        <v>9</v>
      </c>
      <c r="P3" s="365">
        <v>10</v>
      </c>
      <c r="Q3" s="365">
        <v>11</v>
      </c>
      <c r="R3" s="365">
        <v>12</v>
      </c>
      <c r="S3" s="365">
        <v>13</v>
      </c>
      <c r="T3" s="365">
        <v>14</v>
      </c>
      <c r="U3" s="365">
        <v>15</v>
      </c>
      <c r="V3" s="365">
        <v>16</v>
      </c>
      <c r="W3" s="365">
        <v>17</v>
      </c>
      <c r="X3" s="365">
        <v>18</v>
      </c>
      <c r="Y3" s="365">
        <v>19</v>
      </c>
      <c r="Z3" s="365">
        <v>20</v>
      </c>
      <c r="AA3" s="365">
        <v>21</v>
      </c>
      <c r="AB3" s="365">
        <v>22</v>
      </c>
      <c r="AC3" s="365">
        <v>23</v>
      </c>
      <c r="AD3" s="365">
        <v>24</v>
      </c>
      <c r="AE3" s="365">
        <v>25</v>
      </c>
      <c r="AF3" s="365">
        <v>26</v>
      </c>
      <c r="AG3" s="365">
        <v>27</v>
      </c>
      <c r="AH3" s="365">
        <v>28</v>
      </c>
      <c r="AI3" s="365">
        <v>29</v>
      </c>
      <c r="AJ3" s="365">
        <v>30</v>
      </c>
      <c r="AK3" s="365">
        <v>31</v>
      </c>
      <c r="AM3" s="2042"/>
    </row>
    <row r="4" spans="3:61">
      <c r="C4" s="7">
        <v>1</v>
      </c>
      <c r="D4" s="47" t="s">
        <v>85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3"/>
      <c r="AM4" s="52" t="s">
        <v>127</v>
      </c>
    </row>
    <row r="5" spans="3:61">
      <c r="C5" s="8"/>
      <c r="D5" s="9" t="s">
        <v>16</v>
      </c>
      <c r="E5" s="251"/>
      <c r="F5" s="1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/>
      <c r="AJ5" s="270"/>
      <c r="AK5" s="270"/>
      <c r="AL5" s="3"/>
      <c r="AM5" s="53" t="s">
        <v>16</v>
      </c>
    </row>
    <row r="6" spans="3:61">
      <c r="C6" s="8"/>
      <c r="D6" s="11" t="s">
        <v>84</v>
      </c>
      <c r="E6" s="252"/>
      <c r="F6" s="12" t="s">
        <v>83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/>
      <c r="R6" s="33"/>
      <c r="S6" s="196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"/>
      <c r="AM6" s="55">
        <f>SUM(G6:AK6)</f>
        <v>0</v>
      </c>
    </row>
    <row r="7" spans="3:61">
      <c r="C7" s="8"/>
      <c r="D7" s="72" t="s">
        <v>125</v>
      </c>
      <c r="E7" s="252"/>
      <c r="F7" s="73" t="s">
        <v>14</v>
      </c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3"/>
      <c r="AM7" s="58">
        <f>SUM(G7:AK7)</f>
        <v>0</v>
      </c>
      <c r="AQ7" s="3">
        <f>AM7/28</f>
        <v>0</v>
      </c>
    </row>
    <row r="8" spans="3:61">
      <c r="C8" s="8"/>
      <c r="D8" s="11" t="s">
        <v>1069</v>
      </c>
      <c r="E8" s="252"/>
      <c r="F8" s="13" t="s">
        <v>25</v>
      </c>
      <c r="G8" s="34">
        <f>G9/2500000*100</f>
        <v>0</v>
      </c>
      <c r="H8" s="34">
        <f t="shared" ref="H8:AK8" si="0">H9/2500000*100</f>
        <v>0</v>
      </c>
      <c r="I8" s="34">
        <f t="shared" si="0"/>
        <v>0</v>
      </c>
      <c r="J8" s="34">
        <f t="shared" si="0"/>
        <v>0</v>
      </c>
      <c r="K8" s="34">
        <f t="shared" si="0"/>
        <v>0</v>
      </c>
      <c r="L8" s="34">
        <f t="shared" si="0"/>
        <v>0</v>
      </c>
      <c r="M8" s="34">
        <f t="shared" si="0"/>
        <v>0</v>
      </c>
      <c r="N8" s="34">
        <f t="shared" si="0"/>
        <v>0</v>
      </c>
      <c r="O8" s="34">
        <f t="shared" si="0"/>
        <v>0</v>
      </c>
      <c r="P8" s="34">
        <f t="shared" si="0"/>
        <v>0</v>
      </c>
      <c r="Q8" s="1756"/>
      <c r="R8" s="34"/>
      <c r="S8" s="1999"/>
      <c r="T8" s="34"/>
      <c r="U8" s="34"/>
      <c r="V8" s="1756"/>
      <c r="W8" s="1756"/>
      <c r="X8" s="1756"/>
      <c r="Y8" s="1756"/>
      <c r="Z8" s="1756"/>
      <c r="AA8" s="1756"/>
      <c r="AB8" s="1756"/>
      <c r="AC8" s="1756"/>
      <c r="AD8" s="1756"/>
      <c r="AE8" s="1756"/>
      <c r="AF8" s="34"/>
      <c r="AG8" s="34"/>
      <c r="AH8" s="34"/>
      <c r="AI8" s="34"/>
      <c r="AJ8" s="34"/>
      <c r="AK8" s="34">
        <f t="shared" si="0"/>
        <v>0</v>
      </c>
      <c r="AL8" s="3"/>
      <c r="AM8" s="1792" t="e">
        <f>AM9/2500000/AM6</f>
        <v>#DIV/0!</v>
      </c>
    </row>
    <row r="9" spans="3:61" s="1" customFormat="1" ht="13.8">
      <c r="C9" s="8"/>
      <c r="D9" s="56" t="s">
        <v>96</v>
      </c>
      <c r="E9" s="235">
        <v>58900</v>
      </c>
      <c r="F9" s="57" t="s">
        <v>14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1971"/>
      <c r="T9" s="2007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M9" s="58">
        <f>SUM(G9:AK9)</f>
        <v>0</v>
      </c>
      <c r="BI9" s="143"/>
    </row>
    <row r="10" spans="3:61" s="1" customFormat="1" ht="13.8">
      <c r="C10" s="8"/>
      <c r="D10" s="947" t="s">
        <v>377</v>
      </c>
      <c r="E10" s="948"/>
      <c r="F10" s="62"/>
      <c r="G10" s="949"/>
      <c r="H10" s="949"/>
      <c r="I10" s="949"/>
      <c r="J10" s="949"/>
      <c r="K10" s="949"/>
      <c r="L10" s="949"/>
      <c r="M10" s="949"/>
      <c r="N10" s="949"/>
      <c r="O10" s="949"/>
      <c r="P10" s="949"/>
      <c r="Q10" s="949"/>
      <c r="R10" s="949"/>
      <c r="S10" s="1994"/>
      <c r="T10" s="949"/>
      <c r="U10" s="949"/>
      <c r="V10" s="949"/>
      <c r="W10" s="949"/>
      <c r="X10" s="949"/>
      <c r="Y10" s="949"/>
      <c r="Z10" s="949"/>
      <c r="AA10" s="949"/>
      <c r="AB10" s="949"/>
      <c r="AC10" s="949"/>
      <c r="AD10" s="949"/>
      <c r="AE10" s="949"/>
      <c r="AF10" s="949"/>
      <c r="AG10" s="949"/>
      <c r="AH10" s="949"/>
      <c r="AI10" s="949"/>
      <c r="AJ10" s="949"/>
      <c r="AK10" s="949"/>
      <c r="AL10" s="63"/>
      <c r="AM10" s="521" t="e">
        <f>AM9/AM6</f>
        <v>#DIV/0!</v>
      </c>
      <c r="AN10" s="475">
        <f>AM9/E9</f>
        <v>0</v>
      </c>
      <c r="BI10" s="143"/>
    </row>
    <row r="11" spans="3:61" s="1" customFormat="1" ht="13.8">
      <c r="C11" s="8"/>
      <c r="D11" s="21" t="s">
        <v>97</v>
      </c>
      <c r="E11" s="235"/>
      <c r="F11" s="13" t="s">
        <v>14</v>
      </c>
      <c r="G11" s="33">
        <f>G9-G12</f>
        <v>0</v>
      </c>
      <c r="H11" s="33">
        <f>H9-H12</f>
        <v>0</v>
      </c>
      <c r="I11" s="33">
        <f t="shared" ref="I11:AK11" si="1">I9-I12</f>
        <v>0</v>
      </c>
      <c r="J11" s="33">
        <f t="shared" si="1"/>
        <v>0</v>
      </c>
      <c r="K11" s="33">
        <f t="shared" si="1"/>
        <v>0</v>
      </c>
      <c r="L11" s="33">
        <f t="shared" si="1"/>
        <v>0</v>
      </c>
      <c r="M11" s="33">
        <f t="shared" si="1"/>
        <v>0</v>
      </c>
      <c r="N11" s="33">
        <f t="shared" si="1"/>
        <v>0</v>
      </c>
      <c r="O11" s="33">
        <f>O9-O12</f>
        <v>0</v>
      </c>
      <c r="P11" s="33">
        <f t="shared" si="1"/>
        <v>0</v>
      </c>
      <c r="Q11" s="33"/>
      <c r="R11" s="33"/>
      <c r="S11" s="1965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>
        <f t="shared" si="1"/>
        <v>0</v>
      </c>
      <c r="AM11" s="55">
        <f>SUM(G11:AK11)</f>
        <v>0</v>
      </c>
      <c r="BI11" s="143"/>
    </row>
    <row r="12" spans="3:61" s="1" customFormat="1" ht="13.8">
      <c r="C12" s="8"/>
      <c r="D12" s="21" t="s">
        <v>98</v>
      </c>
      <c r="E12" s="235"/>
      <c r="F12" s="13" t="s">
        <v>14</v>
      </c>
      <c r="G12" s="33">
        <f>G39+G48+G53</f>
        <v>0</v>
      </c>
      <c r="H12" s="33">
        <f>H39+H48+H53</f>
        <v>0</v>
      </c>
      <c r="I12" s="33">
        <f t="shared" ref="I12:AK12" si="2">I39+I48+I53</f>
        <v>0</v>
      </c>
      <c r="J12" s="33">
        <f t="shared" si="2"/>
        <v>0</v>
      </c>
      <c r="K12" s="33">
        <v>0</v>
      </c>
      <c r="L12" s="33">
        <f t="shared" si="2"/>
        <v>0</v>
      </c>
      <c r="M12" s="33">
        <f t="shared" si="2"/>
        <v>0</v>
      </c>
      <c r="N12" s="33">
        <f t="shared" si="2"/>
        <v>0</v>
      </c>
      <c r="O12" s="33">
        <f t="shared" si="2"/>
        <v>0</v>
      </c>
      <c r="P12" s="33">
        <f t="shared" si="2"/>
        <v>0</v>
      </c>
      <c r="Q12" s="33"/>
      <c r="R12" s="33"/>
      <c r="S12" s="1965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>
        <f t="shared" si="2"/>
        <v>0</v>
      </c>
      <c r="AM12" s="55">
        <f>SUM(G12:AK12)</f>
        <v>0</v>
      </c>
      <c r="BI12" s="143"/>
    </row>
    <row r="13" spans="3:61" s="1" customFormat="1" ht="13.8">
      <c r="C13" s="8"/>
      <c r="D13" s="14" t="s">
        <v>82</v>
      </c>
      <c r="E13" s="253">
        <v>5</v>
      </c>
      <c r="F13" s="13" t="s">
        <v>25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/>
      <c r="R13" s="29"/>
      <c r="S13" s="1964"/>
      <c r="T13" s="29"/>
      <c r="U13" s="29"/>
      <c r="V13" s="1639"/>
      <c r="W13" s="29"/>
      <c r="X13" s="29"/>
      <c r="Y13" s="29"/>
      <c r="Z13" s="29"/>
      <c r="AA13" s="29"/>
      <c r="AB13" s="29"/>
      <c r="AC13" s="29"/>
      <c r="AD13" s="34"/>
      <c r="AE13" s="33"/>
      <c r="AF13" s="33"/>
      <c r="AG13" s="33"/>
      <c r="AH13" s="33"/>
      <c r="AI13" s="33"/>
      <c r="AJ13" s="33"/>
      <c r="AK13" s="33"/>
      <c r="AM13" s="59" t="e">
        <f>SUM(G13:AK13)/AM6</f>
        <v>#DIV/0!</v>
      </c>
      <c r="BI13" s="142"/>
    </row>
    <row r="14" spans="3:61" s="1" customFormat="1" ht="13.8">
      <c r="C14" s="8"/>
      <c r="D14" s="14" t="s">
        <v>81</v>
      </c>
      <c r="E14" s="253">
        <v>0.5</v>
      </c>
      <c r="F14" s="13" t="s">
        <v>25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/>
      <c r="R14" s="29"/>
      <c r="S14" s="1964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4"/>
      <c r="AE14" s="33"/>
      <c r="AF14" s="33"/>
      <c r="AG14" s="33"/>
      <c r="AH14" s="33"/>
      <c r="AI14" s="33"/>
      <c r="AJ14" s="33"/>
      <c r="AK14" s="33"/>
      <c r="AM14" s="59" t="e">
        <f>SUM(G14:AK14)/AM6</f>
        <v>#DIV/0!</v>
      </c>
      <c r="BI14" s="143"/>
    </row>
    <row r="15" spans="3:61" s="1" customFormat="1" ht="13.8">
      <c r="C15" s="8"/>
      <c r="D15" s="14" t="s">
        <v>80</v>
      </c>
      <c r="E15" s="254" t="s">
        <v>79</v>
      </c>
      <c r="F15" s="13" t="s">
        <v>25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/>
      <c r="R15" s="29"/>
      <c r="S15" s="1964"/>
      <c r="T15" s="29"/>
      <c r="U15" s="29"/>
      <c r="V15" s="29"/>
      <c r="W15" s="29"/>
      <c r="X15" s="29"/>
      <c r="Y15" s="29"/>
      <c r="Z15" s="29"/>
      <c r="AA15" s="29"/>
      <c r="AB15" s="29"/>
      <c r="AC15" s="34"/>
      <c r="AD15" s="34"/>
      <c r="AE15" s="33"/>
      <c r="AF15" s="33"/>
      <c r="AG15" s="33"/>
      <c r="AH15" s="33"/>
      <c r="AI15" s="33"/>
      <c r="AJ15" s="33"/>
      <c r="AK15" s="33"/>
      <c r="AM15" s="59" t="e">
        <f>SUM(G15:AK15)/AM6</f>
        <v>#DIV/0!</v>
      </c>
      <c r="BI15" s="143"/>
    </row>
    <row r="16" spans="3:61" s="1" customFormat="1" ht="13.8">
      <c r="C16" s="8"/>
      <c r="D16" s="65" t="s">
        <v>914</v>
      </c>
      <c r="E16" s="1640"/>
      <c r="F16" s="57"/>
      <c r="G16" s="1641">
        <v>0</v>
      </c>
      <c r="H16" s="1641">
        <v>0</v>
      </c>
      <c r="I16" s="1641">
        <v>0</v>
      </c>
      <c r="J16" s="1641">
        <v>0</v>
      </c>
      <c r="K16" s="1641">
        <v>0</v>
      </c>
      <c r="L16" s="1641">
        <v>0</v>
      </c>
      <c r="M16" s="1641">
        <v>0</v>
      </c>
      <c r="N16" s="1641">
        <v>0</v>
      </c>
      <c r="O16" s="1641">
        <v>0</v>
      </c>
      <c r="P16" s="1641">
        <v>0</v>
      </c>
      <c r="Q16" s="1642"/>
      <c r="R16" s="1642"/>
      <c r="S16" s="1997"/>
      <c r="T16" s="1642"/>
      <c r="U16" s="1642"/>
      <c r="V16" s="1642"/>
      <c r="W16" s="1642"/>
      <c r="X16" s="1642"/>
      <c r="Y16" s="1642"/>
      <c r="Z16" s="1642"/>
      <c r="AA16" s="1642"/>
      <c r="AB16" s="1642"/>
      <c r="AC16" s="1961"/>
      <c r="AD16" s="1963"/>
      <c r="AE16" s="271"/>
      <c r="AF16" s="271"/>
      <c r="AG16" s="271"/>
      <c r="AH16" s="271"/>
      <c r="AI16" s="271"/>
      <c r="AJ16" s="271"/>
      <c r="AK16" s="271"/>
      <c r="AM16" s="59"/>
      <c r="BI16" s="143"/>
    </row>
    <row r="17" spans="3:61 15030:15074" s="1" customFormat="1">
      <c r="C17" s="8"/>
      <c r="D17" s="60" t="s">
        <v>78</v>
      </c>
      <c r="E17" s="255"/>
      <c r="F17" s="6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65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3"/>
      <c r="AM17" s="64" t="s">
        <v>78</v>
      </c>
      <c r="BI17" s="143"/>
    </row>
    <row r="18" spans="3:61 15030:15074" s="1" customFormat="1">
      <c r="C18" s="8"/>
      <c r="D18" s="830" t="s">
        <v>358</v>
      </c>
      <c r="E18" s="255"/>
      <c r="F18" s="6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1965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63"/>
      <c r="AM18" s="64"/>
      <c r="BI18" s="143"/>
    </row>
    <row r="19" spans="3:61 15030:15074" s="1" customFormat="1">
      <c r="C19" s="15"/>
      <c r="D19" s="65" t="s">
        <v>193</v>
      </c>
      <c r="E19" s="235">
        <v>55661</v>
      </c>
      <c r="F19" s="66" t="s">
        <v>14</v>
      </c>
      <c r="G19" s="271">
        <v>0</v>
      </c>
      <c r="H19" s="271">
        <v>0</v>
      </c>
      <c r="I19" s="271">
        <v>0</v>
      </c>
      <c r="J19" s="271">
        <v>0</v>
      </c>
      <c r="K19" s="271">
        <v>0</v>
      </c>
      <c r="L19" s="271">
        <v>0</v>
      </c>
      <c r="M19" s="271">
        <v>0</v>
      </c>
      <c r="N19" s="271">
        <v>0</v>
      </c>
      <c r="O19" s="271">
        <v>0</v>
      </c>
      <c r="P19" s="271">
        <v>0</v>
      </c>
      <c r="Q19" s="271"/>
      <c r="R19" s="271"/>
      <c r="S19" s="19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M19" s="58">
        <f>SUM(G19:AK19)</f>
        <v>0</v>
      </c>
      <c r="AP19" s="3"/>
      <c r="BI19" s="142"/>
      <c r="VFB19" s="46"/>
      <c r="VFC19" s="46"/>
      <c r="VFD19" s="46"/>
      <c r="VFE19" s="46"/>
      <c r="VFF19" s="46"/>
      <c r="VFG19" s="46"/>
      <c r="VFH19" s="46"/>
      <c r="VFI19" s="46"/>
      <c r="VFJ19" s="46"/>
      <c r="VFK19" s="46"/>
      <c r="VFL19" s="46"/>
      <c r="VFM19" s="46"/>
      <c r="VFN19" s="46"/>
      <c r="VFO19" s="46"/>
      <c r="VFP19" s="46"/>
      <c r="VFQ19" s="46"/>
      <c r="VFR19" s="46"/>
      <c r="VFS19" s="46"/>
      <c r="VFT19" s="46"/>
      <c r="VFU19" s="46"/>
      <c r="VFV19" s="46"/>
      <c r="VFW19" s="46"/>
      <c r="VFX19" s="46"/>
      <c r="VFY19" s="46"/>
      <c r="VFZ19" s="46"/>
      <c r="VGA19" s="46"/>
      <c r="VGB19" s="46"/>
      <c r="VGC19" s="46"/>
      <c r="VGD19" s="46"/>
      <c r="VGE19" s="46"/>
      <c r="VGF19" s="46"/>
      <c r="VGG19" s="46"/>
      <c r="VGH19" s="46"/>
      <c r="VGI19" s="46"/>
      <c r="VGJ19" s="46"/>
      <c r="VGK19" s="46"/>
      <c r="VGL19" s="46"/>
      <c r="VGM19" s="46"/>
      <c r="VGN19" s="46"/>
      <c r="VGO19" s="46"/>
      <c r="VGP19" s="46"/>
      <c r="VGQ19" s="46"/>
      <c r="VGR19" s="46"/>
      <c r="VGS19" s="46"/>
      <c r="VGT19" s="46"/>
    </row>
    <row r="20" spans="3:61 15030:15074" s="1" customFormat="1">
      <c r="C20" s="15"/>
      <c r="D20" s="65" t="s">
        <v>64</v>
      </c>
      <c r="E20" s="235">
        <v>2827</v>
      </c>
      <c r="F20" s="66" t="s">
        <v>14</v>
      </c>
      <c r="G20" s="271">
        <v>0</v>
      </c>
      <c r="H20" s="271">
        <v>0</v>
      </c>
      <c r="I20" s="271">
        <v>0</v>
      </c>
      <c r="J20" s="271">
        <v>0</v>
      </c>
      <c r="K20" s="271">
        <v>0</v>
      </c>
      <c r="L20" s="271">
        <v>0</v>
      </c>
      <c r="M20" s="271">
        <v>0</v>
      </c>
      <c r="N20" s="271">
        <v>0</v>
      </c>
      <c r="O20" s="271">
        <v>0</v>
      </c>
      <c r="P20" s="271">
        <v>0</v>
      </c>
      <c r="Q20" s="271"/>
      <c r="R20" s="271"/>
      <c r="S20" s="19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M20" s="58">
        <f>SUM(G20:AK20)</f>
        <v>0</v>
      </c>
      <c r="AP20" s="3"/>
      <c r="BI20" s="142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</row>
    <row r="21" spans="3:61 15030:15074" s="1" customFormat="1">
      <c r="C21" s="15"/>
      <c r="D21" s="718" t="s">
        <v>351</v>
      </c>
      <c r="E21" s="743"/>
      <c r="F21" s="20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1965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M21" s="55"/>
      <c r="AP21" s="3"/>
      <c r="BI21" s="142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</row>
    <row r="22" spans="3:61 15030:15074">
      <c r="C22" s="8"/>
      <c r="D22" s="11" t="s">
        <v>84</v>
      </c>
      <c r="E22" s="252"/>
      <c r="F22" s="12" t="s">
        <v>83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65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"/>
      <c r="AM22" s="55">
        <f>SUM(G22:AK22)</f>
        <v>0</v>
      </c>
    </row>
    <row r="23" spans="3:61 15030:15074">
      <c r="C23" s="8"/>
      <c r="D23" s="947" t="s">
        <v>980</v>
      </c>
      <c r="E23" s="252"/>
      <c r="F23" s="12" t="s">
        <v>14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/>
      <c r="R23" s="33"/>
      <c r="S23" s="1965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>
        <v>0</v>
      </c>
      <c r="AL23" s="3"/>
      <c r="AM23" s="55" t="e">
        <f>AM28/AM22</f>
        <v>#DIV/0!</v>
      </c>
    </row>
    <row r="24" spans="3:61 15030:15074" s="1" customFormat="1">
      <c r="C24" s="15"/>
      <c r="D24" s="65" t="s">
        <v>952</v>
      </c>
      <c r="E24" s="235"/>
      <c r="F24" s="66" t="s">
        <v>14</v>
      </c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19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M24" s="58">
        <f>SUM(G24:AK24)</f>
        <v>0</v>
      </c>
      <c r="AP24" s="3"/>
      <c r="BI24" s="142"/>
      <c r="VFB24" s="46"/>
      <c r="VFC24" s="46"/>
      <c r="VFD24" s="46"/>
      <c r="VFE24" s="46"/>
      <c r="VFF24" s="46"/>
      <c r="VFG24" s="46"/>
      <c r="VFH24" s="46"/>
      <c r="VFI24" s="46"/>
      <c r="VFJ24" s="46"/>
      <c r="VFK24" s="46"/>
      <c r="VFL24" s="46"/>
      <c r="VFM24" s="46"/>
      <c r="VFN24" s="46"/>
      <c r="VFO24" s="46"/>
      <c r="VFP24" s="46"/>
      <c r="VFQ24" s="46"/>
      <c r="VFR24" s="46"/>
      <c r="VFS24" s="46"/>
      <c r="VFT24" s="46"/>
      <c r="VFU24" s="46"/>
      <c r="VFV24" s="46"/>
      <c r="VFW24" s="46"/>
      <c r="VFX24" s="46"/>
      <c r="VFY24" s="46"/>
      <c r="VFZ24" s="46"/>
      <c r="VGA24" s="46"/>
      <c r="VGB24" s="46"/>
      <c r="VGC24" s="46"/>
      <c r="VGD24" s="46"/>
      <c r="VGE24" s="46"/>
      <c r="VGF24" s="46"/>
      <c r="VGG24" s="46"/>
      <c r="VGH24" s="46"/>
      <c r="VGI24" s="46"/>
      <c r="VGJ24" s="46"/>
      <c r="VGK24" s="46"/>
      <c r="VGL24" s="46"/>
      <c r="VGM24" s="46"/>
      <c r="VGN24" s="46"/>
      <c r="VGO24" s="46"/>
      <c r="VGP24" s="46"/>
      <c r="VGQ24" s="46"/>
      <c r="VGR24" s="46"/>
      <c r="VGS24" s="46"/>
      <c r="VGT24" s="46"/>
    </row>
    <row r="25" spans="3:61 15030:15074" s="1" customFormat="1">
      <c r="C25" s="15"/>
      <c r="D25" s="65" t="s">
        <v>953</v>
      </c>
      <c r="E25" s="1729">
        <v>559</v>
      </c>
      <c r="F25" s="66" t="s">
        <v>955</v>
      </c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19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M25" s="58">
        <v>0</v>
      </c>
      <c r="AP25" s="3"/>
      <c r="BI25" s="142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</row>
    <row r="26" spans="3:61 15030:15074" s="1" customFormat="1">
      <c r="C26" s="15"/>
      <c r="D26" s="65" t="s">
        <v>954</v>
      </c>
      <c r="E26" s="1730">
        <v>559</v>
      </c>
      <c r="F26" s="66" t="s">
        <v>955</v>
      </c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19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M26" s="58">
        <v>0</v>
      </c>
      <c r="AP26" s="3"/>
      <c r="BI26" s="142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</row>
    <row r="27" spans="3:61 15030:15074" s="1" customFormat="1" ht="15" customHeight="1">
      <c r="C27" s="15"/>
      <c r="D27" s="11" t="s">
        <v>113</v>
      </c>
      <c r="E27" s="948"/>
      <c r="F27" s="70"/>
      <c r="G27" s="949"/>
      <c r="H27" s="949"/>
      <c r="I27" s="949"/>
      <c r="J27" s="949"/>
      <c r="K27" s="949"/>
      <c r="L27" s="949"/>
      <c r="M27" s="949"/>
      <c r="N27" s="949"/>
      <c r="O27" s="949"/>
      <c r="P27" s="1756"/>
      <c r="Q27" s="1756"/>
      <c r="R27" s="949"/>
      <c r="S27" s="1999"/>
      <c r="T27" s="1756"/>
      <c r="U27" s="1756"/>
      <c r="V27" s="1756"/>
      <c r="W27" s="1756"/>
      <c r="X27" s="1756"/>
      <c r="Y27" s="1756"/>
      <c r="Z27" s="1756"/>
      <c r="AA27" s="1756"/>
      <c r="AB27" s="1756"/>
      <c r="AC27" s="1756"/>
      <c r="AD27" s="1756"/>
      <c r="AE27" s="1756"/>
      <c r="AF27" s="1756"/>
      <c r="AG27" s="1756"/>
      <c r="AH27" s="1756"/>
      <c r="AI27" s="1756"/>
      <c r="AJ27" s="1756"/>
      <c r="AK27" s="949"/>
      <c r="AL27" s="63"/>
      <c r="AM27" s="1792">
        <f>AM28/2500000/10</f>
        <v>0</v>
      </c>
      <c r="BI27" s="142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</row>
    <row r="28" spans="3:61 15030:15074" s="1" customFormat="1">
      <c r="C28" s="15"/>
      <c r="D28" s="14" t="s">
        <v>353</v>
      </c>
      <c r="E28" s="742">
        <v>35501</v>
      </c>
      <c r="F28" s="13" t="s">
        <v>14</v>
      </c>
      <c r="G28" s="33">
        <f>SUM(G31,G35,G40,G44,G54)</f>
        <v>0</v>
      </c>
      <c r="H28" s="33">
        <f>SUM(H31,H35,H40,H44,H54)</f>
        <v>0</v>
      </c>
      <c r="I28" s="33">
        <f>SUM(I31,I35,I40,I44,I54)</f>
        <v>0</v>
      </c>
      <c r="J28" s="33">
        <f>SUM(J31,J35,J40,J44,J54)</f>
        <v>0</v>
      </c>
      <c r="K28" s="33"/>
      <c r="L28" s="33">
        <f t="shared" ref="L28:AK28" si="3">SUM(L31,L35,L40,L44,L54)</f>
        <v>0</v>
      </c>
      <c r="M28" s="33">
        <f t="shared" si="3"/>
        <v>0</v>
      </c>
      <c r="N28" s="33">
        <f t="shared" si="3"/>
        <v>0</v>
      </c>
      <c r="O28" s="33">
        <f t="shared" si="3"/>
        <v>0</v>
      </c>
      <c r="P28" s="33">
        <f t="shared" si="3"/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>
        <f t="shared" si="3"/>
        <v>0</v>
      </c>
      <c r="AM28" s="55">
        <f>SUM(G28:AK28)</f>
        <v>0</v>
      </c>
      <c r="AN28" s="745">
        <f>AM28/E19</f>
        <v>0</v>
      </c>
      <c r="AP28" s="3"/>
      <c r="BI28" s="143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</row>
    <row r="29" spans="3:61 15030:15074" s="1" customFormat="1" ht="15" hidden="1" customHeight="1">
      <c r="C29" s="15"/>
      <c r="D29" s="14" t="s">
        <v>352</v>
      </c>
      <c r="E29" s="744"/>
      <c r="F29" s="13" t="s">
        <v>14</v>
      </c>
      <c r="G29" s="33">
        <f>G24-G28</f>
        <v>0</v>
      </c>
      <c r="H29" s="33"/>
      <c r="I29" s="33">
        <f t="shared" ref="I29:AK29" si="4">I24-I28</f>
        <v>0</v>
      </c>
      <c r="J29" s="33" t="e">
        <f>SUM(J32,J36,J41,J45,#REF!)</f>
        <v>#REF!</v>
      </c>
      <c r="K29" s="33">
        <v>68473</v>
      </c>
      <c r="L29" s="33">
        <f t="shared" si="4"/>
        <v>0</v>
      </c>
      <c r="M29" s="33">
        <f t="shared" si="4"/>
        <v>0</v>
      </c>
      <c r="N29" s="33">
        <f t="shared" si="4"/>
        <v>0</v>
      </c>
      <c r="O29" s="33">
        <f t="shared" si="4"/>
        <v>0</v>
      </c>
      <c r="P29" s="33">
        <f t="shared" si="4"/>
        <v>0</v>
      </c>
      <c r="Q29" s="33"/>
      <c r="R29" s="33"/>
      <c r="S29" s="1965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>
        <f t="shared" si="4"/>
        <v>0</v>
      </c>
      <c r="AM29" s="55" t="e">
        <f>SUM(G29:AK29)</f>
        <v>#REF!</v>
      </c>
      <c r="BI29" s="143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</row>
    <row r="30" spans="3:61 15030:15074">
      <c r="C30" s="15"/>
      <c r="D30" s="231" t="s">
        <v>76</v>
      </c>
      <c r="E30" s="232"/>
      <c r="F30" s="233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1968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M30" s="67" t="s">
        <v>63</v>
      </c>
      <c r="AP30" s="3"/>
    </row>
    <row r="31" spans="3:61 15030:15074" s="1" customFormat="1" ht="13.8">
      <c r="C31" s="15"/>
      <c r="D31" s="14" t="s">
        <v>75</v>
      </c>
      <c r="E31" s="256"/>
      <c r="F31" s="20" t="s">
        <v>14</v>
      </c>
      <c r="G31" s="33">
        <f>G32+G33</f>
        <v>0</v>
      </c>
      <c r="H31" s="33">
        <f>H32+H33</f>
        <v>0</v>
      </c>
      <c r="I31" s="33">
        <f t="shared" ref="I31:AK31" si="5">I32+I33</f>
        <v>0</v>
      </c>
      <c r="J31" s="33">
        <f t="shared" si="5"/>
        <v>0</v>
      </c>
      <c r="K31" s="33">
        <v>0</v>
      </c>
      <c r="L31" s="33">
        <f t="shared" si="5"/>
        <v>0</v>
      </c>
      <c r="M31" s="33">
        <f t="shared" si="5"/>
        <v>0</v>
      </c>
      <c r="N31" s="33">
        <f t="shared" si="5"/>
        <v>0</v>
      </c>
      <c r="O31" s="33">
        <f t="shared" si="5"/>
        <v>0</v>
      </c>
      <c r="P31" s="33">
        <f t="shared" si="5"/>
        <v>0</v>
      </c>
      <c r="Q31" s="33">
        <f t="shared" si="5"/>
        <v>0</v>
      </c>
      <c r="R31" s="33">
        <f t="shared" si="5"/>
        <v>0</v>
      </c>
      <c r="S31" s="1965">
        <v>0</v>
      </c>
      <c r="T31" s="33">
        <f t="shared" si="5"/>
        <v>0</v>
      </c>
      <c r="U31" s="33">
        <f t="shared" si="5"/>
        <v>0</v>
      </c>
      <c r="V31" s="33">
        <f t="shared" si="5"/>
        <v>0</v>
      </c>
      <c r="W31" s="33">
        <f t="shared" si="5"/>
        <v>0</v>
      </c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>
        <f t="shared" si="5"/>
        <v>0</v>
      </c>
      <c r="AI31" s="33"/>
      <c r="AJ31" s="33"/>
      <c r="AK31" s="33">
        <f t="shared" si="5"/>
        <v>0</v>
      </c>
      <c r="AM31" s="55">
        <f>SUM(G31:AK31)</f>
        <v>0</v>
      </c>
      <c r="AP31" s="3"/>
      <c r="BI31" s="143"/>
    </row>
    <row r="32" spans="3:61 15030:15074">
      <c r="C32" s="15"/>
      <c r="D32" s="65" t="s">
        <v>74</v>
      </c>
      <c r="E32" s="256">
        <v>25000</v>
      </c>
      <c r="F32" s="66" t="s">
        <v>14</v>
      </c>
      <c r="G32" s="271">
        <v>0</v>
      </c>
      <c r="H32" s="271">
        <v>0</v>
      </c>
      <c r="I32" s="271">
        <v>0</v>
      </c>
      <c r="J32" s="271">
        <v>0</v>
      </c>
      <c r="K32" s="271">
        <v>0</v>
      </c>
      <c r="L32" s="271">
        <v>0</v>
      </c>
      <c r="M32" s="271">
        <v>0</v>
      </c>
      <c r="N32" s="271">
        <v>0</v>
      </c>
      <c r="O32" s="271">
        <v>0</v>
      </c>
      <c r="P32" s="271">
        <v>0</v>
      </c>
      <c r="Q32" s="271">
        <v>0</v>
      </c>
      <c r="R32" s="271">
        <v>0</v>
      </c>
      <c r="S32" s="1971">
        <v>0</v>
      </c>
      <c r="T32" s="271">
        <v>0</v>
      </c>
      <c r="U32" s="271">
        <v>0</v>
      </c>
      <c r="V32" s="271">
        <v>0</v>
      </c>
      <c r="W32" s="271">
        <v>0</v>
      </c>
      <c r="X32" s="271">
        <v>0</v>
      </c>
      <c r="Y32" s="271">
        <v>0</v>
      </c>
      <c r="Z32" s="271">
        <v>0</v>
      </c>
      <c r="AA32" s="271">
        <v>0</v>
      </c>
      <c r="AB32" s="271">
        <v>0</v>
      </c>
      <c r="AC32" s="271">
        <v>0</v>
      </c>
      <c r="AD32" s="271">
        <v>0</v>
      </c>
      <c r="AE32" s="271"/>
      <c r="AF32" s="271">
        <v>0</v>
      </c>
      <c r="AG32" s="271">
        <v>0</v>
      </c>
      <c r="AH32" s="271">
        <v>0</v>
      </c>
      <c r="AI32" s="271"/>
      <c r="AJ32" s="271"/>
      <c r="AK32" s="271">
        <v>0</v>
      </c>
      <c r="AM32" s="58">
        <f>SUM(G32:AK32)</f>
        <v>0</v>
      </c>
    </row>
    <row r="33" spans="1:15026">
      <c r="C33" s="15"/>
      <c r="D33" s="65" t="s">
        <v>73</v>
      </c>
      <c r="E33" s="256">
        <v>6390</v>
      </c>
      <c r="F33" s="66" t="s">
        <v>14</v>
      </c>
      <c r="G33" s="272">
        <v>0</v>
      </c>
      <c r="H33" s="272">
        <v>0</v>
      </c>
      <c r="I33" s="272">
        <v>0</v>
      </c>
      <c r="J33" s="272">
        <v>0</v>
      </c>
      <c r="K33" s="272">
        <v>0</v>
      </c>
      <c r="L33" s="272">
        <v>0</v>
      </c>
      <c r="M33" s="272">
        <v>0</v>
      </c>
      <c r="N33" s="272">
        <v>0</v>
      </c>
      <c r="O33" s="272">
        <v>0</v>
      </c>
      <c r="P33" s="271">
        <v>0</v>
      </c>
      <c r="Q33" s="272">
        <v>0</v>
      </c>
      <c r="R33" s="272">
        <v>0</v>
      </c>
      <c r="S33" s="1972">
        <v>0</v>
      </c>
      <c r="T33" s="272">
        <v>0</v>
      </c>
      <c r="U33" s="272">
        <v>0</v>
      </c>
      <c r="V33" s="272">
        <v>0</v>
      </c>
      <c r="W33" s="272">
        <v>0</v>
      </c>
      <c r="X33" s="272">
        <v>0</v>
      </c>
      <c r="Y33" s="272">
        <v>0</v>
      </c>
      <c r="Z33" s="272">
        <v>0</v>
      </c>
      <c r="AA33" s="272">
        <v>0</v>
      </c>
      <c r="AB33" s="272">
        <v>0</v>
      </c>
      <c r="AC33" s="272">
        <v>0</v>
      </c>
      <c r="AD33" s="272">
        <v>0</v>
      </c>
      <c r="AE33" s="272"/>
      <c r="AF33" s="272">
        <v>0</v>
      </c>
      <c r="AG33" s="272">
        <v>0</v>
      </c>
      <c r="AH33" s="272"/>
      <c r="AI33" s="272"/>
      <c r="AJ33" s="272"/>
      <c r="AK33" s="272">
        <v>0</v>
      </c>
      <c r="AM33" s="58">
        <f>SUM(G33:AK33)</f>
        <v>0</v>
      </c>
    </row>
    <row r="34" spans="1:15026" s="71" customFormat="1" ht="15" customHeight="1">
      <c r="A34" s="63"/>
      <c r="B34" s="63"/>
      <c r="C34" s="69"/>
      <c r="D34" s="231" t="s">
        <v>104</v>
      </c>
      <c r="E34" s="306"/>
      <c r="F34" s="93"/>
      <c r="G34" s="273"/>
      <c r="H34" s="273"/>
      <c r="I34" s="273"/>
      <c r="J34" s="273"/>
      <c r="K34" s="273"/>
      <c r="L34" s="273"/>
      <c r="M34" s="273"/>
      <c r="N34" s="273"/>
      <c r="O34" s="273"/>
      <c r="P34" s="95"/>
      <c r="Q34" s="273"/>
      <c r="R34" s="273"/>
      <c r="S34" s="1973"/>
      <c r="T34" s="273"/>
      <c r="U34" s="273"/>
      <c r="V34" s="273"/>
      <c r="W34" s="273"/>
      <c r="X34" s="273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  <c r="AI34" s="273"/>
      <c r="AJ34" s="273"/>
      <c r="AK34" s="273"/>
      <c r="AL34" s="63"/>
      <c r="AM34" s="67" t="s">
        <v>106</v>
      </c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144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63"/>
      <c r="FH34" s="63"/>
      <c r="FI34" s="63"/>
      <c r="FJ34" s="63"/>
      <c r="FK34" s="63"/>
      <c r="FL34" s="63"/>
      <c r="FM34" s="63"/>
      <c r="FN34" s="63"/>
      <c r="FO34" s="63"/>
      <c r="FP34" s="63"/>
      <c r="FQ34" s="63"/>
      <c r="FR34" s="63"/>
      <c r="FS34" s="63"/>
      <c r="FT34" s="63"/>
      <c r="FU34" s="63"/>
      <c r="FV34" s="63"/>
      <c r="FW34" s="63"/>
      <c r="FX34" s="63"/>
      <c r="FY34" s="63"/>
      <c r="FZ34" s="63"/>
      <c r="GA34" s="63"/>
      <c r="GB34" s="63"/>
      <c r="GC34" s="63"/>
      <c r="GD34" s="63"/>
      <c r="GE34" s="63"/>
      <c r="GF34" s="63"/>
      <c r="GG34" s="63"/>
      <c r="GH34" s="63"/>
      <c r="GI34" s="63"/>
      <c r="GJ34" s="63"/>
      <c r="GK34" s="63"/>
      <c r="GL34" s="63"/>
      <c r="GM34" s="63"/>
      <c r="GN34" s="63"/>
      <c r="GO34" s="63"/>
      <c r="GP34" s="63"/>
      <c r="GQ34" s="63"/>
      <c r="GR34" s="63"/>
      <c r="GS34" s="63"/>
      <c r="GT34" s="63"/>
      <c r="GU34" s="63"/>
      <c r="GV34" s="63"/>
      <c r="GW34" s="63"/>
      <c r="GX34" s="63"/>
      <c r="GY34" s="63"/>
      <c r="GZ34" s="63"/>
      <c r="HA34" s="63"/>
      <c r="HB34" s="63"/>
      <c r="HC34" s="63"/>
      <c r="HD34" s="63"/>
      <c r="HE34" s="63"/>
      <c r="HF34" s="63"/>
      <c r="HG34" s="63"/>
      <c r="HH34" s="63"/>
      <c r="HI34" s="63"/>
      <c r="HJ34" s="63"/>
      <c r="HK34" s="63"/>
      <c r="HL34" s="63"/>
      <c r="HM34" s="63"/>
      <c r="HN34" s="63"/>
      <c r="HO34" s="63"/>
      <c r="HP34" s="63"/>
      <c r="HQ34" s="63"/>
      <c r="HR34" s="63"/>
      <c r="HS34" s="63"/>
      <c r="HT34" s="63"/>
      <c r="HU34" s="63"/>
      <c r="HV34" s="63"/>
      <c r="HW34" s="63"/>
      <c r="HX34" s="63"/>
      <c r="HY34" s="63"/>
      <c r="HZ34" s="63"/>
      <c r="IA34" s="63"/>
      <c r="IB34" s="63"/>
      <c r="IC34" s="63"/>
      <c r="ID34" s="63"/>
      <c r="IE34" s="63"/>
      <c r="IF34" s="63"/>
      <c r="IG34" s="63"/>
      <c r="IH34" s="63"/>
      <c r="II34" s="63"/>
      <c r="IJ34" s="63"/>
      <c r="IK34" s="63"/>
      <c r="IL34" s="63"/>
      <c r="IM34" s="63"/>
      <c r="IN34" s="63"/>
      <c r="IO34" s="63"/>
      <c r="IP34" s="63"/>
      <c r="IQ34" s="63"/>
      <c r="IR34" s="63"/>
      <c r="IS34" s="63"/>
      <c r="IT34" s="63"/>
      <c r="IU34" s="63"/>
      <c r="IV34" s="63"/>
      <c r="IW34" s="63"/>
      <c r="IX34" s="63"/>
      <c r="IY34" s="63"/>
      <c r="IZ34" s="63"/>
      <c r="JA34" s="63"/>
      <c r="JB34" s="63"/>
      <c r="JC34" s="63"/>
      <c r="JD34" s="63"/>
      <c r="JE34" s="63"/>
      <c r="JF34" s="63"/>
      <c r="JG34" s="63"/>
      <c r="JH34" s="63"/>
      <c r="JI34" s="63"/>
      <c r="JJ34" s="63"/>
      <c r="JK34" s="63"/>
      <c r="JL34" s="63"/>
      <c r="JM34" s="63"/>
      <c r="JN34" s="63"/>
      <c r="JO34" s="63"/>
      <c r="JP34" s="63"/>
      <c r="JQ34" s="63"/>
      <c r="JR34" s="63"/>
      <c r="JS34" s="63"/>
      <c r="JT34" s="63"/>
      <c r="JU34" s="63"/>
      <c r="JV34" s="63"/>
      <c r="JW34" s="63"/>
      <c r="JX34" s="63"/>
      <c r="JY34" s="63"/>
      <c r="JZ34" s="63"/>
      <c r="KA34" s="63"/>
      <c r="KB34" s="63"/>
      <c r="KC34" s="63"/>
      <c r="KD34" s="63"/>
      <c r="KE34" s="63"/>
      <c r="KF34" s="63"/>
      <c r="KG34" s="63"/>
      <c r="KH34" s="63"/>
      <c r="KI34" s="63"/>
      <c r="KJ34" s="63"/>
      <c r="KK34" s="63"/>
      <c r="KL34" s="63"/>
      <c r="KM34" s="63"/>
      <c r="KN34" s="63"/>
      <c r="KO34" s="63"/>
      <c r="KP34" s="63"/>
      <c r="KQ34" s="63"/>
      <c r="KR34" s="63"/>
      <c r="KS34" s="63"/>
      <c r="KT34" s="63"/>
      <c r="KU34" s="63"/>
      <c r="KV34" s="63"/>
      <c r="KW34" s="63"/>
      <c r="KX34" s="63"/>
      <c r="KY34" s="63"/>
      <c r="KZ34" s="63"/>
      <c r="LA34" s="63"/>
      <c r="LB34" s="63"/>
      <c r="LC34" s="63"/>
      <c r="LD34" s="63"/>
      <c r="LE34" s="63"/>
      <c r="LF34" s="63"/>
      <c r="LG34" s="63"/>
      <c r="LH34" s="63"/>
      <c r="LI34" s="63"/>
      <c r="LJ34" s="63"/>
      <c r="LK34" s="63"/>
      <c r="LL34" s="63"/>
      <c r="LM34" s="63"/>
      <c r="LN34" s="63"/>
      <c r="LO34" s="63"/>
      <c r="LP34" s="63"/>
      <c r="LQ34" s="63"/>
      <c r="LR34" s="63"/>
      <c r="LS34" s="63"/>
      <c r="LT34" s="63"/>
      <c r="LU34" s="63"/>
      <c r="LV34" s="63"/>
      <c r="LW34" s="63"/>
      <c r="LX34" s="63"/>
      <c r="LY34" s="63"/>
      <c r="LZ34" s="63"/>
      <c r="MA34" s="63"/>
      <c r="MB34" s="63"/>
      <c r="MC34" s="63"/>
      <c r="MD34" s="63"/>
      <c r="ME34" s="63"/>
      <c r="MF34" s="63"/>
      <c r="MG34" s="63"/>
      <c r="MH34" s="63"/>
      <c r="MI34" s="63"/>
      <c r="MJ34" s="63"/>
      <c r="MK34" s="63"/>
      <c r="ML34" s="63"/>
      <c r="MM34" s="63"/>
      <c r="MN34" s="63"/>
      <c r="MO34" s="63"/>
      <c r="MP34" s="63"/>
      <c r="MQ34" s="63"/>
      <c r="MR34" s="63"/>
      <c r="MS34" s="63"/>
      <c r="MT34" s="63"/>
      <c r="MU34" s="63"/>
      <c r="MV34" s="63"/>
      <c r="MW34" s="63"/>
      <c r="MX34" s="63"/>
      <c r="MY34" s="63"/>
      <c r="MZ34" s="63"/>
      <c r="NA34" s="63"/>
      <c r="NB34" s="63"/>
      <c r="NC34" s="63"/>
      <c r="ND34" s="63"/>
      <c r="NE34" s="63"/>
      <c r="NF34" s="63"/>
      <c r="NG34" s="63"/>
      <c r="NH34" s="63"/>
      <c r="NI34" s="63"/>
      <c r="NJ34" s="63"/>
      <c r="NK34" s="63"/>
      <c r="NL34" s="63"/>
      <c r="NM34" s="63"/>
      <c r="NN34" s="63"/>
      <c r="NO34" s="63"/>
      <c r="NP34" s="63"/>
      <c r="NQ34" s="63"/>
      <c r="NR34" s="63"/>
      <c r="NS34" s="63"/>
      <c r="NT34" s="63"/>
      <c r="NU34" s="63"/>
      <c r="NV34" s="63"/>
      <c r="NW34" s="63"/>
      <c r="NX34" s="63"/>
      <c r="NY34" s="63"/>
      <c r="NZ34" s="63"/>
      <c r="OA34" s="63"/>
      <c r="OB34" s="63"/>
      <c r="OC34" s="63"/>
      <c r="OD34" s="63"/>
      <c r="OE34" s="63"/>
      <c r="OF34" s="63"/>
      <c r="OG34" s="63"/>
      <c r="OH34" s="63"/>
      <c r="OI34" s="63"/>
      <c r="OJ34" s="63"/>
      <c r="OK34" s="63"/>
      <c r="OL34" s="63"/>
      <c r="OM34" s="63"/>
      <c r="ON34" s="63"/>
      <c r="OO34" s="63"/>
      <c r="OP34" s="63"/>
      <c r="OQ34" s="63"/>
      <c r="OR34" s="63"/>
      <c r="OS34" s="63"/>
      <c r="OT34" s="63"/>
      <c r="OU34" s="63"/>
      <c r="OV34" s="63"/>
      <c r="OW34" s="63"/>
      <c r="OX34" s="63"/>
      <c r="OY34" s="63"/>
      <c r="OZ34" s="63"/>
      <c r="PA34" s="63"/>
      <c r="PB34" s="63"/>
      <c r="PC34" s="63"/>
      <c r="PD34" s="63"/>
      <c r="PE34" s="63"/>
      <c r="PF34" s="63"/>
      <c r="PG34" s="63"/>
      <c r="PH34" s="63"/>
      <c r="PI34" s="63"/>
      <c r="PJ34" s="63"/>
      <c r="PK34" s="63"/>
      <c r="PL34" s="63"/>
      <c r="PM34" s="63"/>
      <c r="PN34" s="63"/>
      <c r="PO34" s="63"/>
      <c r="PP34" s="63"/>
      <c r="PQ34" s="63"/>
      <c r="PR34" s="63"/>
      <c r="PS34" s="63"/>
      <c r="PT34" s="63"/>
      <c r="PU34" s="63"/>
      <c r="PV34" s="63"/>
      <c r="PW34" s="63"/>
      <c r="PX34" s="63"/>
      <c r="PY34" s="63"/>
      <c r="PZ34" s="63"/>
      <c r="QA34" s="63"/>
      <c r="QB34" s="63"/>
      <c r="QC34" s="63"/>
      <c r="QD34" s="63"/>
      <c r="QE34" s="63"/>
      <c r="QF34" s="63"/>
      <c r="QG34" s="63"/>
      <c r="QH34" s="63"/>
      <c r="QI34" s="63"/>
      <c r="QJ34" s="63"/>
      <c r="QK34" s="63"/>
      <c r="QL34" s="63"/>
      <c r="QM34" s="63"/>
      <c r="QN34" s="63"/>
      <c r="QO34" s="63"/>
      <c r="QP34" s="63"/>
      <c r="QQ34" s="63"/>
      <c r="QR34" s="63"/>
      <c r="QS34" s="63"/>
      <c r="QT34" s="63"/>
      <c r="QU34" s="63"/>
      <c r="QV34" s="63"/>
      <c r="QW34" s="63"/>
      <c r="QX34" s="63"/>
      <c r="QY34" s="63"/>
      <c r="QZ34" s="63"/>
      <c r="RA34" s="63"/>
      <c r="RB34" s="63"/>
      <c r="RC34" s="63"/>
      <c r="RD34" s="63"/>
      <c r="RE34" s="63"/>
      <c r="RF34" s="63"/>
      <c r="RG34" s="63"/>
      <c r="RH34" s="63"/>
      <c r="RI34" s="63"/>
      <c r="RJ34" s="63"/>
      <c r="RK34" s="63"/>
      <c r="RL34" s="63"/>
      <c r="RM34" s="63"/>
      <c r="RN34" s="63"/>
      <c r="RO34" s="63"/>
      <c r="RP34" s="63"/>
      <c r="RQ34" s="63"/>
      <c r="RR34" s="63"/>
      <c r="RS34" s="63"/>
      <c r="RT34" s="63"/>
      <c r="RU34" s="63"/>
      <c r="RV34" s="63"/>
      <c r="RW34" s="63"/>
      <c r="RX34" s="63"/>
      <c r="RY34" s="63"/>
      <c r="RZ34" s="63"/>
      <c r="SA34" s="63"/>
      <c r="SB34" s="63"/>
      <c r="SC34" s="63"/>
      <c r="SD34" s="63"/>
      <c r="SE34" s="63"/>
      <c r="SF34" s="63"/>
      <c r="SG34" s="63"/>
      <c r="SH34" s="63"/>
      <c r="SI34" s="63"/>
      <c r="SJ34" s="63"/>
      <c r="SK34" s="63"/>
      <c r="SL34" s="63"/>
      <c r="SM34" s="63"/>
      <c r="SN34" s="63"/>
      <c r="SO34" s="63"/>
      <c r="SP34" s="63"/>
      <c r="SQ34" s="63"/>
      <c r="SR34" s="63"/>
      <c r="SS34" s="63"/>
      <c r="ST34" s="63"/>
      <c r="SU34" s="63"/>
      <c r="SV34" s="63"/>
      <c r="SW34" s="63"/>
      <c r="SX34" s="63"/>
      <c r="SY34" s="63"/>
      <c r="SZ34" s="63"/>
      <c r="TA34" s="63"/>
      <c r="TB34" s="63"/>
      <c r="TC34" s="63"/>
      <c r="TD34" s="63"/>
      <c r="TE34" s="63"/>
      <c r="TF34" s="63"/>
      <c r="TG34" s="63"/>
      <c r="TH34" s="63"/>
      <c r="TI34" s="63"/>
      <c r="TJ34" s="63"/>
      <c r="TK34" s="63"/>
      <c r="TL34" s="63"/>
      <c r="TM34" s="63"/>
      <c r="TN34" s="63"/>
      <c r="TO34" s="63"/>
      <c r="TP34" s="63"/>
      <c r="TQ34" s="63"/>
      <c r="TR34" s="63"/>
      <c r="TS34" s="63"/>
      <c r="TT34" s="63"/>
      <c r="TU34" s="63"/>
      <c r="TV34" s="63"/>
      <c r="TW34" s="63"/>
      <c r="TX34" s="63"/>
      <c r="TY34" s="63"/>
      <c r="TZ34" s="63"/>
      <c r="UA34" s="63"/>
      <c r="UB34" s="63"/>
      <c r="UC34" s="63"/>
      <c r="UD34" s="63"/>
      <c r="UE34" s="63"/>
      <c r="UF34" s="63"/>
      <c r="UG34" s="63"/>
      <c r="UH34" s="63"/>
      <c r="UI34" s="63"/>
      <c r="UJ34" s="63"/>
      <c r="UK34" s="63"/>
      <c r="UL34" s="63"/>
      <c r="UM34" s="63"/>
      <c r="UN34" s="63"/>
      <c r="UO34" s="63"/>
      <c r="UP34" s="63"/>
      <c r="UQ34" s="63"/>
      <c r="UR34" s="63"/>
      <c r="US34" s="63"/>
      <c r="UT34" s="63"/>
      <c r="UU34" s="63"/>
      <c r="UV34" s="63"/>
      <c r="UW34" s="63"/>
      <c r="UX34" s="63"/>
      <c r="UY34" s="63"/>
      <c r="UZ34" s="63"/>
      <c r="VA34" s="63"/>
      <c r="VB34" s="63"/>
      <c r="VC34" s="63"/>
      <c r="VD34" s="63"/>
      <c r="VE34" s="63"/>
      <c r="VF34" s="63"/>
      <c r="VG34" s="63"/>
      <c r="VH34" s="63"/>
      <c r="VI34" s="63"/>
      <c r="VJ34" s="63"/>
      <c r="VK34" s="63"/>
      <c r="VL34" s="63"/>
      <c r="VM34" s="63"/>
      <c r="VN34" s="63"/>
      <c r="VO34" s="63"/>
      <c r="VP34" s="63"/>
      <c r="VQ34" s="63"/>
      <c r="VR34" s="63"/>
      <c r="VS34" s="63"/>
      <c r="VT34" s="63"/>
      <c r="VU34" s="63"/>
      <c r="VV34" s="63"/>
      <c r="VW34" s="63"/>
      <c r="VX34" s="63"/>
      <c r="VY34" s="63"/>
      <c r="VZ34" s="63"/>
      <c r="WA34" s="63"/>
      <c r="WB34" s="63"/>
      <c r="WC34" s="63"/>
      <c r="WD34" s="63"/>
      <c r="WE34" s="63"/>
      <c r="WF34" s="63"/>
      <c r="WG34" s="63"/>
      <c r="WH34" s="63"/>
      <c r="WI34" s="63"/>
      <c r="WJ34" s="63"/>
      <c r="WK34" s="63"/>
      <c r="WL34" s="63"/>
      <c r="WM34" s="63"/>
      <c r="WN34" s="63"/>
      <c r="WO34" s="63"/>
      <c r="WP34" s="63"/>
      <c r="WQ34" s="63"/>
      <c r="WR34" s="63"/>
      <c r="WS34" s="63"/>
      <c r="WT34" s="63"/>
      <c r="WU34" s="63"/>
      <c r="WV34" s="63"/>
      <c r="WW34" s="63"/>
      <c r="WX34" s="63"/>
      <c r="WY34" s="63"/>
      <c r="WZ34" s="63"/>
      <c r="XA34" s="63"/>
      <c r="XB34" s="63"/>
      <c r="XC34" s="63"/>
      <c r="XD34" s="63"/>
      <c r="XE34" s="63"/>
      <c r="XF34" s="63"/>
      <c r="XG34" s="63"/>
      <c r="XH34" s="63"/>
      <c r="XI34" s="63"/>
      <c r="XJ34" s="63"/>
      <c r="XK34" s="63"/>
      <c r="XL34" s="63"/>
      <c r="XM34" s="63"/>
      <c r="XN34" s="63"/>
      <c r="XO34" s="63"/>
      <c r="XP34" s="63"/>
      <c r="XQ34" s="63"/>
      <c r="XR34" s="63"/>
      <c r="XS34" s="63"/>
      <c r="XT34" s="63"/>
      <c r="XU34" s="63"/>
      <c r="XV34" s="63"/>
      <c r="XW34" s="63"/>
      <c r="XX34" s="63"/>
      <c r="XY34" s="63"/>
      <c r="XZ34" s="63"/>
      <c r="YA34" s="63"/>
      <c r="YB34" s="63"/>
      <c r="YC34" s="63"/>
      <c r="YD34" s="63"/>
      <c r="YE34" s="63"/>
      <c r="YF34" s="63"/>
      <c r="YG34" s="63"/>
      <c r="YH34" s="63"/>
      <c r="YI34" s="63"/>
      <c r="YJ34" s="63"/>
      <c r="YK34" s="63"/>
      <c r="YL34" s="63"/>
      <c r="YM34" s="63"/>
      <c r="YN34" s="63"/>
      <c r="YO34" s="63"/>
      <c r="YP34" s="63"/>
      <c r="YQ34" s="63"/>
      <c r="YR34" s="63"/>
      <c r="YS34" s="63"/>
      <c r="YT34" s="63"/>
      <c r="YU34" s="63"/>
      <c r="YV34" s="63"/>
      <c r="YW34" s="63"/>
      <c r="YX34" s="63"/>
      <c r="YY34" s="63"/>
      <c r="YZ34" s="63"/>
      <c r="ZA34" s="63"/>
      <c r="ZB34" s="63"/>
      <c r="ZC34" s="63"/>
      <c r="ZD34" s="63"/>
      <c r="ZE34" s="63"/>
      <c r="ZF34" s="63"/>
      <c r="ZG34" s="63"/>
      <c r="ZH34" s="63"/>
      <c r="ZI34" s="63"/>
      <c r="ZJ34" s="63"/>
      <c r="ZK34" s="63"/>
      <c r="ZL34" s="63"/>
      <c r="ZM34" s="63"/>
      <c r="ZN34" s="63"/>
      <c r="ZO34" s="63"/>
      <c r="ZP34" s="63"/>
      <c r="ZQ34" s="63"/>
      <c r="ZR34" s="63"/>
      <c r="ZS34" s="63"/>
      <c r="ZT34" s="63"/>
      <c r="ZU34" s="63"/>
      <c r="ZV34" s="63"/>
      <c r="ZW34" s="63"/>
      <c r="ZX34" s="63"/>
      <c r="ZY34" s="63"/>
      <c r="ZZ34" s="63"/>
      <c r="AAA34" s="63"/>
      <c r="AAB34" s="63"/>
      <c r="AAC34" s="63"/>
      <c r="AAD34" s="63"/>
      <c r="AAE34" s="63"/>
      <c r="AAF34" s="63"/>
      <c r="AAG34" s="63"/>
      <c r="AAH34" s="63"/>
      <c r="AAI34" s="63"/>
      <c r="AAJ34" s="63"/>
      <c r="AAK34" s="63"/>
      <c r="AAL34" s="63"/>
      <c r="AAM34" s="63"/>
      <c r="AAN34" s="63"/>
      <c r="AAO34" s="63"/>
      <c r="AAP34" s="63"/>
      <c r="AAQ34" s="63"/>
      <c r="AAR34" s="63"/>
      <c r="AAS34" s="63"/>
      <c r="AAT34" s="63"/>
      <c r="AAU34" s="63"/>
      <c r="AAV34" s="63"/>
      <c r="AAW34" s="63"/>
      <c r="AAX34" s="63"/>
      <c r="AAY34" s="63"/>
      <c r="AAZ34" s="63"/>
      <c r="ABA34" s="63"/>
      <c r="ABB34" s="63"/>
      <c r="ABC34" s="63"/>
      <c r="ABD34" s="63"/>
      <c r="ABE34" s="63"/>
      <c r="ABF34" s="63"/>
      <c r="ABG34" s="63"/>
      <c r="ABH34" s="63"/>
      <c r="ABI34" s="63"/>
      <c r="ABJ34" s="63"/>
      <c r="ABK34" s="63"/>
      <c r="ABL34" s="63"/>
      <c r="ABM34" s="63"/>
      <c r="ABN34" s="63"/>
      <c r="ABO34" s="63"/>
      <c r="ABP34" s="63"/>
      <c r="ABQ34" s="63"/>
      <c r="ABR34" s="63"/>
      <c r="ABS34" s="63"/>
      <c r="ABT34" s="63"/>
      <c r="ABU34" s="63"/>
      <c r="ABV34" s="63"/>
      <c r="ABW34" s="63"/>
      <c r="ABX34" s="63"/>
      <c r="ABY34" s="63"/>
      <c r="ABZ34" s="63"/>
      <c r="ACA34" s="63"/>
      <c r="ACB34" s="63"/>
      <c r="ACC34" s="63"/>
      <c r="ACD34" s="63"/>
      <c r="ACE34" s="63"/>
      <c r="ACF34" s="63"/>
      <c r="ACG34" s="63"/>
      <c r="ACH34" s="63"/>
      <c r="ACI34" s="63"/>
      <c r="ACJ34" s="63"/>
      <c r="ACK34" s="63"/>
      <c r="ACL34" s="63"/>
      <c r="ACM34" s="63"/>
      <c r="ACN34" s="63"/>
      <c r="ACO34" s="63"/>
      <c r="ACP34" s="63"/>
      <c r="ACQ34" s="63"/>
      <c r="ACR34" s="63"/>
      <c r="ACS34" s="63"/>
      <c r="ACT34" s="63"/>
      <c r="ACU34" s="63"/>
      <c r="ACV34" s="63"/>
      <c r="ACW34" s="63"/>
      <c r="ACX34" s="63"/>
      <c r="ACY34" s="63"/>
      <c r="ACZ34" s="63"/>
      <c r="ADA34" s="63"/>
      <c r="ADB34" s="63"/>
      <c r="ADC34" s="63"/>
      <c r="ADD34" s="63"/>
      <c r="ADE34" s="63"/>
      <c r="ADF34" s="63"/>
      <c r="ADG34" s="63"/>
      <c r="ADH34" s="63"/>
      <c r="ADI34" s="63"/>
      <c r="ADJ34" s="63"/>
      <c r="ADK34" s="63"/>
      <c r="ADL34" s="63"/>
      <c r="ADM34" s="63"/>
      <c r="ADN34" s="63"/>
      <c r="ADO34" s="63"/>
      <c r="ADP34" s="63"/>
      <c r="ADQ34" s="63"/>
      <c r="ADR34" s="63"/>
      <c r="ADS34" s="63"/>
      <c r="ADT34" s="63"/>
      <c r="ADU34" s="63"/>
      <c r="ADV34" s="63"/>
      <c r="ADW34" s="63"/>
      <c r="ADX34" s="63"/>
      <c r="ADY34" s="63"/>
      <c r="ADZ34" s="63"/>
      <c r="AEA34" s="63"/>
      <c r="AEB34" s="63"/>
      <c r="AEC34" s="63"/>
      <c r="AED34" s="63"/>
      <c r="AEE34" s="63"/>
      <c r="AEF34" s="63"/>
      <c r="AEG34" s="63"/>
      <c r="AEH34" s="63"/>
      <c r="AEI34" s="63"/>
      <c r="AEJ34" s="63"/>
      <c r="AEK34" s="63"/>
      <c r="AEL34" s="63"/>
      <c r="AEM34" s="63"/>
      <c r="AEN34" s="63"/>
      <c r="AEO34" s="63"/>
      <c r="AEP34" s="63"/>
      <c r="AEQ34" s="63"/>
      <c r="AER34" s="63"/>
      <c r="AES34" s="63"/>
      <c r="AET34" s="63"/>
      <c r="AEU34" s="63"/>
      <c r="AEV34" s="63"/>
      <c r="AEW34" s="63"/>
      <c r="AEX34" s="63"/>
      <c r="AEY34" s="63"/>
      <c r="AEZ34" s="63"/>
      <c r="AFA34" s="63"/>
      <c r="AFB34" s="63"/>
      <c r="AFC34" s="63"/>
      <c r="AFD34" s="63"/>
      <c r="AFE34" s="63"/>
      <c r="AFF34" s="63"/>
      <c r="AFG34" s="63"/>
      <c r="AFH34" s="63"/>
      <c r="AFI34" s="63"/>
      <c r="AFJ34" s="63"/>
      <c r="AFK34" s="63"/>
      <c r="AFL34" s="63"/>
      <c r="AFM34" s="63"/>
      <c r="AFN34" s="63"/>
      <c r="AFO34" s="63"/>
      <c r="AFP34" s="63"/>
      <c r="AFQ34" s="63"/>
      <c r="AFR34" s="63"/>
      <c r="AFS34" s="63"/>
      <c r="AFT34" s="63"/>
      <c r="AFU34" s="63"/>
      <c r="AFV34" s="63"/>
      <c r="AFW34" s="63"/>
      <c r="AFX34" s="63"/>
      <c r="AFY34" s="63"/>
      <c r="AFZ34" s="63"/>
      <c r="AGA34" s="63"/>
      <c r="AGB34" s="63"/>
      <c r="AGC34" s="63"/>
      <c r="AGD34" s="63"/>
      <c r="AGE34" s="63"/>
      <c r="AGF34" s="63"/>
      <c r="AGG34" s="63"/>
      <c r="AGH34" s="63"/>
      <c r="AGI34" s="63"/>
      <c r="AGJ34" s="63"/>
      <c r="AGK34" s="63"/>
      <c r="AGL34" s="63"/>
      <c r="AGM34" s="63"/>
      <c r="AGN34" s="63"/>
      <c r="AGO34" s="63"/>
      <c r="AGP34" s="63"/>
      <c r="AGQ34" s="63"/>
      <c r="AGR34" s="63"/>
      <c r="AGS34" s="63"/>
      <c r="AGT34" s="63"/>
      <c r="AGU34" s="63"/>
      <c r="AGV34" s="63"/>
      <c r="AGW34" s="63"/>
      <c r="AGX34" s="63"/>
      <c r="AGY34" s="63"/>
      <c r="AGZ34" s="63"/>
      <c r="AHA34" s="63"/>
      <c r="AHB34" s="63"/>
      <c r="AHC34" s="63"/>
      <c r="AHD34" s="63"/>
      <c r="AHE34" s="63"/>
      <c r="AHF34" s="63"/>
      <c r="AHG34" s="63"/>
      <c r="AHH34" s="63"/>
      <c r="AHI34" s="63"/>
      <c r="AHJ34" s="63"/>
      <c r="AHK34" s="63"/>
      <c r="AHL34" s="63"/>
      <c r="AHM34" s="63"/>
      <c r="AHN34" s="63"/>
      <c r="AHO34" s="63"/>
      <c r="AHP34" s="63"/>
      <c r="AHQ34" s="63"/>
      <c r="AHR34" s="63"/>
      <c r="AHS34" s="63"/>
      <c r="AHT34" s="63"/>
      <c r="AHU34" s="63"/>
      <c r="AHV34" s="63"/>
      <c r="AHW34" s="63"/>
      <c r="AHX34" s="63"/>
      <c r="AHY34" s="63"/>
      <c r="AHZ34" s="63"/>
      <c r="AIA34" s="63"/>
      <c r="AIB34" s="63"/>
      <c r="AIC34" s="63"/>
      <c r="AID34" s="63"/>
      <c r="AIE34" s="63"/>
      <c r="AIF34" s="63"/>
      <c r="AIG34" s="63"/>
      <c r="AIH34" s="63"/>
      <c r="AII34" s="63"/>
      <c r="AIJ34" s="63"/>
      <c r="AIK34" s="63"/>
      <c r="AIL34" s="63"/>
      <c r="AIM34" s="63"/>
      <c r="AIN34" s="63"/>
      <c r="AIO34" s="63"/>
      <c r="AIP34" s="63"/>
      <c r="AIQ34" s="63"/>
      <c r="AIR34" s="63"/>
      <c r="AIS34" s="63"/>
      <c r="AIT34" s="63"/>
      <c r="AIU34" s="63"/>
      <c r="AIV34" s="63"/>
      <c r="AIW34" s="63"/>
      <c r="AIX34" s="63"/>
      <c r="AIY34" s="63"/>
      <c r="AIZ34" s="63"/>
      <c r="AJA34" s="63"/>
      <c r="AJB34" s="63"/>
      <c r="AJC34" s="63"/>
      <c r="AJD34" s="63"/>
      <c r="AJE34" s="63"/>
      <c r="AJF34" s="63"/>
      <c r="AJG34" s="63"/>
      <c r="AJH34" s="63"/>
      <c r="AJI34" s="63"/>
      <c r="AJJ34" s="63"/>
      <c r="AJK34" s="63"/>
      <c r="AJL34" s="63"/>
      <c r="AJM34" s="63"/>
      <c r="AJN34" s="63"/>
      <c r="AJO34" s="63"/>
      <c r="AJP34" s="63"/>
      <c r="AJQ34" s="63"/>
      <c r="AJR34" s="63"/>
      <c r="AJS34" s="63"/>
      <c r="AJT34" s="63"/>
      <c r="AJU34" s="63"/>
      <c r="AJV34" s="63"/>
      <c r="AJW34" s="63"/>
      <c r="AJX34" s="63"/>
      <c r="AJY34" s="63"/>
      <c r="AJZ34" s="63"/>
      <c r="AKA34" s="63"/>
      <c r="AKB34" s="63"/>
      <c r="AKC34" s="63"/>
      <c r="AKD34" s="63"/>
      <c r="AKE34" s="63"/>
      <c r="AKF34" s="63"/>
      <c r="AKG34" s="63"/>
      <c r="AKH34" s="63"/>
      <c r="AKI34" s="63"/>
      <c r="AKJ34" s="63"/>
      <c r="AKK34" s="63"/>
      <c r="AKL34" s="63"/>
      <c r="AKM34" s="63"/>
      <c r="AKN34" s="63"/>
      <c r="AKO34" s="63"/>
      <c r="AKP34" s="63"/>
      <c r="AKQ34" s="63"/>
      <c r="AKR34" s="63"/>
      <c r="AKS34" s="63"/>
      <c r="AKT34" s="63"/>
      <c r="AKU34" s="63"/>
      <c r="AKV34" s="63"/>
      <c r="AKW34" s="63"/>
      <c r="AKX34" s="63"/>
      <c r="AKY34" s="63"/>
      <c r="AKZ34" s="63"/>
      <c r="ALA34" s="63"/>
      <c r="ALB34" s="63"/>
      <c r="ALC34" s="63"/>
      <c r="ALD34" s="63"/>
      <c r="ALE34" s="63"/>
      <c r="ALF34" s="63"/>
      <c r="ALG34" s="63"/>
      <c r="ALH34" s="63"/>
      <c r="ALI34" s="63"/>
      <c r="ALJ34" s="63"/>
      <c r="ALK34" s="63"/>
      <c r="ALL34" s="63"/>
      <c r="ALM34" s="63"/>
      <c r="ALN34" s="63"/>
      <c r="ALO34" s="63"/>
      <c r="ALP34" s="63"/>
      <c r="ALQ34" s="63"/>
      <c r="ALR34" s="63"/>
      <c r="ALS34" s="63"/>
      <c r="ALT34" s="63"/>
      <c r="ALU34" s="63"/>
      <c r="ALV34" s="63"/>
      <c r="ALW34" s="63"/>
      <c r="ALX34" s="63"/>
      <c r="ALY34" s="63"/>
      <c r="ALZ34" s="63"/>
      <c r="AMA34" s="63"/>
      <c r="AMB34" s="63"/>
      <c r="AMC34" s="63"/>
      <c r="AMD34" s="63"/>
      <c r="AME34" s="63"/>
      <c r="AMF34" s="63"/>
      <c r="AMG34" s="63"/>
      <c r="AMH34" s="63"/>
      <c r="AMI34" s="63"/>
      <c r="AMJ34" s="63"/>
      <c r="AMK34" s="63"/>
      <c r="AML34" s="63"/>
      <c r="AMM34" s="63"/>
      <c r="AMN34" s="63"/>
      <c r="AMO34" s="63"/>
      <c r="AMP34" s="63"/>
      <c r="AMQ34" s="63"/>
      <c r="AMR34" s="63"/>
      <c r="AMS34" s="63"/>
      <c r="AMT34" s="63"/>
      <c r="AMU34" s="63"/>
      <c r="AMV34" s="63"/>
      <c r="AMW34" s="63"/>
      <c r="AMX34" s="63"/>
      <c r="AMY34" s="63"/>
      <c r="AMZ34" s="63"/>
      <c r="ANA34" s="63"/>
      <c r="ANB34" s="63"/>
      <c r="ANC34" s="63"/>
      <c r="AND34" s="63"/>
      <c r="ANE34" s="63"/>
      <c r="ANF34" s="63"/>
      <c r="ANG34" s="63"/>
      <c r="ANH34" s="63"/>
      <c r="ANI34" s="63"/>
      <c r="ANJ34" s="63"/>
      <c r="ANK34" s="63"/>
      <c r="ANL34" s="63"/>
      <c r="ANM34" s="63"/>
      <c r="ANN34" s="63"/>
      <c r="ANO34" s="63"/>
      <c r="ANP34" s="63"/>
      <c r="ANQ34" s="63"/>
      <c r="ANR34" s="63"/>
      <c r="ANS34" s="63"/>
      <c r="ANT34" s="63"/>
      <c r="ANU34" s="63"/>
      <c r="ANV34" s="63"/>
      <c r="ANW34" s="63"/>
      <c r="ANX34" s="63"/>
      <c r="ANY34" s="63"/>
      <c r="ANZ34" s="63"/>
      <c r="AOA34" s="63"/>
      <c r="AOB34" s="63"/>
      <c r="AOC34" s="63"/>
      <c r="AOD34" s="63"/>
      <c r="AOE34" s="63"/>
      <c r="AOF34" s="63"/>
      <c r="AOG34" s="63"/>
      <c r="AOH34" s="63"/>
      <c r="AOI34" s="63"/>
      <c r="AOJ34" s="63"/>
      <c r="AOK34" s="63"/>
      <c r="AOL34" s="63"/>
      <c r="AOM34" s="63"/>
      <c r="AON34" s="63"/>
      <c r="AOO34" s="63"/>
      <c r="AOP34" s="63"/>
      <c r="AOQ34" s="63"/>
      <c r="AOR34" s="63"/>
      <c r="AOS34" s="63"/>
      <c r="AOT34" s="63"/>
      <c r="AOU34" s="63"/>
      <c r="AOV34" s="63"/>
      <c r="AOW34" s="63"/>
      <c r="AOX34" s="63"/>
      <c r="AOY34" s="63"/>
      <c r="AOZ34" s="63"/>
      <c r="APA34" s="63"/>
      <c r="APB34" s="63"/>
      <c r="APC34" s="63"/>
      <c r="APD34" s="63"/>
      <c r="APE34" s="63"/>
      <c r="APF34" s="63"/>
      <c r="APG34" s="63"/>
      <c r="APH34" s="63"/>
      <c r="API34" s="63"/>
      <c r="APJ34" s="63"/>
      <c r="APK34" s="63"/>
      <c r="APL34" s="63"/>
      <c r="APM34" s="63"/>
      <c r="APN34" s="63"/>
      <c r="APO34" s="63"/>
      <c r="APP34" s="63"/>
      <c r="APQ34" s="63"/>
      <c r="APR34" s="63"/>
      <c r="APS34" s="63"/>
      <c r="APT34" s="63"/>
      <c r="APU34" s="63"/>
      <c r="APV34" s="63"/>
      <c r="APW34" s="63"/>
      <c r="APX34" s="63"/>
      <c r="APY34" s="63"/>
      <c r="APZ34" s="63"/>
      <c r="AQA34" s="63"/>
      <c r="AQB34" s="63"/>
      <c r="AQC34" s="63"/>
      <c r="AQD34" s="63"/>
      <c r="AQE34" s="63"/>
      <c r="AQF34" s="63"/>
      <c r="AQG34" s="63"/>
      <c r="AQH34" s="63"/>
      <c r="AQI34" s="63"/>
      <c r="AQJ34" s="63"/>
      <c r="AQK34" s="63"/>
      <c r="AQL34" s="63"/>
      <c r="AQM34" s="63"/>
      <c r="AQN34" s="63"/>
      <c r="AQO34" s="63"/>
      <c r="AQP34" s="63"/>
      <c r="AQQ34" s="63"/>
      <c r="AQR34" s="63"/>
      <c r="AQS34" s="63"/>
      <c r="AQT34" s="63"/>
      <c r="AQU34" s="63"/>
      <c r="AQV34" s="63"/>
      <c r="AQW34" s="63"/>
      <c r="AQX34" s="63"/>
      <c r="AQY34" s="63"/>
      <c r="AQZ34" s="63"/>
      <c r="ARA34" s="63"/>
      <c r="ARB34" s="63"/>
      <c r="ARC34" s="63"/>
      <c r="ARD34" s="63"/>
      <c r="ARE34" s="63"/>
      <c r="ARF34" s="63"/>
      <c r="ARG34" s="63"/>
      <c r="ARH34" s="63"/>
      <c r="ARI34" s="63"/>
      <c r="ARJ34" s="63"/>
      <c r="ARK34" s="63"/>
      <c r="ARL34" s="63"/>
      <c r="ARM34" s="63"/>
      <c r="ARN34" s="63"/>
      <c r="ARO34" s="63"/>
      <c r="ARP34" s="63"/>
      <c r="ARQ34" s="63"/>
      <c r="ARR34" s="63"/>
      <c r="ARS34" s="63"/>
      <c r="ART34" s="63"/>
      <c r="ARU34" s="63"/>
      <c r="ARV34" s="63"/>
      <c r="ARW34" s="63"/>
      <c r="ARX34" s="63"/>
      <c r="ARY34" s="63"/>
      <c r="ARZ34" s="63"/>
      <c r="ASA34" s="63"/>
      <c r="ASB34" s="63"/>
      <c r="ASC34" s="63"/>
      <c r="ASD34" s="63"/>
      <c r="ASE34" s="63"/>
      <c r="ASF34" s="63"/>
      <c r="ASG34" s="63"/>
      <c r="ASH34" s="63"/>
      <c r="ASI34" s="63"/>
      <c r="ASJ34" s="63"/>
      <c r="ASK34" s="63"/>
      <c r="ASL34" s="63"/>
      <c r="ASM34" s="63"/>
      <c r="ASN34" s="63"/>
      <c r="ASO34" s="63"/>
      <c r="ASP34" s="63"/>
      <c r="ASQ34" s="63"/>
      <c r="ASR34" s="63"/>
      <c r="ASS34" s="63"/>
      <c r="AST34" s="63"/>
      <c r="ASU34" s="63"/>
      <c r="ASV34" s="63"/>
      <c r="ASW34" s="63"/>
      <c r="ASX34" s="63"/>
      <c r="ASY34" s="63"/>
      <c r="ASZ34" s="63"/>
      <c r="ATA34" s="63"/>
      <c r="ATB34" s="63"/>
      <c r="ATC34" s="63"/>
      <c r="ATD34" s="63"/>
      <c r="ATE34" s="63"/>
      <c r="ATF34" s="63"/>
      <c r="ATG34" s="63"/>
      <c r="ATH34" s="63"/>
      <c r="ATI34" s="63"/>
      <c r="ATJ34" s="63"/>
      <c r="ATK34" s="63"/>
      <c r="ATL34" s="63"/>
      <c r="ATM34" s="63"/>
      <c r="ATN34" s="63"/>
      <c r="ATO34" s="63"/>
      <c r="ATP34" s="63"/>
      <c r="ATQ34" s="63"/>
      <c r="ATR34" s="63"/>
      <c r="ATS34" s="63"/>
      <c r="ATT34" s="63"/>
      <c r="ATU34" s="63"/>
      <c r="ATV34" s="63"/>
      <c r="ATW34" s="63"/>
      <c r="ATX34" s="63"/>
      <c r="ATY34" s="63"/>
      <c r="ATZ34" s="63"/>
      <c r="AUA34" s="63"/>
      <c r="AUB34" s="63"/>
      <c r="AUC34" s="63"/>
      <c r="AUD34" s="63"/>
      <c r="AUE34" s="63"/>
      <c r="AUF34" s="63"/>
      <c r="AUG34" s="63"/>
      <c r="AUH34" s="63"/>
      <c r="AUI34" s="63"/>
      <c r="AUJ34" s="63"/>
      <c r="AUK34" s="63"/>
      <c r="AUL34" s="63"/>
      <c r="AUM34" s="63"/>
      <c r="AUN34" s="63"/>
      <c r="AUO34" s="63"/>
      <c r="AUP34" s="63"/>
      <c r="AUQ34" s="63"/>
      <c r="AUR34" s="63"/>
      <c r="AUS34" s="63"/>
      <c r="AUT34" s="63"/>
      <c r="AUU34" s="63"/>
      <c r="AUV34" s="63"/>
      <c r="AUW34" s="63"/>
      <c r="AUX34" s="63"/>
      <c r="AUY34" s="63"/>
      <c r="AUZ34" s="63"/>
      <c r="AVA34" s="63"/>
      <c r="AVB34" s="63"/>
      <c r="AVC34" s="63"/>
      <c r="AVD34" s="63"/>
      <c r="AVE34" s="63"/>
      <c r="AVF34" s="63"/>
      <c r="AVG34" s="63"/>
      <c r="AVH34" s="63"/>
      <c r="AVI34" s="63"/>
      <c r="AVJ34" s="63"/>
      <c r="AVK34" s="63"/>
      <c r="AVL34" s="63"/>
      <c r="AVM34" s="63"/>
      <c r="AVN34" s="63"/>
      <c r="AVO34" s="63"/>
      <c r="AVP34" s="63"/>
      <c r="AVQ34" s="63"/>
      <c r="AVR34" s="63"/>
      <c r="AVS34" s="63"/>
      <c r="AVT34" s="63"/>
      <c r="AVU34" s="63"/>
      <c r="AVV34" s="63"/>
      <c r="AVW34" s="63"/>
      <c r="AVX34" s="63"/>
      <c r="AVY34" s="63"/>
      <c r="AVZ34" s="63"/>
      <c r="AWA34" s="63"/>
      <c r="AWB34" s="63"/>
      <c r="AWC34" s="63"/>
      <c r="AWD34" s="63"/>
      <c r="AWE34" s="63"/>
      <c r="AWF34" s="63"/>
      <c r="AWG34" s="63"/>
      <c r="AWH34" s="63"/>
      <c r="AWI34" s="63"/>
      <c r="AWJ34" s="63"/>
      <c r="AWK34" s="63"/>
      <c r="AWL34" s="63"/>
      <c r="AWM34" s="63"/>
      <c r="AWN34" s="63"/>
      <c r="AWO34" s="63"/>
      <c r="AWP34" s="63"/>
      <c r="AWQ34" s="63"/>
      <c r="AWR34" s="63"/>
      <c r="AWS34" s="63"/>
      <c r="AWT34" s="63"/>
      <c r="AWU34" s="63"/>
      <c r="AWV34" s="63"/>
      <c r="AWW34" s="63"/>
      <c r="AWX34" s="63"/>
      <c r="AWY34" s="63"/>
      <c r="AWZ34" s="63"/>
      <c r="AXA34" s="63"/>
      <c r="AXB34" s="63"/>
      <c r="AXC34" s="63"/>
      <c r="AXD34" s="63"/>
      <c r="AXE34" s="63"/>
      <c r="AXF34" s="63"/>
      <c r="AXG34" s="63"/>
      <c r="AXH34" s="63"/>
      <c r="AXI34" s="63"/>
      <c r="AXJ34" s="63"/>
      <c r="AXK34" s="63"/>
      <c r="AXL34" s="63"/>
      <c r="AXM34" s="63"/>
      <c r="AXN34" s="63"/>
      <c r="AXO34" s="63"/>
      <c r="AXP34" s="63"/>
      <c r="AXQ34" s="63"/>
      <c r="AXR34" s="63"/>
      <c r="AXS34" s="63"/>
      <c r="AXT34" s="63"/>
      <c r="AXU34" s="63"/>
      <c r="AXV34" s="63"/>
      <c r="AXW34" s="63"/>
      <c r="AXX34" s="63"/>
      <c r="AXY34" s="63"/>
      <c r="AXZ34" s="63"/>
      <c r="AYA34" s="63"/>
      <c r="AYB34" s="63"/>
      <c r="AYC34" s="63"/>
      <c r="AYD34" s="63"/>
      <c r="AYE34" s="63"/>
      <c r="AYF34" s="63"/>
      <c r="AYG34" s="63"/>
      <c r="AYH34" s="63"/>
      <c r="AYI34" s="63"/>
      <c r="AYJ34" s="63"/>
      <c r="AYK34" s="63"/>
      <c r="AYL34" s="63"/>
      <c r="AYM34" s="63"/>
      <c r="AYN34" s="63"/>
      <c r="AYO34" s="63"/>
      <c r="AYP34" s="63"/>
      <c r="AYQ34" s="63"/>
      <c r="AYR34" s="63"/>
      <c r="AYS34" s="63"/>
      <c r="AYT34" s="63"/>
      <c r="AYU34" s="63"/>
      <c r="AYV34" s="63"/>
      <c r="AYW34" s="63"/>
      <c r="AYX34" s="63"/>
      <c r="AYY34" s="63"/>
      <c r="AYZ34" s="63"/>
      <c r="AZA34" s="63"/>
      <c r="AZB34" s="63"/>
      <c r="AZC34" s="63"/>
      <c r="AZD34" s="63"/>
      <c r="AZE34" s="63"/>
      <c r="AZF34" s="63"/>
      <c r="AZG34" s="63"/>
      <c r="AZH34" s="63"/>
      <c r="AZI34" s="63"/>
      <c r="AZJ34" s="63"/>
      <c r="AZK34" s="63"/>
      <c r="AZL34" s="63"/>
      <c r="AZM34" s="63"/>
      <c r="AZN34" s="63"/>
      <c r="AZO34" s="63"/>
      <c r="AZP34" s="63"/>
      <c r="AZQ34" s="63"/>
      <c r="AZR34" s="63"/>
      <c r="AZS34" s="63"/>
      <c r="AZT34" s="63"/>
      <c r="AZU34" s="63"/>
      <c r="AZV34" s="63"/>
      <c r="AZW34" s="63"/>
      <c r="AZX34" s="63"/>
      <c r="AZY34" s="63"/>
      <c r="AZZ34" s="63"/>
      <c r="BAA34" s="63"/>
      <c r="BAB34" s="63"/>
      <c r="BAC34" s="63"/>
      <c r="BAD34" s="63"/>
      <c r="BAE34" s="63"/>
      <c r="BAF34" s="63"/>
      <c r="BAG34" s="63"/>
      <c r="BAH34" s="63"/>
      <c r="BAI34" s="63"/>
      <c r="BAJ34" s="63"/>
      <c r="BAK34" s="63"/>
      <c r="BAL34" s="63"/>
      <c r="BAM34" s="63"/>
      <c r="BAN34" s="63"/>
      <c r="BAO34" s="63"/>
      <c r="BAP34" s="63"/>
      <c r="BAQ34" s="63"/>
      <c r="BAR34" s="63"/>
      <c r="BAS34" s="63"/>
      <c r="BAT34" s="63"/>
      <c r="BAU34" s="63"/>
      <c r="BAV34" s="63"/>
      <c r="BAW34" s="63"/>
      <c r="BAX34" s="63"/>
      <c r="BAY34" s="63"/>
      <c r="BAZ34" s="63"/>
      <c r="BBA34" s="63"/>
      <c r="BBB34" s="63"/>
      <c r="BBC34" s="63"/>
      <c r="BBD34" s="63"/>
      <c r="BBE34" s="63"/>
      <c r="BBF34" s="63"/>
      <c r="BBG34" s="63"/>
      <c r="BBH34" s="63"/>
      <c r="BBI34" s="63"/>
      <c r="BBJ34" s="63"/>
      <c r="BBK34" s="63"/>
      <c r="BBL34" s="63"/>
      <c r="BBM34" s="63"/>
      <c r="BBN34" s="63"/>
      <c r="BBO34" s="63"/>
      <c r="BBP34" s="63"/>
      <c r="BBQ34" s="63"/>
      <c r="BBR34" s="63"/>
      <c r="BBS34" s="63"/>
      <c r="BBT34" s="63"/>
      <c r="BBU34" s="63"/>
      <c r="BBV34" s="63"/>
      <c r="BBW34" s="63"/>
      <c r="BBX34" s="63"/>
      <c r="BBY34" s="63"/>
      <c r="BBZ34" s="63"/>
      <c r="BCA34" s="63"/>
      <c r="BCB34" s="63"/>
      <c r="BCC34" s="63"/>
      <c r="BCD34" s="63"/>
      <c r="BCE34" s="63"/>
      <c r="BCF34" s="63"/>
      <c r="BCG34" s="63"/>
      <c r="BCH34" s="63"/>
      <c r="BCI34" s="63"/>
      <c r="BCJ34" s="63"/>
      <c r="BCK34" s="63"/>
      <c r="BCL34" s="63"/>
      <c r="BCM34" s="63"/>
      <c r="BCN34" s="63"/>
      <c r="BCO34" s="63"/>
      <c r="BCP34" s="63"/>
      <c r="BCQ34" s="63"/>
      <c r="BCR34" s="63"/>
      <c r="BCS34" s="63"/>
      <c r="BCT34" s="63"/>
      <c r="BCU34" s="63"/>
      <c r="BCV34" s="63"/>
      <c r="BCW34" s="63"/>
      <c r="BCX34" s="63"/>
      <c r="BCY34" s="63"/>
      <c r="BCZ34" s="63"/>
      <c r="BDA34" s="63"/>
      <c r="BDB34" s="63"/>
      <c r="BDC34" s="63"/>
      <c r="BDD34" s="63"/>
      <c r="BDE34" s="63"/>
      <c r="BDF34" s="63"/>
      <c r="BDG34" s="63"/>
      <c r="BDH34" s="63"/>
      <c r="BDI34" s="63"/>
      <c r="BDJ34" s="63"/>
      <c r="BDK34" s="63"/>
      <c r="BDL34" s="63"/>
      <c r="BDM34" s="63"/>
      <c r="BDN34" s="63"/>
      <c r="BDO34" s="63"/>
      <c r="BDP34" s="63"/>
      <c r="BDQ34" s="63"/>
      <c r="BDR34" s="63"/>
      <c r="BDS34" s="63"/>
      <c r="BDT34" s="63"/>
      <c r="BDU34" s="63"/>
      <c r="BDV34" s="63"/>
      <c r="BDW34" s="63"/>
      <c r="BDX34" s="63"/>
      <c r="BDY34" s="63"/>
      <c r="BDZ34" s="63"/>
      <c r="BEA34" s="63"/>
      <c r="BEB34" s="63"/>
      <c r="BEC34" s="63"/>
      <c r="BED34" s="63"/>
      <c r="BEE34" s="63"/>
      <c r="BEF34" s="63"/>
      <c r="BEG34" s="63"/>
      <c r="BEH34" s="63"/>
      <c r="BEI34" s="63"/>
      <c r="BEJ34" s="63"/>
      <c r="BEK34" s="63"/>
      <c r="BEL34" s="63"/>
      <c r="BEM34" s="63"/>
      <c r="BEN34" s="63"/>
      <c r="BEO34" s="63"/>
      <c r="BEP34" s="63"/>
      <c r="BEQ34" s="63"/>
      <c r="BER34" s="63"/>
      <c r="BES34" s="63"/>
      <c r="BET34" s="63"/>
      <c r="BEU34" s="63"/>
      <c r="BEV34" s="63"/>
      <c r="BEW34" s="63"/>
      <c r="BEX34" s="63"/>
      <c r="BEY34" s="63"/>
      <c r="BEZ34" s="63"/>
      <c r="BFA34" s="63"/>
      <c r="BFB34" s="63"/>
      <c r="BFC34" s="63"/>
      <c r="BFD34" s="63"/>
      <c r="BFE34" s="63"/>
      <c r="BFF34" s="63"/>
      <c r="BFG34" s="63"/>
      <c r="BFH34" s="63"/>
      <c r="BFI34" s="63"/>
      <c r="BFJ34" s="63"/>
      <c r="BFK34" s="63"/>
      <c r="BFL34" s="63"/>
      <c r="BFM34" s="63"/>
      <c r="BFN34" s="63"/>
      <c r="BFO34" s="63"/>
      <c r="BFP34" s="63"/>
      <c r="BFQ34" s="63"/>
      <c r="BFR34" s="63"/>
      <c r="BFS34" s="63"/>
      <c r="BFT34" s="63"/>
      <c r="BFU34" s="63"/>
      <c r="BFV34" s="63"/>
      <c r="BFW34" s="63"/>
      <c r="BFX34" s="63"/>
      <c r="BFY34" s="63"/>
      <c r="BFZ34" s="63"/>
      <c r="BGA34" s="63"/>
      <c r="BGB34" s="63"/>
      <c r="BGC34" s="63"/>
      <c r="BGD34" s="63"/>
      <c r="BGE34" s="63"/>
      <c r="BGF34" s="63"/>
      <c r="BGG34" s="63"/>
      <c r="BGH34" s="63"/>
      <c r="BGI34" s="63"/>
      <c r="BGJ34" s="63"/>
      <c r="BGK34" s="63"/>
      <c r="BGL34" s="63"/>
      <c r="BGM34" s="63"/>
      <c r="BGN34" s="63"/>
      <c r="BGO34" s="63"/>
      <c r="BGP34" s="63"/>
      <c r="BGQ34" s="63"/>
      <c r="BGR34" s="63"/>
      <c r="BGS34" s="63"/>
      <c r="BGT34" s="63"/>
      <c r="BGU34" s="63"/>
      <c r="BGV34" s="63"/>
      <c r="BGW34" s="63"/>
      <c r="BGX34" s="63"/>
      <c r="BGY34" s="63"/>
      <c r="BGZ34" s="63"/>
      <c r="BHA34" s="63"/>
      <c r="BHB34" s="63"/>
      <c r="BHC34" s="63"/>
      <c r="BHD34" s="63"/>
      <c r="BHE34" s="63"/>
      <c r="BHF34" s="63"/>
      <c r="BHG34" s="63"/>
      <c r="BHH34" s="63"/>
      <c r="BHI34" s="63"/>
      <c r="BHJ34" s="63"/>
      <c r="BHK34" s="63"/>
      <c r="BHL34" s="63"/>
      <c r="BHM34" s="63"/>
      <c r="BHN34" s="63"/>
      <c r="BHO34" s="63"/>
      <c r="BHP34" s="63"/>
      <c r="BHQ34" s="63"/>
      <c r="BHR34" s="63"/>
      <c r="BHS34" s="63"/>
      <c r="BHT34" s="63"/>
      <c r="BHU34" s="63"/>
      <c r="BHV34" s="63"/>
      <c r="BHW34" s="63"/>
      <c r="BHX34" s="63"/>
      <c r="BHY34" s="63"/>
      <c r="BHZ34" s="63"/>
      <c r="BIA34" s="63"/>
      <c r="BIB34" s="63"/>
      <c r="BIC34" s="63"/>
      <c r="BID34" s="63"/>
      <c r="BIE34" s="63"/>
      <c r="BIF34" s="63"/>
      <c r="BIG34" s="63"/>
      <c r="BIH34" s="63"/>
      <c r="BII34" s="63"/>
      <c r="BIJ34" s="63"/>
      <c r="BIK34" s="63"/>
      <c r="BIL34" s="63"/>
      <c r="BIM34" s="63"/>
      <c r="BIN34" s="63"/>
      <c r="BIO34" s="63"/>
      <c r="BIP34" s="63"/>
      <c r="BIQ34" s="63"/>
      <c r="BIR34" s="63"/>
      <c r="BIS34" s="63"/>
      <c r="BIT34" s="63"/>
      <c r="BIU34" s="63"/>
      <c r="BIV34" s="63"/>
      <c r="BIW34" s="63"/>
      <c r="BIX34" s="63"/>
      <c r="BIY34" s="63"/>
      <c r="BIZ34" s="63"/>
      <c r="BJA34" s="63"/>
      <c r="BJB34" s="63"/>
      <c r="BJC34" s="63"/>
      <c r="BJD34" s="63"/>
      <c r="BJE34" s="63"/>
      <c r="BJF34" s="63"/>
      <c r="BJG34" s="63"/>
      <c r="BJH34" s="63"/>
      <c r="BJI34" s="63"/>
      <c r="BJJ34" s="63"/>
      <c r="BJK34" s="63"/>
      <c r="BJL34" s="63"/>
      <c r="BJM34" s="63"/>
      <c r="BJN34" s="63"/>
      <c r="BJO34" s="63"/>
      <c r="BJP34" s="63"/>
      <c r="BJQ34" s="63"/>
      <c r="BJR34" s="63"/>
      <c r="BJS34" s="63"/>
      <c r="BJT34" s="63"/>
      <c r="BJU34" s="63"/>
      <c r="BJV34" s="63"/>
      <c r="BJW34" s="63"/>
      <c r="BJX34" s="63"/>
      <c r="BJY34" s="63"/>
      <c r="BJZ34" s="63"/>
      <c r="BKA34" s="63"/>
      <c r="BKB34" s="63"/>
      <c r="BKC34" s="63"/>
      <c r="BKD34" s="63"/>
      <c r="BKE34" s="63"/>
      <c r="BKF34" s="63"/>
      <c r="BKG34" s="63"/>
      <c r="BKH34" s="63"/>
      <c r="BKI34" s="63"/>
      <c r="BKJ34" s="63"/>
      <c r="BKK34" s="63"/>
      <c r="BKL34" s="63"/>
      <c r="BKM34" s="63"/>
      <c r="BKN34" s="63"/>
      <c r="BKO34" s="63"/>
      <c r="BKP34" s="63"/>
      <c r="BKQ34" s="63"/>
      <c r="BKR34" s="63"/>
      <c r="BKS34" s="63"/>
      <c r="BKT34" s="63"/>
      <c r="BKU34" s="63"/>
      <c r="BKV34" s="63"/>
      <c r="BKW34" s="63"/>
      <c r="BKX34" s="63"/>
      <c r="BKY34" s="63"/>
      <c r="BKZ34" s="63"/>
      <c r="BLA34" s="63"/>
      <c r="BLB34" s="63"/>
      <c r="BLC34" s="63"/>
      <c r="BLD34" s="63"/>
      <c r="BLE34" s="63"/>
      <c r="BLF34" s="63"/>
      <c r="BLG34" s="63"/>
      <c r="BLH34" s="63"/>
      <c r="BLI34" s="63"/>
      <c r="BLJ34" s="63"/>
      <c r="BLK34" s="63"/>
      <c r="BLL34" s="63"/>
      <c r="BLM34" s="63"/>
      <c r="BLN34" s="63"/>
      <c r="BLO34" s="63"/>
      <c r="BLP34" s="63"/>
      <c r="BLQ34" s="63"/>
      <c r="BLR34" s="63"/>
      <c r="BLS34" s="63"/>
      <c r="BLT34" s="63"/>
      <c r="BLU34" s="63"/>
      <c r="BLV34" s="63"/>
      <c r="BLW34" s="63"/>
      <c r="BLX34" s="63"/>
      <c r="BLY34" s="63"/>
      <c r="BLZ34" s="63"/>
      <c r="BMA34" s="63"/>
      <c r="BMB34" s="63"/>
      <c r="BMC34" s="63"/>
      <c r="BMD34" s="63"/>
      <c r="BME34" s="63"/>
      <c r="BMF34" s="63"/>
      <c r="BMG34" s="63"/>
      <c r="BMH34" s="63"/>
      <c r="BMI34" s="63"/>
      <c r="BMJ34" s="63"/>
      <c r="BMK34" s="63"/>
      <c r="BML34" s="63"/>
      <c r="BMM34" s="63"/>
      <c r="BMN34" s="63"/>
      <c r="BMO34" s="63"/>
      <c r="BMP34" s="63"/>
      <c r="BMQ34" s="63"/>
      <c r="BMR34" s="63"/>
      <c r="BMS34" s="63"/>
      <c r="BMT34" s="63"/>
      <c r="BMU34" s="63"/>
      <c r="BMV34" s="63"/>
      <c r="BMW34" s="63"/>
      <c r="BMX34" s="63"/>
      <c r="BMY34" s="63"/>
      <c r="BMZ34" s="63"/>
      <c r="BNA34" s="63"/>
      <c r="BNB34" s="63"/>
      <c r="BNC34" s="63"/>
      <c r="BND34" s="63"/>
      <c r="BNE34" s="63"/>
      <c r="BNF34" s="63"/>
      <c r="BNG34" s="63"/>
      <c r="BNH34" s="63"/>
      <c r="BNI34" s="63"/>
      <c r="BNJ34" s="63"/>
      <c r="BNK34" s="63"/>
      <c r="BNL34" s="63"/>
      <c r="BNM34" s="63"/>
      <c r="BNN34" s="63"/>
      <c r="BNO34" s="63"/>
      <c r="BNP34" s="63"/>
      <c r="BNQ34" s="63"/>
      <c r="BNR34" s="63"/>
      <c r="BNS34" s="63"/>
      <c r="BNT34" s="63"/>
      <c r="BNU34" s="63"/>
      <c r="BNV34" s="63"/>
      <c r="BNW34" s="63"/>
      <c r="BNX34" s="63"/>
      <c r="BNY34" s="63"/>
      <c r="BNZ34" s="63"/>
      <c r="BOA34" s="63"/>
      <c r="BOB34" s="63"/>
      <c r="BOC34" s="63"/>
      <c r="BOD34" s="63"/>
      <c r="BOE34" s="63"/>
      <c r="BOF34" s="63"/>
      <c r="BOG34" s="63"/>
      <c r="BOH34" s="63"/>
      <c r="BOI34" s="63"/>
      <c r="BOJ34" s="63"/>
      <c r="BOK34" s="63"/>
      <c r="BOL34" s="63"/>
      <c r="BOM34" s="63"/>
      <c r="BON34" s="63"/>
      <c r="BOO34" s="63"/>
      <c r="BOP34" s="63"/>
      <c r="BOQ34" s="63"/>
      <c r="BOR34" s="63"/>
      <c r="BOS34" s="63"/>
      <c r="BOT34" s="63"/>
      <c r="BOU34" s="63"/>
      <c r="BOV34" s="63"/>
      <c r="BOW34" s="63"/>
      <c r="BOX34" s="63"/>
      <c r="BOY34" s="63"/>
      <c r="BOZ34" s="63"/>
      <c r="BPA34" s="63"/>
      <c r="BPB34" s="63"/>
      <c r="BPC34" s="63"/>
      <c r="BPD34" s="63"/>
      <c r="BPE34" s="63"/>
      <c r="BPF34" s="63"/>
      <c r="BPG34" s="63"/>
      <c r="BPH34" s="63"/>
      <c r="BPI34" s="63"/>
      <c r="BPJ34" s="63"/>
      <c r="BPK34" s="63"/>
      <c r="BPL34" s="63"/>
      <c r="BPM34" s="63"/>
      <c r="BPN34" s="63"/>
      <c r="BPO34" s="63"/>
      <c r="BPP34" s="63"/>
      <c r="BPQ34" s="63"/>
      <c r="BPR34" s="63"/>
      <c r="BPS34" s="63"/>
      <c r="BPT34" s="63"/>
      <c r="BPU34" s="63"/>
      <c r="BPV34" s="63"/>
      <c r="BPW34" s="63"/>
      <c r="BPX34" s="63"/>
      <c r="BPY34" s="63"/>
      <c r="BPZ34" s="63"/>
      <c r="BQA34" s="63"/>
      <c r="BQB34" s="63"/>
      <c r="BQC34" s="63"/>
      <c r="BQD34" s="63"/>
      <c r="BQE34" s="63"/>
      <c r="BQF34" s="63"/>
      <c r="BQG34" s="63"/>
      <c r="BQH34" s="63"/>
      <c r="BQI34" s="63"/>
      <c r="BQJ34" s="63"/>
      <c r="BQK34" s="63"/>
      <c r="BQL34" s="63"/>
      <c r="BQM34" s="63"/>
      <c r="BQN34" s="63"/>
      <c r="BQO34" s="63"/>
      <c r="BQP34" s="63"/>
      <c r="BQQ34" s="63"/>
      <c r="BQR34" s="63"/>
      <c r="BQS34" s="63"/>
      <c r="BQT34" s="63"/>
      <c r="BQU34" s="63"/>
      <c r="BQV34" s="63"/>
      <c r="BQW34" s="63"/>
      <c r="BQX34" s="63"/>
      <c r="BQY34" s="63"/>
      <c r="BQZ34" s="63"/>
      <c r="BRA34" s="63"/>
      <c r="BRB34" s="63"/>
      <c r="BRC34" s="63"/>
      <c r="BRD34" s="63"/>
      <c r="BRE34" s="63"/>
      <c r="BRF34" s="63"/>
      <c r="BRG34" s="63"/>
      <c r="BRH34" s="63"/>
      <c r="BRI34" s="63"/>
      <c r="BRJ34" s="63"/>
      <c r="BRK34" s="63"/>
      <c r="BRL34" s="63"/>
      <c r="BRM34" s="63"/>
      <c r="BRN34" s="63"/>
      <c r="BRO34" s="63"/>
      <c r="BRP34" s="63"/>
      <c r="BRQ34" s="63"/>
      <c r="BRR34" s="63"/>
      <c r="BRS34" s="63"/>
      <c r="BRT34" s="63"/>
      <c r="BRU34" s="63"/>
      <c r="BRV34" s="63"/>
      <c r="BRW34" s="63"/>
      <c r="BRX34" s="63"/>
      <c r="BRY34" s="63"/>
      <c r="BRZ34" s="63"/>
      <c r="BSA34" s="63"/>
      <c r="BSB34" s="63"/>
      <c r="BSC34" s="63"/>
      <c r="BSD34" s="63"/>
      <c r="BSE34" s="63"/>
      <c r="BSF34" s="63"/>
      <c r="BSG34" s="63"/>
      <c r="BSH34" s="63"/>
      <c r="BSI34" s="63"/>
      <c r="BSJ34" s="63"/>
      <c r="BSK34" s="63"/>
      <c r="BSL34" s="63"/>
      <c r="BSM34" s="63"/>
      <c r="BSN34" s="63"/>
      <c r="BSO34" s="63"/>
      <c r="BSP34" s="63"/>
      <c r="BSQ34" s="63"/>
      <c r="BSR34" s="63"/>
      <c r="BSS34" s="63"/>
      <c r="BST34" s="63"/>
      <c r="BSU34" s="63"/>
      <c r="BSV34" s="63"/>
      <c r="BSW34" s="63"/>
      <c r="BSX34" s="63"/>
      <c r="BSY34" s="63"/>
      <c r="BSZ34" s="63"/>
      <c r="BTA34" s="63"/>
      <c r="BTB34" s="63"/>
      <c r="BTC34" s="63"/>
      <c r="BTD34" s="63"/>
      <c r="BTE34" s="63"/>
      <c r="BTF34" s="63"/>
      <c r="BTG34" s="63"/>
      <c r="BTH34" s="63"/>
      <c r="BTI34" s="63"/>
      <c r="BTJ34" s="63"/>
      <c r="BTK34" s="63"/>
      <c r="BTL34" s="63"/>
      <c r="BTM34" s="63"/>
      <c r="BTN34" s="63"/>
      <c r="BTO34" s="63"/>
      <c r="BTP34" s="63"/>
      <c r="BTQ34" s="63"/>
      <c r="BTR34" s="63"/>
      <c r="BTS34" s="63"/>
      <c r="BTT34" s="63"/>
      <c r="BTU34" s="63"/>
      <c r="BTV34" s="63"/>
      <c r="BTW34" s="63"/>
      <c r="BTX34" s="63"/>
      <c r="BTY34" s="63"/>
      <c r="BTZ34" s="63"/>
      <c r="BUA34" s="63"/>
      <c r="BUB34" s="63"/>
      <c r="BUC34" s="63"/>
      <c r="BUD34" s="63"/>
      <c r="BUE34" s="63"/>
      <c r="BUF34" s="63"/>
      <c r="BUG34" s="63"/>
      <c r="BUH34" s="63"/>
      <c r="BUI34" s="63"/>
      <c r="BUJ34" s="63"/>
      <c r="BUK34" s="63"/>
      <c r="BUL34" s="63"/>
      <c r="BUM34" s="63"/>
      <c r="BUN34" s="63"/>
      <c r="BUO34" s="63"/>
      <c r="BUP34" s="63"/>
      <c r="BUQ34" s="63"/>
      <c r="BUR34" s="63"/>
      <c r="BUS34" s="63"/>
      <c r="BUT34" s="63"/>
      <c r="BUU34" s="63"/>
      <c r="BUV34" s="63"/>
      <c r="BUW34" s="63"/>
      <c r="BUX34" s="63"/>
      <c r="BUY34" s="63"/>
      <c r="BUZ34" s="63"/>
      <c r="BVA34" s="63"/>
      <c r="BVB34" s="63"/>
      <c r="BVC34" s="63"/>
      <c r="BVD34" s="63"/>
      <c r="BVE34" s="63"/>
      <c r="BVF34" s="63"/>
      <c r="BVG34" s="63"/>
      <c r="BVH34" s="63"/>
      <c r="BVI34" s="63"/>
      <c r="BVJ34" s="63"/>
      <c r="BVK34" s="63"/>
      <c r="BVL34" s="63"/>
      <c r="BVM34" s="63"/>
      <c r="BVN34" s="63"/>
      <c r="BVO34" s="63"/>
      <c r="BVP34" s="63"/>
      <c r="BVQ34" s="63"/>
      <c r="BVR34" s="63"/>
      <c r="BVS34" s="63"/>
      <c r="BVT34" s="63"/>
      <c r="BVU34" s="63"/>
      <c r="BVV34" s="63"/>
      <c r="BVW34" s="63"/>
      <c r="BVX34" s="63"/>
      <c r="BVY34" s="63"/>
      <c r="BVZ34" s="63"/>
      <c r="BWA34" s="63"/>
      <c r="BWB34" s="63"/>
      <c r="BWC34" s="63"/>
      <c r="BWD34" s="63"/>
      <c r="BWE34" s="63"/>
      <c r="BWF34" s="63"/>
      <c r="BWG34" s="63"/>
      <c r="BWH34" s="63"/>
      <c r="BWI34" s="63"/>
      <c r="BWJ34" s="63"/>
      <c r="BWK34" s="63"/>
      <c r="BWL34" s="63"/>
      <c r="BWM34" s="63"/>
      <c r="BWN34" s="63"/>
      <c r="BWO34" s="63"/>
      <c r="BWP34" s="63"/>
      <c r="BWQ34" s="63"/>
      <c r="BWR34" s="63"/>
      <c r="BWS34" s="63"/>
      <c r="BWT34" s="63"/>
      <c r="BWU34" s="63"/>
      <c r="BWV34" s="63"/>
      <c r="BWW34" s="63"/>
      <c r="BWX34" s="63"/>
      <c r="BWY34" s="63"/>
      <c r="BWZ34" s="63"/>
      <c r="BXA34" s="63"/>
      <c r="BXB34" s="63"/>
      <c r="BXC34" s="63"/>
      <c r="BXD34" s="63"/>
      <c r="BXE34" s="63"/>
      <c r="BXF34" s="63"/>
      <c r="BXG34" s="63"/>
      <c r="BXH34" s="63"/>
      <c r="BXI34" s="63"/>
      <c r="BXJ34" s="63"/>
      <c r="BXK34" s="63"/>
      <c r="BXL34" s="63"/>
      <c r="BXM34" s="63"/>
      <c r="BXN34" s="63"/>
      <c r="BXO34" s="63"/>
      <c r="BXP34" s="63"/>
      <c r="BXQ34" s="63"/>
      <c r="BXR34" s="63"/>
      <c r="BXS34" s="63"/>
      <c r="BXT34" s="63"/>
      <c r="BXU34" s="63"/>
      <c r="BXV34" s="63"/>
      <c r="BXW34" s="63"/>
      <c r="BXX34" s="63"/>
      <c r="BXY34" s="63"/>
      <c r="BXZ34" s="63"/>
      <c r="BYA34" s="63"/>
      <c r="BYB34" s="63"/>
      <c r="BYC34" s="63"/>
      <c r="BYD34" s="63"/>
      <c r="BYE34" s="63"/>
      <c r="BYF34" s="63"/>
      <c r="BYG34" s="63"/>
      <c r="BYH34" s="63"/>
      <c r="BYI34" s="63"/>
      <c r="BYJ34" s="63"/>
      <c r="BYK34" s="63"/>
      <c r="BYL34" s="63"/>
      <c r="BYM34" s="63"/>
      <c r="BYN34" s="63"/>
      <c r="BYO34" s="63"/>
      <c r="BYP34" s="63"/>
      <c r="BYQ34" s="63"/>
      <c r="BYR34" s="63"/>
      <c r="BYS34" s="63"/>
      <c r="BYT34" s="63"/>
      <c r="BYU34" s="63"/>
      <c r="BYV34" s="63"/>
      <c r="BYW34" s="63"/>
      <c r="BYX34" s="63"/>
      <c r="BYY34" s="63"/>
      <c r="BYZ34" s="63"/>
      <c r="BZA34" s="63"/>
      <c r="BZB34" s="63"/>
      <c r="BZC34" s="63"/>
      <c r="BZD34" s="63"/>
      <c r="BZE34" s="63"/>
      <c r="BZF34" s="63"/>
      <c r="BZG34" s="63"/>
      <c r="BZH34" s="63"/>
      <c r="BZI34" s="63"/>
      <c r="BZJ34" s="63"/>
      <c r="BZK34" s="63"/>
      <c r="BZL34" s="63"/>
      <c r="BZM34" s="63"/>
      <c r="BZN34" s="63"/>
      <c r="BZO34" s="63"/>
      <c r="BZP34" s="63"/>
      <c r="BZQ34" s="63"/>
      <c r="BZR34" s="63"/>
      <c r="BZS34" s="63"/>
      <c r="BZT34" s="63"/>
      <c r="BZU34" s="63"/>
      <c r="BZV34" s="63"/>
      <c r="BZW34" s="63"/>
      <c r="BZX34" s="63"/>
      <c r="BZY34" s="63"/>
      <c r="BZZ34" s="63"/>
      <c r="CAA34" s="63"/>
      <c r="CAB34" s="63"/>
      <c r="CAC34" s="63"/>
      <c r="CAD34" s="63"/>
      <c r="CAE34" s="63"/>
      <c r="CAF34" s="63"/>
      <c r="CAG34" s="63"/>
      <c r="CAH34" s="63"/>
      <c r="CAI34" s="63"/>
      <c r="CAJ34" s="63"/>
      <c r="CAK34" s="63"/>
      <c r="CAL34" s="63"/>
      <c r="CAM34" s="63"/>
      <c r="CAN34" s="63"/>
      <c r="CAO34" s="63"/>
      <c r="CAP34" s="63"/>
      <c r="CAQ34" s="63"/>
      <c r="CAR34" s="63"/>
      <c r="CAS34" s="63"/>
      <c r="CAT34" s="63"/>
      <c r="CAU34" s="63"/>
      <c r="CAV34" s="63"/>
      <c r="CAW34" s="63"/>
      <c r="CAX34" s="63"/>
      <c r="CAY34" s="63"/>
      <c r="CAZ34" s="63"/>
      <c r="CBA34" s="63"/>
      <c r="CBB34" s="63"/>
      <c r="CBC34" s="63"/>
      <c r="CBD34" s="63"/>
      <c r="CBE34" s="63"/>
      <c r="CBF34" s="63"/>
      <c r="CBG34" s="63"/>
      <c r="CBH34" s="63"/>
      <c r="CBI34" s="63"/>
      <c r="CBJ34" s="63"/>
      <c r="CBK34" s="63"/>
      <c r="CBL34" s="63"/>
      <c r="CBM34" s="63"/>
      <c r="CBN34" s="63"/>
      <c r="CBO34" s="63"/>
      <c r="CBP34" s="63"/>
      <c r="CBQ34" s="63"/>
      <c r="CBR34" s="63"/>
      <c r="CBS34" s="63"/>
      <c r="CBT34" s="63"/>
      <c r="CBU34" s="63"/>
      <c r="CBV34" s="63"/>
      <c r="CBW34" s="63"/>
      <c r="CBX34" s="63"/>
      <c r="CBY34" s="63"/>
      <c r="CBZ34" s="63"/>
      <c r="CCA34" s="63"/>
      <c r="CCB34" s="63"/>
      <c r="CCC34" s="63"/>
      <c r="CCD34" s="63"/>
      <c r="CCE34" s="63"/>
      <c r="CCF34" s="63"/>
      <c r="CCG34" s="63"/>
      <c r="CCH34" s="63"/>
      <c r="CCI34" s="63"/>
      <c r="CCJ34" s="63"/>
      <c r="CCK34" s="63"/>
      <c r="CCL34" s="63"/>
      <c r="CCM34" s="63"/>
      <c r="CCN34" s="63"/>
      <c r="CCO34" s="63"/>
      <c r="CCP34" s="63"/>
      <c r="CCQ34" s="63"/>
      <c r="CCR34" s="63"/>
      <c r="CCS34" s="63"/>
      <c r="CCT34" s="63"/>
      <c r="CCU34" s="63"/>
      <c r="CCV34" s="63"/>
      <c r="CCW34" s="63"/>
      <c r="CCX34" s="63"/>
      <c r="CCY34" s="63"/>
      <c r="CCZ34" s="63"/>
      <c r="CDA34" s="63"/>
      <c r="CDB34" s="63"/>
      <c r="CDC34" s="63"/>
      <c r="CDD34" s="63"/>
      <c r="CDE34" s="63"/>
      <c r="CDF34" s="63"/>
      <c r="CDG34" s="63"/>
      <c r="CDH34" s="63"/>
      <c r="CDI34" s="63"/>
      <c r="CDJ34" s="63"/>
      <c r="CDK34" s="63"/>
      <c r="CDL34" s="63"/>
      <c r="CDM34" s="63"/>
      <c r="CDN34" s="63"/>
      <c r="CDO34" s="63"/>
      <c r="CDP34" s="63"/>
      <c r="CDQ34" s="63"/>
      <c r="CDR34" s="63"/>
      <c r="CDS34" s="63"/>
      <c r="CDT34" s="63"/>
      <c r="CDU34" s="63"/>
      <c r="CDV34" s="63"/>
      <c r="CDW34" s="63"/>
      <c r="CDX34" s="63"/>
      <c r="CDY34" s="63"/>
      <c r="CDZ34" s="63"/>
      <c r="CEA34" s="63"/>
      <c r="CEB34" s="63"/>
      <c r="CEC34" s="63"/>
      <c r="CED34" s="63"/>
      <c r="CEE34" s="63"/>
      <c r="CEF34" s="63"/>
      <c r="CEG34" s="63"/>
      <c r="CEH34" s="63"/>
      <c r="CEI34" s="63"/>
      <c r="CEJ34" s="63"/>
      <c r="CEK34" s="63"/>
      <c r="CEL34" s="63"/>
      <c r="CEM34" s="63"/>
      <c r="CEN34" s="63"/>
      <c r="CEO34" s="63"/>
      <c r="CEP34" s="63"/>
      <c r="CEQ34" s="63"/>
      <c r="CER34" s="63"/>
      <c r="CES34" s="63"/>
      <c r="CET34" s="63"/>
      <c r="CEU34" s="63"/>
      <c r="CEV34" s="63"/>
      <c r="CEW34" s="63"/>
      <c r="CEX34" s="63"/>
      <c r="CEY34" s="63"/>
      <c r="CEZ34" s="63"/>
      <c r="CFA34" s="63"/>
      <c r="CFB34" s="63"/>
      <c r="CFC34" s="63"/>
      <c r="CFD34" s="63"/>
      <c r="CFE34" s="63"/>
      <c r="CFF34" s="63"/>
      <c r="CFG34" s="63"/>
      <c r="CFH34" s="63"/>
      <c r="CFI34" s="63"/>
      <c r="CFJ34" s="63"/>
      <c r="CFK34" s="63"/>
      <c r="CFL34" s="63"/>
      <c r="CFM34" s="63"/>
      <c r="CFN34" s="63"/>
      <c r="CFO34" s="63"/>
      <c r="CFP34" s="63"/>
      <c r="CFQ34" s="63"/>
      <c r="CFR34" s="63"/>
      <c r="CFS34" s="63"/>
      <c r="CFT34" s="63"/>
      <c r="CFU34" s="63"/>
      <c r="CFV34" s="63"/>
      <c r="CFW34" s="63"/>
      <c r="CFX34" s="63"/>
      <c r="CFY34" s="63"/>
      <c r="CFZ34" s="63"/>
      <c r="CGA34" s="63"/>
      <c r="CGB34" s="63"/>
      <c r="CGC34" s="63"/>
      <c r="CGD34" s="63"/>
      <c r="CGE34" s="63"/>
      <c r="CGF34" s="63"/>
      <c r="CGG34" s="63"/>
      <c r="CGH34" s="63"/>
      <c r="CGI34" s="63"/>
      <c r="CGJ34" s="63"/>
      <c r="CGK34" s="63"/>
      <c r="CGL34" s="63"/>
      <c r="CGM34" s="63"/>
      <c r="CGN34" s="63"/>
      <c r="CGO34" s="63"/>
      <c r="CGP34" s="63"/>
      <c r="CGQ34" s="63"/>
      <c r="CGR34" s="63"/>
      <c r="CGS34" s="63"/>
      <c r="CGT34" s="63"/>
      <c r="CGU34" s="63"/>
      <c r="CGV34" s="63"/>
      <c r="CGW34" s="63"/>
      <c r="CGX34" s="63"/>
      <c r="CGY34" s="63"/>
      <c r="CGZ34" s="63"/>
      <c r="CHA34" s="63"/>
      <c r="CHB34" s="63"/>
      <c r="CHC34" s="63"/>
      <c r="CHD34" s="63"/>
      <c r="CHE34" s="63"/>
      <c r="CHF34" s="63"/>
      <c r="CHG34" s="63"/>
      <c r="CHH34" s="63"/>
      <c r="CHI34" s="63"/>
      <c r="CHJ34" s="63"/>
      <c r="CHK34" s="63"/>
      <c r="CHL34" s="63"/>
      <c r="CHM34" s="63"/>
      <c r="CHN34" s="63"/>
      <c r="CHO34" s="63"/>
      <c r="CHP34" s="63"/>
      <c r="CHQ34" s="63"/>
      <c r="CHR34" s="63"/>
      <c r="CHS34" s="63"/>
      <c r="CHT34" s="63"/>
      <c r="CHU34" s="63"/>
      <c r="CHV34" s="63"/>
      <c r="CHW34" s="63"/>
      <c r="CHX34" s="63"/>
      <c r="CHY34" s="63"/>
      <c r="CHZ34" s="63"/>
      <c r="CIA34" s="63"/>
      <c r="CIB34" s="63"/>
      <c r="CIC34" s="63"/>
      <c r="CID34" s="63"/>
      <c r="CIE34" s="63"/>
      <c r="CIF34" s="63"/>
      <c r="CIG34" s="63"/>
      <c r="CIH34" s="63"/>
      <c r="CII34" s="63"/>
      <c r="CIJ34" s="63"/>
      <c r="CIK34" s="63"/>
      <c r="CIL34" s="63"/>
      <c r="CIM34" s="63"/>
      <c r="CIN34" s="63"/>
      <c r="CIO34" s="63"/>
      <c r="CIP34" s="63"/>
      <c r="CIQ34" s="63"/>
      <c r="CIR34" s="63"/>
      <c r="CIS34" s="63"/>
      <c r="CIT34" s="63"/>
      <c r="CIU34" s="63"/>
      <c r="CIV34" s="63"/>
      <c r="CIW34" s="63"/>
      <c r="CIX34" s="63"/>
      <c r="CIY34" s="63"/>
      <c r="CIZ34" s="63"/>
      <c r="CJA34" s="63"/>
      <c r="CJB34" s="63"/>
      <c r="CJC34" s="63"/>
      <c r="CJD34" s="63"/>
      <c r="CJE34" s="63"/>
      <c r="CJF34" s="63"/>
      <c r="CJG34" s="63"/>
      <c r="CJH34" s="63"/>
      <c r="CJI34" s="63"/>
      <c r="CJJ34" s="63"/>
      <c r="CJK34" s="63"/>
      <c r="CJL34" s="63"/>
      <c r="CJM34" s="63"/>
      <c r="CJN34" s="63"/>
      <c r="CJO34" s="63"/>
      <c r="CJP34" s="63"/>
      <c r="CJQ34" s="63"/>
      <c r="CJR34" s="63"/>
      <c r="CJS34" s="63"/>
      <c r="CJT34" s="63"/>
      <c r="CJU34" s="63"/>
      <c r="CJV34" s="63"/>
      <c r="CJW34" s="63"/>
      <c r="CJX34" s="63"/>
      <c r="CJY34" s="63"/>
      <c r="CJZ34" s="63"/>
      <c r="CKA34" s="63"/>
      <c r="CKB34" s="63"/>
      <c r="CKC34" s="63"/>
      <c r="CKD34" s="63"/>
      <c r="CKE34" s="63"/>
      <c r="CKF34" s="63"/>
      <c r="CKG34" s="63"/>
      <c r="CKH34" s="63"/>
      <c r="CKI34" s="63"/>
      <c r="CKJ34" s="63"/>
      <c r="CKK34" s="63"/>
      <c r="CKL34" s="63"/>
      <c r="CKM34" s="63"/>
      <c r="CKN34" s="63"/>
      <c r="CKO34" s="63"/>
      <c r="CKP34" s="63"/>
      <c r="CKQ34" s="63"/>
      <c r="CKR34" s="63"/>
      <c r="CKS34" s="63"/>
      <c r="CKT34" s="63"/>
      <c r="CKU34" s="63"/>
      <c r="CKV34" s="63"/>
      <c r="CKW34" s="63"/>
      <c r="CKX34" s="63"/>
      <c r="CKY34" s="63"/>
      <c r="CKZ34" s="63"/>
      <c r="CLA34" s="63"/>
      <c r="CLB34" s="63"/>
      <c r="CLC34" s="63"/>
      <c r="CLD34" s="63"/>
      <c r="CLE34" s="63"/>
      <c r="CLF34" s="63"/>
      <c r="CLG34" s="63"/>
      <c r="CLH34" s="63"/>
      <c r="CLI34" s="63"/>
      <c r="CLJ34" s="63"/>
      <c r="CLK34" s="63"/>
      <c r="CLL34" s="63"/>
      <c r="CLM34" s="63"/>
      <c r="CLN34" s="63"/>
      <c r="CLO34" s="63"/>
      <c r="CLP34" s="63"/>
      <c r="CLQ34" s="63"/>
      <c r="CLR34" s="63"/>
      <c r="CLS34" s="63"/>
      <c r="CLT34" s="63"/>
      <c r="CLU34" s="63"/>
      <c r="CLV34" s="63"/>
      <c r="CLW34" s="63"/>
      <c r="CLX34" s="63"/>
      <c r="CLY34" s="63"/>
      <c r="CLZ34" s="63"/>
      <c r="CMA34" s="63"/>
      <c r="CMB34" s="63"/>
      <c r="CMC34" s="63"/>
      <c r="CMD34" s="63"/>
      <c r="CME34" s="63"/>
      <c r="CMF34" s="63"/>
      <c r="CMG34" s="63"/>
      <c r="CMH34" s="63"/>
      <c r="CMI34" s="63"/>
      <c r="CMJ34" s="63"/>
      <c r="CMK34" s="63"/>
      <c r="CML34" s="63"/>
      <c r="CMM34" s="63"/>
      <c r="CMN34" s="63"/>
      <c r="CMO34" s="63"/>
      <c r="CMP34" s="63"/>
      <c r="CMQ34" s="63"/>
      <c r="CMR34" s="63"/>
      <c r="CMS34" s="63"/>
      <c r="CMT34" s="63"/>
      <c r="CMU34" s="63"/>
      <c r="CMV34" s="63"/>
      <c r="CMW34" s="63"/>
      <c r="CMX34" s="63"/>
      <c r="CMY34" s="63"/>
      <c r="CMZ34" s="63"/>
      <c r="CNA34" s="63"/>
      <c r="CNB34" s="63"/>
      <c r="CNC34" s="63"/>
      <c r="CND34" s="63"/>
      <c r="CNE34" s="63"/>
      <c r="CNF34" s="63"/>
      <c r="CNG34" s="63"/>
      <c r="CNH34" s="63"/>
      <c r="CNI34" s="63"/>
      <c r="CNJ34" s="63"/>
      <c r="CNK34" s="63"/>
      <c r="CNL34" s="63"/>
      <c r="CNM34" s="63"/>
      <c r="CNN34" s="63"/>
      <c r="CNO34" s="63"/>
      <c r="CNP34" s="63"/>
      <c r="CNQ34" s="63"/>
      <c r="CNR34" s="63"/>
      <c r="CNS34" s="63"/>
      <c r="CNT34" s="63"/>
      <c r="CNU34" s="63"/>
      <c r="CNV34" s="63"/>
      <c r="CNW34" s="63"/>
      <c r="CNX34" s="63"/>
      <c r="CNY34" s="63"/>
      <c r="CNZ34" s="63"/>
      <c r="COA34" s="63"/>
      <c r="COB34" s="63"/>
      <c r="COC34" s="63"/>
      <c r="COD34" s="63"/>
      <c r="COE34" s="63"/>
      <c r="COF34" s="63"/>
      <c r="COG34" s="63"/>
      <c r="COH34" s="63"/>
      <c r="COI34" s="63"/>
      <c r="COJ34" s="63"/>
      <c r="COK34" s="63"/>
      <c r="COL34" s="63"/>
      <c r="COM34" s="63"/>
      <c r="CON34" s="63"/>
      <c r="COO34" s="63"/>
      <c r="COP34" s="63"/>
      <c r="COQ34" s="63"/>
      <c r="COR34" s="63"/>
      <c r="COS34" s="63"/>
      <c r="COT34" s="63"/>
      <c r="COU34" s="63"/>
      <c r="COV34" s="63"/>
      <c r="COW34" s="63"/>
      <c r="COX34" s="63"/>
      <c r="COY34" s="63"/>
      <c r="COZ34" s="63"/>
      <c r="CPA34" s="63"/>
      <c r="CPB34" s="63"/>
      <c r="CPC34" s="63"/>
      <c r="CPD34" s="63"/>
      <c r="CPE34" s="63"/>
      <c r="CPF34" s="63"/>
      <c r="CPG34" s="63"/>
      <c r="CPH34" s="63"/>
      <c r="CPI34" s="63"/>
      <c r="CPJ34" s="63"/>
      <c r="CPK34" s="63"/>
      <c r="CPL34" s="63"/>
      <c r="CPM34" s="63"/>
      <c r="CPN34" s="63"/>
      <c r="CPO34" s="63"/>
      <c r="CPP34" s="63"/>
      <c r="CPQ34" s="63"/>
      <c r="CPR34" s="63"/>
      <c r="CPS34" s="63"/>
      <c r="CPT34" s="63"/>
      <c r="CPU34" s="63"/>
      <c r="CPV34" s="63"/>
      <c r="CPW34" s="63"/>
      <c r="CPX34" s="63"/>
      <c r="CPY34" s="63"/>
      <c r="CPZ34" s="63"/>
      <c r="CQA34" s="63"/>
      <c r="CQB34" s="63"/>
      <c r="CQC34" s="63"/>
      <c r="CQD34" s="63"/>
      <c r="CQE34" s="63"/>
      <c r="CQF34" s="63"/>
      <c r="CQG34" s="63"/>
      <c r="CQH34" s="63"/>
      <c r="CQI34" s="63"/>
      <c r="CQJ34" s="63"/>
      <c r="CQK34" s="63"/>
      <c r="CQL34" s="63"/>
      <c r="CQM34" s="63"/>
      <c r="CQN34" s="63"/>
      <c r="CQO34" s="63"/>
      <c r="CQP34" s="63"/>
      <c r="CQQ34" s="63"/>
      <c r="CQR34" s="63"/>
      <c r="CQS34" s="63"/>
      <c r="CQT34" s="63"/>
      <c r="CQU34" s="63"/>
      <c r="CQV34" s="63"/>
      <c r="CQW34" s="63"/>
      <c r="CQX34" s="63"/>
      <c r="CQY34" s="63"/>
      <c r="CQZ34" s="63"/>
      <c r="CRA34" s="63"/>
      <c r="CRB34" s="63"/>
      <c r="CRC34" s="63"/>
      <c r="CRD34" s="63"/>
      <c r="CRE34" s="63"/>
      <c r="CRF34" s="63"/>
      <c r="CRG34" s="63"/>
      <c r="CRH34" s="63"/>
      <c r="CRI34" s="63"/>
      <c r="CRJ34" s="63"/>
      <c r="CRK34" s="63"/>
      <c r="CRL34" s="63"/>
      <c r="CRM34" s="63"/>
      <c r="CRN34" s="63"/>
      <c r="CRO34" s="63"/>
      <c r="CRP34" s="63"/>
      <c r="CRQ34" s="63"/>
      <c r="CRR34" s="63"/>
      <c r="CRS34" s="63"/>
      <c r="CRT34" s="63"/>
      <c r="CRU34" s="63"/>
      <c r="CRV34" s="63"/>
      <c r="CRW34" s="63"/>
      <c r="CRX34" s="63"/>
      <c r="CRY34" s="63"/>
      <c r="CRZ34" s="63"/>
      <c r="CSA34" s="63"/>
      <c r="CSB34" s="63"/>
      <c r="CSC34" s="63"/>
      <c r="CSD34" s="63"/>
      <c r="CSE34" s="63"/>
      <c r="CSF34" s="63"/>
      <c r="CSG34" s="63"/>
      <c r="CSH34" s="63"/>
      <c r="CSI34" s="63"/>
      <c r="CSJ34" s="63"/>
      <c r="CSK34" s="63"/>
      <c r="CSL34" s="63"/>
      <c r="CSM34" s="63"/>
      <c r="CSN34" s="63"/>
      <c r="CSO34" s="63"/>
      <c r="CSP34" s="63"/>
      <c r="CSQ34" s="63"/>
      <c r="CSR34" s="63"/>
      <c r="CSS34" s="63"/>
      <c r="CST34" s="63"/>
      <c r="CSU34" s="63"/>
      <c r="CSV34" s="63"/>
      <c r="CSW34" s="63"/>
      <c r="CSX34" s="63"/>
      <c r="CSY34" s="63"/>
      <c r="CSZ34" s="63"/>
      <c r="CTA34" s="63"/>
      <c r="CTB34" s="63"/>
      <c r="CTC34" s="63"/>
      <c r="CTD34" s="63"/>
      <c r="CTE34" s="63"/>
      <c r="CTF34" s="63"/>
      <c r="CTG34" s="63"/>
      <c r="CTH34" s="63"/>
      <c r="CTI34" s="63"/>
      <c r="CTJ34" s="63"/>
      <c r="CTK34" s="63"/>
      <c r="CTL34" s="63"/>
      <c r="CTM34" s="63"/>
      <c r="CTN34" s="63"/>
      <c r="CTO34" s="63"/>
      <c r="CTP34" s="63"/>
      <c r="CTQ34" s="63"/>
      <c r="CTR34" s="63"/>
      <c r="CTS34" s="63"/>
      <c r="CTT34" s="63"/>
      <c r="CTU34" s="63"/>
      <c r="CTV34" s="63"/>
      <c r="CTW34" s="63"/>
      <c r="CTX34" s="63"/>
      <c r="CTY34" s="63"/>
      <c r="CTZ34" s="63"/>
      <c r="CUA34" s="63"/>
      <c r="CUB34" s="63"/>
      <c r="CUC34" s="63"/>
      <c r="CUD34" s="63"/>
      <c r="CUE34" s="63"/>
      <c r="CUF34" s="63"/>
      <c r="CUG34" s="63"/>
      <c r="CUH34" s="63"/>
      <c r="CUI34" s="63"/>
      <c r="CUJ34" s="63"/>
      <c r="CUK34" s="63"/>
      <c r="CUL34" s="63"/>
      <c r="CUM34" s="63"/>
      <c r="CUN34" s="63"/>
      <c r="CUO34" s="63"/>
      <c r="CUP34" s="63"/>
      <c r="CUQ34" s="63"/>
      <c r="CUR34" s="63"/>
      <c r="CUS34" s="63"/>
      <c r="CUT34" s="63"/>
      <c r="CUU34" s="63"/>
      <c r="CUV34" s="63"/>
      <c r="CUW34" s="63"/>
      <c r="CUX34" s="63"/>
      <c r="CUY34" s="63"/>
      <c r="CUZ34" s="63"/>
      <c r="CVA34" s="63"/>
      <c r="CVB34" s="63"/>
      <c r="CVC34" s="63"/>
      <c r="CVD34" s="63"/>
      <c r="CVE34" s="63"/>
      <c r="CVF34" s="63"/>
      <c r="CVG34" s="63"/>
      <c r="CVH34" s="63"/>
      <c r="CVI34" s="63"/>
      <c r="CVJ34" s="63"/>
      <c r="CVK34" s="63"/>
      <c r="CVL34" s="63"/>
      <c r="CVM34" s="63"/>
      <c r="CVN34" s="63"/>
      <c r="CVO34" s="63"/>
      <c r="CVP34" s="63"/>
      <c r="CVQ34" s="63"/>
      <c r="CVR34" s="63"/>
      <c r="CVS34" s="63"/>
      <c r="CVT34" s="63"/>
      <c r="CVU34" s="63"/>
      <c r="CVV34" s="63"/>
      <c r="CVW34" s="63"/>
      <c r="CVX34" s="63"/>
      <c r="CVY34" s="63"/>
      <c r="CVZ34" s="63"/>
      <c r="CWA34" s="63"/>
      <c r="CWB34" s="63"/>
      <c r="CWC34" s="63"/>
      <c r="CWD34" s="63"/>
      <c r="CWE34" s="63"/>
      <c r="CWF34" s="63"/>
      <c r="CWG34" s="63"/>
      <c r="CWH34" s="63"/>
      <c r="CWI34" s="63"/>
      <c r="CWJ34" s="63"/>
      <c r="CWK34" s="63"/>
      <c r="CWL34" s="63"/>
      <c r="CWM34" s="63"/>
      <c r="CWN34" s="63"/>
      <c r="CWO34" s="63"/>
      <c r="CWP34" s="63"/>
      <c r="CWQ34" s="63"/>
      <c r="CWR34" s="63"/>
      <c r="CWS34" s="63"/>
      <c r="CWT34" s="63"/>
      <c r="CWU34" s="63"/>
      <c r="CWV34" s="63"/>
      <c r="CWW34" s="63"/>
      <c r="CWX34" s="63"/>
      <c r="CWY34" s="63"/>
      <c r="CWZ34" s="63"/>
      <c r="CXA34" s="63"/>
      <c r="CXB34" s="63"/>
      <c r="CXC34" s="63"/>
      <c r="CXD34" s="63"/>
      <c r="CXE34" s="63"/>
      <c r="CXF34" s="63"/>
      <c r="CXG34" s="63"/>
      <c r="CXH34" s="63"/>
      <c r="CXI34" s="63"/>
      <c r="CXJ34" s="63"/>
      <c r="CXK34" s="63"/>
      <c r="CXL34" s="63"/>
      <c r="CXM34" s="63"/>
      <c r="CXN34" s="63"/>
      <c r="CXO34" s="63"/>
      <c r="CXP34" s="63"/>
      <c r="CXQ34" s="63"/>
      <c r="CXR34" s="63"/>
      <c r="CXS34" s="63"/>
      <c r="CXT34" s="63"/>
      <c r="CXU34" s="63"/>
      <c r="CXV34" s="63"/>
      <c r="CXW34" s="63"/>
      <c r="CXX34" s="63"/>
      <c r="CXY34" s="63"/>
      <c r="CXZ34" s="63"/>
      <c r="CYA34" s="63"/>
      <c r="CYB34" s="63"/>
      <c r="CYC34" s="63"/>
      <c r="CYD34" s="63"/>
      <c r="CYE34" s="63"/>
      <c r="CYF34" s="63"/>
      <c r="CYG34" s="63"/>
      <c r="CYH34" s="63"/>
      <c r="CYI34" s="63"/>
      <c r="CYJ34" s="63"/>
      <c r="CYK34" s="63"/>
      <c r="CYL34" s="63"/>
      <c r="CYM34" s="63"/>
      <c r="CYN34" s="63"/>
      <c r="CYO34" s="63"/>
      <c r="CYP34" s="63"/>
      <c r="CYQ34" s="63"/>
      <c r="CYR34" s="63"/>
      <c r="CYS34" s="63"/>
      <c r="CYT34" s="63"/>
      <c r="CYU34" s="63"/>
      <c r="CYV34" s="63"/>
      <c r="CYW34" s="63"/>
      <c r="CYX34" s="63"/>
      <c r="CYY34" s="63"/>
      <c r="CYZ34" s="63"/>
      <c r="CZA34" s="63"/>
      <c r="CZB34" s="63"/>
      <c r="CZC34" s="63"/>
      <c r="CZD34" s="63"/>
      <c r="CZE34" s="63"/>
      <c r="CZF34" s="63"/>
      <c r="CZG34" s="63"/>
      <c r="CZH34" s="63"/>
      <c r="CZI34" s="63"/>
      <c r="CZJ34" s="63"/>
      <c r="CZK34" s="63"/>
      <c r="CZL34" s="63"/>
      <c r="CZM34" s="63"/>
      <c r="CZN34" s="63"/>
      <c r="CZO34" s="63"/>
      <c r="CZP34" s="63"/>
      <c r="CZQ34" s="63"/>
      <c r="CZR34" s="63"/>
      <c r="CZS34" s="63"/>
      <c r="CZT34" s="63"/>
      <c r="CZU34" s="63"/>
      <c r="CZV34" s="63"/>
      <c r="CZW34" s="63"/>
      <c r="CZX34" s="63"/>
      <c r="CZY34" s="63"/>
      <c r="CZZ34" s="63"/>
      <c r="DAA34" s="63"/>
      <c r="DAB34" s="63"/>
      <c r="DAC34" s="63"/>
      <c r="DAD34" s="63"/>
      <c r="DAE34" s="63"/>
      <c r="DAF34" s="63"/>
      <c r="DAG34" s="63"/>
      <c r="DAH34" s="63"/>
      <c r="DAI34" s="63"/>
      <c r="DAJ34" s="63"/>
      <c r="DAK34" s="63"/>
      <c r="DAL34" s="63"/>
      <c r="DAM34" s="63"/>
      <c r="DAN34" s="63"/>
      <c r="DAO34" s="63"/>
      <c r="DAP34" s="63"/>
      <c r="DAQ34" s="63"/>
      <c r="DAR34" s="63"/>
      <c r="DAS34" s="63"/>
      <c r="DAT34" s="63"/>
      <c r="DAU34" s="63"/>
      <c r="DAV34" s="63"/>
      <c r="DAW34" s="63"/>
      <c r="DAX34" s="63"/>
      <c r="DAY34" s="63"/>
      <c r="DAZ34" s="63"/>
      <c r="DBA34" s="63"/>
      <c r="DBB34" s="63"/>
      <c r="DBC34" s="63"/>
      <c r="DBD34" s="63"/>
      <c r="DBE34" s="63"/>
      <c r="DBF34" s="63"/>
      <c r="DBG34" s="63"/>
      <c r="DBH34" s="63"/>
      <c r="DBI34" s="63"/>
      <c r="DBJ34" s="63"/>
      <c r="DBK34" s="63"/>
      <c r="DBL34" s="63"/>
      <c r="DBM34" s="63"/>
      <c r="DBN34" s="63"/>
      <c r="DBO34" s="63"/>
      <c r="DBP34" s="63"/>
      <c r="DBQ34" s="63"/>
      <c r="DBR34" s="63"/>
      <c r="DBS34" s="63"/>
      <c r="DBT34" s="63"/>
      <c r="DBU34" s="63"/>
      <c r="DBV34" s="63"/>
      <c r="DBW34" s="63"/>
      <c r="DBX34" s="63"/>
      <c r="DBY34" s="63"/>
      <c r="DBZ34" s="63"/>
      <c r="DCA34" s="63"/>
      <c r="DCB34" s="63"/>
      <c r="DCC34" s="63"/>
      <c r="DCD34" s="63"/>
      <c r="DCE34" s="63"/>
      <c r="DCF34" s="63"/>
      <c r="DCG34" s="63"/>
      <c r="DCH34" s="63"/>
      <c r="DCI34" s="63"/>
      <c r="DCJ34" s="63"/>
      <c r="DCK34" s="63"/>
      <c r="DCL34" s="63"/>
      <c r="DCM34" s="63"/>
      <c r="DCN34" s="63"/>
      <c r="DCO34" s="63"/>
      <c r="DCP34" s="63"/>
      <c r="DCQ34" s="63"/>
      <c r="DCR34" s="63"/>
      <c r="DCS34" s="63"/>
      <c r="DCT34" s="63"/>
      <c r="DCU34" s="63"/>
      <c r="DCV34" s="63"/>
      <c r="DCW34" s="63"/>
      <c r="DCX34" s="63"/>
      <c r="DCY34" s="63"/>
      <c r="DCZ34" s="63"/>
      <c r="DDA34" s="63"/>
      <c r="DDB34" s="63"/>
      <c r="DDC34" s="63"/>
      <c r="DDD34" s="63"/>
      <c r="DDE34" s="63"/>
      <c r="DDF34" s="63"/>
      <c r="DDG34" s="63"/>
      <c r="DDH34" s="63"/>
      <c r="DDI34" s="63"/>
      <c r="DDJ34" s="63"/>
      <c r="DDK34" s="63"/>
      <c r="DDL34" s="63"/>
      <c r="DDM34" s="63"/>
      <c r="DDN34" s="63"/>
      <c r="DDO34" s="63"/>
      <c r="DDP34" s="63"/>
      <c r="DDQ34" s="63"/>
      <c r="DDR34" s="63"/>
      <c r="DDS34" s="63"/>
      <c r="DDT34" s="63"/>
      <c r="DDU34" s="63"/>
      <c r="DDV34" s="63"/>
      <c r="DDW34" s="63"/>
      <c r="DDX34" s="63"/>
      <c r="DDY34" s="63"/>
      <c r="DDZ34" s="63"/>
      <c r="DEA34" s="63"/>
      <c r="DEB34" s="63"/>
      <c r="DEC34" s="63"/>
      <c r="DED34" s="63"/>
      <c r="DEE34" s="63"/>
      <c r="DEF34" s="63"/>
      <c r="DEG34" s="63"/>
      <c r="DEH34" s="63"/>
      <c r="DEI34" s="63"/>
      <c r="DEJ34" s="63"/>
      <c r="DEK34" s="63"/>
      <c r="DEL34" s="63"/>
      <c r="DEM34" s="63"/>
      <c r="DEN34" s="63"/>
      <c r="DEO34" s="63"/>
      <c r="DEP34" s="63"/>
      <c r="DEQ34" s="63"/>
      <c r="DER34" s="63"/>
      <c r="DES34" s="63"/>
      <c r="DET34" s="63"/>
      <c r="DEU34" s="63"/>
      <c r="DEV34" s="63"/>
      <c r="DEW34" s="63"/>
      <c r="DEX34" s="63"/>
      <c r="DEY34" s="63"/>
      <c r="DEZ34" s="63"/>
      <c r="DFA34" s="63"/>
      <c r="DFB34" s="63"/>
      <c r="DFC34" s="63"/>
      <c r="DFD34" s="63"/>
      <c r="DFE34" s="63"/>
      <c r="DFF34" s="63"/>
      <c r="DFG34" s="63"/>
      <c r="DFH34" s="63"/>
      <c r="DFI34" s="63"/>
      <c r="DFJ34" s="63"/>
      <c r="DFK34" s="63"/>
      <c r="DFL34" s="63"/>
      <c r="DFM34" s="63"/>
      <c r="DFN34" s="63"/>
      <c r="DFO34" s="63"/>
      <c r="DFP34" s="63"/>
      <c r="DFQ34" s="63"/>
      <c r="DFR34" s="63"/>
      <c r="DFS34" s="63"/>
      <c r="DFT34" s="63"/>
      <c r="DFU34" s="63"/>
      <c r="DFV34" s="63"/>
      <c r="DFW34" s="63"/>
      <c r="DFX34" s="63"/>
      <c r="DFY34" s="63"/>
      <c r="DFZ34" s="63"/>
      <c r="DGA34" s="63"/>
      <c r="DGB34" s="63"/>
      <c r="DGC34" s="63"/>
      <c r="DGD34" s="63"/>
      <c r="DGE34" s="63"/>
      <c r="DGF34" s="63"/>
      <c r="DGG34" s="63"/>
      <c r="DGH34" s="63"/>
      <c r="DGI34" s="63"/>
      <c r="DGJ34" s="63"/>
      <c r="DGK34" s="63"/>
      <c r="DGL34" s="63"/>
      <c r="DGM34" s="63"/>
      <c r="DGN34" s="63"/>
      <c r="DGO34" s="63"/>
      <c r="DGP34" s="63"/>
      <c r="DGQ34" s="63"/>
      <c r="DGR34" s="63"/>
      <c r="DGS34" s="63"/>
      <c r="DGT34" s="63"/>
      <c r="DGU34" s="63"/>
      <c r="DGV34" s="63"/>
      <c r="DGW34" s="63"/>
      <c r="DGX34" s="63"/>
      <c r="DGY34" s="63"/>
      <c r="DGZ34" s="63"/>
      <c r="DHA34" s="63"/>
      <c r="DHB34" s="63"/>
      <c r="DHC34" s="63"/>
      <c r="DHD34" s="63"/>
      <c r="DHE34" s="63"/>
      <c r="DHF34" s="63"/>
      <c r="DHG34" s="63"/>
      <c r="DHH34" s="63"/>
      <c r="DHI34" s="63"/>
      <c r="DHJ34" s="63"/>
      <c r="DHK34" s="63"/>
      <c r="DHL34" s="63"/>
      <c r="DHM34" s="63"/>
      <c r="DHN34" s="63"/>
      <c r="DHO34" s="63"/>
      <c r="DHP34" s="63"/>
      <c r="DHQ34" s="63"/>
      <c r="DHR34" s="63"/>
      <c r="DHS34" s="63"/>
      <c r="DHT34" s="63"/>
      <c r="DHU34" s="63"/>
      <c r="DHV34" s="63"/>
      <c r="DHW34" s="63"/>
      <c r="DHX34" s="63"/>
      <c r="DHY34" s="63"/>
      <c r="DHZ34" s="63"/>
      <c r="DIA34" s="63"/>
      <c r="DIB34" s="63"/>
      <c r="DIC34" s="63"/>
      <c r="DID34" s="63"/>
      <c r="DIE34" s="63"/>
      <c r="DIF34" s="63"/>
      <c r="DIG34" s="63"/>
      <c r="DIH34" s="63"/>
      <c r="DII34" s="63"/>
      <c r="DIJ34" s="63"/>
      <c r="DIK34" s="63"/>
      <c r="DIL34" s="63"/>
      <c r="DIM34" s="63"/>
      <c r="DIN34" s="63"/>
      <c r="DIO34" s="63"/>
      <c r="DIP34" s="63"/>
      <c r="DIQ34" s="63"/>
      <c r="DIR34" s="63"/>
      <c r="DIS34" s="63"/>
      <c r="DIT34" s="63"/>
      <c r="DIU34" s="63"/>
      <c r="DIV34" s="63"/>
      <c r="DIW34" s="63"/>
      <c r="DIX34" s="63"/>
      <c r="DIY34" s="63"/>
      <c r="DIZ34" s="63"/>
      <c r="DJA34" s="63"/>
      <c r="DJB34" s="63"/>
      <c r="DJC34" s="63"/>
      <c r="DJD34" s="63"/>
      <c r="DJE34" s="63"/>
      <c r="DJF34" s="63"/>
      <c r="DJG34" s="63"/>
      <c r="DJH34" s="63"/>
      <c r="DJI34" s="63"/>
      <c r="DJJ34" s="63"/>
      <c r="DJK34" s="63"/>
      <c r="DJL34" s="63"/>
      <c r="DJM34" s="63"/>
      <c r="DJN34" s="63"/>
      <c r="DJO34" s="63"/>
      <c r="DJP34" s="63"/>
      <c r="DJQ34" s="63"/>
      <c r="DJR34" s="63"/>
      <c r="DJS34" s="63"/>
      <c r="DJT34" s="63"/>
      <c r="DJU34" s="63"/>
      <c r="DJV34" s="63"/>
      <c r="DJW34" s="63"/>
      <c r="DJX34" s="63"/>
      <c r="DJY34" s="63"/>
      <c r="DJZ34" s="63"/>
      <c r="DKA34" s="63"/>
      <c r="DKB34" s="63"/>
      <c r="DKC34" s="63"/>
      <c r="DKD34" s="63"/>
      <c r="DKE34" s="63"/>
      <c r="DKF34" s="63"/>
      <c r="DKG34" s="63"/>
      <c r="DKH34" s="63"/>
      <c r="DKI34" s="63"/>
      <c r="DKJ34" s="63"/>
      <c r="DKK34" s="63"/>
      <c r="DKL34" s="63"/>
      <c r="DKM34" s="63"/>
      <c r="DKN34" s="63"/>
      <c r="DKO34" s="63"/>
      <c r="DKP34" s="63"/>
      <c r="DKQ34" s="63"/>
      <c r="DKR34" s="63"/>
      <c r="DKS34" s="63"/>
      <c r="DKT34" s="63"/>
      <c r="DKU34" s="63"/>
      <c r="DKV34" s="63"/>
      <c r="DKW34" s="63"/>
      <c r="DKX34" s="63"/>
      <c r="DKY34" s="63"/>
      <c r="DKZ34" s="63"/>
      <c r="DLA34" s="63"/>
      <c r="DLB34" s="63"/>
      <c r="DLC34" s="63"/>
      <c r="DLD34" s="63"/>
      <c r="DLE34" s="63"/>
      <c r="DLF34" s="63"/>
      <c r="DLG34" s="63"/>
      <c r="DLH34" s="63"/>
      <c r="DLI34" s="63"/>
      <c r="DLJ34" s="63"/>
      <c r="DLK34" s="63"/>
      <c r="DLL34" s="63"/>
      <c r="DLM34" s="63"/>
      <c r="DLN34" s="63"/>
      <c r="DLO34" s="63"/>
      <c r="DLP34" s="63"/>
      <c r="DLQ34" s="63"/>
      <c r="DLR34" s="63"/>
      <c r="DLS34" s="63"/>
      <c r="DLT34" s="63"/>
      <c r="DLU34" s="63"/>
      <c r="DLV34" s="63"/>
      <c r="DLW34" s="63"/>
      <c r="DLX34" s="63"/>
      <c r="DLY34" s="63"/>
      <c r="DLZ34" s="63"/>
      <c r="DMA34" s="63"/>
      <c r="DMB34" s="63"/>
      <c r="DMC34" s="63"/>
      <c r="DMD34" s="63"/>
      <c r="DME34" s="63"/>
      <c r="DMF34" s="63"/>
      <c r="DMG34" s="63"/>
      <c r="DMH34" s="63"/>
      <c r="DMI34" s="63"/>
      <c r="DMJ34" s="63"/>
      <c r="DMK34" s="63"/>
      <c r="DML34" s="63"/>
      <c r="DMM34" s="63"/>
      <c r="DMN34" s="63"/>
      <c r="DMO34" s="63"/>
      <c r="DMP34" s="63"/>
      <c r="DMQ34" s="63"/>
      <c r="DMR34" s="63"/>
      <c r="DMS34" s="63"/>
      <c r="DMT34" s="63"/>
      <c r="DMU34" s="63"/>
      <c r="DMV34" s="63"/>
      <c r="DMW34" s="63"/>
      <c r="DMX34" s="63"/>
      <c r="DMY34" s="63"/>
      <c r="DMZ34" s="63"/>
      <c r="DNA34" s="63"/>
      <c r="DNB34" s="63"/>
      <c r="DNC34" s="63"/>
      <c r="DND34" s="63"/>
      <c r="DNE34" s="63"/>
      <c r="DNF34" s="63"/>
      <c r="DNG34" s="63"/>
      <c r="DNH34" s="63"/>
      <c r="DNI34" s="63"/>
      <c r="DNJ34" s="63"/>
      <c r="DNK34" s="63"/>
      <c r="DNL34" s="63"/>
      <c r="DNM34" s="63"/>
      <c r="DNN34" s="63"/>
      <c r="DNO34" s="63"/>
      <c r="DNP34" s="63"/>
      <c r="DNQ34" s="63"/>
      <c r="DNR34" s="63"/>
      <c r="DNS34" s="63"/>
      <c r="DNT34" s="63"/>
      <c r="DNU34" s="63"/>
      <c r="DNV34" s="63"/>
      <c r="DNW34" s="63"/>
      <c r="DNX34" s="63"/>
      <c r="DNY34" s="63"/>
      <c r="DNZ34" s="63"/>
      <c r="DOA34" s="63"/>
      <c r="DOB34" s="63"/>
      <c r="DOC34" s="63"/>
      <c r="DOD34" s="63"/>
      <c r="DOE34" s="63"/>
      <c r="DOF34" s="63"/>
      <c r="DOG34" s="63"/>
      <c r="DOH34" s="63"/>
      <c r="DOI34" s="63"/>
      <c r="DOJ34" s="63"/>
      <c r="DOK34" s="63"/>
      <c r="DOL34" s="63"/>
      <c r="DOM34" s="63"/>
      <c r="DON34" s="63"/>
      <c r="DOO34" s="63"/>
      <c r="DOP34" s="63"/>
      <c r="DOQ34" s="63"/>
      <c r="DOR34" s="63"/>
      <c r="DOS34" s="63"/>
      <c r="DOT34" s="63"/>
      <c r="DOU34" s="63"/>
      <c r="DOV34" s="63"/>
      <c r="DOW34" s="63"/>
      <c r="DOX34" s="63"/>
      <c r="DOY34" s="63"/>
      <c r="DOZ34" s="63"/>
      <c r="DPA34" s="63"/>
      <c r="DPB34" s="63"/>
      <c r="DPC34" s="63"/>
      <c r="DPD34" s="63"/>
      <c r="DPE34" s="63"/>
      <c r="DPF34" s="63"/>
      <c r="DPG34" s="63"/>
      <c r="DPH34" s="63"/>
      <c r="DPI34" s="63"/>
      <c r="DPJ34" s="63"/>
      <c r="DPK34" s="63"/>
      <c r="DPL34" s="63"/>
      <c r="DPM34" s="63"/>
      <c r="DPN34" s="63"/>
      <c r="DPO34" s="63"/>
      <c r="DPP34" s="63"/>
      <c r="DPQ34" s="63"/>
      <c r="DPR34" s="63"/>
      <c r="DPS34" s="63"/>
      <c r="DPT34" s="63"/>
      <c r="DPU34" s="63"/>
      <c r="DPV34" s="63"/>
      <c r="DPW34" s="63"/>
      <c r="DPX34" s="63"/>
      <c r="DPY34" s="63"/>
      <c r="DPZ34" s="63"/>
      <c r="DQA34" s="63"/>
      <c r="DQB34" s="63"/>
      <c r="DQC34" s="63"/>
      <c r="DQD34" s="63"/>
      <c r="DQE34" s="63"/>
      <c r="DQF34" s="63"/>
      <c r="DQG34" s="63"/>
      <c r="DQH34" s="63"/>
      <c r="DQI34" s="63"/>
      <c r="DQJ34" s="63"/>
      <c r="DQK34" s="63"/>
      <c r="DQL34" s="63"/>
      <c r="DQM34" s="63"/>
      <c r="DQN34" s="63"/>
      <c r="DQO34" s="63"/>
      <c r="DQP34" s="63"/>
      <c r="DQQ34" s="63"/>
      <c r="DQR34" s="63"/>
      <c r="DQS34" s="63"/>
      <c r="DQT34" s="63"/>
      <c r="DQU34" s="63"/>
      <c r="DQV34" s="63"/>
      <c r="DQW34" s="63"/>
      <c r="DQX34" s="63"/>
      <c r="DQY34" s="63"/>
      <c r="DQZ34" s="63"/>
      <c r="DRA34" s="63"/>
      <c r="DRB34" s="63"/>
      <c r="DRC34" s="63"/>
      <c r="DRD34" s="63"/>
      <c r="DRE34" s="63"/>
      <c r="DRF34" s="63"/>
      <c r="DRG34" s="63"/>
      <c r="DRH34" s="63"/>
      <c r="DRI34" s="63"/>
      <c r="DRJ34" s="63"/>
      <c r="DRK34" s="63"/>
      <c r="DRL34" s="63"/>
      <c r="DRM34" s="63"/>
      <c r="DRN34" s="63"/>
      <c r="DRO34" s="63"/>
      <c r="DRP34" s="63"/>
      <c r="DRQ34" s="63"/>
      <c r="DRR34" s="63"/>
      <c r="DRS34" s="63"/>
      <c r="DRT34" s="63"/>
      <c r="DRU34" s="63"/>
      <c r="DRV34" s="63"/>
      <c r="DRW34" s="63"/>
      <c r="DRX34" s="63"/>
      <c r="DRY34" s="63"/>
      <c r="DRZ34" s="63"/>
      <c r="DSA34" s="63"/>
      <c r="DSB34" s="63"/>
      <c r="DSC34" s="63"/>
      <c r="DSD34" s="63"/>
      <c r="DSE34" s="63"/>
      <c r="DSF34" s="63"/>
      <c r="DSG34" s="63"/>
      <c r="DSH34" s="63"/>
      <c r="DSI34" s="63"/>
      <c r="DSJ34" s="63"/>
      <c r="DSK34" s="63"/>
      <c r="DSL34" s="63"/>
      <c r="DSM34" s="63"/>
      <c r="DSN34" s="63"/>
      <c r="DSO34" s="63"/>
      <c r="DSP34" s="63"/>
      <c r="DSQ34" s="63"/>
      <c r="DSR34" s="63"/>
      <c r="DSS34" s="63"/>
      <c r="DST34" s="63"/>
      <c r="DSU34" s="63"/>
      <c r="DSV34" s="63"/>
      <c r="DSW34" s="63"/>
      <c r="DSX34" s="63"/>
      <c r="DSY34" s="63"/>
      <c r="DSZ34" s="63"/>
      <c r="DTA34" s="63"/>
      <c r="DTB34" s="63"/>
      <c r="DTC34" s="63"/>
      <c r="DTD34" s="63"/>
      <c r="DTE34" s="63"/>
      <c r="DTF34" s="63"/>
      <c r="DTG34" s="63"/>
      <c r="DTH34" s="63"/>
      <c r="DTI34" s="63"/>
      <c r="DTJ34" s="63"/>
      <c r="DTK34" s="63"/>
      <c r="DTL34" s="63"/>
      <c r="DTM34" s="63"/>
      <c r="DTN34" s="63"/>
      <c r="DTO34" s="63"/>
      <c r="DTP34" s="63"/>
      <c r="DTQ34" s="63"/>
      <c r="DTR34" s="63"/>
      <c r="DTS34" s="63"/>
      <c r="DTT34" s="63"/>
      <c r="DTU34" s="63"/>
      <c r="DTV34" s="63"/>
      <c r="DTW34" s="63"/>
      <c r="DTX34" s="63"/>
      <c r="DTY34" s="63"/>
      <c r="DTZ34" s="63"/>
      <c r="DUA34" s="63"/>
      <c r="DUB34" s="63"/>
      <c r="DUC34" s="63"/>
      <c r="DUD34" s="63"/>
      <c r="DUE34" s="63"/>
      <c r="DUF34" s="63"/>
      <c r="DUG34" s="63"/>
      <c r="DUH34" s="63"/>
      <c r="DUI34" s="63"/>
      <c r="DUJ34" s="63"/>
      <c r="DUK34" s="63"/>
      <c r="DUL34" s="63"/>
      <c r="DUM34" s="63"/>
      <c r="DUN34" s="63"/>
      <c r="DUO34" s="63"/>
      <c r="DUP34" s="63"/>
      <c r="DUQ34" s="63"/>
      <c r="DUR34" s="63"/>
      <c r="DUS34" s="63"/>
      <c r="DUT34" s="63"/>
      <c r="DUU34" s="63"/>
      <c r="DUV34" s="63"/>
      <c r="DUW34" s="63"/>
      <c r="DUX34" s="63"/>
      <c r="DUY34" s="63"/>
      <c r="DUZ34" s="63"/>
      <c r="DVA34" s="63"/>
      <c r="DVB34" s="63"/>
      <c r="DVC34" s="63"/>
      <c r="DVD34" s="63"/>
      <c r="DVE34" s="63"/>
      <c r="DVF34" s="63"/>
      <c r="DVG34" s="63"/>
      <c r="DVH34" s="63"/>
      <c r="DVI34" s="63"/>
      <c r="DVJ34" s="63"/>
      <c r="DVK34" s="63"/>
      <c r="DVL34" s="63"/>
      <c r="DVM34" s="63"/>
      <c r="DVN34" s="63"/>
      <c r="DVO34" s="63"/>
      <c r="DVP34" s="63"/>
      <c r="DVQ34" s="63"/>
      <c r="DVR34" s="63"/>
      <c r="DVS34" s="63"/>
      <c r="DVT34" s="63"/>
      <c r="DVU34" s="63"/>
      <c r="DVV34" s="63"/>
      <c r="DVW34" s="63"/>
      <c r="DVX34" s="63"/>
      <c r="DVY34" s="63"/>
      <c r="DVZ34" s="63"/>
      <c r="DWA34" s="63"/>
      <c r="DWB34" s="63"/>
      <c r="DWC34" s="63"/>
      <c r="DWD34" s="63"/>
      <c r="DWE34" s="63"/>
      <c r="DWF34" s="63"/>
      <c r="DWG34" s="63"/>
      <c r="DWH34" s="63"/>
      <c r="DWI34" s="63"/>
      <c r="DWJ34" s="63"/>
      <c r="DWK34" s="63"/>
      <c r="DWL34" s="63"/>
      <c r="DWM34" s="63"/>
      <c r="DWN34" s="63"/>
      <c r="DWO34" s="63"/>
      <c r="DWP34" s="63"/>
      <c r="DWQ34" s="63"/>
      <c r="DWR34" s="63"/>
      <c r="DWS34" s="63"/>
      <c r="DWT34" s="63"/>
      <c r="DWU34" s="63"/>
      <c r="DWV34" s="63"/>
      <c r="DWW34" s="63"/>
      <c r="DWX34" s="63"/>
      <c r="DWY34" s="63"/>
      <c r="DWZ34" s="63"/>
      <c r="DXA34" s="63"/>
      <c r="DXB34" s="63"/>
      <c r="DXC34" s="63"/>
      <c r="DXD34" s="63"/>
      <c r="DXE34" s="63"/>
      <c r="DXF34" s="63"/>
      <c r="DXG34" s="63"/>
      <c r="DXH34" s="63"/>
      <c r="DXI34" s="63"/>
      <c r="DXJ34" s="63"/>
      <c r="DXK34" s="63"/>
      <c r="DXL34" s="63"/>
      <c r="DXM34" s="63"/>
      <c r="DXN34" s="63"/>
      <c r="DXO34" s="63"/>
      <c r="DXP34" s="63"/>
      <c r="DXQ34" s="63"/>
      <c r="DXR34" s="63"/>
      <c r="DXS34" s="63"/>
      <c r="DXT34" s="63"/>
      <c r="DXU34" s="63"/>
      <c r="DXV34" s="63"/>
      <c r="DXW34" s="63"/>
      <c r="DXX34" s="63"/>
      <c r="DXY34" s="63"/>
      <c r="DXZ34" s="63"/>
      <c r="DYA34" s="63"/>
      <c r="DYB34" s="63"/>
      <c r="DYC34" s="63"/>
      <c r="DYD34" s="63"/>
      <c r="DYE34" s="63"/>
      <c r="DYF34" s="63"/>
      <c r="DYG34" s="63"/>
      <c r="DYH34" s="63"/>
      <c r="DYI34" s="63"/>
      <c r="DYJ34" s="63"/>
      <c r="DYK34" s="63"/>
      <c r="DYL34" s="63"/>
      <c r="DYM34" s="63"/>
      <c r="DYN34" s="63"/>
      <c r="DYO34" s="63"/>
      <c r="DYP34" s="63"/>
      <c r="DYQ34" s="63"/>
      <c r="DYR34" s="63"/>
      <c r="DYS34" s="63"/>
      <c r="DYT34" s="63"/>
      <c r="DYU34" s="63"/>
      <c r="DYV34" s="63"/>
      <c r="DYW34" s="63"/>
      <c r="DYX34" s="63"/>
      <c r="DYY34" s="63"/>
      <c r="DYZ34" s="63"/>
      <c r="DZA34" s="63"/>
      <c r="DZB34" s="63"/>
      <c r="DZC34" s="63"/>
      <c r="DZD34" s="63"/>
      <c r="DZE34" s="63"/>
      <c r="DZF34" s="63"/>
      <c r="DZG34" s="63"/>
      <c r="DZH34" s="63"/>
      <c r="DZI34" s="63"/>
      <c r="DZJ34" s="63"/>
      <c r="DZK34" s="63"/>
      <c r="DZL34" s="63"/>
      <c r="DZM34" s="63"/>
      <c r="DZN34" s="63"/>
      <c r="DZO34" s="63"/>
      <c r="DZP34" s="63"/>
      <c r="DZQ34" s="63"/>
      <c r="DZR34" s="63"/>
      <c r="DZS34" s="63"/>
      <c r="DZT34" s="63"/>
      <c r="DZU34" s="63"/>
      <c r="DZV34" s="63"/>
      <c r="DZW34" s="63"/>
      <c r="DZX34" s="63"/>
      <c r="DZY34" s="63"/>
      <c r="DZZ34" s="63"/>
      <c r="EAA34" s="63"/>
      <c r="EAB34" s="63"/>
      <c r="EAC34" s="63"/>
      <c r="EAD34" s="63"/>
      <c r="EAE34" s="63"/>
      <c r="EAF34" s="63"/>
      <c r="EAG34" s="63"/>
      <c r="EAH34" s="63"/>
      <c r="EAI34" s="63"/>
      <c r="EAJ34" s="63"/>
      <c r="EAK34" s="63"/>
      <c r="EAL34" s="63"/>
      <c r="EAM34" s="63"/>
      <c r="EAN34" s="63"/>
      <c r="EAO34" s="63"/>
      <c r="EAP34" s="63"/>
      <c r="EAQ34" s="63"/>
      <c r="EAR34" s="63"/>
      <c r="EAS34" s="63"/>
      <c r="EAT34" s="63"/>
      <c r="EAU34" s="63"/>
      <c r="EAV34" s="63"/>
      <c r="EAW34" s="63"/>
      <c r="EAX34" s="63"/>
      <c r="EAY34" s="63"/>
      <c r="EAZ34" s="63"/>
      <c r="EBA34" s="63"/>
      <c r="EBB34" s="63"/>
      <c r="EBC34" s="63"/>
      <c r="EBD34" s="63"/>
      <c r="EBE34" s="63"/>
      <c r="EBF34" s="63"/>
      <c r="EBG34" s="63"/>
      <c r="EBH34" s="63"/>
      <c r="EBI34" s="63"/>
      <c r="EBJ34" s="63"/>
      <c r="EBK34" s="63"/>
      <c r="EBL34" s="63"/>
      <c r="EBM34" s="63"/>
      <c r="EBN34" s="63"/>
      <c r="EBO34" s="63"/>
      <c r="EBP34" s="63"/>
      <c r="EBQ34" s="63"/>
      <c r="EBR34" s="63"/>
      <c r="EBS34" s="63"/>
      <c r="EBT34" s="63"/>
      <c r="EBU34" s="63"/>
      <c r="EBV34" s="63"/>
      <c r="EBW34" s="63"/>
      <c r="EBX34" s="63"/>
      <c r="EBY34" s="63"/>
      <c r="EBZ34" s="63"/>
      <c r="ECA34" s="63"/>
      <c r="ECB34" s="63"/>
      <c r="ECC34" s="63"/>
      <c r="ECD34" s="63"/>
      <c r="ECE34" s="63"/>
      <c r="ECF34" s="63"/>
      <c r="ECG34" s="63"/>
      <c r="ECH34" s="63"/>
      <c r="ECI34" s="63"/>
      <c r="ECJ34" s="63"/>
      <c r="ECK34" s="63"/>
      <c r="ECL34" s="63"/>
      <c r="ECM34" s="63"/>
      <c r="ECN34" s="63"/>
      <c r="ECO34" s="63"/>
      <c r="ECP34" s="63"/>
      <c r="ECQ34" s="63"/>
      <c r="ECR34" s="63"/>
      <c r="ECS34" s="63"/>
      <c r="ECT34" s="63"/>
      <c r="ECU34" s="63"/>
      <c r="ECV34" s="63"/>
      <c r="ECW34" s="63"/>
      <c r="ECX34" s="63"/>
      <c r="ECY34" s="63"/>
      <c r="ECZ34" s="63"/>
      <c r="EDA34" s="63"/>
      <c r="EDB34" s="63"/>
      <c r="EDC34" s="63"/>
      <c r="EDD34" s="63"/>
      <c r="EDE34" s="63"/>
      <c r="EDF34" s="63"/>
      <c r="EDG34" s="63"/>
      <c r="EDH34" s="63"/>
      <c r="EDI34" s="63"/>
      <c r="EDJ34" s="63"/>
      <c r="EDK34" s="63"/>
      <c r="EDL34" s="63"/>
      <c r="EDM34" s="63"/>
      <c r="EDN34" s="63"/>
      <c r="EDO34" s="63"/>
      <c r="EDP34" s="63"/>
      <c r="EDQ34" s="63"/>
      <c r="EDR34" s="63"/>
      <c r="EDS34" s="63"/>
      <c r="EDT34" s="63"/>
      <c r="EDU34" s="63"/>
      <c r="EDV34" s="63"/>
      <c r="EDW34" s="63"/>
      <c r="EDX34" s="63"/>
      <c r="EDY34" s="63"/>
      <c r="EDZ34" s="63"/>
      <c r="EEA34" s="63"/>
      <c r="EEB34" s="63"/>
      <c r="EEC34" s="63"/>
      <c r="EED34" s="63"/>
      <c r="EEE34" s="63"/>
      <c r="EEF34" s="63"/>
      <c r="EEG34" s="63"/>
      <c r="EEH34" s="63"/>
      <c r="EEI34" s="63"/>
      <c r="EEJ34" s="63"/>
      <c r="EEK34" s="63"/>
      <c r="EEL34" s="63"/>
      <c r="EEM34" s="63"/>
      <c r="EEN34" s="63"/>
      <c r="EEO34" s="63"/>
      <c r="EEP34" s="63"/>
      <c r="EEQ34" s="63"/>
      <c r="EER34" s="63"/>
      <c r="EES34" s="63"/>
      <c r="EET34" s="63"/>
      <c r="EEU34" s="63"/>
      <c r="EEV34" s="63"/>
      <c r="EEW34" s="63"/>
      <c r="EEX34" s="63"/>
      <c r="EEY34" s="63"/>
      <c r="EEZ34" s="63"/>
      <c r="EFA34" s="63"/>
      <c r="EFB34" s="63"/>
      <c r="EFC34" s="63"/>
      <c r="EFD34" s="63"/>
      <c r="EFE34" s="63"/>
      <c r="EFF34" s="63"/>
      <c r="EFG34" s="63"/>
      <c r="EFH34" s="63"/>
      <c r="EFI34" s="63"/>
      <c r="EFJ34" s="63"/>
      <c r="EFK34" s="63"/>
      <c r="EFL34" s="63"/>
      <c r="EFM34" s="63"/>
      <c r="EFN34" s="63"/>
      <c r="EFO34" s="63"/>
      <c r="EFP34" s="63"/>
      <c r="EFQ34" s="63"/>
      <c r="EFR34" s="63"/>
      <c r="EFS34" s="63"/>
      <c r="EFT34" s="63"/>
      <c r="EFU34" s="63"/>
      <c r="EFV34" s="63"/>
      <c r="EFW34" s="63"/>
      <c r="EFX34" s="63"/>
      <c r="EFY34" s="63"/>
      <c r="EFZ34" s="63"/>
      <c r="EGA34" s="63"/>
      <c r="EGB34" s="63"/>
      <c r="EGC34" s="63"/>
      <c r="EGD34" s="63"/>
      <c r="EGE34" s="63"/>
      <c r="EGF34" s="63"/>
      <c r="EGG34" s="63"/>
      <c r="EGH34" s="63"/>
      <c r="EGI34" s="63"/>
      <c r="EGJ34" s="63"/>
      <c r="EGK34" s="63"/>
      <c r="EGL34" s="63"/>
      <c r="EGM34" s="63"/>
      <c r="EGN34" s="63"/>
      <c r="EGO34" s="63"/>
      <c r="EGP34" s="63"/>
      <c r="EGQ34" s="63"/>
      <c r="EGR34" s="63"/>
      <c r="EGS34" s="63"/>
      <c r="EGT34" s="63"/>
      <c r="EGU34" s="63"/>
      <c r="EGV34" s="63"/>
      <c r="EGW34" s="63"/>
      <c r="EGX34" s="63"/>
      <c r="EGY34" s="63"/>
      <c r="EGZ34" s="63"/>
      <c r="EHA34" s="63"/>
      <c r="EHB34" s="63"/>
      <c r="EHC34" s="63"/>
      <c r="EHD34" s="63"/>
      <c r="EHE34" s="63"/>
      <c r="EHF34" s="63"/>
      <c r="EHG34" s="63"/>
      <c r="EHH34" s="63"/>
      <c r="EHI34" s="63"/>
      <c r="EHJ34" s="63"/>
      <c r="EHK34" s="63"/>
      <c r="EHL34" s="63"/>
      <c r="EHM34" s="63"/>
      <c r="EHN34" s="63"/>
      <c r="EHO34" s="63"/>
      <c r="EHP34" s="63"/>
      <c r="EHQ34" s="63"/>
      <c r="EHR34" s="63"/>
      <c r="EHS34" s="63"/>
      <c r="EHT34" s="63"/>
      <c r="EHU34" s="63"/>
      <c r="EHV34" s="63"/>
      <c r="EHW34" s="63"/>
      <c r="EHX34" s="63"/>
      <c r="EHY34" s="63"/>
      <c r="EHZ34" s="63"/>
      <c r="EIA34" s="63"/>
      <c r="EIB34" s="63"/>
      <c r="EIC34" s="63"/>
      <c r="EID34" s="63"/>
      <c r="EIE34" s="63"/>
      <c r="EIF34" s="63"/>
      <c r="EIG34" s="63"/>
      <c r="EIH34" s="63"/>
      <c r="EII34" s="63"/>
      <c r="EIJ34" s="63"/>
      <c r="EIK34" s="63"/>
      <c r="EIL34" s="63"/>
      <c r="EIM34" s="63"/>
      <c r="EIN34" s="63"/>
      <c r="EIO34" s="63"/>
      <c r="EIP34" s="63"/>
      <c r="EIQ34" s="63"/>
      <c r="EIR34" s="63"/>
      <c r="EIS34" s="63"/>
      <c r="EIT34" s="63"/>
      <c r="EIU34" s="63"/>
      <c r="EIV34" s="63"/>
      <c r="EIW34" s="63"/>
      <c r="EIX34" s="63"/>
      <c r="EIY34" s="63"/>
      <c r="EIZ34" s="63"/>
      <c r="EJA34" s="63"/>
      <c r="EJB34" s="63"/>
      <c r="EJC34" s="63"/>
      <c r="EJD34" s="63"/>
      <c r="EJE34" s="63"/>
      <c r="EJF34" s="63"/>
      <c r="EJG34" s="63"/>
      <c r="EJH34" s="63"/>
      <c r="EJI34" s="63"/>
      <c r="EJJ34" s="63"/>
      <c r="EJK34" s="63"/>
      <c r="EJL34" s="63"/>
      <c r="EJM34" s="63"/>
      <c r="EJN34" s="63"/>
      <c r="EJO34" s="63"/>
      <c r="EJP34" s="63"/>
      <c r="EJQ34" s="63"/>
      <c r="EJR34" s="63"/>
      <c r="EJS34" s="63"/>
      <c r="EJT34" s="63"/>
      <c r="EJU34" s="63"/>
      <c r="EJV34" s="63"/>
      <c r="EJW34" s="63"/>
      <c r="EJX34" s="63"/>
      <c r="EJY34" s="63"/>
      <c r="EJZ34" s="63"/>
      <c r="EKA34" s="63"/>
      <c r="EKB34" s="63"/>
      <c r="EKC34" s="63"/>
      <c r="EKD34" s="63"/>
      <c r="EKE34" s="63"/>
      <c r="EKF34" s="63"/>
      <c r="EKG34" s="63"/>
      <c r="EKH34" s="63"/>
      <c r="EKI34" s="63"/>
      <c r="EKJ34" s="63"/>
      <c r="EKK34" s="63"/>
      <c r="EKL34" s="63"/>
      <c r="EKM34" s="63"/>
      <c r="EKN34" s="63"/>
      <c r="EKO34" s="63"/>
      <c r="EKP34" s="63"/>
      <c r="EKQ34" s="63"/>
      <c r="EKR34" s="63"/>
      <c r="EKS34" s="63"/>
      <c r="EKT34" s="63"/>
      <c r="EKU34" s="63"/>
      <c r="EKV34" s="63"/>
      <c r="EKW34" s="63"/>
      <c r="EKX34" s="63"/>
      <c r="EKY34" s="63"/>
      <c r="EKZ34" s="63"/>
      <c r="ELA34" s="63"/>
      <c r="ELB34" s="63"/>
      <c r="ELC34" s="63"/>
      <c r="ELD34" s="63"/>
      <c r="ELE34" s="63"/>
      <c r="ELF34" s="63"/>
      <c r="ELG34" s="63"/>
      <c r="ELH34" s="63"/>
      <c r="ELI34" s="63"/>
      <c r="ELJ34" s="63"/>
      <c r="ELK34" s="63"/>
      <c r="ELL34" s="63"/>
      <c r="ELM34" s="63"/>
      <c r="ELN34" s="63"/>
      <c r="ELO34" s="63"/>
      <c r="ELP34" s="63"/>
      <c r="ELQ34" s="63"/>
      <c r="ELR34" s="63"/>
      <c r="ELS34" s="63"/>
      <c r="ELT34" s="63"/>
      <c r="ELU34" s="63"/>
      <c r="ELV34" s="63"/>
      <c r="ELW34" s="63"/>
      <c r="ELX34" s="63"/>
      <c r="ELY34" s="63"/>
      <c r="ELZ34" s="63"/>
      <c r="EMA34" s="63"/>
      <c r="EMB34" s="63"/>
      <c r="EMC34" s="63"/>
      <c r="EMD34" s="63"/>
      <c r="EME34" s="63"/>
      <c r="EMF34" s="63"/>
      <c r="EMG34" s="63"/>
      <c r="EMH34" s="63"/>
      <c r="EMI34" s="63"/>
      <c r="EMJ34" s="63"/>
      <c r="EMK34" s="63"/>
      <c r="EML34" s="63"/>
      <c r="EMM34" s="63"/>
      <c r="EMN34" s="63"/>
      <c r="EMO34" s="63"/>
      <c r="EMP34" s="63"/>
      <c r="EMQ34" s="63"/>
      <c r="EMR34" s="63"/>
      <c r="EMS34" s="63"/>
      <c r="EMT34" s="63"/>
      <c r="EMU34" s="63"/>
      <c r="EMV34" s="63"/>
      <c r="EMW34" s="63"/>
      <c r="EMX34" s="63"/>
      <c r="EMY34" s="63"/>
      <c r="EMZ34" s="63"/>
      <c r="ENA34" s="63"/>
      <c r="ENB34" s="63"/>
      <c r="ENC34" s="63"/>
      <c r="END34" s="63"/>
      <c r="ENE34" s="63"/>
      <c r="ENF34" s="63"/>
      <c r="ENG34" s="63"/>
      <c r="ENH34" s="63"/>
      <c r="ENI34" s="63"/>
      <c r="ENJ34" s="63"/>
      <c r="ENK34" s="63"/>
      <c r="ENL34" s="63"/>
      <c r="ENM34" s="63"/>
      <c r="ENN34" s="63"/>
      <c r="ENO34" s="63"/>
      <c r="ENP34" s="63"/>
      <c r="ENQ34" s="63"/>
      <c r="ENR34" s="63"/>
      <c r="ENS34" s="63"/>
      <c r="ENT34" s="63"/>
      <c r="ENU34" s="63"/>
      <c r="ENV34" s="63"/>
      <c r="ENW34" s="63"/>
      <c r="ENX34" s="63"/>
      <c r="ENY34" s="63"/>
      <c r="ENZ34" s="63"/>
      <c r="EOA34" s="63"/>
      <c r="EOB34" s="63"/>
      <c r="EOC34" s="63"/>
      <c r="EOD34" s="63"/>
      <c r="EOE34" s="63"/>
      <c r="EOF34" s="63"/>
      <c r="EOG34" s="63"/>
      <c r="EOH34" s="63"/>
      <c r="EOI34" s="63"/>
      <c r="EOJ34" s="63"/>
      <c r="EOK34" s="63"/>
      <c r="EOL34" s="63"/>
      <c r="EOM34" s="63"/>
      <c r="EON34" s="63"/>
      <c r="EOO34" s="63"/>
      <c r="EOP34" s="63"/>
      <c r="EOQ34" s="63"/>
      <c r="EOR34" s="63"/>
      <c r="EOS34" s="63"/>
      <c r="EOT34" s="63"/>
      <c r="EOU34" s="63"/>
      <c r="EOV34" s="63"/>
      <c r="EOW34" s="63"/>
      <c r="EOX34" s="63"/>
      <c r="EOY34" s="63"/>
      <c r="EOZ34" s="63"/>
      <c r="EPA34" s="63"/>
      <c r="EPB34" s="63"/>
      <c r="EPC34" s="63"/>
      <c r="EPD34" s="63"/>
      <c r="EPE34" s="63"/>
      <c r="EPF34" s="63"/>
      <c r="EPG34" s="63"/>
      <c r="EPH34" s="63"/>
      <c r="EPI34" s="63"/>
      <c r="EPJ34" s="63"/>
      <c r="EPK34" s="63"/>
      <c r="EPL34" s="63"/>
      <c r="EPM34" s="63"/>
      <c r="EPN34" s="63"/>
      <c r="EPO34" s="63"/>
      <c r="EPP34" s="63"/>
      <c r="EPQ34" s="63"/>
      <c r="EPR34" s="63"/>
      <c r="EPS34" s="63"/>
      <c r="EPT34" s="63"/>
      <c r="EPU34" s="63"/>
      <c r="EPV34" s="63"/>
      <c r="EPW34" s="63"/>
      <c r="EPX34" s="63"/>
      <c r="EPY34" s="63"/>
      <c r="EPZ34" s="63"/>
      <c r="EQA34" s="63"/>
      <c r="EQB34" s="63"/>
      <c r="EQC34" s="63"/>
      <c r="EQD34" s="63"/>
      <c r="EQE34" s="63"/>
      <c r="EQF34" s="63"/>
      <c r="EQG34" s="63"/>
      <c r="EQH34" s="63"/>
      <c r="EQI34" s="63"/>
      <c r="EQJ34" s="63"/>
      <c r="EQK34" s="63"/>
      <c r="EQL34" s="63"/>
      <c r="EQM34" s="63"/>
      <c r="EQN34" s="63"/>
      <c r="EQO34" s="63"/>
      <c r="EQP34" s="63"/>
      <c r="EQQ34" s="63"/>
      <c r="EQR34" s="63"/>
      <c r="EQS34" s="63"/>
      <c r="EQT34" s="63"/>
      <c r="EQU34" s="63"/>
      <c r="EQV34" s="63"/>
      <c r="EQW34" s="63"/>
      <c r="EQX34" s="63"/>
      <c r="EQY34" s="63"/>
      <c r="EQZ34" s="63"/>
      <c r="ERA34" s="63"/>
      <c r="ERB34" s="63"/>
      <c r="ERC34" s="63"/>
      <c r="ERD34" s="63"/>
      <c r="ERE34" s="63"/>
      <c r="ERF34" s="63"/>
      <c r="ERG34" s="63"/>
      <c r="ERH34" s="63"/>
      <c r="ERI34" s="63"/>
      <c r="ERJ34" s="63"/>
      <c r="ERK34" s="63"/>
      <c r="ERL34" s="63"/>
      <c r="ERM34" s="63"/>
      <c r="ERN34" s="63"/>
      <c r="ERO34" s="63"/>
      <c r="ERP34" s="63"/>
      <c r="ERQ34" s="63"/>
      <c r="ERR34" s="63"/>
      <c r="ERS34" s="63"/>
      <c r="ERT34" s="63"/>
      <c r="ERU34" s="63"/>
      <c r="ERV34" s="63"/>
      <c r="ERW34" s="63"/>
      <c r="ERX34" s="63"/>
      <c r="ERY34" s="63"/>
      <c r="ERZ34" s="63"/>
      <c r="ESA34" s="63"/>
      <c r="ESB34" s="63"/>
      <c r="ESC34" s="63"/>
      <c r="ESD34" s="63"/>
      <c r="ESE34" s="63"/>
      <c r="ESF34" s="63"/>
      <c r="ESG34" s="63"/>
      <c r="ESH34" s="63"/>
      <c r="ESI34" s="63"/>
      <c r="ESJ34" s="63"/>
      <c r="ESK34" s="63"/>
      <c r="ESL34" s="63"/>
      <c r="ESM34" s="63"/>
      <c r="ESN34" s="63"/>
      <c r="ESO34" s="63"/>
      <c r="ESP34" s="63"/>
      <c r="ESQ34" s="63"/>
      <c r="ESR34" s="63"/>
      <c r="ESS34" s="63"/>
      <c r="EST34" s="63"/>
      <c r="ESU34" s="63"/>
      <c r="ESV34" s="63"/>
      <c r="ESW34" s="63"/>
      <c r="ESX34" s="63"/>
      <c r="ESY34" s="63"/>
      <c r="ESZ34" s="63"/>
      <c r="ETA34" s="63"/>
      <c r="ETB34" s="63"/>
      <c r="ETC34" s="63"/>
      <c r="ETD34" s="63"/>
      <c r="ETE34" s="63"/>
      <c r="ETF34" s="63"/>
      <c r="ETG34" s="63"/>
      <c r="ETH34" s="63"/>
      <c r="ETI34" s="63"/>
      <c r="ETJ34" s="63"/>
      <c r="ETK34" s="63"/>
      <c r="ETL34" s="63"/>
      <c r="ETM34" s="63"/>
      <c r="ETN34" s="63"/>
      <c r="ETO34" s="63"/>
      <c r="ETP34" s="63"/>
      <c r="ETQ34" s="63"/>
      <c r="ETR34" s="63"/>
      <c r="ETS34" s="63"/>
      <c r="ETT34" s="63"/>
      <c r="ETU34" s="63"/>
      <c r="ETV34" s="63"/>
      <c r="ETW34" s="63"/>
      <c r="ETX34" s="63"/>
      <c r="ETY34" s="63"/>
      <c r="ETZ34" s="63"/>
      <c r="EUA34" s="63"/>
      <c r="EUB34" s="63"/>
      <c r="EUC34" s="63"/>
      <c r="EUD34" s="63"/>
      <c r="EUE34" s="63"/>
      <c r="EUF34" s="63"/>
      <c r="EUG34" s="63"/>
      <c r="EUH34" s="63"/>
      <c r="EUI34" s="63"/>
      <c r="EUJ34" s="63"/>
      <c r="EUK34" s="63"/>
      <c r="EUL34" s="63"/>
      <c r="EUM34" s="63"/>
      <c r="EUN34" s="63"/>
      <c r="EUO34" s="63"/>
      <c r="EUP34" s="63"/>
      <c r="EUQ34" s="63"/>
      <c r="EUR34" s="63"/>
      <c r="EUS34" s="63"/>
      <c r="EUT34" s="63"/>
      <c r="EUU34" s="63"/>
      <c r="EUV34" s="63"/>
      <c r="EUW34" s="63"/>
      <c r="EUX34" s="63"/>
      <c r="EUY34" s="63"/>
      <c r="EUZ34" s="63"/>
      <c r="EVA34" s="63"/>
      <c r="EVB34" s="63"/>
      <c r="EVC34" s="63"/>
      <c r="EVD34" s="63"/>
      <c r="EVE34" s="63"/>
      <c r="EVF34" s="63"/>
      <c r="EVG34" s="63"/>
      <c r="EVH34" s="63"/>
      <c r="EVI34" s="63"/>
      <c r="EVJ34" s="63"/>
      <c r="EVK34" s="63"/>
      <c r="EVL34" s="63"/>
      <c r="EVM34" s="63"/>
      <c r="EVN34" s="63"/>
      <c r="EVO34" s="63"/>
      <c r="EVP34" s="63"/>
      <c r="EVQ34" s="63"/>
      <c r="EVR34" s="63"/>
      <c r="EVS34" s="63"/>
      <c r="EVT34" s="63"/>
      <c r="EVU34" s="63"/>
      <c r="EVV34" s="63"/>
      <c r="EVW34" s="63"/>
      <c r="EVX34" s="63"/>
      <c r="EVY34" s="63"/>
      <c r="EVZ34" s="63"/>
      <c r="EWA34" s="63"/>
      <c r="EWB34" s="63"/>
      <c r="EWC34" s="63"/>
      <c r="EWD34" s="63"/>
      <c r="EWE34" s="63"/>
      <c r="EWF34" s="63"/>
      <c r="EWG34" s="63"/>
      <c r="EWH34" s="63"/>
      <c r="EWI34" s="63"/>
      <c r="EWJ34" s="63"/>
      <c r="EWK34" s="63"/>
      <c r="EWL34" s="63"/>
      <c r="EWM34" s="63"/>
      <c r="EWN34" s="63"/>
      <c r="EWO34" s="63"/>
      <c r="EWP34" s="63"/>
      <c r="EWQ34" s="63"/>
      <c r="EWR34" s="63"/>
      <c r="EWS34" s="63"/>
      <c r="EWT34" s="63"/>
      <c r="EWU34" s="63"/>
      <c r="EWV34" s="63"/>
      <c r="EWW34" s="63"/>
      <c r="EWX34" s="63"/>
      <c r="EWY34" s="63"/>
      <c r="EWZ34" s="63"/>
      <c r="EXA34" s="63"/>
      <c r="EXB34" s="63"/>
      <c r="EXC34" s="63"/>
      <c r="EXD34" s="63"/>
      <c r="EXE34" s="63"/>
      <c r="EXF34" s="63"/>
      <c r="EXG34" s="63"/>
      <c r="EXH34" s="63"/>
      <c r="EXI34" s="63"/>
      <c r="EXJ34" s="63"/>
      <c r="EXK34" s="63"/>
      <c r="EXL34" s="63"/>
      <c r="EXM34" s="63"/>
      <c r="EXN34" s="63"/>
      <c r="EXO34" s="63"/>
      <c r="EXP34" s="63"/>
      <c r="EXQ34" s="63"/>
      <c r="EXR34" s="63"/>
      <c r="EXS34" s="63"/>
      <c r="EXT34" s="63"/>
      <c r="EXU34" s="63"/>
      <c r="EXV34" s="63"/>
      <c r="EXW34" s="63"/>
      <c r="EXX34" s="63"/>
      <c r="EXY34" s="63"/>
      <c r="EXZ34" s="63"/>
      <c r="EYA34" s="63"/>
      <c r="EYB34" s="63"/>
      <c r="EYC34" s="63"/>
      <c r="EYD34" s="63"/>
      <c r="EYE34" s="63"/>
      <c r="EYF34" s="63"/>
      <c r="EYG34" s="63"/>
      <c r="EYH34" s="63"/>
      <c r="EYI34" s="63"/>
      <c r="EYJ34" s="63"/>
      <c r="EYK34" s="63"/>
      <c r="EYL34" s="63"/>
      <c r="EYM34" s="63"/>
      <c r="EYN34" s="63"/>
      <c r="EYO34" s="63"/>
      <c r="EYP34" s="63"/>
      <c r="EYQ34" s="63"/>
      <c r="EYR34" s="63"/>
      <c r="EYS34" s="63"/>
      <c r="EYT34" s="63"/>
      <c r="EYU34" s="63"/>
      <c r="EYV34" s="63"/>
      <c r="EYW34" s="63"/>
      <c r="EYX34" s="63"/>
      <c r="EYY34" s="63"/>
      <c r="EYZ34" s="63"/>
      <c r="EZA34" s="63"/>
      <c r="EZB34" s="63"/>
      <c r="EZC34" s="63"/>
      <c r="EZD34" s="63"/>
      <c r="EZE34" s="63"/>
      <c r="EZF34" s="63"/>
      <c r="EZG34" s="63"/>
      <c r="EZH34" s="63"/>
      <c r="EZI34" s="63"/>
      <c r="EZJ34" s="63"/>
      <c r="EZK34" s="63"/>
      <c r="EZL34" s="63"/>
      <c r="EZM34" s="63"/>
      <c r="EZN34" s="63"/>
      <c r="EZO34" s="63"/>
      <c r="EZP34" s="63"/>
      <c r="EZQ34" s="63"/>
      <c r="EZR34" s="63"/>
      <c r="EZS34" s="63"/>
      <c r="EZT34" s="63"/>
      <c r="EZU34" s="63"/>
      <c r="EZV34" s="63"/>
      <c r="EZW34" s="63"/>
      <c r="EZX34" s="63"/>
      <c r="EZY34" s="63"/>
      <c r="EZZ34" s="63"/>
      <c r="FAA34" s="63"/>
      <c r="FAB34" s="63"/>
      <c r="FAC34" s="63"/>
      <c r="FAD34" s="63"/>
      <c r="FAE34" s="63"/>
      <c r="FAF34" s="63"/>
      <c r="FAG34" s="63"/>
      <c r="FAH34" s="63"/>
      <c r="FAI34" s="63"/>
      <c r="FAJ34" s="63"/>
      <c r="FAK34" s="63"/>
      <c r="FAL34" s="63"/>
      <c r="FAM34" s="63"/>
      <c r="FAN34" s="63"/>
      <c r="FAO34" s="63"/>
      <c r="FAP34" s="63"/>
      <c r="FAQ34" s="63"/>
      <c r="FAR34" s="63"/>
      <c r="FAS34" s="63"/>
      <c r="FAT34" s="63"/>
      <c r="FAU34" s="63"/>
      <c r="FAV34" s="63"/>
      <c r="FAW34" s="63"/>
      <c r="FAX34" s="63"/>
      <c r="FAY34" s="63"/>
      <c r="FAZ34" s="63"/>
      <c r="FBA34" s="63"/>
      <c r="FBB34" s="63"/>
      <c r="FBC34" s="63"/>
      <c r="FBD34" s="63"/>
      <c r="FBE34" s="63"/>
      <c r="FBF34" s="63"/>
      <c r="FBG34" s="63"/>
      <c r="FBH34" s="63"/>
      <c r="FBI34" s="63"/>
      <c r="FBJ34" s="63"/>
      <c r="FBK34" s="63"/>
      <c r="FBL34" s="63"/>
      <c r="FBM34" s="63"/>
      <c r="FBN34" s="63"/>
      <c r="FBO34" s="63"/>
      <c r="FBP34" s="63"/>
      <c r="FBQ34" s="63"/>
      <c r="FBR34" s="63"/>
      <c r="FBS34" s="63"/>
      <c r="FBT34" s="63"/>
      <c r="FBU34" s="63"/>
      <c r="FBV34" s="63"/>
      <c r="FBW34" s="63"/>
      <c r="FBX34" s="63"/>
      <c r="FBY34" s="63"/>
      <c r="FBZ34" s="63"/>
      <c r="FCA34" s="63"/>
      <c r="FCB34" s="63"/>
      <c r="FCC34" s="63"/>
      <c r="FCD34" s="63"/>
      <c r="FCE34" s="63"/>
      <c r="FCF34" s="63"/>
      <c r="FCG34" s="63"/>
      <c r="FCH34" s="63"/>
      <c r="FCI34" s="63"/>
      <c r="FCJ34" s="63"/>
      <c r="FCK34" s="63"/>
      <c r="FCL34" s="63"/>
      <c r="FCM34" s="63"/>
      <c r="FCN34" s="63"/>
      <c r="FCO34" s="63"/>
      <c r="FCP34" s="63"/>
      <c r="FCQ34" s="63"/>
      <c r="FCR34" s="63"/>
      <c r="FCS34" s="63"/>
      <c r="FCT34" s="63"/>
      <c r="FCU34" s="63"/>
      <c r="FCV34" s="63"/>
      <c r="FCW34" s="63"/>
      <c r="FCX34" s="63"/>
      <c r="FCY34" s="63"/>
      <c r="FCZ34" s="63"/>
      <c r="FDA34" s="63"/>
      <c r="FDB34" s="63"/>
      <c r="FDC34" s="63"/>
      <c r="FDD34" s="63"/>
      <c r="FDE34" s="63"/>
      <c r="FDF34" s="63"/>
      <c r="FDG34" s="63"/>
      <c r="FDH34" s="63"/>
      <c r="FDI34" s="63"/>
      <c r="FDJ34" s="63"/>
      <c r="FDK34" s="63"/>
      <c r="FDL34" s="63"/>
      <c r="FDM34" s="63"/>
      <c r="FDN34" s="63"/>
      <c r="FDO34" s="63"/>
      <c r="FDP34" s="63"/>
      <c r="FDQ34" s="63"/>
      <c r="FDR34" s="63"/>
      <c r="FDS34" s="63"/>
      <c r="FDT34" s="63"/>
      <c r="FDU34" s="63"/>
      <c r="FDV34" s="63"/>
      <c r="FDW34" s="63"/>
      <c r="FDX34" s="63"/>
      <c r="FDY34" s="63"/>
      <c r="FDZ34" s="63"/>
      <c r="FEA34" s="63"/>
      <c r="FEB34" s="63"/>
      <c r="FEC34" s="63"/>
      <c r="FED34" s="63"/>
      <c r="FEE34" s="63"/>
      <c r="FEF34" s="63"/>
      <c r="FEG34" s="63"/>
      <c r="FEH34" s="63"/>
      <c r="FEI34" s="63"/>
      <c r="FEJ34" s="63"/>
      <c r="FEK34" s="63"/>
      <c r="FEL34" s="63"/>
      <c r="FEM34" s="63"/>
      <c r="FEN34" s="63"/>
      <c r="FEO34" s="63"/>
      <c r="FEP34" s="63"/>
      <c r="FEQ34" s="63"/>
      <c r="FER34" s="63"/>
      <c r="FES34" s="63"/>
      <c r="FET34" s="63"/>
      <c r="FEU34" s="63"/>
      <c r="FEV34" s="63"/>
      <c r="FEW34" s="63"/>
      <c r="FEX34" s="63"/>
      <c r="FEY34" s="63"/>
      <c r="FEZ34" s="63"/>
      <c r="FFA34" s="63"/>
      <c r="FFB34" s="63"/>
      <c r="FFC34" s="63"/>
      <c r="FFD34" s="63"/>
      <c r="FFE34" s="63"/>
      <c r="FFF34" s="63"/>
      <c r="FFG34" s="63"/>
      <c r="FFH34" s="63"/>
      <c r="FFI34" s="63"/>
      <c r="FFJ34" s="63"/>
      <c r="FFK34" s="63"/>
      <c r="FFL34" s="63"/>
      <c r="FFM34" s="63"/>
      <c r="FFN34" s="63"/>
      <c r="FFO34" s="63"/>
      <c r="FFP34" s="63"/>
      <c r="FFQ34" s="63"/>
      <c r="FFR34" s="63"/>
      <c r="FFS34" s="63"/>
      <c r="FFT34" s="63"/>
      <c r="FFU34" s="63"/>
      <c r="FFV34" s="63"/>
      <c r="FFW34" s="63"/>
      <c r="FFX34" s="63"/>
      <c r="FFY34" s="63"/>
      <c r="FFZ34" s="63"/>
      <c r="FGA34" s="63"/>
      <c r="FGB34" s="63"/>
      <c r="FGC34" s="63"/>
      <c r="FGD34" s="63"/>
      <c r="FGE34" s="63"/>
      <c r="FGF34" s="63"/>
      <c r="FGG34" s="63"/>
      <c r="FGH34" s="63"/>
      <c r="FGI34" s="63"/>
      <c r="FGJ34" s="63"/>
      <c r="FGK34" s="63"/>
      <c r="FGL34" s="63"/>
      <c r="FGM34" s="63"/>
      <c r="FGN34" s="63"/>
      <c r="FGO34" s="63"/>
      <c r="FGP34" s="63"/>
      <c r="FGQ34" s="63"/>
      <c r="FGR34" s="63"/>
      <c r="FGS34" s="63"/>
      <c r="FGT34" s="63"/>
      <c r="FGU34" s="63"/>
      <c r="FGV34" s="63"/>
      <c r="FGW34" s="63"/>
      <c r="FGX34" s="63"/>
      <c r="FGY34" s="63"/>
      <c r="FGZ34" s="63"/>
      <c r="FHA34" s="63"/>
      <c r="FHB34" s="63"/>
      <c r="FHC34" s="63"/>
      <c r="FHD34" s="63"/>
      <c r="FHE34" s="63"/>
      <c r="FHF34" s="63"/>
      <c r="FHG34" s="63"/>
      <c r="FHH34" s="63"/>
      <c r="FHI34" s="63"/>
      <c r="FHJ34" s="63"/>
      <c r="FHK34" s="63"/>
      <c r="FHL34" s="63"/>
      <c r="FHM34" s="63"/>
      <c r="FHN34" s="63"/>
      <c r="FHO34" s="63"/>
      <c r="FHP34" s="63"/>
      <c r="FHQ34" s="63"/>
      <c r="FHR34" s="63"/>
      <c r="FHS34" s="63"/>
      <c r="FHT34" s="63"/>
      <c r="FHU34" s="63"/>
      <c r="FHV34" s="63"/>
      <c r="FHW34" s="63"/>
      <c r="FHX34" s="63"/>
      <c r="FHY34" s="63"/>
      <c r="FHZ34" s="63"/>
      <c r="FIA34" s="63"/>
      <c r="FIB34" s="63"/>
      <c r="FIC34" s="63"/>
      <c r="FID34" s="63"/>
      <c r="FIE34" s="63"/>
      <c r="FIF34" s="63"/>
      <c r="FIG34" s="63"/>
      <c r="FIH34" s="63"/>
      <c r="FII34" s="63"/>
      <c r="FIJ34" s="63"/>
      <c r="FIK34" s="63"/>
      <c r="FIL34" s="63"/>
      <c r="FIM34" s="63"/>
      <c r="FIN34" s="63"/>
      <c r="FIO34" s="63"/>
      <c r="FIP34" s="63"/>
      <c r="FIQ34" s="63"/>
      <c r="FIR34" s="63"/>
      <c r="FIS34" s="63"/>
      <c r="FIT34" s="63"/>
      <c r="FIU34" s="63"/>
      <c r="FIV34" s="63"/>
      <c r="FIW34" s="63"/>
      <c r="FIX34" s="63"/>
      <c r="FIY34" s="63"/>
      <c r="FIZ34" s="63"/>
      <c r="FJA34" s="63"/>
      <c r="FJB34" s="63"/>
      <c r="FJC34" s="63"/>
      <c r="FJD34" s="63"/>
      <c r="FJE34" s="63"/>
      <c r="FJF34" s="63"/>
      <c r="FJG34" s="63"/>
      <c r="FJH34" s="63"/>
      <c r="FJI34" s="63"/>
      <c r="FJJ34" s="63"/>
      <c r="FJK34" s="63"/>
      <c r="FJL34" s="63"/>
      <c r="FJM34" s="63"/>
      <c r="FJN34" s="63"/>
      <c r="FJO34" s="63"/>
      <c r="FJP34" s="63"/>
      <c r="FJQ34" s="63"/>
      <c r="FJR34" s="63"/>
      <c r="FJS34" s="63"/>
      <c r="FJT34" s="63"/>
      <c r="FJU34" s="63"/>
      <c r="FJV34" s="63"/>
      <c r="FJW34" s="63"/>
      <c r="FJX34" s="63"/>
      <c r="FJY34" s="63"/>
      <c r="FJZ34" s="63"/>
      <c r="FKA34" s="63"/>
      <c r="FKB34" s="63"/>
      <c r="FKC34" s="63"/>
      <c r="FKD34" s="63"/>
      <c r="FKE34" s="63"/>
      <c r="FKF34" s="63"/>
      <c r="FKG34" s="63"/>
      <c r="FKH34" s="63"/>
      <c r="FKI34" s="63"/>
      <c r="FKJ34" s="63"/>
      <c r="FKK34" s="63"/>
      <c r="FKL34" s="63"/>
      <c r="FKM34" s="63"/>
      <c r="FKN34" s="63"/>
      <c r="FKO34" s="63"/>
      <c r="FKP34" s="63"/>
      <c r="FKQ34" s="63"/>
      <c r="FKR34" s="63"/>
      <c r="FKS34" s="63"/>
      <c r="FKT34" s="63"/>
      <c r="FKU34" s="63"/>
      <c r="FKV34" s="63"/>
      <c r="FKW34" s="63"/>
      <c r="FKX34" s="63"/>
      <c r="FKY34" s="63"/>
      <c r="FKZ34" s="63"/>
      <c r="FLA34" s="63"/>
      <c r="FLB34" s="63"/>
      <c r="FLC34" s="63"/>
      <c r="FLD34" s="63"/>
      <c r="FLE34" s="63"/>
      <c r="FLF34" s="63"/>
      <c r="FLG34" s="63"/>
      <c r="FLH34" s="63"/>
      <c r="FLI34" s="63"/>
      <c r="FLJ34" s="63"/>
      <c r="FLK34" s="63"/>
      <c r="FLL34" s="63"/>
      <c r="FLM34" s="63"/>
      <c r="FLN34" s="63"/>
      <c r="FLO34" s="63"/>
      <c r="FLP34" s="63"/>
      <c r="FLQ34" s="63"/>
      <c r="FLR34" s="63"/>
      <c r="FLS34" s="63"/>
      <c r="FLT34" s="63"/>
      <c r="FLU34" s="63"/>
      <c r="FLV34" s="63"/>
      <c r="FLW34" s="63"/>
      <c r="FLX34" s="63"/>
      <c r="FLY34" s="63"/>
      <c r="FLZ34" s="63"/>
      <c r="FMA34" s="63"/>
      <c r="FMB34" s="63"/>
      <c r="FMC34" s="63"/>
      <c r="FMD34" s="63"/>
      <c r="FME34" s="63"/>
      <c r="FMF34" s="63"/>
      <c r="FMG34" s="63"/>
      <c r="FMH34" s="63"/>
      <c r="FMI34" s="63"/>
      <c r="FMJ34" s="63"/>
      <c r="FMK34" s="63"/>
      <c r="FML34" s="63"/>
      <c r="FMM34" s="63"/>
      <c r="FMN34" s="63"/>
      <c r="FMO34" s="63"/>
      <c r="FMP34" s="63"/>
      <c r="FMQ34" s="63"/>
      <c r="FMR34" s="63"/>
      <c r="FMS34" s="63"/>
      <c r="FMT34" s="63"/>
      <c r="FMU34" s="63"/>
      <c r="FMV34" s="63"/>
      <c r="FMW34" s="63"/>
      <c r="FMX34" s="63"/>
      <c r="FMY34" s="63"/>
      <c r="FMZ34" s="63"/>
      <c r="FNA34" s="63"/>
      <c r="FNB34" s="63"/>
      <c r="FNC34" s="63"/>
      <c r="FND34" s="63"/>
      <c r="FNE34" s="63"/>
      <c r="FNF34" s="63"/>
      <c r="FNG34" s="63"/>
      <c r="FNH34" s="63"/>
      <c r="FNI34" s="63"/>
      <c r="FNJ34" s="63"/>
      <c r="FNK34" s="63"/>
      <c r="FNL34" s="63"/>
      <c r="FNM34" s="63"/>
      <c r="FNN34" s="63"/>
      <c r="FNO34" s="63"/>
      <c r="FNP34" s="63"/>
      <c r="FNQ34" s="63"/>
      <c r="FNR34" s="63"/>
      <c r="FNS34" s="63"/>
      <c r="FNT34" s="63"/>
      <c r="FNU34" s="63"/>
      <c r="FNV34" s="63"/>
      <c r="FNW34" s="63"/>
      <c r="FNX34" s="63"/>
      <c r="FNY34" s="63"/>
      <c r="FNZ34" s="63"/>
      <c r="FOA34" s="63"/>
      <c r="FOB34" s="63"/>
      <c r="FOC34" s="63"/>
      <c r="FOD34" s="63"/>
      <c r="FOE34" s="63"/>
      <c r="FOF34" s="63"/>
      <c r="FOG34" s="63"/>
      <c r="FOH34" s="63"/>
      <c r="FOI34" s="63"/>
      <c r="FOJ34" s="63"/>
      <c r="FOK34" s="63"/>
      <c r="FOL34" s="63"/>
      <c r="FOM34" s="63"/>
      <c r="FON34" s="63"/>
      <c r="FOO34" s="63"/>
      <c r="FOP34" s="63"/>
      <c r="FOQ34" s="63"/>
      <c r="FOR34" s="63"/>
      <c r="FOS34" s="63"/>
      <c r="FOT34" s="63"/>
      <c r="FOU34" s="63"/>
      <c r="FOV34" s="63"/>
      <c r="FOW34" s="63"/>
      <c r="FOX34" s="63"/>
      <c r="FOY34" s="63"/>
      <c r="FOZ34" s="63"/>
      <c r="FPA34" s="63"/>
      <c r="FPB34" s="63"/>
      <c r="FPC34" s="63"/>
      <c r="FPD34" s="63"/>
      <c r="FPE34" s="63"/>
      <c r="FPF34" s="63"/>
      <c r="FPG34" s="63"/>
      <c r="FPH34" s="63"/>
      <c r="FPI34" s="63"/>
      <c r="FPJ34" s="63"/>
      <c r="FPK34" s="63"/>
      <c r="FPL34" s="63"/>
      <c r="FPM34" s="63"/>
      <c r="FPN34" s="63"/>
      <c r="FPO34" s="63"/>
      <c r="FPP34" s="63"/>
      <c r="FPQ34" s="63"/>
      <c r="FPR34" s="63"/>
      <c r="FPS34" s="63"/>
      <c r="FPT34" s="63"/>
      <c r="FPU34" s="63"/>
      <c r="FPV34" s="63"/>
      <c r="FPW34" s="63"/>
      <c r="FPX34" s="63"/>
      <c r="FPY34" s="63"/>
      <c r="FPZ34" s="63"/>
      <c r="FQA34" s="63"/>
      <c r="FQB34" s="63"/>
      <c r="FQC34" s="63"/>
      <c r="FQD34" s="63"/>
      <c r="FQE34" s="63"/>
      <c r="FQF34" s="63"/>
      <c r="FQG34" s="63"/>
      <c r="FQH34" s="63"/>
      <c r="FQI34" s="63"/>
      <c r="FQJ34" s="63"/>
      <c r="FQK34" s="63"/>
      <c r="FQL34" s="63"/>
      <c r="FQM34" s="63"/>
      <c r="FQN34" s="63"/>
      <c r="FQO34" s="63"/>
      <c r="FQP34" s="63"/>
      <c r="FQQ34" s="63"/>
      <c r="FQR34" s="63"/>
      <c r="FQS34" s="63"/>
      <c r="FQT34" s="63"/>
      <c r="FQU34" s="63"/>
      <c r="FQV34" s="63"/>
      <c r="FQW34" s="63"/>
      <c r="FQX34" s="63"/>
      <c r="FQY34" s="63"/>
      <c r="FQZ34" s="63"/>
      <c r="FRA34" s="63"/>
      <c r="FRB34" s="63"/>
      <c r="FRC34" s="63"/>
      <c r="FRD34" s="63"/>
      <c r="FRE34" s="63"/>
      <c r="FRF34" s="63"/>
      <c r="FRG34" s="63"/>
      <c r="FRH34" s="63"/>
      <c r="FRI34" s="63"/>
      <c r="FRJ34" s="63"/>
      <c r="FRK34" s="63"/>
      <c r="FRL34" s="63"/>
      <c r="FRM34" s="63"/>
      <c r="FRN34" s="63"/>
      <c r="FRO34" s="63"/>
      <c r="FRP34" s="63"/>
      <c r="FRQ34" s="63"/>
      <c r="FRR34" s="63"/>
      <c r="FRS34" s="63"/>
      <c r="FRT34" s="63"/>
      <c r="FRU34" s="63"/>
      <c r="FRV34" s="63"/>
      <c r="FRW34" s="63"/>
      <c r="FRX34" s="63"/>
      <c r="FRY34" s="63"/>
      <c r="FRZ34" s="63"/>
      <c r="FSA34" s="63"/>
      <c r="FSB34" s="63"/>
      <c r="FSC34" s="63"/>
      <c r="FSD34" s="63"/>
      <c r="FSE34" s="63"/>
      <c r="FSF34" s="63"/>
      <c r="FSG34" s="63"/>
      <c r="FSH34" s="63"/>
      <c r="FSI34" s="63"/>
      <c r="FSJ34" s="63"/>
      <c r="FSK34" s="63"/>
      <c r="FSL34" s="63"/>
      <c r="FSM34" s="63"/>
      <c r="FSN34" s="63"/>
      <c r="FSO34" s="63"/>
      <c r="FSP34" s="63"/>
      <c r="FSQ34" s="63"/>
      <c r="FSR34" s="63"/>
      <c r="FSS34" s="63"/>
      <c r="FST34" s="63"/>
      <c r="FSU34" s="63"/>
      <c r="FSV34" s="63"/>
      <c r="FSW34" s="63"/>
      <c r="FSX34" s="63"/>
      <c r="FSY34" s="63"/>
      <c r="FSZ34" s="63"/>
      <c r="FTA34" s="63"/>
      <c r="FTB34" s="63"/>
      <c r="FTC34" s="63"/>
      <c r="FTD34" s="63"/>
      <c r="FTE34" s="63"/>
      <c r="FTF34" s="63"/>
      <c r="FTG34" s="63"/>
      <c r="FTH34" s="63"/>
      <c r="FTI34" s="63"/>
      <c r="FTJ34" s="63"/>
      <c r="FTK34" s="63"/>
      <c r="FTL34" s="63"/>
      <c r="FTM34" s="63"/>
      <c r="FTN34" s="63"/>
      <c r="FTO34" s="63"/>
      <c r="FTP34" s="63"/>
      <c r="FTQ34" s="63"/>
      <c r="FTR34" s="63"/>
      <c r="FTS34" s="63"/>
      <c r="FTT34" s="63"/>
      <c r="FTU34" s="63"/>
      <c r="FTV34" s="63"/>
      <c r="FTW34" s="63"/>
      <c r="FTX34" s="63"/>
      <c r="FTY34" s="63"/>
      <c r="FTZ34" s="63"/>
      <c r="FUA34" s="63"/>
      <c r="FUB34" s="63"/>
      <c r="FUC34" s="63"/>
      <c r="FUD34" s="63"/>
      <c r="FUE34" s="63"/>
      <c r="FUF34" s="63"/>
      <c r="FUG34" s="63"/>
      <c r="FUH34" s="63"/>
      <c r="FUI34" s="63"/>
      <c r="FUJ34" s="63"/>
      <c r="FUK34" s="63"/>
      <c r="FUL34" s="63"/>
      <c r="FUM34" s="63"/>
      <c r="FUN34" s="63"/>
      <c r="FUO34" s="63"/>
      <c r="FUP34" s="63"/>
      <c r="FUQ34" s="63"/>
      <c r="FUR34" s="63"/>
      <c r="FUS34" s="63"/>
      <c r="FUT34" s="63"/>
      <c r="FUU34" s="63"/>
      <c r="FUV34" s="63"/>
      <c r="FUW34" s="63"/>
      <c r="FUX34" s="63"/>
      <c r="FUY34" s="63"/>
      <c r="FUZ34" s="63"/>
      <c r="FVA34" s="63"/>
      <c r="FVB34" s="63"/>
      <c r="FVC34" s="63"/>
      <c r="FVD34" s="63"/>
      <c r="FVE34" s="63"/>
      <c r="FVF34" s="63"/>
      <c r="FVG34" s="63"/>
      <c r="FVH34" s="63"/>
      <c r="FVI34" s="63"/>
      <c r="FVJ34" s="63"/>
      <c r="FVK34" s="63"/>
      <c r="FVL34" s="63"/>
      <c r="FVM34" s="63"/>
      <c r="FVN34" s="63"/>
      <c r="FVO34" s="63"/>
      <c r="FVP34" s="63"/>
      <c r="FVQ34" s="63"/>
      <c r="FVR34" s="63"/>
      <c r="FVS34" s="63"/>
      <c r="FVT34" s="63"/>
      <c r="FVU34" s="63"/>
      <c r="FVV34" s="63"/>
      <c r="FVW34" s="63"/>
      <c r="FVX34" s="63"/>
      <c r="FVY34" s="63"/>
      <c r="FVZ34" s="63"/>
      <c r="FWA34" s="63"/>
      <c r="FWB34" s="63"/>
      <c r="FWC34" s="63"/>
      <c r="FWD34" s="63"/>
      <c r="FWE34" s="63"/>
      <c r="FWF34" s="63"/>
      <c r="FWG34" s="63"/>
      <c r="FWH34" s="63"/>
      <c r="FWI34" s="63"/>
      <c r="FWJ34" s="63"/>
      <c r="FWK34" s="63"/>
      <c r="FWL34" s="63"/>
      <c r="FWM34" s="63"/>
      <c r="FWN34" s="63"/>
      <c r="FWO34" s="63"/>
      <c r="FWP34" s="63"/>
      <c r="FWQ34" s="63"/>
      <c r="FWR34" s="63"/>
      <c r="FWS34" s="63"/>
      <c r="FWT34" s="63"/>
      <c r="FWU34" s="63"/>
      <c r="FWV34" s="63"/>
      <c r="FWW34" s="63"/>
      <c r="FWX34" s="63"/>
      <c r="FWY34" s="63"/>
      <c r="FWZ34" s="63"/>
      <c r="FXA34" s="63"/>
      <c r="FXB34" s="63"/>
      <c r="FXC34" s="63"/>
      <c r="FXD34" s="63"/>
      <c r="FXE34" s="63"/>
      <c r="FXF34" s="63"/>
      <c r="FXG34" s="63"/>
      <c r="FXH34" s="63"/>
      <c r="FXI34" s="63"/>
      <c r="FXJ34" s="63"/>
      <c r="FXK34" s="63"/>
      <c r="FXL34" s="63"/>
      <c r="FXM34" s="63"/>
      <c r="FXN34" s="63"/>
      <c r="FXO34" s="63"/>
      <c r="FXP34" s="63"/>
      <c r="FXQ34" s="63"/>
      <c r="FXR34" s="63"/>
      <c r="FXS34" s="63"/>
      <c r="FXT34" s="63"/>
      <c r="FXU34" s="63"/>
      <c r="FXV34" s="63"/>
      <c r="FXW34" s="63"/>
      <c r="FXX34" s="63"/>
      <c r="FXY34" s="63"/>
      <c r="FXZ34" s="63"/>
      <c r="FYA34" s="63"/>
      <c r="FYB34" s="63"/>
      <c r="FYC34" s="63"/>
      <c r="FYD34" s="63"/>
      <c r="FYE34" s="63"/>
      <c r="FYF34" s="63"/>
      <c r="FYG34" s="63"/>
      <c r="FYH34" s="63"/>
      <c r="FYI34" s="63"/>
      <c r="FYJ34" s="63"/>
      <c r="FYK34" s="63"/>
      <c r="FYL34" s="63"/>
      <c r="FYM34" s="63"/>
      <c r="FYN34" s="63"/>
      <c r="FYO34" s="63"/>
      <c r="FYP34" s="63"/>
      <c r="FYQ34" s="63"/>
      <c r="FYR34" s="63"/>
      <c r="FYS34" s="63"/>
      <c r="FYT34" s="63"/>
      <c r="FYU34" s="63"/>
      <c r="FYV34" s="63"/>
      <c r="FYW34" s="63"/>
      <c r="FYX34" s="63"/>
      <c r="FYY34" s="63"/>
      <c r="FYZ34" s="63"/>
      <c r="FZA34" s="63"/>
      <c r="FZB34" s="63"/>
      <c r="FZC34" s="63"/>
      <c r="FZD34" s="63"/>
      <c r="FZE34" s="63"/>
      <c r="FZF34" s="63"/>
      <c r="FZG34" s="63"/>
      <c r="FZH34" s="63"/>
      <c r="FZI34" s="63"/>
      <c r="FZJ34" s="63"/>
      <c r="FZK34" s="63"/>
      <c r="FZL34" s="63"/>
      <c r="FZM34" s="63"/>
      <c r="FZN34" s="63"/>
      <c r="FZO34" s="63"/>
      <c r="FZP34" s="63"/>
      <c r="FZQ34" s="63"/>
      <c r="FZR34" s="63"/>
      <c r="FZS34" s="63"/>
      <c r="FZT34" s="63"/>
      <c r="FZU34" s="63"/>
      <c r="FZV34" s="63"/>
      <c r="FZW34" s="63"/>
      <c r="FZX34" s="63"/>
      <c r="FZY34" s="63"/>
      <c r="FZZ34" s="63"/>
      <c r="GAA34" s="63"/>
      <c r="GAB34" s="63"/>
      <c r="GAC34" s="63"/>
      <c r="GAD34" s="63"/>
      <c r="GAE34" s="63"/>
      <c r="GAF34" s="63"/>
      <c r="GAG34" s="63"/>
      <c r="GAH34" s="63"/>
      <c r="GAI34" s="63"/>
      <c r="GAJ34" s="63"/>
      <c r="GAK34" s="63"/>
      <c r="GAL34" s="63"/>
      <c r="GAM34" s="63"/>
      <c r="GAN34" s="63"/>
      <c r="GAO34" s="63"/>
      <c r="GAP34" s="63"/>
      <c r="GAQ34" s="63"/>
      <c r="GAR34" s="63"/>
      <c r="GAS34" s="63"/>
      <c r="GAT34" s="63"/>
      <c r="GAU34" s="63"/>
      <c r="GAV34" s="63"/>
      <c r="GAW34" s="63"/>
      <c r="GAX34" s="63"/>
      <c r="GAY34" s="63"/>
      <c r="GAZ34" s="63"/>
      <c r="GBA34" s="63"/>
      <c r="GBB34" s="63"/>
      <c r="GBC34" s="63"/>
      <c r="GBD34" s="63"/>
      <c r="GBE34" s="63"/>
      <c r="GBF34" s="63"/>
      <c r="GBG34" s="63"/>
      <c r="GBH34" s="63"/>
      <c r="GBI34" s="63"/>
      <c r="GBJ34" s="63"/>
      <c r="GBK34" s="63"/>
      <c r="GBL34" s="63"/>
      <c r="GBM34" s="63"/>
      <c r="GBN34" s="63"/>
      <c r="GBO34" s="63"/>
      <c r="GBP34" s="63"/>
      <c r="GBQ34" s="63"/>
      <c r="GBR34" s="63"/>
      <c r="GBS34" s="63"/>
      <c r="GBT34" s="63"/>
      <c r="GBU34" s="63"/>
      <c r="GBV34" s="63"/>
      <c r="GBW34" s="63"/>
      <c r="GBX34" s="63"/>
      <c r="GBY34" s="63"/>
      <c r="GBZ34" s="63"/>
      <c r="GCA34" s="63"/>
      <c r="GCB34" s="63"/>
      <c r="GCC34" s="63"/>
      <c r="GCD34" s="63"/>
      <c r="GCE34" s="63"/>
      <c r="GCF34" s="63"/>
      <c r="GCG34" s="63"/>
      <c r="GCH34" s="63"/>
      <c r="GCI34" s="63"/>
      <c r="GCJ34" s="63"/>
      <c r="GCK34" s="63"/>
      <c r="GCL34" s="63"/>
      <c r="GCM34" s="63"/>
      <c r="GCN34" s="63"/>
      <c r="GCO34" s="63"/>
      <c r="GCP34" s="63"/>
      <c r="GCQ34" s="63"/>
      <c r="GCR34" s="63"/>
      <c r="GCS34" s="63"/>
      <c r="GCT34" s="63"/>
      <c r="GCU34" s="63"/>
      <c r="GCV34" s="63"/>
      <c r="GCW34" s="63"/>
      <c r="GCX34" s="63"/>
      <c r="GCY34" s="63"/>
      <c r="GCZ34" s="63"/>
      <c r="GDA34" s="63"/>
      <c r="GDB34" s="63"/>
      <c r="GDC34" s="63"/>
      <c r="GDD34" s="63"/>
      <c r="GDE34" s="63"/>
      <c r="GDF34" s="63"/>
      <c r="GDG34" s="63"/>
      <c r="GDH34" s="63"/>
      <c r="GDI34" s="63"/>
      <c r="GDJ34" s="63"/>
      <c r="GDK34" s="63"/>
      <c r="GDL34" s="63"/>
      <c r="GDM34" s="63"/>
      <c r="GDN34" s="63"/>
      <c r="GDO34" s="63"/>
      <c r="GDP34" s="63"/>
      <c r="GDQ34" s="63"/>
      <c r="GDR34" s="63"/>
      <c r="GDS34" s="63"/>
      <c r="GDT34" s="63"/>
      <c r="GDU34" s="63"/>
      <c r="GDV34" s="63"/>
      <c r="GDW34" s="63"/>
      <c r="GDX34" s="63"/>
      <c r="GDY34" s="63"/>
      <c r="GDZ34" s="63"/>
      <c r="GEA34" s="63"/>
      <c r="GEB34" s="63"/>
      <c r="GEC34" s="63"/>
      <c r="GED34" s="63"/>
      <c r="GEE34" s="63"/>
      <c r="GEF34" s="63"/>
      <c r="GEG34" s="63"/>
      <c r="GEH34" s="63"/>
      <c r="GEI34" s="63"/>
      <c r="GEJ34" s="63"/>
      <c r="GEK34" s="63"/>
      <c r="GEL34" s="63"/>
      <c r="GEM34" s="63"/>
      <c r="GEN34" s="63"/>
      <c r="GEO34" s="63"/>
      <c r="GEP34" s="63"/>
      <c r="GEQ34" s="63"/>
      <c r="GER34" s="63"/>
      <c r="GES34" s="63"/>
      <c r="GET34" s="63"/>
      <c r="GEU34" s="63"/>
      <c r="GEV34" s="63"/>
      <c r="GEW34" s="63"/>
      <c r="GEX34" s="63"/>
      <c r="GEY34" s="63"/>
      <c r="GEZ34" s="63"/>
      <c r="GFA34" s="63"/>
      <c r="GFB34" s="63"/>
      <c r="GFC34" s="63"/>
      <c r="GFD34" s="63"/>
      <c r="GFE34" s="63"/>
      <c r="GFF34" s="63"/>
      <c r="GFG34" s="63"/>
      <c r="GFH34" s="63"/>
      <c r="GFI34" s="63"/>
      <c r="GFJ34" s="63"/>
      <c r="GFK34" s="63"/>
      <c r="GFL34" s="63"/>
      <c r="GFM34" s="63"/>
      <c r="GFN34" s="63"/>
      <c r="GFO34" s="63"/>
      <c r="GFP34" s="63"/>
      <c r="GFQ34" s="63"/>
      <c r="GFR34" s="63"/>
      <c r="GFS34" s="63"/>
      <c r="GFT34" s="63"/>
      <c r="GFU34" s="63"/>
      <c r="GFV34" s="63"/>
      <c r="GFW34" s="63"/>
      <c r="GFX34" s="63"/>
      <c r="GFY34" s="63"/>
      <c r="GFZ34" s="63"/>
      <c r="GGA34" s="63"/>
      <c r="GGB34" s="63"/>
      <c r="GGC34" s="63"/>
      <c r="GGD34" s="63"/>
      <c r="GGE34" s="63"/>
      <c r="GGF34" s="63"/>
      <c r="GGG34" s="63"/>
      <c r="GGH34" s="63"/>
      <c r="GGI34" s="63"/>
      <c r="GGJ34" s="63"/>
      <c r="GGK34" s="63"/>
      <c r="GGL34" s="63"/>
      <c r="GGM34" s="63"/>
      <c r="GGN34" s="63"/>
      <c r="GGO34" s="63"/>
      <c r="GGP34" s="63"/>
      <c r="GGQ34" s="63"/>
      <c r="GGR34" s="63"/>
      <c r="GGS34" s="63"/>
      <c r="GGT34" s="63"/>
      <c r="GGU34" s="63"/>
      <c r="GGV34" s="63"/>
      <c r="GGW34" s="63"/>
      <c r="GGX34" s="63"/>
      <c r="GGY34" s="63"/>
      <c r="GGZ34" s="63"/>
      <c r="GHA34" s="63"/>
      <c r="GHB34" s="63"/>
      <c r="GHC34" s="63"/>
      <c r="GHD34" s="63"/>
      <c r="GHE34" s="63"/>
      <c r="GHF34" s="63"/>
      <c r="GHG34" s="63"/>
      <c r="GHH34" s="63"/>
      <c r="GHI34" s="63"/>
      <c r="GHJ34" s="63"/>
      <c r="GHK34" s="63"/>
      <c r="GHL34" s="63"/>
      <c r="GHM34" s="63"/>
      <c r="GHN34" s="63"/>
      <c r="GHO34" s="63"/>
      <c r="GHP34" s="63"/>
      <c r="GHQ34" s="63"/>
      <c r="GHR34" s="63"/>
      <c r="GHS34" s="63"/>
      <c r="GHT34" s="63"/>
      <c r="GHU34" s="63"/>
      <c r="GHV34" s="63"/>
      <c r="GHW34" s="63"/>
      <c r="GHX34" s="63"/>
      <c r="GHY34" s="63"/>
      <c r="GHZ34" s="63"/>
      <c r="GIA34" s="63"/>
      <c r="GIB34" s="63"/>
      <c r="GIC34" s="63"/>
      <c r="GID34" s="63"/>
      <c r="GIE34" s="63"/>
      <c r="GIF34" s="63"/>
      <c r="GIG34" s="63"/>
      <c r="GIH34" s="63"/>
      <c r="GII34" s="63"/>
      <c r="GIJ34" s="63"/>
      <c r="GIK34" s="63"/>
      <c r="GIL34" s="63"/>
      <c r="GIM34" s="63"/>
      <c r="GIN34" s="63"/>
      <c r="GIO34" s="63"/>
      <c r="GIP34" s="63"/>
      <c r="GIQ34" s="63"/>
      <c r="GIR34" s="63"/>
      <c r="GIS34" s="63"/>
      <c r="GIT34" s="63"/>
      <c r="GIU34" s="63"/>
      <c r="GIV34" s="63"/>
      <c r="GIW34" s="63"/>
      <c r="GIX34" s="63"/>
      <c r="GIY34" s="63"/>
      <c r="GIZ34" s="63"/>
      <c r="GJA34" s="63"/>
      <c r="GJB34" s="63"/>
      <c r="GJC34" s="63"/>
      <c r="GJD34" s="63"/>
      <c r="GJE34" s="63"/>
      <c r="GJF34" s="63"/>
      <c r="GJG34" s="63"/>
      <c r="GJH34" s="63"/>
      <c r="GJI34" s="63"/>
      <c r="GJJ34" s="63"/>
      <c r="GJK34" s="63"/>
      <c r="GJL34" s="63"/>
      <c r="GJM34" s="63"/>
      <c r="GJN34" s="63"/>
      <c r="GJO34" s="63"/>
      <c r="GJP34" s="63"/>
      <c r="GJQ34" s="63"/>
      <c r="GJR34" s="63"/>
      <c r="GJS34" s="63"/>
      <c r="GJT34" s="63"/>
      <c r="GJU34" s="63"/>
      <c r="GJV34" s="63"/>
      <c r="GJW34" s="63"/>
      <c r="GJX34" s="63"/>
      <c r="GJY34" s="63"/>
      <c r="GJZ34" s="63"/>
      <c r="GKA34" s="63"/>
      <c r="GKB34" s="63"/>
      <c r="GKC34" s="63"/>
      <c r="GKD34" s="63"/>
      <c r="GKE34" s="63"/>
      <c r="GKF34" s="63"/>
      <c r="GKG34" s="63"/>
      <c r="GKH34" s="63"/>
      <c r="GKI34" s="63"/>
      <c r="GKJ34" s="63"/>
      <c r="GKK34" s="63"/>
      <c r="GKL34" s="63"/>
      <c r="GKM34" s="63"/>
      <c r="GKN34" s="63"/>
      <c r="GKO34" s="63"/>
      <c r="GKP34" s="63"/>
      <c r="GKQ34" s="63"/>
      <c r="GKR34" s="63"/>
      <c r="GKS34" s="63"/>
      <c r="GKT34" s="63"/>
      <c r="GKU34" s="63"/>
      <c r="GKV34" s="63"/>
      <c r="GKW34" s="63"/>
      <c r="GKX34" s="63"/>
      <c r="GKY34" s="63"/>
      <c r="GKZ34" s="63"/>
      <c r="GLA34" s="63"/>
      <c r="GLB34" s="63"/>
      <c r="GLC34" s="63"/>
      <c r="GLD34" s="63"/>
      <c r="GLE34" s="63"/>
      <c r="GLF34" s="63"/>
      <c r="GLG34" s="63"/>
      <c r="GLH34" s="63"/>
      <c r="GLI34" s="63"/>
      <c r="GLJ34" s="63"/>
      <c r="GLK34" s="63"/>
      <c r="GLL34" s="63"/>
      <c r="GLM34" s="63"/>
      <c r="GLN34" s="63"/>
      <c r="GLO34" s="63"/>
      <c r="GLP34" s="63"/>
      <c r="GLQ34" s="63"/>
      <c r="GLR34" s="63"/>
      <c r="GLS34" s="63"/>
      <c r="GLT34" s="63"/>
      <c r="GLU34" s="63"/>
      <c r="GLV34" s="63"/>
      <c r="GLW34" s="63"/>
      <c r="GLX34" s="63"/>
      <c r="GLY34" s="63"/>
      <c r="GLZ34" s="63"/>
      <c r="GMA34" s="63"/>
      <c r="GMB34" s="63"/>
      <c r="GMC34" s="63"/>
      <c r="GMD34" s="63"/>
      <c r="GME34" s="63"/>
      <c r="GMF34" s="63"/>
      <c r="GMG34" s="63"/>
      <c r="GMH34" s="63"/>
      <c r="GMI34" s="63"/>
      <c r="GMJ34" s="63"/>
      <c r="GMK34" s="63"/>
      <c r="GML34" s="63"/>
      <c r="GMM34" s="63"/>
      <c r="GMN34" s="63"/>
      <c r="GMO34" s="63"/>
      <c r="GMP34" s="63"/>
      <c r="GMQ34" s="63"/>
      <c r="GMR34" s="63"/>
      <c r="GMS34" s="63"/>
      <c r="GMT34" s="63"/>
      <c r="GMU34" s="63"/>
      <c r="GMV34" s="63"/>
      <c r="GMW34" s="63"/>
      <c r="GMX34" s="63"/>
      <c r="GMY34" s="63"/>
      <c r="GMZ34" s="63"/>
      <c r="GNA34" s="63"/>
      <c r="GNB34" s="63"/>
      <c r="GNC34" s="63"/>
      <c r="GND34" s="63"/>
      <c r="GNE34" s="63"/>
      <c r="GNF34" s="63"/>
      <c r="GNG34" s="63"/>
      <c r="GNH34" s="63"/>
      <c r="GNI34" s="63"/>
      <c r="GNJ34" s="63"/>
      <c r="GNK34" s="63"/>
      <c r="GNL34" s="63"/>
      <c r="GNM34" s="63"/>
      <c r="GNN34" s="63"/>
      <c r="GNO34" s="63"/>
      <c r="GNP34" s="63"/>
      <c r="GNQ34" s="63"/>
      <c r="GNR34" s="63"/>
      <c r="GNS34" s="63"/>
      <c r="GNT34" s="63"/>
      <c r="GNU34" s="63"/>
      <c r="GNV34" s="63"/>
      <c r="GNW34" s="63"/>
      <c r="GNX34" s="63"/>
      <c r="GNY34" s="63"/>
      <c r="GNZ34" s="63"/>
      <c r="GOA34" s="63"/>
      <c r="GOB34" s="63"/>
      <c r="GOC34" s="63"/>
      <c r="GOD34" s="63"/>
      <c r="GOE34" s="63"/>
      <c r="GOF34" s="63"/>
      <c r="GOG34" s="63"/>
      <c r="GOH34" s="63"/>
      <c r="GOI34" s="63"/>
      <c r="GOJ34" s="63"/>
      <c r="GOK34" s="63"/>
      <c r="GOL34" s="63"/>
      <c r="GOM34" s="63"/>
      <c r="GON34" s="63"/>
      <c r="GOO34" s="63"/>
      <c r="GOP34" s="63"/>
      <c r="GOQ34" s="63"/>
      <c r="GOR34" s="63"/>
      <c r="GOS34" s="63"/>
      <c r="GOT34" s="63"/>
      <c r="GOU34" s="63"/>
      <c r="GOV34" s="63"/>
      <c r="GOW34" s="63"/>
      <c r="GOX34" s="63"/>
      <c r="GOY34" s="63"/>
      <c r="GOZ34" s="63"/>
      <c r="GPA34" s="63"/>
      <c r="GPB34" s="63"/>
      <c r="GPC34" s="63"/>
      <c r="GPD34" s="63"/>
      <c r="GPE34" s="63"/>
      <c r="GPF34" s="63"/>
      <c r="GPG34" s="63"/>
      <c r="GPH34" s="63"/>
      <c r="GPI34" s="63"/>
      <c r="GPJ34" s="63"/>
      <c r="GPK34" s="63"/>
      <c r="GPL34" s="63"/>
      <c r="GPM34" s="63"/>
      <c r="GPN34" s="63"/>
      <c r="GPO34" s="63"/>
      <c r="GPP34" s="63"/>
      <c r="GPQ34" s="63"/>
      <c r="GPR34" s="63"/>
      <c r="GPS34" s="63"/>
      <c r="GPT34" s="63"/>
      <c r="GPU34" s="63"/>
      <c r="GPV34" s="63"/>
      <c r="GPW34" s="63"/>
      <c r="GPX34" s="63"/>
      <c r="GPY34" s="63"/>
      <c r="GPZ34" s="63"/>
      <c r="GQA34" s="63"/>
      <c r="GQB34" s="63"/>
      <c r="GQC34" s="63"/>
      <c r="GQD34" s="63"/>
      <c r="GQE34" s="63"/>
      <c r="GQF34" s="63"/>
      <c r="GQG34" s="63"/>
      <c r="GQH34" s="63"/>
      <c r="GQI34" s="63"/>
      <c r="GQJ34" s="63"/>
      <c r="GQK34" s="63"/>
      <c r="GQL34" s="63"/>
      <c r="GQM34" s="63"/>
      <c r="GQN34" s="63"/>
      <c r="GQO34" s="63"/>
      <c r="GQP34" s="63"/>
      <c r="GQQ34" s="63"/>
      <c r="GQR34" s="63"/>
      <c r="GQS34" s="63"/>
      <c r="GQT34" s="63"/>
      <c r="GQU34" s="63"/>
      <c r="GQV34" s="63"/>
      <c r="GQW34" s="63"/>
      <c r="GQX34" s="63"/>
      <c r="GQY34" s="63"/>
      <c r="GQZ34" s="63"/>
      <c r="GRA34" s="63"/>
      <c r="GRB34" s="63"/>
      <c r="GRC34" s="63"/>
      <c r="GRD34" s="63"/>
      <c r="GRE34" s="63"/>
      <c r="GRF34" s="63"/>
      <c r="GRG34" s="63"/>
      <c r="GRH34" s="63"/>
      <c r="GRI34" s="63"/>
      <c r="GRJ34" s="63"/>
      <c r="GRK34" s="63"/>
      <c r="GRL34" s="63"/>
      <c r="GRM34" s="63"/>
      <c r="GRN34" s="63"/>
      <c r="GRO34" s="63"/>
      <c r="GRP34" s="63"/>
      <c r="GRQ34" s="63"/>
      <c r="GRR34" s="63"/>
      <c r="GRS34" s="63"/>
      <c r="GRT34" s="63"/>
      <c r="GRU34" s="63"/>
      <c r="GRV34" s="63"/>
      <c r="GRW34" s="63"/>
      <c r="GRX34" s="63"/>
      <c r="GRY34" s="63"/>
      <c r="GRZ34" s="63"/>
      <c r="GSA34" s="63"/>
      <c r="GSB34" s="63"/>
      <c r="GSC34" s="63"/>
      <c r="GSD34" s="63"/>
      <c r="GSE34" s="63"/>
      <c r="GSF34" s="63"/>
      <c r="GSG34" s="63"/>
      <c r="GSH34" s="63"/>
      <c r="GSI34" s="63"/>
      <c r="GSJ34" s="63"/>
      <c r="GSK34" s="63"/>
      <c r="GSL34" s="63"/>
      <c r="GSM34" s="63"/>
      <c r="GSN34" s="63"/>
      <c r="GSO34" s="63"/>
      <c r="GSP34" s="63"/>
      <c r="GSQ34" s="63"/>
      <c r="GSR34" s="63"/>
      <c r="GSS34" s="63"/>
      <c r="GST34" s="63"/>
      <c r="GSU34" s="63"/>
      <c r="GSV34" s="63"/>
      <c r="GSW34" s="63"/>
      <c r="GSX34" s="63"/>
      <c r="GSY34" s="63"/>
      <c r="GSZ34" s="63"/>
      <c r="GTA34" s="63"/>
      <c r="GTB34" s="63"/>
      <c r="GTC34" s="63"/>
      <c r="GTD34" s="63"/>
      <c r="GTE34" s="63"/>
      <c r="GTF34" s="63"/>
      <c r="GTG34" s="63"/>
      <c r="GTH34" s="63"/>
      <c r="GTI34" s="63"/>
      <c r="GTJ34" s="63"/>
      <c r="GTK34" s="63"/>
      <c r="GTL34" s="63"/>
      <c r="GTM34" s="63"/>
      <c r="GTN34" s="63"/>
      <c r="GTO34" s="63"/>
      <c r="GTP34" s="63"/>
      <c r="GTQ34" s="63"/>
      <c r="GTR34" s="63"/>
      <c r="GTS34" s="63"/>
      <c r="GTT34" s="63"/>
      <c r="GTU34" s="63"/>
      <c r="GTV34" s="63"/>
      <c r="GTW34" s="63"/>
      <c r="GTX34" s="63"/>
      <c r="GTY34" s="63"/>
      <c r="GTZ34" s="63"/>
      <c r="GUA34" s="63"/>
      <c r="GUB34" s="63"/>
      <c r="GUC34" s="63"/>
      <c r="GUD34" s="63"/>
      <c r="GUE34" s="63"/>
      <c r="GUF34" s="63"/>
      <c r="GUG34" s="63"/>
      <c r="GUH34" s="63"/>
      <c r="GUI34" s="63"/>
      <c r="GUJ34" s="63"/>
      <c r="GUK34" s="63"/>
      <c r="GUL34" s="63"/>
      <c r="GUM34" s="63"/>
      <c r="GUN34" s="63"/>
      <c r="GUO34" s="63"/>
      <c r="GUP34" s="63"/>
      <c r="GUQ34" s="63"/>
      <c r="GUR34" s="63"/>
      <c r="GUS34" s="63"/>
      <c r="GUT34" s="63"/>
      <c r="GUU34" s="63"/>
      <c r="GUV34" s="63"/>
      <c r="GUW34" s="63"/>
      <c r="GUX34" s="63"/>
      <c r="GUY34" s="63"/>
      <c r="GUZ34" s="63"/>
      <c r="GVA34" s="63"/>
      <c r="GVB34" s="63"/>
      <c r="GVC34" s="63"/>
      <c r="GVD34" s="63"/>
      <c r="GVE34" s="63"/>
      <c r="GVF34" s="63"/>
      <c r="GVG34" s="63"/>
      <c r="GVH34" s="63"/>
      <c r="GVI34" s="63"/>
      <c r="GVJ34" s="63"/>
      <c r="GVK34" s="63"/>
      <c r="GVL34" s="63"/>
      <c r="GVM34" s="63"/>
      <c r="GVN34" s="63"/>
      <c r="GVO34" s="63"/>
      <c r="GVP34" s="63"/>
      <c r="GVQ34" s="63"/>
      <c r="GVR34" s="63"/>
      <c r="GVS34" s="63"/>
      <c r="GVT34" s="63"/>
      <c r="GVU34" s="63"/>
      <c r="GVV34" s="63"/>
      <c r="GVW34" s="63"/>
      <c r="GVX34" s="63"/>
      <c r="GVY34" s="63"/>
      <c r="GVZ34" s="63"/>
      <c r="GWA34" s="63"/>
      <c r="GWB34" s="63"/>
      <c r="GWC34" s="63"/>
      <c r="GWD34" s="63"/>
      <c r="GWE34" s="63"/>
      <c r="GWF34" s="63"/>
      <c r="GWG34" s="63"/>
      <c r="GWH34" s="63"/>
      <c r="GWI34" s="63"/>
      <c r="GWJ34" s="63"/>
      <c r="GWK34" s="63"/>
      <c r="GWL34" s="63"/>
      <c r="GWM34" s="63"/>
      <c r="GWN34" s="63"/>
      <c r="GWO34" s="63"/>
      <c r="GWP34" s="63"/>
      <c r="GWQ34" s="63"/>
      <c r="GWR34" s="63"/>
      <c r="GWS34" s="63"/>
      <c r="GWT34" s="63"/>
      <c r="GWU34" s="63"/>
      <c r="GWV34" s="63"/>
      <c r="GWW34" s="63"/>
      <c r="GWX34" s="63"/>
      <c r="GWY34" s="63"/>
      <c r="GWZ34" s="63"/>
      <c r="GXA34" s="63"/>
      <c r="GXB34" s="63"/>
      <c r="GXC34" s="63"/>
      <c r="GXD34" s="63"/>
      <c r="GXE34" s="63"/>
      <c r="GXF34" s="63"/>
      <c r="GXG34" s="63"/>
      <c r="GXH34" s="63"/>
      <c r="GXI34" s="63"/>
      <c r="GXJ34" s="63"/>
      <c r="GXK34" s="63"/>
      <c r="GXL34" s="63"/>
      <c r="GXM34" s="63"/>
      <c r="GXN34" s="63"/>
      <c r="GXO34" s="63"/>
      <c r="GXP34" s="63"/>
      <c r="GXQ34" s="63"/>
      <c r="GXR34" s="63"/>
      <c r="GXS34" s="63"/>
      <c r="GXT34" s="63"/>
      <c r="GXU34" s="63"/>
      <c r="GXV34" s="63"/>
      <c r="GXW34" s="63"/>
      <c r="GXX34" s="63"/>
      <c r="GXY34" s="63"/>
      <c r="GXZ34" s="63"/>
      <c r="GYA34" s="63"/>
      <c r="GYB34" s="63"/>
      <c r="GYC34" s="63"/>
      <c r="GYD34" s="63"/>
      <c r="GYE34" s="63"/>
      <c r="GYF34" s="63"/>
      <c r="GYG34" s="63"/>
      <c r="GYH34" s="63"/>
      <c r="GYI34" s="63"/>
      <c r="GYJ34" s="63"/>
      <c r="GYK34" s="63"/>
      <c r="GYL34" s="63"/>
      <c r="GYM34" s="63"/>
      <c r="GYN34" s="63"/>
      <c r="GYO34" s="63"/>
      <c r="GYP34" s="63"/>
      <c r="GYQ34" s="63"/>
      <c r="GYR34" s="63"/>
      <c r="GYS34" s="63"/>
      <c r="GYT34" s="63"/>
      <c r="GYU34" s="63"/>
      <c r="GYV34" s="63"/>
      <c r="GYW34" s="63"/>
      <c r="GYX34" s="63"/>
      <c r="GYY34" s="63"/>
      <c r="GYZ34" s="63"/>
      <c r="GZA34" s="63"/>
      <c r="GZB34" s="63"/>
      <c r="GZC34" s="63"/>
      <c r="GZD34" s="63"/>
      <c r="GZE34" s="63"/>
      <c r="GZF34" s="63"/>
      <c r="GZG34" s="63"/>
      <c r="GZH34" s="63"/>
      <c r="GZI34" s="63"/>
      <c r="GZJ34" s="63"/>
      <c r="GZK34" s="63"/>
      <c r="GZL34" s="63"/>
      <c r="GZM34" s="63"/>
      <c r="GZN34" s="63"/>
      <c r="GZO34" s="63"/>
      <c r="GZP34" s="63"/>
      <c r="GZQ34" s="63"/>
      <c r="GZR34" s="63"/>
      <c r="GZS34" s="63"/>
      <c r="GZT34" s="63"/>
      <c r="GZU34" s="63"/>
      <c r="GZV34" s="63"/>
      <c r="GZW34" s="63"/>
      <c r="GZX34" s="63"/>
      <c r="GZY34" s="63"/>
      <c r="GZZ34" s="63"/>
      <c r="HAA34" s="63"/>
      <c r="HAB34" s="63"/>
      <c r="HAC34" s="63"/>
      <c r="HAD34" s="63"/>
      <c r="HAE34" s="63"/>
      <c r="HAF34" s="63"/>
      <c r="HAG34" s="63"/>
      <c r="HAH34" s="63"/>
      <c r="HAI34" s="63"/>
      <c r="HAJ34" s="63"/>
      <c r="HAK34" s="63"/>
      <c r="HAL34" s="63"/>
      <c r="HAM34" s="63"/>
      <c r="HAN34" s="63"/>
      <c r="HAO34" s="63"/>
      <c r="HAP34" s="63"/>
      <c r="HAQ34" s="63"/>
      <c r="HAR34" s="63"/>
      <c r="HAS34" s="63"/>
      <c r="HAT34" s="63"/>
      <c r="HAU34" s="63"/>
      <c r="HAV34" s="63"/>
      <c r="HAW34" s="63"/>
      <c r="HAX34" s="63"/>
      <c r="HAY34" s="63"/>
      <c r="HAZ34" s="63"/>
      <c r="HBA34" s="63"/>
      <c r="HBB34" s="63"/>
      <c r="HBC34" s="63"/>
      <c r="HBD34" s="63"/>
      <c r="HBE34" s="63"/>
      <c r="HBF34" s="63"/>
      <c r="HBG34" s="63"/>
      <c r="HBH34" s="63"/>
      <c r="HBI34" s="63"/>
      <c r="HBJ34" s="63"/>
      <c r="HBK34" s="63"/>
      <c r="HBL34" s="63"/>
      <c r="HBM34" s="63"/>
      <c r="HBN34" s="63"/>
      <c r="HBO34" s="63"/>
      <c r="HBP34" s="63"/>
      <c r="HBQ34" s="63"/>
      <c r="HBR34" s="63"/>
      <c r="HBS34" s="63"/>
      <c r="HBT34" s="63"/>
      <c r="HBU34" s="63"/>
      <c r="HBV34" s="63"/>
      <c r="HBW34" s="63"/>
      <c r="HBX34" s="63"/>
      <c r="HBY34" s="63"/>
      <c r="HBZ34" s="63"/>
      <c r="HCA34" s="63"/>
      <c r="HCB34" s="63"/>
      <c r="HCC34" s="63"/>
      <c r="HCD34" s="63"/>
      <c r="HCE34" s="63"/>
      <c r="HCF34" s="63"/>
      <c r="HCG34" s="63"/>
      <c r="HCH34" s="63"/>
      <c r="HCI34" s="63"/>
      <c r="HCJ34" s="63"/>
      <c r="HCK34" s="63"/>
      <c r="HCL34" s="63"/>
      <c r="HCM34" s="63"/>
      <c r="HCN34" s="63"/>
      <c r="HCO34" s="63"/>
      <c r="HCP34" s="63"/>
      <c r="HCQ34" s="63"/>
      <c r="HCR34" s="63"/>
      <c r="HCS34" s="63"/>
      <c r="HCT34" s="63"/>
      <c r="HCU34" s="63"/>
      <c r="HCV34" s="63"/>
      <c r="HCW34" s="63"/>
      <c r="HCX34" s="63"/>
      <c r="HCY34" s="63"/>
      <c r="HCZ34" s="63"/>
      <c r="HDA34" s="63"/>
      <c r="HDB34" s="63"/>
      <c r="HDC34" s="63"/>
      <c r="HDD34" s="63"/>
      <c r="HDE34" s="63"/>
      <c r="HDF34" s="63"/>
      <c r="HDG34" s="63"/>
      <c r="HDH34" s="63"/>
      <c r="HDI34" s="63"/>
      <c r="HDJ34" s="63"/>
      <c r="HDK34" s="63"/>
      <c r="HDL34" s="63"/>
      <c r="HDM34" s="63"/>
      <c r="HDN34" s="63"/>
      <c r="HDO34" s="63"/>
      <c r="HDP34" s="63"/>
      <c r="HDQ34" s="63"/>
      <c r="HDR34" s="63"/>
      <c r="HDS34" s="63"/>
      <c r="HDT34" s="63"/>
      <c r="HDU34" s="63"/>
      <c r="HDV34" s="63"/>
      <c r="HDW34" s="63"/>
      <c r="HDX34" s="63"/>
      <c r="HDY34" s="63"/>
      <c r="HDZ34" s="63"/>
      <c r="HEA34" s="63"/>
      <c r="HEB34" s="63"/>
      <c r="HEC34" s="63"/>
      <c r="HED34" s="63"/>
      <c r="HEE34" s="63"/>
      <c r="HEF34" s="63"/>
      <c r="HEG34" s="63"/>
      <c r="HEH34" s="63"/>
      <c r="HEI34" s="63"/>
      <c r="HEJ34" s="63"/>
      <c r="HEK34" s="63"/>
      <c r="HEL34" s="63"/>
      <c r="HEM34" s="63"/>
      <c r="HEN34" s="63"/>
      <c r="HEO34" s="63"/>
      <c r="HEP34" s="63"/>
      <c r="HEQ34" s="63"/>
      <c r="HER34" s="63"/>
      <c r="HES34" s="63"/>
      <c r="HET34" s="63"/>
      <c r="HEU34" s="63"/>
      <c r="HEV34" s="63"/>
      <c r="HEW34" s="63"/>
      <c r="HEX34" s="63"/>
      <c r="HEY34" s="63"/>
      <c r="HEZ34" s="63"/>
      <c r="HFA34" s="63"/>
      <c r="HFB34" s="63"/>
      <c r="HFC34" s="63"/>
      <c r="HFD34" s="63"/>
      <c r="HFE34" s="63"/>
      <c r="HFF34" s="63"/>
      <c r="HFG34" s="63"/>
      <c r="HFH34" s="63"/>
      <c r="HFI34" s="63"/>
      <c r="HFJ34" s="63"/>
      <c r="HFK34" s="63"/>
      <c r="HFL34" s="63"/>
      <c r="HFM34" s="63"/>
      <c r="HFN34" s="63"/>
      <c r="HFO34" s="63"/>
      <c r="HFP34" s="63"/>
      <c r="HFQ34" s="63"/>
      <c r="HFR34" s="63"/>
      <c r="HFS34" s="63"/>
      <c r="HFT34" s="63"/>
      <c r="HFU34" s="63"/>
      <c r="HFV34" s="63"/>
      <c r="HFW34" s="63"/>
      <c r="HFX34" s="63"/>
      <c r="HFY34" s="63"/>
      <c r="HFZ34" s="63"/>
      <c r="HGA34" s="63"/>
      <c r="HGB34" s="63"/>
      <c r="HGC34" s="63"/>
      <c r="HGD34" s="63"/>
      <c r="HGE34" s="63"/>
      <c r="HGF34" s="63"/>
      <c r="HGG34" s="63"/>
      <c r="HGH34" s="63"/>
      <c r="HGI34" s="63"/>
      <c r="HGJ34" s="63"/>
      <c r="HGK34" s="63"/>
      <c r="HGL34" s="63"/>
      <c r="HGM34" s="63"/>
      <c r="HGN34" s="63"/>
      <c r="HGO34" s="63"/>
      <c r="HGP34" s="63"/>
      <c r="HGQ34" s="63"/>
      <c r="HGR34" s="63"/>
      <c r="HGS34" s="63"/>
      <c r="HGT34" s="63"/>
      <c r="HGU34" s="63"/>
      <c r="HGV34" s="63"/>
      <c r="HGW34" s="63"/>
      <c r="HGX34" s="63"/>
      <c r="HGY34" s="63"/>
      <c r="HGZ34" s="63"/>
      <c r="HHA34" s="63"/>
      <c r="HHB34" s="63"/>
      <c r="HHC34" s="63"/>
      <c r="HHD34" s="63"/>
      <c r="HHE34" s="63"/>
      <c r="HHF34" s="63"/>
      <c r="HHG34" s="63"/>
      <c r="HHH34" s="63"/>
      <c r="HHI34" s="63"/>
      <c r="HHJ34" s="63"/>
      <c r="HHK34" s="63"/>
      <c r="HHL34" s="63"/>
      <c r="HHM34" s="63"/>
      <c r="HHN34" s="63"/>
      <c r="HHO34" s="63"/>
      <c r="HHP34" s="63"/>
      <c r="HHQ34" s="63"/>
      <c r="HHR34" s="63"/>
      <c r="HHS34" s="63"/>
      <c r="HHT34" s="63"/>
      <c r="HHU34" s="63"/>
      <c r="HHV34" s="63"/>
      <c r="HHW34" s="63"/>
      <c r="HHX34" s="63"/>
      <c r="HHY34" s="63"/>
      <c r="HHZ34" s="63"/>
      <c r="HIA34" s="63"/>
      <c r="HIB34" s="63"/>
      <c r="HIC34" s="63"/>
      <c r="HID34" s="63"/>
      <c r="HIE34" s="63"/>
      <c r="HIF34" s="63"/>
      <c r="HIG34" s="63"/>
      <c r="HIH34" s="63"/>
      <c r="HII34" s="63"/>
      <c r="HIJ34" s="63"/>
      <c r="HIK34" s="63"/>
      <c r="HIL34" s="63"/>
      <c r="HIM34" s="63"/>
      <c r="HIN34" s="63"/>
      <c r="HIO34" s="63"/>
      <c r="HIP34" s="63"/>
      <c r="HIQ34" s="63"/>
      <c r="HIR34" s="63"/>
      <c r="HIS34" s="63"/>
      <c r="HIT34" s="63"/>
      <c r="HIU34" s="63"/>
      <c r="HIV34" s="63"/>
      <c r="HIW34" s="63"/>
      <c r="HIX34" s="63"/>
      <c r="HIY34" s="63"/>
      <c r="HIZ34" s="63"/>
      <c r="HJA34" s="63"/>
      <c r="HJB34" s="63"/>
      <c r="HJC34" s="63"/>
      <c r="HJD34" s="63"/>
      <c r="HJE34" s="63"/>
      <c r="HJF34" s="63"/>
      <c r="HJG34" s="63"/>
      <c r="HJH34" s="63"/>
      <c r="HJI34" s="63"/>
      <c r="HJJ34" s="63"/>
      <c r="HJK34" s="63"/>
      <c r="HJL34" s="63"/>
      <c r="HJM34" s="63"/>
      <c r="HJN34" s="63"/>
      <c r="HJO34" s="63"/>
      <c r="HJP34" s="63"/>
      <c r="HJQ34" s="63"/>
      <c r="HJR34" s="63"/>
      <c r="HJS34" s="63"/>
      <c r="HJT34" s="63"/>
      <c r="HJU34" s="63"/>
      <c r="HJV34" s="63"/>
      <c r="HJW34" s="63"/>
      <c r="HJX34" s="63"/>
      <c r="HJY34" s="63"/>
      <c r="HJZ34" s="63"/>
      <c r="HKA34" s="63"/>
      <c r="HKB34" s="63"/>
      <c r="HKC34" s="63"/>
      <c r="HKD34" s="63"/>
      <c r="HKE34" s="63"/>
      <c r="HKF34" s="63"/>
      <c r="HKG34" s="63"/>
      <c r="HKH34" s="63"/>
      <c r="HKI34" s="63"/>
      <c r="HKJ34" s="63"/>
      <c r="HKK34" s="63"/>
      <c r="HKL34" s="63"/>
      <c r="HKM34" s="63"/>
      <c r="HKN34" s="63"/>
      <c r="HKO34" s="63"/>
      <c r="HKP34" s="63"/>
      <c r="HKQ34" s="63"/>
      <c r="HKR34" s="63"/>
      <c r="HKS34" s="63"/>
      <c r="HKT34" s="63"/>
      <c r="HKU34" s="63"/>
      <c r="HKV34" s="63"/>
      <c r="HKW34" s="63"/>
      <c r="HKX34" s="63"/>
      <c r="HKY34" s="63"/>
      <c r="HKZ34" s="63"/>
      <c r="HLA34" s="63"/>
      <c r="HLB34" s="63"/>
      <c r="HLC34" s="63"/>
      <c r="HLD34" s="63"/>
      <c r="HLE34" s="63"/>
      <c r="HLF34" s="63"/>
      <c r="HLG34" s="63"/>
      <c r="HLH34" s="63"/>
      <c r="HLI34" s="63"/>
      <c r="HLJ34" s="63"/>
      <c r="HLK34" s="63"/>
      <c r="HLL34" s="63"/>
      <c r="HLM34" s="63"/>
      <c r="HLN34" s="63"/>
      <c r="HLO34" s="63"/>
      <c r="HLP34" s="63"/>
      <c r="HLQ34" s="63"/>
      <c r="HLR34" s="63"/>
      <c r="HLS34" s="63"/>
      <c r="HLT34" s="63"/>
      <c r="HLU34" s="63"/>
      <c r="HLV34" s="63"/>
      <c r="HLW34" s="63"/>
      <c r="HLX34" s="63"/>
      <c r="HLY34" s="63"/>
      <c r="HLZ34" s="63"/>
      <c r="HMA34" s="63"/>
      <c r="HMB34" s="63"/>
      <c r="HMC34" s="63"/>
      <c r="HMD34" s="63"/>
      <c r="HME34" s="63"/>
      <c r="HMF34" s="63"/>
      <c r="HMG34" s="63"/>
      <c r="HMH34" s="63"/>
      <c r="HMI34" s="63"/>
      <c r="HMJ34" s="63"/>
      <c r="HMK34" s="63"/>
      <c r="HML34" s="63"/>
      <c r="HMM34" s="63"/>
      <c r="HMN34" s="63"/>
      <c r="HMO34" s="63"/>
      <c r="HMP34" s="63"/>
      <c r="HMQ34" s="63"/>
      <c r="HMR34" s="63"/>
      <c r="HMS34" s="63"/>
      <c r="HMT34" s="63"/>
      <c r="HMU34" s="63"/>
      <c r="HMV34" s="63"/>
      <c r="HMW34" s="63"/>
      <c r="HMX34" s="63"/>
      <c r="HMY34" s="63"/>
      <c r="HMZ34" s="63"/>
      <c r="HNA34" s="63"/>
      <c r="HNB34" s="63"/>
      <c r="HNC34" s="63"/>
      <c r="HND34" s="63"/>
      <c r="HNE34" s="63"/>
      <c r="HNF34" s="63"/>
      <c r="HNG34" s="63"/>
      <c r="HNH34" s="63"/>
      <c r="HNI34" s="63"/>
      <c r="HNJ34" s="63"/>
      <c r="HNK34" s="63"/>
      <c r="HNL34" s="63"/>
      <c r="HNM34" s="63"/>
      <c r="HNN34" s="63"/>
      <c r="HNO34" s="63"/>
      <c r="HNP34" s="63"/>
      <c r="HNQ34" s="63"/>
      <c r="HNR34" s="63"/>
      <c r="HNS34" s="63"/>
      <c r="HNT34" s="63"/>
      <c r="HNU34" s="63"/>
      <c r="HNV34" s="63"/>
      <c r="HNW34" s="63"/>
      <c r="HNX34" s="63"/>
      <c r="HNY34" s="63"/>
      <c r="HNZ34" s="63"/>
      <c r="HOA34" s="63"/>
      <c r="HOB34" s="63"/>
      <c r="HOC34" s="63"/>
      <c r="HOD34" s="63"/>
      <c r="HOE34" s="63"/>
      <c r="HOF34" s="63"/>
      <c r="HOG34" s="63"/>
      <c r="HOH34" s="63"/>
      <c r="HOI34" s="63"/>
      <c r="HOJ34" s="63"/>
      <c r="HOK34" s="63"/>
      <c r="HOL34" s="63"/>
      <c r="HOM34" s="63"/>
      <c r="HON34" s="63"/>
      <c r="HOO34" s="63"/>
      <c r="HOP34" s="63"/>
      <c r="HOQ34" s="63"/>
      <c r="HOR34" s="63"/>
      <c r="HOS34" s="63"/>
      <c r="HOT34" s="63"/>
      <c r="HOU34" s="63"/>
      <c r="HOV34" s="63"/>
      <c r="HOW34" s="63"/>
      <c r="HOX34" s="63"/>
      <c r="HOY34" s="63"/>
      <c r="HOZ34" s="63"/>
      <c r="HPA34" s="63"/>
      <c r="HPB34" s="63"/>
      <c r="HPC34" s="63"/>
      <c r="HPD34" s="63"/>
      <c r="HPE34" s="63"/>
      <c r="HPF34" s="63"/>
      <c r="HPG34" s="63"/>
      <c r="HPH34" s="63"/>
      <c r="HPI34" s="63"/>
      <c r="HPJ34" s="63"/>
      <c r="HPK34" s="63"/>
      <c r="HPL34" s="63"/>
      <c r="HPM34" s="63"/>
      <c r="HPN34" s="63"/>
      <c r="HPO34" s="63"/>
      <c r="HPP34" s="63"/>
      <c r="HPQ34" s="63"/>
      <c r="HPR34" s="63"/>
      <c r="HPS34" s="63"/>
      <c r="HPT34" s="63"/>
      <c r="HPU34" s="63"/>
      <c r="HPV34" s="63"/>
      <c r="HPW34" s="63"/>
      <c r="HPX34" s="63"/>
      <c r="HPY34" s="63"/>
      <c r="HPZ34" s="63"/>
      <c r="HQA34" s="63"/>
      <c r="HQB34" s="63"/>
      <c r="HQC34" s="63"/>
      <c r="HQD34" s="63"/>
      <c r="HQE34" s="63"/>
      <c r="HQF34" s="63"/>
      <c r="HQG34" s="63"/>
      <c r="HQH34" s="63"/>
      <c r="HQI34" s="63"/>
      <c r="HQJ34" s="63"/>
      <c r="HQK34" s="63"/>
      <c r="HQL34" s="63"/>
      <c r="HQM34" s="63"/>
      <c r="HQN34" s="63"/>
      <c r="HQO34" s="63"/>
      <c r="HQP34" s="63"/>
      <c r="HQQ34" s="63"/>
      <c r="HQR34" s="63"/>
      <c r="HQS34" s="63"/>
      <c r="HQT34" s="63"/>
      <c r="HQU34" s="63"/>
      <c r="HQV34" s="63"/>
      <c r="HQW34" s="63"/>
      <c r="HQX34" s="63"/>
      <c r="HQY34" s="63"/>
      <c r="HQZ34" s="63"/>
      <c r="HRA34" s="63"/>
      <c r="HRB34" s="63"/>
      <c r="HRC34" s="63"/>
      <c r="HRD34" s="63"/>
      <c r="HRE34" s="63"/>
      <c r="HRF34" s="63"/>
      <c r="HRG34" s="63"/>
      <c r="HRH34" s="63"/>
      <c r="HRI34" s="63"/>
      <c r="HRJ34" s="63"/>
      <c r="HRK34" s="63"/>
      <c r="HRL34" s="63"/>
      <c r="HRM34" s="63"/>
      <c r="HRN34" s="63"/>
      <c r="HRO34" s="63"/>
      <c r="HRP34" s="63"/>
      <c r="HRQ34" s="63"/>
      <c r="HRR34" s="63"/>
      <c r="HRS34" s="63"/>
      <c r="HRT34" s="63"/>
      <c r="HRU34" s="63"/>
      <c r="HRV34" s="63"/>
      <c r="HRW34" s="63"/>
      <c r="HRX34" s="63"/>
      <c r="HRY34" s="63"/>
      <c r="HRZ34" s="63"/>
      <c r="HSA34" s="63"/>
      <c r="HSB34" s="63"/>
      <c r="HSC34" s="63"/>
      <c r="HSD34" s="63"/>
      <c r="HSE34" s="63"/>
      <c r="HSF34" s="63"/>
      <c r="HSG34" s="63"/>
      <c r="HSH34" s="63"/>
      <c r="HSI34" s="63"/>
      <c r="HSJ34" s="63"/>
      <c r="HSK34" s="63"/>
      <c r="HSL34" s="63"/>
      <c r="HSM34" s="63"/>
      <c r="HSN34" s="63"/>
      <c r="HSO34" s="63"/>
      <c r="HSP34" s="63"/>
      <c r="HSQ34" s="63"/>
      <c r="HSR34" s="63"/>
      <c r="HSS34" s="63"/>
      <c r="HST34" s="63"/>
      <c r="HSU34" s="63"/>
      <c r="HSV34" s="63"/>
      <c r="HSW34" s="63"/>
      <c r="HSX34" s="63"/>
      <c r="HSY34" s="63"/>
      <c r="HSZ34" s="63"/>
      <c r="HTA34" s="63"/>
      <c r="HTB34" s="63"/>
      <c r="HTC34" s="63"/>
      <c r="HTD34" s="63"/>
      <c r="HTE34" s="63"/>
      <c r="HTF34" s="63"/>
      <c r="HTG34" s="63"/>
      <c r="HTH34" s="63"/>
      <c r="HTI34" s="63"/>
      <c r="HTJ34" s="63"/>
      <c r="HTK34" s="63"/>
      <c r="HTL34" s="63"/>
      <c r="HTM34" s="63"/>
      <c r="HTN34" s="63"/>
      <c r="HTO34" s="63"/>
      <c r="HTP34" s="63"/>
      <c r="HTQ34" s="63"/>
      <c r="HTR34" s="63"/>
      <c r="HTS34" s="63"/>
      <c r="HTT34" s="63"/>
      <c r="HTU34" s="63"/>
      <c r="HTV34" s="63"/>
      <c r="HTW34" s="63"/>
      <c r="HTX34" s="63"/>
      <c r="HTY34" s="63"/>
      <c r="HTZ34" s="63"/>
      <c r="HUA34" s="63"/>
      <c r="HUB34" s="63"/>
      <c r="HUC34" s="63"/>
      <c r="HUD34" s="63"/>
      <c r="HUE34" s="63"/>
      <c r="HUF34" s="63"/>
      <c r="HUG34" s="63"/>
      <c r="HUH34" s="63"/>
      <c r="HUI34" s="63"/>
      <c r="HUJ34" s="63"/>
      <c r="HUK34" s="63"/>
      <c r="HUL34" s="63"/>
      <c r="HUM34" s="63"/>
      <c r="HUN34" s="63"/>
      <c r="HUO34" s="63"/>
      <c r="HUP34" s="63"/>
      <c r="HUQ34" s="63"/>
      <c r="HUR34" s="63"/>
      <c r="HUS34" s="63"/>
      <c r="HUT34" s="63"/>
      <c r="HUU34" s="63"/>
      <c r="HUV34" s="63"/>
      <c r="HUW34" s="63"/>
      <c r="HUX34" s="63"/>
      <c r="HUY34" s="63"/>
      <c r="HUZ34" s="63"/>
      <c r="HVA34" s="63"/>
      <c r="HVB34" s="63"/>
      <c r="HVC34" s="63"/>
      <c r="HVD34" s="63"/>
      <c r="HVE34" s="63"/>
      <c r="HVF34" s="63"/>
      <c r="HVG34" s="63"/>
      <c r="HVH34" s="63"/>
      <c r="HVI34" s="63"/>
      <c r="HVJ34" s="63"/>
      <c r="HVK34" s="63"/>
      <c r="HVL34" s="63"/>
      <c r="HVM34" s="63"/>
      <c r="HVN34" s="63"/>
      <c r="HVO34" s="63"/>
      <c r="HVP34" s="63"/>
      <c r="HVQ34" s="63"/>
      <c r="HVR34" s="63"/>
      <c r="HVS34" s="63"/>
      <c r="HVT34" s="63"/>
      <c r="HVU34" s="63"/>
      <c r="HVV34" s="63"/>
      <c r="HVW34" s="63"/>
      <c r="HVX34" s="63"/>
      <c r="HVY34" s="63"/>
      <c r="HVZ34" s="63"/>
      <c r="HWA34" s="63"/>
      <c r="HWB34" s="63"/>
      <c r="HWC34" s="63"/>
      <c r="HWD34" s="63"/>
      <c r="HWE34" s="63"/>
      <c r="HWF34" s="63"/>
      <c r="HWG34" s="63"/>
      <c r="HWH34" s="63"/>
      <c r="HWI34" s="63"/>
      <c r="HWJ34" s="63"/>
      <c r="HWK34" s="63"/>
      <c r="HWL34" s="63"/>
      <c r="HWM34" s="63"/>
      <c r="HWN34" s="63"/>
      <c r="HWO34" s="63"/>
      <c r="HWP34" s="63"/>
      <c r="HWQ34" s="63"/>
      <c r="HWR34" s="63"/>
      <c r="HWS34" s="63"/>
      <c r="HWT34" s="63"/>
      <c r="HWU34" s="63"/>
      <c r="HWV34" s="63"/>
      <c r="HWW34" s="63"/>
      <c r="HWX34" s="63"/>
      <c r="HWY34" s="63"/>
      <c r="HWZ34" s="63"/>
      <c r="HXA34" s="63"/>
      <c r="HXB34" s="63"/>
      <c r="HXC34" s="63"/>
      <c r="HXD34" s="63"/>
      <c r="HXE34" s="63"/>
      <c r="HXF34" s="63"/>
      <c r="HXG34" s="63"/>
      <c r="HXH34" s="63"/>
      <c r="HXI34" s="63"/>
      <c r="HXJ34" s="63"/>
      <c r="HXK34" s="63"/>
      <c r="HXL34" s="63"/>
      <c r="HXM34" s="63"/>
      <c r="HXN34" s="63"/>
      <c r="HXO34" s="63"/>
      <c r="HXP34" s="63"/>
      <c r="HXQ34" s="63"/>
      <c r="HXR34" s="63"/>
      <c r="HXS34" s="63"/>
      <c r="HXT34" s="63"/>
      <c r="HXU34" s="63"/>
      <c r="HXV34" s="63"/>
      <c r="HXW34" s="63"/>
      <c r="HXX34" s="63"/>
      <c r="HXY34" s="63"/>
      <c r="HXZ34" s="63"/>
      <c r="HYA34" s="63"/>
      <c r="HYB34" s="63"/>
      <c r="HYC34" s="63"/>
      <c r="HYD34" s="63"/>
      <c r="HYE34" s="63"/>
      <c r="HYF34" s="63"/>
      <c r="HYG34" s="63"/>
      <c r="HYH34" s="63"/>
      <c r="HYI34" s="63"/>
      <c r="HYJ34" s="63"/>
      <c r="HYK34" s="63"/>
      <c r="HYL34" s="63"/>
      <c r="HYM34" s="63"/>
      <c r="HYN34" s="63"/>
      <c r="HYO34" s="63"/>
      <c r="HYP34" s="63"/>
      <c r="HYQ34" s="63"/>
      <c r="HYR34" s="63"/>
      <c r="HYS34" s="63"/>
      <c r="HYT34" s="63"/>
      <c r="HYU34" s="63"/>
      <c r="HYV34" s="63"/>
      <c r="HYW34" s="63"/>
      <c r="HYX34" s="63"/>
      <c r="HYY34" s="63"/>
      <c r="HYZ34" s="63"/>
      <c r="HZA34" s="63"/>
      <c r="HZB34" s="63"/>
      <c r="HZC34" s="63"/>
      <c r="HZD34" s="63"/>
      <c r="HZE34" s="63"/>
      <c r="HZF34" s="63"/>
      <c r="HZG34" s="63"/>
      <c r="HZH34" s="63"/>
      <c r="HZI34" s="63"/>
      <c r="HZJ34" s="63"/>
      <c r="HZK34" s="63"/>
      <c r="HZL34" s="63"/>
      <c r="HZM34" s="63"/>
      <c r="HZN34" s="63"/>
      <c r="HZO34" s="63"/>
      <c r="HZP34" s="63"/>
      <c r="HZQ34" s="63"/>
      <c r="HZR34" s="63"/>
      <c r="HZS34" s="63"/>
      <c r="HZT34" s="63"/>
      <c r="HZU34" s="63"/>
      <c r="HZV34" s="63"/>
      <c r="HZW34" s="63"/>
      <c r="HZX34" s="63"/>
      <c r="HZY34" s="63"/>
      <c r="HZZ34" s="63"/>
      <c r="IAA34" s="63"/>
      <c r="IAB34" s="63"/>
      <c r="IAC34" s="63"/>
      <c r="IAD34" s="63"/>
      <c r="IAE34" s="63"/>
      <c r="IAF34" s="63"/>
      <c r="IAG34" s="63"/>
      <c r="IAH34" s="63"/>
      <c r="IAI34" s="63"/>
      <c r="IAJ34" s="63"/>
      <c r="IAK34" s="63"/>
      <c r="IAL34" s="63"/>
      <c r="IAM34" s="63"/>
      <c r="IAN34" s="63"/>
      <c r="IAO34" s="63"/>
      <c r="IAP34" s="63"/>
      <c r="IAQ34" s="63"/>
      <c r="IAR34" s="63"/>
      <c r="IAS34" s="63"/>
      <c r="IAT34" s="63"/>
      <c r="IAU34" s="63"/>
      <c r="IAV34" s="63"/>
      <c r="IAW34" s="63"/>
      <c r="IAX34" s="63"/>
      <c r="IAY34" s="63"/>
      <c r="IAZ34" s="63"/>
      <c r="IBA34" s="63"/>
      <c r="IBB34" s="63"/>
      <c r="IBC34" s="63"/>
      <c r="IBD34" s="63"/>
      <c r="IBE34" s="63"/>
      <c r="IBF34" s="63"/>
      <c r="IBG34" s="63"/>
      <c r="IBH34" s="63"/>
      <c r="IBI34" s="63"/>
      <c r="IBJ34" s="63"/>
      <c r="IBK34" s="63"/>
      <c r="IBL34" s="63"/>
      <c r="IBM34" s="63"/>
      <c r="IBN34" s="63"/>
      <c r="IBO34" s="63"/>
      <c r="IBP34" s="63"/>
      <c r="IBQ34" s="63"/>
      <c r="IBR34" s="63"/>
      <c r="IBS34" s="63"/>
      <c r="IBT34" s="63"/>
      <c r="IBU34" s="63"/>
      <c r="IBV34" s="63"/>
      <c r="IBW34" s="63"/>
      <c r="IBX34" s="63"/>
      <c r="IBY34" s="63"/>
      <c r="IBZ34" s="63"/>
      <c r="ICA34" s="63"/>
      <c r="ICB34" s="63"/>
      <c r="ICC34" s="63"/>
      <c r="ICD34" s="63"/>
      <c r="ICE34" s="63"/>
      <c r="ICF34" s="63"/>
      <c r="ICG34" s="63"/>
      <c r="ICH34" s="63"/>
      <c r="ICI34" s="63"/>
      <c r="ICJ34" s="63"/>
      <c r="ICK34" s="63"/>
      <c r="ICL34" s="63"/>
      <c r="ICM34" s="63"/>
      <c r="ICN34" s="63"/>
      <c r="ICO34" s="63"/>
      <c r="ICP34" s="63"/>
      <c r="ICQ34" s="63"/>
      <c r="ICR34" s="63"/>
      <c r="ICS34" s="63"/>
      <c r="ICT34" s="63"/>
      <c r="ICU34" s="63"/>
      <c r="ICV34" s="63"/>
      <c r="ICW34" s="63"/>
      <c r="ICX34" s="63"/>
      <c r="ICY34" s="63"/>
      <c r="ICZ34" s="63"/>
      <c r="IDA34" s="63"/>
      <c r="IDB34" s="63"/>
      <c r="IDC34" s="63"/>
      <c r="IDD34" s="63"/>
      <c r="IDE34" s="63"/>
      <c r="IDF34" s="63"/>
      <c r="IDG34" s="63"/>
      <c r="IDH34" s="63"/>
      <c r="IDI34" s="63"/>
      <c r="IDJ34" s="63"/>
      <c r="IDK34" s="63"/>
      <c r="IDL34" s="63"/>
      <c r="IDM34" s="63"/>
      <c r="IDN34" s="63"/>
      <c r="IDO34" s="63"/>
      <c r="IDP34" s="63"/>
      <c r="IDQ34" s="63"/>
      <c r="IDR34" s="63"/>
      <c r="IDS34" s="63"/>
      <c r="IDT34" s="63"/>
      <c r="IDU34" s="63"/>
      <c r="IDV34" s="63"/>
      <c r="IDW34" s="63"/>
      <c r="IDX34" s="63"/>
      <c r="IDY34" s="63"/>
      <c r="IDZ34" s="63"/>
      <c r="IEA34" s="63"/>
      <c r="IEB34" s="63"/>
      <c r="IEC34" s="63"/>
      <c r="IED34" s="63"/>
      <c r="IEE34" s="63"/>
      <c r="IEF34" s="63"/>
      <c r="IEG34" s="63"/>
      <c r="IEH34" s="63"/>
      <c r="IEI34" s="63"/>
      <c r="IEJ34" s="63"/>
      <c r="IEK34" s="63"/>
      <c r="IEL34" s="63"/>
      <c r="IEM34" s="63"/>
      <c r="IEN34" s="63"/>
      <c r="IEO34" s="63"/>
      <c r="IEP34" s="63"/>
      <c r="IEQ34" s="63"/>
      <c r="IER34" s="63"/>
      <c r="IES34" s="63"/>
      <c r="IET34" s="63"/>
      <c r="IEU34" s="63"/>
      <c r="IEV34" s="63"/>
      <c r="IEW34" s="63"/>
      <c r="IEX34" s="63"/>
      <c r="IEY34" s="63"/>
      <c r="IEZ34" s="63"/>
      <c r="IFA34" s="63"/>
      <c r="IFB34" s="63"/>
      <c r="IFC34" s="63"/>
      <c r="IFD34" s="63"/>
      <c r="IFE34" s="63"/>
      <c r="IFF34" s="63"/>
      <c r="IFG34" s="63"/>
      <c r="IFH34" s="63"/>
      <c r="IFI34" s="63"/>
      <c r="IFJ34" s="63"/>
      <c r="IFK34" s="63"/>
      <c r="IFL34" s="63"/>
      <c r="IFM34" s="63"/>
      <c r="IFN34" s="63"/>
      <c r="IFO34" s="63"/>
      <c r="IFP34" s="63"/>
      <c r="IFQ34" s="63"/>
      <c r="IFR34" s="63"/>
      <c r="IFS34" s="63"/>
      <c r="IFT34" s="63"/>
      <c r="IFU34" s="63"/>
      <c r="IFV34" s="63"/>
      <c r="IFW34" s="63"/>
      <c r="IFX34" s="63"/>
      <c r="IFY34" s="63"/>
      <c r="IFZ34" s="63"/>
      <c r="IGA34" s="63"/>
      <c r="IGB34" s="63"/>
      <c r="IGC34" s="63"/>
      <c r="IGD34" s="63"/>
      <c r="IGE34" s="63"/>
      <c r="IGF34" s="63"/>
      <c r="IGG34" s="63"/>
      <c r="IGH34" s="63"/>
      <c r="IGI34" s="63"/>
      <c r="IGJ34" s="63"/>
      <c r="IGK34" s="63"/>
      <c r="IGL34" s="63"/>
      <c r="IGM34" s="63"/>
      <c r="IGN34" s="63"/>
      <c r="IGO34" s="63"/>
      <c r="IGP34" s="63"/>
      <c r="IGQ34" s="63"/>
      <c r="IGR34" s="63"/>
      <c r="IGS34" s="63"/>
      <c r="IGT34" s="63"/>
      <c r="IGU34" s="63"/>
      <c r="IGV34" s="63"/>
      <c r="IGW34" s="63"/>
      <c r="IGX34" s="63"/>
      <c r="IGY34" s="63"/>
      <c r="IGZ34" s="63"/>
      <c r="IHA34" s="63"/>
      <c r="IHB34" s="63"/>
      <c r="IHC34" s="63"/>
      <c r="IHD34" s="63"/>
      <c r="IHE34" s="63"/>
      <c r="IHF34" s="63"/>
      <c r="IHG34" s="63"/>
      <c r="IHH34" s="63"/>
      <c r="IHI34" s="63"/>
      <c r="IHJ34" s="63"/>
      <c r="IHK34" s="63"/>
      <c r="IHL34" s="63"/>
      <c r="IHM34" s="63"/>
      <c r="IHN34" s="63"/>
      <c r="IHO34" s="63"/>
      <c r="IHP34" s="63"/>
      <c r="IHQ34" s="63"/>
      <c r="IHR34" s="63"/>
      <c r="IHS34" s="63"/>
      <c r="IHT34" s="63"/>
      <c r="IHU34" s="63"/>
      <c r="IHV34" s="63"/>
      <c r="IHW34" s="63"/>
      <c r="IHX34" s="63"/>
      <c r="IHY34" s="63"/>
      <c r="IHZ34" s="63"/>
      <c r="IIA34" s="63"/>
      <c r="IIB34" s="63"/>
      <c r="IIC34" s="63"/>
      <c r="IID34" s="63"/>
      <c r="IIE34" s="63"/>
      <c r="IIF34" s="63"/>
      <c r="IIG34" s="63"/>
      <c r="IIH34" s="63"/>
      <c r="III34" s="63"/>
      <c r="IIJ34" s="63"/>
      <c r="IIK34" s="63"/>
      <c r="IIL34" s="63"/>
      <c r="IIM34" s="63"/>
      <c r="IIN34" s="63"/>
      <c r="IIO34" s="63"/>
      <c r="IIP34" s="63"/>
      <c r="IIQ34" s="63"/>
      <c r="IIR34" s="63"/>
      <c r="IIS34" s="63"/>
      <c r="IIT34" s="63"/>
      <c r="IIU34" s="63"/>
      <c r="IIV34" s="63"/>
      <c r="IIW34" s="63"/>
      <c r="IIX34" s="63"/>
      <c r="IIY34" s="63"/>
      <c r="IIZ34" s="63"/>
      <c r="IJA34" s="63"/>
      <c r="IJB34" s="63"/>
      <c r="IJC34" s="63"/>
      <c r="IJD34" s="63"/>
      <c r="IJE34" s="63"/>
      <c r="IJF34" s="63"/>
      <c r="IJG34" s="63"/>
      <c r="IJH34" s="63"/>
      <c r="IJI34" s="63"/>
      <c r="IJJ34" s="63"/>
      <c r="IJK34" s="63"/>
      <c r="IJL34" s="63"/>
      <c r="IJM34" s="63"/>
      <c r="IJN34" s="63"/>
      <c r="IJO34" s="63"/>
      <c r="IJP34" s="63"/>
      <c r="IJQ34" s="63"/>
      <c r="IJR34" s="63"/>
      <c r="IJS34" s="63"/>
      <c r="IJT34" s="63"/>
      <c r="IJU34" s="63"/>
      <c r="IJV34" s="63"/>
      <c r="IJW34" s="63"/>
      <c r="IJX34" s="63"/>
      <c r="IJY34" s="63"/>
      <c r="IJZ34" s="63"/>
      <c r="IKA34" s="63"/>
      <c r="IKB34" s="63"/>
      <c r="IKC34" s="63"/>
      <c r="IKD34" s="63"/>
      <c r="IKE34" s="63"/>
      <c r="IKF34" s="63"/>
      <c r="IKG34" s="63"/>
      <c r="IKH34" s="63"/>
      <c r="IKI34" s="63"/>
      <c r="IKJ34" s="63"/>
      <c r="IKK34" s="63"/>
      <c r="IKL34" s="63"/>
      <c r="IKM34" s="63"/>
      <c r="IKN34" s="63"/>
      <c r="IKO34" s="63"/>
      <c r="IKP34" s="63"/>
      <c r="IKQ34" s="63"/>
      <c r="IKR34" s="63"/>
      <c r="IKS34" s="63"/>
      <c r="IKT34" s="63"/>
      <c r="IKU34" s="63"/>
      <c r="IKV34" s="63"/>
      <c r="IKW34" s="63"/>
      <c r="IKX34" s="63"/>
      <c r="IKY34" s="63"/>
      <c r="IKZ34" s="63"/>
      <c r="ILA34" s="63"/>
      <c r="ILB34" s="63"/>
      <c r="ILC34" s="63"/>
      <c r="ILD34" s="63"/>
      <c r="ILE34" s="63"/>
      <c r="ILF34" s="63"/>
      <c r="ILG34" s="63"/>
      <c r="ILH34" s="63"/>
      <c r="ILI34" s="63"/>
      <c r="ILJ34" s="63"/>
      <c r="ILK34" s="63"/>
      <c r="ILL34" s="63"/>
      <c r="ILM34" s="63"/>
      <c r="ILN34" s="63"/>
      <c r="ILO34" s="63"/>
      <c r="ILP34" s="63"/>
      <c r="ILQ34" s="63"/>
      <c r="ILR34" s="63"/>
      <c r="ILS34" s="63"/>
      <c r="ILT34" s="63"/>
      <c r="ILU34" s="63"/>
      <c r="ILV34" s="63"/>
      <c r="ILW34" s="63"/>
      <c r="ILX34" s="63"/>
      <c r="ILY34" s="63"/>
      <c r="ILZ34" s="63"/>
      <c r="IMA34" s="63"/>
      <c r="IMB34" s="63"/>
      <c r="IMC34" s="63"/>
      <c r="IMD34" s="63"/>
      <c r="IME34" s="63"/>
      <c r="IMF34" s="63"/>
      <c r="IMG34" s="63"/>
      <c r="IMH34" s="63"/>
      <c r="IMI34" s="63"/>
      <c r="IMJ34" s="63"/>
      <c r="IMK34" s="63"/>
      <c r="IML34" s="63"/>
      <c r="IMM34" s="63"/>
      <c r="IMN34" s="63"/>
      <c r="IMO34" s="63"/>
      <c r="IMP34" s="63"/>
      <c r="IMQ34" s="63"/>
      <c r="IMR34" s="63"/>
      <c r="IMS34" s="63"/>
      <c r="IMT34" s="63"/>
      <c r="IMU34" s="63"/>
      <c r="IMV34" s="63"/>
      <c r="IMW34" s="63"/>
      <c r="IMX34" s="63"/>
      <c r="IMY34" s="63"/>
      <c r="IMZ34" s="63"/>
      <c r="INA34" s="63"/>
      <c r="INB34" s="63"/>
      <c r="INC34" s="63"/>
      <c r="IND34" s="63"/>
      <c r="INE34" s="63"/>
      <c r="INF34" s="63"/>
      <c r="ING34" s="63"/>
      <c r="INH34" s="63"/>
      <c r="INI34" s="63"/>
      <c r="INJ34" s="63"/>
      <c r="INK34" s="63"/>
      <c r="INL34" s="63"/>
      <c r="INM34" s="63"/>
      <c r="INN34" s="63"/>
      <c r="INO34" s="63"/>
      <c r="INP34" s="63"/>
      <c r="INQ34" s="63"/>
      <c r="INR34" s="63"/>
      <c r="INS34" s="63"/>
      <c r="INT34" s="63"/>
      <c r="INU34" s="63"/>
      <c r="INV34" s="63"/>
      <c r="INW34" s="63"/>
      <c r="INX34" s="63"/>
      <c r="INY34" s="63"/>
      <c r="INZ34" s="63"/>
      <c r="IOA34" s="63"/>
      <c r="IOB34" s="63"/>
      <c r="IOC34" s="63"/>
      <c r="IOD34" s="63"/>
      <c r="IOE34" s="63"/>
      <c r="IOF34" s="63"/>
      <c r="IOG34" s="63"/>
      <c r="IOH34" s="63"/>
      <c r="IOI34" s="63"/>
      <c r="IOJ34" s="63"/>
      <c r="IOK34" s="63"/>
      <c r="IOL34" s="63"/>
      <c r="IOM34" s="63"/>
      <c r="ION34" s="63"/>
      <c r="IOO34" s="63"/>
      <c r="IOP34" s="63"/>
      <c r="IOQ34" s="63"/>
      <c r="IOR34" s="63"/>
      <c r="IOS34" s="63"/>
      <c r="IOT34" s="63"/>
      <c r="IOU34" s="63"/>
      <c r="IOV34" s="63"/>
      <c r="IOW34" s="63"/>
      <c r="IOX34" s="63"/>
      <c r="IOY34" s="63"/>
      <c r="IOZ34" s="63"/>
      <c r="IPA34" s="63"/>
      <c r="IPB34" s="63"/>
      <c r="IPC34" s="63"/>
      <c r="IPD34" s="63"/>
      <c r="IPE34" s="63"/>
      <c r="IPF34" s="63"/>
      <c r="IPG34" s="63"/>
      <c r="IPH34" s="63"/>
      <c r="IPI34" s="63"/>
      <c r="IPJ34" s="63"/>
      <c r="IPK34" s="63"/>
      <c r="IPL34" s="63"/>
      <c r="IPM34" s="63"/>
      <c r="IPN34" s="63"/>
      <c r="IPO34" s="63"/>
      <c r="IPP34" s="63"/>
      <c r="IPQ34" s="63"/>
      <c r="IPR34" s="63"/>
      <c r="IPS34" s="63"/>
      <c r="IPT34" s="63"/>
      <c r="IPU34" s="63"/>
      <c r="IPV34" s="63"/>
      <c r="IPW34" s="63"/>
      <c r="IPX34" s="63"/>
      <c r="IPY34" s="63"/>
      <c r="IPZ34" s="63"/>
      <c r="IQA34" s="63"/>
      <c r="IQB34" s="63"/>
      <c r="IQC34" s="63"/>
      <c r="IQD34" s="63"/>
      <c r="IQE34" s="63"/>
      <c r="IQF34" s="63"/>
      <c r="IQG34" s="63"/>
      <c r="IQH34" s="63"/>
      <c r="IQI34" s="63"/>
      <c r="IQJ34" s="63"/>
      <c r="IQK34" s="63"/>
      <c r="IQL34" s="63"/>
      <c r="IQM34" s="63"/>
      <c r="IQN34" s="63"/>
      <c r="IQO34" s="63"/>
      <c r="IQP34" s="63"/>
      <c r="IQQ34" s="63"/>
      <c r="IQR34" s="63"/>
      <c r="IQS34" s="63"/>
      <c r="IQT34" s="63"/>
      <c r="IQU34" s="63"/>
      <c r="IQV34" s="63"/>
      <c r="IQW34" s="63"/>
      <c r="IQX34" s="63"/>
      <c r="IQY34" s="63"/>
      <c r="IQZ34" s="63"/>
      <c r="IRA34" s="63"/>
      <c r="IRB34" s="63"/>
      <c r="IRC34" s="63"/>
      <c r="IRD34" s="63"/>
      <c r="IRE34" s="63"/>
      <c r="IRF34" s="63"/>
      <c r="IRG34" s="63"/>
      <c r="IRH34" s="63"/>
      <c r="IRI34" s="63"/>
      <c r="IRJ34" s="63"/>
      <c r="IRK34" s="63"/>
      <c r="IRL34" s="63"/>
      <c r="IRM34" s="63"/>
      <c r="IRN34" s="63"/>
      <c r="IRO34" s="63"/>
      <c r="IRP34" s="63"/>
      <c r="IRQ34" s="63"/>
      <c r="IRR34" s="63"/>
      <c r="IRS34" s="63"/>
      <c r="IRT34" s="63"/>
      <c r="IRU34" s="63"/>
      <c r="IRV34" s="63"/>
      <c r="IRW34" s="63"/>
      <c r="IRX34" s="63"/>
      <c r="IRY34" s="63"/>
      <c r="IRZ34" s="63"/>
      <c r="ISA34" s="63"/>
      <c r="ISB34" s="63"/>
      <c r="ISC34" s="63"/>
      <c r="ISD34" s="63"/>
      <c r="ISE34" s="63"/>
      <c r="ISF34" s="63"/>
      <c r="ISG34" s="63"/>
      <c r="ISH34" s="63"/>
      <c r="ISI34" s="63"/>
      <c r="ISJ34" s="63"/>
      <c r="ISK34" s="63"/>
      <c r="ISL34" s="63"/>
      <c r="ISM34" s="63"/>
      <c r="ISN34" s="63"/>
      <c r="ISO34" s="63"/>
      <c r="ISP34" s="63"/>
      <c r="ISQ34" s="63"/>
      <c r="ISR34" s="63"/>
      <c r="ISS34" s="63"/>
      <c r="IST34" s="63"/>
      <c r="ISU34" s="63"/>
      <c r="ISV34" s="63"/>
      <c r="ISW34" s="63"/>
      <c r="ISX34" s="63"/>
      <c r="ISY34" s="63"/>
      <c r="ISZ34" s="63"/>
      <c r="ITA34" s="63"/>
      <c r="ITB34" s="63"/>
      <c r="ITC34" s="63"/>
      <c r="ITD34" s="63"/>
      <c r="ITE34" s="63"/>
      <c r="ITF34" s="63"/>
      <c r="ITG34" s="63"/>
      <c r="ITH34" s="63"/>
      <c r="ITI34" s="63"/>
      <c r="ITJ34" s="63"/>
      <c r="ITK34" s="63"/>
      <c r="ITL34" s="63"/>
      <c r="ITM34" s="63"/>
      <c r="ITN34" s="63"/>
      <c r="ITO34" s="63"/>
      <c r="ITP34" s="63"/>
      <c r="ITQ34" s="63"/>
      <c r="ITR34" s="63"/>
      <c r="ITS34" s="63"/>
      <c r="ITT34" s="63"/>
      <c r="ITU34" s="63"/>
      <c r="ITV34" s="63"/>
      <c r="ITW34" s="63"/>
      <c r="ITX34" s="63"/>
      <c r="ITY34" s="63"/>
      <c r="ITZ34" s="63"/>
      <c r="IUA34" s="63"/>
      <c r="IUB34" s="63"/>
      <c r="IUC34" s="63"/>
      <c r="IUD34" s="63"/>
      <c r="IUE34" s="63"/>
      <c r="IUF34" s="63"/>
      <c r="IUG34" s="63"/>
      <c r="IUH34" s="63"/>
      <c r="IUI34" s="63"/>
      <c r="IUJ34" s="63"/>
      <c r="IUK34" s="63"/>
      <c r="IUL34" s="63"/>
      <c r="IUM34" s="63"/>
      <c r="IUN34" s="63"/>
      <c r="IUO34" s="63"/>
      <c r="IUP34" s="63"/>
      <c r="IUQ34" s="63"/>
      <c r="IUR34" s="63"/>
      <c r="IUS34" s="63"/>
      <c r="IUT34" s="63"/>
      <c r="IUU34" s="63"/>
      <c r="IUV34" s="63"/>
      <c r="IUW34" s="63"/>
      <c r="IUX34" s="63"/>
      <c r="IUY34" s="63"/>
      <c r="IUZ34" s="63"/>
      <c r="IVA34" s="63"/>
      <c r="IVB34" s="63"/>
      <c r="IVC34" s="63"/>
      <c r="IVD34" s="63"/>
      <c r="IVE34" s="63"/>
      <c r="IVF34" s="63"/>
      <c r="IVG34" s="63"/>
      <c r="IVH34" s="63"/>
      <c r="IVI34" s="63"/>
      <c r="IVJ34" s="63"/>
      <c r="IVK34" s="63"/>
      <c r="IVL34" s="63"/>
      <c r="IVM34" s="63"/>
      <c r="IVN34" s="63"/>
      <c r="IVO34" s="63"/>
      <c r="IVP34" s="63"/>
      <c r="IVQ34" s="63"/>
      <c r="IVR34" s="63"/>
      <c r="IVS34" s="63"/>
      <c r="IVT34" s="63"/>
      <c r="IVU34" s="63"/>
      <c r="IVV34" s="63"/>
      <c r="IVW34" s="63"/>
      <c r="IVX34" s="63"/>
      <c r="IVY34" s="63"/>
      <c r="IVZ34" s="63"/>
      <c r="IWA34" s="63"/>
      <c r="IWB34" s="63"/>
      <c r="IWC34" s="63"/>
      <c r="IWD34" s="63"/>
      <c r="IWE34" s="63"/>
      <c r="IWF34" s="63"/>
      <c r="IWG34" s="63"/>
      <c r="IWH34" s="63"/>
      <c r="IWI34" s="63"/>
      <c r="IWJ34" s="63"/>
      <c r="IWK34" s="63"/>
      <c r="IWL34" s="63"/>
      <c r="IWM34" s="63"/>
      <c r="IWN34" s="63"/>
      <c r="IWO34" s="63"/>
      <c r="IWP34" s="63"/>
      <c r="IWQ34" s="63"/>
      <c r="IWR34" s="63"/>
      <c r="IWS34" s="63"/>
      <c r="IWT34" s="63"/>
      <c r="IWU34" s="63"/>
      <c r="IWV34" s="63"/>
      <c r="IWW34" s="63"/>
      <c r="IWX34" s="63"/>
      <c r="IWY34" s="63"/>
      <c r="IWZ34" s="63"/>
      <c r="IXA34" s="63"/>
      <c r="IXB34" s="63"/>
      <c r="IXC34" s="63"/>
      <c r="IXD34" s="63"/>
      <c r="IXE34" s="63"/>
      <c r="IXF34" s="63"/>
      <c r="IXG34" s="63"/>
      <c r="IXH34" s="63"/>
      <c r="IXI34" s="63"/>
      <c r="IXJ34" s="63"/>
      <c r="IXK34" s="63"/>
      <c r="IXL34" s="63"/>
      <c r="IXM34" s="63"/>
      <c r="IXN34" s="63"/>
      <c r="IXO34" s="63"/>
      <c r="IXP34" s="63"/>
      <c r="IXQ34" s="63"/>
      <c r="IXR34" s="63"/>
      <c r="IXS34" s="63"/>
      <c r="IXT34" s="63"/>
      <c r="IXU34" s="63"/>
      <c r="IXV34" s="63"/>
      <c r="IXW34" s="63"/>
      <c r="IXX34" s="63"/>
      <c r="IXY34" s="63"/>
      <c r="IXZ34" s="63"/>
      <c r="IYA34" s="63"/>
      <c r="IYB34" s="63"/>
      <c r="IYC34" s="63"/>
      <c r="IYD34" s="63"/>
      <c r="IYE34" s="63"/>
      <c r="IYF34" s="63"/>
      <c r="IYG34" s="63"/>
      <c r="IYH34" s="63"/>
      <c r="IYI34" s="63"/>
      <c r="IYJ34" s="63"/>
      <c r="IYK34" s="63"/>
      <c r="IYL34" s="63"/>
      <c r="IYM34" s="63"/>
      <c r="IYN34" s="63"/>
      <c r="IYO34" s="63"/>
      <c r="IYP34" s="63"/>
      <c r="IYQ34" s="63"/>
      <c r="IYR34" s="63"/>
      <c r="IYS34" s="63"/>
      <c r="IYT34" s="63"/>
      <c r="IYU34" s="63"/>
      <c r="IYV34" s="63"/>
      <c r="IYW34" s="63"/>
      <c r="IYX34" s="63"/>
      <c r="IYY34" s="63"/>
      <c r="IYZ34" s="63"/>
      <c r="IZA34" s="63"/>
      <c r="IZB34" s="63"/>
      <c r="IZC34" s="63"/>
      <c r="IZD34" s="63"/>
      <c r="IZE34" s="63"/>
      <c r="IZF34" s="63"/>
      <c r="IZG34" s="63"/>
      <c r="IZH34" s="63"/>
      <c r="IZI34" s="63"/>
      <c r="IZJ34" s="63"/>
      <c r="IZK34" s="63"/>
      <c r="IZL34" s="63"/>
      <c r="IZM34" s="63"/>
      <c r="IZN34" s="63"/>
      <c r="IZO34" s="63"/>
      <c r="IZP34" s="63"/>
      <c r="IZQ34" s="63"/>
      <c r="IZR34" s="63"/>
      <c r="IZS34" s="63"/>
      <c r="IZT34" s="63"/>
      <c r="IZU34" s="63"/>
      <c r="IZV34" s="63"/>
      <c r="IZW34" s="63"/>
      <c r="IZX34" s="63"/>
      <c r="IZY34" s="63"/>
      <c r="IZZ34" s="63"/>
      <c r="JAA34" s="63"/>
      <c r="JAB34" s="63"/>
      <c r="JAC34" s="63"/>
      <c r="JAD34" s="63"/>
      <c r="JAE34" s="63"/>
      <c r="JAF34" s="63"/>
      <c r="JAG34" s="63"/>
      <c r="JAH34" s="63"/>
      <c r="JAI34" s="63"/>
      <c r="JAJ34" s="63"/>
      <c r="JAK34" s="63"/>
      <c r="JAL34" s="63"/>
      <c r="JAM34" s="63"/>
      <c r="JAN34" s="63"/>
      <c r="JAO34" s="63"/>
      <c r="JAP34" s="63"/>
      <c r="JAQ34" s="63"/>
      <c r="JAR34" s="63"/>
      <c r="JAS34" s="63"/>
      <c r="JAT34" s="63"/>
      <c r="JAU34" s="63"/>
      <c r="JAV34" s="63"/>
      <c r="JAW34" s="63"/>
      <c r="JAX34" s="63"/>
      <c r="JAY34" s="63"/>
      <c r="JAZ34" s="63"/>
      <c r="JBA34" s="63"/>
      <c r="JBB34" s="63"/>
      <c r="JBC34" s="63"/>
      <c r="JBD34" s="63"/>
      <c r="JBE34" s="63"/>
      <c r="JBF34" s="63"/>
      <c r="JBG34" s="63"/>
      <c r="JBH34" s="63"/>
      <c r="JBI34" s="63"/>
      <c r="JBJ34" s="63"/>
      <c r="JBK34" s="63"/>
      <c r="JBL34" s="63"/>
      <c r="JBM34" s="63"/>
      <c r="JBN34" s="63"/>
      <c r="JBO34" s="63"/>
      <c r="JBP34" s="63"/>
      <c r="JBQ34" s="63"/>
      <c r="JBR34" s="63"/>
      <c r="JBS34" s="63"/>
      <c r="JBT34" s="63"/>
      <c r="JBU34" s="63"/>
      <c r="JBV34" s="63"/>
      <c r="JBW34" s="63"/>
      <c r="JBX34" s="63"/>
      <c r="JBY34" s="63"/>
      <c r="JBZ34" s="63"/>
      <c r="JCA34" s="63"/>
      <c r="JCB34" s="63"/>
      <c r="JCC34" s="63"/>
      <c r="JCD34" s="63"/>
      <c r="JCE34" s="63"/>
      <c r="JCF34" s="63"/>
      <c r="JCG34" s="63"/>
      <c r="JCH34" s="63"/>
      <c r="JCI34" s="63"/>
      <c r="JCJ34" s="63"/>
      <c r="JCK34" s="63"/>
      <c r="JCL34" s="63"/>
      <c r="JCM34" s="63"/>
      <c r="JCN34" s="63"/>
      <c r="JCO34" s="63"/>
      <c r="JCP34" s="63"/>
      <c r="JCQ34" s="63"/>
      <c r="JCR34" s="63"/>
      <c r="JCS34" s="63"/>
      <c r="JCT34" s="63"/>
      <c r="JCU34" s="63"/>
      <c r="JCV34" s="63"/>
      <c r="JCW34" s="63"/>
      <c r="JCX34" s="63"/>
      <c r="JCY34" s="63"/>
      <c r="JCZ34" s="63"/>
      <c r="JDA34" s="63"/>
      <c r="JDB34" s="63"/>
      <c r="JDC34" s="63"/>
      <c r="JDD34" s="63"/>
      <c r="JDE34" s="63"/>
      <c r="JDF34" s="63"/>
      <c r="JDG34" s="63"/>
      <c r="JDH34" s="63"/>
      <c r="JDI34" s="63"/>
      <c r="JDJ34" s="63"/>
      <c r="JDK34" s="63"/>
      <c r="JDL34" s="63"/>
      <c r="JDM34" s="63"/>
      <c r="JDN34" s="63"/>
      <c r="JDO34" s="63"/>
      <c r="JDP34" s="63"/>
      <c r="JDQ34" s="63"/>
      <c r="JDR34" s="63"/>
      <c r="JDS34" s="63"/>
      <c r="JDT34" s="63"/>
      <c r="JDU34" s="63"/>
      <c r="JDV34" s="63"/>
      <c r="JDW34" s="63"/>
      <c r="JDX34" s="63"/>
      <c r="JDY34" s="63"/>
      <c r="JDZ34" s="63"/>
      <c r="JEA34" s="63"/>
      <c r="JEB34" s="63"/>
      <c r="JEC34" s="63"/>
      <c r="JED34" s="63"/>
      <c r="JEE34" s="63"/>
      <c r="JEF34" s="63"/>
      <c r="JEG34" s="63"/>
      <c r="JEH34" s="63"/>
      <c r="JEI34" s="63"/>
      <c r="JEJ34" s="63"/>
      <c r="JEK34" s="63"/>
      <c r="JEL34" s="63"/>
      <c r="JEM34" s="63"/>
      <c r="JEN34" s="63"/>
      <c r="JEO34" s="63"/>
      <c r="JEP34" s="63"/>
      <c r="JEQ34" s="63"/>
      <c r="JER34" s="63"/>
      <c r="JES34" s="63"/>
      <c r="JET34" s="63"/>
      <c r="JEU34" s="63"/>
      <c r="JEV34" s="63"/>
      <c r="JEW34" s="63"/>
      <c r="JEX34" s="63"/>
      <c r="JEY34" s="63"/>
      <c r="JEZ34" s="63"/>
      <c r="JFA34" s="63"/>
      <c r="JFB34" s="63"/>
      <c r="JFC34" s="63"/>
      <c r="JFD34" s="63"/>
      <c r="JFE34" s="63"/>
      <c r="JFF34" s="63"/>
      <c r="JFG34" s="63"/>
      <c r="JFH34" s="63"/>
      <c r="JFI34" s="63"/>
      <c r="JFJ34" s="63"/>
      <c r="JFK34" s="63"/>
      <c r="JFL34" s="63"/>
      <c r="JFM34" s="63"/>
      <c r="JFN34" s="63"/>
      <c r="JFO34" s="63"/>
      <c r="JFP34" s="63"/>
      <c r="JFQ34" s="63"/>
      <c r="JFR34" s="63"/>
      <c r="JFS34" s="63"/>
      <c r="JFT34" s="63"/>
      <c r="JFU34" s="63"/>
      <c r="JFV34" s="63"/>
      <c r="JFW34" s="63"/>
      <c r="JFX34" s="63"/>
      <c r="JFY34" s="63"/>
      <c r="JFZ34" s="63"/>
      <c r="JGA34" s="63"/>
      <c r="JGB34" s="63"/>
      <c r="JGC34" s="63"/>
      <c r="JGD34" s="63"/>
      <c r="JGE34" s="63"/>
      <c r="JGF34" s="63"/>
      <c r="JGG34" s="63"/>
      <c r="JGH34" s="63"/>
      <c r="JGI34" s="63"/>
      <c r="JGJ34" s="63"/>
      <c r="JGK34" s="63"/>
      <c r="JGL34" s="63"/>
      <c r="JGM34" s="63"/>
      <c r="JGN34" s="63"/>
      <c r="JGO34" s="63"/>
      <c r="JGP34" s="63"/>
      <c r="JGQ34" s="63"/>
      <c r="JGR34" s="63"/>
      <c r="JGS34" s="63"/>
      <c r="JGT34" s="63"/>
      <c r="JGU34" s="63"/>
      <c r="JGV34" s="63"/>
      <c r="JGW34" s="63"/>
      <c r="JGX34" s="63"/>
      <c r="JGY34" s="63"/>
      <c r="JGZ34" s="63"/>
      <c r="JHA34" s="63"/>
      <c r="JHB34" s="63"/>
      <c r="JHC34" s="63"/>
      <c r="JHD34" s="63"/>
      <c r="JHE34" s="63"/>
      <c r="JHF34" s="63"/>
      <c r="JHG34" s="63"/>
      <c r="JHH34" s="63"/>
      <c r="JHI34" s="63"/>
      <c r="JHJ34" s="63"/>
      <c r="JHK34" s="63"/>
      <c r="JHL34" s="63"/>
      <c r="JHM34" s="63"/>
      <c r="JHN34" s="63"/>
      <c r="JHO34" s="63"/>
      <c r="JHP34" s="63"/>
      <c r="JHQ34" s="63"/>
      <c r="JHR34" s="63"/>
      <c r="JHS34" s="63"/>
      <c r="JHT34" s="63"/>
      <c r="JHU34" s="63"/>
      <c r="JHV34" s="63"/>
      <c r="JHW34" s="63"/>
      <c r="JHX34" s="63"/>
      <c r="JHY34" s="63"/>
      <c r="JHZ34" s="63"/>
      <c r="JIA34" s="63"/>
      <c r="JIB34" s="63"/>
      <c r="JIC34" s="63"/>
      <c r="JID34" s="63"/>
      <c r="JIE34" s="63"/>
      <c r="JIF34" s="63"/>
      <c r="JIG34" s="63"/>
      <c r="JIH34" s="63"/>
      <c r="JII34" s="63"/>
      <c r="JIJ34" s="63"/>
      <c r="JIK34" s="63"/>
      <c r="JIL34" s="63"/>
      <c r="JIM34" s="63"/>
      <c r="JIN34" s="63"/>
      <c r="JIO34" s="63"/>
      <c r="JIP34" s="63"/>
      <c r="JIQ34" s="63"/>
      <c r="JIR34" s="63"/>
      <c r="JIS34" s="63"/>
      <c r="JIT34" s="63"/>
      <c r="JIU34" s="63"/>
      <c r="JIV34" s="63"/>
      <c r="JIW34" s="63"/>
      <c r="JIX34" s="63"/>
      <c r="JIY34" s="63"/>
      <c r="JIZ34" s="63"/>
      <c r="JJA34" s="63"/>
      <c r="JJB34" s="63"/>
      <c r="JJC34" s="63"/>
      <c r="JJD34" s="63"/>
      <c r="JJE34" s="63"/>
      <c r="JJF34" s="63"/>
      <c r="JJG34" s="63"/>
      <c r="JJH34" s="63"/>
      <c r="JJI34" s="63"/>
      <c r="JJJ34" s="63"/>
      <c r="JJK34" s="63"/>
      <c r="JJL34" s="63"/>
      <c r="JJM34" s="63"/>
      <c r="JJN34" s="63"/>
      <c r="JJO34" s="63"/>
      <c r="JJP34" s="63"/>
      <c r="JJQ34" s="63"/>
      <c r="JJR34" s="63"/>
      <c r="JJS34" s="63"/>
      <c r="JJT34" s="63"/>
      <c r="JJU34" s="63"/>
      <c r="JJV34" s="63"/>
      <c r="JJW34" s="63"/>
      <c r="JJX34" s="63"/>
      <c r="JJY34" s="63"/>
      <c r="JJZ34" s="63"/>
      <c r="JKA34" s="63"/>
      <c r="JKB34" s="63"/>
      <c r="JKC34" s="63"/>
      <c r="JKD34" s="63"/>
      <c r="JKE34" s="63"/>
      <c r="JKF34" s="63"/>
      <c r="JKG34" s="63"/>
      <c r="JKH34" s="63"/>
      <c r="JKI34" s="63"/>
      <c r="JKJ34" s="63"/>
      <c r="JKK34" s="63"/>
      <c r="JKL34" s="63"/>
      <c r="JKM34" s="63"/>
      <c r="JKN34" s="63"/>
      <c r="JKO34" s="63"/>
      <c r="JKP34" s="63"/>
      <c r="JKQ34" s="63"/>
      <c r="JKR34" s="63"/>
      <c r="JKS34" s="63"/>
      <c r="JKT34" s="63"/>
      <c r="JKU34" s="63"/>
      <c r="JKV34" s="63"/>
      <c r="JKW34" s="63"/>
      <c r="JKX34" s="63"/>
      <c r="JKY34" s="63"/>
      <c r="JKZ34" s="63"/>
      <c r="JLA34" s="63"/>
      <c r="JLB34" s="63"/>
      <c r="JLC34" s="63"/>
      <c r="JLD34" s="63"/>
      <c r="JLE34" s="63"/>
      <c r="JLF34" s="63"/>
      <c r="JLG34" s="63"/>
      <c r="JLH34" s="63"/>
      <c r="JLI34" s="63"/>
      <c r="JLJ34" s="63"/>
      <c r="JLK34" s="63"/>
      <c r="JLL34" s="63"/>
      <c r="JLM34" s="63"/>
      <c r="JLN34" s="63"/>
      <c r="JLO34" s="63"/>
      <c r="JLP34" s="63"/>
      <c r="JLQ34" s="63"/>
      <c r="JLR34" s="63"/>
      <c r="JLS34" s="63"/>
      <c r="JLT34" s="63"/>
      <c r="JLU34" s="63"/>
      <c r="JLV34" s="63"/>
      <c r="JLW34" s="63"/>
      <c r="JLX34" s="63"/>
      <c r="JLY34" s="63"/>
      <c r="JLZ34" s="63"/>
      <c r="JMA34" s="63"/>
      <c r="JMB34" s="63"/>
      <c r="JMC34" s="63"/>
      <c r="JMD34" s="63"/>
      <c r="JME34" s="63"/>
      <c r="JMF34" s="63"/>
      <c r="JMG34" s="63"/>
      <c r="JMH34" s="63"/>
      <c r="JMI34" s="63"/>
      <c r="JMJ34" s="63"/>
      <c r="JMK34" s="63"/>
      <c r="JML34" s="63"/>
      <c r="JMM34" s="63"/>
      <c r="JMN34" s="63"/>
      <c r="JMO34" s="63"/>
      <c r="JMP34" s="63"/>
      <c r="JMQ34" s="63"/>
      <c r="JMR34" s="63"/>
      <c r="JMS34" s="63"/>
      <c r="JMT34" s="63"/>
      <c r="JMU34" s="63"/>
      <c r="JMV34" s="63"/>
      <c r="JMW34" s="63"/>
      <c r="JMX34" s="63"/>
      <c r="JMY34" s="63"/>
      <c r="JMZ34" s="63"/>
      <c r="JNA34" s="63"/>
      <c r="JNB34" s="63"/>
      <c r="JNC34" s="63"/>
      <c r="JND34" s="63"/>
      <c r="JNE34" s="63"/>
      <c r="JNF34" s="63"/>
      <c r="JNG34" s="63"/>
      <c r="JNH34" s="63"/>
      <c r="JNI34" s="63"/>
      <c r="JNJ34" s="63"/>
      <c r="JNK34" s="63"/>
      <c r="JNL34" s="63"/>
      <c r="JNM34" s="63"/>
      <c r="JNN34" s="63"/>
      <c r="JNO34" s="63"/>
      <c r="JNP34" s="63"/>
      <c r="JNQ34" s="63"/>
      <c r="JNR34" s="63"/>
      <c r="JNS34" s="63"/>
      <c r="JNT34" s="63"/>
      <c r="JNU34" s="63"/>
      <c r="JNV34" s="63"/>
      <c r="JNW34" s="63"/>
      <c r="JNX34" s="63"/>
      <c r="JNY34" s="63"/>
      <c r="JNZ34" s="63"/>
      <c r="JOA34" s="63"/>
      <c r="JOB34" s="63"/>
      <c r="JOC34" s="63"/>
      <c r="JOD34" s="63"/>
      <c r="JOE34" s="63"/>
      <c r="JOF34" s="63"/>
      <c r="JOG34" s="63"/>
      <c r="JOH34" s="63"/>
      <c r="JOI34" s="63"/>
      <c r="JOJ34" s="63"/>
      <c r="JOK34" s="63"/>
      <c r="JOL34" s="63"/>
      <c r="JOM34" s="63"/>
      <c r="JON34" s="63"/>
      <c r="JOO34" s="63"/>
      <c r="JOP34" s="63"/>
      <c r="JOQ34" s="63"/>
      <c r="JOR34" s="63"/>
      <c r="JOS34" s="63"/>
      <c r="JOT34" s="63"/>
      <c r="JOU34" s="63"/>
      <c r="JOV34" s="63"/>
      <c r="JOW34" s="63"/>
      <c r="JOX34" s="63"/>
      <c r="JOY34" s="63"/>
      <c r="JOZ34" s="63"/>
      <c r="JPA34" s="63"/>
      <c r="JPB34" s="63"/>
      <c r="JPC34" s="63"/>
      <c r="JPD34" s="63"/>
      <c r="JPE34" s="63"/>
      <c r="JPF34" s="63"/>
      <c r="JPG34" s="63"/>
      <c r="JPH34" s="63"/>
      <c r="JPI34" s="63"/>
      <c r="JPJ34" s="63"/>
      <c r="JPK34" s="63"/>
      <c r="JPL34" s="63"/>
      <c r="JPM34" s="63"/>
      <c r="JPN34" s="63"/>
      <c r="JPO34" s="63"/>
      <c r="JPP34" s="63"/>
      <c r="JPQ34" s="63"/>
      <c r="JPR34" s="63"/>
      <c r="JPS34" s="63"/>
      <c r="JPT34" s="63"/>
      <c r="JPU34" s="63"/>
      <c r="JPV34" s="63"/>
      <c r="JPW34" s="63"/>
      <c r="JPX34" s="63"/>
      <c r="JPY34" s="63"/>
      <c r="JPZ34" s="63"/>
      <c r="JQA34" s="63"/>
      <c r="JQB34" s="63"/>
      <c r="JQC34" s="63"/>
      <c r="JQD34" s="63"/>
      <c r="JQE34" s="63"/>
      <c r="JQF34" s="63"/>
      <c r="JQG34" s="63"/>
      <c r="JQH34" s="63"/>
      <c r="JQI34" s="63"/>
      <c r="JQJ34" s="63"/>
      <c r="JQK34" s="63"/>
      <c r="JQL34" s="63"/>
      <c r="JQM34" s="63"/>
      <c r="JQN34" s="63"/>
      <c r="JQO34" s="63"/>
      <c r="JQP34" s="63"/>
      <c r="JQQ34" s="63"/>
      <c r="JQR34" s="63"/>
      <c r="JQS34" s="63"/>
      <c r="JQT34" s="63"/>
      <c r="JQU34" s="63"/>
      <c r="JQV34" s="63"/>
      <c r="JQW34" s="63"/>
      <c r="JQX34" s="63"/>
      <c r="JQY34" s="63"/>
      <c r="JQZ34" s="63"/>
      <c r="JRA34" s="63"/>
      <c r="JRB34" s="63"/>
      <c r="JRC34" s="63"/>
      <c r="JRD34" s="63"/>
      <c r="JRE34" s="63"/>
      <c r="JRF34" s="63"/>
      <c r="JRG34" s="63"/>
      <c r="JRH34" s="63"/>
      <c r="JRI34" s="63"/>
      <c r="JRJ34" s="63"/>
      <c r="JRK34" s="63"/>
      <c r="JRL34" s="63"/>
      <c r="JRM34" s="63"/>
      <c r="JRN34" s="63"/>
      <c r="JRO34" s="63"/>
      <c r="JRP34" s="63"/>
      <c r="JRQ34" s="63"/>
      <c r="JRR34" s="63"/>
      <c r="JRS34" s="63"/>
      <c r="JRT34" s="63"/>
      <c r="JRU34" s="63"/>
      <c r="JRV34" s="63"/>
      <c r="JRW34" s="63"/>
      <c r="JRX34" s="63"/>
      <c r="JRY34" s="63"/>
      <c r="JRZ34" s="63"/>
      <c r="JSA34" s="63"/>
      <c r="JSB34" s="63"/>
      <c r="JSC34" s="63"/>
      <c r="JSD34" s="63"/>
      <c r="JSE34" s="63"/>
      <c r="JSF34" s="63"/>
      <c r="JSG34" s="63"/>
      <c r="JSH34" s="63"/>
      <c r="JSI34" s="63"/>
      <c r="JSJ34" s="63"/>
      <c r="JSK34" s="63"/>
      <c r="JSL34" s="63"/>
      <c r="JSM34" s="63"/>
      <c r="JSN34" s="63"/>
      <c r="JSO34" s="63"/>
      <c r="JSP34" s="63"/>
      <c r="JSQ34" s="63"/>
      <c r="JSR34" s="63"/>
      <c r="JSS34" s="63"/>
      <c r="JST34" s="63"/>
      <c r="JSU34" s="63"/>
      <c r="JSV34" s="63"/>
      <c r="JSW34" s="63"/>
      <c r="JSX34" s="63"/>
      <c r="JSY34" s="63"/>
      <c r="JSZ34" s="63"/>
      <c r="JTA34" s="63"/>
      <c r="JTB34" s="63"/>
      <c r="JTC34" s="63"/>
      <c r="JTD34" s="63"/>
      <c r="JTE34" s="63"/>
      <c r="JTF34" s="63"/>
      <c r="JTG34" s="63"/>
      <c r="JTH34" s="63"/>
      <c r="JTI34" s="63"/>
      <c r="JTJ34" s="63"/>
      <c r="JTK34" s="63"/>
      <c r="JTL34" s="63"/>
      <c r="JTM34" s="63"/>
      <c r="JTN34" s="63"/>
      <c r="JTO34" s="63"/>
      <c r="JTP34" s="63"/>
      <c r="JTQ34" s="63"/>
      <c r="JTR34" s="63"/>
      <c r="JTS34" s="63"/>
      <c r="JTT34" s="63"/>
      <c r="JTU34" s="63"/>
      <c r="JTV34" s="63"/>
      <c r="JTW34" s="63"/>
      <c r="JTX34" s="63"/>
      <c r="JTY34" s="63"/>
      <c r="JTZ34" s="63"/>
      <c r="JUA34" s="63"/>
      <c r="JUB34" s="63"/>
      <c r="JUC34" s="63"/>
      <c r="JUD34" s="63"/>
      <c r="JUE34" s="63"/>
      <c r="JUF34" s="63"/>
      <c r="JUG34" s="63"/>
      <c r="JUH34" s="63"/>
      <c r="JUI34" s="63"/>
      <c r="JUJ34" s="63"/>
      <c r="JUK34" s="63"/>
      <c r="JUL34" s="63"/>
      <c r="JUM34" s="63"/>
      <c r="JUN34" s="63"/>
      <c r="JUO34" s="63"/>
      <c r="JUP34" s="63"/>
      <c r="JUQ34" s="63"/>
      <c r="JUR34" s="63"/>
      <c r="JUS34" s="63"/>
      <c r="JUT34" s="63"/>
      <c r="JUU34" s="63"/>
      <c r="JUV34" s="63"/>
      <c r="JUW34" s="63"/>
      <c r="JUX34" s="63"/>
      <c r="JUY34" s="63"/>
      <c r="JUZ34" s="63"/>
      <c r="JVA34" s="63"/>
      <c r="JVB34" s="63"/>
      <c r="JVC34" s="63"/>
      <c r="JVD34" s="63"/>
      <c r="JVE34" s="63"/>
      <c r="JVF34" s="63"/>
      <c r="JVG34" s="63"/>
      <c r="JVH34" s="63"/>
      <c r="JVI34" s="63"/>
      <c r="JVJ34" s="63"/>
      <c r="JVK34" s="63"/>
      <c r="JVL34" s="63"/>
      <c r="JVM34" s="63"/>
      <c r="JVN34" s="63"/>
      <c r="JVO34" s="63"/>
      <c r="JVP34" s="63"/>
      <c r="JVQ34" s="63"/>
      <c r="JVR34" s="63"/>
      <c r="JVS34" s="63"/>
      <c r="JVT34" s="63"/>
      <c r="JVU34" s="63"/>
      <c r="JVV34" s="63"/>
      <c r="JVW34" s="63"/>
      <c r="JVX34" s="63"/>
      <c r="JVY34" s="63"/>
      <c r="JVZ34" s="63"/>
      <c r="JWA34" s="63"/>
      <c r="JWB34" s="63"/>
      <c r="JWC34" s="63"/>
      <c r="JWD34" s="63"/>
      <c r="JWE34" s="63"/>
      <c r="JWF34" s="63"/>
      <c r="JWG34" s="63"/>
      <c r="JWH34" s="63"/>
      <c r="JWI34" s="63"/>
      <c r="JWJ34" s="63"/>
      <c r="JWK34" s="63"/>
      <c r="JWL34" s="63"/>
      <c r="JWM34" s="63"/>
      <c r="JWN34" s="63"/>
      <c r="JWO34" s="63"/>
      <c r="JWP34" s="63"/>
      <c r="JWQ34" s="63"/>
      <c r="JWR34" s="63"/>
      <c r="JWS34" s="63"/>
      <c r="JWT34" s="63"/>
      <c r="JWU34" s="63"/>
      <c r="JWV34" s="63"/>
      <c r="JWW34" s="63"/>
      <c r="JWX34" s="63"/>
      <c r="JWY34" s="63"/>
      <c r="JWZ34" s="63"/>
      <c r="JXA34" s="63"/>
      <c r="JXB34" s="63"/>
      <c r="JXC34" s="63"/>
      <c r="JXD34" s="63"/>
      <c r="JXE34" s="63"/>
      <c r="JXF34" s="63"/>
      <c r="JXG34" s="63"/>
      <c r="JXH34" s="63"/>
      <c r="JXI34" s="63"/>
      <c r="JXJ34" s="63"/>
      <c r="JXK34" s="63"/>
      <c r="JXL34" s="63"/>
      <c r="JXM34" s="63"/>
      <c r="JXN34" s="63"/>
      <c r="JXO34" s="63"/>
      <c r="JXP34" s="63"/>
      <c r="JXQ34" s="63"/>
      <c r="JXR34" s="63"/>
      <c r="JXS34" s="63"/>
      <c r="JXT34" s="63"/>
      <c r="JXU34" s="63"/>
      <c r="JXV34" s="63"/>
      <c r="JXW34" s="63"/>
      <c r="JXX34" s="63"/>
      <c r="JXY34" s="63"/>
      <c r="JXZ34" s="63"/>
      <c r="JYA34" s="63"/>
      <c r="JYB34" s="63"/>
      <c r="JYC34" s="63"/>
      <c r="JYD34" s="63"/>
      <c r="JYE34" s="63"/>
      <c r="JYF34" s="63"/>
      <c r="JYG34" s="63"/>
      <c r="JYH34" s="63"/>
      <c r="JYI34" s="63"/>
      <c r="JYJ34" s="63"/>
      <c r="JYK34" s="63"/>
      <c r="JYL34" s="63"/>
      <c r="JYM34" s="63"/>
      <c r="JYN34" s="63"/>
      <c r="JYO34" s="63"/>
      <c r="JYP34" s="63"/>
      <c r="JYQ34" s="63"/>
      <c r="JYR34" s="63"/>
      <c r="JYS34" s="63"/>
      <c r="JYT34" s="63"/>
      <c r="JYU34" s="63"/>
      <c r="JYV34" s="63"/>
      <c r="JYW34" s="63"/>
      <c r="JYX34" s="63"/>
      <c r="JYY34" s="63"/>
      <c r="JYZ34" s="63"/>
      <c r="JZA34" s="63"/>
      <c r="JZB34" s="63"/>
      <c r="JZC34" s="63"/>
      <c r="JZD34" s="63"/>
      <c r="JZE34" s="63"/>
      <c r="JZF34" s="63"/>
      <c r="JZG34" s="63"/>
      <c r="JZH34" s="63"/>
      <c r="JZI34" s="63"/>
      <c r="JZJ34" s="63"/>
      <c r="JZK34" s="63"/>
      <c r="JZL34" s="63"/>
      <c r="JZM34" s="63"/>
      <c r="JZN34" s="63"/>
      <c r="JZO34" s="63"/>
      <c r="JZP34" s="63"/>
      <c r="JZQ34" s="63"/>
      <c r="JZR34" s="63"/>
      <c r="JZS34" s="63"/>
      <c r="JZT34" s="63"/>
      <c r="JZU34" s="63"/>
      <c r="JZV34" s="63"/>
      <c r="JZW34" s="63"/>
      <c r="JZX34" s="63"/>
      <c r="JZY34" s="63"/>
      <c r="JZZ34" s="63"/>
      <c r="KAA34" s="63"/>
      <c r="KAB34" s="63"/>
      <c r="KAC34" s="63"/>
      <c r="KAD34" s="63"/>
      <c r="KAE34" s="63"/>
      <c r="KAF34" s="63"/>
      <c r="KAG34" s="63"/>
      <c r="KAH34" s="63"/>
      <c r="KAI34" s="63"/>
      <c r="KAJ34" s="63"/>
      <c r="KAK34" s="63"/>
      <c r="KAL34" s="63"/>
      <c r="KAM34" s="63"/>
      <c r="KAN34" s="63"/>
      <c r="KAO34" s="63"/>
      <c r="KAP34" s="63"/>
      <c r="KAQ34" s="63"/>
      <c r="KAR34" s="63"/>
      <c r="KAS34" s="63"/>
      <c r="KAT34" s="63"/>
      <c r="KAU34" s="63"/>
      <c r="KAV34" s="63"/>
      <c r="KAW34" s="63"/>
      <c r="KAX34" s="63"/>
      <c r="KAY34" s="63"/>
      <c r="KAZ34" s="63"/>
      <c r="KBA34" s="63"/>
      <c r="KBB34" s="63"/>
      <c r="KBC34" s="63"/>
      <c r="KBD34" s="63"/>
      <c r="KBE34" s="63"/>
      <c r="KBF34" s="63"/>
      <c r="KBG34" s="63"/>
      <c r="KBH34" s="63"/>
      <c r="KBI34" s="63"/>
      <c r="KBJ34" s="63"/>
      <c r="KBK34" s="63"/>
      <c r="KBL34" s="63"/>
      <c r="KBM34" s="63"/>
      <c r="KBN34" s="63"/>
      <c r="KBO34" s="63"/>
      <c r="KBP34" s="63"/>
      <c r="KBQ34" s="63"/>
      <c r="KBR34" s="63"/>
      <c r="KBS34" s="63"/>
      <c r="KBT34" s="63"/>
      <c r="KBU34" s="63"/>
      <c r="KBV34" s="63"/>
      <c r="KBW34" s="63"/>
      <c r="KBX34" s="63"/>
      <c r="KBY34" s="63"/>
      <c r="KBZ34" s="63"/>
      <c r="KCA34" s="63"/>
      <c r="KCB34" s="63"/>
      <c r="KCC34" s="63"/>
      <c r="KCD34" s="63"/>
      <c r="KCE34" s="63"/>
      <c r="KCF34" s="63"/>
      <c r="KCG34" s="63"/>
      <c r="KCH34" s="63"/>
      <c r="KCI34" s="63"/>
      <c r="KCJ34" s="63"/>
      <c r="KCK34" s="63"/>
      <c r="KCL34" s="63"/>
      <c r="KCM34" s="63"/>
      <c r="KCN34" s="63"/>
      <c r="KCO34" s="63"/>
      <c r="KCP34" s="63"/>
      <c r="KCQ34" s="63"/>
      <c r="KCR34" s="63"/>
      <c r="KCS34" s="63"/>
      <c r="KCT34" s="63"/>
      <c r="KCU34" s="63"/>
      <c r="KCV34" s="63"/>
      <c r="KCW34" s="63"/>
      <c r="KCX34" s="63"/>
      <c r="KCY34" s="63"/>
      <c r="KCZ34" s="63"/>
      <c r="KDA34" s="63"/>
      <c r="KDB34" s="63"/>
      <c r="KDC34" s="63"/>
      <c r="KDD34" s="63"/>
      <c r="KDE34" s="63"/>
      <c r="KDF34" s="63"/>
      <c r="KDG34" s="63"/>
      <c r="KDH34" s="63"/>
      <c r="KDI34" s="63"/>
      <c r="KDJ34" s="63"/>
      <c r="KDK34" s="63"/>
      <c r="KDL34" s="63"/>
      <c r="KDM34" s="63"/>
      <c r="KDN34" s="63"/>
      <c r="KDO34" s="63"/>
      <c r="KDP34" s="63"/>
      <c r="KDQ34" s="63"/>
      <c r="KDR34" s="63"/>
      <c r="KDS34" s="63"/>
      <c r="KDT34" s="63"/>
      <c r="KDU34" s="63"/>
      <c r="KDV34" s="63"/>
      <c r="KDW34" s="63"/>
      <c r="KDX34" s="63"/>
      <c r="KDY34" s="63"/>
      <c r="KDZ34" s="63"/>
      <c r="KEA34" s="63"/>
      <c r="KEB34" s="63"/>
      <c r="KEC34" s="63"/>
      <c r="KED34" s="63"/>
      <c r="KEE34" s="63"/>
      <c r="KEF34" s="63"/>
      <c r="KEG34" s="63"/>
      <c r="KEH34" s="63"/>
      <c r="KEI34" s="63"/>
      <c r="KEJ34" s="63"/>
      <c r="KEK34" s="63"/>
      <c r="KEL34" s="63"/>
      <c r="KEM34" s="63"/>
      <c r="KEN34" s="63"/>
      <c r="KEO34" s="63"/>
      <c r="KEP34" s="63"/>
      <c r="KEQ34" s="63"/>
      <c r="KER34" s="63"/>
      <c r="KES34" s="63"/>
      <c r="KET34" s="63"/>
      <c r="KEU34" s="63"/>
      <c r="KEV34" s="63"/>
      <c r="KEW34" s="63"/>
      <c r="KEX34" s="63"/>
      <c r="KEY34" s="63"/>
      <c r="KEZ34" s="63"/>
      <c r="KFA34" s="63"/>
      <c r="KFB34" s="63"/>
      <c r="KFC34" s="63"/>
      <c r="KFD34" s="63"/>
      <c r="KFE34" s="63"/>
      <c r="KFF34" s="63"/>
      <c r="KFG34" s="63"/>
      <c r="KFH34" s="63"/>
      <c r="KFI34" s="63"/>
      <c r="KFJ34" s="63"/>
      <c r="KFK34" s="63"/>
      <c r="KFL34" s="63"/>
      <c r="KFM34" s="63"/>
      <c r="KFN34" s="63"/>
      <c r="KFO34" s="63"/>
      <c r="KFP34" s="63"/>
      <c r="KFQ34" s="63"/>
      <c r="KFR34" s="63"/>
      <c r="KFS34" s="63"/>
      <c r="KFT34" s="63"/>
      <c r="KFU34" s="63"/>
      <c r="KFV34" s="63"/>
      <c r="KFW34" s="63"/>
      <c r="KFX34" s="63"/>
      <c r="KFY34" s="63"/>
      <c r="KFZ34" s="63"/>
      <c r="KGA34" s="63"/>
      <c r="KGB34" s="63"/>
      <c r="KGC34" s="63"/>
      <c r="KGD34" s="63"/>
      <c r="KGE34" s="63"/>
      <c r="KGF34" s="63"/>
      <c r="KGG34" s="63"/>
      <c r="KGH34" s="63"/>
      <c r="KGI34" s="63"/>
      <c r="KGJ34" s="63"/>
      <c r="KGK34" s="63"/>
      <c r="KGL34" s="63"/>
      <c r="KGM34" s="63"/>
      <c r="KGN34" s="63"/>
      <c r="KGO34" s="63"/>
      <c r="KGP34" s="63"/>
      <c r="KGQ34" s="63"/>
      <c r="KGR34" s="63"/>
      <c r="KGS34" s="63"/>
      <c r="KGT34" s="63"/>
      <c r="KGU34" s="63"/>
      <c r="KGV34" s="63"/>
      <c r="KGW34" s="63"/>
      <c r="KGX34" s="63"/>
      <c r="KGY34" s="63"/>
      <c r="KGZ34" s="63"/>
      <c r="KHA34" s="63"/>
      <c r="KHB34" s="63"/>
      <c r="KHC34" s="63"/>
      <c r="KHD34" s="63"/>
      <c r="KHE34" s="63"/>
      <c r="KHF34" s="63"/>
      <c r="KHG34" s="63"/>
      <c r="KHH34" s="63"/>
      <c r="KHI34" s="63"/>
      <c r="KHJ34" s="63"/>
      <c r="KHK34" s="63"/>
      <c r="KHL34" s="63"/>
      <c r="KHM34" s="63"/>
      <c r="KHN34" s="63"/>
      <c r="KHO34" s="63"/>
      <c r="KHP34" s="63"/>
      <c r="KHQ34" s="63"/>
      <c r="KHR34" s="63"/>
      <c r="KHS34" s="63"/>
      <c r="KHT34" s="63"/>
      <c r="KHU34" s="63"/>
      <c r="KHV34" s="63"/>
      <c r="KHW34" s="63"/>
      <c r="KHX34" s="63"/>
      <c r="KHY34" s="63"/>
      <c r="KHZ34" s="63"/>
      <c r="KIA34" s="63"/>
      <c r="KIB34" s="63"/>
      <c r="KIC34" s="63"/>
      <c r="KID34" s="63"/>
      <c r="KIE34" s="63"/>
      <c r="KIF34" s="63"/>
      <c r="KIG34" s="63"/>
      <c r="KIH34" s="63"/>
      <c r="KII34" s="63"/>
      <c r="KIJ34" s="63"/>
      <c r="KIK34" s="63"/>
      <c r="KIL34" s="63"/>
      <c r="KIM34" s="63"/>
      <c r="KIN34" s="63"/>
      <c r="KIO34" s="63"/>
      <c r="KIP34" s="63"/>
      <c r="KIQ34" s="63"/>
      <c r="KIR34" s="63"/>
      <c r="KIS34" s="63"/>
      <c r="KIT34" s="63"/>
      <c r="KIU34" s="63"/>
      <c r="KIV34" s="63"/>
      <c r="KIW34" s="63"/>
      <c r="KIX34" s="63"/>
      <c r="KIY34" s="63"/>
      <c r="KIZ34" s="63"/>
      <c r="KJA34" s="63"/>
      <c r="KJB34" s="63"/>
      <c r="KJC34" s="63"/>
      <c r="KJD34" s="63"/>
      <c r="KJE34" s="63"/>
      <c r="KJF34" s="63"/>
      <c r="KJG34" s="63"/>
      <c r="KJH34" s="63"/>
      <c r="KJI34" s="63"/>
      <c r="KJJ34" s="63"/>
      <c r="KJK34" s="63"/>
      <c r="KJL34" s="63"/>
      <c r="KJM34" s="63"/>
      <c r="KJN34" s="63"/>
      <c r="KJO34" s="63"/>
      <c r="KJP34" s="63"/>
      <c r="KJQ34" s="63"/>
      <c r="KJR34" s="63"/>
      <c r="KJS34" s="63"/>
      <c r="KJT34" s="63"/>
      <c r="KJU34" s="63"/>
      <c r="KJV34" s="63"/>
      <c r="KJW34" s="63"/>
      <c r="KJX34" s="63"/>
      <c r="KJY34" s="63"/>
      <c r="KJZ34" s="63"/>
      <c r="KKA34" s="63"/>
      <c r="KKB34" s="63"/>
      <c r="KKC34" s="63"/>
      <c r="KKD34" s="63"/>
      <c r="KKE34" s="63"/>
      <c r="KKF34" s="63"/>
      <c r="KKG34" s="63"/>
      <c r="KKH34" s="63"/>
      <c r="KKI34" s="63"/>
      <c r="KKJ34" s="63"/>
      <c r="KKK34" s="63"/>
      <c r="KKL34" s="63"/>
      <c r="KKM34" s="63"/>
      <c r="KKN34" s="63"/>
      <c r="KKO34" s="63"/>
      <c r="KKP34" s="63"/>
      <c r="KKQ34" s="63"/>
      <c r="KKR34" s="63"/>
      <c r="KKS34" s="63"/>
      <c r="KKT34" s="63"/>
      <c r="KKU34" s="63"/>
      <c r="KKV34" s="63"/>
      <c r="KKW34" s="63"/>
      <c r="KKX34" s="63"/>
      <c r="KKY34" s="63"/>
      <c r="KKZ34" s="63"/>
      <c r="KLA34" s="63"/>
      <c r="KLB34" s="63"/>
      <c r="KLC34" s="63"/>
      <c r="KLD34" s="63"/>
      <c r="KLE34" s="63"/>
      <c r="KLF34" s="63"/>
      <c r="KLG34" s="63"/>
      <c r="KLH34" s="63"/>
      <c r="KLI34" s="63"/>
      <c r="KLJ34" s="63"/>
      <c r="KLK34" s="63"/>
      <c r="KLL34" s="63"/>
      <c r="KLM34" s="63"/>
      <c r="KLN34" s="63"/>
      <c r="KLO34" s="63"/>
      <c r="KLP34" s="63"/>
      <c r="KLQ34" s="63"/>
      <c r="KLR34" s="63"/>
      <c r="KLS34" s="63"/>
      <c r="KLT34" s="63"/>
      <c r="KLU34" s="63"/>
      <c r="KLV34" s="63"/>
      <c r="KLW34" s="63"/>
      <c r="KLX34" s="63"/>
      <c r="KLY34" s="63"/>
      <c r="KLZ34" s="63"/>
      <c r="KMA34" s="63"/>
      <c r="KMB34" s="63"/>
      <c r="KMC34" s="63"/>
      <c r="KMD34" s="63"/>
      <c r="KME34" s="63"/>
      <c r="KMF34" s="63"/>
      <c r="KMG34" s="63"/>
      <c r="KMH34" s="63"/>
      <c r="KMI34" s="63"/>
      <c r="KMJ34" s="63"/>
      <c r="KMK34" s="63"/>
      <c r="KML34" s="63"/>
      <c r="KMM34" s="63"/>
      <c r="KMN34" s="63"/>
      <c r="KMO34" s="63"/>
      <c r="KMP34" s="63"/>
      <c r="KMQ34" s="63"/>
      <c r="KMR34" s="63"/>
      <c r="KMS34" s="63"/>
      <c r="KMT34" s="63"/>
      <c r="KMU34" s="63"/>
      <c r="KMV34" s="63"/>
      <c r="KMW34" s="63"/>
      <c r="KMX34" s="63"/>
      <c r="KMY34" s="63"/>
      <c r="KMZ34" s="63"/>
      <c r="KNA34" s="63"/>
      <c r="KNB34" s="63"/>
      <c r="KNC34" s="63"/>
      <c r="KND34" s="63"/>
      <c r="KNE34" s="63"/>
      <c r="KNF34" s="63"/>
      <c r="KNG34" s="63"/>
      <c r="KNH34" s="63"/>
      <c r="KNI34" s="63"/>
      <c r="KNJ34" s="63"/>
      <c r="KNK34" s="63"/>
      <c r="KNL34" s="63"/>
      <c r="KNM34" s="63"/>
      <c r="KNN34" s="63"/>
      <c r="KNO34" s="63"/>
      <c r="KNP34" s="63"/>
      <c r="KNQ34" s="63"/>
      <c r="KNR34" s="63"/>
      <c r="KNS34" s="63"/>
      <c r="KNT34" s="63"/>
      <c r="KNU34" s="63"/>
      <c r="KNV34" s="63"/>
      <c r="KNW34" s="63"/>
      <c r="KNX34" s="63"/>
      <c r="KNY34" s="63"/>
      <c r="KNZ34" s="63"/>
      <c r="KOA34" s="63"/>
      <c r="KOB34" s="63"/>
      <c r="KOC34" s="63"/>
      <c r="KOD34" s="63"/>
      <c r="KOE34" s="63"/>
      <c r="KOF34" s="63"/>
      <c r="KOG34" s="63"/>
      <c r="KOH34" s="63"/>
      <c r="KOI34" s="63"/>
      <c r="KOJ34" s="63"/>
      <c r="KOK34" s="63"/>
      <c r="KOL34" s="63"/>
      <c r="KOM34" s="63"/>
      <c r="KON34" s="63"/>
      <c r="KOO34" s="63"/>
      <c r="KOP34" s="63"/>
      <c r="KOQ34" s="63"/>
      <c r="KOR34" s="63"/>
      <c r="KOS34" s="63"/>
      <c r="KOT34" s="63"/>
      <c r="KOU34" s="63"/>
      <c r="KOV34" s="63"/>
      <c r="KOW34" s="63"/>
      <c r="KOX34" s="63"/>
      <c r="KOY34" s="63"/>
      <c r="KOZ34" s="63"/>
      <c r="KPA34" s="63"/>
      <c r="KPB34" s="63"/>
      <c r="KPC34" s="63"/>
      <c r="KPD34" s="63"/>
      <c r="KPE34" s="63"/>
      <c r="KPF34" s="63"/>
      <c r="KPG34" s="63"/>
      <c r="KPH34" s="63"/>
      <c r="KPI34" s="63"/>
      <c r="KPJ34" s="63"/>
      <c r="KPK34" s="63"/>
      <c r="KPL34" s="63"/>
      <c r="KPM34" s="63"/>
      <c r="KPN34" s="63"/>
      <c r="KPO34" s="63"/>
      <c r="KPP34" s="63"/>
      <c r="KPQ34" s="63"/>
      <c r="KPR34" s="63"/>
      <c r="KPS34" s="63"/>
      <c r="KPT34" s="63"/>
      <c r="KPU34" s="63"/>
      <c r="KPV34" s="63"/>
      <c r="KPW34" s="63"/>
      <c r="KPX34" s="63"/>
      <c r="KPY34" s="63"/>
      <c r="KPZ34" s="63"/>
      <c r="KQA34" s="63"/>
      <c r="KQB34" s="63"/>
      <c r="KQC34" s="63"/>
      <c r="KQD34" s="63"/>
      <c r="KQE34" s="63"/>
      <c r="KQF34" s="63"/>
      <c r="KQG34" s="63"/>
      <c r="KQH34" s="63"/>
      <c r="KQI34" s="63"/>
      <c r="KQJ34" s="63"/>
      <c r="KQK34" s="63"/>
      <c r="KQL34" s="63"/>
      <c r="KQM34" s="63"/>
      <c r="KQN34" s="63"/>
      <c r="KQO34" s="63"/>
      <c r="KQP34" s="63"/>
      <c r="KQQ34" s="63"/>
      <c r="KQR34" s="63"/>
      <c r="KQS34" s="63"/>
      <c r="KQT34" s="63"/>
      <c r="KQU34" s="63"/>
      <c r="KQV34" s="63"/>
      <c r="KQW34" s="63"/>
      <c r="KQX34" s="63"/>
      <c r="KQY34" s="63"/>
      <c r="KQZ34" s="63"/>
      <c r="KRA34" s="63"/>
      <c r="KRB34" s="63"/>
      <c r="KRC34" s="63"/>
      <c r="KRD34" s="63"/>
      <c r="KRE34" s="63"/>
      <c r="KRF34" s="63"/>
      <c r="KRG34" s="63"/>
      <c r="KRH34" s="63"/>
      <c r="KRI34" s="63"/>
      <c r="KRJ34" s="63"/>
      <c r="KRK34" s="63"/>
      <c r="KRL34" s="63"/>
      <c r="KRM34" s="63"/>
      <c r="KRN34" s="63"/>
      <c r="KRO34" s="63"/>
      <c r="KRP34" s="63"/>
      <c r="KRQ34" s="63"/>
      <c r="KRR34" s="63"/>
      <c r="KRS34" s="63"/>
      <c r="KRT34" s="63"/>
      <c r="KRU34" s="63"/>
      <c r="KRV34" s="63"/>
      <c r="KRW34" s="63"/>
      <c r="KRX34" s="63"/>
      <c r="KRY34" s="63"/>
      <c r="KRZ34" s="63"/>
      <c r="KSA34" s="63"/>
      <c r="KSB34" s="63"/>
      <c r="KSC34" s="63"/>
      <c r="KSD34" s="63"/>
      <c r="KSE34" s="63"/>
      <c r="KSF34" s="63"/>
      <c r="KSG34" s="63"/>
      <c r="KSH34" s="63"/>
      <c r="KSI34" s="63"/>
      <c r="KSJ34" s="63"/>
      <c r="KSK34" s="63"/>
      <c r="KSL34" s="63"/>
      <c r="KSM34" s="63"/>
      <c r="KSN34" s="63"/>
      <c r="KSO34" s="63"/>
      <c r="KSP34" s="63"/>
      <c r="KSQ34" s="63"/>
      <c r="KSR34" s="63"/>
      <c r="KSS34" s="63"/>
      <c r="KST34" s="63"/>
      <c r="KSU34" s="63"/>
      <c r="KSV34" s="63"/>
      <c r="KSW34" s="63"/>
      <c r="KSX34" s="63"/>
      <c r="KSY34" s="63"/>
      <c r="KSZ34" s="63"/>
      <c r="KTA34" s="63"/>
      <c r="KTB34" s="63"/>
      <c r="KTC34" s="63"/>
      <c r="KTD34" s="63"/>
      <c r="KTE34" s="63"/>
      <c r="KTF34" s="63"/>
      <c r="KTG34" s="63"/>
      <c r="KTH34" s="63"/>
      <c r="KTI34" s="63"/>
      <c r="KTJ34" s="63"/>
      <c r="KTK34" s="63"/>
      <c r="KTL34" s="63"/>
      <c r="KTM34" s="63"/>
      <c r="KTN34" s="63"/>
      <c r="KTO34" s="63"/>
      <c r="KTP34" s="63"/>
      <c r="KTQ34" s="63"/>
      <c r="KTR34" s="63"/>
      <c r="KTS34" s="63"/>
      <c r="KTT34" s="63"/>
      <c r="KTU34" s="63"/>
      <c r="KTV34" s="63"/>
      <c r="KTW34" s="63"/>
      <c r="KTX34" s="63"/>
      <c r="KTY34" s="63"/>
      <c r="KTZ34" s="63"/>
      <c r="KUA34" s="63"/>
      <c r="KUB34" s="63"/>
      <c r="KUC34" s="63"/>
      <c r="KUD34" s="63"/>
      <c r="KUE34" s="63"/>
      <c r="KUF34" s="63"/>
      <c r="KUG34" s="63"/>
      <c r="KUH34" s="63"/>
      <c r="KUI34" s="63"/>
      <c r="KUJ34" s="63"/>
      <c r="KUK34" s="63"/>
      <c r="KUL34" s="63"/>
      <c r="KUM34" s="63"/>
      <c r="KUN34" s="63"/>
      <c r="KUO34" s="63"/>
      <c r="KUP34" s="63"/>
      <c r="KUQ34" s="63"/>
      <c r="KUR34" s="63"/>
      <c r="KUS34" s="63"/>
      <c r="KUT34" s="63"/>
      <c r="KUU34" s="63"/>
      <c r="KUV34" s="63"/>
      <c r="KUW34" s="63"/>
      <c r="KUX34" s="63"/>
      <c r="KUY34" s="63"/>
      <c r="KUZ34" s="63"/>
      <c r="KVA34" s="63"/>
      <c r="KVB34" s="63"/>
      <c r="KVC34" s="63"/>
      <c r="KVD34" s="63"/>
      <c r="KVE34" s="63"/>
      <c r="KVF34" s="63"/>
      <c r="KVG34" s="63"/>
      <c r="KVH34" s="63"/>
      <c r="KVI34" s="63"/>
      <c r="KVJ34" s="63"/>
      <c r="KVK34" s="63"/>
      <c r="KVL34" s="63"/>
      <c r="KVM34" s="63"/>
      <c r="KVN34" s="63"/>
      <c r="KVO34" s="63"/>
      <c r="KVP34" s="63"/>
      <c r="KVQ34" s="63"/>
      <c r="KVR34" s="63"/>
      <c r="KVS34" s="63"/>
      <c r="KVT34" s="63"/>
      <c r="KVU34" s="63"/>
      <c r="KVV34" s="63"/>
      <c r="KVW34" s="63"/>
      <c r="KVX34" s="63"/>
      <c r="KVY34" s="63"/>
      <c r="KVZ34" s="63"/>
      <c r="KWA34" s="63"/>
      <c r="KWB34" s="63"/>
      <c r="KWC34" s="63"/>
      <c r="KWD34" s="63"/>
      <c r="KWE34" s="63"/>
      <c r="KWF34" s="63"/>
      <c r="KWG34" s="63"/>
      <c r="KWH34" s="63"/>
      <c r="KWI34" s="63"/>
      <c r="KWJ34" s="63"/>
      <c r="KWK34" s="63"/>
      <c r="KWL34" s="63"/>
      <c r="KWM34" s="63"/>
      <c r="KWN34" s="63"/>
      <c r="KWO34" s="63"/>
      <c r="KWP34" s="63"/>
      <c r="KWQ34" s="63"/>
      <c r="KWR34" s="63"/>
      <c r="KWS34" s="63"/>
      <c r="KWT34" s="63"/>
      <c r="KWU34" s="63"/>
      <c r="KWV34" s="63"/>
      <c r="KWW34" s="63"/>
      <c r="KWX34" s="63"/>
      <c r="KWY34" s="63"/>
      <c r="KWZ34" s="63"/>
      <c r="KXA34" s="63"/>
      <c r="KXB34" s="63"/>
      <c r="KXC34" s="63"/>
      <c r="KXD34" s="63"/>
      <c r="KXE34" s="63"/>
      <c r="KXF34" s="63"/>
      <c r="KXG34" s="63"/>
      <c r="KXH34" s="63"/>
      <c r="KXI34" s="63"/>
      <c r="KXJ34" s="63"/>
      <c r="KXK34" s="63"/>
      <c r="KXL34" s="63"/>
      <c r="KXM34" s="63"/>
      <c r="KXN34" s="63"/>
      <c r="KXO34" s="63"/>
      <c r="KXP34" s="63"/>
      <c r="KXQ34" s="63"/>
      <c r="KXR34" s="63"/>
      <c r="KXS34" s="63"/>
      <c r="KXT34" s="63"/>
      <c r="KXU34" s="63"/>
      <c r="KXV34" s="63"/>
      <c r="KXW34" s="63"/>
      <c r="KXX34" s="63"/>
      <c r="KXY34" s="63"/>
      <c r="KXZ34" s="63"/>
      <c r="KYA34" s="63"/>
      <c r="KYB34" s="63"/>
      <c r="KYC34" s="63"/>
      <c r="KYD34" s="63"/>
      <c r="KYE34" s="63"/>
      <c r="KYF34" s="63"/>
      <c r="KYG34" s="63"/>
      <c r="KYH34" s="63"/>
      <c r="KYI34" s="63"/>
      <c r="KYJ34" s="63"/>
      <c r="KYK34" s="63"/>
      <c r="KYL34" s="63"/>
      <c r="KYM34" s="63"/>
      <c r="KYN34" s="63"/>
      <c r="KYO34" s="63"/>
      <c r="KYP34" s="63"/>
      <c r="KYQ34" s="63"/>
      <c r="KYR34" s="63"/>
      <c r="KYS34" s="63"/>
      <c r="KYT34" s="63"/>
      <c r="KYU34" s="63"/>
      <c r="KYV34" s="63"/>
      <c r="KYW34" s="63"/>
      <c r="KYX34" s="63"/>
      <c r="KYY34" s="63"/>
      <c r="KYZ34" s="63"/>
      <c r="KZA34" s="63"/>
      <c r="KZB34" s="63"/>
      <c r="KZC34" s="63"/>
      <c r="KZD34" s="63"/>
      <c r="KZE34" s="63"/>
      <c r="KZF34" s="63"/>
      <c r="KZG34" s="63"/>
      <c r="KZH34" s="63"/>
      <c r="KZI34" s="63"/>
      <c r="KZJ34" s="63"/>
      <c r="KZK34" s="63"/>
      <c r="KZL34" s="63"/>
      <c r="KZM34" s="63"/>
      <c r="KZN34" s="63"/>
      <c r="KZO34" s="63"/>
      <c r="KZP34" s="63"/>
      <c r="KZQ34" s="63"/>
      <c r="KZR34" s="63"/>
      <c r="KZS34" s="63"/>
      <c r="KZT34" s="63"/>
      <c r="KZU34" s="63"/>
      <c r="KZV34" s="63"/>
      <c r="KZW34" s="63"/>
      <c r="KZX34" s="63"/>
      <c r="KZY34" s="63"/>
      <c r="KZZ34" s="63"/>
      <c r="LAA34" s="63"/>
      <c r="LAB34" s="63"/>
      <c r="LAC34" s="63"/>
      <c r="LAD34" s="63"/>
      <c r="LAE34" s="63"/>
      <c r="LAF34" s="63"/>
      <c r="LAG34" s="63"/>
      <c r="LAH34" s="63"/>
      <c r="LAI34" s="63"/>
      <c r="LAJ34" s="63"/>
      <c r="LAK34" s="63"/>
      <c r="LAL34" s="63"/>
      <c r="LAM34" s="63"/>
      <c r="LAN34" s="63"/>
      <c r="LAO34" s="63"/>
      <c r="LAP34" s="63"/>
      <c r="LAQ34" s="63"/>
      <c r="LAR34" s="63"/>
      <c r="LAS34" s="63"/>
      <c r="LAT34" s="63"/>
      <c r="LAU34" s="63"/>
      <c r="LAV34" s="63"/>
      <c r="LAW34" s="63"/>
      <c r="LAX34" s="63"/>
      <c r="LAY34" s="63"/>
      <c r="LAZ34" s="63"/>
      <c r="LBA34" s="63"/>
      <c r="LBB34" s="63"/>
      <c r="LBC34" s="63"/>
      <c r="LBD34" s="63"/>
      <c r="LBE34" s="63"/>
      <c r="LBF34" s="63"/>
      <c r="LBG34" s="63"/>
      <c r="LBH34" s="63"/>
      <c r="LBI34" s="63"/>
      <c r="LBJ34" s="63"/>
      <c r="LBK34" s="63"/>
      <c r="LBL34" s="63"/>
      <c r="LBM34" s="63"/>
      <c r="LBN34" s="63"/>
      <c r="LBO34" s="63"/>
      <c r="LBP34" s="63"/>
      <c r="LBQ34" s="63"/>
      <c r="LBR34" s="63"/>
      <c r="LBS34" s="63"/>
      <c r="LBT34" s="63"/>
      <c r="LBU34" s="63"/>
      <c r="LBV34" s="63"/>
      <c r="LBW34" s="63"/>
      <c r="LBX34" s="63"/>
      <c r="LBY34" s="63"/>
      <c r="LBZ34" s="63"/>
      <c r="LCA34" s="63"/>
      <c r="LCB34" s="63"/>
      <c r="LCC34" s="63"/>
      <c r="LCD34" s="63"/>
      <c r="LCE34" s="63"/>
      <c r="LCF34" s="63"/>
      <c r="LCG34" s="63"/>
      <c r="LCH34" s="63"/>
      <c r="LCI34" s="63"/>
      <c r="LCJ34" s="63"/>
      <c r="LCK34" s="63"/>
      <c r="LCL34" s="63"/>
      <c r="LCM34" s="63"/>
      <c r="LCN34" s="63"/>
      <c r="LCO34" s="63"/>
      <c r="LCP34" s="63"/>
      <c r="LCQ34" s="63"/>
      <c r="LCR34" s="63"/>
      <c r="LCS34" s="63"/>
      <c r="LCT34" s="63"/>
      <c r="LCU34" s="63"/>
      <c r="LCV34" s="63"/>
      <c r="LCW34" s="63"/>
      <c r="LCX34" s="63"/>
      <c r="LCY34" s="63"/>
      <c r="LCZ34" s="63"/>
      <c r="LDA34" s="63"/>
      <c r="LDB34" s="63"/>
      <c r="LDC34" s="63"/>
      <c r="LDD34" s="63"/>
      <c r="LDE34" s="63"/>
      <c r="LDF34" s="63"/>
      <c r="LDG34" s="63"/>
      <c r="LDH34" s="63"/>
      <c r="LDI34" s="63"/>
      <c r="LDJ34" s="63"/>
      <c r="LDK34" s="63"/>
      <c r="LDL34" s="63"/>
      <c r="LDM34" s="63"/>
      <c r="LDN34" s="63"/>
      <c r="LDO34" s="63"/>
      <c r="LDP34" s="63"/>
      <c r="LDQ34" s="63"/>
      <c r="LDR34" s="63"/>
      <c r="LDS34" s="63"/>
      <c r="LDT34" s="63"/>
      <c r="LDU34" s="63"/>
      <c r="LDV34" s="63"/>
      <c r="LDW34" s="63"/>
      <c r="LDX34" s="63"/>
      <c r="LDY34" s="63"/>
      <c r="LDZ34" s="63"/>
      <c r="LEA34" s="63"/>
      <c r="LEB34" s="63"/>
      <c r="LEC34" s="63"/>
      <c r="LED34" s="63"/>
      <c r="LEE34" s="63"/>
      <c r="LEF34" s="63"/>
      <c r="LEG34" s="63"/>
      <c r="LEH34" s="63"/>
      <c r="LEI34" s="63"/>
      <c r="LEJ34" s="63"/>
      <c r="LEK34" s="63"/>
      <c r="LEL34" s="63"/>
      <c r="LEM34" s="63"/>
      <c r="LEN34" s="63"/>
      <c r="LEO34" s="63"/>
      <c r="LEP34" s="63"/>
      <c r="LEQ34" s="63"/>
      <c r="LER34" s="63"/>
      <c r="LES34" s="63"/>
      <c r="LET34" s="63"/>
      <c r="LEU34" s="63"/>
      <c r="LEV34" s="63"/>
      <c r="LEW34" s="63"/>
      <c r="LEX34" s="63"/>
      <c r="LEY34" s="63"/>
      <c r="LEZ34" s="63"/>
      <c r="LFA34" s="63"/>
      <c r="LFB34" s="63"/>
      <c r="LFC34" s="63"/>
      <c r="LFD34" s="63"/>
      <c r="LFE34" s="63"/>
      <c r="LFF34" s="63"/>
      <c r="LFG34" s="63"/>
      <c r="LFH34" s="63"/>
      <c r="LFI34" s="63"/>
      <c r="LFJ34" s="63"/>
      <c r="LFK34" s="63"/>
      <c r="LFL34" s="63"/>
      <c r="LFM34" s="63"/>
      <c r="LFN34" s="63"/>
      <c r="LFO34" s="63"/>
      <c r="LFP34" s="63"/>
      <c r="LFQ34" s="63"/>
      <c r="LFR34" s="63"/>
      <c r="LFS34" s="63"/>
      <c r="LFT34" s="63"/>
      <c r="LFU34" s="63"/>
      <c r="LFV34" s="63"/>
      <c r="LFW34" s="63"/>
      <c r="LFX34" s="63"/>
      <c r="LFY34" s="63"/>
      <c r="LFZ34" s="63"/>
      <c r="LGA34" s="63"/>
      <c r="LGB34" s="63"/>
      <c r="LGC34" s="63"/>
      <c r="LGD34" s="63"/>
      <c r="LGE34" s="63"/>
      <c r="LGF34" s="63"/>
      <c r="LGG34" s="63"/>
      <c r="LGH34" s="63"/>
      <c r="LGI34" s="63"/>
      <c r="LGJ34" s="63"/>
      <c r="LGK34" s="63"/>
      <c r="LGL34" s="63"/>
      <c r="LGM34" s="63"/>
      <c r="LGN34" s="63"/>
      <c r="LGO34" s="63"/>
      <c r="LGP34" s="63"/>
      <c r="LGQ34" s="63"/>
      <c r="LGR34" s="63"/>
      <c r="LGS34" s="63"/>
      <c r="LGT34" s="63"/>
      <c r="LGU34" s="63"/>
      <c r="LGV34" s="63"/>
      <c r="LGW34" s="63"/>
      <c r="LGX34" s="63"/>
      <c r="LGY34" s="63"/>
      <c r="LGZ34" s="63"/>
      <c r="LHA34" s="63"/>
      <c r="LHB34" s="63"/>
      <c r="LHC34" s="63"/>
      <c r="LHD34" s="63"/>
      <c r="LHE34" s="63"/>
      <c r="LHF34" s="63"/>
      <c r="LHG34" s="63"/>
      <c r="LHH34" s="63"/>
      <c r="LHI34" s="63"/>
      <c r="LHJ34" s="63"/>
      <c r="LHK34" s="63"/>
      <c r="LHL34" s="63"/>
      <c r="LHM34" s="63"/>
      <c r="LHN34" s="63"/>
      <c r="LHO34" s="63"/>
      <c r="LHP34" s="63"/>
      <c r="LHQ34" s="63"/>
      <c r="LHR34" s="63"/>
      <c r="LHS34" s="63"/>
      <c r="LHT34" s="63"/>
      <c r="LHU34" s="63"/>
      <c r="LHV34" s="63"/>
      <c r="LHW34" s="63"/>
      <c r="LHX34" s="63"/>
      <c r="LHY34" s="63"/>
      <c r="LHZ34" s="63"/>
      <c r="LIA34" s="63"/>
      <c r="LIB34" s="63"/>
      <c r="LIC34" s="63"/>
      <c r="LID34" s="63"/>
      <c r="LIE34" s="63"/>
      <c r="LIF34" s="63"/>
      <c r="LIG34" s="63"/>
      <c r="LIH34" s="63"/>
      <c r="LII34" s="63"/>
      <c r="LIJ34" s="63"/>
      <c r="LIK34" s="63"/>
      <c r="LIL34" s="63"/>
      <c r="LIM34" s="63"/>
      <c r="LIN34" s="63"/>
      <c r="LIO34" s="63"/>
      <c r="LIP34" s="63"/>
      <c r="LIQ34" s="63"/>
      <c r="LIR34" s="63"/>
      <c r="LIS34" s="63"/>
      <c r="LIT34" s="63"/>
      <c r="LIU34" s="63"/>
      <c r="LIV34" s="63"/>
      <c r="LIW34" s="63"/>
      <c r="LIX34" s="63"/>
      <c r="LIY34" s="63"/>
      <c r="LIZ34" s="63"/>
      <c r="LJA34" s="63"/>
      <c r="LJB34" s="63"/>
      <c r="LJC34" s="63"/>
      <c r="LJD34" s="63"/>
      <c r="LJE34" s="63"/>
      <c r="LJF34" s="63"/>
      <c r="LJG34" s="63"/>
      <c r="LJH34" s="63"/>
      <c r="LJI34" s="63"/>
      <c r="LJJ34" s="63"/>
      <c r="LJK34" s="63"/>
      <c r="LJL34" s="63"/>
      <c r="LJM34" s="63"/>
      <c r="LJN34" s="63"/>
      <c r="LJO34" s="63"/>
      <c r="LJP34" s="63"/>
      <c r="LJQ34" s="63"/>
      <c r="LJR34" s="63"/>
      <c r="LJS34" s="63"/>
      <c r="LJT34" s="63"/>
      <c r="LJU34" s="63"/>
      <c r="LJV34" s="63"/>
      <c r="LJW34" s="63"/>
      <c r="LJX34" s="63"/>
      <c r="LJY34" s="63"/>
      <c r="LJZ34" s="63"/>
      <c r="LKA34" s="63"/>
      <c r="LKB34" s="63"/>
      <c r="LKC34" s="63"/>
      <c r="LKD34" s="63"/>
      <c r="LKE34" s="63"/>
      <c r="LKF34" s="63"/>
      <c r="LKG34" s="63"/>
      <c r="LKH34" s="63"/>
      <c r="LKI34" s="63"/>
      <c r="LKJ34" s="63"/>
      <c r="LKK34" s="63"/>
      <c r="LKL34" s="63"/>
      <c r="LKM34" s="63"/>
      <c r="LKN34" s="63"/>
      <c r="LKO34" s="63"/>
      <c r="LKP34" s="63"/>
      <c r="LKQ34" s="63"/>
      <c r="LKR34" s="63"/>
      <c r="LKS34" s="63"/>
      <c r="LKT34" s="63"/>
      <c r="LKU34" s="63"/>
      <c r="LKV34" s="63"/>
      <c r="LKW34" s="63"/>
      <c r="LKX34" s="63"/>
      <c r="LKY34" s="63"/>
      <c r="LKZ34" s="63"/>
      <c r="LLA34" s="63"/>
      <c r="LLB34" s="63"/>
      <c r="LLC34" s="63"/>
      <c r="LLD34" s="63"/>
      <c r="LLE34" s="63"/>
      <c r="LLF34" s="63"/>
      <c r="LLG34" s="63"/>
      <c r="LLH34" s="63"/>
      <c r="LLI34" s="63"/>
      <c r="LLJ34" s="63"/>
      <c r="LLK34" s="63"/>
      <c r="LLL34" s="63"/>
      <c r="LLM34" s="63"/>
      <c r="LLN34" s="63"/>
      <c r="LLO34" s="63"/>
      <c r="LLP34" s="63"/>
      <c r="LLQ34" s="63"/>
      <c r="LLR34" s="63"/>
      <c r="LLS34" s="63"/>
      <c r="LLT34" s="63"/>
      <c r="LLU34" s="63"/>
      <c r="LLV34" s="63"/>
      <c r="LLW34" s="63"/>
      <c r="LLX34" s="63"/>
      <c r="LLY34" s="63"/>
      <c r="LLZ34" s="63"/>
      <c r="LMA34" s="63"/>
      <c r="LMB34" s="63"/>
      <c r="LMC34" s="63"/>
      <c r="LMD34" s="63"/>
      <c r="LME34" s="63"/>
      <c r="LMF34" s="63"/>
      <c r="LMG34" s="63"/>
      <c r="LMH34" s="63"/>
      <c r="LMI34" s="63"/>
      <c r="LMJ34" s="63"/>
      <c r="LMK34" s="63"/>
      <c r="LML34" s="63"/>
      <c r="LMM34" s="63"/>
      <c r="LMN34" s="63"/>
      <c r="LMO34" s="63"/>
      <c r="LMP34" s="63"/>
      <c r="LMQ34" s="63"/>
      <c r="LMR34" s="63"/>
      <c r="LMS34" s="63"/>
      <c r="LMT34" s="63"/>
      <c r="LMU34" s="63"/>
      <c r="LMV34" s="63"/>
      <c r="LMW34" s="63"/>
      <c r="LMX34" s="63"/>
      <c r="LMY34" s="63"/>
      <c r="LMZ34" s="63"/>
      <c r="LNA34" s="63"/>
      <c r="LNB34" s="63"/>
      <c r="LNC34" s="63"/>
      <c r="LND34" s="63"/>
      <c r="LNE34" s="63"/>
      <c r="LNF34" s="63"/>
      <c r="LNG34" s="63"/>
      <c r="LNH34" s="63"/>
      <c r="LNI34" s="63"/>
      <c r="LNJ34" s="63"/>
      <c r="LNK34" s="63"/>
      <c r="LNL34" s="63"/>
      <c r="LNM34" s="63"/>
      <c r="LNN34" s="63"/>
      <c r="LNO34" s="63"/>
      <c r="LNP34" s="63"/>
      <c r="LNQ34" s="63"/>
      <c r="LNR34" s="63"/>
      <c r="LNS34" s="63"/>
      <c r="LNT34" s="63"/>
      <c r="LNU34" s="63"/>
      <c r="LNV34" s="63"/>
      <c r="LNW34" s="63"/>
      <c r="LNX34" s="63"/>
      <c r="LNY34" s="63"/>
      <c r="LNZ34" s="63"/>
      <c r="LOA34" s="63"/>
      <c r="LOB34" s="63"/>
      <c r="LOC34" s="63"/>
      <c r="LOD34" s="63"/>
      <c r="LOE34" s="63"/>
      <c r="LOF34" s="63"/>
      <c r="LOG34" s="63"/>
      <c r="LOH34" s="63"/>
      <c r="LOI34" s="63"/>
      <c r="LOJ34" s="63"/>
      <c r="LOK34" s="63"/>
      <c r="LOL34" s="63"/>
      <c r="LOM34" s="63"/>
      <c r="LON34" s="63"/>
      <c r="LOO34" s="63"/>
      <c r="LOP34" s="63"/>
      <c r="LOQ34" s="63"/>
      <c r="LOR34" s="63"/>
      <c r="LOS34" s="63"/>
      <c r="LOT34" s="63"/>
      <c r="LOU34" s="63"/>
      <c r="LOV34" s="63"/>
      <c r="LOW34" s="63"/>
      <c r="LOX34" s="63"/>
      <c r="LOY34" s="63"/>
      <c r="LOZ34" s="63"/>
      <c r="LPA34" s="63"/>
      <c r="LPB34" s="63"/>
      <c r="LPC34" s="63"/>
      <c r="LPD34" s="63"/>
      <c r="LPE34" s="63"/>
      <c r="LPF34" s="63"/>
      <c r="LPG34" s="63"/>
      <c r="LPH34" s="63"/>
      <c r="LPI34" s="63"/>
      <c r="LPJ34" s="63"/>
      <c r="LPK34" s="63"/>
      <c r="LPL34" s="63"/>
      <c r="LPM34" s="63"/>
      <c r="LPN34" s="63"/>
      <c r="LPO34" s="63"/>
      <c r="LPP34" s="63"/>
      <c r="LPQ34" s="63"/>
      <c r="LPR34" s="63"/>
      <c r="LPS34" s="63"/>
      <c r="LPT34" s="63"/>
      <c r="LPU34" s="63"/>
      <c r="LPV34" s="63"/>
      <c r="LPW34" s="63"/>
      <c r="LPX34" s="63"/>
      <c r="LPY34" s="63"/>
      <c r="LPZ34" s="63"/>
      <c r="LQA34" s="63"/>
      <c r="LQB34" s="63"/>
      <c r="LQC34" s="63"/>
      <c r="LQD34" s="63"/>
      <c r="LQE34" s="63"/>
      <c r="LQF34" s="63"/>
      <c r="LQG34" s="63"/>
      <c r="LQH34" s="63"/>
      <c r="LQI34" s="63"/>
      <c r="LQJ34" s="63"/>
      <c r="LQK34" s="63"/>
      <c r="LQL34" s="63"/>
      <c r="LQM34" s="63"/>
      <c r="LQN34" s="63"/>
      <c r="LQO34" s="63"/>
      <c r="LQP34" s="63"/>
      <c r="LQQ34" s="63"/>
      <c r="LQR34" s="63"/>
      <c r="LQS34" s="63"/>
      <c r="LQT34" s="63"/>
      <c r="LQU34" s="63"/>
      <c r="LQV34" s="63"/>
      <c r="LQW34" s="63"/>
      <c r="LQX34" s="63"/>
      <c r="LQY34" s="63"/>
      <c r="LQZ34" s="63"/>
      <c r="LRA34" s="63"/>
      <c r="LRB34" s="63"/>
      <c r="LRC34" s="63"/>
      <c r="LRD34" s="63"/>
      <c r="LRE34" s="63"/>
      <c r="LRF34" s="63"/>
      <c r="LRG34" s="63"/>
      <c r="LRH34" s="63"/>
      <c r="LRI34" s="63"/>
      <c r="LRJ34" s="63"/>
      <c r="LRK34" s="63"/>
      <c r="LRL34" s="63"/>
      <c r="LRM34" s="63"/>
      <c r="LRN34" s="63"/>
      <c r="LRO34" s="63"/>
      <c r="LRP34" s="63"/>
      <c r="LRQ34" s="63"/>
      <c r="LRR34" s="63"/>
      <c r="LRS34" s="63"/>
      <c r="LRT34" s="63"/>
      <c r="LRU34" s="63"/>
      <c r="LRV34" s="63"/>
      <c r="LRW34" s="63"/>
      <c r="LRX34" s="63"/>
      <c r="LRY34" s="63"/>
      <c r="LRZ34" s="63"/>
      <c r="LSA34" s="63"/>
      <c r="LSB34" s="63"/>
      <c r="LSC34" s="63"/>
      <c r="LSD34" s="63"/>
      <c r="LSE34" s="63"/>
      <c r="LSF34" s="63"/>
      <c r="LSG34" s="63"/>
      <c r="LSH34" s="63"/>
      <c r="LSI34" s="63"/>
      <c r="LSJ34" s="63"/>
      <c r="LSK34" s="63"/>
      <c r="LSL34" s="63"/>
      <c r="LSM34" s="63"/>
      <c r="LSN34" s="63"/>
      <c r="LSO34" s="63"/>
      <c r="LSP34" s="63"/>
      <c r="LSQ34" s="63"/>
      <c r="LSR34" s="63"/>
      <c r="LSS34" s="63"/>
      <c r="LST34" s="63"/>
      <c r="LSU34" s="63"/>
      <c r="LSV34" s="63"/>
      <c r="LSW34" s="63"/>
      <c r="LSX34" s="63"/>
      <c r="LSY34" s="63"/>
      <c r="LSZ34" s="63"/>
      <c r="LTA34" s="63"/>
      <c r="LTB34" s="63"/>
      <c r="LTC34" s="63"/>
      <c r="LTD34" s="63"/>
      <c r="LTE34" s="63"/>
      <c r="LTF34" s="63"/>
      <c r="LTG34" s="63"/>
      <c r="LTH34" s="63"/>
      <c r="LTI34" s="63"/>
      <c r="LTJ34" s="63"/>
      <c r="LTK34" s="63"/>
      <c r="LTL34" s="63"/>
      <c r="LTM34" s="63"/>
      <c r="LTN34" s="63"/>
      <c r="LTO34" s="63"/>
      <c r="LTP34" s="63"/>
      <c r="LTQ34" s="63"/>
      <c r="LTR34" s="63"/>
      <c r="LTS34" s="63"/>
      <c r="LTT34" s="63"/>
      <c r="LTU34" s="63"/>
      <c r="LTV34" s="63"/>
      <c r="LTW34" s="63"/>
      <c r="LTX34" s="63"/>
      <c r="LTY34" s="63"/>
      <c r="LTZ34" s="63"/>
      <c r="LUA34" s="63"/>
      <c r="LUB34" s="63"/>
      <c r="LUC34" s="63"/>
      <c r="LUD34" s="63"/>
      <c r="LUE34" s="63"/>
      <c r="LUF34" s="63"/>
      <c r="LUG34" s="63"/>
      <c r="LUH34" s="63"/>
      <c r="LUI34" s="63"/>
      <c r="LUJ34" s="63"/>
      <c r="LUK34" s="63"/>
      <c r="LUL34" s="63"/>
      <c r="LUM34" s="63"/>
      <c r="LUN34" s="63"/>
      <c r="LUO34" s="63"/>
      <c r="LUP34" s="63"/>
      <c r="LUQ34" s="63"/>
      <c r="LUR34" s="63"/>
      <c r="LUS34" s="63"/>
      <c r="LUT34" s="63"/>
      <c r="LUU34" s="63"/>
      <c r="LUV34" s="63"/>
      <c r="LUW34" s="63"/>
      <c r="LUX34" s="63"/>
      <c r="LUY34" s="63"/>
      <c r="LUZ34" s="63"/>
      <c r="LVA34" s="63"/>
      <c r="LVB34" s="63"/>
      <c r="LVC34" s="63"/>
      <c r="LVD34" s="63"/>
      <c r="LVE34" s="63"/>
      <c r="LVF34" s="63"/>
      <c r="LVG34" s="63"/>
      <c r="LVH34" s="63"/>
      <c r="LVI34" s="63"/>
      <c r="LVJ34" s="63"/>
      <c r="LVK34" s="63"/>
      <c r="LVL34" s="63"/>
      <c r="LVM34" s="63"/>
      <c r="LVN34" s="63"/>
      <c r="LVO34" s="63"/>
      <c r="LVP34" s="63"/>
      <c r="LVQ34" s="63"/>
      <c r="LVR34" s="63"/>
      <c r="LVS34" s="63"/>
      <c r="LVT34" s="63"/>
      <c r="LVU34" s="63"/>
      <c r="LVV34" s="63"/>
      <c r="LVW34" s="63"/>
      <c r="LVX34" s="63"/>
      <c r="LVY34" s="63"/>
      <c r="LVZ34" s="63"/>
      <c r="LWA34" s="63"/>
      <c r="LWB34" s="63"/>
      <c r="LWC34" s="63"/>
      <c r="LWD34" s="63"/>
      <c r="LWE34" s="63"/>
      <c r="LWF34" s="63"/>
      <c r="LWG34" s="63"/>
      <c r="LWH34" s="63"/>
      <c r="LWI34" s="63"/>
      <c r="LWJ34" s="63"/>
      <c r="LWK34" s="63"/>
      <c r="LWL34" s="63"/>
      <c r="LWM34" s="63"/>
      <c r="LWN34" s="63"/>
      <c r="LWO34" s="63"/>
      <c r="LWP34" s="63"/>
      <c r="LWQ34" s="63"/>
      <c r="LWR34" s="63"/>
      <c r="LWS34" s="63"/>
      <c r="LWT34" s="63"/>
      <c r="LWU34" s="63"/>
      <c r="LWV34" s="63"/>
      <c r="LWW34" s="63"/>
      <c r="LWX34" s="63"/>
      <c r="LWY34" s="63"/>
      <c r="LWZ34" s="63"/>
      <c r="LXA34" s="63"/>
      <c r="LXB34" s="63"/>
      <c r="LXC34" s="63"/>
      <c r="LXD34" s="63"/>
      <c r="LXE34" s="63"/>
      <c r="LXF34" s="63"/>
      <c r="LXG34" s="63"/>
      <c r="LXH34" s="63"/>
      <c r="LXI34" s="63"/>
      <c r="LXJ34" s="63"/>
      <c r="LXK34" s="63"/>
      <c r="LXL34" s="63"/>
      <c r="LXM34" s="63"/>
      <c r="LXN34" s="63"/>
      <c r="LXO34" s="63"/>
      <c r="LXP34" s="63"/>
      <c r="LXQ34" s="63"/>
      <c r="LXR34" s="63"/>
      <c r="LXS34" s="63"/>
      <c r="LXT34" s="63"/>
      <c r="LXU34" s="63"/>
      <c r="LXV34" s="63"/>
      <c r="LXW34" s="63"/>
      <c r="LXX34" s="63"/>
      <c r="LXY34" s="63"/>
      <c r="LXZ34" s="63"/>
      <c r="LYA34" s="63"/>
      <c r="LYB34" s="63"/>
      <c r="LYC34" s="63"/>
      <c r="LYD34" s="63"/>
      <c r="LYE34" s="63"/>
      <c r="LYF34" s="63"/>
      <c r="LYG34" s="63"/>
      <c r="LYH34" s="63"/>
      <c r="LYI34" s="63"/>
      <c r="LYJ34" s="63"/>
      <c r="LYK34" s="63"/>
      <c r="LYL34" s="63"/>
      <c r="LYM34" s="63"/>
      <c r="LYN34" s="63"/>
      <c r="LYO34" s="63"/>
      <c r="LYP34" s="63"/>
      <c r="LYQ34" s="63"/>
      <c r="LYR34" s="63"/>
      <c r="LYS34" s="63"/>
      <c r="LYT34" s="63"/>
      <c r="LYU34" s="63"/>
      <c r="LYV34" s="63"/>
      <c r="LYW34" s="63"/>
      <c r="LYX34" s="63"/>
      <c r="LYY34" s="63"/>
      <c r="LYZ34" s="63"/>
      <c r="LZA34" s="63"/>
      <c r="LZB34" s="63"/>
      <c r="LZC34" s="63"/>
      <c r="LZD34" s="63"/>
      <c r="LZE34" s="63"/>
      <c r="LZF34" s="63"/>
      <c r="LZG34" s="63"/>
      <c r="LZH34" s="63"/>
      <c r="LZI34" s="63"/>
      <c r="LZJ34" s="63"/>
      <c r="LZK34" s="63"/>
      <c r="LZL34" s="63"/>
      <c r="LZM34" s="63"/>
      <c r="LZN34" s="63"/>
      <c r="LZO34" s="63"/>
      <c r="LZP34" s="63"/>
      <c r="LZQ34" s="63"/>
      <c r="LZR34" s="63"/>
      <c r="LZS34" s="63"/>
      <c r="LZT34" s="63"/>
      <c r="LZU34" s="63"/>
      <c r="LZV34" s="63"/>
      <c r="LZW34" s="63"/>
      <c r="LZX34" s="63"/>
      <c r="LZY34" s="63"/>
      <c r="LZZ34" s="63"/>
      <c r="MAA34" s="63"/>
      <c r="MAB34" s="63"/>
      <c r="MAC34" s="63"/>
      <c r="MAD34" s="63"/>
      <c r="MAE34" s="63"/>
      <c r="MAF34" s="63"/>
      <c r="MAG34" s="63"/>
      <c r="MAH34" s="63"/>
      <c r="MAI34" s="63"/>
      <c r="MAJ34" s="63"/>
      <c r="MAK34" s="63"/>
      <c r="MAL34" s="63"/>
      <c r="MAM34" s="63"/>
      <c r="MAN34" s="63"/>
      <c r="MAO34" s="63"/>
      <c r="MAP34" s="63"/>
      <c r="MAQ34" s="63"/>
      <c r="MAR34" s="63"/>
      <c r="MAS34" s="63"/>
      <c r="MAT34" s="63"/>
      <c r="MAU34" s="63"/>
      <c r="MAV34" s="63"/>
      <c r="MAW34" s="63"/>
      <c r="MAX34" s="63"/>
      <c r="MAY34" s="63"/>
      <c r="MAZ34" s="63"/>
      <c r="MBA34" s="63"/>
      <c r="MBB34" s="63"/>
      <c r="MBC34" s="63"/>
      <c r="MBD34" s="63"/>
      <c r="MBE34" s="63"/>
      <c r="MBF34" s="63"/>
      <c r="MBG34" s="63"/>
      <c r="MBH34" s="63"/>
      <c r="MBI34" s="63"/>
      <c r="MBJ34" s="63"/>
      <c r="MBK34" s="63"/>
      <c r="MBL34" s="63"/>
      <c r="MBM34" s="63"/>
      <c r="MBN34" s="63"/>
      <c r="MBO34" s="63"/>
      <c r="MBP34" s="63"/>
      <c r="MBQ34" s="63"/>
      <c r="MBR34" s="63"/>
      <c r="MBS34" s="63"/>
      <c r="MBT34" s="63"/>
      <c r="MBU34" s="63"/>
      <c r="MBV34" s="63"/>
      <c r="MBW34" s="63"/>
      <c r="MBX34" s="63"/>
      <c r="MBY34" s="63"/>
      <c r="MBZ34" s="63"/>
      <c r="MCA34" s="63"/>
      <c r="MCB34" s="63"/>
      <c r="MCC34" s="63"/>
      <c r="MCD34" s="63"/>
      <c r="MCE34" s="63"/>
      <c r="MCF34" s="63"/>
      <c r="MCG34" s="63"/>
      <c r="MCH34" s="63"/>
      <c r="MCI34" s="63"/>
      <c r="MCJ34" s="63"/>
      <c r="MCK34" s="63"/>
      <c r="MCL34" s="63"/>
      <c r="MCM34" s="63"/>
      <c r="MCN34" s="63"/>
      <c r="MCO34" s="63"/>
      <c r="MCP34" s="63"/>
      <c r="MCQ34" s="63"/>
      <c r="MCR34" s="63"/>
      <c r="MCS34" s="63"/>
      <c r="MCT34" s="63"/>
      <c r="MCU34" s="63"/>
      <c r="MCV34" s="63"/>
      <c r="MCW34" s="63"/>
      <c r="MCX34" s="63"/>
      <c r="MCY34" s="63"/>
      <c r="MCZ34" s="63"/>
      <c r="MDA34" s="63"/>
      <c r="MDB34" s="63"/>
      <c r="MDC34" s="63"/>
      <c r="MDD34" s="63"/>
      <c r="MDE34" s="63"/>
      <c r="MDF34" s="63"/>
      <c r="MDG34" s="63"/>
      <c r="MDH34" s="63"/>
      <c r="MDI34" s="63"/>
      <c r="MDJ34" s="63"/>
      <c r="MDK34" s="63"/>
      <c r="MDL34" s="63"/>
      <c r="MDM34" s="63"/>
      <c r="MDN34" s="63"/>
      <c r="MDO34" s="63"/>
      <c r="MDP34" s="63"/>
      <c r="MDQ34" s="63"/>
      <c r="MDR34" s="63"/>
      <c r="MDS34" s="63"/>
      <c r="MDT34" s="63"/>
      <c r="MDU34" s="63"/>
      <c r="MDV34" s="63"/>
      <c r="MDW34" s="63"/>
      <c r="MDX34" s="63"/>
      <c r="MDY34" s="63"/>
      <c r="MDZ34" s="63"/>
      <c r="MEA34" s="63"/>
      <c r="MEB34" s="63"/>
      <c r="MEC34" s="63"/>
      <c r="MED34" s="63"/>
      <c r="MEE34" s="63"/>
      <c r="MEF34" s="63"/>
      <c r="MEG34" s="63"/>
      <c r="MEH34" s="63"/>
      <c r="MEI34" s="63"/>
      <c r="MEJ34" s="63"/>
      <c r="MEK34" s="63"/>
      <c r="MEL34" s="63"/>
      <c r="MEM34" s="63"/>
      <c r="MEN34" s="63"/>
      <c r="MEO34" s="63"/>
      <c r="MEP34" s="63"/>
      <c r="MEQ34" s="63"/>
      <c r="MER34" s="63"/>
      <c r="MES34" s="63"/>
      <c r="MET34" s="63"/>
      <c r="MEU34" s="63"/>
      <c r="MEV34" s="63"/>
      <c r="MEW34" s="63"/>
      <c r="MEX34" s="63"/>
      <c r="MEY34" s="63"/>
      <c r="MEZ34" s="63"/>
      <c r="MFA34" s="63"/>
      <c r="MFB34" s="63"/>
      <c r="MFC34" s="63"/>
      <c r="MFD34" s="63"/>
      <c r="MFE34" s="63"/>
      <c r="MFF34" s="63"/>
      <c r="MFG34" s="63"/>
      <c r="MFH34" s="63"/>
      <c r="MFI34" s="63"/>
      <c r="MFJ34" s="63"/>
      <c r="MFK34" s="63"/>
      <c r="MFL34" s="63"/>
      <c r="MFM34" s="63"/>
      <c r="MFN34" s="63"/>
      <c r="MFO34" s="63"/>
      <c r="MFP34" s="63"/>
      <c r="MFQ34" s="63"/>
      <c r="MFR34" s="63"/>
      <c r="MFS34" s="63"/>
      <c r="MFT34" s="63"/>
      <c r="MFU34" s="63"/>
      <c r="MFV34" s="63"/>
      <c r="MFW34" s="63"/>
      <c r="MFX34" s="63"/>
      <c r="MFY34" s="63"/>
      <c r="MFZ34" s="63"/>
      <c r="MGA34" s="63"/>
      <c r="MGB34" s="63"/>
      <c r="MGC34" s="63"/>
      <c r="MGD34" s="63"/>
      <c r="MGE34" s="63"/>
      <c r="MGF34" s="63"/>
      <c r="MGG34" s="63"/>
      <c r="MGH34" s="63"/>
      <c r="MGI34" s="63"/>
      <c r="MGJ34" s="63"/>
      <c r="MGK34" s="63"/>
      <c r="MGL34" s="63"/>
      <c r="MGM34" s="63"/>
      <c r="MGN34" s="63"/>
      <c r="MGO34" s="63"/>
      <c r="MGP34" s="63"/>
      <c r="MGQ34" s="63"/>
      <c r="MGR34" s="63"/>
      <c r="MGS34" s="63"/>
      <c r="MGT34" s="63"/>
      <c r="MGU34" s="63"/>
      <c r="MGV34" s="63"/>
      <c r="MGW34" s="63"/>
      <c r="MGX34" s="63"/>
      <c r="MGY34" s="63"/>
      <c r="MGZ34" s="63"/>
      <c r="MHA34" s="63"/>
      <c r="MHB34" s="63"/>
      <c r="MHC34" s="63"/>
      <c r="MHD34" s="63"/>
      <c r="MHE34" s="63"/>
      <c r="MHF34" s="63"/>
      <c r="MHG34" s="63"/>
      <c r="MHH34" s="63"/>
      <c r="MHI34" s="63"/>
      <c r="MHJ34" s="63"/>
      <c r="MHK34" s="63"/>
      <c r="MHL34" s="63"/>
      <c r="MHM34" s="63"/>
      <c r="MHN34" s="63"/>
      <c r="MHO34" s="63"/>
      <c r="MHP34" s="63"/>
      <c r="MHQ34" s="63"/>
      <c r="MHR34" s="63"/>
      <c r="MHS34" s="63"/>
      <c r="MHT34" s="63"/>
      <c r="MHU34" s="63"/>
      <c r="MHV34" s="63"/>
      <c r="MHW34" s="63"/>
      <c r="MHX34" s="63"/>
      <c r="MHY34" s="63"/>
      <c r="MHZ34" s="63"/>
      <c r="MIA34" s="63"/>
      <c r="MIB34" s="63"/>
      <c r="MIC34" s="63"/>
      <c r="MID34" s="63"/>
      <c r="MIE34" s="63"/>
      <c r="MIF34" s="63"/>
      <c r="MIG34" s="63"/>
      <c r="MIH34" s="63"/>
      <c r="MII34" s="63"/>
      <c r="MIJ34" s="63"/>
      <c r="MIK34" s="63"/>
      <c r="MIL34" s="63"/>
      <c r="MIM34" s="63"/>
      <c r="MIN34" s="63"/>
      <c r="MIO34" s="63"/>
      <c r="MIP34" s="63"/>
      <c r="MIQ34" s="63"/>
      <c r="MIR34" s="63"/>
      <c r="MIS34" s="63"/>
      <c r="MIT34" s="63"/>
      <c r="MIU34" s="63"/>
      <c r="MIV34" s="63"/>
      <c r="MIW34" s="63"/>
      <c r="MIX34" s="63"/>
      <c r="MIY34" s="63"/>
      <c r="MIZ34" s="63"/>
      <c r="MJA34" s="63"/>
      <c r="MJB34" s="63"/>
      <c r="MJC34" s="63"/>
      <c r="MJD34" s="63"/>
      <c r="MJE34" s="63"/>
      <c r="MJF34" s="63"/>
      <c r="MJG34" s="63"/>
      <c r="MJH34" s="63"/>
      <c r="MJI34" s="63"/>
      <c r="MJJ34" s="63"/>
      <c r="MJK34" s="63"/>
      <c r="MJL34" s="63"/>
      <c r="MJM34" s="63"/>
      <c r="MJN34" s="63"/>
      <c r="MJO34" s="63"/>
      <c r="MJP34" s="63"/>
      <c r="MJQ34" s="63"/>
      <c r="MJR34" s="63"/>
      <c r="MJS34" s="63"/>
      <c r="MJT34" s="63"/>
      <c r="MJU34" s="63"/>
      <c r="MJV34" s="63"/>
      <c r="MJW34" s="63"/>
      <c r="MJX34" s="63"/>
      <c r="MJY34" s="63"/>
      <c r="MJZ34" s="63"/>
      <c r="MKA34" s="63"/>
      <c r="MKB34" s="63"/>
      <c r="MKC34" s="63"/>
      <c r="MKD34" s="63"/>
      <c r="MKE34" s="63"/>
      <c r="MKF34" s="63"/>
      <c r="MKG34" s="63"/>
      <c r="MKH34" s="63"/>
      <c r="MKI34" s="63"/>
      <c r="MKJ34" s="63"/>
      <c r="MKK34" s="63"/>
      <c r="MKL34" s="63"/>
      <c r="MKM34" s="63"/>
      <c r="MKN34" s="63"/>
      <c r="MKO34" s="63"/>
      <c r="MKP34" s="63"/>
      <c r="MKQ34" s="63"/>
      <c r="MKR34" s="63"/>
      <c r="MKS34" s="63"/>
      <c r="MKT34" s="63"/>
      <c r="MKU34" s="63"/>
      <c r="MKV34" s="63"/>
      <c r="MKW34" s="63"/>
      <c r="MKX34" s="63"/>
      <c r="MKY34" s="63"/>
      <c r="MKZ34" s="63"/>
      <c r="MLA34" s="63"/>
      <c r="MLB34" s="63"/>
      <c r="MLC34" s="63"/>
      <c r="MLD34" s="63"/>
      <c r="MLE34" s="63"/>
      <c r="MLF34" s="63"/>
      <c r="MLG34" s="63"/>
      <c r="MLH34" s="63"/>
      <c r="MLI34" s="63"/>
      <c r="MLJ34" s="63"/>
      <c r="MLK34" s="63"/>
      <c r="MLL34" s="63"/>
      <c r="MLM34" s="63"/>
      <c r="MLN34" s="63"/>
      <c r="MLO34" s="63"/>
      <c r="MLP34" s="63"/>
      <c r="MLQ34" s="63"/>
      <c r="MLR34" s="63"/>
      <c r="MLS34" s="63"/>
      <c r="MLT34" s="63"/>
      <c r="MLU34" s="63"/>
      <c r="MLV34" s="63"/>
      <c r="MLW34" s="63"/>
      <c r="MLX34" s="63"/>
      <c r="MLY34" s="63"/>
      <c r="MLZ34" s="63"/>
      <c r="MMA34" s="63"/>
      <c r="MMB34" s="63"/>
      <c r="MMC34" s="63"/>
      <c r="MMD34" s="63"/>
      <c r="MME34" s="63"/>
      <c r="MMF34" s="63"/>
      <c r="MMG34" s="63"/>
      <c r="MMH34" s="63"/>
      <c r="MMI34" s="63"/>
      <c r="MMJ34" s="63"/>
      <c r="MMK34" s="63"/>
      <c r="MML34" s="63"/>
      <c r="MMM34" s="63"/>
      <c r="MMN34" s="63"/>
      <c r="MMO34" s="63"/>
      <c r="MMP34" s="63"/>
      <c r="MMQ34" s="63"/>
      <c r="MMR34" s="63"/>
      <c r="MMS34" s="63"/>
      <c r="MMT34" s="63"/>
      <c r="MMU34" s="63"/>
      <c r="MMV34" s="63"/>
      <c r="MMW34" s="63"/>
      <c r="MMX34" s="63"/>
      <c r="MMY34" s="63"/>
      <c r="MMZ34" s="63"/>
      <c r="MNA34" s="63"/>
      <c r="MNB34" s="63"/>
      <c r="MNC34" s="63"/>
      <c r="MND34" s="63"/>
      <c r="MNE34" s="63"/>
      <c r="MNF34" s="63"/>
      <c r="MNG34" s="63"/>
      <c r="MNH34" s="63"/>
      <c r="MNI34" s="63"/>
      <c r="MNJ34" s="63"/>
      <c r="MNK34" s="63"/>
      <c r="MNL34" s="63"/>
      <c r="MNM34" s="63"/>
      <c r="MNN34" s="63"/>
      <c r="MNO34" s="63"/>
      <c r="MNP34" s="63"/>
      <c r="MNQ34" s="63"/>
      <c r="MNR34" s="63"/>
      <c r="MNS34" s="63"/>
      <c r="MNT34" s="63"/>
      <c r="MNU34" s="63"/>
      <c r="MNV34" s="63"/>
      <c r="MNW34" s="63"/>
      <c r="MNX34" s="63"/>
      <c r="MNY34" s="63"/>
      <c r="MNZ34" s="63"/>
      <c r="MOA34" s="63"/>
      <c r="MOB34" s="63"/>
      <c r="MOC34" s="63"/>
      <c r="MOD34" s="63"/>
      <c r="MOE34" s="63"/>
      <c r="MOF34" s="63"/>
      <c r="MOG34" s="63"/>
      <c r="MOH34" s="63"/>
      <c r="MOI34" s="63"/>
      <c r="MOJ34" s="63"/>
      <c r="MOK34" s="63"/>
      <c r="MOL34" s="63"/>
      <c r="MOM34" s="63"/>
      <c r="MON34" s="63"/>
      <c r="MOO34" s="63"/>
      <c r="MOP34" s="63"/>
      <c r="MOQ34" s="63"/>
      <c r="MOR34" s="63"/>
      <c r="MOS34" s="63"/>
      <c r="MOT34" s="63"/>
      <c r="MOU34" s="63"/>
      <c r="MOV34" s="63"/>
      <c r="MOW34" s="63"/>
      <c r="MOX34" s="63"/>
      <c r="MOY34" s="63"/>
      <c r="MOZ34" s="63"/>
      <c r="MPA34" s="63"/>
      <c r="MPB34" s="63"/>
      <c r="MPC34" s="63"/>
      <c r="MPD34" s="63"/>
      <c r="MPE34" s="63"/>
      <c r="MPF34" s="63"/>
      <c r="MPG34" s="63"/>
      <c r="MPH34" s="63"/>
      <c r="MPI34" s="63"/>
      <c r="MPJ34" s="63"/>
      <c r="MPK34" s="63"/>
      <c r="MPL34" s="63"/>
      <c r="MPM34" s="63"/>
      <c r="MPN34" s="63"/>
      <c r="MPO34" s="63"/>
      <c r="MPP34" s="63"/>
      <c r="MPQ34" s="63"/>
      <c r="MPR34" s="63"/>
      <c r="MPS34" s="63"/>
      <c r="MPT34" s="63"/>
      <c r="MPU34" s="63"/>
      <c r="MPV34" s="63"/>
      <c r="MPW34" s="63"/>
      <c r="MPX34" s="63"/>
      <c r="MPY34" s="63"/>
      <c r="MPZ34" s="63"/>
      <c r="MQA34" s="63"/>
      <c r="MQB34" s="63"/>
      <c r="MQC34" s="63"/>
      <c r="MQD34" s="63"/>
      <c r="MQE34" s="63"/>
      <c r="MQF34" s="63"/>
      <c r="MQG34" s="63"/>
      <c r="MQH34" s="63"/>
      <c r="MQI34" s="63"/>
      <c r="MQJ34" s="63"/>
      <c r="MQK34" s="63"/>
      <c r="MQL34" s="63"/>
      <c r="MQM34" s="63"/>
      <c r="MQN34" s="63"/>
      <c r="MQO34" s="63"/>
      <c r="MQP34" s="63"/>
      <c r="MQQ34" s="63"/>
      <c r="MQR34" s="63"/>
      <c r="MQS34" s="63"/>
      <c r="MQT34" s="63"/>
      <c r="MQU34" s="63"/>
      <c r="MQV34" s="63"/>
      <c r="MQW34" s="63"/>
      <c r="MQX34" s="63"/>
      <c r="MQY34" s="63"/>
      <c r="MQZ34" s="63"/>
      <c r="MRA34" s="63"/>
      <c r="MRB34" s="63"/>
      <c r="MRC34" s="63"/>
      <c r="MRD34" s="63"/>
      <c r="MRE34" s="63"/>
      <c r="MRF34" s="63"/>
      <c r="MRG34" s="63"/>
      <c r="MRH34" s="63"/>
      <c r="MRI34" s="63"/>
      <c r="MRJ34" s="63"/>
      <c r="MRK34" s="63"/>
      <c r="MRL34" s="63"/>
      <c r="MRM34" s="63"/>
      <c r="MRN34" s="63"/>
      <c r="MRO34" s="63"/>
      <c r="MRP34" s="63"/>
      <c r="MRQ34" s="63"/>
      <c r="MRR34" s="63"/>
      <c r="MRS34" s="63"/>
      <c r="MRT34" s="63"/>
      <c r="MRU34" s="63"/>
      <c r="MRV34" s="63"/>
      <c r="MRW34" s="63"/>
      <c r="MRX34" s="63"/>
      <c r="MRY34" s="63"/>
      <c r="MRZ34" s="63"/>
      <c r="MSA34" s="63"/>
      <c r="MSB34" s="63"/>
      <c r="MSC34" s="63"/>
      <c r="MSD34" s="63"/>
      <c r="MSE34" s="63"/>
      <c r="MSF34" s="63"/>
      <c r="MSG34" s="63"/>
      <c r="MSH34" s="63"/>
      <c r="MSI34" s="63"/>
      <c r="MSJ34" s="63"/>
      <c r="MSK34" s="63"/>
      <c r="MSL34" s="63"/>
      <c r="MSM34" s="63"/>
      <c r="MSN34" s="63"/>
      <c r="MSO34" s="63"/>
      <c r="MSP34" s="63"/>
      <c r="MSQ34" s="63"/>
      <c r="MSR34" s="63"/>
      <c r="MSS34" s="63"/>
      <c r="MST34" s="63"/>
      <c r="MSU34" s="63"/>
      <c r="MSV34" s="63"/>
      <c r="MSW34" s="63"/>
      <c r="MSX34" s="63"/>
      <c r="MSY34" s="63"/>
      <c r="MSZ34" s="63"/>
      <c r="MTA34" s="63"/>
      <c r="MTB34" s="63"/>
      <c r="MTC34" s="63"/>
      <c r="MTD34" s="63"/>
      <c r="MTE34" s="63"/>
      <c r="MTF34" s="63"/>
      <c r="MTG34" s="63"/>
      <c r="MTH34" s="63"/>
      <c r="MTI34" s="63"/>
      <c r="MTJ34" s="63"/>
      <c r="MTK34" s="63"/>
      <c r="MTL34" s="63"/>
      <c r="MTM34" s="63"/>
      <c r="MTN34" s="63"/>
      <c r="MTO34" s="63"/>
      <c r="MTP34" s="63"/>
      <c r="MTQ34" s="63"/>
      <c r="MTR34" s="63"/>
      <c r="MTS34" s="63"/>
      <c r="MTT34" s="63"/>
      <c r="MTU34" s="63"/>
      <c r="MTV34" s="63"/>
      <c r="MTW34" s="63"/>
      <c r="MTX34" s="63"/>
      <c r="MTY34" s="63"/>
      <c r="MTZ34" s="63"/>
      <c r="MUA34" s="63"/>
      <c r="MUB34" s="63"/>
      <c r="MUC34" s="63"/>
      <c r="MUD34" s="63"/>
      <c r="MUE34" s="63"/>
      <c r="MUF34" s="63"/>
      <c r="MUG34" s="63"/>
      <c r="MUH34" s="63"/>
      <c r="MUI34" s="63"/>
      <c r="MUJ34" s="63"/>
      <c r="MUK34" s="63"/>
      <c r="MUL34" s="63"/>
      <c r="MUM34" s="63"/>
      <c r="MUN34" s="63"/>
      <c r="MUO34" s="63"/>
      <c r="MUP34" s="63"/>
      <c r="MUQ34" s="63"/>
      <c r="MUR34" s="63"/>
      <c r="MUS34" s="63"/>
      <c r="MUT34" s="63"/>
      <c r="MUU34" s="63"/>
      <c r="MUV34" s="63"/>
      <c r="MUW34" s="63"/>
      <c r="MUX34" s="63"/>
      <c r="MUY34" s="63"/>
      <c r="MUZ34" s="63"/>
      <c r="MVA34" s="63"/>
      <c r="MVB34" s="63"/>
      <c r="MVC34" s="63"/>
      <c r="MVD34" s="63"/>
      <c r="MVE34" s="63"/>
      <c r="MVF34" s="63"/>
      <c r="MVG34" s="63"/>
      <c r="MVH34" s="63"/>
      <c r="MVI34" s="63"/>
      <c r="MVJ34" s="63"/>
      <c r="MVK34" s="63"/>
      <c r="MVL34" s="63"/>
      <c r="MVM34" s="63"/>
      <c r="MVN34" s="63"/>
      <c r="MVO34" s="63"/>
      <c r="MVP34" s="63"/>
      <c r="MVQ34" s="63"/>
      <c r="MVR34" s="63"/>
      <c r="MVS34" s="63"/>
      <c r="MVT34" s="63"/>
      <c r="MVU34" s="63"/>
      <c r="MVV34" s="63"/>
      <c r="MVW34" s="63"/>
      <c r="MVX34" s="63"/>
      <c r="MVY34" s="63"/>
      <c r="MVZ34" s="63"/>
      <c r="MWA34" s="63"/>
      <c r="MWB34" s="63"/>
      <c r="MWC34" s="63"/>
      <c r="MWD34" s="63"/>
      <c r="MWE34" s="63"/>
      <c r="MWF34" s="63"/>
      <c r="MWG34" s="63"/>
      <c r="MWH34" s="63"/>
      <c r="MWI34" s="63"/>
      <c r="MWJ34" s="63"/>
      <c r="MWK34" s="63"/>
      <c r="MWL34" s="63"/>
      <c r="MWM34" s="63"/>
      <c r="MWN34" s="63"/>
      <c r="MWO34" s="63"/>
      <c r="MWP34" s="63"/>
      <c r="MWQ34" s="63"/>
      <c r="MWR34" s="63"/>
      <c r="MWS34" s="63"/>
      <c r="MWT34" s="63"/>
      <c r="MWU34" s="63"/>
      <c r="MWV34" s="63"/>
      <c r="MWW34" s="63"/>
      <c r="MWX34" s="63"/>
      <c r="MWY34" s="63"/>
      <c r="MWZ34" s="63"/>
      <c r="MXA34" s="63"/>
      <c r="MXB34" s="63"/>
      <c r="MXC34" s="63"/>
      <c r="MXD34" s="63"/>
      <c r="MXE34" s="63"/>
      <c r="MXF34" s="63"/>
      <c r="MXG34" s="63"/>
      <c r="MXH34" s="63"/>
      <c r="MXI34" s="63"/>
      <c r="MXJ34" s="63"/>
      <c r="MXK34" s="63"/>
      <c r="MXL34" s="63"/>
      <c r="MXM34" s="63"/>
      <c r="MXN34" s="63"/>
      <c r="MXO34" s="63"/>
      <c r="MXP34" s="63"/>
      <c r="MXQ34" s="63"/>
      <c r="MXR34" s="63"/>
      <c r="MXS34" s="63"/>
      <c r="MXT34" s="63"/>
      <c r="MXU34" s="63"/>
      <c r="MXV34" s="63"/>
      <c r="MXW34" s="63"/>
      <c r="MXX34" s="63"/>
      <c r="MXY34" s="63"/>
      <c r="MXZ34" s="63"/>
      <c r="MYA34" s="63"/>
      <c r="MYB34" s="63"/>
      <c r="MYC34" s="63"/>
      <c r="MYD34" s="63"/>
      <c r="MYE34" s="63"/>
      <c r="MYF34" s="63"/>
      <c r="MYG34" s="63"/>
      <c r="MYH34" s="63"/>
      <c r="MYI34" s="63"/>
      <c r="MYJ34" s="63"/>
      <c r="MYK34" s="63"/>
      <c r="MYL34" s="63"/>
      <c r="MYM34" s="63"/>
      <c r="MYN34" s="63"/>
      <c r="MYO34" s="63"/>
      <c r="MYP34" s="63"/>
      <c r="MYQ34" s="63"/>
      <c r="MYR34" s="63"/>
      <c r="MYS34" s="63"/>
      <c r="MYT34" s="63"/>
      <c r="MYU34" s="63"/>
      <c r="MYV34" s="63"/>
      <c r="MYW34" s="63"/>
      <c r="MYX34" s="63"/>
      <c r="MYY34" s="63"/>
      <c r="MYZ34" s="63"/>
      <c r="MZA34" s="63"/>
      <c r="MZB34" s="63"/>
      <c r="MZC34" s="63"/>
      <c r="MZD34" s="63"/>
      <c r="MZE34" s="63"/>
      <c r="MZF34" s="63"/>
      <c r="MZG34" s="63"/>
      <c r="MZH34" s="63"/>
      <c r="MZI34" s="63"/>
      <c r="MZJ34" s="63"/>
      <c r="MZK34" s="63"/>
      <c r="MZL34" s="63"/>
      <c r="MZM34" s="63"/>
      <c r="MZN34" s="63"/>
      <c r="MZO34" s="63"/>
      <c r="MZP34" s="63"/>
      <c r="MZQ34" s="63"/>
      <c r="MZR34" s="63"/>
      <c r="MZS34" s="63"/>
      <c r="MZT34" s="63"/>
      <c r="MZU34" s="63"/>
      <c r="MZV34" s="63"/>
      <c r="MZW34" s="63"/>
      <c r="MZX34" s="63"/>
      <c r="MZY34" s="63"/>
      <c r="MZZ34" s="63"/>
      <c r="NAA34" s="63"/>
      <c r="NAB34" s="63"/>
      <c r="NAC34" s="63"/>
      <c r="NAD34" s="63"/>
      <c r="NAE34" s="63"/>
      <c r="NAF34" s="63"/>
      <c r="NAG34" s="63"/>
      <c r="NAH34" s="63"/>
      <c r="NAI34" s="63"/>
      <c r="NAJ34" s="63"/>
      <c r="NAK34" s="63"/>
      <c r="NAL34" s="63"/>
      <c r="NAM34" s="63"/>
      <c r="NAN34" s="63"/>
      <c r="NAO34" s="63"/>
      <c r="NAP34" s="63"/>
      <c r="NAQ34" s="63"/>
      <c r="NAR34" s="63"/>
      <c r="NAS34" s="63"/>
      <c r="NAT34" s="63"/>
      <c r="NAU34" s="63"/>
      <c r="NAV34" s="63"/>
      <c r="NAW34" s="63"/>
      <c r="NAX34" s="63"/>
      <c r="NAY34" s="63"/>
      <c r="NAZ34" s="63"/>
      <c r="NBA34" s="63"/>
      <c r="NBB34" s="63"/>
      <c r="NBC34" s="63"/>
      <c r="NBD34" s="63"/>
      <c r="NBE34" s="63"/>
      <c r="NBF34" s="63"/>
      <c r="NBG34" s="63"/>
      <c r="NBH34" s="63"/>
      <c r="NBI34" s="63"/>
      <c r="NBJ34" s="63"/>
      <c r="NBK34" s="63"/>
      <c r="NBL34" s="63"/>
      <c r="NBM34" s="63"/>
      <c r="NBN34" s="63"/>
      <c r="NBO34" s="63"/>
      <c r="NBP34" s="63"/>
      <c r="NBQ34" s="63"/>
      <c r="NBR34" s="63"/>
      <c r="NBS34" s="63"/>
      <c r="NBT34" s="63"/>
      <c r="NBU34" s="63"/>
      <c r="NBV34" s="63"/>
      <c r="NBW34" s="63"/>
      <c r="NBX34" s="63"/>
      <c r="NBY34" s="63"/>
      <c r="NBZ34" s="63"/>
      <c r="NCA34" s="63"/>
      <c r="NCB34" s="63"/>
      <c r="NCC34" s="63"/>
      <c r="NCD34" s="63"/>
      <c r="NCE34" s="63"/>
      <c r="NCF34" s="63"/>
      <c r="NCG34" s="63"/>
      <c r="NCH34" s="63"/>
      <c r="NCI34" s="63"/>
      <c r="NCJ34" s="63"/>
      <c r="NCK34" s="63"/>
      <c r="NCL34" s="63"/>
      <c r="NCM34" s="63"/>
      <c r="NCN34" s="63"/>
      <c r="NCO34" s="63"/>
      <c r="NCP34" s="63"/>
      <c r="NCQ34" s="63"/>
      <c r="NCR34" s="63"/>
      <c r="NCS34" s="63"/>
      <c r="NCT34" s="63"/>
      <c r="NCU34" s="63"/>
      <c r="NCV34" s="63"/>
      <c r="NCW34" s="63"/>
      <c r="NCX34" s="63"/>
      <c r="NCY34" s="63"/>
      <c r="NCZ34" s="63"/>
      <c r="NDA34" s="63"/>
      <c r="NDB34" s="63"/>
      <c r="NDC34" s="63"/>
      <c r="NDD34" s="63"/>
      <c r="NDE34" s="63"/>
      <c r="NDF34" s="63"/>
      <c r="NDG34" s="63"/>
      <c r="NDH34" s="63"/>
      <c r="NDI34" s="63"/>
      <c r="NDJ34" s="63"/>
      <c r="NDK34" s="63"/>
      <c r="NDL34" s="63"/>
      <c r="NDM34" s="63"/>
      <c r="NDN34" s="63"/>
      <c r="NDO34" s="63"/>
      <c r="NDP34" s="63"/>
      <c r="NDQ34" s="63"/>
      <c r="NDR34" s="63"/>
      <c r="NDS34" s="63"/>
      <c r="NDT34" s="63"/>
      <c r="NDU34" s="63"/>
      <c r="NDV34" s="63"/>
      <c r="NDW34" s="63"/>
      <c r="NDX34" s="63"/>
      <c r="NDY34" s="63"/>
      <c r="NDZ34" s="63"/>
      <c r="NEA34" s="63"/>
      <c r="NEB34" s="63"/>
      <c r="NEC34" s="63"/>
      <c r="NED34" s="63"/>
      <c r="NEE34" s="63"/>
      <c r="NEF34" s="63"/>
      <c r="NEG34" s="63"/>
      <c r="NEH34" s="63"/>
      <c r="NEI34" s="63"/>
      <c r="NEJ34" s="63"/>
      <c r="NEK34" s="63"/>
      <c r="NEL34" s="63"/>
      <c r="NEM34" s="63"/>
      <c r="NEN34" s="63"/>
      <c r="NEO34" s="63"/>
      <c r="NEP34" s="63"/>
      <c r="NEQ34" s="63"/>
      <c r="NER34" s="63"/>
      <c r="NES34" s="63"/>
      <c r="NET34" s="63"/>
      <c r="NEU34" s="63"/>
      <c r="NEV34" s="63"/>
      <c r="NEW34" s="63"/>
      <c r="NEX34" s="63"/>
      <c r="NEY34" s="63"/>
      <c r="NEZ34" s="63"/>
      <c r="NFA34" s="63"/>
      <c r="NFB34" s="63"/>
      <c r="NFC34" s="63"/>
      <c r="NFD34" s="63"/>
      <c r="NFE34" s="63"/>
      <c r="NFF34" s="63"/>
      <c r="NFG34" s="63"/>
      <c r="NFH34" s="63"/>
      <c r="NFI34" s="63"/>
      <c r="NFJ34" s="63"/>
      <c r="NFK34" s="63"/>
      <c r="NFL34" s="63"/>
      <c r="NFM34" s="63"/>
      <c r="NFN34" s="63"/>
      <c r="NFO34" s="63"/>
      <c r="NFP34" s="63"/>
      <c r="NFQ34" s="63"/>
      <c r="NFR34" s="63"/>
      <c r="NFS34" s="63"/>
      <c r="NFT34" s="63"/>
      <c r="NFU34" s="63"/>
      <c r="NFV34" s="63"/>
      <c r="NFW34" s="63"/>
      <c r="NFX34" s="63"/>
      <c r="NFY34" s="63"/>
      <c r="NFZ34" s="63"/>
      <c r="NGA34" s="63"/>
      <c r="NGB34" s="63"/>
      <c r="NGC34" s="63"/>
      <c r="NGD34" s="63"/>
      <c r="NGE34" s="63"/>
      <c r="NGF34" s="63"/>
      <c r="NGG34" s="63"/>
      <c r="NGH34" s="63"/>
      <c r="NGI34" s="63"/>
      <c r="NGJ34" s="63"/>
      <c r="NGK34" s="63"/>
      <c r="NGL34" s="63"/>
      <c r="NGM34" s="63"/>
      <c r="NGN34" s="63"/>
      <c r="NGO34" s="63"/>
      <c r="NGP34" s="63"/>
      <c r="NGQ34" s="63"/>
      <c r="NGR34" s="63"/>
      <c r="NGS34" s="63"/>
      <c r="NGT34" s="63"/>
      <c r="NGU34" s="63"/>
      <c r="NGV34" s="63"/>
      <c r="NGW34" s="63"/>
      <c r="NGX34" s="63"/>
      <c r="NGY34" s="63"/>
      <c r="NGZ34" s="63"/>
      <c r="NHA34" s="63"/>
      <c r="NHB34" s="63"/>
      <c r="NHC34" s="63"/>
      <c r="NHD34" s="63"/>
      <c r="NHE34" s="63"/>
      <c r="NHF34" s="63"/>
      <c r="NHG34" s="63"/>
      <c r="NHH34" s="63"/>
      <c r="NHI34" s="63"/>
      <c r="NHJ34" s="63"/>
      <c r="NHK34" s="63"/>
      <c r="NHL34" s="63"/>
      <c r="NHM34" s="63"/>
      <c r="NHN34" s="63"/>
      <c r="NHO34" s="63"/>
      <c r="NHP34" s="63"/>
      <c r="NHQ34" s="63"/>
      <c r="NHR34" s="63"/>
      <c r="NHS34" s="63"/>
      <c r="NHT34" s="63"/>
      <c r="NHU34" s="63"/>
      <c r="NHV34" s="63"/>
      <c r="NHW34" s="63"/>
      <c r="NHX34" s="63"/>
      <c r="NHY34" s="63"/>
      <c r="NHZ34" s="63"/>
      <c r="NIA34" s="63"/>
      <c r="NIB34" s="63"/>
      <c r="NIC34" s="63"/>
      <c r="NID34" s="63"/>
      <c r="NIE34" s="63"/>
      <c r="NIF34" s="63"/>
      <c r="NIG34" s="63"/>
      <c r="NIH34" s="63"/>
      <c r="NII34" s="63"/>
      <c r="NIJ34" s="63"/>
      <c r="NIK34" s="63"/>
      <c r="NIL34" s="63"/>
      <c r="NIM34" s="63"/>
      <c r="NIN34" s="63"/>
      <c r="NIO34" s="63"/>
      <c r="NIP34" s="63"/>
      <c r="NIQ34" s="63"/>
      <c r="NIR34" s="63"/>
      <c r="NIS34" s="63"/>
      <c r="NIT34" s="63"/>
      <c r="NIU34" s="63"/>
      <c r="NIV34" s="63"/>
      <c r="NIW34" s="63"/>
      <c r="NIX34" s="63"/>
      <c r="NIY34" s="63"/>
      <c r="NIZ34" s="63"/>
      <c r="NJA34" s="63"/>
      <c r="NJB34" s="63"/>
      <c r="NJC34" s="63"/>
      <c r="NJD34" s="63"/>
      <c r="NJE34" s="63"/>
      <c r="NJF34" s="63"/>
      <c r="NJG34" s="63"/>
      <c r="NJH34" s="63"/>
      <c r="NJI34" s="63"/>
      <c r="NJJ34" s="63"/>
      <c r="NJK34" s="63"/>
      <c r="NJL34" s="63"/>
      <c r="NJM34" s="63"/>
      <c r="NJN34" s="63"/>
      <c r="NJO34" s="63"/>
      <c r="NJP34" s="63"/>
      <c r="NJQ34" s="63"/>
      <c r="NJR34" s="63"/>
      <c r="NJS34" s="63"/>
      <c r="NJT34" s="63"/>
      <c r="NJU34" s="63"/>
      <c r="NJV34" s="63"/>
      <c r="NJW34" s="63"/>
      <c r="NJX34" s="63"/>
      <c r="NJY34" s="63"/>
      <c r="NJZ34" s="63"/>
      <c r="NKA34" s="63"/>
      <c r="NKB34" s="63"/>
      <c r="NKC34" s="63"/>
      <c r="NKD34" s="63"/>
      <c r="NKE34" s="63"/>
      <c r="NKF34" s="63"/>
      <c r="NKG34" s="63"/>
      <c r="NKH34" s="63"/>
      <c r="NKI34" s="63"/>
      <c r="NKJ34" s="63"/>
      <c r="NKK34" s="63"/>
      <c r="NKL34" s="63"/>
      <c r="NKM34" s="63"/>
      <c r="NKN34" s="63"/>
      <c r="NKO34" s="63"/>
      <c r="NKP34" s="63"/>
      <c r="NKQ34" s="63"/>
      <c r="NKR34" s="63"/>
      <c r="NKS34" s="63"/>
      <c r="NKT34" s="63"/>
      <c r="NKU34" s="63"/>
      <c r="NKV34" s="63"/>
      <c r="NKW34" s="63"/>
      <c r="NKX34" s="63"/>
      <c r="NKY34" s="63"/>
      <c r="NKZ34" s="63"/>
      <c r="NLA34" s="63"/>
      <c r="NLB34" s="63"/>
      <c r="NLC34" s="63"/>
      <c r="NLD34" s="63"/>
      <c r="NLE34" s="63"/>
      <c r="NLF34" s="63"/>
      <c r="NLG34" s="63"/>
      <c r="NLH34" s="63"/>
      <c r="NLI34" s="63"/>
      <c r="NLJ34" s="63"/>
      <c r="NLK34" s="63"/>
      <c r="NLL34" s="63"/>
      <c r="NLM34" s="63"/>
      <c r="NLN34" s="63"/>
      <c r="NLO34" s="63"/>
      <c r="NLP34" s="63"/>
      <c r="NLQ34" s="63"/>
      <c r="NLR34" s="63"/>
      <c r="NLS34" s="63"/>
      <c r="NLT34" s="63"/>
      <c r="NLU34" s="63"/>
      <c r="NLV34" s="63"/>
      <c r="NLW34" s="63"/>
      <c r="NLX34" s="63"/>
      <c r="NLY34" s="63"/>
      <c r="NLZ34" s="63"/>
      <c r="NMA34" s="63"/>
      <c r="NMB34" s="63"/>
      <c r="NMC34" s="63"/>
      <c r="NMD34" s="63"/>
      <c r="NME34" s="63"/>
      <c r="NMF34" s="63"/>
      <c r="NMG34" s="63"/>
      <c r="NMH34" s="63"/>
      <c r="NMI34" s="63"/>
      <c r="NMJ34" s="63"/>
      <c r="NMK34" s="63"/>
      <c r="NML34" s="63"/>
      <c r="NMM34" s="63"/>
      <c r="NMN34" s="63"/>
      <c r="NMO34" s="63"/>
      <c r="NMP34" s="63"/>
      <c r="NMQ34" s="63"/>
      <c r="NMR34" s="63"/>
      <c r="NMS34" s="63"/>
      <c r="NMT34" s="63"/>
      <c r="NMU34" s="63"/>
      <c r="NMV34" s="63"/>
      <c r="NMW34" s="63"/>
      <c r="NMX34" s="63"/>
      <c r="NMY34" s="63"/>
      <c r="NMZ34" s="63"/>
      <c r="NNA34" s="63"/>
      <c r="NNB34" s="63"/>
      <c r="NNC34" s="63"/>
      <c r="NND34" s="63"/>
      <c r="NNE34" s="63"/>
      <c r="NNF34" s="63"/>
      <c r="NNG34" s="63"/>
      <c r="NNH34" s="63"/>
      <c r="NNI34" s="63"/>
      <c r="NNJ34" s="63"/>
      <c r="NNK34" s="63"/>
      <c r="NNL34" s="63"/>
      <c r="NNM34" s="63"/>
      <c r="NNN34" s="63"/>
      <c r="NNO34" s="63"/>
      <c r="NNP34" s="63"/>
      <c r="NNQ34" s="63"/>
      <c r="NNR34" s="63"/>
      <c r="NNS34" s="63"/>
      <c r="NNT34" s="63"/>
      <c r="NNU34" s="63"/>
      <c r="NNV34" s="63"/>
      <c r="NNW34" s="63"/>
      <c r="NNX34" s="63"/>
      <c r="NNY34" s="63"/>
      <c r="NNZ34" s="63"/>
      <c r="NOA34" s="63"/>
      <c r="NOB34" s="63"/>
      <c r="NOC34" s="63"/>
      <c r="NOD34" s="63"/>
      <c r="NOE34" s="63"/>
      <c r="NOF34" s="63"/>
      <c r="NOG34" s="63"/>
      <c r="NOH34" s="63"/>
      <c r="NOI34" s="63"/>
      <c r="NOJ34" s="63"/>
      <c r="NOK34" s="63"/>
      <c r="NOL34" s="63"/>
      <c r="NOM34" s="63"/>
      <c r="NON34" s="63"/>
      <c r="NOO34" s="63"/>
      <c r="NOP34" s="63"/>
      <c r="NOQ34" s="63"/>
      <c r="NOR34" s="63"/>
      <c r="NOS34" s="63"/>
      <c r="NOT34" s="63"/>
      <c r="NOU34" s="63"/>
      <c r="NOV34" s="63"/>
      <c r="NOW34" s="63"/>
      <c r="NOX34" s="63"/>
      <c r="NOY34" s="63"/>
      <c r="NOZ34" s="63"/>
      <c r="NPA34" s="63"/>
      <c r="NPB34" s="63"/>
      <c r="NPC34" s="63"/>
      <c r="NPD34" s="63"/>
      <c r="NPE34" s="63"/>
      <c r="NPF34" s="63"/>
      <c r="NPG34" s="63"/>
      <c r="NPH34" s="63"/>
      <c r="NPI34" s="63"/>
      <c r="NPJ34" s="63"/>
      <c r="NPK34" s="63"/>
      <c r="NPL34" s="63"/>
      <c r="NPM34" s="63"/>
      <c r="NPN34" s="63"/>
      <c r="NPO34" s="63"/>
      <c r="NPP34" s="63"/>
      <c r="NPQ34" s="63"/>
      <c r="NPR34" s="63"/>
      <c r="NPS34" s="63"/>
      <c r="NPT34" s="63"/>
      <c r="NPU34" s="63"/>
      <c r="NPV34" s="63"/>
      <c r="NPW34" s="63"/>
      <c r="NPX34" s="63"/>
      <c r="NPY34" s="63"/>
      <c r="NPZ34" s="63"/>
      <c r="NQA34" s="63"/>
      <c r="NQB34" s="63"/>
      <c r="NQC34" s="63"/>
      <c r="NQD34" s="63"/>
      <c r="NQE34" s="63"/>
      <c r="NQF34" s="63"/>
      <c r="NQG34" s="63"/>
      <c r="NQH34" s="63"/>
      <c r="NQI34" s="63"/>
      <c r="NQJ34" s="63"/>
      <c r="NQK34" s="63"/>
      <c r="NQL34" s="63"/>
      <c r="NQM34" s="63"/>
      <c r="NQN34" s="63"/>
      <c r="NQO34" s="63"/>
      <c r="NQP34" s="63"/>
      <c r="NQQ34" s="63"/>
      <c r="NQR34" s="63"/>
      <c r="NQS34" s="63"/>
      <c r="NQT34" s="63"/>
      <c r="NQU34" s="63"/>
      <c r="NQV34" s="63"/>
      <c r="NQW34" s="63"/>
      <c r="NQX34" s="63"/>
      <c r="NQY34" s="63"/>
      <c r="NQZ34" s="63"/>
      <c r="NRA34" s="63"/>
      <c r="NRB34" s="63"/>
      <c r="NRC34" s="63"/>
      <c r="NRD34" s="63"/>
      <c r="NRE34" s="63"/>
      <c r="NRF34" s="63"/>
      <c r="NRG34" s="63"/>
      <c r="NRH34" s="63"/>
      <c r="NRI34" s="63"/>
      <c r="NRJ34" s="63"/>
      <c r="NRK34" s="63"/>
      <c r="NRL34" s="63"/>
      <c r="NRM34" s="63"/>
      <c r="NRN34" s="63"/>
      <c r="NRO34" s="63"/>
      <c r="NRP34" s="63"/>
      <c r="NRQ34" s="63"/>
      <c r="NRR34" s="63"/>
      <c r="NRS34" s="63"/>
      <c r="NRT34" s="63"/>
      <c r="NRU34" s="63"/>
      <c r="NRV34" s="63"/>
      <c r="NRW34" s="63"/>
      <c r="NRX34" s="63"/>
      <c r="NRY34" s="63"/>
      <c r="NRZ34" s="63"/>
      <c r="NSA34" s="63"/>
      <c r="NSB34" s="63"/>
      <c r="NSC34" s="63"/>
      <c r="NSD34" s="63"/>
      <c r="NSE34" s="63"/>
      <c r="NSF34" s="63"/>
      <c r="NSG34" s="63"/>
      <c r="NSH34" s="63"/>
      <c r="NSI34" s="63"/>
      <c r="NSJ34" s="63"/>
      <c r="NSK34" s="63"/>
      <c r="NSL34" s="63"/>
      <c r="NSM34" s="63"/>
      <c r="NSN34" s="63"/>
      <c r="NSO34" s="63"/>
      <c r="NSP34" s="63"/>
      <c r="NSQ34" s="63"/>
      <c r="NSR34" s="63"/>
      <c r="NSS34" s="63"/>
      <c r="NST34" s="63"/>
      <c r="NSU34" s="63"/>
      <c r="NSV34" s="63"/>
      <c r="NSW34" s="63"/>
      <c r="NSX34" s="63"/>
      <c r="NSY34" s="63"/>
      <c r="NSZ34" s="63"/>
      <c r="NTA34" s="63"/>
      <c r="NTB34" s="63"/>
      <c r="NTC34" s="63"/>
      <c r="NTD34" s="63"/>
      <c r="NTE34" s="63"/>
      <c r="NTF34" s="63"/>
      <c r="NTG34" s="63"/>
      <c r="NTH34" s="63"/>
      <c r="NTI34" s="63"/>
      <c r="NTJ34" s="63"/>
      <c r="NTK34" s="63"/>
      <c r="NTL34" s="63"/>
      <c r="NTM34" s="63"/>
      <c r="NTN34" s="63"/>
      <c r="NTO34" s="63"/>
      <c r="NTP34" s="63"/>
      <c r="NTQ34" s="63"/>
      <c r="NTR34" s="63"/>
      <c r="NTS34" s="63"/>
      <c r="NTT34" s="63"/>
      <c r="NTU34" s="63"/>
      <c r="NTV34" s="63"/>
      <c r="NTW34" s="63"/>
      <c r="NTX34" s="63"/>
      <c r="NTY34" s="63"/>
      <c r="NTZ34" s="63"/>
      <c r="NUA34" s="63"/>
      <c r="NUB34" s="63"/>
      <c r="NUC34" s="63"/>
      <c r="NUD34" s="63"/>
      <c r="NUE34" s="63"/>
      <c r="NUF34" s="63"/>
      <c r="NUG34" s="63"/>
      <c r="NUH34" s="63"/>
      <c r="NUI34" s="63"/>
      <c r="NUJ34" s="63"/>
      <c r="NUK34" s="63"/>
      <c r="NUL34" s="63"/>
      <c r="NUM34" s="63"/>
      <c r="NUN34" s="63"/>
      <c r="NUO34" s="63"/>
      <c r="NUP34" s="63"/>
      <c r="NUQ34" s="63"/>
      <c r="NUR34" s="63"/>
      <c r="NUS34" s="63"/>
      <c r="NUT34" s="63"/>
      <c r="NUU34" s="63"/>
      <c r="NUV34" s="63"/>
      <c r="NUW34" s="63"/>
      <c r="NUX34" s="63"/>
      <c r="NUY34" s="63"/>
      <c r="NUZ34" s="63"/>
      <c r="NVA34" s="63"/>
      <c r="NVB34" s="63"/>
      <c r="NVC34" s="63"/>
      <c r="NVD34" s="63"/>
      <c r="NVE34" s="63"/>
      <c r="NVF34" s="63"/>
      <c r="NVG34" s="63"/>
      <c r="NVH34" s="63"/>
      <c r="NVI34" s="63"/>
      <c r="NVJ34" s="63"/>
      <c r="NVK34" s="63"/>
      <c r="NVL34" s="63"/>
      <c r="NVM34" s="63"/>
      <c r="NVN34" s="63"/>
      <c r="NVO34" s="63"/>
      <c r="NVP34" s="63"/>
      <c r="NVQ34" s="63"/>
      <c r="NVR34" s="63"/>
      <c r="NVS34" s="63"/>
      <c r="NVT34" s="63"/>
      <c r="NVU34" s="63"/>
      <c r="NVV34" s="63"/>
      <c r="NVW34" s="63"/>
      <c r="NVX34" s="63"/>
      <c r="NVY34" s="63"/>
      <c r="NVZ34" s="63"/>
      <c r="NWA34" s="63"/>
      <c r="NWB34" s="63"/>
      <c r="NWC34" s="63"/>
      <c r="NWD34" s="63"/>
      <c r="NWE34" s="63"/>
      <c r="NWF34" s="63"/>
      <c r="NWG34" s="63"/>
      <c r="NWH34" s="63"/>
      <c r="NWI34" s="63"/>
      <c r="NWJ34" s="63"/>
      <c r="NWK34" s="63"/>
      <c r="NWL34" s="63"/>
      <c r="NWM34" s="63"/>
      <c r="NWN34" s="63"/>
      <c r="NWO34" s="63"/>
      <c r="NWP34" s="63"/>
      <c r="NWQ34" s="63"/>
      <c r="NWR34" s="63"/>
      <c r="NWS34" s="63"/>
      <c r="NWT34" s="63"/>
      <c r="NWU34" s="63"/>
      <c r="NWV34" s="63"/>
      <c r="NWW34" s="63"/>
      <c r="NWX34" s="63"/>
      <c r="NWY34" s="63"/>
      <c r="NWZ34" s="63"/>
      <c r="NXA34" s="63"/>
      <c r="NXB34" s="63"/>
      <c r="NXC34" s="63"/>
      <c r="NXD34" s="63"/>
      <c r="NXE34" s="63"/>
      <c r="NXF34" s="63"/>
      <c r="NXG34" s="63"/>
      <c r="NXH34" s="63"/>
      <c r="NXI34" s="63"/>
      <c r="NXJ34" s="63"/>
      <c r="NXK34" s="63"/>
      <c r="NXL34" s="63"/>
      <c r="NXM34" s="63"/>
      <c r="NXN34" s="63"/>
      <c r="NXO34" s="63"/>
      <c r="NXP34" s="63"/>
      <c r="NXQ34" s="63"/>
      <c r="NXR34" s="63"/>
      <c r="NXS34" s="63"/>
      <c r="NXT34" s="63"/>
      <c r="NXU34" s="63"/>
      <c r="NXV34" s="63"/>
      <c r="NXW34" s="63"/>
      <c r="NXX34" s="63"/>
      <c r="NXY34" s="63"/>
      <c r="NXZ34" s="63"/>
      <c r="NYA34" s="63"/>
      <c r="NYB34" s="63"/>
      <c r="NYC34" s="63"/>
      <c r="NYD34" s="63"/>
      <c r="NYE34" s="63"/>
      <c r="NYF34" s="63"/>
      <c r="NYG34" s="63"/>
      <c r="NYH34" s="63"/>
      <c r="NYI34" s="63"/>
      <c r="NYJ34" s="63"/>
      <c r="NYK34" s="63"/>
      <c r="NYL34" s="63"/>
      <c r="NYM34" s="63"/>
      <c r="NYN34" s="63"/>
      <c r="NYO34" s="63"/>
      <c r="NYP34" s="63"/>
      <c r="NYQ34" s="63"/>
      <c r="NYR34" s="63"/>
      <c r="NYS34" s="63"/>
      <c r="NYT34" s="63"/>
      <c r="NYU34" s="63"/>
      <c r="NYV34" s="63"/>
      <c r="NYW34" s="63"/>
      <c r="NYX34" s="63"/>
      <c r="NYY34" s="63"/>
      <c r="NYZ34" s="63"/>
      <c r="NZA34" s="63"/>
      <c r="NZB34" s="63"/>
      <c r="NZC34" s="63"/>
      <c r="NZD34" s="63"/>
      <c r="NZE34" s="63"/>
      <c r="NZF34" s="63"/>
      <c r="NZG34" s="63"/>
      <c r="NZH34" s="63"/>
      <c r="NZI34" s="63"/>
      <c r="NZJ34" s="63"/>
      <c r="NZK34" s="63"/>
      <c r="NZL34" s="63"/>
      <c r="NZM34" s="63"/>
      <c r="NZN34" s="63"/>
      <c r="NZO34" s="63"/>
      <c r="NZP34" s="63"/>
      <c r="NZQ34" s="63"/>
      <c r="NZR34" s="63"/>
      <c r="NZS34" s="63"/>
      <c r="NZT34" s="63"/>
      <c r="NZU34" s="63"/>
      <c r="NZV34" s="63"/>
      <c r="NZW34" s="63"/>
      <c r="NZX34" s="63"/>
      <c r="NZY34" s="63"/>
      <c r="NZZ34" s="63"/>
      <c r="OAA34" s="63"/>
      <c r="OAB34" s="63"/>
      <c r="OAC34" s="63"/>
      <c r="OAD34" s="63"/>
      <c r="OAE34" s="63"/>
      <c r="OAF34" s="63"/>
      <c r="OAG34" s="63"/>
      <c r="OAH34" s="63"/>
      <c r="OAI34" s="63"/>
      <c r="OAJ34" s="63"/>
      <c r="OAK34" s="63"/>
      <c r="OAL34" s="63"/>
      <c r="OAM34" s="63"/>
      <c r="OAN34" s="63"/>
      <c r="OAO34" s="63"/>
      <c r="OAP34" s="63"/>
      <c r="OAQ34" s="63"/>
      <c r="OAR34" s="63"/>
      <c r="OAS34" s="63"/>
      <c r="OAT34" s="63"/>
      <c r="OAU34" s="63"/>
      <c r="OAV34" s="63"/>
      <c r="OAW34" s="63"/>
      <c r="OAX34" s="63"/>
      <c r="OAY34" s="63"/>
      <c r="OAZ34" s="63"/>
      <c r="OBA34" s="63"/>
      <c r="OBB34" s="63"/>
      <c r="OBC34" s="63"/>
      <c r="OBD34" s="63"/>
      <c r="OBE34" s="63"/>
      <c r="OBF34" s="63"/>
      <c r="OBG34" s="63"/>
      <c r="OBH34" s="63"/>
      <c r="OBI34" s="63"/>
      <c r="OBJ34" s="63"/>
      <c r="OBK34" s="63"/>
      <c r="OBL34" s="63"/>
      <c r="OBM34" s="63"/>
      <c r="OBN34" s="63"/>
      <c r="OBO34" s="63"/>
      <c r="OBP34" s="63"/>
      <c r="OBQ34" s="63"/>
      <c r="OBR34" s="63"/>
      <c r="OBS34" s="63"/>
      <c r="OBT34" s="63"/>
      <c r="OBU34" s="63"/>
      <c r="OBV34" s="63"/>
      <c r="OBW34" s="63"/>
      <c r="OBX34" s="63"/>
      <c r="OBY34" s="63"/>
      <c r="OBZ34" s="63"/>
      <c r="OCA34" s="63"/>
      <c r="OCB34" s="63"/>
      <c r="OCC34" s="63"/>
      <c r="OCD34" s="63"/>
      <c r="OCE34" s="63"/>
      <c r="OCF34" s="63"/>
      <c r="OCG34" s="63"/>
      <c r="OCH34" s="63"/>
      <c r="OCI34" s="63"/>
      <c r="OCJ34" s="63"/>
      <c r="OCK34" s="63"/>
      <c r="OCL34" s="63"/>
      <c r="OCM34" s="63"/>
      <c r="OCN34" s="63"/>
      <c r="OCO34" s="63"/>
      <c r="OCP34" s="63"/>
      <c r="OCQ34" s="63"/>
      <c r="OCR34" s="63"/>
      <c r="OCS34" s="63"/>
      <c r="OCT34" s="63"/>
      <c r="OCU34" s="63"/>
      <c r="OCV34" s="63"/>
      <c r="OCW34" s="63"/>
      <c r="OCX34" s="63"/>
      <c r="OCY34" s="63"/>
      <c r="OCZ34" s="63"/>
      <c r="ODA34" s="63"/>
      <c r="ODB34" s="63"/>
      <c r="ODC34" s="63"/>
      <c r="ODD34" s="63"/>
      <c r="ODE34" s="63"/>
      <c r="ODF34" s="63"/>
      <c r="ODG34" s="63"/>
      <c r="ODH34" s="63"/>
      <c r="ODI34" s="63"/>
      <c r="ODJ34" s="63"/>
      <c r="ODK34" s="63"/>
      <c r="ODL34" s="63"/>
      <c r="ODM34" s="63"/>
      <c r="ODN34" s="63"/>
      <c r="ODO34" s="63"/>
      <c r="ODP34" s="63"/>
      <c r="ODQ34" s="63"/>
      <c r="ODR34" s="63"/>
      <c r="ODS34" s="63"/>
      <c r="ODT34" s="63"/>
      <c r="ODU34" s="63"/>
      <c r="ODV34" s="63"/>
      <c r="ODW34" s="63"/>
      <c r="ODX34" s="63"/>
      <c r="ODY34" s="63"/>
      <c r="ODZ34" s="63"/>
      <c r="OEA34" s="63"/>
      <c r="OEB34" s="63"/>
      <c r="OEC34" s="63"/>
      <c r="OED34" s="63"/>
      <c r="OEE34" s="63"/>
      <c r="OEF34" s="63"/>
      <c r="OEG34" s="63"/>
      <c r="OEH34" s="63"/>
      <c r="OEI34" s="63"/>
      <c r="OEJ34" s="63"/>
      <c r="OEK34" s="63"/>
      <c r="OEL34" s="63"/>
      <c r="OEM34" s="63"/>
      <c r="OEN34" s="63"/>
      <c r="OEO34" s="63"/>
      <c r="OEP34" s="63"/>
      <c r="OEQ34" s="63"/>
      <c r="OER34" s="63"/>
      <c r="OES34" s="63"/>
      <c r="OET34" s="63"/>
      <c r="OEU34" s="63"/>
      <c r="OEV34" s="63"/>
      <c r="OEW34" s="63"/>
      <c r="OEX34" s="63"/>
      <c r="OEY34" s="63"/>
      <c r="OEZ34" s="63"/>
      <c r="OFA34" s="63"/>
      <c r="OFB34" s="63"/>
      <c r="OFC34" s="63"/>
      <c r="OFD34" s="63"/>
      <c r="OFE34" s="63"/>
      <c r="OFF34" s="63"/>
      <c r="OFG34" s="63"/>
      <c r="OFH34" s="63"/>
      <c r="OFI34" s="63"/>
      <c r="OFJ34" s="63"/>
      <c r="OFK34" s="63"/>
      <c r="OFL34" s="63"/>
      <c r="OFM34" s="63"/>
      <c r="OFN34" s="63"/>
      <c r="OFO34" s="63"/>
      <c r="OFP34" s="63"/>
      <c r="OFQ34" s="63"/>
      <c r="OFR34" s="63"/>
      <c r="OFS34" s="63"/>
      <c r="OFT34" s="63"/>
      <c r="OFU34" s="63"/>
      <c r="OFV34" s="63"/>
      <c r="OFW34" s="63"/>
      <c r="OFX34" s="63"/>
      <c r="OFY34" s="63"/>
      <c r="OFZ34" s="63"/>
      <c r="OGA34" s="63"/>
      <c r="OGB34" s="63"/>
      <c r="OGC34" s="63"/>
      <c r="OGD34" s="63"/>
      <c r="OGE34" s="63"/>
      <c r="OGF34" s="63"/>
      <c r="OGG34" s="63"/>
      <c r="OGH34" s="63"/>
      <c r="OGI34" s="63"/>
      <c r="OGJ34" s="63"/>
      <c r="OGK34" s="63"/>
      <c r="OGL34" s="63"/>
      <c r="OGM34" s="63"/>
      <c r="OGN34" s="63"/>
      <c r="OGO34" s="63"/>
      <c r="OGP34" s="63"/>
      <c r="OGQ34" s="63"/>
      <c r="OGR34" s="63"/>
      <c r="OGS34" s="63"/>
      <c r="OGT34" s="63"/>
      <c r="OGU34" s="63"/>
      <c r="OGV34" s="63"/>
      <c r="OGW34" s="63"/>
      <c r="OGX34" s="63"/>
      <c r="OGY34" s="63"/>
      <c r="OGZ34" s="63"/>
      <c r="OHA34" s="63"/>
      <c r="OHB34" s="63"/>
      <c r="OHC34" s="63"/>
      <c r="OHD34" s="63"/>
      <c r="OHE34" s="63"/>
      <c r="OHF34" s="63"/>
      <c r="OHG34" s="63"/>
      <c r="OHH34" s="63"/>
      <c r="OHI34" s="63"/>
      <c r="OHJ34" s="63"/>
      <c r="OHK34" s="63"/>
      <c r="OHL34" s="63"/>
      <c r="OHM34" s="63"/>
      <c r="OHN34" s="63"/>
      <c r="OHO34" s="63"/>
      <c r="OHP34" s="63"/>
      <c r="OHQ34" s="63"/>
      <c r="OHR34" s="63"/>
      <c r="OHS34" s="63"/>
      <c r="OHT34" s="63"/>
      <c r="OHU34" s="63"/>
      <c r="OHV34" s="63"/>
      <c r="OHW34" s="63"/>
      <c r="OHX34" s="63"/>
      <c r="OHY34" s="63"/>
      <c r="OHZ34" s="63"/>
      <c r="OIA34" s="63"/>
      <c r="OIB34" s="63"/>
      <c r="OIC34" s="63"/>
      <c r="OID34" s="63"/>
      <c r="OIE34" s="63"/>
      <c r="OIF34" s="63"/>
      <c r="OIG34" s="63"/>
      <c r="OIH34" s="63"/>
      <c r="OII34" s="63"/>
      <c r="OIJ34" s="63"/>
      <c r="OIK34" s="63"/>
      <c r="OIL34" s="63"/>
      <c r="OIM34" s="63"/>
      <c r="OIN34" s="63"/>
      <c r="OIO34" s="63"/>
      <c r="OIP34" s="63"/>
      <c r="OIQ34" s="63"/>
      <c r="OIR34" s="63"/>
      <c r="OIS34" s="63"/>
      <c r="OIT34" s="63"/>
      <c r="OIU34" s="63"/>
      <c r="OIV34" s="63"/>
      <c r="OIW34" s="63"/>
      <c r="OIX34" s="63"/>
      <c r="OIY34" s="63"/>
      <c r="OIZ34" s="63"/>
      <c r="OJA34" s="63"/>
      <c r="OJB34" s="63"/>
      <c r="OJC34" s="63"/>
      <c r="OJD34" s="63"/>
      <c r="OJE34" s="63"/>
      <c r="OJF34" s="63"/>
      <c r="OJG34" s="63"/>
      <c r="OJH34" s="63"/>
      <c r="OJI34" s="63"/>
      <c r="OJJ34" s="63"/>
      <c r="OJK34" s="63"/>
      <c r="OJL34" s="63"/>
      <c r="OJM34" s="63"/>
      <c r="OJN34" s="63"/>
      <c r="OJO34" s="63"/>
      <c r="OJP34" s="63"/>
      <c r="OJQ34" s="63"/>
      <c r="OJR34" s="63"/>
      <c r="OJS34" s="63"/>
      <c r="OJT34" s="63"/>
      <c r="OJU34" s="63"/>
      <c r="OJV34" s="63"/>
      <c r="OJW34" s="63"/>
      <c r="OJX34" s="63"/>
      <c r="OJY34" s="63"/>
      <c r="OJZ34" s="63"/>
      <c r="OKA34" s="63"/>
      <c r="OKB34" s="63"/>
      <c r="OKC34" s="63"/>
      <c r="OKD34" s="63"/>
      <c r="OKE34" s="63"/>
      <c r="OKF34" s="63"/>
      <c r="OKG34" s="63"/>
      <c r="OKH34" s="63"/>
      <c r="OKI34" s="63"/>
      <c r="OKJ34" s="63"/>
      <c r="OKK34" s="63"/>
      <c r="OKL34" s="63"/>
      <c r="OKM34" s="63"/>
      <c r="OKN34" s="63"/>
      <c r="OKO34" s="63"/>
      <c r="OKP34" s="63"/>
      <c r="OKQ34" s="63"/>
      <c r="OKR34" s="63"/>
      <c r="OKS34" s="63"/>
      <c r="OKT34" s="63"/>
      <c r="OKU34" s="63"/>
      <c r="OKV34" s="63"/>
      <c r="OKW34" s="63"/>
      <c r="OKX34" s="63"/>
      <c r="OKY34" s="63"/>
      <c r="OKZ34" s="63"/>
      <c r="OLA34" s="63"/>
      <c r="OLB34" s="63"/>
      <c r="OLC34" s="63"/>
      <c r="OLD34" s="63"/>
      <c r="OLE34" s="63"/>
      <c r="OLF34" s="63"/>
      <c r="OLG34" s="63"/>
      <c r="OLH34" s="63"/>
      <c r="OLI34" s="63"/>
      <c r="OLJ34" s="63"/>
      <c r="OLK34" s="63"/>
      <c r="OLL34" s="63"/>
      <c r="OLM34" s="63"/>
      <c r="OLN34" s="63"/>
      <c r="OLO34" s="63"/>
      <c r="OLP34" s="63"/>
      <c r="OLQ34" s="63"/>
      <c r="OLR34" s="63"/>
      <c r="OLS34" s="63"/>
      <c r="OLT34" s="63"/>
      <c r="OLU34" s="63"/>
      <c r="OLV34" s="63"/>
      <c r="OLW34" s="63"/>
      <c r="OLX34" s="63"/>
      <c r="OLY34" s="63"/>
      <c r="OLZ34" s="63"/>
      <c r="OMA34" s="63"/>
      <c r="OMB34" s="63"/>
      <c r="OMC34" s="63"/>
      <c r="OMD34" s="63"/>
      <c r="OME34" s="63"/>
      <c r="OMF34" s="63"/>
      <c r="OMG34" s="63"/>
      <c r="OMH34" s="63"/>
      <c r="OMI34" s="63"/>
      <c r="OMJ34" s="63"/>
      <c r="OMK34" s="63"/>
      <c r="OML34" s="63"/>
      <c r="OMM34" s="63"/>
      <c r="OMN34" s="63"/>
      <c r="OMO34" s="63"/>
      <c r="OMP34" s="63"/>
      <c r="OMQ34" s="63"/>
      <c r="OMR34" s="63"/>
      <c r="OMS34" s="63"/>
      <c r="OMT34" s="63"/>
      <c r="OMU34" s="63"/>
      <c r="OMV34" s="63"/>
      <c r="OMW34" s="63"/>
      <c r="OMX34" s="63"/>
      <c r="OMY34" s="63"/>
      <c r="OMZ34" s="63"/>
      <c r="ONA34" s="63"/>
      <c r="ONB34" s="63"/>
      <c r="ONC34" s="63"/>
      <c r="OND34" s="63"/>
      <c r="ONE34" s="63"/>
      <c r="ONF34" s="63"/>
      <c r="ONG34" s="63"/>
      <c r="ONH34" s="63"/>
      <c r="ONI34" s="63"/>
      <c r="ONJ34" s="63"/>
      <c r="ONK34" s="63"/>
      <c r="ONL34" s="63"/>
      <c r="ONM34" s="63"/>
      <c r="ONN34" s="63"/>
      <c r="ONO34" s="63"/>
      <c r="ONP34" s="63"/>
      <c r="ONQ34" s="63"/>
      <c r="ONR34" s="63"/>
      <c r="ONS34" s="63"/>
      <c r="ONT34" s="63"/>
      <c r="ONU34" s="63"/>
      <c r="ONV34" s="63"/>
      <c r="ONW34" s="63"/>
      <c r="ONX34" s="63"/>
      <c r="ONY34" s="63"/>
      <c r="ONZ34" s="63"/>
      <c r="OOA34" s="63"/>
      <c r="OOB34" s="63"/>
      <c r="OOC34" s="63"/>
      <c r="OOD34" s="63"/>
      <c r="OOE34" s="63"/>
      <c r="OOF34" s="63"/>
      <c r="OOG34" s="63"/>
      <c r="OOH34" s="63"/>
      <c r="OOI34" s="63"/>
      <c r="OOJ34" s="63"/>
      <c r="OOK34" s="63"/>
      <c r="OOL34" s="63"/>
      <c r="OOM34" s="63"/>
      <c r="OON34" s="63"/>
      <c r="OOO34" s="63"/>
      <c r="OOP34" s="63"/>
      <c r="OOQ34" s="63"/>
      <c r="OOR34" s="63"/>
      <c r="OOS34" s="63"/>
      <c r="OOT34" s="63"/>
      <c r="OOU34" s="63"/>
      <c r="OOV34" s="63"/>
      <c r="OOW34" s="63"/>
      <c r="OOX34" s="63"/>
      <c r="OOY34" s="63"/>
      <c r="OOZ34" s="63"/>
      <c r="OPA34" s="63"/>
      <c r="OPB34" s="63"/>
      <c r="OPC34" s="63"/>
      <c r="OPD34" s="63"/>
      <c r="OPE34" s="63"/>
      <c r="OPF34" s="63"/>
      <c r="OPG34" s="63"/>
      <c r="OPH34" s="63"/>
      <c r="OPI34" s="63"/>
      <c r="OPJ34" s="63"/>
      <c r="OPK34" s="63"/>
      <c r="OPL34" s="63"/>
      <c r="OPM34" s="63"/>
      <c r="OPN34" s="63"/>
      <c r="OPO34" s="63"/>
      <c r="OPP34" s="63"/>
      <c r="OPQ34" s="63"/>
      <c r="OPR34" s="63"/>
      <c r="OPS34" s="63"/>
      <c r="OPT34" s="63"/>
      <c r="OPU34" s="63"/>
      <c r="OPV34" s="63"/>
      <c r="OPW34" s="63"/>
      <c r="OPX34" s="63"/>
      <c r="OPY34" s="63"/>
      <c r="OPZ34" s="63"/>
      <c r="OQA34" s="63"/>
      <c r="OQB34" s="63"/>
      <c r="OQC34" s="63"/>
      <c r="OQD34" s="63"/>
      <c r="OQE34" s="63"/>
      <c r="OQF34" s="63"/>
      <c r="OQG34" s="63"/>
      <c r="OQH34" s="63"/>
      <c r="OQI34" s="63"/>
      <c r="OQJ34" s="63"/>
      <c r="OQK34" s="63"/>
      <c r="OQL34" s="63"/>
      <c r="OQM34" s="63"/>
      <c r="OQN34" s="63"/>
      <c r="OQO34" s="63"/>
      <c r="OQP34" s="63"/>
      <c r="OQQ34" s="63"/>
      <c r="OQR34" s="63"/>
      <c r="OQS34" s="63"/>
      <c r="OQT34" s="63"/>
      <c r="OQU34" s="63"/>
      <c r="OQV34" s="63"/>
      <c r="OQW34" s="63"/>
      <c r="OQX34" s="63"/>
      <c r="OQY34" s="63"/>
      <c r="OQZ34" s="63"/>
      <c r="ORA34" s="63"/>
      <c r="ORB34" s="63"/>
      <c r="ORC34" s="63"/>
      <c r="ORD34" s="63"/>
      <c r="ORE34" s="63"/>
      <c r="ORF34" s="63"/>
      <c r="ORG34" s="63"/>
      <c r="ORH34" s="63"/>
      <c r="ORI34" s="63"/>
      <c r="ORJ34" s="63"/>
      <c r="ORK34" s="63"/>
      <c r="ORL34" s="63"/>
      <c r="ORM34" s="63"/>
      <c r="ORN34" s="63"/>
      <c r="ORO34" s="63"/>
      <c r="ORP34" s="63"/>
      <c r="ORQ34" s="63"/>
      <c r="ORR34" s="63"/>
      <c r="ORS34" s="63"/>
      <c r="ORT34" s="63"/>
      <c r="ORU34" s="63"/>
      <c r="ORV34" s="63"/>
      <c r="ORW34" s="63"/>
      <c r="ORX34" s="63"/>
      <c r="ORY34" s="63"/>
      <c r="ORZ34" s="63"/>
      <c r="OSA34" s="63"/>
      <c r="OSB34" s="63"/>
      <c r="OSC34" s="63"/>
      <c r="OSD34" s="63"/>
      <c r="OSE34" s="63"/>
      <c r="OSF34" s="63"/>
      <c r="OSG34" s="63"/>
      <c r="OSH34" s="63"/>
      <c r="OSI34" s="63"/>
      <c r="OSJ34" s="63"/>
      <c r="OSK34" s="63"/>
      <c r="OSL34" s="63"/>
      <c r="OSM34" s="63"/>
      <c r="OSN34" s="63"/>
      <c r="OSO34" s="63"/>
      <c r="OSP34" s="63"/>
      <c r="OSQ34" s="63"/>
      <c r="OSR34" s="63"/>
      <c r="OSS34" s="63"/>
      <c r="OST34" s="63"/>
      <c r="OSU34" s="63"/>
      <c r="OSV34" s="63"/>
      <c r="OSW34" s="63"/>
      <c r="OSX34" s="63"/>
      <c r="OSY34" s="63"/>
      <c r="OSZ34" s="63"/>
      <c r="OTA34" s="63"/>
      <c r="OTB34" s="63"/>
      <c r="OTC34" s="63"/>
      <c r="OTD34" s="63"/>
      <c r="OTE34" s="63"/>
      <c r="OTF34" s="63"/>
      <c r="OTG34" s="63"/>
      <c r="OTH34" s="63"/>
      <c r="OTI34" s="63"/>
      <c r="OTJ34" s="63"/>
      <c r="OTK34" s="63"/>
      <c r="OTL34" s="63"/>
      <c r="OTM34" s="63"/>
      <c r="OTN34" s="63"/>
      <c r="OTO34" s="63"/>
      <c r="OTP34" s="63"/>
      <c r="OTQ34" s="63"/>
      <c r="OTR34" s="63"/>
      <c r="OTS34" s="63"/>
      <c r="OTT34" s="63"/>
      <c r="OTU34" s="63"/>
      <c r="OTV34" s="63"/>
      <c r="OTW34" s="63"/>
      <c r="OTX34" s="63"/>
      <c r="OTY34" s="63"/>
      <c r="OTZ34" s="63"/>
      <c r="OUA34" s="63"/>
      <c r="OUB34" s="63"/>
      <c r="OUC34" s="63"/>
      <c r="OUD34" s="63"/>
      <c r="OUE34" s="63"/>
      <c r="OUF34" s="63"/>
      <c r="OUG34" s="63"/>
      <c r="OUH34" s="63"/>
      <c r="OUI34" s="63"/>
      <c r="OUJ34" s="63"/>
      <c r="OUK34" s="63"/>
      <c r="OUL34" s="63"/>
      <c r="OUM34" s="63"/>
      <c r="OUN34" s="63"/>
      <c r="OUO34" s="63"/>
      <c r="OUP34" s="63"/>
      <c r="OUQ34" s="63"/>
      <c r="OUR34" s="63"/>
      <c r="OUS34" s="63"/>
      <c r="OUT34" s="63"/>
      <c r="OUU34" s="63"/>
      <c r="OUV34" s="63"/>
      <c r="OUW34" s="63"/>
      <c r="OUX34" s="63"/>
      <c r="OUY34" s="63"/>
      <c r="OUZ34" s="63"/>
      <c r="OVA34" s="63"/>
      <c r="OVB34" s="63"/>
      <c r="OVC34" s="63"/>
      <c r="OVD34" s="63"/>
      <c r="OVE34" s="63"/>
      <c r="OVF34" s="63"/>
      <c r="OVG34" s="63"/>
      <c r="OVH34" s="63"/>
      <c r="OVI34" s="63"/>
      <c r="OVJ34" s="63"/>
      <c r="OVK34" s="63"/>
      <c r="OVL34" s="63"/>
      <c r="OVM34" s="63"/>
      <c r="OVN34" s="63"/>
      <c r="OVO34" s="63"/>
      <c r="OVP34" s="63"/>
      <c r="OVQ34" s="63"/>
      <c r="OVR34" s="63"/>
      <c r="OVS34" s="63"/>
      <c r="OVT34" s="63"/>
      <c r="OVU34" s="63"/>
      <c r="OVV34" s="63"/>
      <c r="OVW34" s="63"/>
      <c r="OVX34" s="63"/>
      <c r="OVY34" s="63"/>
      <c r="OVZ34" s="63"/>
      <c r="OWA34" s="63"/>
      <c r="OWB34" s="63"/>
      <c r="OWC34" s="63"/>
      <c r="OWD34" s="63"/>
      <c r="OWE34" s="63"/>
      <c r="OWF34" s="63"/>
      <c r="OWG34" s="63"/>
      <c r="OWH34" s="63"/>
      <c r="OWI34" s="63"/>
      <c r="OWJ34" s="63"/>
      <c r="OWK34" s="63"/>
      <c r="OWL34" s="63"/>
      <c r="OWM34" s="63"/>
      <c r="OWN34" s="63"/>
      <c r="OWO34" s="63"/>
      <c r="OWP34" s="63"/>
      <c r="OWQ34" s="63"/>
      <c r="OWR34" s="63"/>
      <c r="OWS34" s="63"/>
      <c r="OWT34" s="63"/>
      <c r="OWU34" s="63"/>
      <c r="OWV34" s="63"/>
      <c r="OWW34" s="63"/>
      <c r="OWX34" s="63"/>
      <c r="OWY34" s="63"/>
      <c r="OWZ34" s="63"/>
      <c r="OXA34" s="63"/>
      <c r="OXB34" s="63"/>
      <c r="OXC34" s="63"/>
      <c r="OXD34" s="63"/>
      <c r="OXE34" s="63"/>
      <c r="OXF34" s="63"/>
      <c r="OXG34" s="63"/>
      <c r="OXH34" s="63"/>
      <c r="OXI34" s="63"/>
      <c r="OXJ34" s="63"/>
      <c r="OXK34" s="63"/>
      <c r="OXL34" s="63"/>
      <c r="OXM34" s="63"/>
      <c r="OXN34" s="63"/>
      <c r="OXO34" s="63"/>
      <c r="OXP34" s="63"/>
      <c r="OXQ34" s="63"/>
      <c r="OXR34" s="63"/>
      <c r="OXS34" s="63"/>
      <c r="OXT34" s="63"/>
      <c r="OXU34" s="63"/>
      <c r="OXV34" s="63"/>
      <c r="OXW34" s="63"/>
      <c r="OXX34" s="63"/>
      <c r="OXY34" s="63"/>
      <c r="OXZ34" s="63"/>
      <c r="OYA34" s="63"/>
      <c r="OYB34" s="63"/>
      <c r="OYC34" s="63"/>
      <c r="OYD34" s="63"/>
      <c r="OYE34" s="63"/>
      <c r="OYF34" s="63"/>
      <c r="OYG34" s="63"/>
      <c r="OYH34" s="63"/>
      <c r="OYI34" s="63"/>
      <c r="OYJ34" s="63"/>
      <c r="OYK34" s="63"/>
      <c r="OYL34" s="63"/>
      <c r="OYM34" s="63"/>
      <c r="OYN34" s="63"/>
      <c r="OYO34" s="63"/>
      <c r="OYP34" s="63"/>
      <c r="OYQ34" s="63"/>
      <c r="OYR34" s="63"/>
      <c r="OYS34" s="63"/>
      <c r="OYT34" s="63"/>
      <c r="OYU34" s="63"/>
      <c r="OYV34" s="63"/>
      <c r="OYW34" s="63"/>
      <c r="OYX34" s="63"/>
      <c r="OYY34" s="63"/>
      <c r="OYZ34" s="63"/>
      <c r="OZA34" s="63"/>
      <c r="OZB34" s="63"/>
      <c r="OZC34" s="63"/>
      <c r="OZD34" s="63"/>
      <c r="OZE34" s="63"/>
      <c r="OZF34" s="63"/>
      <c r="OZG34" s="63"/>
      <c r="OZH34" s="63"/>
      <c r="OZI34" s="63"/>
      <c r="OZJ34" s="63"/>
      <c r="OZK34" s="63"/>
      <c r="OZL34" s="63"/>
      <c r="OZM34" s="63"/>
      <c r="OZN34" s="63"/>
      <c r="OZO34" s="63"/>
      <c r="OZP34" s="63"/>
      <c r="OZQ34" s="63"/>
      <c r="OZR34" s="63"/>
      <c r="OZS34" s="63"/>
      <c r="OZT34" s="63"/>
      <c r="OZU34" s="63"/>
      <c r="OZV34" s="63"/>
      <c r="OZW34" s="63"/>
      <c r="OZX34" s="63"/>
      <c r="OZY34" s="63"/>
      <c r="OZZ34" s="63"/>
      <c r="PAA34" s="63"/>
      <c r="PAB34" s="63"/>
      <c r="PAC34" s="63"/>
      <c r="PAD34" s="63"/>
      <c r="PAE34" s="63"/>
      <c r="PAF34" s="63"/>
      <c r="PAG34" s="63"/>
      <c r="PAH34" s="63"/>
      <c r="PAI34" s="63"/>
      <c r="PAJ34" s="63"/>
      <c r="PAK34" s="63"/>
      <c r="PAL34" s="63"/>
      <c r="PAM34" s="63"/>
      <c r="PAN34" s="63"/>
      <c r="PAO34" s="63"/>
      <c r="PAP34" s="63"/>
      <c r="PAQ34" s="63"/>
      <c r="PAR34" s="63"/>
      <c r="PAS34" s="63"/>
      <c r="PAT34" s="63"/>
      <c r="PAU34" s="63"/>
      <c r="PAV34" s="63"/>
      <c r="PAW34" s="63"/>
      <c r="PAX34" s="63"/>
      <c r="PAY34" s="63"/>
      <c r="PAZ34" s="63"/>
      <c r="PBA34" s="63"/>
      <c r="PBB34" s="63"/>
      <c r="PBC34" s="63"/>
      <c r="PBD34" s="63"/>
      <c r="PBE34" s="63"/>
      <c r="PBF34" s="63"/>
      <c r="PBG34" s="63"/>
      <c r="PBH34" s="63"/>
      <c r="PBI34" s="63"/>
      <c r="PBJ34" s="63"/>
      <c r="PBK34" s="63"/>
      <c r="PBL34" s="63"/>
      <c r="PBM34" s="63"/>
      <c r="PBN34" s="63"/>
      <c r="PBO34" s="63"/>
      <c r="PBP34" s="63"/>
      <c r="PBQ34" s="63"/>
      <c r="PBR34" s="63"/>
      <c r="PBS34" s="63"/>
      <c r="PBT34" s="63"/>
      <c r="PBU34" s="63"/>
      <c r="PBV34" s="63"/>
      <c r="PBW34" s="63"/>
      <c r="PBX34" s="63"/>
      <c r="PBY34" s="63"/>
      <c r="PBZ34" s="63"/>
      <c r="PCA34" s="63"/>
      <c r="PCB34" s="63"/>
      <c r="PCC34" s="63"/>
      <c r="PCD34" s="63"/>
      <c r="PCE34" s="63"/>
      <c r="PCF34" s="63"/>
      <c r="PCG34" s="63"/>
      <c r="PCH34" s="63"/>
      <c r="PCI34" s="63"/>
      <c r="PCJ34" s="63"/>
      <c r="PCK34" s="63"/>
      <c r="PCL34" s="63"/>
      <c r="PCM34" s="63"/>
      <c r="PCN34" s="63"/>
      <c r="PCO34" s="63"/>
      <c r="PCP34" s="63"/>
      <c r="PCQ34" s="63"/>
      <c r="PCR34" s="63"/>
      <c r="PCS34" s="63"/>
      <c r="PCT34" s="63"/>
      <c r="PCU34" s="63"/>
      <c r="PCV34" s="63"/>
      <c r="PCW34" s="63"/>
      <c r="PCX34" s="63"/>
      <c r="PCY34" s="63"/>
      <c r="PCZ34" s="63"/>
      <c r="PDA34" s="63"/>
      <c r="PDB34" s="63"/>
      <c r="PDC34" s="63"/>
      <c r="PDD34" s="63"/>
      <c r="PDE34" s="63"/>
      <c r="PDF34" s="63"/>
      <c r="PDG34" s="63"/>
      <c r="PDH34" s="63"/>
      <c r="PDI34" s="63"/>
      <c r="PDJ34" s="63"/>
      <c r="PDK34" s="63"/>
      <c r="PDL34" s="63"/>
      <c r="PDM34" s="63"/>
      <c r="PDN34" s="63"/>
      <c r="PDO34" s="63"/>
      <c r="PDP34" s="63"/>
      <c r="PDQ34" s="63"/>
      <c r="PDR34" s="63"/>
      <c r="PDS34" s="63"/>
      <c r="PDT34" s="63"/>
      <c r="PDU34" s="63"/>
      <c r="PDV34" s="63"/>
      <c r="PDW34" s="63"/>
      <c r="PDX34" s="63"/>
      <c r="PDY34" s="63"/>
      <c r="PDZ34" s="63"/>
      <c r="PEA34" s="63"/>
      <c r="PEB34" s="63"/>
      <c r="PEC34" s="63"/>
      <c r="PED34" s="63"/>
      <c r="PEE34" s="63"/>
      <c r="PEF34" s="63"/>
      <c r="PEG34" s="63"/>
      <c r="PEH34" s="63"/>
      <c r="PEI34" s="63"/>
      <c r="PEJ34" s="63"/>
      <c r="PEK34" s="63"/>
      <c r="PEL34" s="63"/>
      <c r="PEM34" s="63"/>
      <c r="PEN34" s="63"/>
      <c r="PEO34" s="63"/>
      <c r="PEP34" s="63"/>
      <c r="PEQ34" s="63"/>
      <c r="PER34" s="63"/>
      <c r="PES34" s="63"/>
      <c r="PET34" s="63"/>
      <c r="PEU34" s="63"/>
      <c r="PEV34" s="63"/>
      <c r="PEW34" s="63"/>
      <c r="PEX34" s="63"/>
      <c r="PEY34" s="63"/>
      <c r="PEZ34" s="63"/>
      <c r="PFA34" s="63"/>
      <c r="PFB34" s="63"/>
      <c r="PFC34" s="63"/>
      <c r="PFD34" s="63"/>
      <c r="PFE34" s="63"/>
      <c r="PFF34" s="63"/>
      <c r="PFG34" s="63"/>
      <c r="PFH34" s="63"/>
      <c r="PFI34" s="63"/>
      <c r="PFJ34" s="63"/>
      <c r="PFK34" s="63"/>
      <c r="PFL34" s="63"/>
      <c r="PFM34" s="63"/>
      <c r="PFN34" s="63"/>
      <c r="PFO34" s="63"/>
      <c r="PFP34" s="63"/>
      <c r="PFQ34" s="63"/>
      <c r="PFR34" s="63"/>
      <c r="PFS34" s="63"/>
      <c r="PFT34" s="63"/>
      <c r="PFU34" s="63"/>
      <c r="PFV34" s="63"/>
      <c r="PFW34" s="63"/>
      <c r="PFX34" s="63"/>
      <c r="PFY34" s="63"/>
      <c r="PFZ34" s="63"/>
      <c r="PGA34" s="63"/>
      <c r="PGB34" s="63"/>
      <c r="PGC34" s="63"/>
      <c r="PGD34" s="63"/>
      <c r="PGE34" s="63"/>
      <c r="PGF34" s="63"/>
      <c r="PGG34" s="63"/>
      <c r="PGH34" s="63"/>
      <c r="PGI34" s="63"/>
      <c r="PGJ34" s="63"/>
      <c r="PGK34" s="63"/>
      <c r="PGL34" s="63"/>
      <c r="PGM34" s="63"/>
      <c r="PGN34" s="63"/>
      <c r="PGO34" s="63"/>
      <c r="PGP34" s="63"/>
      <c r="PGQ34" s="63"/>
      <c r="PGR34" s="63"/>
      <c r="PGS34" s="63"/>
      <c r="PGT34" s="63"/>
      <c r="PGU34" s="63"/>
      <c r="PGV34" s="63"/>
      <c r="PGW34" s="63"/>
      <c r="PGX34" s="63"/>
      <c r="PGY34" s="63"/>
      <c r="PGZ34" s="63"/>
      <c r="PHA34" s="63"/>
      <c r="PHB34" s="63"/>
      <c r="PHC34" s="63"/>
      <c r="PHD34" s="63"/>
      <c r="PHE34" s="63"/>
      <c r="PHF34" s="63"/>
      <c r="PHG34" s="63"/>
      <c r="PHH34" s="63"/>
      <c r="PHI34" s="63"/>
      <c r="PHJ34" s="63"/>
      <c r="PHK34" s="63"/>
      <c r="PHL34" s="63"/>
      <c r="PHM34" s="63"/>
      <c r="PHN34" s="63"/>
      <c r="PHO34" s="63"/>
      <c r="PHP34" s="63"/>
      <c r="PHQ34" s="63"/>
      <c r="PHR34" s="63"/>
      <c r="PHS34" s="63"/>
      <c r="PHT34" s="63"/>
      <c r="PHU34" s="63"/>
      <c r="PHV34" s="63"/>
      <c r="PHW34" s="63"/>
      <c r="PHX34" s="63"/>
      <c r="PHY34" s="63"/>
      <c r="PHZ34" s="63"/>
      <c r="PIA34" s="63"/>
      <c r="PIB34" s="63"/>
      <c r="PIC34" s="63"/>
      <c r="PID34" s="63"/>
      <c r="PIE34" s="63"/>
      <c r="PIF34" s="63"/>
      <c r="PIG34" s="63"/>
      <c r="PIH34" s="63"/>
      <c r="PII34" s="63"/>
      <c r="PIJ34" s="63"/>
      <c r="PIK34" s="63"/>
      <c r="PIL34" s="63"/>
      <c r="PIM34" s="63"/>
      <c r="PIN34" s="63"/>
      <c r="PIO34" s="63"/>
      <c r="PIP34" s="63"/>
      <c r="PIQ34" s="63"/>
      <c r="PIR34" s="63"/>
      <c r="PIS34" s="63"/>
      <c r="PIT34" s="63"/>
      <c r="PIU34" s="63"/>
      <c r="PIV34" s="63"/>
      <c r="PIW34" s="63"/>
      <c r="PIX34" s="63"/>
      <c r="PIY34" s="63"/>
      <c r="PIZ34" s="63"/>
      <c r="PJA34" s="63"/>
      <c r="PJB34" s="63"/>
      <c r="PJC34" s="63"/>
      <c r="PJD34" s="63"/>
      <c r="PJE34" s="63"/>
      <c r="PJF34" s="63"/>
      <c r="PJG34" s="63"/>
      <c r="PJH34" s="63"/>
      <c r="PJI34" s="63"/>
      <c r="PJJ34" s="63"/>
      <c r="PJK34" s="63"/>
      <c r="PJL34" s="63"/>
      <c r="PJM34" s="63"/>
      <c r="PJN34" s="63"/>
      <c r="PJO34" s="63"/>
      <c r="PJP34" s="63"/>
      <c r="PJQ34" s="63"/>
      <c r="PJR34" s="63"/>
      <c r="PJS34" s="63"/>
      <c r="PJT34" s="63"/>
      <c r="PJU34" s="63"/>
      <c r="PJV34" s="63"/>
      <c r="PJW34" s="63"/>
      <c r="PJX34" s="63"/>
      <c r="PJY34" s="63"/>
      <c r="PJZ34" s="63"/>
      <c r="PKA34" s="63"/>
      <c r="PKB34" s="63"/>
      <c r="PKC34" s="63"/>
      <c r="PKD34" s="63"/>
      <c r="PKE34" s="63"/>
      <c r="PKF34" s="63"/>
      <c r="PKG34" s="63"/>
      <c r="PKH34" s="63"/>
      <c r="PKI34" s="63"/>
      <c r="PKJ34" s="63"/>
      <c r="PKK34" s="63"/>
      <c r="PKL34" s="63"/>
      <c r="PKM34" s="63"/>
      <c r="PKN34" s="63"/>
      <c r="PKO34" s="63"/>
      <c r="PKP34" s="63"/>
      <c r="PKQ34" s="63"/>
      <c r="PKR34" s="63"/>
      <c r="PKS34" s="63"/>
      <c r="PKT34" s="63"/>
      <c r="PKU34" s="63"/>
      <c r="PKV34" s="63"/>
      <c r="PKW34" s="63"/>
      <c r="PKX34" s="63"/>
      <c r="PKY34" s="63"/>
      <c r="PKZ34" s="63"/>
      <c r="PLA34" s="63"/>
      <c r="PLB34" s="63"/>
      <c r="PLC34" s="63"/>
      <c r="PLD34" s="63"/>
      <c r="PLE34" s="63"/>
      <c r="PLF34" s="63"/>
      <c r="PLG34" s="63"/>
      <c r="PLH34" s="63"/>
      <c r="PLI34" s="63"/>
      <c r="PLJ34" s="63"/>
      <c r="PLK34" s="63"/>
      <c r="PLL34" s="63"/>
      <c r="PLM34" s="63"/>
      <c r="PLN34" s="63"/>
      <c r="PLO34" s="63"/>
      <c r="PLP34" s="63"/>
      <c r="PLQ34" s="63"/>
      <c r="PLR34" s="63"/>
      <c r="PLS34" s="63"/>
      <c r="PLT34" s="63"/>
      <c r="PLU34" s="63"/>
      <c r="PLV34" s="63"/>
      <c r="PLW34" s="63"/>
      <c r="PLX34" s="63"/>
      <c r="PLY34" s="63"/>
      <c r="PLZ34" s="63"/>
      <c r="PMA34" s="63"/>
      <c r="PMB34" s="63"/>
      <c r="PMC34" s="63"/>
      <c r="PMD34" s="63"/>
      <c r="PME34" s="63"/>
      <c r="PMF34" s="63"/>
      <c r="PMG34" s="63"/>
      <c r="PMH34" s="63"/>
      <c r="PMI34" s="63"/>
      <c r="PMJ34" s="63"/>
      <c r="PMK34" s="63"/>
      <c r="PML34" s="63"/>
      <c r="PMM34" s="63"/>
      <c r="PMN34" s="63"/>
      <c r="PMO34" s="63"/>
      <c r="PMP34" s="63"/>
      <c r="PMQ34" s="63"/>
      <c r="PMR34" s="63"/>
      <c r="PMS34" s="63"/>
      <c r="PMT34" s="63"/>
      <c r="PMU34" s="63"/>
      <c r="PMV34" s="63"/>
      <c r="PMW34" s="63"/>
      <c r="PMX34" s="63"/>
      <c r="PMY34" s="63"/>
      <c r="PMZ34" s="63"/>
      <c r="PNA34" s="63"/>
      <c r="PNB34" s="63"/>
      <c r="PNC34" s="63"/>
      <c r="PND34" s="63"/>
      <c r="PNE34" s="63"/>
      <c r="PNF34" s="63"/>
      <c r="PNG34" s="63"/>
      <c r="PNH34" s="63"/>
      <c r="PNI34" s="63"/>
      <c r="PNJ34" s="63"/>
      <c r="PNK34" s="63"/>
      <c r="PNL34" s="63"/>
      <c r="PNM34" s="63"/>
      <c r="PNN34" s="63"/>
      <c r="PNO34" s="63"/>
      <c r="PNP34" s="63"/>
      <c r="PNQ34" s="63"/>
      <c r="PNR34" s="63"/>
      <c r="PNS34" s="63"/>
      <c r="PNT34" s="63"/>
      <c r="PNU34" s="63"/>
      <c r="PNV34" s="63"/>
      <c r="PNW34" s="63"/>
      <c r="PNX34" s="63"/>
      <c r="PNY34" s="63"/>
      <c r="PNZ34" s="63"/>
      <c r="POA34" s="63"/>
      <c r="POB34" s="63"/>
      <c r="POC34" s="63"/>
      <c r="POD34" s="63"/>
      <c r="POE34" s="63"/>
      <c r="POF34" s="63"/>
      <c r="POG34" s="63"/>
      <c r="POH34" s="63"/>
      <c r="POI34" s="63"/>
      <c r="POJ34" s="63"/>
      <c r="POK34" s="63"/>
      <c r="POL34" s="63"/>
      <c r="POM34" s="63"/>
      <c r="PON34" s="63"/>
      <c r="POO34" s="63"/>
      <c r="POP34" s="63"/>
      <c r="POQ34" s="63"/>
      <c r="POR34" s="63"/>
      <c r="POS34" s="63"/>
      <c r="POT34" s="63"/>
      <c r="POU34" s="63"/>
      <c r="POV34" s="63"/>
      <c r="POW34" s="63"/>
      <c r="POX34" s="63"/>
      <c r="POY34" s="63"/>
      <c r="POZ34" s="63"/>
      <c r="PPA34" s="63"/>
      <c r="PPB34" s="63"/>
      <c r="PPC34" s="63"/>
      <c r="PPD34" s="63"/>
      <c r="PPE34" s="63"/>
      <c r="PPF34" s="63"/>
      <c r="PPG34" s="63"/>
      <c r="PPH34" s="63"/>
      <c r="PPI34" s="63"/>
      <c r="PPJ34" s="63"/>
      <c r="PPK34" s="63"/>
      <c r="PPL34" s="63"/>
      <c r="PPM34" s="63"/>
      <c r="PPN34" s="63"/>
      <c r="PPO34" s="63"/>
      <c r="PPP34" s="63"/>
      <c r="PPQ34" s="63"/>
      <c r="PPR34" s="63"/>
      <c r="PPS34" s="63"/>
      <c r="PPT34" s="63"/>
      <c r="PPU34" s="63"/>
      <c r="PPV34" s="63"/>
      <c r="PPW34" s="63"/>
      <c r="PPX34" s="63"/>
      <c r="PPY34" s="63"/>
      <c r="PPZ34" s="63"/>
      <c r="PQA34" s="63"/>
      <c r="PQB34" s="63"/>
      <c r="PQC34" s="63"/>
      <c r="PQD34" s="63"/>
      <c r="PQE34" s="63"/>
      <c r="PQF34" s="63"/>
      <c r="PQG34" s="63"/>
      <c r="PQH34" s="63"/>
      <c r="PQI34" s="63"/>
      <c r="PQJ34" s="63"/>
      <c r="PQK34" s="63"/>
      <c r="PQL34" s="63"/>
      <c r="PQM34" s="63"/>
      <c r="PQN34" s="63"/>
      <c r="PQO34" s="63"/>
      <c r="PQP34" s="63"/>
      <c r="PQQ34" s="63"/>
      <c r="PQR34" s="63"/>
      <c r="PQS34" s="63"/>
      <c r="PQT34" s="63"/>
      <c r="PQU34" s="63"/>
      <c r="PQV34" s="63"/>
      <c r="PQW34" s="63"/>
      <c r="PQX34" s="63"/>
      <c r="PQY34" s="63"/>
      <c r="PQZ34" s="63"/>
      <c r="PRA34" s="63"/>
      <c r="PRB34" s="63"/>
      <c r="PRC34" s="63"/>
      <c r="PRD34" s="63"/>
      <c r="PRE34" s="63"/>
      <c r="PRF34" s="63"/>
      <c r="PRG34" s="63"/>
      <c r="PRH34" s="63"/>
      <c r="PRI34" s="63"/>
      <c r="PRJ34" s="63"/>
      <c r="PRK34" s="63"/>
      <c r="PRL34" s="63"/>
      <c r="PRM34" s="63"/>
      <c r="PRN34" s="63"/>
      <c r="PRO34" s="63"/>
      <c r="PRP34" s="63"/>
      <c r="PRQ34" s="63"/>
      <c r="PRR34" s="63"/>
      <c r="PRS34" s="63"/>
      <c r="PRT34" s="63"/>
      <c r="PRU34" s="63"/>
      <c r="PRV34" s="63"/>
      <c r="PRW34" s="63"/>
      <c r="PRX34" s="63"/>
      <c r="PRY34" s="63"/>
      <c r="PRZ34" s="63"/>
      <c r="PSA34" s="63"/>
      <c r="PSB34" s="63"/>
      <c r="PSC34" s="63"/>
      <c r="PSD34" s="63"/>
      <c r="PSE34" s="63"/>
      <c r="PSF34" s="63"/>
      <c r="PSG34" s="63"/>
      <c r="PSH34" s="63"/>
      <c r="PSI34" s="63"/>
      <c r="PSJ34" s="63"/>
      <c r="PSK34" s="63"/>
      <c r="PSL34" s="63"/>
      <c r="PSM34" s="63"/>
      <c r="PSN34" s="63"/>
      <c r="PSO34" s="63"/>
      <c r="PSP34" s="63"/>
      <c r="PSQ34" s="63"/>
      <c r="PSR34" s="63"/>
      <c r="PSS34" s="63"/>
      <c r="PST34" s="63"/>
      <c r="PSU34" s="63"/>
      <c r="PSV34" s="63"/>
      <c r="PSW34" s="63"/>
      <c r="PSX34" s="63"/>
      <c r="PSY34" s="63"/>
      <c r="PSZ34" s="63"/>
      <c r="PTA34" s="63"/>
      <c r="PTB34" s="63"/>
      <c r="PTC34" s="63"/>
      <c r="PTD34" s="63"/>
      <c r="PTE34" s="63"/>
      <c r="PTF34" s="63"/>
      <c r="PTG34" s="63"/>
      <c r="PTH34" s="63"/>
      <c r="PTI34" s="63"/>
      <c r="PTJ34" s="63"/>
      <c r="PTK34" s="63"/>
      <c r="PTL34" s="63"/>
      <c r="PTM34" s="63"/>
      <c r="PTN34" s="63"/>
      <c r="PTO34" s="63"/>
      <c r="PTP34" s="63"/>
      <c r="PTQ34" s="63"/>
      <c r="PTR34" s="63"/>
      <c r="PTS34" s="63"/>
      <c r="PTT34" s="63"/>
      <c r="PTU34" s="63"/>
      <c r="PTV34" s="63"/>
      <c r="PTW34" s="63"/>
      <c r="PTX34" s="63"/>
      <c r="PTY34" s="63"/>
      <c r="PTZ34" s="63"/>
      <c r="PUA34" s="63"/>
      <c r="PUB34" s="63"/>
      <c r="PUC34" s="63"/>
      <c r="PUD34" s="63"/>
      <c r="PUE34" s="63"/>
      <c r="PUF34" s="63"/>
      <c r="PUG34" s="63"/>
      <c r="PUH34" s="63"/>
      <c r="PUI34" s="63"/>
      <c r="PUJ34" s="63"/>
      <c r="PUK34" s="63"/>
      <c r="PUL34" s="63"/>
      <c r="PUM34" s="63"/>
      <c r="PUN34" s="63"/>
      <c r="PUO34" s="63"/>
      <c r="PUP34" s="63"/>
      <c r="PUQ34" s="63"/>
      <c r="PUR34" s="63"/>
      <c r="PUS34" s="63"/>
      <c r="PUT34" s="63"/>
      <c r="PUU34" s="63"/>
      <c r="PUV34" s="63"/>
      <c r="PUW34" s="63"/>
      <c r="PUX34" s="63"/>
      <c r="PUY34" s="63"/>
      <c r="PUZ34" s="63"/>
      <c r="PVA34" s="63"/>
      <c r="PVB34" s="63"/>
      <c r="PVC34" s="63"/>
      <c r="PVD34" s="63"/>
      <c r="PVE34" s="63"/>
      <c r="PVF34" s="63"/>
      <c r="PVG34" s="63"/>
      <c r="PVH34" s="63"/>
      <c r="PVI34" s="63"/>
      <c r="PVJ34" s="63"/>
      <c r="PVK34" s="63"/>
      <c r="PVL34" s="63"/>
      <c r="PVM34" s="63"/>
      <c r="PVN34" s="63"/>
      <c r="PVO34" s="63"/>
      <c r="PVP34" s="63"/>
      <c r="PVQ34" s="63"/>
      <c r="PVR34" s="63"/>
      <c r="PVS34" s="63"/>
      <c r="PVT34" s="63"/>
      <c r="PVU34" s="63"/>
      <c r="PVV34" s="63"/>
      <c r="PVW34" s="63"/>
      <c r="PVX34" s="63"/>
      <c r="PVY34" s="63"/>
      <c r="PVZ34" s="63"/>
      <c r="PWA34" s="63"/>
      <c r="PWB34" s="63"/>
      <c r="PWC34" s="63"/>
      <c r="PWD34" s="63"/>
      <c r="PWE34" s="63"/>
      <c r="PWF34" s="63"/>
      <c r="PWG34" s="63"/>
      <c r="PWH34" s="63"/>
      <c r="PWI34" s="63"/>
      <c r="PWJ34" s="63"/>
      <c r="PWK34" s="63"/>
      <c r="PWL34" s="63"/>
      <c r="PWM34" s="63"/>
      <c r="PWN34" s="63"/>
      <c r="PWO34" s="63"/>
      <c r="PWP34" s="63"/>
      <c r="PWQ34" s="63"/>
      <c r="PWR34" s="63"/>
      <c r="PWS34" s="63"/>
      <c r="PWT34" s="63"/>
      <c r="PWU34" s="63"/>
      <c r="PWV34" s="63"/>
      <c r="PWW34" s="63"/>
      <c r="PWX34" s="63"/>
      <c r="PWY34" s="63"/>
      <c r="PWZ34" s="63"/>
      <c r="PXA34" s="63"/>
      <c r="PXB34" s="63"/>
      <c r="PXC34" s="63"/>
      <c r="PXD34" s="63"/>
      <c r="PXE34" s="63"/>
      <c r="PXF34" s="63"/>
      <c r="PXG34" s="63"/>
      <c r="PXH34" s="63"/>
      <c r="PXI34" s="63"/>
      <c r="PXJ34" s="63"/>
      <c r="PXK34" s="63"/>
      <c r="PXL34" s="63"/>
      <c r="PXM34" s="63"/>
      <c r="PXN34" s="63"/>
      <c r="PXO34" s="63"/>
      <c r="PXP34" s="63"/>
      <c r="PXQ34" s="63"/>
      <c r="PXR34" s="63"/>
      <c r="PXS34" s="63"/>
      <c r="PXT34" s="63"/>
      <c r="PXU34" s="63"/>
      <c r="PXV34" s="63"/>
      <c r="PXW34" s="63"/>
      <c r="PXX34" s="63"/>
      <c r="PXY34" s="63"/>
      <c r="PXZ34" s="63"/>
      <c r="PYA34" s="63"/>
      <c r="PYB34" s="63"/>
      <c r="PYC34" s="63"/>
      <c r="PYD34" s="63"/>
      <c r="PYE34" s="63"/>
      <c r="PYF34" s="63"/>
      <c r="PYG34" s="63"/>
      <c r="PYH34" s="63"/>
      <c r="PYI34" s="63"/>
      <c r="PYJ34" s="63"/>
      <c r="PYK34" s="63"/>
      <c r="PYL34" s="63"/>
      <c r="PYM34" s="63"/>
      <c r="PYN34" s="63"/>
      <c r="PYO34" s="63"/>
      <c r="PYP34" s="63"/>
      <c r="PYQ34" s="63"/>
      <c r="PYR34" s="63"/>
      <c r="PYS34" s="63"/>
      <c r="PYT34" s="63"/>
      <c r="PYU34" s="63"/>
      <c r="PYV34" s="63"/>
      <c r="PYW34" s="63"/>
      <c r="PYX34" s="63"/>
      <c r="PYY34" s="63"/>
      <c r="PYZ34" s="63"/>
      <c r="PZA34" s="63"/>
      <c r="PZB34" s="63"/>
      <c r="PZC34" s="63"/>
      <c r="PZD34" s="63"/>
      <c r="PZE34" s="63"/>
      <c r="PZF34" s="63"/>
      <c r="PZG34" s="63"/>
      <c r="PZH34" s="63"/>
      <c r="PZI34" s="63"/>
      <c r="PZJ34" s="63"/>
      <c r="PZK34" s="63"/>
      <c r="PZL34" s="63"/>
      <c r="PZM34" s="63"/>
      <c r="PZN34" s="63"/>
      <c r="PZO34" s="63"/>
      <c r="PZP34" s="63"/>
      <c r="PZQ34" s="63"/>
      <c r="PZR34" s="63"/>
      <c r="PZS34" s="63"/>
      <c r="PZT34" s="63"/>
      <c r="PZU34" s="63"/>
      <c r="PZV34" s="63"/>
      <c r="PZW34" s="63"/>
      <c r="PZX34" s="63"/>
      <c r="PZY34" s="63"/>
      <c r="PZZ34" s="63"/>
      <c r="QAA34" s="63"/>
      <c r="QAB34" s="63"/>
      <c r="QAC34" s="63"/>
      <c r="QAD34" s="63"/>
      <c r="QAE34" s="63"/>
      <c r="QAF34" s="63"/>
      <c r="QAG34" s="63"/>
      <c r="QAH34" s="63"/>
      <c r="QAI34" s="63"/>
      <c r="QAJ34" s="63"/>
      <c r="QAK34" s="63"/>
      <c r="QAL34" s="63"/>
      <c r="QAM34" s="63"/>
      <c r="QAN34" s="63"/>
      <c r="QAO34" s="63"/>
      <c r="QAP34" s="63"/>
      <c r="QAQ34" s="63"/>
      <c r="QAR34" s="63"/>
      <c r="QAS34" s="63"/>
      <c r="QAT34" s="63"/>
      <c r="QAU34" s="63"/>
      <c r="QAV34" s="63"/>
      <c r="QAW34" s="63"/>
      <c r="QAX34" s="63"/>
      <c r="QAY34" s="63"/>
      <c r="QAZ34" s="63"/>
      <c r="QBA34" s="63"/>
      <c r="QBB34" s="63"/>
      <c r="QBC34" s="63"/>
      <c r="QBD34" s="63"/>
      <c r="QBE34" s="63"/>
      <c r="QBF34" s="63"/>
      <c r="QBG34" s="63"/>
      <c r="QBH34" s="63"/>
      <c r="QBI34" s="63"/>
      <c r="QBJ34" s="63"/>
      <c r="QBK34" s="63"/>
      <c r="QBL34" s="63"/>
      <c r="QBM34" s="63"/>
      <c r="QBN34" s="63"/>
      <c r="QBO34" s="63"/>
      <c r="QBP34" s="63"/>
      <c r="QBQ34" s="63"/>
      <c r="QBR34" s="63"/>
      <c r="QBS34" s="63"/>
      <c r="QBT34" s="63"/>
      <c r="QBU34" s="63"/>
      <c r="QBV34" s="63"/>
      <c r="QBW34" s="63"/>
      <c r="QBX34" s="63"/>
      <c r="QBY34" s="63"/>
      <c r="QBZ34" s="63"/>
      <c r="QCA34" s="63"/>
      <c r="QCB34" s="63"/>
      <c r="QCC34" s="63"/>
      <c r="QCD34" s="63"/>
      <c r="QCE34" s="63"/>
      <c r="QCF34" s="63"/>
      <c r="QCG34" s="63"/>
      <c r="QCH34" s="63"/>
      <c r="QCI34" s="63"/>
      <c r="QCJ34" s="63"/>
      <c r="QCK34" s="63"/>
      <c r="QCL34" s="63"/>
      <c r="QCM34" s="63"/>
      <c r="QCN34" s="63"/>
      <c r="QCO34" s="63"/>
      <c r="QCP34" s="63"/>
      <c r="QCQ34" s="63"/>
      <c r="QCR34" s="63"/>
      <c r="QCS34" s="63"/>
      <c r="QCT34" s="63"/>
      <c r="QCU34" s="63"/>
      <c r="QCV34" s="63"/>
      <c r="QCW34" s="63"/>
      <c r="QCX34" s="63"/>
      <c r="QCY34" s="63"/>
      <c r="QCZ34" s="63"/>
      <c r="QDA34" s="63"/>
      <c r="QDB34" s="63"/>
      <c r="QDC34" s="63"/>
      <c r="QDD34" s="63"/>
      <c r="QDE34" s="63"/>
      <c r="QDF34" s="63"/>
      <c r="QDG34" s="63"/>
      <c r="QDH34" s="63"/>
      <c r="QDI34" s="63"/>
      <c r="QDJ34" s="63"/>
      <c r="QDK34" s="63"/>
      <c r="QDL34" s="63"/>
      <c r="QDM34" s="63"/>
      <c r="QDN34" s="63"/>
      <c r="QDO34" s="63"/>
      <c r="QDP34" s="63"/>
      <c r="QDQ34" s="63"/>
      <c r="QDR34" s="63"/>
      <c r="QDS34" s="63"/>
      <c r="QDT34" s="63"/>
      <c r="QDU34" s="63"/>
      <c r="QDV34" s="63"/>
      <c r="QDW34" s="63"/>
      <c r="QDX34" s="63"/>
      <c r="QDY34" s="63"/>
      <c r="QDZ34" s="63"/>
      <c r="QEA34" s="63"/>
      <c r="QEB34" s="63"/>
      <c r="QEC34" s="63"/>
      <c r="QED34" s="63"/>
      <c r="QEE34" s="63"/>
      <c r="QEF34" s="63"/>
      <c r="QEG34" s="63"/>
      <c r="QEH34" s="63"/>
      <c r="QEI34" s="63"/>
      <c r="QEJ34" s="63"/>
      <c r="QEK34" s="63"/>
      <c r="QEL34" s="63"/>
      <c r="QEM34" s="63"/>
      <c r="QEN34" s="63"/>
      <c r="QEO34" s="63"/>
      <c r="QEP34" s="63"/>
      <c r="QEQ34" s="63"/>
      <c r="QER34" s="63"/>
      <c r="QES34" s="63"/>
      <c r="QET34" s="63"/>
      <c r="QEU34" s="63"/>
      <c r="QEV34" s="63"/>
      <c r="QEW34" s="63"/>
      <c r="QEX34" s="63"/>
      <c r="QEY34" s="63"/>
      <c r="QEZ34" s="63"/>
      <c r="QFA34" s="63"/>
      <c r="QFB34" s="63"/>
      <c r="QFC34" s="63"/>
      <c r="QFD34" s="63"/>
      <c r="QFE34" s="63"/>
      <c r="QFF34" s="63"/>
      <c r="QFG34" s="63"/>
      <c r="QFH34" s="63"/>
      <c r="QFI34" s="63"/>
      <c r="QFJ34" s="63"/>
      <c r="QFK34" s="63"/>
      <c r="QFL34" s="63"/>
      <c r="QFM34" s="63"/>
      <c r="QFN34" s="63"/>
      <c r="QFO34" s="63"/>
      <c r="QFP34" s="63"/>
      <c r="QFQ34" s="63"/>
      <c r="QFR34" s="63"/>
      <c r="QFS34" s="63"/>
      <c r="QFT34" s="63"/>
      <c r="QFU34" s="63"/>
      <c r="QFV34" s="63"/>
      <c r="QFW34" s="63"/>
      <c r="QFX34" s="63"/>
      <c r="QFY34" s="63"/>
      <c r="QFZ34" s="63"/>
      <c r="QGA34" s="63"/>
      <c r="QGB34" s="63"/>
      <c r="QGC34" s="63"/>
      <c r="QGD34" s="63"/>
      <c r="QGE34" s="63"/>
      <c r="QGF34" s="63"/>
      <c r="QGG34" s="63"/>
      <c r="QGH34" s="63"/>
      <c r="QGI34" s="63"/>
      <c r="QGJ34" s="63"/>
      <c r="QGK34" s="63"/>
      <c r="QGL34" s="63"/>
      <c r="QGM34" s="63"/>
      <c r="QGN34" s="63"/>
      <c r="QGO34" s="63"/>
      <c r="QGP34" s="63"/>
      <c r="QGQ34" s="63"/>
      <c r="QGR34" s="63"/>
      <c r="QGS34" s="63"/>
      <c r="QGT34" s="63"/>
      <c r="QGU34" s="63"/>
      <c r="QGV34" s="63"/>
      <c r="QGW34" s="63"/>
      <c r="QGX34" s="63"/>
      <c r="QGY34" s="63"/>
      <c r="QGZ34" s="63"/>
      <c r="QHA34" s="63"/>
      <c r="QHB34" s="63"/>
      <c r="QHC34" s="63"/>
      <c r="QHD34" s="63"/>
      <c r="QHE34" s="63"/>
      <c r="QHF34" s="63"/>
      <c r="QHG34" s="63"/>
      <c r="QHH34" s="63"/>
      <c r="QHI34" s="63"/>
      <c r="QHJ34" s="63"/>
      <c r="QHK34" s="63"/>
      <c r="QHL34" s="63"/>
      <c r="QHM34" s="63"/>
      <c r="QHN34" s="63"/>
      <c r="QHO34" s="63"/>
      <c r="QHP34" s="63"/>
      <c r="QHQ34" s="63"/>
      <c r="QHR34" s="63"/>
      <c r="QHS34" s="63"/>
      <c r="QHT34" s="63"/>
      <c r="QHU34" s="63"/>
      <c r="QHV34" s="63"/>
      <c r="QHW34" s="63"/>
      <c r="QHX34" s="63"/>
      <c r="QHY34" s="63"/>
      <c r="QHZ34" s="63"/>
      <c r="QIA34" s="63"/>
      <c r="QIB34" s="63"/>
      <c r="QIC34" s="63"/>
      <c r="QID34" s="63"/>
      <c r="QIE34" s="63"/>
      <c r="QIF34" s="63"/>
      <c r="QIG34" s="63"/>
      <c r="QIH34" s="63"/>
      <c r="QII34" s="63"/>
      <c r="QIJ34" s="63"/>
      <c r="QIK34" s="63"/>
      <c r="QIL34" s="63"/>
      <c r="QIM34" s="63"/>
      <c r="QIN34" s="63"/>
      <c r="QIO34" s="63"/>
      <c r="QIP34" s="63"/>
      <c r="QIQ34" s="63"/>
      <c r="QIR34" s="63"/>
      <c r="QIS34" s="63"/>
      <c r="QIT34" s="63"/>
      <c r="QIU34" s="63"/>
      <c r="QIV34" s="63"/>
      <c r="QIW34" s="63"/>
      <c r="QIX34" s="63"/>
      <c r="QIY34" s="63"/>
      <c r="QIZ34" s="63"/>
      <c r="QJA34" s="63"/>
      <c r="QJB34" s="63"/>
      <c r="QJC34" s="63"/>
      <c r="QJD34" s="63"/>
      <c r="QJE34" s="63"/>
      <c r="QJF34" s="63"/>
      <c r="QJG34" s="63"/>
      <c r="QJH34" s="63"/>
      <c r="QJI34" s="63"/>
      <c r="QJJ34" s="63"/>
      <c r="QJK34" s="63"/>
      <c r="QJL34" s="63"/>
      <c r="QJM34" s="63"/>
      <c r="QJN34" s="63"/>
      <c r="QJO34" s="63"/>
      <c r="QJP34" s="63"/>
      <c r="QJQ34" s="63"/>
      <c r="QJR34" s="63"/>
      <c r="QJS34" s="63"/>
      <c r="QJT34" s="63"/>
      <c r="QJU34" s="63"/>
      <c r="QJV34" s="63"/>
      <c r="QJW34" s="63"/>
      <c r="QJX34" s="63"/>
      <c r="QJY34" s="63"/>
      <c r="QJZ34" s="63"/>
      <c r="QKA34" s="63"/>
      <c r="QKB34" s="63"/>
      <c r="QKC34" s="63"/>
      <c r="QKD34" s="63"/>
      <c r="QKE34" s="63"/>
      <c r="QKF34" s="63"/>
      <c r="QKG34" s="63"/>
      <c r="QKH34" s="63"/>
      <c r="QKI34" s="63"/>
      <c r="QKJ34" s="63"/>
      <c r="QKK34" s="63"/>
      <c r="QKL34" s="63"/>
      <c r="QKM34" s="63"/>
      <c r="QKN34" s="63"/>
      <c r="QKO34" s="63"/>
      <c r="QKP34" s="63"/>
      <c r="QKQ34" s="63"/>
      <c r="QKR34" s="63"/>
      <c r="QKS34" s="63"/>
      <c r="QKT34" s="63"/>
      <c r="QKU34" s="63"/>
      <c r="QKV34" s="63"/>
      <c r="QKW34" s="63"/>
      <c r="QKX34" s="63"/>
      <c r="QKY34" s="63"/>
      <c r="QKZ34" s="63"/>
      <c r="QLA34" s="63"/>
      <c r="QLB34" s="63"/>
      <c r="QLC34" s="63"/>
      <c r="QLD34" s="63"/>
      <c r="QLE34" s="63"/>
      <c r="QLF34" s="63"/>
      <c r="QLG34" s="63"/>
      <c r="QLH34" s="63"/>
      <c r="QLI34" s="63"/>
      <c r="QLJ34" s="63"/>
      <c r="QLK34" s="63"/>
      <c r="QLL34" s="63"/>
      <c r="QLM34" s="63"/>
      <c r="QLN34" s="63"/>
      <c r="QLO34" s="63"/>
      <c r="QLP34" s="63"/>
      <c r="QLQ34" s="63"/>
      <c r="QLR34" s="63"/>
      <c r="QLS34" s="63"/>
      <c r="QLT34" s="63"/>
      <c r="QLU34" s="63"/>
      <c r="QLV34" s="63"/>
      <c r="QLW34" s="63"/>
      <c r="QLX34" s="63"/>
      <c r="QLY34" s="63"/>
      <c r="QLZ34" s="63"/>
      <c r="QMA34" s="63"/>
      <c r="QMB34" s="63"/>
      <c r="QMC34" s="63"/>
      <c r="QMD34" s="63"/>
      <c r="QME34" s="63"/>
      <c r="QMF34" s="63"/>
      <c r="QMG34" s="63"/>
      <c r="QMH34" s="63"/>
      <c r="QMI34" s="63"/>
      <c r="QMJ34" s="63"/>
      <c r="QMK34" s="63"/>
      <c r="QML34" s="63"/>
      <c r="QMM34" s="63"/>
      <c r="QMN34" s="63"/>
      <c r="QMO34" s="63"/>
      <c r="QMP34" s="63"/>
      <c r="QMQ34" s="63"/>
      <c r="QMR34" s="63"/>
      <c r="QMS34" s="63"/>
      <c r="QMT34" s="63"/>
      <c r="QMU34" s="63"/>
      <c r="QMV34" s="63"/>
      <c r="QMW34" s="63"/>
      <c r="QMX34" s="63"/>
      <c r="QMY34" s="63"/>
      <c r="QMZ34" s="63"/>
      <c r="QNA34" s="63"/>
      <c r="QNB34" s="63"/>
      <c r="QNC34" s="63"/>
      <c r="QND34" s="63"/>
      <c r="QNE34" s="63"/>
      <c r="QNF34" s="63"/>
      <c r="QNG34" s="63"/>
      <c r="QNH34" s="63"/>
      <c r="QNI34" s="63"/>
      <c r="QNJ34" s="63"/>
      <c r="QNK34" s="63"/>
      <c r="QNL34" s="63"/>
      <c r="QNM34" s="63"/>
      <c r="QNN34" s="63"/>
      <c r="QNO34" s="63"/>
      <c r="QNP34" s="63"/>
      <c r="QNQ34" s="63"/>
      <c r="QNR34" s="63"/>
      <c r="QNS34" s="63"/>
      <c r="QNT34" s="63"/>
      <c r="QNU34" s="63"/>
      <c r="QNV34" s="63"/>
      <c r="QNW34" s="63"/>
      <c r="QNX34" s="63"/>
      <c r="QNY34" s="63"/>
      <c r="QNZ34" s="63"/>
      <c r="QOA34" s="63"/>
      <c r="QOB34" s="63"/>
      <c r="QOC34" s="63"/>
      <c r="QOD34" s="63"/>
      <c r="QOE34" s="63"/>
      <c r="QOF34" s="63"/>
      <c r="QOG34" s="63"/>
      <c r="QOH34" s="63"/>
      <c r="QOI34" s="63"/>
      <c r="QOJ34" s="63"/>
      <c r="QOK34" s="63"/>
      <c r="QOL34" s="63"/>
      <c r="QOM34" s="63"/>
      <c r="QON34" s="63"/>
      <c r="QOO34" s="63"/>
      <c r="QOP34" s="63"/>
      <c r="QOQ34" s="63"/>
      <c r="QOR34" s="63"/>
      <c r="QOS34" s="63"/>
      <c r="QOT34" s="63"/>
      <c r="QOU34" s="63"/>
      <c r="QOV34" s="63"/>
      <c r="QOW34" s="63"/>
      <c r="QOX34" s="63"/>
      <c r="QOY34" s="63"/>
      <c r="QOZ34" s="63"/>
      <c r="QPA34" s="63"/>
      <c r="QPB34" s="63"/>
      <c r="QPC34" s="63"/>
      <c r="QPD34" s="63"/>
      <c r="QPE34" s="63"/>
      <c r="QPF34" s="63"/>
      <c r="QPG34" s="63"/>
      <c r="QPH34" s="63"/>
      <c r="QPI34" s="63"/>
      <c r="QPJ34" s="63"/>
      <c r="QPK34" s="63"/>
      <c r="QPL34" s="63"/>
      <c r="QPM34" s="63"/>
      <c r="QPN34" s="63"/>
      <c r="QPO34" s="63"/>
      <c r="QPP34" s="63"/>
      <c r="QPQ34" s="63"/>
      <c r="QPR34" s="63"/>
      <c r="QPS34" s="63"/>
      <c r="QPT34" s="63"/>
      <c r="QPU34" s="63"/>
      <c r="QPV34" s="63"/>
      <c r="QPW34" s="63"/>
      <c r="QPX34" s="63"/>
      <c r="QPY34" s="63"/>
      <c r="QPZ34" s="63"/>
      <c r="QQA34" s="63"/>
      <c r="QQB34" s="63"/>
      <c r="QQC34" s="63"/>
      <c r="QQD34" s="63"/>
      <c r="QQE34" s="63"/>
      <c r="QQF34" s="63"/>
      <c r="QQG34" s="63"/>
      <c r="QQH34" s="63"/>
      <c r="QQI34" s="63"/>
      <c r="QQJ34" s="63"/>
      <c r="QQK34" s="63"/>
      <c r="QQL34" s="63"/>
      <c r="QQM34" s="63"/>
      <c r="QQN34" s="63"/>
      <c r="QQO34" s="63"/>
      <c r="QQP34" s="63"/>
      <c r="QQQ34" s="63"/>
      <c r="QQR34" s="63"/>
      <c r="QQS34" s="63"/>
      <c r="QQT34" s="63"/>
      <c r="QQU34" s="63"/>
      <c r="QQV34" s="63"/>
      <c r="QQW34" s="63"/>
      <c r="QQX34" s="63"/>
      <c r="QQY34" s="63"/>
      <c r="QQZ34" s="63"/>
      <c r="QRA34" s="63"/>
      <c r="QRB34" s="63"/>
      <c r="QRC34" s="63"/>
      <c r="QRD34" s="63"/>
      <c r="QRE34" s="63"/>
      <c r="QRF34" s="63"/>
      <c r="QRG34" s="63"/>
      <c r="QRH34" s="63"/>
      <c r="QRI34" s="63"/>
      <c r="QRJ34" s="63"/>
      <c r="QRK34" s="63"/>
      <c r="QRL34" s="63"/>
      <c r="QRM34" s="63"/>
      <c r="QRN34" s="63"/>
      <c r="QRO34" s="63"/>
      <c r="QRP34" s="63"/>
      <c r="QRQ34" s="63"/>
      <c r="QRR34" s="63"/>
      <c r="QRS34" s="63"/>
      <c r="QRT34" s="63"/>
      <c r="QRU34" s="63"/>
      <c r="QRV34" s="63"/>
      <c r="QRW34" s="63"/>
      <c r="QRX34" s="63"/>
      <c r="QRY34" s="63"/>
      <c r="QRZ34" s="63"/>
      <c r="QSA34" s="63"/>
      <c r="QSB34" s="63"/>
      <c r="QSC34" s="63"/>
      <c r="QSD34" s="63"/>
      <c r="QSE34" s="63"/>
      <c r="QSF34" s="63"/>
      <c r="QSG34" s="63"/>
      <c r="QSH34" s="63"/>
      <c r="QSI34" s="63"/>
      <c r="QSJ34" s="63"/>
      <c r="QSK34" s="63"/>
      <c r="QSL34" s="63"/>
      <c r="QSM34" s="63"/>
      <c r="QSN34" s="63"/>
      <c r="QSO34" s="63"/>
      <c r="QSP34" s="63"/>
      <c r="QSQ34" s="63"/>
      <c r="QSR34" s="63"/>
      <c r="QSS34" s="63"/>
      <c r="QST34" s="63"/>
      <c r="QSU34" s="63"/>
      <c r="QSV34" s="63"/>
      <c r="QSW34" s="63"/>
      <c r="QSX34" s="63"/>
      <c r="QSY34" s="63"/>
      <c r="QSZ34" s="63"/>
      <c r="QTA34" s="63"/>
      <c r="QTB34" s="63"/>
      <c r="QTC34" s="63"/>
      <c r="QTD34" s="63"/>
      <c r="QTE34" s="63"/>
      <c r="QTF34" s="63"/>
      <c r="QTG34" s="63"/>
      <c r="QTH34" s="63"/>
      <c r="QTI34" s="63"/>
      <c r="QTJ34" s="63"/>
      <c r="QTK34" s="63"/>
      <c r="QTL34" s="63"/>
      <c r="QTM34" s="63"/>
      <c r="QTN34" s="63"/>
      <c r="QTO34" s="63"/>
      <c r="QTP34" s="63"/>
      <c r="QTQ34" s="63"/>
      <c r="QTR34" s="63"/>
      <c r="QTS34" s="63"/>
      <c r="QTT34" s="63"/>
      <c r="QTU34" s="63"/>
      <c r="QTV34" s="63"/>
      <c r="QTW34" s="63"/>
      <c r="QTX34" s="63"/>
      <c r="QTY34" s="63"/>
      <c r="QTZ34" s="63"/>
      <c r="QUA34" s="63"/>
      <c r="QUB34" s="63"/>
      <c r="QUC34" s="63"/>
      <c r="QUD34" s="63"/>
      <c r="QUE34" s="63"/>
      <c r="QUF34" s="63"/>
      <c r="QUG34" s="63"/>
      <c r="QUH34" s="63"/>
      <c r="QUI34" s="63"/>
      <c r="QUJ34" s="63"/>
      <c r="QUK34" s="63"/>
      <c r="QUL34" s="63"/>
      <c r="QUM34" s="63"/>
      <c r="QUN34" s="63"/>
      <c r="QUO34" s="63"/>
      <c r="QUP34" s="63"/>
      <c r="QUQ34" s="63"/>
      <c r="QUR34" s="63"/>
      <c r="QUS34" s="63"/>
      <c r="QUT34" s="63"/>
      <c r="QUU34" s="63"/>
      <c r="QUV34" s="63"/>
      <c r="QUW34" s="63"/>
      <c r="QUX34" s="63"/>
      <c r="QUY34" s="63"/>
      <c r="QUZ34" s="63"/>
      <c r="QVA34" s="63"/>
      <c r="QVB34" s="63"/>
      <c r="QVC34" s="63"/>
      <c r="QVD34" s="63"/>
      <c r="QVE34" s="63"/>
      <c r="QVF34" s="63"/>
      <c r="QVG34" s="63"/>
      <c r="QVH34" s="63"/>
      <c r="QVI34" s="63"/>
      <c r="QVJ34" s="63"/>
      <c r="QVK34" s="63"/>
      <c r="QVL34" s="63"/>
      <c r="QVM34" s="63"/>
      <c r="QVN34" s="63"/>
      <c r="QVO34" s="63"/>
      <c r="QVP34" s="63"/>
      <c r="QVQ34" s="63"/>
      <c r="QVR34" s="63"/>
      <c r="QVS34" s="63"/>
      <c r="QVT34" s="63"/>
      <c r="QVU34" s="63"/>
      <c r="QVV34" s="63"/>
      <c r="QVW34" s="63"/>
      <c r="QVX34" s="63"/>
      <c r="QVY34" s="63"/>
      <c r="QVZ34" s="63"/>
      <c r="QWA34" s="63"/>
      <c r="QWB34" s="63"/>
      <c r="QWC34" s="63"/>
      <c r="QWD34" s="63"/>
      <c r="QWE34" s="63"/>
      <c r="QWF34" s="63"/>
      <c r="QWG34" s="63"/>
      <c r="QWH34" s="63"/>
      <c r="QWI34" s="63"/>
      <c r="QWJ34" s="63"/>
      <c r="QWK34" s="63"/>
      <c r="QWL34" s="63"/>
      <c r="QWM34" s="63"/>
      <c r="QWN34" s="63"/>
      <c r="QWO34" s="63"/>
      <c r="QWP34" s="63"/>
      <c r="QWQ34" s="63"/>
      <c r="QWR34" s="63"/>
      <c r="QWS34" s="63"/>
      <c r="QWT34" s="63"/>
      <c r="QWU34" s="63"/>
      <c r="QWV34" s="63"/>
      <c r="QWW34" s="63"/>
      <c r="QWX34" s="63"/>
      <c r="QWY34" s="63"/>
      <c r="QWZ34" s="63"/>
      <c r="QXA34" s="63"/>
      <c r="QXB34" s="63"/>
      <c r="QXC34" s="63"/>
      <c r="QXD34" s="63"/>
      <c r="QXE34" s="63"/>
      <c r="QXF34" s="63"/>
      <c r="QXG34" s="63"/>
      <c r="QXH34" s="63"/>
      <c r="QXI34" s="63"/>
      <c r="QXJ34" s="63"/>
      <c r="QXK34" s="63"/>
      <c r="QXL34" s="63"/>
      <c r="QXM34" s="63"/>
      <c r="QXN34" s="63"/>
      <c r="QXO34" s="63"/>
      <c r="QXP34" s="63"/>
      <c r="QXQ34" s="63"/>
      <c r="QXR34" s="63"/>
      <c r="QXS34" s="63"/>
      <c r="QXT34" s="63"/>
      <c r="QXU34" s="63"/>
      <c r="QXV34" s="63"/>
      <c r="QXW34" s="63"/>
      <c r="QXX34" s="63"/>
      <c r="QXY34" s="63"/>
      <c r="QXZ34" s="63"/>
      <c r="QYA34" s="63"/>
      <c r="QYB34" s="63"/>
      <c r="QYC34" s="63"/>
      <c r="QYD34" s="63"/>
      <c r="QYE34" s="63"/>
      <c r="QYF34" s="63"/>
      <c r="QYG34" s="63"/>
      <c r="QYH34" s="63"/>
      <c r="QYI34" s="63"/>
      <c r="QYJ34" s="63"/>
      <c r="QYK34" s="63"/>
      <c r="QYL34" s="63"/>
      <c r="QYM34" s="63"/>
      <c r="QYN34" s="63"/>
      <c r="QYO34" s="63"/>
      <c r="QYP34" s="63"/>
      <c r="QYQ34" s="63"/>
      <c r="QYR34" s="63"/>
      <c r="QYS34" s="63"/>
      <c r="QYT34" s="63"/>
      <c r="QYU34" s="63"/>
      <c r="QYV34" s="63"/>
      <c r="QYW34" s="63"/>
      <c r="QYX34" s="63"/>
      <c r="QYY34" s="63"/>
      <c r="QYZ34" s="63"/>
      <c r="QZA34" s="63"/>
      <c r="QZB34" s="63"/>
      <c r="QZC34" s="63"/>
      <c r="QZD34" s="63"/>
      <c r="QZE34" s="63"/>
      <c r="QZF34" s="63"/>
      <c r="QZG34" s="63"/>
      <c r="QZH34" s="63"/>
      <c r="QZI34" s="63"/>
      <c r="QZJ34" s="63"/>
      <c r="QZK34" s="63"/>
      <c r="QZL34" s="63"/>
      <c r="QZM34" s="63"/>
      <c r="QZN34" s="63"/>
      <c r="QZO34" s="63"/>
      <c r="QZP34" s="63"/>
      <c r="QZQ34" s="63"/>
      <c r="QZR34" s="63"/>
      <c r="QZS34" s="63"/>
      <c r="QZT34" s="63"/>
      <c r="QZU34" s="63"/>
      <c r="QZV34" s="63"/>
      <c r="QZW34" s="63"/>
      <c r="QZX34" s="63"/>
      <c r="QZY34" s="63"/>
      <c r="QZZ34" s="63"/>
      <c r="RAA34" s="63"/>
      <c r="RAB34" s="63"/>
      <c r="RAC34" s="63"/>
      <c r="RAD34" s="63"/>
      <c r="RAE34" s="63"/>
      <c r="RAF34" s="63"/>
      <c r="RAG34" s="63"/>
      <c r="RAH34" s="63"/>
      <c r="RAI34" s="63"/>
      <c r="RAJ34" s="63"/>
      <c r="RAK34" s="63"/>
      <c r="RAL34" s="63"/>
      <c r="RAM34" s="63"/>
      <c r="RAN34" s="63"/>
      <c r="RAO34" s="63"/>
      <c r="RAP34" s="63"/>
      <c r="RAQ34" s="63"/>
      <c r="RAR34" s="63"/>
      <c r="RAS34" s="63"/>
      <c r="RAT34" s="63"/>
      <c r="RAU34" s="63"/>
      <c r="RAV34" s="63"/>
      <c r="RAW34" s="63"/>
      <c r="RAX34" s="63"/>
      <c r="RAY34" s="63"/>
      <c r="RAZ34" s="63"/>
      <c r="RBA34" s="63"/>
      <c r="RBB34" s="63"/>
      <c r="RBC34" s="63"/>
      <c r="RBD34" s="63"/>
      <c r="RBE34" s="63"/>
      <c r="RBF34" s="63"/>
      <c r="RBG34" s="63"/>
      <c r="RBH34" s="63"/>
      <c r="RBI34" s="63"/>
      <c r="RBJ34" s="63"/>
      <c r="RBK34" s="63"/>
      <c r="RBL34" s="63"/>
      <c r="RBM34" s="63"/>
      <c r="RBN34" s="63"/>
      <c r="RBO34" s="63"/>
      <c r="RBP34" s="63"/>
      <c r="RBQ34" s="63"/>
      <c r="RBR34" s="63"/>
      <c r="RBS34" s="63"/>
      <c r="RBT34" s="63"/>
      <c r="RBU34" s="63"/>
      <c r="RBV34" s="63"/>
      <c r="RBW34" s="63"/>
      <c r="RBX34" s="63"/>
      <c r="RBY34" s="63"/>
      <c r="RBZ34" s="63"/>
      <c r="RCA34" s="63"/>
      <c r="RCB34" s="63"/>
      <c r="RCC34" s="63"/>
      <c r="RCD34" s="63"/>
      <c r="RCE34" s="63"/>
      <c r="RCF34" s="63"/>
      <c r="RCG34" s="63"/>
      <c r="RCH34" s="63"/>
      <c r="RCI34" s="63"/>
      <c r="RCJ34" s="63"/>
      <c r="RCK34" s="63"/>
      <c r="RCL34" s="63"/>
      <c r="RCM34" s="63"/>
      <c r="RCN34" s="63"/>
      <c r="RCO34" s="63"/>
      <c r="RCP34" s="63"/>
      <c r="RCQ34" s="63"/>
      <c r="RCR34" s="63"/>
      <c r="RCS34" s="63"/>
      <c r="RCT34" s="63"/>
      <c r="RCU34" s="63"/>
      <c r="RCV34" s="63"/>
      <c r="RCW34" s="63"/>
      <c r="RCX34" s="63"/>
      <c r="RCY34" s="63"/>
      <c r="RCZ34" s="63"/>
      <c r="RDA34" s="63"/>
      <c r="RDB34" s="63"/>
      <c r="RDC34" s="63"/>
      <c r="RDD34" s="63"/>
      <c r="RDE34" s="63"/>
      <c r="RDF34" s="63"/>
      <c r="RDG34" s="63"/>
      <c r="RDH34" s="63"/>
      <c r="RDI34" s="63"/>
      <c r="RDJ34" s="63"/>
      <c r="RDK34" s="63"/>
      <c r="RDL34" s="63"/>
      <c r="RDM34" s="63"/>
      <c r="RDN34" s="63"/>
      <c r="RDO34" s="63"/>
      <c r="RDP34" s="63"/>
      <c r="RDQ34" s="63"/>
      <c r="RDR34" s="63"/>
      <c r="RDS34" s="63"/>
      <c r="RDT34" s="63"/>
      <c r="RDU34" s="63"/>
      <c r="RDV34" s="63"/>
      <c r="RDW34" s="63"/>
      <c r="RDX34" s="63"/>
      <c r="RDY34" s="63"/>
      <c r="RDZ34" s="63"/>
      <c r="REA34" s="63"/>
      <c r="REB34" s="63"/>
      <c r="REC34" s="63"/>
      <c r="RED34" s="63"/>
      <c r="REE34" s="63"/>
      <c r="REF34" s="63"/>
      <c r="REG34" s="63"/>
      <c r="REH34" s="63"/>
      <c r="REI34" s="63"/>
      <c r="REJ34" s="63"/>
      <c r="REK34" s="63"/>
      <c r="REL34" s="63"/>
      <c r="REM34" s="63"/>
      <c r="REN34" s="63"/>
      <c r="REO34" s="63"/>
      <c r="REP34" s="63"/>
      <c r="REQ34" s="63"/>
      <c r="RER34" s="63"/>
      <c r="RES34" s="63"/>
      <c r="RET34" s="63"/>
      <c r="REU34" s="63"/>
      <c r="REV34" s="63"/>
      <c r="REW34" s="63"/>
      <c r="REX34" s="63"/>
      <c r="REY34" s="63"/>
      <c r="REZ34" s="63"/>
      <c r="RFA34" s="63"/>
      <c r="RFB34" s="63"/>
      <c r="RFC34" s="63"/>
      <c r="RFD34" s="63"/>
      <c r="RFE34" s="63"/>
      <c r="RFF34" s="63"/>
      <c r="RFG34" s="63"/>
      <c r="RFH34" s="63"/>
      <c r="RFI34" s="63"/>
      <c r="RFJ34" s="63"/>
      <c r="RFK34" s="63"/>
      <c r="RFL34" s="63"/>
      <c r="RFM34" s="63"/>
      <c r="RFN34" s="63"/>
      <c r="RFO34" s="63"/>
      <c r="RFP34" s="63"/>
      <c r="RFQ34" s="63"/>
      <c r="RFR34" s="63"/>
      <c r="RFS34" s="63"/>
      <c r="RFT34" s="63"/>
      <c r="RFU34" s="63"/>
      <c r="RFV34" s="63"/>
      <c r="RFW34" s="63"/>
      <c r="RFX34" s="63"/>
      <c r="RFY34" s="63"/>
      <c r="RFZ34" s="63"/>
      <c r="RGA34" s="63"/>
      <c r="RGB34" s="63"/>
      <c r="RGC34" s="63"/>
      <c r="RGD34" s="63"/>
      <c r="RGE34" s="63"/>
      <c r="RGF34" s="63"/>
      <c r="RGG34" s="63"/>
      <c r="RGH34" s="63"/>
      <c r="RGI34" s="63"/>
      <c r="RGJ34" s="63"/>
      <c r="RGK34" s="63"/>
      <c r="RGL34" s="63"/>
      <c r="RGM34" s="63"/>
      <c r="RGN34" s="63"/>
      <c r="RGO34" s="63"/>
      <c r="RGP34" s="63"/>
      <c r="RGQ34" s="63"/>
      <c r="RGR34" s="63"/>
      <c r="RGS34" s="63"/>
      <c r="RGT34" s="63"/>
      <c r="RGU34" s="63"/>
      <c r="RGV34" s="63"/>
      <c r="RGW34" s="63"/>
      <c r="RGX34" s="63"/>
      <c r="RGY34" s="63"/>
      <c r="RGZ34" s="63"/>
      <c r="RHA34" s="63"/>
      <c r="RHB34" s="63"/>
      <c r="RHC34" s="63"/>
      <c r="RHD34" s="63"/>
      <c r="RHE34" s="63"/>
      <c r="RHF34" s="63"/>
      <c r="RHG34" s="63"/>
      <c r="RHH34" s="63"/>
      <c r="RHI34" s="63"/>
      <c r="RHJ34" s="63"/>
      <c r="RHK34" s="63"/>
      <c r="RHL34" s="63"/>
      <c r="RHM34" s="63"/>
      <c r="RHN34" s="63"/>
      <c r="RHO34" s="63"/>
      <c r="RHP34" s="63"/>
      <c r="RHQ34" s="63"/>
      <c r="RHR34" s="63"/>
      <c r="RHS34" s="63"/>
      <c r="RHT34" s="63"/>
      <c r="RHU34" s="63"/>
      <c r="RHV34" s="63"/>
      <c r="RHW34" s="63"/>
      <c r="RHX34" s="63"/>
      <c r="RHY34" s="63"/>
      <c r="RHZ34" s="63"/>
      <c r="RIA34" s="63"/>
      <c r="RIB34" s="63"/>
      <c r="RIC34" s="63"/>
      <c r="RID34" s="63"/>
      <c r="RIE34" s="63"/>
      <c r="RIF34" s="63"/>
      <c r="RIG34" s="63"/>
      <c r="RIH34" s="63"/>
      <c r="RII34" s="63"/>
      <c r="RIJ34" s="63"/>
      <c r="RIK34" s="63"/>
      <c r="RIL34" s="63"/>
      <c r="RIM34" s="63"/>
      <c r="RIN34" s="63"/>
      <c r="RIO34" s="63"/>
      <c r="RIP34" s="63"/>
      <c r="RIQ34" s="63"/>
      <c r="RIR34" s="63"/>
      <c r="RIS34" s="63"/>
      <c r="RIT34" s="63"/>
      <c r="RIU34" s="63"/>
      <c r="RIV34" s="63"/>
      <c r="RIW34" s="63"/>
      <c r="RIX34" s="63"/>
      <c r="RIY34" s="63"/>
      <c r="RIZ34" s="63"/>
      <c r="RJA34" s="63"/>
      <c r="RJB34" s="63"/>
      <c r="RJC34" s="63"/>
      <c r="RJD34" s="63"/>
      <c r="RJE34" s="63"/>
      <c r="RJF34" s="63"/>
      <c r="RJG34" s="63"/>
      <c r="RJH34" s="63"/>
      <c r="RJI34" s="63"/>
      <c r="RJJ34" s="63"/>
      <c r="RJK34" s="63"/>
      <c r="RJL34" s="63"/>
      <c r="RJM34" s="63"/>
      <c r="RJN34" s="63"/>
      <c r="RJO34" s="63"/>
      <c r="RJP34" s="63"/>
      <c r="RJQ34" s="63"/>
      <c r="RJR34" s="63"/>
      <c r="RJS34" s="63"/>
      <c r="RJT34" s="63"/>
      <c r="RJU34" s="63"/>
      <c r="RJV34" s="63"/>
      <c r="RJW34" s="63"/>
      <c r="RJX34" s="63"/>
      <c r="RJY34" s="63"/>
      <c r="RJZ34" s="63"/>
      <c r="RKA34" s="63"/>
      <c r="RKB34" s="63"/>
      <c r="RKC34" s="63"/>
      <c r="RKD34" s="63"/>
      <c r="RKE34" s="63"/>
      <c r="RKF34" s="63"/>
      <c r="RKG34" s="63"/>
      <c r="RKH34" s="63"/>
      <c r="RKI34" s="63"/>
      <c r="RKJ34" s="63"/>
      <c r="RKK34" s="63"/>
      <c r="RKL34" s="63"/>
      <c r="RKM34" s="63"/>
      <c r="RKN34" s="63"/>
      <c r="RKO34" s="63"/>
      <c r="RKP34" s="63"/>
      <c r="RKQ34" s="63"/>
      <c r="RKR34" s="63"/>
      <c r="RKS34" s="63"/>
      <c r="RKT34" s="63"/>
      <c r="RKU34" s="63"/>
      <c r="RKV34" s="63"/>
      <c r="RKW34" s="63"/>
      <c r="RKX34" s="63"/>
      <c r="RKY34" s="63"/>
      <c r="RKZ34" s="63"/>
      <c r="RLA34" s="63"/>
      <c r="RLB34" s="63"/>
      <c r="RLC34" s="63"/>
      <c r="RLD34" s="63"/>
      <c r="RLE34" s="63"/>
      <c r="RLF34" s="63"/>
      <c r="RLG34" s="63"/>
      <c r="RLH34" s="63"/>
      <c r="RLI34" s="63"/>
      <c r="RLJ34" s="63"/>
      <c r="RLK34" s="63"/>
      <c r="RLL34" s="63"/>
      <c r="RLM34" s="63"/>
      <c r="RLN34" s="63"/>
      <c r="RLO34" s="63"/>
      <c r="RLP34" s="63"/>
      <c r="RLQ34" s="63"/>
      <c r="RLR34" s="63"/>
      <c r="RLS34" s="63"/>
      <c r="RLT34" s="63"/>
      <c r="RLU34" s="63"/>
      <c r="RLV34" s="63"/>
      <c r="RLW34" s="63"/>
      <c r="RLX34" s="63"/>
      <c r="RLY34" s="63"/>
      <c r="RLZ34" s="63"/>
      <c r="RMA34" s="63"/>
      <c r="RMB34" s="63"/>
      <c r="RMC34" s="63"/>
      <c r="RMD34" s="63"/>
      <c r="RME34" s="63"/>
      <c r="RMF34" s="63"/>
      <c r="RMG34" s="63"/>
      <c r="RMH34" s="63"/>
      <c r="RMI34" s="63"/>
      <c r="RMJ34" s="63"/>
      <c r="RMK34" s="63"/>
      <c r="RML34" s="63"/>
      <c r="RMM34" s="63"/>
      <c r="RMN34" s="63"/>
      <c r="RMO34" s="63"/>
      <c r="RMP34" s="63"/>
      <c r="RMQ34" s="63"/>
      <c r="RMR34" s="63"/>
      <c r="RMS34" s="63"/>
      <c r="RMT34" s="63"/>
      <c r="RMU34" s="63"/>
      <c r="RMV34" s="63"/>
      <c r="RMW34" s="63"/>
      <c r="RMX34" s="63"/>
      <c r="RMY34" s="63"/>
      <c r="RMZ34" s="63"/>
      <c r="RNA34" s="63"/>
      <c r="RNB34" s="63"/>
      <c r="RNC34" s="63"/>
      <c r="RND34" s="63"/>
      <c r="RNE34" s="63"/>
      <c r="RNF34" s="63"/>
      <c r="RNG34" s="63"/>
      <c r="RNH34" s="63"/>
      <c r="RNI34" s="63"/>
      <c r="RNJ34" s="63"/>
      <c r="RNK34" s="63"/>
      <c r="RNL34" s="63"/>
      <c r="RNM34" s="63"/>
      <c r="RNN34" s="63"/>
      <c r="RNO34" s="63"/>
      <c r="RNP34" s="63"/>
      <c r="RNQ34" s="63"/>
      <c r="RNR34" s="63"/>
      <c r="RNS34" s="63"/>
      <c r="RNT34" s="63"/>
      <c r="RNU34" s="63"/>
      <c r="RNV34" s="63"/>
      <c r="RNW34" s="63"/>
      <c r="RNX34" s="63"/>
      <c r="RNY34" s="63"/>
      <c r="RNZ34" s="63"/>
      <c r="ROA34" s="63"/>
      <c r="ROB34" s="63"/>
      <c r="ROC34" s="63"/>
      <c r="ROD34" s="63"/>
      <c r="ROE34" s="63"/>
      <c r="ROF34" s="63"/>
      <c r="ROG34" s="63"/>
      <c r="ROH34" s="63"/>
      <c r="ROI34" s="63"/>
      <c r="ROJ34" s="63"/>
      <c r="ROK34" s="63"/>
      <c r="ROL34" s="63"/>
      <c r="ROM34" s="63"/>
      <c r="RON34" s="63"/>
      <c r="ROO34" s="63"/>
      <c r="ROP34" s="63"/>
      <c r="ROQ34" s="63"/>
      <c r="ROR34" s="63"/>
      <c r="ROS34" s="63"/>
      <c r="ROT34" s="63"/>
      <c r="ROU34" s="63"/>
      <c r="ROV34" s="63"/>
      <c r="ROW34" s="63"/>
      <c r="ROX34" s="63"/>
      <c r="ROY34" s="63"/>
      <c r="ROZ34" s="63"/>
      <c r="RPA34" s="63"/>
      <c r="RPB34" s="63"/>
      <c r="RPC34" s="63"/>
      <c r="RPD34" s="63"/>
      <c r="RPE34" s="63"/>
      <c r="RPF34" s="63"/>
      <c r="RPG34" s="63"/>
      <c r="RPH34" s="63"/>
      <c r="RPI34" s="63"/>
      <c r="RPJ34" s="63"/>
      <c r="RPK34" s="63"/>
      <c r="RPL34" s="63"/>
      <c r="RPM34" s="63"/>
      <c r="RPN34" s="63"/>
      <c r="RPO34" s="63"/>
      <c r="RPP34" s="63"/>
      <c r="RPQ34" s="63"/>
      <c r="RPR34" s="63"/>
      <c r="RPS34" s="63"/>
      <c r="RPT34" s="63"/>
      <c r="RPU34" s="63"/>
      <c r="RPV34" s="63"/>
      <c r="RPW34" s="63"/>
      <c r="RPX34" s="63"/>
      <c r="RPY34" s="63"/>
      <c r="RPZ34" s="63"/>
      <c r="RQA34" s="63"/>
      <c r="RQB34" s="63"/>
      <c r="RQC34" s="63"/>
      <c r="RQD34" s="63"/>
      <c r="RQE34" s="63"/>
      <c r="RQF34" s="63"/>
      <c r="RQG34" s="63"/>
      <c r="RQH34" s="63"/>
      <c r="RQI34" s="63"/>
      <c r="RQJ34" s="63"/>
      <c r="RQK34" s="63"/>
      <c r="RQL34" s="63"/>
      <c r="RQM34" s="63"/>
      <c r="RQN34" s="63"/>
      <c r="RQO34" s="63"/>
      <c r="RQP34" s="63"/>
      <c r="RQQ34" s="63"/>
      <c r="RQR34" s="63"/>
      <c r="RQS34" s="63"/>
      <c r="RQT34" s="63"/>
      <c r="RQU34" s="63"/>
      <c r="RQV34" s="63"/>
      <c r="RQW34" s="63"/>
      <c r="RQX34" s="63"/>
      <c r="RQY34" s="63"/>
      <c r="RQZ34" s="63"/>
      <c r="RRA34" s="63"/>
      <c r="RRB34" s="63"/>
      <c r="RRC34" s="63"/>
      <c r="RRD34" s="63"/>
      <c r="RRE34" s="63"/>
      <c r="RRF34" s="63"/>
      <c r="RRG34" s="63"/>
      <c r="RRH34" s="63"/>
      <c r="RRI34" s="63"/>
      <c r="RRJ34" s="63"/>
      <c r="RRK34" s="63"/>
      <c r="RRL34" s="63"/>
      <c r="RRM34" s="63"/>
      <c r="RRN34" s="63"/>
      <c r="RRO34" s="63"/>
      <c r="RRP34" s="63"/>
      <c r="RRQ34" s="63"/>
      <c r="RRR34" s="63"/>
      <c r="RRS34" s="63"/>
      <c r="RRT34" s="63"/>
      <c r="RRU34" s="63"/>
      <c r="RRV34" s="63"/>
      <c r="RRW34" s="63"/>
      <c r="RRX34" s="63"/>
      <c r="RRY34" s="63"/>
      <c r="RRZ34" s="63"/>
      <c r="RSA34" s="63"/>
      <c r="RSB34" s="63"/>
      <c r="RSC34" s="63"/>
      <c r="RSD34" s="63"/>
      <c r="RSE34" s="63"/>
      <c r="RSF34" s="63"/>
      <c r="RSG34" s="63"/>
      <c r="RSH34" s="63"/>
      <c r="RSI34" s="63"/>
      <c r="RSJ34" s="63"/>
      <c r="RSK34" s="63"/>
      <c r="RSL34" s="63"/>
      <c r="RSM34" s="63"/>
      <c r="RSN34" s="63"/>
      <c r="RSO34" s="63"/>
      <c r="RSP34" s="63"/>
      <c r="RSQ34" s="63"/>
      <c r="RSR34" s="63"/>
      <c r="RSS34" s="63"/>
      <c r="RST34" s="63"/>
      <c r="RSU34" s="63"/>
      <c r="RSV34" s="63"/>
      <c r="RSW34" s="63"/>
      <c r="RSX34" s="63"/>
      <c r="RSY34" s="63"/>
      <c r="RSZ34" s="63"/>
      <c r="RTA34" s="63"/>
      <c r="RTB34" s="63"/>
      <c r="RTC34" s="63"/>
      <c r="RTD34" s="63"/>
      <c r="RTE34" s="63"/>
      <c r="RTF34" s="63"/>
      <c r="RTG34" s="63"/>
      <c r="RTH34" s="63"/>
      <c r="RTI34" s="63"/>
      <c r="RTJ34" s="63"/>
      <c r="RTK34" s="63"/>
      <c r="RTL34" s="63"/>
      <c r="RTM34" s="63"/>
      <c r="RTN34" s="63"/>
      <c r="RTO34" s="63"/>
      <c r="RTP34" s="63"/>
      <c r="RTQ34" s="63"/>
      <c r="RTR34" s="63"/>
      <c r="RTS34" s="63"/>
      <c r="RTT34" s="63"/>
      <c r="RTU34" s="63"/>
      <c r="RTV34" s="63"/>
      <c r="RTW34" s="63"/>
      <c r="RTX34" s="63"/>
      <c r="RTY34" s="63"/>
      <c r="RTZ34" s="63"/>
      <c r="RUA34" s="63"/>
      <c r="RUB34" s="63"/>
      <c r="RUC34" s="63"/>
      <c r="RUD34" s="63"/>
      <c r="RUE34" s="63"/>
      <c r="RUF34" s="63"/>
      <c r="RUG34" s="63"/>
      <c r="RUH34" s="63"/>
      <c r="RUI34" s="63"/>
      <c r="RUJ34" s="63"/>
      <c r="RUK34" s="63"/>
      <c r="RUL34" s="63"/>
      <c r="RUM34" s="63"/>
      <c r="RUN34" s="63"/>
      <c r="RUO34" s="63"/>
      <c r="RUP34" s="63"/>
      <c r="RUQ34" s="63"/>
      <c r="RUR34" s="63"/>
      <c r="RUS34" s="63"/>
      <c r="RUT34" s="63"/>
      <c r="RUU34" s="63"/>
      <c r="RUV34" s="63"/>
      <c r="RUW34" s="63"/>
      <c r="RUX34" s="63"/>
      <c r="RUY34" s="63"/>
      <c r="RUZ34" s="63"/>
      <c r="RVA34" s="63"/>
      <c r="RVB34" s="63"/>
      <c r="RVC34" s="63"/>
      <c r="RVD34" s="63"/>
      <c r="RVE34" s="63"/>
      <c r="RVF34" s="63"/>
      <c r="RVG34" s="63"/>
      <c r="RVH34" s="63"/>
      <c r="RVI34" s="63"/>
      <c r="RVJ34" s="63"/>
      <c r="RVK34" s="63"/>
      <c r="RVL34" s="63"/>
      <c r="RVM34" s="63"/>
      <c r="RVN34" s="63"/>
      <c r="RVO34" s="63"/>
      <c r="RVP34" s="63"/>
      <c r="RVQ34" s="63"/>
      <c r="RVR34" s="63"/>
      <c r="RVS34" s="63"/>
      <c r="RVT34" s="63"/>
      <c r="RVU34" s="63"/>
      <c r="RVV34" s="63"/>
      <c r="RVW34" s="63"/>
      <c r="RVX34" s="63"/>
      <c r="RVY34" s="63"/>
      <c r="RVZ34" s="63"/>
      <c r="RWA34" s="63"/>
      <c r="RWB34" s="63"/>
      <c r="RWC34" s="63"/>
      <c r="RWD34" s="63"/>
      <c r="RWE34" s="63"/>
      <c r="RWF34" s="63"/>
      <c r="RWG34" s="63"/>
      <c r="RWH34" s="63"/>
      <c r="RWI34" s="63"/>
      <c r="RWJ34" s="63"/>
      <c r="RWK34" s="63"/>
      <c r="RWL34" s="63"/>
      <c r="RWM34" s="63"/>
      <c r="RWN34" s="63"/>
      <c r="RWO34" s="63"/>
      <c r="RWP34" s="63"/>
      <c r="RWQ34" s="63"/>
      <c r="RWR34" s="63"/>
      <c r="RWS34" s="63"/>
      <c r="RWT34" s="63"/>
      <c r="RWU34" s="63"/>
      <c r="RWV34" s="63"/>
      <c r="RWW34" s="63"/>
      <c r="RWX34" s="63"/>
      <c r="RWY34" s="63"/>
      <c r="RWZ34" s="63"/>
      <c r="RXA34" s="63"/>
      <c r="RXB34" s="63"/>
      <c r="RXC34" s="63"/>
      <c r="RXD34" s="63"/>
      <c r="RXE34" s="63"/>
      <c r="RXF34" s="63"/>
      <c r="RXG34" s="63"/>
      <c r="RXH34" s="63"/>
      <c r="RXI34" s="63"/>
      <c r="RXJ34" s="63"/>
      <c r="RXK34" s="63"/>
      <c r="RXL34" s="63"/>
      <c r="RXM34" s="63"/>
      <c r="RXN34" s="63"/>
      <c r="RXO34" s="63"/>
      <c r="RXP34" s="63"/>
      <c r="RXQ34" s="63"/>
      <c r="RXR34" s="63"/>
      <c r="RXS34" s="63"/>
      <c r="RXT34" s="63"/>
      <c r="RXU34" s="63"/>
      <c r="RXV34" s="63"/>
      <c r="RXW34" s="63"/>
      <c r="RXX34" s="63"/>
      <c r="RXY34" s="63"/>
      <c r="RXZ34" s="63"/>
      <c r="RYA34" s="63"/>
      <c r="RYB34" s="63"/>
      <c r="RYC34" s="63"/>
      <c r="RYD34" s="63"/>
      <c r="RYE34" s="63"/>
      <c r="RYF34" s="63"/>
      <c r="RYG34" s="63"/>
      <c r="RYH34" s="63"/>
      <c r="RYI34" s="63"/>
      <c r="RYJ34" s="63"/>
      <c r="RYK34" s="63"/>
      <c r="RYL34" s="63"/>
      <c r="RYM34" s="63"/>
      <c r="RYN34" s="63"/>
      <c r="RYO34" s="63"/>
      <c r="RYP34" s="63"/>
      <c r="RYQ34" s="63"/>
      <c r="RYR34" s="63"/>
      <c r="RYS34" s="63"/>
      <c r="RYT34" s="63"/>
      <c r="RYU34" s="63"/>
      <c r="RYV34" s="63"/>
      <c r="RYW34" s="63"/>
      <c r="RYX34" s="63"/>
      <c r="RYY34" s="63"/>
      <c r="RYZ34" s="63"/>
      <c r="RZA34" s="63"/>
      <c r="RZB34" s="63"/>
      <c r="RZC34" s="63"/>
      <c r="RZD34" s="63"/>
      <c r="RZE34" s="63"/>
      <c r="RZF34" s="63"/>
      <c r="RZG34" s="63"/>
      <c r="RZH34" s="63"/>
      <c r="RZI34" s="63"/>
      <c r="RZJ34" s="63"/>
      <c r="RZK34" s="63"/>
      <c r="RZL34" s="63"/>
      <c r="RZM34" s="63"/>
      <c r="RZN34" s="63"/>
      <c r="RZO34" s="63"/>
      <c r="RZP34" s="63"/>
      <c r="RZQ34" s="63"/>
      <c r="RZR34" s="63"/>
      <c r="RZS34" s="63"/>
      <c r="RZT34" s="63"/>
      <c r="RZU34" s="63"/>
      <c r="RZV34" s="63"/>
      <c r="RZW34" s="63"/>
      <c r="RZX34" s="63"/>
      <c r="RZY34" s="63"/>
      <c r="RZZ34" s="63"/>
      <c r="SAA34" s="63"/>
      <c r="SAB34" s="63"/>
      <c r="SAC34" s="63"/>
      <c r="SAD34" s="63"/>
      <c r="SAE34" s="63"/>
      <c r="SAF34" s="63"/>
      <c r="SAG34" s="63"/>
      <c r="SAH34" s="63"/>
      <c r="SAI34" s="63"/>
      <c r="SAJ34" s="63"/>
      <c r="SAK34" s="63"/>
      <c r="SAL34" s="63"/>
      <c r="SAM34" s="63"/>
      <c r="SAN34" s="63"/>
      <c r="SAO34" s="63"/>
      <c r="SAP34" s="63"/>
      <c r="SAQ34" s="63"/>
      <c r="SAR34" s="63"/>
      <c r="SAS34" s="63"/>
      <c r="SAT34" s="63"/>
      <c r="SAU34" s="63"/>
      <c r="SAV34" s="63"/>
      <c r="SAW34" s="63"/>
      <c r="SAX34" s="63"/>
      <c r="SAY34" s="63"/>
      <c r="SAZ34" s="63"/>
      <c r="SBA34" s="63"/>
      <c r="SBB34" s="63"/>
      <c r="SBC34" s="63"/>
      <c r="SBD34" s="63"/>
      <c r="SBE34" s="63"/>
      <c r="SBF34" s="63"/>
      <c r="SBG34" s="63"/>
      <c r="SBH34" s="63"/>
      <c r="SBI34" s="63"/>
      <c r="SBJ34" s="63"/>
      <c r="SBK34" s="63"/>
      <c r="SBL34" s="63"/>
      <c r="SBM34" s="63"/>
      <c r="SBN34" s="63"/>
      <c r="SBO34" s="63"/>
      <c r="SBP34" s="63"/>
      <c r="SBQ34" s="63"/>
      <c r="SBR34" s="63"/>
      <c r="SBS34" s="63"/>
      <c r="SBT34" s="63"/>
      <c r="SBU34" s="63"/>
      <c r="SBV34" s="63"/>
      <c r="SBW34" s="63"/>
      <c r="SBX34" s="63"/>
      <c r="SBY34" s="63"/>
      <c r="SBZ34" s="63"/>
      <c r="SCA34" s="63"/>
      <c r="SCB34" s="63"/>
      <c r="SCC34" s="63"/>
      <c r="SCD34" s="63"/>
      <c r="SCE34" s="63"/>
      <c r="SCF34" s="63"/>
      <c r="SCG34" s="63"/>
      <c r="SCH34" s="63"/>
      <c r="SCI34" s="63"/>
      <c r="SCJ34" s="63"/>
      <c r="SCK34" s="63"/>
      <c r="SCL34" s="63"/>
      <c r="SCM34" s="63"/>
      <c r="SCN34" s="63"/>
      <c r="SCO34" s="63"/>
      <c r="SCP34" s="63"/>
      <c r="SCQ34" s="63"/>
      <c r="SCR34" s="63"/>
      <c r="SCS34" s="63"/>
      <c r="SCT34" s="63"/>
      <c r="SCU34" s="63"/>
      <c r="SCV34" s="63"/>
      <c r="SCW34" s="63"/>
      <c r="SCX34" s="63"/>
      <c r="SCY34" s="63"/>
      <c r="SCZ34" s="63"/>
      <c r="SDA34" s="63"/>
      <c r="SDB34" s="63"/>
      <c r="SDC34" s="63"/>
      <c r="SDD34" s="63"/>
      <c r="SDE34" s="63"/>
      <c r="SDF34" s="63"/>
      <c r="SDG34" s="63"/>
      <c r="SDH34" s="63"/>
      <c r="SDI34" s="63"/>
      <c r="SDJ34" s="63"/>
      <c r="SDK34" s="63"/>
      <c r="SDL34" s="63"/>
      <c r="SDM34" s="63"/>
      <c r="SDN34" s="63"/>
      <c r="SDO34" s="63"/>
      <c r="SDP34" s="63"/>
      <c r="SDQ34" s="63"/>
      <c r="SDR34" s="63"/>
      <c r="SDS34" s="63"/>
      <c r="SDT34" s="63"/>
      <c r="SDU34" s="63"/>
      <c r="SDV34" s="63"/>
      <c r="SDW34" s="63"/>
      <c r="SDX34" s="63"/>
      <c r="SDY34" s="63"/>
      <c r="SDZ34" s="63"/>
      <c r="SEA34" s="63"/>
      <c r="SEB34" s="63"/>
      <c r="SEC34" s="63"/>
      <c r="SED34" s="63"/>
      <c r="SEE34" s="63"/>
      <c r="SEF34" s="63"/>
      <c r="SEG34" s="63"/>
      <c r="SEH34" s="63"/>
      <c r="SEI34" s="63"/>
      <c r="SEJ34" s="63"/>
      <c r="SEK34" s="63"/>
      <c r="SEL34" s="63"/>
      <c r="SEM34" s="63"/>
      <c r="SEN34" s="63"/>
      <c r="SEO34" s="63"/>
      <c r="SEP34" s="63"/>
      <c r="SEQ34" s="63"/>
      <c r="SER34" s="63"/>
      <c r="SES34" s="63"/>
      <c r="SET34" s="63"/>
      <c r="SEU34" s="63"/>
      <c r="SEV34" s="63"/>
      <c r="SEW34" s="63"/>
      <c r="SEX34" s="63"/>
      <c r="SEY34" s="63"/>
      <c r="SEZ34" s="63"/>
      <c r="SFA34" s="63"/>
      <c r="SFB34" s="63"/>
      <c r="SFC34" s="63"/>
      <c r="SFD34" s="63"/>
      <c r="SFE34" s="63"/>
      <c r="SFF34" s="63"/>
      <c r="SFG34" s="63"/>
      <c r="SFH34" s="63"/>
      <c r="SFI34" s="63"/>
      <c r="SFJ34" s="63"/>
      <c r="SFK34" s="63"/>
      <c r="SFL34" s="63"/>
      <c r="SFM34" s="63"/>
      <c r="SFN34" s="63"/>
      <c r="SFO34" s="63"/>
      <c r="SFP34" s="63"/>
      <c r="SFQ34" s="63"/>
      <c r="SFR34" s="63"/>
      <c r="SFS34" s="63"/>
      <c r="SFT34" s="63"/>
      <c r="SFU34" s="63"/>
      <c r="SFV34" s="63"/>
      <c r="SFW34" s="63"/>
      <c r="SFX34" s="63"/>
      <c r="SFY34" s="63"/>
      <c r="SFZ34" s="63"/>
      <c r="SGA34" s="63"/>
      <c r="SGB34" s="63"/>
      <c r="SGC34" s="63"/>
      <c r="SGD34" s="63"/>
      <c r="SGE34" s="63"/>
      <c r="SGF34" s="63"/>
      <c r="SGG34" s="63"/>
      <c r="SGH34" s="63"/>
      <c r="SGI34" s="63"/>
      <c r="SGJ34" s="63"/>
      <c r="SGK34" s="63"/>
      <c r="SGL34" s="63"/>
      <c r="SGM34" s="63"/>
      <c r="SGN34" s="63"/>
      <c r="SGO34" s="63"/>
      <c r="SGP34" s="63"/>
      <c r="SGQ34" s="63"/>
      <c r="SGR34" s="63"/>
      <c r="SGS34" s="63"/>
      <c r="SGT34" s="63"/>
      <c r="SGU34" s="63"/>
      <c r="SGV34" s="63"/>
      <c r="SGW34" s="63"/>
      <c r="SGX34" s="63"/>
      <c r="SGY34" s="63"/>
      <c r="SGZ34" s="63"/>
      <c r="SHA34" s="63"/>
      <c r="SHB34" s="63"/>
      <c r="SHC34" s="63"/>
      <c r="SHD34" s="63"/>
      <c r="SHE34" s="63"/>
      <c r="SHF34" s="63"/>
      <c r="SHG34" s="63"/>
      <c r="SHH34" s="63"/>
      <c r="SHI34" s="63"/>
      <c r="SHJ34" s="63"/>
      <c r="SHK34" s="63"/>
      <c r="SHL34" s="63"/>
      <c r="SHM34" s="63"/>
      <c r="SHN34" s="63"/>
      <c r="SHO34" s="63"/>
      <c r="SHP34" s="63"/>
      <c r="SHQ34" s="63"/>
      <c r="SHR34" s="63"/>
      <c r="SHS34" s="63"/>
      <c r="SHT34" s="63"/>
      <c r="SHU34" s="63"/>
      <c r="SHV34" s="63"/>
      <c r="SHW34" s="63"/>
      <c r="SHX34" s="63"/>
      <c r="SHY34" s="63"/>
      <c r="SHZ34" s="63"/>
      <c r="SIA34" s="63"/>
      <c r="SIB34" s="63"/>
      <c r="SIC34" s="63"/>
      <c r="SID34" s="63"/>
      <c r="SIE34" s="63"/>
      <c r="SIF34" s="63"/>
      <c r="SIG34" s="63"/>
      <c r="SIH34" s="63"/>
      <c r="SII34" s="63"/>
      <c r="SIJ34" s="63"/>
      <c r="SIK34" s="63"/>
      <c r="SIL34" s="63"/>
      <c r="SIM34" s="63"/>
      <c r="SIN34" s="63"/>
      <c r="SIO34" s="63"/>
      <c r="SIP34" s="63"/>
      <c r="SIQ34" s="63"/>
      <c r="SIR34" s="63"/>
      <c r="SIS34" s="63"/>
      <c r="SIT34" s="63"/>
      <c r="SIU34" s="63"/>
      <c r="SIV34" s="63"/>
      <c r="SIW34" s="63"/>
      <c r="SIX34" s="63"/>
      <c r="SIY34" s="63"/>
      <c r="SIZ34" s="63"/>
      <c r="SJA34" s="63"/>
      <c r="SJB34" s="63"/>
      <c r="SJC34" s="63"/>
      <c r="SJD34" s="63"/>
      <c r="SJE34" s="63"/>
      <c r="SJF34" s="63"/>
      <c r="SJG34" s="63"/>
      <c r="SJH34" s="63"/>
      <c r="SJI34" s="63"/>
      <c r="SJJ34" s="63"/>
      <c r="SJK34" s="63"/>
      <c r="SJL34" s="63"/>
      <c r="SJM34" s="63"/>
      <c r="SJN34" s="63"/>
      <c r="SJO34" s="63"/>
      <c r="SJP34" s="63"/>
      <c r="SJQ34" s="63"/>
      <c r="SJR34" s="63"/>
      <c r="SJS34" s="63"/>
      <c r="SJT34" s="63"/>
      <c r="SJU34" s="63"/>
      <c r="SJV34" s="63"/>
      <c r="SJW34" s="63"/>
      <c r="SJX34" s="63"/>
      <c r="SJY34" s="63"/>
      <c r="SJZ34" s="63"/>
      <c r="SKA34" s="63"/>
      <c r="SKB34" s="63"/>
      <c r="SKC34" s="63"/>
      <c r="SKD34" s="63"/>
      <c r="SKE34" s="63"/>
      <c r="SKF34" s="63"/>
      <c r="SKG34" s="63"/>
      <c r="SKH34" s="63"/>
      <c r="SKI34" s="63"/>
      <c r="SKJ34" s="63"/>
      <c r="SKK34" s="63"/>
      <c r="SKL34" s="63"/>
      <c r="SKM34" s="63"/>
      <c r="SKN34" s="63"/>
      <c r="SKO34" s="63"/>
      <c r="SKP34" s="63"/>
      <c r="SKQ34" s="63"/>
      <c r="SKR34" s="63"/>
      <c r="SKS34" s="63"/>
      <c r="SKT34" s="63"/>
      <c r="SKU34" s="63"/>
      <c r="SKV34" s="63"/>
      <c r="SKW34" s="63"/>
      <c r="SKX34" s="63"/>
      <c r="SKY34" s="63"/>
      <c r="SKZ34" s="63"/>
      <c r="SLA34" s="63"/>
      <c r="SLB34" s="63"/>
      <c r="SLC34" s="63"/>
      <c r="SLD34" s="63"/>
      <c r="SLE34" s="63"/>
      <c r="SLF34" s="63"/>
      <c r="SLG34" s="63"/>
      <c r="SLH34" s="63"/>
      <c r="SLI34" s="63"/>
      <c r="SLJ34" s="63"/>
      <c r="SLK34" s="63"/>
      <c r="SLL34" s="63"/>
      <c r="SLM34" s="63"/>
      <c r="SLN34" s="63"/>
      <c r="SLO34" s="63"/>
      <c r="SLP34" s="63"/>
      <c r="SLQ34" s="63"/>
      <c r="SLR34" s="63"/>
      <c r="SLS34" s="63"/>
      <c r="SLT34" s="63"/>
      <c r="SLU34" s="63"/>
      <c r="SLV34" s="63"/>
      <c r="SLW34" s="63"/>
      <c r="SLX34" s="63"/>
      <c r="SLY34" s="63"/>
      <c r="SLZ34" s="63"/>
      <c r="SMA34" s="63"/>
      <c r="SMB34" s="63"/>
      <c r="SMC34" s="63"/>
      <c r="SMD34" s="63"/>
      <c r="SME34" s="63"/>
      <c r="SMF34" s="63"/>
      <c r="SMG34" s="63"/>
      <c r="SMH34" s="63"/>
      <c r="SMI34" s="63"/>
      <c r="SMJ34" s="63"/>
      <c r="SMK34" s="63"/>
      <c r="SML34" s="63"/>
      <c r="SMM34" s="63"/>
      <c r="SMN34" s="63"/>
      <c r="SMO34" s="63"/>
      <c r="SMP34" s="63"/>
      <c r="SMQ34" s="63"/>
      <c r="SMR34" s="63"/>
      <c r="SMS34" s="63"/>
      <c r="SMT34" s="63"/>
      <c r="SMU34" s="63"/>
      <c r="SMV34" s="63"/>
      <c r="SMW34" s="63"/>
      <c r="SMX34" s="63"/>
      <c r="SMY34" s="63"/>
      <c r="SMZ34" s="63"/>
      <c r="SNA34" s="63"/>
      <c r="SNB34" s="63"/>
      <c r="SNC34" s="63"/>
      <c r="SND34" s="63"/>
      <c r="SNE34" s="63"/>
      <c r="SNF34" s="63"/>
      <c r="SNG34" s="63"/>
      <c r="SNH34" s="63"/>
      <c r="SNI34" s="63"/>
      <c r="SNJ34" s="63"/>
      <c r="SNK34" s="63"/>
      <c r="SNL34" s="63"/>
      <c r="SNM34" s="63"/>
      <c r="SNN34" s="63"/>
      <c r="SNO34" s="63"/>
      <c r="SNP34" s="63"/>
      <c r="SNQ34" s="63"/>
      <c r="SNR34" s="63"/>
      <c r="SNS34" s="63"/>
      <c r="SNT34" s="63"/>
      <c r="SNU34" s="63"/>
      <c r="SNV34" s="63"/>
      <c r="SNW34" s="63"/>
      <c r="SNX34" s="63"/>
      <c r="SNY34" s="63"/>
      <c r="SNZ34" s="63"/>
      <c r="SOA34" s="63"/>
      <c r="SOB34" s="63"/>
      <c r="SOC34" s="63"/>
      <c r="SOD34" s="63"/>
      <c r="SOE34" s="63"/>
      <c r="SOF34" s="63"/>
      <c r="SOG34" s="63"/>
      <c r="SOH34" s="63"/>
      <c r="SOI34" s="63"/>
      <c r="SOJ34" s="63"/>
      <c r="SOK34" s="63"/>
      <c r="SOL34" s="63"/>
      <c r="SOM34" s="63"/>
      <c r="SON34" s="63"/>
      <c r="SOO34" s="63"/>
      <c r="SOP34" s="63"/>
      <c r="SOQ34" s="63"/>
      <c r="SOR34" s="63"/>
      <c r="SOS34" s="63"/>
      <c r="SOT34" s="63"/>
      <c r="SOU34" s="63"/>
      <c r="SOV34" s="63"/>
      <c r="SOW34" s="63"/>
      <c r="SOX34" s="63"/>
      <c r="SOY34" s="63"/>
      <c r="SOZ34" s="63"/>
      <c r="SPA34" s="63"/>
      <c r="SPB34" s="63"/>
      <c r="SPC34" s="63"/>
      <c r="SPD34" s="63"/>
      <c r="SPE34" s="63"/>
      <c r="SPF34" s="63"/>
      <c r="SPG34" s="63"/>
      <c r="SPH34" s="63"/>
      <c r="SPI34" s="63"/>
      <c r="SPJ34" s="63"/>
      <c r="SPK34" s="63"/>
      <c r="SPL34" s="63"/>
      <c r="SPM34" s="63"/>
      <c r="SPN34" s="63"/>
      <c r="SPO34" s="63"/>
      <c r="SPP34" s="63"/>
      <c r="SPQ34" s="63"/>
      <c r="SPR34" s="63"/>
      <c r="SPS34" s="63"/>
      <c r="SPT34" s="63"/>
      <c r="SPU34" s="63"/>
      <c r="SPV34" s="63"/>
      <c r="SPW34" s="63"/>
      <c r="SPX34" s="63"/>
      <c r="SPY34" s="63"/>
      <c r="SPZ34" s="63"/>
      <c r="SQA34" s="63"/>
      <c r="SQB34" s="63"/>
      <c r="SQC34" s="63"/>
      <c r="SQD34" s="63"/>
      <c r="SQE34" s="63"/>
      <c r="SQF34" s="63"/>
      <c r="SQG34" s="63"/>
      <c r="SQH34" s="63"/>
      <c r="SQI34" s="63"/>
      <c r="SQJ34" s="63"/>
      <c r="SQK34" s="63"/>
      <c r="SQL34" s="63"/>
      <c r="SQM34" s="63"/>
      <c r="SQN34" s="63"/>
      <c r="SQO34" s="63"/>
      <c r="SQP34" s="63"/>
      <c r="SQQ34" s="63"/>
      <c r="SQR34" s="63"/>
      <c r="SQS34" s="63"/>
      <c r="SQT34" s="63"/>
      <c r="SQU34" s="63"/>
      <c r="SQV34" s="63"/>
      <c r="SQW34" s="63"/>
      <c r="SQX34" s="63"/>
      <c r="SQY34" s="63"/>
      <c r="SQZ34" s="63"/>
      <c r="SRA34" s="63"/>
      <c r="SRB34" s="63"/>
      <c r="SRC34" s="63"/>
      <c r="SRD34" s="63"/>
      <c r="SRE34" s="63"/>
      <c r="SRF34" s="63"/>
      <c r="SRG34" s="63"/>
      <c r="SRH34" s="63"/>
      <c r="SRI34" s="63"/>
      <c r="SRJ34" s="63"/>
      <c r="SRK34" s="63"/>
      <c r="SRL34" s="63"/>
      <c r="SRM34" s="63"/>
      <c r="SRN34" s="63"/>
      <c r="SRO34" s="63"/>
      <c r="SRP34" s="63"/>
      <c r="SRQ34" s="63"/>
      <c r="SRR34" s="63"/>
      <c r="SRS34" s="63"/>
      <c r="SRT34" s="63"/>
      <c r="SRU34" s="63"/>
      <c r="SRV34" s="63"/>
      <c r="SRW34" s="63"/>
      <c r="SRX34" s="63"/>
      <c r="SRY34" s="63"/>
      <c r="SRZ34" s="63"/>
      <c r="SSA34" s="63"/>
      <c r="SSB34" s="63"/>
      <c r="SSC34" s="63"/>
      <c r="SSD34" s="63"/>
      <c r="SSE34" s="63"/>
      <c r="SSF34" s="63"/>
      <c r="SSG34" s="63"/>
      <c r="SSH34" s="63"/>
      <c r="SSI34" s="63"/>
      <c r="SSJ34" s="63"/>
      <c r="SSK34" s="63"/>
      <c r="SSL34" s="63"/>
      <c r="SSM34" s="63"/>
      <c r="SSN34" s="63"/>
      <c r="SSO34" s="63"/>
      <c r="SSP34" s="63"/>
      <c r="SSQ34" s="63"/>
      <c r="SSR34" s="63"/>
      <c r="SSS34" s="63"/>
      <c r="SST34" s="63"/>
      <c r="SSU34" s="63"/>
      <c r="SSV34" s="63"/>
      <c r="SSW34" s="63"/>
      <c r="SSX34" s="63"/>
      <c r="SSY34" s="63"/>
      <c r="SSZ34" s="63"/>
      <c r="STA34" s="63"/>
      <c r="STB34" s="63"/>
      <c r="STC34" s="63"/>
      <c r="STD34" s="63"/>
      <c r="STE34" s="63"/>
      <c r="STF34" s="63"/>
      <c r="STG34" s="63"/>
      <c r="STH34" s="63"/>
      <c r="STI34" s="63"/>
      <c r="STJ34" s="63"/>
      <c r="STK34" s="63"/>
      <c r="STL34" s="63"/>
      <c r="STM34" s="63"/>
      <c r="STN34" s="63"/>
      <c r="STO34" s="63"/>
      <c r="STP34" s="63"/>
      <c r="STQ34" s="63"/>
      <c r="STR34" s="63"/>
      <c r="STS34" s="63"/>
      <c r="STT34" s="63"/>
      <c r="STU34" s="63"/>
      <c r="STV34" s="63"/>
      <c r="STW34" s="63"/>
      <c r="STX34" s="63"/>
      <c r="STY34" s="63"/>
      <c r="STZ34" s="63"/>
      <c r="SUA34" s="63"/>
      <c r="SUB34" s="63"/>
      <c r="SUC34" s="63"/>
      <c r="SUD34" s="63"/>
      <c r="SUE34" s="63"/>
      <c r="SUF34" s="63"/>
      <c r="SUG34" s="63"/>
      <c r="SUH34" s="63"/>
      <c r="SUI34" s="63"/>
      <c r="SUJ34" s="63"/>
      <c r="SUK34" s="63"/>
      <c r="SUL34" s="63"/>
      <c r="SUM34" s="63"/>
      <c r="SUN34" s="63"/>
      <c r="SUO34" s="63"/>
      <c r="SUP34" s="63"/>
      <c r="SUQ34" s="63"/>
      <c r="SUR34" s="63"/>
      <c r="SUS34" s="63"/>
      <c r="SUT34" s="63"/>
      <c r="SUU34" s="63"/>
      <c r="SUV34" s="63"/>
      <c r="SUW34" s="63"/>
      <c r="SUX34" s="63"/>
      <c r="SUY34" s="63"/>
      <c r="SUZ34" s="63"/>
      <c r="SVA34" s="63"/>
      <c r="SVB34" s="63"/>
      <c r="SVC34" s="63"/>
      <c r="SVD34" s="63"/>
      <c r="SVE34" s="63"/>
      <c r="SVF34" s="63"/>
      <c r="SVG34" s="63"/>
      <c r="SVH34" s="63"/>
      <c r="SVI34" s="63"/>
      <c r="SVJ34" s="63"/>
      <c r="SVK34" s="63"/>
      <c r="SVL34" s="63"/>
      <c r="SVM34" s="63"/>
      <c r="SVN34" s="63"/>
      <c r="SVO34" s="63"/>
      <c r="SVP34" s="63"/>
      <c r="SVQ34" s="63"/>
      <c r="SVR34" s="63"/>
      <c r="SVS34" s="63"/>
      <c r="SVT34" s="63"/>
      <c r="SVU34" s="63"/>
      <c r="SVV34" s="63"/>
      <c r="SVW34" s="63"/>
      <c r="SVX34" s="63"/>
      <c r="SVY34" s="63"/>
      <c r="SVZ34" s="63"/>
      <c r="SWA34" s="63"/>
      <c r="SWB34" s="63"/>
      <c r="SWC34" s="63"/>
      <c r="SWD34" s="63"/>
      <c r="SWE34" s="63"/>
      <c r="SWF34" s="63"/>
      <c r="SWG34" s="63"/>
      <c r="SWH34" s="63"/>
      <c r="SWI34" s="63"/>
      <c r="SWJ34" s="63"/>
      <c r="SWK34" s="63"/>
      <c r="SWL34" s="63"/>
      <c r="SWM34" s="63"/>
      <c r="SWN34" s="63"/>
      <c r="SWO34" s="63"/>
      <c r="SWP34" s="63"/>
      <c r="SWQ34" s="63"/>
      <c r="SWR34" s="63"/>
      <c r="SWS34" s="63"/>
      <c r="SWT34" s="63"/>
      <c r="SWU34" s="63"/>
      <c r="SWV34" s="63"/>
      <c r="SWW34" s="63"/>
      <c r="SWX34" s="63"/>
      <c r="SWY34" s="63"/>
      <c r="SWZ34" s="63"/>
      <c r="SXA34" s="63"/>
      <c r="SXB34" s="63"/>
      <c r="SXC34" s="63"/>
      <c r="SXD34" s="63"/>
      <c r="SXE34" s="63"/>
      <c r="SXF34" s="63"/>
      <c r="SXG34" s="63"/>
      <c r="SXH34" s="63"/>
      <c r="SXI34" s="63"/>
      <c r="SXJ34" s="63"/>
      <c r="SXK34" s="63"/>
      <c r="SXL34" s="63"/>
      <c r="SXM34" s="63"/>
      <c r="SXN34" s="63"/>
      <c r="SXO34" s="63"/>
      <c r="SXP34" s="63"/>
      <c r="SXQ34" s="63"/>
      <c r="SXR34" s="63"/>
      <c r="SXS34" s="63"/>
      <c r="SXT34" s="63"/>
      <c r="SXU34" s="63"/>
      <c r="SXV34" s="63"/>
      <c r="SXW34" s="63"/>
      <c r="SXX34" s="63"/>
      <c r="SXY34" s="63"/>
      <c r="SXZ34" s="63"/>
      <c r="SYA34" s="63"/>
      <c r="SYB34" s="63"/>
      <c r="SYC34" s="63"/>
      <c r="SYD34" s="63"/>
      <c r="SYE34" s="63"/>
      <c r="SYF34" s="63"/>
      <c r="SYG34" s="63"/>
      <c r="SYH34" s="63"/>
      <c r="SYI34" s="63"/>
      <c r="SYJ34" s="63"/>
      <c r="SYK34" s="63"/>
      <c r="SYL34" s="63"/>
      <c r="SYM34" s="63"/>
      <c r="SYN34" s="63"/>
      <c r="SYO34" s="63"/>
      <c r="SYP34" s="63"/>
      <c r="SYQ34" s="63"/>
      <c r="SYR34" s="63"/>
      <c r="SYS34" s="63"/>
      <c r="SYT34" s="63"/>
      <c r="SYU34" s="63"/>
      <c r="SYV34" s="63"/>
      <c r="SYW34" s="63"/>
      <c r="SYX34" s="63"/>
      <c r="SYY34" s="63"/>
      <c r="SYZ34" s="63"/>
      <c r="SZA34" s="63"/>
      <c r="SZB34" s="63"/>
      <c r="SZC34" s="63"/>
      <c r="SZD34" s="63"/>
      <c r="SZE34" s="63"/>
      <c r="SZF34" s="63"/>
      <c r="SZG34" s="63"/>
      <c r="SZH34" s="63"/>
      <c r="SZI34" s="63"/>
      <c r="SZJ34" s="63"/>
      <c r="SZK34" s="63"/>
      <c r="SZL34" s="63"/>
      <c r="SZM34" s="63"/>
      <c r="SZN34" s="63"/>
      <c r="SZO34" s="63"/>
      <c r="SZP34" s="63"/>
      <c r="SZQ34" s="63"/>
      <c r="SZR34" s="63"/>
      <c r="SZS34" s="63"/>
      <c r="SZT34" s="63"/>
      <c r="SZU34" s="63"/>
      <c r="SZV34" s="63"/>
      <c r="SZW34" s="63"/>
      <c r="SZX34" s="63"/>
      <c r="SZY34" s="63"/>
      <c r="SZZ34" s="63"/>
      <c r="TAA34" s="63"/>
      <c r="TAB34" s="63"/>
      <c r="TAC34" s="63"/>
      <c r="TAD34" s="63"/>
      <c r="TAE34" s="63"/>
      <c r="TAF34" s="63"/>
      <c r="TAG34" s="63"/>
      <c r="TAH34" s="63"/>
      <c r="TAI34" s="63"/>
      <c r="TAJ34" s="63"/>
      <c r="TAK34" s="63"/>
      <c r="TAL34" s="63"/>
      <c r="TAM34" s="63"/>
      <c r="TAN34" s="63"/>
      <c r="TAO34" s="63"/>
      <c r="TAP34" s="63"/>
      <c r="TAQ34" s="63"/>
      <c r="TAR34" s="63"/>
      <c r="TAS34" s="63"/>
      <c r="TAT34" s="63"/>
      <c r="TAU34" s="63"/>
      <c r="TAV34" s="63"/>
      <c r="TAW34" s="63"/>
      <c r="TAX34" s="63"/>
      <c r="TAY34" s="63"/>
      <c r="TAZ34" s="63"/>
      <c r="TBA34" s="63"/>
      <c r="TBB34" s="63"/>
      <c r="TBC34" s="63"/>
      <c r="TBD34" s="63"/>
      <c r="TBE34" s="63"/>
      <c r="TBF34" s="63"/>
      <c r="TBG34" s="63"/>
      <c r="TBH34" s="63"/>
      <c r="TBI34" s="63"/>
      <c r="TBJ34" s="63"/>
      <c r="TBK34" s="63"/>
      <c r="TBL34" s="63"/>
      <c r="TBM34" s="63"/>
      <c r="TBN34" s="63"/>
      <c r="TBO34" s="63"/>
      <c r="TBP34" s="63"/>
      <c r="TBQ34" s="63"/>
      <c r="TBR34" s="63"/>
      <c r="TBS34" s="63"/>
      <c r="TBT34" s="63"/>
      <c r="TBU34" s="63"/>
      <c r="TBV34" s="63"/>
      <c r="TBW34" s="63"/>
      <c r="TBX34" s="63"/>
      <c r="TBY34" s="63"/>
      <c r="TBZ34" s="63"/>
      <c r="TCA34" s="63"/>
      <c r="TCB34" s="63"/>
      <c r="TCC34" s="63"/>
      <c r="TCD34" s="63"/>
      <c r="TCE34" s="63"/>
      <c r="TCF34" s="63"/>
      <c r="TCG34" s="63"/>
      <c r="TCH34" s="63"/>
      <c r="TCI34" s="63"/>
      <c r="TCJ34" s="63"/>
      <c r="TCK34" s="63"/>
      <c r="TCL34" s="63"/>
      <c r="TCM34" s="63"/>
      <c r="TCN34" s="63"/>
      <c r="TCO34" s="63"/>
      <c r="TCP34" s="63"/>
      <c r="TCQ34" s="63"/>
      <c r="TCR34" s="63"/>
      <c r="TCS34" s="63"/>
      <c r="TCT34" s="63"/>
      <c r="TCU34" s="63"/>
      <c r="TCV34" s="63"/>
      <c r="TCW34" s="63"/>
      <c r="TCX34" s="63"/>
      <c r="TCY34" s="63"/>
      <c r="TCZ34" s="63"/>
      <c r="TDA34" s="63"/>
      <c r="TDB34" s="63"/>
      <c r="TDC34" s="63"/>
      <c r="TDD34" s="63"/>
      <c r="TDE34" s="63"/>
      <c r="TDF34" s="63"/>
      <c r="TDG34" s="63"/>
      <c r="TDH34" s="63"/>
      <c r="TDI34" s="63"/>
      <c r="TDJ34" s="63"/>
      <c r="TDK34" s="63"/>
      <c r="TDL34" s="63"/>
      <c r="TDM34" s="63"/>
      <c r="TDN34" s="63"/>
      <c r="TDO34" s="63"/>
      <c r="TDP34" s="63"/>
      <c r="TDQ34" s="63"/>
      <c r="TDR34" s="63"/>
      <c r="TDS34" s="63"/>
      <c r="TDT34" s="63"/>
      <c r="TDU34" s="63"/>
      <c r="TDV34" s="63"/>
      <c r="TDW34" s="63"/>
      <c r="TDX34" s="63"/>
      <c r="TDY34" s="63"/>
      <c r="TDZ34" s="63"/>
      <c r="TEA34" s="63"/>
      <c r="TEB34" s="63"/>
      <c r="TEC34" s="63"/>
      <c r="TED34" s="63"/>
      <c r="TEE34" s="63"/>
      <c r="TEF34" s="63"/>
      <c r="TEG34" s="63"/>
      <c r="TEH34" s="63"/>
      <c r="TEI34" s="63"/>
      <c r="TEJ34" s="63"/>
      <c r="TEK34" s="63"/>
      <c r="TEL34" s="63"/>
      <c r="TEM34" s="63"/>
      <c r="TEN34" s="63"/>
      <c r="TEO34" s="63"/>
      <c r="TEP34" s="63"/>
      <c r="TEQ34" s="63"/>
      <c r="TER34" s="63"/>
      <c r="TES34" s="63"/>
      <c r="TET34" s="63"/>
      <c r="TEU34" s="63"/>
      <c r="TEV34" s="63"/>
      <c r="TEW34" s="63"/>
      <c r="TEX34" s="63"/>
      <c r="TEY34" s="63"/>
      <c r="TEZ34" s="63"/>
      <c r="TFA34" s="63"/>
      <c r="TFB34" s="63"/>
      <c r="TFC34" s="63"/>
      <c r="TFD34" s="63"/>
      <c r="TFE34" s="63"/>
      <c r="TFF34" s="63"/>
      <c r="TFG34" s="63"/>
      <c r="TFH34" s="63"/>
      <c r="TFI34" s="63"/>
      <c r="TFJ34" s="63"/>
      <c r="TFK34" s="63"/>
      <c r="TFL34" s="63"/>
      <c r="TFM34" s="63"/>
      <c r="TFN34" s="63"/>
      <c r="TFO34" s="63"/>
      <c r="TFP34" s="63"/>
      <c r="TFQ34" s="63"/>
      <c r="TFR34" s="63"/>
      <c r="TFS34" s="63"/>
      <c r="TFT34" s="63"/>
      <c r="TFU34" s="63"/>
      <c r="TFV34" s="63"/>
      <c r="TFW34" s="63"/>
      <c r="TFX34" s="63"/>
      <c r="TFY34" s="63"/>
      <c r="TFZ34" s="63"/>
      <c r="TGA34" s="63"/>
      <c r="TGB34" s="63"/>
      <c r="TGC34" s="63"/>
      <c r="TGD34" s="63"/>
      <c r="TGE34" s="63"/>
      <c r="TGF34" s="63"/>
      <c r="TGG34" s="63"/>
      <c r="TGH34" s="63"/>
      <c r="TGI34" s="63"/>
      <c r="TGJ34" s="63"/>
      <c r="TGK34" s="63"/>
      <c r="TGL34" s="63"/>
      <c r="TGM34" s="63"/>
      <c r="TGN34" s="63"/>
      <c r="TGO34" s="63"/>
      <c r="TGP34" s="63"/>
      <c r="TGQ34" s="63"/>
      <c r="TGR34" s="63"/>
      <c r="TGS34" s="63"/>
      <c r="TGT34" s="63"/>
      <c r="TGU34" s="63"/>
      <c r="TGV34" s="63"/>
      <c r="TGW34" s="63"/>
      <c r="TGX34" s="63"/>
      <c r="TGY34" s="63"/>
      <c r="TGZ34" s="63"/>
      <c r="THA34" s="63"/>
      <c r="THB34" s="63"/>
      <c r="THC34" s="63"/>
      <c r="THD34" s="63"/>
      <c r="THE34" s="63"/>
      <c r="THF34" s="63"/>
      <c r="THG34" s="63"/>
      <c r="THH34" s="63"/>
      <c r="THI34" s="63"/>
      <c r="THJ34" s="63"/>
      <c r="THK34" s="63"/>
      <c r="THL34" s="63"/>
      <c r="THM34" s="63"/>
      <c r="THN34" s="63"/>
      <c r="THO34" s="63"/>
      <c r="THP34" s="63"/>
      <c r="THQ34" s="63"/>
      <c r="THR34" s="63"/>
      <c r="THS34" s="63"/>
      <c r="THT34" s="63"/>
      <c r="THU34" s="63"/>
      <c r="THV34" s="63"/>
      <c r="THW34" s="63"/>
      <c r="THX34" s="63"/>
      <c r="THY34" s="63"/>
      <c r="THZ34" s="63"/>
      <c r="TIA34" s="63"/>
      <c r="TIB34" s="63"/>
      <c r="TIC34" s="63"/>
      <c r="TID34" s="63"/>
      <c r="TIE34" s="63"/>
      <c r="TIF34" s="63"/>
      <c r="TIG34" s="63"/>
      <c r="TIH34" s="63"/>
      <c r="TII34" s="63"/>
      <c r="TIJ34" s="63"/>
      <c r="TIK34" s="63"/>
      <c r="TIL34" s="63"/>
      <c r="TIM34" s="63"/>
      <c r="TIN34" s="63"/>
      <c r="TIO34" s="63"/>
      <c r="TIP34" s="63"/>
      <c r="TIQ34" s="63"/>
      <c r="TIR34" s="63"/>
      <c r="TIS34" s="63"/>
      <c r="TIT34" s="63"/>
      <c r="TIU34" s="63"/>
      <c r="TIV34" s="63"/>
      <c r="TIW34" s="63"/>
      <c r="TIX34" s="63"/>
      <c r="TIY34" s="63"/>
      <c r="TIZ34" s="63"/>
      <c r="TJA34" s="63"/>
      <c r="TJB34" s="63"/>
      <c r="TJC34" s="63"/>
      <c r="TJD34" s="63"/>
      <c r="TJE34" s="63"/>
      <c r="TJF34" s="63"/>
      <c r="TJG34" s="63"/>
      <c r="TJH34" s="63"/>
      <c r="TJI34" s="63"/>
      <c r="TJJ34" s="63"/>
      <c r="TJK34" s="63"/>
      <c r="TJL34" s="63"/>
      <c r="TJM34" s="63"/>
      <c r="TJN34" s="63"/>
      <c r="TJO34" s="63"/>
      <c r="TJP34" s="63"/>
      <c r="TJQ34" s="63"/>
      <c r="TJR34" s="63"/>
      <c r="TJS34" s="63"/>
      <c r="TJT34" s="63"/>
      <c r="TJU34" s="63"/>
      <c r="TJV34" s="63"/>
      <c r="TJW34" s="63"/>
      <c r="TJX34" s="63"/>
      <c r="TJY34" s="63"/>
      <c r="TJZ34" s="63"/>
      <c r="TKA34" s="63"/>
      <c r="TKB34" s="63"/>
      <c r="TKC34" s="63"/>
      <c r="TKD34" s="63"/>
      <c r="TKE34" s="63"/>
      <c r="TKF34" s="63"/>
      <c r="TKG34" s="63"/>
      <c r="TKH34" s="63"/>
      <c r="TKI34" s="63"/>
      <c r="TKJ34" s="63"/>
      <c r="TKK34" s="63"/>
      <c r="TKL34" s="63"/>
      <c r="TKM34" s="63"/>
      <c r="TKN34" s="63"/>
      <c r="TKO34" s="63"/>
      <c r="TKP34" s="63"/>
      <c r="TKQ34" s="63"/>
      <c r="TKR34" s="63"/>
      <c r="TKS34" s="63"/>
      <c r="TKT34" s="63"/>
      <c r="TKU34" s="63"/>
      <c r="TKV34" s="63"/>
      <c r="TKW34" s="63"/>
      <c r="TKX34" s="63"/>
      <c r="TKY34" s="63"/>
      <c r="TKZ34" s="63"/>
      <c r="TLA34" s="63"/>
      <c r="TLB34" s="63"/>
      <c r="TLC34" s="63"/>
      <c r="TLD34" s="63"/>
      <c r="TLE34" s="63"/>
      <c r="TLF34" s="63"/>
      <c r="TLG34" s="63"/>
      <c r="TLH34" s="63"/>
      <c r="TLI34" s="63"/>
      <c r="TLJ34" s="63"/>
      <c r="TLK34" s="63"/>
      <c r="TLL34" s="63"/>
      <c r="TLM34" s="63"/>
      <c r="TLN34" s="63"/>
      <c r="TLO34" s="63"/>
      <c r="TLP34" s="63"/>
      <c r="TLQ34" s="63"/>
      <c r="TLR34" s="63"/>
      <c r="TLS34" s="63"/>
      <c r="TLT34" s="63"/>
      <c r="TLU34" s="63"/>
      <c r="TLV34" s="63"/>
      <c r="TLW34" s="63"/>
      <c r="TLX34" s="63"/>
      <c r="TLY34" s="63"/>
      <c r="TLZ34" s="63"/>
      <c r="TMA34" s="63"/>
      <c r="TMB34" s="63"/>
      <c r="TMC34" s="63"/>
      <c r="TMD34" s="63"/>
      <c r="TME34" s="63"/>
      <c r="TMF34" s="63"/>
      <c r="TMG34" s="63"/>
      <c r="TMH34" s="63"/>
      <c r="TMI34" s="63"/>
      <c r="TMJ34" s="63"/>
      <c r="TMK34" s="63"/>
      <c r="TML34" s="63"/>
      <c r="TMM34" s="63"/>
      <c r="TMN34" s="63"/>
      <c r="TMO34" s="63"/>
      <c r="TMP34" s="63"/>
      <c r="TMQ34" s="63"/>
      <c r="TMR34" s="63"/>
      <c r="TMS34" s="63"/>
      <c r="TMT34" s="63"/>
      <c r="TMU34" s="63"/>
      <c r="TMV34" s="63"/>
      <c r="TMW34" s="63"/>
      <c r="TMX34" s="63"/>
      <c r="TMY34" s="63"/>
      <c r="TMZ34" s="63"/>
      <c r="TNA34" s="63"/>
      <c r="TNB34" s="63"/>
      <c r="TNC34" s="63"/>
      <c r="TND34" s="63"/>
      <c r="TNE34" s="63"/>
      <c r="TNF34" s="63"/>
      <c r="TNG34" s="63"/>
      <c r="TNH34" s="63"/>
      <c r="TNI34" s="63"/>
      <c r="TNJ34" s="63"/>
      <c r="TNK34" s="63"/>
      <c r="TNL34" s="63"/>
      <c r="TNM34" s="63"/>
      <c r="TNN34" s="63"/>
      <c r="TNO34" s="63"/>
      <c r="TNP34" s="63"/>
      <c r="TNQ34" s="63"/>
      <c r="TNR34" s="63"/>
      <c r="TNS34" s="63"/>
      <c r="TNT34" s="63"/>
      <c r="TNU34" s="63"/>
      <c r="TNV34" s="63"/>
      <c r="TNW34" s="63"/>
      <c r="TNX34" s="63"/>
      <c r="TNY34" s="63"/>
      <c r="TNZ34" s="63"/>
      <c r="TOA34" s="63"/>
      <c r="TOB34" s="63"/>
      <c r="TOC34" s="63"/>
      <c r="TOD34" s="63"/>
      <c r="TOE34" s="63"/>
      <c r="TOF34" s="63"/>
      <c r="TOG34" s="63"/>
      <c r="TOH34" s="63"/>
      <c r="TOI34" s="63"/>
      <c r="TOJ34" s="63"/>
      <c r="TOK34" s="63"/>
      <c r="TOL34" s="63"/>
      <c r="TOM34" s="63"/>
      <c r="TON34" s="63"/>
      <c r="TOO34" s="63"/>
      <c r="TOP34" s="63"/>
      <c r="TOQ34" s="63"/>
      <c r="TOR34" s="63"/>
      <c r="TOS34" s="63"/>
      <c r="TOT34" s="63"/>
      <c r="TOU34" s="63"/>
      <c r="TOV34" s="63"/>
      <c r="TOW34" s="63"/>
      <c r="TOX34" s="63"/>
      <c r="TOY34" s="63"/>
      <c r="TOZ34" s="63"/>
      <c r="TPA34" s="63"/>
      <c r="TPB34" s="63"/>
      <c r="TPC34" s="63"/>
      <c r="TPD34" s="63"/>
      <c r="TPE34" s="63"/>
      <c r="TPF34" s="63"/>
      <c r="TPG34" s="63"/>
      <c r="TPH34" s="63"/>
      <c r="TPI34" s="63"/>
      <c r="TPJ34" s="63"/>
      <c r="TPK34" s="63"/>
      <c r="TPL34" s="63"/>
      <c r="TPM34" s="63"/>
      <c r="TPN34" s="63"/>
      <c r="TPO34" s="63"/>
      <c r="TPP34" s="63"/>
      <c r="TPQ34" s="63"/>
      <c r="TPR34" s="63"/>
      <c r="TPS34" s="63"/>
      <c r="TPT34" s="63"/>
      <c r="TPU34" s="63"/>
      <c r="TPV34" s="63"/>
      <c r="TPW34" s="63"/>
      <c r="TPX34" s="63"/>
      <c r="TPY34" s="63"/>
      <c r="TPZ34" s="63"/>
      <c r="TQA34" s="63"/>
      <c r="TQB34" s="63"/>
      <c r="TQC34" s="63"/>
      <c r="TQD34" s="63"/>
      <c r="TQE34" s="63"/>
      <c r="TQF34" s="63"/>
      <c r="TQG34" s="63"/>
      <c r="TQH34" s="63"/>
      <c r="TQI34" s="63"/>
      <c r="TQJ34" s="63"/>
      <c r="TQK34" s="63"/>
      <c r="TQL34" s="63"/>
      <c r="TQM34" s="63"/>
      <c r="TQN34" s="63"/>
      <c r="TQO34" s="63"/>
      <c r="TQP34" s="63"/>
      <c r="TQQ34" s="63"/>
      <c r="TQR34" s="63"/>
      <c r="TQS34" s="63"/>
      <c r="TQT34" s="63"/>
      <c r="TQU34" s="63"/>
      <c r="TQV34" s="63"/>
      <c r="TQW34" s="63"/>
      <c r="TQX34" s="63"/>
      <c r="TQY34" s="63"/>
      <c r="TQZ34" s="63"/>
      <c r="TRA34" s="63"/>
      <c r="TRB34" s="63"/>
      <c r="TRC34" s="63"/>
      <c r="TRD34" s="63"/>
      <c r="TRE34" s="63"/>
      <c r="TRF34" s="63"/>
      <c r="TRG34" s="63"/>
      <c r="TRH34" s="63"/>
      <c r="TRI34" s="63"/>
      <c r="TRJ34" s="63"/>
      <c r="TRK34" s="63"/>
      <c r="TRL34" s="63"/>
      <c r="TRM34" s="63"/>
      <c r="TRN34" s="63"/>
      <c r="TRO34" s="63"/>
      <c r="TRP34" s="63"/>
      <c r="TRQ34" s="63"/>
      <c r="TRR34" s="63"/>
      <c r="TRS34" s="63"/>
      <c r="TRT34" s="63"/>
      <c r="TRU34" s="63"/>
      <c r="TRV34" s="63"/>
      <c r="TRW34" s="63"/>
      <c r="TRX34" s="63"/>
      <c r="TRY34" s="63"/>
      <c r="TRZ34" s="63"/>
      <c r="TSA34" s="63"/>
      <c r="TSB34" s="63"/>
      <c r="TSC34" s="63"/>
      <c r="TSD34" s="63"/>
      <c r="TSE34" s="63"/>
      <c r="TSF34" s="63"/>
      <c r="TSG34" s="63"/>
      <c r="TSH34" s="63"/>
      <c r="TSI34" s="63"/>
      <c r="TSJ34" s="63"/>
      <c r="TSK34" s="63"/>
      <c r="TSL34" s="63"/>
      <c r="TSM34" s="63"/>
      <c r="TSN34" s="63"/>
      <c r="TSO34" s="63"/>
      <c r="TSP34" s="63"/>
      <c r="TSQ34" s="63"/>
      <c r="TSR34" s="63"/>
      <c r="TSS34" s="63"/>
      <c r="TST34" s="63"/>
      <c r="TSU34" s="63"/>
      <c r="TSV34" s="63"/>
      <c r="TSW34" s="63"/>
      <c r="TSX34" s="63"/>
      <c r="TSY34" s="63"/>
      <c r="TSZ34" s="63"/>
      <c r="TTA34" s="63"/>
      <c r="TTB34" s="63"/>
      <c r="TTC34" s="63"/>
      <c r="TTD34" s="63"/>
      <c r="TTE34" s="63"/>
      <c r="TTF34" s="63"/>
      <c r="TTG34" s="63"/>
      <c r="TTH34" s="63"/>
      <c r="TTI34" s="63"/>
      <c r="TTJ34" s="63"/>
      <c r="TTK34" s="63"/>
      <c r="TTL34" s="63"/>
      <c r="TTM34" s="63"/>
      <c r="TTN34" s="63"/>
      <c r="TTO34" s="63"/>
      <c r="TTP34" s="63"/>
      <c r="TTQ34" s="63"/>
      <c r="TTR34" s="63"/>
      <c r="TTS34" s="63"/>
      <c r="TTT34" s="63"/>
      <c r="TTU34" s="63"/>
      <c r="TTV34" s="63"/>
      <c r="TTW34" s="63"/>
      <c r="TTX34" s="63"/>
      <c r="TTY34" s="63"/>
      <c r="TTZ34" s="63"/>
      <c r="TUA34" s="63"/>
      <c r="TUB34" s="63"/>
      <c r="TUC34" s="63"/>
      <c r="TUD34" s="63"/>
      <c r="TUE34" s="63"/>
      <c r="TUF34" s="63"/>
      <c r="TUG34" s="63"/>
      <c r="TUH34" s="63"/>
      <c r="TUI34" s="63"/>
      <c r="TUJ34" s="63"/>
      <c r="TUK34" s="63"/>
      <c r="TUL34" s="63"/>
      <c r="TUM34" s="63"/>
      <c r="TUN34" s="63"/>
      <c r="TUO34" s="63"/>
      <c r="TUP34" s="63"/>
      <c r="TUQ34" s="63"/>
      <c r="TUR34" s="63"/>
      <c r="TUS34" s="63"/>
      <c r="TUT34" s="63"/>
      <c r="TUU34" s="63"/>
      <c r="TUV34" s="63"/>
      <c r="TUW34" s="63"/>
      <c r="TUX34" s="63"/>
      <c r="TUY34" s="63"/>
      <c r="TUZ34" s="63"/>
      <c r="TVA34" s="63"/>
      <c r="TVB34" s="63"/>
      <c r="TVC34" s="63"/>
      <c r="TVD34" s="63"/>
      <c r="TVE34" s="63"/>
      <c r="TVF34" s="63"/>
      <c r="TVG34" s="63"/>
      <c r="TVH34" s="63"/>
      <c r="TVI34" s="63"/>
      <c r="TVJ34" s="63"/>
      <c r="TVK34" s="63"/>
      <c r="TVL34" s="63"/>
      <c r="TVM34" s="63"/>
      <c r="TVN34" s="63"/>
      <c r="TVO34" s="63"/>
      <c r="TVP34" s="63"/>
      <c r="TVQ34" s="63"/>
      <c r="TVR34" s="63"/>
      <c r="TVS34" s="63"/>
      <c r="TVT34" s="63"/>
      <c r="TVU34" s="63"/>
      <c r="TVV34" s="63"/>
      <c r="TVW34" s="63"/>
      <c r="TVX34" s="63"/>
      <c r="TVY34" s="63"/>
      <c r="TVZ34" s="63"/>
      <c r="TWA34" s="63"/>
      <c r="TWB34" s="63"/>
      <c r="TWC34" s="63"/>
      <c r="TWD34" s="63"/>
      <c r="TWE34" s="63"/>
      <c r="TWF34" s="63"/>
      <c r="TWG34" s="63"/>
      <c r="TWH34" s="63"/>
      <c r="TWI34" s="63"/>
      <c r="TWJ34" s="63"/>
      <c r="TWK34" s="63"/>
      <c r="TWL34" s="63"/>
      <c r="TWM34" s="63"/>
      <c r="TWN34" s="63"/>
      <c r="TWO34" s="63"/>
      <c r="TWP34" s="63"/>
      <c r="TWQ34" s="63"/>
      <c r="TWR34" s="63"/>
      <c r="TWS34" s="63"/>
      <c r="TWT34" s="63"/>
      <c r="TWU34" s="63"/>
      <c r="TWV34" s="63"/>
      <c r="TWW34" s="63"/>
      <c r="TWX34" s="63"/>
      <c r="TWY34" s="63"/>
      <c r="TWZ34" s="63"/>
      <c r="TXA34" s="63"/>
      <c r="TXB34" s="63"/>
      <c r="TXC34" s="63"/>
      <c r="TXD34" s="63"/>
      <c r="TXE34" s="63"/>
      <c r="TXF34" s="63"/>
      <c r="TXG34" s="63"/>
      <c r="TXH34" s="63"/>
      <c r="TXI34" s="63"/>
      <c r="TXJ34" s="63"/>
      <c r="TXK34" s="63"/>
      <c r="TXL34" s="63"/>
      <c r="TXM34" s="63"/>
      <c r="TXN34" s="63"/>
      <c r="TXO34" s="63"/>
      <c r="TXP34" s="63"/>
      <c r="TXQ34" s="63"/>
      <c r="TXR34" s="63"/>
      <c r="TXS34" s="63"/>
      <c r="TXT34" s="63"/>
      <c r="TXU34" s="63"/>
      <c r="TXV34" s="63"/>
      <c r="TXW34" s="63"/>
      <c r="TXX34" s="63"/>
      <c r="TXY34" s="63"/>
      <c r="TXZ34" s="63"/>
      <c r="TYA34" s="63"/>
      <c r="TYB34" s="63"/>
      <c r="TYC34" s="63"/>
      <c r="TYD34" s="63"/>
      <c r="TYE34" s="63"/>
      <c r="TYF34" s="63"/>
      <c r="TYG34" s="63"/>
      <c r="TYH34" s="63"/>
      <c r="TYI34" s="63"/>
      <c r="TYJ34" s="63"/>
      <c r="TYK34" s="63"/>
      <c r="TYL34" s="63"/>
      <c r="TYM34" s="63"/>
      <c r="TYN34" s="63"/>
      <c r="TYO34" s="63"/>
      <c r="TYP34" s="63"/>
      <c r="TYQ34" s="63"/>
      <c r="TYR34" s="63"/>
      <c r="TYS34" s="63"/>
      <c r="TYT34" s="63"/>
      <c r="TYU34" s="63"/>
      <c r="TYV34" s="63"/>
      <c r="TYW34" s="63"/>
      <c r="TYX34" s="63"/>
      <c r="TYY34" s="63"/>
      <c r="TYZ34" s="63"/>
      <c r="TZA34" s="63"/>
      <c r="TZB34" s="63"/>
      <c r="TZC34" s="63"/>
      <c r="TZD34" s="63"/>
      <c r="TZE34" s="63"/>
      <c r="TZF34" s="63"/>
      <c r="TZG34" s="63"/>
      <c r="TZH34" s="63"/>
      <c r="TZI34" s="63"/>
      <c r="TZJ34" s="63"/>
      <c r="TZK34" s="63"/>
      <c r="TZL34" s="63"/>
      <c r="TZM34" s="63"/>
      <c r="TZN34" s="63"/>
      <c r="TZO34" s="63"/>
      <c r="TZP34" s="63"/>
      <c r="TZQ34" s="63"/>
      <c r="TZR34" s="63"/>
      <c r="TZS34" s="63"/>
      <c r="TZT34" s="63"/>
      <c r="TZU34" s="63"/>
      <c r="TZV34" s="63"/>
      <c r="TZW34" s="63"/>
      <c r="TZX34" s="63"/>
      <c r="TZY34" s="63"/>
      <c r="TZZ34" s="63"/>
      <c r="UAA34" s="63"/>
      <c r="UAB34" s="63"/>
      <c r="UAC34" s="63"/>
      <c r="UAD34" s="63"/>
      <c r="UAE34" s="63"/>
      <c r="UAF34" s="63"/>
      <c r="UAG34" s="63"/>
      <c r="UAH34" s="63"/>
      <c r="UAI34" s="63"/>
      <c r="UAJ34" s="63"/>
      <c r="UAK34" s="63"/>
      <c r="UAL34" s="63"/>
      <c r="UAM34" s="63"/>
      <c r="UAN34" s="63"/>
      <c r="UAO34" s="63"/>
      <c r="UAP34" s="63"/>
      <c r="UAQ34" s="63"/>
      <c r="UAR34" s="63"/>
      <c r="UAS34" s="63"/>
      <c r="UAT34" s="63"/>
      <c r="UAU34" s="63"/>
      <c r="UAV34" s="63"/>
      <c r="UAW34" s="63"/>
      <c r="UAX34" s="63"/>
      <c r="UAY34" s="63"/>
      <c r="UAZ34" s="63"/>
      <c r="UBA34" s="63"/>
      <c r="UBB34" s="63"/>
      <c r="UBC34" s="63"/>
      <c r="UBD34" s="63"/>
      <c r="UBE34" s="63"/>
      <c r="UBF34" s="63"/>
      <c r="UBG34" s="63"/>
      <c r="UBH34" s="63"/>
      <c r="UBI34" s="63"/>
      <c r="UBJ34" s="63"/>
      <c r="UBK34" s="63"/>
      <c r="UBL34" s="63"/>
      <c r="UBM34" s="63"/>
      <c r="UBN34" s="63"/>
      <c r="UBO34" s="63"/>
      <c r="UBP34" s="63"/>
      <c r="UBQ34" s="63"/>
      <c r="UBR34" s="63"/>
      <c r="UBS34" s="63"/>
      <c r="UBT34" s="63"/>
      <c r="UBU34" s="63"/>
      <c r="UBV34" s="63"/>
      <c r="UBW34" s="63"/>
      <c r="UBX34" s="63"/>
      <c r="UBY34" s="63"/>
      <c r="UBZ34" s="63"/>
      <c r="UCA34" s="63"/>
      <c r="UCB34" s="63"/>
      <c r="UCC34" s="63"/>
      <c r="UCD34" s="63"/>
      <c r="UCE34" s="63"/>
      <c r="UCF34" s="63"/>
      <c r="UCG34" s="63"/>
      <c r="UCH34" s="63"/>
      <c r="UCI34" s="63"/>
      <c r="UCJ34" s="63"/>
      <c r="UCK34" s="63"/>
      <c r="UCL34" s="63"/>
      <c r="UCM34" s="63"/>
      <c r="UCN34" s="63"/>
      <c r="UCO34" s="63"/>
      <c r="UCP34" s="63"/>
      <c r="UCQ34" s="63"/>
      <c r="UCR34" s="63"/>
      <c r="UCS34" s="63"/>
      <c r="UCT34" s="63"/>
      <c r="UCU34" s="63"/>
      <c r="UCV34" s="63"/>
      <c r="UCW34" s="63"/>
      <c r="UCX34" s="63"/>
      <c r="UCY34" s="63"/>
      <c r="UCZ34" s="63"/>
      <c r="UDA34" s="63"/>
      <c r="UDB34" s="63"/>
      <c r="UDC34" s="63"/>
      <c r="UDD34" s="63"/>
      <c r="UDE34" s="63"/>
      <c r="UDF34" s="63"/>
      <c r="UDG34" s="63"/>
      <c r="UDH34" s="63"/>
      <c r="UDI34" s="63"/>
      <c r="UDJ34" s="63"/>
      <c r="UDK34" s="63"/>
      <c r="UDL34" s="63"/>
      <c r="UDM34" s="63"/>
      <c r="UDN34" s="63"/>
      <c r="UDO34" s="63"/>
      <c r="UDP34" s="63"/>
      <c r="UDQ34" s="63"/>
      <c r="UDR34" s="63"/>
      <c r="UDS34" s="63"/>
      <c r="UDT34" s="63"/>
      <c r="UDU34" s="63"/>
      <c r="UDV34" s="63"/>
      <c r="UDW34" s="63"/>
      <c r="UDX34" s="63"/>
      <c r="UDY34" s="63"/>
      <c r="UDZ34" s="63"/>
      <c r="UEA34" s="63"/>
      <c r="UEB34" s="63"/>
      <c r="UEC34" s="63"/>
      <c r="UED34" s="63"/>
      <c r="UEE34" s="63"/>
      <c r="UEF34" s="63"/>
      <c r="UEG34" s="63"/>
      <c r="UEH34" s="63"/>
      <c r="UEI34" s="63"/>
      <c r="UEJ34" s="63"/>
      <c r="UEK34" s="63"/>
      <c r="UEL34" s="63"/>
      <c r="UEM34" s="63"/>
      <c r="UEN34" s="63"/>
      <c r="UEO34" s="63"/>
      <c r="UEP34" s="63"/>
      <c r="UEQ34" s="63"/>
      <c r="UER34" s="63"/>
      <c r="UES34" s="63"/>
      <c r="UET34" s="63"/>
      <c r="UEU34" s="63"/>
      <c r="UEV34" s="63"/>
      <c r="UEW34" s="63"/>
      <c r="UEX34" s="63"/>
      <c r="UEY34" s="63"/>
      <c r="UEZ34" s="63"/>
      <c r="UFA34" s="63"/>
      <c r="UFB34" s="63"/>
      <c r="UFC34" s="63"/>
      <c r="UFD34" s="63"/>
      <c r="UFE34" s="63"/>
      <c r="UFF34" s="63"/>
      <c r="UFG34" s="63"/>
      <c r="UFH34" s="63"/>
      <c r="UFI34" s="63"/>
      <c r="UFJ34" s="63"/>
      <c r="UFK34" s="63"/>
      <c r="UFL34" s="63"/>
      <c r="UFM34" s="63"/>
      <c r="UFN34" s="63"/>
      <c r="UFO34" s="63"/>
      <c r="UFP34" s="63"/>
      <c r="UFQ34" s="63"/>
      <c r="UFR34" s="63"/>
      <c r="UFS34" s="63"/>
      <c r="UFT34" s="63"/>
      <c r="UFU34" s="63"/>
      <c r="UFV34" s="63"/>
      <c r="UFW34" s="63"/>
      <c r="UFX34" s="63"/>
      <c r="UFY34" s="63"/>
      <c r="UFZ34" s="63"/>
      <c r="UGA34" s="63"/>
      <c r="UGB34" s="63"/>
      <c r="UGC34" s="63"/>
      <c r="UGD34" s="63"/>
      <c r="UGE34" s="63"/>
      <c r="UGF34" s="63"/>
      <c r="UGG34" s="63"/>
      <c r="UGH34" s="63"/>
      <c r="UGI34" s="63"/>
      <c r="UGJ34" s="63"/>
      <c r="UGK34" s="63"/>
      <c r="UGL34" s="63"/>
      <c r="UGM34" s="63"/>
      <c r="UGN34" s="63"/>
      <c r="UGO34" s="63"/>
      <c r="UGP34" s="63"/>
      <c r="UGQ34" s="63"/>
      <c r="UGR34" s="63"/>
      <c r="UGS34" s="63"/>
      <c r="UGT34" s="63"/>
      <c r="UGU34" s="63"/>
      <c r="UGV34" s="63"/>
      <c r="UGW34" s="63"/>
      <c r="UGX34" s="63"/>
      <c r="UGY34" s="63"/>
      <c r="UGZ34" s="63"/>
      <c r="UHA34" s="63"/>
      <c r="UHB34" s="63"/>
      <c r="UHC34" s="63"/>
      <c r="UHD34" s="63"/>
      <c r="UHE34" s="63"/>
      <c r="UHF34" s="63"/>
      <c r="UHG34" s="63"/>
      <c r="UHH34" s="63"/>
      <c r="UHI34" s="63"/>
      <c r="UHJ34" s="63"/>
      <c r="UHK34" s="63"/>
      <c r="UHL34" s="63"/>
      <c r="UHM34" s="63"/>
      <c r="UHN34" s="63"/>
      <c r="UHO34" s="63"/>
      <c r="UHP34" s="63"/>
      <c r="UHQ34" s="63"/>
      <c r="UHR34" s="63"/>
      <c r="UHS34" s="63"/>
      <c r="UHT34" s="63"/>
      <c r="UHU34" s="63"/>
      <c r="UHV34" s="63"/>
      <c r="UHW34" s="63"/>
      <c r="UHX34" s="63"/>
      <c r="UHY34" s="63"/>
      <c r="UHZ34" s="63"/>
      <c r="UIA34" s="63"/>
      <c r="UIB34" s="63"/>
      <c r="UIC34" s="63"/>
      <c r="UID34" s="63"/>
      <c r="UIE34" s="63"/>
      <c r="UIF34" s="63"/>
      <c r="UIG34" s="63"/>
      <c r="UIH34" s="63"/>
      <c r="UII34" s="63"/>
      <c r="UIJ34" s="63"/>
      <c r="UIK34" s="63"/>
      <c r="UIL34" s="63"/>
      <c r="UIM34" s="63"/>
      <c r="UIN34" s="63"/>
      <c r="UIO34" s="63"/>
      <c r="UIP34" s="63"/>
      <c r="UIQ34" s="63"/>
      <c r="UIR34" s="63"/>
      <c r="UIS34" s="63"/>
      <c r="UIT34" s="63"/>
      <c r="UIU34" s="63"/>
      <c r="UIV34" s="63"/>
      <c r="UIW34" s="63"/>
      <c r="UIX34" s="63"/>
      <c r="UIY34" s="63"/>
      <c r="UIZ34" s="63"/>
      <c r="UJA34" s="63"/>
      <c r="UJB34" s="63"/>
      <c r="UJC34" s="63"/>
      <c r="UJD34" s="63"/>
      <c r="UJE34" s="63"/>
      <c r="UJF34" s="63"/>
      <c r="UJG34" s="63"/>
      <c r="UJH34" s="63"/>
      <c r="UJI34" s="63"/>
      <c r="UJJ34" s="63"/>
      <c r="UJK34" s="63"/>
      <c r="UJL34" s="63"/>
      <c r="UJM34" s="63"/>
      <c r="UJN34" s="63"/>
      <c r="UJO34" s="63"/>
      <c r="UJP34" s="63"/>
      <c r="UJQ34" s="63"/>
      <c r="UJR34" s="63"/>
      <c r="UJS34" s="63"/>
      <c r="UJT34" s="63"/>
      <c r="UJU34" s="63"/>
      <c r="UJV34" s="63"/>
      <c r="UJW34" s="63"/>
      <c r="UJX34" s="63"/>
      <c r="UJY34" s="63"/>
      <c r="UJZ34" s="63"/>
      <c r="UKA34" s="63"/>
      <c r="UKB34" s="63"/>
      <c r="UKC34" s="63"/>
      <c r="UKD34" s="63"/>
      <c r="UKE34" s="63"/>
      <c r="UKF34" s="63"/>
      <c r="UKG34" s="63"/>
      <c r="UKH34" s="63"/>
      <c r="UKI34" s="63"/>
      <c r="UKJ34" s="63"/>
      <c r="UKK34" s="63"/>
      <c r="UKL34" s="63"/>
      <c r="UKM34" s="63"/>
      <c r="UKN34" s="63"/>
      <c r="UKO34" s="63"/>
      <c r="UKP34" s="63"/>
      <c r="UKQ34" s="63"/>
      <c r="UKR34" s="63"/>
      <c r="UKS34" s="63"/>
      <c r="UKT34" s="63"/>
      <c r="UKU34" s="63"/>
      <c r="UKV34" s="63"/>
      <c r="UKW34" s="63"/>
      <c r="UKX34" s="63"/>
      <c r="UKY34" s="63"/>
      <c r="UKZ34" s="63"/>
      <c r="ULA34" s="63"/>
      <c r="ULB34" s="63"/>
      <c r="ULC34" s="63"/>
      <c r="ULD34" s="63"/>
      <c r="ULE34" s="63"/>
      <c r="ULF34" s="63"/>
      <c r="ULG34" s="63"/>
      <c r="ULH34" s="63"/>
      <c r="ULI34" s="63"/>
      <c r="ULJ34" s="63"/>
      <c r="ULK34" s="63"/>
      <c r="ULL34" s="63"/>
      <c r="ULM34" s="63"/>
      <c r="ULN34" s="63"/>
      <c r="ULO34" s="63"/>
      <c r="ULP34" s="63"/>
      <c r="ULQ34" s="63"/>
      <c r="ULR34" s="63"/>
      <c r="ULS34" s="63"/>
      <c r="ULT34" s="63"/>
      <c r="ULU34" s="63"/>
      <c r="ULV34" s="63"/>
      <c r="ULW34" s="63"/>
      <c r="ULX34" s="63"/>
      <c r="ULY34" s="63"/>
      <c r="ULZ34" s="63"/>
      <c r="UMA34" s="63"/>
      <c r="UMB34" s="63"/>
      <c r="UMC34" s="63"/>
      <c r="UMD34" s="63"/>
      <c r="UME34" s="63"/>
      <c r="UMF34" s="63"/>
      <c r="UMG34" s="63"/>
      <c r="UMH34" s="63"/>
      <c r="UMI34" s="63"/>
      <c r="UMJ34" s="63"/>
      <c r="UMK34" s="63"/>
      <c r="UML34" s="63"/>
      <c r="UMM34" s="63"/>
      <c r="UMN34" s="63"/>
      <c r="UMO34" s="63"/>
      <c r="UMP34" s="63"/>
      <c r="UMQ34" s="63"/>
      <c r="UMR34" s="63"/>
      <c r="UMS34" s="63"/>
      <c r="UMT34" s="63"/>
      <c r="UMU34" s="63"/>
      <c r="UMV34" s="63"/>
      <c r="UMW34" s="63"/>
      <c r="UMX34" s="63"/>
      <c r="UMY34" s="63"/>
      <c r="UMZ34" s="63"/>
      <c r="UNA34" s="63"/>
      <c r="UNB34" s="63"/>
      <c r="UNC34" s="63"/>
      <c r="UND34" s="63"/>
      <c r="UNE34" s="63"/>
      <c r="UNF34" s="63"/>
      <c r="UNG34" s="63"/>
      <c r="UNH34" s="63"/>
      <c r="UNI34" s="63"/>
      <c r="UNJ34" s="63"/>
      <c r="UNK34" s="63"/>
      <c r="UNL34" s="63"/>
      <c r="UNM34" s="63"/>
      <c r="UNN34" s="63"/>
      <c r="UNO34" s="63"/>
      <c r="UNP34" s="63"/>
      <c r="UNQ34" s="63"/>
      <c r="UNR34" s="63"/>
      <c r="UNS34" s="63"/>
      <c r="UNT34" s="63"/>
      <c r="UNU34" s="63"/>
      <c r="UNV34" s="63"/>
      <c r="UNW34" s="63"/>
      <c r="UNX34" s="63"/>
      <c r="UNY34" s="63"/>
      <c r="UNZ34" s="63"/>
      <c r="UOA34" s="63"/>
      <c r="UOB34" s="63"/>
      <c r="UOC34" s="63"/>
      <c r="UOD34" s="63"/>
      <c r="UOE34" s="63"/>
      <c r="UOF34" s="63"/>
      <c r="UOG34" s="63"/>
      <c r="UOH34" s="63"/>
      <c r="UOI34" s="63"/>
      <c r="UOJ34" s="63"/>
      <c r="UOK34" s="63"/>
      <c r="UOL34" s="63"/>
      <c r="UOM34" s="63"/>
      <c r="UON34" s="63"/>
      <c r="UOO34" s="63"/>
      <c r="UOP34" s="63"/>
      <c r="UOQ34" s="63"/>
      <c r="UOR34" s="63"/>
      <c r="UOS34" s="63"/>
      <c r="UOT34" s="63"/>
      <c r="UOU34" s="63"/>
      <c r="UOV34" s="63"/>
      <c r="UOW34" s="63"/>
      <c r="UOX34" s="63"/>
      <c r="UOY34" s="63"/>
      <c r="UOZ34" s="63"/>
      <c r="UPA34" s="63"/>
      <c r="UPB34" s="63"/>
      <c r="UPC34" s="63"/>
      <c r="UPD34" s="63"/>
      <c r="UPE34" s="63"/>
      <c r="UPF34" s="63"/>
      <c r="UPG34" s="63"/>
      <c r="UPH34" s="63"/>
      <c r="UPI34" s="63"/>
      <c r="UPJ34" s="63"/>
      <c r="UPK34" s="63"/>
      <c r="UPL34" s="63"/>
      <c r="UPM34" s="63"/>
      <c r="UPN34" s="63"/>
      <c r="UPO34" s="63"/>
      <c r="UPP34" s="63"/>
      <c r="UPQ34" s="63"/>
      <c r="UPR34" s="63"/>
      <c r="UPS34" s="63"/>
      <c r="UPT34" s="63"/>
      <c r="UPU34" s="63"/>
      <c r="UPV34" s="63"/>
      <c r="UPW34" s="63"/>
      <c r="UPX34" s="63"/>
      <c r="UPY34" s="63"/>
      <c r="UPZ34" s="63"/>
      <c r="UQA34" s="63"/>
      <c r="UQB34" s="63"/>
      <c r="UQC34" s="63"/>
      <c r="UQD34" s="63"/>
      <c r="UQE34" s="63"/>
      <c r="UQF34" s="63"/>
      <c r="UQG34" s="63"/>
      <c r="UQH34" s="63"/>
      <c r="UQI34" s="63"/>
      <c r="UQJ34" s="63"/>
      <c r="UQK34" s="63"/>
      <c r="UQL34" s="63"/>
      <c r="UQM34" s="63"/>
      <c r="UQN34" s="63"/>
      <c r="UQO34" s="63"/>
      <c r="UQP34" s="63"/>
      <c r="UQQ34" s="63"/>
      <c r="UQR34" s="63"/>
      <c r="UQS34" s="63"/>
      <c r="UQT34" s="63"/>
      <c r="UQU34" s="63"/>
      <c r="UQV34" s="63"/>
      <c r="UQW34" s="63"/>
      <c r="UQX34" s="63"/>
      <c r="UQY34" s="63"/>
      <c r="UQZ34" s="63"/>
      <c r="URA34" s="63"/>
      <c r="URB34" s="63"/>
      <c r="URC34" s="63"/>
      <c r="URD34" s="63"/>
      <c r="URE34" s="63"/>
      <c r="URF34" s="63"/>
      <c r="URG34" s="63"/>
      <c r="URH34" s="63"/>
      <c r="URI34" s="63"/>
      <c r="URJ34" s="63"/>
      <c r="URK34" s="63"/>
      <c r="URL34" s="63"/>
      <c r="URM34" s="63"/>
      <c r="URN34" s="63"/>
      <c r="URO34" s="63"/>
      <c r="URP34" s="63"/>
      <c r="URQ34" s="63"/>
      <c r="URR34" s="63"/>
      <c r="URS34" s="63"/>
      <c r="URT34" s="63"/>
      <c r="URU34" s="63"/>
      <c r="URV34" s="63"/>
      <c r="URW34" s="63"/>
      <c r="URX34" s="63"/>
      <c r="URY34" s="63"/>
      <c r="URZ34" s="63"/>
      <c r="USA34" s="63"/>
      <c r="USB34" s="63"/>
      <c r="USC34" s="63"/>
      <c r="USD34" s="63"/>
      <c r="USE34" s="63"/>
      <c r="USF34" s="63"/>
      <c r="USG34" s="63"/>
      <c r="USH34" s="63"/>
      <c r="USI34" s="63"/>
      <c r="USJ34" s="63"/>
      <c r="USK34" s="63"/>
      <c r="USL34" s="63"/>
      <c r="USM34" s="63"/>
      <c r="USN34" s="63"/>
      <c r="USO34" s="63"/>
      <c r="USP34" s="63"/>
      <c r="USQ34" s="63"/>
      <c r="USR34" s="63"/>
      <c r="USS34" s="63"/>
      <c r="UST34" s="63"/>
      <c r="USU34" s="63"/>
      <c r="USV34" s="63"/>
      <c r="USW34" s="63"/>
      <c r="USX34" s="63"/>
      <c r="USY34" s="63"/>
      <c r="USZ34" s="63"/>
      <c r="UTA34" s="63"/>
      <c r="UTB34" s="63"/>
      <c r="UTC34" s="63"/>
      <c r="UTD34" s="63"/>
      <c r="UTE34" s="63"/>
      <c r="UTF34" s="63"/>
      <c r="UTG34" s="63"/>
      <c r="UTH34" s="63"/>
      <c r="UTI34" s="63"/>
      <c r="UTJ34" s="63"/>
      <c r="UTK34" s="63"/>
      <c r="UTL34" s="63"/>
      <c r="UTM34" s="63"/>
      <c r="UTN34" s="63"/>
      <c r="UTO34" s="63"/>
      <c r="UTP34" s="63"/>
      <c r="UTQ34" s="63"/>
      <c r="UTR34" s="63"/>
      <c r="UTS34" s="63"/>
      <c r="UTT34" s="63"/>
      <c r="UTU34" s="63"/>
      <c r="UTV34" s="63"/>
      <c r="UTW34" s="63"/>
      <c r="UTX34" s="63"/>
      <c r="UTY34" s="63"/>
      <c r="UTZ34" s="63"/>
      <c r="UUA34" s="63"/>
      <c r="UUB34" s="63"/>
      <c r="UUC34" s="63"/>
      <c r="UUD34" s="63"/>
      <c r="UUE34" s="63"/>
      <c r="UUF34" s="63"/>
      <c r="UUG34" s="63"/>
      <c r="UUH34" s="63"/>
      <c r="UUI34" s="63"/>
      <c r="UUJ34" s="63"/>
      <c r="UUK34" s="63"/>
      <c r="UUL34" s="63"/>
      <c r="UUM34" s="63"/>
      <c r="UUN34" s="63"/>
      <c r="UUO34" s="63"/>
      <c r="UUP34" s="63"/>
      <c r="UUQ34" s="63"/>
      <c r="UUR34" s="63"/>
      <c r="UUS34" s="63"/>
      <c r="UUT34" s="63"/>
      <c r="UUU34" s="63"/>
      <c r="UUV34" s="63"/>
      <c r="UUW34" s="63"/>
      <c r="UUX34" s="63"/>
      <c r="UUY34" s="63"/>
      <c r="UUZ34" s="63"/>
      <c r="UVA34" s="63"/>
      <c r="UVB34" s="63"/>
      <c r="UVC34" s="63"/>
      <c r="UVD34" s="63"/>
      <c r="UVE34" s="63"/>
      <c r="UVF34" s="63"/>
      <c r="UVG34" s="63"/>
      <c r="UVH34" s="63"/>
      <c r="UVI34" s="63"/>
      <c r="UVJ34" s="63"/>
      <c r="UVK34" s="63"/>
      <c r="UVL34" s="63"/>
      <c r="UVM34" s="63"/>
      <c r="UVN34" s="63"/>
      <c r="UVO34" s="63"/>
      <c r="UVP34" s="63"/>
      <c r="UVQ34" s="63"/>
      <c r="UVR34" s="63"/>
      <c r="UVS34" s="63"/>
      <c r="UVT34" s="63"/>
      <c r="UVU34" s="63"/>
      <c r="UVV34" s="63"/>
      <c r="UVW34" s="63"/>
      <c r="UVX34" s="63"/>
      <c r="UVY34" s="63"/>
      <c r="UVZ34" s="63"/>
      <c r="UWA34" s="63"/>
      <c r="UWB34" s="63"/>
      <c r="UWC34" s="63"/>
      <c r="UWD34" s="63"/>
      <c r="UWE34" s="63"/>
      <c r="UWF34" s="63"/>
      <c r="UWG34" s="63"/>
      <c r="UWH34" s="63"/>
      <c r="UWI34" s="63"/>
      <c r="UWJ34" s="63"/>
      <c r="UWK34" s="63"/>
      <c r="UWL34" s="63"/>
      <c r="UWM34" s="63"/>
      <c r="UWN34" s="63"/>
      <c r="UWO34" s="63"/>
      <c r="UWP34" s="63"/>
      <c r="UWQ34" s="63"/>
      <c r="UWR34" s="63"/>
      <c r="UWS34" s="63"/>
      <c r="UWT34" s="63"/>
      <c r="UWU34" s="63"/>
      <c r="UWV34" s="63"/>
      <c r="UWW34" s="63"/>
      <c r="UWX34" s="63"/>
      <c r="UWY34" s="63"/>
      <c r="UWZ34" s="63"/>
      <c r="UXA34" s="63"/>
      <c r="UXB34" s="63"/>
      <c r="UXC34" s="63"/>
      <c r="UXD34" s="63"/>
      <c r="UXE34" s="63"/>
      <c r="UXF34" s="63"/>
      <c r="UXG34" s="63"/>
      <c r="UXH34" s="63"/>
      <c r="UXI34" s="63"/>
      <c r="UXJ34" s="63"/>
      <c r="UXK34" s="63"/>
      <c r="UXL34" s="63"/>
      <c r="UXM34" s="63"/>
      <c r="UXN34" s="63"/>
      <c r="UXO34" s="63"/>
      <c r="UXP34" s="63"/>
      <c r="UXQ34" s="63"/>
      <c r="UXR34" s="63"/>
      <c r="UXS34" s="63"/>
      <c r="UXT34" s="63"/>
      <c r="UXU34" s="63"/>
      <c r="UXV34" s="63"/>
      <c r="UXW34" s="63"/>
      <c r="UXX34" s="63"/>
      <c r="UXY34" s="63"/>
      <c r="UXZ34" s="63"/>
      <c r="UYA34" s="63"/>
      <c r="UYB34" s="63"/>
      <c r="UYC34" s="63"/>
      <c r="UYD34" s="63"/>
      <c r="UYE34" s="63"/>
      <c r="UYF34" s="63"/>
      <c r="UYG34" s="63"/>
      <c r="UYH34" s="63"/>
      <c r="UYI34" s="63"/>
      <c r="UYJ34" s="63"/>
      <c r="UYK34" s="63"/>
      <c r="UYL34" s="63"/>
      <c r="UYM34" s="63"/>
      <c r="UYN34" s="63"/>
      <c r="UYO34" s="63"/>
      <c r="UYP34" s="63"/>
      <c r="UYQ34" s="63"/>
      <c r="UYR34" s="63"/>
      <c r="UYS34" s="63"/>
      <c r="UYT34" s="63"/>
      <c r="UYU34" s="63"/>
      <c r="UYV34" s="63"/>
      <c r="UYW34" s="63"/>
      <c r="UYX34" s="63"/>
      <c r="UYY34" s="63"/>
      <c r="UYZ34" s="63"/>
      <c r="UZA34" s="63"/>
      <c r="UZB34" s="63"/>
      <c r="UZC34" s="63"/>
      <c r="UZD34" s="63"/>
      <c r="UZE34" s="63"/>
      <c r="UZF34" s="63"/>
      <c r="UZG34" s="63"/>
      <c r="UZH34" s="63"/>
      <c r="UZI34" s="63"/>
      <c r="UZJ34" s="63"/>
      <c r="UZK34" s="63"/>
      <c r="UZL34" s="63"/>
      <c r="UZM34" s="63"/>
      <c r="UZN34" s="63"/>
      <c r="UZO34" s="63"/>
      <c r="UZP34" s="63"/>
      <c r="UZQ34" s="63"/>
      <c r="UZR34" s="63"/>
      <c r="UZS34" s="63"/>
      <c r="UZT34" s="63"/>
      <c r="UZU34" s="63"/>
      <c r="UZV34" s="63"/>
      <c r="UZW34" s="63"/>
      <c r="UZX34" s="63"/>
      <c r="UZY34" s="63"/>
      <c r="UZZ34" s="63"/>
      <c r="VAA34" s="63"/>
      <c r="VAB34" s="63"/>
      <c r="VAC34" s="63"/>
      <c r="VAD34" s="63"/>
      <c r="VAE34" s="63"/>
      <c r="VAF34" s="63"/>
      <c r="VAG34" s="63"/>
      <c r="VAH34" s="63"/>
      <c r="VAI34" s="63"/>
      <c r="VAJ34" s="63"/>
      <c r="VAK34" s="63"/>
      <c r="VAL34" s="63"/>
      <c r="VAM34" s="63"/>
      <c r="VAN34" s="63"/>
      <c r="VAO34" s="63"/>
      <c r="VAP34" s="63"/>
      <c r="VAQ34" s="63"/>
      <c r="VAR34" s="63"/>
      <c r="VAS34" s="63"/>
      <c r="VAT34" s="63"/>
      <c r="VAU34" s="63"/>
      <c r="VAV34" s="63"/>
      <c r="VAW34" s="63"/>
      <c r="VAX34" s="63"/>
      <c r="VAY34" s="63"/>
      <c r="VAZ34" s="63"/>
      <c r="VBA34" s="63"/>
      <c r="VBB34" s="63"/>
      <c r="VBC34" s="63"/>
      <c r="VBD34" s="63"/>
      <c r="VBE34" s="63"/>
      <c r="VBF34" s="63"/>
      <c r="VBG34" s="63"/>
      <c r="VBH34" s="63"/>
      <c r="VBI34" s="63"/>
      <c r="VBJ34" s="63"/>
      <c r="VBK34" s="63"/>
      <c r="VBL34" s="63"/>
      <c r="VBM34" s="63"/>
      <c r="VBN34" s="63"/>
      <c r="VBO34" s="63"/>
      <c r="VBP34" s="63"/>
      <c r="VBQ34" s="63"/>
      <c r="VBR34" s="63"/>
      <c r="VBS34" s="63"/>
      <c r="VBT34" s="63"/>
      <c r="VBU34" s="63"/>
      <c r="VBV34" s="63"/>
      <c r="VBW34" s="63"/>
      <c r="VBX34" s="63"/>
      <c r="VBY34" s="63"/>
      <c r="VBZ34" s="63"/>
      <c r="VCA34" s="63"/>
      <c r="VCB34" s="63"/>
      <c r="VCC34" s="63"/>
      <c r="VCD34" s="63"/>
      <c r="VCE34" s="63"/>
      <c r="VCF34" s="63"/>
      <c r="VCG34" s="63"/>
      <c r="VCH34" s="63"/>
      <c r="VCI34" s="63"/>
      <c r="VCJ34" s="63"/>
      <c r="VCK34" s="63"/>
      <c r="VCL34" s="63"/>
      <c r="VCM34" s="63"/>
      <c r="VCN34" s="63"/>
      <c r="VCO34" s="63"/>
      <c r="VCP34" s="63"/>
      <c r="VCQ34" s="63"/>
      <c r="VCR34" s="63"/>
      <c r="VCS34" s="63"/>
      <c r="VCT34" s="63"/>
      <c r="VCU34" s="63"/>
      <c r="VCV34" s="63"/>
      <c r="VCW34" s="63"/>
      <c r="VCX34" s="63"/>
      <c r="VCY34" s="63"/>
      <c r="VCZ34" s="63"/>
      <c r="VDA34" s="63"/>
      <c r="VDB34" s="63"/>
      <c r="VDC34" s="63"/>
      <c r="VDD34" s="63"/>
      <c r="VDE34" s="63"/>
      <c r="VDF34" s="63"/>
      <c r="VDG34" s="63"/>
      <c r="VDH34" s="63"/>
      <c r="VDI34" s="63"/>
      <c r="VDJ34" s="63"/>
      <c r="VDK34" s="63"/>
      <c r="VDL34" s="63"/>
      <c r="VDM34" s="63"/>
      <c r="VDN34" s="63"/>
      <c r="VDO34" s="63"/>
      <c r="VDP34" s="63"/>
      <c r="VDQ34" s="63"/>
      <c r="VDR34" s="63"/>
      <c r="VDS34" s="63"/>
      <c r="VDT34" s="63"/>
      <c r="VDU34" s="63"/>
      <c r="VDV34" s="63"/>
      <c r="VDW34" s="63"/>
      <c r="VDX34" s="63"/>
      <c r="VDY34" s="63"/>
      <c r="VDZ34" s="63"/>
      <c r="VEA34" s="63"/>
      <c r="VEB34" s="63"/>
      <c r="VEC34" s="63"/>
      <c r="VED34" s="63"/>
      <c r="VEE34" s="63"/>
      <c r="VEF34" s="63"/>
      <c r="VEG34" s="63"/>
      <c r="VEH34" s="63"/>
      <c r="VEI34" s="63"/>
      <c r="VEJ34" s="63"/>
      <c r="VEK34" s="63"/>
      <c r="VEL34" s="63"/>
      <c r="VEM34" s="63"/>
      <c r="VEN34" s="63"/>
      <c r="VEO34" s="63"/>
      <c r="VEP34" s="63"/>
      <c r="VEQ34" s="63"/>
      <c r="VER34" s="63"/>
      <c r="VES34" s="63"/>
      <c r="VET34" s="63"/>
      <c r="VEU34" s="63"/>
      <c r="VEV34" s="63"/>
      <c r="VEW34" s="63"/>
      <c r="VEX34" s="63"/>
    </row>
    <row r="35" spans="1:15026" ht="15" customHeight="1">
      <c r="C35" s="15"/>
      <c r="D35" s="14" t="s">
        <v>75</v>
      </c>
      <c r="E35" s="256"/>
      <c r="F35" s="20" t="s">
        <v>14</v>
      </c>
      <c r="G35" s="33">
        <f>G36+G37</f>
        <v>0</v>
      </c>
      <c r="H35" s="33">
        <f>H36+H37</f>
        <v>0</v>
      </c>
      <c r="I35" s="33">
        <f t="shared" ref="I35:AK35" si="6">I36+I37</f>
        <v>0</v>
      </c>
      <c r="J35" s="33">
        <f t="shared" si="6"/>
        <v>0</v>
      </c>
      <c r="K35" s="33">
        <v>0</v>
      </c>
      <c r="L35" s="33">
        <f t="shared" si="6"/>
        <v>0</v>
      </c>
      <c r="M35" s="33">
        <f t="shared" si="6"/>
        <v>0</v>
      </c>
      <c r="N35" s="33">
        <f t="shared" si="6"/>
        <v>0</v>
      </c>
      <c r="O35" s="33">
        <f t="shared" si="6"/>
        <v>0</v>
      </c>
      <c r="P35" s="33">
        <f t="shared" si="6"/>
        <v>0</v>
      </c>
      <c r="Q35" s="33">
        <f t="shared" si="6"/>
        <v>0</v>
      </c>
      <c r="R35" s="33">
        <f t="shared" si="6"/>
        <v>0</v>
      </c>
      <c r="S35" s="1965">
        <v>0</v>
      </c>
      <c r="T35" s="33">
        <f t="shared" si="6"/>
        <v>0</v>
      </c>
      <c r="U35" s="33">
        <f t="shared" si="6"/>
        <v>0</v>
      </c>
      <c r="V35" s="33">
        <f t="shared" si="6"/>
        <v>0</v>
      </c>
      <c r="W35" s="33">
        <f t="shared" si="6"/>
        <v>0</v>
      </c>
      <c r="X35" s="33">
        <f t="shared" si="6"/>
        <v>0</v>
      </c>
      <c r="Y35" s="33"/>
      <c r="Z35" s="33"/>
      <c r="AA35" s="33">
        <f t="shared" si="6"/>
        <v>0</v>
      </c>
      <c r="AB35" s="33">
        <f t="shared" si="6"/>
        <v>0</v>
      </c>
      <c r="AC35" s="33">
        <v>0</v>
      </c>
      <c r="AD35" s="33">
        <f t="shared" si="6"/>
        <v>0</v>
      </c>
      <c r="AE35" s="33"/>
      <c r="AF35" s="33">
        <f t="shared" si="6"/>
        <v>0</v>
      </c>
      <c r="AG35" s="33">
        <f t="shared" si="6"/>
        <v>0</v>
      </c>
      <c r="AH35" s="33">
        <f t="shared" si="6"/>
        <v>0</v>
      </c>
      <c r="AI35" s="33"/>
      <c r="AJ35" s="33"/>
      <c r="AK35" s="33">
        <f t="shared" si="6"/>
        <v>0</v>
      </c>
      <c r="AM35" s="55">
        <f>SUM(G35:AK35)</f>
        <v>0</v>
      </c>
    </row>
    <row r="36" spans="1:15026" ht="15" customHeight="1">
      <c r="C36" s="15"/>
      <c r="D36" s="65" t="s">
        <v>105</v>
      </c>
      <c r="E36" s="256"/>
      <c r="F36" s="66" t="s">
        <v>14</v>
      </c>
      <c r="G36" s="271">
        <v>0</v>
      </c>
      <c r="H36" s="271">
        <v>0</v>
      </c>
      <c r="I36" s="271">
        <v>0</v>
      </c>
      <c r="J36" s="271">
        <v>0</v>
      </c>
      <c r="K36" s="271">
        <v>0</v>
      </c>
      <c r="L36" s="271">
        <v>0</v>
      </c>
      <c r="M36" s="271">
        <v>0</v>
      </c>
      <c r="N36" s="271">
        <v>0</v>
      </c>
      <c r="O36" s="271">
        <v>0</v>
      </c>
      <c r="P36" s="271">
        <v>0</v>
      </c>
      <c r="Q36" s="271">
        <v>0</v>
      </c>
      <c r="R36" s="271">
        <v>0</v>
      </c>
      <c r="S36" s="1971">
        <v>0</v>
      </c>
      <c r="T36" s="271">
        <v>0</v>
      </c>
      <c r="U36" s="271">
        <v>0</v>
      </c>
      <c r="V36" s="271">
        <v>0</v>
      </c>
      <c r="W36" s="271">
        <v>0</v>
      </c>
      <c r="X36" s="271">
        <v>0</v>
      </c>
      <c r="Y36" s="271"/>
      <c r="Z36" s="271"/>
      <c r="AA36" s="271">
        <v>0</v>
      </c>
      <c r="AB36" s="271">
        <v>0</v>
      </c>
      <c r="AC36" s="271">
        <v>0</v>
      </c>
      <c r="AD36" s="271">
        <v>0</v>
      </c>
      <c r="AE36" s="271"/>
      <c r="AF36" s="271">
        <v>0</v>
      </c>
      <c r="AG36" s="271">
        <v>0</v>
      </c>
      <c r="AH36" s="271"/>
      <c r="AI36" s="271"/>
      <c r="AJ36" s="271"/>
      <c r="AK36" s="271"/>
      <c r="AM36" s="58">
        <f>SUM(G36:AK36)</f>
        <v>0</v>
      </c>
    </row>
    <row r="37" spans="1:15026" ht="15" customHeight="1">
      <c r="C37" s="15"/>
      <c r="D37" s="65" t="s">
        <v>73</v>
      </c>
      <c r="E37" s="256"/>
      <c r="F37" s="66" t="s">
        <v>14</v>
      </c>
      <c r="G37" s="271">
        <v>0</v>
      </c>
      <c r="H37" s="271">
        <v>0</v>
      </c>
      <c r="I37" s="271">
        <v>0</v>
      </c>
      <c r="J37" s="271">
        <v>0</v>
      </c>
      <c r="K37" s="271">
        <v>0</v>
      </c>
      <c r="L37" s="271">
        <v>0</v>
      </c>
      <c r="M37" s="271">
        <v>0</v>
      </c>
      <c r="N37" s="271">
        <v>0</v>
      </c>
      <c r="O37" s="271">
        <v>0</v>
      </c>
      <c r="P37" s="271">
        <v>0</v>
      </c>
      <c r="Q37" s="271">
        <v>0</v>
      </c>
      <c r="R37" s="271">
        <v>0</v>
      </c>
      <c r="S37" s="1971">
        <v>0</v>
      </c>
      <c r="T37" s="271">
        <v>0</v>
      </c>
      <c r="U37" s="271">
        <v>0</v>
      </c>
      <c r="V37" s="271">
        <v>0</v>
      </c>
      <c r="W37" s="271">
        <v>0</v>
      </c>
      <c r="X37" s="271">
        <v>0</v>
      </c>
      <c r="Y37" s="271"/>
      <c r="Z37" s="271"/>
      <c r="AA37" s="271">
        <v>0</v>
      </c>
      <c r="AB37" s="271">
        <v>0</v>
      </c>
      <c r="AC37" s="271">
        <v>0</v>
      </c>
      <c r="AD37" s="271">
        <v>0</v>
      </c>
      <c r="AE37" s="271">
        <v>0</v>
      </c>
      <c r="AF37" s="271">
        <v>0</v>
      </c>
      <c r="AG37" s="271">
        <v>0</v>
      </c>
      <c r="AH37" s="271"/>
      <c r="AI37" s="271"/>
      <c r="AJ37" s="271"/>
      <c r="AK37" s="271"/>
      <c r="AM37" s="58">
        <f>SUM(G37:AK37)</f>
        <v>0</v>
      </c>
    </row>
    <row r="38" spans="1:15026" ht="15" customHeight="1">
      <c r="C38" s="15"/>
      <c r="D38" s="231" t="s">
        <v>107</v>
      </c>
      <c r="E38" s="234"/>
      <c r="F38" s="23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1968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M38" s="67" t="s">
        <v>108</v>
      </c>
    </row>
    <row r="39" spans="1:15026" s="74" customFormat="1" ht="15" customHeight="1">
      <c r="A39" s="16"/>
      <c r="B39" s="16"/>
      <c r="C39" s="17"/>
      <c r="D39" s="11" t="s">
        <v>71</v>
      </c>
      <c r="E39" s="257"/>
      <c r="F39" s="12" t="s">
        <v>14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1965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16"/>
      <c r="AM39" s="55">
        <f>SUM(G39:AK39)</f>
        <v>0</v>
      </c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45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6"/>
      <c r="WI39" s="16"/>
      <c r="WJ39" s="16"/>
      <c r="WK39" s="16"/>
      <c r="WL39" s="16"/>
      <c r="WM39" s="16"/>
      <c r="WN39" s="16"/>
      <c r="WO39" s="16"/>
      <c r="WP39" s="16"/>
      <c r="WQ39" s="16"/>
      <c r="WR39" s="16"/>
      <c r="WS39" s="16"/>
      <c r="WT39" s="16"/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  <c r="ZQ39" s="16"/>
      <c r="ZR39" s="16"/>
      <c r="ZS39" s="16"/>
      <c r="ZT39" s="16"/>
      <c r="ZU39" s="16"/>
      <c r="ZV39" s="16"/>
      <c r="ZW39" s="16"/>
      <c r="ZX39" s="16"/>
      <c r="ZY39" s="16"/>
      <c r="ZZ39" s="16"/>
      <c r="AAA39" s="16"/>
      <c r="AAB39" s="16"/>
      <c r="AAC39" s="16"/>
      <c r="AAD39" s="16"/>
      <c r="AAE39" s="16"/>
      <c r="AAF39" s="16"/>
      <c r="AAG39" s="16"/>
      <c r="AAH39" s="16"/>
      <c r="AAI39" s="16"/>
      <c r="AAJ39" s="16"/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6"/>
      <c r="AAX39" s="16"/>
      <c r="AAY39" s="16"/>
      <c r="AAZ39" s="16"/>
      <c r="ABA39" s="16"/>
      <c r="ABB39" s="16"/>
      <c r="ABC39" s="16"/>
      <c r="ABD39" s="16"/>
      <c r="ABE39" s="16"/>
      <c r="ABF39" s="16"/>
      <c r="ABG39" s="16"/>
      <c r="ABH39" s="16"/>
      <c r="ABI39" s="16"/>
      <c r="ABJ39" s="16"/>
      <c r="ABK39" s="16"/>
      <c r="ABL39" s="16"/>
      <c r="ABM39" s="16"/>
      <c r="ABN39" s="16"/>
      <c r="ABO39" s="16"/>
      <c r="ABP39" s="16"/>
      <c r="ABQ39" s="16"/>
      <c r="ABR39" s="16"/>
      <c r="ABS39" s="16"/>
      <c r="ABT39" s="16"/>
      <c r="ABU39" s="16"/>
      <c r="ABV39" s="16"/>
      <c r="ABW39" s="16"/>
      <c r="ABX39" s="16"/>
      <c r="ABY39" s="16"/>
      <c r="ABZ39" s="16"/>
      <c r="ACA39" s="16"/>
      <c r="ACB39" s="16"/>
      <c r="ACC39" s="16"/>
      <c r="ACD39" s="16"/>
      <c r="ACE39" s="16"/>
      <c r="ACF39" s="16"/>
      <c r="ACG39" s="16"/>
      <c r="ACH39" s="16"/>
      <c r="ACI39" s="16"/>
      <c r="ACJ39" s="16"/>
      <c r="ACK39" s="16"/>
      <c r="ACL39" s="16"/>
      <c r="ACM39" s="16"/>
      <c r="ACN39" s="16"/>
      <c r="ACO39" s="16"/>
      <c r="ACP39" s="16"/>
      <c r="ACQ39" s="16"/>
      <c r="ACR39" s="16"/>
      <c r="ACS39" s="16"/>
      <c r="ACT39" s="16"/>
      <c r="ACU39" s="16"/>
      <c r="ACV39" s="16"/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/>
      <c r="AGW39" s="16"/>
      <c r="AGX39" s="16"/>
      <c r="AGY39" s="16"/>
      <c r="AGZ39" s="16"/>
      <c r="AHA39" s="16"/>
      <c r="AHB39" s="16"/>
      <c r="AHC39" s="16"/>
      <c r="AHD39" s="16"/>
      <c r="AHE39" s="16"/>
      <c r="AHF39" s="16"/>
      <c r="AHG39" s="16"/>
      <c r="AHH39" s="16"/>
      <c r="AHI39" s="16"/>
      <c r="AHJ39" s="16"/>
      <c r="AHK39" s="16"/>
      <c r="AHL39" s="16"/>
      <c r="AHM39" s="16"/>
      <c r="AHN39" s="16"/>
      <c r="AHO39" s="16"/>
      <c r="AHP39" s="16"/>
      <c r="AHQ39" s="16"/>
      <c r="AHR39" s="16"/>
      <c r="AHS39" s="16"/>
      <c r="AHT39" s="16"/>
      <c r="AHU39" s="16"/>
      <c r="AHV39" s="16"/>
      <c r="AHW39" s="16"/>
      <c r="AHX39" s="16"/>
      <c r="AHY39" s="16"/>
      <c r="AHZ39" s="16"/>
      <c r="AIA39" s="16"/>
      <c r="AIB39" s="16"/>
      <c r="AIC39" s="16"/>
      <c r="AID39" s="16"/>
      <c r="AIE39" s="16"/>
      <c r="AIF39" s="16"/>
      <c r="AIG39" s="16"/>
      <c r="AIH39" s="16"/>
      <c r="AII39" s="16"/>
      <c r="AIJ39" s="16"/>
      <c r="AIK39" s="16"/>
      <c r="AIL39" s="16"/>
      <c r="AIM39" s="16"/>
      <c r="AIN39" s="16"/>
      <c r="AIO39" s="16"/>
      <c r="AIP39" s="16"/>
      <c r="AIQ39" s="16"/>
      <c r="AIR39" s="16"/>
      <c r="AIS39" s="16"/>
      <c r="AIT39" s="16"/>
      <c r="AIU39" s="16"/>
      <c r="AIV39" s="16"/>
      <c r="AIW39" s="16"/>
      <c r="AIX39" s="16"/>
      <c r="AIY39" s="16"/>
      <c r="AIZ39" s="16"/>
      <c r="AJA39" s="16"/>
      <c r="AJB39" s="16"/>
      <c r="AJC39" s="16"/>
      <c r="AJD39" s="16"/>
      <c r="AJE39" s="16"/>
      <c r="AJF39" s="16"/>
      <c r="AJG39" s="16"/>
      <c r="AJH39" s="16"/>
      <c r="AJI39" s="16"/>
      <c r="AJJ39" s="16"/>
      <c r="AJK39" s="16"/>
      <c r="AJL39" s="16"/>
      <c r="AJM39" s="16"/>
      <c r="AJN39" s="16"/>
      <c r="AJO39" s="16"/>
      <c r="AJP39" s="16"/>
      <c r="AJQ39" s="16"/>
      <c r="AJR39" s="16"/>
      <c r="AJS39" s="16"/>
      <c r="AJT39" s="16"/>
      <c r="AJU39" s="16"/>
      <c r="AJV39" s="16"/>
      <c r="AJW39" s="16"/>
      <c r="AJX39" s="16"/>
      <c r="AJY39" s="16"/>
      <c r="AJZ39" s="16"/>
      <c r="AKA39" s="16"/>
      <c r="AKB39" s="16"/>
      <c r="AKC39" s="16"/>
      <c r="AKD39" s="16"/>
      <c r="AKE39" s="16"/>
      <c r="AKF39" s="16"/>
      <c r="AKG39" s="16"/>
      <c r="AKH39" s="16"/>
      <c r="AKI39" s="16"/>
      <c r="AKJ39" s="16"/>
      <c r="AKK39" s="16"/>
      <c r="AKL39" s="16"/>
      <c r="AKM39" s="16"/>
      <c r="AKN39" s="16"/>
      <c r="AKO39" s="16"/>
      <c r="AKP39" s="16"/>
      <c r="AKQ39" s="16"/>
      <c r="AKR39" s="16"/>
      <c r="AKS39" s="16"/>
      <c r="AKT39" s="16"/>
      <c r="AKU39" s="16"/>
      <c r="AKV39" s="16"/>
      <c r="AKW39" s="16"/>
      <c r="AKX39" s="16"/>
      <c r="AKY39" s="16"/>
      <c r="AKZ39" s="16"/>
      <c r="ALA39" s="16"/>
      <c r="ALB39" s="16"/>
      <c r="ALC39" s="16"/>
      <c r="ALD39" s="16"/>
      <c r="ALE39" s="16"/>
      <c r="ALF39" s="16"/>
      <c r="ALG39" s="16"/>
      <c r="ALH39" s="16"/>
      <c r="ALI39" s="16"/>
      <c r="ALJ39" s="16"/>
      <c r="ALK39" s="16"/>
      <c r="ALL39" s="16"/>
      <c r="ALM39" s="16"/>
      <c r="ALN39" s="16"/>
      <c r="ALO39" s="16"/>
      <c r="ALP39" s="16"/>
      <c r="ALQ39" s="16"/>
      <c r="ALR39" s="16"/>
      <c r="ALS39" s="16"/>
      <c r="ALT39" s="16"/>
      <c r="ALU39" s="16"/>
      <c r="ALV39" s="16"/>
      <c r="ALW39" s="16"/>
      <c r="ALX39" s="16"/>
      <c r="ALY39" s="16"/>
      <c r="ALZ39" s="16"/>
      <c r="AMA39" s="16"/>
      <c r="AMB39" s="16"/>
      <c r="AMC39" s="16"/>
      <c r="AMD39" s="16"/>
      <c r="AME39" s="16"/>
      <c r="AMF39" s="16"/>
      <c r="AMG39" s="16"/>
      <c r="AMH39" s="16"/>
      <c r="AMI39" s="16"/>
      <c r="AMJ39" s="16"/>
      <c r="AMK39" s="16"/>
      <c r="AML39" s="16"/>
      <c r="AMM39" s="16"/>
      <c r="AMN39" s="16"/>
      <c r="AMO39" s="16"/>
      <c r="AMP39" s="16"/>
      <c r="AMQ39" s="16"/>
      <c r="AMR39" s="16"/>
      <c r="AMS39" s="16"/>
      <c r="AMT39" s="16"/>
      <c r="AMU39" s="16"/>
      <c r="AMV39" s="16"/>
      <c r="AMW39" s="16"/>
      <c r="AMX39" s="16"/>
      <c r="AMY39" s="16"/>
      <c r="AMZ39" s="16"/>
      <c r="ANA39" s="16"/>
      <c r="ANB39" s="16"/>
      <c r="ANC39" s="16"/>
      <c r="AND39" s="16"/>
      <c r="ANE39" s="16"/>
      <c r="ANF39" s="16"/>
      <c r="ANG39" s="16"/>
      <c r="ANH39" s="16"/>
      <c r="ANI39" s="16"/>
      <c r="ANJ39" s="16"/>
      <c r="ANK39" s="16"/>
      <c r="ANL39" s="16"/>
      <c r="ANM39" s="16"/>
      <c r="ANN39" s="16"/>
      <c r="ANO39" s="16"/>
      <c r="ANP39" s="16"/>
      <c r="ANQ39" s="16"/>
      <c r="ANR39" s="16"/>
      <c r="ANS39" s="16"/>
      <c r="ANT39" s="16"/>
      <c r="ANU39" s="16"/>
      <c r="ANV39" s="16"/>
      <c r="ANW39" s="16"/>
      <c r="ANX39" s="16"/>
      <c r="ANY39" s="16"/>
      <c r="ANZ39" s="16"/>
      <c r="AOA39" s="16"/>
      <c r="AOB39" s="16"/>
      <c r="AOC39" s="16"/>
      <c r="AOD39" s="16"/>
      <c r="AOE39" s="16"/>
      <c r="AOF39" s="16"/>
      <c r="AOG39" s="16"/>
      <c r="AOH39" s="16"/>
      <c r="AOI39" s="16"/>
      <c r="AOJ39" s="16"/>
      <c r="AOK39" s="16"/>
      <c r="AOL39" s="16"/>
      <c r="AOM39" s="16"/>
      <c r="AON39" s="16"/>
      <c r="AOO39" s="16"/>
      <c r="AOP39" s="16"/>
      <c r="AOQ39" s="16"/>
      <c r="AOR39" s="16"/>
      <c r="AOS39" s="16"/>
      <c r="AOT39" s="16"/>
      <c r="AOU39" s="16"/>
      <c r="AOV39" s="16"/>
      <c r="AOW39" s="16"/>
      <c r="AOX39" s="16"/>
      <c r="AOY39" s="16"/>
      <c r="AOZ39" s="16"/>
      <c r="APA39" s="16"/>
      <c r="APB39" s="16"/>
      <c r="APC39" s="16"/>
      <c r="APD39" s="16"/>
      <c r="APE39" s="16"/>
      <c r="APF39" s="16"/>
      <c r="APG39" s="16"/>
      <c r="APH39" s="16"/>
      <c r="API39" s="16"/>
      <c r="APJ39" s="16"/>
      <c r="APK39" s="16"/>
      <c r="APL39" s="16"/>
      <c r="APM39" s="16"/>
      <c r="APN39" s="16"/>
      <c r="APO39" s="16"/>
      <c r="APP39" s="16"/>
      <c r="APQ39" s="16"/>
      <c r="APR39" s="16"/>
      <c r="APS39" s="16"/>
      <c r="APT39" s="16"/>
      <c r="APU39" s="16"/>
      <c r="APV39" s="16"/>
      <c r="APW39" s="16"/>
      <c r="APX39" s="16"/>
      <c r="APY39" s="16"/>
      <c r="APZ39" s="16"/>
      <c r="AQA39" s="16"/>
      <c r="AQB39" s="16"/>
      <c r="AQC39" s="16"/>
      <c r="AQD39" s="16"/>
      <c r="AQE39" s="16"/>
      <c r="AQF39" s="16"/>
      <c r="AQG39" s="16"/>
      <c r="AQH39" s="16"/>
      <c r="AQI39" s="16"/>
      <c r="AQJ39" s="16"/>
      <c r="AQK39" s="16"/>
      <c r="AQL39" s="16"/>
      <c r="AQM39" s="16"/>
      <c r="AQN39" s="16"/>
      <c r="AQO39" s="16"/>
      <c r="AQP39" s="16"/>
      <c r="AQQ39" s="16"/>
      <c r="AQR39" s="16"/>
      <c r="AQS39" s="16"/>
      <c r="AQT39" s="16"/>
      <c r="AQU39" s="16"/>
      <c r="AQV39" s="16"/>
      <c r="AQW39" s="16"/>
      <c r="AQX39" s="16"/>
      <c r="AQY39" s="16"/>
      <c r="AQZ39" s="16"/>
      <c r="ARA39" s="16"/>
      <c r="ARB39" s="16"/>
      <c r="ARC39" s="16"/>
      <c r="ARD39" s="16"/>
      <c r="ARE39" s="16"/>
      <c r="ARF39" s="16"/>
      <c r="ARG39" s="16"/>
      <c r="ARH39" s="16"/>
      <c r="ARI39" s="16"/>
      <c r="ARJ39" s="16"/>
      <c r="ARK39" s="16"/>
      <c r="ARL39" s="16"/>
      <c r="ARM39" s="16"/>
      <c r="ARN39" s="16"/>
      <c r="ARO39" s="16"/>
      <c r="ARP39" s="16"/>
      <c r="ARQ39" s="16"/>
      <c r="ARR39" s="16"/>
      <c r="ARS39" s="16"/>
      <c r="ART39" s="16"/>
      <c r="ARU39" s="16"/>
      <c r="ARV39" s="16"/>
      <c r="ARW39" s="16"/>
      <c r="ARX39" s="16"/>
      <c r="ARY39" s="16"/>
      <c r="ARZ39" s="16"/>
      <c r="ASA39" s="16"/>
      <c r="ASB39" s="16"/>
      <c r="ASC39" s="16"/>
      <c r="ASD39" s="16"/>
      <c r="ASE39" s="16"/>
      <c r="ASF39" s="16"/>
      <c r="ASG39" s="16"/>
      <c r="ASH39" s="16"/>
      <c r="ASI39" s="16"/>
      <c r="ASJ39" s="16"/>
      <c r="ASK39" s="16"/>
      <c r="ASL39" s="16"/>
      <c r="ASM39" s="16"/>
      <c r="ASN39" s="16"/>
      <c r="ASO39" s="16"/>
      <c r="ASP39" s="16"/>
      <c r="ASQ39" s="16"/>
      <c r="ASR39" s="16"/>
      <c r="ASS39" s="16"/>
      <c r="AST39" s="16"/>
      <c r="ASU39" s="16"/>
      <c r="ASV39" s="16"/>
      <c r="ASW39" s="16"/>
      <c r="ASX39" s="16"/>
      <c r="ASY39" s="16"/>
      <c r="ASZ39" s="16"/>
      <c r="ATA39" s="16"/>
      <c r="ATB39" s="16"/>
      <c r="ATC39" s="16"/>
      <c r="ATD39" s="16"/>
      <c r="ATE39" s="16"/>
      <c r="ATF39" s="16"/>
      <c r="ATG39" s="16"/>
      <c r="ATH39" s="16"/>
      <c r="ATI39" s="16"/>
      <c r="ATJ39" s="16"/>
      <c r="ATK39" s="16"/>
      <c r="ATL39" s="16"/>
      <c r="ATM39" s="16"/>
      <c r="ATN39" s="16"/>
      <c r="ATO39" s="16"/>
      <c r="ATP39" s="16"/>
      <c r="ATQ39" s="16"/>
      <c r="ATR39" s="16"/>
      <c r="ATS39" s="16"/>
      <c r="ATT39" s="16"/>
      <c r="ATU39" s="16"/>
      <c r="ATV39" s="16"/>
      <c r="ATW39" s="16"/>
      <c r="ATX39" s="16"/>
      <c r="ATY39" s="16"/>
      <c r="ATZ39" s="16"/>
      <c r="AUA39" s="16"/>
      <c r="AUB39" s="16"/>
      <c r="AUC39" s="16"/>
      <c r="AUD39" s="16"/>
      <c r="AUE39" s="16"/>
      <c r="AUF39" s="16"/>
      <c r="AUG39" s="16"/>
      <c r="AUH39" s="16"/>
      <c r="AUI39" s="16"/>
      <c r="AUJ39" s="16"/>
      <c r="AUK39" s="16"/>
      <c r="AUL39" s="16"/>
      <c r="AUM39" s="16"/>
      <c r="AUN39" s="16"/>
      <c r="AUO39" s="16"/>
      <c r="AUP39" s="16"/>
      <c r="AUQ39" s="16"/>
      <c r="AUR39" s="16"/>
      <c r="AUS39" s="16"/>
      <c r="AUT39" s="16"/>
      <c r="AUU39" s="16"/>
      <c r="AUV39" s="16"/>
      <c r="AUW39" s="16"/>
      <c r="AUX39" s="16"/>
      <c r="AUY39" s="16"/>
      <c r="AUZ39" s="16"/>
      <c r="AVA39" s="16"/>
      <c r="AVB39" s="16"/>
      <c r="AVC39" s="16"/>
      <c r="AVD39" s="16"/>
      <c r="AVE39" s="16"/>
      <c r="AVF39" s="16"/>
      <c r="AVG39" s="16"/>
      <c r="AVH39" s="16"/>
      <c r="AVI39" s="16"/>
      <c r="AVJ39" s="16"/>
      <c r="AVK39" s="16"/>
      <c r="AVL39" s="16"/>
      <c r="AVM39" s="16"/>
      <c r="AVN39" s="16"/>
      <c r="AVO39" s="16"/>
      <c r="AVP39" s="16"/>
      <c r="AVQ39" s="16"/>
      <c r="AVR39" s="16"/>
      <c r="AVS39" s="16"/>
      <c r="AVT39" s="16"/>
      <c r="AVU39" s="16"/>
      <c r="AVV39" s="16"/>
      <c r="AVW39" s="16"/>
      <c r="AVX39" s="16"/>
      <c r="AVY39" s="16"/>
      <c r="AVZ39" s="16"/>
      <c r="AWA39" s="16"/>
      <c r="AWB39" s="16"/>
      <c r="AWC39" s="16"/>
      <c r="AWD39" s="16"/>
      <c r="AWE39" s="16"/>
      <c r="AWF39" s="16"/>
      <c r="AWG39" s="16"/>
      <c r="AWH39" s="16"/>
      <c r="AWI39" s="16"/>
      <c r="AWJ39" s="16"/>
      <c r="AWK39" s="16"/>
      <c r="AWL39" s="16"/>
      <c r="AWM39" s="16"/>
      <c r="AWN39" s="16"/>
      <c r="AWO39" s="16"/>
      <c r="AWP39" s="16"/>
      <c r="AWQ39" s="16"/>
      <c r="AWR39" s="16"/>
      <c r="AWS39" s="16"/>
      <c r="AWT39" s="16"/>
      <c r="AWU39" s="16"/>
      <c r="AWV39" s="16"/>
      <c r="AWW39" s="16"/>
      <c r="AWX39" s="16"/>
      <c r="AWY39" s="16"/>
      <c r="AWZ39" s="16"/>
      <c r="AXA39" s="16"/>
      <c r="AXB39" s="16"/>
      <c r="AXC39" s="16"/>
      <c r="AXD39" s="16"/>
      <c r="AXE39" s="16"/>
      <c r="AXF39" s="16"/>
      <c r="AXG39" s="16"/>
      <c r="AXH39" s="16"/>
      <c r="AXI39" s="16"/>
      <c r="AXJ39" s="16"/>
      <c r="AXK39" s="16"/>
      <c r="AXL39" s="16"/>
      <c r="AXM39" s="16"/>
      <c r="AXN39" s="16"/>
      <c r="AXO39" s="16"/>
      <c r="AXP39" s="16"/>
      <c r="AXQ39" s="16"/>
      <c r="AXR39" s="16"/>
      <c r="AXS39" s="16"/>
      <c r="AXT39" s="16"/>
      <c r="AXU39" s="16"/>
      <c r="AXV39" s="16"/>
      <c r="AXW39" s="16"/>
      <c r="AXX39" s="16"/>
      <c r="AXY39" s="16"/>
      <c r="AXZ39" s="16"/>
      <c r="AYA39" s="16"/>
      <c r="AYB39" s="16"/>
      <c r="AYC39" s="16"/>
      <c r="AYD39" s="16"/>
      <c r="AYE39" s="16"/>
      <c r="AYF39" s="16"/>
      <c r="AYG39" s="16"/>
      <c r="AYH39" s="16"/>
      <c r="AYI39" s="16"/>
      <c r="AYJ39" s="16"/>
      <c r="AYK39" s="16"/>
      <c r="AYL39" s="16"/>
      <c r="AYM39" s="16"/>
      <c r="AYN39" s="16"/>
      <c r="AYO39" s="16"/>
      <c r="AYP39" s="16"/>
      <c r="AYQ39" s="16"/>
      <c r="AYR39" s="16"/>
      <c r="AYS39" s="16"/>
      <c r="AYT39" s="16"/>
      <c r="AYU39" s="16"/>
      <c r="AYV39" s="16"/>
      <c r="AYW39" s="16"/>
      <c r="AYX39" s="16"/>
      <c r="AYY39" s="16"/>
      <c r="AYZ39" s="16"/>
      <c r="AZA39" s="16"/>
      <c r="AZB39" s="16"/>
      <c r="AZC39" s="16"/>
      <c r="AZD39" s="16"/>
      <c r="AZE39" s="16"/>
      <c r="AZF39" s="16"/>
      <c r="AZG39" s="16"/>
      <c r="AZH39" s="16"/>
      <c r="AZI39" s="16"/>
      <c r="AZJ39" s="16"/>
      <c r="AZK39" s="16"/>
      <c r="AZL39" s="16"/>
      <c r="AZM39" s="16"/>
      <c r="AZN39" s="16"/>
      <c r="AZO39" s="16"/>
      <c r="AZP39" s="16"/>
      <c r="AZQ39" s="16"/>
      <c r="AZR39" s="16"/>
      <c r="AZS39" s="16"/>
      <c r="AZT39" s="16"/>
      <c r="AZU39" s="16"/>
      <c r="AZV39" s="16"/>
      <c r="AZW39" s="16"/>
      <c r="AZX39" s="16"/>
      <c r="AZY39" s="16"/>
      <c r="AZZ39" s="16"/>
      <c r="BAA39" s="16"/>
      <c r="BAB39" s="16"/>
      <c r="BAC39" s="16"/>
      <c r="BAD39" s="16"/>
      <c r="BAE39" s="16"/>
      <c r="BAF39" s="16"/>
      <c r="BAG39" s="16"/>
      <c r="BAH39" s="16"/>
      <c r="BAI39" s="16"/>
      <c r="BAJ39" s="16"/>
      <c r="BAK39" s="16"/>
      <c r="BAL39" s="16"/>
      <c r="BAM39" s="16"/>
      <c r="BAN39" s="16"/>
      <c r="BAO39" s="16"/>
      <c r="BAP39" s="16"/>
      <c r="BAQ39" s="16"/>
      <c r="BAR39" s="16"/>
      <c r="BAS39" s="16"/>
      <c r="BAT39" s="16"/>
      <c r="BAU39" s="16"/>
      <c r="BAV39" s="16"/>
      <c r="BAW39" s="16"/>
      <c r="BAX39" s="16"/>
      <c r="BAY39" s="16"/>
      <c r="BAZ39" s="16"/>
      <c r="BBA39" s="16"/>
      <c r="BBB39" s="16"/>
      <c r="BBC39" s="16"/>
      <c r="BBD39" s="16"/>
      <c r="BBE39" s="16"/>
      <c r="BBF39" s="16"/>
      <c r="BBG39" s="16"/>
      <c r="BBH39" s="16"/>
      <c r="BBI39" s="16"/>
      <c r="BBJ39" s="16"/>
      <c r="BBK39" s="16"/>
      <c r="BBL39" s="16"/>
      <c r="BBM39" s="16"/>
      <c r="BBN39" s="16"/>
      <c r="BBO39" s="16"/>
      <c r="BBP39" s="16"/>
      <c r="BBQ39" s="16"/>
      <c r="BBR39" s="16"/>
      <c r="BBS39" s="16"/>
      <c r="BBT39" s="16"/>
      <c r="BBU39" s="16"/>
      <c r="BBV39" s="16"/>
      <c r="BBW39" s="16"/>
      <c r="BBX39" s="16"/>
      <c r="BBY39" s="16"/>
      <c r="BBZ39" s="16"/>
      <c r="BCA39" s="16"/>
      <c r="BCB39" s="16"/>
      <c r="BCC39" s="16"/>
      <c r="BCD39" s="16"/>
      <c r="BCE39" s="16"/>
      <c r="BCF39" s="16"/>
      <c r="BCG39" s="16"/>
      <c r="BCH39" s="16"/>
      <c r="BCI39" s="16"/>
      <c r="BCJ39" s="16"/>
      <c r="BCK39" s="16"/>
      <c r="BCL39" s="16"/>
      <c r="BCM39" s="16"/>
      <c r="BCN39" s="16"/>
      <c r="BCO39" s="16"/>
      <c r="BCP39" s="16"/>
      <c r="BCQ39" s="16"/>
      <c r="BCR39" s="16"/>
      <c r="BCS39" s="16"/>
      <c r="BCT39" s="16"/>
      <c r="BCU39" s="16"/>
      <c r="BCV39" s="16"/>
      <c r="BCW39" s="16"/>
      <c r="BCX39" s="16"/>
      <c r="BCY39" s="16"/>
      <c r="BCZ39" s="16"/>
      <c r="BDA39" s="16"/>
      <c r="BDB39" s="16"/>
      <c r="BDC39" s="16"/>
      <c r="BDD39" s="16"/>
      <c r="BDE39" s="16"/>
      <c r="BDF39" s="16"/>
      <c r="BDG39" s="16"/>
      <c r="BDH39" s="16"/>
      <c r="BDI39" s="16"/>
      <c r="BDJ39" s="16"/>
      <c r="BDK39" s="16"/>
      <c r="BDL39" s="16"/>
      <c r="BDM39" s="16"/>
      <c r="BDN39" s="16"/>
      <c r="BDO39" s="16"/>
      <c r="BDP39" s="16"/>
      <c r="BDQ39" s="16"/>
      <c r="BDR39" s="16"/>
      <c r="BDS39" s="16"/>
      <c r="BDT39" s="16"/>
      <c r="BDU39" s="16"/>
      <c r="BDV39" s="16"/>
      <c r="BDW39" s="16"/>
      <c r="BDX39" s="16"/>
      <c r="BDY39" s="16"/>
      <c r="BDZ39" s="16"/>
      <c r="BEA39" s="16"/>
      <c r="BEB39" s="16"/>
      <c r="BEC39" s="16"/>
      <c r="BED39" s="16"/>
      <c r="BEE39" s="16"/>
      <c r="BEF39" s="16"/>
      <c r="BEG39" s="16"/>
      <c r="BEH39" s="16"/>
      <c r="BEI39" s="16"/>
      <c r="BEJ39" s="16"/>
      <c r="BEK39" s="16"/>
      <c r="BEL39" s="16"/>
      <c r="BEM39" s="16"/>
      <c r="BEN39" s="16"/>
      <c r="BEO39" s="16"/>
      <c r="BEP39" s="16"/>
      <c r="BEQ39" s="16"/>
      <c r="BER39" s="16"/>
      <c r="BES39" s="16"/>
      <c r="BET39" s="16"/>
      <c r="BEU39" s="16"/>
      <c r="BEV39" s="16"/>
      <c r="BEW39" s="16"/>
      <c r="BEX39" s="16"/>
      <c r="BEY39" s="16"/>
      <c r="BEZ39" s="16"/>
      <c r="BFA39" s="16"/>
      <c r="BFB39" s="16"/>
      <c r="BFC39" s="16"/>
      <c r="BFD39" s="16"/>
      <c r="BFE39" s="16"/>
      <c r="BFF39" s="16"/>
      <c r="BFG39" s="16"/>
      <c r="BFH39" s="16"/>
      <c r="BFI39" s="16"/>
      <c r="BFJ39" s="16"/>
      <c r="BFK39" s="16"/>
      <c r="BFL39" s="16"/>
      <c r="BFM39" s="16"/>
      <c r="BFN39" s="16"/>
      <c r="BFO39" s="16"/>
      <c r="BFP39" s="16"/>
      <c r="BFQ39" s="16"/>
      <c r="BFR39" s="16"/>
      <c r="BFS39" s="16"/>
      <c r="BFT39" s="16"/>
      <c r="BFU39" s="16"/>
      <c r="BFV39" s="16"/>
      <c r="BFW39" s="16"/>
      <c r="BFX39" s="16"/>
      <c r="BFY39" s="16"/>
      <c r="BFZ39" s="16"/>
      <c r="BGA39" s="16"/>
      <c r="BGB39" s="16"/>
      <c r="BGC39" s="16"/>
      <c r="BGD39" s="16"/>
      <c r="BGE39" s="16"/>
      <c r="BGF39" s="16"/>
      <c r="BGG39" s="16"/>
      <c r="BGH39" s="16"/>
      <c r="BGI39" s="16"/>
      <c r="BGJ39" s="16"/>
      <c r="BGK39" s="16"/>
      <c r="BGL39" s="16"/>
      <c r="BGM39" s="16"/>
      <c r="BGN39" s="16"/>
      <c r="BGO39" s="16"/>
      <c r="BGP39" s="16"/>
      <c r="BGQ39" s="16"/>
      <c r="BGR39" s="16"/>
      <c r="BGS39" s="16"/>
      <c r="BGT39" s="16"/>
      <c r="BGU39" s="16"/>
      <c r="BGV39" s="16"/>
      <c r="BGW39" s="16"/>
      <c r="BGX39" s="16"/>
      <c r="BGY39" s="16"/>
      <c r="BGZ39" s="16"/>
      <c r="BHA39" s="16"/>
      <c r="BHB39" s="16"/>
      <c r="BHC39" s="16"/>
      <c r="BHD39" s="16"/>
      <c r="BHE39" s="16"/>
      <c r="BHF39" s="16"/>
      <c r="BHG39" s="16"/>
      <c r="BHH39" s="16"/>
      <c r="BHI39" s="16"/>
      <c r="BHJ39" s="16"/>
      <c r="BHK39" s="16"/>
      <c r="BHL39" s="16"/>
      <c r="BHM39" s="16"/>
      <c r="BHN39" s="16"/>
      <c r="BHO39" s="16"/>
      <c r="BHP39" s="16"/>
      <c r="BHQ39" s="16"/>
      <c r="BHR39" s="16"/>
      <c r="BHS39" s="16"/>
      <c r="BHT39" s="16"/>
      <c r="BHU39" s="16"/>
      <c r="BHV39" s="16"/>
      <c r="BHW39" s="16"/>
      <c r="BHX39" s="16"/>
      <c r="BHY39" s="16"/>
      <c r="BHZ39" s="16"/>
      <c r="BIA39" s="16"/>
      <c r="BIB39" s="16"/>
      <c r="BIC39" s="16"/>
      <c r="BID39" s="16"/>
      <c r="BIE39" s="16"/>
      <c r="BIF39" s="16"/>
      <c r="BIG39" s="16"/>
      <c r="BIH39" s="16"/>
      <c r="BII39" s="16"/>
      <c r="BIJ39" s="16"/>
      <c r="BIK39" s="16"/>
      <c r="BIL39" s="16"/>
      <c r="BIM39" s="16"/>
      <c r="BIN39" s="16"/>
      <c r="BIO39" s="16"/>
      <c r="BIP39" s="16"/>
      <c r="BIQ39" s="16"/>
      <c r="BIR39" s="16"/>
      <c r="BIS39" s="16"/>
      <c r="BIT39" s="16"/>
      <c r="BIU39" s="16"/>
      <c r="BIV39" s="16"/>
      <c r="BIW39" s="16"/>
      <c r="BIX39" s="16"/>
      <c r="BIY39" s="16"/>
      <c r="BIZ39" s="16"/>
      <c r="BJA39" s="16"/>
      <c r="BJB39" s="16"/>
      <c r="BJC39" s="16"/>
      <c r="BJD39" s="16"/>
      <c r="BJE39" s="16"/>
      <c r="BJF39" s="16"/>
      <c r="BJG39" s="16"/>
      <c r="BJH39" s="16"/>
      <c r="BJI39" s="16"/>
      <c r="BJJ39" s="16"/>
      <c r="BJK39" s="16"/>
      <c r="BJL39" s="16"/>
      <c r="BJM39" s="16"/>
      <c r="BJN39" s="16"/>
      <c r="BJO39" s="16"/>
      <c r="BJP39" s="16"/>
      <c r="BJQ39" s="16"/>
      <c r="BJR39" s="16"/>
      <c r="BJS39" s="16"/>
      <c r="BJT39" s="16"/>
      <c r="BJU39" s="16"/>
      <c r="BJV39" s="16"/>
      <c r="BJW39" s="16"/>
      <c r="BJX39" s="16"/>
      <c r="BJY39" s="16"/>
      <c r="BJZ39" s="16"/>
      <c r="BKA39" s="16"/>
      <c r="BKB39" s="16"/>
      <c r="BKC39" s="16"/>
      <c r="BKD39" s="16"/>
      <c r="BKE39" s="16"/>
      <c r="BKF39" s="16"/>
      <c r="BKG39" s="16"/>
      <c r="BKH39" s="16"/>
      <c r="BKI39" s="16"/>
      <c r="BKJ39" s="16"/>
      <c r="BKK39" s="16"/>
      <c r="BKL39" s="16"/>
      <c r="BKM39" s="16"/>
      <c r="BKN39" s="16"/>
      <c r="BKO39" s="16"/>
      <c r="BKP39" s="16"/>
      <c r="BKQ39" s="16"/>
      <c r="BKR39" s="16"/>
      <c r="BKS39" s="16"/>
      <c r="BKT39" s="16"/>
      <c r="BKU39" s="16"/>
      <c r="BKV39" s="16"/>
      <c r="BKW39" s="16"/>
      <c r="BKX39" s="16"/>
      <c r="BKY39" s="16"/>
      <c r="BKZ39" s="16"/>
      <c r="BLA39" s="16"/>
      <c r="BLB39" s="16"/>
      <c r="BLC39" s="16"/>
      <c r="BLD39" s="16"/>
      <c r="BLE39" s="16"/>
      <c r="BLF39" s="16"/>
      <c r="BLG39" s="16"/>
      <c r="BLH39" s="16"/>
      <c r="BLI39" s="16"/>
      <c r="BLJ39" s="16"/>
      <c r="BLK39" s="16"/>
      <c r="BLL39" s="16"/>
      <c r="BLM39" s="16"/>
      <c r="BLN39" s="16"/>
      <c r="BLO39" s="16"/>
      <c r="BLP39" s="16"/>
      <c r="BLQ39" s="16"/>
      <c r="BLR39" s="16"/>
      <c r="BLS39" s="16"/>
      <c r="BLT39" s="16"/>
      <c r="BLU39" s="16"/>
      <c r="BLV39" s="16"/>
      <c r="BLW39" s="16"/>
      <c r="BLX39" s="16"/>
      <c r="BLY39" s="16"/>
      <c r="BLZ39" s="16"/>
      <c r="BMA39" s="16"/>
      <c r="BMB39" s="16"/>
      <c r="BMC39" s="16"/>
      <c r="BMD39" s="16"/>
      <c r="BME39" s="16"/>
      <c r="BMF39" s="16"/>
      <c r="BMG39" s="16"/>
      <c r="BMH39" s="16"/>
      <c r="BMI39" s="16"/>
      <c r="BMJ39" s="16"/>
      <c r="BMK39" s="16"/>
      <c r="BML39" s="16"/>
      <c r="BMM39" s="16"/>
      <c r="BMN39" s="16"/>
      <c r="BMO39" s="16"/>
      <c r="BMP39" s="16"/>
      <c r="BMQ39" s="16"/>
      <c r="BMR39" s="16"/>
      <c r="BMS39" s="16"/>
      <c r="BMT39" s="16"/>
      <c r="BMU39" s="16"/>
      <c r="BMV39" s="16"/>
      <c r="BMW39" s="16"/>
      <c r="BMX39" s="16"/>
      <c r="BMY39" s="16"/>
      <c r="BMZ39" s="16"/>
      <c r="BNA39" s="16"/>
      <c r="BNB39" s="16"/>
      <c r="BNC39" s="16"/>
      <c r="BND39" s="16"/>
      <c r="BNE39" s="16"/>
      <c r="BNF39" s="16"/>
      <c r="BNG39" s="16"/>
      <c r="BNH39" s="16"/>
      <c r="BNI39" s="16"/>
      <c r="BNJ39" s="16"/>
      <c r="BNK39" s="16"/>
      <c r="BNL39" s="16"/>
      <c r="BNM39" s="16"/>
      <c r="BNN39" s="16"/>
      <c r="BNO39" s="16"/>
      <c r="BNP39" s="16"/>
      <c r="BNQ39" s="16"/>
      <c r="BNR39" s="16"/>
      <c r="BNS39" s="16"/>
      <c r="BNT39" s="16"/>
      <c r="BNU39" s="16"/>
      <c r="BNV39" s="16"/>
      <c r="BNW39" s="16"/>
      <c r="BNX39" s="16"/>
      <c r="BNY39" s="16"/>
      <c r="BNZ39" s="16"/>
      <c r="BOA39" s="16"/>
      <c r="BOB39" s="16"/>
      <c r="BOC39" s="16"/>
      <c r="BOD39" s="16"/>
      <c r="BOE39" s="16"/>
      <c r="BOF39" s="16"/>
      <c r="BOG39" s="16"/>
      <c r="BOH39" s="16"/>
      <c r="BOI39" s="16"/>
      <c r="BOJ39" s="16"/>
      <c r="BOK39" s="16"/>
      <c r="BOL39" s="16"/>
      <c r="BOM39" s="16"/>
      <c r="BON39" s="16"/>
      <c r="BOO39" s="16"/>
      <c r="BOP39" s="16"/>
      <c r="BOQ39" s="16"/>
      <c r="BOR39" s="16"/>
      <c r="BOS39" s="16"/>
      <c r="BOT39" s="16"/>
      <c r="BOU39" s="16"/>
      <c r="BOV39" s="16"/>
      <c r="BOW39" s="16"/>
      <c r="BOX39" s="16"/>
      <c r="BOY39" s="16"/>
      <c r="BOZ39" s="16"/>
      <c r="BPA39" s="16"/>
      <c r="BPB39" s="16"/>
      <c r="BPC39" s="16"/>
      <c r="BPD39" s="16"/>
      <c r="BPE39" s="16"/>
      <c r="BPF39" s="16"/>
      <c r="BPG39" s="16"/>
      <c r="BPH39" s="16"/>
      <c r="BPI39" s="16"/>
      <c r="BPJ39" s="16"/>
      <c r="BPK39" s="16"/>
      <c r="BPL39" s="16"/>
      <c r="BPM39" s="16"/>
      <c r="BPN39" s="16"/>
      <c r="BPO39" s="16"/>
      <c r="BPP39" s="16"/>
      <c r="BPQ39" s="16"/>
      <c r="BPR39" s="16"/>
      <c r="BPS39" s="16"/>
      <c r="BPT39" s="16"/>
      <c r="BPU39" s="16"/>
      <c r="BPV39" s="16"/>
      <c r="BPW39" s="16"/>
      <c r="BPX39" s="16"/>
      <c r="BPY39" s="16"/>
      <c r="BPZ39" s="16"/>
      <c r="BQA39" s="16"/>
      <c r="BQB39" s="16"/>
      <c r="BQC39" s="16"/>
      <c r="BQD39" s="16"/>
      <c r="BQE39" s="16"/>
      <c r="BQF39" s="16"/>
      <c r="BQG39" s="16"/>
      <c r="BQH39" s="16"/>
      <c r="BQI39" s="16"/>
      <c r="BQJ39" s="16"/>
      <c r="BQK39" s="16"/>
      <c r="BQL39" s="16"/>
      <c r="BQM39" s="16"/>
      <c r="BQN39" s="16"/>
      <c r="BQO39" s="16"/>
      <c r="BQP39" s="16"/>
      <c r="BQQ39" s="16"/>
      <c r="BQR39" s="16"/>
      <c r="BQS39" s="16"/>
      <c r="BQT39" s="16"/>
      <c r="BQU39" s="16"/>
      <c r="BQV39" s="16"/>
      <c r="BQW39" s="16"/>
      <c r="BQX39" s="16"/>
      <c r="BQY39" s="16"/>
      <c r="BQZ39" s="16"/>
      <c r="BRA39" s="16"/>
      <c r="BRB39" s="16"/>
      <c r="BRC39" s="16"/>
      <c r="BRD39" s="16"/>
      <c r="BRE39" s="16"/>
      <c r="BRF39" s="16"/>
      <c r="BRG39" s="16"/>
      <c r="BRH39" s="16"/>
      <c r="BRI39" s="16"/>
      <c r="BRJ39" s="16"/>
      <c r="BRK39" s="16"/>
      <c r="BRL39" s="16"/>
      <c r="BRM39" s="16"/>
      <c r="BRN39" s="16"/>
      <c r="BRO39" s="16"/>
      <c r="BRP39" s="16"/>
      <c r="BRQ39" s="16"/>
      <c r="BRR39" s="16"/>
      <c r="BRS39" s="16"/>
      <c r="BRT39" s="16"/>
      <c r="BRU39" s="16"/>
      <c r="BRV39" s="16"/>
      <c r="BRW39" s="16"/>
      <c r="BRX39" s="16"/>
      <c r="BRY39" s="16"/>
      <c r="BRZ39" s="16"/>
      <c r="BSA39" s="16"/>
      <c r="BSB39" s="16"/>
      <c r="BSC39" s="16"/>
      <c r="BSD39" s="16"/>
      <c r="BSE39" s="16"/>
      <c r="BSF39" s="16"/>
      <c r="BSG39" s="16"/>
      <c r="BSH39" s="16"/>
      <c r="BSI39" s="16"/>
      <c r="BSJ39" s="16"/>
      <c r="BSK39" s="16"/>
      <c r="BSL39" s="16"/>
      <c r="BSM39" s="16"/>
      <c r="BSN39" s="16"/>
      <c r="BSO39" s="16"/>
      <c r="BSP39" s="16"/>
      <c r="BSQ39" s="16"/>
      <c r="BSR39" s="16"/>
      <c r="BSS39" s="16"/>
      <c r="BST39" s="16"/>
      <c r="BSU39" s="16"/>
      <c r="BSV39" s="16"/>
      <c r="BSW39" s="16"/>
      <c r="BSX39" s="16"/>
      <c r="BSY39" s="16"/>
      <c r="BSZ39" s="16"/>
      <c r="BTA39" s="16"/>
      <c r="BTB39" s="16"/>
      <c r="BTC39" s="16"/>
      <c r="BTD39" s="16"/>
      <c r="BTE39" s="16"/>
      <c r="BTF39" s="16"/>
      <c r="BTG39" s="16"/>
      <c r="BTH39" s="16"/>
      <c r="BTI39" s="16"/>
      <c r="BTJ39" s="16"/>
      <c r="BTK39" s="16"/>
      <c r="BTL39" s="16"/>
      <c r="BTM39" s="16"/>
      <c r="BTN39" s="16"/>
      <c r="BTO39" s="16"/>
      <c r="BTP39" s="16"/>
      <c r="BTQ39" s="16"/>
      <c r="BTR39" s="16"/>
      <c r="BTS39" s="16"/>
      <c r="BTT39" s="16"/>
      <c r="BTU39" s="16"/>
      <c r="BTV39" s="16"/>
      <c r="BTW39" s="16"/>
      <c r="BTX39" s="16"/>
      <c r="BTY39" s="16"/>
      <c r="BTZ39" s="16"/>
      <c r="BUA39" s="16"/>
      <c r="BUB39" s="16"/>
      <c r="BUC39" s="16"/>
      <c r="BUD39" s="16"/>
      <c r="BUE39" s="16"/>
      <c r="BUF39" s="16"/>
      <c r="BUG39" s="16"/>
      <c r="BUH39" s="16"/>
      <c r="BUI39" s="16"/>
      <c r="BUJ39" s="16"/>
      <c r="BUK39" s="16"/>
      <c r="BUL39" s="16"/>
      <c r="BUM39" s="16"/>
      <c r="BUN39" s="16"/>
      <c r="BUO39" s="16"/>
      <c r="BUP39" s="16"/>
      <c r="BUQ39" s="16"/>
      <c r="BUR39" s="16"/>
      <c r="BUS39" s="16"/>
      <c r="BUT39" s="16"/>
      <c r="BUU39" s="16"/>
      <c r="BUV39" s="16"/>
      <c r="BUW39" s="16"/>
      <c r="BUX39" s="16"/>
      <c r="BUY39" s="16"/>
      <c r="BUZ39" s="16"/>
      <c r="BVA39" s="16"/>
      <c r="BVB39" s="16"/>
      <c r="BVC39" s="16"/>
      <c r="BVD39" s="16"/>
      <c r="BVE39" s="16"/>
      <c r="BVF39" s="16"/>
      <c r="BVG39" s="16"/>
      <c r="BVH39" s="16"/>
      <c r="BVI39" s="16"/>
      <c r="BVJ39" s="16"/>
      <c r="BVK39" s="16"/>
      <c r="BVL39" s="16"/>
      <c r="BVM39" s="16"/>
      <c r="BVN39" s="16"/>
      <c r="BVO39" s="16"/>
      <c r="BVP39" s="16"/>
      <c r="BVQ39" s="16"/>
      <c r="BVR39" s="16"/>
      <c r="BVS39" s="16"/>
      <c r="BVT39" s="16"/>
      <c r="BVU39" s="16"/>
      <c r="BVV39" s="16"/>
      <c r="BVW39" s="16"/>
      <c r="BVX39" s="16"/>
      <c r="BVY39" s="16"/>
      <c r="BVZ39" s="16"/>
      <c r="BWA39" s="16"/>
      <c r="BWB39" s="16"/>
      <c r="BWC39" s="16"/>
      <c r="BWD39" s="16"/>
      <c r="BWE39" s="16"/>
      <c r="BWF39" s="16"/>
      <c r="BWG39" s="16"/>
      <c r="BWH39" s="16"/>
      <c r="BWI39" s="16"/>
      <c r="BWJ39" s="16"/>
      <c r="BWK39" s="16"/>
      <c r="BWL39" s="16"/>
      <c r="BWM39" s="16"/>
      <c r="BWN39" s="16"/>
      <c r="BWO39" s="16"/>
      <c r="BWP39" s="16"/>
      <c r="BWQ39" s="16"/>
      <c r="BWR39" s="16"/>
      <c r="BWS39" s="16"/>
      <c r="BWT39" s="16"/>
      <c r="BWU39" s="16"/>
      <c r="BWV39" s="16"/>
      <c r="BWW39" s="16"/>
      <c r="BWX39" s="16"/>
      <c r="BWY39" s="16"/>
      <c r="BWZ39" s="16"/>
      <c r="BXA39" s="16"/>
      <c r="BXB39" s="16"/>
      <c r="BXC39" s="16"/>
      <c r="BXD39" s="16"/>
      <c r="BXE39" s="16"/>
      <c r="BXF39" s="16"/>
      <c r="BXG39" s="16"/>
      <c r="BXH39" s="16"/>
      <c r="BXI39" s="16"/>
      <c r="BXJ39" s="16"/>
      <c r="BXK39" s="16"/>
      <c r="BXL39" s="16"/>
      <c r="BXM39" s="16"/>
      <c r="BXN39" s="16"/>
      <c r="BXO39" s="16"/>
      <c r="BXP39" s="16"/>
      <c r="BXQ39" s="16"/>
      <c r="BXR39" s="16"/>
      <c r="BXS39" s="16"/>
      <c r="BXT39" s="16"/>
      <c r="BXU39" s="16"/>
      <c r="BXV39" s="16"/>
      <c r="BXW39" s="16"/>
      <c r="BXX39" s="16"/>
      <c r="BXY39" s="16"/>
      <c r="BXZ39" s="16"/>
      <c r="BYA39" s="16"/>
      <c r="BYB39" s="16"/>
      <c r="BYC39" s="16"/>
      <c r="BYD39" s="16"/>
      <c r="BYE39" s="16"/>
      <c r="BYF39" s="16"/>
      <c r="BYG39" s="16"/>
      <c r="BYH39" s="16"/>
      <c r="BYI39" s="16"/>
      <c r="BYJ39" s="16"/>
      <c r="BYK39" s="16"/>
      <c r="BYL39" s="16"/>
      <c r="BYM39" s="16"/>
      <c r="BYN39" s="16"/>
      <c r="BYO39" s="16"/>
      <c r="BYP39" s="16"/>
      <c r="BYQ39" s="16"/>
      <c r="BYR39" s="16"/>
      <c r="BYS39" s="16"/>
      <c r="BYT39" s="16"/>
      <c r="BYU39" s="16"/>
      <c r="BYV39" s="16"/>
      <c r="BYW39" s="16"/>
      <c r="BYX39" s="16"/>
      <c r="BYY39" s="16"/>
      <c r="BYZ39" s="16"/>
      <c r="BZA39" s="16"/>
      <c r="BZB39" s="16"/>
      <c r="BZC39" s="16"/>
      <c r="BZD39" s="16"/>
      <c r="BZE39" s="16"/>
      <c r="BZF39" s="16"/>
      <c r="BZG39" s="16"/>
      <c r="BZH39" s="16"/>
      <c r="BZI39" s="16"/>
      <c r="BZJ39" s="16"/>
      <c r="BZK39" s="16"/>
      <c r="BZL39" s="16"/>
      <c r="BZM39" s="16"/>
      <c r="BZN39" s="16"/>
      <c r="BZO39" s="16"/>
      <c r="BZP39" s="16"/>
      <c r="BZQ39" s="16"/>
      <c r="BZR39" s="16"/>
      <c r="BZS39" s="16"/>
      <c r="BZT39" s="16"/>
      <c r="BZU39" s="16"/>
      <c r="BZV39" s="16"/>
      <c r="BZW39" s="16"/>
      <c r="BZX39" s="16"/>
      <c r="BZY39" s="16"/>
      <c r="BZZ39" s="16"/>
      <c r="CAA39" s="16"/>
      <c r="CAB39" s="16"/>
      <c r="CAC39" s="16"/>
      <c r="CAD39" s="16"/>
      <c r="CAE39" s="16"/>
      <c r="CAF39" s="16"/>
      <c r="CAG39" s="16"/>
      <c r="CAH39" s="16"/>
      <c r="CAI39" s="16"/>
      <c r="CAJ39" s="16"/>
      <c r="CAK39" s="16"/>
      <c r="CAL39" s="16"/>
      <c r="CAM39" s="16"/>
      <c r="CAN39" s="16"/>
      <c r="CAO39" s="16"/>
      <c r="CAP39" s="16"/>
      <c r="CAQ39" s="16"/>
      <c r="CAR39" s="16"/>
      <c r="CAS39" s="16"/>
      <c r="CAT39" s="16"/>
      <c r="CAU39" s="16"/>
      <c r="CAV39" s="16"/>
      <c r="CAW39" s="16"/>
      <c r="CAX39" s="16"/>
      <c r="CAY39" s="16"/>
      <c r="CAZ39" s="16"/>
      <c r="CBA39" s="16"/>
      <c r="CBB39" s="16"/>
      <c r="CBC39" s="16"/>
      <c r="CBD39" s="16"/>
      <c r="CBE39" s="16"/>
      <c r="CBF39" s="16"/>
      <c r="CBG39" s="16"/>
      <c r="CBH39" s="16"/>
      <c r="CBI39" s="16"/>
      <c r="CBJ39" s="16"/>
      <c r="CBK39" s="16"/>
      <c r="CBL39" s="16"/>
      <c r="CBM39" s="16"/>
      <c r="CBN39" s="16"/>
      <c r="CBO39" s="16"/>
      <c r="CBP39" s="16"/>
      <c r="CBQ39" s="16"/>
      <c r="CBR39" s="16"/>
      <c r="CBS39" s="16"/>
      <c r="CBT39" s="16"/>
      <c r="CBU39" s="16"/>
      <c r="CBV39" s="16"/>
      <c r="CBW39" s="16"/>
      <c r="CBX39" s="16"/>
      <c r="CBY39" s="16"/>
      <c r="CBZ39" s="16"/>
      <c r="CCA39" s="16"/>
      <c r="CCB39" s="16"/>
      <c r="CCC39" s="16"/>
      <c r="CCD39" s="16"/>
      <c r="CCE39" s="16"/>
      <c r="CCF39" s="16"/>
      <c r="CCG39" s="16"/>
      <c r="CCH39" s="16"/>
      <c r="CCI39" s="16"/>
      <c r="CCJ39" s="16"/>
      <c r="CCK39" s="16"/>
      <c r="CCL39" s="16"/>
      <c r="CCM39" s="16"/>
      <c r="CCN39" s="16"/>
      <c r="CCO39" s="16"/>
      <c r="CCP39" s="16"/>
      <c r="CCQ39" s="16"/>
      <c r="CCR39" s="16"/>
      <c r="CCS39" s="16"/>
      <c r="CCT39" s="16"/>
      <c r="CCU39" s="16"/>
      <c r="CCV39" s="16"/>
      <c r="CCW39" s="16"/>
      <c r="CCX39" s="16"/>
      <c r="CCY39" s="16"/>
      <c r="CCZ39" s="16"/>
      <c r="CDA39" s="16"/>
      <c r="CDB39" s="16"/>
      <c r="CDC39" s="16"/>
      <c r="CDD39" s="16"/>
      <c r="CDE39" s="16"/>
      <c r="CDF39" s="16"/>
      <c r="CDG39" s="16"/>
      <c r="CDH39" s="16"/>
      <c r="CDI39" s="16"/>
      <c r="CDJ39" s="16"/>
      <c r="CDK39" s="16"/>
      <c r="CDL39" s="16"/>
      <c r="CDM39" s="16"/>
      <c r="CDN39" s="16"/>
      <c r="CDO39" s="16"/>
      <c r="CDP39" s="16"/>
      <c r="CDQ39" s="16"/>
      <c r="CDR39" s="16"/>
      <c r="CDS39" s="16"/>
      <c r="CDT39" s="16"/>
      <c r="CDU39" s="16"/>
      <c r="CDV39" s="16"/>
      <c r="CDW39" s="16"/>
      <c r="CDX39" s="16"/>
      <c r="CDY39" s="16"/>
      <c r="CDZ39" s="16"/>
      <c r="CEA39" s="16"/>
      <c r="CEB39" s="16"/>
      <c r="CEC39" s="16"/>
      <c r="CED39" s="16"/>
      <c r="CEE39" s="16"/>
      <c r="CEF39" s="16"/>
      <c r="CEG39" s="16"/>
      <c r="CEH39" s="16"/>
      <c r="CEI39" s="16"/>
      <c r="CEJ39" s="16"/>
      <c r="CEK39" s="16"/>
      <c r="CEL39" s="16"/>
      <c r="CEM39" s="16"/>
      <c r="CEN39" s="16"/>
      <c r="CEO39" s="16"/>
      <c r="CEP39" s="16"/>
      <c r="CEQ39" s="16"/>
      <c r="CER39" s="16"/>
      <c r="CES39" s="16"/>
      <c r="CET39" s="16"/>
      <c r="CEU39" s="16"/>
      <c r="CEV39" s="16"/>
      <c r="CEW39" s="16"/>
      <c r="CEX39" s="16"/>
      <c r="CEY39" s="16"/>
      <c r="CEZ39" s="16"/>
      <c r="CFA39" s="16"/>
      <c r="CFB39" s="16"/>
      <c r="CFC39" s="16"/>
      <c r="CFD39" s="16"/>
      <c r="CFE39" s="16"/>
      <c r="CFF39" s="16"/>
      <c r="CFG39" s="16"/>
      <c r="CFH39" s="16"/>
      <c r="CFI39" s="16"/>
      <c r="CFJ39" s="16"/>
      <c r="CFK39" s="16"/>
      <c r="CFL39" s="16"/>
      <c r="CFM39" s="16"/>
      <c r="CFN39" s="16"/>
      <c r="CFO39" s="16"/>
      <c r="CFP39" s="16"/>
      <c r="CFQ39" s="16"/>
      <c r="CFR39" s="16"/>
      <c r="CFS39" s="16"/>
      <c r="CFT39" s="16"/>
      <c r="CFU39" s="16"/>
      <c r="CFV39" s="16"/>
      <c r="CFW39" s="16"/>
      <c r="CFX39" s="16"/>
      <c r="CFY39" s="16"/>
      <c r="CFZ39" s="16"/>
      <c r="CGA39" s="16"/>
      <c r="CGB39" s="16"/>
      <c r="CGC39" s="16"/>
      <c r="CGD39" s="16"/>
      <c r="CGE39" s="16"/>
      <c r="CGF39" s="16"/>
      <c r="CGG39" s="16"/>
      <c r="CGH39" s="16"/>
      <c r="CGI39" s="16"/>
      <c r="CGJ39" s="16"/>
      <c r="CGK39" s="16"/>
      <c r="CGL39" s="16"/>
      <c r="CGM39" s="16"/>
      <c r="CGN39" s="16"/>
      <c r="CGO39" s="16"/>
      <c r="CGP39" s="16"/>
      <c r="CGQ39" s="16"/>
      <c r="CGR39" s="16"/>
      <c r="CGS39" s="16"/>
      <c r="CGT39" s="16"/>
      <c r="CGU39" s="16"/>
      <c r="CGV39" s="16"/>
      <c r="CGW39" s="16"/>
      <c r="CGX39" s="16"/>
      <c r="CGY39" s="16"/>
      <c r="CGZ39" s="16"/>
      <c r="CHA39" s="16"/>
      <c r="CHB39" s="16"/>
      <c r="CHC39" s="16"/>
      <c r="CHD39" s="16"/>
      <c r="CHE39" s="16"/>
      <c r="CHF39" s="16"/>
      <c r="CHG39" s="16"/>
      <c r="CHH39" s="16"/>
      <c r="CHI39" s="16"/>
      <c r="CHJ39" s="16"/>
      <c r="CHK39" s="16"/>
      <c r="CHL39" s="16"/>
      <c r="CHM39" s="16"/>
      <c r="CHN39" s="16"/>
      <c r="CHO39" s="16"/>
      <c r="CHP39" s="16"/>
      <c r="CHQ39" s="16"/>
      <c r="CHR39" s="16"/>
      <c r="CHS39" s="16"/>
      <c r="CHT39" s="16"/>
      <c r="CHU39" s="16"/>
      <c r="CHV39" s="16"/>
      <c r="CHW39" s="16"/>
      <c r="CHX39" s="16"/>
      <c r="CHY39" s="16"/>
      <c r="CHZ39" s="16"/>
      <c r="CIA39" s="16"/>
      <c r="CIB39" s="16"/>
      <c r="CIC39" s="16"/>
      <c r="CID39" s="16"/>
      <c r="CIE39" s="16"/>
      <c r="CIF39" s="16"/>
      <c r="CIG39" s="16"/>
      <c r="CIH39" s="16"/>
      <c r="CII39" s="16"/>
      <c r="CIJ39" s="16"/>
      <c r="CIK39" s="16"/>
      <c r="CIL39" s="16"/>
      <c r="CIM39" s="16"/>
      <c r="CIN39" s="16"/>
      <c r="CIO39" s="16"/>
      <c r="CIP39" s="16"/>
      <c r="CIQ39" s="16"/>
      <c r="CIR39" s="16"/>
      <c r="CIS39" s="16"/>
      <c r="CIT39" s="16"/>
      <c r="CIU39" s="16"/>
      <c r="CIV39" s="16"/>
      <c r="CIW39" s="16"/>
      <c r="CIX39" s="16"/>
      <c r="CIY39" s="16"/>
      <c r="CIZ39" s="16"/>
      <c r="CJA39" s="16"/>
      <c r="CJB39" s="16"/>
      <c r="CJC39" s="16"/>
      <c r="CJD39" s="16"/>
      <c r="CJE39" s="16"/>
      <c r="CJF39" s="16"/>
      <c r="CJG39" s="16"/>
      <c r="CJH39" s="16"/>
      <c r="CJI39" s="16"/>
      <c r="CJJ39" s="16"/>
      <c r="CJK39" s="16"/>
      <c r="CJL39" s="16"/>
      <c r="CJM39" s="16"/>
      <c r="CJN39" s="16"/>
      <c r="CJO39" s="16"/>
      <c r="CJP39" s="16"/>
      <c r="CJQ39" s="16"/>
      <c r="CJR39" s="16"/>
      <c r="CJS39" s="16"/>
      <c r="CJT39" s="16"/>
      <c r="CJU39" s="16"/>
      <c r="CJV39" s="16"/>
      <c r="CJW39" s="16"/>
      <c r="CJX39" s="16"/>
      <c r="CJY39" s="16"/>
      <c r="CJZ39" s="16"/>
      <c r="CKA39" s="16"/>
      <c r="CKB39" s="16"/>
      <c r="CKC39" s="16"/>
      <c r="CKD39" s="16"/>
      <c r="CKE39" s="16"/>
      <c r="CKF39" s="16"/>
      <c r="CKG39" s="16"/>
      <c r="CKH39" s="16"/>
      <c r="CKI39" s="16"/>
      <c r="CKJ39" s="16"/>
      <c r="CKK39" s="16"/>
      <c r="CKL39" s="16"/>
      <c r="CKM39" s="16"/>
      <c r="CKN39" s="16"/>
      <c r="CKO39" s="16"/>
      <c r="CKP39" s="16"/>
      <c r="CKQ39" s="16"/>
      <c r="CKR39" s="16"/>
      <c r="CKS39" s="16"/>
      <c r="CKT39" s="16"/>
      <c r="CKU39" s="16"/>
      <c r="CKV39" s="16"/>
      <c r="CKW39" s="16"/>
      <c r="CKX39" s="16"/>
      <c r="CKY39" s="16"/>
      <c r="CKZ39" s="16"/>
      <c r="CLA39" s="16"/>
      <c r="CLB39" s="16"/>
      <c r="CLC39" s="16"/>
      <c r="CLD39" s="16"/>
      <c r="CLE39" s="16"/>
      <c r="CLF39" s="16"/>
      <c r="CLG39" s="16"/>
      <c r="CLH39" s="16"/>
      <c r="CLI39" s="16"/>
      <c r="CLJ39" s="16"/>
      <c r="CLK39" s="16"/>
      <c r="CLL39" s="16"/>
      <c r="CLM39" s="16"/>
      <c r="CLN39" s="16"/>
      <c r="CLO39" s="16"/>
      <c r="CLP39" s="16"/>
      <c r="CLQ39" s="16"/>
      <c r="CLR39" s="16"/>
      <c r="CLS39" s="16"/>
      <c r="CLT39" s="16"/>
      <c r="CLU39" s="16"/>
      <c r="CLV39" s="16"/>
      <c r="CLW39" s="16"/>
      <c r="CLX39" s="16"/>
      <c r="CLY39" s="16"/>
      <c r="CLZ39" s="16"/>
      <c r="CMA39" s="16"/>
      <c r="CMB39" s="16"/>
      <c r="CMC39" s="16"/>
      <c r="CMD39" s="16"/>
      <c r="CME39" s="16"/>
      <c r="CMF39" s="16"/>
      <c r="CMG39" s="16"/>
      <c r="CMH39" s="16"/>
      <c r="CMI39" s="16"/>
      <c r="CMJ39" s="16"/>
      <c r="CMK39" s="16"/>
      <c r="CML39" s="16"/>
      <c r="CMM39" s="16"/>
      <c r="CMN39" s="16"/>
      <c r="CMO39" s="16"/>
      <c r="CMP39" s="16"/>
      <c r="CMQ39" s="16"/>
      <c r="CMR39" s="16"/>
      <c r="CMS39" s="16"/>
      <c r="CMT39" s="16"/>
      <c r="CMU39" s="16"/>
      <c r="CMV39" s="16"/>
      <c r="CMW39" s="16"/>
      <c r="CMX39" s="16"/>
      <c r="CMY39" s="16"/>
      <c r="CMZ39" s="16"/>
      <c r="CNA39" s="16"/>
      <c r="CNB39" s="16"/>
      <c r="CNC39" s="16"/>
      <c r="CND39" s="16"/>
      <c r="CNE39" s="16"/>
      <c r="CNF39" s="16"/>
      <c r="CNG39" s="16"/>
      <c r="CNH39" s="16"/>
      <c r="CNI39" s="16"/>
      <c r="CNJ39" s="16"/>
      <c r="CNK39" s="16"/>
      <c r="CNL39" s="16"/>
      <c r="CNM39" s="16"/>
      <c r="CNN39" s="16"/>
      <c r="CNO39" s="16"/>
      <c r="CNP39" s="16"/>
      <c r="CNQ39" s="16"/>
      <c r="CNR39" s="16"/>
      <c r="CNS39" s="16"/>
      <c r="CNT39" s="16"/>
      <c r="CNU39" s="16"/>
      <c r="CNV39" s="16"/>
      <c r="CNW39" s="16"/>
      <c r="CNX39" s="16"/>
      <c r="CNY39" s="16"/>
      <c r="CNZ39" s="16"/>
      <c r="COA39" s="16"/>
      <c r="COB39" s="16"/>
      <c r="COC39" s="16"/>
      <c r="COD39" s="16"/>
      <c r="COE39" s="16"/>
      <c r="COF39" s="16"/>
      <c r="COG39" s="16"/>
      <c r="COH39" s="16"/>
      <c r="COI39" s="16"/>
      <c r="COJ39" s="16"/>
      <c r="COK39" s="16"/>
      <c r="COL39" s="16"/>
      <c r="COM39" s="16"/>
      <c r="CON39" s="16"/>
      <c r="COO39" s="16"/>
      <c r="COP39" s="16"/>
      <c r="COQ39" s="16"/>
      <c r="COR39" s="16"/>
      <c r="COS39" s="16"/>
      <c r="COT39" s="16"/>
      <c r="COU39" s="16"/>
      <c r="COV39" s="16"/>
      <c r="COW39" s="16"/>
      <c r="COX39" s="16"/>
      <c r="COY39" s="16"/>
      <c r="COZ39" s="16"/>
      <c r="CPA39" s="16"/>
      <c r="CPB39" s="16"/>
      <c r="CPC39" s="16"/>
      <c r="CPD39" s="16"/>
      <c r="CPE39" s="16"/>
      <c r="CPF39" s="16"/>
      <c r="CPG39" s="16"/>
      <c r="CPH39" s="16"/>
      <c r="CPI39" s="16"/>
      <c r="CPJ39" s="16"/>
      <c r="CPK39" s="16"/>
      <c r="CPL39" s="16"/>
      <c r="CPM39" s="16"/>
      <c r="CPN39" s="16"/>
      <c r="CPO39" s="16"/>
      <c r="CPP39" s="16"/>
      <c r="CPQ39" s="16"/>
      <c r="CPR39" s="16"/>
      <c r="CPS39" s="16"/>
      <c r="CPT39" s="16"/>
      <c r="CPU39" s="16"/>
      <c r="CPV39" s="16"/>
      <c r="CPW39" s="16"/>
      <c r="CPX39" s="16"/>
      <c r="CPY39" s="16"/>
      <c r="CPZ39" s="16"/>
      <c r="CQA39" s="16"/>
      <c r="CQB39" s="16"/>
      <c r="CQC39" s="16"/>
      <c r="CQD39" s="16"/>
      <c r="CQE39" s="16"/>
      <c r="CQF39" s="16"/>
      <c r="CQG39" s="16"/>
      <c r="CQH39" s="16"/>
      <c r="CQI39" s="16"/>
      <c r="CQJ39" s="16"/>
      <c r="CQK39" s="16"/>
      <c r="CQL39" s="16"/>
      <c r="CQM39" s="16"/>
      <c r="CQN39" s="16"/>
      <c r="CQO39" s="16"/>
      <c r="CQP39" s="16"/>
      <c r="CQQ39" s="16"/>
      <c r="CQR39" s="16"/>
      <c r="CQS39" s="16"/>
      <c r="CQT39" s="16"/>
      <c r="CQU39" s="16"/>
      <c r="CQV39" s="16"/>
      <c r="CQW39" s="16"/>
      <c r="CQX39" s="16"/>
      <c r="CQY39" s="16"/>
      <c r="CQZ39" s="16"/>
      <c r="CRA39" s="16"/>
      <c r="CRB39" s="16"/>
      <c r="CRC39" s="16"/>
      <c r="CRD39" s="16"/>
      <c r="CRE39" s="16"/>
      <c r="CRF39" s="16"/>
      <c r="CRG39" s="16"/>
      <c r="CRH39" s="16"/>
      <c r="CRI39" s="16"/>
      <c r="CRJ39" s="16"/>
      <c r="CRK39" s="16"/>
      <c r="CRL39" s="16"/>
      <c r="CRM39" s="16"/>
      <c r="CRN39" s="16"/>
      <c r="CRO39" s="16"/>
      <c r="CRP39" s="16"/>
      <c r="CRQ39" s="16"/>
      <c r="CRR39" s="16"/>
      <c r="CRS39" s="16"/>
      <c r="CRT39" s="16"/>
      <c r="CRU39" s="16"/>
      <c r="CRV39" s="16"/>
      <c r="CRW39" s="16"/>
      <c r="CRX39" s="16"/>
      <c r="CRY39" s="16"/>
      <c r="CRZ39" s="16"/>
      <c r="CSA39" s="16"/>
      <c r="CSB39" s="16"/>
      <c r="CSC39" s="16"/>
      <c r="CSD39" s="16"/>
      <c r="CSE39" s="16"/>
      <c r="CSF39" s="16"/>
      <c r="CSG39" s="16"/>
      <c r="CSH39" s="16"/>
      <c r="CSI39" s="16"/>
      <c r="CSJ39" s="16"/>
      <c r="CSK39" s="16"/>
      <c r="CSL39" s="16"/>
      <c r="CSM39" s="16"/>
      <c r="CSN39" s="16"/>
      <c r="CSO39" s="16"/>
      <c r="CSP39" s="16"/>
      <c r="CSQ39" s="16"/>
      <c r="CSR39" s="16"/>
      <c r="CSS39" s="16"/>
      <c r="CST39" s="16"/>
      <c r="CSU39" s="16"/>
      <c r="CSV39" s="16"/>
      <c r="CSW39" s="16"/>
      <c r="CSX39" s="16"/>
      <c r="CSY39" s="16"/>
      <c r="CSZ39" s="16"/>
      <c r="CTA39" s="16"/>
      <c r="CTB39" s="16"/>
      <c r="CTC39" s="16"/>
      <c r="CTD39" s="16"/>
      <c r="CTE39" s="16"/>
      <c r="CTF39" s="16"/>
      <c r="CTG39" s="16"/>
      <c r="CTH39" s="16"/>
      <c r="CTI39" s="16"/>
      <c r="CTJ39" s="16"/>
      <c r="CTK39" s="16"/>
      <c r="CTL39" s="16"/>
      <c r="CTM39" s="16"/>
      <c r="CTN39" s="16"/>
      <c r="CTO39" s="16"/>
      <c r="CTP39" s="16"/>
      <c r="CTQ39" s="16"/>
      <c r="CTR39" s="16"/>
      <c r="CTS39" s="16"/>
      <c r="CTT39" s="16"/>
      <c r="CTU39" s="16"/>
      <c r="CTV39" s="16"/>
      <c r="CTW39" s="16"/>
      <c r="CTX39" s="16"/>
      <c r="CTY39" s="16"/>
      <c r="CTZ39" s="16"/>
      <c r="CUA39" s="16"/>
      <c r="CUB39" s="16"/>
      <c r="CUC39" s="16"/>
      <c r="CUD39" s="16"/>
      <c r="CUE39" s="16"/>
      <c r="CUF39" s="16"/>
      <c r="CUG39" s="16"/>
      <c r="CUH39" s="16"/>
      <c r="CUI39" s="16"/>
      <c r="CUJ39" s="16"/>
      <c r="CUK39" s="16"/>
      <c r="CUL39" s="16"/>
      <c r="CUM39" s="16"/>
      <c r="CUN39" s="16"/>
      <c r="CUO39" s="16"/>
      <c r="CUP39" s="16"/>
      <c r="CUQ39" s="16"/>
      <c r="CUR39" s="16"/>
      <c r="CUS39" s="16"/>
      <c r="CUT39" s="16"/>
      <c r="CUU39" s="16"/>
      <c r="CUV39" s="16"/>
      <c r="CUW39" s="16"/>
      <c r="CUX39" s="16"/>
      <c r="CUY39" s="16"/>
      <c r="CUZ39" s="16"/>
      <c r="CVA39" s="16"/>
      <c r="CVB39" s="16"/>
      <c r="CVC39" s="16"/>
      <c r="CVD39" s="16"/>
      <c r="CVE39" s="16"/>
      <c r="CVF39" s="16"/>
      <c r="CVG39" s="16"/>
      <c r="CVH39" s="16"/>
      <c r="CVI39" s="16"/>
      <c r="CVJ39" s="16"/>
      <c r="CVK39" s="16"/>
      <c r="CVL39" s="16"/>
      <c r="CVM39" s="16"/>
      <c r="CVN39" s="16"/>
      <c r="CVO39" s="16"/>
      <c r="CVP39" s="16"/>
      <c r="CVQ39" s="16"/>
      <c r="CVR39" s="16"/>
      <c r="CVS39" s="16"/>
      <c r="CVT39" s="16"/>
      <c r="CVU39" s="16"/>
      <c r="CVV39" s="16"/>
      <c r="CVW39" s="16"/>
      <c r="CVX39" s="16"/>
      <c r="CVY39" s="16"/>
      <c r="CVZ39" s="16"/>
      <c r="CWA39" s="16"/>
      <c r="CWB39" s="16"/>
      <c r="CWC39" s="16"/>
      <c r="CWD39" s="16"/>
      <c r="CWE39" s="16"/>
      <c r="CWF39" s="16"/>
      <c r="CWG39" s="16"/>
      <c r="CWH39" s="16"/>
      <c r="CWI39" s="16"/>
      <c r="CWJ39" s="16"/>
      <c r="CWK39" s="16"/>
      <c r="CWL39" s="16"/>
      <c r="CWM39" s="16"/>
      <c r="CWN39" s="16"/>
      <c r="CWO39" s="16"/>
      <c r="CWP39" s="16"/>
      <c r="CWQ39" s="16"/>
      <c r="CWR39" s="16"/>
      <c r="CWS39" s="16"/>
      <c r="CWT39" s="16"/>
      <c r="CWU39" s="16"/>
      <c r="CWV39" s="16"/>
      <c r="CWW39" s="16"/>
      <c r="CWX39" s="16"/>
      <c r="CWY39" s="16"/>
      <c r="CWZ39" s="16"/>
      <c r="CXA39" s="16"/>
      <c r="CXB39" s="16"/>
      <c r="CXC39" s="16"/>
      <c r="CXD39" s="16"/>
      <c r="CXE39" s="16"/>
      <c r="CXF39" s="16"/>
      <c r="CXG39" s="16"/>
      <c r="CXH39" s="16"/>
      <c r="CXI39" s="16"/>
      <c r="CXJ39" s="16"/>
      <c r="CXK39" s="16"/>
      <c r="CXL39" s="16"/>
      <c r="CXM39" s="16"/>
      <c r="CXN39" s="16"/>
      <c r="CXO39" s="16"/>
      <c r="CXP39" s="16"/>
      <c r="CXQ39" s="16"/>
      <c r="CXR39" s="16"/>
      <c r="CXS39" s="16"/>
      <c r="CXT39" s="16"/>
      <c r="CXU39" s="16"/>
      <c r="CXV39" s="16"/>
      <c r="CXW39" s="16"/>
      <c r="CXX39" s="16"/>
      <c r="CXY39" s="16"/>
      <c r="CXZ39" s="16"/>
      <c r="CYA39" s="16"/>
      <c r="CYB39" s="16"/>
      <c r="CYC39" s="16"/>
      <c r="CYD39" s="16"/>
      <c r="CYE39" s="16"/>
      <c r="CYF39" s="16"/>
      <c r="CYG39" s="16"/>
      <c r="CYH39" s="16"/>
      <c r="CYI39" s="16"/>
      <c r="CYJ39" s="16"/>
      <c r="CYK39" s="16"/>
      <c r="CYL39" s="16"/>
      <c r="CYM39" s="16"/>
      <c r="CYN39" s="16"/>
      <c r="CYO39" s="16"/>
      <c r="CYP39" s="16"/>
      <c r="CYQ39" s="16"/>
      <c r="CYR39" s="16"/>
      <c r="CYS39" s="16"/>
      <c r="CYT39" s="16"/>
      <c r="CYU39" s="16"/>
      <c r="CYV39" s="16"/>
      <c r="CYW39" s="16"/>
      <c r="CYX39" s="16"/>
      <c r="CYY39" s="16"/>
      <c r="CYZ39" s="16"/>
      <c r="CZA39" s="16"/>
      <c r="CZB39" s="16"/>
      <c r="CZC39" s="16"/>
      <c r="CZD39" s="16"/>
      <c r="CZE39" s="16"/>
      <c r="CZF39" s="16"/>
      <c r="CZG39" s="16"/>
      <c r="CZH39" s="16"/>
      <c r="CZI39" s="16"/>
      <c r="CZJ39" s="16"/>
      <c r="CZK39" s="16"/>
      <c r="CZL39" s="16"/>
      <c r="CZM39" s="16"/>
      <c r="CZN39" s="16"/>
      <c r="CZO39" s="16"/>
      <c r="CZP39" s="16"/>
      <c r="CZQ39" s="16"/>
      <c r="CZR39" s="16"/>
      <c r="CZS39" s="16"/>
      <c r="CZT39" s="16"/>
      <c r="CZU39" s="16"/>
      <c r="CZV39" s="16"/>
      <c r="CZW39" s="16"/>
      <c r="CZX39" s="16"/>
      <c r="CZY39" s="16"/>
      <c r="CZZ39" s="16"/>
      <c r="DAA39" s="16"/>
      <c r="DAB39" s="16"/>
      <c r="DAC39" s="16"/>
      <c r="DAD39" s="16"/>
      <c r="DAE39" s="16"/>
      <c r="DAF39" s="16"/>
      <c r="DAG39" s="16"/>
      <c r="DAH39" s="16"/>
      <c r="DAI39" s="16"/>
      <c r="DAJ39" s="16"/>
      <c r="DAK39" s="16"/>
      <c r="DAL39" s="16"/>
      <c r="DAM39" s="16"/>
      <c r="DAN39" s="16"/>
      <c r="DAO39" s="16"/>
      <c r="DAP39" s="16"/>
      <c r="DAQ39" s="16"/>
      <c r="DAR39" s="16"/>
      <c r="DAS39" s="16"/>
      <c r="DAT39" s="16"/>
      <c r="DAU39" s="16"/>
      <c r="DAV39" s="16"/>
      <c r="DAW39" s="16"/>
      <c r="DAX39" s="16"/>
      <c r="DAY39" s="16"/>
      <c r="DAZ39" s="16"/>
      <c r="DBA39" s="16"/>
      <c r="DBB39" s="16"/>
      <c r="DBC39" s="16"/>
      <c r="DBD39" s="16"/>
      <c r="DBE39" s="16"/>
      <c r="DBF39" s="16"/>
      <c r="DBG39" s="16"/>
      <c r="DBH39" s="16"/>
      <c r="DBI39" s="16"/>
      <c r="DBJ39" s="16"/>
      <c r="DBK39" s="16"/>
      <c r="DBL39" s="16"/>
      <c r="DBM39" s="16"/>
      <c r="DBN39" s="16"/>
      <c r="DBO39" s="16"/>
      <c r="DBP39" s="16"/>
      <c r="DBQ39" s="16"/>
      <c r="DBR39" s="16"/>
      <c r="DBS39" s="16"/>
      <c r="DBT39" s="16"/>
      <c r="DBU39" s="16"/>
      <c r="DBV39" s="16"/>
      <c r="DBW39" s="16"/>
      <c r="DBX39" s="16"/>
      <c r="DBY39" s="16"/>
      <c r="DBZ39" s="16"/>
      <c r="DCA39" s="16"/>
      <c r="DCB39" s="16"/>
      <c r="DCC39" s="16"/>
      <c r="DCD39" s="16"/>
      <c r="DCE39" s="16"/>
      <c r="DCF39" s="16"/>
      <c r="DCG39" s="16"/>
      <c r="DCH39" s="16"/>
      <c r="DCI39" s="16"/>
      <c r="DCJ39" s="16"/>
      <c r="DCK39" s="16"/>
      <c r="DCL39" s="16"/>
      <c r="DCM39" s="16"/>
      <c r="DCN39" s="16"/>
      <c r="DCO39" s="16"/>
      <c r="DCP39" s="16"/>
      <c r="DCQ39" s="16"/>
      <c r="DCR39" s="16"/>
      <c r="DCS39" s="16"/>
      <c r="DCT39" s="16"/>
      <c r="DCU39" s="16"/>
      <c r="DCV39" s="16"/>
      <c r="DCW39" s="16"/>
      <c r="DCX39" s="16"/>
      <c r="DCY39" s="16"/>
      <c r="DCZ39" s="16"/>
      <c r="DDA39" s="16"/>
      <c r="DDB39" s="16"/>
      <c r="DDC39" s="16"/>
      <c r="DDD39" s="16"/>
      <c r="DDE39" s="16"/>
      <c r="DDF39" s="16"/>
      <c r="DDG39" s="16"/>
      <c r="DDH39" s="16"/>
      <c r="DDI39" s="16"/>
      <c r="DDJ39" s="16"/>
      <c r="DDK39" s="16"/>
      <c r="DDL39" s="16"/>
      <c r="DDM39" s="16"/>
      <c r="DDN39" s="16"/>
      <c r="DDO39" s="16"/>
      <c r="DDP39" s="16"/>
      <c r="DDQ39" s="16"/>
      <c r="DDR39" s="16"/>
      <c r="DDS39" s="16"/>
      <c r="DDT39" s="16"/>
      <c r="DDU39" s="16"/>
      <c r="DDV39" s="16"/>
      <c r="DDW39" s="16"/>
      <c r="DDX39" s="16"/>
      <c r="DDY39" s="16"/>
      <c r="DDZ39" s="16"/>
      <c r="DEA39" s="16"/>
      <c r="DEB39" s="16"/>
      <c r="DEC39" s="16"/>
      <c r="DED39" s="16"/>
      <c r="DEE39" s="16"/>
      <c r="DEF39" s="16"/>
      <c r="DEG39" s="16"/>
      <c r="DEH39" s="16"/>
      <c r="DEI39" s="16"/>
      <c r="DEJ39" s="16"/>
      <c r="DEK39" s="16"/>
      <c r="DEL39" s="16"/>
      <c r="DEM39" s="16"/>
      <c r="DEN39" s="16"/>
      <c r="DEO39" s="16"/>
      <c r="DEP39" s="16"/>
      <c r="DEQ39" s="16"/>
      <c r="DER39" s="16"/>
      <c r="DES39" s="16"/>
      <c r="DET39" s="16"/>
      <c r="DEU39" s="16"/>
      <c r="DEV39" s="16"/>
      <c r="DEW39" s="16"/>
      <c r="DEX39" s="16"/>
      <c r="DEY39" s="16"/>
      <c r="DEZ39" s="16"/>
      <c r="DFA39" s="16"/>
      <c r="DFB39" s="16"/>
      <c r="DFC39" s="16"/>
      <c r="DFD39" s="16"/>
      <c r="DFE39" s="16"/>
      <c r="DFF39" s="16"/>
      <c r="DFG39" s="16"/>
      <c r="DFH39" s="16"/>
      <c r="DFI39" s="16"/>
      <c r="DFJ39" s="16"/>
      <c r="DFK39" s="16"/>
      <c r="DFL39" s="16"/>
      <c r="DFM39" s="16"/>
      <c r="DFN39" s="16"/>
      <c r="DFO39" s="16"/>
      <c r="DFP39" s="16"/>
      <c r="DFQ39" s="16"/>
      <c r="DFR39" s="16"/>
      <c r="DFS39" s="16"/>
      <c r="DFT39" s="16"/>
      <c r="DFU39" s="16"/>
      <c r="DFV39" s="16"/>
      <c r="DFW39" s="16"/>
      <c r="DFX39" s="16"/>
      <c r="DFY39" s="16"/>
      <c r="DFZ39" s="16"/>
      <c r="DGA39" s="16"/>
      <c r="DGB39" s="16"/>
      <c r="DGC39" s="16"/>
      <c r="DGD39" s="16"/>
      <c r="DGE39" s="16"/>
      <c r="DGF39" s="16"/>
      <c r="DGG39" s="16"/>
      <c r="DGH39" s="16"/>
      <c r="DGI39" s="16"/>
      <c r="DGJ39" s="16"/>
      <c r="DGK39" s="16"/>
      <c r="DGL39" s="16"/>
      <c r="DGM39" s="16"/>
      <c r="DGN39" s="16"/>
      <c r="DGO39" s="16"/>
      <c r="DGP39" s="16"/>
      <c r="DGQ39" s="16"/>
      <c r="DGR39" s="16"/>
      <c r="DGS39" s="16"/>
      <c r="DGT39" s="16"/>
      <c r="DGU39" s="16"/>
      <c r="DGV39" s="16"/>
      <c r="DGW39" s="16"/>
      <c r="DGX39" s="16"/>
      <c r="DGY39" s="16"/>
      <c r="DGZ39" s="16"/>
      <c r="DHA39" s="16"/>
      <c r="DHB39" s="16"/>
      <c r="DHC39" s="16"/>
      <c r="DHD39" s="16"/>
      <c r="DHE39" s="16"/>
      <c r="DHF39" s="16"/>
      <c r="DHG39" s="16"/>
      <c r="DHH39" s="16"/>
      <c r="DHI39" s="16"/>
      <c r="DHJ39" s="16"/>
      <c r="DHK39" s="16"/>
      <c r="DHL39" s="16"/>
      <c r="DHM39" s="16"/>
      <c r="DHN39" s="16"/>
      <c r="DHO39" s="16"/>
      <c r="DHP39" s="16"/>
      <c r="DHQ39" s="16"/>
      <c r="DHR39" s="16"/>
      <c r="DHS39" s="16"/>
      <c r="DHT39" s="16"/>
      <c r="DHU39" s="16"/>
      <c r="DHV39" s="16"/>
      <c r="DHW39" s="16"/>
      <c r="DHX39" s="16"/>
      <c r="DHY39" s="16"/>
      <c r="DHZ39" s="16"/>
      <c r="DIA39" s="16"/>
      <c r="DIB39" s="16"/>
      <c r="DIC39" s="16"/>
      <c r="DID39" s="16"/>
      <c r="DIE39" s="16"/>
      <c r="DIF39" s="16"/>
      <c r="DIG39" s="16"/>
      <c r="DIH39" s="16"/>
      <c r="DII39" s="16"/>
      <c r="DIJ39" s="16"/>
      <c r="DIK39" s="16"/>
      <c r="DIL39" s="16"/>
      <c r="DIM39" s="16"/>
      <c r="DIN39" s="16"/>
      <c r="DIO39" s="16"/>
      <c r="DIP39" s="16"/>
      <c r="DIQ39" s="16"/>
      <c r="DIR39" s="16"/>
      <c r="DIS39" s="16"/>
      <c r="DIT39" s="16"/>
      <c r="DIU39" s="16"/>
      <c r="DIV39" s="16"/>
      <c r="DIW39" s="16"/>
      <c r="DIX39" s="16"/>
      <c r="DIY39" s="16"/>
      <c r="DIZ39" s="16"/>
      <c r="DJA39" s="16"/>
      <c r="DJB39" s="16"/>
      <c r="DJC39" s="16"/>
      <c r="DJD39" s="16"/>
      <c r="DJE39" s="16"/>
      <c r="DJF39" s="16"/>
      <c r="DJG39" s="16"/>
      <c r="DJH39" s="16"/>
      <c r="DJI39" s="16"/>
      <c r="DJJ39" s="16"/>
      <c r="DJK39" s="16"/>
      <c r="DJL39" s="16"/>
      <c r="DJM39" s="16"/>
      <c r="DJN39" s="16"/>
      <c r="DJO39" s="16"/>
      <c r="DJP39" s="16"/>
      <c r="DJQ39" s="16"/>
      <c r="DJR39" s="16"/>
      <c r="DJS39" s="16"/>
      <c r="DJT39" s="16"/>
      <c r="DJU39" s="16"/>
      <c r="DJV39" s="16"/>
      <c r="DJW39" s="16"/>
      <c r="DJX39" s="16"/>
      <c r="DJY39" s="16"/>
      <c r="DJZ39" s="16"/>
      <c r="DKA39" s="16"/>
      <c r="DKB39" s="16"/>
      <c r="DKC39" s="16"/>
      <c r="DKD39" s="16"/>
      <c r="DKE39" s="16"/>
      <c r="DKF39" s="16"/>
      <c r="DKG39" s="16"/>
      <c r="DKH39" s="16"/>
      <c r="DKI39" s="16"/>
      <c r="DKJ39" s="16"/>
      <c r="DKK39" s="16"/>
      <c r="DKL39" s="16"/>
      <c r="DKM39" s="16"/>
      <c r="DKN39" s="16"/>
      <c r="DKO39" s="16"/>
      <c r="DKP39" s="16"/>
      <c r="DKQ39" s="16"/>
      <c r="DKR39" s="16"/>
      <c r="DKS39" s="16"/>
      <c r="DKT39" s="16"/>
      <c r="DKU39" s="16"/>
      <c r="DKV39" s="16"/>
      <c r="DKW39" s="16"/>
      <c r="DKX39" s="16"/>
      <c r="DKY39" s="16"/>
      <c r="DKZ39" s="16"/>
      <c r="DLA39" s="16"/>
      <c r="DLB39" s="16"/>
      <c r="DLC39" s="16"/>
      <c r="DLD39" s="16"/>
      <c r="DLE39" s="16"/>
      <c r="DLF39" s="16"/>
      <c r="DLG39" s="16"/>
      <c r="DLH39" s="16"/>
      <c r="DLI39" s="16"/>
      <c r="DLJ39" s="16"/>
      <c r="DLK39" s="16"/>
      <c r="DLL39" s="16"/>
      <c r="DLM39" s="16"/>
      <c r="DLN39" s="16"/>
      <c r="DLO39" s="16"/>
      <c r="DLP39" s="16"/>
      <c r="DLQ39" s="16"/>
      <c r="DLR39" s="16"/>
      <c r="DLS39" s="16"/>
      <c r="DLT39" s="16"/>
      <c r="DLU39" s="16"/>
      <c r="DLV39" s="16"/>
      <c r="DLW39" s="16"/>
      <c r="DLX39" s="16"/>
      <c r="DLY39" s="16"/>
      <c r="DLZ39" s="16"/>
      <c r="DMA39" s="16"/>
      <c r="DMB39" s="16"/>
      <c r="DMC39" s="16"/>
      <c r="DMD39" s="16"/>
      <c r="DME39" s="16"/>
      <c r="DMF39" s="16"/>
      <c r="DMG39" s="16"/>
      <c r="DMH39" s="16"/>
      <c r="DMI39" s="16"/>
      <c r="DMJ39" s="16"/>
      <c r="DMK39" s="16"/>
      <c r="DML39" s="16"/>
      <c r="DMM39" s="16"/>
      <c r="DMN39" s="16"/>
      <c r="DMO39" s="16"/>
      <c r="DMP39" s="16"/>
      <c r="DMQ39" s="16"/>
      <c r="DMR39" s="16"/>
      <c r="DMS39" s="16"/>
      <c r="DMT39" s="16"/>
      <c r="DMU39" s="16"/>
      <c r="DMV39" s="16"/>
      <c r="DMW39" s="16"/>
      <c r="DMX39" s="16"/>
      <c r="DMY39" s="16"/>
      <c r="DMZ39" s="16"/>
      <c r="DNA39" s="16"/>
      <c r="DNB39" s="16"/>
      <c r="DNC39" s="16"/>
      <c r="DND39" s="16"/>
      <c r="DNE39" s="16"/>
      <c r="DNF39" s="16"/>
      <c r="DNG39" s="16"/>
      <c r="DNH39" s="16"/>
      <c r="DNI39" s="16"/>
      <c r="DNJ39" s="16"/>
      <c r="DNK39" s="16"/>
      <c r="DNL39" s="16"/>
      <c r="DNM39" s="16"/>
      <c r="DNN39" s="16"/>
      <c r="DNO39" s="16"/>
      <c r="DNP39" s="16"/>
      <c r="DNQ39" s="16"/>
      <c r="DNR39" s="16"/>
      <c r="DNS39" s="16"/>
      <c r="DNT39" s="16"/>
      <c r="DNU39" s="16"/>
      <c r="DNV39" s="16"/>
      <c r="DNW39" s="16"/>
      <c r="DNX39" s="16"/>
      <c r="DNY39" s="16"/>
      <c r="DNZ39" s="16"/>
      <c r="DOA39" s="16"/>
      <c r="DOB39" s="16"/>
      <c r="DOC39" s="16"/>
      <c r="DOD39" s="16"/>
      <c r="DOE39" s="16"/>
      <c r="DOF39" s="16"/>
      <c r="DOG39" s="16"/>
      <c r="DOH39" s="16"/>
      <c r="DOI39" s="16"/>
      <c r="DOJ39" s="16"/>
      <c r="DOK39" s="16"/>
      <c r="DOL39" s="16"/>
      <c r="DOM39" s="16"/>
      <c r="DON39" s="16"/>
      <c r="DOO39" s="16"/>
      <c r="DOP39" s="16"/>
      <c r="DOQ39" s="16"/>
      <c r="DOR39" s="16"/>
      <c r="DOS39" s="16"/>
      <c r="DOT39" s="16"/>
      <c r="DOU39" s="16"/>
      <c r="DOV39" s="16"/>
      <c r="DOW39" s="16"/>
      <c r="DOX39" s="16"/>
      <c r="DOY39" s="16"/>
      <c r="DOZ39" s="16"/>
      <c r="DPA39" s="16"/>
      <c r="DPB39" s="16"/>
      <c r="DPC39" s="16"/>
      <c r="DPD39" s="16"/>
      <c r="DPE39" s="16"/>
      <c r="DPF39" s="16"/>
      <c r="DPG39" s="16"/>
      <c r="DPH39" s="16"/>
      <c r="DPI39" s="16"/>
      <c r="DPJ39" s="16"/>
      <c r="DPK39" s="16"/>
      <c r="DPL39" s="16"/>
      <c r="DPM39" s="16"/>
      <c r="DPN39" s="16"/>
      <c r="DPO39" s="16"/>
      <c r="DPP39" s="16"/>
      <c r="DPQ39" s="16"/>
      <c r="DPR39" s="16"/>
      <c r="DPS39" s="16"/>
      <c r="DPT39" s="16"/>
      <c r="DPU39" s="16"/>
      <c r="DPV39" s="16"/>
      <c r="DPW39" s="16"/>
      <c r="DPX39" s="16"/>
      <c r="DPY39" s="16"/>
      <c r="DPZ39" s="16"/>
      <c r="DQA39" s="16"/>
      <c r="DQB39" s="16"/>
      <c r="DQC39" s="16"/>
      <c r="DQD39" s="16"/>
      <c r="DQE39" s="16"/>
      <c r="DQF39" s="16"/>
      <c r="DQG39" s="16"/>
      <c r="DQH39" s="16"/>
      <c r="DQI39" s="16"/>
      <c r="DQJ39" s="16"/>
      <c r="DQK39" s="16"/>
      <c r="DQL39" s="16"/>
      <c r="DQM39" s="16"/>
      <c r="DQN39" s="16"/>
      <c r="DQO39" s="16"/>
      <c r="DQP39" s="16"/>
      <c r="DQQ39" s="16"/>
      <c r="DQR39" s="16"/>
      <c r="DQS39" s="16"/>
      <c r="DQT39" s="16"/>
      <c r="DQU39" s="16"/>
      <c r="DQV39" s="16"/>
      <c r="DQW39" s="16"/>
      <c r="DQX39" s="16"/>
      <c r="DQY39" s="16"/>
      <c r="DQZ39" s="16"/>
      <c r="DRA39" s="16"/>
      <c r="DRB39" s="16"/>
      <c r="DRC39" s="16"/>
      <c r="DRD39" s="16"/>
      <c r="DRE39" s="16"/>
      <c r="DRF39" s="16"/>
      <c r="DRG39" s="16"/>
      <c r="DRH39" s="16"/>
      <c r="DRI39" s="16"/>
      <c r="DRJ39" s="16"/>
      <c r="DRK39" s="16"/>
      <c r="DRL39" s="16"/>
      <c r="DRM39" s="16"/>
      <c r="DRN39" s="16"/>
      <c r="DRO39" s="16"/>
      <c r="DRP39" s="16"/>
      <c r="DRQ39" s="16"/>
      <c r="DRR39" s="16"/>
      <c r="DRS39" s="16"/>
      <c r="DRT39" s="16"/>
      <c r="DRU39" s="16"/>
      <c r="DRV39" s="16"/>
      <c r="DRW39" s="16"/>
      <c r="DRX39" s="16"/>
      <c r="DRY39" s="16"/>
      <c r="DRZ39" s="16"/>
      <c r="DSA39" s="16"/>
      <c r="DSB39" s="16"/>
      <c r="DSC39" s="16"/>
      <c r="DSD39" s="16"/>
      <c r="DSE39" s="16"/>
      <c r="DSF39" s="16"/>
      <c r="DSG39" s="16"/>
      <c r="DSH39" s="16"/>
      <c r="DSI39" s="16"/>
      <c r="DSJ39" s="16"/>
      <c r="DSK39" s="16"/>
      <c r="DSL39" s="16"/>
      <c r="DSM39" s="16"/>
      <c r="DSN39" s="16"/>
      <c r="DSO39" s="16"/>
      <c r="DSP39" s="16"/>
      <c r="DSQ39" s="16"/>
      <c r="DSR39" s="16"/>
      <c r="DSS39" s="16"/>
      <c r="DST39" s="16"/>
      <c r="DSU39" s="16"/>
      <c r="DSV39" s="16"/>
      <c r="DSW39" s="16"/>
      <c r="DSX39" s="16"/>
      <c r="DSY39" s="16"/>
      <c r="DSZ39" s="16"/>
      <c r="DTA39" s="16"/>
      <c r="DTB39" s="16"/>
      <c r="DTC39" s="16"/>
      <c r="DTD39" s="16"/>
      <c r="DTE39" s="16"/>
      <c r="DTF39" s="16"/>
      <c r="DTG39" s="16"/>
      <c r="DTH39" s="16"/>
      <c r="DTI39" s="16"/>
      <c r="DTJ39" s="16"/>
      <c r="DTK39" s="16"/>
      <c r="DTL39" s="16"/>
      <c r="DTM39" s="16"/>
      <c r="DTN39" s="16"/>
      <c r="DTO39" s="16"/>
      <c r="DTP39" s="16"/>
      <c r="DTQ39" s="16"/>
      <c r="DTR39" s="16"/>
      <c r="DTS39" s="16"/>
      <c r="DTT39" s="16"/>
      <c r="DTU39" s="16"/>
      <c r="DTV39" s="16"/>
      <c r="DTW39" s="16"/>
      <c r="DTX39" s="16"/>
      <c r="DTY39" s="16"/>
      <c r="DTZ39" s="16"/>
      <c r="DUA39" s="16"/>
      <c r="DUB39" s="16"/>
      <c r="DUC39" s="16"/>
      <c r="DUD39" s="16"/>
      <c r="DUE39" s="16"/>
      <c r="DUF39" s="16"/>
      <c r="DUG39" s="16"/>
      <c r="DUH39" s="16"/>
      <c r="DUI39" s="16"/>
      <c r="DUJ39" s="16"/>
      <c r="DUK39" s="16"/>
      <c r="DUL39" s="16"/>
      <c r="DUM39" s="16"/>
      <c r="DUN39" s="16"/>
      <c r="DUO39" s="16"/>
      <c r="DUP39" s="16"/>
      <c r="DUQ39" s="16"/>
      <c r="DUR39" s="16"/>
      <c r="DUS39" s="16"/>
      <c r="DUT39" s="16"/>
      <c r="DUU39" s="16"/>
      <c r="DUV39" s="16"/>
      <c r="DUW39" s="16"/>
      <c r="DUX39" s="16"/>
      <c r="DUY39" s="16"/>
      <c r="DUZ39" s="16"/>
      <c r="DVA39" s="16"/>
      <c r="DVB39" s="16"/>
      <c r="DVC39" s="16"/>
      <c r="DVD39" s="16"/>
      <c r="DVE39" s="16"/>
      <c r="DVF39" s="16"/>
      <c r="DVG39" s="16"/>
      <c r="DVH39" s="16"/>
      <c r="DVI39" s="16"/>
      <c r="DVJ39" s="16"/>
      <c r="DVK39" s="16"/>
      <c r="DVL39" s="16"/>
      <c r="DVM39" s="16"/>
      <c r="DVN39" s="16"/>
      <c r="DVO39" s="16"/>
      <c r="DVP39" s="16"/>
      <c r="DVQ39" s="16"/>
      <c r="DVR39" s="16"/>
      <c r="DVS39" s="16"/>
      <c r="DVT39" s="16"/>
      <c r="DVU39" s="16"/>
      <c r="DVV39" s="16"/>
      <c r="DVW39" s="16"/>
      <c r="DVX39" s="16"/>
      <c r="DVY39" s="16"/>
      <c r="DVZ39" s="16"/>
      <c r="DWA39" s="16"/>
      <c r="DWB39" s="16"/>
      <c r="DWC39" s="16"/>
      <c r="DWD39" s="16"/>
      <c r="DWE39" s="16"/>
      <c r="DWF39" s="16"/>
      <c r="DWG39" s="16"/>
      <c r="DWH39" s="16"/>
      <c r="DWI39" s="16"/>
      <c r="DWJ39" s="16"/>
      <c r="DWK39" s="16"/>
      <c r="DWL39" s="16"/>
      <c r="DWM39" s="16"/>
      <c r="DWN39" s="16"/>
      <c r="DWO39" s="16"/>
      <c r="DWP39" s="16"/>
      <c r="DWQ39" s="16"/>
      <c r="DWR39" s="16"/>
      <c r="DWS39" s="16"/>
      <c r="DWT39" s="16"/>
      <c r="DWU39" s="16"/>
      <c r="DWV39" s="16"/>
      <c r="DWW39" s="16"/>
      <c r="DWX39" s="16"/>
      <c r="DWY39" s="16"/>
      <c r="DWZ39" s="16"/>
      <c r="DXA39" s="16"/>
      <c r="DXB39" s="16"/>
      <c r="DXC39" s="16"/>
      <c r="DXD39" s="16"/>
      <c r="DXE39" s="16"/>
      <c r="DXF39" s="16"/>
      <c r="DXG39" s="16"/>
      <c r="DXH39" s="16"/>
      <c r="DXI39" s="16"/>
      <c r="DXJ39" s="16"/>
      <c r="DXK39" s="16"/>
      <c r="DXL39" s="16"/>
      <c r="DXM39" s="16"/>
      <c r="DXN39" s="16"/>
      <c r="DXO39" s="16"/>
      <c r="DXP39" s="16"/>
      <c r="DXQ39" s="16"/>
      <c r="DXR39" s="16"/>
      <c r="DXS39" s="16"/>
      <c r="DXT39" s="16"/>
      <c r="DXU39" s="16"/>
      <c r="DXV39" s="16"/>
      <c r="DXW39" s="16"/>
      <c r="DXX39" s="16"/>
      <c r="DXY39" s="16"/>
      <c r="DXZ39" s="16"/>
      <c r="DYA39" s="16"/>
      <c r="DYB39" s="16"/>
      <c r="DYC39" s="16"/>
      <c r="DYD39" s="16"/>
      <c r="DYE39" s="16"/>
      <c r="DYF39" s="16"/>
      <c r="DYG39" s="16"/>
      <c r="DYH39" s="16"/>
      <c r="DYI39" s="16"/>
      <c r="DYJ39" s="16"/>
      <c r="DYK39" s="16"/>
      <c r="DYL39" s="16"/>
      <c r="DYM39" s="16"/>
      <c r="DYN39" s="16"/>
      <c r="DYO39" s="16"/>
      <c r="DYP39" s="16"/>
      <c r="DYQ39" s="16"/>
      <c r="DYR39" s="16"/>
      <c r="DYS39" s="16"/>
      <c r="DYT39" s="16"/>
      <c r="DYU39" s="16"/>
      <c r="DYV39" s="16"/>
      <c r="DYW39" s="16"/>
      <c r="DYX39" s="16"/>
      <c r="DYY39" s="16"/>
      <c r="DYZ39" s="16"/>
      <c r="DZA39" s="16"/>
      <c r="DZB39" s="16"/>
      <c r="DZC39" s="16"/>
      <c r="DZD39" s="16"/>
      <c r="DZE39" s="16"/>
      <c r="DZF39" s="16"/>
      <c r="DZG39" s="16"/>
      <c r="DZH39" s="16"/>
      <c r="DZI39" s="16"/>
      <c r="DZJ39" s="16"/>
      <c r="DZK39" s="16"/>
      <c r="DZL39" s="16"/>
      <c r="DZM39" s="16"/>
      <c r="DZN39" s="16"/>
      <c r="DZO39" s="16"/>
      <c r="DZP39" s="16"/>
      <c r="DZQ39" s="16"/>
      <c r="DZR39" s="16"/>
      <c r="DZS39" s="16"/>
      <c r="DZT39" s="16"/>
      <c r="DZU39" s="16"/>
      <c r="DZV39" s="16"/>
      <c r="DZW39" s="16"/>
      <c r="DZX39" s="16"/>
      <c r="DZY39" s="16"/>
      <c r="DZZ39" s="16"/>
      <c r="EAA39" s="16"/>
      <c r="EAB39" s="16"/>
      <c r="EAC39" s="16"/>
      <c r="EAD39" s="16"/>
      <c r="EAE39" s="16"/>
      <c r="EAF39" s="16"/>
      <c r="EAG39" s="16"/>
      <c r="EAH39" s="16"/>
      <c r="EAI39" s="16"/>
      <c r="EAJ39" s="16"/>
      <c r="EAK39" s="16"/>
      <c r="EAL39" s="16"/>
      <c r="EAM39" s="16"/>
      <c r="EAN39" s="16"/>
      <c r="EAO39" s="16"/>
      <c r="EAP39" s="16"/>
      <c r="EAQ39" s="16"/>
      <c r="EAR39" s="16"/>
      <c r="EAS39" s="16"/>
      <c r="EAT39" s="16"/>
      <c r="EAU39" s="16"/>
      <c r="EAV39" s="16"/>
      <c r="EAW39" s="16"/>
      <c r="EAX39" s="16"/>
      <c r="EAY39" s="16"/>
      <c r="EAZ39" s="16"/>
      <c r="EBA39" s="16"/>
      <c r="EBB39" s="16"/>
      <c r="EBC39" s="16"/>
      <c r="EBD39" s="16"/>
      <c r="EBE39" s="16"/>
      <c r="EBF39" s="16"/>
      <c r="EBG39" s="16"/>
      <c r="EBH39" s="16"/>
      <c r="EBI39" s="16"/>
      <c r="EBJ39" s="16"/>
      <c r="EBK39" s="16"/>
      <c r="EBL39" s="16"/>
      <c r="EBM39" s="16"/>
      <c r="EBN39" s="16"/>
      <c r="EBO39" s="16"/>
      <c r="EBP39" s="16"/>
      <c r="EBQ39" s="16"/>
      <c r="EBR39" s="16"/>
      <c r="EBS39" s="16"/>
      <c r="EBT39" s="16"/>
      <c r="EBU39" s="16"/>
      <c r="EBV39" s="16"/>
      <c r="EBW39" s="16"/>
      <c r="EBX39" s="16"/>
      <c r="EBY39" s="16"/>
      <c r="EBZ39" s="16"/>
      <c r="ECA39" s="16"/>
      <c r="ECB39" s="16"/>
      <c r="ECC39" s="16"/>
      <c r="ECD39" s="16"/>
      <c r="ECE39" s="16"/>
      <c r="ECF39" s="16"/>
      <c r="ECG39" s="16"/>
      <c r="ECH39" s="16"/>
      <c r="ECI39" s="16"/>
      <c r="ECJ39" s="16"/>
      <c r="ECK39" s="16"/>
      <c r="ECL39" s="16"/>
      <c r="ECM39" s="16"/>
      <c r="ECN39" s="16"/>
      <c r="ECO39" s="16"/>
      <c r="ECP39" s="16"/>
      <c r="ECQ39" s="16"/>
      <c r="ECR39" s="16"/>
      <c r="ECS39" s="16"/>
      <c r="ECT39" s="16"/>
      <c r="ECU39" s="16"/>
      <c r="ECV39" s="16"/>
      <c r="ECW39" s="16"/>
      <c r="ECX39" s="16"/>
      <c r="ECY39" s="16"/>
      <c r="ECZ39" s="16"/>
      <c r="EDA39" s="16"/>
      <c r="EDB39" s="16"/>
      <c r="EDC39" s="16"/>
      <c r="EDD39" s="16"/>
      <c r="EDE39" s="16"/>
      <c r="EDF39" s="16"/>
      <c r="EDG39" s="16"/>
      <c r="EDH39" s="16"/>
      <c r="EDI39" s="16"/>
      <c r="EDJ39" s="16"/>
      <c r="EDK39" s="16"/>
      <c r="EDL39" s="16"/>
      <c r="EDM39" s="16"/>
      <c r="EDN39" s="16"/>
      <c r="EDO39" s="16"/>
      <c r="EDP39" s="16"/>
      <c r="EDQ39" s="16"/>
      <c r="EDR39" s="16"/>
      <c r="EDS39" s="16"/>
      <c r="EDT39" s="16"/>
      <c r="EDU39" s="16"/>
      <c r="EDV39" s="16"/>
      <c r="EDW39" s="16"/>
      <c r="EDX39" s="16"/>
      <c r="EDY39" s="16"/>
      <c r="EDZ39" s="16"/>
      <c r="EEA39" s="16"/>
      <c r="EEB39" s="16"/>
      <c r="EEC39" s="16"/>
      <c r="EED39" s="16"/>
      <c r="EEE39" s="16"/>
      <c r="EEF39" s="16"/>
      <c r="EEG39" s="16"/>
      <c r="EEH39" s="16"/>
      <c r="EEI39" s="16"/>
      <c r="EEJ39" s="16"/>
      <c r="EEK39" s="16"/>
      <c r="EEL39" s="16"/>
      <c r="EEM39" s="16"/>
      <c r="EEN39" s="16"/>
      <c r="EEO39" s="16"/>
      <c r="EEP39" s="16"/>
      <c r="EEQ39" s="16"/>
      <c r="EER39" s="16"/>
      <c r="EES39" s="16"/>
      <c r="EET39" s="16"/>
      <c r="EEU39" s="16"/>
      <c r="EEV39" s="16"/>
      <c r="EEW39" s="16"/>
      <c r="EEX39" s="16"/>
      <c r="EEY39" s="16"/>
      <c r="EEZ39" s="16"/>
      <c r="EFA39" s="16"/>
      <c r="EFB39" s="16"/>
      <c r="EFC39" s="16"/>
      <c r="EFD39" s="16"/>
      <c r="EFE39" s="16"/>
      <c r="EFF39" s="16"/>
      <c r="EFG39" s="16"/>
      <c r="EFH39" s="16"/>
      <c r="EFI39" s="16"/>
      <c r="EFJ39" s="16"/>
      <c r="EFK39" s="16"/>
      <c r="EFL39" s="16"/>
      <c r="EFM39" s="16"/>
      <c r="EFN39" s="16"/>
      <c r="EFO39" s="16"/>
      <c r="EFP39" s="16"/>
      <c r="EFQ39" s="16"/>
      <c r="EFR39" s="16"/>
      <c r="EFS39" s="16"/>
      <c r="EFT39" s="16"/>
      <c r="EFU39" s="16"/>
      <c r="EFV39" s="16"/>
      <c r="EFW39" s="16"/>
      <c r="EFX39" s="16"/>
      <c r="EFY39" s="16"/>
      <c r="EFZ39" s="16"/>
      <c r="EGA39" s="16"/>
      <c r="EGB39" s="16"/>
      <c r="EGC39" s="16"/>
      <c r="EGD39" s="16"/>
      <c r="EGE39" s="16"/>
      <c r="EGF39" s="16"/>
      <c r="EGG39" s="16"/>
      <c r="EGH39" s="16"/>
      <c r="EGI39" s="16"/>
      <c r="EGJ39" s="16"/>
      <c r="EGK39" s="16"/>
      <c r="EGL39" s="16"/>
      <c r="EGM39" s="16"/>
      <c r="EGN39" s="16"/>
      <c r="EGO39" s="16"/>
      <c r="EGP39" s="16"/>
      <c r="EGQ39" s="16"/>
      <c r="EGR39" s="16"/>
      <c r="EGS39" s="16"/>
      <c r="EGT39" s="16"/>
      <c r="EGU39" s="16"/>
      <c r="EGV39" s="16"/>
      <c r="EGW39" s="16"/>
      <c r="EGX39" s="16"/>
      <c r="EGY39" s="16"/>
      <c r="EGZ39" s="16"/>
      <c r="EHA39" s="16"/>
      <c r="EHB39" s="16"/>
      <c r="EHC39" s="16"/>
      <c r="EHD39" s="16"/>
      <c r="EHE39" s="16"/>
      <c r="EHF39" s="16"/>
      <c r="EHG39" s="16"/>
      <c r="EHH39" s="16"/>
      <c r="EHI39" s="16"/>
      <c r="EHJ39" s="16"/>
      <c r="EHK39" s="16"/>
      <c r="EHL39" s="16"/>
      <c r="EHM39" s="16"/>
      <c r="EHN39" s="16"/>
      <c r="EHO39" s="16"/>
      <c r="EHP39" s="16"/>
      <c r="EHQ39" s="16"/>
      <c r="EHR39" s="16"/>
      <c r="EHS39" s="16"/>
      <c r="EHT39" s="16"/>
      <c r="EHU39" s="16"/>
      <c r="EHV39" s="16"/>
      <c r="EHW39" s="16"/>
      <c r="EHX39" s="16"/>
      <c r="EHY39" s="16"/>
      <c r="EHZ39" s="16"/>
      <c r="EIA39" s="16"/>
      <c r="EIB39" s="16"/>
      <c r="EIC39" s="16"/>
      <c r="EID39" s="16"/>
      <c r="EIE39" s="16"/>
      <c r="EIF39" s="16"/>
      <c r="EIG39" s="16"/>
      <c r="EIH39" s="16"/>
      <c r="EII39" s="16"/>
      <c r="EIJ39" s="16"/>
      <c r="EIK39" s="16"/>
      <c r="EIL39" s="16"/>
      <c r="EIM39" s="16"/>
      <c r="EIN39" s="16"/>
      <c r="EIO39" s="16"/>
      <c r="EIP39" s="16"/>
      <c r="EIQ39" s="16"/>
      <c r="EIR39" s="16"/>
      <c r="EIS39" s="16"/>
      <c r="EIT39" s="16"/>
      <c r="EIU39" s="16"/>
      <c r="EIV39" s="16"/>
      <c r="EIW39" s="16"/>
      <c r="EIX39" s="16"/>
      <c r="EIY39" s="16"/>
      <c r="EIZ39" s="16"/>
      <c r="EJA39" s="16"/>
      <c r="EJB39" s="16"/>
      <c r="EJC39" s="16"/>
      <c r="EJD39" s="16"/>
      <c r="EJE39" s="16"/>
      <c r="EJF39" s="16"/>
      <c r="EJG39" s="16"/>
      <c r="EJH39" s="16"/>
      <c r="EJI39" s="16"/>
      <c r="EJJ39" s="16"/>
      <c r="EJK39" s="16"/>
      <c r="EJL39" s="16"/>
      <c r="EJM39" s="16"/>
      <c r="EJN39" s="16"/>
      <c r="EJO39" s="16"/>
      <c r="EJP39" s="16"/>
      <c r="EJQ39" s="16"/>
      <c r="EJR39" s="16"/>
      <c r="EJS39" s="16"/>
      <c r="EJT39" s="16"/>
      <c r="EJU39" s="16"/>
      <c r="EJV39" s="16"/>
      <c r="EJW39" s="16"/>
      <c r="EJX39" s="16"/>
      <c r="EJY39" s="16"/>
      <c r="EJZ39" s="16"/>
      <c r="EKA39" s="16"/>
      <c r="EKB39" s="16"/>
      <c r="EKC39" s="16"/>
      <c r="EKD39" s="16"/>
      <c r="EKE39" s="16"/>
      <c r="EKF39" s="16"/>
      <c r="EKG39" s="16"/>
      <c r="EKH39" s="16"/>
      <c r="EKI39" s="16"/>
      <c r="EKJ39" s="16"/>
      <c r="EKK39" s="16"/>
      <c r="EKL39" s="16"/>
      <c r="EKM39" s="16"/>
      <c r="EKN39" s="16"/>
      <c r="EKO39" s="16"/>
      <c r="EKP39" s="16"/>
      <c r="EKQ39" s="16"/>
      <c r="EKR39" s="16"/>
      <c r="EKS39" s="16"/>
      <c r="EKT39" s="16"/>
      <c r="EKU39" s="16"/>
      <c r="EKV39" s="16"/>
      <c r="EKW39" s="16"/>
      <c r="EKX39" s="16"/>
      <c r="EKY39" s="16"/>
      <c r="EKZ39" s="16"/>
      <c r="ELA39" s="16"/>
      <c r="ELB39" s="16"/>
      <c r="ELC39" s="16"/>
      <c r="ELD39" s="16"/>
      <c r="ELE39" s="16"/>
      <c r="ELF39" s="16"/>
      <c r="ELG39" s="16"/>
      <c r="ELH39" s="16"/>
      <c r="ELI39" s="16"/>
      <c r="ELJ39" s="16"/>
      <c r="ELK39" s="16"/>
      <c r="ELL39" s="16"/>
      <c r="ELM39" s="16"/>
      <c r="ELN39" s="16"/>
      <c r="ELO39" s="16"/>
      <c r="ELP39" s="16"/>
      <c r="ELQ39" s="16"/>
      <c r="ELR39" s="16"/>
      <c r="ELS39" s="16"/>
      <c r="ELT39" s="16"/>
      <c r="ELU39" s="16"/>
      <c r="ELV39" s="16"/>
      <c r="ELW39" s="16"/>
      <c r="ELX39" s="16"/>
      <c r="ELY39" s="16"/>
      <c r="ELZ39" s="16"/>
      <c r="EMA39" s="16"/>
      <c r="EMB39" s="16"/>
      <c r="EMC39" s="16"/>
      <c r="EMD39" s="16"/>
      <c r="EME39" s="16"/>
      <c r="EMF39" s="16"/>
      <c r="EMG39" s="16"/>
      <c r="EMH39" s="16"/>
      <c r="EMI39" s="16"/>
      <c r="EMJ39" s="16"/>
      <c r="EMK39" s="16"/>
      <c r="EML39" s="16"/>
      <c r="EMM39" s="16"/>
      <c r="EMN39" s="16"/>
      <c r="EMO39" s="16"/>
      <c r="EMP39" s="16"/>
      <c r="EMQ39" s="16"/>
      <c r="EMR39" s="16"/>
      <c r="EMS39" s="16"/>
      <c r="EMT39" s="16"/>
      <c r="EMU39" s="16"/>
      <c r="EMV39" s="16"/>
      <c r="EMW39" s="16"/>
      <c r="EMX39" s="16"/>
      <c r="EMY39" s="16"/>
      <c r="EMZ39" s="16"/>
      <c r="ENA39" s="16"/>
      <c r="ENB39" s="16"/>
      <c r="ENC39" s="16"/>
      <c r="END39" s="16"/>
      <c r="ENE39" s="16"/>
      <c r="ENF39" s="16"/>
      <c r="ENG39" s="16"/>
      <c r="ENH39" s="16"/>
      <c r="ENI39" s="16"/>
      <c r="ENJ39" s="16"/>
      <c r="ENK39" s="16"/>
      <c r="ENL39" s="16"/>
      <c r="ENM39" s="16"/>
      <c r="ENN39" s="16"/>
      <c r="ENO39" s="16"/>
      <c r="ENP39" s="16"/>
      <c r="ENQ39" s="16"/>
      <c r="ENR39" s="16"/>
      <c r="ENS39" s="16"/>
      <c r="ENT39" s="16"/>
      <c r="ENU39" s="16"/>
      <c r="ENV39" s="16"/>
      <c r="ENW39" s="16"/>
      <c r="ENX39" s="16"/>
      <c r="ENY39" s="16"/>
      <c r="ENZ39" s="16"/>
      <c r="EOA39" s="16"/>
      <c r="EOB39" s="16"/>
      <c r="EOC39" s="16"/>
      <c r="EOD39" s="16"/>
      <c r="EOE39" s="16"/>
      <c r="EOF39" s="16"/>
      <c r="EOG39" s="16"/>
      <c r="EOH39" s="16"/>
      <c r="EOI39" s="16"/>
      <c r="EOJ39" s="16"/>
      <c r="EOK39" s="16"/>
      <c r="EOL39" s="16"/>
      <c r="EOM39" s="16"/>
      <c r="EON39" s="16"/>
      <c r="EOO39" s="16"/>
      <c r="EOP39" s="16"/>
      <c r="EOQ39" s="16"/>
      <c r="EOR39" s="16"/>
      <c r="EOS39" s="16"/>
      <c r="EOT39" s="16"/>
      <c r="EOU39" s="16"/>
      <c r="EOV39" s="16"/>
      <c r="EOW39" s="16"/>
      <c r="EOX39" s="16"/>
      <c r="EOY39" s="16"/>
      <c r="EOZ39" s="16"/>
      <c r="EPA39" s="16"/>
      <c r="EPB39" s="16"/>
      <c r="EPC39" s="16"/>
      <c r="EPD39" s="16"/>
      <c r="EPE39" s="16"/>
      <c r="EPF39" s="16"/>
      <c r="EPG39" s="16"/>
      <c r="EPH39" s="16"/>
      <c r="EPI39" s="16"/>
      <c r="EPJ39" s="16"/>
      <c r="EPK39" s="16"/>
      <c r="EPL39" s="16"/>
      <c r="EPM39" s="16"/>
      <c r="EPN39" s="16"/>
      <c r="EPO39" s="16"/>
      <c r="EPP39" s="16"/>
      <c r="EPQ39" s="16"/>
      <c r="EPR39" s="16"/>
      <c r="EPS39" s="16"/>
      <c r="EPT39" s="16"/>
      <c r="EPU39" s="16"/>
      <c r="EPV39" s="16"/>
      <c r="EPW39" s="16"/>
      <c r="EPX39" s="16"/>
      <c r="EPY39" s="16"/>
      <c r="EPZ39" s="16"/>
      <c r="EQA39" s="16"/>
      <c r="EQB39" s="16"/>
      <c r="EQC39" s="16"/>
      <c r="EQD39" s="16"/>
      <c r="EQE39" s="16"/>
      <c r="EQF39" s="16"/>
      <c r="EQG39" s="16"/>
      <c r="EQH39" s="16"/>
      <c r="EQI39" s="16"/>
      <c r="EQJ39" s="16"/>
      <c r="EQK39" s="16"/>
      <c r="EQL39" s="16"/>
      <c r="EQM39" s="16"/>
      <c r="EQN39" s="16"/>
      <c r="EQO39" s="16"/>
      <c r="EQP39" s="16"/>
      <c r="EQQ39" s="16"/>
      <c r="EQR39" s="16"/>
      <c r="EQS39" s="16"/>
      <c r="EQT39" s="16"/>
      <c r="EQU39" s="16"/>
      <c r="EQV39" s="16"/>
      <c r="EQW39" s="16"/>
      <c r="EQX39" s="16"/>
      <c r="EQY39" s="16"/>
      <c r="EQZ39" s="16"/>
      <c r="ERA39" s="16"/>
      <c r="ERB39" s="16"/>
      <c r="ERC39" s="16"/>
      <c r="ERD39" s="16"/>
      <c r="ERE39" s="16"/>
      <c r="ERF39" s="16"/>
      <c r="ERG39" s="16"/>
      <c r="ERH39" s="16"/>
      <c r="ERI39" s="16"/>
      <c r="ERJ39" s="16"/>
      <c r="ERK39" s="16"/>
      <c r="ERL39" s="16"/>
      <c r="ERM39" s="16"/>
      <c r="ERN39" s="16"/>
      <c r="ERO39" s="16"/>
      <c r="ERP39" s="16"/>
      <c r="ERQ39" s="16"/>
      <c r="ERR39" s="16"/>
      <c r="ERS39" s="16"/>
      <c r="ERT39" s="16"/>
      <c r="ERU39" s="16"/>
      <c r="ERV39" s="16"/>
      <c r="ERW39" s="16"/>
      <c r="ERX39" s="16"/>
      <c r="ERY39" s="16"/>
      <c r="ERZ39" s="16"/>
      <c r="ESA39" s="16"/>
      <c r="ESB39" s="16"/>
      <c r="ESC39" s="16"/>
      <c r="ESD39" s="16"/>
      <c r="ESE39" s="16"/>
      <c r="ESF39" s="16"/>
      <c r="ESG39" s="16"/>
      <c r="ESH39" s="16"/>
      <c r="ESI39" s="16"/>
      <c r="ESJ39" s="16"/>
      <c r="ESK39" s="16"/>
      <c r="ESL39" s="16"/>
      <c r="ESM39" s="16"/>
      <c r="ESN39" s="16"/>
      <c r="ESO39" s="16"/>
      <c r="ESP39" s="16"/>
      <c r="ESQ39" s="16"/>
      <c r="ESR39" s="16"/>
      <c r="ESS39" s="16"/>
      <c r="EST39" s="16"/>
      <c r="ESU39" s="16"/>
      <c r="ESV39" s="16"/>
      <c r="ESW39" s="16"/>
      <c r="ESX39" s="16"/>
      <c r="ESY39" s="16"/>
      <c r="ESZ39" s="16"/>
      <c r="ETA39" s="16"/>
      <c r="ETB39" s="16"/>
      <c r="ETC39" s="16"/>
      <c r="ETD39" s="16"/>
      <c r="ETE39" s="16"/>
      <c r="ETF39" s="16"/>
      <c r="ETG39" s="16"/>
      <c r="ETH39" s="16"/>
      <c r="ETI39" s="16"/>
      <c r="ETJ39" s="16"/>
      <c r="ETK39" s="16"/>
      <c r="ETL39" s="16"/>
      <c r="ETM39" s="16"/>
      <c r="ETN39" s="16"/>
      <c r="ETO39" s="16"/>
      <c r="ETP39" s="16"/>
      <c r="ETQ39" s="16"/>
      <c r="ETR39" s="16"/>
      <c r="ETS39" s="16"/>
      <c r="ETT39" s="16"/>
      <c r="ETU39" s="16"/>
      <c r="ETV39" s="16"/>
      <c r="ETW39" s="16"/>
      <c r="ETX39" s="16"/>
      <c r="ETY39" s="16"/>
      <c r="ETZ39" s="16"/>
      <c r="EUA39" s="16"/>
      <c r="EUB39" s="16"/>
      <c r="EUC39" s="16"/>
      <c r="EUD39" s="16"/>
      <c r="EUE39" s="16"/>
      <c r="EUF39" s="16"/>
      <c r="EUG39" s="16"/>
      <c r="EUH39" s="16"/>
      <c r="EUI39" s="16"/>
      <c r="EUJ39" s="16"/>
      <c r="EUK39" s="16"/>
      <c r="EUL39" s="16"/>
      <c r="EUM39" s="16"/>
      <c r="EUN39" s="16"/>
      <c r="EUO39" s="16"/>
      <c r="EUP39" s="16"/>
      <c r="EUQ39" s="16"/>
      <c r="EUR39" s="16"/>
      <c r="EUS39" s="16"/>
      <c r="EUT39" s="16"/>
      <c r="EUU39" s="16"/>
      <c r="EUV39" s="16"/>
      <c r="EUW39" s="16"/>
      <c r="EUX39" s="16"/>
      <c r="EUY39" s="16"/>
      <c r="EUZ39" s="16"/>
      <c r="EVA39" s="16"/>
      <c r="EVB39" s="16"/>
      <c r="EVC39" s="16"/>
      <c r="EVD39" s="16"/>
      <c r="EVE39" s="16"/>
      <c r="EVF39" s="16"/>
      <c r="EVG39" s="16"/>
      <c r="EVH39" s="16"/>
      <c r="EVI39" s="16"/>
      <c r="EVJ39" s="16"/>
      <c r="EVK39" s="16"/>
      <c r="EVL39" s="16"/>
      <c r="EVM39" s="16"/>
      <c r="EVN39" s="16"/>
      <c r="EVO39" s="16"/>
      <c r="EVP39" s="16"/>
      <c r="EVQ39" s="16"/>
      <c r="EVR39" s="16"/>
      <c r="EVS39" s="16"/>
      <c r="EVT39" s="16"/>
      <c r="EVU39" s="16"/>
      <c r="EVV39" s="16"/>
      <c r="EVW39" s="16"/>
      <c r="EVX39" s="16"/>
      <c r="EVY39" s="16"/>
      <c r="EVZ39" s="16"/>
      <c r="EWA39" s="16"/>
      <c r="EWB39" s="16"/>
      <c r="EWC39" s="16"/>
      <c r="EWD39" s="16"/>
      <c r="EWE39" s="16"/>
      <c r="EWF39" s="16"/>
      <c r="EWG39" s="16"/>
      <c r="EWH39" s="16"/>
      <c r="EWI39" s="16"/>
      <c r="EWJ39" s="16"/>
      <c r="EWK39" s="16"/>
      <c r="EWL39" s="16"/>
      <c r="EWM39" s="16"/>
      <c r="EWN39" s="16"/>
      <c r="EWO39" s="16"/>
      <c r="EWP39" s="16"/>
      <c r="EWQ39" s="16"/>
      <c r="EWR39" s="16"/>
      <c r="EWS39" s="16"/>
      <c r="EWT39" s="16"/>
      <c r="EWU39" s="16"/>
      <c r="EWV39" s="16"/>
      <c r="EWW39" s="16"/>
      <c r="EWX39" s="16"/>
      <c r="EWY39" s="16"/>
      <c r="EWZ39" s="16"/>
      <c r="EXA39" s="16"/>
      <c r="EXB39" s="16"/>
      <c r="EXC39" s="16"/>
      <c r="EXD39" s="16"/>
      <c r="EXE39" s="16"/>
      <c r="EXF39" s="16"/>
      <c r="EXG39" s="16"/>
      <c r="EXH39" s="16"/>
      <c r="EXI39" s="16"/>
      <c r="EXJ39" s="16"/>
      <c r="EXK39" s="16"/>
      <c r="EXL39" s="16"/>
      <c r="EXM39" s="16"/>
      <c r="EXN39" s="16"/>
      <c r="EXO39" s="16"/>
      <c r="EXP39" s="16"/>
      <c r="EXQ39" s="16"/>
      <c r="EXR39" s="16"/>
      <c r="EXS39" s="16"/>
      <c r="EXT39" s="16"/>
      <c r="EXU39" s="16"/>
      <c r="EXV39" s="16"/>
      <c r="EXW39" s="16"/>
      <c r="EXX39" s="16"/>
      <c r="EXY39" s="16"/>
      <c r="EXZ39" s="16"/>
      <c r="EYA39" s="16"/>
      <c r="EYB39" s="16"/>
      <c r="EYC39" s="16"/>
      <c r="EYD39" s="16"/>
      <c r="EYE39" s="16"/>
      <c r="EYF39" s="16"/>
      <c r="EYG39" s="16"/>
      <c r="EYH39" s="16"/>
      <c r="EYI39" s="16"/>
      <c r="EYJ39" s="16"/>
      <c r="EYK39" s="16"/>
      <c r="EYL39" s="16"/>
      <c r="EYM39" s="16"/>
      <c r="EYN39" s="16"/>
      <c r="EYO39" s="16"/>
      <c r="EYP39" s="16"/>
      <c r="EYQ39" s="16"/>
      <c r="EYR39" s="16"/>
      <c r="EYS39" s="16"/>
      <c r="EYT39" s="16"/>
      <c r="EYU39" s="16"/>
      <c r="EYV39" s="16"/>
      <c r="EYW39" s="16"/>
      <c r="EYX39" s="16"/>
      <c r="EYY39" s="16"/>
      <c r="EYZ39" s="16"/>
      <c r="EZA39" s="16"/>
      <c r="EZB39" s="16"/>
      <c r="EZC39" s="16"/>
      <c r="EZD39" s="16"/>
      <c r="EZE39" s="16"/>
      <c r="EZF39" s="16"/>
      <c r="EZG39" s="16"/>
      <c r="EZH39" s="16"/>
      <c r="EZI39" s="16"/>
      <c r="EZJ39" s="16"/>
      <c r="EZK39" s="16"/>
      <c r="EZL39" s="16"/>
      <c r="EZM39" s="16"/>
      <c r="EZN39" s="16"/>
      <c r="EZO39" s="16"/>
      <c r="EZP39" s="16"/>
      <c r="EZQ39" s="16"/>
      <c r="EZR39" s="16"/>
      <c r="EZS39" s="16"/>
      <c r="EZT39" s="16"/>
      <c r="EZU39" s="16"/>
      <c r="EZV39" s="16"/>
      <c r="EZW39" s="16"/>
      <c r="EZX39" s="16"/>
      <c r="EZY39" s="16"/>
      <c r="EZZ39" s="16"/>
      <c r="FAA39" s="16"/>
      <c r="FAB39" s="16"/>
      <c r="FAC39" s="16"/>
      <c r="FAD39" s="16"/>
      <c r="FAE39" s="16"/>
      <c r="FAF39" s="16"/>
      <c r="FAG39" s="16"/>
      <c r="FAH39" s="16"/>
      <c r="FAI39" s="16"/>
      <c r="FAJ39" s="16"/>
      <c r="FAK39" s="16"/>
      <c r="FAL39" s="16"/>
      <c r="FAM39" s="16"/>
      <c r="FAN39" s="16"/>
      <c r="FAO39" s="16"/>
      <c r="FAP39" s="16"/>
      <c r="FAQ39" s="16"/>
      <c r="FAR39" s="16"/>
      <c r="FAS39" s="16"/>
      <c r="FAT39" s="16"/>
      <c r="FAU39" s="16"/>
      <c r="FAV39" s="16"/>
      <c r="FAW39" s="16"/>
      <c r="FAX39" s="16"/>
      <c r="FAY39" s="16"/>
      <c r="FAZ39" s="16"/>
      <c r="FBA39" s="16"/>
      <c r="FBB39" s="16"/>
      <c r="FBC39" s="16"/>
      <c r="FBD39" s="16"/>
      <c r="FBE39" s="16"/>
      <c r="FBF39" s="16"/>
      <c r="FBG39" s="16"/>
      <c r="FBH39" s="16"/>
      <c r="FBI39" s="16"/>
      <c r="FBJ39" s="16"/>
      <c r="FBK39" s="16"/>
      <c r="FBL39" s="16"/>
      <c r="FBM39" s="16"/>
      <c r="FBN39" s="16"/>
      <c r="FBO39" s="16"/>
      <c r="FBP39" s="16"/>
      <c r="FBQ39" s="16"/>
      <c r="FBR39" s="16"/>
      <c r="FBS39" s="16"/>
      <c r="FBT39" s="16"/>
      <c r="FBU39" s="16"/>
      <c r="FBV39" s="16"/>
      <c r="FBW39" s="16"/>
      <c r="FBX39" s="16"/>
      <c r="FBY39" s="16"/>
      <c r="FBZ39" s="16"/>
      <c r="FCA39" s="16"/>
      <c r="FCB39" s="16"/>
      <c r="FCC39" s="16"/>
      <c r="FCD39" s="16"/>
      <c r="FCE39" s="16"/>
      <c r="FCF39" s="16"/>
      <c r="FCG39" s="16"/>
      <c r="FCH39" s="16"/>
      <c r="FCI39" s="16"/>
      <c r="FCJ39" s="16"/>
      <c r="FCK39" s="16"/>
      <c r="FCL39" s="16"/>
      <c r="FCM39" s="16"/>
      <c r="FCN39" s="16"/>
      <c r="FCO39" s="16"/>
      <c r="FCP39" s="16"/>
      <c r="FCQ39" s="16"/>
      <c r="FCR39" s="16"/>
      <c r="FCS39" s="16"/>
      <c r="FCT39" s="16"/>
      <c r="FCU39" s="16"/>
      <c r="FCV39" s="16"/>
      <c r="FCW39" s="16"/>
      <c r="FCX39" s="16"/>
      <c r="FCY39" s="16"/>
      <c r="FCZ39" s="16"/>
      <c r="FDA39" s="16"/>
      <c r="FDB39" s="16"/>
      <c r="FDC39" s="16"/>
      <c r="FDD39" s="16"/>
      <c r="FDE39" s="16"/>
      <c r="FDF39" s="16"/>
      <c r="FDG39" s="16"/>
      <c r="FDH39" s="16"/>
      <c r="FDI39" s="16"/>
      <c r="FDJ39" s="16"/>
      <c r="FDK39" s="16"/>
      <c r="FDL39" s="16"/>
      <c r="FDM39" s="16"/>
      <c r="FDN39" s="16"/>
      <c r="FDO39" s="16"/>
      <c r="FDP39" s="16"/>
      <c r="FDQ39" s="16"/>
      <c r="FDR39" s="16"/>
      <c r="FDS39" s="16"/>
      <c r="FDT39" s="16"/>
      <c r="FDU39" s="16"/>
      <c r="FDV39" s="16"/>
      <c r="FDW39" s="16"/>
      <c r="FDX39" s="16"/>
      <c r="FDY39" s="16"/>
      <c r="FDZ39" s="16"/>
      <c r="FEA39" s="16"/>
      <c r="FEB39" s="16"/>
      <c r="FEC39" s="16"/>
      <c r="FED39" s="16"/>
      <c r="FEE39" s="16"/>
      <c r="FEF39" s="16"/>
      <c r="FEG39" s="16"/>
      <c r="FEH39" s="16"/>
      <c r="FEI39" s="16"/>
      <c r="FEJ39" s="16"/>
      <c r="FEK39" s="16"/>
      <c r="FEL39" s="16"/>
      <c r="FEM39" s="16"/>
      <c r="FEN39" s="16"/>
      <c r="FEO39" s="16"/>
      <c r="FEP39" s="16"/>
      <c r="FEQ39" s="16"/>
      <c r="FER39" s="16"/>
      <c r="FES39" s="16"/>
      <c r="FET39" s="16"/>
      <c r="FEU39" s="16"/>
      <c r="FEV39" s="16"/>
      <c r="FEW39" s="16"/>
      <c r="FEX39" s="16"/>
      <c r="FEY39" s="16"/>
      <c r="FEZ39" s="16"/>
      <c r="FFA39" s="16"/>
      <c r="FFB39" s="16"/>
      <c r="FFC39" s="16"/>
      <c r="FFD39" s="16"/>
      <c r="FFE39" s="16"/>
      <c r="FFF39" s="16"/>
      <c r="FFG39" s="16"/>
      <c r="FFH39" s="16"/>
      <c r="FFI39" s="16"/>
      <c r="FFJ39" s="16"/>
      <c r="FFK39" s="16"/>
      <c r="FFL39" s="16"/>
      <c r="FFM39" s="16"/>
      <c r="FFN39" s="16"/>
      <c r="FFO39" s="16"/>
      <c r="FFP39" s="16"/>
      <c r="FFQ39" s="16"/>
      <c r="FFR39" s="16"/>
      <c r="FFS39" s="16"/>
      <c r="FFT39" s="16"/>
      <c r="FFU39" s="16"/>
      <c r="FFV39" s="16"/>
      <c r="FFW39" s="16"/>
      <c r="FFX39" s="16"/>
      <c r="FFY39" s="16"/>
      <c r="FFZ39" s="16"/>
      <c r="FGA39" s="16"/>
      <c r="FGB39" s="16"/>
      <c r="FGC39" s="16"/>
      <c r="FGD39" s="16"/>
      <c r="FGE39" s="16"/>
      <c r="FGF39" s="16"/>
      <c r="FGG39" s="16"/>
      <c r="FGH39" s="16"/>
      <c r="FGI39" s="16"/>
      <c r="FGJ39" s="16"/>
      <c r="FGK39" s="16"/>
      <c r="FGL39" s="16"/>
      <c r="FGM39" s="16"/>
      <c r="FGN39" s="16"/>
      <c r="FGO39" s="16"/>
      <c r="FGP39" s="16"/>
      <c r="FGQ39" s="16"/>
      <c r="FGR39" s="16"/>
      <c r="FGS39" s="16"/>
      <c r="FGT39" s="16"/>
      <c r="FGU39" s="16"/>
      <c r="FGV39" s="16"/>
      <c r="FGW39" s="16"/>
      <c r="FGX39" s="16"/>
      <c r="FGY39" s="16"/>
      <c r="FGZ39" s="16"/>
      <c r="FHA39" s="16"/>
      <c r="FHB39" s="16"/>
      <c r="FHC39" s="16"/>
      <c r="FHD39" s="16"/>
      <c r="FHE39" s="16"/>
      <c r="FHF39" s="16"/>
      <c r="FHG39" s="16"/>
      <c r="FHH39" s="16"/>
      <c r="FHI39" s="16"/>
      <c r="FHJ39" s="16"/>
      <c r="FHK39" s="16"/>
      <c r="FHL39" s="16"/>
      <c r="FHM39" s="16"/>
      <c r="FHN39" s="16"/>
      <c r="FHO39" s="16"/>
      <c r="FHP39" s="16"/>
      <c r="FHQ39" s="16"/>
      <c r="FHR39" s="16"/>
      <c r="FHS39" s="16"/>
      <c r="FHT39" s="16"/>
      <c r="FHU39" s="16"/>
      <c r="FHV39" s="16"/>
      <c r="FHW39" s="16"/>
      <c r="FHX39" s="16"/>
      <c r="FHY39" s="16"/>
      <c r="FHZ39" s="16"/>
      <c r="FIA39" s="16"/>
      <c r="FIB39" s="16"/>
      <c r="FIC39" s="16"/>
      <c r="FID39" s="16"/>
      <c r="FIE39" s="16"/>
      <c r="FIF39" s="16"/>
      <c r="FIG39" s="16"/>
      <c r="FIH39" s="16"/>
      <c r="FII39" s="16"/>
      <c r="FIJ39" s="16"/>
      <c r="FIK39" s="16"/>
      <c r="FIL39" s="16"/>
      <c r="FIM39" s="16"/>
      <c r="FIN39" s="16"/>
      <c r="FIO39" s="16"/>
      <c r="FIP39" s="16"/>
      <c r="FIQ39" s="16"/>
      <c r="FIR39" s="16"/>
      <c r="FIS39" s="16"/>
      <c r="FIT39" s="16"/>
      <c r="FIU39" s="16"/>
      <c r="FIV39" s="16"/>
      <c r="FIW39" s="16"/>
      <c r="FIX39" s="16"/>
      <c r="FIY39" s="16"/>
      <c r="FIZ39" s="16"/>
      <c r="FJA39" s="16"/>
      <c r="FJB39" s="16"/>
      <c r="FJC39" s="16"/>
      <c r="FJD39" s="16"/>
      <c r="FJE39" s="16"/>
      <c r="FJF39" s="16"/>
      <c r="FJG39" s="16"/>
      <c r="FJH39" s="16"/>
      <c r="FJI39" s="16"/>
      <c r="FJJ39" s="16"/>
      <c r="FJK39" s="16"/>
      <c r="FJL39" s="16"/>
      <c r="FJM39" s="16"/>
      <c r="FJN39" s="16"/>
      <c r="FJO39" s="16"/>
      <c r="FJP39" s="16"/>
      <c r="FJQ39" s="16"/>
      <c r="FJR39" s="16"/>
      <c r="FJS39" s="16"/>
      <c r="FJT39" s="16"/>
      <c r="FJU39" s="16"/>
      <c r="FJV39" s="16"/>
      <c r="FJW39" s="16"/>
      <c r="FJX39" s="16"/>
      <c r="FJY39" s="16"/>
      <c r="FJZ39" s="16"/>
      <c r="FKA39" s="16"/>
      <c r="FKB39" s="16"/>
      <c r="FKC39" s="16"/>
      <c r="FKD39" s="16"/>
      <c r="FKE39" s="16"/>
      <c r="FKF39" s="16"/>
      <c r="FKG39" s="16"/>
      <c r="FKH39" s="16"/>
      <c r="FKI39" s="16"/>
      <c r="FKJ39" s="16"/>
      <c r="FKK39" s="16"/>
      <c r="FKL39" s="16"/>
      <c r="FKM39" s="16"/>
      <c r="FKN39" s="16"/>
      <c r="FKO39" s="16"/>
      <c r="FKP39" s="16"/>
      <c r="FKQ39" s="16"/>
      <c r="FKR39" s="16"/>
      <c r="FKS39" s="16"/>
      <c r="FKT39" s="16"/>
      <c r="FKU39" s="16"/>
      <c r="FKV39" s="16"/>
      <c r="FKW39" s="16"/>
      <c r="FKX39" s="16"/>
      <c r="FKY39" s="16"/>
      <c r="FKZ39" s="16"/>
      <c r="FLA39" s="16"/>
      <c r="FLB39" s="16"/>
      <c r="FLC39" s="16"/>
      <c r="FLD39" s="16"/>
      <c r="FLE39" s="16"/>
      <c r="FLF39" s="16"/>
      <c r="FLG39" s="16"/>
      <c r="FLH39" s="16"/>
      <c r="FLI39" s="16"/>
      <c r="FLJ39" s="16"/>
      <c r="FLK39" s="16"/>
      <c r="FLL39" s="16"/>
      <c r="FLM39" s="16"/>
      <c r="FLN39" s="16"/>
      <c r="FLO39" s="16"/>
      <c r="FLP39" s="16"/>
      <c r="FLQ39" s="16"/>
      <c r="FLR39" s="16"/>
      <c r="FLS39" s="16"/>
      <c r="FLT39" s="16"/>
      <c r="FLU39" s="16"/>
      <c r="FLV39" s="16"/>
      <c r="FLW39" s="16"/>
      <c r="FLX39" s="16"/>
      <c r="FLY39" s="16"/>
      <c r="FLZ39" s="16"/>
      <c r="FMA39" s="16"/>
      <c r="FMB39" s="16"/>
      <c r="FMC39" s="16"/>
      <c r="FMD39" s="16"/>
      <c r="FME39" s="16"/>
      <c r="FMF39" s="16"/>
      <c r="FMG39" s="16"/>
      <c r="FMH39" s="16"/>
      <c r="FMI39" s="16"/>
      <c r="FMJ39" s="16"/>
      <c r="FMK39" s="16"/>
      <c r="FML39" s="16"/>
      <c r="FMM39" s="16"/>
      <c r="FMN39" s="16"/>
      <c r="FMO39" s="16"/>
      <c r="FMP39" s="16"/>
      <c r="FMQ39" s="16"/>
      <c r="FMR39" s="16"/>
      <c r="FMS39" s="16"/>
      <c r="FMT39" s="16"/>
      <c r="FMU39" s="16"/>
      <c r="FMV39" s="16"/>
      <c r="FMW39" s="16"/>
      <c r="FMX39" s="16"/>
      <c r="FMY39" s="16"/>
      <c r="FMZ39" s="16"/>
      <c r="FNA39" s="16"/>
      <c r="FNB39" s="16"/>
      <c r="FNC39" s="16"/>
      <c r="FND39" s="16"/>
      <c r="FNE39" s="16"/>
      <c r="FNF39" s="16"/>
      <c r="FNG39" s="16"/>
      <c r="FNH39" s="16"/>
      <c r="FNI39" s="16"/>
      <c r="FNJ39" s="16"/>
      <c r="FNK39" s="16"/>
      <c r="FNL39" s="16"/>
      <c r="FNM39" s="16"/>
      <c r="FNN39" s="16"/>
      <c r="FNO39" s="16"/>
      <c r="FNP39" s="16"/>
      <c r="FNQ39" s="16"/>
      <c r="FNR39" s="16"/>
      <c r="FNS39" s="16"/>
      <c r="FNT39" s="16"/>
      <c r="FNU39" s="16"/>
      <c r="FNV39" s="16"/>
      <c r="FNW39" s="16"/>
      <c r="FNX39" s="16"/>
      <c r="FNY39" s="16"/>
      <c r="FNZ39" s="16"/>
      <c r="FOA39" s="16"/>
      <c r="FOB39" s="16"/>
      <c r="FOC39" s="16"/>
      <c r="FOD39" s="16"/>
      <c r="FOE39" s="16"/>
      <c r="FOF39" s="16"/>
      <c r="FOG39" s="16"/>
      <c r="FOH39" s="16"/>
      <c r="FOI39" s="16"/>
      <c r="FOJ39" s="16"/>
      <c r="FOK39" s="16"/>
      <c r="FOL39" s="16"/>
      <c r="FOM39" s="16"/>
      <c r="FON39" s="16"/>
      <c r="FOO39" s="16"/>
      <c r="FOP39" s="16"/>
      <c r="FOQ39" s="16"/>
      <c r="FOR39" s="16"/>
      <c r="FOS39" s="16"/>
      <c r="FOT39" s="16"/>
      <c r="FOU39" s="16"/>
      <c r="FOV39" s="16"/>
      <c r="FOW39" s="16"/>
      <c r="FOX39" s="16"/>
      <c r="FOY39" s="16"/>
      <c r="FOZ39" s="16"/>
      <c r="FPA39" s="16"/>
      <c r="FPB39" s="16"/>
      <c r="FPC39" s="16"/>
      <c r="FPD39" s="16"/>
      <c r="FPE39" s="16"/>
      <c r="FPF39" s="16"/>
      <c r="FPG39" s="16"/>
      <c r="FPH39" s="16"/>
      <c r="FPI39" s="16"/>
      <c r="FPJ39" s="16"/>
      <c r="FPK39" s="16"/>
      <c r="FPL39" s="16"/>
      <c r="FPM39" s="16"/>
      <c r="FPN39" s="16"/>
      <c r="FPO39" s="16"/>
      <c r="FPP39" s="16"/>
      <c r="FPQ39" s="16"/>
      <c r="FPR39" s="16"/>
      <c r="FPS39" s="16"/>
      <c r="FPT39" s="16"/>
      <c r="FPU39" s="16"/>
      <c r="FPV39" s="16"/>
      <c r="FPW39" s="16"/>
      <c r="FPX39" s="16"/>
      <c r="FPY39" s="16"/>
      <c r="FPZ39" s="16"/>
      <c r="FQA39" s="16"/>
      <c r="FQB39" s="16"/>
      <c r="FQC39" s="16"/>
      <c r="FQD39" s="16"/>
      <c r="FQE39" s="16"/>
      <c r="FQF39" s="16"/>
      <c r="FQG39" s="16"/>
      <c r="FQH39" s="16"/>
      <c r="FQI39" s="16"/>
      <c r="FQJ39" s="16"/>
      <c r="FQK39" s="16"/>
      <c r="FQL39" s="16"/>
      <c r="FQM39" s="16"/>
      <c r="FQN39" s="16"/>
      <c r="FQO39" s="16"/>
      <c r="FQP39" s="16"/>
      <c r="FQQ39" s="16"/>
      <c r="FQR39" s="16"/>
      <c r="FQS39" s="16"/>
      <c r="FQT39" s="16"/>
      <c r="FQU39" s="16"/>
      <c r="FQV39" s="16"/>
      <c r="FQW39" s="16"/>
      <c r="FQX39" s="16"/>
      <c r="FQY39" s="16"/>
      <c r="FQZ39" s="16"/>
      <c r="FRA39" s="16"/>
      <c r="FRB39" s="16"/>
      <c r="FRC39" s="16"/>
      <c r="FRD39" s="16"/>
      <c r="FRE39" s="16"/>
      <c r="FRF39" s="16"/>
      <c r="FRG39" s="16"/>
      <c r="FRH39" s="16"/>
      <c r="FRI39" s="16"/>
      <c r="FRJ39" s="16"/>
      <c r="FRK39" s="16"/>
      <c r="FRL39" s="16"/>
      <c r="FRM39" s="16"/>
      <c r="FRN39" s="16"/>
      <c r="FRO39" s="16"/>
      <c r="FRP39" s="16"/>
      <c r="FRQ39" s="16"/>
      <c r="FRR39" s="16"/>
      <c r="FRS39" s="16"/>
      <c r="FRT39" s="16"/>
      <c r="FRU39" s="16"/>
      <c r="FRV39" s="16"/>
      <c r="FRW39" s="16"/>
      <c r="FRX39" s="16"/>
      <c r="FRY39" s="16"/>
      <c r="FRZ39" s="16"/>
      <c r="FSA39" s="16"/>
      <c r="FSB39" s="16"/>
      <c r="FSC39" s="16"/>
      <c r="FSD39" s="16"/>
      <c r="FSE39" s="16"/>
      <c r="FSF39" s="16"/>
      <c r="FSG39" s="16"/>
      <c r="FSH39" s="16"/>
      <c r="FSI39" s="16"/>
      <c r="FSJ39" s="16"/>
      <c r="FSK39" s="16"/>
      <c r="FSL39" s="16"/>
      <c r="FSM39" s="16"/>
      <c r="FSN39" s="16"/>
      <c r="FSO39" s="16"/>
      <c r="FSP39" s="16"/>
      <c r="FSQ39" s="16"/>
      <c r="FSR39" s="16"/>
      <c r="FSS39" s="16"/>
      <c r="FST39" s="16"/>
      <c r="FSU39" s="16"/>
      <c r="FSV39" s="16"/>
      <c r="FSW39" s="16"/>
      <c r="FSX39" s="16"/>
      <c r="FSY39" s="16"/>
      <c r="FSZ39" s="16"/>
      <c r="FTA39" s="16"/>
      <c r="FTB39" s="16"/>
      <c r="FTC39" s="16"/>
      <c r="FTD39" s="16"/>
      <c r="FTE39" s="16"/>
      <c r="FTF39" s="16"/>
      <c r="FTG39" s="16"/>
      <c r="FTH39" s="16"/>
      <c r="FTI39" s="16"/>
      <c r="FTJ39" s="16"/>
      <c r="FTK39" s="16"/>
      <c r="FTL39" s="16"/>
      <c r="FTM39" s="16"/>
      <c r="FTN39" s="16"/>
      <c r="FTO39" s="16"/>
      <c r="FTP39" s="16"/>
      <c r="FTQ39" s="16"/>
      <c r="FTR39" s="16"/>
      <c r="FTS39" s="16"/>
      <c r="FTT39" s="16"/>
      <c r="FTU39" s="16"/>
      <c r="FTV39" s="16"/>
      <c r="FTW39" s="16"/>
      <c r="FTX39" s="16"/>
      <c r="FTY39" s="16"/>
      <c r="FTZ39" s="16"/>
      <c r="FUA39" s="16"/>
      <c r="FUB39" s="16"/>
      <c r="FUC39" s="16"/>
      <c r="FUD39" s="16"/>
      <c r="FUE39" s="16"/>
      <c r="FUF39" s="16"/>
      <c r="FUG39" s="16"/>
      <c r="FUH39" s="16"/>
      <c r="FUI39" s="16"/>
      <c r="FUJ39" s="16"/>
      <c r="FUK39" s="16"/>
      <c r="FUL39" s="16"/>
      <c r="FUM39" s="16"/>
      <c r="FUN39" s="16"/>
      <c r="FUO39" s="16"/>
      <c r="FUP39" s="16"/>
      <c r="FUQ39" s="16"/>
      <c r="FUR39" s="16"/>
      <c r="FUS39" s="16"/>
      <c r="FUT39" s="16"/>
      <c r="FUU39" s="16"/>
      <c r="FUV39" s="16"/>
      <c r="FUW39" s="16"/>
      <c r="FUX39" s="16"/>
      <c r="FUY39" s="16"/>
      <c r="FUZ39" s="16"/>
      <c r="FVA39" s="16"/>
      <c r="FVB39" s="16"/>
      <c r="FVC39" s="16"/>
      <c r="FVD39" s="16"/>
      <c r="FVE39" s="16"/>
      <c r="FVF39" s="16"/>
      <c r="FVG39" s="16"/>
      <c r="FVH39" s="16"/>
      <c r="FVI39" s="16"/>
      <c r="FVJ39" s="16"/>
      <c r="FVK39" s="16"/>
      <c r="FVL39" s="16"/>
      <c r="FVM39" s="16"/>
      <c r="FVN39" s="16"/>
      <c r="FVO39" s="16"/>
      <c r="FVP39" s="16"/>
      <c r="FVQ39" s="16"/>
      <c r="FVR39" s="16"/>
      <c r="FVS39" s="16"/>
      <c r="FVT39" s="16"/>
      <c r="FVU39" s="16"/>
      <c r="FVV39" s="16"/>
      <c r="FVW39" s="16"/>
      <c r="FVX39" s="16"/>
      <c r="FVY39" s="16"/>
      <c r="FVZ39" s="16"/>
      <c r="FWA39" s="16"/>
      <c r="FWB39" s="16"/>
      <c r="FWC39" s="16"/>
      <c r="FWD39" s="16"/>
      <c r="FWE39" s="16"/>
      <c r="FWF39" s="16"/>
      <c r="FWG39" s="16"/>
      <c r="FWH39" s="16"/>
      <c r="FWI39" s="16"/>
      <c r="FWJ39" s="16"/>
      <c r="FWK39" s="16"/>
      <c r="FWL39" s="16"/>
      <c r="FWM39" s="16"/>
      <c r="FWN39" s="16"/>
      <c r="FWO39" s="16"/>
      <c r="FWP39" s="16"/>
      <c r="FWQ39" s="16"/>
      <c r="FWR39" s="16"/>
      <c r="FWS39" s="16"/>
      <c r="FWT39" s="16"/>
      <c r="FWU39" s="16"/>
      <c r="FWV39" s="16"/>
      <c r="FWW39" s="16"/>
      <c r="FWX39" s="16"/>
      <c r="FWY39" s="16"/>
      <c r="FWZ39" s="16"/>
      <c r="FXA39" s="16"/>
      <c r="FXB39" s="16"/>
      <c r="FXC39" s="16"/>
      <c r="FXD39" s="16"/>
      <c r="FXE39" s="16"/>
      <c r="FXF39" s="16"/>
      <c r="FXG39" s="16"/>
      <c r="FXH39" s="16"/>
      <c r="FXI39" s="16"/>
      <c r="FXJ39" s="16"/>
      <c r="FXK39" s="16"/>
      <c r="FXL39" s="16"/>
      <c r="FXM39" s="16"/>
      <c r="FXN39" s="16"/>
      <c r="FXO39" s="16"/>
      <c r="FXP39" s="16"/>
      <c r="FXQ39" s="16"/>
      <c r="FXR39" s="16"/>
      <c r="FXS39" s="16"/>
      <c r="FXT39" s="16"/>
      <c r="FXU39" s="16"/>
      <c r="FXV39" s="16"/>
      <c r="FXW39" s="16"/>
      <c r="FXX39" s="16"/>
      <c r="FXY39" s="16"/>
      <c r="FXZ39" s="16"/>
      <c r="FYA39" s="16"/>
      <c r="FYB39" s="16"/>
      <c r="FYC39" s="16"/>
      <c r="FYD39" s="16"/>
      <c r="FYE39" s="16"/>
      <c r="FYF39" s="16"/>
      <c r="FYG39" s="16"/>
      <c r="FYH39" s="16"/>
      <c r="FYI39" s="16"/>
      <c r="FYJ39" s="16"/>
      <c r="FYK39" s="16"/>
      <c r="FYL39" s="16"/>
      <c r="FYM39" s="16"/>
      <c r="FYN39" s="16"/>
      <c r="FYO39" s="16"/>
      <c r="FYP39" s="16"/>
      <c r="FYQ39" s="16"/>
      <c r="FYR39" s="16"/>
      <c r="FYS39" s="16"/>
      <c r="FYT39" s="16"/>
      <c r="FYU39" s="16"/>
      <c r="FYV39" s="16"/>
      <c r="FYW39" s="16"/>
      <c r="FYX39" s="16"/>
      <c r="FYY39" s="16"/>
      <c r="FYZ39" s="16"/>
      <c r="FZA39" s="16"/>
      <c r="FZB39" s="16"/>
      <c r="FZC39" s="16"/>
      <c r="FZD39" s="16"/>
      <c r="FZE39" s="16"/>
      <c r="FZF39" s="16"/>
      <c r="FZG39" s="16"/>
      <c r="FZH39" s="16"/>
      <c r="FZI39" s="16"/>
      <c r="FZJ39" s="16"/>
      <c r="FZK39" s="16"/>
      <c r="FZL39" s="16"/>
      <c r="FZM39" s="16"/>
      <c r="FZN39" s="16"/>
      <c r="FZO39" s="16"/>
      <c r="FZP39" s="16"/>
      <c r="FZQ39" s="16"/>
      <c r="FZR39" s="16"/>
      <c r="FZS39" s="16"/>
      <c r="FZT39" s="16"/>
      <c r="FZU39" s="16"/>
      <c r="FZV39" s="16"/>
      <c r="FZW39" s="16"/>
      <c r="FZX39" s="16"/>
      <c r="FZY39" s="16"/>
      <c r="FZZ39" s="16"/>
      <c r="GAA39" s="16"/>
      <c r="GAB39" s="16"/>
      <c r="GAC39" s="16"/>
      <c r="GAD39" s="16"/>
      <c r="GAE39" s="16"/>
      <c r="GAF39" s="16"/>
      <c r="GAG39" s="16"/>
      <c r="GAH39" s="16"/>
      <c r="GAI39" s="16"/>
      <c r="GAJ39" s="16"/>
      <c r="GAK39" s="16"/>
      <c r="GAL39" s="16"/>
      <c r="GAM39" s="16"/>
      <c r="GAN39" s="16"/>
      <c r="GAO39" s="16"/>
      <c r="GAP39" s="16"/>
      <c r="GAQ39" s="16"/>
      <c r="GAR39" s="16"/>
      <c r="GAS39" s="16"/>
      <c r="GAT39" s="16"/>
      <c r="GAU39" s="16"/>
      <c r="GAV39" s="16"/>
      <c r="GAW39" s="16"/>
      <c r="GAX39" s="16"/>
      <c r="GAY39" s="16"/>
      <c r="GAZ39" s="16"/>
      <c r="GBA39" s="16"/>
      <c r="GBB39" s="16"/>
      <c r="GBC39" s="16"/>
      <c r="GBD39" s="16"/>
      <c r="GBE39" s="16"/>
      <c r="GBF39" s="16"/>
      <c r="GBG39" s="16"/>
      <c r="GBH39" s="16"/>
      <c r="GBI39" s="16"/>
      <c r="GBJ39" s="16"/>
      <c r="GBK39" s="16"/>
      <c r="GBL39" s="16"/>
      <c r="GBM39" s="16"/>
      <c r="GBN39" s="16"/>
      <c r="GBO39" s="16"/>
      <c r="GBP39" s="16"/>
      <c r="GBQ39" s="16"/>
      <c r="GBR39" s="16"/>
      <c r="GBS39" s="16"/>
      <c r="GBT39" s="16"/>
      <c r="GBU39" s="16"/>
      <c r="GBV39" s="16"/>
      <c r="GBW39" s="16"/>
      <c r="GBX39" s="16"/>
      <c r="GBY39" s="16"/>
      <c r="GBZ39" s="16"/>
      <c r="GCA39" s="16"/>
      <c r="GCB39" s="16"/>
      <c r="GCC39" s="16"/>
      <c r="GCD39" s="16"/>
      <c r="GCE39" s="16"/>
      <c r="GCF39" s="16"/>
      <c r="GCG39" s="16"/>
      <c r="GCH39" s="16"/>
      <c r="GCI39" s="16"/>
      <c r="GCJ39" s="16"/>
      <c r="GCK39" s="16"/>
      <c r="GCL39" s="16"/>
      <c r="GCM39" s="16"/>
      <c r="GCN39" s="16"/>
      <c r="GCO39" s="16"/>
      <c r="GCP39" s="16"/>
      <c r="GCQ39" s="16"/>
      <c r="GCR39" s="16"/>
      <c r="GCS39" s="16"/>
      <c r="GCT39" s="16"/>
      <c r="GCU39" s="16"/>
      <c r="GCV39" s="16"/>
      <c r="GCW39" s="16"/>
      <c r="GCX39" s="16"/>
      <c r="GCY39" s="16"/>
      <c r="GCZ39" s="16"/>
      <c r="GDA39" s="16"/>
      <c r="GDB39" s="16"/>
      <c r="GDC39" s="16"/>
      <c r="GDD39" s="16"/>
      <c r="GDE39" s="16"/>
      <c r="GDF39" s="16"/>
      <c r="GDG39" s="16"/>
      <c r="GDH39" s="16"/>
      <c r="GDI39" s="16"/>
      <c r="GDJ39" s="16"/>
      <c r="GDK39" s="16"/>
      <c r="GDL39" s="16"/>
      <c r="GDM39" s="16"/>
      <c r="GDN39" s="16"/>
      <c r="GDO39" s="16"/>
      <c r="GDP39" s="16"/>
      <c r="GDQ39" s="16"/>
      <c r="GDR39" s="16"/>
      <c r="GDS39" s="16"/>
      <c r="GDT39" s="16"/>
      <c r="GDU39" s="16"/>
      <c r="GDV39" s="16"/>
      <c r="GDW39" s="16"/>
      <c r="GDX39" s="16"/>
      <c r="GDY39" s="16"/>
      <c r="GDZ39" s="16"/>
      <c r="GEA39" s="16"/>
      <c r="GEB39" s="16"/>
      <c r="GEC39" s="16"/>
      <c r="GED39" s="16"/>
      <c r="GEE39" s="16"/>
      <c r="GEF39" s="16"/>
      <c r="GEG39" s="16"/>
      <c r="GEH39" s="16"/>
      <c r="GEI39" s="16"/>
      <c r="GEJ39" s="16"/>
      <c r="GEK39" s="16"/>
      <c r="GEL39" s="16"/>
      <c r="GEM39" s="16"/>
      <c r="GEN39" s="16"/>
      <c r="GEO39" s="16"/>
      <c r="GEP39" s="16"/>
      <c r="GEQ39" s="16"/>
      <c r="GER39" s="16"/>
      <c r="GES39" s="16"/>
      <c r="GET39" s="16"/>
      <c r="GEU39" s="16"/>
      <c r="GEV39" s="16"/>
      <c r="GEW39" s="16"/>
      <c r="GEX39" s="16"/>
      <c r="GEY39" s="16"/>
      <c r="GEZ39" s="16"/>
      <c r="GFA39" s="16"/>
      <c r="GFB39" s="16"/>
      <c r="GFC39" s="16"/>
      <c r="GFD39" s="16"/>
      <c r="GFE39" s="16"/>
      <c r="GFF39" s="16"/>
      <c r="GFG39" s="16"/>
      <c r="GFH39" s="16"/>
      <c r="GFI39" s="16"/>
      <c r="GFJ39" s="16"/>
      <c r="GFK39" s="16"/>
      <c r="GFL39" s="16"/>
      <c r="GFM39" s="16"/>
      <c r="GFN39" s="16"/>
      <c r="GFO39" s="16"/>
      <c r="GFP39" s="16"/>
      <c r="GFQ39" s="16"/>
      <c r="GFR39" s="16"/>
      <c r="GFS39" s="16"/>
      <c r="GFT39" s="16"/>
      <c r="GFU39" s="16"/>
      <c r="GFV39" s="16"/>
      <c r="GFW39" s="16"/>
      <c r="GFX39" s="16"/>
      <c r="GFY39" s="16"/>
      <c r="GFZ39" s="16"/>
      <c r="GGA39" s="16"/>
      <c r="GGB39" s="16"/>
      <c r="GGC39" s="16"/>
      <c r="GGD39" s="16"/>
      <c r="GGE39" s="16"/>
      <c r="GGF39" s="16"/>
      <c r="GGG39" s="16"/>
      <c r="GGH39" s="16"/>
      <c r="GGI39" s="16"/>
      <c r="GGJ39" s="16"/>
      <c r="GGK39" s="16"/>
      <c r="GGL39" s="16"/>
      <c r="GGM39" s="16"/>
      <c r="GGN39" s="16"/>
      <c r="GGO39" s="16"/>
      <c r="GGP39" s="16"/>
      <c r="GGQ39" s="16"/>
      <c r="GGR39" s="16"/>
      <c r="GGS39" s="16"/>
      <c r="GGT39" s="16"/>
      <c r="GGU39" s="16"/>
      <c r="GGV39" s="16"/>
      <c r="GGW39" s="16"/>
      <c r="GGX39" s="16"/>
      <c r="GGY39" s="16"/>
      <c r="GGZ39" s="16"/>
      <c r="GHA39" s="16"/>
      <c r="GHB39" s="16"/>
      <c r="GHC39" s="16"/>
      <c r="GHD39" s="16"/>
      <c r="GHE39" s="16"/>
      <c r="GHF39" s="16"/>
      <c r="GHG39" s="16"/>
      <c r="GHH39" s="16"/>
      <c r="GHI39" s="16"/>
      <c r="GHJ39" s="16"/>
      <c r="GHK39" s="16"/>
      <c r="GHL39" s="16"/>
      <c r="GHM39" s="16"/>
      <c r="GHN39" s="16"/>
      <c r="GHO39" s="16"/>
      <c r="GHP39" s="16"/>
      <c r="GHQ39" s="16"/>
      <c r="GHR39" s="16"/>
      <c r="GHS39" s="16"/>
      <c r="GHT39" s="16"/>
      <c r="GHU39" s="16"/>
      <c r="GHV39" s="16"/>
      <c r="GHW39" s="16"/>
      <c r="GHX39" s="16"/>
      <c r="GHY39" s="16"/>
      <c r="GHZ39" s="16"/>
      <c r="GIA39" s="16"/>
      <c r="GIB39" s="16"/>
      <c r="GIC39" s="16"/>
      <c r="GID39" s="16"/>
      <c r="GIE39" s="16"/>
      <c r="GIF39" s="16"/>
      <c r="GIG39" s="16"/>
      <c r="GIH39" s="16"/>
      <c r="GII39" s="16"/>
      <c r="GIJ39" s="16"/>
      <c r="GIK39" s="16"/>
      <c r="GIL39" s="16"/>
      <c r="GIM39" s="16"/>
      <c r="GIN39" s="16"/>
      <c r="GIO39" s="16"/>
      <c r="GIP39" s="16"/>
      <c r="GIQ39" s="16"/>
      <c r="GIR39" s="16"/>
      <c r="GIS39" s="16"/>
      <c r="GIT39" s="16"/>
      <c r="GIU39" s="16"/>
      <c r="GIV39" s="16"/>
      <c r="GIW39" s="16"/>
      <c r="GIX39" s="16"/>
      <c r="GIY39" s="16"/>
      <c r="GIZ39" s="16"/>
      <c r="GJA39" s="16"/>
      <c r="GJB39" s="16"/>
      <c r="GJC39" s="16"/>
      <c r="GJD39" s="16"/>
      <c r="GJE39" s="16"/>
      <c r="GJF39" s="16"/>
      <c r="GJG39" s="16"/>
      <c r="GJH39" s="16"/>
      <c r="GJI39" s="16"/>
      <c r="GJJ39" s="16"/>
      <c r="GJK39" s="16"/>
      <c r="GJL39" s="16"/>
      <c r="GJM39" s="16"/>
      <c r="GJN39" s="16"/>
      <c r="GJO39" s="16"/>
      <c r="GJP39" s="16"/>
      <c r="GJQ39" s="16"/>
      <c r="GJR39" s="16"/>
      <c r="GJS39" s="16"/>
      <c r="GJT39" s="16"/>
      <c r="GJU39" s="16"/>
      <c r="GJV39" s="16"/>
      <c r="GJW39" s="16"/>
      <c r="GJX39" s="16"/>
      <c r="GJY39" s="16"/>
      <c r="GJZ39" s="16"/>
      <c r="GKA39" s="16"/>
      <c r="GKB39" s="16"/>
      <c r="GKC39" s="16"/>
      <c r="GKD39" s="16"/>
      <c r="GKE39" s="16"/>
      <c r="GKF39" s="16"/>
      <c r="GKG39" s="16"/>
      <c r="GKH39" s="16"/>
      <c r="GKI39" s="16"/>
      <c r="GKJ39" s="16"/>
      <c r="GKK39" s="16"/>
      <c r="GKL39" s="16"/>
      <c r="GKM39" s="16"/>
      <c r="GKN39" s="16"/>
      <c r="GKO39" s="16"/>
      <c r="GKP39" s="16"/>
      <c r="GKQ39" s="16"/>
      <c r="GKR39" s="16"/>
      <c r="GKS39" s="16"/>
      <c r="GKT39" s="16"/>
      <c r="GKU39" s="16"/>
      <c r="GKV39" s="16"/>
      <c r="GKW39" s="16"/>
      <c r="GKX39" s="16"/>
      <c r="GKY39" s="16"/>
      <c r="GKZ39" s="16"/>
      <c r="GLA39" s="16"/>
      <c r="GLB39" s="16"/>
      <c r="GLC39" s="16"/>
      <c r="GLD39" s="16"/>
      <c r="GLE39" s="16"/>
      <c r="GLF39" s="16"/>
      <c r="GLG39" s="16"/>
      <c r="GLH39" s="16"/>
      <c r="GLI39" s="16"/>
      <c r="GLJ39" s="16"/>
      <c r="GLK39" s="16"/>
      <c r="GLL39" s="16"/>
      <c r="GLM39" s="16"/>
      <c r="GLN39" s="16"/>
      <c r="GLO39" s="16"/>
      <c r="GLP39" s="16"/>
      <c r="GLQ39" s="16"/>
      <c r="GLR39" s="16"/>
      <c r="GLS39" s="16"/>
      <c r="GLT39" s="16"/>
      <c r="GLU39" s="16"/>
      <c r="GLV39" s="16"/>
      <c r="GLW39" s="16"/>
      <c r="GLX39" s="16"/>
      <c r="GLY39" s="16"/>
      <c r="GLZ39" s="16"/>
      <c r="GMA39" s="16"/>
      <c r="GMB39" s="16"/>
      <c r="GMC39" s="16"/>
      <c r="GMD39" s="16"/>
      <c r="GME39" s="16"/>
      <c r="GMF39" s="16"/>
      <c r="GMG39" s="16"/>
      <c r="GMH39" s="16"/>
      <c r="GMI39" s="16"/>
      <c r="GMJ39" s="16"/>
      <c r="GMK39" s="16"/>
      <c r="GML39" s="16"/>
      <c r="GMM39" s="16"/>
      <c r="GMN39" s="16"/>
      <c r="GMO39" s="16"/>
      <c r="GMP39" s="16"/>
      <c r="GMQ39" s="16"/>
      <c r="GMR39" s="16"/>
      <c r="GMS39" s="16"/>
      <c r="GMT39" s="16"/>
      <c r="GMU39" s="16"/>
      <c r="GMV39" s="16"/>
      <c r="GMW39" s="16"/>
      <c r="GMX39" s="16"/>
      <c r="GMY39" s="16"/>
      <c r="GMZ39" s="16"/>
      <c r="GNA39" s="16"/>
      <c r="GNB39" s="16"/>
      <c r="GNC39" s="16"/>
      <c r="GND39" s="16"/>
      <c r="GNE39" s="16"/>
      <c r="GNF39" s="16"/>
      <c r="GNG39" s="16"/>
      <c r="GNH39" s="16"/>
      <c r="GNI39" s="16"/>
      <c r="GNJ39" s="16"/>
      <c r="GNK39" s="16"/>
      <c r="GNL39" s="16"/>
      <c r="GNM39" s="16"/>
      <c r="GNN39" s="16"/>
      <c r="GNO39" s="16"/>
      <c r="GNP39" s="16"/>
      <c r="GNQ39" s="16"/>
      <c r="GNR39" s="16"/>
      <c r="GNS39" s="16"/>
      <c r="GNT39" s="16"/>
      <c r="GNU39" s="16"/>
      <c r="GNV39" s="16"/>
      <c r="GNW39" s="16"/>
      <c r="GNX39" s="16"/>
      <c r="GNY39" s="16"/>
      <c r="GNZ39" s="16"/>
      <c r="GOA39" s="16"/>
      <c r="GOB39" s="16"/>
      <c r="GOC39" s="16"/>
      <c r="GOD39" s="16"/>
      <c r="GOE39" s="16"/>
      <c r="GOF39" s="16"/>
      <c r="GOG39" s="16"/>
      <c r="GOH39" s="16"/>
      <c r="GOI39" s="16"/>
      <c r="GOJ39" s="16"/>
      <c r="GOK39" s="16"/>
      <c r="GOL39" s="16"/>
      <c r="GOM39" s="16"/>
      <c r="GON39" s="16"/>
      <c r="GOO39" s="16"/>
      <c r="GOP39" s="16"/>
      <c r="GOQ39" s="16"/>
      <c r="GOR39" s="16"/>
      <c r="GOS39" s="16"/>
      <c r="GOT39" s="16"/>
      <c r="GOU39" s="16"/>
      <c r="GOV39" s="16"/>
      <c r="GOW39" s="16"/>
      <c r="GOX39" s="16"/>
      <c r="GOY39" s="16"/>
      <c r="GOZ39" s="16"/>
      <c r="GPA39" s="16"/>
      <c r="GPB39" s="16"/>
      <c r="GPC39" s="16"/>
      <c r="GPD39" s="16"/>
      <c r="GPE39" s="16"/>
      <c r="GPF39" s="16"/>
      <c r="GPG39" s="16"/>
      <c r="GPH39" s="16"/>
      <c r="GPI39" s="16"/>
      <c r="GPJ39" s="16"/>
      <c r="GPK39" s="16"/>
      <c r="GPL39" s="16"/>
      <c r="GPM39" s="16"/>
      <c r="GPN39" s="16"/>
      <c r="GPO39" s="16"/>
      <c r="GPP39" s="16"/>
      <c r="GPQ39" s="16"/>
      <c r="GPR39" s="16"/>
      <c r="GPS39" s="16"/>
      <c r="GPT39" s="16"/>
      <c r="GPU39" s="16"/>
      <c r="GPV39" s="16"/>
      <c r="GPW39" s="16"/>
      <c r="GPX39" s="16"/>
      <c r="GPY39" s="16"/>
      <c r="GPZ39" s="16"/>
      <c r="GQA39" s="16"/>
      <c r="GQB39" s="16"/>
      <c r="GQC39" s="16"/>
      <c r="GQD39" s="16"/>
      <c r="GQE39" s="16"/>
      <c r="GQF39" s="16"/>
      <c r="GQG39" s="16"/>
      <c r="GQH39" s="16"/>
      <c r="GQI39" s="16"/>
      <c r="GQJ39" s="16"/>
      <c r="GQK39" s="16"/>
      <c r="GQL39" s="16"/>
      <c r="GQM39" s="16"/>
      <c r="GQN39" s="16"/>
      <c r="GQO39" s="16"/>
      <c r="GQP39" s="16"/>
      <c r="GQQ39" s="16"/>
      <c r="GQR39" s="16"/>
      <c r="GQS39" s="16"/>
      <c r="GQT39" s="16"/>
      <c r="GQU39" s="16"/>
      <c r="GQV39" s="16"/>
      <c r="GQW39" s="16"/>
      <c r="GQX39" s="16"/>
      <c r="GQY39" s="16"/>
      <c r="GQZ39" s="16"/>
      <c r="GRA39" s="16"/>
      <c r="GRB39" s="16"/>
      <c r="GRC39" s="16"/>
      <c r="GRD39" s="16"/>
      <c r="GRE39" s="16"/>
      <c r="GRF39" s="16"/>
      <c r="GRG39" s="16"/>
      <c r="GRH39" s="16"/>
      <c r="GRI39" s="16"/>
      <c r="GRJ39" s="16"/>
      <c r="GRK39" s="16"/>
      <c r="GRL39" s="16"/>
      <c r="GRM39" s="16"/>
      <c r="GRN39" s="16"/>
      <c r="GRO39" s="16"/>
      <c r="GRP39" s="16"/>
      <c r="GRQ39" s="16"/>
      <c r="GRR39" s="16"/>
      <c r="GRS39" s="16"/>
      <c r="GRT39" s="16"/>
      <c r="GRU39" s="16"/>
      <c r="GRV39" s="16"/>
      <c r="GRW39" s="16"/>
      <c r="GRX39" s="16"/>
      <c r="GRY39" s="16"/>
      <c r="GRZ39" s="16"/>
      <c r="GSA39" s="16"/>
      <c r="GSB39" s="16"/>
      <c r="GSC39" s="16"/>
      <c r="GSD39" s="16"/>
      <c r="GSE39" s="16"/>
      <c r="GSF39" s="16"/>
      <c r="GSG39" s="16"/>
      <c r="GSH39" s="16"/>
      <c r="GSI39" s="16"/>
      <c r="GSJ39" s="16"/>
      <c r="GSK39" s="16"/>
      <c r="GSL39" s="16"/>
      <c r="GSM39" s="16"/>
      <c r="GSN39" s="16"/>
      <c r="GSO39" s="16"/>
      <c r="GSP39" s="16"/>
      <c r="GSQ39" s="16"/>
      <c r="GSR39" s="16"/>
      <c r="GSS39" s="16"/>
      <c r="GST39" s="16"/>
      <c r="GSU39" s="16"/>
      <c r="GSV39" s="16"/>
      <c r="GSW39" s="16"/>
      <c r="GSX39" s="16"/>
      <c r="GSY39" s="16"/>
      <c r="GSZ39" s="16"/>
      <c r="GTA39" s="16"/>
      <c r="GTB39" s="16"/>
      <c r="GTC39" s="16"/>
      <c r="GTD39" s="16"/>
      <c r="GTE39" s="16"/>
      <c r="GTF39" s="16"/>
      <c r="GTG39" s="16"/>
      <c r="GTH39" s="16"/>
      <c r="GTI39" s="16"/>
      <c r="GTJ39" s="16"/>
      <c r="GTK39" s="16"/>
      <c r="GTL39" s="16"/>
      <c r="GTM39" s="16"/>
      <c r="GTN39" s="16"/>
      <c r="GTO39" s="16"/>
      <c r="GTP39" s="16"/>
      <c r="GTQ39" s="16"/>
      <c r="GTR39" s="16"/>
      <c r="GTS39" s="16"/>
      <c r="GTT39" s="16"/>
      <c r="GTU39" s="16"/>
      <c r="GTV39" s="16"/>
      <c r="GTW39" s="16"/>
      <c r="GTX39" s="16"/>
      <c r="GTY39" s="16"/>
      <c r="GTZ39" s="16"/>
      <c r="GUA39" s="16"/>
      <c r="GUB39" s="16"/>
      <c r="GUC39" s="16"/>
      <c r="GUD39" s="16"/>
      <c r="GUE39" s="16"/>
      <c r="GUF39" s="16"/>
      <c r="GUG39" s="16"/>
      <c r="GUH39" s="16"/>
      <c r="GUI39" s="16"/>
      <c r="GUJ39" s="16"/>
      <c r="GUK39" s="16"/>
      <c r="GUL39" s="16"/>
      <c r="GUM39" s="16"/>
      <c r="GUN39" s="16"/>
      <c r="GUO39" s="16"/>
      <c r="GUP39" s="16"/>
      <c r="GUQ39" s="16"/>
      <c r="GUR39" s="16"/>
      <c r="GUS39" s="16"/>
      <c r="GUT39" s="16"/>
      <c r="GUU39" s="16"/>
      <c r="GUV39" s="16"/>
      <c r="GUW39" s="16"/>
      <c r="GUX39" s="16"/>
      <c r="GUY39" s="16"/>
      <c r="GUZ39" s="16"/>
      <c r="GVA39" s="16"/>
      <c r="GVB39" s="16"/>
      <c r="GVC39" s="16"/>
      <c r="GVD39" s="16"/>
      <c r="GVE39" s="16"/>
      <c r="GVF39" s="16"/>
      <c r="GVG39" s="16"/>
      <c r="GVH39" s="16"/>
      <c r="GVI39" s="16"/>
      <c r="GVJ39" s="16"/>
      <c r="GVK39" s="16"/>
      <c r="GVL39" s="16"/>
      <c r="GVM39" s="16"/>
      <c r="GVN39" s="16"/>
      <c r="GVO39" s="16"/>
      <c r="GVP39" s="16"/>
      <c r="GVQ39" s="16"/>
      <c r="GVR39" s="16"/>
      <c r="GVS39" s="16"/>
      <c r="GVT39" s="16"/>
      <c r="GVU39" s="16"/>
      <c r="GVV39" s="16"/>
      <c r="GVW39" s="16"/>
      <c r="GVX39" s="16"/>
      <c r="GVY39" s="16"/>
      <c r="GVZ39" s="16"/>
      <c r="GWA39" s="16"/>
      <c r="GWB39" s="16"/>
      <c r="GWC39" s="16"/>
      <c r="GWD39" s="16"/>
      <c r="GWE39" s="16"/>
      <c r="GWF39" s="16"/>
      <c r="GWG39" s="16"/>
      <c r="GWH39" s="16"/>
      <c r="GWI39" s="16"/>
      <c r="GWJ39" s="16"/>
      <c r="GWK39" s="16"/>
      <c r="GWL39" s="16"/>
      <c r="GWM39" s="16"/>
      <c r="GWN39" s="16"/>
      <c r="GWO39" s="16"/>
      <c r="GWP39" s="16"/>
      <c r="GWQ39" s="16"/>
      <c r="GWR39" s="16"/>
      <c r="GWS39" s="16"/>
      <c r="GWT39" s="16"/>
      <c r="GWU39" s="16"/>
      <c r="GWV39" s="16"/>
      <c r="GWW39" s="16"/>
      <c r="GWX39" s="16"/>
      <c r="GWY39" s="16"/>
      <c r="GWZ39" s="16"/>
      <c r="GXA39" s="16"/>
      <c r="GXB39" s="16"/>
      <c r="GXC39" s="16"/>
      <c r="GXD39" s="16"/>
      <c r="GXE39" s="16"/>
      <c r="GXF39" s="16"/>
      <c r="GXG39" s="16"/>
      <c r="GXH39" s="16"/>
      <c r="GXI39" s="16"/>
      <c r="GXJ39" s="16"/>
      <c r="GXK39" s="16"/>
      <c r="GXL39" s="16"/>
      <c r="GXM39" s="16"/>
      <c r="GXN39" s="16"/>
      <c r="GXO39" s="16"/>
      <c r="GXP39" s="16"/>
      <c r="GXQ39" s="16"/>
      <c r="GXR39" s="16"/>
      <c r="GXS39" s="16"/>
      <c r="GXT39" s="16"/>
      <c r="GXU39" s="16"/>
      <c r="GXV39" s="16"/>
      <c r="GXW39" s="16"/>
      <c r="GXX39" s="16"/>
      <c r="GXY39" s="16"/>
      <c r="GXZ39" s="16"/>
      <c r="GYA39" s="16"/>
      <c r="GYB39" s="16"/>
      <c r="GYC39" s="16"/>
      <c r="GYD39" s="16"/>
      <c r="GYE39" s="16"/>
      <c r="GYF39" s="16"/>
      <c r="GYG39" s="16"/>
      <c r="GYH39" s="16"/>
      <c r="GYI39" s="16"/>
      <c r="GYJ39" s="16"/>
      <c r="GYK39" s="16"/>
      <c r="GYL39" s="16"/>
      <c r="GYM39" s="16"/>
      <c r="GYN39" s="16"/>
      <c r="GYO39" s="16"/>
      <c r="GYP39" s="16"/>
      <c r="GYQ39" s="16"/>
      <c r="GYR39" s="16"/>
      <c r="GYS39" s="16"/>
      <c r="GYT39" s="16"/>
      <c r="GYU39" s="16"/>
      <c r="GYV39" s="16"/>
      <c r="GYW39" s="16"/>
      <c r="GYX39" s="16"/>
      <c r="GYY39" s="16"/>
      <c r="GYZ39" s="16"/>
      <c r="GZA39" s="16"/>
      <c r="GZB39" s="16"/>
      <c r="GZC39" s="16"/>
      <c r="GZD39" s="16"/>
      <c r="GZE39" s="16"/>
      <c r="GZF39" s="16"/>
      <c r="GZG39" s="16"/>
      <c r="GZH39" s="16"/>
      <c r="GZI39" s="16"/>
      <c r="GZJ39" s="16"/>
      <c r="GZK39" s="16"/>
      <c r="GZL39" s="16"/>
      <c r="GZM39" s="16"/>
      <c r="GZN39" s="16"/>
      <c r="GZO39" s="16"/>
      <c r="GZP39" s="16"/>
      <c r="GZQ39" s="16"/>
      <c r="GZR39" s="16"/>
      <c r="GZS39" s="16"/>
      <c r="GZT39" s="16"/>
      <c r="GZU39" s="16"/>
      <c r="GZV39" s="16"/>
      <c r="GZW39" s="16"/>
      <c r="GZX39" s="16"/>
      <c r="GZY39" s="16"/>
      <c r="GZZ39" s="16"/>
      <c r="HAA39" s="16"/>
      <c r="HAB39" s="16"/>
      <c r="HAC39" s="16"/>
      <c r="HAD39" s="16"/>
      <c r="HAE39" s="16"/>
      <c r="HAF39" s="16"/>
      <c r="HAG39" s="16"/>
      <c r="HAH39" s="16"/>
      <c r="HAI39" s="16"/>
      <c r="HAJ39" s="16"/>
      <c r="HAK39" s="16"/>
      <c r="HAL39" s="16"/>
      <c r="HAM39" s="16"/>
      <c r="HAN39" s="16"/>
      <c r="HAO39" s="16"/>
      <c r="HAP39" s="16"/>
      <c r="HAQ39" s="16"/>
      <c r="HAR39" s="16"/>
      <c r="HAS39" s="16"/>
      <c r="HAT39" s="16"/>
      <c r="HAU39" s="16"/>
      <c r="HAV39" s="16"/>
      <c r="HAW39" s="16"/>
      <c r="HAX39" s="16"/>
      <c r="HAY39" s="16"/>
      <c r="HAZ39" s="16"/>
      <c r="HBA39" s="16"/>
      <c r="HBB39" s="16"/>
      <c r="HBC39" s="16"/>
      <c r="HBD39" s="16"/>
      <c r="HBE39" s="16"/>
      <c r="HBF39" s="16"/>
      <c r="HBG39" s="16"/>
      <c r="HBH39" s="16"/>
      <c r="HBI39" s="16"/>
      <c r="HBJ39" s="16"/>
      <c r="HBK39" s="16"/>
      <c r="HBL39" s="16"/>
      <c r="HBM39" s="16"/>
      <c r="HBN39" s="16"/>
      <c r="HBO39" s="16"/>
      <c r="HBP39" s="16"/>
      <c r="HBQ39" s="16"/>
      <c r="HBR39" s="16"/>
      <c r="HBS39" s="16"/>
      <c r="HBT39" s="16"/>
      <c r="HBU39" s="16"/>
      <c r="HBV39" s="16"/>
      <c r="HBW39" s="16"/>
      <c r="HBX39" s="16"/>
      <c r="HBY39" s="16"/>
      <c r="HBZ39" s="16"/>
      <c r="HCA39" s="16"/>
      <c r="HCB39" s="16"/>
      <c r="HCC39" s="16"/>
      <c r="HCD39" s="16"/>
      <c r="HCE39" s="16"/>
      <c r="HCF39" s="16"/>
      <c r="HCG39" s="16"/>
      <c r="HCH39" s="16"/>
      <c r="HCI39" s="16"/>
      <c r="HCJ39" s="16"/>
      <c r="HCK39" s="16"/>
      <c r="HCL39" s="16"/>
      <c r="HCM39" s="16"/>
      <c r="HCN39" s="16"/>
      <c r="HCO39" s="16"/>
      <c r="HCP39" s="16"/>
      <c r="HCQ39" s="16"/>
      <c r="HCR39" s="16"/>
      <c r="HCS39" s="16"/>
      <c r="HCT39" s="16"/>
      <c r="HCU39" s="16"/>
      <c r="HCV39" s="16"/>
      <c r="HCW39" s="16"/>
      <c r="HCX39" s="16"/>
      <c r="HCY39" s="16"/>
      <c r="HCZ39" s="16"/>
      <c r="HDA39" s="16"/>
      <c r="HDB39" s="16"/>
      <c r="HDC39" s="16"/>
      <c r="HDD39" s="16"/>
      <c r="HDE39" s="16"/>
      <c r="HDF39" s="16"/>
      <c r="HDG39" s="16"/>
      <c r="HDH39" s="16"/>
      <c r="HDI39" s="16"/>
      <c r="HDJ39" s="16"/>
      <c r="HDK39" s="16"/>
      <c r="HDL39" s="16"/>
      <c r="HDM39" s="16"/>
      <c r="HDN39" s="16"/>
      <c r="HDO39" s="16"/>
      <c r="HDP39" s="16"/>
      <c r="HDQ39" s="16"/>
      <c r="HDR39" s="16"/>
      <c r="HDS39" s="16"/>
      <c r="HDT39" s="16"/>
      <c r="HDU39" s="16"/>
      <c r="HDV39" s="16"/>
      <c r="HDW39" s="16"/>
      <c r="HDX39" s="16"/>
      <c r="HDY39" s="16"/>
      <c r="HDZ39" s="16"/>
      <c r="HEA39" s="16"/>
      <c r="HEB39" s="16"/>
      <c r="HEC39" s="16"/>
      <c r="HED39" s="16"/>
      <c r="HEE39" s="16"/>
      <c r="HEF39" s="16"/>
      <c r="HEG39" s="16"/>
      <c r="HEH39" s="16"/>
      <c r="HEI39" s="16"/>
      <c r="HEJ39" s="16"/>
      <c r="HEK39" s="16"/>
      <c r="HEL39" s="16"/>
      <c r="HEM39" s="16"/>
      <c r="HEN39" s="16"/>
      <c r="HEO39" s="16"/>
      <c r="HEP39" s="16"/>
      <c r="HEQ39" s="16"/>
      <c r="HER39" s="16"/>
      <c r="HES39" s="16"/>
      <c r="HET39" s="16"/>
      <c r="HEU39" s="16"/>
      <c r="HEV39" s="16"/>
      <c r="HEW39" s="16"/>
      <c r="HEX39" s="16"/>
      <c r="HEY39" s="16"/>
      <c r="HEZ39" s="16"/>
      <c r="HFA39" s="16"/>
      <c r="HFB39" s="16"/>
      <c r="HFC39" s="16"/>
      <c r="HFD39" s="16"/>
      <c r="HFE39" s="16"/>
      <c r="HFF39" s="16"/>
      <c r="HFG39" s="16"/>
      <c r="HFH39" s="16"/>
      <c r="HFI39" s="16"/>
      <c r="HFJ39" s="16"/>
      <c r="HFK39" s="16"/>
      <c r="HFL39" s="16"/>
      <c r="HFM39" s="16"/>
      <c r="HFN39" s="16"/>
      <c r="HFO39" s="16"/>
      <c r="HFP39" s="16"/>
      <c r="HFQ39" s="16"/>
      <c r="HFR39" s="16"/>
      <c r="HFS39" s="16"/>
      <c r="HFT39" s="16"/>
      <c r="HFU39" s="16"/>
      <c r="HFV39" s="16"/>
      <c r="HFW39" s="16"/>
      <c r="HFX39" s="16"/>
      <c r="HFY39" s="16"/>
      <c r="HFZ39" s="16"/>
      <c r="HGA39" s="16"/>
      <c r="HGB39" s="16"/>
      <c r="HGC39" s="16"/>
      <c r="HGD39" s="16"/>
      <c r="HGE39" s="16"/>
      <c r="HGF39" s="16"/>
      <c r="HGG39" s="16"/>
      <c r="HGH39" s="16"/>
      <c r="HGI39" s="16"/>
      <c r="HGJ39" s="16"/>
      <c r="HGK39" s="16"/>
      <c r="HGL39" s="16"/>
      <c r="HGM39" s="16"/>
      <c r="HGN39" s="16"/>
      <c r="HGO39" s="16"/>
      <c r="HGP39" s="16"/>
      <c r="HGQ39" s="16"/>
      <c r="HGR39" s="16"/>
      <c r="HGS39" s="16"/>
      <c r="HGT39" s="16"/>
      <c r="HGU39" s="16"/>
      <c r="HGV39" s="16"/>
      <c r="HGW39" s="16"/>
      <c r="HGX39" s="16"/>
      <c r="HGY39" s="16"/>
      <c r="HGZ39" s="16"/>
      <c r="HHA39" s="16"/>
      <c r="HHB39" s="16"/>
      <c r="HHC39" s="16"/>
      <c r="HHD39" s="16"/>
      <c r="HHE39" s="16"/>
      <c r="HHF39" s="16"/>
      <c r="HHG39" s="16"/>
      <c r="HHH39" s="16"/>
      <c r="HHI39" s="16"/>
      <c r="HHJ39" s="16"/>
      <c r="HHK39" s="16"/>
      <c r="HHL39" s="16"/>
      <c r="HHM39" s="16"/>
      <c r="HHN39" s="16"/>
      <c r="HHO39" s="16"/>
      <c r="HHP39" s="16"/>
      <c r="HHQ39" s="16"/>
      <c r="HHR39" s="16"/>
      <c r="HHS39" s="16"/>
      <c r="HHT39" s="16"/>
      <c r="HHU39" s="16"/>
      <c r="HHV39" s="16"/>
      <c r="HHW39" s="16"/>
      <c r="HHX39" s="16"/>
      <c r="HHY39" s="16"/>
      <c r="HHZ39" s="16"/>
      <c r="HIA39" s="16"/>
      <c r="HIB39" s="16"/>
      <c r="HIC39" s="16"/>
      <c r="HID39" s="16"/>
      <c r="HIE39" s="16"/>
      <c r="HIF39" s="16"/>
      <c r="HIG39" s="16"/>
      <c r="HIH39" s="16"/>
      <c r="HII39" s="16"/>
      <c r="HIJ39" s="16"/>
      <c r="HIK39" s="16"/>
      <c r="HIL39" s="16"/>
      <c r="HIM39" s="16"/>
      <c r="HIN39" s="16"/>
      <c r="HIO39" s="16"/>
      <c r="HIP39" s="16"/>
      <c r="HIQ39" s="16"/>
      <c r="HIR39" s="16"/>
      <c r="HIS39" s="16"/>
      <c r="HIT39" s="16"/>
      <c r="HIU39" s="16"/>
      <c r="HIV39" s="16"/>
      <c r="HIW39" s="16"/>
      <c r="HIX39" s="16"/>
      <c r="HIY39" s="16"/>
      <c r="HIZ39" s="16"/>
      <c r="HJA39" s="16"/>
      <c r="HJB39" s="16"/>
      <c r="HJC39" s="16"/>
      <c r="HJD39" s="16"/>
      <c r="HJE39" s="16"/>
      <c r="HJF39" s="16"/>
      <c r="HJG39" s="16"/>
      <c r="HJH39" s="16"/>
      <c r="HJI39" s="16"/>
      <c r="HJJ39" s="16"/>
      <c r="HJK39" s="16"/>
      <c r="HJL39" s="16"/>
      <c r="HJM39" s="16"/>
      <c r="HJN39" s="16"/>
      <c r="HJO39" s="16"/>
      <c r="HJP39" s="16"/>
      <c r="HJQ39" s="16"/>
      <c r="HJR39" s="16"/>
      <c r="HJS39" s="16"/>
      <c r="HJT39" s="16"/>
      <c r="HJU39" s="16"/>
      <c r="HJV39" s="16"/>
      <c r="HJW39" s="16"/>
      <c r="HJX39" s="16"/>
      <c r="HJY39" s="16"/>
      <c r="HJZ39" s="16"/>
      <c r="HKA39" s="16"/>
      <c r="HKB39" s="16"/>
      <c r="HKC39" s="16"/>
      <c r="HKD39" s="16"/>
      <c r="HKE39" s="16"/>
      <c r="HKF39" s="16"/>
      <c r="HKG39" s="16"/>
      <c r="HKH39" s="16"/>
      <c r="HKI39" s="16"/>
      <c r="HKJ39" s="16"/>
      <c r="HKK39" s="16"/>
      <c r="HKL39" s="16"/>
      <c r="HKM39" s="16"/>
      <c r="HKN39" s="16"/>
      <c r="HKO39" s="16"/>
      <c r="HKP39" s="16"/>
      <c r="HKQ39" s="16"/>
      <c r="HKR39" s="16"/>
      <c r="HKS39" s="16"/>
      <c r="HKT39" s="16"/>
      <c r="HKU39" s="16"/>
      <c r="HKV39" s="16"/>
      <c r="HKW39" s="16"/>
      <c r="HKX39" s="16"/>
      <c r="HKY39" s="16"/>
      <c r="HKZ39" s="16"/>
      <c r="HLA39" s="16"/>
      <c r="HLB39" s="16"/>
      <c r="HLC39" s="16"/>
      <c r="HLD39" s="16"/>
      <c r="HLE39" s="16"/>
      <c r="HLF39" s="16"/>
      <c r="HLG39" s="16"/>
      <c r="HLH39" s="16"/>
      <c r="HLI39" s="16"/>
      <c r="HLJ39" s="16"/>
      <c r="HLK39" s="16"/>
      <c r="HLL39" s="16"/>
      <c r="HLM39" s="16"/>
      <c r="HLN39" s="16"/>
      <c r="HLO39" s="16"/>
      <c r="HLP39" s="16"/>
      <c r="HLQ39" s="16"/>
      <c r="HLR39" s="16"/>
      <c r="HLS39" s="16"/>
      <c r="HLT39" s="16"/>
      <c r="HLU39" s="16"/>
      <c r="HLV39" s="16"/>
      <c r="HLW39" s="16"/>
      <c r="HLX39" s="16"/>
      <c r="HLY39" s="16"/>
      <c r="HLZ39" s="16"/>
      <c r="HMA39" s="16"/>
      <c r="HMB39" s="16"/>
      <c r="HMC39" s="16"/>
      <c r="HMD39" s="16"/>
      <c r="HME39" s="16"/>
      <c r="HMF39" s="16"/>
      <c r="HMG39" s="16"/>
      <c r="HMH39" s="16"/>
      <c r="HMI39" s="16"/>
      <c r="HMJ39" s="16"/>
      <c r="HMK39" s="16"/>
      <c r="HML39" s="16"/>
      <c r="HMM39" s="16"/>
      <c r="HMN39" s="16"/>
      <c r="HMO39" s="16"/>
      <c r="HMP39" s="16"/>
      <c r="HMQ39" s="16"/>
      <c r="HMR39" s="16"/>
      <c r="HMS39" s="16"/>
      <c r="HMT39" s="16"/>
      <c r="HMU39" s="16"/>
      <c r="HMV39" s="16"/>
      <c r="HMW39" s="16"/>
      <c r="HMX39" s="16"/>
      <c r="HMY39" s="16"/>
      <c r="HMZ39" s="16"/>
      <c r="HNA39" s="16"/>
      <c r="HNB39" s="16"/>
      <c r="HNC39" s="16"/>
      <c r="HND39" s="16"/>
      <c r="HNE39" s="16"/>
      <c r="HNF39" s="16"/>
      <c r="HNG39" s="16"/>
      <c r="HNH39" s="16"/>
      <c r="HNI39" s="16"/>
      <c r="HNJ39" s="16"/>
      <c r="HNK39" s="16"/>
      <c r="HNL39" s="16"/>
      <c r="HNM39" s="16"/>
      <c r="HNN39" s="16"/>
      <c r="HNO39" s="16"/>
      <c r="HNP39" s="16"/>
      <c r="HNQ39" s="16"/>
      <c r="HNR39" s="16"/>
      <c r="HNS39" s="16"/>
      <c r="HNT39" s="16"/>
      <c r="HNU39" s="16"/>
      <c r="HNV39" s="16"/>
      <c r="HNW39" s="16"/>
      <c r="HNX39" s="16"/>
      <c r="HNY39" s="16"/>
      <c r="HNZ39" s="16"/>
      <c r="HOA39" s="16"/>
      <c r="HOB39" s="16"/>
      <c r="HOC39" s="16"/>
      <c r="HOD39" s="16"/>
      <c r="HOE39" s="16"/>
      <c r="HOF39" s="16"/>
      <c r="HOG39" s="16"/>
      <c r="HOH39" s="16"/>
      <c r="HOI39" s="16"/>
      <c r="HOJ39" s="16"/>
      <c r="HOK39" s="16"/>
      <c r="HOL39" s="16"/>
      <c r="HOM39" s="16"/>
      <c r="HON39" s="16"/>
      <c r="HOO39" s="16"/>
      <c r="HOP39" s="16"/>
      <c r="HOQ39" s="16"/>
      <c r="HOR39" s="16"/>
      <c r="HOS39" s="16"/>
      <c r="HOT39" s="16"/>
      <c r="HOU39" s="16"/>
      <c r="HOV39" s="16"/>
      <c r="HOW39" s="16"/>
      <c r="HOX39" s="16"/>
      <c r="HOY39" s="16"/>
      <c r="HOZ39" s="16"/>
      <c r="HPA39" s="16"/>
      <c r="HPB39" s="16"/>
      <c r="HPC39" s="16"/>
      <c r="HPD39" s="16"/>
      <c r="HPE39" s="16"/>
      <c r="HPF39" s="16"/>
      <c r="HPG39" s="16"/>
      <c r="HPH39" s="16"/>
      <c r="HPI39" s="16"/>
      <c r="HPJ39" s="16"/>
      <c r="HPK39" s="16"/>
      <c r="HPL39" s="16"/>
      <c r="HPM39" s="16"/>
      <c r="HPN39" s="16"/>
      <c r="HPO39" s="16"/>
      <c r="HPP39" s="16"/>
      <c r="HPQ39" s="16"/>
      <c r="HPR39" s="16"/>
      <c r="HPS39" s="16"/>
      <c r="HPT39" s="16"/>
      <c r="HPU39" s="16"/>
      <c r="HPV39" s="16"/>
      <c r="HPW39" s="16"/>
      <c r="HPX39" s="16"/>
      <c r="HPY39" s="16"/>
      <c r="HPZ39" s="16"/>
      <c r="HQA39" s="16"/>
      <c r="HQB39" s="16"/>
      <c r="HQC39" s="16"/>
      <c r="HQD39" s="16"/>
      <c r="HQE39" s="16"/>
      <c r="HQF39" s="16"/>
      <c r="HQG39" s="16"/>
      <c r="HQH39" s="16"/>
      <c r="HQI39" s="16"/>
      <c r="HQJ39" s="16"/>
      <c r="HQK39" s="16"/>
      <c r="HQL39" s="16"/>
      <c r="HQM39" s="16"/>
      <c r="HQN39" s="16"/>
      <c r="HQO39" s="16"/>
      <c r="HQP39" s="16"/>
      <c r="HQQ39" s="16"/>
      <c r="HQR39" s="16"/>
      <c r="HQS39" s="16"/>
      <c r="HQT39" s="16"/>
      <c r="HQU39" s="16"/>
      <c r="HQV39" s="16"/>
      <c r="HQW39" s="16"/>
      <c r="HQX39" s="16"/>
      <c r="HQY39" s="16"/>
      <c r="HQZ39" s="16"/>
      <c r="HRA39" s="16"/>
      <c r="HRB39" s="16"/>
      <c r="HRC39" s="16"/>
      <c r="HRD39" s="16"/>
      <c r="HRE39" s="16"/>
      <c r="HRF39" s="16"/>
      <c r="HRG39" s="16"/>
      <c r="HRH39" s="16"/>
      <c r="HRI39" s="16"/>
      <c r="HRJ39" s="16"/>
      <c r="HRK39" s="16"/>
      <c r="HRL39" s="16"/>
      <c r="HRM39" s="16"/>
      <c r="HRN39" s="16"/>
      <c r="HRO39" s="16"/>
      <c r="HRP39" s="16"/>
      <c r="HRQ39" s="16"/>
      <c r="HRR39" s="16"/>
      <c r="HRS39" s="16"/>
      <c r="HRT39" s="16"/>
      <c r="HRU39" s="16"/>
      <c r="HRV39" s="16"/>
      <c r="HRW39" s="16"/>
      <c r="HRX39" s="16"/>
      <c r="HRY39" s="16"/>
      <c r="HRZ39" s="16"/>
      <c r="HSA39" s="16"/>
      <c r="HSB39" s="16"/>
      <c r="HSC39" s="16"/>
      <c r="HSD39" s="16"/>
      <c r="HSE39" s="16"/>
      <c r="HSF39" s="16"/>
      <c r="HSG39" s="16"/>
      <c r="HSH39" s="16"/>
      <c r="HSI39" s="16"/>
      <c r="HSJ39" s="16"/>
      <c r="HSK39" s="16"/>
      <c r="HSL39" s="16"/>
      <c r="HSM39" s="16"/>
      <c r="HSN39" s="16"/>
      <c r="HSO39" s="16"/>
      <c r="HSP39" s="16"/>
      <c r="HSQ39" s="16"/>
      <c r="HSR39" s="16"/>
      <c r="HSS39" s="16"/>
      <c r="HST39" s="16"/>
      <c r="HSU39" s="16"/>
      <c r="HSV39" s="16"/>
      <c r="HSW39" s="16"/>
      <c r="HSX39" s="16"/>
      <c r="HSY39" s="16"/>
      <c r="HSZ39" s="16"/>
      <c r="HTA39" s="16"/>
      <c r="HTB39" s="16"/>
      <c r="HTC39" s="16"/>
      <c r="HTD39" s="16"/>
      <c r="HTE39" s="16"/>
      <c r="HTF39" s="16"/>
      <c r="HTG39" s="16"/>
      <c r="HTH39" s="16"/>
      <c r="HTI39" s="16"/>
      <c r="HTJ39" s="16"/>
      <c r="HTK39" s="16"/>
      <c r="HTL39" s="16"/>
      <c r="HTM39" s="16"/>
      <c r="HTN39" s="16"/>
      <c r="HTO39" s="16"/>
      <c r="HTP39" s="16"/>
      <c r="HTQ39" s="16"/>
      <c r="HTR39" s="16"/>
      <c r="HTS39" s="16"/>
      <c r="HTT39" s="16"/>
      <c r="HTU39" s="16"/>
      <c r="HTV39" s="16"/>
      <c r="HTW39" s="16"/>
      <c r="HTX39" s="16"/>
      <c r="HTY39" s="16"/>
      <c r="HTZ39" s="16"/>
      <c r="HUA39" s="16"/>
      <c r="HUB39" s="16"/>
      <c r="HUC39" s="16"/>
      <c r="HUD39" s="16"/>
      <c r="HUE39" s="16"/>
      <c r="HUF39" s="16"/>
      <c r="HUG39" s="16"/>
      <c r="HUH39" s="16"/>
      <c r="HUI39" s="16"/>
      <c r="HUJ39" s="16"/>
      <c r="HUK39" s="16"/>
      <c r="HUL39" s="16"/>
      <c r="HUM39" s="16"/>
      <c r="HUN39" s="16"/>
      <c r="HUO39" s="16"/>
      <c r="HUP39" s="16"/>
      <c r="HUQ39" s="16"/>
      <c r="HUR39" s="16"/>
      <c r="HUS39" s="16"/>
      <c r="HUT39" s="16"/>
      <c r="HUU39" s="16"/>
      <c r="HUV39" s="16"/>
      <c r="HUW39" s="16"/>
      <c r="HUX39" s="16"/>
      <c r="HUY39" s="16"/>
      <c r="HUZ39" s="16"/>
      <c r="HVA39" s="16"/>
      <c r="HVB39" s="16"/>
      <c r="HVC39" s="16"/>
      <c r="HVD39" s="16"/>
      <c r="HVE39" s="16"/>
      <c r="HVF39" s="16"/>
      <c r="HVG39" s="16"/>
      <c r="HVH39" s="16"/>
      <c r="HVI39" s="16"/>
      <c r="HVJ39" s="16"/>
      <c r="HVK39" s="16"/>
      <c r="HVL39" s="16"/>
      <c r="HVM39" s="16"/>
      <c r="HVN39" s="16"/>
      <c r="HVO39" s="16"/>
      <c r="HVP39" s="16"/>
      <c r="HVQ39" s="16"/>
      <c r="HVR39" s="16"/>
      <c r="HVS39" s="16"/>
      <c r="HVT39" s="16"/>
      <c r="HVU39" s="16"/>
      <c r="HVV39" s="16"/>
      <c r="HVW39" s="16"/>
      <c r="HVX39" s="16"/>
      <c r="HVY39" s="16"/>
      <c r="HVZ39" s="16"/>
      <c r="HWA39" s="16"/>
      <c r="HWB39" s="16"/>
      <c r="HWC39" s="16"/>
      <c r="HWD39" s="16"/>
      <c r="HWE39" s="16"/>
      <c r="HWF39" s="16"/>
      <c r="HWG39" s="16"/>
      <c r="HWH39" s="16"/>
      <c r="HWI39" s="16"/>
      <c r="HWJ39" s="16"/>
      <c r="HWK39" s="16"/>
      <c r="HWL39" s="16"/>
      <c r="HWM39" s="16"/>
      <c r="HWN39" s="16"/>
      <c r="HWO39" s="16"/>
      <c r="HWP39" s="16"/>
      <c r="HWQ39" s="16"/>
      <c r="HWR39" s="16"/>
      <c r="HWS39" s="16"/>
      <c r="HWT39" s="16"/>
      <c r="HWU39" s="16"/>
      <c r="HWV39" s="16"/>
      <c r="HWW39" s="16"/>
      <c r="HWX39" s="16"/>
      <c r="HWY39" s="16"/>
      <c r="HWZ39" s="16"/>
      <c r="HXA39" s="16"/>
      <c r="HXB39" s="16"/>
      <c r="HXC39" s="16"/>
      <c r="HXD39" s="16"/>
      <c r="HXE39" s="16"/>
      <c r="HXF39" s="16"/>
      <c r="HXG39" s="16"/>
      <c r="HXH39" s="16"/>
      <c r="HXI39" s="16"/>
      <c r="HXJ39" s="16"/>
      <c r="HXK39" s="16"/>
      <c r="HXL39" s="16"/>
      <c r="HXM39" s="16"/>
      <c r="HXN39" s="16"/>
      <c r="HXO39" s="16"/>
      <c r="HXP39" s="16"/>
      <c r="HXQ39" s="16"/>
      <c r="HXR39" s="16"/>
      <c r="HXS39" s="16"/>
      <c r="HXT39" s="16"/>
      <c r="HXU39" s="16"/>
      <c r="HXV39" s="16"/>
      <c r="HXW39" s="16"/>
      <c r="HXX39" s="16"/>
      <c r="HXY39" s="16"/>
      <c r="HXZ39" s="16"/>
      <c r="HYA39" s="16"/>
      <c r="HYB39" s="16"/>
      <c r="HYC39" s="16"/>
      <c r="HYD39" s="16"/>
      <c r="HYE39" s="16"/>
      <c r="HYF39" s="16"/>
      <c r="HYG39" s="16"/>
      <c r="HYH39" s="16"/>
      <c r="HYI39" s="16"/>
      <c r="HYJ39" s="16"/>
      <c r="HYK39" s="16"/>
      <c r="HYL39" s="16"/>
      <c r="HYM39" s="16"/>
      <c r="HYN39" s="16"/>
      <c r="HYO39" s="16"/>
      <c r="HYP39" s="16"/>
      <c r="HYQ39" s="16"/>
      <c r="HYR39" s="16"/>
      <c r="HYS39" s="16"/>
      <c r="HYT39" s="16"/>
      <c r="HYU39" s="16"/>
      <c r="HYV39" s="16"/>
      <c r="HYW39" s="16"/>
      <c r="HYX39" s="16"/>
      <c r="HYY39" s="16"/>
      <c r="HYZ39" s="16"/>
      <c r="HZA39" s="16"/>
      <c r="HZB39" s="16"/>
      <c r="HZC39" s="16"/>
      <c r="HZD39" s="16"/>
      <c r="HZE39" s="16"/>
      <c r="HZF39" s="16"/>
      <c r="HZG39" s="16"/>
      <c r="HZH39" s="16"/>
      <c r="HZI39" s="16"/>
      <c r="HZJ39" s="16"/>
      <c r="HZK39" s="16"/>
      <c r="HZL39" s="16"/>
      <c r="HZM39" s="16"/>
      <c r="HZN39" s="16"/>
      <c r="HZO39" s="16"/>
      <c r="HZP39" s="16"/>
      <c r="HZQ39" s="16"/>
      <c r="HZR39" s="16"/>
      <c r="HZS39" s="16"/>
      <c r="HZT39" s="16"/>
      <c r="HZU39" s="16"/>
      <c r="HZV39" s="16"/>
      <c r="HZW39" s="16"/>
      <c r="HZX39" s="16"/>
      <c r="HZY39" s="16"/>
      <c r="HZZ39" s="16"/>
      <c r="IAA39" s="16"/>
      <c r="IAB39" s="16"/>
      <c r="IAC39" s="16"/>
      <c r="IAD39" s="16"/>
      <c r="IAE39" s="16"/>
      <c r="IAF39" s="16"/>
      <c r="IAG39" s="16"/>
      <c r="IAH39" s="16"/>
      <c r="IAI39" s="16"/>
      <c r="IAJ39" s="16"/>
      <c r="IAK39" s="16"/>
      <c r="IAL39" s="16"/>
      <c r="IAM39" s="16"/>
      <c r="IAN39" s="16"/>
      <c r="IAO39" s="16"/>
      <c r="IAP39" s="16"/>
      <c r="IAQ39" s="16"/>
      <c r="IAR39" s="16"/>
      <c r="IAS39" s="16"/>
      <c r="IAT39" s="16"/>
      <c r="IAU39" s="16"/>
      <c r="IAV39" s="16"/>
      <c r="IAW39" s="16"/>
      <c r="IAX39" s="16"/>
      <c r="IAY39" s="16"/>
      <c r="IAZ39" s="16"/>
      <c r="IBA39" s="16"/>
      <c r="IBB39" s="16"/>
      <c r="IBC39" s="16"/>
      <c r="IBD39" s="16"/>
      <c r="IBE39" s="16"/>
      <c r="IBF39" s="16"/>
      <c r="IBG39" s="16"/>
      <c r="IBH39" s="16"/>
      <c r="IBI39" s="16"/>
      <c r="IBJ39" s="16"/>
      <c r="IBK39" s="16"/>
      <c r="IBL39" s="16"/>
      <c r="IBM39" s="16"/>
      <c r="IBN39" s="16"/>
      <c r="IBO39" s="16"/>
      <c r="IBP39" s="16"/>
      <c r="IBQ39" s="16"/>
      <c r="IBR39" s="16"/>
      <c r="IBS39" s="16"/>
      <c r="IBT39" s="16"/>
      <c r="IBU39" s="16"/>
      <c r="IBV39" s="16"/>
      <c r="IBW39" s="16"/>
      <c r="IBX39" s="16"/>
      <c r="IBY39" s="16"/>
      <c r="IBZ39" s="16"/>
      <c r="ICA39" s="16"/>
      <c r="ICB39" s="16"/>
      <c r="ICC39" s="16"/>
      <c r="ICD39" s="16"/>
      <c r="ICE39" s="16"/>
      <c r="ICF39" s="16"/>
      <c r="ICG39" s="16"/>
      <c r="ICH39" s="16"/>
      <c r="ICI39" s="16"/>
      <c r="ICJ39" s="16"/>
      <c r="ICK39" s="16"/>
      <c r="ICL39" s="16"/>
      <c r="ICM39" s="16"/>
      <c r="ICN39" s="16"/>
      <c r="ICO39" s="16"/>
      <c r="ICP39" s="16"/>
      <c r="ICQ39" s="16"/>
      <c r="ICR39" s="16"/>
      <c r="ICS39" s="16"/>
      <c r="ICT39" s="16"/>
      <c r="ICU39" s="16"/>
      <c r="ICV39" s="16"/>
      <c r="ICW39" s="16"/>
      <c r="ICX39" s="16"/>
      <c r="ICY39" s="16"/>
      <c r="ICZ39" s="16"/>
      <c r="IDA39" s="16"/>
      <c r="IDB39" s="16"/>
      <c r="IDC39" s="16"/>
      <c r="IDD39" s="16"/>
      <c r="IDE39" s="16"/>
      <c r="IDF39" s="16"/>
      <c r="IDG39" s="16"/>
      <c r="IDH39" s="16"/>
      <c r="IDI39" s="16"/>
      <c r="IDJ39" s="16"/>
      <c r="IDK39" s="16"/>
      <c r="IDL39" s="16"/>
      <c r="IDM39" s="16"/>
      <c r="IDN39" s="16"/>
      <c r="IDO39" s="16"/>
      <c r="IDP39" s="16"/>
      <c r="IDQ39" s="16"/>
      <c r="IDR39" s="16"/>
      <c r="IDS39" s="16"/>
      <c r="IDT39" s="16"/>
      <c r="IDU39" s="16"/>
      <c r="IDV39" s="16"/>
      <c r="IDW39" s="16"/>
      <c r="IDX39" s="16"/>
      <c r="IDY39" s="16"/>
      <c r="IDZ39" s="16"/>
      <c r="IEA39" s="16"/>
      <c r="IEB39" s="16"/>
      <c r="IEC39" s="16"/>
      <c r="IED39" s="16"/>
      <c r="IEE39" s="16"/>
      <c r="IEF39" s="16"/>
      <c r="IEG39" s="16"/>
      <c r="IEH39" s="16"/>
      <c r="IEI39" s="16"/>
      <c r="IEJ39" s="16"/>
      <c r="IEK39" s="16"/>
      <c r="IEL39" s="16"/>
      <c r="IEM39" s="16"/>
      <c r="IEN39" s="16"/>
      <c r="IEO39" s="16"/>
      <c r="IEP39" s="16"/>
      <c r="IEQ39" s="16"/>
      <c r="IER39" s="16"/>
      <c r="IES39" s="16"/>
      <c r="IET39" s="16"/>
      <c r="IEU39" s="16"/>
      <c r="IEV39" s="16"/>
      <c r="IEW39" s="16"/>
      <c r="IEX39" s="16"/>
      <c r="IEY39" s="16"/>
      <c r="IEZ39" s="16"/>
      <c r="IFA39" s="16"/>
      <c r="IFB39" s="16"/>
      <c r="IFC39" s="16"/>
      <c r="IFD39" s="16"/>
      <c r="IFE39" s="16"/>
      <c r="IFF39" s="16"/>
      <c r="IFG39" s="16"/>
      <c r="IFH39" s="16"/>
      <c r="IFI39" s="16"/>
      <c r="IFJ39" s="16"/>
      <c r="IFK39" s="16"/>
      <c r="IFL39" s="16"/>
      <c r="IFM39" s="16"/>
      <c r="IFN39" s="16"/>
      <c r="IFO39" s="16"/>
      <c r="IFP39" s="16"/>
      <c r="IFQ39" s="16"/>
      <c r="IFR39" s="16"/>
      <c r="IFS39" s="16"/>
      <c r="IFT39" s="16"/>
      <c r="IFU39" s="16"/>
      <c r="IFV39" s="16"/>
      <c r="IFW39" s="16"/>
      <c r="IFX39" s="16"/>
      <c r="IFY39" s="16"/>
      <c r="IFZ39" s="16"/>
      <c r="IGA39" s="16"/>
      <c r="IGB39" s="16"/>
      <c r="IGC39" s="16"/>
      <c r="IGD39" s="16"/>
      <c r="IGE39" s="16"/>
      <c r="IGF39" s="16"/>
      <c r="IGG39" s="16"/>
      <c r="IGH39" s="16"/>
      <c r="IGI39" s="16"/>
      <c r="IGJ39" s="16"/>
      <c r="IGK39" s="16"/>
      <c r="IGL39" s="16"/>
      <c r="IGM39" s="16"/>
      <c r="IGN39" s="16"/>
      <c r="IGO39" s="16"/>
      <c r="IGP39" s="16"/>
      <c r="IGQ39" s="16"/>
      <c r="IGR39" s="16"/>
      <c r="IGS39" s="16"/>
      <c r="IGT39" s="16"/>
      <c r="IGU39" s="16"/>
      <c r="IGV39" s="16"/>
      <c r="IGW39" s="16"/>
      <c r="IGX39" s="16"/>
      <c r="IGY39" s="16"/>
      <c r="IGZ39" s="16"/>
      <c r="IHA39" s="16"/>
      <c r="IHB39" s="16"/>
      <c r="IHC39" s="16"/>
      <c r="IHD39" s="16"/>
      <c r="IHE39" s="16"/>
      <c r="IHF39" s="16"/>
      <c r="IHG39" s="16"/>
      <c r="IHH39" s="16"/>
      <c r="IHI39" s="16"/>
      <c r="IHJ39" s="16"/>
      <c r="IHK39" s="16"/>
      <c r="IHL39" s="16"/>
      <c r="IHM39" s="16"/>
      <c r="IHN39" s="16"/>
      <c r="IHO39" s="16"/>
      <c r="IHP39" s="16"/>
      <c r="IHQ39" s="16"/>
      <c r="IHR39" s="16"/>
      <c r="IHS39" s="16"/>
      <c r="IHT39" s="16"/>
      <c r="IHU39" s="16"/>
      <c r="IHV39" s="16"/>
      <c r="IHW39" s="16"/>
      <c r="IHX39" s="16"/>
      <c r="IHY39" s="16"/>
      <c r="IHZ39" s="16"/>
      <c r="IIA39" s="16"/>
      <c r="IIB39" s="16"/>
      <c r="IIC39" s="16"/>
      <c r="IID39" s="16"/>
      <c r="IIE39" s="16"/>
      <c r="IIF39" s="16"/>
      <c r="IIG39" s="16"/>
      <c r="IIH39" s="16"/>
      <c r="III39" s="16"/>
      <c r="IIJ39" s="16"/>
      <c r="IIK39" s="16"/>
      <c r="IIL39" s="16"/>
      <c r="IIM39" s="16"/>
      <c r="IIN39" s="16"/>
      <c r="IIO39" s="16"/>
      <c r="IIP39" s="16"/>
      <c r="IIQ39" s="16"/>
      <c r="IIR39" s="16"/>
      <c r="IIS39" s="16"/>
      <c r="IIT39" s="16"/>
      <c r="IIU39" s="16"/>
      <c r="IIV39" s="16"/>
      <c r="IIW39" s="16"/>
      <c r="IIX39" s="16"/>
      <c r="IIY39" s="16"/>
      <c r="IIZ39" s="16"/>
      <c r="IJA39" s="16"/>
      <c r="IJB39" s="16"/>
      <c r="IJC39" s="16"/>
      <c r="IJD39" s="16"/>
      <c r="IJE39" s="16"/>
      <c r="IJF39" s="16"/>
      <c r="IJG39" s="16"/>
      <c r="IJH39" s="16"/>
      <c r="IJI39" s="16"/>
      <c r="IJJ39" s="16"/>
      <c r="IJK39" s="16"/>
      <c r="IJL39" s="16"/>
      <c r="IJM39" s="16"/>
      <c r="IJN39" s="16"/>
      <c r="IJO39" s="16"/>
      <c r="IJP39" s="16"/>
      <c r="IJQ39" s="16"/>
      <c r="IJR39" s="16"/>
      <c r="IJS39" s="16"/>
      <c r="IJT39" s="16"/>
      <c r="IJU39" s="16"/>
      <c r="IJV39" s="16"/>
      <c r="IJW39" s="16"/>
      <c r="IJX39" s="16"/>
      <c r="IJY39" s="16"/>
      <c r="IJZ39" s="16"/>
      <c r="IKA39" s="16"/>
      <c r="IKB39" s="16"/>
      <c r="IKC39" s="16"/>
      <c r="IKD39" s="16"/>
      <c r="IKE39" s="16"/>
      <c r="IKF39" s="16"/>
      <c r="IKG39" s="16"/>
      <c r="IKH39" s="16"/>
      <c r="IKI39" s="16"/>
      <c r="IKJ39" s="16"/>
      <c r="IKK39" s="16"/>
      <c r="IKL39" s="16"/>
      <c r="IKM39" s="16"/>
      <c r="IKN39" s="16"/>
      <c r="IKO39" s="16"/>
      <c r="IKP39" s="16"/>
      <c r="IKQ39" s="16"/>
      <c r="IKR39" s="16"/>
      <c r="IKS39" s="16"/>
      <c r="IKT39" s="16"/>
      <c r="IKU39" s="16"/>
      <c r="IKV39" s="16"/>
      <c r="IKW39" s="16"/>
      <c r="IKX39" s="16"/>
      <c r="IKY39" s="16"/>
      <c r="IKZ39" s="16"/>
      <c r="ILA39" s="16"/>
      <c r="ILB39" s="16"/>
      <c r="ILC39" s="16"/>
      <c r="ILD39" s="16"/>
      <c r="ILE39" s="16"/>
      <c r="ILF39" s="16"/>
      <c r="ILG39" s="16"/>
      <c r="ILH39" s="16"/>
      <c r="ILI39" s="16"/>
      <c r="ILJ39" s="16"/>
      <c r="ILK39" s="16"/>
      <c r="ILL39" s="16"/>
      <c r="ILM39" s="16"/>
      <c r="ILN39" s="16"/>
      <c r="ILO39" s="16"/>
      <c r="ILP39" s="16"/>
      <c r="ILQ39" s="16"/>
      <c r="ILR39" s="16"/>
      <c r="ILS39" s="16"/>
      <c r="ILT39" s="16"/>
      <c r="ILU39" s="16"/>
      <c r="ILV39" s="16"/>
      <c r="ILW39" s="16"/>
      <c r="ILX39" s="16"/>
      <c r="ILY39" s="16"/>
      <c r="ILZ39" s="16"/>
      <c r="IMA39" s="16"/>
      <c r="IMB39" s="16"/>
      <c r="IMC39" s="16"/>
      <c r="IMD39" s="16"/>
      <c r="IME39" s="16"/>
      <c r="IMF39" s="16"/>
      <c r="IMG39" s="16"/>
      <c r="IMH39" s="16"/>
      <c r="IMI39" s="16"/>
      <c r="IMJ39" s="16"/>
      <c r="IMK39" s="16"/>
      <c r="IML39" s="16"/>
      <c r="IMM39" s="16"/>
      <c r="IMN39" s="16"/>
      <c r="IMO39" s="16"/>
      <c r="IMP39" s="16"/>
      <c r="IMQ39" s="16"/>
      <c r="IMR39" s="16"/>
      <c r="IMS39" s="16"/>
      <c r="IMT39" s="16"/>
      <c r="IMU39" s="16"/>
      <c r="IMV39" s="16"/>
      <c r="IMW39" s="16"/>
      <c r="IMX39" s="16"/>
      <c r="IMY39" s="16"/>
      <c r="IMZ39" s="16"/>
      <c r="INA39" s="16"/>
      <c r="INB39" s="16"/>
      <c r="INC39" s="16"/>
      <c r="IND39" s="16"/>
      <c r="INE39" s="16"/>
      <c r="INF39" s="16"/>
      <c r="ING39" s="16"/>
      <c r="INH39" s="16"/>
      <c r="INI39" s="16"/>
      <c r="INJ39" s="16"/>
      <c r="INK39" s="16"/>
      <c r="INL39" s="16"/>
      <c r="INM39" s="16"/>
      <c r="INN39" s="16"/>
      <c r="INO39" s="16"/>
      <c r="INP39" s="16"/>
      <c r="INQ39" s="16"/>
      <c r="INR39" s="16"/>
      <c r="INS39" s="16"/>
      <c r="INT39" s="16"/>
      <c r="INU39" s="16"/>
      <c r="INV39" s="16"/>
      <c r="INW39" s="16"/>
      <c r="INX39" s="16"/>
      <c r="INY39" s="16"/>
      <c r="INZ39" s="16"/>
      <c r="IOA39" s="16"/>
      <c r="IOB39" s="16"/>
      <c r="IOC39" s="16"/>
      <c r="IOD39" s="16"/>
      <c r="IOE39" s="16"/>
      <c r="IOF39" s="16"/>
      <c r="IOG39" s="16"/>
      <c r="IOH39" s="16"/>
      <c r="IOI39" s="16"/>
      <c r="IOJ39" s="16"/>
      <c r="IOK39" s="16"/>
      <c r="IOL39" s="16"/>
      <c r="IOM39" s="16"/>
      <c r="ION39" s="16"/>
      <c r="IOO39" s="16"/>
      <c r="IOP39" s="16"/>
      <c r="IOQ39" s="16"/>
      <c r="IOR39" s="16"/>
      <c r="IOS39" s="16"/>
      <c r="IOT39" s="16"/>
      <c r="IOU39" s="16"/>
      <c r="IOV39" s="16"/>
      <c r="IOW39" s="16"/>
      <c r="IOX39" s="16"/>
      <c r="IOY39" s="16"/>
      <c r="IOZ39" s="16"/>
      <c r="IPA39" s="16"/>
      <c r="IPB39" s="16"/>
      <c r="IPC39" s="16"/>
      <c r="IPD39" s="16"/>
      <c r="IPE39" s="16"/>
      <c r="IPF39" s="16"/>
      <c r="IPG39" s="16"/>
      <c r="IPH39" s="16"/>
      <c r="IPI39" s="16"/>
      <c r="IPJ39" s="16"/>
      <c r="IPK39" s="16"/>
      <c r="IPL39" s="16"/>
      <c r="IPM39" s="16"/>
      <c r="IPN39" s="16"/>
      <c r="IPO39" s="16"/>
      <c r="IPP39" s="16"/>
      <c r="IPQ39" s="16"/>
      <c r="IPR39" s="16"/>
      <c r="IPS39" s="16"/>
      <c r="IPT39" s="16"/>
      <c r="IPU39" s="16"/>
      <c r="IPV39" s="16"/>
      <c r="IPW39" s="16"/>
      <c r="IPX39" s="16"/>
      <c r="IPY39" s="16"/>
      <c r="IPZ39" s="16"/>
      <c r="IQA39" s="16"/>
      <c r="IQB39" s="16"/>
      <c r="IQC39" s="16"/>
      <c r="IQD39" s="16"/>
      <c r="IQE39" s="16"/>
      <c r="IQF39" s="16"/>
      <c r="IQG39" s="16"/>
      <c r="IQH39" s="16"/>
      <c r="IQI39" s="16"/>
      <c r="IQJ39" s="16"/>
      <c r="IQK39" s="16"/>
      <c r="IQL39" s="16"/>
      <c r="IQM39" s="16"/>
      <c r="IQN39" s="16"/>
      <c r="IQO39" s="16"/>
      <c r="IQP39" s="16"/>
      <c r="IQQ39" s="16"/>
      <c r="IQR39" s="16"/>
      <c r="IQS39" s="16"/>
      <c r="IQT39" s="16"/>
      <c r="IQU39" s="16"/>
      <c r="IQV39" s="16"/>
      <c r="IQW39" s="16"/>
      <c r="IQX39" s="16"/>
      <c r="IQY39" s="16"/>
      <c r="IQZ39" s="16"/>
      <c r="IRA39" s="16"/>
      <c r="IRB39" s="16"/>
      <c r="IRC39" s="16"/>
      <c r="IRD39" s="16"/>
      <c r="IRE39" s="16"/>
      <c r="IRF39" s="16"/>
      <c r="IRG39" s="16"/>
      <c r="IRH39" s="16"/>
      <c r="IRI39" s="16"/>
      <c r="IRJ39" s="16"/>
      <c r="IRK39" s="16"/>
      <c r="IRL39" s="16"/>
      <c r="IRM39" s="16"/>
      <c r="IRN39" s="16"/>
      <c r="IRO39" s="16"/>
      <c r="IRP39" s="16"/>
      <c r="IRQ39" s="16"/>
      <c r="IRR39" s="16"/>
      <c r="IRS39" s="16"/>
      <c r="IRT39" s="16"/>
      <c r="IRU39" s="16"/>
      <c r="IRV39" s="16"/>
      <c r="IRW39" s="16"/>
      <c r="IRX39" s="16"/>
      <c r="IRY39" s="16"/>
      <c r="IRZ39" s="16"/>
      <c r="ISA39" s="16"/>
      <c r="ISB39" s="16"/>
      <c r="ISC39" s="16"/>
      <c r="ISD39" s="16"/>
      <c r="ISE39" s="16"/>
      <c r="ISF39" s="16"/>
      <c r="ISG39" s="16"/>
      <c r="ISH39" s="16"/>
      <c r="ISI39" s="16"/>
      <c r="ISJ39" s="16"/>
      <c r="ISK39" s="16"/>
      <c r="ISL39" s="16"/>
      <c r="ISM39" s="16"/>
      <c r="ISN39" s="16"/>
      <c r="ISO39" s="16"/>
      <c r="ISP39" s="16"/>
      <c r="ISQ39" s="16"/>
      <c r="ISR39" s="16"/>
      <c r="ISS39" s="16"/>
      <c r="IST39" s="16"/>
      <c r="ISU39" s="16"/>
      <c r="ISV39" s="16"/>
      <c r="ISW39" s="16"/>
      <c r="ISX39" s="16"/>
      <c r="ISY39" s="16"/>
      <c r="ISZ39" s="16"/>
      <c r="ITA39" s="16"/>
      <c r="ITB39" s="16"/>
      <c r="ITC39" s="16"/>
      <c r="ITD39" s="16"/>
      <c r="ITE39" s="16"/>
      <c r="ITF39" s="16"/>
      <c r="ITG39" s="16"/>
      <c r="ITH39" s="16"/>
      <c r="ITI39" s="16"/>
      <c r="ITJ39" s="16"/>
      <c r="ITK39" s="16"/>
      <c r="ITL39" s="16"/>
      <c r="ITM39" s="16"/>
      <c r="ITN39" s="16"/>
      <c r="ITO39" s="16"/>
      <c r="ITP39" s="16"/>
      <c r="ITQ39" s="16"/>
      <c r="ITR39" s="16"/>
      <c r="ITS39" s="16"/>
      <c r="ITT39" s="16"/>
      <c r="ITU39" s="16"/>
      <c r="ITV39" s="16"/>
      <c r="ITW39" s="16"/>
      <c r="ITX39" s="16"/>
      <c r="ITY39" s="16"/>
      <c r="ITZ39" s="16"/>
      <c r="IUA39" s="16"/>
      <c r="IUB39" s="16"/>
      <c r="IUC39" s="16"/>
      <c r="IUD39" s="16"/>
      <c r="IUE39" s="16"/>
      <c r="IUF39" s="16"/>
      <c r="IUG39" s="16"/>
      <c r="IUH39" s="16"/>
      <c r="IUI39" s="16"/>
      <c r="IUJ39" s="16"/>
      <c r="IUK39" s="16"/>
      <c r="IUL39" s="16"/>
      <c r="IUM39" s="16"/>
      <c r="IUN39" s="16"/>
      <c r="IUO39" s="16"/>
      <c r="IUP39" s="16"/>
      <c r="IUQ39" s="16"/>
      <c r="IUR39" s="16"/>
      <c r="IUS39" s="16"/>
      <c r="IUT39" s="16"/>
      <c r="IUU39" s="16"/>
      <c r="IUV39" s="16"/>
      <c r="IUW39" s="16"/>
      <c r="IUX39" s="16"/>
      <c r="IUY39" s="16"/>
      <c r="IUZ39" s="16"/>
      <c r="IVA39" s="16"/>
      <c r="IVB39" s="16"/>
      <c r="IVC39" s="16"/>
      <c r="IVD39" s="16"/>
      <c r="IVE39" s="16"/>
      <c r="IVF39" s="16"/>
      <c r="IVG39" s="16"/>
      <c r="IVH39" s="16"/>
      <c r="IVI39" s="16"/>
      <c r="IVJ39" s="16"/>
      <c r="IVK39" s="16"/>
      <c r="IVL39" s="16"/>
      <c r="IVM39" s="16"/>
      <c r="IVN39" s="16"/>
      <c r="IVO39" s="16"/>
      <c r="IVP39" s="16"/>
      <c r="IVQ39" s="16"/>
      <c r="IVR39" s="16"/>
      <c r="IVS39" s="16"/>
      <c r="IVT39" s="16"/>
      <c r="IVU39" s="16"/>
      <c r="IVV39" s="16"/>
      <c r="IVW39" s="16"/>
      <c r="IVX39" s="16"/>
      <c r="IVY39" s="16"/>
      <c r="IVZ39" s="16"/>
      <c r="IWA39" s="16"/>
      <c r="IWB39" s="16"/>
      <c r="IWC39" s="16"/>
      <c r="IWD39" s="16"/>
      <c r="IWE39" s="16"/>
      <c r="IWF39" s="16"/>
      <c r="IWG39" s="16"/>
      <c r="IWH39" s="16"/>
      <c r="IWI39" s="16"/>
      <c r="IWJ39" s="16"/>
      <c r="IWK39" s="16"/>
      <c r="IWL39" s="16"/>
      <c r="IWM39" s="16"/>
      <c r="IWN39" s="16"/>
      <c r="IWO39" s="16"/>
      <c r="IWP39" s="16"/>
      <c r="IWQ39" s="16"/>
      <c r="IWR39" s="16"/>
      <c r="IWS39" s="16"/>
      <c r="IWT39" s="16"/>
      <c r="IWU39" s="16"/>
      <c r="IWV39" s="16"/>
      <c r="IWW39" s="16"/>
      <c r="IWX39" s="16"/>
      <c r="IWY39" s="16"/>
      <c r="IWZ39" s="16"/>
      <c r="IXA39" s="16"/>
      <c r="IXB39" s="16"/>
      <c r="IXC39" s="16"/>
      <c r="IXD39" s="16"/>
      <c r="IXE39" s="16"/>
      <c r="IXF39" s="16"/>
      <c r="IXG39" s="16"/>
      <c r="IXH39" s="16"/>
      <c r="IXI39" s="16"/>
      <c r="IXJ39" s="16"/>
      <c r="IXK39" s="16"/>
      <c r="IXL39" s="16"/>
      <c r="IXM39" s="16"/>
      <c r="IXN39" s="16"/>
      <c r="IXO39" s="16"/>
      <c r="IXP39" s="16"/>
      <c r="IXQ39" s="16"/>
      <c r="IXR39" s="16"/>
      <c r="IXS39" s="16"/>
      <c r="IXT39" s="16"/>
      <c r="IXU39" s="16"/>
      <c r="IXV39" s="16"/>
      <c r="IXW39" s="16"/>
      <c r="IXX39" s="16"/>
      <c r="IXY39" s="16"/>
      <c r="IXZ39" s="16"/>
      <c r="IYA39" s="16"/>
      <c r="IYB39" s="16"/>
      <c r="IYC39" s="16"/>
      <c r="IYD39" s="16"/>
      <c r="IYE39" s="16"/>
      <c r="IYF39" s="16"/>
      <c r="IYG39" s="16"/>
      <c r="IYH39" s="16"/>
      <c r="IYI39" s="16"/>
      <c r="IYJ39" s="16"/>
      <c r="IYK39" s="16"/>
      <c r="IYL39" s="16"/>
      <c r="IYM39" s="16"/>
      <c r="IYN39" s="16"/>
      <c r="IYO39" s="16"/>
      <c r="IYP39" s="16"/>
      <c r="IYQ39" s="16"/>
      <c r="IYR39" s="16"/>
      <c r="IYS39" s="16"/>
      <c r="IYT39" s="16"/>
      <c r="IYU39" s="16"/>
      <c r="IYV39" s="16"/>
      <c r="IYW39" s="16"/>
      <c r="IYX39" s="16"/>
      <c r="IYY39" s="16"/>
      <c r="IYZ39" s="16"/>
      <c r="IZA39" s="16"/>
      <c r="IZB39" s="16"/>
      <c r="IZC39" s="16"/>
      <c r="IZD39" s="16"/>
      <c r="IZE39" s="16"/>
      <c r="IZF39" s="16"/>
      <c r="IZG39" s="16"/>
      <c r="IZH39" s="16"/>
      <c r="IZI39" s="16"/>
      <c r="IZJ39" s="16"/>
      <c r="IZK39" s="16"/>
      <c r="IZL39" s="16"/>
      <c r="IZM39" s="16"/>
      <c r="IZN39" s="16"/>
      <c r="IZO39" s="16"/>
      <c r="IZP39" s="16"/>
      <c r="IZQ39" s="16"/>
      <c r="IZR39" s="16"/>
      <c r="IZS39" s="16"/>
      <c r="IZT39" s="16"/>
      <c r="IZU39" s="16"/>
      <c r="IZV39" s="16"/>
      <c r="IZW39" s="16"/>
      <c r="IZX39" s="16"/>
      <c r="IZY39" s="16"/>
      <c r="IZZ39" s="16"/>
      <c r="JAA39" s="16"/>
      <c r="JAB39" s="16"/>
      <c r="JAC39" s="16"/>
      <c r="JAD39" s="16"/>
      <c r="JAE39" s="16"/>
      <c r="JAF39" s="16"/>
      <c r="JAG39" s="16"/>
      <c r="JAH39" s="16"/>
      <c r="JAI39" s="16"/>
      <c r="JAJ39" s="16"/>
      <c r="JAK39" s="16"/>
      <c r="JAL39" s="16"/>
      <c r="JAM39" s="16"/>
      <c r="JAN39" s="16"/>
      <c r="JAO39" s="16"/>
      <c r="JAP39" s="16"/>
      <c r="JAQ39" s="16"/>
      <c r="JAR39" s="16"/>
      <c r="JAS39" s="16"/>
      <c r="JAT39" s="16"/>
      <c r="JAU39" s="16"/>
      <c r="JAV39" s="16"/>
      <c r="JAW39" s="16"/>
      <c r="JAX39" s="16"/>
      <c r="JAY39" s="16"/>
      <c r="JAZ39" s="16"/>
      <c r="JBA39" s="16"/>
      <c r="JBB39" s="16"/>
      <c r="JBC39" s="16"/>
      <c r="JBD39" s="16"/>
      <c r="JBE39" s="16"/>
      <c r="JBF39" s="16"/>
      <c r="JBG39" s="16"/>
      <c r="JBH39" s="16"/>
      <c r="JBI39" s="16"/>
      <c r="JBJ39" s="16"/>
      <c r="JBK39" s="16"/>
      <c r="JBL39" s="16"/>
      <c r="JBM39" s="16"/>
      <c r="JBN39" s="16"/>
      <c r="JBO39" s="16"/>
      <c r="JBP39" s="16"/>
      <c r="JBQ39" s="16"/>
      <c r="JBR39" s="16"/>
      <c r="JBS39" s="16"/>
      <c r="JBT39" s="16"/>
      <c r="JBU39" s="16"/>
      <c r="JBV39" s="16"/>
      <c r="JBW39" s="16"/>
      <c r="JBX39" s="16"/>
      <c r="JBY39" s="16"/>
      <c r="JBZ39" s="16"/>
      <c r="JCA39" s="16"/>
      <c r="JCB39" s="16"/>
      <c r="JCC39" s="16"/>
      <c r="JCD39" s="16"/>
      <c r="JCE39" s="16"/>
      <c r="JCF39" s="16"/>
      <c r="JCG39" s="16"/>
      <c r="JCH39" s="16"/>
      <c r="JCI39" s="16"/>
      <c r="JCJ39" s="16"/>
      <c r="JCK39" s="16"/>
      <c r="JCL39" s="16"/>
      <c r="JCM39" s="16"/>
      <c r="JCN39" s="16"/>
      <c r="JCO39" s="16"/>
      <c r="JCP39" s="16"/>
      <c r="JCQ39" s="16"/>
      <c r="JCR39" s="16"/>
      <c r="JCS39" s="16"/>
      <c r="JCT39" s="16"/>
      <c r="JCU39" s="16"/>
      <c r="JCV39" s="16"/>
      <c r="JCW39" s="16"/>
      <c r="JCX39" s="16"/>
      <c r="JCY39" s="16"/>
      <c r="JCZ39" s="16"/>
      <c r="JDA39" s="16"/>
      <c r="JDB39" s="16"/>
      <c r="JDC39" s="16"/>
      <c r="JDD39" s="16"/>
      <c r="JDE39" s="16"/>
      <c r="JDF39" s="16"/>
      <c r="JDG39" s="16"/>
      <c r="JDH39" s="16"/>
      <c r="JDI39" s="16"/>
      <c r="JDJ39" s="16"/>
      <c r="JDK39" s="16"/>
      <c r="JDL39" s="16"/>
      <c r="JDM39" s="16"/>
      <c r="JDN39" s="16"/>
      <c r="JDO39" s="16"/>
      <c r="JDP39" s="16"/>
      <c r="JDQ39" s="16"/>
      <c r="JDR39" s="16"/>
      <c r="JDS39" s="16"/>
      <c r="JDT39" s="16"/>
      <c r="JDU39" s="16"/>
      <c r="JDV39" s="16"/>
      <c r="JDW39" s="16"/>
      <c r="JDX39" s="16"/>
      <c r="JDY39" s="16"/>
      <c r="JDZ39" s="16"/>
      <c r="JEA39" s="16"/>
      <c r="JEB39" s="16"/>
      <c r="JEC39" s="16"/>
      <c r="JED39" s="16"/>
      <c r="JEE39" s="16"/>
      <c r="JEF39" s="16"/>
      <c r="JEG39" s="16"/>
      <c r="JEH39" s="16"/>
      <c r="JEI39" s="16"/>
      <c r="JEJ39" s="16"/>
      <c r="JEK39" s="16"/>
      <c r="JEL39" s="16"/>
      <c r="JEM39" s="16"/>
      <c r="JEN39" s="16"/>
      <c r="JEO39" s="16"/>
      <c r="JEP39" s="16"/>
      <c r="JEQ39" s="16"/>
      <c r="JER39" s="16"/>
      <c r="JES39" s="16"/>
      <c r="JET39" s="16"/>
      <c r="JEU39" s="16"/>
      <c r="JEV39" s="16"/>
      <c r="JEW39" s="16"/>
      <c r="JEX39" s="16"/>
      <c r="JEY39" s="16"/>
      <c r="JEZ39" s="16"/>
      <c r="JFA39" s="16"/>
      <c r="JFB39" s="16"/>
      <c r="JFC39" s="16"/>
      <c r="JFD39" s="16"/>
      <c r="JFE39" s="16"/>
      <c r="JFF39" s="16"/>
      <c r="JFG39" s="16"/>
      <c r="JFH39" s="16"/>
      <c r="JFI39" s="16"/>
      <c r="JFJ39" s="16"/>
      <c r="JFK39" s="16"/>
      <c r="JFL39" s="16"/>
      <c r="JFM39" s="16"/>
      <c r="JFN39" s="16"/>
      <c r="JFO39" s="16"/>
      <c r="JFP39" s="16"/>
      <c r="JFQ39" s="16"/>
      <c r="JFR39" s="16"/>
      <c r="JFS39" s="16"/>
      <c r="JFT39" s="16"/>
      <c r="JFU39" s="16"/>
      <c r="JFV39" s="16"/>
      <c r="JFW39" s="16"/>
      <c r="JFX39" s="16"/>
      <c r="JFY39" s="16"/>
      <c r="JFZ39" s="16"/>
      <c r="JGA39" s="16"/>
      <c r="JGB39" s="16"/>
      <c r="JGC39" s="16"/>
      <c r="JGD39" s="16"/>
      <c r="JGE39" s="16"/>
      <c r="JGF39" s="16"/>
      <c r="JGG39" s="16"/>
      <c r="JGH39" s="16"/>
      <c r="JGI39" s="16"/>
      <c r="JGJ39" s="16"/>
      <c r="JGK39" s="16"/>
      <c r="JGL39" s="16"/>
      <c r="JGM39" s="16"/>
      <c r="JGN39" s="16"/>
      <c r="JGO39" s="16"/>
      <c r="JGP39" s="16"/>
      <c r="JGQ39" s="16"/>
      <c r="JGR39" s="16"/>
      <c r="JGS39" s="16"/>
      <c r="JGT39" s="16"/>
      <c r="JGU39" s="16"/>
      <c r="JGV39" s="16"/>
      <c r="JGW39" s="16"/>
      <c r="JGX39" s="16"/>
      <c r="JGY39" s="16"/>
      <c r="JGZ39" s="16"/>
      <c r="JHA39" s="16"/>
      <c r="JHB39" s="16"/>
      <c r="JHC39" s="16"/>
      <c r="JHD39" s="16"/>
      <c r="JHE39" s="16"/>
      <c r="JHF39" s="16"/>
      <c r="JHG39" s="16"/>
      <c r="JHH39" s="16"/>
      <c r="JHI39" s="16"/>
      <c r="JHJ39" s="16"/>
      <c r="JHK39" s="16"/>
      <c r="JHL39" s="16"/>
      <c r="JHM39" s="16"/>
      <c r="JHN39" s="16"/>
      <c r="JHO39" s="16"/>
      <c r="JHP39" s="16"/>
      <c r="JHQ39" s="16"/>
      <c r="JHR39" s="16"/>
      <c r="JHS39" s="16"/>
      <c r="JHT39" s="16"/>
      <c r="JHU39" s="16"/>
      <c r="JHV39" s="16"/>
      <c r="JHW39" s="16"/>
      <c r="JHX39" s="16"/>
      <c r="JHY39" s="16"/>
      <c r="JHZ39" s="16"/>
      <c r="JIA39" s="16"/>
      <c r="JIB39" s="16"/>
      <c r="JIC39" s="16"/>
      <c r="JID39" s="16"/>
      <c r="JIE39" s="16"/>
      <c r="JIF39" s="16"/>
      <c r="JIG39" s="16"/>
      <c r="JIH39" s="16"/>
      <c r="JII39" s="16"/>
      <c r="JIJ39" s="16"/>
      <c r="JIK39" s="16"/>
      <c r="JIL39" s="16"/>
      <c r="JIM39" s="16"/>
      <c r="JIN39" s="16"/>
      <c r="JIO39" s="16"/>
      <c r="JIP39" s="16"/>
      <c r="JIQ39" s="16"/>
      <c r="JIR39" s="16"/>
      <c r="JIS39" s="16"/>
      <c r="JIT39" s="16"/>
      <c r="JIU39" s="16"/>
      <c r="JIV39" s="16"/>
      <c r="JIW39" s="16"/>
      <c r="JIX39" s="16"/>
      <c r="JIY39" s="16"/>
      <c r="JIZ39" s="16"/>
      <c r="JJA39" s="16"/>
      <c r="JJB39" s="16"/>
      <c r="JJC39" s="16"/>
      <c r="JJD39" s="16"/>
      <c r="JJE39" s="16"/>
      <c r="JJF39" s="16"/>
      <c r="JJG39" s="16"/>
      <c r="JJH39" s="16"/>
      <c r="JJI39" s="16"/>
      <c r="JJJ39" s="16"/>
      <c r="JJK39" s="16"/>
      <c r="JJL39" s="16"/>
      <c r="JJM39" s="16"/>
      <c r="JJN39" s="16"/>
      <c r="JJO39" s="16"/>
      <c r="JJP39" s="16"/>
      <c r="JJQ39" s="16"/>
      <c r="JJR39" s="16"/>
      <c r="JJS39" s="16"/>
      <c r="JJT39" s="16"/>
      <c r="JJU39" s="16"/>
      <c r="JJV39" s="16"/>
      <c r="JJW39" s="16"/>
      <c r="JJX39" s="16"/>
      <c r="JJY39" s="16"/>
      <c r="JJZ39" s="16"/>
      <c r="JKA39" s="16"/>
      <c r="JKB39" s="16"/>
      <c r="JKC39" s="16"/>
      <c r="JKD39" s="16"/>
      <c r="JKE39" s="16"/>
      <c r="JKF39" s="16"/>
      <c r="JKG39" s="16"/>
      <c r="JKH39" s="16"/>
      <c r="JKI39" s="16"/>
      <c r="JKJ39" s="16"/>
      <c r="JKK39" s="16"/>
      <c r="JKL39" s="16"/>
      <c r="JKM39" s="16"/>
      <c r="JKN39" s="16"/>
      <c r="JKO39" s="16"/>
      <c r="JKP39" s="16"/>
      <c r="JKQ39" s="16"/>
      <c r="JKR39" s="16"/>
      <c r="JKS39" s="16"/>
      <c r="JKT39" s="16"/>
      <c r="JKU39" s="16"/>
      <c r="JKV39" s="16"/>
      <c r="JKW39" s="16"/>
      <c r="JKX39" s="16"/>
      <c r="JKY39" s="16"/>
      <c r="JKZ39" s="16"/>
      <c r="JLA39" s="16"/>
      <c r="JLB39" s="16"/>
      <c r="JLC39" s="16"/>
      <c r="JLD39" s="16"/>
      <c r="JLE39" s="16"/>
      <c r="JLF39" s="16"/>
      <c r="JLG39" s="16"/>
      <c r="JLH39" s="16"/>
      <c r="JLI39" s="16"/>
      <c r="JLJ39" s="16"/>
      <c r="JLK39" s="16"/>
      <c r="JLL39" s="16"/>
      <c r="JLM39" s="16"/>
      <c r="JLN39" s="16"/>
      <c r="JLO39" s="16"/>
      <c r="JLP39" s="16"/>
      <c r="JLQ39" s="16"/>
      <c r="JLR39" s="16"/>
      <c r="JLS39" s="16"/>
      <c r="JLT39" s="16"/>
      <c r="JLU39" s="16"/>
      <c r="JLV39" s="16"/>
      <c r="JLW39" s="16"/>
      <c r="JLX39" s="16"/>
      <c r="JLY39" s="16"/>
      <c r="JLZ39" s="16"/>
      <c r="JMA39" s="16"/>
      <c r="JMB39" s="16"/>
      <c r="JMC39" s="16"/>
      <c r="JMD39" s="16"/>
      <c r="JME39" s="16"/>
      <c r="JMF39" s="16"/>
      <c r="JMG39" s="16"/>
      <c r="JMH39" s="16"/>
      <c r="JMI39" s="16"/>
      <c r="JMJ39" s="16"/>
      <c r="JMK39" s="16"/>
      <c r="JML39" s="16"/>
      <c r="JMM39" s="16"/>
      <c r="JMN39" s="16"/>
      <c r="JMO39" s="16"/>
      <c r="JMP39" s="16"/>
      <c r="JMQ39" s="16"/>
      <c r="JMR39" s="16"/>
      <c r="JMS39" s="16"/>
      <c r="JMT39" s="16"/>
      <c r="JMU39" s="16"/>
      <c r="JMV39" s="16"/>
      <c r="JMW39" s="16"/>
      <c r="JMX39" s="16"/>
      <c r="JMY39" s="16"/>
      <c r="JMZ39" s="16"/>
      <c r="JNA39" s="16"/>
      <c r="JNB39" s="16"/>
      <c r="JNC39" s="16"/>
      <c r="JND39" s="16"/>
      <c r="JNE39" s="16"/>
      <c r="JNF39" s="16"/>
      <c r="JNG39" s="16"/>
      <c r="JNH39" s="16"/>
      <c r="JNI39" s="16"/>
      <c r="JNJ39" s="16"/>
      <c r="JNK39" s="16"/>
      <c r="JNL39" s="16"/>
      <c r="JNM39" s="16"/>
      <c r="JNN39" s="16"/>
      <c r="JNO39" s="16"/>
      <c r="JNP39" s="16"/>
      <c r="JNQ39" s="16"/>
      <c r="JNR39" s="16"/>
      <c r="JNS39" s="16"/>
      <c r="JNT39" s="16"/>
      <c r="JNU39" s="16"/>
      <c r="JNV39" s="16"/>
      <c r="JNW39" s="16"/>
      <c r="JNX39" s="16"/>
      <c r="JNY39" s="16"/>
      <c r="JNZ39" s="16"/>
      <c r="JOA39" s="16"/>
      <c r="JOB39" s="16"/>
      <c r="JOC39" s="16"/>
      <c r="JOD39" s="16"/>
      <c r="JOE39" s="16"/>
      <c r="JOF39" s="16"/>
      <c r="JOG39" s="16"/>
      <c r="JOH39" s="16"/>
      <c r="JOI39" s="16"/>
      <c r="JOJ39" s="16"/>
      <c r="JOK39" s="16"/>
      <c r="JOL39" s="16"/>
      <c r="JOM39" s="16"/>
      <c r="JON39" s="16"/>
      <c r="JOO39" s="16"/>
      <c r="JOP39" s="16"/>
      <c r="JOQ39" s="16"/>
      <c r="JOR39" s="16"/>
      <c r="JOS39" s="16"/>
      <c r="JOT39" s="16"/>
      <c r="JOU39" s="16"/>
      <c r="JOV39" s="16"/>
      <c r="JOW39" s="16"/>
      <c r="JOX39" s="16"/>
      <c r="JOY39" s="16"/>
      <c r="JOZ39" s="16"/>
      <c r="JPA39" s="16"/>
      <c r="JPB39" s="16"/>
      <c r="JPC39" s="16"/>
      <c r="JPD39" s="16"/>
      <c r="JPE39" s="16"/>
      <c r="JPF39" s="16"/>
      <c r="JPG39" s="16"/>
      <c r="JPH39" s="16"/>
      <c r="JPI39" s="16"/>
      <c r="JPJ39" s="16"/>
      <c r="JPK39" s="16"/>
      <c r="JPL39" s="16"/>
      <c r="JPM39" s="16"/>
      <c r="JPN39" s="16"/>
      <c r="JPO39" s="16"/>
      <c r="JPP39" s="16"/>
      <c r="JPQ39" s="16"/>
      <c r="JPR39" s="16"/>
      <c r="JPS39" s="16"/>
      <c r="JPT39" s="16"/>
      <c r="JPU39" s="16"/>
      <c r="JPV39" s="16"/>
      <c r="JPW39" s="16"/>
      <c r="JPX39" s="16"/>
      <c r="JPY39" s="16"/>
      <c r="JPZ39" s="16"/>
      <c r="JQA39" s="16"/>
      <c r="JQB39" s="16"/>
      <c r="JQC39" s="16"/>
      <c r="JQD39" s="16"/>
      <c r="JQE39" s="16"/>
      <c r="JQF39" s="16"/>
      <c r="JQG39" s="16"/>
      <c r="JQH39" s="16"/>
      <c r="JQI39" s="16"/>
      <c r="JQJ39" s="16"/>
      <c r="JQK39" s="16"/>
      <c r="JQL39" s="16"/>
      <c r="JQM39" s="16"/>
      <c r="JQN39" s="16"/>
      <c r="JQO39" s="16"/>
      <c r="JQP39" s="16"/>
      <c r="JQQ39" s="16"/>
      <c r="JQR39" s="16"/>
      <c r="JQS39" s="16"/>
      <c r="JQT39" s="16"/>
      <c r="JQU39" s="16"/>
      <c r="JQV39" s="16"/>
      <c r="JQW39" s="16"/>
      <c r="JQX39" s="16"/>
      <c r="JQY39" s="16"/>
      <c r="JQZ39" s="16"/>
      <c r="JRA39" s="16"/>
      <c r="JRB39" s="16"/>
      <c r="JRC39" s="16"/>
      <c r="JRD39" s="16"/>
      <c r="JRE39" s="16"/>
      <c r="JRF39" s="16"/>
      <c r="JRG39" s="16"/>
      <c r="JRH39" s="16"/>
      <c r="JRI39" s="16"/>
      <c r="JRJ39" s="16"/>
      <c r="JRK39" s="16"/>
      <c r="JRL39" s="16"/>
      <c r="JRM39" s="16"/>
      <c r="JRN39" s="16"/>
      <c r="JRO39" s="16"/>
      <c r="JRP39" s="16"/>
      <c r="JRQ39" s="16"/>
      <c r="JRR39" s="16"/>
      <c r="JRS39" s="16"/>
      <c r="JRT39" s="16"/>
      <c r="JRU39" s="16"/>
      <c r="JRV39" s="16"/>
      <c r="JRW39" s="16"/>
      <c r="JRX39" s="16"/>
      <c r="JRY39" s="16"/>
      <c r="JRZ39" s="16"/>
      <c r="JSA39" s="16"/>
      <c r="JSB39" s="16"/>
      <c r="JSC39" s="16"/>
      <c r="JSD39" s="16"/>
      <c r="JSE39" s="16"/>
      <c r="JSF39" s="16"/>
      <c r="JSG39" s="16"/>
      <c r="JSH39" s="16"/>
      <c r="JSI39" s="16"/>
      <c r="JSJ39" s="16"/>
      <c r="JSK39" s="16"/>
      <c r="JSL39" s="16"/>
      <c r="JSM39" s="16"/>
      <c r="JSN39" s="16"/>
      <c r="JSO39" s="16"/>
      <c r="JSP39" s="16"/>
      <c r="JSQ39" s="16"/>
      <c r="JSR39" s="16"/>
      <c r="JSS39" s="16"/>
      <c r="JST39" s="16"/>
      <c r="JSU39" s="16"/>
      <c r="JSV39" s="16"/>
      <c r="JSW39" s="16"/>
      <c r="JSX39" s="16"/>
      <c r="JSY39" s="16"/>
      <c r="JSZ39" s="16"/>
      <c r="JTA39" s="16"/>
      <c r="JTB39" s="16"/>
      <c r="JTC39" s="16"/>
      <c r="JTD39" s="16"/>
      <c r="JTE39" s="16"/>
      <c r="JTF39" s="16"/>
      <c r="JTG39" s="16"/>
      <c r="JTH39" s="16"/>
      <c r="JTI39" s="16"/>
      <c r="JTJ39" s="16"/>
      <c r="JTK39" s="16"/>
      <c r="JTL39" s="16"/>
      <c r="JTM39" s="16"/>
      <c r="JTN39" s="16"/>
      <c r="JTO39" s="16"/>
      <c r="JTP39" s="16"/>
      <c r="JTQ39" s="16"/>
      <c r="JTR39" s="16"/>
      <c r="JTS39" s="16"/>
      <c r="JTT39" s="16"/>
      <c r="JTU39" s="16"/>
      <c r="JTV39" s="16"/>
      <c r="JTW39" s="16"/>
      <c r="JTX39" s="16"/>
      <c r="JTY39" s="16"/>
      <c r="JTZ39" s="16"/>
      <c r="JUA39" s="16"/>
      <c r="JUB39" s="16"/>
      <c r="JUC39" s="16"/>
      <c r="JUD39" s="16"/>
      <c r="JUE39" s="16"/>
      <c r="JUF39" s="16"/>
      <c r="JUG39" s="16"/>
      <c r="JUH39" s="16"/>
      <c r="JUI39" s="16"/>
      <c r="JUJ39" s="16"/>
      <c r="JUK39" s="16"/>
      <c r="JUL39" s="16"/>
      <c r="JUM39" s="16"/>
      <c r="JUN39" s="16"/>
      <c r="JUO39" s="16"/>
      <c r="JUP39" s="16"/>
      <c r="JUQ39" s="16"/>
      <c r="JUR39" s="16"/>
      <c r="JUS39" s="16"/>
      <c r="JUT39" s="16"/>
      <c r="JUU39" s="16"/>
      <c r="JUV39" s="16"/>
      <c r="JUW39" s="16"/>
      <c r="JUX39" s="16"/>
      <c r="JUY39" s="16"/>
      <c r="JUZ39" s="16"/>
      <c r="JVA39" s="16"/>
      <c r="JVB39" s="16"/>
      <c r="JVC39" s="16"/>
      <c r="JVD39" s="16"/>
      <c r="JVE39" s="16"/>
      <c r="JVF39" s="16"/>
      <c r="JVG39" s="16"/>
      <c r="JVH39" s="16"/>
      <c r="JVI39" s="16"/>
      <c r="JVJ39" s="16"/>
      <c r="JVK39" s="16"/>
      <c r="JVL39" s="16"/>
      <c r="JVM39" s="16"/>
      <c r="JVN39" s="16"/>
      <c r="JVO39" s="16"/>
      <c r="JVP39" s="16"/>
      <c r="JVQ39" s="16"/>
      <c r="JVR39" s="16"/>
      <c r="JVS39" s="16"/>
      <c r="JVT39" s="16"/>
      <c r="JVU39" s="16"/>
      <c r="JVV39" s="16"/>
      <c r="JVW39" s="16"/>
      <c r="JVX39" s="16"/>
      <c r="JVY39" s="16"/>
      <c r="JVZ39" s="16"/>
      <c r="JWA39" s="16"/>
      <c r="JWB39" s="16"/>
      <c r="JWC39" s="16"/>
      <c r="JWD39" s="16"/>
      <c r="JWE39" s="16"/>
      <c r="JWF39" s="16"/>
      <c r="JWG39" s="16"/>
      <c r="JWH39" s="16"/>
      <c r="JWI39" s="16"/>
      <c r="JWJ39" s="16"/>
      <c r="JWK39" s="16"/>
      <c r="JWL39" s="16"/>
      <c r="JWM39" s="16"/>
      <c r="JWN39" s="16"/>
      <c r="JWO39" s="16"/>
      <c r="JWP39" s="16"/>
      <c r="JWQ39" s="16"/>
      <c r="JWR39" s="16"/>
      <c r="JWS39" s="16"/>
      <c r="JWT39" s="16"/>
      <c r="JWU39" s="16"/>
      <c r="JWV39" s="16"/>
      <c r="JWW39" s="16"/>
      <c r="JWX39" s="16"/>
      <c r="JWY39" s="16"/>
      <c r="JWZ39" s="16"/>
      <c r="JXA39" s="16"/>
      <c r="JXB39" s="16"/>
      <c r="JXC39" s="16"/>
      <c r="JXD39" s="16"/>
      <c r="JXE39" s="16"/>
      <c r="JXF39" s="16"/>
      <c r="JXG39" s="16"/>
      <c r="JXH39" s="16"/>
      <c r="JXI39" s="16"/>
      <c r="JXJ39" s="16"/>
      <c r="JXK39" s="16"/>
      <c r="JXL39" s="16"/>
      <c r="JXM39" s="16"/>
      <c r="JXN39" s="16"/>
      <c r="JXO39" s="16"/>
      <c r="JXP39" s="16"/>
      <c r="JXQ39" s="16"/>
      <c r="JXR39" s="16"/>
      <c r="JXS39" s="16"/>
      <c r="JXT39" s="16"/>
      <c r="JXU39" s="16"/>
      <c r="JXV39" s="16"/>
      <c r="JXW39" s="16"/>
      <c r="JXX39" s="16"/>
      <c r="JXY39" s="16"/>
      <c r="JXZ39" s="16"/>
      <c r="JYA39" s="16"/>
      <c r="JYB39" s="16"/>
      <c r="JYC39" s="16"/>
      <c r="JYD39" s="16"/>
      <c r="JYE39" s="16"/>
      <c r="JYF39" s="16"/>
      <c r="JYG39" s="16"/>
      <c r="JYH39" s="16"/>
      <c r="JYI39" s="16"/>
      <c r="JYJ39" s="16"/>
      <c r="JYK39" s="16"/>
      <c r="JYL39" s="16"/>
      <c r="JYM39" s="16"/>
      <c r="JYN39" s="16"/>
      <c r="JYO39" s="16"/>
      <c r="JYP39" s="16"/>
      <c r="JYQ39" s="16"/>
      <c r="JYR39" s="16"/>
      <c r="JYS39" s="16"/>
      <c r="JYT39" s="16"/>
      <c r="JYU39" s="16"/>
      <c r="JYV39" s="16"/>
      <c r="JYW39" s="16"/>
      <c r="JYX39" s="16"/>
      <c r="JYY39" s="16"/>
      <c r="JYZ39" s="16"/>
      <c r="JZA39" s="16"/>
      <c r="JZB39" s="16"/>
      <c r="JZC39" s="16"/>
      <c r="JZD39" s="16"/>
      <c r="JZE39" s="16"/>
      <c r="JZF39" s="16"/>
      <c r="JZG39" s="16"/>
      <c r="JZH39" s="16"/>
      <c r="JZI39" s="16"/>
      <c r="JZJ39" s="16"/>
      <c r="JZK39" s="16"/>
      <c r="JZL39" s="16"/>
      <c r="JZM39" s="16"/>
      <c r="JZN39" s="16"/>
      <c r="JZO39" s="16"/>
      <c r="JZP39" s="16"/>
      <c r="JZQ39" s="16"/>
      <c r="JZR39" s="16"/>
      <c r="JZS39" s="16"/>
      <c r="JZT39" s="16"/>
      <c r="JZU39" s="16"/>
      <c r="JZV39" s="16"/>
      <c r="JZW39" s="16"/>
      <c r="JZX39" s="16"/>
      <c r="JZY39" s="16"/>
      <c r="JZZ39" s="16"/>
      <c r="KAA39" s="16"/>
      <c r="KAB39" s="16"/>
      <c r="KAC39" s="16"/>
      <c r="KAD39" s="16"/>
      <c r="KAE39" s="16"/>
      <c r="KAF39" s="16"/>
      <c r="KAG39" s="16"/>
      <c r="KAH39" s="16"/>
      <c r="KAI39" s="16"/>
      <c r="KAJ39" s="16"/>
      <c r="KAK39" s="16"/>
      <c r="KAL39" s="16"/>
      <c r="KAM39" s="16"/>
      <c r="KAN39" s="16"/>
      <c r="KAO39" s="16"/>
      <c r="KAP39" s="16"/>
      <c r="KAQ39" s="16"/>
      <c r="KAR39" s="16"/>
      <c r="KAS39" s="16"/>
      <c r="KAT39" s="16"/>
      <c r="KAU39" s="16"/>
      <c r="KAV39" s="16"/>
      <c r="KAW39" s="16"/>
      <c r="KAX39" s="16"/>
      <c r="KAY39" s="16"/>
      <c r="KAZ39" s="16"/>
      <c r="KBA39" s="16"/>
      <c r="KBB39" s="16"/>
      <c r="KBC39" s="16"/>
      <c r="KBD39" s="16"/>
      <c r="KBE39" s="16"/>
      <c r="KBF39" s="16"/>
      <c r="KBG39" s="16"/>
      <c r="KBH39" s="16"/>
      <c r="KBI39" s="16"/>
      <c r="KBJ39" s="16"/>
      <c r="KBK39" s="16"/>
      <c r="KBL39" s="16"/>
      <c r="KBM39" s="16"/>
      <c r="KBN39" s="16"/>
      <c r="KBO39" s="16"/>
      <c r="KBP39" s="16"/>
      <c r="KBQ39" s="16"/>
      <c r="KBR39" s="16"/>
      <c r="KBS39" s="16"/>
      <c r="KBT39" s="16"/>
      <c r="KBU39" s="16"/>
      <c r="KBV39" s="16"/>
      <c r="KBW39" s="16"/>
      <c r="KBX39" s="16"/>
      <c r="KBY39" s="16"/>
      <c r="KBZ39" s="16"/>
      <c r="KCA39" s="16"/>
      <c r="KCB39" s="16"/>
      <c r="KCC39" s="16"/>
      <c r="KCD39" s="16"/>
      <c r="KCE39" s="16"/>
      <c r="KCF39" s="16"/>
      <c r="KCG39" s="16"/>
      <c r="KCH39" s="16"/>
      <c r="KCI39" s="16"/>
      <c r="KCJ39" s="16"/>
      <c r="KCK39" s="16"/>
      <c r="KCL39" s="16"/>
      <c r="KCM39" s="16"/>
      <c r="KCN39" s="16"/>
      <c r="KCO39" s="16"/>
      <c r="KCP39" s="16"/>
      <c r="KCQ39" s="16"/>
      <c r="KCR39" s="16"/>
      <c r="KCS39" s="16"/>
      <c r="KCT39" s="16"/>
      <c r="KCU39" s="16"/>
      <c r="KCV39" s="16"/>
      <c r="KCW39" s="16"/>
      <c r="KCX39" s="16"/>
      <c r="KCY39" s="16"/>
      <c r="KCZ39" s="16"/>
      <c r="KDA39" s="16"/>
      <c r="KDB39" s="16"/>
      <c r="KDC39" s="16"/>
      <c r="KDD39" s="16"/>
      <c r="KDE39" s="16"/>
      <c r="KDF39" s="16"/>
      <c r="KDG39" s="16"/>
      <c r="KDH39" s="16"/>
      <c r="KDI39" s="16"/>
      <c r="KDJ39" s="16"/>
      <c r="KDK39" s="16"/>
      <c r="KDL39" s="16"/>
      <c r="KDM39" s="16"/>
      <c r="KDN39" s="16"/>
      <c r="KDO39" s="16"/>
      <c r="KDP39" s="16"/>
      <c r="KDQ39" s="16"/>
      <c r="KDR39" s="16"/>
      <c r="KDS39" s="16"/>
      <c r="KDT39" s="16"/>
      <c r="KDU39" s="16"/>
      <c r="KDV39" s="16"/>
      <c r="KDW39" s="16"/>
      <c r="KDX39" s="16"/>
      <c r="KDY39" s="16"/>
      <c r="KDZ39" s="16"/>
      <c r="KEA39" s="16"/>
      <c r="KEB39" s="16"/>
      <c r="KEC39" s="16"/>
      <c r="KED39" s="16"/>
      <c r="KEE39" s="16"/>
      <c r="KEF39" s="16"/>
      <c r="KEG39" s="16"/>
      <c r="KEH39" s="16"/>
      <c r="KEI39" s="16"/>
      <c r="KEJ39" s="16"/>
      <c r="KEK39" s="16"/>
      <c r="KEL39" s="16"/>
      <c r="KEM39" s="16"/>
      <c r="KEN39" s="16"/>
      <c r="KEO39" s="16"/>
      <c r="KEP39" s="16"/>
      <c r="KEQ39" s="16"/>
      <c r="KER39" s="16"/>
      <c r="KES39" s="16"/>
      <c r="KET39" s="16"/>
      <c r="KEU39" s="16"/>
      <c r="KEV39" s="16"/>
      <c r="KEW39" s="16"/>
      <c r="KEX39" s="16"/>
      <c r="KEY39" s="16"/>
      <c r="KEZ39" s="16"/>
      <c r="KFA39" s="16"/>
      <c r="KFB39" s="16"/>
      <c r="KFC39" s="16"/>
      <c r="KFD39" s="16"/>
      <c r="KFE39" s="16"/>
      <c r="KFF39" s="16"/>
      <c r="KFG39" s="16"/>
      <c r="KFH39" s="16"/>
      <c r="KFI39" s="16"/>
      <c r="KFJ39" s="16"/>
      <c r="KFK39" s="16"/>
      <c r="KFL39" s="16"/>
      <c r="KFM39" s="16"/>
      <c r="KFN39" s="16"/>
      <c r="KFO39" s="16"/>
      <c r="KFP39" s="16"/>
      <c r="KFQ39" s="16"/>
      <c r="KFR39" s="16"/>
      <c r="KFS39" s="16"/>
      <c r="KFT39" s="16"/>
      <c r="KFU39" s="16"/>
      <c r="KFV39" s="16"/>
      <c r="KFW39" s="16"/>
      <c r="KFX39" s="16"/>
      <c r="KFY39" s="16"/>
      <c r="KFZ39" s="16"/>
      <c r="KGA39" s="16"/>
      <c r="KGB39" s="16"/>
      <c r="KGC39" s="16"/>
      <c r="KGD39" s="16"/>
      <c r="KGE39" s="16"/>
      <c r="KGF39" s="16"/>
      <c r="KGG39" s="16"/>
      <c r="KGH39" s="16"/>
      <c r="KGI39" s="16"/>
      <c r="KGJ39" s="16"/>
      <c r="KGK39" s="16"/>
      <c r="KGL39" s="16"/>
      <c r="KGM39" s="16"/>
      <c r="KGN39" s="16"/>
      <c r="KGO39" s="16"/>
      <c r="KGP39" s="16"/>
      <c r="KGQ39" s="16"/>
      <c r="KGR39" s="16"/>
      <c r="KGS39" s="16"/>
      <c r="KGT39" s="16"/>
      <c r="KGU39" s="16"/>
      <c r="KGV39" s="16"/>
      <c r="KGW39" s="16"/>
      <c r="KGX39" s="16"/>
      <c r="KGY39" s="16"/>
      <c r="KGZ39" s="16"/>
      <c r="KHA39" s="16"/>
      <c r="KHB39" s="16"/>
      <c r="KHC39" s="16"/>
      <c r="KHD39" s="16"/>
      <c r="KHE39" s="16"/>
      <c r="KHF39" s="16"/>
      <c r="KHG39" s="16"/>
      <c r="KHH39" s="16"/>
      <c r="KHI39" s="16"/>
      <c r="KHJ39" s="16"/>
      <c r="KHK39" s="16"/>
      <c r="KHL39" s="16"/>
      <c r="KHM39" s="16"/>
      <c r="KHN39" s="16"/>
      <c r="KHO39" s="16"/>
      <c r="KHP39" s="16"/>
      <c r="KHQ39" s="16"/>
      <c r="KHR39" s="16"/>
      <c r="KHS39" s="16"/>
      <c r="KHT39" s="16"/>
      <c r="KHU39" s="16"/>
      <c r="KHV39" s="16"/>
      <c r="KHW39" s="16"/>
      <c r="KHX39" s="16"/>
      <c r="KHY39" s="16"/>
      <c r="KHZ39" s="16"/>
      <c r="KIA39" s="16"/>
      <c r="KIB39" s="16"/>
      <c r="KIC39" s="16"/>
      <c r="KID39" s="16"/>
      <c r="KIE39" s="16"/>
      <c r="KIF39" s="16"/>
      <c r="KIG39" s="16"/>
      <c r="KIH39" s="16"/>
      <c r="KII39" s="16"/>
      <c r="KIJ39" s="16"/>
      <c r="KIK39" s="16"/>
      <c r="KIL39" s="16"/>
      <c r="KIM39" s="16"/>
      <c r="KIN39" s="16"/>
      <c r="KIO39" s="16"/>
      <c r="KIP39" s="16"/>
      <c r="KIQ39" s="16"/>
      <c r="KIR39" s="16"/>
      <c r="KIS39" s="16"/>
      <c r="KIT39" s="16"/>
      <c r="KIU39" s="16"/>
      <c r="KIV39" s="16"/>
      <c r="KIW39" s="16"/>
      <c r="KIX39" s="16"/>
      <c r="KIY39" s="16"/>
      <c r="KIZ39" s="16"/>
      <c r="KJA39" s="16"/>
      <c r="KJB39" s="16"/>
      <c r="KJC39" s="16"/>
      <c r="KJD39" s="16"/>
      <c r="KJE39" s="16"/>
      <c r="KJF39" s="16"/>
      <c r="KJG39" s="16"/>
      <c r="KJH39" s="16"/>
      <c r="KJI39" s="16"/>
      <c r="KJJ39" s="16"/>
      <c r="KJK39" s="16"/>
      <c r="KJL39" s="16"/>
      <c r="KJM39" s="16"/>
      <c r="KJN39" s="16"/>
      <c r="KJO39" s="16"/>
      <c r="KJP39" s="16"/>
      <c r="KJQ39" s="16"/>
      <c r="KJR39" s="16"/>
      <c r="KJS39" s="16"/>
      <c r="KJT39" s="16"/>
      <c r="KJU39" s="16"/>
      <c r="KJV39" s="16"/>
      <c r="KJW39" s="16"/>
      <c r="KJX39" s="16"/>
      <c r="KJY39" s="16"/>
      <c r="KJZ39" s="16"/>
      <c r="KKA39" s="16"/>
      <c r="KKB39" s="16"/>
      <c r="KKC39" s="16"/>
      <c r="KKD39" s="16"/>
      <c r="KKE39" s="16"/>
      <c r="KKF39" s="16"/>
      <c r="KKG39" s="16"/>
      <c r="KKH39" s="16"/>
      <c r="KKI39" s="16"/>
      <c r="KKJ39" s="16"/>
      <c r="KKK39" s="16"/>
      <c r="KKL39" s="16"/>
      <c r="KKM39" s="16"/>
      <c r="KKN39" s="16"/>
      <c r="KKO39" s="16"/>
      <c r="KKP39" s="16"/>
      <c r="KKQ39" s="16"/>
      <c r="KKR39" s="16"/>
      <c r="KKS39" s="16"/>
      <c r="KKT39" s="16"/>
      <c r="KKU39" s="16"/>
      <c r="KKV39" s="16"/>
      <c r="KKW39" s="16"/>
      <c r="KKX39" s="16"/>
      <c r="KKY39" s="16"/>
      <c r="KKZ39" s="16"/>
      <c r="KLA39" s="16"/>
      <c r="KLB39" s="16"/>
      <c r="KLC39" s="16"/>
      <c r="KLD39" s="16"/>
      <c r="KLE39" s="16"/>
      <c r="KLF39" s="16"/>
      <c r="KLG39" s="16"/>
      <c r="KLH39" s="16"/>
      <c r="KLI39" s="16"/>
      <c r="KLJ39" s="16"/>
      <c r="KLK39" s="16"/>
      <c r="KLL39" s="16"/>
      <c r="KLM39" s="16"/>
      <c r="KLN39" s="16"/>
      <c r="KLO39" s="16"/>
      <c r="KLP39" s="16"/>
      <c r="KLQ39" s="16"/>
      <c r="KLR39" s="16"/>
      <c r="KLS39" s="16"/>
      <c r="KLT39" s="16"/>
      <c r="KLU39" s="16"/>
      <c r="KLV39" s="16"/>
      <c r="KLW39" s="16"/>
      <c r="KLX39" s="16"/>
      <c r="KLY39" s="16"/>
      <c r="KLZ39" s="16"/>
      <c r="KMA39" s="16"/>
      <c r="KMB39" s="16"/>
      <c r="KMC39" s="16"/>
      <c r="KMD39" s="16"/>
      <c r="KME39" s="16"/>
      <c r="KMF39" s="16"/>
      <c r="KMG39" s="16"/>
      <c r="KMH39" s="16"/>
      <c r="KMI39" s="16"/>
      <c r="KMJ39" s="16"/>
      <c r="KMK39" s="16"/>
      <c r="KML39" s="16"/>
      <c r="KMM39" s="16"/>
      <c r="KMN39" s="16"/>
      <c r="KMO39" s="16"/>
      <c r="KMP39" s="16"/>
      <c r="KMQ39" s="16"/>
      <c r="KMR39" s="16"/>
      <c r="KMS39" s="16"/>
      <c r="KMT39" s="16"/>
      <c r="KMU39" s="16"/>
      <c r="KMV39" s="16"/>
      <c r="KMW39" s="16"/>
      <c r="KMX39" s="16"/>
      <c r="KMY39" s="16"/>
      <c r="KMZ39" s="16"/>
      <c r="KNA39" s="16"/>
      <c r="KNB39" s="16"/>
      <c r="KNC39" s="16"/>
      <c r="KND39" s="16"/>
      <c r="KNE39" s="16"/>
      <c r="KNF39" s="16"/>
      <c r="KNG39" s="16"/>
      <c r="KNH39" s="16"/>
      <c r="KNI39" s="16"/>
      <c r="KNJ39" s="16"/>
      <c r="KNK39" s="16"/>
      <c r="KNL39" s="16"/>
      <c r="KNM39" s="16"/>
      <c r="KNN39" s="16"/>
      <c r="KNO39" s="16"/>
      <c r="KNP39" s="16"/>
      <c r="KNQ39" s="16"/>
      <c r="KNR39" s="16"/>
      <c r="KNS39" s="16"/>
      <c r="KNT39" s="16"/>
      <c r="KNU39" s="16"/>
      <c r="KNV39" s="16"/>
      <c r="KNW39" s="16"/>
      <c r="KNX39" s="16"/>
      <c r="KNY39" s="16"/>
      <c r="KNZ39" s="16"/>
      <c r="KOA39" s="16"/>
      <c r="KOB39" s="16"/>
      <c r="KOC39" s="16"/>
      <c r="KOD39" s="16"/>
      <c r="KOE39" s="16"/>
      <c r="KOF39" s="16"/>
      <c r="KOG39" s="16"/>
      <c r="KOH39" s="16"/>
      <c r="KOI39" s="16"/>
      <c r="KOJ39" s="16"/>
      <c r="KOK39" s="16"/>
      <c r="KOL39" s="16"/>
      <c r="KOM39" s="16"/>
      <c r="KON39" s="16"/>
      <c r="KOO39" s="16"/>
      <c r="KOP39" s="16"/>
      <c r="KOQ39" s="16"/>
      <c r="KOR39" s="16"/>
      <c r="KOS39" s="16"/>
      <c r="KOT39" s="16"/>
      <c r="KOU39" s="16"/>
      <c r="KOV39" s="16"/>
      <c r="KOW39" s="16"/>
      <c r="KOX39" s="16"/>
      <c r="KOY39" s="16"/>
      <c r="KOZ39" s="16"/>
      <c r="KPA39" s="16"/>
      <c r="KPB39" s="16"/>
      <c r="KPC39" s="16"/>
      <c r="KPD39" s="16"/>
      <c r="KPE39" s="16"/>
      <c r="KPF39" s="16"/>
      <c r="KPG39" s="16"/>
      <c r="KPH39" s="16"/>
      <c r="KPI39" s="16"/>
      <c r="KPJ39" s="16"/>
      <c r="KPK39" s="16"/>
      <c r="KPL39" s="16"/>
      <c r="KPM39" s="16"/>
      <c r="KPN39" s="16"/>
      <c r="KPO39" s="16"/>
      <c r="KPP39" s="16"/>
      <c r="KPQ39" s="16"/>
      <c r="KPR39" s="16"/>
      <c r="KPS39" s="16"/>
      <c r="KPT39" s="16"/>
      <c r="KPU39" s="16"/>
      <c r="KPV39" s="16"/>
      <c r="KPW39" s="16"/>
      <c r="KPX39" s="16"/>
      <c r="KPY39" s="16"/>
      <c r="KPZ39" s="16"/>
      <c r="KQA39" s="16"/>
      <c r="KQB39" s="16"/>
      <c r="KQC39" s="16"/>
      <c r="KQD39" s="16"/>
      <c r="KQE39" s="16"/>
      <c r="KQF39" s="16"/>
      <c r="KQG39" s="16"/>
      <c r="KQH39" s="16"/>
      <c r="KQI39" s="16"/>
      <c r="KQJ39" s="16"/>
      <c r="KQK39" s="16"/>
      <c r="KQL39" s="16"/>
      <c r="KQM39" s="16"/>
      <c r="KQN39" s="16"/>
      <c r="KQO39" s="16"/>
      <c r="KQP39" s="16"/>
      <c r="KQQ39" s="16"/>
      <c r="KQR39" s="16"/>
      <c r="KQS39" s="16"/>
      <c r="KQT39" s="16"/>
      <c r="KQU39" s="16"/>
      <c r="KQV39" s="16"/>
      <c r="KQW39" s="16"/>
      <c r="KQX39" s="16"/>
      <c r="KQY39" s="16"/>
      <c r="KQZ39" s="16"/>
      <c r="KRA39" s="16"/>
      <c r="KRB39" s="16"/>
      <c r="KRC39" s="16"/>
      <c r="KRD39" s="16"/>
      <c r="KRE39" s="16"/>
      <c r="KRF39" s="16"/>
      <c r="KRG39" s="16"/>
      <c r="KRH39" s="16"/>
      <c r="KRI39" s="16"/>
      <c r="KRJ39" s="16"/>
      <c r="KRK39" s="16"/>
      <c r="KRL39" s="16"/>
      <c r="KRM39" s="16"/>
      <c r="KRN39" s="16"/>
      <c r="KRO39" s="16"/>
      <c r="KRP39" s="16"/>
      <c r="KRQ39" s="16"/>
      <c r="KRR39" s="16"/>
      <c r="KRS39" s="16"/>
      <c r="KRT39" s="16"/>
      <c r="KRU39" s="16"/>
      <c r="KRV39" s="16"/>
      <c r="KRW39" s="16"/>
      <c r="KRX39" s="16"/>
      <c r="KRY39" s="16"/>
      <c r="KRZ39" s="16"/>
      <c r="KSA39" s="16"/>
      <c r="KSB39" s="16"/>
      <c r="KSC39" s="16"/>
      <c r="KSD39" s="16"/>
      <c r="KSE39" s="16"/>
      <c r="KSF39" s="16"/>
      <c r="KSG39" s="16"/>
      <c r="KSH39" s="16"/>
      <c r="KSI39" s="16"/>
      <c r="KSJ39" s="16"/>
      <c r="KSK39" s="16"/>
      <c r="KSL39" s="16"/>
      <c r="KSM39" s="16"/>
      <c r="KSN39" s="16"/>
      <c r="KSO39" s="16"/>
      <c r="KSP39" s="16"/>
      <c r="KSQ39" s="16"/>
      <c r="KSR39" s="16"/>
      <c r="KSS39" s="16"/>
      <c r="KST39" s="16"/>
      <c r="KSU39" s="16"/>
      <c r="KSV39" s="16"/>
      <c r="KSW39" s="16"/>
      <c r="KSX39" s="16"/>
      <c r="KSY39" s="16"/>
      <c r="KSZ39" s="16"/>
      <c r="KTA39" s="16"/>
      <c r="KTB39" s="16"/>
      <c r="KTC39" s="16"/>
      <c r="KTD39" s="16"/>
      <c r="KTE39" s="16"/>
      <c r="KTF39" s="16"/>
      <c r="KTG39" s="16"/>
      <c r="KTH39" s="16"/>
      <c r="KTI39" s="16"/>
      <c r="KTJ39" s="16"/>
      <c r="KTK39" s="16"/>
      <c r="KTL39" s="16"/>
      <c r="KTM39" s="16"/>
      <c r="KTN39" s="16"/>
      <c r="KTO39" s="16"/>
      <c r="KTP39" s="16"/>
      <c r="KTQ39" s="16"/>
      <c r="KTR39" s="16"/>
      <c r="KTS39" s="16"/>
      <c r="KTT39" s="16"/>
      <c r="KTU39" s="16"/>
      <c r="KTV39" s="16"/>
      <c r="KTW39" s="16"/>
      <c r="KTX39" s="16"/>
      <c r="KTY39" s="16"/>
      <c r="KTZ39" s="16"/>
      <c r="KUA39" s="16"/>
      <c r="KUB39" s="16"/>
      <c r="KUC39" s="16"/>
      <c r="KUD39" s="16"/>
      <c r="KUE39" s="16"/>
      <c r="KUF39" s="16"/>
      <c r="KUG39" s="16"/>
      <c r="KUH39" s="16"/>
      <c r="KUI39" s="16"/>
      <c r="KUJ39" s="16"/>
      <c r="KUK39" s="16"/>
      <c r="KUL39" s="16"/>
      <c r="KUM39" s="16"/>
      <c r="KUN39" s="16"/>
      <c r="KUO39" s="16"/>
      <c r="KUP39" s="16"/>
      <c r="KUQ39" s="16"/>
      <c r="KUR39" s="16"/>
      <c r="KUS39" s="16"/>
      <c r="KUT39" s="16"/>
      <c r="KUU39" s="16"/>
      <c r="KUV39" s="16"/>
      <c r="KUW39" s="16"/>
      <c r="KUX39" s="16"/>
      <c r="KUY39" s="16"/>
      <c r="KUZ39" s="16"/>
      <c r="KVA39" s="16"/>
      <c r="KVB39" s="16"/>
      <c r="KVC39" s="16"/>
      <c r="KVD39" s="16"/>
      <c r="KVE39" s="16"/>
      <c r="KVF39" s="16"/>
      <c r="KVG39" s="16"/>
      <c r="KVH39" s="16"/>
      <c r="KVI39" s="16"/>
      <c r="KVJ39" s="16"/>
      <c r="KVK39" s="16"/>
      <c r="KVL39" s="16"/>
      <c r="KVM39" s="16"/>
      <c r="KVN39" s="16"/>
      <c r="KVO39" s="16"/>
      <c r="KVP39" s="16"/>
      <c r="KVQ39" s="16"/>
      <c r="KVR39" s="16"/>
      <c r="KVS39" s="16"/>
      <c r="KVT39" s="16"/>
      <c r="KVU39" s="16"/>
      <c r="KVV39" s="16"/>
      <c r="KVW39" s="16"/>
      <c r="KVX39" s="16"/>
      <c r="KVY39" s="16"/>
      <c r="KVZ39" s="16"/>
      <c r="KWA39" s="16"/>
      <c r="KWB39" s="16"/>
      <c r="KWC39" s="16"/>
      <c r="KWD39" s="16"/>
      <c r="KWE39" s="16"/>
      <c r="KWF39" s="16"/>
      <c r="KWG39" s="16"/>
      <c r="KWH39" s="16"/>
      <c r="KWI39" s="16"/>
      <c r="KWJ39" s="16"/>
      <c r="KWK39" s="16"/>
      <c r="KWL39" s="16"/>
      <c r="KWM39" s="16"/>
      <c r="KWN39" s="16"/>
      <c r="KWO39" s="16"/>
      <c r="KWP39" s="16"/>
      <c r="KWQ39" s="16"/>
      <c r="KWR39" s="16"/>
      <c r="KWS39" s="16"/>
      <c r="KWT39" s="16"/>
      <c r="KWU39" s="16"/>
      <c r="KWV39" s="16"/>
      <c r="KWW39" s="16"/>
      <c r="KWX39" s="16"/>
      <c r="KWY39" s="16"/>
      <c r="KWZ39" s="16"/>
      <c r="KXA39" s="16"/>
      <c r="KXB39" s="16"/>
      <c r="KXC39" s="16"/>
      <c r="KXD39" s="16"/>
      <c r="KXE39" s="16"/>
      <c r="KXF39" s="16"/>
      <c r="KXG39" s="16"/>
      <c r="KXH39" s="16"/>
      <c r="KXI39" s="16"/>
      <c r="KXJ39" s="16"/>
      <c r="KXK39" s="16"/>
      <c r="KXL39" s="16"/>
      <c r="KXM39" s="16"/>
      <c r="KXN39" s="16"/>
      <c r="KXO39" s="16"/>
      <c r="KXP39" s="16"/>
      <c r="KXQ39" s="16"/>
      <c r="KXR39" s="16"/>
      <c r="KXS39" s="16"/>
      <c r="KXT39" s="16"/>
      <c r="KXU39" s="16"/>
      <c r="KXV39" s="16"/>
      <c r="KXW39" s="16"/>
      <c r="KXX39" s="16"/>
      <c r="KXY39" s="16"/>
      <c r="KXZ39" s="16"/>
      <c r="KYA39" s="16"/>
      <c r="KYB39" s="16"/>
      <c r="KYC39" s="16"/>
      <c r="KYD39" s="16"/>
      <c r="KYE39" s="16"/>
      <c r="KYF39" s="16"/>
      <c r="KYG39" s="16"/>
      <c r="KYH39" s="16"/>
      <c r="KYI39" s="16"/>
      <c r="KYJ39" s="16"/>
      <c r="KYK39" s="16"/>
      <c r="KYL39" s="16"/>
      <c r="KYM39" s="16"/>
      <c r="KYN39" s="16"/>
      <c r="KYO39" s="16"/>
      <c r="KYP39" s="16"/>
      <c r="KYQ39" s="16"/>
      <c r="KYR39" s="16"/>
      <c r="KYS39" s="16"/>
      <c r="KYT39" s="16"/>
      <c r="KYU39" s="16"/>
      <c r="KYV39" s="16"/>
      <c r="KYW39" s="16"/>
      <c r="KYX39" s="16"/>
      <c r="KYY39" s="16"/>
      <c r="KYZ39" s="16"/>
      <c r="KZA39" s="16"/>
      <c r="KZB39" s="16"/>
      <c r="KZC39" s="16"/>
      <c r="KZD39" s="16"/>
      <c r="KZE39" s="16"/>
      <c r="KZF39" s="16"/>
      <c r="KZG39" s="16"/>
      <c r="KZH39" s="16"/>
      <c r="KZI39" s="16"/>
      <c r="KZJ39" s="16"/>
      <c r="KZK39" s="16"/>
      <c r="KZL39" s="16"/>
      <c r="KZM39" s="16"/>
      <c r="KZN39" s="16"/>
      <c r="KZO39" s="16"/>
      <c r="KZP39" s="16"/>
      <c r="KZQ39" s="16"/>
      <c r="KZR39" s="16"/>
      <c r="KZS39" s="16"/>
      <c r="KZT39" s="16"/>
      <c r="KZU39" s="16"/>
      <c r="KZV39" s="16"/>
      <c r="KZW39" s="16"/>
      <c r="KZX39" s="16"/>
      <c r="KZY39" s="16"/>
      <c r="KZZ39" s="16"/>
      <c r="LAA39" s="16"/>
      <c r="LAB39" s="16"/>
      <c r="LAC39" s="16"/>
      <c r="LAD39" s="16"/>
      <c r="LAE39" s="16"/>
      <c r="LAF39" s="16"/>
      <c r="LAG39" s="16"/>
      <c r="LAH39" s="16"/>
      <c r="LAI39" s="16"/>
      <c r="LAJ39" s="16"/>
      <c r="LAK39" s="16"/>
      <c r="LAL39" s="16"/>
      <c r="LAM39" s="16"/>
      <c r="LAN39" s="16"/>
      <c r="LAO39" s="16"/>
      <c r="LAP39" s="16"/>
      <c r="LAQ39" s="16"/>
      <c r="LAR39" s="16"/>
      <c r="LAS39" s="16"/>
      <c r="LAT39" s="16"/>
      <c r="LAU39" s="16"/>
      <c r="LAV39" s="16"/>
      <c r="LAW39" s="16"/>
      <c r="LAX39" s="16"/>
      <c r="LAY39" s="16"/>
      <c r="LAZ39" s="16"/>
      <c r="LBA39" s="16"/>
      <c r="LBB39" s="16"/>
      <c r="LBC39" s="16"/>
      <c r="LBD39" s="16"/>
      <c r="LBE39" s="16"/>
      <c r="LBF39" s="16"/>
      <c r="LBG39" s="16"/>
      <c r="LBH39" s="16"/>
      <c r="LBI39" s="16"/>
      <c r="LBJ39" s="16"/>
      <c r="LBK39" s="16"/>
      <c r="LBL39" s="16"/>
      <c r="LBM39" s="16"/>
      <c r="LBN39" s="16"/>
      <c r="LBO39" s="16"/>
      <c r="LBP39" s="16"/>
      <c r="LBQ39" s="16"/>
      <c r="LBR39" s="16"/>
      <c r="LBS39" s="16"/>
      <c r="LBT39" s="16"/>
      <c r="LBU39" s="16"/>
      <c r="LBV39" s="16"/>
      <c r="LBW39" s="16"/>
      <c r="LBX39" s="16"/>
      <c r="LBY39" s="16"/>
      <c r="LBZ39" s="16"/>
      <c r="LCA39" s="16"/>
      <c r="LCB39" s="16"/>
      <c r="LCC39" s="16"/>
      <c r="LCD39" s="16"/>
      <c r="LCE39" s="16"/>
      <c r="LCF39" s="16"/>
      <c r="LCG39" s="16"/>
      <c r="LCH39" s="16"/>
      <c r="LCI39" s="16"/>
      <c r="LCJ39" s="16"/>
      <c r="LCK39" s="16"/>
      <c r="LCL39" s="16"/>
      <c r="LCM39" s="16"/>
      <c r="LCN39" s="16"/>
      <c r="LCO39" s="16"/>
      <c r="LCP39" s="16"/>
      <c r="LCQ39" s="16"/>
      <c r="LCR39" s="16"/>
      <c r="LCS39" s="16"/>
      <c r="LCT39" s="16"/>
      <c r="LCU39" s="16"/>
      <c r="LCV39" s="16"/>
      <c r="LCW39" s="16"/>
      <c r="LCX39" s="16"/>
      <c r="LCY39" s="16"/>
      <c r="LCZ39" s="16"/>
      <c r="LDA39" s="16"/>
      <c r="LDB39" s="16"/>
      <c r="LDC39" s="16"/>
      <c r="LDD39" s="16"/>
      <c r="LDE39" s="16"/>
      <c r="LDF39" s="16"/>
      <c r="LDG39" s="16"/>
      <c r="LDH39" s="16"/>
      <c r="LDI39" s="16"/>
      <c r="LDJ39" s="16"/>
      <c r="LDK39" s="16"/>
      <c r="LDL39" s="16"/>
      <c r="LDM39" s="16"/>
      <c r="LDN39" s="16"/>
      <c r="LDO39" s="16"/>
      <c r="LDP39" s="16"/>
      <c r="LDQ39" s="16"/>
      <c r="LDR39" s="16"/>
      <c r="LDS39" s="16"/>
      <c r="LDT39" s="16"/>
      <c r="LDU39" s="16"/>
      <c r="LDV39" s="16"/>
      <c r="LDW39" s="16"/>
      <c r="LDX39" s="16"/>
      <c r="LDY39" s="16"/>
      <c r="LDZ39" s="16"/>
      <c r="LEA39" s="16"/>
      <c r="LEB39" s="16"/>
      <c r="LEC39" s="16"/>
      <c r="LED39" s="16"/>
      <c r="LEE39" s="16"/>
      <c r="LEF39" s="16"/>
      <c r="LEG39" s="16"/>
      <c r="LEH39" s="16"/>
      <c r="LEI39" s="16"/>
      <c r="LEJ39" s="16"/>
      <c r="LEK39" s="16"/>
      <c r="LEL39" s="16"/>
      <c r="LEM39" s="16"/>
      <c r="LEN39" s="16"/>
      <c r="LEO39" s="16"/>
      <c r="LEP39" s="16"/>
      <c r="LEQ39" s="16"/>
      <c r="LER39" s="16"/>
      <c r="LES39" s="16"/>
      <c r="LET39" s="16"/>
      <c r="LEU39" s="16"/>
      <c r="LEV39" s="16"/>
      <c r="LEW39" s="16"/>
      <c r="LEX39" s="16"/>
      <c r="LEY39" s="16"/>
      <c r="LEZ39" s="16"/>
      <c r="LFA39" s="16"/>
      <c r="LFB39" s="16"/>
      <c r="LFC39" s="16"/>
      <c r="LFD39" s="16"/>
      <c r="LFE39" s="16"/>
      <c r="LFF39" s="16"/>
      <c r="LFG39" s="16"/>
      <c r="LFH39" s="16"/>
      <c r="LFI39" s="16"/>
      <c r="LFJ39" s="16"/>
      <c r="LFK39" s="16"/>
      <c r="LFL39" s="16"/>
      <c r="LFM39" s="16"/>
      <c r="LFN39" s="16"/>
      <c r="LFO39" s="16"/>
      <c r="LFP39" s="16"/>
      <c r="LFQ39" s="16"/>
      <c r="LFR39" s="16"/>
      <c r="LFS39" s="16"/>
      <c r="LFT39" s="16"/>
      <c r="LFU39" s="16"/>
      <c r="LFV39" s="16"/>
      <c r="LFW39" s="16"/>
      <c r="LFX39" s="16"/>
      <c r="LFY39" s="16"/>
      <c r="LFZ39" s="16"/>
      <c r="LGA39" s="16"/>
      <c r="LGB39" s="16"/>
      <c r="LGC39" s="16"/>
      <c r="LGD39" s="16"/>
      <c r="LGE39" s="16"/>
      <c r="LGF39" s="16"/>
      <c r="LGG39" s="16"/>
      <c r="LGH39" s="16"/>
      <c r="LGI39" s="16"/>
      <c r="LGJ39" s="16"/>
      <c r="LGK39" s="16"/>
      <c r="LGL39" s="16"/>
      <c r="LGM39" s="16"/>
      <c r="LGN39" s="16"/>
      <c r="LGO39" s="16"/>
      <c r="LGP39" s="16"/>
      <c r="LGQ39" s="16"/>
      <c r="LGR39" s="16"/>
      <c r="LGS39" s="16"/>
      <c r="LGT39" s="16"/>
      <c r="LGU39" s="16"/>
      <c r="LGV39" s="16"/>
      <c r="LGW39" s="16"/>
      <c r="LGX39" s="16"/>
      <c r="LGY39" s="16"/>
      <c r="LGZ39" s="16"/>
      <c r="LHA39" s="16"/>
      <c r="LHB39" s="16"/>
      <c r="LHC39" s="16"/>
      <c r="LHD39" s="16"/>
      <c r="LHE39" s="16"/>
      <c r="LHF39" s="16"/>
      <c r="LHG39" s="16"/>
      <c r="LHH39" s="16"/>
      <c r="LHI39" s="16"/>
      <c r="LHJ39" s="16"/>
      <c r="LHK39" s="16"/>
      <c r="LHL39" s="16"/>
      <c r="LHM39" s="16"/>
      <c r="LHN39" s="16"/>
      <c r="LHO39" s="16"/>
      <c r="LHP39" s="16"/>
      <c r="LHQ39" s="16"/>
      <c r="LHR39" s="16"/>
      <c r="LHS39" s="16"/>
      <c r="LHT39" s="16"/>
      <c r="LHU39" s="16"/>
      <c r="LHV39" s="16"/>
      <c r="LHW39" s="16"/>
      <c r="LHX39" s="16"/>
      <c r="LHY39" s="16"/>
      <c r="LHZ39" s="16"/>
      <c r="LIA39" s="16"/>
      <c r="LIB39" s="16"/>
      <c r="LIC39" s="16"/>
      <c r="LID39" s="16"/>
      <c r="LIE39" s="16"/>
      <c r="LIF39" s="16"/>
      <c r="LIG39" s="16"/>
      <c r="LIH39" s="16"/>
      <c r="LII39" s="16"/>
      <c r="LIJ39" s="16"/>
      <c r="LIK39" s="16"/>
      <c r="LIL39" s="16"/>
      <c r="LIM39" s="16"/>
      <c r="LIN39" s="16"/>
      <c r="LIO39" s="16"/>
      <c r="LIP39" s="16"/>
      <c r="LIQ39" s="16"/>
      <c r="LIR39" s="16"/>
      <c r="LIS39" s="16"/>
      <c r="LIT39" s="16"/>
      <c r="LIU39" s="16"/>
      <c r="LIV39" s="16"/>
      <c r="LIW39" s="16"/>
      <c r="LIX39" s="16"/>
      <c r="LIY39" s="16"/>
      <c r="LIZ39" s="16"/>
      <c r="LJA39" s="16"/>
      <c r="LJB39" s="16"/>
      <c r="LJC39" s="16"/>
      <c r="LJD39" s="16"/>
      <c r="LJE39" s="16"/>
      <c r="LJF39" s="16"/>
      <c r="LJG39" s="16"/>
      <c r="LJH39" s="16"/>
      <c r="LJI39" s="16"/>
      <c r="LJJ39" s="16"/>
      <c r="LJK39" s="16"/>
      <c r="LJL39" s="16"/>
      <c r="LJM39" s="16"/>
      <c r="LJN39" s="16"/>
      <c r="LJO39" s="16"/>
      <c r="LJP39" s="16"/>
      <c r="LJQ39" s="16"/>
      <c r="LJR39" s="16"/>
      <c r="LJS39" s="16"/>
      <c r="LJT39" s="16"/>
      <c r="LJU39" s="16"/>
      <c r="LJV39" s="16"/>
      <c r="LJW39" s="16"/>
      <c r="LJX39" s="16"/>
      <c r="LJY39" s="16"/>
      <c r="LJZ39" s="16"/>
      <c r="LKA39" s="16"/>
      <c r="LKB39" s="16"/>
      <c r="LKC39" s="16"/>
      <c r="LKD39" s="16"/>
      <c r="LKE39" s="16"/>
      <c r="LKF39" s="16"/>
      <c r="LKG39" s="16"/>
      <c r="LKH39" s="16"/>
      <c r="LKI39" s="16"/>
      <c r="LKJ39" s="16"/>
      <c r="LKK39" s="16"/>
      <c r="LKL39" s="16"/>
      <c r="LKM39" s="16"/>
      <c r="LKN39" s="16"/>
      <c r="LKO39" s="16"/>
      <c r="LKP39" s="16"/>
      <c r="LKQ39" s="16"/>
      <c r="LKR39" s="16"/>
      <c r="LKS39" s="16"/>
      <c r="LKT39" s="16"/>
      <c r="LKU39" s="16"/>
      <c r="LKV39" s="16"/>
      <c r="LKW39" s="16"/>
      <c r="LKX39" s="16"/>
      <c r="LKY39" s="16"/>
      <c r="LKZ39" s="16"/>
      <c r="LLA39" s="16"/>
      <c r="LLB39" s="16"/>
      <c r="LLC39" s="16"/>
      <c r="LLD39" s="16"/>
      <c r="LLE39" s="16"/>
      <c r="LLF39" s="16"/>
      <c r="LLG39" s="16"/>
      <c r="LLH39" s="16"/>
      <c r="LLI39" s="16"/>
      <c r="LLJ39" s="16"/>
      <c r="LLK39" s="16"/>
      <c r="LLL39" s="16"/>
      <c r="LLM39" s="16"/>
      <c r="LLN39" s="16"/>
      <c r="LLO39" s="16"/>
      <c r="LLP39" s="16"/>
      <c r="LLQ39" s="16"/>
      <c r="LLR39" s="16"/>
      <c r="LLS39" s="16"/>
      <c r="LLT39" s="16"/>
      <c r="LLU39" s="16"/>
      <c r="LLV39" s="16"/>
      <c r="LLW39" s="16"/>
      <c r="LLX39" s="16"/>
      <c r="LLY39" s="16"/>
      <c r="LLZ39" s="16"/>
      <c r="LMA39" s="16"/>
      <c r="LMB39" s="16"/>
      <c r="LMC39" s="16"/>
      <c r="LMD39" s="16"/>
      <c r="LME39" s="16"/>
      <c r="LMF39" s="16"/>
      <c r="LMG39" s="16"/>
      <c r="LMH39" s="16"/>
      <c r="LMI39" s="16"/>
      <c r="LMJ39" s="16"/>
      <c r="LMK39" s="16"/>
      <c r="LML39" s="16"/>
      <c r="LMM39" s="16"/>
      <c r="LMN39" s="16"/>
      <c r="LMO39" s="16"/>
      <c r="LMP39" s="16"/>
      <c r="LMQ39" s="16"/>
      <c r="LMR39" s="16"/>
      <c r="LMS39" s="16"/>
      <c r="LMT39" s="16"/>
      <c r="LMU39" s="16"/>
      <c r="LMV39" s="16"/>
      <c r="LMW39" s="16"/>
      <c r="LMX39" s="16"/>
      <c r="LMY39" s="16"/>
      <c r="LMZ39" s="16"/>
      <c r="LNA39" s="16"/>
      <c r="LNB39" s="16"/>
      <c r="LNC39" s="16"/>
      <c r="LND39" s="16"/>
      <c r="LNE39" s="16"/>
      <c r="LNF39" s="16"/>
      <c r="LNG39" s="16"/>
      <c r="LNH39" s="16"/>
      <c r="LNI39" s="16"/>
      <c r="LNJ39" s="16"/>
      <c r="LNK39" s="16"/>
      <c r="LNL39" s="16"/>
      <c r="LNM39" s="16"/>
      <c r="LNN39" s="16"/>
      <c r="LNO39" s="16"/>
      <c r="LNP39" s="16"/>
      <c r="LNQ39" s="16"/>
      <c r="LNR39" s="16"/>
      <c r="LNS39" s="16"/>
      <c r="LNT39" s="16"/>
      <c r="LNU39" s="16"/>
      <c r="LNV39" s="16"/>
      <c r="LNW39" s="16"/>
      <c r="LNX39" s="16"/>
      <c r="LNY39" s="16"/>
      <c r="LNZ39" s="16"/>
      <c r="LOA39" s="16"/>
      <c r="LOB39" s="16"/>
      <c r="LOC39" s="16"/>
      <c r="LOD39" s="16"/>
      <c r="LOE39" s="16"/>
      <c r="LOF39" s="16"/>
      <c r="LOG39" s="16"/>
      <c r="LOH39" s="16"/>
      <c r="LOI39" s="16"/>
      <c r="LOJ39" s="16"/>
      <c r="LOK39" s="16"/>
      <c r="LOL39" s="16"/>
      <c r="LOM39" s="16"/>
      <c r="LON39" s="16"/>
      <c r="LOO39" s="16"/>
      <c r="LOP39" s="16"/>
      <c r="LOQ39" s="16"/>
      <c r="LOR39" s="16"/>
      <c r="LOS39" s="16"/>
      <c r="LOT39" s="16"/>
      <c r="LOU39" s="16"/>
      <c r="LOV39" s="16"/>
      <c r="LOW39" s="16"/>
      <c r="LOX39" s="16"/>
      <c r="LOY39" s="16"/>
      <c r="LOZ39" s="16"/>
      <c r="LPA39" s="16"/>
      <c r="LPB39" s="16"/>
      <c r="LPC39" s="16"/>
      <c r="LPD39" s="16"/>
      <c r="LPE39" s="16"/>
      <c r="LPF39" s="16"/>
      <c r="LPG39" s="16"/>
      <c r="LPH39" s="16"/>
      <c r="LPI39" s="16"/>
      <c r="LPJ39" s="16"/>
      <c r="LPK39" s="16"/>
      <c r="LPL39" s="16"/>
      <c r="LPM39" s="16"/>
      <c r="LPN39" s="16"/>
      <c r="LPO39" s="16"/>
      <c r="LPP39" s="16"/>
      <c r="LPQ39" s="16"/>
      <c r="LPR39" s="16"/>
      <c r="LPS39" s="16"/>
      <c r="LPT39" s="16"/>
      <c r="LPU39" s="16"/>
      <c r="LPV39" s="16"/>
      <c r="LPW39" s="16"/>
      <c r="LPX39" s="16"/>
      <c r="LPY39" s="16"/>
      <c r="LPZ39" s="16"/>
      <c r="LQA39" s="16"/>
      <c r="LQB39" s="16"/>
      <c r="LQC39" s="16"/>
      <c r="LQD39" s="16"/>
      <c r="LQE39" s="16"/>
      <c r="LQF39" s="16"/>
      <c r="LQG39" s="16"/>
      <c r="LQH39" s="16"/>
      <c r="LQI39" s="16"/>
      <c r="LQJ39" s="16"/>
      <c r="LQK39" s="16"/>
      <c r="LQL39" s="16"/>
      <c r="LQM39" s="16"/>
      <c r="LQN39" s="16"/>
      <c r="LQO39" s="16"/>
      <c r="LQP39" s="16"/>
      <c r="LQQ39" s="16"/>
      <c r="LQR39" s="16"/>
      <c r="LQS39" s="16"/>
      <c r="LQT39" s="16"/>
      <c r="LQU39" s="16"/>
      <c r="LQV39" s="16"/>
      <c r="LQW39" s="16"/>
      <c r="LQX39" s="16"/>
      <c r="LQY39" s="16"/>
      <c r="LQZ39" s="16"/>
      <c r="LRA39" s="16"/>
      <c r="LRB39" s="16"/>
      <c r="LRC39" s="16"/>
      <c r="LRD39" s="16"/>
      <c r="LRE39" s="16"/>
      <c r="LRF39" s="16"/>
      <c r="LRG39" s="16"/>
      <c r="LRH39" s="16"/>
      <c r="LRI39" s="16"/>
      <c r="LRJ39" s="16"/>
      <c r="LRK39" s="16"/>
      <c r="LRL39" s="16"/>
      <c r="LRM39" s="16"/>
      <c r="LRN39" s="16"/>
      <c r="LRO39" s="16"/>
      <c r="LRP39" s="16"/>
      <c r="LRQ39" s="16"/>
      <c r="LRR39" s="16"/>
      <c r="LRS39" s="16"/>
      <c r="LRT39" s="16"/>
      <c r="LRU39" s="16"/>
      <c r="LRV39" s="16"/>
      <c r="LRW39" s="16"/>
      <c r="LRX39" s="16"/>
      <c r="LRY39" s="16"/>
      <c r="LRZ39" s="16"/>
      <c r="LSA39" s="16"/>
      <c r="LSB39" s="16"/>
      <c r="LSC39" s="16"/>
      <c r="LSD39" s="16"/>
      <c r="LSE39" s="16"/>
      <c r="LSF39" s="16"/>
      <c r="LSG39" s="16"/>
      <c r="LSH39" s="16"/>
      <c r="LSI39" s="16"/>
      <c r="LSJ39" s="16"/>
      <c r="LSK39" s="16"/>
      <c r="LSL39" s="16"/>
      <c r="LSM39" s="16"/>
      <c r="LSN39" s="16"/>
      <c r="LSO39" s="16"/>
      <c r="LSP39" s="16"/>
      <c r="LSQ39" s="16"/>
      <c r="LSR39" s="16"/>
      <c r="LSS39" s="16"/>
      <c r="LST39" s="16"/>
      <c r="LSU39" s="16"/>
      <c r="LSV39" s="16"/>
      <c r="LSW39" s="16"/>
      <c r="LSX39" s="16"/>
      <c r="LSY39" s="16"/>
      <c r="LSZ39" s="16"/>
      <c r="LTA39" s="16"/>
      <c r="LTB39" s="16"/>
      <c r="LTC39" s="16"/>
      <c r="LTD39" s="16"/>
      <c r="LTE39" s="16"/>
      <c r="LTF39" s="16"/>
      <c r="LTG39" s="16"/>
      <c r="LTH39" s="16"/>
      <c r="LTI39" s="16"/>
      <c r="LTJ39" s="16"/>
      <c r="LTK39" s="16"/>
      <c r="LTL39" s="16"/>
      <c r="LTM39" s="16"/>
      <c r="LTN39" s="16"/>
      <c r="LTO39" s="16"/>
      <c r="LTP39" s="16"/>
      <c r="LTQ39" s="16"/>
      <c r="LTR39" s="16"/>
      <c r="LTS39" s="16"/>
      <c r="LTT39" s="16"/>
      <c r="LTU39" s="16"/>
      <c r="LTV39" s="16"/>
      <c r="LTW39" s="16"/>
      <c r="LTX39" s="16"/>
      <c r="LTY39" s="16"/>
      <c r="LTZ39" s="16"/>
      <c r="LUA39" s="16"/>
      <c r="LUB39" s="16"/>
      <c r="LUC39" s="16"/>
      <c r="LUD39" s="16"/>
      <c r="LUE39" s="16"/>
      <c r="LUF39" s="16"/>
      <c r="LUG39" s="16"/>
      <c r="LUH39" s="16"/>
      <c r="LUI39" s="16"/>
      <c r="LUJ39" s="16"/>
      <c r="LUK39" s="16"/>
      <c r="LUL39" s="16"/>
      <c r="LUM39" s="16"/>
      <c r="LUN39" s="16"/>
      <c r="LUO39" s="16"/>
      <c r="LUP39" s="16"/>
      <c r="LUQ39" s="16"/>
      <c r="LUR39" s="16"/>
      <c r="LUS39" s="16"/>
      <c r="LUT39" s="16"/>
      <c r="LUU39" s="16"/>
      <c r="LUV39" s="16"/>
      <c r="LUW39" s="16"/>
      <c r="LUX39" s="16"/>
      <c r="LUY39" s="16"/>
      <c r="LUZ39" s="16"/>
      <c r="LVA39" s="16"/>
      <c r="LVB39" s="16"/>
      <c r="LVC39" s="16"/>
      <c r="LVD39" s="16"/>
      <c r="LVE39" s="16"/>
      <c r="LVF39" s="16"/>
      <c r="LVG39" s="16"/>
      <c r="LVH39" s="16"/>
      <c r="LVI39" s="16"/>
      <c r="LVJ39" s="16"/>
      <c r="LVK39" s="16"/>
      <c r="LVL39" s="16"/>
      <c r="LVM39" s="16"/>
      <c r="LVN39" s="16"/>
      <c r="LVO39" s="16"/>
      <c r="LVP39" s="16"/>
      <c r="LVQ39" s="16"/>
      <c r="LVR39" s="16"/>
      <c r="LVS39" s="16"/>
      <c r="LVT39" s="16"/>
      <c r="LVU39" s="16"/>
      <c r="LVV39" s="16"/>
      <c r="LVW39" s="16"/>
      <c r="LVX39" s="16"/>
      <c r="LVY39" s="16"/>
      <c r="LVZ39" s="16"/>
      <c r="LWA39" s="16"/>
      <c r="LWB39" s="16"/>
      <c r="LWC39" s="16"/>
      <c r="LWD39" s="16"/>
      <c r="LWE39" s="16"/>
      <c r="LWF39" s="16"/>
      <c r="LWG39" s="16"/>
      <c r="LWH39" s="16"/>
      <c r="LWI39" s="16"/>
      <c r="LWJ39" s="16"/>
      <c r="LWK39" s="16"/>
      <c r="LWL39" s="16"/>
      <c r="LWM39" s="16"/>
      <c r="LWN39" s="16"/>
      <c r="LWO39" s="16"/>
      <c r="LWP39" s="16"/>
      <c r="LWQ39" s="16"/>
      <c r="LWR39" s="16"/>
      <c r="LWS39" s="16"/>
      <c r="LWT39" s="16"/>
      <c r="LWU39" s="16"/>
      <c r="LWV39" s="16"/>
      <c r="LWW39" s="16"/>
      <c r="LWX39" s="16"/>
      <c r="LWY39" s="16"/>
      <c r="LWZ39" s="16"/>
      <c r="LXA39" s="16"/>
      <c r="LXB39" s="16"/>
      <c r="LXC39" s="16"/>
      <c r="LXD39" s="16"/>
      <c r="LXE39" s="16"/>
      <c r="LXF39" s="16"/>
      <c r="LXG39" s="16"/>
      <c r="LXH39" s="16"/>
      <c r="LXI39" s="16"/>
      <c r="LXJ39" s="16"/>
      <c r="LXK39" s="16"/>
      <c r="LXL39" s="16"/>
      <c r="LXM39" s="16"/>
      <c r="LXN39" s="16"/>
      <c r="LXO39" s="16"/>
      <c r="LXP39" s="16"/>
      <c r="LXQ39" s="16"/>
      <c r="LXR39" s="16"/>
      <c r="LXS39" s="16"/>
      <c r="LXT39" s="16"/>
      <c r="LXU39" s="16"/>
      <c r="LXV39" s="16"/>
      <c r="LXW39" s="16"/>
      <c r="LXX39" s="16"/>
      <c r="LXY39" s="16"/>
      <c r="LXZ39" s="16"/>
      <c r="LYA39" s="16"/>
      <c r="LYB39" s="16"/>
      <c r="LYC39" s="16"/>
      <c r="LYD39" s="16"/>
      <c r="LYE39" s="16"/>
      <c r="LYF39" s="16"/>
      <c r="LYG39" s="16"/>
      <c r="LYH39" s="16"/>
      <c r="LYI39" s="16"/>
      <c r="LYJ39" s="16"/>
      <c r="LYK39" s="16"/>
      <c r="LYL39" s="16"/>
      <c r="LYM39" s="16"/>
      <c r="LYN39" s="16"/>
      <c r="LYO39" s="16"/>
      <c r="LYP39" s="16"/>
      <c r="LYQ39" s="16"/>
      <c r="LYR39" s="16"/>
      <c r="LYS39" s="16"/>
      <c r="LYT39" s="16"/>
      <c r="LYU39" s="16"/>
      <c r="LYV39" s="16"/>
      <c r="LYW39" s="16"/>
      <c r="LYX39" s="16"/>
      <c r="LYY39" s="16"/>
      <c r="LYZ39" s="16"/>
      <c r="LZA39" s="16"/>
      <c r="LZB39" s="16"/>
      <c r="LZC39" s="16"/>
      <c r="LZD39" s="16"/>
      <c r="LZE39" s="16"/>
      <c r="LZF39" s="16"/>
      <c r="LZG39" s="16"/>
      <c r="LZH39" s="16"/>
      <c r="LZI39" s="16"/>
      <c r="LZJ39" s="16"/>
      <c r="LZK39" s="16"/>
      <c r="LZL39" s="16"/>
      <c r="LZM39" s="16"/>
      <c r="LZN39" s="16"/>
      <c r="LZO39" s="16"/>
      <c r="LZP39" s="16"/>
      <c r="LZQ39" s="16"/>
      <c r="LZR39" s="16"/>
      <c r="LZS39" s="16"/>
      <c r="LZT39" s="16"/>
      <c r="LZU39" s="16"/>
      <c r="LZV39" s="16"/>
      <c r="LZW39" s="16"/>
      <c r="LZX39" s="16"/>
      <c r="LZY39" s="16"/>
      <c r="LZZ39" s="16"/>
      <c r="MAA39" s="16"/>
      <c r="MAB39" s="16"/>
      <c r="MAC39" s="16"/>
      <c r="MAD39" s="16"/>
      <c r="MAE39" s="16"/>
      <c r="MAF39" s="16"/>
      <c r="MAG39" s="16"/>
      <c r="MAH39" s="16"/>
      <c r="MAI39" s="16"/>
      <c r="MAJ39" s="16"/>
      <c r="MAK39" s="16"/>
      <c r="MAL39" s="16"/>
      <c r="MAM39" s="16"/>
      <c r="MAN39" s="16"/>
      <c r="MAO39" s="16"/>
      <c r="MAP39" s="16"/>
      <c r="MAQ39" s="16"/>
      <c r="MAR39" s="16"/>
      <c r="MAS39" s="16"/>
      <c r="MAT39" s="16"/>
      <c r="MAU39" s="16"/>
      <c r="MAV39" s="16"/>
      <c r="MAW39" s="16"/>
      <c r="MAX39" s="16"/>
      <c r="MAY39" s="16"/>
      <c r="MAZ39" s="16"/>
      <c r="MBA39" s="16"/>
      <c r="MBB39" s="16"/>
      <c r="MBC39" s="16"/>
      <c r="MBD39" s="16"/>
      <c r="MBE39" s="16"/>
      <c r="MBF39" s="16"/>
      <c r="MBG39" s="16"/>
      <c r="MBH39" s="16"/>
      <c r="MBI39" s="16"/>
      <c r="MBJ39" s="16"/>
      <c r="MBK39" s="16"/>
      <c r="MBL39" s="16"/>
      <c r="MBM39" s="16"/>
      <c r="MBN39" s="16"/>
      <c r="MBO39" s="16"/>
      <c r="MBP39" s="16"/>
      <c r="MBQ39" s="16"/>
      <c r="MBR39" s="16"/>
      <c r="MBS39" s="16"/>
      <c r="MBT39" s="16"/>
      <c r="MBU39" s="16"/>
      <c r="MBV39" s="16"/>
      <c r="MBW39" s="16"/>
      <c r="MBX39" s="16"/>
      <c r="MBY39" s="16"/>
      <c r="MBZ39" s="16"/>
      <c r="MCA39" s="16"/>
      <c r="MCB39" s="16"/>
      <c r="MCC39" s="16"/>
      <c r="MCD39" s="16"/>
      <c r="MCE39" s="16"/>
      <c r="MCF39" s="16"/>
      <c r="MCG39" s="16"/>
      <c r="MCH39" s="16"/>
      <c r="MCI39" s="16"/>
      <c r="MCJ39" s="16"/>
      <c r="MCK39" s="16"/>
      <c r="MCL39" s="16"/>
      <c r="MCM39" s="16"/>
      <c r="MCN39" s="16"/>
      <c r="MCO39" s="16"/>
      <c r="MCP39" s="16"/>
      <c r="MCQ39" s="16"/>
      <c r="MCR39" s="16"/>
      <c r="MCS39" s="16"/>
      <c r="MCT39" s="16"/>
      <c r="MCU39" s="16"/>
      <c r="MCV39" s="16"/>
      <c r="MCW39" s="16"/>
      <c r="MCX39" s="16"/>
      <c r="MCY39" s="16"/>
      <c r="MCZ39" s="16"/>
      <c r="MDA39" s="16"/>
      <c r="MDB39" s="16"/>
      <c r="MDC39" s="16"/>
      <c r="MDD39" s="16"/>
      <c r="MDE39" s="16"/>
      <c r="MDF39" s="16"/>
      <c r="MDG39" s="16"/>
      <c r="MDH39" s="16"/>
      <c r="MDI39" s="16"/>
      <c r="MDJ39" s="16"/>
      <c r="MDK39" s="16"/>
      <c r="MDL39" s="16"/>
      <c r="MDM39" s="16"/>
      <c r="MDN39" s="16"/>
      <c r="MDO39" s="16"/>
      <c r="MDP39" s="16"/>
      <c r="MDQ39" s="16"/>
      <c r="MDR39" s="16"/>
      <c r="MDS39" s="16"/>
      <c r="MDT39" s="16"/>
      <c r="MDU39" s="16"/>
      <c r="MDV39" s="16"/>
      <c r="MDW39" s="16"/>
      <c r="MDX39" s="16"/>
      <c r="MDY39" s="16"/>
      <c r="MDZ39" s="16"/>
      <c r="MEA39" s="16"/>
      <c r="MEB39" s="16"/>
      <c r="MEC39" s="16"/>
      <c r="MED39" s="16"/>
      <c r="MEE39" s="16"/>
      <c r="MEF39" s="16"/>
      <c r="MEG39" s="16"/>
      <c r="MEH39" s="16"/>
      <c r="MEI39" s="16"/>
      <c r="MEJ39" s="16"/>
      <c r="MEK39" s="16"/>
      <c r="MEL39" s="16"/>
      <c r="MEM39" s="16"/>
      <c r="MEN39" s="16"/>
      <c r="MEO39" s="16"/>
      <c r="MEP39" s="16"/>
      <c r="MEQ39" s="16"/>
      <c r="MER39" s="16"/>
      <c r="MES39" s="16"/>
      <c r="MET39" s="16"/>
      <c r="MEU39" s="16"/>
      <c r="MEV39" s="16"/>
      <c r="MEW39" s="16"/>
      <c r="MEX39" s="16"/>
      <c r="MEY39" s="16"/>
      <c r="MEZ39" s="16"/>
      <c r="MFA39" s="16"/>
      <c r="MFB39" s="16"/>
      <c r="MFC39" s="16"/>
      <c r="MFD39" s="16"/>
      <c r="MFE39" s="16"/>
      <c r="MFF39" s="16"/>
      <c r="MFG39" s="16"/>
      <c r="MFH39" s="16"/>
      <c r="MFI39" s="16"/>
      <c r="MFJ39" s="16"/>
      <c r="MFK39" s="16"/>
      <c r="MFL39" s="16"/>
      <c r="MFM39" s="16"/>
      <c r="MFN39" s="16"/>
      <c r="MFO39" s="16"/>
      <c r="MFP39" s="16"/>
      <c r="MFQ39" s="16"/>
      <c r="MFR39" s="16"/>
      <c r="MFS39" s="16"/>
      <c r="MFT39" s="16"/>
      <c r="MFU39" s="16"/>
      <c r="MFV39" s="16"/>
      <c r="MFW39" s="16"/>
      <c r="MFX39" s="16"/>
      <c r="MFY39" s="16"/>
      <c r="MFZ39" s="16"/>
      <c r="MGA39" s="16"/>
      <c r="MGB39" s="16"/>
      <c r="MGC39" s="16"/>
      <c r="MGD39" s="16"/>
      <c r="MGE39" s="16"/>
      <c r="MGF39" s="16"/>
      <c r="MGG39" s="16"/>
      <c r="MGH39" s="16"/>
      <c r="MGI39" s="16"/>
      <c r="MGJ39" s="16"/>
      <c r="MGK39" s="16"/>
      <c r="MGL39" s="16"/>
      <c r="MGM39" s="16"/>
      <c r="MGN39" s="16"/>
      <c r="MGO39" s="16"/>
      <c r="MGP39" s="16"/>
      <c r="MGQ39" s="16"/>
      <c r="MGR39" s="16"/>
      <c r="MGS39" s="16"/>
      <c r="MGT39" s="16"/>
      <c r="MGU39" s="16"/>
      <c r="MGV39" s="16"/>
      <c r="MGW39" s="16"/>
      <c r="MGX39" s="16"/>
      <c r="MGY39" s="16"/>
      <c r="MGZ39" s="16"/>
      <c r="MHA39" s="16"/>
      <c r="MHB39" s="16"/>
      <c r="MHC39" s="16"/>
      <c r="MHD39" s="16"/>
      <c r="MHE39" s="16"/>
      <c r="MHF39" s="16"/>
      <c r="MHG39" s="16"/>
      <c r="MHH39" s="16"/>
      <c r="MHI39" s="16"/>
      <c r="MHJ39" s="16"/>
      <c r="MHK39" s="16"/>
      <c r="MHL39" s="16"/>
      <c r="MHM39" s="16"/>
      <c r="MHN39" s="16"/>
      <c r="MHO39" s="16"/>
      <c r="MHP39" s="16"/>
      <c r="MHQ39" s="16"/>
      <c r="MHR39" s="16"/>
      <c r="MHS39" s="16"/>
      <c r="MHT39" s="16"/>
      <c r="MHU39" s="16"/>
      <c r="MHV39" s="16"/>
      <c r="MHW39" s="16"/>
      <c r="MHX39" s="16"/>
      <c r="MHY39" s="16"/>
      <c r="MHZ39" s="16"/>
      <c r="MIA39" s="16"/>
      <c r="MIB39" s="16"/>
      <c r="MIC39" s="16"/>
      <c r="MID39" s="16"/>
      <c r="MIE39" s="16"/>
      <c r="MIF39" s="16"/>
      <c r="MIG39" s="16"/>
      <c r="MIH39" s="16"/>
      <c r="MII39" s="16"/>
      <c r="MIJ39" s="16"/>
      <c r="MIK39" s="16"/>
      <c r="MIL39" s="16"/>
      <c r="MIM39" s="16"/>
      <c r="MIN39" s="16"/>
      <c r="MIO39" s="16"/>
      <c r="MIP39" s="16"/>
      <c r="MIQ39" s="16"/>
      <c r="MIR39" s="16"/>
      <c r="MIS39" s="16"/>
      <c r="MIT39" s="16"/>
      <c r="MIU39" s="16"/>
      <c r="MIV39" s="16"/>
      <c r="MIW39" s="16"/>
      <c r="MIX39" s="16"/>
      <c r="MIY39" s="16"/>
      <c r="MIZ39" s="16"/>
      <c r="MJA39" s="16"/>
      <c r="MJB39" s="16"/>
      <c r="MJC39" s="16"/>
      <c r="MJD39" s="16"/>
      <c r="MJE39" s="16"/>
      <c r="MJF39" s="16"/>
      <c r="MJG39" s="16"/>
      <c r="MJH39" s="16"/>
      <c r="MJI39" s="16"/>
      <c r="MJJ39" s="16"/>
      <c r="MJK39" s="16"/>
      <c r="MJL39" s="16"/>
      <c r="MJM39" s="16"/>
      <c r="MJN39" s="16"/>
      <c r="MJO39" s="16"/>
      <c r="MJP39" s="16"/>
      <c r="MJQ39" s="16"/>
      <c r="MJR39" s="16"/>
      <c r="MJS39" s="16"/>
      <c r="MJT39" s="16"/>
      <c r="MJU39" s="16"/>
      <c r="MJV39" s="16"/>
      <c r="MJW39" s="16"/>
      <c r="MJX39" s="16"/>
      <c r="MJY39" s="16"/>
      <c r="MJZ39" s="16"/>
      <c r="MKA39" s="16"/>
      <c r="MKB39" s="16"/>
      <c r="MKC39" s="16"/>
      <c r="MKD39" s="16"/>
      <c r="MKE39" s="16"/>
      <c r="MKF39" s="16"/>
      <c r="MKG39" s="16"/>
      <c r="MKH39" s="16"/>
      <c r="MKI39" s="16"/>
      <c r="MKJ39" s="16"/>
      <c r="MKK39" s="16"/>
      <c r="MKL39" s="16"/>
      <c r="MKM39" s="16"/>
      <c r="MKN39" s="16"/>
      <c r="MKO39" s="16"/>
      <c r="MKP39" s="16"/>
      <c r="MKQ39" s="16"/>
      <c r="MKR39" s="16"/>
      <c r="MKS39" s="16"/>
      <c r="MKT39" s="16"/>
      <c r="MKU39" s="16"/>
      <c r="MKV39" s="16"/>
      <c r="MKW39" s="16"/>
      <c r="MKX39" s="16"/>
      <c r="MKY39" s="16"/>
      <c r="MKZ39" s="16"/>
      <c r="MLA39" s="16"/>
      <c r="MLB39" s="16"/>
      <c r="MLC39" s="16"/>
      <c r="MLD39" s="16"/>
      <c r="MLE39" s="16"/>
      <c r="MLF39" s="16"/>
      <c r="MLG39" s="16"/>
      <c r="MLH39" s="16"/>
      <c r="MLI39" s="16"/>
      <c r="MLJ39" s="16"/>
      <c r="MLK39" s="16"/>
      <c r="MLL39" s="16"/>
      <c r="MLM39" s="16"/>
      <c r="MLN39" s="16"/>
      <c r="MLO39" s="16"/>
      <c r="MLP39" s="16"/>
      <c r="MLQ39" s="16"/>
      <c r="MLR39" s="16"/>
      <c r="MLS39" s="16"/>
      <c r="MLT39" s="16"/>
      <c r="MLU39" s="16"/>
      <c r="MLV39" s="16"/>
      <c r="MLW39" s="16"/>
      <c r="MLX39" s="16"/>
      <c r="MLY39" s="16"/>
      <c r="MLZ39" s="16"/>
      <c r="MMA39" s="16"/>
      <c r="MMB39" s="16"/>
      <c r="MMC39" s="16"/>
      <c r="MMD39" s="16"/>
      <c r="MME39" s="16"/>
      <c r="MMF39" s="16"/>
      <c r="MMG39" s="16"/>
      <c r="MMH39" s="16"/>
      <c r="MMI39" s="16"/>
      <c r="MMJ39" s="16"/>
      <c r="MMK39" s="16"/>
      <c r="MML39" s="16"/>
      <c r="MMM39" s="16"/>
      <c r="MMN39" s="16"/>
      <c r="MMO39" s="16"/>
      <c r="MMP39" s="16"/>
      <c r="MMQ39" s="16"/>
      <c r="MMR39" s="16"/>
      <c r="MMS39" s="16"/>
      <c r="MMT39" s="16"/>
      <c r="MMU39" s="16"/>
      <c r="MMV39" s="16"/>
      <c r="MMW39" s="16"/>
      <c r="MMX39" s="16"/>
      <c r="MMY39" s="16"/>
      <c r="MMZ39" s="16"/>
      <c r="MNA39" s="16"/>
      <c r="MNB39" s="16"/>
      <c r="MNC39" s="16"/>
      <c r="MND39" s="16"/>
      <c r="MNE39" s="16"/>
      <c r="MNF39" s="16"/>
      <c r="MNG39" s="16"/>
      <c r="MNH39" s="16"/>
      <c r="MNI39" s="16"/>
      <c r="MNJ39" s="16"/>
      <c r="MNK39" s="16"/>
      <c r="MNL39" s="16"/>
      <c r="MNM39" s="16"/>
      <c r="MNN39" s="16"/>
      <c r="MNO39" s="16"/>
      <c r="MNP39" s="16"/>
      <c r="MNQ39" s="16"/>
      <c r="MNR39" s="16"/>
      <c r="MNS39" s="16"/>
      <c r="MNT39" s="16"/>
      <c r="MNU39" s="16"/>
      <c r="MNV39" s="16"/>
      <c r="MNW39" s="16"/>
      <c r="MNX39" s="16"/>
      <c r="MNY39" s="16"/>
      <c r="MNZ39" s="16"/>
      <c r="MOA39" s="16"/>
      <c r="MOB39" s="16"/>
      <c r="MOC39" s="16"/>
      <c r="MOD39" s="16"/>
      <c r="MOE39" s="16"/>
      <c r="MOF39" s="16"/>
      <c r="MOG39" s="16"/>
      <c r="MOH39" s="16"/>
      <c r="MOI39" s="16"/>
      <c r="MOJ39" s="16"/>
      <c r="MOK39" s="16"/>
      <c r="MOL39" s="16"/>
      <c r="MOM39" s="16"/>
      <c r="MON39" s="16"/>
      <c r="MOO39" s="16"/>
      <c r="MOP39" s="16"/>
      <c r="MOQ39" s="16"/>
      <c r="MOR39" s="16"/>
      <c r="MOS39" s="16"/>
      <c r="MOT39" s="16"/>
      <c r="MOU39" s="16"/>
      <c r="MOV39" s="16"/>
      <c r="MOW39" s="16"/>
      <c r="MOX39" s="16"/>
      <c r="MOY39" s="16"/>
      <c r="MOZ39" s="16"/>
      <c r="MPA39" s="16"/>
      <c r="MPB39" s="16"/>
      <c r="MPC39" s="16"/>
      <c r="MPD39" s="16"/>
      <c r="MPE39" s="16"/>
      <c r="MPF39" s="16"/>
      <c r="MPG39" s="16"/>
      <c r="MPH39" s="16"/>
      <c r="MPI39" s="16"/>
      <c r="MPJ39" s="16"/>
      <c r="MPK39" s="16"/>
      <c r="MPL39" s="16"/>
      <c r="MPM39" s="16"/>
      <c r="MPN39" s="16"/>
      <c r="MPO39" s="16"/>
      <c r="MPP39" s="16"/>
      <c r="MPQ39" s="16"/>
      <c r="MPR39" s="16"/>
      <c r="MPS39" s="16"/>
      <c r="MPT39" s="16"/>
      <c r="MPU39" s="16"/>
      <c r="MPV39" s="16"/>
      <c r="MPW39" s="16"/>
      <c r="MPX39" s="16"/>
      <c r="MPY39" s="16"/>
      <c r="MPZ39" s="16"/>
      <c r="MQA39" s="16"/>
      <c r="MQB39" s="16"/>
      <c r="MQC39" s="16"/>
      <c r="MQD39" s="16"/>
      <c r="MQE39" s="16"/>
      <c r="MQF39" s="16"/>
      <c r="MQG39" s="16"/>
      <c r="MQH39" s="16"/>
      <c r="MQI39" s="16"/>
      <c r="MQJ39" s="16"/>
      <c r="MQK39" s="16"/>
      <c r="MQL39" s="16"/>
      <c r="MQM39" s="16"/>
      <c r="MQN39" s="16"/>
      <c r="MQO39" s="16"/>
      <c r="MQP39" s="16"/>
      <c r="MQQ39" s="16"/>
      <c r="MQR39" s="16"/>
      <c r="MQS39" s="16"/>
      <c r="MQT39" s="16"/>
      <c r="MQU39" s="16"/>
      <c r="MQV39" s="16"/>
      <c r="MQW39" s="16"/>
      <c r="MQX39" s="16"/>
      <c r="MQY39" s="16"/>
      <c r="MQZ39" s="16"/>
      <c r="MRA39" s="16"/>
      <c r="MRB39" s="16"/>
      <c r="MRC39" s="16"/>
      <c r="MRD39" s="16"/>
      <c r="MRE39" s="16"/>
      <c r="MRF39" s="16"/>
      <c r="MRG39" s="16"/>
      <c r="MRH39" s="16"/>
      <c r="MRI39" s="16"/>
      <c r="MRJ39" s="16"/>
      <c r="MRK39" s="16"/>
      <c r="MRL39" s="16"/>
      <c r="MRM39" s="16"/>
      <c r="MRN39" s="16"/>
      <c r="MRO39" s="16"/>
      <c r="MRP39" s="16"/>
      <c r="MRQ39" s="16"/>
      <c r="MRR39" s="16"/>
      <c r="MRS39" s="16"/>
      <c r="MRT39" s="16"/>
      <c r="MRU39" s="16"/>
      <c r="MRV39" s="16"/>
      <c r="MRW39" s="16"/>
      <c r="MRX39" s="16"/>
      <c r="MRY39" s="16"/>
      <c r="MRZ39" s="16"/>
      <c r="MSA39" s="16"/>
      <c r="MSB39" s="16"/>
      <c r="MSC39" s="16"/>
      <c r="MSD39" s="16"/>
      <c r="MSE39" s="16"/>
      <c r="MSF39" s="16"/>
      <c r="MSG39" s="16"/>
      <c r="MSH39" s="16"/>
      <c r="MSI39" s="16"/>
      <c r="MSJ39" s="16"/>
      <c r="MSK39" s="16"/>
      <c r="MSL39" s="16"/>
      <c r="MSM39" s="16"/>
      <c r="MSN39" s="16"/>
      <c r="MSO39" s="16"/>
      <c r="MSP39" s="16"/>
      <c r="MSQ39" s="16"/>
      <c r="MSR39" s="16"/>
      <c r="MSS39" s="16"/>
      <c r="MST39" s="16"/>
      <c r="MSU39" s="16"/>
      <c r="MSV39" s="16"/>
      <c r="MSW39" s="16"/>
      <c r="MSX39" s="16"/>
      <c r="MSY39" s="16"/>
      <c r="MSZ39" s="16"/>
      <c r="MTA39" s="16"/>
      <c r="MTB39" s="16"/>
      <c r="MTC39" s="16"/>
      <c r="MTD39" s="16"/>
      <c r="MTE39" s="16"/>
      <c r="MTF39" s="16"/>
      <c r="MTG39" s="16"/>
      <c r="MTH39" s="16"/>
      <c r="MTI39" s="16"/>
      <c r="MTJ39" s="16"/>
      <c r="MTK39" s="16"/>
      <c r="MTL39" s="16"/>
      <c r="MTM39" s="16"/>
      <c r="MTN39" s="16"/>
      <c r="MTO39" s="16"/>
      <c r="MTP39" s="16"/>
      <c r="MTQ39" s="16"/>
      <c r="MTR39" s="16"/>
      <c r="MTS39" s="16"/>
      <c r="MTT39" s="16"/>
      <c r="MTU39" s="16"/>
      <c r="MTV39" s="16"/>
      <c r="MTW39" s="16"/>
      <c r="MTX39" s="16"/>
      <c r="MTY39" s="16"/>
      <c r="MTZ39" s="16"/>
      <c r="MUA39" s="16"/>
      <c r="MUB39" s="16"/>
      <c r="MUC39" s="16"/>
      <c r="MUD39" s="16"/>
      <c r="MUE39" s="16"/>
      <c r="MUF39" s="16"/>
      <c r="MUG39" s="16"/>
      <c r="MUH39" s="16"/>
      <c r="MUI39" s="16"/>
      <c r="MUJ39" s="16"/>
      <c r="MUK39" s="16"/>
      <c r="MUL39" s="16"/>
      <c r="MUM39" s="16"/>
      <c r="MUN39" s="16"/>
      <c r="MUO39" s="16"/>
      <c r="MUP39" s="16"/>
      <c r="MUQ39" s="16"/>
      <c r="MUR39" s="16"/>
      <c r="MUS39" s="16"/>
      <c r="MUT39" s="16"/>
      <c r="MUU39" s="16"/>
      <c r="MUV39" s="16"/>
      <c r="MUW39" s="16"/>
      <c r="MUX39" s="16"/>
      <c r="MUY39" s="16"/>
      <c r="MUZ39" s="16"/>
      <c r="MVA39" s="16"/>
      <c r="MVB39" s="16"/>
      <c r="MVC39" s="16"/>
      <c r="MVD39" s="16"/>
      <c r="MVE39" s="16"/>
      <c r="MVF39" s="16"/>
      <c r="MVG39" s="16"/>
      <c r="MVH39" s="16"/>
      <c r="MVI39" s="16"/>
      <c r="MVJ39" s="16"/>
      <c r="MVK39" s="16"/>
      <c r="MVL39" s="16"/>
      <c r="MVM39" s="16"/>
      <c r="MVN39" s="16"/>
      <c r="MVO39" s="16"/>
      <c r="MVP39" s="16"/>
      <c r="MVQ39" s="16"/>
      <c r="MVR39" s="16"/>
      <c r="MVS39" s="16"/>
      <c r="MVT39" s="16"/>
      <c r="MVU39" s="16"/>
      <c r="MVV39" s="16"/>
      <c r="MVW39" s="16"/>
      <c r="MVX39" s="16"/>
      <c r="MVY39" s="16"/>
      <c r="MVZ39" s="16"/>
      <c r="MWA39" s="16"/>
      <c r="MWB39" s="16"/>
      <c r="MWC39" s="16"/>
      <c r="MWD39" s="16"/>
      <c r="MWE39" s="16"/>
      <c r="MWF39" s="16"/>
      <c r="MWG39" s="16"/>
      <c r="MWH39" s="16"/>
      <c r="MWI39" s="16"/>
      <c r="MWJ39" s="16"/>
      <c r="MWK39" s="16"/>
      <c r="MWL39" s="16"/>
      <c r="MWM39" s="16"/>
      <c r="MWN39" s="16"/>
      <c r="MWO39" s="16"/>
      <c r="MWP39" s="16"/>
      <c r="MWQ39" s="16"/>
      <c r="MWR39" s="16"/>
      <c r="MWS39" s="16"/>
      <c r="MWT39" s="16"/>
      <c r="MWU39" s="16"/>
      <c r="MWV39" s="16"/>
      <c r="MWW39" s="16"/>
      <c r="MWX39" s="16"/>
      <c r="MWY39" s="16"/>
      <c r="MWZ39" s="16"/>
      <c r="MXA39" s="16"/>
      <c r="MXB39" s="16"/>
      <c r="MXC39" s="16"/>
      <c r="MXD39" s="16"/>
      <c r="MXE39" s="16"/>
      <c r="MXF39" s="16"/>
      <c r="MXG39" s="16"/>
      <c r="MXH39" s="16"/>
      <c r="MXI39" s="16"/>
      <c r="MXJ39" s="16"/>
      <c r="MXK39" s="16"/>
      <c r="MXL39" s="16"/>
      <c r="MXM39" s="16"/>
      <c r="MXN39" s="16"/>
      <c r="MXO39" s="16"/>
      <c r="MXP39" s="16"/>
      <c r="MXQ39" s="16"/>
      <c r="MXR39" s="16"/>
      <c r="MXS39" s="16"/>
      <c r="MXT39" s="16"/>
      <c r="MXU39" s="16"/>
      <c r="MXV39" s="16"/>
      <c r="MXW39" s="16"/>
      <c r="MXX39" s="16"/>
      <c r="MXY39" s="16"/>
      <c r="MXZ39" s="16"/>
      <c r="MYA39" s="16"/>
      <c r="MYB39" s="16"/>
      <c r="MYC39" s="16"/>
      <c r="MYD39" s="16"/>
      <c r="MYE39" s="16"/>
      <c r="MYF39" s="16"/>
      <c r="MYG39" s="16"/>
      <c r="MYH39" s="16"/>
      <c r="MYI39" s="16"/>
      <c r="MYJ39" s="16"/>
      <c r="MYK39" s="16"/>
      <c r="MYL39" s="16"/>
      <c r="MYM39" s="16"/>
      <c r="MYN39" s="16"/>
      <c r="MYO39" s="16"/>
      <c r="MYP39" s="16"/>
      <c r="MYQ39" s="16"/>
      <c r="MYR39" s="16"/>
      <c r="MYS39" s="16"/>
      <c r="MYT39" s="16"/>
      <c r="MYU39" s="16"/>
      <c r="MYV39" s="16"/>
      <c r="MYW39" s="16"/>
      <c r="MYX39" s="16"/>
      <c r="MYY39" s="16"/>
      <c r="MYZ39" s="16"/>
      <c r="MZA39" s="16"/>
      <c r="MZB39" s="16"/>
      <c r="MZC39" s="16"/>
      <c r="MZD39" s="16"/>
      <c r="MZE39" s="16"/>
      <c r="MZF39" s="16"/>
      <c r="MZG39" s="16"/>
      <c r="MZH39" s="16"/>
      <c r="MZI39" s="16"/>
      <c r="MZJ39" s="16"/>
      <c r="MZK39" s="16"/>
      <c r="MZL39" s="16"/>
      <c r="MZM39" s="16"/>
      <c r="MZN39" s="16"/>
      <c r="MZO39" s="16"/>
      <c r="MZP39" s="16"/>
      <c r="MZQ39" s="16"/>
      <c r="MZR39" s="16"/>
      <c r="MZS39" s="16"/>
      <c r="MZT39" s="16"/>
      <c r="MZU39" s="16"/>
      <c r="MZV39" s="16"/>
      <c r="MZW39" s="16"/>
      <c r="MZX39" s="16"/>
      <c r="MZY39" s="16"/>
      <c r="MZZ39" s="16"/>
      <c r="NAA39" s="16"/>
      <c r="NAB39" s="16"/>
      <c r="NAC39" s="16"/>
      <c r="NAD39" s="16"/>
      <c r="NAE39" s="16"/>
      <c r="NAF39" s="16"/>
      <c r="NAG39" s="16"/>
      <c r="NAH39" s="16"/>
      <c r="NAI39" s="16"/>
      <c r="NAJ39" s="16"/>
      <c r="NAK39" s="16"/>
      <c r="NAL39" s="16"/>
      <c r="NAM39" s="16"/>
      <c r="NAN39" s="16"/>
      <c r="NAO39" s="16"/>
      <c r="NAP39" s="16"/>
      <c r="NAQ39" s="16"/>
      <c r="NAR39" s="16"/>
      <c r="NAS39" s="16"/>
      <c r="NAT39" s="16"/>
      <c r="NAU39" s="16"/>
      <c r="NAV39" s="16"/>
      <c r="NAW39" s="16"/>
      <c r="NAX39" s="16"/>
      <c r="NAY39" s="16"/>
      <c r="NAZ39" s="16"/>
      <c r="NBA39" s="16"/>
      <c r="NBB39" s="16"/>
      <c r="NBC39" s="16"/>
      <c r="NBD39" s="16"/>
      <c r="NBE39" s="16"/>
      <c r="NBF39" s="16"/>
      <c r="NBG39" s="16"/>
      <c r="NBH39" s="16"/>
      <c r="NBI39" s="16"/>
      <c r="NBJ39" s="16"/>
      <c r="NBK39" s="16"/>
      <c r="NBL39" s="16"/>
      <c r="NBM39" s="16"/>
      <c r="NBN39" s="16"/>
      <c r="NBO39" s="16"/>
      <c r="NBP39" s="16"/>
      <c r="NBQ39" s="16"/>
      <c r="NBR39" s="16"/>
      <c r="NBS39" s="16"/>
      <c r="NBT39" s="16"/>
      <c r="NBU39" s="16"/>
      <c r="NBV39" s="16"/>
      <c r="NBW39" s="16"/>
      <c r="NBX39" s="16"/>
      <c r="NBY39" s="16"/>
      <c r="NBZ39" s="16"/>
      <c r="NCA39" s="16"/>
      <c r="NCB39" s="16"/>
      <c r="NCC39" s="16"/>
      <c r="NCD39" s="16"/>
      <c r="NCE39" s="16"/>
      <c r="NCF39" s="16"/>
      <c r="NCG39" s="16"/>
      <c r="NCH39" s="16"/>
      <c r="NCI39" s="16"/>
      <c r="NCJ39" s="16"/>
      <c r="NCK39" s="16"/>
      <c r="NCL39" s="16"/>
      <c r="NCM39" s="16"/>
      <c r="NCN39" s="16"/>
      <c r="NCO39" s="16"/>
      <c r="NCP39" s="16"/>
      <c r="NCQ39" s="16"/>
      <c r="NCR39" s="16"/>
      <c r="NCS39" s="16"/>
      <c r="NCT39" s="16"/>
      <c r="NCU39" s="16"/>
      <c r="NCV39" s="16"/>
      <c r="NCW39" s="16"/>
      <c r="NCX39" s="16"/>
      <c r="NCY39" s="16"/>
      <c r="NCZ39" s="16"/>
      <c r="NDA39" s="16"/>
      <c r="NDB39" s="16"/>
      <c r="NDC39" s="16"/>
      <c r="NDD39" s="16"/>
      <c r="NDE39" s="16"/>
      <c r="NDF39" s="16"/>
      <c r="NDG39" s="16"/>
      <c r="NDH39" s="16"/>
      <c r="NDI39" s="16"/>
      <c r="NDJ39" s="16"/>
      <c r="NDK39" s="16"/>
      <c r="NDL39" s="16"/>
      <c r="NDM39" s="16"/>
      <c r="NDN39" s="16"/>
      <c r="NDO39" s="16"/>
      <c r="NDP39" s="16"/>
      <c r="NDQ39" s="16"/>
      <c r="NDR39" s="16"/>
      <c r="NDS39" s="16"/>
      <c r="NDT39" s="16"/>
      <c r="NDU39" s="16"/>
      <c r="NDV39" s="16"/>
      <c r="NDW39" s="16"/>
      <c r="NDX39" s="16"/>
      <c r="NDY39" s="16"/>
      <c r="NDZ39" s="16"/>
      <c r="NEA39" s="16"/>
      <c r="NEB39" s="16"/>
      <c r="NEC39" s="16"/>
      <c r="NED39" s="16"/>
      <c r="NEE39" s="16"/>
      <c r="NEF39" s="16"/>
      <c r="NEG39" s="16"/>
      <c r="NEH39" s="16"/>
      <c r="NEI39" s="16"/>
      <c r="NEJ39" s="16"/>
      <c r="NEK39" s="16"/>
      <c r="NEL39" s="16"/>
      <c r="NEM39" s="16"/>
      <c r="NEN39" s="16"/>
      <c r="NEO39" s="16"/>
      <c r="NEP39" s="16"/>
      <c r="NEQ39" s="16"/>
      <c r="NER39" s="16"/>
      <c r="NES39" s="16"/>
      <c r="NET39" s="16"/>
      <c r="NEU39" s="16"/>
      <c r="NEV39" s="16"/>
      <c r="NEW39" s="16"/>
      <c r="NEX39" s="16"/>
      <c r="NEY39" s="16"/>
      <c r="NEZ39" s="16"/>
      <c r="NFA39" s="16"/>
      <c r="NFB39" s="16"/>
      <c r="NFC39" s="16"/>
      <c r="NFD39" s="16"/>
      <c r="NFE39" s="16"/>
      <c r="NFF39" s="16"/>
      <c r="NFG39" s="16"/>
      <c r="NFH39" s="16"/>
      <c r="NFI39" s="16"/>
      <c r="NFJ39" s="16"/>
      <c r="NFK39" s="16"/>
      <c r="NFL39" s="16"/>
      <c r="NFM39" s="16"/>
      <c r="NFN39" s="16"/>
      <c r="NFO39" s="16"/>
      <c r="NFP39" s="16"/>
      <c r="NFQ39" s="16"/>
      <c r="NFR39" s="16"/>
      <c r="NFS39" s="16"/>
      <c r="NFT39" s="16"/>
      <c r="NFU39" s="16"/>
      <c r="NFV39" s="16"/>
      <c r="NFW39" s="16"/>
      <c r="NFX39" s="16"/>
      <c r="NFY39" s="16"/>
      <c r="NFZ39" s="16"/>
      <c r="NGA39" s="16"/>
      <c r="NGB39" s="16"/>
      <c r="NGC39" s="16"/>
      <c r="NGD39" s="16"/>
      <c r="NGE39" s="16"/>
      <c r="NGF39" s="16"/>
      <c r="NGG39" s="16"/>
      <c r="NGH39" s="16"/>
      <c r="NGI39" s="16"/>
      <c r="NGJ39" s="16"/>
      <c r="NGK39" s="16"/>
      <c r="NGL39" s="16"/>
      <c r="NGM39" s="16"/>
      <c r="NGN39" s="16"/>
      <c r="NGO39" s="16"/>
      <c r="NGP39" s="16"/>
      <c r="NGQ39" s="16"/>
      <c r="NGR39" s="16"/>
      <c r="NGS39" s="16"/>
      <c r="NGT39" s="16"/>
      <c r="NGU39" s="16"/>
      <c r="NGV39" s="16"/>
      <c r="NGW39" s="16"/>
      <c r="NGX39" s="16"/>
      <c r="NGY39" s="16"/>
      <c r="NGZ39" s="16"/>
      <c r="NHA39" s="16"/>
      <c r="NHB39" s="16"/>
      <c r="NHC39" s="16"/>
      <c r="NHD39" s="16"/>
      <c r="NHE39" s="16"/>
      <c r="NHF39" s="16"/>
      <c r="NHG39" s="16"/>
      <c r="NHH39" s="16"/>
      <c r="NHI39" s="16"/>
      <c r="NHJ39" s="16"/>
      <c r="NHK39" s="16"/>
      <c r="NHL39" s="16"/>
      <c r="NHM39" s="16"/>
      <c r="NHN39" s="16"/>
      <c r="NHO39" s="16"/>
      <c r="NHP39" s="16"/>
      <c r="NHQ39" s="16"/>
      <c r="NHR39" s="16"/>
      <c r="NHS39" s="16"/>
      <c r="NHT39" s="16"/>
      <c r="NHU39" s="16"/>
      <c r="NHV39" s="16"/>
      <c r="NHW39" s="16"/>
      <c r="NHX39" s="16"/>
      <c r="NHY39" s="16"/>
      <c r="NHZ39" s="16"/>
      <c r="NIA39" s="16"/>
      <c r="NIB39" s="16"/>
      <c r="NIC39" s="16"/>
      <c r="NID39" s="16"/>
      <c r="NIE39" s="16"/>
      <c r="NIF39" s="16"/>
      <c r="NIG39" s="16"/>
      <c r="NIH39" s="16"/>
      <c r="NII39" s="16"/>
      <c r="NIJ39" s="16"/>
      <c r="NIK39" s="16"/>
      <c r="NIL39" s="16"/>
      <c r="NIM39" s="16"/>
      <c r="NIN39" s="16"/>
      <c r="NIO39" s="16"/>
      <c r="NIP39" s="16"/>
      <c r="NIQ39" s="16"/>
      <c r="NIR39" s="16"/>
      <c r="NIS39" s="16"/>
      <c r="NIT39" s="16"/>
      <c r="NIU39" s="16"/>
      <c r="NIV39" s="16"/>
      <c r="NIW39" s="16"/>
      <c r="NIX39" s="16"/>
      <c r="NIY39" s="16"/>
      <c r="NIZ39" s="16"/>
      <c r="NJA39" s="16"/>
      <c r="NJB39" s="16"/>
      <c r="NJC39" s="16"/>
      <c r="NJD39" s="16"/>
      <c r="NJE39" s="16"/>
      <c r="NJF39" s="16"/>
      <c r="NJG39" s="16"/>
      <c r="NJH39" s="16"/>
      <c r="NJI39" s="16"/>
      <c r="NJJ39" s="16"/>
      <c r="NJK39" s="16"/>
      <c r="NJL39" s="16"/>
      <c r="NJM39" s="16"/>
      <c r="NJN39" s="16"/>
      <c r="NJO39" s="16"/>
      <c r="NJP39" s="16"/>
      <c r="NJQ39" s="16"/>
      <c r="NJR39" s="16"/>
      <c r="NJS39" s="16"/>
      <c r="NJT39" s="16"/>
      <c r="NJU39" s="16"/>
      <c r="NJV39" s="16"/>
      <c r="NJW39" s="16"/>
      <c r="NJX39" s="16"/>
      <c r="NJY39" s="16"/>
      <c r="NJZ39" s="16"/>
      <c r="NKA39" s="16"/>
      <c r="NKB39" s="16"/>
      <c r="NKC39" s="16"/>
      <c r="NKD39" s="16"/>
      <c r="NKE39" s="16"/>
      <c r="NKF39" s="16"/>
      <c r="NKG39" s="16"/>
      <c r="NKH39" s="16"/>
      <c r="NKI39" s="16"/>
      <c r="NKJ39" s="16"/>
      <c r="NKK39" s="16"/>
      <c r="NKL39" s="16"/>
      <c r="NKM39" s="16"/>
      <c r="NKN39" s="16"/>
      <c r="NKO39" s="16"/>
      <c r="NKP39" s="16"/>
      <c r="NKQ39" s="16"/>
      <c r="NKR39" s="16"/>
      <c r="NKS39" s="16"/>
      <c r="NKT39" s="16"/>
      <c r="NKU39" s="16"/>
      <c r="NKV39" s="16"/>
      <c r="NKW39" s="16"/>
      <c r="NKX39" s="16"/>
      <c r="NKY39" s="16"/>
      <c r="NKZ39" s="16"/>
      <c r="NLA39" s="16"/>
      <c r="NLB39" s="16"/>
      <c r="NLC39" s="16"/>
      <c r="NLD39" s="16"/>
      <c r="NLE39" s="16"/>
      <c r="NLF39" s="16"/>
      <c r="NLG39" s="16"/>
      <c r="NLH39" s="16"/>
      <c r="NLI39" s="16"/>
      <c r="NLJ39" s="16"/>
      <c r="NLK39" s="16"/>
      <c r="NLL39" s="16"/>
      <c r="NLM39" s="16"/>
      <c r="NLN39" s="16"/>
      <c r="NLO39" s="16"/>
      <c r="NLP39" s="16"/>
      <c r="NLQ39" s="16"/>
      <c r="NLR39" s="16"/>
      <c r="NLS39" s="16"/>
      <c r="NLT39" s="16"/>
      <c r="NLU39" s="16"/>
      <c r="NLV39" s="16"/>
      <c r="NLW39" s="16"/>
      <c r="NLX39" s="16"/>
      <c r="NLY39" s="16"/>
      <c r="NLZ39" s="16"/>
      <c r="NMA39" s="16"/>
      <c r="NMB39" s="16"/>
      <c r="NMC39" s="16"/>
      <c r="NMD39" s="16"/>
      <c r="NME39" s="16"/>
      <c r="NMF39" s="16"/>
      <c r="NMG39" s="16"/>
      <c r="NMH39" s="16"/>
      <c r="NMI39" s="16"/>
      <c r="NMJ39" s="16"/>
      <c r="NMK39" s="16"/>
      <c r="NML39" s="16"/>
      <c r="NMM39" s="16"/>
      <c r="NMN39" s="16"/>
      <c r="NMO39" s="16"/>
      <c r="NMP39" s="16"/>
      <c r="NMQ39" s="16"/>
      <c r="NMR39" s="16"/>
      <c r="NMS39" s="16"/>
      <c r="NMT39" s="16"/>
      <c r="NMU39" s="16"/>
      <c r="NMV39" s="16"/>
      <c r="NMW39" s="16"/>
      <c r="NMX39" s="16"/>
      <c r="NMY39" s="16"/>
      <c r="NMZ39" s="16"/>
      <c r="NNA39" s="16"/>
      <c r="NNB39" s="16"/>
      <c r="NNC39" s="16"/>
      <c r="NND39" s="16"/>
      <c r="NNE39" s="16"/>
      <c r="NNF39" s="16"/>
      <c r="NNG39" s="16"/>
      <c r="NNH39" s="16"/>
      <c r="NNI39" s="16"/>
      <c r="NNJ39" s="16"/>
      <c r="NNK39" s="16"/>
      <c r="NNL39" s="16"/>
      <c r="NNM39" s="16"/>
      <c r="NNN39" s="16"/>
      <c r="NNO39" s="16"/>
      <c r="NNP39" s="16"/>
      <c r="NNQ39" s="16"/>
      <c r="NNR39" s="16"/>
      <c r="NNS39" s="16"/>
      <c r="NNT39" s="16"/>
      <c r="NNU39" s="16"/>
      <c r="NNV39" s="16"/>
      <c r="NNW39" s="16"/>
      <c r="NNX39" s="16"/>
      <c r="NNY39" s="16"/>
      <c r="NNZ39" s="16"/>
      <c r="NOA39" s="16"/>
      <c r="NOB39" s="16"/>
      <c r="NOC39" s="16"/>
      <c r="NOD39" s="16"/>
      <c r="NOE39" s="16"/>
      <c r="NOF39" s="16"/>
      <c r="NOG39" s="16"/>
      <c r="NOH39" s="16"/>
      <c r="NOI39" s="16"/>
      <c r="NOJ39" s="16"/>
      <c r="NOK39" s="16"/>
      <c r="NOL39" s="16"/>
      <c r="NOM39" s="16"/>
      <c r="NON39" s="16"/>
      <c r="NOO39" s="16"/>
      <c r="NOP39" s="16"/>
      <c r="NOQ39" s="16"/>
      <c r="NOR39" s="16"/>
      <c r="NOS39" s="16"/>
      <c r="NOT39" s="16"/>
      <c r="NOU39" s="16"/>
      <c r="NOV39" s="16"/>
      <c r="NOW39" s="16"/>
      <c r="NOX39" s="16"/>
      <c r="NOY39" s="16"/>
      <c r="NOZ39" s="16"/>
      <c r="NPA39" s="16"/>
      <c r="NPB39" s="16"/>
      <c r="NPC39" s="16"/>
      <c r="NPD39" s="16"/>
      <c r="NPE39" s="16"/>
      <c r="NPF39" s="16"/>
      <c r="NPG39" s="16"/>
      <c r="NPH39" s="16"/>
      <c r="NPI39" s="16"/>
      <c r="NPJ39" s="16"/>
      <c r="NPK39" s="16"/>
      <c r="NPL39" s="16"/>
      <c r="NPM39" s="16"/>
      <c r="NPN39" s="16"/>
      <c r="NPO39" s="16"/>
      <c r="NPP39" s="16"/>
      <c r="NPQ39" s="16"/>
      <c r="NPR39" s="16"/>
      <c r="NPS39" s="16"/>
      <c r="NPT39" s="16"/>
      <c r="NPU39" s="16"/>
      <c r="NPV39" s="16"/>
      <c r="NPW39" s="16"/>
      <c r="NPX39" s="16"/>
      <c r="NPY39" s="16"/>
      <c r="NPZ39" s="16"/>
      <c r="NQA39" s="16"/>
      <c r="NQB39" s="16"/>
      <c r="NQC39" s="16"/>
      <c r="NQD39" s="16"/>
      <c r="NQE39" s="16"/>
      <c r="NQF39" s="16"/>
      <c r="NQG39" s="16"/>
      <c r="NQH39" s="16"/>
      <c r="NQI39" s="16"/>
      <c r="NQJ39" s="16"/>
      <c r="NQK39" s="16"/>
      <c r="NQL39" s="16"/>
      <c r="NQM39" s="16"/>
      <c r="NQN39" s="16"/>
      <c r="NQO39" s="16"/>
      <c r="NQP39" s="16"/>
      <c r="NQQ39" s="16"/>
      <c r="NQR39" s="16"/>
      <c r="NQS39" s="16"/>
      <c r="NQT39" s="16"/>
      <c r="NQU39" s="16"/>
      <c r="NQV39" s="16"/>
      <c r="NQW39" s="16"/>
      <c r="NQX39" s="16"/>
      <c r="NQY39" s="16"/>
      <c r="NQZ39" s="16"/>
      <c r="NRA39" s="16"/>
      <c r="NRB39" s="16"/>
      <c r="NRC39" s="16"/>
      <c r="NRD39" s="16"/>
      <c r="NRE39" s="16"/>
      <c r="NRF39" s="16"/>
      <c r="NRG39" s="16"/>
      <c r="NRH39" s="16"/>
      <c r="NRI39" s="16"/>
      <c r="NRJ39" s="16"/>
      <c r="NRK39" s="16"/>
      <c r="NRL39" s="16"/>
      <c r="NRM39" s="16"/>
      <c r="NRN39" s="16"/>
      <c r="NRO39" s="16"/>
      <c r="NRP39" s="16"/>
      <c r="NRQ39" s="16"/>
      <c r="NRR39" s="16"/>
      <c r="NRS39" s="16"/>
      <c r="NRT39" s="16"/>
      <c r="NRU39" s="16"/>
      <c r="NRV39" s="16"/>
      <c r="NRW39" s="16"/>
      <c r="NRX39" s="16"/>
      <c r="NRY39" s="16"/>
      <c r="NRZ39" s="16"/>
      <c r="NSA39" s="16"/>
      <c r="NSB39" s="16"/>
      <c r="NSC39" s="16"/>
      <c r="NSD39" s="16"/>
      <c r="NSE39" s="16"/>
      <c r="NSF39" s="16"/>
      <c r="NSG39" s="16"/>
      <c r="NSH39" s="16"/>
      <c r="NSI39" s="16"/>
      <c r="NSJ39" s="16"/>
      <c r="NSK39" s="16"/>
      <c r="NSL39" s="16"/>
      <c r="NSM39" s="16"/>
      <c r="NSN39" s="16"/>
      <c r="NSO39" s="16"/>
      <c r="NSP39" s="16"/>
      <c r="NSQ39" s="16"/>
      <c r="NSR39" s="16"/>
      <c r="NSS39" s="16"/>
      <c r="NST39" s="16"/>
      <c r="NSU39" s="16"/>
      <c r="NSV39" s="16"/>
      <c r="NSW39" s="16"/>
      <c r="NSX39" s="16"/>
      <c r="NSY39" s="16"/>
      <c r="NSZ39" s="16"/>
      <c r="NTA39" s="16"/>
      <c r="NTB39" s="16"/>
      <c r="NTC39" s="16"/>
      <c r="NTD39" s="16"/>
      <c r="NTE39" s="16"/>
      <c r="NTF39" s="16"/>
      <c r="NTG39" s="16"/>
      <c r="NTH39" s="16"/>
      <c r="NTI39" s="16"/>
      <c r="NTJ39" s="16"/>
      <c r="NTK39" s="16"/>
      <c r="NTL39" s="16"/>
      <c r="NTM39" s="16"/>
      <c r="NTN39" s="16"/>
      <c r="NTO39" s="16"/>
      <c r="NTP39" s="16"/>
      <c r="NTQ39" s="16"/>
      <c r="NTR39" s="16"/>
      <c r="NTS39" s="16"/>
      <c r="NTT39" s="16"/>
      <c r="NTU39" s="16"/>
      <c r="NTV39" s="16"/>
      <c r="NTW39" s="16"/>
      <c r="NTX39" s="16"/>
      <c r="NTY39" s="16"/>
      <c r="NTZ39" s="16"/>
      <c r="NUA39" s="16"/>
      <c r="NUB39" s="16"/>
      <c r="NUC39" s="16"/>
      <c r="NUD39" s="16"/>
      <c r="NUE39" s="16"/>
      <c r="NUF39" s="16"/>
      <c r="NUG39" s="16"/>
      <c r="NUH39" s="16"/>
      <c r="NUI39" s="16"/>
      <c r="NUJ39" s="16"/>
      <c r="NUK39" s="16"/>
      <c r="NUL39" s="16"/>
      <c r="NUM39" s="16"/>
      <c r="NUN39" s="16"/>
      <c r="NUO39" s="16"/>
      <c r="NUP39" s="16"/>
      <c r="NUQ39" s="16"/>
      <c r="NUR39" s="16"/>
      <c r="NUS39" s="16"/>
      <c r="NUT39" s="16"/>
      <c r="NUU39" s="16"/>
      <c r="NUV39" s="16"/>
      <c r="NUW39" s="16"/>
      <c r="NUX39" s="16"/>
      <c r="NUY39" s="16"/>
      <c r="NUZ39" s="16"/>
      <c r="NVA39" s="16"/>
      <c r="NVB39" s="16"/>
      <c r="NVC39" s="16"/>
      <c r="NVD39" s="16"/>
      <c r="NVE39" s="16"/>
      <c r="NVF39" s="16"/>
      <c r="NVG39" s="16"/>
      <c r="NVH39" s="16"/>
      <c r="NVI39" s="16"/>
      <c r="NVJ39" s="16"/>
      <c r="NVK39" s="16"/>
      <c r="NVL39" s="16"/>
      <c r="NVM39" s="16"/>
      <c r="NVN39" s="16"/>
      <c r="NVO39" s="16"/>
      <c r="NVP39" s="16"/>
      <c r="NVQ39" s="16"/>
      <c r="NVR39" s="16"/>
      <c r="NVS39" s="16"/>
      <c r="NVT39" s="16"/>
      <c r="NVU39" s="16"/>
      <c r="NVV39" s="16"/>
      <c r="NVW39" s="16"/>
      <c r="NVX39" s="16"/>
      <c r="NVY39" s="16"/>
      <c r="NVZ39" s="16"/>
      <c r="NWA39" s="16"/>
      <c r="NWB39" s="16"/>
      <c r="NWC39" s="16"/>
      <c r="NWD39" s="16"/>
      <c r="NWE39" s="16"/>
      <c r="NWF39" s="16"/>
      <c r="NWG39" s="16"/>
      <c r="NWH39" s="16"/>
      <c r="NWI39" s="16"/>
      <c r="NWJ39" s="16"/>
      <c r="NWK39" s="16"/>
      <c r="NWL39" s="16"/>
      <c r="NWM39" s="16"/>
      <c r="NWN39" s="16"/>
      <c r="NWO39" s="16"/>
      <c r="NWP39" s="16"/>
      <c r="NWQ39" s="16"/>
      <c r="NWR39" s="16"/>
      <c r="NWS39" s="16"/>
      <c r="NWT39" s="16"/>
      <c r="NWU39" s="16"/>
      <c r="NWV39" s="16"/>
      <c r="NWW39" s="16"/>
      <c r="NWX39" s="16"/>
      <c r="NWY39" s="16"/>
      <c r="NWZ39" s="16"/>
      <c r="NXA39" s="16"/>
      <c r="NXB39" s="16"/>
      <c r="NXC39" s="16"/>
      <c r="NXD39" s="16"/>
      <c r="NXE39" s="16"/>
      <c r="NXF39" s="16"/>
      <c r="NXG39" s="16"/>
      <c r="NXH39" s="16"/>
      <c r="NXI39" s="16"/>
      <c r="NXJ39" s="16"/>
      <c r="NXK39" s="16"/>
      <c r="NXL39" s="16"/>
      <c r="NXM39" s="16"/>
      <c r="NXN39" s="16"/>
      <c r="NXO39" s="16"/>
      <c r="NXP39" s="16"/>
      <c r="NXQ39" s="16"/>
      <c r="NXR39" s="16"/>
      <c r="NXS39" s="16"/>
      <c r="NXT39" s="16"/>
      <c r="NXU39" s="16"/>
      <c r="NXV39" s="16"/>
      <c r="NXW39" s="16"/>
      <c r="NXX39" s="16"/>
      <c r="NXY39" s="16"/>
      <c r="NXZ39" s="16"/>
      <c r="NYA39" s="16"/>
      <c r="NYB39" s="16"/>
      <c r="NYC39" s="16"/>
      <c r="NYD39" s="16"/>
      <c r="NYE39" s="16"/>
      <c r="NYF39" s="16"/>
      <c r="NYG39" s="16"/>
      <c r="NYH39" s="16"/>
      <c r="NYI39" s="16"/>
      <c r="NYJ39" s="16"/>
      <c r="NYK39" s="16"/>
      <c r="NYL39" s="16"/>
      <c r="NYM39" s="16"/>
      <c r="NYN39" s="16"/>
      <c r="NYO39" s="16"/>
      <c r="NYP39" s="16"/>
      <c r="NYQ39" s="16"/>
      <c r="NYR39" s="16"/>
      <c r="NYS39" s="16"/>
      <c r="NYT39" s="16"/>
      <c r="NYU39" s="16"/>
      <c r="NYV39" s="16"/>
      <c r="NYW39" s="16"/>
      <c r="NYX39" s="16"/>
      <c r="NYY39" s="16"/>
      <c r="NYZ39" s="16"/>
      <c r="NZA39" s="16"/>
      <c r="NZB39" s="16"/>
      <c r="NZC39" s="16"/>
      <c r="NZD39" s="16"/>
      <c r="NZE39" s="16"/>
      <c r="NZF39" s="16"/>
      <c r="NZG39" s="16"/>
      <c r="NZH39" s="16"/>
      <c r="NZI39" s="16"/>
      <c r="NZJ39" s="16"/>
      <c r="NZK39" s="16"/>
      <c r="NZL39" s="16"/>
      <c r="NZM39" s="16"/>
      <c r="NZN39" s="16"/>
      <c r="NZO39" s="16"/>
      <c r="NZP39" s="16"/>
      <c r="NZQ39" s="16"/>
      <c r="NZR39" s="16"/>
      <c r="NZS39" s="16"/>
      <c r="NZT39" s="16"/>
      <c r="NZU39" s="16"/>
      <c r="NZV39" s="16"/>
      <c r="NZW39" s="16"/>
      <c r="NZX39" s="16"/>
      <c r="NZY39" s="16"/>
      <c r="NZZ39" s="16"/>
      <c r="OAA39" s="16"/>
      <c r="OAB39" s="16"/>
      <c r="OAC39" s="16"/>
      <c r="OAD39" s="16"/>
      <c r="OAE39" s="16"/>
      <c r="OAF39" s="16"/>
      <c r="OAG39" s="16"/>
      <c r="OAH39" s="16"/>
      <c r="OAI39" s="16"/>
      <c r="OAJ39" s="16"/>
      <c r="OAK39" s="16"/>
      <c r="OAL39" s="16"/>
      <c r="OAM39" s="16"/>
      <c r="OAN39" s="16"/>
      <c r="OAO39" s="16"/>
      <c r="OAP39" s="16"/>
      <c r="OAQ39" s="16"/>
      <c r="OAR39" s="16"/>
      <c r="OAS39" s="16"/>
      <c r="OAT39" s="16"/>
      <c r="OAU39" s="16"/>
      <c r="OAV39" s="16"/>
      <c r="OAW39" s="16"/>
      <c r="OAX39" s="16"/>
      <c r="OAY39" s="16"/>
      <c r="OAZ39" s="16"/>
      <c r="OBA39" s="16"/>
      <c r="OBB39" s="16"/>
      <c r="OBC39" s="16"/>
      <c r="OBD39" s="16"/>
      <c r="OBE39" s="16"/>
      <c r="OBF39" s="16"/>
      <c r="OBG39" s="16"/>
      <c r="OBH39" s="16"/>
      <c r="OBI39" s="16"/>
      <c r="OBJ39" s="16"/>
      <c r="OBK39" s="16"/>
      <c r="OBL39" s="16"/>
      <c r="OBM39" s="16"/>
      <c r="OBN39" s="16"/>
      <c r="OBO39" s="16"/>
      <c r="OBP39" s="16"/>
      <c r="OBQ39" s="16"/>
      <c r="OBR39" s="16"/>
      <c r="OBS39" s="16"/>
      <c r="OBT39" s="16"/>
      <c r="OBU39" s="16"/>
      <c r="OBV39" s="16"/>
      <c r="OBW39" s="16"/>
      <c r="OBX39" s="16"/>
      <c r="OBY39" s="16"/>
      <c r="OBZ39" s="16"/>
      <c r="OCA39" s="16"/>
      <c r="OCB39" s="16"/>
      <c r="OCC39" s="16"/>
      <c r="OCD39" s="16"/>
      <c r="OCE39" s="16"/>
      <c r="OCF39" s="16"/>
      <c r="OCG39" s="16"/>
      <c r="OCH39" s="16"/>
      <c r="OCI39" s="16"/>
      <c r="OCJ39" s="16"/>
      <c r="OCK39" s="16"/>
      <c r="OCL39" s="16"/>
      <c r="OCM39" s="16"/>
      <c r="OCN39" s="16"/>
      <c r="OCO39" s="16"/>
      <c r="OCP39" s="16"/>
      <c r="OCQ39" s="16"/>
      <c r="OCR39" s="16"/>
      <c r="OCS39" s="16"/>
      <c r="OCT39" s="16"/>
      <c r="OCU39" s="16"/>
      <c r="OCV39" s="16"/>
      <c r="OCW39" s="16"/>
      <c r="OCX39" s="16"/>
      <c r="OCY39" s="16"/>
      <c r="OCZ39" s="16"/>
      <c r="ODA39" s="16"/>
      <c r="ODB39" s="16"/>
      <c r="ODC39" s="16"/>
      <c r="ODD39" s="16"/>
      <c r="ODE39" s="16"/>
      <c r="ODF39" s="16"/>
      <c r="ODG39" s="16"/>
      <c r="ODH39" s="16"/>
      <c r="ODI39" s="16"/>
      <c r="ODJ39" s="16"/>
      <c r="ODK39" s="16"/>
      <c r="ODL39" s="16"/>
      <c r="ODM39" s="16"/>
      <c r="ODN39" s="16"/>
      <c r="ODO39" s="16"/>
      <c r="ODP39" s="16"/>
      <c r="ODQ39" s="16"/>
      <c r="ODR39" s="16"/>
      <c r="ODS39" s="16"/>
      <c r="ODT39" s="16"/>
      <c r="ODU39" s="16"/>
      <c r="ODV39" s="16"/>
      <c r="ODW39" s="16"/>
      <c r="ODX39" s="16"/>
      <c r="ODY39" s="16"/>
      <c r="ODZ39" s="16"/>
      <c r="OEA39" s="16"/>
      <c r="OEB39" s="16"/>
      <c r="OEC39" s="16"/>
      <c r="OED39" s="16"/>
      <c r="OEE39" s="16"/>
      <c r="OEF39" s="16"/>
      <c r="OEG39" s="16"/>
      <c r="OEH39" s="16"/>
      <c r="OEI39" s="16"/>
      <c r="OEJ39" s="16"/>
      <c r="OEK39" s="16"/>
      <c r="OEL39" s="16"/>
      <c r="OEM39" s="16"/>
      <c r="OEN39" s="16"/>
      <c r="OEO39" s="16"/>
      <c r="OEP39" s="16"/>
      <c r="OEQ39" s="16"/>
      <c r="OER39" s="16"/>
      <c r="OES39" s="16"/>
      <c r="OET39" s="16"/>
      <c r="OEU39" s="16"/>
      <c r="OEV39" s="16"/>
      <c r="OEW39" s="16"/>
      <c r="OEX39" s="16"/>
      <c r="OEY39" s="16"/>
      <c r="OEZ39" s="16"/>
      <c r="OFA39" s="16"/>
      <c r="OFB39" s="16"/>
      <c r="OFC39" s="16"/>
      <c r="OFD39" s="16"/>
      <c r="OFE39" s="16"/>
      <c r="OFF39" s="16"/>
      <c r="OFG39" s="16"/>
      <c r="OFH39" s="16"/>
      <c r="OFI39" s="16"/>
      <c r="OFJ39" s="16"/>
      <c r="OFK39" s="16"/>
      <c r="OFL39" s="16"/>
      <c r="OFM39" s="16"/>
      <c r="OFN39" s="16"/>
      <c r="OFO39" s="16"/>
      <c r="OFP39" s="16"/>
      <c r="OFQ39" s="16"/>
      <c r="OFR39" s="16"/>
      <c r="OFS39" s="16"/>
      <c r="OFT39" s="16"/>
      <c r="OFU39" s="16"/>
      <c r="OFV39" s="16"/>
      <c r="OFW39" s="16"/>
      <c r="OFX39" s="16"/>
      <c r="OFY39" s="16"/>
      <c r="OFZ39" s="16"/>
      <c r="OGA39" s="16"/>
      <c r="OGB39" s="16"/>
      <c r="OGC39" s="16"/>
      <c r="OGD39" s="16"/>
      <c r="OGE39" s="16"/>
      <c r="OGF39" s="16"/>
      <c r="OGG39" s="16"/>
      <c r="OGH39" s="16"/>
      <c r="OGI39" s="16"/>
      <c r="OGJ39" s="16"/>
      <c r="OGK39" s="16"/>
      <c r="OGL39" s="16"/>
      <c r="OGM39" s="16"/>
      <c r="OGN39" s="16"/>
      <c r="OGO39" s="16"/>
      <c r="OGP39" s="16"/>
      <c r="OGQ39" s="16"/>
      <c r="OGR39" s="16"/>
      <c r="OGS39" s="16"/>
      <c r="OGT39" s="16"/>
      <c r="OGU39" s="16"/>
      <c r="OGV39" s="16"/>
      <c r="OGW39" s="16"/>
      <c r="OGX39" s="16"/>
      <c r="OGY39" s="16"/>
      <c r="OGZ39" s="16"/>
      <c r="OHA39" s="16"/>
      <c r="OHB39" s="16"/>
      <c r="OHC39" s="16"/>
      <c r="OHD39" s="16"/>
      <c r="OHE39" s="16"/>
      <c r="OHF39" s="16"/>
      <c r="OHG39" s="16"/>
      <c r="OHH39" s="16"/>
      <c r="OHI39" s="16"/>
      <c r="OHJ39" s="16"/>
      <c r="OHK39" s="16"/>
      <c r="OHL39" s="16"/>
      <c r="OHM39" s="16"/>
      <c r="OHN39" s="16"/>
      <c r="OHO39" s="16"/>
      <c r="OHP39" s="16"/>
      <c r="OHQ39" s="16"/>
      <c r="OHR39" s="16"/>
      <c r="OHS39" s="16"/>
      <c r="OHT39" s="16"/>
      <c r="OHU39" s="16"/>
      <c r="OHV39" s="16"/>
      <c r="OHW39" s="16"/>
      <c r="OHX39" s="16"/>
      <c r="OHY39" s="16"/>
      <c r="OHZ39" s="16"/>
      <c r="OIA39" s="16"/>
      <c r="OIB39" s="16"/>
      <c r="OIC39" s="16"/>
      <c r="OID39" s="16"/>
      <c r="OIE39" s="16"/>
      <c r="OIF39" s="16"/>
      <c r="OIG39" s="16"/>
      <c r="OIH39" s="16"/>
      <c r="OII39" s="16"/>
      <c r="OIJ39" s="16"/>
      <c r="OIK39" s="16"/>
      <c r="OIL39" s="16"/>
      <c r="OIM39" s="16"/>
      <c r="OIN39" s="16"/>
      <c r="OIO39" s="16"/>
      <c r="OIP39" s="16"/>
      <c r="OIQ39" s="16"/>
      <c r="OIR39" s="16"/>
      <c r="OIS39" s="16"/>
      <c r="OIT39" s="16"/>
      <c r="OIU39" s="16"/>
      <c r="OIV39" s="16"/>
      <c r="OIW39" s="16"/>
      <c r="OIX39" s="16"/>
      <c r="OIY39" s="16"/>
      <c r="OIZ39" s="16"/>
      <c r="OJA39" s="16"/>
      <c r="OJB39" s="16"/>
      <c r="OJC39" s="16"/>
      <c r="OJD39" s="16"/>
      <c r="OJE39" s="16"/>
      <c r="OJF39" s="16"/>
      <c r="OJG39" s="16"/>
      <c r="OJH39" s="16"/>
      <c r="OJI39" s="16"/>
      <c r="OJJ39" s="16"/>
      <c r="OJK39" s="16"/>
      <c r="OJL39" s="16"/>
      <c r="OJM39" s="16"/>
      <c r="OJN39" s="16"/>
      <c r="OJO39" s="16"/>
      <c r="OJP39" s="16"/>
      <c r="OJQ39" s="16"/>
      <c r="OJR39" s="16"/>
      <c r="OJS39" s="16"/>
      <c r="OJT39" s="16"/>
      <c r="OJU39" s="16"/>
      <c r="OJV39" s="16"/>
      <c r="OJW39" s="16"/>
      <c r="OJX39" s="16"/>
      <c r="OJY39" s="16"/>
      <c r="OJZ39" s="16"/>
      <c r="OKA39" s="16"/>
      <c r="OKB39" s="16"/>
      <c r="OKC39" s="16"/>
      <c r="OKD39" s="16"/>
      <c r="OKE39" s="16"/>
      <c r="OKF39" s="16"/>
      <c r="OKG39" s="16"/>
      <c r="OKH39" s="16"/>
      <c r="OKI39" s="16"/>
      <c r="OKJ39" s="16"/>
      <c r="OKK39" s="16"/>
      <c r="OKL39" s="16"/>
      <c r="OKM39" s="16"/>
      <c r="OKN39" s="16"/>
      <c r="OKO39" s="16"/>
      <c r="OKP39" s="16"/>
      <c r="OKQ39" s="16"/>
      <c r="OKR39" s="16"/>
      <c r="OKS39" s="16"/>
      <c r="OKT39" s="16"/>
      <c r="OKU39" s="16"/>
      <c r="OKV39" s="16"/>
      <c r="OKW39" s="16"/>
      <c r="OKX39" s="16"/>
      <c r="OKY39" s="16"/>
      <c r="OKZ39" s="16"/>
      <c r="OLA39" s="16"/>
      <c r="OLB39" s="16"/>
      <c r="OLC39" s="16"/>
      <c r="OLD39" s="16"/>
      <c r="OLE39" s="16"/>
      <c r="OLF39" s="16"/>
      <c r="OLG39" s="16"/>
      <c r="OLH39" s="16"/>
      <c r="OLI39" s="16"/>
      <c r="OLJ39" s="16"/>
      <c r="OLK39" s="16"/>
      <c r="OLL39" s="16"/>
      <c r="OLM39" s="16"/>
      <c r="OLN39" s="16"/>
      <c r="OLO39" s="16"/>
      <c r="OLP39" s="16"/>
      <c r="OLQ39" s="16"/>
      <c r="OLR39" s="16"/>
      <c r="OLS39" s="16"/>
      <c r="OLT39" s="16"/>
      <c r="OLU39" s="16"/>
      <c r="OLV39" s="16"/>
      <c r="OLW39" s="16"/>
      <c r="OLX39" s="16"/>
      <c r="OLY39" s="16"/>
      <c r="OLZ39" s="16"/>
      <c r="OMA39" s="16"/>
      <c r="OMB39" s="16"/>
      <c r="OMC39" s="16"/>
      <c r="OMD39" s="16"/>
      <c r="OME39" s="16"/>
      <c r="OMF39" s="16"/>
      <c r="OMG39" s="16"/>
      <c r="OMH39" s="16"/>
      <c r="OMI39" s="16"/>
      <c r="OMJ39" s="16"/>
      <c r="OMK39" s="16"/>
      <c r="OML39" s="16"/>
      <c r="OMM39" s="16"/>
      <c r="OMN39" s="16"/>
      <c r="OMO39" s="16"/>
      <c r="OMP39" s="16"/>
      <c r="OMQ39" s="16"/>
      <c r="OMR39" s="16"/>
      <c r="OMS39" s="16"/>
      <c r="OMT39" s="16"/>
      <c r="OMU39" s="16"/>
      <c r="OMV39" s="16"/>
      <c r="OMW39" s="16"/>
      <c r="OMX39" s="16"/>
      <c r="OMY39" s="16"/>
      <c r="OMZ39" s="16"/>
      <c r="ONA39" s="16"/>
      <c r="ONB39" s="16"/>
      <c r="ONC39" s="16"/>
      <c r="OND39" s="16"/>
      <c r="ONE39" s="16"/>
      <c r="ONF39" s="16"/>
      <c r="ONG39" s="16"/>
      <c r="ONH39" s="16"/>
      <c r="ONI39" s="16"/>
      <c r="ONJ39" s="16"/>
      <c r="ONK39" s="16"/>
      <c r="ONL39" s="16"/>
      <c r="ONM39" s="16"/>
      <c r="ONN39" s="16"/>
      <c r="ONO39" s="16"/>
      <c r="ONP39" s="16"/>
      <c r="ONQ39" s="16"/>
      <c r="ONR39" s="16"/>
      <c r="ONS39" s="16"/>
      <c r="ONT39" s="16"/>
      <c r="ONU39" s="16"/>
      <c r="ONV39" s="16"/>
      <c r="ONW39" s="16"/>
      <c r="ONX39" s="16"/>
      <c r="ONY39" s="16"/>
      <c r="ONZ39" s="16"/>
      <c r="OOA39" s="16"/>
      <c r="OOB39" s="16"/>
      <c r="OOC39" s="16"/>
      <c r="OOD39" s="16"/>
      <c r="OOE39" s="16"/>
      <c r="OOF39" s="16"/>
      <c r="OOG39" s="16"/>
      <c r="OOH39" s="16"/>
      <c r="OOI39" s="16"/>
      <c r="OOJ39" s="16"/>
      <c r="OOK39" s="16"/>
      <c r="OOL39" s="16"/>
      <c r="OOM39" s="16"/>
      <c r="OON39" s="16"/>
      <c r="OOO39" s="16"/>
      <c r="OOP39" s="16"/>
      <c r="OOQ39" s="16"/>
      <c r="OOR39" s="16"/>
      <c r="OOS39" s="16"/>
      <c r="OOT39" s="16"/>
      <c r="OOU39" s="16"/>
      <c r="OOV39" s="16"/>
      <c r="OOW39" s="16"/>
      <c r="OOX39" s="16"/>
      <c r="OOY39" s="16"/>
      <c r="OOZ39" s="16"/>
      <c r="OPA39" s="16"/>
      <c r="OPB39" s="16"/>
      <c r="OPC39" s="16"/>
      <c r="OPD39" s="16"/>
      <c r="OPE39" s="16"/>
      <c r="OPF39" s="16"/>
      <c r="OPG39" s="16"/>
      <c r="OPH39" s="16"/>
      <c r="OPI39" s="16"/>
      <c r="OPJ39" s="16"/>
      <c r="OPK39" s="16"/>
      <c r="OPL39" s="16"/>
      <c r="OPM39" s="16"/>
      <c r="OPN39" s="16"/>
      <c r="OPO39" s="16"/>
      <c r="OPP39" s="16"/>
      <c r="OPQ39" s="16"/>
      <c r="OPR39" s="16"/>
      <c r="OPS39" s="16"/>
      <c r="OPT39" s="16"/>
      <c r="OPU39" s="16"/>
      <c r="OPV39" s="16"/>
      <c r="OPW39" s="16"/>
      <c r="OPX39" s="16"/>
      <c r="OPY39" s="16"/>
      <c r="OPZ39" s="16"/>
      <c r="OQA39" s="16"/>
      <c r="OQB39" s="16"/>
      <c r="OQC39" s="16"/>
      <c r="OQD39" s="16"/>
      <c r="OQE39" s="16"/>
      <c r="OQF39" s="16"/>
      <c r="OQG39" s="16"/>
      <c r="OQH39" s="16"/>
      <c r="OQI39" s="16"/>
      <c r="OQJ39" s="16"/>
      <c r="OQK39" s="16"/>
      <c r="OQL39" s="16"/>
      <c r="OQM39" s="16"/>
      <c r="OQN39" s="16"/>
      <c r="OQO39" s="16"/>
      <c r="OQP39" s="16"/>
      <c r="OQQ39" s="16"/>
      <c r="OQR39" s="16"/>
      <c r="OQS39" s="16"/>
      <c r="OQT39" s="16"/>
      <c r="OQU39" s="16"/>
      <c r="OQV39" s="16"/>
      <c r="OQW39" s="16"/>
      <c r="OQX39" s="16"/>
      <c r="OQY39" s="16"/>
      <c r="OQZ39" s="16"/>
      <c r="ORA39" s="16"/>
      <c r="ORB39" s="16"/>
      <c r="ORC39" s="16"/>
      <c r="ORD39" s="16"/>
      <c r="ORE39" s="16"/>
      <c r="ORF39" s="16"/>
      <c r="ORG39" s="16"/>
      <c r="ORH39" s="16"/>
      <c r="ORI39" s="16"/>
      <c r="ORJ39" s="16"/>
      <c r="ORK39" s="16"/>
      <c r="ORL39" s="16"/>
      <c r="ORM39" s="16"/>
      <c r="ORN39" s="16"/>
      <c r="ORO39" s="16"/>
      <c r="ORP39" s="16"/>
      <c r="ORQ39" s="16"/>
      <c r="ORR39" s="16"/>
      <c r="ORS39" s="16"/>
      <c r="ORT39" s="16"/>
      <c r="ORU39" s="16"/>
      <c r="ORV39" s="16"/>
      <c r="ORW39" s="16"/>
      <c r="ORX39" s="16"/>
      <c r="ORY39" s="16"/>
      <c r="ORZ39" s="16"/>
      <c r="OSA39" s="16"/>
      <c r="OSB39" s="16"/>
      <c r="OSC39" s="16"/>
      <c r="OSD39" s="16"/>
      <c r="OSE39" s="16"/>
      <c r="OSF39" s="16"/>
      <c r="OSG39" s="16"/>
      <c r="OSH39" s="16"/>
      <c r="OSI39" s="16"/>
      <c r="OSJ39" s="16"/>
      <c r="OSK39" s="16"/>
      <c r="OSL39" s="16"/>
      <c r="OSM39" s="16"/>
      <c r="OSN39" s="16"/>
      <c r="OSO39" s="16"/>
      <c r="OSP39" s="16"/>
      <c r="OSQ39" s="16"/>
      <c r="OSR39" s="16"/>
      <c r="OSS39" s="16"/>
      <c r="OST39" s="16"/>
      <c r="OSU39" s="16"/>
      <c r="OSV39" s="16"/>
      <c r="OSW39" s="16"/>
      <c r="OSX39" s="16"/>
      <c r="OSY39" s="16"/>
      <c r="OSZ39" s="16"/>
      <c r="OTA39" s="16"/>
      <c r="OTB39" s="16"/>
      <c r="OTC39" s="16"/>
      <c r="OTD39" s="16"/>
      <c r="OTE39" s="16"/>
      <c r="OTF39" s="16"/>
      <c r="OTG39" s="16"/>
      <c r="OTH39" s="16"/>
      <c r="OTI39" s="16"/>
      <c r="OTJ39" s="16"/>
      <c r="OTK39" s="16"/>
      <c r="OTL39" s="16"/>
      <c r="OTM39" s="16"/>
      <c r="OTN39" s="16"/>
      <c r="OTO39" s="16"/>
      <c r="OTP39" s="16"/>
      <c r="OTQ39" s="16"/>
      <c r="OTR39" s="16"/>
      <c r="OTS39" s="16"/>
      <c r="OTT39" s="16"/>
      <c r="OTU39" s="16"/>
      <c r="OTV39" s="16"/>
      <c r="OTW39" s="16"/>
      <c r="OTX39" s="16"/>
      <c r="OTY39" s="16"/>
      <c r="OTZ39" s="16"/>
      <c r="OUA39" s="16"/>
      <c r="OUB39" s="16"/>
      <c r="OUC39" s="16"/>
      <c r="OUD39" s="16"/>
      <c r="OUE39" s="16"/>
      <c r="OUF39" s="16"/>
      <c r="OUG39" s="16"/>
      <c r="OUH39" s="16"/>
      <c r="OUI39" s="16"/>
      <c r="OUJ39" s="16"/>
      <c r="OUK39" s="16"/>
      <c r="OUL39" s="16"/>
      <c r="OUM39" s="16"/>
      <c r="OUN39" s="16"/>
      <c r="OUO39" s="16"/>
      <c r="OUP39" s="16"/>
      <c r="OUQ39" s="16"/>
      <c r="OUR39" s="16"/>
      <c r="OUS39" s="16"/>
      <c r="OUT39" s="16"/>
      <c r="OUU39" s="16"/>
      <c r="OUV39" s="16"/>
      <c r="OUW39" s="16"/>
      <c r="OUX39" s="16"/>
      <c r="OUY39" s="16"/>
      <c r="OUZ39" s="16"/>
      <c r="OVA39" s="16"/>
      <c r="OVB39" s="16"/>
      <c r="OVC39" s="16"/>
      <c r="OVD39" s="16"/>
      <c r="OVE39" s="16"/>
      <c r="OVF39" s="16"/>
      <c r="OVG39" s="16"/>
      <c r="OVH39" s="16"/>
      <c r="OVI39" s="16"/>
      <c r="OVJ39" s="16"/>
      <c r="OVK39" s="16"/>
      <c r="OVL39" s="16"/>
      <c r="OVM39" s="16"/>
      <c r="OVN39" s="16"/>
      <c r="OVO39" s="16"/>
      <c r="OVP39" s="16"/>
      <c r="OVQ39" s="16"/>
      <c r="OVR39" s="16"/>
      <c r="OVS39" s="16"/>
      <c r="OVT39" s="16"/>
      <c r="OVU39" s="16"/>
      <c r="OVV39" s="16"/>
      <c r="OVW39" s="16"/>
      <c r="OVX39" s="16"/>
      <c r="OVY39" s="16"/>
      <c r="OVZ39" s="16"/>
      <c r="OWA39" s="16"/>
      <c r="OWB39" s="16"/>
      <c r="OWC39" s="16"/>
      <c r="OWD39" s="16"/>
      <c r="OWE39" s="16"/>
      <c r="OWF39" s="16"/>
      <c r="OWG39" s="16"/>
      <c r="OWH39" s="16"/>
      <c r="OWI39" s="16"/>
      <c r="OWJ39" s="16"/>
      <c r="OWK39" s="16"/>
      <c r="OWL39" s="16"/>
      <c r="OWM39" s="16"/>
      <c r="OWN39" s="16"/>
      <c r="OWO39" s="16"/>
      <c r="OWP39" s="16"/>
      <c r="OWQ39" s="16"/>
      <c r="OWR39" s="16"/>
      <c r="OWS39" s="16"/>
      <c r="OWT39" s="16"/>
      <c r="OWU39" s="16"/>
      <c r="OWV39" s="16"/>
      <c r="OWW39" s="16"/>
      <c r="OWX39" s="16"/>
      <c r="OWY39" s="16"/>
      <c r="OWZ39" s="16"/>
      <c r="OXA39" s="16"/>
      <c r="OXB39" s="16"/>
      <c r="OXC39" s="16"/>
      <c r="OXD39" s="16"/>
      <c r="OXE39" s="16"/>
      <c r="OXF39" s="16"/>
      <c r="OXG39" s="16"/>
      <c r="OXH39" s="16"/>
      <c r="OXI39" s="16"/>
      <c r="OXJ39" s="16"/>
      <c r="OXK39" s="16"/>
      <c r="OXL39" s="16"/>
      <c r="OXM39" s="16"/>
      <c r="OXN39" s="16"/>
      <c r="OXO39" s="16"/>
      <c r="OXP39" s="16"/>
      <c r="OXQ39" s="16"/>
      <c r="OXR39" s="16"/>
      <c r="OXS39" s="16"/>
      <c r="OXT39" s="16"/>
      <c r="OXU39" s="16"/>
      <c r="OXV39" s="16"/>
      <c r="OXW39" s="16"/>
      <c r="OXX39" s="16"/>
      <c r="OXY39" s="16"/>
      <c r="OXZ39" s="16"/>
      <c r="OYA39" s="16"/>
      <c r="OYB39" s="16"/>
      <c r="OYC39" s="16"/>
      <c r="OYD39" s="16"/>
      <c r="OYE39" s="16"/>
      <c r="OYF39" s="16"/>
      <c r="OYG39" s="16"/>
      <c r="OYH39" s="16"/>
      <c r="OYI39" s="16"/>
      <c r="OYJ39" s="16"/>
      <c r="OYK39" s="16"/>
      <c r="OYL39" s="16"/>
      <c r="OYM39" s="16"/>
      <c r="OYN39" s="16"/>
      <c r="OYO39" s="16"/>
      <c r="OYP39" s="16"/>
      <c r="OYQ39" s="16"/>
      <c r="OYR39" s="16"/>
      <c r="OYS39" s="16"/>
      <c r="OYT39" s="16"/>
      <c r="OYU39" s="16"/>
      <c r="OYV39" s="16"/>
      <c r="OYW39" s="16"/>
      <c r="OYX39" s="16"/>
      <c r="OYY39" s="16"/>
      <c r="OYZ39" s="16"/>
      <c r="OZA39" s="16"/>
      <c r="OZB39" s="16"/>
      <c r="OZC39" s="16"/>
      <c r="OZD39" s="16"/>
      <c r="OZE39" s="16"/>
      <c r="OZF39" s="16"/>
      <c r="OZG39" s="16"/>
      <c r="OZH39" s="16"/>
      <c r="OZI39" s="16"/>
      <c r="OZJ39" s="16"/>
      <c r="OZK39" s="16"/>
      <c r="OZL39" s="16"/>
      <c r="OZM39" s="16"/>
      <c r="OZN39" s="16"/>
      <c r="OZO39" s="16"/>
      <c r="OZP39" s="16"/>
      <c r="OZQ39" s="16"/>
      <c r="OZR39" s="16"/>
      <c r="OZS39" s="16"/>
      <c r="OZT39" s="16"/>
      <c r="OZU39" s="16"/>
      <c r="OZV39" s="16"/>
      <c r="OZW39" s="16"/>
      <c r="OZX39" s="16"/>
      <c r="OZY39" s="16"/>
      <c r="OZZ39" s="16"/>
      <c r="PAA39" s="16"/>
      <c r="PAB39" s="16"/>
      <c r="PAC39" s="16"/>
      <c r="PAD39" s="16"/>
      <c r="PAE39" s="16"/>
      <c r="PAF39" s="16"/>
      <c r="PAG39" s="16"/>
      <c r="PAH39" s="16"/>
      <c r="PAI39" s="16"/>
      <c r="PAJ39" s="16"/>
      <c r="PAK39" s="16"/>
      <c r="PAL39" s="16"/>
      <c r="PAM39" s="16"/>
      <c r="PAN39" s="16"/>
      <c r="PAO39" s="16"/>
      <c r="PAP39" s="16"/>
      <c r="PAQ39" s="16"/>
      <c r="PAR39" s="16"/>
      <c r="PAS39" s="16"/>
      <c r="PAT39" s="16"/>
      <c r="PAU39" s="16"/>
      <c r="PAV39" s="16"/>
      <c r="PAW39" s="16"/>
      <c r="PAX39" s="16"/>
      <c r="PAY39" s="16"/>
      <c r="PAZ39" s="16"/>
      <c r="PBA39" s="16"/>
      <c r="PBB39" s="16"/>
      <c r="PBC39" s="16"/>
      <c r="PBD39" s="16"/>
      <c r="PBE39" s="16"/>
      <c r="PBF39" s="16"/>
      <c r="PBG39" s="16"/>
      <c r="PBH39" s="16"/>
      <c r="PBI39" s="16"/>
      <c r="PBJ39" s="16"/>
      <c r="PBK39" s="16"/>
      <c r="PBL39" s="16"/>
      <c r="PBM39" s="16"/>
      <c r="PBN39" s="16"/>
      <c r="PBO39" s="16"/>
      <c r="PBP39" s="16"/>
      <c r="PBQ39" s="16"/>
      <c r="PBR39" s="16"/>
      <c r="PBS39" s="16"/>
      <c r="PBT39" s="16"/>
      <c r="PBU39" s="16"/>
      <c r="PBV39" s="16"/>
      <c r="PBW39" s="16"/>
      <c r="PBX39" s="16"/>
      <c r="PBY39" s="16"/>
      <c r="PBZ39" s="16"/>
      <c r="PCA39" s="16"/>
      <c r="PCB39" s="16"/>
      <c r="PCC39" s="16"/>
      <c r="PCD39" s="16"/>
      <c r="PCE39" s="16"/>
      <c r="PCF39" s="16"/>
      <c r="PCG39" s="16"/>
      <c r="PCH39" s="16"/>
      <c r="PCI39" s="16"/>
      <c r="PCJ39" s="16"/>
      <c r="PCK39" s="16"/>
      <c r="PCL39" s="16"/>
      <c r="PCM39" s="16"/>
      <c r="PCN39" s="16"/>
      <c r="PCO39" s="16"/>
      <c r="PCP39" s="16"/>
      <c r="PCQ39" s="16"/>
      <c r="PCR39" s="16"/>
      <c r="PCS39" s="16"/>
      <c r="PCT39" s="16"/>
      <c r="PCU39" s="16"/>
      <c r="PCV39" s="16"/>
      <c r="PCW39" s="16"/>
      <c r="PCX39" s="16"/>
      <c r="PCY39" s="16"/>
      <c r="PCZ39" s="16"/>
      <c r="PDA39" s="16"/>
      <c r="PDB39" s="16"/>
      <c r="PDC39" s="16"/>
      <c r="PDD39" s="16"/>
      <c r="PDE39" s="16"/>
      <c r="PDF39" s="16"/>
      <c r="PDG39" s="16"/>
      <c r="PDH39" s="16"/>
      <c r="PDI39" s="16"/>
      <c r="PDJ39" s="16"/>
      <c r="PDK39" s="16"/>
      <c r="PDL39" s="16"/>
      <c r="PDM39" s="16"/>
      <c r="PDN39" s="16"/>
      <c r="PDO39" s="16"/>
      <c r="PDP39" s="16"/>
      <c r="PDQ39" s="16"/>
      <c r="PDR39" s="16"/>
      <c r="PDS39" s="16"/>
      <c r="PDT39" s="16"/>
      <c r="PDU39" s="16"/>
      <c r="PDV39" s="16"/>
      <c r="PDW39" s="16"/>
      <c r="PDX39" s="16"/>
      <c r="PDY39" s="16"/>
      <c r="PDZ39" s="16"/>
      <c r="PEA39" s="16"/>
      <c r="PEB39" s="16"/>
      <c r="PEC39" s="16"/>
      <c r="PED39" s="16"/>
      <c r="PEE39" s="16"/>
      <c r="PEF39" s="16"/>
      <c r="PEG39" s="16"/>
      <c r="PEH39" s="16"/>
      <c r="PEI39" s="16"/>
      <c r="PEJ39" s="16"/>
      <c r="PEK39" s="16"/>
      <c r="PEL39" s="16"/>
      <c r="PEM39" s="16"/>
      <c r="PEN39" s="16"/>
      <c r="PEO39" s="16"/>
      <c r="PEP39" s="16"/>
      <c r="PEQ39" s="16"/>
      <c r="PER39" s="16"/>
      <c r="PES39" s="16"/>
      <c r="PET39" s="16"/>
      <c r="PEU39" s="16"/>
      <c r="PEV39" s="16"/>
      <c r="PEW39" s="16"/>
      <c r="PEX39" s="16"/>
      <c r="PEY39" s="16"/>
      <c r="PEZ39" s="16"/>
      <c r="PFA39" s="16"/>
      <c r="PFB39" s="16"/>
      <c r="PFC39" s="16"/>
      <c r="PFD39" s="16"/>
      <c r="PFE39" s="16"/>
      <c r="PFF39" s="16"/>
      <c r="PFG39" s="16"/>
      <c r="PFH39" s="16"/>
      <c r="PFI39" s="16"/>
      <c r="PFJ39" s="16"/>
      <c r="PFK39" s="16"/>
      <c r="PFL39" s="16"/>
      <c r="PFM39" s="16"/>
      <c r="PFN39" s="16"/>
      <c r="PFO39" s="16"/>
      <c r="PFP39" s="16"/>
      <c r="PFQ39" s="16"/>
      <c r="PFR39" s="16"/>
      <c r="PFS39" s="16"/>
      <c r="PFT39" s="16"/>
      <c r="PFU39" s="16"/>
      <c r="PFV39" s="16"/>
      <c r="PFW39" s="16"/>
      <c r="PFX39" s="16"/>
      <c r="PFY39" s="16"/>
      <c r="PFZ39" s="16"/>
      <c r="PGA39" s="16"/>
      <c r="PGB39" s="16"/>
      <c r="PGC39" s="16"/>
      <c r="PGD39" s="16"/>
      <c r="PGE39" s="16"/>
      <c r="PGF39" s="16"/>
      <c r="PGG39" s="16"/>
      <c r="PGH39" s="16"/>
      <c r="PGI39" s="16"/>
      <c r="PGJ39" s="16"/>
      <c r="PGK39" s="16"/>
      <c r="PGL39" s="16"/>
      <c r="PGM39" s="16"/>
      <c r="PGN39" s="16"/>
      <c r="PGO39" s="16"/>
      <c r="PGP39" s="16"/>
      <c r="PGQ39" s="16"/>
      <c r="PGR39" s="16"/>
      <c r="PGS39" s="16"/>
      <c r="PGT39" s="16"/>
      <c r="PGU39" s="16"/>
      <c r="PGV39" s="16"/>
      <c r="PGW39" s="16"/>
      <c r="PGX39" s="16"/>
      <c r="PGY39" s="16"/>
      <c r="PGZ39" s="16"/>
      <c r="PHA39" s="16"/>
      <c r="PHB39" s="16"/>
      <c r="PHC39" s="16"/>
      <c r="PHD39" s="16"/>
      <c r="PHE39" s="16"/>
      <c r="PHF39" s="16"/>
      <c r="PHG39" s="16"/>
      <c r="PHH39" s="16"/>
      <c r="PHI39" s="16"/>
      <c r="PHJ39" s="16"/>
      <c r="PHK39" s="16"/>
      <c r="PHL39" s="16"/>
      <c r="PHM39" s="16"/>
      <c r="PHN39" s="16"/>
      <c r="PHO39" s="16"/>
      <c r="PHP39" s="16"/>
      <c r="PHQ39" s="16"/>
      <c r="PHR39" s="16"/>
      <c r="PHS39" s="16"/>
      <c r="PHT39" s="16"/>
      <c r="PHU39" s="16"/>
      <c r="PHV39" s="16"/>
      <c r="PHW39" s="16"/>
      <c r="PHX39" s="16"/>
      <c r="PHY39" s="16"/>
      <c r="PHZ39" s="16"/>
      <c r="PIA39" s="16"/>
      <c r="PIB39" s="16"/>
      <c r="PIC39" s="16"/>
      <c r="PID39" s="16"/>
      <c r="PIE39" s="16"/>
      <c r="PIF39" s="16"/>
      <c r="PIG39" s="16"/>
      <c r="PIH39" s="16"/>
      <c r="PII39" s="16"/>
      <c r="PIJ39" s="16"/>
      <c r="PIK39" s="16"/>
      <c r="PIL39" s="16"/>
      <c r="PIM39" s="16"/>
      <c r="PIN39" s="16"/>
      <c r="PIO39" s="16"/>
      <c r="PIP39" s="16"/>
      <c r="PIQ39" s="16"/>
      <c r="PIR39" s="16"/>
      <c r="PIS39" s="16"/>
      <c r="PIT39" s="16"/>
      <c r="PIU39" s="16"/>
      <c r="PIV39" s="16"/>
      <c r="PIW39" s="16"/>
      <c r="PIX39" s="16"/>
      <c r="PIY39" s="16"/>
      <c r="PIZ39" s="16"/>
      <c r="PJA39" s="16"/>
      <c r="PJB39" s="16"/>
      <c r="PJC39" s="16"/>
      <c r="PJD39" s="16"/>
      <c r="PJE39" s="16"/>
      <c r="PJF39" s="16"/>
      <c r="PJG39" s="16"/>
      <c r="PJH39" s="16"/>
      <c r="PJI39" s="16"/>
      <c r="PJJ39" s="16"/>
      <c r="PJK39" s="16"/>
      <c r="PJL39" s="16"/>
      <c r="PJM39" s="16"/>
      <c r="PJN39" s="16"/>
      <c r="PJO39" s="16"/>
      <c r="PJP39" s="16"/>
      <c r="PJQ39" s="16"/>
      <c r="PJR39" s="16"/>
      <c r="PJS39" s="16"/>
      <c r="PJT39" s="16"/>
      <c r="PJU39" s="16"/>
      <c r="PJV39" s="16"/>
      <c r="PJW39" s="16"/>
      <c r="PJX39" s="16"/>
      <c r="PJY39" s="16"/>
      <c r="PJZ39" s="16"/>
      <c r="PKA39" s="16"/>
      <c r="PKB39" s="16"/>
      <c r="PKC39" s="16"/>
      <c r="PKD39" s="16"/>
      <c r="PKE39" s="16"/>
      <c r="PKF39" s="16"/>
      <c r="PKG39" s="16"/>
      <c r="PKH39" s="16"/>
      <c r="PKI39" s="16"/>
      <c r="PKJ39" s="16"/>
      <c r="PKK39" s="16"/>
      <c r="PKL39" s="16"/>
      <c r="PKM39" s="16"/>
      <c r="PKN39" s="16"/>
      <c r="PKO39" s="16"/>
      <c r="PKP39" s="16"/>
      <c r="PKQ39" s="16"/>
      <c r="PKR39" s="16"/>
      <c r="PKS39" s="16"/>
      <c r="PKT39" s="16"/>
      <c r="PKU39" s="16"/>
      <c r="PKV39" s="16"/>
      <c r="PKW39" s="16"/>
      <c r="PKX39" s="16"/>
      <c r="PKY39" s="16"/>
      <c r="PKZ39" s="16"/>
      <c r="PLA39" s="16"/>
      <c r="PLB39" s="16"/>
      <c r="PLC39" s="16"/>
      <c r="PLD39" s="16"/>
      <c r="PLE39" s="16"/>
      <c r="PLF39" s="16"/>
      <c r="PLG39" s="16"/>
      <c r="PLH39" s="16"/>
      <c r="PLI39" s="16"/>
      <c r="PLJ39" s="16"/>
      <c r="PLK39" s="16"/>
      <c r="PLL39" s="16"/>
      <c r="PLM39" s="16"/>
      <c r="PLN39" s="16"/>
      <c r="PLO39" s="16"/>
      <c r="PLP39" s="16"/>
      <c r="PLQ39" s="16"/>
      <c r="PLR39" s="16"/>
      <c r="PLS39" s="16"/>
      <c r="PLT39" s="16"/>
      <c r="PLU39" s="16"/>
      <c r="PLV39" s="16"/>
      <c r="PLW39" s="16"/>
      <c r="PLX39" s="16"/>
      <c r="PLY39" s="16"/>
      <c r="PLZ39" s="16"/>
      <c r="PMA39" s="16"/>
      <c r="PMB39" s="16"/>
      <c r="PMC39" s="16"/>
      <c r="PMD39" s="16"/>
      <c r="PME39" s="16"/>
      <c r="PMF39" s="16"/>
      <c r="PMG39" s="16"/>
      <c r="PMH39" s="16"/>
      <c r="PMI39" s="16"/>
      <c r="PMJ39" s="16"/>
      <c r="PMK39" s="16"/>
      <c r="PML39" s="16"/>
      <c r="PMM39" s="16"/>
      <c r="PMN39" s="16"/>
      <c r="PMO39" s="16"/>
      <c r="PMP39" s="16"/>
      <c r="PMQ39" s="16"/>
      <c r="PMR39" s="16"/>
      <c r="PMS39" s="16"/>
      <c r="PMT39" s="16"/>
      <c r="PMU39" s="16"/>
      <c r="PMV39" s="16"/>
      <c r="PMW39" s="16"/>
      <c r="PMX39" s="16"/>
      <c r="PMY39" s="16"/>
      <c r="PMZ39" s="16"/>
      <c r="PNA39" s="16"/>
      <c r="PNB39" s="16"/>
      <c r="PNC39" s="16"/>
      <c r="PND39" s="16"/>
      <c r="PNE39" s="16"/>
      <c r="PNF39" s="16"/>
      <c r="PNG39" s="16"/>
      <c r="PNH39" s="16"/>
      <c r="PNI39" s="16"/>
      <c r="PNJ39" s="16"/>
      <c r="PNK39" s="16"/>
      <c r="PNL39" s="16"/>
      <c r="PNM39" s="16"/>
      <c r="PNN39" s="16"/>
      <c r="PNO39" s="16"/>
      <c r="PNP39" s="16"/>
      <c r="PNQ39" s="16"/>
      <c r="PNR39" s="16"/>
      <c r="PNS39" s="16"/>
      <c r="PNT39" s="16"/>
      <c r="PNU39" s="16"/>
      <c r="PNV39" s="16"/>
      <c r="PNW39" s="16"/>
      <c r="PNX39" s="16"/>
      <c r="PNY39" s="16"/>
      <c r="PNZ39" s="16"/>
      <c r="POA39" s="16"/>
      <c r="POB39" s="16"/>
      <c r="POC39" s="16"/>
      <c r="POD39" s="16"/>
      <c r="POE39" s="16"/>
      <c r="POF39" s="16"/>
      <c r="POG39" s="16"/>
      <c r="POH39" s="16"/>
      <c r="POI39" s="16"/>
      <c r="POJ39" s="16"/>
      <c r="POK39" s="16"/>
      <c r="POL39" s="16"/>
      <c r="POM39" s="16"/>
      <c r="PON39" s="16"/>
      <c r="POO39" s="16"/>
      <c r="POP39" s="16"/>
      <c r="POQ39" s="16"/>
      <c r="POR39" s="16"/>
      <c r="POS39" s="16"/>
      <c r="POT39" s="16"/>
      <c r="POU39" s="16"/>
      <c r="POV39" s="16"/>
      <c r="POW39" s="16"/>
      <c r="POX39" s="16"/>
      <c r="POY39" s="16"/>
      <c r="POZ39" s="16"/>
      <c r="PPA39" s="16"/>
      <c r="PPB39" s="16"/>
      <c r="PPC39" s="16"/>
      <c r="PPD39" s="16"/>
      <c r="PPE39" s="16"/>
      <c r="PPF39" s="16"/>
      <c r="PPG39" s="16"/>
      <c r="PPH39" s="16"/>
      <c r="PPI39" s="16"/>
      <c r="PPJ39" s="16"/>
      <c r="PPK39" s="16"/>
      <c r="PPL39" s="16"/>
      <c r="PPM39" s="16"/>
      <c r="PPN39" s="16"/>
      <c r="PPO39" s="16"/>
      <c r="PPP39" s="16"/>
      <c r="PPQ39" s="16"/>
      <c r="PPR39" s="16"/>
      <c r="PPS39" s="16"/>
      <c r="PPT39" s="16"/>
      <c r="PPU39" s="16"/>
      <c r="PPV39" s="16"/>
      <c r="PPW39" s="16"/>
      <c r="PPX39" s="16"/>
      <c r="PPY39" s="16"/>
      <c r="PPZ39" s="16"/>
      <c r="PQA39" s="16"/>
      <c r="PQB39" s="16"/>
      <c r="PQC39" s="16"/>
      <c r="PQD39" s="16"/>
      <c r="PQE39" s="16"/>
      <c r="PQF39" s="16"/>
      <c r="PQG39" s="16"/>
      <c r="PQH39" s="16"/>
      <c r="PQI39" s="16"/>
      <c r="PQJ39" s="16"/>
      <c r="PQK39" s="16"/>
      <c r="PQL39" s="16"/>
      <c r="PQM39" s="16"/>
      <c r="PQN39" s="16"/>
      <c r="PQO39" s="16"/>
      <c r="PQP39" s="16"/>
      <c r="PQQ39" s="16"/>
      <c r="PQR39" s="16"/>
      <c r="PQS39" s="16"/>
      <c r="PQT39" s="16"/>
      <c r="PQU39" s="16"/>
      <c r="PQV39" s="16"/>
      <c r="PQW39" s="16"/>
      <c r="PQX39" s="16"/>
      <c r="PQY39" s="16"/>
      <c r="PQZ39" s="16"/>
      <c r="PRA39" s="16"/>
      <c r="PRB39" s="16"/>
      <c r="PRC39" s="16"/>
      <c r="PRD39" s="16"/>
      <c r="PRE39" s="16"/>
      <c r="PRF39" s="16"/>
      <c r="PRG39" s="16"/>
      <c r="PRH39" s="16"/>
      <c r="PRI39" s="16"/>
      <c r="PRJ39" s="16"/>
      <c r="PRK39" s="16"/>
      <c r="PRL39" s="16"/>
      <c r="PRM39" s="16"/>
      <c r="PRN39" s="16"/>
      <c r="PRO39" s="16"/>
      <c r="PRP39" s="16"/>
      <c r="PRQ39" s="16"/>
      <c r="PRR39" s="16"/>
      <c r="PRS39" s="16"/>
      <c r="PRT39" s="16"/>
      <c r="PRU39" s="16"/>
      <c r="PRV39" s="16"/>
      <c r="PRW39" s="16"/>
      <c r="PRX39" s="16"/>
      <c r="PRY39" s="16"/>
      <c r="PRZ39" s="16"/>
      <c r="PSA39" s="16"/>
      <c r="PSB39" s="16"/>
      <c r="PSC39" s="16"/>
      <c r="PSD39" s="16"/>
      <c r="PSE39" s="16"/>
      <c r="PSF39" s="16"/>
      <c r="PSG39" s="16"/>
      <c r="PSH39" s="16"/>
      <c r="PSI39" s="16"/>
      <c r="PSJ39" s="16"/>
      <c r="PSK39" s="16"/>
      <c r="PSL39" s="16"/>
      <c r="PSM39" s="16"/>
      <c r="PSN39" s="16"/>
      <c r="PSO39" s="16"/>
      <c r="PSP39" s="16"/>
      <c r="PSQ39" s="16"/>
      <c r="PSR39" s="16"/>
      <c r="PSS39" s="16"/>
      <c r="PST39" s="16"/>
      <c r="PSU39" s="16"/>
      <c r="PSV39" s="16"/>
      <c r="PSW39" s="16"/>
      <c r="PSX39" s="16"/>
      <c r="PSY39" s="16"/>
      <c r="PSZ39" s="16"/>
      <c r="PTA39" s="16"/>
      <c r="PTB39" s="16"/>
      <c r="PTC39" s="16"/>
      <c r="PTD39" s="16"/>
      <c r="PTE39" s="16"/>
      <c r="PTF39" s="16"/>
      <c r="PTG39" s="16"/>
      <c r="PTH39" s="16"/>
      <c r="PTI39" s="16"/>
      <c r="PTJ39" s="16"/>
      <c r="PTK39" s="16"/>
      <c r="PTL39" s="16"/>
      <c r="PTM39" s="16"/>
      <c r="PTN39" s="16"/>
      <c r="PTO39" s="16"/>
      <c r="PTP39" s="16"/>
      <c r="PTQ39" s="16"/>
      <c r="PTR39" s="16"/>
      <c r="PTS39" s="16"/>
      <c r="PTT39" s="16"/>
      <c r="PTU39" s="16"/>
      <c r="PTV39" s="16"/>
      <c r="PTW39" s="16"/>
      <c r="PTX39" s="16"/>
      <c r="PTY39" s="16"/>
      <c r="PTZ39" s="16"/>
      <c r="PUA39" s="16"/>
      <c r="PUB39" s="16"/>
      <c r="PUC39" s="16"/>
      <c r="PUD39" s="16"/>
      <c r="PUE39" s="16"/>
      <c r="PUF39" s="16"/>
      <c r="PUG39" s="16"/>
      <c r="PUH39" s="16"/>
      <c r="PUI39" s="16"/>
      <c r="PUJ39" s="16"/>
      <c r="PUK39" s="16"/>
      <c r="PUL39" s="16"/>
      <c r="PUM39" s="16"/>
      <c r="PUN39" s="16"/>
      <c r="PUO39" s="16"/>
      <c r="PUP39" s="16"/>
      <c r="PUQ39" s="16"/>
      <c r="PUR39" s="16"/>
      <c r="PUS39" s="16"/>
      <c r="PUT39" s="16"/>
      <c r="PUU39" s="16"/>
      <c r="PUV39" s="16"/>
      <c r="PUW39" s="16"/>
      <c r="PUX39" s="16"/>
      <c r="PUY39" s="16"/>
      <c r="PUZ39" s="16"/>
      <c r="PVA39" s="16"/>
      <c r="PVB39" s="16"/>
      <c r="PVC39" s="16"/>
      <c r="PVD39" s="16"/>
      <c r="PVE39" s="16"/>
      <c r="PVF39" s="16"/>
      <c r="PVG39" s="16"/>
      <c r="PVH39" s="16"/>
      <c r="PVI39" s="16"/>
      <c r="PVJ39" s="16"/>
      <c r="PVK39" s="16"/>
      <c r="PVL39" s="16"/>
      <c r="PVM39" s="16"/>
      <c r="PVN39" s="16"/>
      <c r="PVO39" s="16"/>
      <c r="PVP39" s="16"/>
      <c r="PVQ39" s="16"/>
      <c r="PVR39" s="16"/>
      <c r="PVS39" s="16"/>
      <c r="PVT39" s="16"/>
      <c r="PVU39" s="16"/>
      <c r="PVV39" s="16"/>
      <c r="PVW39" s="16"/>
      <c r="PVX39" s="16"/>
      <c r="PVY39" s="16"/>
      <c r="PVZ39" s="16"/>
      <c r="PWA39" s="16"/>
      <c r="PWB39" s="16"/>
      <c r="PWC39" s="16"/>
      <c r="PWD39" s="16"/>
      <c r="PWE39" s="16"/>
      <c r="PWF39" s="16"/>
      <c r="PWG39" s="16"/>
      <c r="PWH39" s="16"/>
      <c r="PWI39" s="16"/>
      <c r="PWJ39" s="16"/>
      <c r="PWK39" s="16"/>
      <c r="PWL39" s="16"/>
      <c r="PWM39" s="16"/>
      <c r="PWN39" s="16"/>
      <c r="PWO39" s="16"/>
      <c r="PWP39" s="16"/>
      <c r="PWQ39" s="16"/>
      <c r="PWR39" s="16"/>
      <c r="PWS39" s="16"/>
      <c r="PWT39" s="16"/>
      <c r="PWU39" s="16"/>
      <c r="PWV39" s="16"/>
      <c r="PWW39" s="16"/>
      <c r="PWX39" s="16"/>
      <c r="PWY39" s="16"/>
      <c r="PWZ39" s="16"/>
      <c r="PXA39" s="16"/>
      <c r="PXB39" s="16"/>
      <c r="PXC39" s="16"/>
      <c r="PXD39" s="16"/>
      <c r="PXE39" s="16"/>
      <c r="PXF39" s="16"/>
      <c r="PXG39" s="16"/>
      <c r="PXH39" s="16"/>
      <c r="PXI39" s="16"/>
      <c r="PXJ39" s="16"/>
      <c r="PXK39" s="16"/>
      <c r="PXL39" s="16"/>
      <c r="PXM39" s="16"/>
      <c r="PXN39" s="16"/>
      <c r="PXO39" s="16"/>
      <c r="PXP39" s="16"/>
      <c r="PXQ39" s="16"/>
      <c r="PXR39" s="16"/>
      <c r="PXS39" s="16"/>
      <c r="PXT39" s="16"/>
      <c r="PXU39" s="16"/>
      <c r="PXV39" s="16"/>
      <c r="PXW39" s="16"/>
      <c r="PXX39" s="16"/>
      <c r="PXY39" s="16"/>
      <c r="PXZ39" s="16"/>
      <c r="PYA39" s="16"/>
      <c r="PYB39" s="16"/>
      <c r="PYC39" s="16"/>
      <c r="PYD39" s="16"/>
      <c r="PYE39" s="16"/>
      <c r="PYF39" s="16"/>
      <c r="PYG39" s="16"/>
      <c r="PYH39" s="16"/>
      <c r="PYI39" s="16"/>
      <c r="PYJ39" s="16"/>
      <c r="PYK39" s="16"/>
      <c r="PYL39" s="16"/>
      <c r="PYM39" s="16"/>
      <c r="PYN39" s="16"/>
      <c r="PYO39" s="16"/>
      <c r="PYP39" s="16"/>
      <c r="PYQ39" s="16"/>
      <c r="PYR39" s="16"/>
      <c r="PYS39" s="16"/>
      <c r="PYT39" s="16"/>
      <c r="PYU39" s="16"/>
      <c r="PYV39" s="16"/>
      <c r="PYW39" s="16"/>
      <c r="PYX39" s="16"/>
      <c r="PYY39" s="16"/>
      <c r="PYZ39" s="16"/>
      <c r="PZA39" s="16"/>
      <c r="PZB39" s="16"/>
      <c r="PZC39" s="16"/>
      <c r="PZD39" s="16"/>
      <c r="PZE39" s="16"/>
      <c r="PZF39" s="16"/>
      <c r="PZG39" s="16"/>
      <c r="PZH39" s="16"/>
      <c r="PZI39" s="16"/>
      <c r="PZJ39" s="16"/>
      <c r="PZK39" s="16"/>
      <c r="PZL39" s="16"/>
      <c r="PZM39" s="16"/>
      <c r="PZN39" s="16"/>
      <c r="PZO39" s="16"/>
      <c r="PZP39" s="16"/>
      <c r="PZQ39" s="16"/>
      <c r="PZR39" s="16"/>
      <c r="PZS39" s="16"/>
      <c r="PZT39" s="16"/>
      <c r="PZU39" s="16"/>
      <c r="PZV39" s="16"/>
      <c r="PZW39" s="16"/>
      <c r="PZX39" s="16"/>
      <c r="PZY39" s="16"/>
      <c r="PZZ39" s="16"/>
      <c r="QAA39" s="16"/>
      <c r="QAB39" s="16"/>
      <c r="QAC39" s="16"/>
      <c r="QAD39" s="16"/>
      <c r="QAE39" s="16"/>
      <c r="QAF39" s="16"/>
      <c r="QAG39" s="16"/>
      <c r="QAH39" s="16"/>
      <c r="QAI39" s="16"/>
      <c r="QAJ39" s="16"/>
      <c r="QAK39" s="16"/>
      <c r="QAL39" s="16"/>
      <c r="QAM39" s="16"/>
      <c r="QAN39" s="16"/>
      <c r="QAO39" s="16"/>
      <c r="QAP39" s="16"/>
      <c r="QAQ39" s="16"/>
      <c r="QAR39" s="16"/>
      <c r="QAS39" s="16"/>
      <c r="QAT39" s="16"/>
      <c r="QAU39" s="16"/>
      <c r="QAV39" s="16"/>
      <c r="QAW39" s="16"/>
      <c r="QAX39" s="16"/>
      <c r="QAY39" s="16"/>
      <c r="QAZ39" s="16"/>
      <c r="QBA39" s="16"/>
      <c r="QBB39" s="16"/>
      <c r="QBC39" s="16"/>
      <c r="QBD39" s="16"/>
      <c r="QBE39" s="16"/>
      <c r="QBF39" s="16"/>
      <c r="QBG39" s="16"/>
      <c r="QBH39" s="16"/>
      <c r="QBI39" s="16"/>
      <c r="QBJ39" s="16"/>
      <c r="QBK39" s="16"/>
      <c r="QBL39" s="16"/>
      <c r="QBM39" s="16"/>
      <c r="QBN39" s="16"/>
      <c r="QBO39" s="16"/>
      <c r="QBP39" s="16"/>
      <c r="QBQ39" s="16"/>
      <c r="QBR39" s="16"/>
      <c r="QBS39" s="16"/>
      <c r="QBT39" s="16"/>
      <c r="QBU39" s="16"/>
      <c r="QBV39" s="16"/>
      <c r="QBW39" s="16"/>
      <c r="QBX39" s="16"/>
      <c r="QBY39" s="16"/>
      <c r="QBZ39" s="16"/>
      <c r="QCA39" s="16"/>
      <c r="QCB39" s="16"/>
      <c r="QCC39" s="16"/>
      <c r="QCD39" s="16"/>
      <c r="QCE39" s="16"/>
      <c r="QCF39" s="16"/>
      <c r="QCG39" s="16"/>
      <c r="QCH39" s="16"/>
      <c r="QCI39" s="16"/>
      <c r="QCJ39" s="16"/>
      <c r="QCK39" s="16"/>
      <c r="QCL39" s="16"/>
      <c r="QCM39" s="16"/>
      <c r="QCN39" s="16"/>
      <c r="QCO39" s="16"/>
      <c r="QCP39" s="16"/>
      <c r="QCQ39" s="16"/>
      <c r="QCR39" s="16"/>
      <c r="QCS39" s="16"/>
      <c r="QCT39" s="16"/>
      <c r="QCU39" s="16"/>
      <c r="QCV39" s="16"/>
      <c r="QCW39" s="16"/>
      <c r="QCX39" s="16"/>
      <c r="QCY39" s="16"/>
      <c r="QCZ39" s="16"/>
      <c r="QDA39" s="16"/>
      <c r="QDB39" s="16"/>
      <c r="QDC39" s="16"/>
      <c r="QDD39" s="16"/>
      <c r="QDE39" s="16"/>
      <c r="QDF39" s="16"/>
      <c r="QDG39" s="16"/>
      <c r="QDH39" s="16"/>
      <c r="QDI39" s="16"/>
      <c r="QDJ39" s="16"/>
      <c r="QDK39" s="16"/>
      <c r="QDL39" s="16"/>
      <c r="QDM39" s="16"/>
      <c r="QDN39" s="16"/>
      <c r="QDO39" s="16"/>
      <c r="QDP39" s="16"/>
      <c r="QDQ39" s="16"/>
      <c r="QDR39" s="16"/>
      <c r="QDS39" s="16"/>
      <c r="QDT39" s="16"/>
      <c r="QDU39" s="16"/>
      <c r="QDV39" s="16"/>
      <c r="QDW39" s="16"/>
      <c r="QDX39" s="16"/>
      <c r="QDY39" s="16"/>
      <c r="QDZ39" s="16"/>
      <c r="QEA39" s="16"/>
      <c r="QEB39" s="16"/>
      <c r="QEC39" s="16"/>
      <c r="QED39" s="16"/>
      <c r="QEE39" s="16"/>
      <c r="QEF39" s="16"/>
      <c r="QEG39" s="16"/>
      <c r="QEH39" s="16"/>
      <c r="QEI39" s="16"/>
      <c r="QEJ39" s="16"/>
      <c r="QEK39" s="16"/>
      <c r="QEL39" s="16"/>
      <c r="QEM39" s="16"/>
      <c r="QEN39" s="16"/>
      <c r="QEO39" s="16"/>
      <c r="QEP39" s="16"/>
      <c r="QEQ39" s="16"/>
      <c r="QER39" s="16"/>
      <c r="QES39" s="16"/>
      <c r="QET39" s="16"/>
      <c r="QEU39" s="16"/>
      <c r="QEV39" s="16"/>
      <c r="QEW39" s="16"/>
      <c r="QEX39" s="16"/>
      <c r="QEY39" s="16"/>
      <c r="QEZ39" s="16"/>
      <c r="QFA39" s="16"/>
      <c r="QFB39" s="16"/>
      <c r="QFC39" s="16"/>
      <c r="QFD39" s="16"/>
      <c r="QFE39" s="16"/>
      <c r="QFF39" s="16"/>
      <c r="QFG39" s="16"/>
      <c r="QFH39" s="16"/>
      <c r="QFI39" s="16"/>
      <c r="QFJ39" s="16"/>
      <c r="QFK39" s="16"/>
      <c r="QFL39" s="16"/>
      <c r="QFM39" s="16"/>
      <c r="QFN39" s="16"/>
      <c r="QFO39" s="16"/>
      <c r="QFP39" s="16"/>
      <c r="QFQ39" s="16"/>
      <c r="QFR39" s="16"/>
      <c r="QFS39" s="16"/>
      <c r="QFT39" s="16"/>
      <c r="QFU39" s="16"/>
      <c r="QFV39" s="16"/>
      <c r="QFW39" s="16"/>
      <c r="QFX39" s="16"/>
      <c r="QFY39" s="16"/>
      <c r="QFZ39" s="16"/>
      <c r="QGA39" s="16"/>
      <c r="QGB39" s="16"/>
      <c r="QGC39" s="16"/>
      <c r="QGD39" s="16"/>
      <c r="QGE39" s="16"/>
      <c r="QGF39" s="16"/>
      <c r="QGG39" s="16"/>
      <c r="QGH39" s="16"/>
      <c r="QGI39" s="16"/>
      <c r="QGJ39" s="16"/>
      <c r="QGK39" s="16"/>
      <c r="QGL39" s="16"/>
      <c r="QGM39" s="16"/>
      <c r="QGN39" s="16"/>
      <c r="QGO39" s="16"/>
      <c r="QGP39" s="16"/>
      <c r="QGQ39" s="16"/>
      <c r="QGR39" s="16"/>
      <c r="QGS39" s="16"/>
      <c r="QGT39" s="16"/>
      <c r="QGU39" s="16"/>
      <c r="QGV39" s="16"/>
      <c r="QGW39" s="16"/>
      <c r="QGX39" s="16"/>
      <c r="QGY39" s="16"/>
      <c r="QGZ39" s="16"/>
      <c r="QHA39" s="16"/>
      <c r="QHB39" s="16"/>
      <c r="QHC39" s="16"/>
      <c r="QHD39" s="16"/>
      <c r="QHE39" s="16"/>
      <c r="QHF39" s="16"/>
      <c r="QHG39" s="16"/>
      <c r="QHH39" s="16"/>
      <c r="QHI39" s="16"/>
      <c r="QHJ39" s="16"/>
      <c r="QHK39" s="16"/>
      <c r="QHL39" s="16"/>
      <c r="QHM39" s="16"/>
      <c r="QHN39" s="16"/>
      <c r="QHO39" s="16"/>
      <c r="QHP39" s="16"/>
      <c r="QHQ39" s="16"/>
      <c r="QHR39" s="16"/>
      <c r="QHS39" s="16"/>
      <c r="QHT39" s="16"/>
      <c r="QHU39" s="16"/>
      <c r="QHV39" s="16"/>
      <c r="QHW39" s="16"/>
      <c r="QHX39" s="16"/>
      <c r="QHY39" s="16"/>
      <c r="QHZ39" s="16"/>
      <c r="QIA39" s="16"/>
      <c r="QIB39" s="16"/>
      <c r="QIC39" s="16"/>
      <c r="QID39" s="16"/>
      <c r="QIE39" s="16"/>
      <c r="QIF39" s="16"/>
      <c r="QIG39" s="16"/>
      <c r="QIH39" s="16"/>
      <c r="QII39" s="16"/>
      <c r="QIJ39" s="16"/>
      <c r="QIK39" s="16"/>
      <c r="QIL39" s="16"/>
      <c r="QIM39" s="16"/>
      <c r="QIN39" s="16"/>
      <c r="QIO39" s="16"/>
      <c r="QIP39" s="16"/>
      <c r="QIQ39" s="16"/>
      <c r="QIR39" s="16"/>
      <c r="QIS39" s="16"/>
      <c r="QIT39" s="16"/>
      <c r="QIU39" s="16"/>
      <c r="QIV39" s="16"/>
      <c r="QIW39" s="16"/>
      <c r="QIX39" s="16"/>
      <c r="QIY39" s="16"/>
      <c r="QIZ39" s="16"/>
      <c r="QJA39" s="16"/>
      <c r="QJB39" s="16"/>
      <c r="QJC39" s="16"/>
      <c r="QJD39" s="16"/>
      <c r="QJE39" s="16"/>
      <c r="QJF39" s="16"/>
      <c r="QJG39" s="16"/>
      <c r="QJH39" s="16"/>
      <c r="QJI39" s="16"/>
      <c r="QJJ39" s="16"/>
      <c r="QJK39" s="16"/>
      <c r="QJL39" s="16"/>
      <c r="QJM39" s="16"/>
      <c r="QJN39" s="16"/>
      <c r="QJO39" s="16"/>
      <c r="QJP39" s="16"/>
      <c r="QJQ39" s="16"/>
      <c r="QJR39" s="16"/>
      <c r="QJS39" s="16"/>
      <c r="QJT39" s="16"/>
      <c r="QJU39" s="16"/>
      <c r="QJV39" s="16"/>
      <c r="QJW39" s="16"/>
      <c r="QJX39" s="16"/>
      <c r="QJY39" s="16"/>
      <c r="QJZ39" s="16"/>
      <c r="QKA39" s="16"/>
      <c r="QKB39" s="16"/>
      <c r="QKC39" s="16"/>
      <c r="QKD39" s="16"/>
      <c r="QKE39" s="16"/>
      <c r="QKF39" s="16"/>
      <c r="QKG39" s="16"/>
      <c r="QKH39" s="16"/>
      <c r="QKI39" s="16"/>
      <c r="QKJ39" s="16"/>
      <c r="QKK39" s="16"/>
      <c r="QKL39" s="16"/>
      <c r="QKM39" s="16"/>
      <c r="QKN39" s="16"/>
      <c r="QKO39" s="16"/>
      <c r="QKP39" s="16"/>
      <c r="QKQ39" s="16"/>
      <c r="QKR39" s="16"/>
      <c r="QKS39" s="16"/>
      <c r="QKT39" s="16"/>
      <c r="QKU39" s="16"/>
      <c r="QKV39" s="16"/>
      <c r="QKW39" s="16"/>
      <c r="QKX39" s="16"/>
      <c r="QKY39" s="16"/>
      <c r="QKZ39" s="16"/>
      <c r="QLA39" s="16"/>
      <c r="QLB39" s="16"/>
      <c r="QLC39" s="16"/>
      <c r="QLD39" s="16"/>
      <c r="QLE39" s="16"/>
      <c r="QLF39" s="16"/>
      <c r="QLG39" s="16"/>
      <c r="QLH39" s="16"/>
      <c r="QLI39" s="16"/>
      <c r="QLJ39" s="16"/>
      <c r="QLK39" s="16"/>
      <c r="QLL39" s="16"/>
      <c r="QLM39" s="16"/>
      <c r="QLN39" s="16"/>
      <c r="QLO39" s="16"/>
      <c r="QLP39" s="16"/>
      <c r="QLQ39" s="16"/>
      <c r="QLR39" s="16"/>
      <c r="QLS39" s="16"/>
      <c r="QLT39" s="16"/>
      <c r="QLU39" s="16"/>
      <c r="QLV39" s="16"/>
      <c r="QLW39" s="16"/>
      <c r="QLX39" s="16"/>
      <c r="QLY39" s="16"/>
      <c r="QLZ39" s="16"/>
      <c r="QMA39" s="16"/>
      <c r="QMB39" s="16"/>
      <c r="QMC39" s="16"/>
      <c r="QMD39" s="16"/>
      <c r="QME39" s="16"/>
      <c r="QMF39" s="16"/>
      <c r="QMG39" s="16"/>
      <c r="QMH39" s="16"/>
      <c r="QMI39" s="16"/>
      <c r="QMJ39" s="16"/>
      <c r="QMK39" s="16"/>
      <c r="QML39" s="16"/>
      <c r="QMM39" s="16"/>
      <c r="QMN39" s="16"/>
      <c r="QMO39" s="16"/>
      <c r="QMP39" s="16"/>
      <c r="QMQ39" s="16"/>
      <c r="QMR39" s="16"/>
      <c r="QMS39" s="16"/>
      <c r="QMT39" s="16"/>
      <c r="QMU39" s="16"/>
      <c r="QMV39" s="16"/>
      <c r="QMW39" s="16"/>
      <c r="QMX39" s="16"/>
      <c r="QMY39" s="16"/>
      <c r="QMZ39" s="16"/>
      <c r="QNA39" s="16"/>
      <c r="QNB39" s="16"/>
      <c r="QNC39" s="16"/>
      <c r="QND39" s="16"/>
      <c r="QNE39" s="16"/>
      <c r="QNF39" s="16"/>
      <c r="QNG39" s="16"/>
      <c r="QNH39" s="16"/>
      <c r="QNI39" s="16"/>
      <c r="QNJ39" s="16"/>
      <c r="QNK39" s="16"/>
      <c r="QNL39" s="16"/>
      <c r="QNM39" s="16"/>
      <c r="QNN39" s="16"/>
      <c r="QNO39" s="16"/>
      <c r="QNP39" s="16"/>
      <c r="QNQ39" s="16"/>
      <c r="QNR39" s="16"/>
      <c r="QNS39" s="16"/>
      <c r="QNT39" s="16"/>
      <c r="QNU39" s="16"/>
      <c r="QNV39" s="16"/>
      <c r="QNW39" s="16"/>
      <c r="QNX39" s="16"/>
      <c r="QNY39" s="16"/>
      <c r="QNZ39" s="16"/>
      <c r="QOA39" s="16"/>
      <c r="QOB39" s="16"/>
      <c r="QOC39" s="16"/>
      <c r="QOD39" s="16"/>
      <c r="QOE39" s="16"/>
      <c r="QOF39" s="16"/>
      <c r="QOG39" s="16"/>
      <c r="QOH39" s="16"/>
      <c r="QOI39" s="16"/>
      <c r="QOJ39" s="16"/>
      <c r="QOK39" s="16"/>
      <c r="QOL39" s="16"/>
      <c r="QOM39" s="16"/>
      <c r="QON39" s="16"/>
      <c r="QOO39" s="16"/>
      <c r="QOP39" s="16"/>
      <c r="QOQ39" s="16"/>
      <c r="QOR39" s="16"/>
      <c r="QOS39" s="16"/>
      <c r="QOT39" s="16"/>
      <c r="QOU39" s="16"/>
      <c r="QOV39" s="16"/>
      <c r="QOW39" s="16"/>
      <c r="QOX39" s="16"/>
      <c r="QOY39" s="16"/>
      <c r="QOZ39" s="16"/>
      <c r="QPA39" s="16"/>
      <c r="QPB39" s="16"/>
      <c r="QPC39" s="16"/>
      <c r="QPD39" s="16"/>
      <c r="QPE39" s="16"/>
      <c r="QPF39" s="16"/>
      <c r="QPG39" s="16"/>
      <c r="QPH39" s="16"/>
      <c r="QPI39" s="16"/>
      <c r="QPJ39" s="16"/>
      <c r="QPK39" s="16"/>
      <c r="QPL39" s="16"/>
      <c r="QPM39" s="16"/>
      <c r="QPN39" s="16"/>
      <c r="QPO39" s="16"/>
      <c r="QPP39" s="16"/>
      <c r="QPQ39" s="16"/>
      <c r="QPR39" s="16"/>
      <c r="QPS39" s="16"/>
      <c r="QPT39" s="16"/>
      <c r="QPU39" s="16"/>
      <c r="QPV39" s="16"/>
      <c r="QPW39" s="16"/>
      <c r="QPX39" s="16"/>
      <c r="QPY39" s="16"/>
      <c r="QPZ39" s="16"/>
      <c r="QQA39" s="16"/>
      <c r="QQB39" s="16"/>
      <c r="QQC39" s="16"/>
      <c r="QQD39" s="16"/>
      <c r="QQE39" s="16"/>
      <c r="QQF39" s="16"/>
      <c r="QQG39" s="16"/>
      <c r="QQH39" s="16"/>
      <c r="QQI39" s="16"/>
      <c r="QQJ39" s="16"/>
      <c r="QQK39" s="16"/>
      <c r="QQL39" s="16"/>
      <c r="QQM39" s="16"/>
      <c r="QQN39" s="16"/>
      <c r="QQO39" s="16"/>
      <c r="QQP39" s="16"/>
      <c r="QQQ39" s="16"/>
      <c r="QQR39" s="16"/>
      <c r="QQS39" s="16"/>
      <c r="QQT39" s="16"/>
      <c r="QQU39" s="16"/>
      <c r="QQV39" s="16"/>
      <c r="QQW39" s="16"/>
      <c r="QQX39" s="16"/>
      <c r="QQY39" s="16"/>
      <c r="QQZ39" s="16"/>
      <c r="QRA39" s="16"/>
      <c r="QRB39" s="16"/>
      <c r="QRC39" s="16"/>
      <c r="QRD39" s="16"/>
      <c r="QRE39" s="16"/>
      <c r="QRF39" s="16"/>
      <c r="QRG39" s="16"/>
      <c r="QRH39" s="16"/>
      <c r="QRI39" s="16"/>
      <c r="QRJ39" s="16"/>
      <c r="QRK39" s="16"/>
      <c r="QRL39" s="16"/>
      <c r="QRM39" s="16"/>
      <c r="QRN39" s="16"/>
      <c r="QRO39" s="16"/>
      <c r="QRP39" s="16"/>
      <c r="QRQ39" s="16"/>
      <c r="QRR39" s="16"/>
      <c r="QRS39" s="16"/>
      <c r="QRT39" s="16"/>
      <c r="QRU39" s="16"/>
      <c r="QRV39" s="16"/>
      <c r="QRW39" s="16"/>
      <c r="QRX39" s="16"/>
      <c r="QRY39" s="16"/>
      <c r="QRZ39" s="16"/>
      <c r="QSA39" s="16"/>
      <c r="QSB39" s="16"/>
      <c r="QSC39" s="16"/>
      <c r="QSD39" s="16"/>
      <c r="QSE39" s="16"/>
      <c r="QSF39" s="16"/>
      <c r="QSG39" s="16"/>
      <c r="QSH39" s="16"/>
      <c r="QSI39" s="16"/>
      <c r="QSJ39" s="16"/>
      <c r="QSK39" s="16"/>
      <c r="QSL39" s="16"/>
      <c r="QSM39" s="16"/>
      <c r="QSN39" s="16"/>
      <c r="QSO39" s="16"/>
      <c r="QSP39" s="16"/>
      <c r="QSQ39" s="16"/>
      <c r="QSR39" s="16"/>
      <c r="QSS39" s="16"/>
      <c r="QST39" s="16"/>
      <c r="QSU39" s="16"/>
      <c r="QSV39" s="16"/>
      <c r="QSW39" s="16"/>
      <c r="QSX39" s="16"/>
      <c r="QSY39" s="16"/>
      <c r="QSZ39" s="16"/>
      <c r="QTA39" s="16"/>
      <c r="QTB39" s="16"/>
      <c r="QTC39" s="16"/>
      <c r="QTD39" s="16"/>
      <c r="QTE39" s="16"/>
      <c r="QTF39" s="16"/>
      <c r="QTG39" s="16"/>
      <c r="QTH39" s="16"/>
      <c r="QTI39" s="16"/>
      <c r="QTJ39" s="16"/>
      <c r="QTK39" s="16"/>
      <c r="QTL39" s="16"/>
      <c r="QTM39" s="16"/>
      <c r="QTN39" s="16"/>
      <c r="QTO39" s="16"/>
      <c r="QTP39" s="16"/>
      <c r="QTQ39" s="16"/>
      <c r="QTR39" s="16"/>
      <c r="QTS39" s="16"/>
      <c r="QTT39" s="16"/>
      <c r="QTU39" s="16"/>
      <c r="QTV39" s="16"/>
      <c r="QTW39" s="16"/>
      <c r="QTX39" s="16"/>
      <c r="QTY39" s="16"/>
      <c r="QTZ39" s="16"/>
      <c r="QUA39" s="16"/>
      <c r="QUB39" s="16"/>
      <c r="QUC39" s="16"/>
      <c r="QUD39" s="16"/>
      <c r="QUE39" s="16"/>
      <c r="QUF39" s="16"/>
      <c r="QUG39" s="16"/>
      <c r="QUH39" s="16"/>
      <c r="QUI39" s="16"/>
      <c r="QUJ39" s="16"/>
      <c r="QUK39" s="16"/>
      <c r="QUL39" s="16"/>
      <c r="QUM39" s="16"/>
      <c r="QUN39" s="16"/>
      <c r="QUO39" s="16"/>
      <c r="QUP39" s="16"/>
      <c r="QUQ39" s="16"/>
      <c r="QUR39" s="16"/>
      <c r="QUS39" s="16"/>
      <c r="QUT39" s="16"/>
      <c r="QUU39" s="16"/>
      <c r="QUV39" s="16"/>
      <c r="QUW39" s="16"/>
      <c r="QUX39" s="16"/>
      <c r="QUY39" s="16"/>
      <c r="QUZ39" s="16"/>
      <c r="QVA39" s="16"/>
      <c r="QVB39" s="16"/>
      <c r="QVC39" s="16"/>
      <c r="QVD39" s="16"/>
      <c r="QVE39" s="16"/>
      <c r="QVF39" s="16"/>
      <c r="QVG39" s="16"/>
      <c r="QVH39" s="16"/>
      <c r="QVI39" s="16"/>
      <c r="QVJ39" s="16"/>
      <c r="QVK39" s="16"/>
      <c r="QVL39" s="16"/>
      <c r="QVM39" s="16"/>
      <c r="QVN39" s="16"/>
      <c r="QVO39" s="16"/>
      <c r="QVP39" s="16"/>
      <c r="QVQ39" s="16"/>
      <c r="QVR39" s="16"/>
      <c r="QVS39" s="16"/>
      <c r="QVT39" s="16"/>
      <c r="QVU39" s="16"/>
      <c r="QVV39" s="16"/>
      <c r="QVW39" s="16"/>
      <c r="QVX39" s="16"/>
      <c r="QVY39" s="16"/>
      <c r="QVZ39" s="16"/>
      <c r="QWA39" s="16"/>
      <c r="QWB39" s="16"/>
      <c r="QWC39" s="16"/>
      <c r="QWD39" s="16"/>
      <c r="QWE39" s="16"/>
      <c r="QWF39" s="16"/>
      <c r="QWG39" s="16"/>
      <c r="QWH39" s="16"/>
      <c r="QWI39" s="16"/>
      <c r="QWJ39" s="16"/>
      <c r="QWK39" s="16"/>
      <c r="QWL39" s="16"/>
      <c r="QWM39" s="16"/>
      <c r="QWN39" s="16"/>
      <c r="QWO39" s="16"/>
      <c r="QWP39" s="16"/>
      <c r="QWQ39" s="16"/>
      <c r="QWR39" s="16"/>
      <c r="QWS39" s="16"/>
      <c r="QWT39" s="16"/>
      <c r="QWU39" s="16"/>
      <c r="QWV39" s="16"/>
      <c r="QWW39" s="16"/>
      <c r="QWX39" s="16"/>
      <c r="QWY39" s="16"/>
      <c r="QWZ39" s="16"/>
      <c r="QXA39" s="16"/>
      <c r="QXB39" s="16"/>
      <c r="QXC39" s="16"/>
      <c r="QXD39" s="16"/>
      <c r="QXE39" s="16"/>
      <c r="QXF39" s="16"/>
      <c r="QXG39" s="16"/>
      <c r="QXH39" s="16"/>
      <c r="QXI39" s="16"/>
      <c r="QXJ39" s="16"/>
      <c r="QXK39" s="16"/>
      <c r="QXL39" s="16"/>
      <c r="QXM39" s="16"/>
      <c r="QXN39" s="16"/>
      <c r="QXO39" s="16"/>
      <c r="QXP39" s="16"/>
      <c r="QXQ39" s="16"/>
      <c r="QXR39" s="16"/>
      <c r="QXS39" s="16"/>
      <c r="QXT39" s="16"/>
      <c r="QXU39" s="16"/>
      <c r="QXV39" s="16"/>
      <c r="QXW39" s="16"/>
      <c r="QXX39" s="16"/>
      <c r="QXY39" s="16"/>
      <c r="QXZ39" s="16"/>
      <c r="QYA39" s="16"/>
      <c r="QYB39" s="16"/>
      <c r="QYC39" s="16"/>
      <c r="QYD39" s="16"/>
      <c r="QYE39" s="16"/>
      <c r="QYF39" s="16"/>
      <c r="QYG39" s="16"/>
      <c r="QYH39" s="16"/>
      <c r="QYI39" s="16"/>
      <c r="QYJ39" s="16"/>
      <c r="QYK39" s="16"/>
      <c r="QYL39" s="16"/>
      <c r="QYM39" s="16"/>
      <c r="QYN39" s="16"/>
      <c r="QYO39" s="16"/>
      <c r="QYP39" s="16"/>
      <c r="QYQ39" s="16"/>
      <c r="QYR39" s="16"/>
      <c r="QYS39" s="16"/>
      <c r="QYT39" s="16"/>
      <c r="QYU39" s="16"/>
      <c r="QYV39" s="16"/>
      <c r="QYW39" s="16"/>
      <c r="QYX39" s="16"/>
      <c r="QYY39" s="16"/>
      <c r="QYZ39" s="16"/>
      <c r="QZA39" s="16"/>
      <c r="QZB39" s="16"/>
      <c r="QZC39" s="16"/>
      <c r="QZD39" s="16"/>
      <c r="QZE39" s="16"/>
      <c r="QZF39" s="16"/>
      <c r="QZG39" s="16"/>
      <c r="QZH39" s="16"/>
      <c r="QZI39" s="16"/>
      <c r="QZJ39" s="16"/>
      <c r="QZK39" s="16"/>
      <c r="QZL39" s="16"/>
      <c r="QZM39" s="16"/>
      <c r="QZN39" s="16"/>
      <c r="QZO39" s="16"/>
      <c r="QZP39" s="16"/>
      <c r="QZQ39" s="16"/>
      <c r="QZR39" s="16"/>
      <c r="QZS39" s="16"/>
      <c r="QZT39" s="16"/>
      <c r="QZU39" s="16"/>
      <c r="QZV39" s="16"/>
      <c r="QZW39" s="16"/>
      <c r="QZX39" s="16"/>
      <c r="QZY39" s="16"/>
      <c r="QZZ39" s="16"/>
      <c r="RAA39" s="16"/>
      <c r="RAB39" s="16"/>
      <c r="RAC39" s="16"/>
      <c r="RAD39" s="16"/>
      <c r="RAE39" s="16"/>
      <c r="RAF39" s="16"/>
      <c r="RAG39" s="16"/>
      <c r="RAH39" s="16"/>
      <c r="RAI39" s="16"/>
      <c r="RAJ39" s="16"/>
      <c r="RAK39" s="16"/>
      <c r="RAL39" s="16"/>
      <c r="RAM39" s="16"/>
      <c r="RAN39" s="16"/>
      <c r="RAO39" s="16"/>
      <c r="RAP39" s="16"/>
      <c r="RAQ39" s="16"/>
      <c r="RAR39" s="16"/>
      <c r="RAS39" s="16"/>
      <c r="RAT39" s="16"/>
      <c r="RAU39" s="16"/>
      <c r="RAV39" s="16"/>
      <c r="RAW39" s="16"/>
      <c r="RAX39" s="16"/>
      <c r="RAY39" s="16"/>
      <c r="RAZ39" s="16"/>
      <c r="RBA39" s="16"/>
      <c r="RBB39" s="16"/>
      <c r="RBC39" s="16"/>
      <c r="RBD39" s="16"/>
      <c r="RBE39" s="16"/>
      <c r="RBF39" s="16"/>
      <c r="RBG39" s="16"/>
      <c r="RBH39" s="16"/>
      <c r="RBI39" s="16"/>
      <c r="RBJ39" s="16"/>
      <c r="RBK39" s="16"/>
      <c r="RBL39" s="16"/>
      <c r="RBM39" s="16"/>
      <c r="RBN39" s="16"/>
      <c r="RBO39" s="16"/>
      <c r="RBP39" s="16"/>
      <c r="RBQ39" s="16"/>
      <c r="RBR39" s="16"/>
      <c r="RBS39" s="16"/>
      <c r="RBT39" s="16"/>
      <c r="RBU39" s="16"/>
      <c r="RBV39" s="16"/>
      <c r="RBW39" s="16"/>
      <c r="RBX39" s="16"/>
      <c r="RBY39" s="16"/>
      <c r="RBZ39" s="16"/>
      <c r="RCA39" s="16"/>
      <c r="RCB39" s="16"/>
      <c r="RCC39" s="16"/>
      <c r="RCD39" s="16"/>
      <c r="RCE39" s="16"/>
      <c r="RCF39" s="16"/>
      <c r="RCG39" s="16"/>
      <c r="RCH39" s="16"/>
      <c r="RCI39" s="16"/>
      <c r="RCJ39" s="16"/>
      <c r="RCK39" s="16"/>
      <c r="RCL39" s="16"/>
      <c r="RCM39" s="16"/>
      <c r="RCN39" s="16"/>
      <c r="RCO39" s="16"/>
      <c r="RCP39" s="16"/>
      <c r="RCQ39" s="16"/>
      <c r="RCR39" s="16"/>
      <c r="RCS39" s="16"/>
      <c r="RCT39" s="16"/>
      <c r="RCU39" s="16"/>
      <c r="RCV39" s="16"/>
      <c r="RCW39" s="16"/>
      <c r="RCX39" s="16"/>
      <c r="RCY39" s="16"/>
      <c r="RCZ39" s="16"/>
      <c r="RDA39" s="16"/>
      <c r="RDB39" s="16"/>
      <c r="RDC39" s="16"/>
      <c r="RDD39" s="16"/>
      <c r="RDE39" s="16"/>
      <c r="RDF39" s="16"/>
      <c r="RDG39" s="16"/>
      <c r="RDH39" s="16"/>
      <c r="RDI39" s="16"/>
      <c r="RDJ39" s="16"/>
      <c r="RDK39" s="16"/>
      <c r="RDL39" s="16"/>
      <c r="RDM39" s="16"/>
      <c r="RDN39" s="16"/>
      <c r="RDO39" s="16"/>
      <c r="RDP39" s="16"/>
      <c r="RDQ39" s="16"/>
      <c r="RDR39" s="16"/>
      <c r="RDS39" s="16"/>
      <c r="RDT39" s="16"/>
      <c r="RDU39" s="16"/>
      <c r="RDV39" s="16"/>
      <c r="RDW39" s="16"/>
      <c r="RDX39" s="16"/>
      <c r="RDY39" s="16"/>
      <c r="RDZ39" s="16"/>
      <c r="REA39" s="16"/>
      <c r="REB39" s="16"/>
      <c r="REC39" s="16"/>
      <c r="RED39" s="16"/>
      <c r="REE39" s="16"/>
      <c r="REF39" s="16"/>
      <c r="REG39" s="16"/>
      <c r="REH39" s="16"/>
      <c r="REI39" s="16"/>
      <c r="REJ39" s="16"/>
      <c r="REK39" s="16"/>
      <c r="REL39" s="16"/>
      <c r="REM39" s="16"/>
      <c r="REN39" s="16"/>
      <c r="REO39" s="16"/>
      <c r="REP39" s="16"/>
      <c r="REQ39" s="16"/>
      <c r="RER39" s="16"/>
      <c r="RES39" s="16"/>
      <c r="RET39" s="16"/>
      <c r="REU39" s="16"/>
      <c r="REV39" s="16"/>
      <c r="REW39" s="16"/>
      <c r="REX39" s="16"/>
      <c r="REY39" s="16"/>
      <c r="REZ39" s="16"/>
      <c r="RFA39" s="16"/>
      <c r="RFB39" s="16"/>
      <c r="RFC39" s="16"/>
      <c r="RFD39" s="16"/>
      <c r="RFE39" s="16"/>
      <c r="RFF39" s="16"/>
      <c r="RFG39" s="16"/>
      <c r="RFH39" s="16"/>
      <c r="RFI39" s="16"/>
      <c r="RFJ39" s="16"/>
      <c r="RFK39" s="16"/>
      <c r="RFL39" s="16"/>
      <c r="RFM39" s="16"/>
      <c r="RFN39" s="16"/>
      <c r="RFO39" s="16"/>
      <c r="RFP39" s="16"/>
      <c r="RFQ39" s="16"/>
      <c r="RFR39" s="16"/>
      <c r="RFS39" s="16"/>
      <c r="RFT39" s="16"/>
      <c r="RFU39" s="16"/>
      <c r="RFV39" s="16"/>
      <c r="RFW39" s="16"/>
      <c r="RFX39" s="16"/>
      <c r="RFY39" s="16"/>
      <c r="RFZ39" s="16"/>
      <c r="RGA39" s="16"/>
      <c r="RGB39" s="16"/>
      <c r="RGC39" s="16"/>
      <c r="RGD39" s="16"/>
      <c r="RGE39" s="16"/>
      <c r="RGF39" s="16"/>
      <c r="RGG39" s="16"/>
      <c r="RGH39" s="16"/>
      <c r="RGI39" s="16"/>
      <c r="RGJ39" s="16"/>
      <c r="RGK39" s="16"/>
      <c r="RGL39" s="16"/>
      <c r="RGM39" s="16"/>
      <c r="RGN39" s="16"/>
      <c r="RGO39" s="16"/>
      <c r="RGP39" s="16"/>
      <c r="RGQ39" s="16"/>
      <c r="RGR39" s="16"/>
      <c r="RGS39" s="16"/>
      <c r="RGT39" s="16"/>
      <c r="RGU39" s="16"/>
      <c r="RGV39" s="16"/>
      <c r="RGW39" s="16"/>
      <c r="RGX39" s="16"/>
      <c r="RGY39" s="16"/>
      <c r="RGZ39" s="16"/>
      <c r="RHA39" s="16"/>
      <c r="RHB39" s="16"/>
      <c r="RHC39" s="16"/>
      <c r="RHD39" s="16"/>
      <c r="RHE39" s="16"/>
      <c r="RHF39" s="16"/>
      <c r="RHG39" s="16"/>
      <c r="RHH39" s="16"/>
      <c r="RHI39" s="16"/>
      <c r="RHJ39" s="16"/>
      <c r="RHK39" s="16"/>
      <c r="RHL39" s="16"/>
      <c r="RHM39" s="16"/>
      <c r="RHN39" s="16"/>
      <c r="RHO39" s="16"/>
      <c r="RHP39" s="16"/>
      <c r="RHQ39" s="16"/>
      <c r="RHR39" s="16"/>
      <c r="RHS39" s="16"/>
      <c r="RHT39" s="16"/>
      <c r="RHU39" s="16"/>
      <c r="RHV39" s="16"/>
      <c r="RHW39" s="16"/>
      <c r="RHX39" s="16"/>
      <c r="RHY39" s="16"/>
      <c r="RHZ39" s="16"/>
      <c r="RIA39" s="16"/>
      <c r="RIB39" s="16"/>
      <c r="RIC39" s="16"/>
      <c r="RID39" s="16"/>
      <c r="RIE39" s="16"/>
      <c r="RIF39" s="16"/>
      <c r="RIG39" s="16"/>
      <c r="RIH39" s="16"/>
      <c r="RII39" s="16"/>
      <c r="RIJ39" s="16"/>
      <c r="RIK39" s="16"/>
      <c r="RIL39" s="16"/>
      <c r="RIM39" s="16"/>
      <c r="RIN39" s="16"/>
      <c r="RIO39" s="16"/>
      <c r="RIP39" s="16"/>
      <c r="RIQ39" s="16"/>
      <c r="RIR39" s="16"/>
      <c r="RIS39" s="16"/>
      <c r="RIT39" s="16"/>
      <c r="RIU39" s="16"/>
      <c r="RIV39" s="16"/>
      <c r="RIW39" s="16"/>
      <c r="RIX39" s="16"/>
      <c r="RIY39" s="16"/>
      <c r="RIZ39" s="16"/>
      <c r="RJA39" s="16"/>
      <c r="RJB39" s="16"/>
      <c r="RJC39" s="16"/>
      <c r="RJD39" s="16"/>
      <c r="RJE39" s="16"/>
      <c r="RJF39" s="16"/>
      <c r="RJG39" s="16"/>
      <c r="RJH39" s="16"/>
      <c r="RJI39" s="16"/>
      <c r="RJJ39" s="16"/>
      <c r="RJK39" s="16"/>
      <c r="RJL39" s="16"/>
      <c r="RJM39" s="16"/>
      <c r="RJN39" s="16"/>
      <c r="RJO39" s="16"/>
      <c r="RJP39" s="16"/>
      <c r="RJQ39" s="16"/>
      <c r="RJR39" s="16"/>
      <c r="RJS39" s="16"/>
      <c r="RJT39" s="16"/>
      <c r="RJU39" s="16"/>
      <c r="RJV39" s="16"/>
      <c r="RJW39" s="16"/>
      <c r="RJX39" s="16"/>
      <c r="RJY39" s="16"/>
      <c r="RJZ39" s="16"/>
      <c r="RKA39" s="16"/>
      <c r="RKB39" s="16"/>
      <c r="RKC39" s="16"/>
      <c r="RKD39" s="16"/>
      <c r="RKE39" s="16"/>
      <c r="RKF39" s="16"/>
      <c r="RKG39" s="16"/>
      <c r="RKH39" s="16"/>
      <c r="RKI39" s="16"/>
      <c r="RKJ39" s="16"/>
      <c r="RKK39" s="16"/>
      <c r="RKL39" s="16"/>
      <c r="RKM39" s="16"/>
      <c r="RKN39" s="16"/>
      <c r="RKO39" s="16"/>
      <c r="RKP39" s="16"/>
      <c r="RKQ39" s="16"/>
      <c r="RKR39" s="16"/>
      <c r="RKS39" s="16"/>
      <c r="RKT39" s="16"/>
      <c r="RKU39" s="16"/>
      <c r="RKV39" s="16"/>
      <c r="RKW39" s="16"/>
      <c r="RKX39" s="16"/>
      <c r="RKY39" s="16"/>
      <c r="RKZ39" s="16"/>
      <c r="RLA39" s="16"/>
      <c r="RLB39" s="16"/>
      <c r="RLC39" s="16"/>
      <c r="RLD39" s="16"/>
      <c r="RLE39" s="16"/>
      <c r="RLF39" s="16"/>
      <c r="RLG39" s="16"/>
      <c r="RLH39" s="16"/>
      <c r="RLI39" s="16"/>
      <c r="RLJ39" s="16"/>
      <c r="RLK39" s="16"/>
      <c r="RLL39" s="16"/>
      <c r="RLM39" s="16"/>
      <c r="RLN39" s="16"/>
      <c r="RLO39" s="16"/>
      <c r="RLP39" s="16"/>
      <c r="RLQ39" s="16"/>
      <c r="RLR39" s="16"/>
      <c r="RLS39" s="16"/>
      <c r="RLT39" s="16"/>
      <c r="RLU39" s="16"/>
      <c r="RLV39" s="16"/>
      <c r="RLW39" s="16"/>
      <c r="RLX39" s="16"/>
      <c r="RLY39" s="16"/>
      <c r="RLZ39" s="16"/>
      <c r="RMA39" s="16"/>
      <c r="RMB39" s="16"/>
      <c r="RMC39" s="16"/>
      <c r="RMD39" s="16"/>
      <c r="RME39" s="16"/>
      <c r="RMF39" s="16"/>
      <c r="RMG39" s="16"/>
      <c r="RMH39" s="16"/>
      <c r="RMI39" s="16"/>
      <c r="RMJ39" s="16"/>
      <c r="RMK39" s="16"/>
      <c r="RML39" s="16"/>
      <c r="RMM39" s="16"/>
      <c r="RMN39" s="16"/>
      <c r="RMO39" s="16"/>
      <c r="RMP39" s="16"/>
      <c r="RMQ39" s="16"/>
      <c r="RMR39" s="16"/>
      <c r="RMS39" s="16"/>
      <c r="RMT39" s="16"/>
      <c r="RMU39" s="16"/>
      <c r="RMV39" s="16"/>
      <c r="RMW39" s="16"/>
      <c r="RMX39" s="16"/>
      <c r="RMY39" s="16"/>
      <c r="RMZ39" s="16"/>
      <c r="RNA39" s="16"/>
      <c r="RNB39" s="16"/>
      <c r="RNC39" s="16"/>
      <c r="RND39" s="16"/>
      <c r="RNE39" s="16"/>
      <c r="RNF39" s="16"/>
      <c r="RNG39" s="16"/>
      <c r="RNH39" s="16"/>
      <c r="RNI39" s="16"/>
      <c r="RNJ39" s="16"/>
      <c r="RNK39" s="16"/>
      <c r="RNL39" s="16"/>
      <c r="RNM39" s="16"/>
      <c r="RNN39" s="16"/>
      <c r="RNO39" s="16"/>
      <c r="RNP39" s="16"/>
      <c r="RNQ39" s="16"/>
      <c r="RNR39" s="16"/>
      <c r="RNS39" s="16"/>
      <c r="RNT39" s="16"/>
      <c r="RNU39" s="16"/>
      <c r="RNV39" s="16"/>
      <c r="RNW39" s="16"/>
      <c r="RNX39" s="16"/>
      <c r="RNY39" s="16"/>
      <c r="RNZ39" s="16"/>
      <c r="ROA39" s="16"/>
      <c r="ROB39" s="16"/>
      <c r="ROC39" s="16"/>
      <c r="ROD39" s="16"/>
      <c r="ROE39" s="16"/>
      <c r="ROF39" s="16"/>
      <c r="ROG39" s="16"/>
      <c r="ROH39" s="16"/>
      <c r="ROI39" s="16"/>
      <c r="ROJ39" s="16"/>
      <c r="ROK39" s="16"/>
      <c r="ROL39" s="16"/>
      <c r="ROM39" s="16"/>
      <c r="RON39" s="16"/>
      <c r="ROO39" s="16"/>
      <c r="ROP39" s="16"/>
      <c r="ROQ39" s="16"/>
      <c r="ROR39" s="16"/>
      <c r="ROS39" s="16"/>
      <c r="ROT39" s="16"/>
      <c r="ROU39" s="16"/>
      <c r="ROV39" s="16"/>
      <c r="ROW39" s="16"/>
      <c r="ROX39" s="16"/>
      <c r="ROY39" s="16"/>
      <c r="ROZ39" s="16"/>
      <c r="RPA39" s="16"/>
      <c r="RPB39" s="16"/>
      <c r="RPC39" s="16"/>
      <c r="RPD39" s="16"/>
      <c r="RPE39" s="16"/>
      <c r="RPF39" s="16"/>
      <c r="RPG39" s="16"/>
      <c r="RPH39" s="16"/>
      <c r="RPI39" s="16"/>
      <c r="RPJ39" s="16"/>
      <c r="RPK39" s="16"/>
      <c r="RPL39" s="16"/>
      <c r="RPM39" s="16"/>
      <c r="RPN39" s="16"/>
      <c r="RPO39" s="16"/>
      <c r="RPP39" s="16"/>
      <c r="RPQ39" s="16"/>
      <c r="RPR39" s="16"/>
      <c r="RPS39" s="16"/>
      <c r="RPT39" s="16"/>
      <c r="RPU39" s="16"/>
      <c r="RPV39" s="16"/>
      <c r="RPW39" s="16"/>
      <c r="RPX39" s="16"/>
      <c r="RPY39" s="16"/>
      <c r="RPZ39" s="16"/>
      <c r="RQA39" s="16"/>
      <c r="RQB39" s="16"/>
      <c r="RQC39" s="16"/>
      <c r="RQD39" s="16"/>
      <c r="RQE39" s="16"/>
      <c r="RQF39" s="16"/>
      <c r="RQG39" s="16"/>
      <c r="RQH39" s="16"/>
      <c r="RQI39" s="16"/>
      <c r="RQJ39" s="16"/>
      <c r="RQK39" s="16"/>
      <c r="RQL39" s="16"/>
      <c r="RQM39" s="16"/>
      <c r="RQN39" s="16"/>
      <c r="RQO39" s="16"/>
      <c r="RQP39" s="16"/>
      <c r="RQQ39" s="16"/>
      <c r="RQR39" s="16"/>
      <c r="RQS39" s="16"/>
      <c r="RQT39" s="16"/>
      <c r="RQU39" s="16"/>
      <c r="RQV39" s="16"/>
      <c r="RQW39" s="16"/>
      <c r="RQX39" s="16"/>
      <c r="RQY39" s="16"/>
      <c r="RQZ39" s="16"/>
      <c r="RRA39" s="16"/>
      <c r="RRB39" s="16"/>
      <c r="RRC39" s="16"/>
      <c r="RRD39" s="16"/>
      <c r="RRE39" s="16"/>
      <c r="RRF39" s="16"/>
      <c r="RRG39" s="16"/>
      <c r="RRH39" s="16"/>
      <c r="RRI39" s="16"/>
      <c r="RRJ39" s="16"/>
      <c r="RRK39" s="16"/>
      <c r="RRL39" s="16"/>
      <c r="RRM39" s="16"/>
      <c r="RRN39" s="16"/>
      <c r="RRO39" s="16"/>
      <c r="RRP39" s="16"/>
      <c r="RRQ39" s="16"/>
      <c r="RRR39" s="16"/>
      <c r="RRS39" s="16"/>
      <c r="RRT39" s="16"/>
      <c r="RRU39" s="16"/>
      <c r="RRV39" s="16"/>
      <c r="RRW39" s="16"/>
      <c r="RRX39" s="16"/>
      <c r="RRY39" s="16"/>
      <c r="RRZ39" s="16"/>
      <c r="RSA39" s="16"/>
      <c r="RSB39" s="16"/>
      <c r="RSC39" s="16"/>
      <c r="RSD39" s="16"/>
      <c r="RSE39" s="16"/>
      <c r="RSF39" s="16"/>
      <c r="RSG39" s="16"/>
      <c r="RSH39" s="16"/>
      <c r="RSI39" s="16"/>
      <c r="RSJ39" s="16"/>
      <c r="RSK39" s="16"/>
      <c r="RSL39" s="16"/>
      <c r="RSM39" s="16"/>
      <c r="RSN39" s="16"/>
      <c r="RSO39" s="16"/>
      <c r="RSP39" s="16"/>
      <c r="RSQ39" s="16"/>
      <c r="RSR39" s="16"/>
      <c r="RSS39" s="16"/>
      <c r="RST39" s="16"/>
      <c r="RSU39" s="16"/>
      <c r="RSV39" s="16"/>
      <c r="RSW39" s="16"/>
      <c r="RSX39" s="16"/>
      <c r="RSY39" s="16"/>
      <c r="RSZ39" s="16"/>
      <c r="RTA39" s="16"/>
      <c r="RTB39" s="16"/>
      <c r="RTC39" s="16"/>
      <c r="RTD39" s="16"/>
      <c r="RTE39" s="16"/>
      <c r="RTF39" s="16"/>
      <c r="RTG39" s="16"/>
      <c r="RTH39" s="16"/>
      <c r="RTI39" s="16"/>
      <c r="RTJ39" s="16"/>
      <c r="RTK39" s="16"/>
      <c r="RTL39" s="16"/>
      <c r="RTM39" s="16"/>
      <c r="RTN39" s="16"/>
      <c r="RTO39" s="16"/>
      <c r="RTP39" s="16"/>
      <c r="RTQ39" s="16"/>
      <c r="RTR39" s="16"/>
      <c r="RTS39" s="16"/>
      <c r="RTT39" s="16"/>
      <c r="RTU39" s="16"/>
      <c r="RTV39" s="16"/>
      <c r="RTW39" s="16"/>
      <c r="RTX39" s="16"/>
      <c r="RTY39" s="16"/>
      <c r="RTZ39" s="16"/>
      <c r="RUA39" s="16"/>
      <c r="RUB39" s="16"/>
      <c r="RUC39" s="16"/>
      <c r="RUD39" s="16"/>
      <c r="RUE39" s="16"/>
      <c r="RUF39" s="16"/>
      <c r="RUG39" s="16"/>
      <c r="RUH39" s="16"/>
      <c r="RUI39" s="16"/>
      <c r="RUJ39" s="16"/>
      <c r="RUK39" s="16"/>
      <c r="RUL39" s="16"/>
      <c r="RUM39" s="16"/>
      <c r="RUN39" s="16"/>
      <c r="RUO39" s="16"/>
      <c r="RUP39" s="16"/>
      <c r="RUQ39" s="16"/>
      <c r="RUR39" s="16"/>
      <c r="RUS39" s="16"/>
      <c r="RUT39" s="16"/>
      <c r="RUU39" s="16"/>
      <c r="RUV39" s="16"/>
      <c r="RUW39" s="16"/>
      <c r="RUX39" s="16"/>
      <c r="RUY39" s="16"/>
      <c r="RUZ39" s="16"/>
      <c r="RVA39" s="16"/>
      <c r="RVB39" s="16"/>
      <c r="RVC39" s="16"/>
      <c r="RVD39" s="16"/>
      <c r="RVE39" s="16"/>
      <c r="RVF39" s="16"/>
      <c r="RVG39" s="16"/>
      <c r="RVH39" s="16"/>
      <c r="RVI39" s="16"/>
      <c r="RVJ39" s="16"/>
      <c r="RVK39" s="16"/>
      <c r="RVL39" s="16"/>
      <c r="RVM39" s="16"/>
      <c r="RVN39" s="16"/>
      <c r="RVO39" s="16"/>
      <c r="RVP39" s="16"/>
      <c r="RVQ39" s="16"/>
      <c r="RVR39" s="16"/>
      <c r="RVS39" s="16"/>
      <c r="RVT39" s="16"/>
      <c r="RVU39" s="16"/>
      <c r="RVV39" s="16"/>
      <c r="RVW39" s="16"/>
      <c r="RVX39" s="16"/>
      <c r="RVY39" s="16"/>
      <c r="RVZ39" s="16"/>
      <c r="RWA39" s="16"/>
      <c r="RWB39" s="16"/>
      <c r="RWC39" s="16"/>
      <c r="RWD39" s="16"/>
      <c r="RWE39" s="16"/>
      <c r="RWF39" s="16"/>
      <c r="RWG39" s="16"/>
      <c r="RWH39" s="16"/>
      <c r="RWI39" s="16"/>
      <c r="RWJ39" s="16"/>
      <c r="RWK39" s="16"/>
      <c r="RWL39" s="16"/>
      <c r="RWM39" s="16"/>
      <c r="RWN39" s="16"/>
      <c r="RWO39" s="16"/>
      <c r="RWP39" s="16"/>
      <c r="RWQ39" s="16"/>
      <c r="RWR39" s="16"/>
      <c r="RWS39" s="16"/>
      <c r="RWT39" s="16"/>
      <c r="RWU39" s="16"/>
      <c r="RWV39" s="16"/>
      <c r="RWW39" s="16"/>
      <c r="RWX39" s="16"/>
      <c r="RWY39" s="16"/>
      <c r="RWZ39" s="16"/>
      <c r="RXA39" s="16"/>
      <c r="RXB39" s="16"/>
      <c r="RXC39" s="16"/>
      <c r="RXD39" s="16"/>
      <c r="RXE39" s="16"/>
      <c r="RXF39" s="16"/>
      <c r="RXG39" s="16"/>
      <c r="RXH39" s="16"/>
      <c r="RXI39" s="16"/>
      <c r="RXJ39" s="16"/>
      <c r="RXK39" s="16"/>
      <c r="RXL39" s="16"/>
      <c r="RXM39" s="16"/>
      <c r="RXN39" s="16"/>
      <c r="RXO39" s="16"/>
      <c r="RXP39" s="16"/>
      <c r="RXQ39" s="16"/>
      <c r="RXR39" s="16"/>
      <c r="RXS39" s="16"/>
      <c r="RXT39" s="16"/>
      <c r="RXU39" s="16"/>
      <c r="RXV39" s="16"/>
      <c r="RXW39" s="16"/>
      <c r="RXX39" s="16"/>
      <c r="RXY39" s="16"/>
      <c r="RXZ39" s="16"/>
      <c r="RYA39" s="16"/>
      <c r="RYB39" s="16"/>
      <c r="RYC39" s="16"/>
      <c r="RYD39" s="16"/>
      <c r="RYE39" s="16"/>
      <c r="RYF39" s="16"/>
      <c r="RYG39" s="16"/>
      <c r="RYH39" s="16"/>
      <c r="RYI39" s="16"/>
      <c r="RYJ39" s="16"/>
      <c r="RYK39" s="16"/>
      <c r="RYL39" s="16"/>
      <c r="RYM39" s="16"/>
      <c r="RYN39" s="16"/>
      <c r="RYO39" s="16"/>
      <c r="RYP39" s="16"/>
      <c r="RYQ39" s="16"/>
      <c r="RYR39" s="16"/>
      <c r="RYS39" s="16"/>
      <c r="RYT39" s="16"/>
      <c r="RYU39" s="16"/>
      <c r="RYV39" s="16"/>
      <c r="RYW39" s="16"/>
      <c r="RYX39" s="16"/>
      <c r="RYY39" s="16"/>
      <c r="RYZ39" s="16"/>
      <c r="RZA39" s="16"/>
      <c r="RZB39" s="16"/>
      <c r="RZC39" s="16"/>
      <c r="RZD39" s="16"/>
      <c r="RZE39" s="16"/>
      <c r="RZF39" s="16"/>
      <c r="RZG39" s="16"/>
      <c r="RZH39" s="16"/>
      <c r="RZI39" s="16"/>
      <c r="RZJ39" s="16"/>
      <c r="RZK39" s="16"/>
      <c r="RZL39" s="16"/>
      <c r="RZM39" s="16"/>
      <c r="RZN39" s="16"/>
      <c r="RZO39" s="16"/>
      <c r="RZP39" s="16"/>
      <c r="RZQ39" s="16"/>
      <c r="RZR39" s="16"/>
      <c r="RZS39" s="16"/>
      <c r="RZT39" s="16"/>
      <c r="RZU39" s="16"/>
      <c r="RZV39" s="16"/>
      <c r="RZW39" s="16"/>
      <c r="RZX39" s="16"/>
      <c r="RZY39" s="16"/>
      <c r="RZZ39" s="16"/>
      <c r="SAA39" s="16"/>
      <c r="SAB39" s="16"/>
      <c r="SAC39" s="16"/>
      <c r="SAD39" s="16"/>
      <c r="SAE39" s="16"/>
      <c r="SAF39" s="16"/>
      <c r="SAG39" s="16"/>
      <c r="SAH39" s="16"/>
      <c r="SAI39" s="16"/>
      <c r="SAJ39" s="16"/>
      <c r="SAK39" s="16"/>
      <c r="SAL39" s="16"/>
      <c r="SAM39" s="16"/>
      <c r="SAN39" s="16"/>
      <c r="SAO39" s="16"/>
      <c r="SAP39" s="16"/>
      <c r="SAQ39" s="16"/>
      <c r="SAR39" s="16"/>
      <c r="SAS39" s="16"/>
      <c r="SAT39" s="16"/>
      <c r="SAU39" s="16"/>
      <c r="SAV39" s="16"/>
      <c r="SAW39" s="16"/>
      <c r="SAX39" s="16"/>
      <c r="SAY39" s="16"/>
      <c r="SAZ39" s="16"/>
      <c r="SBA39" s="16"/>
      <c r="SBB39" s="16"/>
      <c r="SBC39" s="16"/>
      <c r="SBD39" s="16"/>
      <c r="SBE39" s="16"/>
      <c r="SBF39" s="16"/>
      <c r="SBG39" s="16"/>
      <c r="SBH39" s="16"/>
      <c r="SBI39" s="16"/>
      <c r="SBJ39" s="16"/>
      <c r="SBK39" s="16"/>
      <c r="SBL39" s="16"/>
      <c r="SBM39" s="16"/>
      <c r="SBN39" s="16"/>
      <c r="SBO39" s="16"/>
      <c r="SBP39" s="16"/>
      <c r="SBQ39" s="16"/>
      <c r="SBR39" s="16"/>
      <c r="SBS39" s="16"/>
      <c r="SBT39" s="16"/>
      <c r="SBU39" s="16"/>
      <c r="SBV39" s="16"/>
      <c r="SBW39" s="16"/>
      <c r="SBX39" s="16"/>
      <c r="SBY39" s="16"/>
      <c r="SBZ39" s="16"/>
      <c r="SCA39" s="16"/>
      <c r="SCB39" s="16"/>
      <c r="SCC39" s="16"/>
      <c r="SCD39" s="16"/>
      <c r="SCE39" s="16"/>
      <c r="SCF39" s="16"/>
      <c r="SCG39" s="16"/>
      <c r="SCH39" s="16"/>
      <c r="SCI39" s="16"/>
      <c r="SCJ39" s="16"/>
      <c r="SCK39" s="16"/>
      <c r="SCL39" s="16"/>
      <c r="SCM39" s="16"/>
      <c r="SCN39" s="16"/>
      <c r="SCO39" s="16"/>
      <c r="SCP39" s="16"/>
      <c r="SCQ39" s="16"/>
      <c r="SCR39" s="16"/>
      <c r="SCS39" s="16"/>
      <c r="SCT39" s="16"/>
      <c r="SCU39" s="16"/>
      <c r="SCV39" s="16"/>
      <c r="SCW39" s="16"/>
      <c r="SCX39" s="16"/>
      <c r="SCY39" s="16"/>
      <c r="SCZ39" s="16"/>
      <c r="SDA39" s="16"/>
      <c r="SDB39" s="16"/>
      <c r="SDC39" s="16"/>
      <c r="SDD39" s="16"/>
      <c r="SDE39" s="16"/>
      <c r="SDF39" s="16"/>
      <c r="SDG39" s="16"/>
      <c r="SDH39" s="16"/>
      <c r="SDI39" s="16"/>
      <c r="SDJ39" s="16"/>
      <c r="SDK39" s="16"/>
      <c r="SDL39" s="16"/>
      <c r="SDM39" s="16"/>
      <c r="SDN39" s="16"/>
      <c r="SDO39" s="16"/>
      <c r="SDP39" s="16"/>
      <c r="SDQ39" s="16"/>
      <c r="SDR39" s="16"/>
      <c r="SDS39" s="16"/>
      <c r="SDT39" s="16"/>
      <c r="SDU39" s="16"/>
      <c r="SDV39" s="16"/>
      <c r="SDW39" s="16"/>
      <c r="SDX39" s="16"/>
      <c r="SDY39" s="16"/>
      <c r="SDZ39" s="16"/>
      <c r="SEA39" s="16"/>
      <c r="SEB39" s="16"/>
      <c r="SEC39" s="16"/>
      <c r="SED39" s="16"/>
      <c r="SEE39" s="16"/>
      <c r="SEF39" s="16"/>
      <c r="SEG39" s="16"/>
      <c r="SEH39" s="16"/>
      <c r="SEI39" s="16"/>
      <c r="SEJ39" s="16"/>
      <c r="SEK39" s="16"/>
      <c r="SEL39" s="16"/>
      <c r="SEM39" s="16"/>
      <c r="SEN39" s="16"/>
      <c r="SEO39" s="16"/>
      <c r="SEP39" s="16"/>
      <c r="SEQ39" s="16"/>
      <c r="SER39" s="16"/>
      <c r="SES39" s="16"/>
      <c r="SET39" s="16"/>
      <c r="SEU39" s="16"/>
      <c r="SEV39" s="16"/>
      <c r="SEW39" s="16"/>
      <c r="SEX39" s="16"/>
      <c r="SEY39" s="16"/>
      <c r="SEZ39" s="16"/>
      <c r="SFA39" s="16"/>
      <c r="SFB39" s="16"/>
      <c r="SFC39" s="16"/>
      <c r="SFD39" s="16"/>
      <c r="SFE39" s="16"/>
      <c r="SFF39" s="16"/>
      <c r="SFG39" s="16"/>
      <c r="SFH39" s="16"/>
      <c r="SFI39" s="16"/>
      <c r="SFJ39" s="16"/>
      <c r="SFK39" s="16"/>
      <c r="SFL39" s="16"/>
      <c r="SFM39" s="16"/>
      <c r="SFN39" s="16"/>
      <c r="SFO39" s="16"/>
      <c r="SFP39" s="16"/>
      <c r="SFQ39" s="16"/>
      <c r="SFR39" s="16"/>
      <c r="SFS39" s="16"/>
      <c r="SFT39" s="16"/>
      <c r="SFU39" s="16"/>
      <c r="SFV39" s="16"/>
      <c r="SFW39" s="16"/>
      <c r="SFX39" s="16"/>
      <c r="SFY39" s="16"/>
      <c r="SFZ39" s="16"/>
      <c r="SGA39" s="16"/>
      <c r="SGB39" s="16"/>
      <c r="SGC39" s="16"/>
      <c r="SGD39" s="16"/>
      <c r="SGE39" s="16"/>
      <c r="SGF39" s="16"/>
      <c r="SGG39" s="16"/>
      <c r="SGH39" s="16"/>
      <c r="SGI39" s="16"/>
      <c r="SGJ39" s="16"/>
      <c r="SGK39" s="16"/>
      <c r="SGL39" s="16"/>
      <c r="SGM39" s="16"/>
      <c r="SGN39" s="16"/>
      <c r="SGO39" s="16"/>
      <c r="SGP39" s="16"/>
      <c r="SGQ39" s="16"/>
      <c r="SGR39" s="16"/>
      <c r="SGS39" s="16"/>
      <c r="SGT39" s="16"/>
      <c r="SGU39" s="16"/>
      <c r="SGV39" s="16"/>
      <c r="SGW39" s="16"/>
      <c r="SGX39" s="16"/>
      <c r="SGY39" s="16"/>
      <c r="SGZ39" s="16"/>
      <c r="SHA39" s="16"/>
      <c r="SHB39" s="16"/>
      <c r="SHC39" s="16"/>
      <c r="SHD39" s="16"/>
      <c r="SHE39" s="16"/>
      <c r="SHF39" s="16"/>
      <c r="SHG39" s="16"/>
      <c r="SHH39" s="16"/>
      <c r="SHI39" s="16"/>
      <c r="SHJ39" s="16"/>
      <c r="SHK39" s="16"/>
      <c r="SHL39" s="16"/>
      <c r="SHM39" s="16"/>
      <c r="SHN39" s="16"/>
      <c r="SHO39" s="16"/>
      <c r="SHP39" s="16"/>
      <c r="SHQ39" s="16"/>
      <c r="SHR39" s="16"/>
      <c r="SHS39" s="16"/>
      <c r="SHT39" s="16"/>
      <c r="SHU39" s="16"/>
      <c r="SHV39" s="16"/>
      <c r="SHW39" s="16"/>
      <c r="SHX39" s="16"/>
      <c r="SHY39" s="16"/>
      <c r="SHZ39" s="16"/>
      <c r="SIA39" s="16"/>
      <c r="SIB39" s="16"/>
      <c r="SIC39" s="16"/>
      <c r="SID39" s="16"/>
      <c r="SIE39" s="16"/>
      <c r="SIF39" s="16"/>
      <c r="SIG39" s="16"/>
      <c r="SIH39" s="16"/>
      <c r="SII39" s="16"/>
      <c r="SIJ39" s="16"/>
      <c r="SIK39" s="16"/>
      <c r="SIL39" s="16"/>
      <c r="SIM39" s="16"/>
      <c r="SIN39" s="16"/>
      <c r="SIO39" s="16"/>
      <c r="SIP39" s="16"/>
      <c r="SIQ39" s="16"/>
      <c r="SIR39" s="16"/>
      <c r="SIS39" s="16"/>
      <c r="SIT39" s="16"/>
      <c r="SIU39" s="16"/>
      <c r="SIV39" s="16"/>
      <c r="SIW39" s="16"/>
      <c r="SIX39" s="16"/>
      <c r="SIY39" s="16"/>
      <c r="SIZ39" s="16"/>
      <c r="SJA39" s="16"/>
      <c r="SJB39" s="16"/>
      <c r="SJC39" s="16"/>
      <c r="SJD39" s="16"/>
      <c r="SJE39" s="16"/>
      <c r="SJF39" s="16"/>
      <c r="SJG39" s="16"/>
      <c r="SJH39" s="16"/>
      <c r="SJI39" s="16"/>
      <c r="SJJ39" s="16"/>
      <c r="SJK39" s="16"/>
      <c r="SJL39" s="16"/>
      <c r="SJM39" s="16"/>
      <c r="SJN39" s="16"/>
      <c r="SJO39" s="16"/>
      <c r="SJP39" s="16"/>
      <c r="SJQ39" s="16"/>
      <c r="SJR39" s="16"/>
      <c r="SJS39" s="16"/>
      <c r="SJT39" s="16"/>
      <c r="SJU39" s="16"/>
      <c r="SJV39" s="16"/>
      <c r="SJW39" s="16"/>
      <c r="SJX39" s="16"/>
      <c r="SJY39" s="16"/>
      <c r="SJZ39" s="16"/>
      <c r="SKA39" s="16"/>
      <c r="SKB39" s="16"/>
      <c r="SKC39" s="16"/>
      <c r="SKD39" s="16"/>
      <c r="SKE39" s="16"/>
      <c r="SKF39" s="16"/>
      <c r="SKG39" s="16"/>
      <c r="SKH39" s="16"/>
      <c r="SKI39" s="16"/>
      <c r="SKJ39" s="16"/>
      <c r="SKK39" s="16"/>
      <c r="SKL39" s="16"/>
      <c r="SKM39" s="16"/>
      <c r="SKN39" s="16"/>
      <c r="SKO39" s="16"/>
      <c r="SKP39" s="16"/>
      <c r="SKQ39" s="16"/>
      <c r="SKR39" s="16"/>
      <c r="SKS39" s="16"/>
      <c r="SKT39" s="16"/>
      <c r="SKU39" s="16"/>
      <c r="SKV39" s="16"/>
      <c r="SKW39" s="16"/>
      <c r="SKX39" s="16"/>
      <c r="SKY39" s="16"/>
      <c r="SKZ39" s="16"/>
      <c r="SLA39" s="16"/>
      <c r="SLB39" s="16"/>
      <c r="SLC39" s="16"/>
      <c r="SLD39" s="16"/>
      <c r="SLE39" s="16"/>
      <c r="SLF39" s="16"/>
      <c r="SLG39" s="16"/>
      <c r="SLH39" s="16"/>
      <c r="SLI39" s="16"/>
      <c r="SLJ39" s="16"/>
      <c r="SLK39" s="16"/>
      <c r="SLL39" s="16"/>
      <c r="SLM39" s="16"/>
      <c r="SLN39" s="16"/>
      <c r="SLO39" s="16"/>
      <c r="SLP39" s="16"/>
      <c r="SLQ39" s="16"/>
      <c r="SLR39" s="16"/>
      <c r="SLS39" s="16"/>
      <c r="SLT39" s="16"/>
      <c r="SLU39" s="16"/>
      <c r="SLV39" s="16"/>
      <c r="SLW39" s="16"/>
      <c r="SLX39" s="16"/>
      <c r="SLY39" s="16"/>
      <c r="SLZ39" s="16"/>
      <c r="SMA39" s="16"/>
      <c r="SMB39" s="16"/>
      <c r="SMC39" s="16"/>
      <c r="SMD39" s="16"/>
      <c r="SME39" s="16"/>
      <c r="SMF39" s="16"/>
      <c r="SMG39" s="16"/>
      <c r="SMH39" s="16"/>
      <c r="SMI39" s="16"/>
      <c r="SMJ39" s="16"/>
      <c r="SMK39" s="16"/>
      <c r="SML39" s="16"/>
      <c r="SMM39" s="16"/>
      <c r="SMN39" s="16"/>
      <c r="SMO39" s="16"/>
      <c r="SMP39" s="16"/>
      <c r="SMQ39" s="16"/>
      <c r="SMR39" s="16"/>
      <c r="SMS39" s="16"/>
      <c r="SMT39" s="16"/>
      <c r="SMU39" s="16"/>
      <c r="SMV39" s="16"/>
      <c r="SMW39" s="16"/>
      <c r="SMX39" s="16"/>
      <c r="SMY39" s="16"/>
      <c r="SMZ39" s="16"/>
      <c r="SNA39" s="16"/>
      <c r="SNB39" s="16"/>
      <c r="SNC39" s="16"/>
      <c r="SND39" s="16"/>
      <c r="SNE39" s="16"/>
      <c r="SNF39" s="16"/>
      <c r="SNG39" s="16"/>
      <c r="SNH39" s="16"/>
      <c r="SNI39" s="16"/>
      <c r="SNJ39" s="16"/>
      <c r="SNK39" s="16"/>
      <c r="SNL39" s="16"/>
      <c r="SNM39" s="16"/>
      <c r="SNN39" s="16"/>
      <c r="SNO39" s="16"/>
      <c r="SNP39" s="16"/>
      <c r="SNQ39" s="16"/>
      <c r="SNR39" s="16"/>
      <c r="SNS39" s="16"/>
      <c r="SNT39" s="16"/>
      <c r="SNU39" s="16"/>
      <c r="SNV39" s="16"/>
      <c r="SNW39" s="16"/>
      <c r="SNX39" s="16"/>
      <c r="SNY39" s="16"/>
      <c r="SNZ39" s="16"/>
      <c r="SOA39" s="16"/>
      <c r="SOB39" s="16"/>
      <c r="SOC39" s="16"/>
      <c r="SOD39" s="16"/>
      <c r="SOE39" s="16"/>
      <c r="SOF39" s="16"/>
      <c r="SOG39" s="16"/>
      <c r="SOH39" s="16"/>
      <c r="SOI39" s="16"/>
      <c r="SOJ39" s="16"/>
      <c r="SOK39" s="16"/>
      <c r="SOL39" s="16"/>
      <c r="SOM39" s="16"/>
      <c r="SON39" s="16"/>
      <c r="SOO39" s="16"/>
      <c r="SOP39" s="16"/>
      <c r="SOQ39" s="16"/>
      <c r="SOR39" s="16"/>
      <c r="SOS39" s="16"/>
      <c r="SOT39" s="16"/>
      <c r="SOU39" s="16"/>
      <c r="SOV39" s="16"/>
      <c r="SOW39" s="16"/>
      <c r="SOX39" s="16"/>
      <c r="SOY39" s="16"/>
      <c r="SOZ39" s="16"/>
      <c r="SPA39" s="16"/>
      <c r="SPB39" s="16"/>
      <c r="SPC39" s="16"/>
      <c r="SPD39" s="16"/>
      <c r="SPE39" s="16"/>
      <c r="SPF39" s="16"/>
      <c r="SPG39" s="16"/>
      <c r="SPH39" s="16"/>
      <c r="SPI39" s="16"/>
      <c r="SPJ39" s="16"/>
      <c r="SPK39" s="16"/>
      <c r="SPL39" s="16"/>
      <c r="SPM39" s="16"/>
      <c r="SPN39" s="16"/>
      <c r="SPO39" s="16"/>
      <c r="SPP39" s="16"/>
      <c r="SPQ39" s="16"/>
      <c r="SPR39" s="16"/>
      <c r="SPS39" s="16"/>
      <c r="SPT39" s="16"/>
      <c r="SPU39" s="16"/>
      <c r="SPV39" s="16"/>
      <c r="SPW39" s="16"/>
      <c r="SPX39" s="16"/>
      <c r="SPY39" s="16"/>
      <c r="SPZ39" s="16"/>
      <c r="SQA39" s="16"/>
      <c r="SQB39" s="16"/>
      <c r="SQC39" s="16"/>
      <c r="SQD39" s="16"/>
      <c r="SQE39" s="16"/>
      <c r="SQF39" s="16"/>
      <c r="SQG39" s="16"/>
      <c r="SQH39" s="16"/>
      <c r="SQI39" s="16"/>
      <c r="SQJ39" s="16"/>
      <c r="SQK39" s="16"/>
      <c r="SQL39" s="16"/>
      <c r="SQM39" s="16"/>
      <c r="SQN39" s="16"/>
      <c r="SQO39" s="16"/>
      <c r="SQP39" s="16"/>
      <c r="SQQ39" s="16"/>
      <c r="SQR39" s="16"/>
      <c r="SQS39" s="16"/>
      <c r="SQT39" s="16"/>
      <c r="SQU39" s="16"/>
      <c r="SQV39" s="16"/>
      <c r="SQW39" s="16"/>
      <c r="SQX39" s="16"/>
      <c r="SQY39" s="16"/>
      <c r="SQZ39" s="16"/>
      <c r="SRA39" s="16"/>
      <c r="SRB39" s="16"/>
      <c r="SRC39" s="16"/>
      <c r="SRD39" s="16"/>
      <c r="SRE39" s="16"/>
      <c r="SRF39" s="16"/>
      <c r="SRG39" s="16"/>
      <c r="SRH39" s="16"/>
      <c r="SRI39" s="16"/>
      <c r="SRJ39" s="16"/>
      <c r="SRK39" s="16"/>
      <c r="SRL39" s="16"/>
      <c r="SRM39" s="16"/>
      <c r="SRN39" s="16"/>
      <c r="SRO39" s="16"/>
      <c r="SRP39" s="16"/>
      <c r="SRQ39" s="16"/>
      <c r="SRR39" s="16"/>
      <c r="SRS39" s="16"/>
      <c r="SRT39" s="16"/>
      <c r="SRU39" s="16"/>
      <c r="SRV39" s="16"/>
      <c r="SRW39" s="16"/>
      <c r="SRX39" s="16"/>
      <c r="SRY39" s="16"/>
      <c r="SRZ39" s="16"/>
      <c r="SSA39" s="16"/>
      <c r="SSB39" s="16"/>
      <c r="SSC39" s="16"/>
      <c r="SSD39" s="16"/>
      <c r="SSE39" s="16"/>
      <c r="SSF39" s="16"/>
      <c r="SSG39" s="16"/>
      <c r="SSH39" s="16"/>
      <c r="SSI39" s="16"/>
      <c r="SSJ39" s="16"/>
      <c r="SSK39" s="16"/>
      <c r="SSL39" s="16"/>
      <c r="SSM39" s="16"/>
      <c r="SSN39" s="16"/>
      <c r="SSO39" s="16"/>
      <c r="SSP39" s="16"/>
      <c r="SSQ39" s="16"/>
      <c r="SSR39" s="16"/>
      <c r="SSS39" s="16"/>
      <c r="SST39" s="16"/>
      <c r="SSU39" s="16"/>
      <c r="SSV39" s="16"/>
      <c r="SSW39" s="16"/>
      <c r="SSX39" s="16"/>
      <c r="SSY39" s="16"/>
      <c r="SSZ39" s="16"/>
      <c r="STA39" s="16"/>
      <c r="STB39" s="16"/>
      <c r="STC39" s="16"/>
      <c r="STD39" s="16"/>
      <c r="STE39" s="16"/>
      <c r="STF39" s="16"/>
      <c r="STG39" s="16"/>
      <c r="STH39" s="16"/>
      <c r="STI39" s="16"/>
      <c r="STJ39" s="16"/>
      <c r="STK39" s="16"/>
      <c r="STL39" s="16"/>
      <c r="STM39" s="16"/>
      <c r="STN39" s="16"/>
      <c r="STO39" s="16"/>
      <c r="STP39" s="16"/>
      <c r="STQ39" s="16"/>
      <c r="STR39" s="16"/>
      <c r="STS39" s="16"/>
      <c r="STT39" s="16"/>
      <c r="STU39" s="16"/>
      <c r="STV39" s="16"/>
      <c r="STW39" s="16"/>
      <c r="STX39" s="16"/>
      <c r="STY39" s="16"/>
      <c r="STZ39" s="16"/>
      <c r="SUA39" s="16"/>
      <c r="SUB39" s="16"/>
      <c r="SUC39" s="16"/>
      <c r="SUD39" s="16"/>
      <c r="SUE39" s="16"/>
      <c r="SUF39" s="16"/>
      <c r="SUG39" s="16"/>
      <c r="SUH39" s="16"/>
      <c r="SUI39" s="16"/>
      <c r="SUJ39" s="16"/>
      <c r="SUK39" s="16"/>
      <c r="SUL39" s="16"/>
      <c r="SUM39" s="16"/>
      <c r="SUN39" s="16"/>
      <c r="SUO39" s="16"/>
      <c r="SUP39" s="16"/>
      <c r="SUQ39" s="16"/>
      <c r="SUR39" s="16"/>
      <c r="SUS39" s="16"/>
      <c r="SUT39" s="16"/>
      <c r="SUU39" s="16"/>
      <c r="SUV39" s="16"/>
      <c r="SUW39" s="16"/>
      <c r="SUX39" s="16"/>
      <c r="SUY39" s="16"/>
      <c r="SUZ39" s="16"/>
      <c r="SVA39" s="16"/>
      <c r="SVB39" s="16"/>
      <c r="SVC39" s="16"/>
      <c r="SVD39" s="16"/>
      <c r="SVE39" s="16"/>
      <c r="SVF39" s="16"/>
      <c r="SVG39" s="16"/>
      <c r="SVH39" s="16"/>
      <c r="SVI39" s="16"/>
      <c r="SVJ39" s="16"/>
      <c r="SVK39" s="16"/>
      <c r="SVL39" s="16"/>
      <c r="SVM39" s="16"/>
      <c r="SVN39" s="16"/>
      <c r="SVO39" s="16"/>
      <c r="SVP39" s="16"/>
      <c r="SVQ39" s="16"/>
      <c r="SVR39" s="16"/>
      <c r="SVS39" s="16"/>
      <c r="SVT39" s="16"/>
      <c r="SVU39" s="16"/>
      <c r="SVV39" s="16"/>
      <c r="SVW39" s="16"/>
      <c r="SVX39" s="16"/>
      <c r="SVY39" s="16"/>
      <c r="SVZ39" s="16"/>
      <c r="SWA39" s="16"/>
      <c r="SWB39" s="16"/>
      <c r="SWC39" s="16"/>
      <c r="SWD39" s="16"/>
      <c r="SWE39" s="16"/>
      <c r="SWF39" s="16"/>
      <c r="SWG39" s="16"/>
      <c r="SWH39" s="16"/>
      <c r="SWI39" s="16"/>
      <c r="SWJ39" s="16"/>
      <c r="SWK39" s="16"/>
      <c r="SWL39" s="16"/>
      <c r="SWM39" s="16"/>
      <c r="SWN39" s="16"/>
      <c r="SWO39" s="16"/>
      <c r="SWP39" s="16"/>
      <c r="SWQ39" s="16"/>
      <c r="SWR39" s="16"/>
      <c r="SWS39" s="16"/>
      <c r="SWT39" s="16"/>
      <c r="SWU39" s="16"/>
      <c r="SWV39" s="16"/>
      <c r="SWW39" s="16"/>
      <c r="SWX39" s="16"/>
      <c r="SWY39" s="16"/>
      <c r="SWZ39" s="16"/>
      <c r="SXA39" s="16"/>
      <c r="SXB39" s="16"/>
      <c r="SXC39" s="16"/>
      <c r="SXD39" s="16"/>
      <c r="SXE39" s="16"/>
      <c r="SXF39" s="16"/>
      <c r="SXG39" s="16"/>
      <c r="SXH39" s="16"/>
      <c r="SXI39" s="16"/>
      <c r="SXJ39" s="16"/>
      <c r="SXK39" s="16"/>
      <c r="SXL39" s="16"/>
      <c r="SXM39" s="16"/>
      <c r="SXN39" s="16"/>
      <c r="SXO39" s="16"/>
      <c r="SXP39" s="16"/>
      <c r="SXQ39" s="16"/>
      <c r="SXR39" s="16"/>
      <c r="SXS39" s="16"/>
      <c r="SXT39" s="16"/>
      <c r="SXU39" s="16"/>
      <c r="SXV39" s="16"/>
      <c r="SXW39" s="16"/>
      <c r="SXX39" s="16"/>
      <c r="SXY39" s="16"/>
      <c r="SXZ39" s="16"/>
      <c r="SYA39" s="16"/>
      <c r="SYB39" s="16"/>
      <c r="SYC39" s="16"/>
      <c r="SYD39" s="16"/>
      <c r="SYE39" s="16"/>
      <c r="SYF39" s="16"/>
      <c r="SYG39" s="16"/>
      <c r="SYH39" s="16"/>
      <c r="SYI39" s="16"/>
      <c r="SYJ39" s="16"/>
      <c r="SYK39" s="16"/>
      <c r="SYL39" s="16"/>
      <c r="SYM39" s="16"/>
      <c r="SYN39" s="16"/>
      <c r="SYO39" s="16"/>
      <c r="SYP39" s="16"/>
      <c r="SYQ39" s="16"/>
      <c r="SYR39" s="16"/>
      <c r="SYS39" s="16"/>
      <c r="SYT39" s="16"/>
      <c r="SYU39" s="16"/>
      <c r="SYV39" s="16"/>
      <c r="SYW39" s="16"/>
      <c r="SYX39" s="16"/>
      <c r="SYY39" s="16"/>
      <c r="SYZ39" s="16"/>
      <c r="SZA39" s="16"/>
      <c r="SZB39" s="16"/>
      <c r="SZC39" s="16"/>
      <c r="SZD39" s="16"/>
      <c r="SZE39" s="16"/>
      <c r="SZF39" s="16"/>
      <c r="SZG39" s="16"/>
      <c r="SZH39" s="16"/>
      <c r="SZI39" s="16"/>
      <c r="SZJ39" s="16"/>
      <c r="SZK39" s="16"/>
      <c r="SZL39" s="16"/>
      <c r="SZM39" s="16"/>
      <c r="SZN39" s="16"/>
      <c r="SZO39" s="16"/>
      <c r="SZP39" s="16"/>
      <c r="SZQ39" s="16"/>
      <c r="SZR39" s="16"/>
      <c r="SZS39" s="16"/>
      <c r="SZT39" s="16"/>
      <c r="SZU39" s="16"/>
      <c r="SZV39" s="16"/>
      <c r="SZW39" s="16"/>
      <c r="SZX39" s="16"/>
      <c r="SZY39" s="16"/>
      <c r="SZZ39" s="16"/>
      <c r="TAA39" s="16"/>
      <c r="TAB39" s="16"/>
      <c r="TAC39" s="16"/>
      <c r="TAD39" s="16"/>
      <c r="TAE39" s="16"/>
      <c r="TAF39" s="16"/>
      <c r="TAG39" s="16"/>
      <c r="TAH39" s="16"/>
      <c r="TAI39" s="16"/>
      <c r="TAJ39" s="16"/>
      <c r="TAK39" s="16"/>
      <c r="TAL39" s="16"/>
      <c r="TAM39" s="16"/>
      <c r="TAN39" s="16"/>
      <c r="TAO39" s="16"/>
      <c r="TAP39" s="16"/>
      <c r="TAQ39" s="16"/>
      <c r="TAR39" s="16"/>
      <c r="TAS39" s="16"/>
      <c r="TAT39" s="16"/>
      <c r="TAU39" s="16"/>
      <c r="TAV39" s="16"/>
      <c r="TAW39" s="16"/>
      <c r="TAX39" s="16"/>
      <c r="TAY39" s="16"/>
      <c r="TAZ39" s="16"/>
      <c r="TBA39" s="16"/>
      <c r="TBB39" s="16"/>
      <c r="TBC39" s="16"/>
      <c r="TBD39" s="16"/>
      <c r="TBE39" s="16"/>
      <c r="TBF39" s="16"/>
      <c r="TBG39" s="16"/>
      <c r="TBH39" s="16"/>
      <c r="TBI39" s="16"/>
      <c r="TBJ39" s="16"/>
      <c r="TBK39" s="16"/>
      <c r="TBL39" s="16"/>
      <c r="TBM39" s="16"/>
      <c r="TBN39" s="16"/>
      <c r="TBO39" s="16"/>
      <c r="TBP39" s="16"/>
      <c r="TBQ39" s="16"/>
      <c r="TBR39" s="16"/>
      <c r="TBS39" s="16"/>
      <c r="TBT39" s="16"/>
      <c r="TBU39" s="16"/>
      <c r="TBV39" s="16"/>
      <c r="TBW39" s="16"/>
      <c r="TBX39" s="16"/>
      <c r="TBY39" s="16"/>
      <c r="TBZ39" s="16"/>
      <c r="TCA39" s="16"/>
      <c r="TCB39" s="16"/>
      <c r="TCC39" s="16"/>
      <c r="TCD39" s="16"/>
      <c r="TCE39" s="16"/>
      <c r="TCF39" s="16"/>
      <c r="TCG39" s="16"/>
      <c r="TCH39" s="16"/>
      <c r="TCI39" s="16"/>
      <c r="TCJ39" s="16"/>
      <c r="TCK39" s="16"/>
      <c r="TCL39" s="16"/>
      <c r="TCM39" s="16"/>
      <c r="TCN39" s="16"/>
      <c r="TCO39" s="16"/>
      <c r="TCP39" s="16"/>
      <c r="TCQ39" s="16"/>
      <c r="TCR39" s="16"/>
      <c r="TCS39" s="16"/>
      <c r="TCT39" s="16"/>
      <c r="TCU39" s="16"/>
      <c r="TCV39" s="16"/>
      <c r="TCW39" s="16"/>
      <c r="TCX39" s="16"/>
      <c r="TCY39" s="16"/>
      <c r="TCZ39" s="16"/>
      <c r="TDA39" s="16"/>
      <c r="TDB39" s="16"/>
      <c r="TDC39" s="16"/>
      <c r="TDD39" s="16"/>
      <c r="TDE39" s="16"/>
      <c r="TDF39" s="16"/>
      <c r="TDG39" s="16"/>
      <c r="TDH39" s="16"/>
      <c r="TDI39" s="16"/>
      <c r="TDJ39" s="16"/>
      <c r="TDK39" s="16"/>
      <c r="TDL39" s="16"/>
      <c r="TDM39" s="16"/>
      <c r="TDN39" s="16"/>
      <c r="TDO39" s="16"/>
      <c r="TDP39" s="16"/>
      <c r="TDQ39" s="16"/>
      <c r="TDR39" s="16"/>
      <c r="TDS39" s="16"/>
      <c r="TDT39" s="16"/>
      <c r="TDU39" s="16"/>
      <c r="TDV39" s="16"/>
      <c r="TDW39" s="16"/>
      <c r="TDX39" s="16"/>
      <c r="TDY39" s="16"/>
      <c r="TDZ39" s="16"/>
      <c r="TEA39" s="16"/>
      <c r="TEB39" s="16"/>
      <c r="TEC39" s="16"/>
      <c r="TED39" s="16"/>
      <c r="TEE39" s="16"/>
      <c r="TEF39" s="16"/>
      <c r="TEG39" s="16"/>
      <c r="TEH39" s="16"/>
      <c r="TEI39" s="16"/>
      <c r="TEJ39" s="16"/>
      <c r="TEK39" s="16"/>
      <c r="TEL39" s="16"/>
      <c r="TEM39" s="16"/>
      <c r="TEN39" s="16"/>
      <c r="TEO39" s="16"/>
      <c r="TEP39" s="16"/>
      <c r="TEQ39" s="16"/>
      <c r="TER39" s="16"/>
      <c r="TES39" s="16"/>
      <c r="TET39" s="16"/>
      <c r="TEU39" s="16"/>
      <c r="TEV39" s="16"/>
      <c r="TEW39" s="16"/>
      <c r="TEX39" s="16"/>
      <c r="TEY39" s="16"/>
      <c r="TEZ39" s="16"/>
      <c r="TFA39" s="16"/>
      <c r="TFB39" s="16"/>
      <c r="TFC39" s="16"/>
      <c r="TFD39" s="16"/>
      <c r="TFE39" s="16"/>
      <c r="TFF39" s="16"/>
      <c r="TFG39" s="16"/>
      <c r="TFH39" s="16"/>
      <c r="TFI39" s="16"/>
      <c r="TFJ39" s="16"/>
      <c r="TFK39" s="16"/>
      <c r="TFL39" s="16"/>
      <c r="TFM39" s="16"/>
      <c r="TFN39" s="16"/>
      <c r="TFO39" s="16"/>
      <c r="TFP39" s="16"/>
      <c r="TFQ39" s="16"/>
      <c r="TFR39" s="16"/>
      <c r="TFS39" s="16"/>
      <c r="TFT39" s="16"/>
      <c r="TFU39" s="16"/>
      <c r="TFV39" s="16"/>
      <c r="TFW39" s="16"/>
      <c r="TFX39" s="16"/>
      <c r="TFY39" s="16"/>
      <c r="TFZ39" s="16"/>
      <c r="TGA39" s="16"/>
      <c r="TGB39" s="16"/>
      <c r="TGC39" s="16"/>
      <c r="TGD39" s="16"/>
      <c r="TGE39" s="16"/>
      <c r="TGF39" s="16"/>
      <c r="TGG39" s="16"/>
      <c r="TGH39" s="16"/>
      <c r="TGI39" s="16"/>
      <c r="TGJ39" s="16"/>
      <c r="TGK39" s="16"/>
      <c r="TGL39" s="16"/>
      <c r="TGM39" s="16"/>
      <c r="TGN39" s="16"/>
      <c r="TGO39" s="16"/>
      <c r="TGP39" s="16"/>
      <c r="TGQ39" s="16"/>
      <c r="TGR39" s="16"/>
      <c r="TGS39" s="16"/>
      <c r="TGT39" s="16"/>
      <c r="TGU39" s="16"/>
      <c r="TGV39" s="16"/>
      <c r="TGW39" s="16"/>
      <c r="TGX39" s="16"/>
      <c r="TGY39" s="16"/>
      <c r="TGZ39" s="16"/>
      <c r="THA39" s="16"/>
      <c r="THB39" s="16"/>
      <c r="THC39" s="16"/>
      <c r="THD39" s="16"/>
      <c r="THE39" s="16"/>
      <c r="THF39" s="16"/>
      <c r="THG39" s="16"/>
      <c r="THH39" s="16"/>
      <c r="THI39" s="16"/>
      <c r="THJ39" s="16"/>
      <c r="THK39" s="16"/>
      <c r="THL39" s="16"/>
      <c r="THM39" s="16"/>
      <c r="THN39" s="16"/>
      <c r="THO39" s="16"/>
      <c r="THP39" s="16"/>
      <c r="THQ39" s="16"/>
      <c r="THR39" s="16"/>
      <c r="THS39" s="16"/>
      <c r="THT39" s="16"/>
      <c r="THU39" s="16"/>
      <c r="THV39" s="16"/>
      <c r="THW39" s="16"/>
      <c r="THX39" s="16"/>
      <c r="THY39" s="16"/>
      <c r="THZ39" s="16"/>
      <c r="TIA39" s="16"/>
      <c r="TIB39" s="16"/>
      <c r="TIC39" s="16"/>
      <c r="TID39" s="16"/>
      <c r="TIE39" s="16"/>
      <c r="TIF39" s="16"/>
      <c r="TIG39" s="16"/>
      <c r="TIH39" s="16"/>
      <c r="TII39" s="16"/>
      <c r="TIJ39" s="16"/>
      <c r="TIK39" s="16"/>
      <c r="TIL39" s="16"/>
      <c r="TIM39" s="16"/>
      <c r="TIN39" s="16"/>
      <c r="TIO39" s="16"/>
      <c r="TIP39" s="16"/>
      <c r="TIQ39" s="16"/>
      <c r="TIR39" s="16"/>
      <c r="TIS39" s="16"/>
      <c r="TIT39" s="16"/>
      <c r="TIU39" s="16"/>
      <c r="TIV39" s="16"/>
      <c r="TIW39" s="16"/>
      <c r="TIX39" s="16"/>
      <c r="TIY39" s="16"/>
      <c r="TIZ39" s="16"/>
      <c r="TJA39" s="16"/>
      <c r="TJB39" s="16"/>
      <c r="TJC39" s="16"/>
      <c r="TJD39" s="16"/>
      <c r="TJE39" s="16"/>
      <c r="TJF39" s="16"/>
      <c r="TJG39" s="16"/>
      <c r="TJH39" s="16"/>
      <c r="TJI39" s="16"/>
      <c r="TJJ39" s="16"/>
      <c r="TJK39" s="16"/>
      <c r="TJL39" s="16"/>
      <c r="TJM39" s="16"/>
      <c r="TJN39" s="16"/>
      <c r="TJO39" s="16"/>
      <c r="TJP39" s="16"/>
      <c r="TJQ39" s="16"/>
      <c r="TJR39" s="16"/>
      <c r="TJS39" s="16"/>
      <c r="TJT39" s="16"/>
      <c r="TJU39" s="16"/>
      <c r="TJV39" s="16"/>
      <c r="TJW39" s="16"/>
      <c r="TJX39" s="16"/>
      <c r="TJY39" s="16"/>
      <c r="TJZ39" s="16"/>
      <c r="TKA39" s="16"/>
      <c r="TKB39" s="16"/>
      <c r="TKC39" s="16"/>
      <c r="TKD39" s="16"/>
      <c r="TKE39" s="16"/>
      <c r="TKF39" s="16"/>
      <c r="TKG39" s="16"/>
      <c r="TKH39" s="16"/>
      <c r="TKI39" s="16"/>
      <c r="TKJ39" s="16"/>
      <c r="TKK39" s="16"/>
      <c r="TKL39" s="16"/>
      <c r="TKM39" s="16"/>
      <c r="TKN39" s="16"/>
      <c r="TKO39" s="16"/>
      <c r="TKP39" s="16"/>
      <c r="TKQ39" s="16"/>
      <c r="TKR39" s="16"/>
      <c r="TKS39" s="16"/>
      <c r="TKT39" s="16"/>
      <c r="TKU39" s="16"/>
      <c r="TKV39" s="16"/>
      <c r="TKW39" s="16"/>
      <c r="TKX39" s="16"/>
      <c r="TKY39" s="16"/>
      <c r="TKZ39" s="16"/>
      <c r="TLA39" s="16"/>
      <c r="TLB39" s="16"/>
      <c r="TLC39" s="16"/>
      <c r="TLD39" s="16"/>
      <c r="TLE39" s="16"/>
      <c r="TLF39" s="16"/>
      <c r="TLG39" s="16"/>
      <c r="TLH39" s="16"/>
      <c r="TLI39" s="16"/>
      <c r="TLJ39" s="16"/>
      <c r="TLK39" s="16"/>
      <c r="TLL39" s="16"/>
      <c r="TLM39" s="16"/>
      <c r="TLN39" s="16"/>
      <c r="TLO39" s="16"/>
      <c r="TLP39" s="16"/>
      <c r="TLQ39" s="16"/>
      <c r="TLR39" s="16"/>
      <c r="TLS39" s="16"/>
      <c r="TLT39" s="16"/>
      <c r="TLU39" s="16"/>
      <c r="TLV39" s="16"/>
      <c r="TLW39" s="16"/>
      <c r="TLX39" s="16"/>
      <c r="TLY39" s="16"/>
      <c r="TLZ39" s="16"/>
      <c r="TMA39" s="16"/>
      <c r="TMB39" s="16"/>
      <c r="TMC39" s="16"/>
      <c r="TMD39" s="16"/>
      <c r="TME39" s="16"/>
      <c r="TMF39" s="16"/>
      <c r="TMG39" s="16"/>
      <c r="TMH39" s="16"/>
      <c r="TMI39" s="16"/>
      <c r="TMJ39" s="16"/>
      <c r="TMK39" s="16"/>
      <c r="TML39" s="16"/>
      <c r="TMM39" s="16"/>
      <c r="TMN39" s="16"/>
      <c r="TMO39" s="16"/>
      <c r="TMP39" s="16"/>
      <c r="TMQ39" s="16"/>
      <c r="TMR39" s="16"/>
      <c r="TMS39" s="16"/>
      <c r="TMT39" s="16"/>
      <c r="TMU39" s="16"/>
      <c r="TMV39" s="16"/>
      <c r="TMW39" s="16"/>
      <c r="TMX39" s="16"/>
      <c r="TMY39" s="16"/>
      <c r="TMZ39" s="16"/>
      <c r="TNA39" s="16"/>
      <c r="TNB39" s="16"/>
      <c r="TNC39" s="16"/>
      <c r="TND39" s="16"/>
      <c r="TNE39" s="16"/>
      <c r="TNF39" s="16"/>
      <c r="TNG39" s="16"/>
      <c r="TNH39" s="16"/>
      <c r="TNI39" s="16"/>
      <c r="TNJ39" s="16"/>
      <c r="TNK39" s="16"/>
      <c r="TNL39" s="16"/>
      <c r="TNM39" s="16"/>
      <c r="TNN39" s="16"/>
      <c r="TNO39" s="16"/>
      <c r="TNP39" s="16"/>
      <c r="TNQ39" s="16"/>
      <c r="TNR39" s="16"/>
      <c r="TNS39" s="16"/>
      <c r="TNT39" s="16"/>
      <c r="TNU39" s="16"/>
      <c r="TNV39" s="16"/>
      <c r="TNW39" s="16"/>
      <c r="TNX39" s="16"/>
      <c r="TNY39" s="16"/>
      <c r="TNZ39" s="16"/>
      <c r="TOA39" s="16"/>
      <c r="TOB39" s="16"/>
      <c r="TOC39" s="16"/>
      <c r="TOD39" s="16"/>
      <c r="TOE39" s="16"/>
      <c r="TOF39" s="16"/>
      <c r="TOG39" s="16"/>
      <c r="TOH39" s="16"/>
      <c r="TOI39" s="16"/>
      <c r="TOJ39" s="16"/>
      <c r="TOK39" s="16"/>
      <c r="TOL39" s="16"/>
      <c r="TOM39" s="16"/>
      <c r="TON39" s="16"/>
      <c r="TOO39" s="16"/>
      <c r="TOP39" s="16"/>
      <c r="TOQ39" s="16"/>
      <c r="TOR39" s="16"/>
      <c r="TOS39" s="16"/>
      <c r="TOT39" s="16"/>
      <c r="TOU39" s="16"/>
      <c r="TOV39" s="16"/>
      <c r="TOW39" s="16"/>
      <c r="TOX39" s="16"/>
      <c r="TOY39" s="16"/>
      <c r="TOZ39" s="16"/>
      <c r="TPA39" s="16"/>
      <c r="TPB39" s="16"/>
      <c r="TPC39" s="16"/>
      <c r="TPD39" s="16"/>
      <c r="TPE39" s="16"/>
      <c r="TPF39" s="16"/>
      <c r="TPG39" s="16"/>
      <c r="TPH39" s="16"/>
      <c r="TPI39" s="16"/>
      <c r="TPJ39" s="16"/>
      <c r="TPK39" s="16"/>
      <c r="TPL39" s="16"/>
      <c r="TPM39" s="16"/>
      <c r="TPN39" s="16"/>
      <c r="TPO39" s="16"/>
      <c r="TPP39" s="16"/>
      <c r="TPQ39" s="16"/>
      <c r="TPR39" s="16"/>
      <c r="TPS39" s="16"/>
      <c r="TPT39" s="16"/>
      <c r="TPU39" s="16"/>
      <c r="TPV39" s="16"/>
      <c r="TPW39" s="16"/>
      <c r="TPX39" s="16"/>
      <c r="TPY39" s="16"/>
      <c r="TPZ39" s="16"/>
      <c r="TQA39" s="16"/>
      <c r="TQB39" s="16"/>
      <c r="TQC39" s="16"/>
      <c r="TQD39" s="16"/>
      <c r="TQE39" s="16"/>
      <c r="TQF39" s="16"/>
      <c r="TQG39" s="16"/>
      <c r="TQH39" s="16"/>
      <c r="TQI39" s="16"/>
      <c r="TQJ39" s="16"/>
      <c r="TQK39" s="16"/>
      <c r="TQL39" s="16"/>
      <c r="TQM39" s="16"/>
      <c r="TQN39" s="16"/>
      <c r="TQO39" s="16"/>
      <c r="TQP39" s="16"/>
      <c r="TQQ39" s="16"/>
      <c r="TQR39" s="16"/>
      <c r="TQS39" s="16"/>
      <c r="TQT39" s="16"/>
      <c r="TQU39" s="16"/>
      <c r="TQV39" s="16"/>
      <c r="TQW39" s="16"/>
      <c r="TQX39" s="16"/>
      <c r="TQY39" s="16"/>
      <c r="TQZ39" s="16"/>
      <c r="TRA39" s="16"/>
      <c r="TRB39" s="16"/>
      <c r="TRC39" s="16"/>
      <c r="TRD39" s="16"/>
      <c r="TRE39" s="16"/>
      <c r="TRF39" s="16"/>
      <c r="TRG39" s="16"/>
      <c r="TRH39" s="16"/>
      <c r="TRI39" s="16"/>
      <c r="TRJ39" s="16"/>
      <c r="TRK39" s="16"/>
      <c r="TRL39" s="16"/>
      <c r="TRM39" s="16"/>
      <c r="TRN39" s="16"/>
      <c r="TRO39" s="16"/>
      <c r="TRP39" s="16"/>
      <c r="TRQ39" s="16"/>
      <c r="TRR39" s="16"/>
      <c r="TRS39" s="16"/>
      <c r="TRT39" s="16"/>
      <c r="TRU39" s="16"/>
      <c r="TRV39" s="16"/>
      <c r="TRW39" s="16"/>
      <c r="TRX39" s="16"/>
      <c r="TRY39" s="16"/>
      <c r="TRZ39" s="16"/>
      <c r="TSA39" s="16"/>
      <c r="TSB39" s="16"/>
      <c r="TSC39" s="16"/>
      <c r="TSD39" s="16"/>
      <c r="TSE39" s="16"/>
      <c r="TSF39" s="16"/>
      <c r="TSG39" s="16"/>
      <c r="TSH39" s="16"/>
      <c r="TSI39" s="16"/>
      <c r="TSJ39" s="16"/>
      <c r="TSK39" s="16"/>
      <c r="TSL39" s="16"/>
      <c r="TSM39" s="16"/>
      <c r="TSN39" s="16"/>
      <c r="TSO39" s="16"/>
      <c r="TSP39" s="16"/>
      <c r="TSQ39" s="16"/>
      <c r="TSR39" s="16"/>
      <c r="TSS39" s="16"/>
      <c r="TST39" s="16"/>
      <c r="TSU39" s="16"/>
      <c r="TSV39" s="16"/>
      <c r="TSW39" s="16"/>
      <c r="TSX39" s="16"/>
      <c r="TSY39" s="16"/>
      <c r="TSZ39" s="16"/>
      <c r="TTA39" s="16"/>
      <c r="TTB39" s="16"/>
      <c r="TTC39" s="16"/>
      <c r="TTD39" s="16"/>
      <c r="TTE39" s="16"/>
      <c r="TTF39" s="16"/>
      <c r="TTG39" s="16"/>
      <c r="TTH39" s="16"/>
      <c r="TTI39" s="16"/>
      <c r="TTJ39" s="16"/>
      <c r="TTK39" s="16"/>
      <c r="TTL39" s="16"/>
      <c r="TTM39" s="16"/>
      <c r="TTN39" s="16"/>
      <c r="TTO39" s="16"/>
      <c r="TTP39" s="16"/>
      <c r="TTQ39" s="16"/>
      <c r="TTR39" s="16"/>
      <c r="TTS39" s="16"/>
      <c r="TTT39" s="16"/>
      <c r="TTU39" s="16"/>
      <c r="TTV39" s="16"/>
      <c r="TTW39" s="16"/>
      <c r="TTX39" s="16"/>
      <c r="TTY39" s="16"/>
      <c r="TTZ39" s="16"/>
      <c r="TUA39" s="16"/>
      <c r="TUB39" s="16"/>
      <c r="TUC39" s="16"/>
      <c r="TUD39" s="16"/>
      <c r="TUE39" s="16"/>
      <c r="TUF39" s="16"/>
      <c r="TUG39" s="16"/>
      <c r="TUH39" s="16"/>
      <c r="TUI39" s="16"/>
      <c r="TUJ39" s="16"/>
      <c r="TUK39" s="16"/>
      <c r="TUL39" s="16"/>
      <c r="TUM39" s="16"/>
      <c r="TUN39" s="16"/>
      <c r="TUO39" s="16"/>
      <c r="TUP39" s="16"/>
      <c r="TUQ39" s="16"/>
      <c r="TUR39" s="16"/>
      <c r="TUS39" s="16"/>
      <c r="TUT39" s="16"/>
      <c r="TUU39" s="16"/>
      <c r="TUV39" s="16"/>
      <c r="TUW39" s="16"/>
      <c r="TUX39" s="16"/>
      <c r="TUY39" s="16"/>
      <c r="TUZ39" s="16"/>
      <c r="TVA39" s="16"/>
      <c r="TVB39" s="16"/>
      <c r="TVC39" s="16"/>
      <c r="TVD39" s="16"/>
      <c r="TVE39" s="16"/>
      <c r="TVF39" s="16"/>
      <c r="TVG39" s="16"/>
      <c r="TVH39" s="16"/>
      <c r="TVI39" s="16"/>
      <c r="TVJ39" s="16"/>
      <c r="TVK39" s="16"/>
      <c r="TVL39" s="16"/>
      <c r="TVM39" s="16"/>
      <c r="TVN39" s="16"/>
      <c r="TVO39" s="16"/>
      <c r="TVP39" s="16"/>
      <c r="TVQ39" s="16"/>
      <c r="TVR39" s="16"/>
      <c r="TVS39" s="16"/>
      <c r="TVT39" s="16"/>
      <c r="TVU39" s="16"/>
      <c r="TVV39" s="16"/>
      <c r="TVW39" s="16"/>
      <c r="TVX39" s="16"/>
      <c r="TVY39" s="16"/>
      <c r="TVZ39" s="16"/>
      <c r="TWA39" s="16"/>
      <c r="TWB39" s="16"/>
      <c r="TWC39" s="16"/>
      <c r="TWD39" s="16"/>
      <c r="TWE39" s="16"/>
      <c r="TWF39" s="16"/>
      <c r="TWG39" s="16"/>
      <c r="TWH39" s="16"/>
      <c r="TWI39" s="16"/>
      <c r="TWJ39" s="16"/>
      <c r="TWK39" s="16"/>
      <c r="TWL39" s="16"/>
      <c r="TWM39" s="16"/>
      <c r="TWN39" s="16"/>
      <c r="TWO39" s="16"/>
      <c r="TWP39" s="16"/>
      <c r="TWQ39" s="16"/>
      <c r="TWR39" s="16"/>
      <c r="TWS39" s="16"/>
      <c r="TWT39" s="16"/>
      <c r="TWU39" s="16"/>
      <c r="TWV39" s="16"/>
      <c r="TWW39" s="16"/>
      <c r="TWX39" s="16"/>
      <c r="TWY39" s="16"/>
      <c r="TWZ39" s="16"/>
      <c r="TXA39" s="16"/>
      <c r="TXB39" s="16"/>
      <c r="TXC39" s="16"/>
      <c r="TXD39" s="16"/>
      <c r="TXE39" s="16"/>
      <c r="TXF39" s="16"/>
      <c r="TXG39" s="16"/>
      <c r="TXH39" s="16"/>
      <c r="TXI39" s="16"/>
      <c r="TXJ39" s="16"/>
      <c r="TXK39" s="16"/>
      <c r="TXL39" s="16"/>
      <c r="TXM39" s="16"/>
      <c r="TXN39" s="16"/>
      <c r="TXO39" s="16"/>
      <c r="TXP39" s="16"/>
      <c r="TXQ39" s="16"/>
      <c r="TXR39" s="16"/>
      <c r="TXS39" s="16"/>
      <c r="TXT39" s="16"/>
      <c r="TXU39" s="16"/>
      <c r="TXV39" s="16"/>
      <c r="TXW39" s="16"/>
      <c r="TXX39" s="16"/>
      <c r="TXY39" s="16"/>
      <c r="TXZ39" s="16"/>
      <c r="TYA39" s="16"/>
      <c r="TYB39" s="16"/>
      <c r="TYC39" s="16"/>
      <c r="TYD39" s="16"/>
      <c r="TYE39" s="16"/>
      <c r="TYF39" s="16"/>
      <c r="TYG39" s="16"/>
      <c r="TYH39" s="16"/>
      <c r="TYI39" s="16"/>
      <c r="TYJ39" s="16"/>
      <c r="TYK39" s="16"/>
      <c r="TYL39" s="16"/>
      <c r="TYM39" s="16"/>
      <c r="TYN39" s="16"/>
      <c r="TYO39" s="16"/>
      <c r="TYP39" s="16"/>
      <c r="TYQ39" s="16"/>
      <c r="TYR39" s="16"/>
      <c r="TYS39" s="16"/>
      <c r="TYT39" s="16"/>
      <c r="TYU39" s="16"/>
      <c r="TYV39" s="16"/>
      <c r="TYW39" s="16"/>
      <c r="TYX39" s="16"/>
      <c r="TYY39" s="16"/>
      <c r="TYZ39" s="16"/>
      <c r="TZA39" s="16"/>
      <c r="TZB39" s="16"/>
      <c r="TZC39" s="16"/>
      <c r="TZD39" s="16"/>
      <c r="TZE39" s="16"/>
      <c r="TZF39" s="16"/>
      <c r="TZG39" s="16"/>
      <c r="TZH39" s="16"/>
      <c r="TZI39" s="16"/>
      <c r="TZJ39" s="16"/>
      <c r="TZK39" s="16"/>
      <c r="TZL39" s="16"/>
      <c r="TZM39" s="16"/>
      <c r="TZN39" s="16"/>
      <c r="TZO39" s="16"/>
      <c r="TZP39" s="16"/>
      <c r="TZQ39" s="16"/>
      <c r="TZR39" s="16"/>
      <c r="TZS39" s="16"/>
      <c r="TZT39" s="16"/>
      <c r="TZU39" s="16"/>
      <c r="TZV39" s="16"/>
      <c r="TZW39" s="16"/>
      <c r="TZX39" s="16"/>
      <c r="TZY39" s="16"/>
      <c r="TZZ39" s="16"/>
      <c r="UAA39" s="16"/>
      <c r="UAB39" s="16"/>
      <c r="UAC39" s="16"/>
      <c r="UAD39" s="16"/>
      <c r="UAE39" s="16"/>
      <c r="UAF39" s="16"/>
      <c r="UAG39" s="16"/>
      <c r="UAH39" s="16"/>
      <c r="UAI39" s="16"/>
      <c r="UAJ39" s="16"/>
      <c r="UAK39" s="16"/>
      <c r="UAL39" s="16"/>
      <c r="UAM39" s="16"/>
      <c r="UAN39" s="16"/>
      <c r="UAO39" s="16"/>
      <c r="UAP39" s="16"/>
      <c r="UAQ39" s="16"/>
      <c r="UAR39" s="16"/>
      <c r="UAS39" s="16"/>
      <c r="UAT39" s="16"/>
      <c r="UAU39" s="16"/>
      <c r="UAV39" s="16"/>
      <c r="UAW39" s="16"/>
      <c r="UAX39" s="16"/>
      <c r="UAY39" s="16"/>
      <c r="UAZ39" s="16"/>
      <c r="UBA39" s="16"/>
      <c r="UBB39" s="16"/>
      <c r="UBC39" s="16"/>
      <c r="UBD39" s="16"/>
      <c r="UBE39" s="16"/>
      <c r="UBF39" s="16"/>
      <c r="UBG39" s="16"/>
      <c r="UBH39" s="16"/>
      <c r="UBI39" s="16"/>
      <c r="UBJ39" s="16"/>
      <c r="UBK39" s="16"/>
      <c r="UBL39" s="16"/>
      <c r="UBM39" s="16"/>
      <c r="UBN39" s="16"/>
      <c r="UBO39" s="16"/>
      <c r="UBP39" s="16"/>
      <c r="UBQ39" s="16"/>
      <c r="UBR39" s="16"/>
      <c r="UBS39" s="16"/>
      <c r="UBT39" s="16"/>
      <c r="UBU39" s="16"/>
      <c r="UBV39" s="16"/>
      <c r="UBW39" s="16"/>
      <c r="UBX39" s="16"/>
      <c r="UBY39" s="16"/>
      <c r="UBZ39" s="16"/>
      <c r="UCA39" s="16"/>
      <c r="UCB39" s="16"/>
      <c r="UCC39" s="16"/>
      <c r="UCD39" s="16"/>
      <c r="UCE39" s="16"/>
      <c r="UCF39" s="16"/>
      <c r="UCG39" s="16"/>
      <c r="UCH39" s="16"/>
      <c r="UCI39" s="16"/>
      <c r="UCJ39" s="16"/>
      <c r="UCK39" s="16"/>
      <c r="UCL39" s="16"/>
      <c r="UCM39" s="16"/>
      <c r="UCN39" s="16"/>
      <c r="UCO39" s="16"/>
      <c r="UCP39" s="16"/>
      <c r="UCQ39" s="16"/>
      <c r="UCR39" s="16"/>
      <c r="UCS39" s="16"/>
      <c r="UCT39" s="16"/>
      <c r="UCU39" s="16"/>
      <c r="UCV39" s="16"/>
      <c r="UCW39" s="16"/>
      <c r="UCX39" s="16"/>
      <c r="UCY39" s="16"/>
      <c r="UCZ39" s="16"/>
      <c r="UDA39" s="16"/>
      <c r="UDB39" s="16"/>
      <c r="UDC39" s="16"/>
      <c r="UDD39" s="16"/>
      <c r="UDE39" s="16"/>
      <c r="UDF39" s="16"/>
      <c r="UDG39" s="16"/>
      <c r="UDH39" s="16"/>
      <c r="UDI39" s="16"/>
      <c r="UDJ39" s="16"/>
      <c r="UDK39" s="16"/>
      <c r="UDL39" s="16"/>
      <c r="UDM39" s="16"/>
      <c r="UDN39" s="16"/>
      <c r="UDO39" s="16"/>
      <c r="UDP39" s="16"/>
      <c r="UDQ39" s="16"/>
      <c r="UDR39" s="16"/>
      <c r="UDS39" s="16"/>
      <c r="UDT39" s="16"/>
      <c r="UDU39" s="16"/>
      <c r="UDV39" s="16"/>
      <c r="UDW39" s="16"/>
      <c r="UDX39" s="16"/>
      <c r="UDY39" s="16"/>
      <c r="UDZ39" s="16"/>
      <c r="UEA39" s="16"/>
      <c r="UEB39" s="16"/>
      <c r="UEC39" s="16"/>
      <c r="UED39" s="16"/>
      <c r="UEE39" s="16"/>
      <c r="UEF39" s="16"/>
      <c r="UEG39" s="16"/>
      <c r="UEH39" s="16"/>
      <c r="UEI39" s="16"/>
      <c r="UEJ39" s="16"/>
      <c r="UEK39" s="16"/>
      <c r="UEL39" s="16"/>
      <c r="UEM39" s="16"/>
      <c r="UEN39" s="16"/>
      <c r="UEO39" s="16"/>
      <c r="UEP39" s="16"/>
      <c r="UEQ39" s="16"/>
      <c r="UER39" s="16"/>
      <c r="UES39" s="16"/>
      <c r="UET39" s="16"/>
      <c r="UEU39" s="16"/>
      <c r="UEV39" s="16"/>
      <c r="UEW39" s="16"/>
      <c r="UEX39" s="16"/>
      <c r="UEY39" s="16"/>
      <c r="UEZ39" s="16"/>
      <c r="UFA39" s="16"/>
      <c r="UFB39" s="16"/>
      <c r="UFC39" s="16"/>
      <c r="UFD39" s="16"/>
      <c r="UFE39" s="16"/>
      <c r="UFF39" s="16"/>
      <c r="UFG39" s="16"/>
      <c r="UFH39" s="16"/>
      <c r="UFI39" s="16"/>
      <c r="UFJ39" s="16"/>
      <c r="UFK39" s="16"/>
      <c r="UFL39" s="16"/>
      <c r="UFM39" s="16"/>
      <c r="UFN39" s="16"/>
      <c r="UFO39" s="16"/>
      <c r="UFP39" s="16"/>
      <c r="UFQ39" s="16"/>
      <c r="UFR39" s="16"/>
      <c r="UFS39" s="16"/>
      <c r="UFT39" s="16"/>
      <c r="UFU39" s="16"/>
      <c r="UFV39" s="16"/>
      <c r="UFW39" s="16"/>
      <c r="UFX39" s="16"/>
      <c r="UFY39" s="16"/>
      <c r="UFZ39" s="16"/>
      <c r="UGA39" s="16"/>
      <c r="UGB39" s="16"/>
      <c r="UGC39" s="16"/>
      <c r="UGD39" s="16"/>
      <c r="UGE39" s="16"/>
      <c r="UGF39" s="16"/>
      <c r="UGG39" s="16"/>
      <c r="UGH39" s="16"/>
      <c r="UGI39" s="16"/>
      <c r="UGJ39" s="16"/>
      <c r="UGK39" s="16"/>
      <c r="UGL39" s="16"/>
      <c r="UGM39" s="16"/>
      <c r="UGN39" s="16"/>
      <c r="UGO39" s="16"/>
      <c r="UGP39" s="16"/>
      <c r="UGQ39" s="16"/>
      <c r="UGR39" s="16"/>
      <c r="UGS39" s="16"/>
      <c r="UGT39" s="16"/>
      <c r="UGU39" s="16"/>
      <c r="UGV39" s="16"/>
      <c r="UGW39" s="16"/>
      <c r="UGX39" s="16"/>
      <c r="UGY39" s="16"/>
      <c r="UGZ39" s="16"/>
      <c r="UHA39" s="16"/>
      <c r="UHB39" s="16"/>
      <c r="UHC39" s="16"/>
      <c r="UHD39" s="16"/>
      <c r="UHE39" s="16"/>
      <c r="UHF39" s="16"/>
      <c r="UHG39" s="16"/>
      <c r="UHH39" s="16"/>
      <c r="UHI39" s="16"/>
      <c r="UHJ39" s="16"/>
      <c r="UHK39" s="16"/>
      <c r="UHL39" s="16"/>
      <c r="UHM39" s="16"/>
      <c r="UHN39" s="16"/>
      <c r="UHO39" s="16"/>
      <c r="UHP39" s="16"/>
      <c r="UHQ39" s="16"/>
      <c r="UHR39" s="16"/>
      <c r="UHS39" s="16"/>
      <c r="UHT39" s="16"/>
      <c r="UHU39" s="16"/>
      <c r="UHV39" s="16"/>
      <c r="UHW39" s="16"/>
      <c r="UHX39" s="16"/>
      <c r="UHY39" s="16"/>
      <c r="UHZ39" s="16"/>
      <c r="UIA39" s="16"/>
      <c r="UIB39" s="16"/>
      <c r="UIC39" s="16"/>
      <c r="UID39" s="16"/>
      <c r="UIE39" s="16"/>
      <c r="UIF39" s="16"/>
      <c r="UIG39" s="16"/>
      <c r="UIH39" s="16"/>
      <c r="UII39" s="16"/>
      <c r="UIJ39" s="16"/>
      <c r="UIK39" s="16"/>
      <c r="UIL39" s="16"/>
      <c r="UIM39" s="16"/>
      <c r="UIN39" s="16"/>
      <c r="UIO39" s="16"/>
      <c r="UIP39" s="16"/>
      <c r="UIQ39" s="16"/>
      <c r="UIR39" s="16"/>
      <c r="UIS39" s="16"/>
      <c r="UIT39" s="16"/>
      <c r="UIU39" s="16"/>
      <c r="UIV39" s="16"/>
      <c r="UIW39" s="16"/>
      <c r="UIX39" s="16"/>
      <c r="UIY39" s="16"/>
      <c r="UIZ39" s="16"/>
      <c r="UJA39" s="16"/>
      <c r="UJB39" s="16"/>
      <c r="UJC39" s="16"/>
      <c r="UJD39" s="16"/>
      <c r="UJE39" s="16"/>
      <c r="UJF39" s="16"/>
      <c r="UJG39" s="16"/>
      <c r="UJH39" s="16"/>
      <c r="UJI39" s="16"/>
      <c r="UJJ39" s="16"/>
      <c r="UJK39" s="16"/>
      <c r="UJL39" s="16"/>
      <c r="UJM39" s="16"/>
      <c r="UJN39" s="16"/>
      <c r="UJO39" s="16"/>
      <c r="UJP39" s="16"/>
      <c r="UJQ39" s="16"/>
      <c r="UJR39" s="16"/>
      <c r="UJS39" s="16"/>
      <c r="UJT39" s="16"/>
      <c r="UJU39" s="16"/>
      <c r="UJV39" s="16"/>
      <c r="UJW39" s="16"/>
      <c r="UJX39" s="16"/>
      <c r="UJY39" s="16"/>
      <c r="UJZ39" s="16"/>
      <c r="UKA39" s="16"/>
      <c r="UKB39" s="16"/>
      <c r="UKC39" s="16"/>
      <c r="UKD39" s="16"/>
      <c r="UKE39" s="16"/>
      <c r="UKF39" s="16"/>
      <c r="UKG39" s="16"/>
      <c r="UKH39" s="16"/>
      <c r="UKI39" s="16"/>
      <c r="UKJ39" s="16"/>
      <c r="UKK39" s="16"/>
      <c r="UKL39" s="16"/>
      <c r="UKM39" s="16"/>
      <c r="UKN39" s="16"/>
      <c r="UKO39" s="16"/>
      <c r="UKP39" s="16"/>
      <c r="UKQ39" s="16"/>
      <c r="UKR39" s="16"/>
      <c r="UKS39" s="16"/>
      <c r="UKT39" s="16"/>
      <c r="UKU39" s="16"/>
      <c r="UKV39" s="16"/>
      <c r="UKW39" s="16"/>
      <c r="UKX39" s="16"/>
      <c r="UKY39" s="16"/>
      <c r="UKZ39" s="16"/>
      <c r="ULA39" s="16"/>
      <c r="ULB39" s="16"/>
      <c r="ULC39" s="16"/>
      <c r="ULD39" s="16"/>
      <c r="ULE39" s="16"/>
      <c r="ULF39" s="16"/>
      <c r="ULG39" s="16"/>
      <c r="ULH39" s="16"/>
      <c r="ULI39" s="16"/>
      <c r="ULJ39" s="16"/>
      <c r="ULK39" s="16"/>
      <c r="ULL39" s="16"/>
      <c r="ULM39" s="16"/>
      <c r="ULN39" s="16"/>
      <c r="ULO39" s="16"/>
      <c r="ULP39" s="16"/>
      <c r="ULQ39" s="16"/>
      <c r="ULR39" s="16"/>
      <c r="ULS39" s="16"/>
      <c r="ULT39" s="16"/>
      <c r="ULU39" s="16"/>
      <c r="ULV39" s="16"/>
      <c r="ULW39" s="16"/>
      <c r="ULX39" s="16"/>
      <c r="ULY39" s="16"/>
      <c r="ULZ39" s="16"/>
      <c r="UMA39" s="16"/>
      <c r="UMB39" s="16"/>
      <c r="UMC39" s="16"/>
      <c r="UMD39" s="16"/>
      <c r="UME39" s="16"/>
      <c r="UMF39" s="16"/>
      <c r="UMG39" s="16"/>
      <c r="UMH39" s="16"/>
      <c r="UMI39" s="16"/>
      <c r="UMJ39" s="16"/>
      <c r="UMK39" s="16"/>
      <c r="UML39" s="16"/>
      <c r="UMM39" s="16"/>
      <c r="UMN39" s="16"/>
      <c r="UMO39" s="16"/>
      <c r="UMP39" s="16"/>
      <c r="UMQ39" s="16"/>
      <c r="UMR39" s="16"/>
      <c r="UMS39" s="16"/>
      <c r="UMT39" s="16"/>
      <c r="UMU39" s="16"/>
      <c r="UMV39" s="16"/>
      <c r="UMW39" s="16"/>
      <c r="UMX39" s="16"/>
      <c r="UMY39" s="16"/>
      <c r="UMZ39" s="16"/>
      <c r="UNA39" s="16"/>
      <c r="UNB39" s="16"/>
      <c r="UNC39" s="16"/>
      <c r="UND39" s="16"/>
      <c r="UNE39" s="16"/>
      <c r="UNF39" s="16"/>
      <c r="UNG39" s="16"/>
      <c r="UNH39" s="16"/>
      <c r="UNI39" s="16"/>
      <c r="UNJ39" s="16"/>
      <c r="UNK39" s="16"/>
      <c r="UNL39" s="16"/>
      <c r="UNM39" s="16"/>
      <c r="UNN39" s="16"/>
      <c r="UNO39" s="16"/>
      <c r="UNP39" s="16"/>
      <c r="UNQ39" s="16"/>
      <c r="UNR39" s="16"/>
      <c r="UNS39" s="16"/>
      <c r="UNT39" s="16"/>
      <c r="UNU39" s="16"/>
      <c r="UNV39" s="16"/>
      <c r="UNW39" s="16"/>
      <c r="UNX39" s="16"/>
      <c r="UNY39" s="16"/>
      <c r="UNZ39" s="16"/>
      <c r="UOA39" s="16"/>
      <c r="UOB39" s="16"/>
      <c r="UOC39" s="16"/>
      <c r="UOD39" s="16"/>
      <c r="UOE39" s="16"/>
      <c r="UOF39" s="16"/>
      <c r="UOG39" s="16"/>
      <c r="UOH39" s="16"/>
      <c r="UOI39" s="16"/>
      <c r="UOJ39" s="16"/>
      <c r="UOK39" s="16"/>
      <c r="UOL39" s="16"/>
      <c r="UOM39" s="16"/>
      <c r="UON39" s="16"/>
      <c r="UOO39" s="16"/>
      <c r="UOP39" s="16"/>
      <c r="UOQ39" s="16"/>
      <c r="UOR39" s="16"/>
      <c r="UOS39" s="16"/>
      <c r="UOT39" s="16"/>
      <c r="UOU39" s="16"/>
      <c r="UOV39" s="16"/>
      <c r="UOW39" s="16"/>
      <c r="UOX39" s="16"/>
      <c r="UOY39" s="16"/>
      <c r="UOZ39" s="16"/>
      <c r="UPA39" s="16"/>
      <c r="UPB39" s="16"/>
      <c r="UPC39" s="16"/>
      <c r="UPD39" s="16"/>
      <c r="UPE39" s="16"/>
      <c r="UPF39" s="16"/>
      <c r="UPG39" s="16"/>
      <c r="UPH39" s="16"/>
      <c r="UPI39" s="16"/>
      <c r="UPJ39" s="16"/>
      <c r="UPK39" s="16"/>
      <c r="UPL39" s="16"/>
      <c r="UPM39" s="16"/>
      <c r="UPN39" s="16"/>
      <c r="UPO39" s="16"/>
      <c r="UPP39" s="16"/>
      <c r="UPQ39" s="16"/>
      <c r="UPR39" s="16"/>
      <c r="UPS39" s="16"/>
      <c r="UPT39" s="16"/>
      <c r="UPU39" s="16"/>
      <c r="UPV39" s="16"/>
      <c r="UPW39" s="16"/>
      <c r="UPX39" s="16"/>
      <c r="UPY39" s="16"/>
      <c r="UPZ39" s="16"/>
      <c r="UQA39" s="16"/>
      <c r="UQB39" s="16"/>
      <c r="UQC39" s="16"/>
      <c r="UQD39" s="16"/>
      <c r="UQE39" s="16"/>
      <c r="UQF39" s="16"/>
      <c r="UQG39" s="16"/>
      <c r="UQH39" s="16"/>
      <c r="UQI39" s="16"/>
      <c r="UQJ39" s="16"/>
      <c r="UQK39" s="16"/>
      <c r="UQL39" s="16"/>
      <c r="UQM39" s="16"/>
      <c r="UQN39" s="16"/>
      <c r="UQO39" s="16"/>
      <c r="UQP39" s="16"/>
      <c r="UQQ39" s="16"/>
      <c r="UQR39" s="16"/>
      <c r="UQS39" s="16"/>
      <c r="UQT39" s="16"/>
      <c r="UQU39" s="16"/>
      <c r="UQV39" s="16"/>
      <c r="UQW39" s="16"/>
      <c r="UQX39" s="16"/>
      <c r="UQY39" s="16"/>
      <c r="UQZ39" s="16"/>
      <c r="URA39" s="16"/>
      <c r="URB39" s="16"/>
      <c r="URC39" s="16"/>
      <c r="URD39" s="16"/>
      <c r="URE39" s="16"/>
      <c r="URF39" s="16"/>
      <c r="URG39" s="16"/>
      <c r="URH39" s="16"/>
      <c r="URI39" s="16"/>
      <c r="URJ39" s="16"/>
      <c r="URK39" s="16"/>
      <c r="URL39" s="16"/>
      <c r="URM39" s="16"/>
      <c r="URN39" s="16"/>
      <c r="URO39" s="16"/>
      <c r="URP39" s="16"/>
      <c r="URQ39" s="16"/>
      <c r="URR39" s="16"/>
      <c r="URS39" s="16"/>
      <c r="URT39" s="16"/>
      <c r="URU39" s="16"/>
      <c r="URV39" s="16"/>
      <c r="URW39" s="16"/>
      <c r="URX39" s="16"/>
      <c r="URY39" s="16"/>
      <c r="URZ39" s="16"/>
      <c r="USA39" s="16"/>
      <c r="USB39" s="16"/>
      <c r="USC39" s="16"/>
      <c r="USD39" s="16"/>
      <c r="USE39" s="16"/>
      <c r="USF39" s="16"/>
      <c r="USG39" s="16"/>
      <c r="USH39" s="16"/>
      <c r="USI39" s="16"/>
      <c r="USJ39" s="16"/>
      <c r="USK39" s="16"/>
      <c r="USL39" s="16"/>
      <c r="USM39" s="16"/>
      <c r="USN39" s="16"/>
      <c r="USO39" s="16"/>
      <c r="USP39" s="16"/>
      <c r="USQ39" s="16"/>
      <c r="USR39" s="16"/>
      <c r="USS39" s="16"/>
      <c r="UST39" s="16"/>
      <c r="USU39" s="16"/>
      <c r="USV39" s="16"/>
      <c r="USW39" s="16"/>
      <c r="USX39" s="16"/>
      <c r="USY39" s="16"/>
      <c r="USZ39" s="16"/>
      <c r="UTA39" s="16"/>
      <c r="UTB39" s="16"/>
      <c r="UTC39" s="16"/>
      <c r="UTD39" s="16"/>
      <c r="UTE39" s="16"/>
      <c r="UTF39" s="16"/>
      <c r="UTG39" s="16"/>
      <c r="UTH39" s="16"/>
      <c r="UTI39" s="16"/>
      <c r="UTJ39" s="16"/>
      <c r="UTK39" s="16"/>
      <c r="UTL39" s="16"/>
      <c r="UTM39" s="16"/>
      <c r="UTN39" s="16"/>
      <c r="UTO39" s="16"/>
      <c r="UTP39" s="16"/>
      <c r="UTQ39" s="16"/>
      <c r="UTR39" s="16"/>
      <c r="UTS39" s="16"/>
      <c r="UTT39" s="16"/>
      <c r="UTU39" s="16"/>
      <c r="UTV39" s="16"/>
      <c r="UTW39" s="16"/>
      <c r="UTX39" s="16"/>
      <c r="UTY39" s="16"/>
      <c r="UTZ39" s="16"/>
      <c r="UUA39" s="16"/>
      <c r="UUB39" s="16"/>
      <c r="UUC39" s="16"/>
      <c r="UUD39" s="16"/>
      <c r="UUE39" s="16"/>
      <c r="UUF39" s="16"/>
      <c r="UUG39" s="16"/>
      <c r="UUH39" s="16"/>
      <c r="UUI39" s="16"/>
      <c r="UUJ39" s="16"/>
      <c r="UUK39" s="16"/>
      <c r="UUL39" s="16"/>
      <c r="UUM39" s="16"/>
      <c r="UUN39" s="16"/>
      <c r="UUO39" s="16"/>
      <c r="UUP39" s="16"/>
      <c r="UUQ39" s="16"/>
      <c r="UUR39" s="16"/>
      <c r="UUS39" s="16"/>
      <c r="UUT39" s="16"/>
      <c r="UUU39" s="16"/>
      <c r="UUV39" s="16"/>
      <c r="UUW39" s="16"/>
      <c r="UUX39" s="16"/>
      <c r="UUY39" s="16"/>
      <c r="UUZ39" s="16"/>
      <c r="UVA39" s="16"/>
      <c r="UVB39" s="16"/>
      <c r="UVC39" s="16"/>
      <c r="UVD39" s="16"/>
      <c r="UVE39" s="16"/>
      <c r="UVF39" s="16"/>
      <c r="UVG39" s="16"/>
      <c r="UVH39" s="16"/>
      <c r="UVI39" s="16"/>
      <c r="UVJ39" s="16"/>
      <c r="UVK39" s="16"/>
      <c r="UVL39" s="16"/>
      <c r="UVM39" s="16"/>
      <c r="UVN39" s="16"/>
      <c r="UVO39" s="16"/>
      <c r="UVP39" s="16"/>
      <c r="UVQ39" s="16"/>
      <c r="UVR39" s="16"/>
      <c r="UVS39" s="16"/>
      <c r="UVT39" s="16"/>
      <c r="UVU39" s="16"/>
      <c r="UVV39" s="16"/>
      <c r="UVW39" s="16"/>
      <c r="UVX39" s="16"/>
      <c r="UVY39" s="16"/>
      <c r="UVZ39" s="16"/>
      <c r="UWA39" s="16"/>
      <c r="UWB39" s="16"/>
      <c r="UWC39" s="16"/>
      <c r="UWD39" s="16"/>
      <c r="UWE39" s="16"/>
      <c r="UWF39" s="16"/>
      <c r="UWG39" s="16"/>
      <c r="UWH39" s="16"/>
      <c r="UWI39" s="16"/>
      <c r="UWJ39" s="16"/>
      <c r="UWK39" s="16"/>
      <c r="UWL39" s="16"/>
      <c r="UWM39" s="16"/>
      <c r="UWN39" s="16"/>
      <c r="UWO39" s="16"/>
      <c r="UWP39" s="16"/>
      <c r="UWQ39" s="16"/>
      <c r="UWR39" s="16"/>
      <c r="UWS39" s="16"/>
      <c r="UWT39" s="16"/>
      <c r="UWU39" s="16"/>
      <c r="UWV39" s="16"/>
      <c r="UWW39" s="16"/>
      <c r="UWX39" s="16"/>
      <c r="UWY39" s="16"/>
      <c r="UWZ39" s="16"/>
      <c r="UXA39" s="16"/>
      <c r="UXB39" s="16"/>
      <c r="UXC39" s="16"/>
      <c r="UXD39" s="16"/>
      <c r="UXE39" s="16"/>
      <c r="UXF39" s="16"/>
      <c r="UXG39" s="16"/>
      <c r="UXH39" s="16"/>
      <c r="UXI39" s="16"/>
      <c r="UXJ39" s="16"/>
      <c r="UXK39" s="16"/>
      <c r="UXL39" s="16"/>
      <c r="UXM39" s="16"/>
      <c r="UXN39" s="16"/>
      <c r="UXO39" s="16"/>
      <c r="UXP39" s="16"/>
      <c r="UXQ39" s="16"/>
      <c r="UXR39" s="16"/>
      <c r="UXS39" s="16"/>
      <c r="UXT39" s="16"/>
      <c r="UXU39" s="16"/>
      <c r="UXV39" s="16"/>
      <c r="UXW39" s="16"/>
      <c r="UXX39" s="16"/>
      <c r="UXY39" s="16"/>
      <c r="UXZ39" s="16"/>
      <c r="UYA39" s="16"/>
      <c r="UYB39" s="16"/>
      <c r="UYC39" s="16"/>
      <c r="UYD39" s="16"/>
      <c r="UYE39" s="16"/>
      <c r="UYF39" s="16"/>
      <c r="UYG39" s="16"/>
      <c r="UYH39" s="16"/>
      <c r="UYI39" s="16"/>
      <c r="UYJ39" s="16"/>
      <c r="UYK39" s="16"/>
      <c r="UYL39" s="16"/>
      <c r="UYM39" s="16"/>
      <c r="UYN39" s="16"/>
      <c r="UYO39" s="16"/>
      <c r="UYP39" s="16"/>
      <c r="UYQ39" s="16"/>
      <c r="UYR39" s="16"/>
      <c r="UYS39" s="16"/>
      <c r="UYT39" s="16"/>
      <c r="UYU39" s="16"/>
      <c r="UYV39" s="16"/>
      <c r="UYW39" s="16"/>
      <c r="UYX39" s="16"/>
      <c r="UYY39" s="16"/>
      <c r="UYZ39" s="16"/>
      <c r="UZA39" s="16"/>
      <c r="UZB39" s="16"/>
      <c r="UZC39" s="16"/>
      <c r="UZD39" s="16"/>
      <c r="UZE39" s="16"/>
      <c r="UZF39" s="16"/>
      <c r="UZG39" s="16"/>
      <c r="UZH39" s="16"/>
      <c r="UZI39" s="16"/>
      <c r="UZJ39" s="16"/>
      <c r="UZK39" s="16"/>
      <c r="UZL39" s="16"/>
      <c r="UZM39" s="16"/>
      <c r="UZN39" s="16"/>
      <c r="UZO39" s="16"/>
      <c r="UZP39" s="16"/>
      <c r="UZQ39" s="16"/>
      <c r="UZR39" s="16"/>
      <c r="UZS39" s="16"/>
      <c r="UZT39" s="16"/>
      <c r="UZU39" s="16"/>
      <c r="UZV39" s="16"/>
      <c r="UZW39" s="16"/>
      <c r="UZX39" s="16"/>
      <c r="UZY39" s="16"/>
      <c r="UZZ39" s="16"/>
      <c r="VAA39" s="16"/>
      <c r="VAB39" s="16"/>
      <c r="VAC39" s="16"/>
      <c r="VAD39" s="16"/>
      <c r="VAE39" s="16"/>
      <c r="VAF39" s="16"/>
      <c r="VAG39" s="16"/>
      <c r="VAH39" s="16"/>
      <c r="VAI39" s="16"/>
      <c r="VAJ39" s="16"/>
      <c r="VAK39" s="16"/>
      <c r="VAL39" s="16"/>
      <c r="VAM39" s="16"/>
      <c r="VAN39" s="16"/>
      <c r="VAO39" s="16"/>
      <c r="VAP39" s="16"/>
      <c r="VAQ39" s="16"/>
      <c r="VAR39" s="16"/>
      <c r="VAS39" s="16"/>
      <c r="VAT39" s="16"/>
      <c r="VAU39" s="16"/>
      <c r="VAV39" s="16"/>
      <c r="VAW39" s="16"/>
      <c r="VAX39" s="16"/>
      <c r="VAY39" s="16"/>
      <c r="VAZ39" s="16"/>
      <c r="VBA39" s="16"/>
      <c r="VBB39" s="16"/>
      <c r="VBC39" s="16"/>
      <c r="VBD39" s="16"/>
      <c r="VBE39" s="16"/>
      <c r="VBF39" s="16"/>
      <c r="VBG39" s="16"/>
      <c r="VBH39" s="16"/>
      <c r="VBI39" s="16"/>
      <c r="VBJ39" s="16"/>
      <c r="VBK39" s="16"/>
      <c r="VBL39" s="16"/>
      <c r="VBM39" s="16"/>
      <c r="VBN39" s="16"/>
      <c r="VBO39" s="16"/>
      <c r="VBP39" s="16"/>
      <c r="VBQ39" s="16"/>
      <c r="VBR39" s="16"/>
      <c r="VBS39" s="16"/>
      <c r="VBT39" s="16"/>
      <c r="VBU39" s="16"/>
      <c r="VBV39" s="16"/>
      <c r="VBW39" s="16"/>
      <c r="VBX39" s="16"/>
      <c r="VBY39" s="16"/>
      <c r="VBZ39" s="16"/>
      <c r="VCA39" s="16"/>
      <c r="VCB39" s="16"/>
      <c r="VCC39" s="16"/>
      <c r="VCD39" s="16"/>
      <c r="VCE39" s="16"/>
      <c r="VCF39" s="16"/>
      <c r="VCG39" s="16"/>
      <c r="VCH39" s="16"/>
      <c r="VCI39" s="16"/>
      <c r="VCJ39" s="16"/>
      <c r="VCK39" s="16"/>
      <c r="VCL39" s="16"/>
      <c r="VCM39" s="16"/>
      <c r="VCN39" s="16"/>
      <c r="VCO39" s="16"/>
      <c r="VCP39" s="16"/>
      <c r="VCQ39" s="16"/>
      <c r="VCR39" s="16"/>
      <c r="VCS39" s="16"/>
      <c r="VCT39" s="16"/>
      <c r="VCU39" s="16"/>
      <c r="VCV39" s="16"/>
      <c r="VCW39" s="16"/>
      <c r="VCX39" s="16"/>
      <c r="VCY39" s="16"/>
      <c r="VCZ39" s="16"/>
      <c r="VDA39" s="16"/>
      <c r="VDB39" s="16"/>
      <c r="VDC39" s="16"/>
      <c r="VDD39" s="16"/>
      <c r="VDE39" s="16"/>
      <c r="VDF39" s="16"/>
      <c r="VDG39" s="16"/>
      <c r="VDH39" s="16"/>
      <c r="VDI39" s="16"/>
      <c r="VDJ39" s="16"/>
      <c r="VDK39" s="16"/>
      <c r="VDL39" s="16"/>
      <c r="VDM39" s="16"/>
      <c r="VDN39" s="16"/>
      <c r="VDO39" s="16"/>
      <c r="VDP39" s="16"/>
      <c r="VDQ39" s="16"/>
      <c r="VDR39" s="16"/>
      <c r="VDS39" s="16"/>
      <c r="VDT39" s="16"/>
      <c r="VDU39" s="16"/>
      <c r="VDV39" s="16"/>
      <c r="VDW39" s="16"/>
      <c r="VDX39" s="16"/>
      <c r="VDY39" s="16"/>
      <c r="VDZ39" s="16"/>
      <c r="VEA39" s="16"/>
      <c r="VEB39" s="16"/>
      <c r="VEC39" s="16"/>
      <c r="VED39" s="16"/>
      <c r="VEE39" s="16"/>
      <c r="VEF39" s="16"/>
      <c r="VEG39" s="16"/>
      <c r="VEH39" s="16"/>
      <c r="VEI39" s="16"/>
      <c r="VEJ39" s="16"/>
      <c r="VEK39" s="16"/>
      <c r="VEL39" s="16"/>
      <c r="VEM39" s="16"/>
      <c r="VEN39" s="16"/>
      <c r="VEO39" s="16"/>
      <c r="VEP39" s="16"/>
      <c r="VEQ39" s="16"/>
      <c r="VER39" s="16"/>
      <c r="VES39" s="16"/>
      <c r="VET39" s="16"/>
      <c r="VEU39" s="16"/>
      <c r="VEV39" s="16"/>
      <c r="VEW39" s="16"/>
      <c r="VEX39" s="16"/>
    </row>
    <row r="40" spans="1:15026" s="1" customFormat="1" ht="15" customHeight="1">
      <c r="C40" s="15"/>
      <c r="D40" s="14" t="s">
        <v>70</v>
      </c>
      <c r="E40" s="256"/>
      <c r="F40" s="20" t="s">
        <v>14</v>
      </c>
      <c r="G40" s="33">
        <f>G41+G42</f>
        <v>0</v>
      </c>
      <c r="H40" s="33">
        <f>H41+H42</f>
        <v>0</v>
      </c>
      <c r="I40" s="33">
        <f t="shared" ref="I40:AK40" si="7">I41+I42</f>
        <v>0</v>
      </c>
      <c r="J40" s="33">
        <f t="shared" si="7"/>
        <v>0</v>
      </c>
      <c r="K40" s="33">
        <v>0</v>
      </c>
      <c r="L40" s="33">
        <f t="shared" si="7"/>
        <v>0</v>
      </c>
      <c r="M40" s="33">
        <f t="shared" si="7"/>
        <v>0</v>
      </c>
      <c r="N40" s="33">
        <f t="shared" si="7"/>
        <v>0</v>
      </c>
      <c r="O40" s="33">
        <f t="shared" si="7"/>
        <v>0</v>
      </c>
      <c r="P40" s="33">
        <f t="shared" si="7"/>
        <v>0</v>
      </c>
      <c r="Q40" s="33">
        <f t="shared" si="7"/>
        <v>0</v>
      </c>
      <c r="R40" s="33">
        <f t="shared" si="7"/>
        <v>0</v>
      </c>
      <c r="S40" s="1965">
        <v>0</v>
      </c>
      <c r="T40" s="33">
        <f t="shared" si="7"/>
        <v>0</v>
      </c>
      <c r="U40" s="33">
        <f t="shared" si="7"/>
        <v>0</v>
      </c>
      <c r="V40" s="33">
        <f t="shared" si="7"/>
        <v>0</v>
      </c>
      <c r="W40" s="33">
        <f t="shared" si="7"/>
        <v>0</v>
      </c>
      <c r="X40" s="33">
        <f t="shared" si="7"/>
        <v>0</v>
      </c>
      <c r="Y40" s="33"/>
      <c r="Z40" s="33"/>
      <c r="AA40" s="33">
        <f t="shared" si="7"/>
        <v>0</v>
      </c>
      <c r="AB40" s="33">
        <f t="shared" si="7"/>
        <v>0</v>
      </c>
      <c r="AC40" s="33">
        <v>0</v>
      </c>
      <c r="AD40" s="33">
        <f t="shared" si="7"/>
        <v>0</v>
      </c>
      <c r="AE40" s="33">
        <f t="shared" si="7"/>
        <v>0</v>
      </c>
      <c r="AF40" s="33">
        <f t="shared" si="7"/>
        <v>0</v>
      </c>
      <c r="AG40" s="33">
        <f t="shared" si="7"/>
        <v>0</v>
      </c>
      <c r="AH40" s="33">
        <f t="shared" si="7"/>
        <v>0</v>
      </c>
      <c r="AI40" s="33"/>
      <c r="AJ40" s="33"/>
      <c r="AK40" s="33">
        <f t="shared" si="7"/>
        <v>0</v>
      </c>
      <c r="AM40" s="55">
        <f>SUM(G40:AK40)</f>
        <v>0</v>
      </c>
      <c r="BI40" s="143"/>
    </row>
    <row r="41" spans="1:15026" s="1" customFormat="1" ht="15" customHeight="1">
      <c r="C41" s="15"/>
      <c r="D41" s="65" t="s">
        <v>109</v>
      </c>
      <c r="E41" s="256"/>
      <c r="F41" s="66" t="s">
        <v>14</v>
      </c>
      <c r="G41" s="271">
        <v>0</v>
      </c>
      <c r="H41" s="271">
        <v>0</v>
      </c>
      <c r="I41" s="271">
        <v>0</v>
      </c>
      <c r="J41" s="271">
        <v>0</v>
      </c>
      <c r="K41" s="271">
        <v>0</v>
      </c>
      <c r="L41" s="271">
        <v>0</v>
      </c>
      <c r="M41" s="271">
        <v>0</v>
      </c>
      <c r="N41" s="271">
        <v>0</v>
      </c>
      <c r="O41" s="271">
        <v>0</v>
      </c>
      <c r="P41" s="271">
        <v>0</v>
      </c>
      <c r="Q41" s="271">
        <v>0</v>
      </c>
      <c r="R41" s="271">
        <v>0</v>
      </c>
      <c r="S41" s="1971">
        <v>0</v>
      </c>
      <c r="T41" s="271">
        <v>0</v>
      </c>
      <c r="U41" s="271">
        <v>0</v>
      </c>
      <c r="V41" s="271">
        <v>0</v>
      </c>
      <c r="W41" s="271">
        <v>0</v>
      </c>
      <c r="X41" s="271">
        <v>0</v>
      </c>
      <c r="Y41" s="271"/>
      <c r="Z41" s="271"/>
      <c r="AA41" s="271">
        <v>0</v>
      </c>
      <c r="AB41" s="271">
        <v>0</v>
      </c>
      <c r="AC41" s="271">
        <v>0</v>
      </c>
      <c r="AD41" s="271">
        <v>0</v>
      </c>
      <c r="AE41" s="271">
        <v>0</v>
      </c>
      <c r="AF41" s="271">
        <v>0</v>
      </c>
      <c r="AG41" s="271">
        <v>0</v>
      </c>
      <c r="AH41" s="271"/>
      <c r="AI41" s="271"/>
      <c r="AJ41" s="271"/>
      <c r="AK41" s="271"/>
      <c r="AM41" s="58">
        <f>SUM(G41:AK41)</f>
        <v>0</v>
      </c>
      <c r="BI41" s="143"/>
    </row>
    <row r="42" spans="1:15026" s="1" customFormat="1" ht="15" customHeight="1">
      <c r="C42" s="15"/>
      <c r="D42" s="56" t="s">
        <v>73</v>
      </c>
      <c r="E42" s="256"/>
      <c r="F42" s="66" t="s">
        <v>14</v>
      </c>
      <c r="G42" s="272">
        <v>0</v>
      </c>
      <c r="H42" s="272">
        <v>0</v>
      </c>
      <c r="I42" s="272">
        <v>0</v>
      </c>
      <c r="J42" s="272">
        <v>0</v>
      </c>
      <c r="K42" s="272">
        <v>0</v>
      </c>
      <c r="L42" s="272">
        <v>0</v>
      </c>
      <c r="M42" s="272">
        <v>0</v>
      </c>
      <c r="N42" s="272">
        <v>0</v>
      </c>
      <c r="O42" s="272">
        <v>0</v>
      </c>
      <c r="P42" s="272">
        <v>0</v>
      </c>
      <c r="Q42" s="272">
        <v>0</v>
      </c>
      <c r="R42" s="272">
        <v>0</v>
      </c>
      <c r="S42" s="1972"/>
      <c r="T42" s="272"/>
      <c r="U42" s="272"/>
      <c r="V42" s="272">
        <v>0</v>
      </c>
      <c r="W42" s="272">
        <v>0</v>
      </c>
      <c r="X42" s="272"/>
      <c r="Y42" s="272"/>
      <c r="Z42" s="272"/>
      <c r="AA42" s="272"/>
      <c r="AB42" s="272"/>
      <c r="AC42" s="272"/>
      <c r="AD42" s="272"/>
      <c r="AE42" s="272"/>
      <c r="AF42" s="272"/>
      <c r="AG42" s="272">
        <v>0</v>
      </c>
      <c r="AH42" s="272"/>
      <c r="AI42" s="272"/>
      <c r="AJ42" s="272"/>
      <c r="AK42" s="272"/>
      <c r="AM42" s="58">
        <f>SUM(G42:AK42)</f>
        <v>0</v>
      </c>
      <c r="BI42" s="143"/>
    </row>
    <row r="43" spans="1:15026" s="71" customFormat="1">
      <c r="A43" s="63"/>
      <c r="B43" s="63"/>
      <c r="C43" s="69"/>
      <c r="D43" s="231" t="s">
        <v>110</v>
      </c>
      <c r="E43" s="306"/>
      <c r="F43" s="9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1968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63"/>
      <c r="AM43" s="67" t="s">
        <v>111</v>
      </c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144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3"/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3"/>
      <c r="GR43" s="63"/>
      <c r="GS43" s="63"/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3"/>
      <c r="HT43" s="63"/>
      <c r="HU43" s="63"/>
      <c r="HV43" s="63"/>
      <c r="HW43" s="63"/>
      <c r="HX43" s="63"/>
      <c r="HY43" s="63"/>
      <c r="HZ43" s="63"/>
      <c r="IA43" s="63"/>
      <c r="IB43" s="63"/>
      <c r="IC43" s="63"/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3"/>
      <c r="IO43" s="63"/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63"/>
      <c r="JE43" s="63"/>
      <c r="JF43" s="63"/>
      <c r="JG43" s="63"/>
      <c r="JH43" s="63"/>
      <c r="JI43" s="63"/>
      <c r="JJ43" s="63"/>
      <c r="JK43" s="63"/>
      <c r="JL43" s="63"/>
      <c r="JM43" s="63"/>
      <c r="JN43" s="63"/>
      <c r="JO43" s="63"/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63"/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63"/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  <c r="MN43" s="63"/>
      <c r="MO43" s="63"/>
      <c r="MP43" s="63"/>
      <c r="MQ43" s="63"/>
      <c r="MR43" s="63"/>
      <c r="MS43" s="63"/>
      <c r="MT43" s="63"/>
      <c r="MU43" s="63"/>
      <c r="MV43" s="63"/>
      <c r="MW43" s="63"/>
      <c r="MX43" s="63"/>
      <c r="MY43" s="63"/>
      <c r="MZ43" s="63"/>
      <c r="NA43" s="63"/>
      <c r="NB43" s="63"/>
      <c r="NC43" s="63"/>
      <c r="ND43" s="63"/>
      <c r="NE43" s="63"/>
      <c r="NF43" s="63"/>
      <c r="NG43" s="63"/>
      <c r="NH43" s="63"/>
      <c r="NI43" s="63"/>
      <c r="NJ43" s="63"/>
      <c r="NK43" s="63"/>
      <c r="NL43" s="63"/>
      <c r="NM43" s="63"/>
      <c r="NN43" s="63"/>
      <c r="NO43" s="63"/>
      <c r="NP43" s="63"/>
      <c r="NQ43" s="63"/>
      <c r="NR43" s="63"/>
      <c r="NS43" s="63"/>
      <c r="NT43" s="63"/>
      <c r="NU43" s="63"/>
      <c r="NV43" s="63"/>
      <c r="NW43" s="63"/>
      <c r="NX43" s="63"/>
      <c r="NY43" s="63"/>
      <c r="NZ43" s="63"/>
      <c r="OA43" s="63"/>
      <c r="OB43" s="63"/>
      <c r="OC43" s="63"/>
      <c r="OD43" s="63"/>
      <c r="OE43" s="63"/>
      <c r="OF43" s="63"/>
      <c r="OG43" s="63"/>
      <c r="OH43" s="63"/>
      <c r="OI43" s="63"/>
      <c r="OJ43" s="63"/>
      <c r="OK43" s="63"/>
      <c r="OL43" s="63"/>
      <c r="OM43" s="63"/>
      <c r="ON43" s="63"/>
      <c r="OO43" s="63"/>
      <c r="OP43" s="63"/>
      <c r="OQ43" s="63"/>
      <c r="OR43" s="63"/>
      <c r="OS43" s="63"/>
      <c r="OT43" s="63"/>
      <c r="OU43" s="63"/>
      <c r="OV43" s="63"/>
      <c r="OW43" s="63"/>
      <c r="OX43" s="63"/>
      <c r="OY43" s="63"/>
      <c r="OZ43" s="63"/>
      <c r="PA43" s="63"/>
      <c r="PB43" s="63"/>
      <c r="PC43" s="63"/>
      <c r="PD43" s="63"/>
      <c r="PE43" s="63"/>
      <c r="PF43" s="63"/>
      <c r="PG43" s="63"/>
      <c r="PH43" s="63"/>
      <c r="PI43" s="63"/>
      <c r="PJ43" s="63"/>
      <c r="PK43" s="63"/>
      <c r="PL43" s="63"/>
      <c r="PM43" s="63"/>
      <c r="PN43" s="63"/>
      <c r="PO43" s="63"/>
      <c r="PP43" s="63"/>
      <c r="PQ43" s="63"/>
      <c r="PR43" s="63"/>
      <c r="PS43" s="63"/>
      <c r="PT43" s="63"/>
      <c r="PU43" s="63"/>
      <c r="PV43" s="63"/>
      <c r="PW43" s="63"/>
      <c r="PX43" s="63"/>
      <c r="PY43" s="63"/>
      <c r="PZ43" s="63"/>
      <c r="QA43" s="63"/>
      <c r="QB43" s="63"/>
      <c r="QC43" s="63"/>
      <c r="QD43" s="63"/>
      <c r="QE43" s="63"/>
      <c r="QF43" s="63"/>
      <c r="QG43" s="63"/>
      <c r="QH43" s="63"/>
      <c r="QI43" s="63"/>
      <c r="QJ43" s="63"/>
      <c r="QK43" s="63"/>
      <c r="QL43" s="63"/>
      <c r="QM43" s="63"/>
      <c r="QN43" s="63"/>
      <c r="QO43" s="63"/>
      <c r="QP43" s="63"/>
      <c r="QQ43" s="63"/>
      <c r="QR43" s="63"/>
      <c r="QS43" s="63"/>
      <c r="QT43" s="63"/>
      <c r="QU43" s="63"/>
      <c r="QV43" s="63"/>
      <c r="QW43" s="63"/>
      <c r="QX43" s="63"/>
      <c r="QY43" s="63"/>
      <c r="QZ43" s="63"/>
      <c r="RA43" s="63"/>
      <c r="RB43" s="63"/>
      <c r="RC43" s="63"/>
      <c r="RD43" s="63"/>
      <c r="RE43" s="63"/>
      <c r="RF43" s="63"/>
      <c r="RG43" s="63"/>
      <c r="RH43" s="63"/>
      <c r="RI43" s="63"/>
      <c r="RJ43" s="63"/>
      <c r="RK43" s="63"/>
      <c r="RL43" s="63"/>
      <c r="RM43" s="63"/>
      <c r="RN43" s="63"/>
      <c r="RO43" s="63"/>
      <c r="RP43" s="63"/>
      <c r="RQ43" s="63"/>
      <c r="RR43" s="63"/>
      <c r="RS43" s="63"/>
      <c r="RT43" s="63"/>
      <c r="RU43" s="63"/>
      <c r="RV43" s="63"/>
      <c r="RW43" s="63"/>
      <c r="RX43" s="63"/>
      <c r="RY43" s="63"/>
      <c r="RZ43" s="63"/>
      <c r="SA43" s="63"/>
      <c r="SB43" s="63"/>
      <c r="SC43" s="63"/>
      <c r="SD43" s="63"/>
      <c r="SE43" s="63"/>
      <c r="SF43" s="63"/>
      <c r="SG43" s="63"/>
      <c r="SH43" s="63"/>
      <c r="SI43" s="63"/>
      <c r="SJ43" s="63"/>
      <c r="SK43" s="63"/>
      <c r="SL43" s="63"/>
      <c r="SM43" s="63"/>
      <c r="SN43" s="63"/>
      <c r="SO43" s="63"/>
      <c r="SP43" s="63"/>
      <c r="SQ43" s="63"/>
      <c r="SR43" s="63"/>
      <c r="SS43" s="63"/>
      <c r="ST43" s="63"/>
      <c r="SU43" s="63"/>
      <c r="SV43" s="63"/>
      <c r="SW43" s="63"/>
      <c r="SX43" s="63"/>
      <c r="SY43" s="63"/>
      <c r="SZ43" s="63"/>
      <c r="TA43" s="63"/>
      <c r="TB43" s="63"/>
      <c r="TC43" s="63"/>
      <c r="TD43" s="63"/>
      <c r="TE43" s="63"/>
      <c r="TF43" s="63"/>
      <c r="TG43" s="63"/>
      <c r="TH43" s="63"/>
      <c r="TI43" s="63"/>
      <c r="TJ43" s="63"/>
      <c r="TK43" s="63"/>
      <c r="TL43" s="63"/>
      <c r="TM43" s="63"/>
      <c r="TN43" s="63"/>
      <c r="TO43" s="63"/>
      <c r="TP43" s="63"/>
      <c r="TQ43" s="63"/>
      <c r="TR43" s="63"/>
      <c r="TS43" s="63"/>
      <c r="TT43" s="63"/>
      <c r="TU43" s="63"/>
      <c r="TV43" s="63"/>
      <c r="TW43" s="63"/>
      <c r="TX43" s="63"/>
      <c r="TY43" s="63"/>
      <c r="TZ43" s="63"/>
      <c r="UA43" s="63"/>
      <c r="UB43" s="63"/>
      <c r="UC43" s="63"/>
      <c r="UD43" s="63"/>
      <c r="UE43" s="63"/>
      <c r="UF43" s="63"/>
      <c r="UG43" s="63"/>
      <c r="UH43" s="63"/>
      <c r="UI43" s="63"/>
      <c r="UJ43" s="63"/>
      <c r="UK43" s="63"/>
      <c r="UL43" s="63"/>
      <c r="UM43" s="63"/>
      <c r="UN43" s="63"/>
      <c r="UO43" s="63"/>
      <c r="UP43" s="63"/>
      <c r="UQ43" s="63"/>
      <c r="UR43" s="63"/>
      <c r="US43" s="63"/>
      <c r="UT43" s="63"/>
      <c r="UU43" s="63"/>
      <c r="UV43" s="63"/>
      <c r="UW43" s="63"/>
      <c r="UX43" s="63"/>
      <c r="UY43" s="63"/>
      <c r="UZ43" s="63"/>
      <c r="VA43" s="63"/>
      <c r="VB43" s="63"/>
      <c r="VC43" s="63"/>
      <c r="VD43" s="63"/>
      <c r="VE43" s="63"/>
      <c r="VF43" s="63"/>
      <c r="VG43" s="63"/>
      <c r="VH43" s="63"/>
      <c r="VI43" s="63"/>
      <c r="VJ43" s="63"/>
      <c r="VK43" s="63"/>
      <c r="VL43" s="63"/>
      <c r="VM43" s="63"/>
      <c r="VN43" s="63"/>
      <c r="VO43" s="63"/>
      <c r="VP43" s="63"/>
      <c r="VQ43" s="63"/>
      <c r="VR43" s="63"/>
      <c r="VS43" s="63"/>
      <c r="VT43" s="63"/>
      <c r="VU43" s="63"/>
      <c r="VV43" s="63"/>
      <c r="VW43" s="63"/>
      <c r="VX43" s="63"/>
      <c r="VY43" s="63"/>
      <c r="VZ43" s="63"/>
      <c r="WA43" s="63"/>
      <c r="WB43" s="63"/>
      <c r="WC43" s="63"/>
      <c r="WD43" s="63"/>
      <c r="WE43" s="63"/>
      <c r="WF43" s="63"/>
      <c r="WG43" s="63"/>
      <c r="WH43" s="63"/>
      <c r="WI43" s="63"/>
      <c r="WJ43" s="63"/>
      <c r="WK43" s="63"/>
      <c r="WL43" s="63"/>
      <c r="WM43" s="63"/>
      <c r="WN43" s="63"/>
      <c r="WO43" s="63"/>
      <c r="WP43" s="63"/>
      <c r="WQ43" s="63"/>
      <c r="WR43" s="63"/>
      <c r="WS43" s="63"/>
      <c r="WT43" s="63"/>
      <c r="WU43" s="63"/>
      <c r="WV43" s="63"/>
      <c r="WW43" s="63"/>
      <c r="WX43" s="63"/>
      <c r="WY43" s="63"/>
      <c r="WZ43" s="63"/>
      <c r="XA43" s="63"/>
      <c r="XB43" s="63"/>
      <c r="XC43" s="63"/>
      <c r="XD43" s="63"/>
      <c r="XE43" s="63"/>
      <c r="XF43" s="63"/>
      <c r="XG43" s="63"/>
      <c r="XH43" s="63"/>
      <c r="XI43" s="63"/>
      <c r="XJ43" s="63"/>
      <c r="XK43" s="63"/>
      <c r="XL43" s="63"/>
      <c r="XM43" s="63"/>
      <c r="XN43" s="63"/>
      <c r="XO43" s="63"/>
      <c r="XP43" s="63"/>
      <c r="XQ43" s="63"/>
      <c r="XR43" s="63"/>
      <c r="XS43" s="63"/>
      <c r="XT43" s="63"/>
      <c r="XU43" s="63"/>
      <c r="XV43" s="63"/>
      <c r="XW43" s="63"/>
      <c r="XX43" s="63"/>
      <c r="XY43" s="63"/>
      <c r="XZ43" s="63"/>
      <c r="YA43" s="63"/>
      <c r="YB43" s="63"/>
      <c r="YC43" s="63"/>
      <c r="YD43" s="63"/>
      <c r="YE43" s="63"/>
      <c r="YF43" s="63"/>
      <c r="YG43" s="63"/>
      <c r="YH43" s="63"/>
      <c r="YI43" s="63"/>
      <c r="YJ43" s="63"/>
      <c r="YK43" s="63"/>
      <c r="YL43" s="63"/>
      <c r="YM43" s="63"/>
      <c r="YN43" s="63"/>
      <c r="YO43" s="63"/>
      <c r="YP43" s="63"/>
      <c r="YQ43" s="63"/>
      <c r="YR43" s="63"/>
      <c r="YS43" s="63"/>
      <c r="YT43" s="63"/>
      <c r="YU43" s="63"/>
      <c r="YV43" s="63"/>
      <c r="YW43" s="63"/>
      <c r="YX43" s="63"/>
      <c r="YY43" s="63"/>
      <c r="YZ43" s="63"/>
      <c r="ZA43" s="63"/>
      <c r="ZB43" s="63"/>
      <c r="ZC43" s="63"/>
      <c r="ZD43" s="63"/>
      <c r="ZE43" s="63"/>
      <c r="ZF43" s="63"/>
      <c r="ZG43" s="63"/>
      <c r="ZH43" s="63"/>
      <c r="ZI43" s="63"/>
      <c r="ZJ43" s="63"/>
      <c r="ZK43" s="63"/>
      <c r="ZL43" s="63"/>
      <c r="ZM43" s="63"/>
      <c r="ZN43" s="63"/>
      <c r="ZO43" s="63"/>
      <c r="ZP43" s="63"/>
      <c r="ZQ43" s="63"/>
      <c r="ZR43" s="63"/>
      <c r="ZS43" s="63"/>
      <c r="ZT43" s="63"/>
      <c r="ZU43" s="63"/>
      <c r="ZV43" s="63"/>
      <c r="ZW43" s="63"/>
      <c r="ZX43" s="63"/>
      <c r="ZY43" s="63"/>
      <c r="ZZ43" s="63"/>
      <c r="AAA43" s="63"/>
      <c r="AAB43" s="63"/>
      <c r="AAC43" s="63"/>
      <c r="AAD43" s="63"/>
      <c r="AAE43" s="63"/>
      <c r="AAF43" s="63"/>
      <c r="AAG43" s="63"/>
      <c r="AAH43" s="63"/>
      <c r="AAI43" s="63"/>
      <c r="AAJ43" s="63"/>
      <c r="AAK43" s="63"/>
      <c r="AAL43" s="63"/>
      <c r="AAM43" s="63"/>
      <c r="AAN43" s="63"/>
      <c r="AAO43" s="63"/>
      <c r="AAP43" s="63"/>
      <c r="AAQ43" s="63"/>
      <c r="AAR43" s="63"/>
      <c r="AAS43" s="63"/>
      <c r="AAT43" s="63"/>
      <c r="AAU43" s="63"/>
      <c r="AAV43" s="63"/>
      <c r="AAW43" s="63"/>
      <c r="AAX43" s="63"/>
      <c r="AAY43" s="63"/>
      <c r="AAZ43" s="63"/>
      <c r="ABA43" s="63"/>
      <c r="ABB43" s="63"/>
      <c r="ABC43" s="63"/>
      <c r="ABD43" s="63"/>
      <c r="ABE43" s="63"/>
      <c r="ABF43" s="63"/>
      <c r="ABG43" s="63"/>
      <c r="ABH43" s="63"/>
      <c r="ABI43" s="63"/>
      <c r="ABJ43" s="63"/>
      <c r="ABK43" s="63"/>
      <c r="ABL43" s="63"/>
      <c r="ABM43" s="63"/>
      <c r="ABN43" s="63"/>
      <c r="ABO43" s="63"/>
      <c r="ABP43" s="63"/>
      <c r="ABQ43" s="63"/>
      <c r="ABR43" s="63"/>
      <c r="ABS43" s="63"/>
      <c r="ABT43" s="63"/>
      <c r="ABU43" s="63"/>
      <c r="ABV43" s="63"/>
      <c r="ABW43" s="63"/>
      <c r="ABX43" s="63"/>
      <c r="ABY43" s="63"/>
      <c r="ABZ43" s="63"/>
      <c r="ACA43" s="63"/>
      <c r="ACB43" s="63"/>
      <c r="ACC43" s="63"/>
      <c r="ACD43" s="63"/>
      <c r="ACE43" s="63"/>
      <c r="ACF43" s="63"/>
      <c r="ACG43" s="63"/>
      <c r="ACH43" s="63"/>
      <c r="ACI43" s="63"/>
      <c r="ACJ43" s="63"/>
      <c r="ACK43" s="63"/>
      <c r="ACL43" s="63"/>
      <c r="ACM43" s="63"/>
      <c r="ACN43" s="63"/>
      <c r="ACO43" s="63"/>
      <c r="ACP43" s="63"/>
      <c r="ACQ43" s="63"/>
      <c r="ACR43" s="63"/>
      <c r="ACS43" s="63"/>
      <c r="ACT43" s="63"/>
      <c r="ACU43" s="63"/>
      <c r="ACV43" s="63"/>
      <c r="ACW43" s="63"/>
      <c r="ACX43" s="63"/>
      <c r="ACY43" s="63"/>
      <c r="ACZ43" s="63"/>
      <c r="ADA43" s="63"/>
      <c r="ADB43" s="63"/>
      <c r="ADC43" s="63"/>
      <c r="ADD43" s="63"/>
      <c r="ADE43" s="63"/>
      <c r="ADF43" s="63"/>
      <c r="ADG43" s="63"/>
      <c r="ADH43" s="63"/>
      <c r="ADI43" s="63"/>
      <c r="ADJ43" s="63"/>
      <c r="ADK43" s="63"/>
      <c r="ADL43" s="63"/>
      <c r="ADM43" s="63"/>
      <c r="ADN43" s="63"/>
      <c r="ADO43" s="63"/>
      <c r="ADP43" s="63"/>
      <c r="ADQ43" s="63"/>
      <c r="ADR43" s="63"/>
      <c r="ADS43" s="63"/>
      <c r="ADT43" s="63"/>
      <c r="ADU43" s="63"/>
      <c r="ADV43" s="63"/>
      <c r="ADW43" s="63"/>
      <c r="ADX43" s="63"/>
      <c r="ADY43" s="63"/>
      <c r="ADZ43" s="63"/>
      <c r="AEA43" s="63"/>
      <c r="AEB43" s="63"/>
      <c r="AEC43" s="63"/>
      <c r="AED43" s="63"/>
      <c r="AEE43" s="63"/>
      <c r="AEF43" s="63"/>
      <c r="AEG43" s="63"/>
      <c r="AEH43" s="63"/>
      <c r="AEI43" s="63"/>
      <c r="AEJ43" s="63"/>
      <c r="AEK43" s="63"/>
      <c r="AEL43" s="63"/>
      <c r="AEM43" s="63"/>
      <c r="AEN43" s="63"/>
      <c r="AEO43" s="63"/>
      <c r="AEP43" s="63"/>
      <c r="AEQ43" s="63"/>
      <c r="AER43" s="63"/>
      <c r="AES43" s="63"/>
      <c r="AET43" s="63"/>
      <c r="AEU43" s="63"/>
      <c r="AEV43" s="63"/>
      <c r="AEW43" s="63"/>
      <c r="AEX43" s="63"/>
      <c r="AEY43" s="63"/>
      <c r="AEZ43" s="63"/>
      <c r="AFA43" s="63"/>
      <c r="AFB43" s="63"/>
      <c r="AFC43" s="63"/>
      <c r="AFD43" s="63"/>
      <c r="AFE43" s="63"/>
      <c r="AFF43" s="63"/>
      <c r="AFG43" s="63"/>
      <c r="AFH43" s="63"/>
      <c r="AFI43" s="63"/>
      <c r="AFJ43" s="63"/>
      <c r="AFK43" s="63"/>
      <c r="AFL43" s="63"/>
      <c r="AFM43" s="63"/>
      <c r="AFN43" s="63"/>
      <c r="AFO43" s="63"/>
      <c r="AFP43" s="63"/>
      <c r="AFQ43" s="63"/>
      <c r="AFR43" s="63"/>
      <c r="AFS43" s="63"/>
      <c r="AFT43" s="63"/>
      <c r="AFU43" s="63"/>
      <c r="AFV43" s="63"/>
      <c r="AFW43" s="63"/>
      <c r="AFX43" s="63"/>
      <c r="AFY43" s="63"/>
      <c r="AFZ43" s="63"/>
      <c r="AGA43" s="63"/>
      <c r="AGB43" s="63"/>
      <c r="AGC43" s="63"/>
      <c r="AGD43" s="63"/>
      <c r="AGE43" s="63"/>
      <c r="AGF43" s="63"/>
      <c r="AGG43" s="63"/>
      <c r="AGH43" s="63"/>
      <c r="AGI43" s="63"/>
      <c r="AGJ43" s="63"/>
      <c r="AGK43" s="63"/>
      <c r="AGL43" s="63"/>
      <c r="AGM43" s="63"/>
      <c r="AGN43" s="63"/>
      <c r="AGO43" s="63"/>
      <c r="AGP43" s="63"/>
      <c r="AGQ43" s="63"/>
      <c r="AGR43" s="63"/>
      <c r="AGS43" s="63"/>
      <c r="AGT43" s="63"/>
      <c r="AGU43" s="63"/>
      <c r="AGV43" s="63"/>
      <c r="AGW43" s="63"/>
      <c r="AGX43" s="63"/>
      <c r="AGY43" s="63"/>
      <c r="AGZ43" s="63"/>
      <c r="AHA43" s="63"/>
      <c r="AHB43" s="63"/>
      <c r="AHC43" s="63"/>
      <c r="AHD43" s="63"/>
      <c r="AHE43" s="63"/>
      <c r="AHF43" s="63"/>
      <c r="AHG43" s="63"/>
      <c r="AHH43" s="63"/>
      <c r="AHI43" s="63"/>
      <c r="AHJ43" s="63"/>
      <c r="AHK43" s="63"/>
      <c r="AHL43" s="63"/>
      <c r="AHM43" s="63"/>
      <c r="AHN43" s="63"/>
      <c r="AHO43" s="63"/>
      <c r="AHP43" s="63"/>
      <c r="AHQ43" s="63"/>
      <c r="AHR43" s="63"/>
      <c r="AHS43" s="63"/>
      <c r="AHT43" s="63"/>
      <c r="AHU43" s="63"/>
      <c r="AHV43" s="63"/>
      <c r="AHW43" s="63"/>
      <c r="AHX43" s="63"/>
      <c r="AHY43" s="63"/>
      <c r="AHZ43" s="63"/>
      <c r="AIA43" s="63"/>
      <c r="AIB43" s="63"/>
      <c r="AIC43" s="63"/>
      <c r="AID43" s="63"/>
      <c r="AIE43" s="63"/>
      <c r="AIF43" s="63"/>
      <c r="AIG43" s="63"/>
      <c r="AIH43" s="63"/>
      <c r="AII43" s="63"/>
      <c r="AIJ43" s="63"/>
      <c r="AIK43" s="63"/>
      <c r="AIL43" s="63"/>
      <c r="AIM43" s="63"/>
      <c r="AIN43" s="63"/>
      <c r="AIO43" s="63"/>
      <c r="AIP43" s="63"/>
      <c r="AIQ43" s="63"/>
      <c r="AIR43" s="63"/>
      <c r="AIS43" s="63"/>
      <c r="AIT43" s="63"/>
      <c r="AIU43" s="63"/>
      <c r="AIV43" s="63"/>
      <c r="AIW43" s="63"/>
      <c r="AIX43" s="63"/>
      <c r="AIY43" s="63"/>
      <c r="AIZ43" s="63"/>
      <c r="AJA43" s="63"/>
      <c r="AJB43" s="63"/>
      <c r="AJC43" s="63"/>
      <c r="AJD43" s="63"/>
      <c r="AJE43" s="63"/>
      <c r="AJF43" s="63"/>
      <c r="AJG43" s="63"/>
      <c r="AJH43" s="63"/>
      <c r="AJI43" s="63"/>
      <c r="AJJ43" s="63"/>
      <c r="AJK43" s="63"/>
      <c r="AJL43" s="63"/>
      <c r="AJM43" s="63"/>
      <c r="AJN43" s="63"/>
      <c r="AJO43" s="63"/>
      <c r="AJP43" s="63"/>
      <c r="AJQ43" s="63"/>
      <c r="AJR43" s="63"/>
      <c r="AJS43" s="63"/>
      <c r="AJT43" s="63"/>
      <c r="AJU43" s="63"/>
      <c r="AJV43" s="63"/>
      <c r="AJW43" s="63"/>
      <c r="AJX43" s="63"/>
      <c r="AJY43" s="63"/>
      <c r="AJZ43" s="63"/>
      <c r="AKA43" s="63"/>
      <c r="AKB43" s="63"/>
      <c r="AKC43" s="63"/>
      <c r="AKD43" s="63"/>
      <c r="AKE43" s="63"/>
      <c r="AKF43" s="63"/>
      <c r="AKG43" s="63"/>
      <c r="AKH43" s="63"/>
      <c r="AKI43" s="63"/>
      <c r="AKJ43" s="63"/>
      <c r="AKK43" s="63"/>
      <c r="AKL43" s="63"/>
      <c r="AKM43" s="63"/>
      <c r="AKN43" s="63"/>
      <c r="AKO43" s="63"/>
      <c r="AKP43" s="63"/>
      <c r="AKQ43" s="63"/>
      <c r="AKR43" s="63"/>
      <c r="AKS43" s="63"/>
      <c r="AKT43" s="63"/>
      <c r="AKU43" s="63"/>
      <c r="AKV43" s="63"/>
      <c r="AKW43" s="63"/>
      <c r="AKX43" s="63"/>
      <c r="AKY43" s="63"/>
      <c r="AKZ43" s="63"/>
      <c r="ALA43" s="63"/>
      <c r="ALB43" s="63"/>
      <c r="ALC43" s="63"/>
      <c r="ALD43" s="63"/>
      <c r="ALE43" s="63"/>
      <c r="ALF43" s="63"/>
      <c r="ALG43" s="63"/>
      <c r="ALH43" s="63"/>
      <c r="ALI43" s="63"/>
      <c r="ALJ43" s="63"/>
      <c r="ALK43" s="63"/>
      <c r="ALL43" s="63"/>
      <c r="ALM43" s="63"/>
      <c r="ALN43" s="63"/>
      <c r="ALO43" s="63"/>
      <c r="ALP43" s="63"/>
      <c r="ALQ43" s="63"/>
      <c r="ALR43" s="63"/>
      <c r="ALS43" s="63"/>
      <c r="ALT43" s="63"/>
      <c r="ALU43" s="63"/>
      <c r="ALV43" s="63"/>
      <c r="ALW43" s="63"/>
      <c r="ALX43" s="63"/>
      <c r="ALY43" s="63"/>
      <c r="ALZ43" s="63"/>
      <c r="AMA43" s="63"/>
      <c r="AMB43" s="63"/>
      <c r="AMC43" s="63"/>
      <c r="AMD43" s="63"/>
      <c r="AME43" s="63"/>
      <c r="AMF43" s="63"/>
      <c r="AMG43" s="63"/>
      <c r="AMH43" s="63"/>
      <c r="AMI43" s="63"/>
      <c r="AMJ43" s="63"/>
      <c r="AMK43" s="63"/>
      <c r="AML43" s="63"/>
      <c r="AMM43" s="63"/>
      <c r="AMN43" s="63"/>
      <c r="AMO43" s="63"/>
      <c r="AMP43" s="63"/>
      <c r="AMQ43" s="63"/>
      <c r="AMR43" s="63"/>
      <c r="AMS43" s="63"/>
      <c r="AMT43" s="63"/>
      <c r="AMU43" s="63"/>
      <c r="AMV43" s="63"/>
      <c r="AMW43" s="63"/>
      <c r="AMX43" s="63"/>
      <c r="AMY43" s="63"/>
      <c r="AMZ43" s="63"/>
      <c r="ANA43" s="63"/>
      <c r="ANB43" s="63"/>
      <c r="ANC43" s="63"/>
      <c r="AND43" s="63"/>
      <c r="ANE43" s="63"/>
      <c r="ANF43" s="63"/>
      <c r="ANG43" s="63"/>
      <c r="ANH43" s="63"/>
      <c r="ANI43" s="63"/>
      <c r="ANJ43" s="63"/>
      <c r="ANK43" s="63"/>
      <c r="ANL43" s="63"/>
      <c r="ANM43" s="63"/>
      <c r="ANN43" s="63"/>
      <c r="ANO43" s="63"/>
      <c r="ANP43" s="63"/>
      <c r="ANQ43" s="63"/>
      <c r="ANR43" s="63"/>
      <c r="ANS43" s="63"/>
      <c r="ANT43" s="63"/>
      <c r="ANU43" s="63"/>
      <c r="ANV43" s="63"/>
      <c r="ANW43" s="63"/>
      <c r="ANX43" s="63"/>
      <c r="ANY43" s="63"/>
      <c r="ANZ43" s="63"/>
      <c r="AOA43" s="63"/>
      <c r="AOB43" s="63"/>
      <c r="AOC43" s="63"/>
      <c r="AOD43" s="63"/>
      <c r="AOE43" s="63"/>
      <c r="AOF43" s="63"/>
      <c r="AOG43" s="63"/>
      <c r="AOH43" s="63"/>
      <c r="AOI43" s="63"/>
      <c r="AOJ43" s="63"/>
      <c r="AOK43" s="63"/>
      <c r="AOL43" s="63"/>
      <c r="AOM43" s="63"/>
      <c r="AON43" s="63"/>
      <c r="AOO43" s="63"/>
      <c r="AOP43" s="63"/>
      <c r="AOQ43" s="63"/>
      <c r="AOR43" s="63"/>
      <c r="AOS43" s="63"/>
      <c r="AOT43" s="63"/>
      <c r="AOU43" s="63"/>
      <c r="AOV43" s="63"/>
      <c r="AOW43" s="63"/>
      <c r="AOX43" s="63"/>
      <c r="AOY43" s="63"/>
      <c r="AOZ43" s="63"/>
      <c r="APA43" s="63"/>
      <c r="APB43" s="63"/>
      <c r="APC43" s="63"/>
      <c r="APD43" s="63"/>
      <c r="APE43" s="63"/>
      <c r="APF43" s="63"/>
      <c r="APG43" s="63"/>
      <c r="APH43" s="63"/>
      <c r="API43" s="63"/>
      <c r="APJ43" s="63"/>
      <c r="APK43" s="63"/>
      <c r="APL43" s="63"/>
      <c r="APM43" s="63"/>
      <c r="APN43" s="63"/>
      <c r="APO43" s="63"/>
      <c r="APP43" s="63"/>
      <c r="APQ43" s="63"/>
      <c r="APR43" s="63"/>
      <c r="APS43" s="63"/>
      <c r="APT43" s="63"/>
      <c r="APU43" s="63"/>
      <c r="APV43" s="63"/>
      <c r="APW43" s="63"/>
      <c r="APX43" s="63"/>
      <c r="APY43" s="63"/>
      <c r="APZ43" s="63"/>
      <c r="AQA43" s="63"/>
      <c r="AQB43" s="63"/>
      <c r="AQC43" s="63"/>
      <c r="AQD43" s="63"/>
      <c r="AQE43" s="63"/>
      <c r="AQF43" s="63"/>
      <c r="AQG43" s="63"/>
      <c r="AQH43" s="63"/>
      <c r="AQI43" s="63"/>
      <c r="AQJ43" s="63"/>
      <c r="AQK43" s="63"/>
      <c r="AQL43" s="63"/>
      <c r="AQM43" s="63"/>
      <c r="AQN43" s="63"/>
      <c r="AQO43" s="63"/>
      <c r="AQP43" s="63"/>
      <c r="AQQ43" s="63"/>
      <c r="AQR43" s="63"/>
      <c r="AQS43" s="63"/>
      <c r="AQT43" s="63"/>
      <c r="AQU43" s="63"/>
      <c r="AQV43" s="63"/>
      <c r="AQW43" s="63"/>
      <c r="AQX43" s="63"/>
      <c r="AQY43" s="63"/>
      <c r="AQZ43" s="63"/>
      <c r="ARA43" s="63"/>
      <c r="ARB43" s="63"/>
      <c r="ARC43" s="63"/>
      <c r="ARD43" s="63"/>
      <c r="ARE43" s="63"/>
      <c r="ARF43" s="63"/>
      <c r="ARG43" s="63"/>
      <c r="ARH43" s="63"/>
      <c r="ARI43" s="63"/>
      <c r="ARJ43" s="63"/>
      <c r="ARK43" s="63"/>
      <c r="ARL43" s="63"/>
      <c r="ARM43" s="63"/>
      <c r="ARN43" s="63"/>
      <c r="ARO43" s="63"/>
      <c r="ARP43" s="63"/>
      <c r="ARQ43" s="63"/>
      <c r="ARR43" s="63"/>
      <c r="ARS43" s="63"/>
      <c r="ART43" s="63"/>
      <c r="ARU43" s="63"/>
      <c r="ARV43" s="63"/>
      <c r="ARW43" s="63"/>
      <c r="ARX43" s="63"/>
      <c r="ARY43" s="63"/>
      <c r="ARZ43" s="63"/>
      <c r="ASA43" s="63"/>
      <c r="ASB43" s="63"/>
      <c r="ASC43" s="63"/>
      <c r="ASD43" s="63"/>
      <c r="ASE43" s="63"/>
      <c r="ASF43" s="63"/>
      <c r="ASG43" s="63"/>
      <c r="ASH43" s="63"/>
      <c r="ASI43" s="63"/>
      <c r="ASJ43" s="63"/>
      <c r="ASK43" s="63"/>
      <c r="ASL43" s="63"/>
      <c r="ASM43" s="63"/>
      <c r="ASN43" s="63"/>
      <c r="ASO43" s="63"/>
      <c r="ASP43" s="63"/>
      <c r="ASQ43" s="63"/>
      <c r="ASR43" s="63"/>
      <c r="ASS43" s="63"/>
      <c r="AST43" s="63"/>
      <c r="ASU43" s="63"/>
      <c r="ASV43" s="63"/>
      <c r="ASW43" s="63"/>
      <c r="ASX43" s="63"/>
      <c r="ASY43" s="63"/>
      <c r="ASZ43" s="63"/>
      <c r="ATA43" s="63"/>
      <c r="ATB43" s="63"/>
      <c r="ATC43" s="63"/>
      <c r="ATD43" s="63"/>
      <c r="ATE43" s="63"/>
      <c r="ATF43" s="63"/>
      <c r="ATG43" s="63"/>
      <c r="ATH43" s="63"/>
      <c r="ATI43" s="63"/>
      <c r="ATJ43" s="63"/>
      <c r="ATK43" s="63"/>
      <c r="ATL43" s="63"/>
      <c r="ATM43" s="63"/>
      <c r="ATN43" s="63"/>
      <c r="ATO43" s="63"/>
      <c r="ATP43" s="63"/>
      <c r="ATQ43" s="63"/>
      <c r="ATR43" s="63"/>
      <c r="ATS43" s="63"/>
      <c r="ATT43" s="63"/>
      <c r="ATU43" s="63"/>
      <c r="ATV43" s="63"/>
      <c r="ATW43" s="63"/>
      <c r="ATX43" s="63"/>
      <c r="ATY43" s="63"/>
      <c r="ATZ43" s="63"/>
      <c r="AUA43" s="63"/>
      <c r="AUB43" s="63"/>
      <c r="AUC43" s="63"/>
      <c r="AUD43" s="63"/>
      <c r="AUE43" s="63"/>
      <c r="AUF43" s="63"/>
      <c r="AUG43" s="63"/>
      <c r="AUH43" s="63"/>
      <c r="AUI43" s="63"/>
      <c r="AUJ43" s="63"/>
      <c r="AUK43" s="63"/>
      <c r="AUL43" s="63"/>
      <c r="AUM43" s="63"/>
      <c r="AUN43" s="63"/>
      <c r="AUO43" s="63"/>
      <c r="AUP43" s="63"/>
      <c r="AUQ43" s="63"/>
      <c r="AUR43" s="63"/>
      <c r="AUS43" s="63"/>
      <c r="AUT43" s="63"/>
      <c r="AUU43" s="63"/>
      <c r="AUV43" s="63"/>
      <c r="AUW43" s="63"/>
      <c r="AUX43" s="63"/>
      <c r="AUY43" s="63"/>
      <c r="AUZ43" s="63"/>
      <c r="AVA43" s="63"/>
      <c r="AVB43" s="63"/>
      <c r="AVC43" s="63"/>
      <c r="AVD43" s="63"/>
      <c r="AVE43" s="63"/>
      <c r="AVF43" s="63"/>
      <c r="AVG43" s="63"/>
      <c r="AVH43" s="63"/>
      <c r="AVI43" s="63"/>
      <c r="AVJ43" s="63"/>
      <c r="AVK43" s="63"/>
      <c r="AVL43" s="63"/>
      <c r="AVM43" s="63"/>
      <c r="AVN43" s="63"/>
      <c r="AVO43" s="63"/>
      <c r="AVP43" s="63"/>
      <c r="AVQ43" s="63"/>
      <c r="AVR43" s="63"/>
      <c r="AVS43" s="63"/>
      <c r="AVT43" s="63"/>
      <c r="AVU43" s="63"/>
      <c r="AVV43" s="63"/>
      <c r="AVW43" s="63"/>
      <c r="AVX43" s="63"/>
      <c r="AVY43" s="63"/>
      <c r="AVZ43" s="63"/>
      <c r="AWA43" s="63"/>
      <c r="AWB43" s="63"/>
      <c r="AWC43" s="63"/>
      <c r="AWD43" s="63"/>
      <c r="AWE43" s="63"/>
      <c r="AWF43" s="63"/>
      <c r="AWG43" s="63"/>
      <c r="AWH43" s="63"/>
      <c r="AWI43" s="63"/>
      <c r="AWJ43" s="63"/>
      <c r="AWK43" s="63"/>
      <c r="AWL43" s="63"/>
      <c r="AWM43" s="63"/>
      <c r="AWN43" s="63"/>
      <c r="AWO43" s="63"/>
      <c r="AWP43" s="63"/>
      <c r="AWQ43" s="63"/>
      <c r="AWR43" s="63"/>
      <c r="AWS43" s="63"/>
      <c r="AWT43" s="63"/>
      <c r="AWU43" s="63"/>
      <c r="AWV43" s="63"/>
      <c r="AWW43" s="63"/>
      <c r="AWX43" s="63"/>
      <c r="AWY43" s="63"/>
      <c r="AWZ43" s="63"/>
      <c r="AXA43" s="63"/>
      <c r="AXB43" s="63"/>
      <c r="AXC43" s="63"/>
      <c r="AXD43" s="63"/>
      <c r="AXE43" s="63"/>
      <c r="AXF43" s="63"/>
      <c r="AXG43" s="63"/>
      <c r="AXH43" s="63"/>
      <c r="AXI43" s="63"/>
      <c r="AXJ43" s="63"/>
      <c r="AXK43" s="63"/>
      <c r="AXL43" s="63"/>
      <c r="AXM43" s="63"/>
      <c r="AXN43" s="63"/>
      <c r="AXO43" s="63"/>
      <c r="AXP43" s="63"/>
      <c r="AXQ43" s="63"/>
      <c r="AXR43" s="63"/>
      <c r="AXS43" s="63"/>
      <c r="AXT43" s="63"/>
      <c r="AXU43" s="63"/>
      <c r="AXV43" s="63"/>
      <c r="AXW43" s="63"/>
      <c r="AXX43" s="63"/>
      <c r="AXY43" s="63"/>
      <c r="AXZ43" s="63"/>
      <c r="AYA43" s="63"/>
      <c r="AYB43" s="63"/>
      <c r="AYC43" s="63"/>
      <c r="AYD43" s="63"/>
      <c r="AYE43" s="63"/>
      <c r="AYF43" s="63"/>
      <c r="AYG43" s="63"/>
      <c r="AYH43" s="63"/>
      <c r="AYI43" s="63"/>
      <c r="AYJ43" s="63"/>
      <c r="AYK43" s="63"/>
      <c r="AYL43" s="63"/>
      <c r="AYM43" s="63"/>
      <c r="AYN43" s="63"/>
      <c r="AYO43" s="63"/>
      <c r="AYP43" s="63"/>
      <c r="AYQ43" s="63"/>
      <c r="AYR43" s="63"/>
      <c r="AYS43" s="63"/>
      <c r="AYT43" s="63"/>
      <c r="AYU43" s="63"/>
      <c r="AYV43" s="63"/>
      <c r="AYW43" s="63"/>
      <c r="AYX43" s="63"/>
      <c r="AYY43" s="63"/>
      <c r="AYZ43" s="63"/>
      <c r="AZA43" s="63"/>
      <c r="AZB43" s="63"/>
      <c r="AZC43" s="63"/>
      <c r="AZD43" s="63"/>
      <c r="AZE43" s="63"/>
      <c r="AZF43" s="63"/>
      <c r="AZG43" s="63"/>
      <c r="AZH43" s="63"/>
      <c r="AZI43" s="63"/>
      <c r="AZJ43" s="63"/>
      <c r="AZK43" s="63"/>
      <c r="AZL43" s="63"/>
      <c r="AZM43" s="63"/>
      <c r="AZN43" s="63"/>
      <c r="AZO43" s="63"/>
      <c r="AZP43" s="63"/>
      <c r="AZQ43" s="63"/>
      <c r="AZR43" s="63"/>
      <c r="AZS43" s="63"/>
      <c r="AZT43" s="63"/>
      <c r="AZU43" s="63"/>
      <c r="AZV43" s="63"/>
      <c r="AZW43" s="63"/>
      <c r="AZX43" s="63"/>
      <c r="AZY43" s="63"/>
      <c r="AZZ43" s="63"/>
      <c r="BAA43" s="63"/>
      <c r="BAB43" s="63"/>
      <c r="BAC43" s="63"/>
      <c r="BAD43" s="63"/>
      <c r="BAE43" s="63"/>
      <c r="BAF43" s="63"/>
      <c r="BAG43" s="63"/>
      <c r="BAH43" s="63"/>
      <c r="BAI43" s="63"/>
      <c r="BAJ43" s="63"/>
      <c r="BAK43" s="63"/>
      <c r="BAL43" s="63"/>
      <c r="BAM43" s="63"/>
      <c r="BAN43" s="63"/>
      <c r="BAO43" s="63"/>
      <c r="BAP43" s="63"/>
      <c r="BAQ43" s="63"/>
      <c r="BAR43" s="63"/>
      <c r="BAS43" s="63"/>
      <c r="BAT43" s="63"/>
      <c r="BAU43" s="63"/>
      <c r="BAV43" s="63"/>
      <c r="BAW43" s="63"/>
      <c r="BAX43" s="63"/>
      <c r="BAY43" s="63"/>
      <c r="BAZ43" s="63"/>
      <c r="BBA43" s="63"/>
      <c r="BBB43" s="63"/>
      <c r="BBC43" s="63"/>
      <c r="BBD43" s="63"/>
      <c r="BBE43" s="63"/>
      <c r="BBF43" s="63"/>
      <c r="BBG43" s="63"/>
      <c r="BBH43" s="63"/>
      <c r="BBI43" s="63"/>
      <c r="BBJ43" s="63"/>
      <c r="BBK43" s="63"/>
      <c r="BBL43" s="63"/>
      <c r="BBM43" s="63"/>
      <c r="BBN43" s="63"/>
      <c r="BBO43" s="63"/>
      <c r="BBP43" s="63"/>
      <c r="BBQ43" s="63"/>
      <c r="BBR43" s="63"/>
      <c r="BBS43" s="63"/>
      <c r="BBT43" s="63"/>
      <c r="BBU43" s="63"/>
      <c r="BBV43" s="63"/>
      <c r="BBW43" s="63"/>
      <c r="BBX43" s="63"/>
      <c r="BBY43" s="63"/>
      <c r="BBZ43" s="63"/>
      <c r="BCA43" s="63"/>
      <c r="BCB43" s="63"/>
      <c r="BCC43" s="63"/>
      <c r="BCD43" s="63"/>
      <c r="BCE43" s="63"/>
      <c r="BCF43" s="63"/>
      <c r="BCG43" s="63"/>
      <c r="BCH43" s="63"/>
      <c r="BCI43" s="63"/>
      <c r="BCJ43" s="63"/>
      <c r="BCK43" s="63"/>
      <c r="BCL43" s="63"/>
      <c r="BCM43" s="63"/>
      <c r="BCN43" s="63"/>
      <c r="BCO43" s="63"/>
      <c r="BCP43" s="63"/>
      <c r="BCQ43" s="63"/>
      <c r="BCR43" s="63"/>
      <c r="BCS43" s="63"/>
      <c r="BCT43" s="63"/>
      <c r="BCU43" s="63"/>
      <c r="BCV43" s="63"/>
      <c r="BCW43" s="63"/>
      <c r="BCX43" s="63"/>
      <c r="BCY43" s="63"/>
      <c r="BCZ43" s="63"/>
      <c r="BDA43" s="63"/>
      <c r="BDB43" s="63"/>
      <c r="BDC43" s="63"/>
      <c r="BDD43" s="63"/>
      <c r="BDE43" s="63"/>
      <c r="BDF43" s="63"/>
      <c r="BDG43" s="63"/>
      <c r="BDH43" s="63"/>
      <c r="BDI43" s="63"/>
      <c r="BDJ43" s="63"/>
      <c r="BDK43" s="63"/>
      <c r="BDL43" s="63"/>
      <c r="BDM43" s="63"/>
      <c r="BDN43" s="63"/>
      <c r="BDO43" s="63"/>
      <c r="BDP43" s="63"/>
      <c r="BDQ43" s="63"/>
      <c r="BDR43" s="63"/>
      <c r="BDS43" s="63"/>
      <c r="BDT43" s="63"/>
      <c r="BDU43" s="63"/>
      <c r="BDV43" s="63"/>
      <c r="BDW43" s="63"/>
      <c r="BDX43" s="63"/>
      <c r="BDY43" s="63"/>
      <c r="BDZ43" s="63"/>
      <c r="BEA43" s="63"/>
      <c r="BEB43" s="63"/>
      <c r="BEC43" s="63"/>
      <c r="BED43" s="63"/>
      <c r="BEE43" s="63"/>
      <c r="BEF43" s="63"/>
      <c r="BEG43" s="63"/>
      <c r="BEH43" s="63"/>
      <c r="BEI43" s="63"/>
      <c r="BEJ43" s="63"/>
      <c r="BEK43" s="63"/>
      <c r="BEL43" s="63"/>
      <c r="BEM43" s="63"/>
      <c r="BEN43" s="63"/>
      <c r="BEO43" s="63"/>
      <c r="BEP43" s="63"/>
      <c r="BEQ43" s="63"/>
      <c r="BER43" s="63"/>
      <c r="BES43" s="63"/>
      <c r="BET43" s="63"/>
      <c r="BEU43" s="63"/>
      <c r="BEV43" s="63"/>
      <c r="BEW43" s="63"/>
      <c r="BEX43" s="63"/>
      <c r="BEY43" s="63"/>
      <c r="BEZ43" s="63"/>
      <c r="BFA43" s="63"/>
      <c r="BFB43" s="63"/>
      <c r="BFC43" s="63"/>
      <c r="BFD43" s="63"/>
      <c r="BFE43" s="63"/>
      <c r="BFF43" s="63"/>
      <c r="BFG43" s="63"/>
      <c r="BFH43" s="63"/>
      <c r="BFI43" s="63"/>
      <c r="BFJ43" s="63"/>
      <c r="BFK43" s="63"/>
      <c r="BFL43" s="63"/>
      <c r="BFM43" s="63"/>
      <c r="BFN43" s="63"/>
      <c r="BFO43" s="63"/>
      <c r="BFP43" s="63"/>
      <c r="BFQ43" s="63"/>
      <c r="BFR43" s="63"/>
      <c r="BFS43" s="63"/>
      <c r="BFT43" s="63"/>
      <c r="BFU43" s="63"/>
      <c r="BFV43" s="63"/>
      <c r="BFW43" s="63"/>
      <c r="BFX43" s="63"/>
      <c r="BFY43" s="63"/>
      <c r="BFZ43" s="63"/>
      <c r="BGA43" s="63"/>
      <c r="BGB43" s="63"/>
      <c r="BGC43" s="63"/>
      <c r="BGD43" s="63"/>
      <c r="BGE43" s="63"/>
      <c r="BGF43" s="63"/>
      <c r="BGG43" s="63"/>
      <c r="BGH43" s="63"/>
      <c r="BGI43" s="63"/>
      <c r="BGJ43" s="63"/>
      <c r="BGK43" s="63"/>
      <c r="BGL43" s="63"/>
      <c r="BGM43" s="63"/>
      <c r="BGN43" s="63"/>
      <c r="BGO43" s="63"/>
      <c r="BGP43" s="63"/>
      <c r="BGQ43" s="63"/>
      <c r="BGR43" s="63"/>
      <c r="BGS43" s="63"/>
      <c r="BGT43" s="63"/>
      <c r="BGU43" s="63"/>
      <c r="BGV43" s="63"/>
      <c r="BGW43" s="63"/>
      <c r="BGX43" s="63"/>
      <c r="BGY43" s="63"/>
      <c r="BGZ43" s="63"/>
      <c r="BHA43" s="63"/>
      <c r="BHB43" s="63"/>
      <c r="BHC43" s="63"/>
      <c r="BHD43" s="63"/>
      <c r="BHE43" s="63"/>
      <c r="BHF43" s="63"/>
      <c r="BHG43" s="63"/>
      <c r="BHH43" s="63"/>
      <c r="BHI43" s="63"/>
      <c r="BHJ43" s="63"/>
      <c r="BHK43" s="63"/>
      <c r="BHL43" s="63"/>
      <c r="BHM43" s="63"/>
      <c r="BHN43" s="63"/>
      <c r="BHO43" s="63"/>
      <c r="BHP43" s="63"/>
      <c r="BHQ43" s="63"/>
      <c r="BHR43" s="63"/>
      <c r="BHS43" s="63"/>
      <c r="BHT43" s="63"/>
      <c r="BHU43" s="63"/>
      <c r="BHV43" s="63"/>
      <c r="BHW43" s="63"/>
      <c r="BHX43" s="63"/>
      <c r="BHY43" s="63"/>
      <c r="BHZ43" s="63"/>
      <c r="BIA43" s="63"/>
      <c r="BIB43" s="63"/>
      <c r="BIC43" s="63"/>
      <c r="BID43" s="63"/>
      <c r="BIE43" s="63"/>
      <c r="BIF43" s="63"/>
      <c r="BIG43" s="63"/>
      <c r="BIH43" s="63"/>
      <c r="BII43" s="63"/>
      <c r="BIJ43" s="63"/>
      <c r="BIK43" s="63"/>
      <c r="BIL43" s="63"/>
      <c r="BIM43" s="63"/>
      <c r="BIN43" s="63"/>
      <c r="BIO43" s="63"/>
      <c r="BIP43" s="63"/>
      <c r="BIQ43" s="63"/>
      <c r="BIR43" s="63"/>
      <c r="BIS43" s="63"/>
      <c r="BIT43" s="63"/>
      <c r="BIU43" s="63"/>
      <c r="BIV43" s="63"/>
      <c r="BIW43" s="63"/>
      <c r="BIX43" s="63"/>
      <c r="BIY43" s="63"/>
      <c r="BIZ43" s="63"/>
      <c r="BJA43" s="63"/>
      <c r="BJB43" s="63"/>
      <c r="BJC43" s="63"/>
      <c r="BJD43" s="63"/>
      <c r="BJE43" s="63"/>
      <c r="BJF43" s="63"/>
      <c r="BJG43" s="63"/>
      <c r="BJH43" s="63"/>
      <c r="BJI43" s="63"/>
      <c r="BJJ43" s="63"/>
      <c r="BJK43" s="63"/>
      <c r="BJL43" s="63"/>
      <c r="BJM43" s="63"/>
      <c r="BJN43" s="63"/>
      <c r="BJO43" s="63"/>
      <c r="BJP43" s="63"/>
      <c r="BJQ43" s="63"/>
      <c r="BJR43" s="63"/>
      <c r="BJS43" s="63"/>
      <c r="BJT43" s="63"/>
      <c r="BJU43" s="63"/>
      <c r="BJV43" s="63"/>
      <c r="BJW43" s="63"/>
      <c r="BJX43" s="63"/>
      <c r="BJY43" s="63"/>
      <c r="BJZ43" s="63"/>
      <c r="BKA43" s="63"/>
      <c r="BKB43" s="63"/>
      <c r="BKC43" s="63"/>
      <c r="BKD43" s="63"/>
      <c r="BKE43" s="63"/>
      <c r="BKF43" s="63"/>
      <c r="BKG43" s="63"/>
      <c r="BKH43" s="63"/>
      <c r="BKI43" s="63"/>
      <c r="BKJ43" s="63"/>
      <c r="BKK43" s="63"/>
      <c r="BKL43" s="63"/>
      <c r="BKM43" s="63"/>
      <c r="BKN43" s="63"/>
      <c r="BKO43" s="63"/>
      <c r="BKP43" s="63"/>
      <c r="BKQ43" s="63"/>
      <c r="BKR43" s="63"/>
      <c r="BKS43" s="63"/>
      <c r="BKT43" s="63"/>
      <c r="BKU43" s="63"/>
      <c r="BKV43" s="63"/>
      <c r="BKW43" s="63"/>
      <c r="BKX43" s="63"/>
      <c r="BKY43" s="63"/>
      <c r="BKZ43" s="63"/>
      <c r="BLA43" s="63"/>
      <c r="BLB43" s="63"/>
      <c r="BLC43" s="63"/>
      <c r="BLD43" s="63"/>
      <c r="BLE43" s="63"/>
      <c r="BLF43" s="63"/>
      <c r="BLG43" s="63"/>
      <c r="BLH43" s="63"/>
      <c r="BLI43" s="63"/>
      <c r="BLJ43" s="63"/>
      <c r="BLK43" s="63"/>
      <c r="BLL43" s="63"/>
      <c r="BLM43" s="63"/>
      <c r="BLN43" s="63"/>
      <c r="BLO43" s="63"/>
      <c r="BLP43" s="63"/>
      <c r="BLQ43" s="63"/>
      <c r="BLR43" s="63"/>
      <c r="BLS43" s="63"/>
      <c r="BLT43" s="63"/>
      <c r="BLU43" s="63"/>
      <c r="BLV43" s="63"/>
      <c r="BLW43" s="63"/>
      <c r="BLX43" s="63"/>
      <c r="BLY43" s="63"/>
      <c r="BLZ43" s="63"/>
      <c r="BMA43" s="63"/>
      <c r="BMB43" s="63"/>
      <c r="BMC43" s="63"/>
      <c r="BMD43" s="63"/>
      <c r="BME43" s="63"/>
      <c r="BMF43" s="63"/>
      <c r="BMG43" s="63"/>
      <c r="BMH43" s="63"/>
      <c r="BMI43" s="63"/>
      <c r="BMJ43" s="63"/>
      <c r="BMK43" s="63"/>
      <c r="BML43" s="63"/>
      <c r="BMM43" s="63"/>
      <c r="BMN43" s="63"/>
      <c r="BMO43" s="63"/>
      <c r="BMP43" s="63"/>
      <c r="BMQ43" s="63"/>
      <c r="BMR43" s="63"/>
      <c r="BMS43" s="63"/>
      <c r="BMT43" s="63"/>
      <c r="BMU43" s="63"/>
      <c r="BMV43" s="63"/>
      <c r="BMW43" s="63"/>
      <c r="BMX43" s="63"/>
      <c r="BMY43" s="63"/>
      <c r="BMZ43" s="63"/>
      <c r="BNA43" s="63"/>
      <c r="BNB43" s="63"/>
      <c r="BNC43" s="63"/>
      <c r="BND43" s="63"/>
      <c r="BNE43" s="63"/>
      <c r="BNF43" s="63"/>
      <c r="BNG43" s="63"/>
      <c r="BNH43" s="63"/>
      <c r="BNI43" s="63"/>
      <c r="BNJ43" s="63"/>
      <c r="BNK43" s="63"/>
      <c r="BNL43" s="63"/>
      <c r="BNM43" s="63"/>
      <c r="BNN43" s="63"/>
      <c r="BNO43" s="63"/>
      <c r="BNP43" s="63"/>
      <c r="BNQ43" s="63"/>
      <c r="BNR43" s="63"/>
      <c r="BNS43" s="63"/>
      <c r="BNT43" s="63"/>
      <c r="BNU43" s="63"/>
      <c r="BNV43" s="63"/>
      <c r="BNW43" s="63"/>
      <c r="BNX43" s="63"/>
      <c r="BNY43" s="63"/>
      <c r="BNZ43" s="63"/>
      <c r="BOA43" s="63"/>
      <c r="BOB43" s="63"/>
      <c r="BOC43" s="63"/>
      <c r="BOD43" s="63"/>
      <c r="BOE43" s="63"/>
      <c r="BOF43" s="63"/>
      <c r="BOG43" s="63"/>
      <c r="BOH43" s="63"/>
      <c r="BOI43" s="63"/>
      <c r="BOJ43" s="63"/>
      <c r="BOK43" s="63"/>
      <c r="BOL43" s="63"/>
      <c r="BOM43" s="63"/>
      <c r="BON43" s="63"/>
      <c r="BOO43" s="63"/>
      <c r="BOP43" s="63"/>
      <c r="BOQ43" s="63"/>
      <c r="BOR43" s="63"/>
      <c r="BOS43" s="63"/>
      <c r="BOT43" s="63"/>
      <c r="BOU43" s="63"/>
      <c r="BOV43" s="63"/>
      <c r="BOW43" s="63"/>
      <c r="BOX43" s="63"/>
      <c r="BOY43" s="63"/>
      <c r="BOZ43" s="63"/>
      <c r="BPA43" s="63"/>
      <c r="BPB43" s="63"/>
      <c r="BPC43" s="63"/>
      <c r="BPD43" s="63"/>
      <c r="BPE43" s="63"/>
      <c r="BPF43" s="63"/>
      <c r="BPG43" s="63"/>
      <c r="BPH43" s="63"/>
      <c r="BPI43" s="63"/>
      <c r="BPJ43" s="63"/>
      <c r="BPK43" s="63"/>
      <c r="BPL43" s="63"/>
      <c r="BPM43" s="63"/>
      <c r="BPN43" s="63"/>
      <c r="BPO43" s="63"/>
      <c r="BPP43" s="63"/>
      <c r="BPQ43" s="63"/>
      <c r="BPR43" s="63"/>
      <c r="BPS43" s="63"/>
      <c r="BPT43" s="63"/>
      <c r="BPU43" s="63"/>
      <c r="BPV43" s="63"/>
      <c r="BPW43" s="63"/>
      <c r="BPX43" s="63"/>
      <c r="BPY43" s="63"/>
      <c r="BPZ43" s="63"/>
      <c r="BQA43" s="63"/>
      <c r="BQB43" s="63"/>
      <c r="BQC43" s="63"/>
      <c r="BQD43" s="63"/>
      <c r="BQE43" s="63"/>
      <c r="BQF43" s="63"/>
      <c r="BQG43" s="63"/>
      <c r="BQH43" s="63"/>
      <c r="BQI43" s="63"/>
      <c r="BQJ43" s="63"/>
      <c r="BQK43" s="63"/>
      <c r="BQL43" s="63"/>
      <c r="BQM43" s="63"/>
      <c r="BQN43" s="63"/>
      <c r="BQO43" s="63"/>
      <c r="BQP43" s="63"/>
      <c r="BQQ43" s="63"/>
      <c r="BQR43" s="63"/>
      <c r="BQS43" s="63"/>
      <c r="BQT43" s="63"/>
      <c r="BQU43" s="63"/>
      <c r="BQV43" s="63"/>
      <c r="BQW43" s="63"/>
      <c r="BQX43" s="63"/>
      <c r="BQY43" s="63"/>
      <c r="BQZ43" s="63"/>
      <c r="BRA43" s="63"/>
      <c r="BRB43" s="63"/>
      <c r="BRC43" s="63"/>
      <c r="BRD43" s="63"/>
      <c r="BRE43" s="63"/>
      <c r="BRF43" s="63"/>
      <c r="BRG43" s="63"/>
      <c r="BRH43" s="63"/>
      <c r="BRI43" s="63"/>
      <c r="BRJ43" s="63"/>
      <c r="BRK43" s="63"/>
      <c r="BRL43" s="63"/>
      <c r="BRM43" s="63"/>
      <c r="BRN43" s="63"/>
      <c r="BRO43" s="63"/>
      <c r="BRP43" s="63"/>
      <c r="BRQ43" s="63"/>
      <c r="BRR43" s="63"/>
      <c r="BRS43" s="63"/>
      <c r="BRT43" s="63"/>
      <c r="BRU43" s="63"/>
      <c r="BRV43" s="63"/>
      <c r="BRW43" s="63"/>
      <c r="BRX43" s="63"/>
      <c r="BRY43" s="63"/>
      <c r="BRZ43" s="63"/>
      <c r="BSA43" s="63"/>
      <c r="BSB43" s="63"/>
      <c r="BSC43" s="63"/>
      <c r="BSD43" s="63"/>
      <c r="BSE43" s="63"/>
      <c r="BSF43" s="63"/>
      <c r="BSG43" s="63"/>
      <c r="BSH43" s="63"/>
      <c r="BSI43" s="63"/>
      <c r="BSJ43" s="63"/>
      <c r="BSK43" s="63"/>
      <c r="BSL43" s="63"/>
      <c r="BSM43" s="63"/>
      <c r="BSN43" s="63"/>
      <c r="BSO43" s="63"/>
      <c r="BSP43" s="63"/>
      <c r="BSQ43" s="63"/>
      <c r="BSR43" s="63"/>
      <c r="BSS43" s="63"/>
      <c r="BST43" s="63"/>
      <c r="BSU43" s="63"/>
      <c r="BSV43" s="63"/>
      <c r="BSW43" s="63"/>
      <c r="BSX43" s="63"/>
      <c r="BSY43" s="63"/>
      <c r="BSZ43" s="63"/>
      <c r="BTA43" s="63"/>
      <c r="BTB43" s="63"/>
      <c r="BTC43" s="63"/>
      <c r="BTD43" s="63"/>
      <c r="BTE43" s="63"/>
      <c r="BTF43" s="63"/>
      <c r="BTG43" s="63"/>
      <c r="BTH43" s="63"/>
      <c r="BTI43" s="63"/>
      <c r="BTJ43" s="63"/>
      <c r="BTK43" s="63"/>
      <c r="BTL43" s="63"/>
      <c r="BTM43" s="63"/>
      <c r="BTN43" s="63"/>
      <c r="BTO43" s="63"/>
      <c r="BTP43" s="63"/>
      <c r="BTQ43" s="63"/>
      <c r="BTR43" s="63"/>
      <c r="BTS43" s="63"/>
      <c r="BTT43" s="63"/>
      <c r="BTU43" s="63"/>
      <c r="BTV43" s="63"/>
      <c r="BTW43" s="63"/>
      <c r="BTX43" s="63"/>
      <c r="BTY43" s="63"/>
      <c r="BTZ43" s="63"/>
      <c r="BUA43" s="63"/>
      <c r="BUB43" s="63"/>
      <c r="BUC43" s="63"/>
      <c r="BUD43" s="63"/>
      <c r="BUE43" s="63"/>
      <c r="BUF43" s="63"/>
      <c r="BUG43" s="63"/>
      <c r="BUH43" s="63"/>
      <c r="BUI43" s="63"/>
      <c r="BUJ43" s="63"/>
      <c r="BUK43" s="63"/>
      <c r="BUL43" s="63"/>
      <c r="BUM43" s="63"/>
      <c r="BUN43" s="63"/>
      <c r="BUO43" s="63"/>
      <c r="BUP43" s="63"/>
      <c r="BUQ43" s="63"/>
      <c r="BUR43" s="63"/>
      <c r="BUS43" s="63"/>
      <c r="BUT43" s="63"/>
      <c r="BUU43" s="63"/>
      <c r="BUV43" s="63"/>
      <c r="BUW43" s="63"/>
      <c r="BUX43" s="63"/>
      <c r="BUY43" s="63"/>
      <c r="BUZ43" s="63"/>
      <c r="BVA43" s="63"/>
      <c r="BVB43" s="63"/>
      <c r="BVC43" s="63"/>
      <c r="BVD43" s="63"/>
      <c r="BVE43" s="63"/>
      <c r="BVF43" s="63"/>
      <c r="BVG43" s="63"/>
      <c r="BVH43" s="63"/>
      <c r="BVI43" s="63"/>
      <c r="BVJ43" s="63"/>
      <c r="BVK43" s="63"/>
      <c r="BVL43" s="63"/>
      <c r="BVM43" s="63"/>
      <c r="BVN43" s="63"/>
      <c r="BVO43" s="63"/>
      <c r="BVP43" s="63"/>
      <c r="BVQ43" s="63"/>
      <c r="BVR43" s="63"/>
      <c r="BVS43" s="63"/>
      <c r="BVT43" s="63"/>
      <c r="BVU43" s="63"/>
      <c r="BVV43" s="63"/>
      <c r="BVW43" s="63"/>
      <c r="BVX43" s="63"/>
      <c r="BVY43" s="63"/>
      <c r="BVZ43" s="63"/>
      <c r="BWA43" s="63"/>
      <c r="BWB43" s="63"/>
      <c r="BWC43" s="63"/>
      <c r="BWD43" s="63"/>
      <c r="BWE43" s="63"/>
      <c r="BWF43" s="63"/>
      <c r="BWG43" s="63"/>
      <c r="BWH43" s="63"/>
      <c r="BWI43" s="63"/>
      <c r="BWJ43" s="63"/>
      <c r="BWK43" s="63"/>
      <c r="BWL43" s="63"/>
      <c r="BWM43" s="63"/>
      <c r="BWN43" s="63"/>
      <c r="BWO43" s="63"/>
      <c r="BWP43" s="63"/>
      <c r="BWQ43" s="63"/>
      <c r="BWR43" s="63"/>
      <c r="BWS43" s="63"/>
      <c r="BWT43" s="63"/>
      <c r="BWU43" s="63"/>
      <c r="BWV43" s="63"/>
      <c r="BWW43" s="63"/>
      <c r="BWX43" s="63"/>
      <c r="BWY43" s="63"/>
      <c r="BWZ43" s="63"/>
      <c r="BXA43" s="63"/>
      <c r="BXB43" s="63"/>
      <c r="BXC43" s="63"/>
      <c r="BXD43" s="63"/>
      <c r="BXE43" s="63"/>
      <c r="BXF43" s="63"/>
      <c r="BXG43" s="63"/>
      <c r="BXH43" s="63"/>
      <c r="BXI43" s="63"/>
      <c r="BXJ43" s="63"/>
      <c r="BXK43" s="63"/>
      <c r="BXL43" s="63"/>
      <c r="BXM43" s="63"/>
      <c r="BXN43" s="63"/>
      <c r="BXO43" s="63"/>
      <c r="BXP43" s="63"/>
      <c r="BXQ43" s="63"/>
      <c r="BXR43" s="63"/>
      <c r="BXS43" s="63"/>
      <c r="BXT43" s="63"/>
      <c r="BXU43" s="63"/>
      <c r="BXV43" s="63"/>
      <c r="BXW43" s="63"/>
      <c r="BXX43" s="63"/>
      <c r="BXY43" s="63"/>
      <c r="BXZ43" s="63"/>
      <c r="BYA43" s="63"/>
      <c r="BYB43" s="63"/>
      <c r="BYC43" s="63"/>
      <c r="BYD43" s="63"/>
      <c r="BYE43" s="63"/>
      <c r="BYF43" s="63"/>
      <c r="BYG43" s="63"/>
      <c r="BYH43" s="63"/>
      <c r="BYI43" s="63"/>
      <c r="BYJ43" s="63"/>
      <c r="BYK43" s="63"/>
      <c r="BYL43" s="63"/>
      <c r="BYM43" s="63"/>
      <c r="BYN43" s="63"/>
      <c r="BYO43" s="63"/>
      <c r="BYP43" s="63"/>
      <c r="BYQ43" s="63"/>
      <c r="BYR43" s="63"/>
      <c r="BYS43" s="63"/>
      <c r="BYT43" s="63"/>
      <c r="BYU43" s="63"/>
      <c r="BYV43" s="63"/>
      <c r="BYW43" s="63"/>
      <c r="BYX43" s="63"/>
      <c r="BYY43" s="63"/>
      <c r="BYZ43" s="63"/>
      <c r="BZA43" s="63"/>
      <c r="BZB43" s="63"/>
      <c r="BZC43" s="63"/>
      <c r="BZD43" s="63"/>
      <c r="BZE43" s="63"/>
      <c r="BZF43" s="63"/>
      <c r="BZG43" s="63"/>
      <c r="BZH43" s="63"/>
      <c r="BZI43" s="63"/>
      <c r="BZJ43" s="63"/>
      <c r="BZK43" s="63"/>
      <c r="BZL43" s="63"/>
      <c r="BZM43" s="63"/>
      <c r="BZN43" s="63"/>
      <c r="BZO43" s="63"/>
      <c r="BZP43" s="63"/>
      <c r="BZQ43" s="63"/>
      <c r="BZR43" s="63"/>
      <c r="BZS43" s="63"/>
      <c r="BZT43" s="63"/>
      <c r="BZU43" s="63"/>
      <c r="BZV43" s="63"/>
      <c r="BZW43" s="63"/>
      <c r="BZX43" s="63"/>
      <c r="BZY43" s="63"/>
      <c r="BZZ43" s="63"/>
      <c r="CAA43" s="63"/>
      <c r="CAB43" s="63"/>
      <c r="CAC43" s="63"/>
      <c r="CAD43" s="63"/>
      <c r="CAE43" s="63"/>
      <c r="CAF43" s="63"/>
      <c r="CAG43" s="63"/>
      <c r="CAH43" s="63"/>
      <c r="CAI43" s="63"/>
      <c r="CAJ43" s="63"/>
      <c r="CAK43" s="63"/>
      <c r="CAL43" s="63"/>
      <c r="CAM43" s="63"/>
      <c r="CAN43" s="63"/>
      <c r="CAO43" s="63"/>
      <c r="CAP43" s="63"/>
      <c r="CAQ43" s="63"/>
      <c r="CAR43" s="63"/>
      <c r="CAS43" s="63"/>
      <c r="CAT43" s="63"/>
      <c r="CAU43" s="63"/>
      <c r="CAV43" s="63"/>
      <c r="CAW43" s="63"/>
      <c r="CAX43" s="63"/>
      <c r="CAY43" s="63"/>
      <c r="CAZ43" s="63"/>
      <c r="CBA43" s="63"/>
      <c r="CBB43" s="63"/>
      <c r="CBC43" s="63"/>
      <c r="CBD43" s="63"/>
      <c r="CBE43" s="63"/>
      <c r="CBF43" s="63"/>
      <c r="CBG43" s="63"/>
      <c r="CBH43" s="63"/>
      <c r="CBI43" s="63"/>
      <c r="CBJ43" s="63"/>
      <c r="CBK43" s="63"/>
      <c r="CBL43" s="63"/>
      <c r="CBM43" s="63"/>
      <c r="CBN43" s="63"/>
      <c r="CBO43" s="63"/>
      <c r="CBP43" s="63"/>
      <c r="CBQ43" s="63"/>
      <c r="CBR43" s="63"/>
      <c r="CBS43" s="63"/>
      <c r="CBT43" s="63"/>
      <c r="CBU43" s="63"/>
      <c r="CBV43" s="63"/>
      <c r="CBW43" s="63"/>
      <c r="CBX43" s="63"/>
      <c r="CBY43" s="63"/>
      <c r="CBZ43" s="63"/>
      <c r="CCA43" s="63"/>
      <c r="CCB43" s="63"/>
      <c r="CCC43" s="63"/>
      <c r="CCD43" s="63"/>
      <c r="CCE43" s="63"/>
      <c r="CCF43" s="63"/>
      <c r="CCG43" s="63"/>
      <c r="CCH43" s="63"/>
      <c r="CCI43" s="63"/>
      <c r="CCJ43" s="63"/>
      <c r="CCK43" s="63"/>
      <c r="CCL43" s="63"/>
      <c r="CCM43" s="63"/>
      <c r="CCN43" s="63"/>
      <c r="CCO43" s="63"/>
      <c r="CCP43" s="63"/>
      <c r="CCQ43" s="63"/>
      <c r="CCR43" s="63"/>
      <c r="CCS43" s="63"/>
      <c r="CCT43" s="63"/>
      <c r="CCU43" s="63"/>
      <c r="CCV43" s="63"/>
      <c r="CCW43" s="63"/>
      <c r="CCX43" s="63"/>
      <c r="CCY43" s="63"/>
      <c r="CCZ43" s="63"/>
      <c r="CDA43" s="63"/>
      <c r="CDB43" s="63"/>
      <c r="CDC43" s="63"/>
      <c r="CDD43" s="63"/>
      <c r="CDE43" s="63"/>
      <c r="CDF43" s="63"/>
      <c r="CDG43" s="63"/>
      <c r="CDH43" s="63"/>
      <c r="CDI43" s="63"/>
      <c r="CDJ43" s="63"/>
      <c r="CDK43" s="63"/>
      <c r="CDL43" s="63"/>
      <c r="CDM43" s="63"/>
      <c r="CDN43" s="63"/>
      <c r="CDO43" s="63"/>
      <c r="CDP43" s="63"/>
      <c r="CDQ43" s="63"/>
      <c r="CDR43" s="63"/>
      <c r="CDS43" s="63"/>
      <c r="CDT43" s="63"/>
      <c r="CDU43" s="63"/>
      <c r="CDV43" s="63"/>
      <c r="CDW43" s="63"/>
      <c r="CDX43" s="63"/>
      <c r="CDY43" s="63"/>
      <c r="CDZ43" s="63"/>
      <c r="CEA43" s="63"/>
      <c r="CEB43" s="63"/>
      <c r="CEC43" s="63"/>
      <c r="CED43" s="63"/>
      <c r="CEE43" s="63"/>
      <c r="CEF43" s="63"/>
      <c r="CEG43" s="63"/>
      <c r="CEH43" s="63"/>
      <c r="CEI43" s="63"/>
      <c r="CEJ43" s="63"/>
      <c r="CEK43" s="63"/>
      <c r="CEL43" s="63"/>
      <c r="CEM43" s="63"/>
      <c r="CEN43" s="63"/>
      <c r="CEO43" s="63"/>
      <c r="CEP43" s="63"/>
      <c r="CEQ43" s="63"/>
      <c r="CER43" s="63"/>
      <c r="CES43" s="63"/>
      <c r="CET43" s="63"/>
      <c r="CEU43" s="63"/>
      <c r="CEV43" s="63"/>
      <c r="CEW43" s="63"/>
      <c r="CEX43" s="63"/>
      <c r="CEY43" s="63"/>
      <c r="CEZ43" s="63"/>
      <c r="CFA43" s="63"/>
      <c r="CFB43" s="63"/>
      <c r="CFC43" s="63"/>
      <c r="CFD43" s="63"/>
      <c r="CFE43" s="63"/>
      <c r="CFF43" s="63"/>
      <c r="CFG43" s="63"/>
      <c r="CFH43" s="63"/>
      <c r="CFI43" s="63"/>
      <c r="CFJ43" s="63"/>
      <c r="CFK43" s="63"/>
      <c r="CFL43" s="63"/>
      <c r="CFM43" s="63"/>
      <c r="CFN43" s="63"/>
      <c r="CFO43" s="63"/>
      <c r="CFP43" s="63"/>
      <c r="CFQ43" s="63"/>
      <c r="CFR43" s="63"/>
      <c r="CFS43" s="63"/>
      <c r="CFT43" s="63"/>
      <c r="CFU43" s="63"/>
      <c r="CFV43" s="63"/>
      <c r="CFW43" s="63"/>
      <c r="CFX43" s="63"/>
      <c r="CFY43" s="63"/>
      <c r="CFZ43" s="63"/>
      <c r="CGA43" s="63"/>
      <c r="CGB43" s="63"/>
      <c r="CGC43" s="63"/>
      <c r="CGD43" s="63"/>
      <c r="CGE43" s="63"/>
      <c r="CGF43" s="63"/>
      <c r="CGG43" s="63"/>
      <c r="CGH43" s="63"/>
      <c r="CGI43" s="63"/>
      <c r="CGJ43" s="63"/>
      <c r="CGK43" s="63"/>
      <c r="CGL43" s="63"/>
      <c r="CGM43" s="63"/>
      <c r="CGN43" s="63"/>
      <c r="CGO43" s="63"/>
      <c r="CGP43" s="63"/>
      <c r="CGQ43" s="63"/>
      <c r="CGR43" s="63"/>
      <c r="CGS43" s="63"/>
      <c r="CGT43" s="63"/>
      <c r="CGU43" s="63"/>
      <c r="CGV43" s="63"/>
      <c r="CGW43" s="63"/>
      <c r="CGX43" s="63"/>
      <c r="CGY43" s="63"/>
      <c r="CGZ43" s="63"/>
      <c r="CHA43" s="63"/>
      <c r="CHB43" s="63"/>
      <c r="CHC43" s="63"/>
      <c r="CHD43" s="63"/>
      <c r="CHE43" s="63"/>
      <c r="CHF43" s="63"/>
      <c r="CHG43" s="63"/>
      <c r="CHH43" s="63"/>
      <c r="CHI43" s="63"/>
      <c r="CHJ43" s="63"/>
      <c r="CHK43" s="63"/>
      <c r="CHL43" s="63"/>
      <c r="CHM43" s="63"/>
      <c r="CHN43" s="63"/>
      <c r="CHO43" s="63"/>
      <c r="CHP43" s="63"/>
      <c r="CHQ43" s="63"/>
      <c r="CHR43" s="63"/>
      <c r="CHS43" s="63"/>
      <c r="CHT43" s="63"/>
      <c r="CHU43" s="63"/>
      <c r="CHV43" s="63"/>
      <c r="CHW43" s="63"/>
      <c r="CHX43" s="63"/>
      <c r="CHY43" s="63"/>
      <c r="CHZ43" s="63"/>
      <c r="CIA43" s="63"/>
      <c r="CIB43" s="63"/>
      <c r="CIC43" s="63"/>
      <c r="CID43" s="63"/>
      <c r="CIE43" s="63"/>
      <c r="CIF43" s="63"/>
      <c r="CIG43" s="63"/>
      <c r="CIH43" s="63"/>
      <c r="CII43" s="63"/>
      <c r="CIJ43" s="63"/>
      <c r="CIK43" s="63"/>
      <c r="CIL43" s="63"/>
      <c r="CIM43" s="63"/>
      <c r="CIN43" s="63"/>
      <c r="CIO43" s="63"/>
      <c r="CIP43" s="63"/>
      <c r="CIQ43" s="63"/>
      <c r="CIR43" s="63"/>
      <c r="CIS43" s="63"/>
      <c r="CIT43" s="63"/>
      <c r="CIU43" s="63"/>
      <c r="CIV43" s="63"/>
      <c r="CIW43" s="63"/>
      <c r="CIX43" s="63"/>
      <c r="CIY43" s="63"/>
      <c r="CIZ43" s="63"/>
      <c r="CJA43" s="63"/>
      <c r="CJB43" s="63"/>
      <c r="CJC43" s="63"/>
      <c r="CJD43" s="63"/>
      <c r="CJE43" s="63"/>
      <c r="CJF43" s="63"/>
      <c r="CJG43" s="63"/>
      <c r="CJH43" s="63"/>
      <c r="CJI43" s="63"/>
      <c r="CJJ43" s="63"/>
      <c r="CJK43" s="63"/>
      <c r="CJL43" s="63"/>
      <c r="CJM43" s="63"/>
      <c r="CJN43" s="63"/>
      <c r="CJO43" s="63"/>
      <c r="CJP43" s="63"/>
      <c r="CJQ43" s="63"/>
      <c r="CJR43" s="63"/>
      <c r="CJS43" s="63"/>
      <c r="CJT43" s="63"/>
      <c r="CJU43" s="63"/>
      <c r="CJV43" s="63"/>
      <c r="CJW43" s="63"/>
      <c r="CJX43" s="63"/>
      <c r="CJY43" s="63"/>
      <c r="CJZ43" s="63"/>
      <c r="CKA43" s="63"/>
      <c r="CKB43" s="63"/>
      <c r="CKC43" s="63"/>
      <c r="CKD43" s="63"/>
      <c r="CKE43" s="63"/>
      <c r="CKF43" s="63"/>
      <c r="CKG43" s="63"/>
      <c r="CKH43" s="63"/>
      <c r="CKI43" s="63"/>
      <c r="CKJ43" s="63"/>
      <c r="CKK43" s="63"/>
      <c r="CKL43" s="63"/>
      <c r="CKM43" s="63"/>
      <c r="CKN43" s="63"/>
      <c r="CKO43" s="63"/>
      <c r="CKP43" s="63"/>
      <c r="CKQ43" s="63"/>
      <c r="CKR43" s="63"/>
      <c r="CKS43" s="63"/>
      <c r="CKT43" s="63"/>
      <c r="CKU43" s="63"/>
      <c r="CKV43" s="63"/>
      <c r="CKW43" s="63"/>
      <c r="CKX43" s="63"/>
      <c r="CKY43" s="63"/>
      <c r="CKZ43" s="63"/>
      <c r="CLA43" s="63"/>
      <c r="CLB43" s="63"/>
      <c r="CLC43" s="63"/>
      <c r="CLD43" s="63"/>
      <c r="CLE43" s="63"/>
      <c r="CLF43" s="63"/>
      <c r="CLG43" s="63"/>
      <c r="CLH43" s="63"/>
      <c r="CLI43" s="63"/>
      <c r="CLJ43" s="63"/>
      <c r="CLK43" s="63"/>
      <c r="CLL43" s="63"/>
      <c r="CLM43" s="63"/>
      <c r="CLN43" s="63"/>
      <c r="CLO43" s="63"/>
      <c r="CLP43" s="63"/>
      <c r="CLQ43" s="63"/>
      <c r="CLR43" s="63"/>
      <c r="CLS43" s="63"/>
      <c r="CLT43" s="63"/>
      <c r="CLU43" s="63"/>
      <c r="CLV43" s="63"/>
      <c r="CLW43" s="63"/>
      <c r="CLX43" s="63"/>
      <c r="CLY43" s="63"/>
      <c r="CLZ43" s="63"/>
      <c r="CMA43" s="63"/>
      <c r="CMB43" s="63"/>
      <c r="CMC43" s="63"/>
      <c r="CMD43" s="63"/>
      <c r="CME43" s="63"/>
      <c r="CMF43" s="63"/>
      <c r="CMG43" s="63"/>
      <c r="CMH43" s="63"/>
      <c r="CMI43" s="63"/>
      <c r="CMJ43" s="63"/>
      <c r="CMK43" s="63"/>
      <c r="CML43" s="63"/>
      <c r="CMM43" s="63"/>
      <c r="CMN43" s="63"/>
      <c r="CMO43" s="63"/>
      <c r="CMP43" s="63"/>
      <c r="CMQ43" s="63"/>
      <c r="CMR43" s="63"/>
      <c r="CMS43" s="63"/>
      <c r="CMT43" s="63"/>
      <c r="CMU43" s="63"/>
      <c r="CMV43" s="63"/>
      <c r="CMW43" s="63"/>
      <c r="CMX43" s="63"/>
      <c r="CMY43" s="63"/>
      <c r="CMZ43" s="63"/>
      <c r="CNA43" s="63"/>
      <c r="CNB43" s="63"/>
      <c r="CNC43" s="63"/>
      <c r="CND43" s="63"/>
      <c r="CNE43" s="63"/>
      <c r="CNF43" s="63"/>
      <c r="CNG43" s="63"/>
      <c r="CNH43" s="63"/>
      <c r="CNI43" s="63"/>
      <c r="CNJ43" s="63"/>
      <c r="CNK43" s="63"/>
      <c r="CNL43" s="63"/>
      <c r="CNM43" s="63"/>
      <c r="CNN43" s="63"/>
      <c r="CNO43" s="63"/>
      <c r="CNP43" s="63"/>
      <c r="CNQ43" s="63"/>
      <c r="CNR43" s="63"/>
      <c r="CNS43" s="63"/>
      <c r="CNT43" s="63"/>
      <c r="CNU43" s="63"/>
      <c r="CNV43" s="63"/>
      <c r="CNW43" s="63"/>
      <c r="CNX43" s="63"/>
      <c r="CNY43" s="63"/>
      <c r="CNZ43" s="63"/>
      <c r="COA43" s="63"/>
      <c r="COB43" s="63"/>
      <c r="COC43" s="63"/>
      <c r="COD43" s="63"/>
      <c r="COE43" s="63"/>
      <c r="COF43" s="63"/>
      <c r="COG43" s="63"/>
      <c r="COH43" s="63"/>
      <c r="COI43" s="63"/>
      <c r="COJ43" s="63"/>
      <c r="COK43" s="63"/>
      <c r="COL43" s="63"/>
      <c r="COM43" s="63"/>
      <c r="CON43" s="63"/>
      <c r="COO43" s="63"/>
      <c r="COP43" s="63"/>
      <c r="COQ43" s="63"/>
      <c r="COR43" s="63"/>
      <c r="COS43" s="63"/>
      <c r="COT43" s="63"/>
      <c r="COU43" s="63"/>
      <c r="COV43" s="63"/>
      <c r="COW43" s="63"/>
      <c r="COX43" s="63"/>
      <c r="COY43" s="63"/>
      <c r="COZ43" s="63"/>
      <c r="CPA43" s="63"/>
      <c r="CPB43" s="63"/>
      <c r="CPC43" s="63"/>
      <c r="CPD43" s="63"/>
      <c r="CPE43" s="63"/>
      <c r="CPF43" s="63"/>
      <c r="CPG43" s="63"/>
      <c r="CPH43" s="63"/>
      <c r="CPI43" s="63"/>
      <c r="CPJ43" s="63"/>
      <c r="CPK43" s="63"/>
      <c r="CPL43" s="63"/>
      <c r="CPM43" s="63"/>
      <c r="CPN43" s="63"/>
      <c r="CPO43" s="63"/>
      <c r="CPP43" s="63"/>
      <c r="CPQ43" s="63"/>
      <c r="CPR43" s="63"/>
      <c r="CPS43" s="63"/>
      <c r="CPT43" s="63"/>
      <c r="CPU43" s="63"/>
      <c r="CPV43" s="63"/>
      <c r="CPW43" s="63"/>
      <c r="CPX43" s="63"/>
      <c r="CPY43" s="63"/>
      <c r="CPZ43" s="63"/>
      <c r="CQA43" s="63"/>
      <c r="CQB43" s="63"/>
      <c r="CQC43" s="63"/>
      <c r="CQD43" s="63"/>
      <c r="CQE43" s="63"/>
      <c r="CQF43" s="63"/>
      <c r="CQG43" s="63"/>
      <c r="CQH43" s="63"/>
      <c r="CQI43" s="63"/>
      <c r="CQJ43" s="63"/>
      <c r="CQK43" s="63"/>
      <c r="CQL43" s="63"/>
      <c r="CQM43" s="63"/>
      <c r="CQN43" s="63"/>
      <c r="CQO43" s="63"/>
      <c r="CQP43" s="63"/>
      <c r="CQQ43" s="63"/>
      <c r="CQR43" s="63"/>
      <c r="CQS43" s="63"/>
      <c r="CQT43" s="63"/>
      <c r="CQU43" s="63"/>
      <c r="CQV43" s="63"/>
      <c r="CQW43" s="63"/>
      <c r="CQX43" s="63"/>
      <c r="CQY43" s="63"/>
      <c r="CQZ43" s="63"/>
      <c r="CRA43" s="63"/>
      <c r="CRB43" s="63"/>
      <c r="CRC43" s="63"/>
      <c r="CRD43" s="63"/>
      <c r="CRE43" s="63"/>
      <c r="CRF43" s="63"/>
      <c r="CRG43" s="63"/>
      <c r="CRH43" s="63"/>
      <c r="CRI43" s="63"/>
      <c r="CRJ43" s="63"/>
      <c r="CRK43" s="63"/>
      <c r="CRL43" s="63"/>
      <c r="CRM43" s="63"/>
      <c r="CRN43" s="63"/>
      <c r="CRO43" s="63"/>
      <c r="CRP43" s="63"/>
      <c r="CRQ43" s="63"/>
      <c r="CRR43" s="63"/>
      <c r="CRS43" s="63"/>
      <c r="CRT43" s="63"/>
      <c r="CRU43" s="63"/>
      <c r="CRV43" s="63"/>
      <c r="CRW43" s="63"/>
      <c r="CRX43" s="63"/>
      <c r="CRY43" s="63"/>
      <c r="CRZ43" s="63"/>
      <c r="CSA43" s="63"/>
      <c r="CSB43" s="63"/>
      <c r="CSC43" s="63"/>
      <c r="CSD43" s="63"/>
      <c r="CSE43" s="63"/>
      <c r="CSF43" s="63"/>
      <c r="CSG43" s="63"/>
      <c r="CSH43" s="63"/>
      <c r="CSI43" s="63"/>
      <c r="CSJ43" s="63"/>
      <c r="CSK43" s="63"/>
      <c r="CSL43" s="63"/>
      <c r="CSM43" s="63"/>
      <c r="CSN43" s="63"/>
      <c r="CSO43" s="63"/>
      <c r="CSP43" s="63"/>
      <c r="CSQ43" s="63"/>
      <c r="CSR43" s="63"/>
      <c r="CSS43" s="63"/>
      <c r="CST43" s="63"/>
      <c r="CSU43" s="63"/>
      <c r="CSV43" s="63"/>
      <c r="CSW43" s="63"/>
      <c r="CSX43" s="63"/>
      <c r="CSY43" s="63"/>
      <c r="CSZ43" s="63"/>
      <c r="CTA43" s="63"/>
      <c r="CTB43" s="63"/>
      <c r="CTC43" s="63"/>
      <c r="CTD43" s="63"/>
      <c r="CTE43" s="63"/>
      <c r="CTF43" s="63"/>
      <c r="CTG43" s="63"/>
      <c r="CTH43" s="63"/>
      <c r="CTI43" s="63"/>
      <c r="CTJ43" s="63"/>
      <c r="CTK43" s="63"/>
      <c r="CTL43" s="63"/>
      <c r="CTM43" s="63"/>
      <c r="CTN43" s="63"/>
      <c r="CTO43" s="63"/>
      <c r="CTP43" s="63"/>
      <c r="CTQ43" s="63"/>
      <c r="CTR43" s="63"/>
      <c r="CTS43" s="63"/>
      <c r="CTT43" s="63"/>
      <c r="CTU43" s="63"/>
      <c r="CTV43" s="63"/>
      <c r="CTW43" s="63"/>
      <c r="CTX43" s="63"/>
      <c r="CTY43" s="63"/>
      <c r="CTZ43" s="63"/>
      <c r="CUA43" s="63"/>
      <c r="CUB43" s="63"/>
      <c r="CUC43" s="63"/>
      <c r="CUD43" s="63"/>
      <c r="CUE43" s="63"/>
      <c r="CUF43" s="63"/>
      <c r="CUG43" s="63"/>
      <c r="CUH43" s="63"/>
      <c r="CUI43" s="63"/>
      <c r="CUJ43" s="63"/>
      <c r="CUK43" s="63"/>
      <c r="CUL43" s="63"/>
      <c r="CUM43" s="63"/>
      <c r="CUN43" s="63"/>
      <c r="CUO43" s="63"/>
      <c r="CUP43" s="63"/>
      <c r="CUQ43" s="63"/>
      <c r="CUR43" s="63"/>
      <c r="CUS43" s="63"/>
      <c r="CUT43" s="63"/>
      <c r="CUU43" s="63"/>
      <c r="CUV43" s="63"/>
      <c r="CUW43" s="63"/>
      <c r="CUX43" s="63"/>
      <c r="CUY43" s="63"/>
      <c r="CUZ43" s="63"/>
      <c r="CVA43" s="63"/>
      <c r="CVB43" s="63"/>
      <c r="CVC43" s="63"/>
      <c r="CVD43" s="63"/>
      <c r="CVE43" s="63"/>
      <c r="CVF43" s="63"/>
      <c r="CVG43" s="63"/>
      <c r="CVH43" s="63"/>
      <c r="CVI43" s="63"/>
      <c r="CVJ43" s="63"/>
      <c r="CVK43" s="63"/>
      <c r="CVL43" s="63"/>
      <c r="CVM43" s="63"/>
      <c r="CVN43" s="63"/>
      <c r="CVO43" s="63"/>
      <c r="CVP43" s="63"/>
      <c r="CVQ43" s="63"/>
      <c r="CVR43" s="63"/>
      <c r="CVS43" s="63"/>
      <c r="CVT43" s="63"/>
      <c r="CVU43" s="63"/>
      <c r="CVV43" s="63"/>
      <c r="CVW43" s="63"/>
      <c r="CVX43" s="63"/>
      <c r="CVY43" s="63"/>
      <c r="CVZ43" s="63"/>
      <c r="CWA43" s="63"/>
      <c r="CWB43" s="63"/>
      <c r="CWC43" s="63"/>
      <c r="CWD43" s="63"/>
      <c r="CWE43" s="63"/>
      <c r="CWF43" s="63"/>
      <c r="CWG43" s="63"/>
      <c r="CWH43" s="63"/>
      <c r="CWI43" s="63"/>
      <c r="CWJ43" s="63"/>
      <c r="CWK43" s="63"/>
      <c r="CWL43" s="63"/>
      <c r="CWM43" s="63"/>
      <c r="CWN43" s="63"/>
      <c r="CWO43" s="63"/>
      <c r="CWP43" s="63"/>
      <c r="CWQ43" s="63"/>
      <c r="CWR43" s="63"/>
      <c r="CWS43" s="63"/>
      <c r="CWT43" s="63"/>
      <c r="CWU43" s="63"/>
      <c r="CWV43" s="63"/>
      <c r="CWW43" s="63"/>
      <c r="CWX43" s="63"/>
      <c r="CWY43" s="63"/>
      <c r="CWZ43" s="63"/>
      <c r="CXA43" s="63"/>
      <c r="CXB43" s="63"/>
      <c r="CXC43" s="63"/>
      <c r="CXD43" s="63"/>
      <c r="CXE43" s="63"/>
      <c r="CXF43" s="63"/>
      <c r="CXG43" s="63"/>
      <c r="CXH43" s="63"/>
      <c r="CXI43" s="63"/>
      <c r="CXJ43" s="63"/>
      <c r="CXK43" s="63"/>
      <c r="CXL43" s="63"/>
      <c r="CXM43" s="63"/>
      <c r="CXN43" s="63"/>
      <c r="CXO43" s="63"/>
      <c r="CXP43" s="63"/>
      <c r="CXQ43" s="63"/>
      <c r="CXR43" s="63"/>
      <c r="CXS43" s="63"/>
      <c r="CXT43" s="63"/>
      <c r="CXU43" s="63"/>
      <c r="CXV43" s="63"/>
      <c r="CXW43" s="63"/>
      <c r="CXX43" s="63"/>
      <c r="CXY43" s="63"/>
      <c r="CXZ43" s="63"/>
      <c r="CYA43" s="63"/>
      <c r="CYB43" s="63"/>
      <c r="CYC43" s="63"/>
      <c r="CYD43" s="63"/>
      <c r="CYE43" s="63"/>
      <c r="CYF43" s="63"/>
      <c r="CYG43" s="63"/>
      <c r="CYH43" s="63"/>
      <c r="CYI43" s="63"/>
      <c r="CYJ43" s="63"/>
      <c r="CYK43" s="63"/>
      <c r="CYL43" s="63"/>
      <c r="CYM43" s="63"/>
      <c r="CYN43" s="63"/>
      <c r="CYO43" s="63"/>
      <c r="CYP43" s="63"/>
      <c r="CYQ43" s="63"/>
      <c r="CYR43" s="63"/>
      <c r="CYS43" s="63"/>
      <c r="CYT43" s="63"/>
      <c r="CYU43" s="63"/>
      <c r="CYV43" s="63"/>
      <c r="CYW43" s="63"/>
      <c r="CYX43" s="63"/>
      <c r="CYY43" s="63"/>
      <c r="CYZ43" s="63"/>
      <c r="CZA43" s="63"/>
      <c r="CZB43" s="63"/>
      <c r="CZC43" s="63"/>
      <c r="CZD43" s="63"/>
      <c r="CZE43" s="63"/>
      <c r="CZF43" s="63"/>
      <c r="CZG43" s="63"/>
      <c r="CZH43" s="63"/>
      <c r="CZI43" s="63"/>
      <c r="CZJ43" s="63"/>
      <c r="CZK43" s="63"/>
      <c r="CZL43" s="63"/>
      <c r="CZM43" s="63"/>
      <c r="CZN43" s="63"/>
      <c r="CZO43" s="63"/>
      <c r="CZP43" s="63"/>
      <c r="CZQ43" s="63"/>
      <c r="CZR43" s="63"/>
      <c r="CZS43" s="63"/>
      <c r="CZT43" s="63"/>
      <c r="CZU43" s="63"/>
      <c r="CZV43" s="63"/>
      <c r="CZW43" s="63"/>
      <c r="CZX43" s="63"/>
      <c r="CZY43" s="63"/>
      <c r="CZZ43" s="63"/>
      <c r="DAA43" s="63"/>
      <c r="DAB43" s="63"/>
      <c r="DAC43" s="63"/>
      <c r="DAD43" s="63"/>
      <c r="DAE43" s="63"/>
      <c r="DAF43" s="63"/>
      <c r="DAG43" s="63"/>
      <c r="DAH43" s="63"/>
      <c r="DAI43" s="63"/>
      <c r="DAJ43" s="63"/>
      <c r="DAK43" s="63"/>
      <c r="DAL43" s="63"/>
      <c r="DAM43" s="63"/>
      <c r="DAN43" s="63"/>
      <c r="DAO43" s="63"/>
      <c r="DAP43" s="63"/>
      <c r="DAQ43" s="63"/>
      <c r="DAR43" s="63"/>
      <c r="DAS43" s="63"/>
      <c r="DAT43" s="63"/>
      <c r="DAU43" s="63"/>
      <c r="DAV43" s="63"/>
      <c r="DAW43" s="63"/>
      <c r="DAX43" s="63"/>
      <c r="DAY43" s="63"/>
      <c r="DAZ43" s="63"/>
      <c r="DBA43" s="63"/>
      <c r="DBB43" s="63"/>
      <c r="DBC43" s="63"/>
      <c r="DBD43" s="63"/>
      <c r="DBE43" s="63"/>
      <c r="DBF43" s="63"/>
      <c r="DBG43" s="63"/>
      <c r="DBH43" s="63"/>
      <c r="DBI43" s="63"/>
      <c r="DBJ43" s="63"/>
      <c r="DBK43" s="63"/>
      <c r="DBL43" s="63"/>
      <c r="DBM43" s="63"/>
      <c r="DBN43" s="63"/>
      <c r="DBO43" s="63"/>
      <c r="DBP43" s="63"/>
      <c r="DBQ43" s="63"/>
      <c r="DBR43" s="63"/>
      <c r="DBS43" s="63"/>
      <c r="DBT43" s="63"/>
      <c r="DBU43" s="63"/>
      <c r="DBV43" s="63"/>
      <c r="DBW43" s="63"/>
      <c r="DBX43" s="63"/>
      <c r="DBY43" s="63"/>
      <c r="DBZ43" s="63"/>
      <c r="DCA43" s="63"/>
      <c r="DCB43" s="63"/>
      <c r="DCC43" s="63"/>
      <c r="DCD43" s="63"/>
      <c r="DCE43" s="63"/>
      <c r="DCF43" s="63"/>
      <c r="DCG43" s="63"/>
      <c r="DCH43" s="63"/>
      <c r="DCI43" s="63"/>
      <c r="DCJ43" s="63"/>
      <c r="DCK43" s="63"/>
      <c r="DCL43" s="63"/>
      <c r="DCM43" s="63"/>
      <c r="DCN43" s="63"/>
      <c r="DCO43" s="63"/>
      <c r="DCP43" s="63"/>
      <c r="DCQ43" s="63"/>
      <c r="DCR43" s="63"/>
      <c r="DCS43" s="63"/>
      <c r="DCT43" s="63"/>
      <c r="DCU43" s="63"/>
      <c r="DCV43" s="63"/>
      <c r="DCW43" s="63"/>
      <c r="DCX43" s="63"/>
      <c r="DCY43" s="63"/>
      <c r="DCZ43" s="63"/>
      <c r="DDA43" s="63"/>
      <c r="DDB43" s="63"/>
      <c r="DDC43" s="63"/>
      <c r="DDD43" s="63"/>
      <c r="DDE43" s="63"/>
      <c r="DDF43" s="63"/>
      <c r="DDG43" s="63"/>
      <c r="DDH43" s="63"/>
      <c r="DDI43" s="63"/>
      <c r="DDJ43" s="63"/>
      <c r="DDK43" s="63"/>
      <c r="DDL43" s="63"/>
      <c r="DDM43" s="63"/>
      <c r="DDN43" s="63"/>
      <c r="DDO43" s="63"/>
      <c r="DDP43" s="63"/>
      <c r="DDQ43" s="63"/>
      <c r="DDR43" s="63"/>
      <c r="DDS43" s="63"/>
      <c r="DDT43" s="63"/>
      <c r="DDU43" s="63"/>
      <c r="DDV43" s="63"/>
      <c r="DDW43" s="63"/>
      <c r="DDX43" s="63"/>
      <c r="DDY43" s="63"/>
      <c r="DDZ43" s="63"/>
      <c r="DEA43" s="63"/>
      <c r="DEB43" s="63"/>
      <c r="DEC43" s="63"/>
      <c r="DED43" s="63"/>
      <c r="DEE43" s="63"/>
      <c r="DEF43" s="63"/>
      <c r="DEG43" s="63"/>
      <c r="DEH43" s="63"/>
      <c r="DEI43" s="63"/>
      <c r="DEJ43" s="63"/>
      <c r="DEK43" s="63"/>
      <c r="DEL43" s="63"/>
      <c r="DEM43" s="63"/>
      <c r="DEN43" s="63"/>
      <c r="DEO43" s="63"/>
      <c r="DEP43" s="63"/>
      <c r="DEQ43" s="63"/>
      <c r="DER43" s="63"/>
      <c r="DES43" s="63"/>
      <c r="DET43" s="63"/>
      <c r="DEU43" s="63"/>
      <c r="DEV43" s="63"/>
      <c r="DEW43" s="63"/>
      <c r="DEX43" s="63"/>
      <c r="DEY43" s="63"/>
      <c r="DEZ43" s="63"/>
      <c r="DFA43" s="63"/>
      <c r="DFB43" s="63"/>
      <c r="DFC43" s="63"/>
      <c r="DFD43" s="63"/>
      <c r="DFE43" s="63"/>
      <c r="DFF43" s="63"/>
      <c r="DFG43" s="63"/>
      <c r="DFH43" s="63"/>
      <c r="DFI43" s="63"/>
      <c r="DFJ43" s="63"/>
      <c r="DFK43" s="63"/>
      <c r="DFL43" s="63"/>
      <c r="DFM43" s="63"/>
      <c r="DFN43" s="63"/>
      <c r="DFO43" s="63"/>
      <c r="DFP43" s="63"/>
      <c r="DFQ43" s="63"/>
      <c r="DFR43" s="63"/>
      <c r="DFS43" s="63"/>
      <c r="DFT43" s="63"/>
      <c r="DFU43" s="63"/>
      <c r="DFV43" s="63"/>
      <c r="DFW43" s="63"/>
      <c r="DFX43" s="63"/>
      <c r="DFY43" s="63"/>
      <c r="DFZ43" s="63"/>
      <c r="DGA43" s="63"/>
      <c r="DGB43" s="63"/>
      <c r="DGC43" s="63"/>
      <c r="DGD43" s="63"/>
      <c r="DGE43" s="63"/>
      <c r="DGF43" s="63"/>
      <c r="DGG43" s="63"/>
      <c r="DGH43" s="63"/>
      <c r="DGI43" s="63"/>
      <c r="DGJ43" s="63"/>
      <c r="DGK43" s="63"/>
      <c r="DGL43" s="63"/>
      <c r="DGM43" s="63"/>
      <c r="DGN43" s="63"/>
      <c r="DGO43" s="63"/>
      <c r="DGP43" s="63"/>
      <c r="DGQ43" s="63"/>
      <c r="DGR43" s="63"/>
      <c r="DGS43" s="63"/>
      <c r="DGT43" s="63"/>
      <c r="DGU43" s="63"/>
      <c r="DGV43" s="63"/>
      <c r="DGW43" s="63"/>
      <c r="DGX43" s="63"/>
      <c r="DGY43" s="63"/>
      <c r="DGZ43" s="63"/>
      <c r="DHA43" s="63"/>
      <c r="DHB43" s="63"/>
      <c r="DHC43" s="63"/>
      <c r="DHD43" s="63"/>
      <c r="DHE43" s="63"/>
      <c r="DHF43" s="63"/>
      <c r="DHG43" s="63"/>
      <c r="DHH43" s="63"/>
      <c r="DHI43" s="63"/>
      <c r="DHJ43" s="63"/>
      <c r="DHK43" s="63"/>
      <c r="DHL43" s="63"/>
      <c r="DHM43" s="63"/>
      <c r="DHN43" s="63"/>
      <c r="DHO43" s="63"/>
      <c r="DHP43" s="63"/>
      <c r="DHQ43" s="63"/>
      <c r="DHR43" s="63"/>
      <c r="DHS43" s="63"/>
      <c r="DHT43" s="63"/>
      <c r="DHU43" s="63"/>
      <c r="DHV43" s="63"/>
      <c r="DHW43" s="63"/>
      <c r="DHX43" s="63"/>
      <c r="DHY43" s="63"/>
      <c r="DHZ43" s="63"/>
      <c r="DIA43" s="63"/>
      <c r="DIB43" s="63"/>
      <c r="DIC43" s="63"/>
      <c r="DID43" s="63"/>
      <c r="DIE43" s="63"/>
      <c r="DIF43" s="63"/>
      <c r="DIG43" s="63"/>
      <c r="DIH43" s="63"/>
      <c r="DII43" s="63"/>
      <c r="DIJ43" s="63"/>
      <c r="DIK43" s="63"/>
      <c r="DIL43" s="63"/>
      <c r="DIM43" s="63"/>
      <c r="DIN43" s="63"/>
      <c r="DIO43" s="63"/>
      <c r="DIP43" s="63"/>
      <c r="DIQ43" s="63"/>
      <c r="DIR43" s="63"/>
      <c r="DIS43" s="63"/>
      <c r="DIT43" s="63"/>
      <c r="DIU43" s="63"/>
      <c r="DIV43" s="63"/>
      <c r="DIW43" s="63"/>
      <c r="DIX43" s="63"/>
      <c r="DIY43" s="63"/>
      <c r="DIZ43" s="63"/>
      <c r="DJA43" s="63"/>
      <c r="DJB43" s="63"/>
      <c r="DJC43" s="63"/>
      <c r="DJD43" s="63"/>
      <c r="DJE43" s="63"/>
      <c r="DJF43" s="63"/>
      <c r="DJG43" s="63"/>
      <c r="DJH43" s="63"/>
      <c r="DJI43" s="63"/>
      <c r="DJJ43" s="63"/>
      <c r="DJK43" s="63"/>
      <c r="DJL43" s="63"/>
      <c r="DJM43" s="63"/>
      <c r="DJN43" s="63"/>
      <c r="DJO43" s="63"/>
      <c r="DJP43" s="63"/>
      <c r="DJQ43" s="63"/>
      <c r="DJR43" s="63"/>
      <c r="DJS43" s="63"/>
      <c r="DJT43" s="63"/>
      <c r="DJU43" s="63"/>
      <c r="DJV43" s="63"/>
      <c r="DJW43" s="63"/>
      <c r="DJX43" s="63"/>
      <c r="DJY43" s="63"/>
      <c r="DJZ43" s="63"/>
      <c r="DKA43" s="63"/>
      <c r="DKB43" s="63"/>
      <c r="DKC43" s="63"/>
      <c r="DKD43" s="63"/>
      <c r="DKE43" s="63"/>
      <c r="DKF43" s="63"/>
      <c r="DKG43" s="63"/>
      <c r="DKH43" s="63"/>
      <c r="DKI43" s="63"/>
      <c r="DKJ43" s="63"/>
      <c r="DKK43" s="63"/>
      <c r="DKL43" s="63"/>
      <c r="DKM43" s="63"/>
      <c r="DKN43" s="63"/>
      <c r="DKO43" s="63"/>
      <c r="DKP43" s="63"/>
      <c r="DKQ43" s="63"/>
      <c r="DKR43" s="63"/>
      <c r="DKS43" s="63"/>
      <c r="DKT43" s="63"/>
      <c r="DKU43" s="63"/>
      <c r="DKV43" s="63"/>
      <c r="DKW43" s="63"/>
      <c r="DKX43" s="63"/>
      <c r="DKY43" s="63"/>
      <c r="DKZ43" s="63"/>
      <c r="DLA43" s="63"/>
      <c r="DLB43" s="63"/>
      <c r="DLC43" s="63"/>
      <c r="DLD43" s="63"/>
      <c r="DLE43" s="63"/>
      <c r="DLF43" s="63"/>
      <c r="DLG43" s="63"/>
      <c r="DLH43" s="63"/>
      <c r="DLI43" s="63"/>
      <c r="DLJ43" s="63"/>
      <c r="DLK43" s="63"/>
      <c r="DLL43" s="63"/>
      <c r="DLM43" s="63"/>
      <c r="DLN43" s="63"/>
      <c r="DLO43" s="63"/>
      <c r="DLP43" s="63"/>
      <c r="DLQ43" s="63"/>
      <c r="DLR43" s="63"/>
      <c r="DLS43" s="63"/>
      <c r="DLT43" s="63"/>
      <c r="DLU43" s="63"/>
      <c r="DLV43" s="63"/>
      <c r="DLW43" s="63"/>
      <c r="DLX43" s="63"/>
      <c r="DLY43" s="63"/>
      <c r="DLZ43" s="63"/>
      <c r="DMA43" s="63"/>
      <c r="DMB43" s="63"/>
      <c r="DMC43" s="63"/>
      <c r="DMD43" s="63"/>
      <c r="DME43" s="63"/>
      <c r="DMF43" s="63"/>
      <c r="DMG43" s="63"/>
      <c r="DMH43" s="63"/>
      <c r="DMI43" s="63"/>
      <c r="DMJ43" s="63"/>
      <c r="DMK43" s="63"/>
      <c r="DML43" s="63"/>
      <c r="DMM43" s="63"/>
      <c r="DMN43" s="63"/>
      <c r="DMO43" s="63"/>
      <c r="DMP43" s="63"/>
      <c r="DMQ43" s="63"/>
      <c r="DMR43" s="63"/>
      <c r="DMS43" s="63"/>
      <c r="DMT43" s="63"/>
      <c r="DMU43" s="63"/>
      <c r="DMV43" s="63"/>
      <c r="DMW43" s="63"/>
      <c r="DMX43" s="63"/>
      <c r="DMY43" s="63"/>
      <c r="DMZ43" s="63"/>
      <c r="DNA43" s="63"/>
      <c r="DNB43" s="63"/>
      <c r="DNC43" s="63"/>
      <c r="DND43" s="63"/>
      <c r="DNE43" s="63"/>
      <c r="DNF43" s="63"/>
      <c r="DNG43" s="63"/>
      <c r="DNH43" s="63"/>
      <c r="DNI43" s="63"/>
      <c r="DNJ43" s="63"/>
      <c r="DNK43" s="63"/>
      <c r="DNL43" s="63"/>
      <c r="DNM43" s="63"/>
      <c r="DNN43" s="63"/>
      <c r="DNO43" s="63"/>
      <c r="DNP43" s="63"/>
      <c r="DNQ43" s="63"/>
      <c r="DNR43" s="63"/>
      <c r="DNS43" s="63"/>
      <c r="DNT43" s="63"/>
      <c r="DNU43" s="63"/>
      <c r="DNV43" s="63"/>
      <c r="DNW43" s="63"/>
      <c r="DNX43" s="63"/>
      <c r="DNY43" s="63"/>
      <c r="DNZ43" s="63"/>
      <c r="DOA43" s="63"/>
      <c r="DOB43" s="63"/>
      <c r="DOC43" s="63"/>
      <c r="DOD43" s="63"/>
      <c r="DOE43" s="63"/>
      <c r="DOF43" s="63"/>
      <c r="DOG43" s="63"/>
      <c r="DOH43" s="63"/>
      <c r="DOI43" s="63"/>
      <c r="DOJ43" s="63"/>
      <c r="DOK43" s="63"/>
      <c r="DOL43" s="63"/>
      <c r="DOM43" s="63"/>
      <c r="DON43" s="63"/>
      <c r="DOO43" s="63"/>
      <c r="DOP43" s="63"/>
      <c r="DOQ43" s="63"/>
      <c r="DOR43" s="63"/>
      <c r="DOS43" s="63"/>
      <c r="DOT43" s="63"/>
      <c r="DOU43" s="63"/>
      <c r="DOV43" s="63"/>
      <c r="DOW43" s="63"/>
      <c r="DOX43" s="63"/>
      <c r="DOY43" s="63"/>
      <c r="DOZ43" s="63"/>
      <c r="DPA43" s="63"/>
      <c r="DPB43" s="63"/>
      <c r="DPC43" s="63"/>
      <c r="DPD43" s="63"/>
      <c r="DPE43" s="63"/>
      <c r="DPF43" s="63"/>
      <c r="DPG43" s="63"/>
      <c r="DPH43" s="63"/>
      <c r="DPI43" s="63"/>
      <c r="DPJ43" s="63"/>
      <c r="DPK43" s="63"/>
      <c r="DPL43" s="63"/>
      <c r="DPM43" s="63"/>
      <c r="DPN43" s="63"/>
      <c r="DPO43" s="63"/>
      <c r="DPP43" s="63"/>
      <c r="DPQ43" s="63"/>
      <c r="DPR43" s="63"/>
      <c r="DPS43" s="63"/>
      <c r="DPT43" s="63"/>
      <c r="DPU43" s="63"/>
      <c r="DPV43" s="63"/>
      <c r="DPW43" s="63"/>
      <c r="DPX43" s="63"/>
      <c r="DPY43" s="63"/>
      <c r="DPZ43" s="63"/>
      <c r="DQA43" s="63"/>
      <c r="DQB43" s="63"/>
      <c r="DQC43" s="63"/>
      <c r="DQD43" s="63"/>
      <c r="DQE43" s="63"/>
      <c r="DQF43" s="63"/>
      <c r="DQG43" s="63"/>
      <c r="DQH43" s="63"/>
      <c r="DQI43" s="63"/>
      <c r="DQJ43" s="63"/>
      <c r="DQK43" s="63"/>
      <c r="DQL43" s="63"/>
      <c r="DQM43" s="63"/>
      <c r="DQN43" s="63"/>
      <c r="DQO43" s="63"/>
      <c r="DQP43" s="63"/>
      <c r="DQQ43" s="63"/>
      <c r="DQR43" s="63"/>
      <c r="DQS43" s="63"/>
      <c r="DQT43" s="63"/>
      <c r="DQU43" s="63"/>
      <c r="DQV43" s="63"/>
      <c r="DQW43" s="63"/>
      <c r="DQX43" s="63"/>
      <c r="DQY43" s="63"/>
      <c r="DQZ43" s="63"/>
      <c r="DRA43" s="63"/>
      <c r="DRB43" s="63"/>
      <c r="DRC43" s="63"/>
      <c r="DRD43" s="63"/>
      <c r="DRE43" s="63"/>
      <c r="DRF43" s="63"/>
      <c r="DRG43" s="63"/>
      <c r="DRH43" s="63"/>
      <c r="DRI43" s="63"/>
      <c r="DRJ43" s="63"/>
      <c r="DRK43" s="63"/>
      <c r="DRL43" s="63"/>
      <c r="DRM43" s="63"/>
      <c r="DRN43" s="63"/>
      <c r="DRO43" s="63"/>
      <c r="DRP43" s="63"/>
      <c r="DRQ43" s="63"/>
      <c r="DRR43" s="63"/>
      <c r="DRS43" s="63"/>
      <c r="DRT43" s="63"/>
      <c r="DRU43" s="63"/>
      <c r="DRV43" s="63"/>
      <c r="DRW43" s="63"/>
      <c r="DRX43" s="63"/>
      <c r="DRY43" s="63"/>
      <c r="DRZ43" s="63"/>
      <c r="DSA43" s="63"/>
      <c r="DSB43" s="63"/>
      <c r="DSC43" s="63"/>
      <c r="DSD43" s="63"/>
      <c r="DSE43" s="63"/>
      <c r="DSF43" s="63"/>
      <c r="DSG43" s="63"/>
      <c r="DSH43" s="63"/>
      <c r="DSI43" s="63"/>
      <c r="DSJ43" s="63"/>
      <c r="DSK43" s="63"/>
      <c r="DSL43" s="63"/>
      <c r="DSM43" s="63"/>
      <c r="DSN43" s="63"/>
      <c r="DSO43" s="63"/>
      <c r="DSP43" s="63"/>
      <c r="DSQ43" s="63"/>
      <c r="DSR43" s="63"/>
      <c r="DSS43" s="63"/>
      <c r="DST43" s="63"/>
      <c r="DSU43" s="63"/>
      <c r="DSV43" s="63"/>
      <c r="DSW43" s="63"/>
      <c r="DSX43" s="63"/>
      <c r="DSY43" s="63"/>
      <c r="DSZ43" s="63"/>
      <c r="DTA43" s="63"/>
      <c r="DTB43" s="63"/>
      <c r="DTC43" s="63"/>
      <c r="DTD43" s="63"/>
      <c r="DTE43" s="63"/>
      <c r="DTF43" s="63"/>
      <c r="DTG43" s="63"/>
      <c r="DTH43" s="63"/>
      <c r="DTI43" s="63"/>
      <c r="DTJ43" s="63"/>
      <c r="DTK43" s="63"/>
      <c r="DTL43" s="63"/>
      <c r="DTM43" s="63"/>
      <c r="DTN43" s="63"/>
      <c r="DTO43" s="63"/>
      <c r="DTP43" s="63"/>
      <c r="DTQ43" s="63"/>
      <c r="DTR43" s="63"/>
      <c r="DTS43" s="63"/>
      <c r="DTT43" s="63"/>
      <c r="DTU43" s="63"/>
      <c r="DTV43" s="63"/>
      <c r="DTW43" s="63"/>
      <c r="DTX43" s="63"/>
      <c r="DTY43" s="63"/>
      <c r="DTZ43" s="63"/>
      <c r="DUA43" s="63"/>
      <c r="DUB43" s="63"/>
      <c r="DUC43" s="63"/>
      <c r="DUD43" s="63"/>
      <c r="DUE43" s="63"/>
      <c r="DUF43" s="63"/>
      <c r="DUG43" s="63"/>
      <c r="DUH43" s="63"/>
      <c r="DUI43" s="63"/>
      <c r="DUJ43" s="63"/>
      <c r="DUK43" s="63"/>
      <c r="DUL43" s="63"/>
      <c r="DUM43" s="63"/>
      <c r="DUN43" s="63"/>
      <c r="DUO43" s="63"/>
      <c r="DUP43" s="63"/>
      <c r="DUQ43" s="63"/>
      <c r="DUR43" s="63"/>
      <c r="DUS43" s="63"/>
      <c r="DUT43" s="63"/>
      <c r="DUU43" s="63"/>
      <c r="DUV43" s="63"/>
      <c r="DUW43" s="63"/>
      <c r="DUX43" s="63"/>
      <c r="DUY43" s="63"/>
      <c r="DUZ43" s="63"/>
      <c r="DVA43" s="63"/>
      <c r="DVB43" s="63"/>
      <c r="DVC43" s="63"/>
      <c r="DVD43" s="63"/>
      <c r="DVE43" s="63"/>
      <c r="DVF43" s="63"/>
      <c r="DVG43" s="63"/>
      <c r="DVH43" s="63"/>
      <c r="DVI43" s="63"/>
      <c r="DVJ43" s="63"/>
      <c r="DVK43" s="63"/>
      <c r="DVL43" s="63"/>
      <c r="DVM43" s="63"/>
      <c r="DVN43" s="63"/>
      <c r="DVO43" s="63"/>
      <c r="DVP43" s="63"/>
      <c r="DVQ43" s="63"/>
      <c r="DVR43" s="63"/>
      <c r="DVS43" s="63"/>
      <c r="DVT43" s="63"/>
      <c r="DVU43" s="63"/>
      <c r="DVV43" s="63"/>
      <c r="DVW43" s="63"/>
      <c r="DVX43" s="63"/>
      <c r="DVY43" s="63"/>
      <c r="DVZ43" s="63"/>
      <c r="DWA43" s="63"/>
      <c r="DWB43" s="63"/>
      <c r="DWC43" s="63"/>
      <c r="DWD43" s="63"/>
      <c r="DWE43" s="63"/>
      <c r="DWF43" s="63"/>
      <c r="DWG43" s="63"/>
      <c r="DWH43" s="63"/>
      <c r="DWI43" s="63"/>
      <c r="DWJ43" s="63"/>
      <c r="DWK43" s="63"/>
      <c r="DWL43" s="63"/>
      <c r="DWM43" s="63"/>
      <c r="DWN43" s="63"/>
      <c r="DWO43" s="63"/>
      <c r="DWP43" s="63"/>
      <c r="DWQ43" s="63"/>
      <c r="DWR43" s="63"/>
      <c r="DWS43" s="63"/>
      <c r="DWT43" s="63"/>
      <c r="DWU43" s="63"/>
      <c r="DWV43" s="63"/>
      <c r="DWW43" s="63"/>
      <c r="DWX43" s="63"/>
      <c r="DWY43" s="63"/>
      <c r="DWZ43" s="63"/>
      <c r="DXA43" s="63"/>
      <c r="DXB43" s="63"/>
      <c r="DXC43" s="63"/>
      <c r="DXD43" s="63"/>
      <c r="DXE43" s="63"/>
      <c r="DXF43" s="63"/>
      <c r="DXG43" s="63"/>
      <c r="DXH43" s="63"/>
      <c r="DXI43" s="63"/>
      <c r="DXJ43" s="63"/>
      <c r="DXK43" s="63"/>
      <c r="DXL43" s="63"/>
      <c r="DXM43" s="63"/>
      <c r="DXN43" s="63"/>
      <c r="DXO43" s="63"/>
      <c r="DXP43" s="63"/>
      <c r="DXQ43" s="63"/>
      <c r="DXR43" s="63"/>
      <c r="DXS43" s="63"/>
      <c r="DXT43" s="63"/>
      <c r="DXU43" s="63"/>
      <c r="DXV43" s="63"/>
      <c r="DXW43" s="63"/>
      <c r="DXX43" s="63"/>
      <c r="DXY43" s="63"/>
      <c r="DXZ43" s="63"/>
      <c r="DYA43" s="63"/>
      <c r="DYB43" s="63"/>
      <c r="DYC43" s="63"/>
      <c r="DYD43" s="63"/>
      <c r="DYE43" s="63"/>
      <c r="DYF43" s="63"/>
      <c r="DYG43" s="63"/>
      <c r="DYH43" s="63"/>
      <c r="DYI43" s="63"/>
      <c r="DYJ43" s="63"/>
      <c r="DYK43" s="63"/>
      <c r="DYL43" s="63"/>
      <c r="DYM43" s="63"/>
      <c r="DYN43" s="63"/>
      <c r="DYO43" s="63"/>
      <c r="DYP43" s="63"/>
      <c r="DYQ43" s="63"/>
      <c r="DYR43" s="63"/>
      <c r="DYS43" s="63"/>
      <c r="DYT43" s="63"/>
      <c r="DYU43" s="63"/>
      <c r="DYV43" s="63"/>
      <c r="DYW43" s="63"/>
      <c r="DYX43" s="63"/>
      <c r="DYY43" s="63"/>
      <c r="DYZ43" s="63"/>
      <c r="DZA43" s="63"/>
      <c r="DZB43" s="63"/>
      <c r="DZC43" s="63"/>
      <c r="DZD43" s="63"/>
      <c r="DZE43" s="63"/>
      <c r="DZF43" s="63"/>
      <c r="DZG43" s="63"/>
      <c r="DZH43" s="63"/>
      <c r="DZI43" s="63"/>
      <c r="DZJ43" s="63"/>
      <c r="DZK43" s="63"/>
      <c r="DZL43" s="63"/>
      <c r="DZM43" s="63"/>
      <c r="DZN43" s="63"/>
      <c r="DZO43" s="63"/>
      <c r="DZP43" s="63"/>
      <c r="DZQ43" s="63"/>
      <c r="DZR43" s="63"/>
      <c r="DZS43" s="63"/>
      <c r="DZT43" s="63"/>
      <c r="DZU43" s="63"/>
      <c r="DZV43" s="63"/>
      <c r="DZW43" s="63"/>
      <c r="DZX43" s="63"/>
      <c r="DZY43" s="63"/>
      <c r="DZZ43" s="63"/>
      <c r="EAA43" s="63"/>
      <c r="EAB43" s="63"/>
      <c r="EAC43" s="63"/>
      <c r="EAD43" s="63"/>
      <c r="EAE43" s="63"/>
      <c r="EAF43" s="63"/>
      <c r="EAG43" s="63"/>
      <c r="EAH43" s="63"/>
      <c r="EAI43" s="63"/>
      <c r="EAJ43" s="63"/>
      <c r="EAK43" s="63"/>
      <c r="EAL43" s="63"/>
      <c r="EAM43" s="63"/>
      <c r="EAN43" s="63"/>
      <c r="EAO43" s="63"/>
      <c r="EAP43" s="63"/>
      <c r="EAQ43" s="63"/>
      <c r="EAR43" s="63"/>
      <c r="EAS43" s="63"/>
      <c r="EAT43" s="63"/>
      <c r="EAU43" s="63"/>
      <c r="EAV43" s="63"/>
      <c r="EAW43" s="63"/>
      <c r="EAX43" s="63"/>
      <c r="EAY43" s="63"/>
      <c r="EAZ43" s="63"/>
      <c r="EBA43" s="63"/>
      <c r="EBB43" s="63"/>
      <c r="EBC43" s="63"/>
      <c r="EBD43" s="63"/>
      <c r="EBE43" s="63"/>
      <c r="EBF43" s="63"/>
      <c r="EBG43" s="63"/>
      <c r="EBH43" s="63"/>
      <c r="EBI43" s="63"/>
      <c r="EBJ43" s="63"/>
      <c r="EBK43" s="63"/>
      <c r="EBL43" s="63"/>
      <c r="EBM43" s="63"/>
      <c r="EBN43" s="63"/>
      <c r="EBO43" s="63"/>
      <c r="EBP43" s="63"/>
      <c r="EBQ43" s="63"/>
      <c r="EBR43" s="63"/>
      <c r="EBS43" s="63"/>
      <c r="EBT43" s="63"/>
      <c r="EBU43" s="63"/>
      <c r="EBV43" s="63"/>
      <c r="EBW43" s="63"/>
      <c r="EBX43" s="63"/>
      <c r="EBY43" s="63"/>
      <c r="EBZ43" s="63"/>
      <c r="ECA43" s="63"/>
      <c r="ECB43" s="63"/>
      <c r="ECC43" s="63"/>
      <c r="ECD43" s="63"/>
      <c r="ECE43" s="63"/>
      <c r="ECF43" s="63"/>
      <c r="ECG43" s="63"/>
      <c r="ECH43" s="63"/>
      <c r="ECI43" s="63"/>
      <c r="ECJ43" s="63"/>
      <c r="ECK43" s="63"/>
      <c r="ECL43" s="63"/>
      <c r="ECM43" s="63"/>
      <c r="ECN43" s="63"/>
      <c r="ECO43" s="63"/>
      <c r="ECP43" s="63"/>
      <c r="ECQ43" s="63"/>
      <c r="ECR43" s="63"/>
      <c r="ECS43" s="63"/>
      <c r="ECT43" s="63"/>
      <c r="ECU43" s="63"/>
      <c r="ECV43" s="63"/>
      <c r="ECW43" s="63"/>
      <c r="ECX43" s="63"/>
      <c r="ECY43" s="63"/>
      <c r="ECZ43" s="63"/>
      <c r="EDA43" s="63"/>
      <c r="EDB43" s="63"/>
      <c r="EDC43" s="63"/>
      <c r="EDD43" s="63"/>
      <c r="EDE43" s="63"/>
      <c r="EDF43" s="63"/>
      <c r="EDG43" s="63"/>
      <c r="EDH43" s="63"/>
      <c r="EDI43" s="63"/>
      <c r="EDJ43" s="63"/>
      <c r="EDK43" s="63"/>
      <c r="EDL43" s="63"/>
      <c r="EDM43" s="63"/>
      <c r="EDN43" s="63"/>
      <c r="EDO43" s="63"/>
      <c r="EDP43" s="63"/>
      <c r="EDQ43" s="63"/>
      <c r="EDR43" s="63"/>
      <c r="EDS43" s="63"/>
      <c r="EDT43" s="63"/>
      <c r="EDU43" s="63"/>
      <c r="EDV43" s="63"/>
      <c r="EDW43" s="63"/>
      <c r="EDX43" s="63"/>
      <c r="EDY43" s="63"/>
      <c r="EDZ43" s="63"/>
      <c r="EEA43" s="63"/>
      <c r="EEB43" s="63"/>
      <c r="EEC43" s="63"/>
      <c r="EED43" s="63"/>
      <c r="EEE43" s="63"/>
      <c r="EEF43" s="63"/>
      <c r="EEG43" s="63"/>
      <c r="EEH43" s="63"/>
      <c r="EEI43" s="63"/>
      <c r="EEJ43" s="63"/>
      <c r="EEK43" s="63"/>
      <c r="EEL43" s="63"/>
      <c r="EEM43" s="63"/>
      <c r="EEN43" s="63"/>
      <c r="EEO43" s="63"/>
      <c r="EEP43" s="63"/>
      <c r="EEQ43" s="63"/>
      <c r="EER43" s="63"/>
      <c r="EES43" s="63"/>
      <c r="EET43" s="63"/>
      <c r="EEU43" s="63"/>
      <c r="EEV43" s="63"/>
      <c r="EEW43" s="63"/>
      <c r="EEX43" s="63"/>
      <c r="EEY43" s="63"/>
      <c r="EEZ43" s="63"/>
      <c r="EFA43" s="63"/>
      <c r="EFB43" s="63"/>
      <c r="EFC43" s="63"/>
      <c r="EFD43" s="63"/>
      <c r="EFE43" s="63"/>
      <c r="EFF43" s="63"/>
      <c r="EFG43" s="63"/>
      <c r="EFH43" s="63"/>
      <c r="EFI43" s="63"/>
      <c r="EFJ43" s="63"/>
      <c r="EFK43" s="63"/>
      <c r="EFL43" s="63"/>
      <c r="EFM43" s="63"/>
      <c r="EFN43" s="63"/>
      <c r="EFO43" s="63"/>
      <c r="EFP43" s="63"/>
      <c r="EFQ43" s="63"/>
      <c r="EFR43" s="63"/>
      <c r="EFS43" s="63"/>
      <c r="EFT43" s="63"/>
      <c r="EFU43" s="63"/>
      <c r="EFV43" s="63"/>
      <c r="EFW43" s="63"/>
      <c r="EFX43" s="63"/>
      <c r="EFY43" s="63"/>
      <c r="EFZ43" s="63"/>
      <c r="EGA43" s="63"/>
      <c r="EGB43" s="63"/>
      <c r="EGC43" s="63"/>
      <c r="EGD43" s="63"/>
      <c r="EGE43" s="63"/>
      <c r="EGF43" s="63"/>
      <c r="EGG43" s="63"/>
      <c r="EGH43" s="63"/>
      <c r="EGI43" s="63"/>
      <c r="EGJ43" s="63"/>
      <c r="EGK43" s="63"/>
      <c r="EGL43" s="63"/>
      <c r="EGM43" s="63"/>
      <c r="EGN43" s="63"/>
      <c r="EGO43" s="63"/>
      <c r="EGP43" s="63"/>
      <c r="EGQ43" s="63"/>
      <c r="EGR43" s="63"/>
      <c r="EGS43" s="63"/>
      <c r="EGT43" s="63"/>
      <c r="EGU43" s="63"/>
      <c r="EGV43" s="63"/>
      <c r="EGW43" s="63"/>
      <c r="EGX43" s="63"/>
      <c r="EGY43" s="63"/>
      <c r="EGZ43" s="63"/>
      <c r="EHA43" s="63"/>
      <c r="EHB43" s="63"/>
      <c r="EHC43" s="63"/>
      <c r="EHD43" s="63"/>
      <c r="EHE43" s="63"/>
      <c r="EHF43" s="63"/>
      <c r="EHG43" s="63"/>
      <c r="EHH43" s="63"/>
      <c r="EHI43" s="63"/>
      <c r="EHJ43" s="63"/>
      <c r="EHK43" s="63"/>
      <c r="EHL43" s="63"/>
      <c r="EHM43" s="63"/>
      <c r="EHN43" s="63"/>
      <c r="EHO43" s="63"/>
      <c r="EHP43" s="63"/>
      <c r="EHQ43" s="63"/>
      <c r="EHR43" s="63"/>
      <c r="EHS43" s="63"/>
      <c r="EHT43" s="63"/>
      <c r="EHU43" s="63"/>
      <c r="EHV43" s="63"/>
      <c r="EHW43" s="63"/>
      <c r="EHX43" s="63"/>
      <c r="EHY43" s="63"/>
      <c r="EHZ43" s="63"/>
      <c r="EIA43" s="63"/>
      <c r="EIB43" s="63"/>
      <c r="EIC43" s="63"/>
      <c r="EID43" s="63"/>
      <c r="EIE43" s="63"/>
      <c r="EIF43" s="63"/>
      <c r="EIG43" s="63"/>
      <c r="EIH43" s="63"/>
      <c r="EII43" s="63"/>
      <c r="EIJ43" s="63"/>
      <c r="EIK43" s="63"/>
      <c r="EIL43" s="63"/>
      <c r="EIM43" s="63"/>
      <c r="EIN43" s="63"/>
      <c r="EIO43" s="63"/>
      <c r="EIP43" s="63"/>
      <c r="EIQ43" s="63"/>
      <c r="EIR43" s="63"/>
      <c r="EIS43" s="63"/>
      <c r="EIT43" s="63"/>
      <c r="EIU43" s="63"/>
      <c r="EIV43" s="63"/>
      <c r="EIW43" s="63"/>
      <c r="EIX43" s="63"/>
      <c r="EIY43" s="63"/>
      <c r="EIZ43" s="63"/>
      <c r="EJA43" s="63"/>
      <c r="EJB43" s="63"/>
      <c r="EJC43" s="63"/>
      <c r="EJD43" s="63"/>
      <c r="EJE43" s="63"/>
      <c r="EJF43" s="63"/>
      <c r="EJG43" s="63"/>
      <c r="EJH43" s="63"/>
      <c r="EJI43" s="63"/>
      <c r="EJJ43" s="63"/>
      <c r="EJK43" s="63"/>
      <c r="EJL43" s="63"/>
      <c r="EJM43" s="63"/>
      <c r="EJN43" s="63"/>
      <c r="EJO43" s="63"/>
      <c r="EJP43" s="63"/>
      <c r="EJQ43" s="63"/>
      <c r="EJR43" s="63"/>
      <c r="EJS43" s="63"/>
      <c r="EJT43" s="63"/>
      <c r="EJU43" s="63"/>
      <c r="EJV43" s="63"/>
      <c r="EJW43" s="63"/>
      <c r="EJX43" s="63"/>
      <c r="EJY43" s="63"/>
      <c r="EJZ43" s="63"/>
      <c r="EKA43" s="63"/>
      <c r="EKB43" s="63"/>
      <c r="EKC43" s="63"/>
      <c r="EKD43" s="63"/>
      <c r="EKE43" s="63"/>
      <c r="EKF43" s="63"/>
      <c r="EKG43" s="63"/>
      <c r="EKH43" s="63"/>
      <c r="EKI43" s="63"/>
      <c r="EKJ43" s="63"/>
      <c r="EKK43" s="63"/>
      <c r="EKL43" s="63"/>
      <c r="EKM43" s="63"/>
      <c r="EKN43" s="63"/>
      <c r="EKO43" s="63"/>
      <c r="EKP43" s="63"/>
      <c r="EKQ43" s="63"/>
      <c r="EKR43" s="63"/>
      <c r="EKS43" s="63"/>
      <c r="EKT43" s="63"/>
      <c r="EKU43" s="63"/>
      <c r="EKV43" s="63"/>
      <c r="EKW43" s="63"/>
      <c r="EKX43" s="63"/>
      <c r="EKY43" s="63"/>
      <c r="EKZ43" s="63"/>
      <c r="ELA43" s="63"/>
      <c r="ELB43" s="63"/>
      <c r="ELC43" s="63"/>
      <c r="ELD43" s="63"/>
      <c r="ELE43" s="63"/>
      <c r="ELF43" s="63"/>
      <c r="ELG43" s="63"/>
      <c r="ELH43" s="63"/>
      <c r="ELI43" s="63"/>
      <c r="ELJ43" s="63"/>
      <c r="ELK43" s="63"/>
      <c r="ELL43" s="63"/>
      <c r="ELM43" s="63"/>
      <c r="ELN43" s="63"/>
      <c r="ELO43" s="63"/>
      <c r="ELP43" s="63"/>
      <c r="ELQ43" s="63"/>
      <c r="ELR43" s="63"/>
      <c r="ELS43" s="63"/>
      <c r="ELT43" s="63"/>
      <c r="ELU43" s="63"/>
      <c r="ELV43" s="63"/>
      <c r="ELW43" s="63"/>
      <c r="ELX43" s="63"/>
      <c r="ELY43" s="63"/>
      <c r="ELZ43" s="63"/>
      <c r="EMA43" s="63"/>
      <c r="EMB43" s="63"/>
      <c r="EMC43" s="63"/>
      <c r="EMD43" s="63"/>
      <c r="EME43" s="63"/>
      <c r="EMF43" s="63"/>
      <c r="EMG43" s="63"/>
      <c r="EMH43" s="63"/>
      <c r="EMI43" s="63"/>
      <c r="EMJ43" s="63"/>
      <c r="EMK43" s="63"/>
      <c r="EML43" s="63"/>
      <c r="EMM43" s="63"/>
      <c r="EMN43" s="63"/>
      <c r="EMO43" s="63"/>
      <c r="EMP43" s="63"/>
      <c r="EMQ43" s="63"/>
      <c r="EMR43" s="63"/>
      <c r="EMS43" s="63"/>
      <c r="EMT43" s="63"/>
      <c r="EMU43" s="63"/>
      <c r="EMV43" s="63"/>
      <c r="EMW43" s="63"/>
      <c r="EMX43" s="63"/>
      <c r="EMY43" s="63"/>
      <c r="EMZ43" s="63"/>
      <c r="ENA43" s="63"/>
      <c r="ENB43" s="63"/>
      <c r="ENC43" s="63"/>
      <c r="END43" s="63"/>
      <c r="ENE43" s="63"/>
      <c r="ENF43" s="63"/>
      <c r="ENG43" s="63"/>
      <c r="ENH43" s="63"/>
      <c r="ENI43" s="63"/>
      <c r="ENJ43" s="63"/>
      <c r="ENK43" s="63"/>
      <c r="ENL43" s="63"/>
      <c r="ENM43" s="63"/>
      <c r="ENN43" s="63"/>
      <c r="ENO43" s="63"/>
      <c r="ENP43" s="63"/>
      <c r="ENQ43" s="63"/>
      <c r="ENR43" s="63"/>
      <c r="ENS43" s="63"/>
      <c r="ENT43" s="63"/>
      <c r="ENU43" s="63"/>
      <c r="ENV43" s="63"/>
      <c r="ENW43" s="63"/>
      <c r="ENX43" s="63"/>
      <c r="ENY43" s="63"/>
      <c r="ENZ43" s="63"/>
      <c r="EOA43" s="63"/>
      <c r="EOB43" s="63"/>
      <c r="EOC43" s="63"/>
      <c r="EOD43" s="63"/>
      <c r="EOE43" s="63"/>
      <c r="EOF43" s="63"/>
      <c r="EOG43" s="63"/>
      <c r="EOH43" s="63"/>
      <c r="EOI43" s="63"/>
      <c r="EOJ43" s="63"/>
      <c r="EOK43" s="63"/>
      <c r="EOL43" s="63"/>
      <c r="EOM43" s="63"/>
      <c r="EON43" s="63"/>
      <c r="EOO43" s="63"/>
      <c r="EOP43" s="63"/>
      <c r="EOQ43" s="63"/>
      <c r="EOR43" s="63"/>
      <c r="EOS43" s="63"/>
      <c r="EOT43" s="63"/>
      <c r="EOU43" s="63"/>
      <c r="EOV43" s="63"/>
      <c r="EOW43" s="63"/>
      <c r="EOX43" s="63"/>
      <c r="EOY43" s="63"/>
      <c r="EOZ43" s="63"/>
      <c r="EPA43" s="63"/>
      <c r="EPB43" s="63"/>
      <c r="EPC43" s="63"/>
      <c r="EPD43" s="63"/>
      <c r="EPE43" s="63"/>
      <c r="EPF43" s="63"/>
      <c r="EPG43" s="63"/>
      <c r="EPH43" s="63"/>
      <c r="EPI43" s="63"/>
      <c r="EPJ43" s="63"/>
      <c r="EPK43" s="63"/>
      <c r="EPL43" s="63"/>
      <c r="EPM43" s="63"/>
      <c r="EPN43" s="63"/>
      <c r="EPO43" s="63"/>
      <c r="EPP43" s="63"/>
      <c r="EPQ43" s="63"/>
      <c r="EPR43" s="63"/>
      <c r="EPS43" s="63"/>
      <c r="EPT43" s="63"/>
      <c r="EPU43" s="63"/>
      <c r="EPV43" s="63"/>
      <c r="EPW43" s="63"/>
      <c r="EPX43" s="63"/>
      <c r="EPY43" s="63"/>
      <c r="EPZ43" s="63"/>
      <c r="EQA43" s="63"/>
      <c r="EQB43" s="63"/>
      <c r="EQC43" s="63"/>
      <c r="EQD43" s="63"/>
      <c r="EQE43" s="63"/>
      <c r="EQF43" s="63"/>
      <c r="EQG43" s="63"/>
      <c r="EQH43" s="63"/>
      <c r="EQI43" s="63"/>
      <c r="EQJ43" s="63"/>
      <c r="EQK43" s="63"/>
      <c r="EQL43" s="63"/>
      <c r="EQM43" s="63"/>
      <c r="EQN43" s="63"/>
      <c r="EQO43" s="63"/>
      <c r="EQP43" s="63"/>
      <c r="EQQ43" s="63"/>
      <c r="EQR43" s="63"/>
      <c r="EQS43" s="63"/>
      <c r="EQT43" s="63"/>
      <c r="EQU43" s="63"/>
      <c r="EQV43" s="63"/>
      <c r="EQW43" s="63"/>
      <c r="EQX43" s="63"/>
      <c r="EQY43" s="63"/>
      <c r="EQZ43" s="63"/>
      <c r="ERA43" s="63"/>
      <c r="ERB43" s="63"/>
      <c r="ERC43" s="63"/>
      <c r="ERD43" s="63"/>
      <c r="ERE43" s="63"/>
      <c r="ERF43" s="63"/>
      <c r="ERG43" s="63"/>
      <c r="ERH43" s="63"/>
      <c r="ERI43" s="63"/>
      <c r="ERJ43" s="63"/>
      <c r="ERK43" s="63"/>
      <c r="ERL43" s="63"/>
      <c r="ERM43" s="63"/>
      <c r="ERN43" s="63"/>
      <c r="ERO43" s="63"/>
      <c r="ERP43" s="63"/>
      <c r="ERQ43" s="63"/>
      <c r="ERR43" s="63"/>
      <c r="ERS43" s="63"/>
      <c r="ERT43" s="63"/>
      <c r="ERU43" s="63"/>
      <c r="ERV43" s="63"/>
      <c r="ERW43" s="63"/>
      <c r="ERX43" s="63"/>
      <c r="ERY43" s="63"/>
      <c r="ERZ43" s="63"/>
      <c r="ESA43" s="63"/>
      <c r="ESB43" s="63"/>
      <c r="ESC43" s="63"/>
      <c r="ESD43" s="63"/>
      <c r="ESE43" s="63"/>
      <c r="ESF43" s="63"/>
      <c r="ESG43" s="63"/>
      <c r="ESH43" s="63"/>
      <c r="ESI43" s="63"/>
      <c r="ESJ43" s="63"/>
      <c r="ESK43" s="63"/>
      <c r="ESL43" s="63"/>
      <c r="ESM43" s="63"/>
      <c r="ESN43" s="63"/>
      <c r="ESO43" s="63"/>
      <c r="ESP43" s="63"/>
      <c r="ESQ43" s="63"/>
      <c r="ESR43" s="63"/>
      <c r="ESS43" s="63"/>
      <c r="EST43" s="63"/>
      <c r="ESU43" s="63"/>
      <c r="ESV43" s="63"/>
      <c r="ESW43" s="63"/>
      <c r="ESX43" s="63"/>
      <c r="ESY43" s="63"/>
      <c r="ESZ43" s="63"/>
      <c r="ETA43" s="63"/>
      <c r="ETB43" s="63"/>
      <c r="ETC43" s="63"/>
      <c r="ETD43" s="63"/>
      <c r="ETE43" s="63"/>
      <c r="ETF43" s="63"/>
      <c r="ETG43" s="63"/>
      <c r="ETH43" s="63"/>
      <c r="ETI43" s="63"/>
      <c r="ETJ43" s="63"/>
      <c r="ETK43" s="63"/>
      <c r="ETL43" s="63"/>
      <c r="ETM43" s="63"/>
      <c r="ETN43" s="63"/>
      <c r="ETO43" s="63"/>
      <c r="ETP43" s="63"/>
      <c r="ETQ43" s="63"/>
      <c r="ETR43" s="63"/>
      <c r="ETS43" s="63"/>
      <c r="ETT43" s="63"/>
      <c r="ETU43" s="63"/>
      <c r="ETV43" s="63"/>
      <c r="ETW43" s="63"/>
      <c r="ETX43" s="63"/>
      <c r="ETY43" s="63"/>
      <c r="ETZ43" s="63"/>
      <c r="EUA43" s="63"/>
      <c r="EUB43" s="63"/>
      <c r="EUC43" s="63"/>
      <c r="EUD43" s="63"/>
      <c r="EUE43" s="63"/>
      <c r="EUF43" s="63"/>
      <c r="EUG43" s="63"/>
      <c r="EUH43" s="63"/>
      <c r="EUI43" s="63"/>
      <c r="EUJ43" s="63"/>
      <c r="EUK43" s="63"/>
      <c r="EUL43" s="63"/>
      <c r="EUM43" s="63"/>
      <c r="EUN43" s="63"/>
      <c r="EUO43" s="63"/>
      <c r="EUP43" s="63"/>
      <c r="EUQ43" s="63"/>
      <c r="EUR43" s="63"/>
      <c r="EUS43" s="63"/>
      <c r="EUT43" s="63"/>
      <c r="EUU43" s="63"/>
      <c r="EUV43" s="63"/>
      <c r="EUW43" s="63"/>
      <c r="EUX43" s="63"/>
      <c r="EUY43" s="63"/>
      <c r="EUZ43" s="63"/>
      <c r="EVA43" s="63"/>
      <c r="EVB43" s="63"/>
      <c r="EVC43" s="63"/>
      <c r="EVD43" s="63"/>
      <c r="EVE43" s="63"/>
      <c r="EVF43" s="63"/>
      <c r="EVG43" s="63"/>
      <c r="EVH43" s="63"/>
      <c r="EVI43" s="63"/>
      <c r="EVJ43" s="63"/>
      <c r="EVK43" s="63"/>
      <c r="EVL43" s="63"/>
      <c r="EVM43" s="63"/>
      <c r="EVN43" s="63"/>
      <c r="EVO43" s="63"/>
      <c r="EVP43" s="63"/>
      <c r="EVQ43" s="63"/>
      <c r="EVR43" s="63"/>
      <c r="EVS43" s="63"/>
      <c r="EVT43" s="63"/>
      <c r="EVU43" s="63"/>
      <c r="EVV43" s="63"/>
      <c r="EVW43" s="63"/>
      <c r="EVX43" s="63"/>
      <c r="EVY43" s="63"/>
      <c r="EVZ43" s="63"/>
      <c r="EWA43" s="63"/>
      <c r="EWB43" s="63"/>
      <c r="EWC43" s="63"/>
      <c r="EWD43" s="63"/>
      <c r="EWE43" s="63"/>
      <c r="EWF43" s="63"/>
      <c r="EWG43" s="63"/>
      <c r="EWH43" s="63"/>
      <c r="EWI43" s="63"/>
      <c r="EWJ43" s="63"/>
      <c r="EWK43" s="63"/>
      <c r="EWL43" s="63"/>
      <c r="EWM43" s="63"/>
      <c r="EWN43" s="63"/>
      <c r="EWO43" s="63"/>
      <c r="EWP43" s="63"/>
      <c r="EWQ43" s="63"/>
      <c r="EWR43" s="63"/>
      <c r="EWS43" s="63"/>
      <c r="EWT43" s="63"/>
      <c r="EWU43" s="63"/>
      <c r="EWV43" s="63"/>
      <c r="EWW43" s="63"/>
      <c r="EWX43" s="63"/>
      <c r="EWY43" s="63"/>
      <c r="EWZ43" s="63"/>
      <c r="EXA43" s="63"/>
      <c r="EXB43" s="63"/>
      <c r="EXC43" s="63"/>
      <c r="EXD43" s="63"/>
      <c r="EXE43" s="63"/>
      <c r="EXF43" s="63"/>
      <c r="EXG43" s="63"/>
      <c r="EXH43" s="63"/>
      <c r="EXI43" s="63"/>
      <c r="EXJ43" s="63"/>
      <c r="EXK43" s="63"/>
      <c r="EXL43" s="63"/>
      <c r="EXM43" s="63"/>
      <c r="EXN43" s="63"/>
      <c r="EXO43" s="63"/>
      <c r="EXP43" s="63"/>
      <c r="EXQ43" s="63"/>
      <c r="EXR43" s="63"/>
      <c r="EXS43" s="63"/>
      <c r="EXT43" s="63"/>
      <c r="EXU43" s="63"/>
      <c r="EXV43" s="63"/>
      <c r="EXW43" s="63"/>
      <c r="EXX43" s="63"/>
      <c r="EXY43" s="63"/>
      <c r="EXZ43" s="63"/>
      <c r="EYA43" s="63"/>
      <c r="EYB43" s="63"/>
      <c r="EYC43" s="63"/>
      <c r="EYD43" s="63"/>
      <c r="EYE43" s="63"/>
      <c r="EYF43" s="63"/>
      <c r="EYG43" s="63"/>
      <c r="EYH43" s="63"/>
      <c r="EYI43" s="63"/>
      <c r="EYJ43" s="63"/>
      <c r="EYK43" s="63"/>
      <c r="EYL43" s="63"/>
      <c r="EYM43" s="63"/>
      <c r="EYN43" s="63"/>
      <c r="EYO43" s="63"/>
      <c r="EYP43" s="63"/>
      <c r="EYQ43" s="63"/>
      <c r="EYR43" s="63"/>
      <c r="EYS43" s="63"/>
      <c r="EYT43" s="63"/>
      <c r="EYU43" s="63"/>
      <c r="EYV43" s="63"/>
      <c r="EYW43" s="63"/>
      <c r="EYX43" s="63"/>
      <c r="EYY43" s="63"/>
      <c r="EYZ43" s="63"/>
      <c r="EZA43" s="63"/>
      <c r="EZB43" s="63"/>
      <c r="EZC43" s="63"/>
      <c r="EZD43" s="63"/>
      <c r="EZE43" s="63"/>
      <c r="EZF43" s="63"/>
      <c r="EZG43" s="63"/>
      <c r="EZH43" s="63"/>
      <c r="EZI43" s="63"/>
      <c r="EZJ43" s="63"/>
      <c r="EZK43" s="63"/>
      <c r="EZL43" s="63"/>
      <c r="EZM43" s="63"/>
      <c r="EZN43" s="63"/>
      <c r="EZO43" s="63"/>
      <c r="EZP43" s="63"/>
      <c r="EZQ43" s="63"/>
      <c r="EZR43" s="63"/>
      <c r="EZS43" s="63"/>
      <c r="EZT43" s="63"/>
      <c r="EZU43" s="63"/>
      <c r="EZV43" s="63"/>
      <c r="EZW43" s="63"/>
      <c r="EZX43" s="63"/>
      <c r="EZY43" s="63"/>
      <c r="EZZ43" s="63"/>
      <c r="FAA43" s="63"/>
      <c r="FAB43" s="63"/>
      <c r="FAC43" s="63"/>
      <c r="FAD43" s="63"/>
      <c r="FAE43" s="63"/>
      <c r="FAF43" s="63"/>
      <c r="FAG43" s="63"/>
      <c r="FAH43" s="63"/>
      <c r="FAI43" s="63"/>
      <c r="FAJ43" s="63"/>
      <c r="FAK43" s="63"/>
      <c r="FAL43" s="63"/>
      <c r="FAM43" s="63"/>
      <c r="FAN43" s="63"/>
      <c r="FAO43" s="63"/>
      <c r="FAP43" s="63"/>
      <c r="FAQ43" s="63"/>
      <c r="FAR43" s="63"/>
      <c r="FAS43" s="63"/>
      <c r="FAT43" s="63"/>
      <c r="FAU43" s="63"/>
      <c r="FAV43" s="63"/>
      <c r="FAW43" s="63"/>
      <c r="FAX43" s="63"/>
      <c r="FAY43" s="63"/>
      <c r="FAZ43" s="63"/>
      <c r="FBA43" s="63"/>
      <c r="FBB43" s="63"/>
      <c r="FBC43" s="63"/>
      <c r="FBD43" s="63"/>
      <c r="FBE43" s="63"/>
      <c r="FBF43" s="63"/>
      <c r="FBG43" s="63"/>
      <c r="FBH43" s="63"/>
      <c r="FBI43" s="63"/>
      <c r="FBJ43" s="63"/>
      <c r="FBK43" s="63"/>
      <c r="FBL43" s="63"/>
      <c r="FBM43" s="63"/>
      <c r="FBN43" s="63"/>
      <c r="FBO43" s="63"/>
      <c r="FBP43" s="63"/>
      <c r="FBQ43" s="63"/>
      <c r="FBR43" s="63"/>
      <c r="FBS43" s="63"/>
      <c r="FBT43" s="63"/>
      <c r="FBU43" s="63"/>
      <c r="FBV43" s="63"/>
      <c r="FBW43" s="63"/>
      <c r="FBX43" s="63"/>
      <c r="FBY43" s="63"/>
      <c r="FBZ43" s="63"/>
      <c r="FCA43" s="63"/>
      <c r="FCB43" s="63"/>
      <c r="FCC43" s="63"/>
      <c r="FCD43" s="63"/>
      <c r="FCE43" s="63"/>
      <c r="FCF43" s="63"/>
      <c r="FCG43" s="63"/>
      <c r="FCH43" s="63"/>
      <c r="FCI43" s="63"/>
      <c r="FCJ43" s="63"/>
      <c r="FCK43" s="63"/>
      <c r="FCL43" s="63"/>
      <c r="FCM43" s="63"/>
      <c r="FCN43" s="63"/>
      <c r="FCO43" s="63"/>
      <c r="FCP43" s="63"/>
      <c r="FCQ43" s="63"/>
      <c r="FCR43" s="63"/>
      <c r="FCS43" s="63"/>
      <c r="FCT43" s="63"/>
      <c r="FCU43" s="63"/>
      <c r="FCV43" s="63"/>
      <c r="FCW43" s="63"/>
      <c r="FCX43" s="63"/>
      <c r="FCY43" s="63"/>
      <c r="FCZ43" s="63"/>
      <c r="FDA43" s="63"/>
      <c r="FDB43" s="63"/>
      <c r="FDC43" s="63"/>
      <c r="FDD43" s="63"/>
      <c r="FDE43" s="63"/>
      <c r="FDF43" s="63"/>
      <c r="FDG43" s="63"/>
      <c r="FDH43" s="63"/>
      <c r="FDI43" s="63"/>
      <c r="FDJ43" s="63"/>
      <c r="FDK43" s="63"/>
      <c r="FDL43" s="63"/>
      <c r="FDM43" s="63"/>
      <c r="FDN43" s="63"/>
      <c r="FDO43" s="63"/>
      <c r="FDP43" s="63"/>
      <c r="FDQ43" s="63"/>
      <c r="FDR43" s="63"/>
      <c r="FDS43" s="63"/>
      <c r="FDT43" s="63"/>
      <c r="FDU43" s="63"/>
      <c r="FDV43" s="63"/>
      <c r="FDW43" s="63"/>
      <c r="FDX43" s="63"/>
      <c r="FDY43" s="63"/>
      <c r="FDZ43" s="63"/>
      <c r="FEA43" s="63"/>
      <c r="FEB43" s="63"/>
      <c r="FEC43" s="63"/>
      <c r="FED43" s="63"/>
      <c r="FEE43" s="63"/>
      <c r="FEF43" s="63"/>
      <c r="FEG43" s="63"/>
      <c r="FEH43" s="63"/>
      <c r="FEI43" s="63"/>
      <c r="FEJ43" s="63"/>
      <c r="FEK43" s="63"/>
      <c r="FEL43" s="63"/>
      <c r="FEM43" s="63"/>
      <c r="FEN43" s="63"/>
      <c r="FEO43" s="63"/>
      <c r="FEP43" s="63"/>
      <c r="FEQ43" s="63"/>
      <c r="FER43" s="63"/>
      <c r="FES43" s="63"/>
      <c r="FET43" s="63"/>
      <c r="FEU43" s="63"/>
      <c r="FEV43" s="63"/>
      <c r="FEW43" s="63"/>
      <c r="FEX43" s="63"/>
      <c r="FEY43" s="63"/>
      <c r="FEZ43" s="63"/>
      <c r="FFA43" s="63"/>
      <c r="FFB43" s="63"/>
      <c r="FFC43" s="63"/>
      <c r="FFD43" s="63"/>
      <c r="FFE43" s="63"/>
      <c r="FFF43" s="63"/>
      <c r="FFG43" s="63"/>
      <c r="FFH43" s="63"/>
      <c r="FFI43" s="63"/>
      <c r="FFJ43" s="63"/>
      <c r="FFK43" s="63"/>
      <c r="FFL43" s="63"/>
      <c r="FFM43" s="63"/>
      <c r="FFN43" s="63"/>
      <c r="FFO43" s="63"/>
      <c r="FFP43" s="63"/>
      <c r="FFQ43" s="63"/>
      <c r="FFR43" s="63"/>
      <c r="FFS43" s="63"/>
      <c r="FFT43" s="63"/>
      <c r="FFU43" s="63"/>
      <c r="FFV43" s="63"/>
      <c r="FFW43" s="63"/>
      <c r="FFX43" s="63"/>
      <c r="FFY43" s="63"/>
      <c r="FFZ43" s="63"/>
      <c r="FGA43" s="63"/>
      <c r="FGB43" s="63"/>
      <c r="FGC43" s="63"/>
      <c r="FGD43" s="63"/>
      <c r="FGE43" s="63"/>
      <c r="FGF43" s="63"/>
      <c r="FGG43" s="63"/>
      <c r="FGH43" s="63"/>
      <c r="FGI43" s="63"/>
      <c r="FGJ43" s="63"/>
      <c r="FGK43" s="63"/>
      <c r="FGL43" s="63"/>
      <c r="FGM43" s="63"/>
      <c r="FGN43" s="63"/>
      <c r="FGO43" s="63"/>
      <c r="FGP43" s="63"/>
      <c r="FGQ43" s="63"/>
      <c r="FGR43" s="63"/>
      <c r="FGS43" s="63"/>
      <c r="FGT43" s="63"/>
      <c r="FGU43" s="63"/>
      <c r="FGV43" s="63"/>
      <c r="FGW43" s="63"/>
      <c r="FGX43" s="63"/>
      <c r="FGY43" s="63"/>
      <c r="FGZ43" s="63"/>
      <c r="FHA43" s="63"/>
      <c r="FHB43" s="63"/>
      <c r="FHC43" s="63"/>
      <c r="FHD43" s="63"/>
      <c r="FHE43" s="63"/>
      <c r="FHF43" s="63"/>
      <c r="FHG43" s="63"/>
      <c r="FHH43" s="63"/>
      <c r="FHI43" s="63"/>
      <c r="FHJ43" s="63"/>
      <c r="FHK43" s="63"/>
      <c r="FHL43" s="63"/>
      <c r="FHM43" s="63"/>
      <c r="FHN43" s="63"/>
      <c r="FHO43" s="63"/>
      <c r="FHP43" s="63"/>
      <c r="FHQ43" s="63"/>
      <c r="FHR43" s="63"/>
      <c r="FHS43" s="63"/>
      <c r="FHT43" s="63"/>
      <c r="FHU43" s="63"/>
      <c r="FHV43" s="63"/>
      <c r="FHW43" s="63"/>
      <c r="FHX43" s="63"/>
      <c r="FHY43" s="63"/>
      <c r="FHZ43" s="63"/>
      <c r="FIA43" s="63"/>
      <c r="FIB43" s="63"/>
      <c r="FIC43" s="63"/>
      <c r="FID43" s="63"/>
      <c r="FIE43" s="63"/>
      <c r="FIF43" s="63"/>
      <c r="FIG43" s="63"/>
      <c r="FIH43" s="63"/>
      <c r="FII43" s="63"/>
      <c r="FIJ43" s="63"/>
      <c r="FIK43" s="63"/>
      <c r="FIL43" s="63"/>
      <c r="FIM43" s="63"/>
      <c r="FIN43" s="63"/>
      <c r="FIO43" s="63"/>
      <c r="FIP43" s="63"/>
      <c r="FIQ43" s="63"/>
      <c r="FIR43" s="63"/>
      <c r="FIS43" s="63"/>
      <c r="FIT43" s="63"/>
      <c r="FIU43" s="63"/>
      <c r="FIV43" s="63"/>
      <c r="FIW43" s="63"/>
      <c r="FIX43" s="63"/>
      <c r="FIY43" s="63"/>
      <c r="FIZ43" s="63"/>
      <c r="FJA43" s="63"/>
      <c r="FJB43" s="63"/>
      <c r="FJC43" s="63"/>
      <c r="FJD43" s="63"/>
      <c r="FJE43" s="63"/>
      <c r="FJF43" s="63"/>
      <c r="FJG43" s="63"/>
      <c r="FJH43" s="63"/>
      <c r="FJI43" s="63"/>
      <c r="FJJ43" s="63"/>
      <c r="FJK43" s="63"/>
      <c r="FJL43" s="63"/>
      <c r="FJM43" s="63"/>
      <c r="FJN43" s="63"/>
      <c r="FJO43" s="63"/>
      <c r="FJP43" s="63"/>
      <c r="FJQ43" s="63"/>
      <c r="FJR43" s="63"/>
      <c r="FJS43" s="63"/>
      <c r="FJT43" s="63"/>
      <c r="FJU43" s="63"/>
      <c r="FJV43" s="63"/>
      <c r="FJW43" s="63"/>
      <c r="FJX43" s="63"/>
      <c r="FJY43" s="63"/>
      <c r="FJZ43" s="63"/>
      <c r="FKA43" s="63"/>
      <c r="FKB43" s="63"/>
      <c r="FKC43" s="63"/>
      <c r="FKD43" s="63"/>
      <c r="FKE43" s="63"/>
      <c r="FKF43" s="63"/>
      <c r="FKG43" s="63"/>
      <c r="FKH43" s="63"/>
      <c r="FKI43" s="63"/>
      <c r="FKJ43" s="63"/>
      <c r="FKK43" s="63"/>
      <c r="FKL43" s="63"/>
      <c r="FKM43" s="63"/>
      <c r="FKN43" s="63"/>
      <c r="FKO43" s="63"/>
      <c r="FKP43" s="63"/>
      <c r="FKQ43" s="63"/>
      <c r="FKR43" s="63"/>
      <c r="FKS43" s="63"/>
      <c r="FKT43" s="63"/>
      <c r="FKU43" s="63"/>
      <c r="FKV43" s="63"/>
      <c r="FKW43" s="63"/>
      <c r="FKX43" s="63"/>
      <c r="FKY43" s="63"/>
      <c r="FKZ43" s="63"/>
      <c r="FLA43" s="63"/>
      <c r="FLB43" s="63"/>
      <c r="FLC43" s="63"/>
      <c r="FLD43" s="63"/>
      <c r="FLE43" s="63"/>
      <c r="FLF43" s="63"/>
      <c r="FLG43" s="63"/>
      <c r="FLH43" s="63"/>
      <c r="FLI43" s="63"/>
      <c r="FLJ43" s="63"/>
      <c r="FLK43" s="63"/>
      <c r="FLL43" s="63"/>
      <c r="FLM43" s="63"/>
      <c r="FLN43" s="63"/>
      <c r="FLO43" s="63"/>
      <c r="FLP43" s="63"/>
      <c r="FLQ43" s="63"/>
      <c r="FLR43" s="63"/>
      <c r="FLS43" s="63"/>
      <c r="FLT43" s="63"/>
      <c r="FLU43" s="63"/>
      <c r="FLV43" s="63"/>
      <c r="FLW43" s="63"/>
      <c r="FLX43" s="63"/>
      <c r="FLY43" s="63"/>
      <c r="FLZ43" s="63"/>
      <c r="FMA43" s="63"/>
      <c r="FMB43" s="63"/>
      <c r="FMC43" s="63"/>
      <c r="FMD43" s="63"/>
      <c r="FME43" s="63"/>
      <c r="FMF43" s="63"/>
      <c r="FMG43" s="63"/>
      <c r="FMH43" s="63"/>
      <c r="FMI43" s="63"/>
      <c r="FMJ43" s="63"/>
      <c r="FMK43" s="63"/>
      <c r="FML43" s="63"/>
      <c r="FMM43" s="63"/>
      <c r="FMN43" s="63"/>
      <c r="FMO43" s="63"/>
      <c r="FMP43" s="63"/>
      <c r="FMQ43" s="63"/>
      <c r="FMR43" s="63"/>
      <c r="FMS43" s="63"/>
      <c r="FMT43" s="63"/>
      <c r="FMU43" s="63"/>
      <c r="FMV43" s="63"/>
      <c r="FMW43" s="63"/>
      <c r="FMX43" s="63"/>
      <c r="FMY43" s="63"/>
      <c r="FMZ43" s="63"/>
      <c r="FNA43" s="63"/>
      <c r="FNB43" s="63"/>
      <c r="FNC43" s="63"/>
      <c r="FND43" s="63"/>
      <c r="FNE43" s="63"/>
      <c r="FNF43" s="63"/>
      <c r="FNG43" s="63"/>
      <c r="FNH43" s="63"/>
      <c r="FNI43" s="63"/>
      <c r="FNJ43" s="63"/>
      <c r="FNK43" s="63"/>
      <c r="FNL43" s="63"/>
      <c r="FNM43" s="63"/>
      <c r="FNN43" s="63"/>
      <c r="FNO43" s="63"/>
      <c r="FNP43" s="63"/>
      <c r="FNQ43" s="63"/>
      <c r="FNR43" s="63"/>
      <c r="FNS43" s="63"/>
      <c r="FNT43" s="63"/>
      <c r="FNU43" s="63"/>
      <c r="FNV43" s="63"/>
      <c r="FNW43" s="63"/>
      <c r="FNX43" s="63"/>
      <c r="FNY43" s="63"/>
      <c r="FNZ43" s="63"/>
      <c r="FOA43" s="63"/>
      <c r="FOB43" s="63"/>
      <c r="FOC43" s="63"/>
      <c r="FOD43" s="63"/>
      <c r="FOE43" s="63"/>
      <c r="FOF43" s="63"/>
      <c r="FOG43" s="63"/>
      <c r="FOH43" s="63"/>
      <c r="FOI43" s="63"/>
      <c r="FOJ43" s="63"/>
      <c r="FOK43" s="63"/>
      <c r="FOL43" s="63"/>
      <c r="FOM43" s="63"/>
      <c r="FON43" s="63"/>
      <c r="FOO43" s="63"/>
      <c r="FOP43" s="63"/>
      <c r="FOQ43" s="63"/>
      <c r="FOR43" s="63"/>
      <c r="FOS43" s="63"/>
      <c r="FOT43" s="63"/>
      <c r="FOU43" s="63"/>
      <c r="FOV43" s="63"/>
      <c r="FOW43" s="63"/>
      <c r="FOX43" s="63"/>
      <c r="FOY43" s="63"/>
      <c r="FOZ43" s="63"/>
      <c r="FPA43" s="63"/>
      <c r="FPB43" s="63"/>
      <c r="FPC43" s="63"/>
      <c r="FPD43" s="63"/>
      <c r="FPE43" s="63"/>
      <c r="FPF43" s="63"/>
      <c r="FPG43" s="63"/>
      <c r="FPH43" s="63"/>
      <c r="FPI43" s="63"/>
      <c r="FPJ43" s="63"/>
      <c r="FPK43" s="63"/>
      <c r="FPL43" s="63"/>
      <c r="FPM43" s="63"/>
      <c r="FPN43" s="63"/>
      <c r="FPO43" s="63"/>
      <c r="FPP43" s="63"/>
      <c r="FPQ43" s="63"/>
      <c r="FPR43" s="63"/>
      <c r="FPS43" s="63"/>
      <c r="FPT43" s="63"/>
      <c r="FPU43" s="63"/>
      <c r="FPV43" s="63"/>
      <c r="FPW43" s="63"/>
      <c r="FPX43" s="63"/>
      <c r="FPY43" s="63"/>
      <c r="FPZ43" s="63"/>
      <c r="FQA43" s="63"/>
      <c r="FQB43" s="63"/>
      <c r="FQC43" s="63"/>
      <c r="FQD43" s="63"/>
      <c r="FQE43" s="63"/>
      <c r="FQF43" s="63"/>
      <c r="FQG43" s="63"/>
      <c r="FQH43" s="63"/>
      <c r="FQI43" s="63"/>
      <c r="FQJ43" s="63"/>
      <c r="FQK43" s="63"/>
      <c r="FQL43" s="63"/>
      <c r="FQM43" s="63"/>
      <c r="FQN43" s="63"/>
      <c r="FQO43" s="63"/>
      <c r="FQP43" s="63"/>
      <c r="FQQ43" s="63"/>
      <c r="FQR43" s="63"/>
      <c r="FQS43" s="63"/>
      <c r="FQT43" s="63"/>
      <c r="FQU43" s="63"/>
      <c r="FQV43" s="63"/>
      <c r="FQW43" s="63"/>
      <c r="FQX43" s="63"/>
      <c r="FQY43" s="63"/>
      <c r="FQZ43" s="63"/>
      <c r="FRA43" s="63"/>
      <c r="FRB43" s="63"/>
      <c r="FRC43" s="63"/>
      <c r="FRD43" s="63"/>
      <c r="FRE43" s="63"/>
      <c r="FRF43" s="63"/>
      <c r="FRG43" s="63"/>
      <c r="FRH43" s="63"/>
      <c r="FRI43" s="63"/>
      <c r="FRJ43" s="63"/>
      <c r="FRK43" s="63"/>
      <c r="FRL43" s="63"/>
      <c r="FRM43" s="63"/>
      <c r="FRN43" s="63"/>
      <c r="FRO43" s="63"/>
      <c r="FRP43" s="63"/>
      <c r="FRQ43" s="63"/>
      <c r="FRR43" s="63"/>
      <c r="FRS43" s="63"/>
      <c r="FRT43" s="63"/>
      <c r="FRU43" s="63"/>
      <c r="FRV43" s="63"/>
      <c r="FRW43" s="63"/>
      <c r="FRX43" s="63"/>
      <c r="FRY43" s="63"/>
      <c r="FRZ43" s="63"/>
      <c r="FSA43" s="63"/>
      <c r="FSB43" s="63"/>
      <c r="FSC43" s="63"/>
      <c r="FSD43" s="63"/>
      <c r="FSE43" s="63"/>
      <c r="FSF43" s="63"/>
      <c r="FSG43" s="63"/>
      <c r="FSH43" s="63"/>
      <c r="FSI43" s="63"/>
      <c r="FSJ43" s="63"/>
      <c r="FSK43" s="63"/>
      <c r="FSL43" s="63"/>
      <c r="FSM43" s="63"/>
      <c r="FSN43" s="63"/>
      <c r="FSO43" s="63"/>
      <c r="FSP43" s="63"/>
      <c r="FSQ43" s="63"/>
      <c r="FSR43" s="63"/>
      <c r="FSS43" s="63"/>
      <c r="FST43" s="63"/>
      <c r="FSU43" s="63"/>
      <c r="FSV43" s="63"/>
      <c r="FSW43" s="63"/>
      <c r="FSX43" s="63"/>
      <c r="FSY43" s="63"/>
      <c r="FSZ43" s="63"/>
      <c r="FTA43" s="63"/>
      <c r="FTB43" s="63"/>
      <c r="FTC43" s="63"/>
      <c r="FTD43" s="63"/>
      <c r="FTE43" s="63"/>
      <c r="FTF43" s="63"/>
      <c r="FTG43" s="63"/>
      <c r="FTH43" s="63"/>
      <c r="FTI43" s="63"/>
      <c r="FTJ43" s="63"/>
      <c r="FTK43" s="63"/>
      <c r="FTL43" s="63"/>
      <c r="FTM43" s="63"/>
      <c r="FTN43" s="63"/>
      <c r="FTO43" s="63"/>
      <c r="FTP43" s="63"/>
      <c r="FTQ43" s="63"/>
      <c r="FTR43" s="63"/>
      <c r="FTS43" s="63"/>
      <c r="FTT43" s="63"/>
      <c r="FTU43" s="63"/>
      <c r="FTV43" s="63"/>
      <c r="FTW43" s="63"/>
      <c r="FTX43" s="63"/>
      <c r="FTY43" s="63"/>
      <c r="FTZ43" s="63"/>
      <c r="FUA43" s="63"/>
      <c r="FUB43" s="63"/>
      <c r="FUC43" s="63"/>
      <c r="FUD43" s="63"/>
      <c r="FUE43" s="63"/>
      <c r="FUF43" s="63"/>
      <c r="FUG43" s="63"/>
      <c r="FUH43" s="63"/>
      <c r="FUI43" s="63"/>
      <c r="FUJ43" s="63"/>
      <c r="FUK43" s="63"/>
      <c r="FUL43" s="63"/>
      <c r="FUM43" s="63"/>
      <c r="FUN43" s="63"/>
      <c r="FUO43" s="63"/>
      <c r="FUP43" s="63"/>
      <c r="FUQ43" s="63"/>
      <c r="FUR43" s="63"/>
      <c r="FUS43" s="63"/>
      <c r="FUT43" s="63"/>
      <c r="FUU43" s="63"/>
      <c r="FUV43" s="63"/>
      <c r="FUW43" s="63"/>
      <c r="FUX43" s="63"/>
      <c r="FUY43" s="63"/>
      <c r="FUZ43" s="63"/>
      <c r="FVA43" s="63"/>
      <c r="FVB43" s="63"/>
      <c r="FVC43" s="63"/>
      <c r="FVD43" s="63"/>
      <c r="FVE43" s="63"/>
      <c r="FVF43" s="63"/>
      <c r="FVG43" s="63"/>
      <c r="FVH43" s="63"/>
      <c r="FVI43" s="63"/>
      <c r="FVJ43" s="63"/>
      <c r="FVK43" s="63"/>
      <c r="FVL43" s="63"/>
      <c r="FVM43" s="63"/>
      <c r="FVN43" s="63"/>
      <c r="FVO43" s="63"/>
      <c r="FVP43" s="63"/>
      <c r="FVQ43" s="63"/>
      <c r="FVR43" s="63"/>
      <c r="FVS43" s="63"/>
      <c r="FVT43" s="63"/>
      <c r="FVU43" s="63"/>
      <c r="FVV43" s="63"/>
      <c r="FVW43" s="63"/>
      <c r="FVX43" s="63"/>
      <c r="FVY43" s="63"/>
      <c r="FVZ43" s="63"/>
      <c r="FWA43" s="63"/>
      <c r="FWB43" s="63"/>
      <c r="FWC43" s="63"/>
      <c r="FWD43" s="63"/>
      <c r="FWE43" s="63"/>
      <c r="FWF43" s="63"/>
      <c r="FWG43" s="63"/>
      <c r="FWH43" s="63"/>
      <c r="FWI43" s="63"/>
      <c r="FWJ43" s="63"/>
      <c r="FWK43" s="63"/>
      <c r="FWL43" s="63"/>
      <c r="FWM43" s="63"/>
      <c r="FWN43" s="63"/>
      <c r="FWO43" s="63"/>
      <c r="FWP43" s="63"/>
      <c r="FWQ43" s="63"/>
      <c r="FWR43" s="63"/>
      <c r="FWS43" s="63"/>
      <c r="FWT43" s="63"/>
      <c r="FWU43" s="63"/>
      <c r="FWV43" s="63"/>
      <c r="FWW43" s="63"/>
      <c r="FWX43" s="63"/>
      <c r="FWY43" s="63"/>
      <c r="FWZ43" s="63"/>
      <c r="FXA43" s="63"/>
      <c r="FXB43" s="63"/>
      <c r="FXC43" s="63"/>
      <c r="FXD43" s="63"/>
      <c r="FXE43" s="63"/>
      <c r="FXF43" s="63"/>
      <c r="FXG43" s="63"/>
      <c r="FXH43" s="63"/>
      <c r="FXI43" s="63"/>
      <c r="FXJ43" s="63"/>
      <c r="FXK43" s="63"/>
      <c r="FXL43" s="63"/>
      <c r="FXM43" s="63"/>
      <c r="FXN43" s="63"/>
      <c r="FXO43" s="63"/>
      <c r="FXP43" s="63"/>
      <c r="FXQ43" s="63"/>
      <c r="FXR43" s="63"/>
      <c r="FXS43" s="63"/>
      <c r="FXT43" s="63"/>
      <c r="FXU43" s="63"/>
      <c r="FXV43" s="63"/>
      <c r="FXW43" s="63"/>
      <c r="FXX43" s="63"/>
      <c r="FXY43" s="63"/>
      <c r="FXZ43" s="63"/>
      <c r="FYA43" s="63"/>
      <c r="FYB43" s="63"/>
      <c r="FYC43" s="63"/>
      <c r="FYD43" s="63"/>
      <c r="FYE43" s="63"/>
      <c r="FYF43" s="63"/>
      <c r="FYG43" s="63"/>
      <c r="FYH43" s="63"/>
      <c r="FYI43" s="63"/>
      <c r="FYJ43" s="63"/>
      <c r="FYK43" s="63"/>
      <c r="FYL43" s="63"/>
      <c r="FYM43" s="63"/>
      <c r="FYN43" s="63"/>
      <c r="FYO43" s="63"/>
      <c r="FYP43" s="63"/>
      <c r="FYQ43" s="63"/>
      <c r="FYR43" s="63"/>
      <c r="FYS43" s="63"/>
      <c r="FYT43" s="63"/>
      <c r="FYU43" s="63"/>
      <c r="FYV43" s="63"/>
      <c r="FYW43" s="63"/>
      <c r="FYX43" s="63"/>
      <c r="FYY43" s="63"/>
      <c r="FYZ43" s="63"/>
      <c r="FZA43" s="63"/>
      <c r="FZB43" s="63"/>
      <c r="FZC43" s="63"/>
      <c r="FZD43" s="63"/>
      <c r="FZE43" s="63"/>
      <c r="FZF43" s="63"/>
      <c r="FZG43" s="63"/>
      <c r="FZH43" s="63"/>
      <c r="FZI43" s="63"/>
      <c r="FZJ43" s="63"/>
      <c r="FZK43" s="63"/>
      <c r="FZL43" s="63"/>
      <c r="FZM43" s="63"/>
      <c r="FZN43" s="63"/>
      <c r="FZO43" s="63"/>
      <c r="FZP43" s="63"/>
      <c r="FZQ43" s="63"/>
      <c r="FZR43" s="63"/>
      <c r="FZS43" s="63"/>
      <c r="FZT43" s="63"/>
      <c r="FZU43" s="63"/>
      <c r="FZV43" s="63"/>
      <c r="FZW43" s="63"/>
      <c r="FZX43" s="63"/>
      <c r="FZY43" s="63"/>
      <c r="FZZ43" s="63"/>
      <c r="GAA43" s="63"/>
      <c r="GAB43" s="63"/>
      <c r="GAC43" s="63"/>
      <c r="GAD43" s="63"/>
      <c r="GAE43" s="63"/>
      <c r="GAF43" s="63"/>
      <c r="GAG43" s="63"/>
      <c r="GAH43" s="63"/>
      <c r="GAI43" s="63"/>
      <c r="GAJ43" s="63"/>
      <c r="GAK43" s="63"/>
      <c r="GAL43" s="63"/>
      <c r="GAM43" s="63"/>
      <c r="GAN43" s="63"/>
      <c r="GAO43" s="63"/>
      <c r="GAP43" s="63"/>
      <c r="GAQ43" s="63"/>
      <c r="GAR43" s="63"/>
      <c r="GAS43" s="63"/>
      <c r="GAT43" s="63"/>
      <c r="GAU43" s="63"/>
      <c r="GAV43" s="63"/>
      <c r="GAW43" s="63"/>
      <c r="GAX43" s="63"/>
      <c r="GAY43" s="63"/>
      <c r="GAZ43" s="63"/>
      <c r="GBA43" s="63"/>
      <c r="GBB43" s="63"/>
      <c r="GBC43" s="63"/>
      <c r="GBD43" s="63"/>
      <c r="GBE43" s="63"/>
      <c r="GBF43" s="63"/>
      <c r="GBG43" s="63"/>
      <c r="GBH43" s="63"/>
      <c r="GBI43" s="63"/>
      <c r="GBJ43" s="63"/>
      <c r="GBK43" s="63"/>
      <c r="GBL43" s="63"/>
      <c r="GBM43" s="63"/>
      <c r="GBN43" s="63"/>
      <c r="GBO43" s="63"/>
      <c r="GBP43" s="63"/>
      <c r="GBQ43" s="63"/>
      <c r="GBR43" s="63"/>
      <c r="GBS43" s="63"/>
      <c r="GBT43" s="63"/>
      <c r="GBU43" s="63"/>
      <c r="GBV43" s="63"/>
      <c r="GBW43" s="63"/>
      <c r="GBX43" s="63"/>
      <c r="GBY43" s="63"/>
      <c r="GBZ43" s="63"/>
      <c r="GCA43" s="63"/>
      <c r="GCB43" s="63"/>
      <c r="GCC43" s="63"/>
      <c r="GCD43" s="63"/>
      <c r="GCE43" s="63"/>
      <c r="GCF43" s="63"/>
      <c r="GCG43" s="63"/>
      <c r="GCH43" s="63"/>
      <c r="GCI43" s="63"/>
      <c r="GCJ43" s="63"/>
      <c r="GCK43" s="63"/>
      <c r="GCL43" s="63"/>
      <c r="GCM43" s="63"/>
      <c r="GCN43" s="63"/>
      <c r="GCO43" s="63"/>
      <c r="GCP43" s="63"/>
      <c r="GCQ43" s="63"/>
      <c r="GCR43" s="63"/>
      <c r="GCS43" s="63"/>
      <c r="GCT43" s="63"/>
      <c r="GCU43" s="63"/>
      <c r="GCV43" s="63"/>
      <c r="GCW43" s="63"/>
      <c r="GCX43" s="63"/>
      <c r="GCY43" s="63"/>
      <c r="GCZ43" s="63"/>
      <c r="GDA43" s="63"/>
      <c r="GDB43" s="63"/>
      <c r="GDC43" s="63"/>
      <c r="GDD43" s="63"/>
      <c r="GDE43" s="63"/>
      <c r="GDF43" s="63"/>
      <c r="GDG43" s="63"/>
      <c r="GDH43" s="63"/>
      <c r="GDI43" s="63"/>
      <c r="GDJ43" s="63"/>
      <c r="GDK43" s="63"/>
      <c r="GDL43" s="63"/>
      <c r="GDM43" s="63"/>
      <c r="GDN43" s="63"/>
      <c r="GDO43" s="63"/>
      <c r="GDP43" s="63"/>
      <c r="GDQ43" s="63"/>
      <c r="GDR43" s="63"/>
      <c r="GDS43" s="63"/>
      <c r="GDT43" s="63"/>
      <c r="GDU43" s="63"/>
      <c r="GDV43" s="63"/>
      <c r="GDW43" s="63"/>
      <c r="GDX43" s="63"/>
      <c r="GDY43" s="63"/>
      <c r="GDZ43" s="63"/>
      <c r="GEA43" s="63"/>
      <c r="GEB43" s="63"/>
      <c r="GEC43" s="63"/>
      <c r="GED43" s="63"/>
      <c r="GEE43" s="63"/>
      <c r="GEF43" s="63"/>
      <c r="GEG43" s="63"/>
      <c r="GEH43" s="63"/>
      <c r="GEI43" s="63"/>
      <c r="GEJ43" s="63"/>
      <c r="GEK43" s="63"/>
      <c r="GEL43" s="63"/>
      <c r="GEM43" s="63"/>
      <c r="GEN43" s="63"/>
      <c r="GEO43" s="63"/>
      <c r="GEP43" s="63"/>
      <c r="GEQ43" s="63"/>
      <c r="GER43" s="63"/>
      <c r="GES43" s="63"/>
      <c r="GET43" s="63"/>
      <c r="GEU43" s="63"/>
      <c r="GEV43" s="63"/>
      <c r="GEW43" s="63"/>
      <c r="GEX43" s="63"/>
      <c r="GEY43" s="63"/>
      <c r="GEZ43" s="63"/>
      <c r="GFA43" s="63"/>
      <c r="GFB43" s="63"/>
      <c r="GFC43" s="63"/>
      <c r="GFD43" s="63"/>
      <c r="GFE43" s="63"/>
      <c r="GFF43" s="63"/>
      <c r="GFG43" s="63"/>
      <c r="GFH43" s="63"/>
      <c r="GFI43" s="63"/>
      <c r="GFJ43" s="63"/>
      <c r="GFK43" s="63"/>
      <c r="GFL43" s="63"/>
      <c r="GFM43" s="63"/>
      <c r="GFN43" s="63"/>
      <c r="GFO43" s="63"/>
      <c r="GFP43" s="63"/>
      <c r="GFQ43" s="63"/>
      <c r="GFR43" s="63"/>
      <c r="GFS43" s="63"/>
      <c r="GFT43" s="63"/>
      <c r="GFU43" s="63"/>
      <c r="GFV43" s="63"/>
      <c r="GFW43" s="63"/>
      <c r="GFX43" s="63"/>
      <c r="GFY43" s="63"/>
      <c r="GFZ43" s="63"/>
      <c r="GGA43" s="63"/>
      <c r="GGB43" s="63"/>
      <c r="GGC43" s="63"/>
      <c r="GGD43" s="63"/>
      <c r="GGE43" s="63"/>
      <c r="GGF43" s="63"/>
      <c r="GGG43" s="63"/>
      <c r="GGH43" s="63"/>
      <c r="GGI43" s="63"/>
      <c r="GGJ43" s="63"/>
      <c r="GGK43" s="63"/>
      <c r="GGL43" s="63"/>
      <c r="GGM43" s="63"/>
      <c r="GGN43" s="63"/>
      <c r="GGO43" s="63"/>
      <c r="GGP43" s="63"/>
      <c r="GGQ43" s="63"/>
      <c r="GGR43" s="63"/>
      <c r="GGS43" s="63"/>
      <c r="GGT43" s="63"/>
      <c r="GGU43" s="63"/>
      <c r="GGV43" s="63"/>
      <c r="GGW43" s="63"/>
      <c r="GGX43" s="63"/>
      <c r="GGY43" s="63"/>
      <c r="GGZ43" s="63"/>
      <c r="GHA43" s="63"/>
      <c r="GHB43" s="63"/>
      <c r="GHC43" s="63"/>
      <c r="GHD43" s="63"/>
      <c r="GHE43" s="63"/>
      <c r="GHF43" s="63"/>
      <c r="GHG43" s="63"/>
      <c r="GHH43" s="63"/>
      <c r="GHI43" s="63"/>
      <c r="GHJ43" s="63"/>
      <c r="GHK43" s="63"/>
      <c r="GHL43" s="63"/>
      <c r="GHM43" s="63"/>
      <c r="GHN43" s="63"/>
      <c r="GHO43" s="63"/>
      <c r="GHP43" s="63"/>
      <c r="GHQ43" s="63"/>
      <c r="GHR43" s="63"/>
      <c r="GHS43" s="63"/>
      <c r="GHT43" s="63"/>
      <c r="GHU43" s="63"/>
      <c r="GHV43" s="63"/>
      <c r="GHW43" s="63"/>
      <c r="GHX43" s="63"/>
      <c r="GHY43" s="63"/>
      <c r="GHZ43" s="63"/>
      <c r="GIA43" s="63"/>
      <c r="GIB43" s="63"/>
      <c r="GIC43" s="63"/>
      <c r="GID43" s="63"/>
      <c r="GIE43" s="63"/>
      <c r="GIF43" s="63"/>
      <c r="GIG43" s="63"/>
      <c r="GIH43" s="63"/>
      <c r="GII43" s="63"/>
      <c r="GIJ43" s="63"/>
      <c r="GIK43" s="63"/>
      <c r="GIL43" s="63"/>
      <c r="GIM43" s="63"/>
      <c r="GIN43" s="63"/>
      <c r="GIO43" s="63"/>
      <c r="GIP43" s="63"/>
      <c r="GIQ43" s="63"/>
      <c r="GIR43" s="63"/>
      <c r="GIS43" s="63"/>
      <c r="GIT43" s="63"/>
      <c r="GIU43" s="63"/>
      <c r="GIV43" s="63"/>
      <c r="GIW43" s="63"/>
      <c r="GIX43" s="63"/>
      <c r="GIY43" s="63"/>
      <c r="GIZ43" s="63"/>
      <c r="GJA43" s="63"/>
      <c r="GJB43" s="63"/>
      <c r="GJC43" s="63"/>
      <c r="GJD43" s="63"/>
      <c r="GJE43" s="63"/>
      <c r="GJF43" s="63"/>
      <c r="GJG43" s="63"/>
      <c r="GJH43" s="63"/>
      <c r="GJI43" s="63"/>
      <c r="GJJ43" s="63"/>
      <c r="GJK43" s="63"/>
      <c r="GJL43" s="63"/>
      <c r="GJM43" s="63"/>
      <c r="GJN43" s="63"/>
      <c r="GJO43" s="63"/>
      <c r="GJP43" s="63"/>
      <c r="GJQ43" s="63"/>
      <c r="GJR43" s="63"/>
      <c r="GJS43" s="63"/>
      <c r="GJT43" s="63"/>
      <c r="GJU43" s="63"/>
      <c r="GJV43" s="63"/>
      <c r="GJW43" s="63"/>
      <c r="GJX43" s="63"/>
      <c r="GJY43" s="63"/>
      <c r="GJZ43" s="63"/>
      <c r="GKA43" s="63"/>
      <c r="GKB43" s="63"/>
      <c r="GKC43" s="63"/>
      <c r="GKD43" s="63"/>
      <c r="GKE43" s="63"/>
      <c r="GKF43" s="63"/>
      <c r="GKG43" s="63"/>
      <c r="GKH43" s="63"/>
      <c r="GKI43" s="63"/>
      <c r="GKJ43" s="63"/>
      <c r="GKK43" s="63"/>
      <c r="GKL43" s="63"/>
      <c r="GKM43" s="63"/>
      <c r="GKN43" s="63"/>
      <c r="GKO43" s="63"/>
      <c r="GKP43" s="63"/>
      <c r="GKQ43" s="63"/>
      <c r="GKR43" s="63"/>
      <c r="GKS43" s="63"/>
      <c r="GKT43" s="63"/>
      <c r="GKU43" s="63"/>
      <c r="GKV43" s="63"/>
      <c r="GKW43" s="63"/>
      <c r="GKX43" s="63"/>
      <c r="GKY43" s="63"/>
      <c r="GKZ43" s="63"/>
      <c r="GLA43" s="63"/>
      <c r="GLB43" s="63"/>
      <c r="GLC43" s="63"/>
      <c r="GLD43" s="63"/>
      <c r="GLE43" s="63"/>
      <c r="GLF43" s="63"/>
      <c r="GLG43" s="63"/>
      <c r="GLH43" s="63"/>
      <c r="GLI43" s="63"/>
      <c r="GLJ43" s="63"/>
      <c r="GLK43" s="63"/>
      <c r="GLL43" s="63"/>
      <c r="GLM43" s="63"/>
      <c r="GLN43" s="63"/>
      <c r="GLO43" s="63"/>
      <c r="GLP43" s="63"/>
      <c r="GLQ43" s="63"/>
      <c r="GLR43" s="63"/>
      <c r="GLS43" s="63"/>
      <c r="GLT43" s="63"/>
      <c r="GLU43" s="63"/>
      <c r="GLV43" s="63"/>
      <c r="GLW43" s="63"/>
      <c r="GLX43" s="63"/>
      <c r="GLY43" s="63"/>
      <c r="GLZ43" s="63"/>
      <c r="GMA43" s="63"/>
      <c r="GMB43" s="63"/>
      <c r="GMC43" s="63"/>
      <c r="GMD43" s="63"/>
      <c r="GME43" s="63"/>
      <c r="GMF43" s="63"/>
      <c r="GMG43" s="63"/>
      <c r="GMH43" s="63"/>
      <c r="GMI43" s="63"/>
      <c r="GMJ43" s="63"/>
      <c r="GMK43" s="63"/>
      <c r="GML43" s="63"/>
      <c r="GMM43" s="63"/>
      <c r="GMN43" s="63"/>
      <c r="GMO43" s="63"/>
      <c r="GMP43" s="63"/>
      <c r="GMQ43" s="63"/>
      <c r="GMR43" s="63"/>
      <c r="GMS43" s="63"/>
      <c r="GMT43" s="63"/>
      <c r="GMU43" s="63"/>
      <c r="GMV43" s="63"/>
      <c r="GMW43" s="63"/>
      <c r="GMX43" s="63"/>
      <c r="GMY43" s="63"/>
      <c r="GMZ43" s="63"/>
      <c r="GNA43" s="63"/>
      <c r="GNB43" s="63"/>
      <c r="GNC43" s="63"/>
      <c r="GND43" s="63"/>
      <c r="GNE43" s="63"/>
      <c r="GNF43" s="63"/>
      <c r="GNG43" s="63"/>
      <c r="GNH43" s="63"/>
      <c r="GNI43" s="63"/>
      <c r="GNJ43" s="63"/>
      <c r="GNK43" s="63"/>
      <c r="GNL43" s="63"/>
      <c r="GNM43" s="63"/>
      <c r="GNN43" s="63"/>
      <c r="GNO43" s="63"/>
      <c r="GNP43" s="63"/>
      <c r="GNQ43" s="63"/>
      <c r="GNR43" s="63"/>
      <c r="GNS43" s="63"/>
      <c r="GNT43" s="63"/>
      <c r="GNU43" s="63"/>
      <c r="GNV43" s="63"/>
      <c r="GNW43" s="63"/>
      <c r="GNX43" s="63"/>
      <c r="GNY43" s="63"/>
      <c r="GNZ43" s="63"/>
      <c r="GOA43" s="63"/>
      <c r="GOB43" s="63"/>
      <c r="GOC43" s="63"/>
      <c r="GOD43" s="63"/>
      <c r="GOE43" s="63"/>
      <c r="GOF43" s="63"/>
      <c r="GOG43" s="63"/>
      <c r="GOH43" s="63"/>
      <c r="GOI43" s="63"/>
      <c r="GOJ43" s="63"/>
      <c r="GOK43" s="63"/>
      <c r="GOL43" s="63"/>
      <c r="GOM43" s="63"/>
      <c r="GON43" s="63"/>
      <c r="GOO43" s="63"/>
      <c r="GOP43" s="63"/>
      <c r="GOQ43" s="63"/>
      <c r="GOR43" s="63"/>
      <c r="GOS43" s="63"/>
      <c r="GOT43" s="63"/>
      <c r="GOU43" s="63"/>
      <c r="GOV43" s="63"/>
      <c r="GOW43" s="63"/>
      <c r="GOX43" s="63"/>
      <c r="GOY43" s="63"/>
      <c r="GOZ43" s="63"/>
      <c r="GPA43" s="63"/>
      <c r="GPB43" s="63"/>
      <c r="GPC43" s="63"/>
      <c r="GPD43" s="63"/>
      <c r="GPE43" s="63"/>
      <c r="GPF43" s="63"/>
      <c r="GPG43" s="63"/>
      <c r="GPH43" s="63"/>
      <c r="GPI43" s="63"/>
      <c r="GPJ43" s="63"/>
      <c r="GPK43" s="63"/>
      <c r="GPL43" s="63"/>
      <c r="GPM43" s="63"/>
      <c r="GPN43" s="63"/>
      <c r="GPO43" s="63"/>
      <c r="GPP43" s="63"/>
      <c r="GPQ43" s="63"/>
      <c r="GPR43" s="63"/>
      <c r="GPS43" s="63"/>
      <c r="GPT43" s="63"/>
      <c r="GPU43" s="63"/>
      <c r="GPV43" s="63"/>
      <c r="GPW43" s="63"/>
      <c r="GPX43" s="63"/>
      <c r="GPY43" s="63"/>
      <c r="GPZ43" s="63"/>
      <c r="GQA43" s="63"/>
      <c r="GQB43" s="63"/>
      <c r="GQC43" s="63"/>
      <c r="GQD43" s="63"/>
      <c r="GQE43" s="63"/>
      <c r="GQF43" s="63"/>
      <c r="GQG43" s="63"/>
      <c r="GQH43" s="63"/>
      <c r="GQI43" s="63"/>
      <c r="GQJ43" s="63"/>
      <c r="GQK43" s="63"/>
      <c r="GQL43" s="63"/>
      <c r="GQM43" s="63"/>
      <c r="GQN43" s="63"/>
      <c r="GQO43" s="63"/>
      <c r="GQP43" s="63"/>
      <c r="GQQ43" s="63"/>
      <c r="GQR43" s="63"/>
      <c r="GQS43" s="63"/>
      <c r="GQT43" s="63"/>
      <c r="GQU43" s="63"/>
      <c r="GQV43" s="63"/>
      <c r="GQW43" s="63"/>
      <c r="GQX43" s="63"/>
      <c r="GQY43" s="63"/>
      <c r="GQZ43" s="63"/>
      <c r="GRA43" s="63"/>
      <c r="GRB43" s="63"/>
      <c r="GRC43" s="63"/>
      <c r="GRD43" s="63"/>
      <c r="GRE43" s="63"/>
      <c r="GRF43" s="63"/>
      <c r="GRG43" s="63"/>
      <c r="GRH43" s="63"/>
      <c r="GRI43" s="63"/>
      <c r="GRJ43" s="63"/>
      <c r="GRK43" s="63"/>
      <c r="GRL43" s="63"/>
      <c r="GRM43" s="63"/>
      <c r="GRN43" s="63"/>
      <c r="GRO43" s="63"/>
      <c r="GRP43" s="63"/>
      <c r="GRQ43" s="63"/>
      <c r="GRR43" s="63"/>
      <c r="GRS43" s="63"/>
      <c r="GRT43" s="63"/>
      <c r="GRU43" s="63"/>
      <c r="GRV43" s="63"/>
      <c r="GRW43" s="63"/>
      <c r="GRX43" s="63"/>
      <c r="GRY43" s="63"/>
      <c r="GRZ43" s="63"/>
      <c r="GSA43" s="63"/>
      <c r="GSB43" s="63"/>
      <c r="GSC43" s="63"/>
      <c r="GSD43" s="63"/>
      <c r="GSE43" s="63"/>
      <c r="GSF43" s="63"/>
      <c r="GSG43" s="63"/>
      <c r="GSH43" s="63"/>
      <c r="GSI43" s="63"/>
      <c r="GSJ43" s="63"/>
      <c r="GSK43" s="63"/>
      <c r="GSL43" s="63"/>
      <c r="GSM43" s="63"/>
      <c r="GSN43" s="63"/>
      <c r="GSO43" s="63"/>
      <c r="GSP43" s="63"/>
      <c r="GSQ43" s="63"/>
      <c r="GSR43" s="63"/>
      <c r="GSS43" s="63"/>
      <c r="GST43" s="63"/>
      <c r="GSU43" s="63"/>
      <c r="GSV43" s="63"/>
      <c r="GSW43" s="63"/>
      <c r="GSX43" s="63"/>
      <c r="GSY43" s="63"/>
      <c r="GSZ43" s="63"/>
      <c r="GTA43" s="63"/>
      <c r="GTB43" s="63"/>
      <c r="GTC43" s="63"/>
      <c r="GTD43" s="63"/>
      <c r="GTE43" s="63"/>
      <c r="GTF43" s="63"/>
      <c r="GTG43" s="63"/>
      <c r="GTH43" s="63"/>
      <c r="GTI43" s="63"/>
      <c r="GTJ43" s="63"/>
      <c r="GTK43" s="63"/>
      <c r="GTL43" s="63"/>
      <c r="GTM43" s="63"/>
      <c r="GTN43" s="63"/>
      <c r="GTO43" s="63"/>
      <c r="GTP43" s="63"/>
      <c r="GTQ43" s="63"/>
      <c r="GTR43" s="63"/>
      <c r="GTS43" s="63"/>
      <c r="GTT43" s="63"/>
      <c r="GTU43" s="63"/>
      <c r="GTV43" s="63"/>
      <c r="GTW43" s="63"/>
      <c r="GTX43" s="63"/>
      <c r="GTY43" s="63"/>
      <c r="GTZ43" s="63"/>
      <c r="GUA43" s="63"/>
      <c r="GUB43" s="63"/>
      <c r="GUC43" s="63"/>
      <c r="GUD43" s="63"/>
      <c r="GUE43" s="63"/>
      <c r="GUF43" s="63"/>
      <c r="GUG43" s="63"/>
      <c r="GUH43" s="63"/>
      <c r="GUI43" s="63"/>
      <c r="GUJ43" s="63"/>
      <c r="GUK43" s="63"/>
      <c r="GUL43" s="63"/>
      <c r="GUM43" s="63"/>
      <c r="GUN43" s="63"/>
      <c r="GUO43" s="63"/>
      <c r="GUP43" s="63"/>
      <c r="GUQ43" s="63"/>
      <c r="GUR43" s="63"/>
      <c r="GUS43" s="63"/>
      <c r="GUT43" s="63"/>
      <c r="GUU43" s="63"/>
      <c r="GUV43" s="63"/>
      <c r="GUW43" s="63"/>
      <c r="GUX43" s="63"/>
      <c r="GUY43" s="63"/>
      <c r="GUZ43" s="63"/>
      <c r="GVA43" s="63"/>
      <c r="GVB43" s="63"/>
      <c r="GVC43" s="63"/>
      <c r="GVD43" s="63"/>
      <c r="GVE43" s="63"/>
      <c r="GVF43" s="63"/>
      <c r="GVG43" s="63"/>
      <c r="GVH43" s="63"/>
      <c r="GVI43" s="63"/>
      <c r="GVJ43" s="63"/>
      <c r="GVK43" s="63"/>
      <c r="GVL43" s="63"/>
      <c r="GVM43" s="63"/>
      <c r="GVN43" s="63"/>
      <c r="GVO43" s="63"/>
      <c r="GVP43" s="63"/>
      <c r="GVQ43" s="63"/>
      <c r="GVR43" s="63"/>
      <c r="GVS43" s="63"/>
      <c r="GVT43" s="63"/>
      <c r="GVU43" s="63"/>
      <c r="GVV43" s="63"/>
      <c r="GVW43" s="63"/>
      <c r="GVX43" s="63"/>
      <c r="GVY43" s="63"/>
      <c r="GVZ43" s="63"/>
      <c r="GWA43" s="63"/>
      <c r="GWB43" s="63"/>
      <c r="GWC43" s="63"/>
      <c r="GWD43" s="63"/>
      <c r="GWE43" s="63"/>
      <c r="GWF43" s="63"/>
      <c r="GWG43" s="63"/>
      <c r="GWH43" s="63"/>
      <c r="GWI43" s="63"/>
      <c r="GWJ43" s="63"/>
      <c r="GWK43" s="63"/>
      <c r="GWL43" s="63"/>
      <c r="GWM43" s="63"/>
      <c r="GWN43" s="63"/>
      <c r="GWO43" s="63"/>
      <c r="GWP43" s="63"/>
      <c r="GWQ43" s="63"/>
      <c r="GWR43" s="63"/>
      <c r="GWS43" s="63"/>
      <c r="GWT43" s="63"/>
      <c r="GWU43" s="63"/>
      <c r="GWV43" s="63"/>
      <c r="GWW43" s="63"/>
      <c r="GWX43" s="63"/>
      <c r="GWY43" s="63"/>
      <c r="GWZ43" s="63"/>
      <c r="GXA43" s="63"/>
      <c r="GXB43" s="63"/>
      <c r="GXC43" s="63"/>
      <c r="GXD43" s="63"/>
      <c r="GXE43" s="63"/>
      <c r="GXF43" s="63"/>
      <c r="GXG43" s="63"/>
      <c r="GXH43" s="63"/>
      <c r="GXI43" s="63"/>
      <c r="GXJ43" s="63"/>
      <c r="GXK43" s="63"/>
      <c r="GXL43" s="63"/>
      <c r="GXM43" s="63"/>
      <c r="GXN43" s="63"/>
      <c r="GXO43" s="63"/>
      <c r="GXP43" s="63"/>
      <c r="GXQ43" s="63"/>
      <c r="GXR43" s="63"/>
      <c r="GXS43" s="63"/>
      <c r="GXT43" s="63"/>
      <c r="GXU43" s="63"/>
      <c r="GXV43" s="63"/>
      <c r="GXW43" s="63"/>
      <c r="GXX43" s="63"/>
      <c r="GXY43" s="63"/>
      <c r="GXZ43" s="63"/>
      <c r="GYA43" s="63"/>
      <c r="GYB43" s="63"/>
      <c r="GYC43" s="63"/>
      <c r="GYD43" s="63"/>
      <c r="GYE43" s="63"/>
      <c r="GYF43" s="63"/>
      <c r="GYG43" s="63"/>
      <c r="GYH43" s="63"/>
      <c r="GYI43" s="63"/>
      <c r="GYJ43" s="63"/>
      <c r="GYK43" s="63"/>
      <c r="GYL43" s="63"/>
      <c r="GYM43" s="63"/>
      <c r="GYN43" s="63"/>
      <c r="GYO43" s="63"/>
      <c r="GYP43" s="63"/>
      <c r="GYQ43" s="63"/>
      <c r="GYR43" s="63"/>
      <c r="GYS43" s="63"/>
      <c r="GYT43" s="63"/>
      <c r="GYU43" s="63"/>
      <c r="GYV43" s="63"/>
      <c r="GYW43" s="63"/>
      <c r="GYX43" s="63"/>
      <c r="GYY43" s="63"/>
      <c r="GYZ43" s="63"/>
      <c r="GZA43" s="63"/>
      <c r="GZB43" s="63"/>
      <c r="GZC43" s="63"/>
      <c r="GZD43" s="63"/>
      <c r="GZE43" s="63"/>
      <c r="GZF43" s="63"/>
      <c r="GZG43" s="63"/>
      <c r="GZH43" s="63"/>
      <c r="GZI43" s="63"/>
      <c r="GZJ43" s="63"/>
      <c r="GZK43" s="63"/>
      <c r="GZL43" s="63"/>
      <c r="GZM43" s="63"/>
      <c r="GZN43" s="63"/>
      <c r="GZO43" s="63"/>
      <c r="GZP43" s="63"/>
      <c r="GZQ43" s="63"/>
      <c r="GZR43" s="63"/>
      <c r="GZS43" s="63"/>
      <c r="GZT43" s="63"/>
      <c r="GZU43" s="63"/>
      <c r="GZV43" s="63"/>
      <c r="GZW43" s="63"/>
      <c r="GZX43" s="63"/>
      <c r="GZY43" s="63"/>
      <c r="GZZ43" s="63"/>
      <c r="HAA43" s="63"/>
      <c r="HAB43" s="63"/>
      <c r="HAC43" s="63"/>
      <c r="HAD43" s="63"/>
      <c r="HAE43" s="63"/>
      <c r="HAF43" s="63"/>
      <c r="HAG43" s="63"/>
      <c r="HAH43" s="63"/>
      <c r="HAI43" s="63"/>
      <c r="HAJ43" s="63"/>
      <c r="HAK43" s="63"/>
      <c r="HAL43" s="63"/>
      <c r="HAM43" s="63"/>
      <c r="HAN43" s="63"/>
      <c r="HAO43" s="63"/>
      <c r="HAP43" s="63"/>
      <c r="HAQ43" s="63"/>
      <c r="HAR43" s="63"/>
      <c r="HAS43" s="63"/>
      <c r="HAT43" s="63"/>
      <c r="HAU43" s="63"/>
      <c r="HAV43" s="63"/>
      <c r="HAW43" s="63"/>
      <c r="HAX43" s="63"/>
      <c r="HAY43" s="63"/>
      <c r="HAZ43" s="63"/>
      <c r="HBA43" s="63"/>
      <c r="HBB43" s="63"/>
      <c r="HBC43" s="63"/>
      <c r="HBD43" s="63"/>
      <c r="HBE43" s="63"/>
      <c r="HBF43" s="63"/>
      <c r="HBG43" s="63"/>
      <c r="HBH43" s="63"/>
      <c r="HBI43" s="63"/>
      <c r="HBJ43" s="63"/>
      <c r="HBK43" s="63"/>
      <c r="HBL43" s="63"/>
      <c r="HBM43" s="63"/>
      <c r="HBN43" s="63"/>
      <c r="HBO43" s="63"/>
      <c r="HBP43" s="63"/>
      <c r="HBQ43" s="63"/>
      <c r="HBR43" s="63"/>
      <c r="HBS43" s="63"/>
      <c r="HBT43" s="63"/>
      <c r="HBU43" s="63"/>
      <c r="HBV43" s="63"/>
      <c r="HBW43" s="63"/>
      <c r="HBX43" s="63"/>
      <c r="HBY43" s="63"/>
      <c r="HBZ43" s="63"/>
      <c r="HCA43" s="63"/>
      <c r="HCB43" s="63"/>
      <c r="HCC43" s="63"/>
      <c r="HCD43" s="63"/>
      <c r="HCE43" s="63"/>
      <c r="HCF43" s="63"/>
      <c r="HCG43" s="63"/>
      <c r="HCH43" s="63"/>
      <c r="HCI43" s="63"/>
      <c r="HCJ43" s="63"/>
      <c r="HCK43" s="63"/>
      <c r="HCL43" s="63"/>
      <c r="HCM43" s="63"/>
      <c r="HCN43" s="63"/>
      <c r="HCO43" s="63"/>
      <c r="HCP43" s="63"/>
      <c r="HCQ43" s="63"/>
      <c r="HCR43" s="63"/>
      <c r="HCS43" s="63"/>
      <c r="HCT43" s="63"/>
      <c r="HCU43" s="63"/>
      <c r="HCV43" s="63"/>
      <c r="HCW43" s="63"/>
      <c r="HCX43" s="63"/>
      <c r="HCY43" s="63"/>
      <c r="HCZ43" s="63"/>
      <c r="HDA43" s="63"/>
      <c r="HDB43" s="63"/>
      <c r="HDC43" s="63"/>
      <c r="HDD43" s="63"/>
      <c r="HDE43" s="63"/>
      <c r="HDF43" s="63"/>
      <c r="HDG43" s="63"/>
      <c r="HDH43" s="63"/>
      <c r="HDI43" s="63"/>
      <c r="HDJ43" s="63"/>
      <c r="HDK43" s="63"/>
      <c r="HDL43" s="63"/>
      <c r="HDM43" s="63"/>
      <c r="HDN43" s="63"/>
      <c r="HDO43" s="63"/>
      <c r="HDP43" s="63"/>
      <c r="HDQ43" s="63"/>
      <c r="HDR43" s="63"/>
      <c r="HDS43" s="63"/>
      <c r="HDT43" s="63"/>
      <c r="HDU43" s="63"/>
      <c r="HDV43" s="63"/>
      <c r="HDW43" s="63"/>
      <c r="HDX43" s="63"/>
      <c r="HDY43" s="63"/>
      <c r="HDZ43" s="63"/>
      <c r="HEA43" s="63"/>
      <c r="HEB43" s="63"/>
      <c r="HEC43" s="63"/>
      <c r="HED43" s="63"/>
      <c r="HEE43" s="63"/>
      <c r="HEF43" s="63"/>
      <c r="HEG43" s="63"/>
      <c r="HEH43" s="63"/>
      <c r="HEI43" s="63"/>
      <c r="HEJ43" s="63"/>
      <c r="HEK43" s="63"/>
      <c r="HEL43" s="63"/>
      <c r="HEM43" s="63"/>
      <c r="HEN43" s="63"/>
      <c r="HEO43" s="63"/>
      <c r="HEP43" s="63"/>
      <c r="HEQ43" s="63"/>
      <c r="HER43" s="63"/>
      <c r="HES43" s="63"/>
      <c r="HET43" s="63"/>
      <c r="HEU43" s="63"/>
      <c r="HEV43" s="63"/>
      <c r="HEW43" s="63"/>
      <c r="HEX43" s="63"/>
      <c r="HEY43" s="63"/>
      <c r="HEZ43" s="63"/>
      <c r="HFA43" s="63"/>
      <c r="HFB43" s="63"/>
      <c r="HFC43" s="63"/>
      <c r="HFD43" s="63"/>
      <c r="HFE43" s="63"/>
      <c r="HFF43" s="63"/>
      <c r="HFG43" s="63"/>
      <c r="HFH43" s="63"/>
      <c r="HFI43" s="63"/>
      <c r="HFJ43" s="63"/>
      <c r="HFK43" s="63"/>
      <c r="HFL43" s="63"/>
      <c r="HFM43" s="63"/>
      <c r="HFN43" s="63"/>
      <c r="HFO43" s="63"/>
      <c r="HFP43" s="63"/>
      <c r="HFQ43" s="63"/>
      <c r="HFR43" s="63"/>
      <c r="HFS43" s="63"/>
      <c r="HFT43" s="63"/>
      <c r="HFU43" s="63"/>
      <c r="HFV43" s="63"/>
      <c r="HFW43" s="63"/>
      <c r="HFX43" s="63"/>
      <c r="HFY43" s="63"/>
      <c r="HFZ43" s="63"/>
      <c r="HGA43" s="63"/>
      <c r="HGB43" s="63"/>
      <c r="HGC43" s="63"/>
      <c r="HGD43" s="63"/>
      <c r="HGE43" s="63"/>
      <c r="HGF43" s="63"/>
      <c r="HGG43" s="63"/>
      <c r="HGH43" s="63"/>
      <c r="HGI43" s="63"/>
      <c r="HGJ43" s="63"/>
      <c r="HGK43" s="63"/>
      <c r="HGL43" s="63"/>
      <c r="HGM43" s="63"/>
      <c r="HGN43" s="63"/>
      <c r="HGO43" s="63"/>
      <c r="HGP43" s="63"/>
      <c r="HGQ43" s="63"/>
      <c r="HGR43" s="63"/>
      <c r="HGS43" s="63"/>
      <c r="HGT43" s="63"/>
      <c r="HGU43" s="63"/>
      <c r="HGV43" s="63"/>
      <c r="HGW43" s="63"/>
      <c r="HGX43" s="63"/>
      <c r="HGY43" s="63"/>
      <c r="HGZ43" s="63"/>
      <c r="HHA43" s="63"/>
      <c r="HHB43" s="63"/>
      <c r="HHC43" s="63"/>
      <c r="HHD43" s="63"/>
      <c r="HHE43" s="63"/>
      <c r="HHF43" s="63"/>
      <c r="HHG43" s="63"/>
      <c r="HHH43" s="63"/>
      <c r="HHI43" s="63"/>
      <c r="HHJ43" s="63"/>
      <c r="HHK43" s="63"/>
      <c r="HHL43" s="63"/>
      <c r="HHM43" s="63"/>
      <c r="HHN43" s="63"/>
      <c r="HHO43" s="63"/>
      <c r="HHP43" s="63"/>
      <c r="HHQ43" s="63"/>
      <c r="HHR43" s="63"/>
      <c r="HHS43" s="63"/>
      <c r="HHT43" s="63"/>
      <c r="HHU43" s="63"/>
      <c r="HHV43" s="63"/>
      <c r="HHW43" s="63"/>
      <c r="HHX43" s="63"/>
      <c r="HHY43" s="63"/>
      <c r="HHZ43" s="63"/>
      <c r="HIA43" s="63"/>
      <c r="HIB43" s="63"/>
      <c r="HIC43" s="63"/>
      <c r="HID43" s="63"/>
      <c r="HIE43" s="63"/>
      <c r="HIF43" s="63"/>
      <c r="HIG43" s="63"/>
      <c r="HIH43" s="63"/>
      <c r="HII43" s="63"/>
      <c r="HIJ43" s="63"/>
      <c r="HIK43" s="63"/>
      <c r="HIL43" s="63"/>
      <c r="HIM43" s="63"/>
      <c r="HIN43" s="63"/>
      <c r="HIO43" s="63"/>
      <c r="HIP43" s="63"/>
      <c r="HIQ43" s="63"/>
      <c r="HIR43" s="63"/>
      <c r="HIS43" s="63"/>
      <c r="HIT43" s="63"/>
      <c r="HIU43" s="63"/>
      <c r="HIV43" s="63"/>
      <c r="HIW43" s="63"/>
      <c r="HIX43" s="63"/>
      <c r="HIY43" s="63"/>
      <c r="HIZ43" s="63"/>
      <c r="HJA43" s="63"/>
      <c r="HJB43" s="63"/>
      <c r="HJC43" s="63"/>
      <c r="HJD43" s="63"/>
      <c r="HJE43" s="63"/>
      <c r="HJF43" s="63"/>
      <c r="HJG43" s="63"/>
      <c r="HJH43" s="63"/>
      <c r="HJI43" s="63"/>
      <c r="HJJ43" s="63"/>
      <c r="HJK43" s="63"/>
      <c r="HJL43" s="63"/>
      <c r="HJM43" s="63"/>
      <c r="HJN43" s="63"/>
      <c r="HJO43" s="63"/>
      <c r="HJP43" s="63"/>
      <c r="HJQ43" s="63"/>
      <c r="HJR43" s="63"/>
      <c r="HJS43" s="63"/>
      <c r="HJT43" s="63"/>
      <c r="HJU43" s="63"/>
      <c r="HJV43" s="63"/>
      <c r="HJW43" s="63"/>
      <c r="HJX43" s="63"/>
      <c r="HJY43" s="63"/>
      <c r="HJZ43" s="63"/>
      <c r="HKA43" s="63"/>
      <c r="HKB43" s="63"/>
      <c r="HKC43" s="63"/>
      <c r="HKD43" s="63"/>
      <c r="HKE43" s="63"/>
      <c r="HKF43" s="63"/>
      <c r="HKG43" s="63"/>
      <c r="HKH43" s="63"/>
      <c r="HKI43" s="63"/>
      <c r="HKJ43" s="63"/>
      <c r="HKK43" s="63"/>
      <c r="HKL43" s="63"/>
      <c r="HKM43" s="63"/>
      <c r="HKN43" s="63"/>
      <c r="HKO43" s="63"/>
      <c r="HKP43" s="63"/>
      <c r="HKQ43" s="63"/>
      <c r="HKR43" s="63"/>
      <c r="HKS43" s="63"/>
      <c r="HKT43" s="63"/>
      <c r="HKU43" s="63"/>
      <c r="HKV43" s="63"/>
      <c r="HKW43" s="63"/>
      <c r="HKX43" s="63"/>
      <c r="HKY43" s="63"/>
      <c r="HKZ43" s="63"/>
      <c r="HLA43" s="63"/>
      <c r="HLB43" s="63"/>
      <c r="HLC43" s="63"/>
      <c r="HLD43" s="63"/>
      <c r="HLE43" s="63"/>
      <c r="HLF43" s="63"/>
      <c r="HLG43" s="63"/>
      <c r="HLH43" s="63"/>
      <c r="HLI43" s="63"/>
      <c r="HLJ43" s="63"/>
      <c r="HLK43" s="63"/>
      <c r="HLL43" s="63"/>
      <c r="HLM43" s="63"/>
      <c r="HLN43" s="63"/>
      <c r="HLO43" s="63"/>
      <c r="HLP43" s="63"/>
      <c r="HLQ43" s="63"/>
      <c r="HLR43" s="63"/>
      <c r="HLS43" s="63"/>
      <c r="HLT43" s="63"/>
      <c r="HLU43" s="63"/>
      <c r="HLV43" s="63"/>
      <c r="HLW43" s="63"/>
      <c r="HLX43" s="63"/>
      <c r="HLY43" s="63"/>
      <c r="HLZ43" s="63"/>
      <c r="HMA43" s="63"/>
      <c r="HMB43" s="63"/>
      <c r="HMC43" s="63"/>
      <c r="HMD43" s="63"/>
      <c r="HME43" s="63"/>
      <c r="HMF43" s="63"/>
      <c r="HMG43" s="63"/>
      <c r="HMH43" s="63"/>
      <c r="HMI43" s="63"/>
      <c r="HMJ43" s="63"/>
      <c r="HMK43" s="63"/>
      <c r="HML43" s="63"/>
      <c r="HMM43" s="63"/>
      <c r="HMN43" s="63"/>
      <c r="HMO43" s="63"/>
      <c r="HMP43" s="63"/>
      <c r="HMQ43" s="63"/>
      <c r="HMR43" s="63"/>
      <c r="HMS43" s="63"/>
      <c r="HMT43" s="63"/>
      <c r="HMU43" s="63"/>
      <c r="HMV43" s="63"/>
      <c r="HMW43" s="63"/>
      <c r="HMX43" s="63"/>
      <c r="HMY43" s="63"/>
      <c r="HMZ43" s="63"/>
      <c r="HNA43" s="63"/>
      <c r="HNB43" s="63"/>
      <c r="HNC43" s="63"/>
      <c r="HND43" s="63"/>
      <c r="HNE43" s="63"/>
      <c r="HNF43" s="63"/>
      <c r="HNG43" s="63"/>
      <c r="HNH43" s="63"/>
      <c r="HNI43" s="63"/>
      <c r="HNJ43" s="63"/>
      <c r="HNK43" s="63"/>
      <c r="HNL43" s="63"/>
      <c r="HNM43" s="63"/>
      <c r="HNN43" s="63"/>
      <c r="HNO43" s="63"/>
      <c r="HNP43" s="63"/>
      <c r="HNQ43" s="63"/>
      <c r="HNR43" s="63"/>
      <c r="HNS43" s="63"/>
      <c r="HNT43" s="63"/>
      <c r="HNU43" s="63"/>
      <c r="HNV43" s="63"/>
      <c r="HNW43" s="63"/>
      <c r="HNX43" s="63"/>
      <c r="HNY43" s="63"/>
      <c r="HNZ43" s="63"/>
      <c r="HOA43" s="63"/>
      <c r="HOB43" s="63"/>
      <c r="HOC43" s="63"/>
      <c r="HOD43" s="63"/>
      <c r="HOE43" s="63"/>
      <c r="HOF43" s="63"/>
      <c r="HOG43" s="63"/>
      <c r="HOH43" s="63"/>
      <c r="HOI43" s="63"/>
      <c r="HOJ43" s="63"/>
      <c r="HOK43" s="63"/>
      <c r="HOL43" s="63"/>
      <c r="HOM43" s="63"/>
      <c r="HON43" s="63"/>
      <c r="HOO43" s="63"/>
      <c r="HOP43" s="63"/>
      <c r="HOQ43" s="63"/>
      <c r="HOR43" s="63"/>
      <c r="HOS43" s="63"/>
      <c r="HOT43" s="63"/>
      <c r="HOU43" s="63"/>
      <c r="HOV43" s="63"/>
      <c r="HOW43" s="63"/>
      <c r="HOX43" s="63"/>
      <c r="HOY43" s="63"/>
      <c r="HOZ43" s="63"/>
      <c r="HPA43" s="63"/>
      <c r="HPB43" s="63"/>
      <c r="HPC43" s="63"/>
      <c r="HPD43" s="63"/>
      <c r="HPE43" s="63"/>
      <c r="HPF43" s="63"/>
      <c r="HPG43" s="63"/>
      <c r="HPH43" s="63"/>
      <c r="HPI43" s="63"/>
      <c r="HPJ43" s="63"/>
      <c r="HPK43" s="63"/>
      <c r="HPL43" s="63"/>
      <c r="HPM43" s="63"/>
      <c r="HPN43" s="63"/>
      <c r="HPO43" s="63"/>
      <c r="HPP43" s="63"/>
      <c r="HPQ43" s="63"/>
      <c r="HPR43" s="63"/>
      <c r="HPS43" s="63"/>
      <c r="HPT43" s="63"/>
      <c r="HPU43" s="63"/>
      <c r="HPV43" s="63"/>
      <c r="HPW43" s="63"/>
      <c r="HPX43" s="63"/>
      <c r="HPY43" s="63"/>
      <c r="HPZ43" s="63"/>
      <c r="HQA43" s="63"/>
      <c r="HQB43" s="63"/>
      <c r="HQC43" s="63"/>
      <c r="HQD43" s="63"/>
      <c r="HQE43" s="63"/>
      <c r="HQF43" s="63"/>
      <c r="HQG43" s="63"/>
      <c r="HQH43" s="63"/>
      <c r="HQI43" s="63"/>
      <c r="HQJ43" s="63"/>
      <c r="HQK43" s="63"/>
      <c r="HQL43" s="63"/>
      <c r="HQM43" s="63"/>
      <c r="HQN43" s="63"/>
      <c r="HQO43" s="63"/>
      <c r="HQP43" s="63"/>
      <c r="HQQ43" s="63"/>
      <c r="HQR43" s="63"/>
      <c r="HQS43" s="63"/>
      <c r="HQT43" s="63"/>
      <c r="HQU43" s="63"/>
      <c r="HQV43" s="63"/>
      <c r="HQW43" s="63"/>
      <c r="HQX43" s="63"/>
      <c r="HQY43" s="63"/>
      <c r="HQZ43" s="63"/>
      <c r="HRA43" s="63"/>
      <c r="HRB43" s="63"/>
      <c r="HRC43" s="63"/>
      <c r="HRD43" s="63"/>
      <c r="HRE43" s="63"/>
      <c r="HRF43" s="63"/>
      <c r="HRG43" s="63"/>
      <c r="HRH43" s="63"/>
      <c r="HRI43" s="63"/>
      <c r="HRJ43" s="63"/>
      <c r="HRK43" s="63"/>
      <c r="HRL43" s="63"/>
      <c r="HRM43" s="63"/>
      <c r="HRN43" s="63"/>
      <c r="HRO43" s="63"/>
      <c r="HRP43" s="63"/>
      <c r="HRQ43" s="63"/>
      <c r="HRR43" s="63"/>
      <c r="HRS43" s="63"/>
      <c r="HRT43" s="63"/>
      <c r="HRU43" s="63"/>
      <c r="HRV43" s="63"/>
      <c r="HRW43" s="63"/>
      <c r="HRX43" s="63"/>
      <c r="HRY43" s="63"/>
      <c r="HRZ43" s="63"/>
      <c r="HSA43" s="63"/>
      <c r="HSB43" s="63"/>
      <c r="HSC43" s="63"/>
      <c r="HSD43" s="63"/>
      <c r="HSE43" s="63"/>
      <c r="HSF43" s="63"/>
      <c r="HSG43" s="63"/>
      <c r="HSH43" s="63"/>
      <c r="HSI43" s="63"/>
      <c r="HSJ43" s="63"/>
      <c r="HSK43" s="63"/>
      <c r="HSL43" s="63"/>
      <c r="HSM43" s="63"/>
      <c r="HSN43" s="63"/>
      <c r="HSO43" s="63"/>
      <c r="HSP43" s="63"/>
      <c r="HSQ43" s="63"/>
      <c r="HSR43" s="63"/>
      <c r="HSS43" s="63"/>
      <c r="HST43" s="63"/>
      <c r="HSU43" s="63"/>
      <c r="HSV43" s="63"/>
      <c r="HSW43" s="63"/>
      <c r="HSX43" s="63"/>
      <c r="HSY43" s="63"/>
      <c r="HSZ43" s="63"/>
      <c r="HTA43" s="63"/>
      <c r="HTB43" s="63"/>
      <c r="HTC43" s="63"/>
      <c r="HTD43" s="63"/>
      <c r="HTE43" s="63"/>
      <c r="HTF43" s="63"/>
      <c r="HTG43" s="63"/>
      <c r="HTH43" s="63"/>
      <c r="HTI43" s="63"/>
      <c r="HTJ43" s="63"/>
      <c r="HTK43" s="63"/>
      <c r="HTL43" s="63"/>
      <c r="HTM43" s="63"/>
      <c r="HTN43" s="63"/>
      <c r="HTO43" s="63"/>
      <c r="HTP43" s="63"/>
      <c r="HTQ43" s="63"/>
      <c r="HTR43" s="63"/>
      <c r="HTS43" s="63"/>
      <c r="HTT43" s="63"/>
      <c r="HTU43" s="63"/>
      <c r="HTV43" s="63"/>
      <c r="HTW43" s="63"/>
      <c r="HTX43" s="63"/>
      <c r="HTY43" s="63"/>
      <c r="HTZ43" s="63"/>
      <c r="HUA43" s="63"/>
      <c r="HUB43" s="63"/>
      <c r="HUC43" s="63"/>
      <c r="HUD43" s="63"/>
      <c r="HUE43" s="63"/>
      <c r="HUF43" s="63"/>
      <c r="HUG43" s="63"/>
      <c r="HUH43" s="63"/>
      <c r="HUI43" s="63"/>
      <c r="HUJ43" s="63"/>
      <c r="HUK43" s="63"/>
      <c r="HUL43" s="63"/>
      <c r="HUM43" s="63"/>
      <c r="HUN43" s="63"/>
      <c r="HUO43" s="63"/>
      <c r="HUP43" s="63"/>
      <c r="HUQ43" s="63"/>
      <c r="HUR43" s="63"/>
      <c r="HUS43" s="63"/>
      <c r="HUT43" s="63"/>
      <c r="HUU43" s="63"/>
      <c r="HUV43" s="63"/>
      <c r="HUW43" s="63"/>
      <c r="HUX43" s="63"/>
      <c r="HUY43" s="63"/>
      <c r="HUZ43" s="63"/>
      <c r="HVA43" s="63"/>
      <c r="HVB43" s="63"/>
      <c r="HVC43" s="63"/>
      <c r="HVD43" s="63"/>
      <c r="HVE43" s="63"/>
      <c r="HVF43" s="63"/>
      <c r="HVG43" s="63"/>
      <c r="HVH43" s="63"/>
      <c r="HVI43" s="63"/>
      <c r="HVJ43" s="63"/>
      <c r="HVK43" s="63"/>
      <c r="HVL43" s="63"/>
      <c r="HVM43" s="63"/>
      <c r="HVN43" s="63"/>
      <c r="HVO43" s="63"/>
      <c r="HVP43" s="63"/>
      <c r="HVQ43" s="63"/>
      <c r="HVR43" s="63"/>
      <c r="HVS43" s="63"/>
      <c r="HVT43" s="63"/>
      <c r="HVU43" s="63"/>
      <c r="HVV43" s="63"/>
      <c r="HVW43" s="63"/>
      <c r="HVX43" s="63"/>
      <c r="HVY43" s="63"/>
      <c r="HVZ43" s="63"/>
      <c r="HWA43" s="63"/>
      <c r="HWB43" s="63"/>
      <c r="HWC43" s="63"/>
      <c r="HWD43" s="63"/>
      <c r="HWE43" s="63"/>
      <c r="HWF43" s="63"/>
      <c r="HWG43" s="63"/>
      <c r="HWH43" s="63"/>
      <c r="HWI43" s="63"/>
      <c r="HWJ43" s="63"/>
      <c r="HWK43" s="63"/>
      <c r="HWL43" s="63"/>
      <c r="HWM43" s="63"/>
      <c r="HWN43" s="63"/>
      <c r="HWO43" s="63"/>
      <c r="HWP43" s="63"/>
      <c r="HWQ43" s="63"/>
      <c r="HWR43" s="63"/>
      <c r="HWS43" s="63"/>
      <c r="HWT43" s="63"/>
      <c r="HWU43" s="63"/>
      <c r="HWV43" s="63"/>
      <c r="HWW43" s="63"/>
      <c r="HWX43" s="63"/>
      <c r="HWY43" s="63"/>
      <c r="HWZ43" s="63"/>
      <c r="HXA43" s="63"/>
      <c r="HXB43" s="63"/>
      <c r="HXC43" s="63"/>
      <c r="HXD43" s="63"/>
      <c r="HXE43" s="63"/>
      <c r="HXF43" s="63"/>
      <c r="HXG43" s="63"/>
      <c r="HXH43" s="63"/>
      <c r="HXI43" s="63"/>
      <c r="HXJ43" s="63"/>
      <c r="HXK43" s="63"/>
      <c r="HXL43" s="63"/>
      <c r="HXM43" s="63"/>
      <c r="HXN43" s="63"/>
      <c r="HXO43" s="63"/>
      <c r="HXP43" s="63"/>
      <c r="HXQ43" s="63"/>
      <c r="HXR43" s="63"/>
      <c r="HXS43" s="63"/>
      <c r="HXT43" s="63"/>
      <c r="HXU43" s="63"/>
      <c r="HXV43" s="63"/>
      <c r="HXW43" s="63"/>
      <c r="HXX43" s="63"/>
      <c r="HXY43" s="63"/>
      <c r="HXZ43" s="63"/>
      <c r="HYA43" s="63"/>
      <c r="HYB43" s="63"/>
      <c r="HYC43" s="63"/>
      <c r="HYD43" s="63"/>
      <c r="HYE43" s="63"/>
      <c r="HYF43" s="63"/>
      <c r="HYG43" s="63"/>
      <c r="HYH43" s="63"/>
      <c r="HYI43" s="63"/>
      <c r="HYJ43" s="63"/>
      <c r="HYK43" s="63"/>
      <c r="HYL43" s="63"/>
      <c r="HYM43" s="63"/>
      <c r="HYN43" s="63"/>
      <c r="HYO43" s="63"/>
      <c r="HYP43" s="63"/>
      <c r="HYQ43" s="63"/>
      <c r="HYR43" s="63"/>
      <c r="HYS43" s="63"/>
      <c r="HYT43" s="63"/>
      <c r="HYU43" s="63"/>
      <c r="HYV43" s="63"/>
      <c r="HYW43" s="63"/>
      <c r="HYX43" s="63"/>
      <c r="HYY43" s="63"/>
      <c r="HYZ43" s="63"/>
      <c r="HZA43" s="63"/>
      <c r="HZB43" s="63"/>
      <c r="HZC43" s="63"/>
      <c r="HZD43" s="63"/>
      <c r="HZE43" s="63"/>
      <c r="HZF43" s="63"/>
      <c r="HZG43" s="63"/>
      <c r="HZH43" s="63"/>
      <c r="HZI43" s="63"/>
      <c r="HZJ43" s="63"/>
      <c r="HZK43" s="63"/>
      <c r="HZL43" s="63"/>
      <c r="HZM43" s="63"/>
      <c r="HZN43" s="63"/>
      <c r="HZO43" s="63"/>
      <c r="HZP43" s="63"/>
      <c r="HZQ43" s="63"/>
      <c r="HZR43" s="63"/>
      <c r="HZS43" s="63"/>
      <c r="HZT43" s="63"/>
      <c r="HZU43" s="63"/>
      <c r="HZV43" s="63"/>
      <c r="HZW43" s="63"/>
      <c r="HZX43" s="63"/>
      <c r="HZY43" s="63"/>
      <c r="HZZ43" s="63"/>
      <c r="IAA43" s="63"/>
      <c r="IAB43" s="63"/>
      <c r="IAC43" s="63"/>
      <c r="IAD43" s="63"/>
      <c r="IAE43" s="63"/>
      <c r="IAF43" s="63"/>
      <c r="IAG43" s="63"/>
      <c r="IAH43" s="63"/>
      <c r="IAI43" s="63"/>
      <c r="IAJ43" s="63"/>
      <c r="IAK43" s="63"/>
      <c r="IAL43" s="63"/>
      <c r="IAM43" s="63"/>
      <c r="IAN43" s="63"/>
      <c r="IAO43" s="63"/>
      <c r="IAP43" s="63"/>
      <c r="IAQ43" s="63"/>
      <c r="IAR43" s="63"/>
      <c r="IAS43" s="63"/>
      <c r="IAT43" s="63"/>
      <c r="IAU43" s="63"/>
      <c r="IAV43" s="63"/>
      <c r="IAW43" s="63"/>
      <c r="IAX43" s="63"/>
      <c r="IAY43" s="63"/>
      <c r="IAZ43" s="63"/>
      <c r="IBA43" s="63"/>
      <c r="IBB43" s="63"/>
      <c r="IBC43" s="63"/>
      <c r="IBD43" s="63"/>
      <c r="IBE43" s="63"/>
      <c r="IBF43" s="63"/>
      <c r="IBG43" s="63"/>
      <c r="IBH43" s="63"/>
      <c r="IBI43" s="63"/>
      <c r="IBJ43" s="63"/>
      <c r="IBK43" s="63"/>
      <c r="IBL43" s="63"/>
      <c r="IBM43" s="63"/>
      <c r="IBN43" s="63"/>
      <c r="IBO43" s="63"/>
      <c r="IBP43" s="63"/>
      <c r="IBQ43" s="63"/>
      <c r="IBR43" s="63"/>
      <c r="IBS43" s="63"/>
      <c r="IBT43" s="63"/>
      <c r="IBU43" s="63"/>
      <c r="IBV43" s="63"/>
      <c r="IBW43" s="63"/>
      <c r="IBX43" s="63"/>
      <c r="IBY43" s="63"/>
      <c r="IBZ43" s="63"/>
      <c r="ICA43" s="63"/>
      <c r="ICB43" s="63"/>
      <c r="ICC43" s="63"/>
      <c r="ICD43" s="63"/>
      <c r="ICE43" s="63"/>
      <c r="ICF43" s="63"/>
      <c r="ICG43" s="63"/>
      <c r="ICH43" s="63"/>
      <c r="ICI43" s="63"/>
      <c r="ICJ43" s="63"/>
      <c r="ICK43" s="63"/>
      <c r="ICL43" s="63"/>
      <c r="ICM43" s="63"/>
      <c r="ICN43" s="63"/>
      <c r="ICO43" s="63"/>
      <c r="ICP43" s="63"/>
      <c r="ICQ43" s="63"/>
      <c r="ICR43" s="63"/>
      <c r="ICS43" s="63"/>
      <c r="ICT43" s="63"/>
      <c r="ICU43" s="63"/>
      <c r="ICV43" s="63"/>
      <c r="ICW43" s="63"/>
      <c r="ICX43" s="63"/>
      <c r="ICY43" s="63"/>
      <c r="ICZ43" s="63"/>
      <c r="IDA43" s="63"/>
      <c r="IDB43" s="63"/>
      <c r="IDC43" s="63"/>
      <c r="IDD43" s="63"/>
      <c r="IDE43" s="63"/>
      <c r="IDF43" s="63"/>
      <c r="IDG43" s="63"/>
      <c r="IDH43" s="63"/>
      <c r="IDI43" s="63"/>
      <c r="IDJ43" s="63"/>
      <c r="IDK43" s="63"/>
      <c r="IDL43" s="63"/>
      <c r="IDM43" s="63"/>
      <c r="IDN43" s="63"/>
      <c r="IDO43" s="63"/>
      <c r="IDP43" s="63"/>
      <c r="IDQ43" s="63"/>
      <c r="IDR43" s="63"/>
      <c r="IDS43" s="63"/>
      <c r="IDT43" s="63"/>
      <c r="IDU43" s="63"/>
      <c r="IDV43" s="63"/>
      <c r="IDW43" s="63"/>
      <c r="IDX43" s="63"/>
      <c r="IDY43" s="63"/>
      <c r="IDZ43" s="63"/>
      <c r="IEA43" s="63"/>
      <c r="IEB43" s="63"/>
      <c r="IEC43" s="63"/>
      <c r="IED43" s="63"/>
      <c r="IEE43" s="63"/>
      <c r="IEF43" s="63"/>
      <c r="IEG43" s="63"/>
      <c r="IEH43" s="63"/>
      <c r="IEI43" s="63"/>
      <c r="IEJ43" s="63"/>
      <c r="IEK43" s="63"/>
      <c r="IEL43" s="63"/>
      <c r="IEM43" s="63"/>
      <c r="IEN43" s="63"/>
      <c r="IEO43" s="63"/>
      <c r="IEP43" s="63"/>
      <c r="IEQ43" s="63"/>
      <c r="IER43" s="63"/>
      <c r="IES43" s="63"/>
      <c r="IET43" s="63"/>
      <c r="IEU43" s="63"/>
      <c r="IEV43" s="63"/>
      <c r="IEW43" s="63"/>
      <c r="IEX43" s="63"/>
      <c r="IEY43" s="63"/>
      <c r="IEZ43" s="63"/>
      <c r="IFA43" s="63"/>
      <c r="IFB43" s="63"/>
      <c r="IFC43" s="63"/>
      <c r="IFD43" s="63"/>
      <c r="IFE43" s="63"/>
      <c r="IFF43" s="63"/>
      <c r="IFG43" s="63"/>
      <c r="IFH43" s="63"/>
      <c r="IFI43" s="63"/>
      <c r="IFJ43" s="63"/>
      <c r="IFK43" s="63"/>
      <c r="IFL43" s="63"/>
      <c r="IFM43" s="63"/>
      <c r="IFN43" s="63"/>
      <c r="IFO43" s="63"/>
      <c r="IFP43" s="63"/>
      <c r="IFQ43" s="63"/>
      <c r="IFR43" s="63"/>
      <c r="IFS43" s="63"/>
      <c r="IFT43" s="63"/>
      <c r="IFU43" s="63"/>
      <c r="IFV43" s="63"/>
      <c r="IFW43" s="63"/>
      <c r="IFX43" s="63"/>
      <c r="IFY43" s="63"/>
      <c r="IFZ43" s="63"/>
      <c r="IGA43" s="63"/>
      <c r="IGB43" s="63"/>
      <c r="IGC43" s="63"/>
      <c r="IGD43" s="63"/>
      <c r="IGE43" s="63"/>
      <c r="IGF43" s="63"/>
      <c r="IGG43" s="63"/>
      <c r="IGH43" s="63"/>
      <c r="IGI43" s="63"/>
      <c r="IGJ43" s="63"/>
      <c r="IGK43" s="63"/>
      <c r="IGL43" s="63"/>
      <c r="IGM43" s="63"/>
      <c r="IGN43" s="63"/>
      <c r="IGO43" s="63"/>
      <c r="IGP43" s="63"/>
      <c r="IGQ43" s="63"/>
      <c r="IGR43" s="63"/>
      <c r="IGS43" s="63"/>
      <c r="IGT43" s="63"/>
      <c r="IGU43" s="63"/>
      <c r="IGV43" s="63"/>
      <c r="IGW43" s="63"/>
      <c r="IGX43" s="63"/>
      <c r="IGY43" s="63"/>
      <c r="IGZ43" s="63"/>
      <c r="IHA43" s="63"/>
      <c r="IHB43" s="63"/>
      <c r="IHC43" s="63"/>
      <c r="IHD43" s="63"/>
      <c r="IHE43" s="63"/>
      <c r="IHF43" s="63"/>
      <c r="IHG43" s="63"/>
      <c r="IHH43" s="63"/>
      <c r="IHI43" s="63"/>
      <c r="IHJ43" s="63"/>
      <c r="IHK43" s="63"/>
      <c r="IHL43" s="63"/>
      <c r="IHM43" s="63"/>
      <c r="IHN43" s="63"/>
      <c r="IHO43" s="63"/>
      <c r="IHP43" s="63"/>
      <c r="IHQ43" s="63"/>
      <c r="IHR43" s="63"/>
      <c r="IHS43" s="63"/>
      <c r="IHT43" s="63"/>
      <c r="IHU43" s="63"/>
      <c r="IHV43" s="63"/>
      <c r="IHW43" s="63"/>
      <c r="IHX43" s="63"/>
      <c r="IHY43" s="63"/>
      <c r="IHZ43" s="63"/>
      <c r="IIA43" s="63"/>
      <c r="IIB43" s="63"/>
      <c r="IIC43" s="63"/>
      <c r="IID43" s="63"/>
      <c r="IIE43" s="63"/>
      <c r="IIF43" s="63"/>
      <c r="IIG43" s="63"/>
      <c r="IIH43" s="63"/>
      <c r="III43" s="63"/>
      <c r="IIJ43" s="63"/>
      <c r="IIK43" s="63"/>
      <c r="IIL43" s="63"/>
      <c r="IIM43" s="63"/>
      <c r="IIN43" s="63"/>
      <c r="IIO43" s="63"/>
      <c r="IIP43" s="63"/>
      <c r="IIQ43" s="63"/>
      <c r="IIR43" s="63"/>
      <c r="IIS43" s="63"/>
      <c r="IIT43" s="63"/>
      <c r="IIU43" s="63"/>
      <c r="IIV43" s="63"/>
      <c r="IIW43" s="63"/>
      <c r="IIX43" s="63"/>
      <c r="IIY43" s="63"/>
      <c r="IIZ43" s="63"/>
      <c r="IJA43" s="63"/>
      <c r="IJB43" s="63"/>
      <c r="IJC43" s="63"/>
      <c r="IJD43" s="63"/>
      <c r="IJE43" s="63"/>
      <c r="IJF43" s="63"/>
      <c r="IJG43" s="63"/>
      <c r="IJH43" s="63"/>
      <c r="IJI43" s="63"/>
      <c r="IJJ43" s="63"/>
      <c r="IJK43" s="63"/>
      <c r="IJL43" s="63"/>
      <c r="IJM43" s="63"/>
      <c r="IJN43" s="63"/>
      <c r="IJO43" s="63"/>
      <c r="IJP43" s="63"/>
      <c r="IJQ43" s="63"/>
      <c r="IJR43" s="63"/>
      <c r="IJS43" s="63"/>
      <c r="IJT43" s="63"/>
      <c r="IJU43" s="63"/>
      <c r="IJV43" s="63"/>
      <c r="IJW43" s="63"/>
      <c r="IJX43" s="63"/>
      <c r="IJY43" s="63"/>
      <c r="IJZ43" s="63"/>
      <c r="IKA43" s="63"/>
      <c r="IKB43" s="63"/>
      <c r="IKC43" s="63"/>
      <c r="IKD43" s="63"/>
      <c r="IKE43" s="63"/>
      <c r="IKF43" s="63"/>
      <c r="IKG43" s="63"/>
      <c r="IKH43" s="63"/>
      <c r="IKI43" s="63"/>
      <c r="IKJ43" s="63"/>
      <c r="IKK43" s="63"/>
      <c r="IKL43" s="63"/>
      <c r="IKM43" s="63"/>
      <c r="IKN43" s="63"/>
      <c r="IKO43" s="63"/>
      <c r="IKP43" s="63"/>
      <c r="IKQ43" s="63"/>
      <c r="IKR43" s="63"/>
      <c r="IKS43" s="63"/>
      <c r="IKT43" s="63"/>
      <c r="IKU43" s="63"/>
      <c r="IKV43" s="63"/>
      <c r="IKW43" s="63"/>
      <c r="IKX43" s="63"/>
      <c r="IKY43" s="63"/>
      <c r="IKZ43" s="63"/>
      <c r="ILA43" s="63"/>
      <c r="ILB43" s="63"/>
      <c r="ILC43" s="63"/>
      <c r="ILD43" s="63"/>
      <c r="ILE43" s="63"/>
      <c r="ILF43" s="63"/>
      <c r="ILG43" s="63"/>
      <c r="ILH43" s="63"/>
      <c r="ILI43" s="63"/>
      <c r="ILJ43" s="63"/>
      <c r="ILK43" s="63"/>
      <c r="ILL43" s="63"/>
      <c r="ILM43" s="63"/>
      <c r="ILN43" s="63"/>
      <c r="ILO43" s="63"/>
      <c r="ILP43" s="63"/>
      <c r="ILQ43" s="63"/>
      <c r="ILR43" s="63"/>
      <c r="ILS43" s="63"/>
      <c r="ILT43" s="63"/>
      <c r="ILU43" s="63"/>
      <c r="ILV43" s="63"/>
      <c r="ILW43" s="63"/>
      <c r="ILX43" s="63"/>
      <c r="ILY43" s="63"/>
      <c r="ILZ43" s="63"/>
      <c r="IMA43" s="63"/>
      <c r="IMB43" s="63"/>
      <c r="IMC43" s="63"/>
      <c r="IMD43" s="63"/>
      <c r="IME43" s="63"/>
      <c r="IMF43" s="63"/>
      <c r="IMG43" s="63"/>
      <c r="IMH43" s="63"/>
      <c r="IMI43" s="63"/>
      <c r="IMJ43" s="63"/>
      <c r="IMK43" s="63"/>
      <c r="IML43" s="63"/>
      <c r="IMM43" s="63"/>
      <c r="IMN43" s="63"/>
      <c r="IMO43" s="63"/>
      <c r="IMP43" s="63"/>
      <c r="IMQ43" s="63"/>
      <c r="IMR43" s="63"/>
      <c r="IMS43" s="63"/>
      <c r="IMT43" s="63"/>
      <c r="IMU43" s="63"/>
      <c r="IMV43" s="63"/>
      <c r="IMW43" s="63"/>
      <c r="IMX43" s="63"/>
      <c r="IMY43" s="63"/>
      <c r="IMZ43" s="63"/>
      <c r="INA43" s="63"/>
      <c r="INB43" s="63"/>
      <c r="INC43" s="63"/>
      <c r="IND43" s="63"/>
      <c r="INE43" s="63"/>
      <c r="INF43" s="63"/>
      <c r="ING43" s="63"/>
      <c r="INH43" s="63"/>
      <c r="INI43" s="63"/>
      <c r="INJ43" s="63"/>
      <c r="INK43" s="63"/>
      <c r="INL43" s="63"/>
      <c r="INM43" s="63"/>
      <c r="INN43" s="63"/>
      <c r="INO43" s="63"/>
      <c r="INP43" s="63"/>
      <c r="INQ43" s="63"/>
      <c r="INR43" s="63"/>
      <c r="INS43" s="63"/>
      <c r="INT43" s="63"/>
      <c r="INU43" s="63"/>
      <c r="INV43" s="63"/>
      <c r="INW43" s="63"/>
      <c r="INX43" s="63"/>
      <c r="INY43" s="63"/>
      <c r="INZ43" s="63"/>
      <c r="IOA43" s="63"/>
      <c r="IOB43" s="63"/>
      <c r="IOC43" s="63"/>
      <c r="IOD43" s="63"/>
      <c r="IOE43" s="63"/>
      <c r="IOF43" s="63"/>
      <c r="IOG43" s="63"/>
      <c r="IOH43" s="63"/>
      <c r="IOI43" s="63"/>
      <c r="IOJ43" s="63"/>
      <c r="IOK43" s="63"/>
      <c r="IOL43" s="63"/>
      <c r="IOM43" s="63"/>
      <c r="ION43" s="63"/>
      <c r="IOO43" s="63"/>
      <c r="IOP43" s="63"/>
      <c r="IOQ43" s="63"/>
      <c r="IOR43" s="63"/>
      <c r="IOS43" s="63"/>
      <c r="IOT43" s="63"/>
      <c r="IOU43" s="63"/>
      <c r="IOV43" s="63"/>
      <c r="IOW43" s="63"/>
      <c r="IOX43" s="63"/>
      <c r="IOY43" s="63"/>
      <c r="IOZ43" s="63"/>
      <c r="IPA43" s="63"/>
      <c r="IPB43" s="63"/>
      <c r="IPC43" s="63"/>
      <c r="IPD43" s="63"/>
      <c r="IPE43" s="63"/>
      <c r="IPF43" s="63"/>
      <c r="IPG43" s="63"/>
      <c r="IPH43" s="63"/>
      <c r="IPI43" s="63"/>
      <c r="IPJ43" s="63"/>
      <c r="IPK43" s="63"/>
      <c r="IPL43" s="63"/>
      <c r="IPM43" s="63"/>
      <c r="IPN43" s="63"/>
      <c r="IPO43" s="63"/>
      <c r="IPP43" s="63"/>
      <c r="IPQ43" s="63"/>
      <c r="IPR43" s="63"/>
      <c r="IPS43" s="63"/>
      <c r="IPT43" s="63"/>
      <c r="IPU43" s="63"/>
      <c r="IPV43" s="63"/>
      <c r="IPW43" s="63"/>
      <c r="IPX43" s="63"/>
      <c r="IPY43" s="63"/>
      <c r="IPZ43" s="63"/>
      <c r="IQA43" s="63"/>
      <c r="IQB43" s="63"/>
      <c r="IQC43" s="63"/>
      <c r="IQD43" s="63"/>
      <c r="IQE43" s="63"/>
      <c r="IQF43" s="63"/>
      <c r="IQG43" s="63"/>
      <c r="IQH43" s="63"/>
      <c r="IQI43" s="63"/>
      <c r="IQJ43" s="63"/>
      <c r="IQK43" s="63"/>
      <c r="IQL43" s="63"/>
      <c r="IQM43" s="63"/>
      <c r="IQN43" s="63"/>
      <c r="IQO43" s="63"/>
      <c r="IQP43" s="63"/>
      <c r="IQQ43" s="63"/>
      <c r="IQR43" s="63"/>
      <c r="IQS43" s="63"/>
      <c r="IQT43" s="63"/>
      <c r="IQU43" s="63"/>
      <c r="IQV43" s="63"/>
      <c r="IQW43" s="63"/>
      <c r="IQX43" s="63"/>
      <c r="IQY43" s="63"/>
      <c r="IQZ43" s="63"/>
      <c r="IRA43" s="63"/>
      <c r="IRB43" s="63"/>
      <c r="IRC43" s="63"/>
      <c r="IRD43" s="63"/>
      <c r="IRE43" s="63"/>
      <c r="IRF43" s="63"/>
      <c r="IRG43" s="63"/>
      <c r="IRH43" s="63"/>
      <c r="IRI43" s="63"/>
      <c r="IRJ43" s="63"/>
      <c r="IRK43" s="63"/>
      <c r="IRL43" s="63"/>
      <c r="IRM43" s="63"/>
      <c r="IRN43" s="63"/>
      <c r="IRO43" s="63"/>
      <c r="IRP43" s="63"/>
      <c r="IRQ43" s="63"/>
      <c r="IRR43" s="63"/>
      <c r="IRS43" s="63"/>
      <c r="IRT43" s="63"/>
      <c r="IRU43" s="63"/>
      <c r="IRV43" s="63"/>
      <c r="IRW43" s="63"/>
      <c r="IRX43" s="63"/>
      <c r="IRY43" s="63"/>
      <c r="IRZ43" s="63"/>
      <c r="ISA43" s="63"/>
      <c r="ISB43" s="63"/>
      <c r="ISC43" s="63"/>
      <c r="ISD43" s="63"/>
      <c r="ISE43" s="63"/>
      <c r="ISF43" s="63"/>
      <c r="ISG43" s="63"/>
      <c r="ISH43" s="63"/>
      <c r="ISI43" s="63"/>
      <c r="ISJ43" s="63"/>
      <c r="ISK43" s="63"/>
      <c r="ISL43" s="63"/>
      <c r="ISM43" s="63"/>
      <c r="ISN43" s="63"/>
      <c r="ISO43" s="63"/>
      <c r="ISP43" s="63"/>
      <c r="ISQ43" s="63"/>
      <c r="ISR43" s="63"/>
      <c r="ISS43" s="63"/>
      <c r="IST43" s="63"/>
      <c r="ISU43" s="63"/>
      <c r="ISV43" s="63"/>
      <c r="ISW43" s="63"/>
      <c r="ISX43" s="63"/>
      <c r="ISY43" s="63"/>
      <c r="ISZ43" s="63"/>
      <c r="ITA43" s="63"/>
      <c r="ITB43" s="63"/>
      <c r="ITC43" s="63"/>
      <c r="ITD43" s="63"/>
      <c r="ITE43" s="63"/>
      <c r="ITF43" s="63"/>
      <c r="ITG43" s="63"/>
      <c r="ITH43" s="63"/>
      <c r="ITI43" s="63"/>
      <c r="ITJ43" s="63"/>
      <c r="ITK43" s="63"/>
      <c r="ITL43" s="63"/>
      <c r="ITM43" s="63"/>
      <c r="ITN43" s="63"/>
      <c r="ITO43" s="63"/>
      <c r="ITP43" s="63"/>
      <c r="ITQ43" s="63"/>
      <c r="ITR43" s="63"/>
      <c r="ITS43" s="63"/>
      <c r="ITT43" s="63"/>
      <c r="ITU43" s="63"/>
      <c r="ITV43" s="63"/>
      <c r="ITW43" s="63"/>
      <c r="ITX43" s="63"/>
      <c r="ITY43" s="63"/>
      <c r="ITZ43" s="63"/>
      <c r="IUA43" s="63"/>
      <c r="IUB43" s="63"/>
      <c r="IUC43" s="63"/>
      <c r="IUD43" s="63"/>
      <c r="IUE43" s="63"/>
      <c r="IUF43" s="63"/>
      <c r="IUG43" s="63"/>
      <c r="IUH43" s="63"/>
      <c r="IUI43" s="63"/>
      <c r="IUJ43" s="63"/>
      <c r="IUK43" s="63"/>
      <c r="IUL43" s="63"/>
      <c r="IUM43" s="63"/>
      <c r="IUN43" s="63"/>
      <c r="IUO43" s="63"/>
      <c r="IUP43" s="63"/>
      <c r="IUQ43" s="63"/>
      <c r="IUR43" s="63"/>
      <c r="IUS43" s="63"/>
      <c r="IUT43" s="63"/>
      <c r="IUU43" s="63"/>
      <c r="IUV43" s="63"/>
      <c r="IUW43" s="63"/>
      <c r="IUX43" s="63"/>
      <c r="IUY43" s="63"/>
      <c r="IUZ43" s="63"/>
      <c r="IVA43" s="63"/>
      <c r="IVB43" s="63"/>
      <c r="IVC43" s="63"/>
      <c r="IVD43" s="63"/>
      <c r="IVE43" s="63"/>
      <c r="IVF43" s="63"/>
      <c r="IVG43" s="63"/>
      <c r="IVH43" s="63"/>
      <c r="IVI43" s="63"/>
      <c r="IVJ43" s="63"/>
      <c r="IVK43" s="63"/>
      <c r="IVL43" s="63"/>
      <c r="IVM43" s="63"/>
      <c r="IVN43" s="63"/>
      <c r="IVO43" s="63"/>
      <c r="IVP43" s="63"/>
      <c r="IVQ43" s="63"/>
      <c r="IVR43" s="63"/>
      <c r="IVS43" s="63"/>
      <c r="IVT43" s="63"/>
      <c r="IVU43" s="63"/>
      <c r="IVV43" s="63"/>
      <c r="IVW43" s="63"/>
      <c r="IVX43" s="63"/>
      <c r="IVY43" s="63"/>
      <c r="IVZ43" s="63"/>
      <c r="IWA43" s="63"/>
      <c r="IWB43" s="63"/>
      <c r="IWC43" s="63"/>
      <c r="IWD43" s="63"/>
      <c r="IWE43" s="63"/>
      <c r="IWF43" s="63"/>
      <c r="IWG43" s="63"/>
      <c r="IWH43" s="63"/>
      <c r="IWI43" s="63"/>
      <c r="IWJ43" s="63"/>
      <c r="IWK43" s="63"/>
      <c r="IWL43" s="63"/>
      <c r="IWM43" s="63"/>
      <c r="IWN43" s="63"/>
      <c r="IWO43" s="63"/>
      <c r="IWP43" s="63"/>
      <c r="IWQ43" s="63"/>
      <c r="IWR43" s="63"/>
      <c r="IWS43" s="63"/>
      <c r="IWT43" s="63"/>
      <c r="IWU43" s="63"/>
      <c r="IWV43" s="63"/>
      <c r="IWW43" s="63"/>
      <c r="IWX43" s="63"/>
      <c r="IWY43" s="63"/>
      <c r="IWZ43" s="63"/>
      <c r="IXA43" s="63"/>
      <c r="IXB43" s="63"/>
      <c r="IXC43" s="63"/>
      <c r="IXD43" s="63"/>
      <c r="IXE43" s="63"/>
      <c r="IXF43" s="63"/>
      <c r="IXG43" s="63"/>
      <c r="IXH43" s="63"/>
      <c r="IXI43" s="63"/>
      <c r="IXJ43" s="63"/>
      <c r="IXK43" s="63"/>
      <c r="IXL43" s="63"/>
      <c r="IXM43" s="63"/>
      <c r="IXN43" s="63"/>
      <c r="IXO43" s="63"/>
      <c r="IXP43" s="63"/>
      <c r="IXQ43" s="63"/>
      <c r="IXR43" s="63"/>
      <c r="IXS43" s="63"/>
      <c r="IXT43" s="63"/>
      <c r="IXU43" s="63"/>
      <c r="IXV43" s="63"/>
      <c r="IXW43" s="63"/>
      <c r="IXX43" s="63"/>
      <c r="IXY43" s="63"/>
      <c r="IXZ43" s="63"/>
      <c r="IYA43" s="63"/>
      <c r="IYB43" s="63"/>
      <c r="IYC43" s="63"/>
      <c r="IYD43" s="63"/>
      <c r="IYE43" s="63"/>
      <c r="IYF43" s="63"/>
      <c r="IYG43" s="63"/>
      <c r="IYH43" s="63"/>
      <c r="IYI43" s="63"/>
      <c r="IYJ43" s="63"/>
      <c r="IYK43" s="63"/>
      <c r="IYL43" s="63"/>
      <c r="IYM43" s="63"/>
      <c r="IYN43" s="63"/>
      <c r="IYO43" s="63"/>
      <c r="IYP43" s="63"/>
      <c r="IYQ43" s="63"/>
      <c r="IYR43" s="63"/>
      <c r="IYS43" s="63"/>
      <c r="IYT43" s="63"/>
      <c r="IYU43" s="63"/>
      <c r="IYV43" s="63"/>
      <c r="IYW43" s="63"/>
      <c r="IYX43" s="63"/>
      <c r="IYY43" s="63"/>
      <c r="IYZ43" s="63"/>
      <c r="IZA43" s="63"/>
      <c r="IZB43" s="63"/>
      <c r="IZC43" s="63"/>
      <c r="IZD43" s="63"/>
      <c r="IZE43" s="63"/>
      <c r="IZF43" s="63"/>
      <c r="IZG43" s="63"/>
      <c r="IZH43" s="63"/>
      <c r="IZI43" s="63"/>
      <c r="IZJ43" s="63"/>
      <c r="IZK43" s="63"/>
      <c r="IZL43" s="63"/>
      <c r="IZM43" s="63"/>
      <c r="IZN43" s="63"/>
      <c r="IZO43" s="63"/>
      <c r="IZP43" s="63"/>
      <c r="IZQ43" s="63"/>
      <c r="IZR43" s="63"/>
      <c r="IZS43" s="63"/>
      <c r="IZT43" s="63"/>
      <c r="IZU43" s="63"/>
      <c r="IZV43" s="63"/>
      <c r="IZW43" s="63"/>
      <c r="IZX43" s="63"/>
      <c r="IZY43" s="63"/>
      <c r="IZZ43" s="63"/>
      <c r="JAA43" s="63"/>
      <c r="JAB43" s="63"/>
      <c r="JAC43" s="63"/>
      <c r="JAD43" s="63"/>
      <c r="JAE43" s="63"/>
      <c r="JAF43" s="63"/>
      <c r="JAG43" s="63"/>
      <c r="JAH43" s="63"/>
      <c r="JAI43" s="63"/>
      <c r="JAJ43" s="63"/>
      <c r="JAK43" s="63"/>
      <c r="JAL43" s="63"/>
      <c r="JAM43" s="63"/>
      <c r="JAN43" s="63"/>
      <c r="JAO43" s="63"/>
      <c r="JAP43" s="63"/>
      <c r="JAQ43" s="63"/>
      <c r="JAR43" s="63"/>
      <c r="JAS43" s="63"/>
      <c r="JAT43" s="63"/>
      <c r="JAU43" s="63"/>
      <c r="JAV43" s="63"/>
      <c r="JAW43" s="63"/>
      <c r="JAX43" s="63"/>
      <c r="JAY43" s="63"/>
      <c r="JAZ43" s="63"/>
      <c r="JBA43" s="63"/>
      <c r="JBB43" s="63"/>
      <c r="JBC43" s="63"/>
      <c r="JBD43" s="63"/>
      <c r="JBE43" s="63"/>
      <c r="JBF43" s="63"/>
      <c r="JBG43" s="63"/>
      <c r="JBH43" s="63"/>
      <c r="JBI43" s="63"/>
      <c r="JBJ43" s="63"/>
      <c r="JBK43" s="63"/>
      <c r="JBL43" s="63"/>
      <c r="JBM43" s="63"/>
      <c r="JBN43" s="63"/>
      <c r="JBO43" s="63"/>
      <c r="JBP43" s="63"/>
      <c r="JBQ43" s="63"/>
      <c r="JBR43" s="63"/>
      <c r="JBS43" s="63"/>
      <c r="JBT43" s="63"/>
      <c r="JBU43" s="63"/>
      <c r="JBV43" s="63"/>
      <c r="JBW43" s="63"/>
      <c r="JBX43" s="63"/>
      <c r="JBY43" s="63"/>
      <c r="JBZ43" s="63"/>
      <c r="JCA43" s="63"/>
      <c r="JCB43" s="63"/>
      <c r="JCC43" s="63"/>
      <c r="JCD43" s="63"/>
      <c r="JCE43" s="63"/>
      <c r="JCF43" s="63"/>
      <c r="JCG43" s="63"/>
      <c r="JCH43" s="63"/>
      <c r="JCI43" s="63"/>
      <c r="JCJ43" s="63"/>
      <c r="JCK43" s="63"/>
      <c r="JCL43" s="63"/>
      <c r="JCM43" s="63"/>
      <c r="JCN43" s="63"/>
      <c r="JCO43" s="63"/>
      <c r="JCP43" s="63"/>
      <c r="JCQ43" s="63"/>
      <c r="JCR43" s="63"/>
      <c r="JCS43" s="63"/>
      <c r="JCT43" s="63"/>
      <c r="JCU43" s="63"/>
      <c r="JCV43" s="63"/>
      <c r="JCW43" s="63"/>
      <c r="JCX43" s="63"/>
      <c r="JCY43" s="63"/>
      <c r="JCZ43" s="63"/>
      <c r="JDA43" s="63"/>
      <c r="JDB43" s="63"/>
      <c r="JDC43" s="63"/>
      <c r="JDD43" s="63"/>
      <c r="JDE43" s="63"/>
      <c r="JDF43" s="63"/>
      <c r="JDG43" s="63"/>
      <c r="JDH43" s="63"/>
      <c r="JDI43" s="63"/>
      <c r="JDJ43" s="63"/>
      <c r="JDK43" s="63"/>
      <c r="JDL43" s="63"/>
      <c r="JDM43" s="63"/>
      <c r="JDN43" s="63"/>
      <c r="JDO43" s="63"/>
      <c r="JDP43" s="63"/>
      <c r="JDQ43" s="63"/>
      <c r="JDR43" s="63"/>
      <c r="JDS43" s="63"/>
      <c r="JDT43" s="63"/>
      <c r="JDU43" s="63"/>
      <c r="JDV43" s="63"/>
      <c r="JDW43" s="63"/>
      <c r="JDX43" s="63"/>
      <c r="JDY43" s="63"/>
      <c r="JDZ43" s="63"/>
      <c r="JEA43" s="63"/>
      <c r="JEB43" s="63"/>
      <c r="JEC43" s="63"/>
      <c r="JED43" s="63"/>
      <c r="JEE43" s="63"/>
      <c r="JEF43" s="63"/>
      <c r="JEG43" s="63"/>
      <c r="JEH43" s="63"/>
      <c r="JEI43" s="63"/>
      <c r="JEJ43" s="63"/>
      <c r="JEK43" s="63"/>
      <c r="JEL43" s="63"/>
      <c r="JEM43" s="63"/>
      <c r="JEN43" s="63"/>
      <c r="JEO43" s="63"/>
      <c r="JEP43" s="63"/>
      <c r="JEQ43" s="63"/>
      <c r="JER43" s="63"/>
      <c r="JES43" s="63"/>
      <c r="JET43" s="63"/>
      <c r="JEU43" s="63"/>
      <c r="JEV43" s="63"/>
      <c r="JEW43" s="63"/>
      <c r="JEX43" s="63"/>
      <c r="JEY43" s="63"/>
      <c r="JEZ43" s="63"/>
      <c r="JFA43" s="63"/>
      <c r="JFB43" s="63"/>
      <c r="JFC43" s="63"/>
      <c r="JFD43" s="63"/>
      <c r="JFE43" s="63"/>
      <c r="JFF43" s="63"/>
      <c r="JFG43" s="63"/>
      <c r="JFH43" s="63"/>
      <c r="JFI43" s="63"/>
      <c r="JFJ43" s="63"/>
      <c r="JFK43" s="63"/>
      <c r="JFL43" s="63"/>
      <c r="JFM43" s="63"/>
      <c r="JFN43" s="63"/>
      <c r="JFO43" s="63"/>
      <c r="JFP43" s="63"/>
      <c r="JFQ43" s="63"/>
      <c r="JFR43" s="63"/>
      <c r="JFS43" s="63"/>
      <c r="JFT43" s="63"/>
      <c r="JFU43" s="63"/>
      <c r="JFV43" s="63"/>
      <c r="JFW43" s="63"/>
      <c r="JFX43" s="63"/>
      <c r="JFY43" s="63"/>
      <c r="JFZ43" s="63"/>
      <c r="JGA43" s="63"/>
      <c r="JGB43" s="63"/>
      <c r="JGC43" s="63"/>
      <c r="JGD43" s="63"/>
      <c r="JGE43" s="63"/>
      <c r="JGF43" s="63"/>
      <c r="JGG43" s="63"/>
      <c r="JGH43" s="63"/>
      <c r="JGI43" s="63"/>
      <c r="JGJ43" s="63"/>
      <c r="JGK43" s="63"/>
      <c r="JGL43" s="63"/>
      <c r="JGM43" s="63"/>
      <c r="JGN43" s="63"/>
      <c r="JGO43" s="63"/>
      <c r="JGP43" s="63"/>
      <c r="JGQ43" s="63"/>
      <c r="JGR43" s="63"/>
      <c r="JGS43" s="63"/>
      <c r="JGT43" s="63"/>
      <c r="JGU43" s="63"/>
      <c r="JGV43" s="63"/>
      <c r="JGW43" s="63"/>
      <c r="JGX43" s="63"/>
      <c r="JGY43" s="63"/>
      <c r="JGZ43" s="63"/>
      <c r="JHA43" s="63"/>
      <c r="JHB43" s="63"/>
      <c r="JHC43" s="63"/>
      <c r="JHD43" s="63"/>
      <c r="JHE43" s="63"/>
      <c r="JHF43" s="63"/>
      <c r="JHG43" s="63"/>
      <c r="JHH43" s="63"/>
      <c r="JHI43" s="63"/>
      <c r="JHJ43" s="63"/>
      <c r="JHK43" s="63"/>
      <c r="JHL43" s="63"/>
      <c r="JHM43" s="63"/>
      <c r="JHN43" s="63"/>
      <c r="JHO43" s="63"/>
      <c r="JHP43" s="63"/>
      <c r="JHQ43" s="63"/>
      <c r="JHR43" s="63"/>
      <c r="JHS43" s="63"/>
      <c r="JHT43" s="63"/>
      <c r="JHU43" s="63"/>
      <c r="JHV43" s="63"/>
      <c r="JHW43" s="63"/>
      <c r="JHX43" s="63"/>
      <c r="JHY43" s="63"/>
      <c r="JHZ43" s="63"/>
      <c r="JIA43" s="63"/>
      <c r="JIB43" s="63"/>
      <c r="JIC43" s="63"/>
      <c r="JID43" s="63"/>
      <c r="JIE43" s="63"/>
      <c r="JIF43" s="63"/>
      <c r="JIG43" s="63"/>
      <c r="JIH43" s="63"/>
      <c r="JII43" s="63"/>
      <c r="JIJ43" s="63"/>
      <c r="JIK43" s="63"/>
      <c r="JIL43" s="63"/>
      <c r="JIM43" s="63"/>
      <c r="JIN43" s="63"/>
      <c r="JIO43" s="63"/>
      <c r="JIP43" s="63"/>
      <c r="JIQ43" s="63"/>
      <c r="JIR43" s="63"/>
      <c r="JIS43" s="63"/>
      <c r="JIT43" s="63"/>
      <c r="JIU43" s="63"/>
      <c r="JIV43" s="63"/>
      <c r="JIW43" s="63"/>
      <c r="JIX43" s="63"/>
      <c r="JIY43" s="63"/>
      <c r="JIZ43" s="63"/>
      <c r="JJA43" s="63"/>
      <c r="JJB43" s="63"/>
      <c r="JJC43" s="63"/>
      <c r="JJD43" s="63"/>
      <c r="JJE43" s="63"/>
      <c r="JJF43" s="63"/>
      <c r="JJG43" s="63"/>
      <c r="JJH43" s="63"/>
      <c r="JJI43" s="63"/>
      <c r="JJJ43" s="63"/>
      <c r="JJK43" s="63"/>
      <c r="JJL43" s="63"/>
      <c r="JJM43" s="63"/>
      <c r="JJN43" s="63"/>
      <c r="JJO43" s="63"/>
      <c r="JJP43" s="63"/>
      <c r="JJQ43" s="63"/>
      <c r="JJR43" s="63"/>
      <c r="JJS43" s="63"/>
      <c r="JJT43" s="63"/>
      <c r="JJU43" s="63"/>
      <c r="JJV43" s="63"/>
      <c r="JJW43" s="63"/>
      <c r="JJX43" s="63"/>
      <c r="JJY43" s="63"/>
      <c r="JJZ43" s="63"/>
      <c r="JKA43" s="63"/>
      <c r="JKB43" s="63"/>
      <c r="JKC43" s="63"/>
      <c r="JKD43" s="63"/>
      <c r="JKE43" s="63"/>
      <c r="JKF43" s="63"/>
      <c r="JKG43" s="63"/>
      <c r="JKH43" s="63"/>
      <c r="JKI43" s="63"/>
      <c r="JKJ43" s="63"/>
      <c r="JKK43" s="63"/>
      <c r="JKL43" s="63"/>
      <c r="JKM43" s="63"/>
      <c r="JKN43" s="63"/>
      <c r="JKO43" s="63"/>
      <c r="JKP43" s="63"/>
      <c r="JKQ43" s="63"/>
      <c r="JKR43" s="63"/>
      <c r="JKS43" s="63"/>
      <c r="JKT43" s="63"/>
      <c r="JKU43" s="63"/>
      <c r="JKV43" s="63"/>
      <c r="JKW43" s="63"/>
      <c r="JKX43" s="63"/>
      <c r="JKY43" s="63"/>
      <c r="JKZ43" s="63"/>
      <c r="JLA43" s="63"/>
      <c r="JLB43" s="63"/>
      <c r="JLC43" s="63"/>
      <c r="JLD43" s="63"/>
      <c r="JLE43" s="63"/>
      <c r="JLF43" s="63"/>
      <c r="JLG43" s="63"/>
      <c r="JLH43" s="63"/>
      <c r="JLI43" s="63"/>
      <c r="JLJ43" s="63"/>
      <c r="JLK43" s="63"/>
      <c r="JLL43" s="63"/>
      <c r="JLM43" s="63"/>
      <c r="JLN43" s="63"/>
      <c r="JLO43" s="63"/>
      <c r="JLP43" s="63"/>
      <c r="JLQ43" s="63"/>
      <c r="JLR43" s="63"/>
      <c r="JLS43" s="63"/>
      <c r="JLT43" s="63"/>
      <c r="JLU43" s="63"/>
      <c r="JLV43" s="63"/>
      <c r="JLW43" s="63"/>
      <c r="JLX43" s="63"/>
      <c r="JLY43" s="63"/>
      <c r="JLZ43" s="63"/>
      <c r="JMA43" s="63"/>
      <c r="JMB43" s="63"/>
      <c r="JMC43" s="63"/>
      <c r="JMD43" s="63"/>
      <c r="JME43" s="63"/>
      <c r="JMF43" s="63"/>
      <c r="JMG43" s="63"/>
      <c r="JMH43" s="63"/>
      <c r="JMI43" s="63"/>
      <c r="JMJ43" s="63"/>
      <c r="JMK43" s="63"/>
      <c r="JML43" s="63"/>
      <c r="JMM43" s="63"/>
      <c r="JMN43" s="63"/>
      <c r="JMO43" s="63"/>
      <c r="JMP43" s="63"/>
      <c r="JMQ43" s="63"/>
      <c r="JMR43" s="63"/>
      <c r="JMS43" s="63"/>
      <c r="JMT43" s="63"/>
      <c r="JMU43" s="63"/>
      <c r="JMV43" s="63"/>
      <c r="JMW43" s="63"/>
      <c r="JMX43" s="63"/>
      <c r="JMY43" s="63"/>
      <c r="JMZ43" s="63"/>
      <c r="JNA43" s="63"/>
      <c r="JNB43" s="63"/>
      <c r="JNC43" s="63"/>
      <c r="JND43" s="63"/>
      <c r="JNE43" s="63"/>
      <c r="JNF43" s="63"/>
      <c r="JNG43" s="63"/>
      <c r="JNH43" s="63"/>
      <c r="JNI43" s="63"/>
      <c r="JNJ43" s="63"/>
      <c r="JNK43" s="63"/>
      <c r="JNL43" s="63"/>
      <c r="JNM43" s="63"/>
      <c r="JNN43" s="63"/>
      <c r="JNO43" s="63"/>
      <c r="JNP43" s="63"/>
      <c r="JNQ43" s="63"/>
      <c r="JNR43" s="63"/>
      <c r="JNS43" s="63"/>
      <c r="JNT43" s="63"/>
      <c r="JNU43" s="63"/>
      <c r="JNV43" s="63"/>
      <c r="JNW43" s="63"/>
      <c r="JNX43" s="63"/>
      <c r="JNY43" s="63"/>
      <c r="JNZ43" s="63"/>
      <c r="JOA43" s="63"/>
      <c r="JOB43" s="63"/>
      <c r="JOC43" s="63"/>
      <c r="JOD43" s="63"/>
      <c r="JOE43" s="63"/>
      <c r="JOF43" s="63"/>
      <c r="JOG43" s="63"/>
      <c r="JOH43" s="63"/>
      <c r="JOI43" s="63"/>
      <c r="JOJ43" s="63"/>
      <c r="JOK43" s="63"/>
      <c r="JOL43" s="63"/>
      <c r="JOM43" s="63"/>
      <c r="JON43" s="63"/>
      <c r="JOO43" s="63"/>
      <c r="JOP43" s="63"/>
      <c r="JOQ43" s="63"/>
      <c r="JOR43" s="63"/>
      <c r="JOS43" s="63"/>
      <c r="JOT43" s="63"/>
      <c r="JOU43" s="63"/>
      <c r="JOV43" s="63"/>
      <c r="JOW43" s="63"/>
      <c r="JOX43" s="63"/>
      <c r="JOY43" s="63"/>
      <c r="JOZ43" s="63"/>
      <c r="JPA43" s="63"/>
      <c r="JPB43" s="63"/>
      <c r="JPC43" s="63"/>
      <c r="JPD43" s="63"/>
      <c r="JPE43" s="63"/>
      <c r="JPF43" s="63"/>
      <c r="JPG43" s="63"/>
      <c r="JPH43" s="63"/>
      <c r="JPI43" s="63"/>
      <c r="JPJ43" s="63"/>
      <c r="JPK43" s="63"/>
      <c r="JPL43" s="63"/>
      <c r="JPM43" s="63"/>
      <c r="JPN43" s="63"/>
      <c r="JPO43" s="63"/>
      <c r="JPP43" s="63"/>
      <c r="JPQ43" s="63"/>
      <c r="JPR43" s="63"/>
      <c r="JPS43" s="63"/>
      <c r="JPT43" s="63"/>
      <c r="JPU43" s="63"/>
      <c r="JPV43" s="63"/>
      <c r="JPW43" s="63"/>
      <c r="JPX43" s="63"/>
      <c r="JPY43" s="63"/>
      <c r="JPZ43" s="63"/>
      <c r="JQA43" s="63"/>
      <c r="JQB43" s="63"/>
      <c r="JQC43" s="63"/>
      <c r="JQD43" s="63"/>
      <c r="JQE43" s="63"/>
      <c r="JQF43" s="63"/>
      <c r="JQG43" s="63"/>
      <c r="JQH43" s="63"/>
      <c r="JQI43" s="63"/>
      <c r="JQJ43" s="63"/>
      <c r="JQK43" s="63"/>
      <c r="JQL43" s="63"/>
      <c r="JQM43" s="63"/>
      <c r="JQN43" s="63"/>
      <c r="JQO43" s="63"/>
      <c r="JQP43" s="63"/>
      <c r="JQQ43" s="63"/>
      <c r="JQR43" s="63"/>
      <c r="JQS43" s="63"/>
      <c r="JQT43" s="63"/>
      <c r="JQU43" s="63"/>
      <c r="JQV43" s="63"/>
      <c r="JQW43" s="63"/>
      <c r="JQX43" s="63"/>
      <c r="JQY43" s="63"/>
      <c r="JQZ43" s="63"/>
      <c r="JRA43" s="63"/>
      <c r="JRB43" s="63"/>
      <c r="JRC43" s="63"/>
      <c r="JRD43" s="63"/>
      <c r="JRE43" s="63"/>
      <c r="JRF43" s="63"/>
      <c r="JRG43" s="63"/>
      <c r="JRH43" s="63"/>
      <c r="JRI43" s="63"/>
      <c r="JRJ43" s="63"/>
      <c r="JRK43" s="63"/>
      <c r="JRL43" s="63"/>
      <c r="JRM43" s="63"/>
      <c r="JRN43" s="63"/>
      <c r="JRO43" s="63"/>
      <c r="JRP43" s="63"/>
      <c r="JRQ43" s="63"/>
      <c r="JRR43" s="63"/>
      <c r="JRS43" s="63"/>
      <c r="JRT43" s="63"/>
      <c r="JRU43" s="63"/>
      <c r="JRV43" s="63"/>
      <c r="JRW43" s="63"/>
      <c r="JRX43" s="63"/>
      <c r="JRY43" s="63"/>
      <c r="JRZ43" s="63"/>
      <c r="JSA43" s="63"/>
      <c r="JSB43" s="63"/>
      <c r="JSC43" s="63"/>
      <c r="JSD43" s="63"/>
      <c r="JSE43" s="63"/>
      <c r="JSF43" s="63"/>
      <c r="JSG43" s="63"/>
      <c r="JSH43" s="63"/>
      <c r="JSI43" s="63"/>
      <c r="JSJ43" s="63"/>
      <c r="JSK43" s="63"/>
      <c r="JSL43" s="63"/>
      <c r="JSM43" s="63"/>
      <c r="JSN43" s="63"/>
      <c r="JSO43" s="63"/>
      <c r="JSP43" s="63"/>
      <c r="JSQ43" s="63"/>
      <c r="JSR43" s="63"/>
      <c r="JSS43" s="63"/>
      <c r="JST43" s="63"/>
      <c r="JSU43" s="63"/>
      <c r="JSV43" s="63"/>
      <c r="JSW43" s="63"/>
      <c r="JSX43" s="63"/>
      <c r="JSY43" s="63"/>
      <c r="JSZ43" s="63"/>
      <c r="JTA43" s="63"/>
      <c r="JTB43" s="63"/>
      <c r="JTC43" s="63"/>
      <c r="JTD43" s="63"/>
      <c r="JTE43" s="63"/>
      <c r="JTF43" s="63"/>
      <c r="JTG43" s="63"/>
      <c r="JTH43" s="63"/>
      <c r="JTI43" s="63"/>
      <c r="JTJ43" s="63"/>
      <c r="JTK43" s="63"/>
      <c r="JTL43" s="63"/>
      <c r="JTM43" s="63"/>
      <c r="JTN43" s="63"/>
      <c r="JTO43" s="63"/>
      <c r="JTP43" s="63"/>
      <c r="JTQ43" s="63"/>
      <c r="JTR43" s="63"/>
      <c r="JTS43" s="63"/>
      <c r="JTT43" s="63"/>
      <c r="JTU43" s="63"/>
      <c r="JTV43" s="63"/>
      <c r="JTW43" s="63"/>
      <c r="JTX43" s="63"/>
      <c r="JTY43" s="63"/>
      <c r="JTZ43" s="63"/>
      <c r="JUA43" s="63"/>
      <c r="JUB43" s="63"/>
      <c r="JUC43" s="63"/>
      <c r="JUD43" s="63"/>
      <c r="JUE43" s="63"/>
      <c r="JUF43" s="63"/>
      <c r="JUG43" s="63"/>
      <c r="JUH43" s="63"/>
      <c r="JUI43" s="63"/>
      <c r="JUJ43" s="63"/>
      <c r="JUK43" s="63"/>
      <c r="JUL43" s="63"/>
      <c r="JUM43" s="63"/>
      <c r="JUN43" s="63"/>
      <c r="JUO43" s="63"/>
      <c r="JUP43" s="63"/>
      <c r="JUQ43" s="63"/>
      <c r="JUR43" s="63"/>
      <c r="JUS43" s="63"/>
      <c r="JUT43" s="63"/>
      <c r="JUU43" s="63"/>
      <c r="JUV43" s="63"/>
      <c r="JUW43" s="63"/>
      <c r="JUX43" s="63"/>
      <c r="JUY43" s="63"/>
      <c r="JUZ43" s="63"/>
      <c r="JVA43" s="63"/>
      <c r="JVB43" s="63"/>
      <c r="JVC43" s="63"/>
      <c r="JVD43" s="63"/>
      <c r="JVE43" s="63"/>
      <c r="JVF43" s="63"/>
      <c r="JVG43" s="63"/>
      <c r="JVH43" s="63"/>
      <c r="JVI43" s="63"/>
      <c r="JVJ43" s="63"/>
      <c r="JVK43" s="63"/>
      <c r="JVL43" s="63"/>
      <c r="JVM43" s="63"/>
      <c r="JVN43" s="63"/>
      <c r="JVO43" s="63"/>
      <c r="JVP43" s="63"/>
      <c r="JVQ43" s="63"/>
      <c r="JVR43" s="63"/>
      <c r="JVS43" s="63"/>
      <c r="JVT43" s="63"/>
      <c r="JVU43" s="63"/>
      <c r="JVV43" s="63"/>
      <c r="JVW43" s="63"/>
      <c r="JVX43" s="63"/>
      <c r="JVY43" s="63"/>
      <c r="JVZ43" s="63"/>
      <c r="JWA43" s="63"/>
      <c r="JWB43" s="63"/>
      <c r="JWC43" s="63"/>
      <c r="JWD43" s="63"/>
      <c r="JWE43" s="63"/>
      <c r="JWF43" s="63"/>
      <c r="JWG43" s="63"/>
      <c r="JWH43" s="63"/>
      <c r="JWI43" s="63"/>
      <c r="JWJ43" s="63"/>
      <c r="JWK43" s="63"/>
      <c r="JWL43" s="63"/>
      <c r="JWM43" s="63"/>
      <c r="JWN43" s="63"/>
      <c r="JWO43" s="63"/>
      <c r="JWP43" s="63"/>
      <c r="JWQ43" s="63"/>
      <c r="JWR43" s="63"/>
      <c r="JWS43" s="63"/>
      <c r="JWT43" s="63"/>
      <c r="JWU43" s="63"/>
      <c r="JWV43" s="63"/>
      <c r="JWW43" s="63"/>
      <c r="JWX43" s="63"/>
      <c r="JWY43" s="63"/>
      <c r="JWZ43" s="63"/>
      <c r="JXA43" s="63"/>
      <c r="JXB43" s="63"/>
      <c r="JXC43" s="63"/>
      <c r="JXD43" s="63"/>
      <c r="JXE43" s="63"/>
      <c r="JXF43" s="63"/>
      <c r="JXG43" s="63"/>
      <c r="JXH43" s="63"/>
      <c r="JXI43" s="63"/>
      <c r="JXJ43" s="63"/>
      <c r="JXK43" s="63"/>
      <c r="JXL43" s="63"/>
      <c r="JXM43" s="63"/>
      <c r="JXN43" s="63"/>
      <c r="JXO43" s="63"/>
      <c r="JXP43" s="63"/>
      <c r="JXQ43" s="63"/>
      <c r="JXR43" s="63"/>
      <c r="JXS43" s="63"/>
      <c r="JXT43" s="63"/>
      <c r="JXU43" s="63"/>
      <c r="JXV43" s="63"/>
      <c r="JXW43" s="63"/>
      <c r="JXX43" s="63"/>
      <c r="JXY43" s="63"/>
      <c r="JXZ43" s="63"/>
      <c r="JYA43" s="63"/>
      <c r="JYB43" s="63"/>
      <c r="JYC43" s="63"/>
      <c r="JYD43" s="63"/>
      <c r="JYE43" s="63"/>
      <c r="JYF43" s="63"/>
      <c r="JYG43" s="63"/>
      <c r="JYH43" s="63"/>
      <c r="JYI43" s="63"/>
      <c r="JYJ43" s="63"/>
      <c r="JYK43" s="63"/>
      <c r="JYL43" s="63"/>
      <c r="JYM43" s="63"/>
      <c r="JYN43" s="63"/>
      <c r="JYO43" s="63"/>
      <c r="JYP43" s="63"/>
      <c r="JYQ43" s="63"/>
      <c r="JYR43" s="63"/>
      <c r="JYS43" s="63"/>
      <c r="JYT43" s="63"/>
      <c r="JYU43" s="63"/>
      <c r="JYV43" s="63"/>
      <c r="JYW43" s="63"/>
      <c r="JYX43" s="63"/>
      <c r="JYY43" s="63"/>
      <c r="JYZ43" s="63"/>
      <c r="JZA43" s="63"/>
      <c r="JZB43" s="63"/>
      <c r="JZC43" s="63"/>
      <c r="JZD43" s="63"/>
      <c r="JZE43" s="63"/>
      <c r="JZF43" s="63"/>
      <c r="JZG43" s="63"/>
      <c r="JZH43" s="63"/>
      <c r="JZI43" s="63"/>
      <c r="JZJ43" s="63"/>
      <c r="JZK43" s="63"/>
      <c r="JZL43" s="63"/>
      <c r="JZM43" s="63"/>
      <c r="JZN43" s="63"/>
      <c r="JZO43" s="63"/>
      <c r="JZP43" s="63"/>
      <c r="JZQ43" s="63"/>
      <c r="JZR43" s="63"/>
      <c r="JZS43" s="63"/>
      <c r="JZT43" s="63"/>
      <c r="JZU43" s="63"/>
      <c r="JZV43" s="63"/>
      <c r="JZW43" s="63"/>
      <c r="JZX43" s="63"/>
      <c r="JZY43" s="63"/>
      <c r="JZZ43" s="63"/>
      <c r="KAA43" s="63"/>
      <c r="KAB43" s="63"/>
      <c r="KAC43" s="63"/>
      <c r="KAD43" s="63"/>
      <c r="KAE43" s="63"/>
      <c r="KAF43" s="63"/>
      <c r="KAG43" s="63"/>
      <c r="KAH43" s="63"/>
      <c r="KAI43" s="63"/>
      <c r="KAJ43" s="63"/>
      <c r="KAK43" s="63"/>
      <c r="KAL43" s="63"/>
      <c r="KAM43" s="63"/>
      <c r="KAN43" s="63"/>
      <c r="KAO43" s="63"/>
      <c r="KAP43" s="63"/>
      <c r="KAQ43" s="63"/>
      <c r="KAR43" s="63"/>
      <c r="KAS43" s="63"/>
      <c r="KAT43" s="63"/>
      <c r="KAU43" s="63"/>
      <c r="KAV43" s="63"/>
      <c r="KAW43" s="63"/>
      <c r="KAX43" s="63"/>
      <c r="KAY43" s="63"/>
      <c r="KAZ43" s="63"/>
      <c r="KBA43" s="63"/>
      <c r="KBB43" s="63"/>
      <c r="KBC43" s="63"/>
      <c r="KBD43" s="63"/>
      <c r="KBE43" s="63"/>
      <c r="KBF43" s="63"/>
      <c r="KBG43" s="63"/>
      <c r="KBH43" s="63"/>
      <c r="KBI43" s="63"/>
      <c r="KBJ43" s="63"/>
      <c r="KBK43" s="63"/>
      <c r="KBL43" s="63"/>
      <c r="KBM43" s="63"/>
      <c r="KBN43" s="63"/>
      <c r="KBO43" s="63"/>
      <c r="KBP43" s="63"/>
      <c r="KBQ43" s="63"/>
      <c r="KBR43" s="63"/>
      <c r="KBS43" s="63"/>
      <c r="KBT43" s="63"/>
      <c r="KBU43" s="63"/>
      <c r="KBV43" s="63"/>
      <c r="KBW43" s="63"/>
      <c r="KBX43" s="63"/>
      <c r="KBY43" s="63"/>
      <c r="KBZ43" s="63"/>
      <c r="KCA43" s="63"/>
      <c r="KCB43" s="63"/>
      <c r="KCC43" s="63"/>
      <c r="KCD43" s="63"/>
      <c r="KCE43" s="63"/>
      <c r="KCF43" s="63"/>
      <c r="KCG43" s="63"/>
      <c r="KCH43" s="63"/>
      <c r="KCI43" s="63"/>
      <c r="KCJ43" s="63"/>
      <c r="KCK43" s="63"/>
      <c r="KCL43" s="63"/>
      <c r="KCM43" s="63"/>
      <c r="KCN43" s="63"/>
      <c r="KCO43" s="63"/>
      <c r="KCP43" s="63"/>
      <c r="KCQ43" s="63"/>
      <c r="KCR43" s="63"/>
      <c r="KCS43" s="63"/>
      <c r="KCT43" s="63"/>
      <c r="KCU43" s="63"/>
      <c r="KCV43" s="63"/>
      <c r="KCW43" s="63"/>
      <c r="KCX43" s="63"/>
      <c r="KCY43" s="63"/>
      <c r="KCZ43" s="63"/>
      <c r="KDA43" s="63"/>
      <c r="KDB43" s="63"/>
      <c r="KDC43" s="63"/>
      <c r="KDD43" s="63"/>
      <c r="KDE43" s="63"/>
      <c r="KDF43" s="63"/>
      <c r="KDG43" s="63"/>
      <c r="KDH43" s="63"/>
      <c r="KDI43" s="63"/>
      <c r="KDJ43" s="63"/>
      <c r="KDK43" s="63"/>
      <c r="KDL43" s="63"/>
      <c r="KDM43" s="63"/>
      <c r="KDN43" s="63"/>
      <c r="KDO43" s="63"/>
      <c r="KDP43" s="63"/>
      <c r="KDQ43" s="63"/>
      <c r="KDR43" s="63"/>
      <c r="KDS43" s="63"/>
      <c r="KDT43" s="63"/>
      <c r="KDU43" s="63"/>
      <c r="KDV43" s="63"/>
      <c r="KDW43" s="63"/>
      <c r="KDX43" s="63"/>
      <c r="KDY43" s="63"/>
      <c r="KDZ43" s="63"/>
      <c r="KEA43" s="63"/>
      <c r="KEB43" s="63"/>
      <c r="KEC43" s="63"/>
      <c r="KED43" s="63"/>
      <c r="KEE43" s="63"/>
      <c r="KEF43" s="63"/>
      <c r="KEG43" s="63"/>
      <c r="KEH43" s="63"/>
      <c r="KEI43" s="63"/>
      <c r="KEJ43" s="63"/>
      <c r="KEK43" s="63"/>
      <c r="KEL43" s="63"/>
      <c r="KEM43" s="63"/>
      <c r="KEN43" s="63"/>
      <c r="KEO43" s="63"/>
      <c r="KEP43" s="63"/>
      <c r="KEQ43" s="63"/>
      <c r="KER43" s="63"/>
      <c r="KES43" s="63"/>
      <c r="KET43" s="63"/>
      <c r="KEU43" s="63"/>
      <c r="KEV43" s="63"/>
      <c r="KEW43" s="63"/>
      <c r="KEX43" s="63"/>
      <c r="KEY43" s="63"/>
      <c r="KEZ43" s="63"/>
      <c r="KFA43" s="63"/>
      <c r="KFB43" s="63"/>
      <c r="KFC43" s="63"/>
      <c r="KFD43" s="63"/>
      <c r="KFE43" s="63"/>
      <c r="KFF43" s="63"/>
      <c r="KFG43" s="63"/>
      <c r="KFH43" s="63"/>
      <c r="KFI43" s="63"/>
      <c r="KFJ43" s="63"/>
      <c r="KFK43" s="63"/>
      <c r="KFL43" s="63"/>
      <c r="KFM43" s="63"/>
      <c r="KFN43" s="63"/>
      <c r="KFO43" s="63"/>
      <c r="KFP43" s="63"/>
      <c r="KFQ43" s="63"/>
      <c r="KFR43" s="63"/>
      <c r="KFS43" s="63"/>
      <c r="KFT43" s="63"/>
      <c r="KFU43" s="63"/>
      <c r="KFV43" s="63"/>
      <c r="KFW43" s="63"/>
      <c r="KFX43" s="63"/>
      <c r="KFY43" s="63"/>
      <c r="KFZ43" s="63"/>
      <c r="KGA43" s="63"/>
      <c r="KGB43" s="63"/>
      <c r="KGC43" s="63"/>
      <c r="KGD43" s="63"/>
      <c r="KGE43" s="63"/>
      <c r="KGF43" s="63"/>
      <c r="KGG43" s="63"/>
      <c r="KGH43" s="63"/>
      <c r="KGI43" s="63"/>
      <c r="KGJ43" s="63"/>
      <c r="KGK43" s="63"/>
      <c r="KGL43" s="63"/>
      <c r="KGM43" s="63"/>
      <c r="KGN43" s="63"/>
      <c r="KGO43" s="63"/>
      <c r="KGP43" s="63"/>
      <c r="KGQ43" s="63"/>
      <c r="KGR43" s="63"/>
      <c r="KGS43" s="63"/>
      <c r="KGT43" s="63"/>
      <c r="KGU43" s="63"/>
      <c r="KGV43" s="63"/>
      <c r="KGW43" s="63"/>
      <c r="KGX43" s="63"/>
      <c r="KGY43" s="63"/>
      <c r="KGZ43" s="63"/>
      <c r="KHA43" s="63"/>
      <c r="KHB43" s="63"/>
      <c r="KHC43" s="63"/>
      <c r="KHD43" s="63"/>
      <c r="KHE43" s="63"/>
      <c r="KHF43" s="63"/>
      <c r="KHG43" s="63"/>
      <c r="KHH43" s="63"/>
      <c r="KHI43" s="63"/>
      <c r="KHJ43" s="63"/>
      <c r="KHK43" s="63"/>
      <c r="KHL43" s="63"/>
      <c r="KHM43" s="63"/>
      <c r="KHN43" s="63"/>
      <c r="KHO43" s="63"/>
      <c r="KHP43" s="63"/>
      <c r="KHQ43" s="63"/>
      <c r="KHR43" s="63"/>
      <c r="KHS43" s="63"/>
      <c r="KHT43" s="63"/>
      <c r="KHU43" s="63"/>
      <c r="KHV43" s="63"/>
      <c r="KHW43" s="63"/>
      <c r="KHX43" s="63"/>
      <c r="KHY43" s="63"/>
      <c r="KHZ43" s="63"/>
      <c r="KIA43" s="63"/>
      <c r="KIB43" s="63"/>
      <c r="KIC43" s="63"/>
      <c r="KID43" s="63"/>
      <c r="KIE43" s="63"/>
      <c r="KIF43" s="63"/>
      <c r="KIG43" s="63"/>
      <c r="KIH43" s="63"/>
      <c r="KII43" s="63"/>
      <c r="KIJ43" s="63"/>
      <c r="KIK43" s="63"/>
      <c r="KIL43" s="63"/>
      <c r="KIM43" s="63"/>
      <c r="KIN43" s="63"/>
      <c r="KIO43" s="63"/>
      <c r="KIP43" s="63"/>
      <c r="KIQ43" s="63"/>
      <c r="KIR43" s="63"/>
      <c r="KIS43" s="63"/>
      <c r="KIT43" s="63"/>
      <c r="KIU43" s="63"/>
      <c r="KIV43" s="63"/>
      <c r="KIW43" s="63"/>
      <c r="KIX43" s="63"/>
      <c r="KIY43" s="63"/>
      <c r="KIZ43" s="63"/>
      <c r="KJA43" s="63"/>
      <c r="KJB43" s="63"/>
      <c r="KJC43" s="63"/>
      <c r="KJD43" s="63"/>
      <c r="KJE43" s="63"/>
      <c r="KJF43" s="63"/>
      <c r="KJG43" s="63"/>
      <c r="KJH43" s="63"/>
      <c r="KJI43" s="63"/>
      <c r="KJJ43" s="63"/>
      <c r="KJK43" s="63"/>
      <c r="KJL43" s="63"/>
      <c r="KJM43" s="63"/>
      <c r="KJN43" s="63"/>
      <c r="KJO43" s="63"/>
      <c r="KJP43" s="63"/>
      <c r="KJQ43" s="63"/>
      <c r="KJR43" s="63"/>
      <c r="KJS43" s="63"/>
      <c r="KJT43" s="63"/>
      <c r="KJU43" s="63"/>
      <c r="KJV43" s="63"/>
      <c r="KJW43" s="63"/>
      <c r="KJX43" s="63"/>
      <c r="KJY43" s="63"/>
      <c r="KJZ43" s="63"/>
      <c r="KKA43" s="63"/>
      <c r="KKB43" s="63"/>
      <c r="KKC43" s="63"/>
      <c r="KKD43" s="63"/>
      <c r="KKE43" s="63"/>
      <c r="KKF43" s="63"/>
      <c r="KKG43" s="63"/>
      <c r="KKH43" s="63"/>
      <c r="KKI43" s="63"/>
      <c r="KKJ43" s="63"/>
      <c r="KKK43" s="63"/>
      <c r="KKL43" s="63"/>
      <c r="KKM43" s="63"/>
      <c r="KKN43" s="63"/>
      <c r="KKO43" s="63"/>
      <c r="KKP43" s="63"/>
      <c r="KKQ43" s="63"/>
      <c r="KKR43" s="63"/>
      <c r="KKS43" s="63"/>
      <c r="KKT43" s="63"/>
      <c r="KKU43" s="63"/>
      <c r="KKV43" s="63"/>
      <c r="KKW43" s="63"/>
      <c r="KKX43" s="63"/>
      <c r="KKY43" s="63"/>
      <c r="KKZ43" s="63"/>
      <c r="KLA43" s="63"/>
      <c r="KLB43" s="63"/>
      <c r="KLC43" s="63"/>
      <c r="KLD43" s="63"/>
      <c r="KLE43" s="63"/>
      <c r="KLF43" s="63"/>
      <c r="KLG43" s="63"/>
      <c r="KLH43" s="63"/>
      <c r="KLI43" s="63"/>
      <c r="KLJ43" s="63"/>
      <c r="KLK43" s="63"/>
      <c r="KLL43" s="63"/>
      <c r="KLM43" s="63"/>
      <c r="KLN43" s="63"/>
      <c r="KLO43" s="63"/>
      <c r="KLP43" s="63"/>
      <c r="KLQ43" s="63"/>
      <c r="KLR43" s="63"/>
      <c r="KLS43" s="63"/>
      <c r="KLT43" s="63"/>
      <c r="KLU43" s="63"/>
      <c r="KLV43" s="63"/>
      <c r="KLW43" s="63"/>
      <c r="KLX43" s="63"/>
      <c r="KLY43" s="63"/>
      <c r="KLZ43" s="63"/>
      <c r="KMA43" s="63"/>
      <c r="KMB43" s="63"/>
      <c r="KMC43" s="63"/>
      <c r="KMD43" s="63"/>
      <c r="KME43" s="63"/>
      <c r="KMF43" s="63"/>
      <c r="KMG43" s="63"/>
      <c r="KMH43" s="63"/>
      <c r="KMI43" s="63"/>
      <c r="KMJ43" s="63"/>
      <c r="KMK43" s="63"/>
      <c r="KML43" s="63"/>
      <c r="KMM43" s="63"/>
      <c r="KMN43" s="63"/>
      <c r="KMO43" s="63"/>
      <c r="KMP43" s="63"/>
      <c r="KMQ43" s="63"/>
      <c r="KMR43" s="63"/>
      <c r="KMS43" s="63"/>
      <c r="KMT43" s="63"/>
      <c r="KMU43" s="63"/>
      <c r="KMV43" s="63"/>
      <c r="KMW43" s="63"/>
      <c r="KMX43" s="63"/>
      <c r="KMY43" s="63"/>
      <c r="KMZ43" s="63"/>
      <c r="KNA43" s="63"/>
      <c r="KNB43" s="63"/>
      <c r="KNC43" s="63"/>
      <c r="KND43" s="63"/>
      <c r="KNE43" s="63"/>
      <c r="KNF43" s="63"/>
      <c r="KNG43" s="63"/>
      <c r="KNH43" s="63"/>
      <c r="KNI43" s="63"/>
      <c r="KNJ43" s="63"/>
      <c r="KNK43" s="63"/>
      <c r="KNL43" s="63"/>
      <c r="KNM43" s="63"/>
      <c r="KNN43" s="63"/>
      <c r="KNO43" s="63"/>
      <c r="KNP43" s="63"/>
      <c r="KNQ43" s="63"/>
      <c r="KNR43" s="63"/>
      <c r="KNS43" s="63"/>
      <c r="KNT43" s="63"/>
      <c r="KNU43" s="63"/>
      <c r="KNV43" s="63"/>
      <c r="KNW43" s="63"/>
      <c r="KNX43" s="63"/>
      <c r="KNY43" s="63"/>
      <c r="KNZ43" s="63"/>
      <c r="KOA43" s="63"/>
      <c r="KOB43" s="63"/>
      <c r="KOC43" s="63"/>
      <c r="KOD43" s="63"/>
      <c r="KOE43" s="63"/>
      <c r="KOF43" s="63"/>
      <c r="KOG43" s="63"/>
      <c r="KOH43" s="63"/>
      <c r="KOI43" s="63"/>
      <c r="KOJ43" s="63"/>
      <c r="KOK43" s="63"/>
      <c r="KOL43" s="63"/>
      <c r="KOM43" s="63"/>
      <c r="KON43" s="63"/>
      <c r="KOO43" s="63"/>
      <c r="KOP43" s="63"/>
      <c r="KOQ43" s="63"/>
      <c r="KOR43" s="63"/>
      <c r="KOS43" s="63"/>
      <c r="KOT43" s="63"/>
      <c r="KOU43" s="63"/>
      <c r="KOV43" s="63"/>
      <c r="KOW43" s="63"/>
      <c r="KOX43" s="63"/>
      <c r="KOY43" s="63"/>
      <c r="KOZ43" s="63"/>
      <c r="KPA43" s="63"/>
      <c r="KPB43" s="63"/>
      <c r="KPC43" s="63"/>
      <c r="KPD43" s="63"/>
      <c r="KPE43" s="63"/>
      <c r="KPF43" s="63"/>
      <c r="KPG43" s="63"/>
      <c r="KPH43" s="63"/>
      <c r="KPI43" s="63"/>
      <c r="KPJ43" s="63"/>
      <c r="KPK43" s="63"/>
      <c r="KPL43" s="63"/>
      <c r="KPM43" s="63"/>
      <c r="KPN43" s="63"/>
      <c r="KPO43" s="63"/>
      <c r="KPP43" s="63"/>
      <c r="KPQ43" s="63"/>
      <c r="KPR43" s="63"/>
      <c r="KPS43" s="63"/>
      <c r="KPT43" s="63"/>
      <c r="KPU43" s="63"/>
      <c r="KPV43" s="63"/>
      <c r="KPW43" s="63"/>
      <c r="KPX43" s="63"/>
      <c r="KPY43" s="63"/>
      <c r="KPZ43" s="63"/>
      <c r="KQA43" s="63"/>
      <c r="KQB43" s="63"/>
      <c r="KQC43" s="63"/>
      <c r="KQD43" s="63"/>
      <c r="KQE43" s="63"/>
      <c r="KQF43" s="63"/>
      <c r="KQG43" s="63"/>
      <c r="KQH43" s="63"/>
      <c r="KQI43" s="63"/>
      <c r="KQJ43" s="63"/>
      <c r="KQK43" s="63"/>
      <c r="KQL43" s="63"/>
      <c r="KQM43" s="63"/>
      <c r="KQN43" s="63"/>
      <c r="KQO43" s="63"/>
      <c r="KQP43" s="63"/>
      <c r="KQQ43" s="63"/>
      <c r="KQR43" s="63"/>
      <c r="KQS43" s="63"/>
      <c r="KQT43" s="63"/>
      <c r="KQU43" s="63"/>
      <c r="KQV43" s="63"/>
      <c r="KQW43" s="63"/>
      <c r="KQX43" s="63"/>
      <c r="KQY43" s="63"/>
      <c r="KQZ43" s="63"/>
      <c r="KRA43" s="63"/>
      <c r="KRB43" s="63"/>
      <c r="KRC43" s="63"/>
      <c r="KRD43" s="63"/>
      <c r="KRE43" s="63"/>
      <c r="KRF43" s="63"/>
      <c r="KRG43" s="63"/>
      <c r="KRH43" s="63"/>
      <c r="KRI43" s="63"/>
      <c r="KRJ43" s="63"/>
      <c r="KRK43" s="63"/>
      <c r="KRL43" s="63"/>
      <c r="KRM43" s="63"/>
      <c r="KRN43" s="63"/>
      <c r="KRO43" s="63"/>
      <c r="KRP43" s="63"/>
      <c r="KRQ43" s="63"/>
      <c r="KRR43" s="63"/>
      <c r="KRS43" s="63"/>
      <c r="KRT43" s="63"/>
      <c r="KRU43" s="63"/>
      <c r="KRV43" s="63"/>
      <c r="KRW43" s="63"/>
      <c r="KRX43" s="63"/>
      <c r="KRY43" s="63"/>
      <c r="KRZ43" s="63"/>
      <c r="KSA43" s="63"/>
      <c r="KSB43" s="63"/>
      <c r="KSC43" s="63"/>
      <c r="KSD43" s="63"/>
      <c r="KSE43" s="63"/>
      <c r="KSF43" s="63"/>
      <c r="KSG43" s="63"/>
      <c r="KSH43" s="63"/>
      <c r="KSI43" s="63"/>
      <c r="KSJ43" s="63"/>
      <c r="KSK43" s="63"/>
      <c r="KSL43" s="63"/>
      <c r="KSM43" s="63"/>
      <c r="KSN43" s="63"/>
      <c r="KSO43" s="63"/>
      <c r="KSP43" s="63"/>
      <c r="KSQ43" s="63"/>
      <c r="KSR43" s="63"/>
      <c r="KSS43" s="63"/>
      <c r="KST43" s="63"/>
      <c r="KSU43" s="63"/>
      <c r="KSV43" s="63"/>
      <c r="KSW43" s="63"/>
      <c r="KSX43" s="63"/>
      <c r="KSY43" s="63"/>
      <c r="KSZ43" s="63"/>
      <c r="KTA43" s="63"/>
      <c r="KTB43" s="63"/>
      <c r="KTC43" s="63"/>
      <c r="KTD43" s="63"/>
      <c r="KTE43" s="63"/>
      <c r="KTF43" s="63"/>
      <c r="KTG43" s="63"/>
      <c r="KTH43" s="63"/>
      <c r="KTI43" s="63"/>
      <c r="KTJ43" s="63"/>
      <c r="KTK43" s="63"/>
      <c r="KTL43" s="63"/>
      <c r="KTM43" s="63"/>
      <c r="KTN43" s="63"/>
      <c r="KTO43" s="63"/>
      <c r="KTP43" s="63"/>
      <c r="KTQ43" s="63"/>
      <c r="KTR43" s="63"/>
      <c r="KTS43" s="63"/>
      <c r="KTT43" s="63"/>
      <c r="KTU43" s="63"/>
      <c r="KTV43" s="63"/>
      <c r="KTW43" s="63"/>
      <c r="KTX43" s="63"/>
      <c r="KTY43" s="63"/>
      <c r="KTZ43" s="63"/>
      <c r="KUA43" s="63"/>
      <c r="KUB43" s="63"/>
      <c r="KUC43" s="63"/>
      <c r="KUD43" s="63"/>
      <c r="KUE43" s="63"/>
      <c r="KUF43" s="63"/>
      <c r="KUG43" s="63"/>
      <c r="KUH43" s="63"/>
      <c r="KUI43" s="63"/>
      <c r="KUJ43" s="63"/>
      <c r="KUK43" s="63"/>
      <c r="KUL43" s="63"/>
      <c r="KUM43" s="63"/>
      <c r="KUN43" s="63"/>
      <c r="KUO43" s="63"/>
      <c r="KUP43" s="63"/>
      <c r="KUQ43" s="63"/>
      <c r="KUR43" s="63"/>
      <c r="KUS43" s="63"/>
      <c r="KUT43" s="63"/>
      <c r="KUU43" s="63"/>
      <c r="KUV43" s="63"/>
      <c r="KUW43" s="63"/>
      <c r="KUX43" s="63"/>
      <c r="KUY43" s="63"/>
      <c r="KUZ43" s="63"/>
      <c r="KVA43" s="63"/>
      <c r="KVB43" s="63"/>
      <c r="KVC43" s="63"/>
      <c r="KVD43" s="63"/>
      <c r="KVE43" s="63"/>
      <c r="KVF43" s="63"/>
      <c r="KVG43" s="63"/>
      <c r="KVH43" s="63"/>
      <c r="KVI43" s="63"/>
      <c r="KVJ43" s="63"/>
      <c r="KVK43" s="63"/>
      <c r="KVL43" s="63"/>
      <c r="KVM43" s="63"/>
      <c r="KVN43" s="63"/>
      <c r="KVO43" s="63"/>
      <c r="KVP43" s="63"/>
      <c r="KVQ43" s="63"/>
      <c r="KVR43" s="63"/>
      <c r="KVS43" s="63"/>
      <c r="KVT43" s="63"/>
      <c r="KVU43" s="63"/>
      <c r="KVV43" s="63"/>
      <c r="KVW43" s="63"/>
      <c r="KVX43" s="63"/>
      <c r="KVY43" s="63"/>
      <c r="KVZ43" s="63"/>
      <c r="KWA43" s="63"/>
      <c r="KWB43" s="63"/>
      <c r="KWC43" s="63"/>
      <c r="KWD43" s="63"/>
      <c r="KWE43" s="63"/>
      <c r="KWF43" s="63"/>
      <c r="KWG43" s="63"/>
      <c r="KWH43" s="63"/>
      <c r="KWI43" s="63"/>
      <c r="KWJ43" s="63"/>
      <c r="KWK43" s="63"/>
      <c r="KWL43" s="63"/>
      <c r="KWM43" s="63"/>
      <c r="KWN43" s="63"/>
      <c r="KWO43" s="63"/>
      <c r="KWP43" s="63"/>
      <c r="KWQ43" s="63"/>
      <c r="KWR43" s="63"/>
      <c r="KWS43" s="63"/>
      <c r="KWT43" s="63"/>
      <c r="KWU43" s="63"/>
      <c r="KWV43" s="63"/>
      <c r="KWW43" s="63"/>
      <c r="KWX43" s="63"/>
      <c r="KWY43" s="63"/>
      <c r="KWZ43" s="63"/>
      <c r="KXA43" s="63"/>
      <c r="KXB43" s="63"/>
      <c r="KXC43" s="63"/>
      <c r="KXD43" s="63"/>
      <c r="KXE43" s="63"/>
      <c r="KXF43" s="63"/>
      <c r="KXG43" s="63"/>
      <c r="KXH43" s="63"/>
      <c r="KXI43" s="63"/>
      <c r="KXJ43" s="63"/>
      <c r="KXK43" s="63"/>
      <c r="KXL43" s="63"/>
      <c r="KXM43" s="63"/>
      <c r="KXN43" s="63"/>
      <c r="KXO43" s="63"/>
      <c r="KXP43" s="63"/>
      <c r="KXQ43" s="63"/>
      <c r="KXR43" s="63"/>
      <c r="KXS43" s="63"/>
      <c r="KXT43" s="63"/>
      <c r="KXU43" s="63"/>
      <c r="KXV43" s="63"/>
      <c r="KXW43" s="63"/>
      <c r="KXX43" s="63"/>
      <c r="KXY43" s="63"/>
      <c r="KXZ43" s="63"/>
      <c r="KYA43" s="63"/>
      <c r="KYB43" s="63"/>
      <c r="KYC43" s="63"/>
      <c r="KYD43" s="63"/>
      <c r="KYE43" s="63"/>
      <c r="KYF43" s="63"/>
      <c r="KYG43" s="63"/>
      <c r="KYH43" s="63"/>
      <c r="KYI43" s="63"/>
      <c r="KYJ43" s="63"/>
      <c r="KYK43" s="63"/>
      <c r="KYL43" s="63"/>
      <c r="KYM43" s="63"/>
      <c r="KYN43" s="63"/>
      <c r="KYO43" s="63"/>
      <c r="KYP43" s="63"/>
      <c r="KYQ43" s="63"/>
      <c r="KYR43" s="63"/>
      <c r="KYS43" s="63"/>
      <c r="KYT43" s="63"/>
      <c r="KYU43" s="63"/>
      <c r="KYV43" s="63"/>
      <c r="KYW43" s="63"/>
      <c r="KYX43" s="63"/>
      <c r="KYY43" s="63"/>
      <c r="KYZ43" s="63"/>
      <c r="KZA43" s="63"/>
      <c r="KZB43" s="63"/>
      <c r="KZC43" s="63"/>
      <c r="KZD43" s="63"/>
      <c r="KZE43" s="63"/>
      <c r="KZF43" s="63"/>
      <c r="KZG43" s="63"/>
      <c r="KZH43" s="63"/>
      <c r="KZI43" s="63"/>
      <c r="KZJ43" s="63"/>
      <c r="KZK43" s="63"/>
      <c r="KZL43" s="63"/>
      <c r="KZM43" s="63"/>
      <c r="KZN43" s="63"/>
      <c r="KZO43" s="63"/>
      <c r="KZP43" s="63"/>
      <c r="KZQ43" s="63"/>
      <c r="KZR43" s="63"/>
      <c r="KZS43" s="63"/>
      <c r="KZT43" s="63"/>
      <c r="KZU43" s="63"/>
      <c r="KZV43" s="63"/>
      <c r="KZW43" s="63"/>
      <c r="KZX43" s="63"/>
      <c r="KZY43" s="63"/>
      <c r="KZZ43" s="63"/>
      <c r="LAA43" s="63"/>
      <c r="LAB43" s="63"/>
      <c r="LAC43" s="63"/>
      <c r="LAD43" s="63"/>
      <c r="LAE43" s="63"/>
      <c r="LAF43" s="63"/>
      <c r="LAG43" s="63"/>
      <c r="LAH43" s="63"/>
      <c r="LAI43" s="63"/>
      <c r="LAJ43" s="63"/>
      <c r="LAK43" s="63"/>
      <c r="LAL43" s="63"/>
      <c r="LAM43" s="63"/>
      <c r="LAN43" s="63"/>
      <c r="LAO43" s="63"/>
      <c r="LAP43" s="63"/>
      <c r="LAQ43" s="63"/>
      <c r="LAR43" s="63"/>
      <c r="LAS43" s="63"/>
      <c r="LAT43" s="63"/>
      <c r="LAU43" s="63"/>
      <c r="LAV43" s="63"/>
      <c r="LAW43" s="63"/>
      <c r="LAX43" s="63"/>
      <c r="LAY43" s="63"/>
      <c r="LAZ43" s="63"/>
      <c r="LBA43" s="63"/>
      <c r="LBB43" s="63"/>
      <c r="LBC43" s="63"/>
      <c r="LBD43" s="63"/>
      <c r="LBE43" s="63"/>
      <c r="LBF43" s="63"/>
      <c r="LBG43" s="63"/>
      <c r="LBH43" s="63"/>
      <c r="LBI43" s="63"/>
      <c r="LBJ43" s="63"/>
      <c r="LBK43" s="63"/>
      <c r="LBL43" s="63"/>
      <c r="LBM43" s="63"/>
      <c r="LBN43" s="63"/>
      <c r="LBO43" s="63"/>
      <c r="LBP43" s="63"/>
      <c r="LBQ43" s="63"/>
      <c r="LBR43" s="63"/>
      <c r="LBS43" s="63"/>
      <c r="LBT43" s="63"/>
      <c r="LBU43" s="63"/>
      <c r="LBV43" s="63"/>
      <c r="LBW43" s="63"/>
      <c r="LBX43" s="63"/>
      <c r="LBY43" s="63"/>
      <c r="LBZ43" s="63"/>
      <c r="LCA43" s="63"/>
      <c r="LCB43" s="63"/>
      <c r="LCC43" s="63"/>
      <c r="LCD43" s="63"/>
      <c r="LCE43" s="63"/>
      <c r="LCF43" s="63"/>
      <c r="LCG43" s="63"/>
      <c r="LCH43" s="63"/>
      <c r="LCI43" s="63"/>
      <c r="LCJ43" s="63"/>
      <c r="LCK43" s="63"/>
      <c r="LCL43" s="63"/>
      <c r="LCM43" s="63"/>
      <c r="LCN43" s="63"/>
      <c r="LCO43" s="63"/>
      <c r="LCP43" s="63"/>
      <c r="LCQ43" s="63"/>
      <c r="LCR43" s="63"/>
      <c r="LCS43" s="63"/>
      <c r="LCT43" s="63"/>
      <c r="LCU43" s="63"/>
      <c r="LCV43" s="63"/>
      <c r="LCW43" s="63"/>
      <c r="LCX43" s="63"/>
      <c r="LCY43" s="63"/>
      <c r="LCZ43" s="63"/>
      <c r="LDA43" s="63"/>
      <c r="LDB43" s="63"/>
      <c r="LDC43" s="63"/>
      <c r="LDD43" s="63"/>
      <c r="LDE43" s="63"/>
      <c r="LDF43" s="63"/>
      <c r="LDG43" s="63"/>
      <c r="LDH43" s="63"/>
      <c r="LDI43" s="63"/>
      <c r="LDJ43" s="63"/>
      <c r="LDK43" s="63"/>
      <c r="LDL43" s="63"/>
      <c r="LDM43" s="63"/>
      <c r="LDN43" s="63"/>
      <c r="LDO43" s="63"/>
      <c r="LDP43" s="63"/>
      <c r="LDQ43" s="63"/>
      <c r="LDR43" s="63"/>
      <c r="LDS43" s="63"/>
      <c r="LDT43" s="63"/>
      <c r="LDU43" s="63"/>
      <c r="LDV43" s="63"/>
      <c r="LDW43" s="63"/>
      <c r="LDX43" s="63"/>
      <c r="LDY43" s="63"/>
      <c r="LDZ43" s="63"/>
      <c r="LEA43" s="63"/>
      <c r="LEB43" s="63"/>
      <c r="LEC43" s="63"/>
      <c r="LED43" s="63"/>
      <c r="LEE43" s="63"/>
      <c r="LEF43" s="63"/>
      <c r="LEG43" s="63"/>
      <c r="LEH43" s="63"/>
      <c r="LEI43" s="63"/>
      <c r="LEJ43" s="63"/>
      <c r="LEK43" s="63"/>
      <c r="LEL43" s="63"/>
      <c r="LEM43" s="63"/>
      <c r="LEN43" s="63"/>
      <c r="LEO43" s="63"/>
      <c r="LEP43" s="63"/>
      <c r="LEQ43" s="63"/>
      <c r="LER43" s="63"/>
      <c r="LES43" s="63"/>
      <c r="LET43" s="63"/>
      <c r="LEU43" s="63"/>
      <c r="LEV43" s="63"/>
      <c r="LEW43" s="63"/>
      <c r="LEX43" s="63"/>
      <c r="LEY43" s="63"/>
      <c r="LEZ43" s="63"/>
      <c r="LFA43" s="63"/>
      <c r="LFB43" s="63"/>
      <c r="LFC43" s="63"/>
      <c r="LFD43" s="63"/>
      <c r="LFE43" s="63"/>
      <c r="LFF43" s="63"/>
      <c r="LFG43" s="63"/>
      <c r="LFH43" s="63"/>
      <c r="LFI43" s="63"/>
      <c r="LFJ43" s="63"/>
      <c r="LFK43" s="63"/>
      <c r="LFL43" s="63"/>
      <c r="LFM43" s="63"/>
      <c r="LFN43" s="63"/>
      <c r="LFO43" s="63"/>
      <c r="LFP43" s="63"/>
      <c r="LFQ43" s="63"/>
      <c r="LFR43" s="63"/>
      <c r="LFS43" s="63"/>
      <c r="LFT43" s="63"/>
      <c r="LFU43" s="63"/>
      <c r="LFV43" s="63"/>
      <c r="LFW43" s="63"/>
      <c r="LFX43" s="63"/>
      <c r="LFY43" s="63"/>
      <c r="LFZ43" s="63"/>
      <c r="LGA43" s="63"/>
      <c r="LGB43" s="63"/>
      <c r="LGC43" s="63"/>
      <c r="LGD43" s="63"/>
      <c r="LGE43" s="63"/>
      <c r="LGF43" s="63"/>
      <c r="LGG43" s="63"/>
      <c r="LGH43" s="63"/>
      <c r="LGI43" s="63"/>
      <c r="LGJ43" s="63"/>
      <c r="LGK43" s="63"/>
      <c r="LGL43" s="63"/>
      <c r="LGM43" s="63"/>
      <c r="LGN43" s="63"/>
      <c r="LGO43" s="63"/>
      <c r="LGP43" s="63"/>
      <c r="LGQ43" s="63"/>
      <c r="LGR43" s="63"/>
      <c r="LGS43" s="63"/>
      <c r="LGT43" s="63"/>
      <c r="LGU43" s="63"/>
      <c r="LGV43" s="63"/>
      <c r="LGW43" s="63"/>
      <c r="LGX43" s="63"/>
      <c r="LGY43" s="63"/>
      <c r="LGZ43" s="63"/>
      <c r="LHA43" s="63"/>
      <c r="LHB43" s="63"/>
      <c r="LHC43" s="63"/>
      <c r="LHD43" s="63"/>
      <c r="LHE43" s="63"/>
      <c r="LHF43" s="63"/>
      <c r="LHG43" s="63"/>
      <c r="LHH43" s="63"/>
      <c r="LHI43" s="63"/>
      <c r="LHJ43" s="63"/>
      <c r="LHK43" s="63"/>
      <c r="LHL43" s="63"/>
      <c r="LHM43" s="63"/>
      <c r="LHN43" s="63"/>
      <c r="LHO43" s="63"/>
      <c r="LHP43" s="63"/>
      <c r="LHQ43" s="63"/>
      <c r="LHR43" s="63"/>
      <c r="LHS43" s="63"/>
      <c r="LHT43" s="63"/>
      <c r="LHU43" s="63"/>
      <c r="LHV43" s="63"/>
      <c r="LHW43" s="63"/>
      <c r="LHX43" s="63"/>
      <c r="LHY43" s="63"/>
      <c r="LHZ43" s="63"/>
      <c r="LIA43" s="63"/>
      <c r="LIB43" s="63"/>
      <c r="LIC43" s="63"/>
      <c r="LID43" s="63"/>
      <c r="LIE43" s="63"/>
      <c r="LIF43" s="63"/>
      <c r="LIG43" s="63"/>
      <c r="LIH43" s="63"/>
      <c r="LII43" s="63"/>
      <c r="LIJ43" s="63"/>
      <c r="LIK43" s="63"/>
      <c r="LIL43" s="63"/>
      <c r="LIM43" s="63"/>
      <c r="LIN43" s="63"/>
      <c r="LIO43" s="63"/>
      <c r="LIP43" s="63"/>
      <c r="LIQ43" s="63"/>
      <c r="LIR43" s="63"/>
      <c r="LIS43" s="63"/>
      <c r="LIT43" s="63"/>
      <c r="LIU43" s="63"/>
      <c r="LIV43" s="63"/>
      <c r="LIW43" s="63"/>
      <c r="LIX43" s="63"/>
      <c r="LIY43" s="63"/>
      <c r="LIZ43" s="63"/>
      <c r="LJA43" s="63"/>
      <c r="LJB43" s="63"/>
      <c r="LJC43" s="63"/>
      <c r="LJD43" s="63"/>
      <c r="LJE43" s="63"/>
      <c r="LJF43" s="63"/>
      <c r="LJG43" s="63"/>
      <c r="LJH43" s="63"/>
      <c r="LJI43" s="63"/>
      <c r="LJJ43" s="63"/>
      <c r="LJK43" s="63"/>
      <c r="LJL43" s="63"/>
      <c r="LJM43" s="63"/>
      <c r="LJN43" s="63"/>
      <c r="LJO43" s="63"/>
      <c r="LJP43" s="63"/>
      <c r="LJQ43" s="63"/>
      <c r="LJR43" s="63"/>
      <c r="LJS43" s="63"/>
      <c r="LJT43" s="63"/>
      <c r="LJU43" s="63"/>
      <c r="LJV43" s="63"/>
      <c r="LJW43" s="63"/>
      <c r="LJX43" s="63"/>
      <c r="LJY43" s="63"/>
      <c r="LJZ43" s="63"/>
      <c r="LKA43" s="63"/>
      <c r="LKB43" s="63"/>
      <c r="LKC43" s="63"/>
      <c r="LKD43" s="63"/>
      <c r="LKE43" s="63"/>
      <c r="LKF43" s="63"/>
      <c r="LKG43" s="63"/>
      <c r="LKH43" s="63"/>
      <c r="LKI43" s="63"/>
      <c r="LKJ43" s="63"/>
      <c r="LKK43" s="63"/>
      <c r="LKL43" s="63"/>
      <c r="LKM43" s="63"/>
      <c r="LKN43" s="63"/>
      <c r="LKO43" s="63"/>
      <c r="LKP43" s="63"/>
      <c r="LKQ43" s="63"/>
      <c r="LKR43" s="63"/>
      <c r="LKS43" s="63"/>
      <c r="LKT43" s="63"/>
      <c r="LKU43" s="63"/>
      <c r="LKV43" s="63"/>
      <c r="LKW43" s="63"/>
      <c r="LKX43" s="63"/>
      <c r="LKY43" s="63"/>
      <c r="LKZ43" s="63"/>
      <c r="LLA43" s="63"/>
      <c r="LLB43" s="63"/>
      <c r="LLC43" s="63"/>
      <c r="LLD43" s="63"/>
      <c r="LLE43" s="63"/>
      <c r="LLF43" s="63"/>
      <c r="LLG43" s="63"/>
      <c r="LLH43" s="63"/>
      <c r="LLI43" s="63"/>
      <c r="LLJ43" s="63"/>
      <c r="LLK43" s="63"/>
      <c r="LLL43" s="63"/>
      <c r="LLM43" s="63"/>
      <c r="LLN43" s="63"/>
      <c r="LLO43" s="63"/>
      <c r="LLP43" s="63"/>
      <c r="LLQ43" s="63"/>
      <c r="LLR43" s="63"/>
      <c r="LLS43" s="63"/>
      <c r="LLT43" s="63"/>
      <c r="LLU43" s="63"/>
      <c r="LLV43" s="63"/>
      <c r="LLW43" s="63"/>
      <c r="LLX43" s="63"/>
      <c r="LLY43" s="63"/>
      <c r="LLZ43" s="63"/>
      <c r="LMA43" s="63"/>
      <c r="LMB43" s="63"/>
      <c r="LMC43" s="63"/>
      <c r="LMD43" s="63"/>
      <c r="LME43" s="63"/>
      <c r="LMF43" s="63"/>
      <c r="LMG43" s="63"/>
      <c r="LMH43" s="63"/>
      <c r="LMI43" s="63"/>
      <c r="LMJ43" s="63"/>
      <c r="LMK43" s="63"/>
      <c r="LML43" s="63"/>
      <c r="LMM43" s="63"/>
      <c r="LMN43" s="63"/>
      <c r="LMO43" s="63"/>
      <c r="LMP43" s="63"/>
      <c r="LMQ43" s="63"/>
      <c r="LMR43" s="63"/>
      <c r="LMS43" s="63"/>
      <c r="LMT43" s="63"/>
      <c r="LMU43" s="63"/>
      <c r="LMV43" s="63"/>
      <c r="LMW43" s="63"/>
      <c r="LMX43" s="63"/>
      <c r="LMY43" s="63"/>
      <c r="LMZ43" s="63"/>
      <c r="LNA43" s="63"/>
      <c r="LNB43" s="63"/>
      <c r="LNC43" s="63"/>
      <c r="LND43" s="63"/>
      <c r="LNE43" s="63"/>
      <c r="LNF43" s="63"/>
      <c r="LNG43" s="63"/>
      <c r="LNH43" s="63"/>
      <c r="LNI43" s="63"/>
      <c r="LNJ43" s="63"/>
      <c r="LNK43" s="63"/>
      <c r="LNL43" s="63"/>
      <c r="LNM43" s="63"/>
      <c r="LNN43" s="63"/>
      <c r="LNO43" s="63"/>
      <c r="LNP43" s="63"/>
      <c r="LNQ43" s="63"/>
      <c r="LNR43" s="63"/>
      <c r="LNS43" s="63"/>
      <c r="LNT43" s="63"/>
      <c r="LNU43" s="63"/>
      <c r="LNV43" s="63"/>
      <c r="LNW43" s="63"/>
      <c r="LNX43" s="63"/>
      <c r="LNY43" s="63"/>
      <c r="LNZ43" s="63"/>
      <c r="LOA43" s="63"/>
      <c r="LOB43" s="63"/>
      <c r="LOC43" s="63"/>
      <c r="LOD43" s="63"/>
      <c r="LOE43" s="63"/>
      <c r="LOF43" s="63"/>
      <c r="LOG43" s="63"/>
      <c r="LOH43" s="63"/>
      <c r="LOI43" s="63"/>
      <c r="LOJ43" s="63"/>
      <c r="LOK43" s="63"/>
      <c r="LOL43" s="63"/>
      <c r="LOM43" s="63"/>
      <c r="LON43" s="63"/>
      <c r="LOO43" s="63"/>
      <c r="LOP43" s="63"/>
      <c r="LOQ43" s="63"/>
      <c r="LOR43" s="63"/>
      <c r="LOS43" s="63"/>
      <c r="LOT43" s="63"/>
      <c r="LOU43" s="63"/>
      <c r="LOV43" s="63"/>
      <c r="LOW43" s="63"/>
      <c r="LOX43" s="63"/>
      <c r="LOY43" s="63"/>
      <c r="LOZ43" s="63"/>
      <c r="LPA43" s="63"/>
      <c r="LPB43" s="63"/>
      <c r="LPC43" s="63"/>
      <c r="LPD43" s="63"/>
      <c r="LPE43" s="63"/>
      <c r="LPF43" s="63"/>
      <c r="LPG43" s="63"/>
      <c r="LPH43" s="63"/>
      <c r="LPI43" s="63"/>
      <c r="LPJ43" s="63"/>
      <c r="LPK43" s="63"/>
      <c r="LPL43" s="63"/>
      <c r="LPM43" s="63"/>
      <c r="LPN43" s="63"/>
      <c r="LPO43" s="63"/>
      <c r="LPP43" s="63"/>
      <c r="LPQ43" s="63"/>
      <c r="LPR43" s="63"/>
      <c r="LPS43" s="63"/>
      <c r="LPT43" s="63"/>
      <c r="LPU43" s="63"/>
      <c r="LPV43" s="63"/>
      <c r="LPW43" s="63"/>
      <c r="LPX43" s="63"/>
      <c r="LPY43" s="63"/>
      <c r="LPZ43" s="63"/>
      <c r="LQA43" s="63"/>
      <c r="LQB43" s="63"/>
      <c r="LQC43" s="63"/>
      <c r="LQD43" s="63"/>
      <c r="LQE43" s="63"/>
      <c r="LQF43" s="63"/>
      <c r="LQG43" s="63"/>
      <c r="LQH43" s="63"/>
      <c r="LQI43" s="63"/>
      <c r="LQJ43" s="63"/>
      <c r="LQK43" s="63"/>
      <c r="LQL43" s="63"/>
      <c r="LQM43" s="63"/>
      <c r="LQN43" s="63"/>
      <c r="LQO43" s="63"/>
      <c r="LQP43" s="63"/>
      <c r="LQQ43" s="63"/>
      <c r="LQR43" s="63"/>
      <c r="LQS43" s="63"/>
      <c r="LQT43" s="63"/>
      <c r="LQU43" s="63"/>
      <c r="LQV43" s="63"/>
      <c r="LQW43" s="63"/>
      <c r="LQX43" s="63"/>
      <c r="LQY43" s="63"/>
      <c r="LQZ43" s="63"/>
      <c r="LRA43" s="63"/>
      <c r="LRB43" s="63"/>
      <c r="LRC43" s="63"/>
      <c r="LRD43" s="63"/>
      <c r="LRE43" s="63"/>
      <c r="LRF43" s="63"/>
      <c r="LRG43" s="63"/>
      <c r="LRH43" s="63"/>
      <c r="LRI43" s="63"/>
      <c r="LRJ43" s="63"/>
      <c r="LRK43" s="63"/>
      <c r="LRL43" s="63"/>
      <c r="LRM43" s="63"/>
      <c r="LRN43" s="63"/>
      <c r="LRO43" s="63"/>
      <c r="LRP43" s="63"/>
      <c r="LRQ43" s="63"/>
      <c r="LRR43" s="63"/>
      <c r="LRS43" s="63"/>
      <c r="LRT43" s="63"/>
      <c r="LRU43" s="63"/>
      <c r="LRV43" s="63"/>
      <c r="LRW43" s="63"/>
      <c r="LRX43" s="63"/>
      <c r="LRY43" s="63"/>
      <c r="LRZ43" s="63"/>
      <c r="LSA43" s="63"/>
      <c r="LSB43" s="63"/>
      <c r="LSC43" s="63"/>
      <c r="LSD43" s="63"/>
      <c r="LSE43" s="63"/>
      <c r="LSF43" s="63"/>
      <c r="LSG43" s="63"/>
      <c r="LSH43" s="63"/>
      <c r="LSI43" s="63"/>
      <c r="LSJ43" s="63"/>
      <c r="LSK43" s="63"/>
      <c r="LSL43" s="63"/>
      <c r="LSM43" s="63"/>
      <c r="LSN43" s="63"/>
      <c r="LSO43" s="63"/>
      <c r="LSP43" s="63"/>
      <c r="LSQ43" s="63"/>
      <c r="LSR43" s="63"/>
      <c r="LSS43" s="63"/>
      <c r="LST43" s="63"/>
      <c r="LSU43" s="63"/>
      <c r="LSV43" s="63"/>
      <c r="LSW43" s="63"/>
      <c r="LSX43" s="63"/>
      <c r="LSY43" s="63"/>
      <c r="LSZ43" s="63"/>
      <c r="LTA43" s="63"/>
      <c r="LTB43" s="63"/>
      <c r="LTC43" s="63"/>
      <c r="LTD43" s="63"/>
      <c r="LTE43" s="63"/>
      <c r="LTF43" s="63"/>
      <c r="LTG43" s="63"/>
      <c r="LTH43" s="63"/>
      <c r="LTI43" s="63"/>
      <c r="LTJ43" s="63"/>
      <c r="LTK43" s="63"/>
      <c r="LTL43" s="63"/>
      <c r="LTM43" s="63"/>
      <c r="LTN43" s="63"/>
      <c r="LTO43" s="63"/>
      <c r="LTP43" s="63"/>
      <c r="LTQ43" s="63"/>
      <c r="LTR43" s="63"/>
      <c r="LTS43" s="63"/>
      <c r="LTT43" s="63"/>
      <c r="LTU43" s="63"/>
      <c r="LTV43" s="63"/>
      <c r="LTW43" s="63"/>
      <c r="LTX43" s="63"/>
      <c r="LTY43" s="63"/>
      <c r="LTZ43" s="63"/>
      <c r="LUA43" s="63"/>
      <c r="LUB43" s="63"/>
      <c r="LUC43" s="63"/>
      <c r="LUD43" s="63"/>
      <c r="LUE43" s="63"/>
      <c r="LUF43" s="63"/>
      <c r="LUG43" s="63"/>
      <c r="LUH43" s="63"/>
      <c r="LUI43" s="63"/>
      <c r="LUJ43" s="63"/>
      <c r="LUK43" s="63"/>
      <c r="LUL43" s="63"/>
      <c r="LUM43" s="63"/>
      <c r="LUN43" s="63"/>
      <c r="LUO43" s="63"/>
      <c r="LUP43" s="63"/>
      <c r="LUQ43" s="63"/>
      <c r="LUR43" s="63"/>
      <c r="LUS43" s="63"/>
      <c r="LUT43" s="63"/>
      <c r="LUU43" s="63"/>
      <c r="LUV43" s="63"/>
      <c r="LUW43" s="63"/>
      <c r="LUX43" s="63"/>
      <c r="LUY43" s="63"/>
      <c r="LUZ43" s="63"/>
      <c r="LVA43" s="63"/>
      <c r="LVB43" s="63"/>
      <c r="LVC43" s="63"/>
      <c r="LVD43" s="63"/>
      <c r="LVE43" s="63"/>
      <c r="LVF43" s="63"/>
      <c r="LVG43" s="63"/>
      <c r="LVH43" s="63"/>
      <c r="LVI43" s="63"/>
      <c r="LVJ43" s="63"/>
      <c r="LVK43" s="63"/>
      <c r="LVL43" s="63"/>
      <c r="LVM43" s="63"/>
      <c r="LVN43" s="63"/>
      <c r="LVO43" s="63"/>
      <c r="LVP43" s="63"/>
      <c r="LVQ43" s="63"/>
      <c r="LVR43" s="63"/>
      <c r="LVS43" s="63"/>
      <c r="LVT43" s="63"/>
      <c r="LVU43" s="63"/>
      <c r="LVV43" s="63"/>
      <c r="LVW43" s="63"/>
      <c r="LVX43" s="63"/>
      <c r="LVY43" s="63"/>
      <c r="LVZ43" s="63"/>
      <c r="LWA43" s="63"/>
      <c r="LWB43" s="63"/>
      <c r="LWC43" s="63"/>
      <c r="LWD43" s="63"/>
      <c r="LWE43" s="63"/>
      <c r="LWF43" s="63"/>
      <c r="LWG43" s="63"/>
      <c r="LWH43" s="63"/>
      <c r="LWI43" s="63"/>
      <c r="LWJ43" s="63"/>
      <c r="LWK43" s="63"/>
      <c r="LWL43" s="63"/>
      <c r="LWM43" s="63"/>
      <c r="LWN43" s="63"/>
      <c r="LWO43" s="63"/>
      <c r="LWP43" s="63"/>
      <c r="LWQ43" s="63"/>
      <c r="LWR43" s="63"/>
      <c r="LWS43" s="63"/>
      <c r="LWT43" s="63"/>
      <c r="LWU43" s="63"/>
      <c r="LWV43" s="63"/>
      <c r="LWW43" s="63"/>
      <c r="LWX43" s="63"/>
      <c r="LWY43" s="63"/>
      <c r="LWZ43" s="63"/>
      <c r="LXA43" s="63"/>
      <c r="LXB43" s="63"/>
      <c r="LXC43" s="63"/>
      <c r="LXD43" s="63"/>
      <c r="LXE43" s="63"/>
      <c r="LXF43" s="63"/>
      <c r="LXG43" s="63"/>
      <c r="LXH43" s="63"/>
      <c r="LXI43" s="63"/>
      <c r="LXJ43" s="63"/>
      <c r="LXK43" s="63"/>
      <c r="LXL43" s="63"/>
      <c r="LXM43" s="63"/>
      <c r="LXN43" s="63"/>
      <c r="LXO43" s="63"/>
      <c r="LXP43" s="63"/>
      <c r="LXQ43" s="63"/>
      <c r="LXR43" s="63"/>
      <c r="LXS43" s="63"/>
      <c r="LXT43" s="63"/>
      <c r="LXU43" s="63"/>
      <c r="LXV43" s="63"/>
      <c r="LXW43" s="63"/>
      <c r="LXX43" s="63"/>
      <c r="LXY43" s="63"/>
      <c r="LXZ43" s="63"/>
      <c r="LYA43" s="63"/>
      <c r="LYB43" s="63"/>
      <c r="LYC43" s="63"/>
      <c r="LYD43" s="63"/>
      <c r="LYE43" s="63"/>
      <c r="LYF43" s="63"/>
      <c r="LYG43" s="63"/>
      <c r="LYH43" s="63"/>
      <c r="LYI43" s="63"/>
      <c r="LYJ43" s="63"/>
      <c r="LYK43" s="63"/>
      <c r="LYL43" s="63"/>
      <c r="LYM43" s="63"/>
      <c r="LYN43" s="63"/>
      <c r="LYO43" s="63"/>
      <c r="LYP43" s="63"/>
      <c r="LYQ43" s="63"/>
      <c r="LYR43" s="63"/>
      <c r="LYS43" s="63"/>
      <c r="LYT43" s="63"/>
      <c r="LYU43" s="63"/>
      <c r="LYV43" s="63"/>
      <c r="LYW43" s="63"/>
      <c r="LYX43" s="63"/>
      <c r="LYY43" s="63"/>
      <c r="LYZ43" s="63"/>
      <c r="LZA43" s="63"/>
      <c r="LZB43" s="63"/>
      <c r="LZC43" s="63"/>
      <c r="LZD43" s="63"/>
      <c r="LZE43" s="63"/>
      <c r="LZF43" s="63"/>
      <c r="LZG43" s="63"/>
      <c r="LZH43" s="63"/>
      <c r="LZI43" s="63"/>
      <c r="LZJ43" s="63"/>
      <c r="LZK43" s="63"/>
      <c r="LZL43" s="63"/>
      <c r="LZM43" s="63"/>
      <c r="LZN43" s="63"/>
      <c r="LZO43" s="63"/>
      <c r="LZP43" s="63"/>
      <c r="LZQ43" s="63"/>
      <c r="LZR43" s="63"/>
      <c r="LZS43" s="63"/>
      <c r="LZT43" s="63"/>
      <c r="LZU43" s="63"/>
      <c r="LZV43" s="63"/>
      <c r="LZW43" s="63"/>
      <c r="LZX43" s="63"/>
      <c r="LZY43" s="63"/>
      <c r="LZZ43" s="63"/>
      <c r="MAA43" s="63"/>
      <c r="MAB43" s="63"/>
      <c r="MAC43" s="63"/>
      <c r="MAD43" s="63"/>
      <c r="MAE43" s="63"/>
      <c r="MAF43" s="63"/>
      <c r="MAG43" s="63"/>
      <c r="MAH43" s="63"/>
      <c r="MAI43" s="63"/>
      <c r="MAJ43" s="63"/>
      <c r="MAK43" s="63"/>
      <c r="MAL43" s="63"/>
      <c r="MAM43" s="63"/>
      <c r="MAN43" s="63"/>
      <c r="MAO43" s="63"/>
      <c r="MAP43" s="63"/>
      <c r="MAQ43" s="63"/>
      <c r="MAR43" s="63"/>
      <c r="MAS43" s="63"/>
      <c r="MAT43" s="63"/>
      <c r="MAU43" s="63"/>
      <c r="MAV43" s="63"/>
      <c r="MAW43" s="63"/>
      <c r="MAX43" s="63"/>
      <c r="MAY43" s="63"/>
      <c r="MAZ43" s="63"/>
      <c r="MBA43" s="63"/>
      <c r="MBB43" s="63"/>
      <c r="MBC43" s="63"/>
      <c r="MBD43" s="63"/>
      <c r="MBE43" s="63"/>
      <c r="MBF43" s="63"/>
      <c r="MBG43" s="63"/>
      <c r="MBH43" s="63"/>
      <c r="MBI43" s="63"/>
      <c r="MBJ43" s="63"/>
      <c r="MBK43" s="63"/>
      <c r="MBL43" s="63"/>
      <c r="MBM43" s="63"/>
      <c r="MBN43" s="63"/>
      <c r="MBO43" s="63"/>
      <c r="MBP43" s="63"/>
      <c r="MBQ43" s="63"/>
      <c r="MBR43" s="63"/>
      <c r="MBS43" s="63"/>
      <c r="MBT43" s="63"/>
      <c r="MBU43" s="63"/>
      <c r="MBV43" s="63"/>
      <c r="MBW43" s="63"/>
      <c r="MBX43" s="63"/>
      <c r="MBY43" s="63"/>
      <c r="MBZ43" s="63"/>
      <c r="MCA43" s="63"/>
      <c r="MCB43" s="63"/>
      <c r="MCC43" s="63"/>
      <c r="MCD43" s="63"/>
      <c r="MCE43" s="63"/>
      <c r="MCF43" s="63"/>
      <c r="MCG43" s="63"/>
      <c r="MCH43" s="63"/>
      <c r="MCI43" s="63"/>
      <c r="MCJ43" s="63"/>
      <c r="MCK43" s="63"/>
      <c r="MCL43" s="63"/>
      <c r="MCM43" s="63"/>
      <c r="MCN43" s="63"/>
      <c r="MCO43" s="63"/>
      <c r="MCP43" s="63"/>
      <c r="MCQ43" s="63"/>
      <c r="MCR43" s="63"/>
      <c r="MCS43" s="63"/>
      <c r="MCT43" s="63"/>
      <c r="MCU43" s="63"/>
      <c r="MCV43" s="63"/>
      <c r="MCW43" s="63"/>
      <c r="MCX43" s="63"/>
      <c r="MCY43" s="63"/>
      <c r="MCZ43" s="63"/>
      <c r="MDA43" s="63"/>
      <c r="MDB43" s="63"/>
      <c r="MDC43" s="63"/>
      <c r="MDD43" s="63"/>
      <c r="MDE43" s="63"/>
      <c r="MDF43" s="63"/>
      <c r="MDG43" s="63"/>
      <c r="MDH43" s="63"/>
      <c r="MDI43" s="63"/>
      <c r="MDJ43" s="63"/>
      <c r="MDK43" s="63"/>
      <c r="MDL43" s="63"/>
      <c r="MDM43" s="63"/>
      <c r="MDN43" s="63"/>
      <c r="MDO43" s="63"/>
      <c r="MDP43" s="63"/>
      <c r="MDQ43" s="63"/>
      <c r="MDR43" s="63"/>
      <c r="MDS43" s="63"/>
      <c r="MDT43" s="63"/>
      <c r="MDU43" s="63"/>
      <c r="MDV43" s="63"/>
      <c r="MDW43" s="63"/>
      <c r="MDX43" s="63"/>
      <c r="MDY43" s="63"/>
      <c r="MDZ43" s="63"/>
      <c r="MEA43" s="63"/>
      <c r="MEB43" s="63"/>
      <c r="MEC43" s="63"/>
      <c r="MED43" s="63"/>
      <c r="MEE43" s="63"/>
      <c r="MEF43" s="63"/>
      <c r="MEG43" s="63"/>
      <c r="MEH43" s="63"/>
      <c r="MEI43" s="63"/>
      <c r="MEJ43" s="63"/>
      <c r="MEK43" s="63"/>
      <c r="MEL43" s="63"/>
      <c r="MEM43" s="63"/>
      <c r="MEN43" s="63"/>
      <c r="MEO43" s="63"/>
      <c r="MEP43" s="63"/>
      <c r="MEQ43" s="63"/>
      <c r="MER43" s="63"/>
      <c r="MES43" s="63"/>
      <c r="MET43" s="63"/>
      <c r="MEU43" s="63"/>
      <c r="MEV43" s="63"/>
      <c r="MEW43" s="63"/>
      <c r="MEX43" s="63"/>
      <c r="MEY43" s="63"/>
      <c r="MEZ43" s="63"/>
      <c r="MFA43" s="63"/>
      <c r="MFB43" s="63"/>
      <c r="MFC43" s="63"/>
      <c r="MFD43" s="63"/>
      <c r="MFE43" s="63"/>
      <c r="MFF43" s="63"/>
      <c r="MFG43" s="63"/>
      <c r="MFH43" s="63"/>
      <c r="MFI43" s="63"/>
      <c r="MFJ43" s="63"/>
      <c r="MFK43" s="63"/>
      <c r="MFL43" s="63"/>
      <c r="MFM43" s="63"/>
      <c r="MFN43" s="63"/>
      <c r="MFO43" s="63"/>
      <c r="MFP43" s="63"/>
      <c r="MFQ43" s="63"/>
      <c r="MFR43" s="63"/>
      <c r="MFS43" s="63"/>
      <c r="MFT43" s="63"/>
      <c r="MFU43" s="63"/>
      <c r="MFV43" s="63"/>
      <c r="MFW43" s="63"/>
      <c r="MFX43" s="63"/>
      <c r="MFY43" s="63"/>
      <c r="MFZ43" s="63"/>
      <c r="MGA43" s="63"/>
      <c r="MGB43" s="63"/>
      <c r="MGC43" s="63"/>
      <c r="MGD43" s="63"/>
      <c r="MGE43" s="63"/>
      <c r="MGF43" s="63"/>
      <c r="MGG43" s="63"/>
      <c r="MGH43" s="63"/>
      <c r="MGI43" s="63"/>
      <c r="MGJ43" s="63"/>
      <c r="MGK43" s="63"/>
      <c r="MGL43" s="63"/>
      <c r="MGM43" s="63"/>
      <c r="MGN43" s="63"/>
      <c r="MGO43" s="63"/>
      <c r="MGP43" s="63"/>
      <c r="MGQ43" s="63"/>
      <c r="MGR43" s="63"/>
      <c r="MGS43" s="63"/>
      <c r="MGT43" s="63"/>
      <c r="MGU43" s="63"/>
      <c r="MGV43" s="63"/>
      <c r="MGW43" s="63"/>
      <c r="MGX43" s="63"/>
      <c r="MGY43" s="63"/>
      <c r="MGZ43" s="63"/>
      <c r="MHA43" s="63"/>
      <c r="MHB43" s="63"/>
      <c r="MHC43" s="63"/>
      <c r="MHD43" s="63"/>
      <c r="MHE43" s="63"/>
      <c r="MHF43" s="63"/>
      <c r="MHG43" s="63"/>
      <c r="MHH43" s="63"/>
      <c r="MHI43" s="63"/>
      <c r="MHJ43" s="63"/>
      <c r="MHK43" s="63"/>
      <c r="MHL43" s="63"/>
      <c r="MHM43" s="63"/>
      <c r="MHN43" s="63"/>
      <c r="MHO43" s="63"/>
      <c r="MHP43" s="63"/>
      <c r="MHQ43" s="63"/>
      <c r="MHR43" s="63"/>
      <c r="MHS43" s="63"/>
      <c r="MHT43" s="63"/>
      <c r="MHU43" s="63"/>
      <c r="MHV43" s="63"/>
      <c r="MHW43" s="63"/>
      <c r="MHX43" s="63"/>
      <c r="MHY43" s="63"/>
      <c r="MHZ43" s="63"/>
      <c r="MIA43" s="63"/>
      <c r="MIB43" s="63"/>
      <c r="MIC43" s="63"/>
      <c r="MID43" s="63"/>
      <c r="MIE43" s="63"/>
      <c r="MIF43" s="63"/>
      <c r="MIG43" s="63"/>
      <c r="MIH43" s="63"/>
      <c r="MII43" s="63"/>
      <c r="MIJ43" s="63"/>
      <c r="MIK43" s="63"/>
      <c r="MIL43" s="63"/>
      <c r="MIM43" s="63"/>
      <c r="MIN43" s="63"/>
      <c r="MIO43" s="63"/>
      <c r="MIP43" s="63"/>
      <c r="MIQ43" s="63"/>
      <c r="MIR43" s="63"/>
      <c r="MIS43" s="63"/>
      <c r="MIT43" s="63"/>
      <c r="MIU43" s="63"/>
      <c r="MIV43" s="63"/>
      <c r="MIW43" s="63"/>
      <c r="MIX43" s="63"/>
      <c r="MIY43" s="63"/>
      <c r="MIZ43" s="63"/>
      <c r="MJA43" s="63"/>
      <c r="MJB43" s="63"/>
      <c r="MJC43" s="63"/>
      <c r="MJD43" s="63"/>
      <c r="MJE43" s="63"/>
      <c r="MJF43" s="63"/>
      <c r="MJG43" s="63"/>
      <c r="MJH43" s="63"/>
      <c r="MJI43" s="63"/>
      <c r="MJJ43" s="63"/>
      <c r="MJK43" s="63"/>
      <c r="MJL43" s="63"/>
      <c r="MJM43" s="63"/>
      <c r="MJN43" s="63"/>
      <c r="MJO43" s="63"/>
      <c r="MJP43" s="63"/>
      <c r="MJQ43" s="63"/>
      <c r="MJR43" s="63"/>
      <c r="MJS43" s="63"/>
      <c r="MJT43" s="63"/>
      <c r="MJU43" s="63"/>
      <c r="MJV43" s="63"/>
      <c r="MJW43" s="63"/>
      <c r="MJX43" s="63"/>
      <c r="MJY43" s="63"/>
      <c r="MJZ43" s="63"/>
      <c r="MKA43" s="63"/>
      <c r="MKB43" s="63"/>
      <c r="MKC43" s="63"/>
      <c r="MKD43" s="63"/>
      <c r="MKE43" s="63"/>
      <c r="MKF43" s="63"/>
      <c r="MKG43" s="63"/>
      <c r="MKH43" s="63"/>
      <c r="MKI43" s="63"/>
      <c r="MKJ43" s="63"/>
      <c r="MKK43" s="63"/>
      <c r="MKL43" s="63"/>
      <c r="MKM43" s="63"/>
      <c r="MKN43" s="63"/>
      <c r="MKO43" s="63"/>
      <c r="MKP43" s="63"/>
      <c r="MKQ43" s="63"/>
      <c r="MKR43" s="63"/>
      <c r="MKS43" s="63"/>
      <c r="MKT43" s="63"/>
      <c r="MKU43" s="63"/>
      <c r="MKV43" s="63"/>
      <c r="MKW43" s="63"/>
      <c r="MKX43" s="63"/>
      <c r="MKY43" s="63"/>
      <c r="MKZ43" s="63"/>
      <c r="MLA43" s="63"/>
      <c r="MLB43" s="63"/>
      <c r="MLC43" s="63"/>
      <c r="MLD43" s="63"/>
      <c r="MLE43" s="63"/>
      <c r="MLF43" s="63"/>
      <c r="MLG43" s="63"/>
      <c r="MLH43" s="63"/>
      <c r="MLI43" s="63"/>
      <c r="MLJ43" s="63"/>
      <c r="MLK43" s="63"/>
      <c r="MLL43" s="63"/>
      <c r="MLM43" s="63"/>
      <c r="MLN43" s="63"/>
      <c r="MLO43" s="63"/>
      <c r="MLP43" s="63"/>
      <c r="MLQ43" s="63"/>
      <c r="MLR43" s="63"/>
      <c r="MLS43" s="63"/>
      <c r="MLT43" s="63"/>
      <c r="MLU43" s="63"/>
      <c r="MLV43" s="63"/>
      <c r="MLW43" s="63"/>
      <c r="MLX43" s="63"/>
      <c r="MLY43" s="63"/>
      <c r="MLZ43" s="63"/>
      <c r="MMA43" s="63"/>
      <c r="MMB43" s="63"/>
      <c r="MMC43" s="63"/>
      <c r="MMD43" s="63"/>
      <c r="MME43" s="63"/>
      <c r="MMF43" s="63"/>
      <c r="MMG43" s="63"/>
      <c r="MMH43" s="63"/>
      <c r="MMI43" s="63"/>
      <c r="MMJ43" s="63"/>
      <c r="MMK43" s="63"/>
      <c r="MML43" s="63"/>
      <c r="MMM43" s="63"/>
      <c r="MMN43" s="63"/>
      <c r="MMO43" s="63"/>
      <c r="MMP43" s="63"/>
      <c r="MMQ43" s="63"/>
      <c r="MMR43" s="63"/>
      <c r="MMS43" s="63"/>
      <c r="MMT43" s="63"/>
      <c r="MMU43" s="63"/>
      <c r="MMV43" s="63"/>
      <c r="MMW43" s="63"/>
      <c r="MMX43" s="63"/>
      <c r="MMY43" s="63"/>
      <c r="MMZ43" s="63"/>
      <c r="MNA43" s="63"/>
      <c r="MNB43" s="63"/>
      <c r="MNC43" s="63"/>
      <c r="MND43" s="63"/>
      <c r="MNE43" s="63"/>
      <c r="MNF43" s="63"/>
      <c r="MNG43" s="63"/>
      <c r="MNH43" s="63"/>
      <c r="MNI43" s="63"/>
      <c r="MNJ43" s="63"/>
      <c r="MNK43" s="63"/>
      <c r="MNL43" s="63"/>
      <c r="MNM43" s="63"/>
      <c r="MNN43" s="63"/>
      <c r="MNO43" s="63"/>
      <c r="MNP43" s="63"/>
      <c r="MNQ43" s="63"/>
      <c r="MNR43" s="63"/>
      <c r="MNS43" s="63"/>
      <c r="MNT43" s="63"/>
      <c r="MNU43" s="63"/>
      <c r="MNV43" s="63"/>
      <c r="MNW43" s="63"/>
      <c r="MNX43" s="63"/>
      <c r="MNY43" s="63"/>
      <c r="MNZ43" s="63"/>
      <c r="MOA43" s="63"/>
      <c r="MOB43" s="63"/>
      <c r="MOC43" s="63"/>
      <c r="MOD43" s="63"/>
      <c r="MOE43" s="63"/>
      <c r="MOF43" s="63"/>
      <c r="MOG43" s="63"/>
      <c r="MOH43" s="63"/>
      <c r="MOI43" s="63"/>
      <c r="MOJ43" s="63"/>
      <c r="MOK43" s="63"/>
      <c r="MOL43" s="63"/>
      <c r="MOM43" s="63"/>
      <c r="MON43" s="63"/>
      <c r="MOO43" s="63"/>
      <c r="MOP43" s="63"/>
      <c r="MOQ43" s="63"/>
      <c r="MOR43" s="63"/>
      <c r="MOS43" s="63"/>
      <c r="MOT43" s="63"/>
      <c r="MOU43" s="63"/>
      <c r="MOV43" s="63"/>
      <c r="MOW43" s="63"/>
      <c r="MOX43" s="63"/>
      <c r="MOY43" s="63"/>
      <c r="MOZ43" s="63"/>
      <c r="MPA43" s="63"/>
      <c r="MPB43" s="63"/>
      <c r="MPC43" s="63"/>
      <c r="MPD43" s="63"/>
      <c r="MPE43" s="63"/>
      <c r="MPF43" s="63"/>
      <c r="MPG43" s="63"/>
      <c r="MPH43" s="63"/>
      <c r="MPI43" s="63"/>
      <c r="MPJ43" s="63"/>
      <c r="MPK43" s="63"/>
      <c r="MPL43" s="63"/>
      <c r="MPM43" s="63"/>
      <c r="MPN43" s="63"/>
      <c r="MPO43" s="63"/>
      <c r="MPP43" s="63"/>
      <c r="MPQ43" s="63"/>
      <c r="MPR43" s="63"/>
      <c r="MPS43" s="63"/>
      <c r="MPT43" s="63"/>
      <c r="MPU43" s="63"/>
      <c r="MPV43" s="63"/>
      <c r="MPW43" s="63"/>
      <c r="MPX43" s="63"/>
      <c r="MPY43" s="63"/>
      <c r="MPZ43" s="63"/>
      <c r="MQA43" s="63"/>
      <c r="MQB43" s="63"/>
      <c r="MQC43" s="63"/>
      <c r="MQD43" s="63"/>
      <c r="MQE43" s="63"/>
      <c r="MQF43" s="63"/>
      <c r="MQG43" s="63"/>
      <c r="MQH43" s="63"/>
      <c r="MQI43" s="63"/>
      <c r="MQJ43" s="63"/>
      <c r="MQK43" s="63"/>
      <c r="MQL43" s="63"/>
      <c r="MQM43" s="63"/>
      <c r="MQN43" s="63"/>
      <c r="MQO43" s="63"/>
      <c r="MQP43" s="63"/>
      <c r="MQQ43" s="63"/>
      <c r="MQR43" s="63"/>
      <c r="MQS43" s="63"/>
      <c r="MQT43" s="63"/>
      <c r="MQU43" s="63"/>
      <c r="MQV43" s="63"/>
      <c r="MQW43" s="63"/>
      <c r="MQX43" s="63"/>
      <c r="MQY43" s="63"/>
      <c r="MQZ43" s="63"/>
      <c r="MRA43" s="63"/>
      <c r="MRB43" s="63"/>
      <c r="MRC43" s="63"/>
      <c r="MRD43" s="63"/>
      <c r="MRE43" s="63"/>
      <c r="MRF43" s="63"/>
      <c r="MRG43" s="63"/>
      <c r="MRH43" s="63"/>
      <c r="MRI43" s="63"/>
      <c r="MRJ43" s="63"/>
      <c r="MRK43" s="63"/>
      <c r="MRL43" s="63"/>
      <c r="MRM43" s="63"/>
      <c r="MRN43" s="63"/>
      <c r="MRO43" s="63"/>
      <c r="MRP43" s="63"/>
      <c r="MRQ43" s="63"/>
      <c r="MRR43" s="63"/>
      <c r="MRS43" s="63"/>
      <c r="MRT43" s="63"/>
      <c r="MRU43" s="63"/>
      <c r="MRV43" s="63"/>
      <c r="MRW43" s="63"/>
      <c r="MRX43" s="63"/>
      <c r="MRY43" s="63"/>
      <c r="MRZ43" s="63"/>
      <c r="MSA43" s="63"/>
      <c r="MSB43" s="63"/>
      <c r="MSC43" s="63"/>
      <c r="MSD43" s="63"/>
      <c r="MSE43" s="63"/>
      <c r="MSF43" s="63"/>
      <c r="MSG43" s="63"/>
      <c r="MSH43" s="63"/>
      <c r="MSI43" s="63"/>
      <c r="MSJ43" s="63"/>
      <c r="MSK43" s="63"/>
      <c r="MSL43" s="63"/>
      <c r="MSM43" s="63"/>
      <c r="MSN43" s="63"/>
      <c r="MSO43" s="63"/>
      <c r="MSP43" s="63"/>
      <c r="MSQ43" s="63"/>
      <c r="MSR43" s="63"/>
      <c r="MSS43" s="63"/>
      <c r="MST43" s="63"/>
      <c r="MSU43" s="63"/>
      <c r="MSV43" s="63"/>
      <c r="MSW43" s="63"/>
      <c r="MSX43" s="63"/>
      <c r="MSY43" s="63"/>
      <c r="MSZ43" s="63"/>
      <c r="MTA43" s="63"/>
      <c r="MTB43" s="63"/>
      <c r="MTC43" s="63"/>
      <c r="MTD43" s="63"/>
      <c r="MTE43" s="63"/>
      <c r="MTF43" s="63"/>
      <c r="MTG43" s="63"/>
      <c r="MTH43" s="63"/>
      <c r="MTI43" s="63"/>
      <c r="MTJ43" s="63"/>
      <c r="MTK43" s="63"/>
      <c r="MTL43" s="63"/>
      <c r="MTM43" s="63"/>
      <c r="MTN43" s="63"/>
      <c r="MTO43" s="63"/>
      <c r="MTP43" s="63"/>
      <c r="MTQ43" s="63"/>
      <c r="MTR43" s="63"/>
      <c r="MTS43" s="63"/>
      <c r="MTT43" s="63"/>
      <c r="MTU43" s="63"/>
      <c r="MTV43" s="63"/>
      <c r="MTW43" s="63"/>
      <c r="MTX43" s="63"/>
      <c r="MTY43" s="63"/>
      <c r="MTZ43" s="63"/>
      <c r="MUA43" s="63"/>
      <c r="MUB43" s="63"/>
      <c r="MUC43" s="63"/>
      <c r="MUD43" s="63"/>
      <c r="MUE43" s="63"/>
      <c r="MUF43" s="63"/>
      <c r="MUG43" s="63"/>
      <c r="MUH43" s="63"/>
      <c r="MUI43" s="63"/>
      <c r="MUJ43" s="63"/>
      <c r="MUK43" s="63"/>
      <c r="MUL43" s="63"/>
      <c r="MUM43" s="63"/>
      <c r="MUN43" s="63"/>
      <c r="MUO43" s="63"/>
      <c r="MUP43" s="63"/>
      <c r="MUQ43" s="63"/>
      <c r="MUR43" s="63"/>
      <c r="MUS43" s="63"/>
      <c r="MUT43" s="63"/>
      <c r="MUU43" s="63"/>
      <c r="MUV43" s="63"/>
      <c r="MUW43" s="63"/>
      <c r="MUX43" s="63"/>
      <c r="MUY43" s="63"/>
      <c r="MUZ43" s="63"/>
      <c r="MVA43" s="63"/>
      <c r="MVB43" s="63"/>
      <c r="MVC43" s="63"/>
      <c r="MVD43" s="63"/>
      <c r="MVE43" s="63"/>
      <c r="MVF43" s="63"/>
      <c r="MVG43" s="63"/>
      <c r="MVH43" s="63"/>
      <c r="MVI43" s="63"/>
      <c r="MVJ43" s="63"/>
      <c r="MVK43" s="63"/>
      <c r="MVL43" s="63"/>
      <c r="MVM43" s="63"/>
      <c r="MVN43" s="63"/>
      <c r="MVO43" s="63"/>
      <c r="MVP43" s="63"/>
      <c r="MVQ43" s="63"/>
      <c r="MVR43" s="63"/>
      <c r="MVS43" s="63"/>
      <c r="MVT43" s="63"/>
      <c r="MVU43" s="63"/>
      <c r="MVV43" s="63"/>
      <c r="MVW43" s="63"/>
      <c r="MVX43" s="63"/>
      <c r="MVY43" s="63"/>
      <c r="MVZ43" s="63"/>
      <c r="MWA43" s="63"/>
      <c r="MWB43" s="63"/>
      <c r="MWC43" s="63"/>
      <c r="MWD43" s="63"/>
      <c r="MWE43" s="63"/>
      <c r="MWF43" s="63"/>
      <c r="MWG43" s="63"/>
      <c r="MWH43" s="63"/>
      <c r="MWI43" s="63"/>
      <c r="MWJ43" s="63"/>
      <c r="MWK43" s="63"/>
      <c r="MWL43" s="63"/>
      <c r="MWM43" s="63"/>
      <c r="MWN43" s="63"/>
      <c r="MWO43" s="63"/>
      <c r="MWP43" s="63"/>
      <c r="MWQ43" s="63"/>
      <c r="MWR43" s="63"/>
      <c r="MWS43" s="63"/>
      <c r="MWT43" s="63"/>
      <c r="MWU43" s="63"/>
      <c r="MWV43" s="63"/>
      <c r="MWW43" s="63"/>
      <c r="MWX43" s="63"/>
      <c r="MWY43" s="63"/>
      <c r="MWZ43" s="63"/>
      <c r="MXA43" s="63"/>
      <c r="MXB43" s="63"/>
      <c r="MXC43" s="63"/>
      <c r="MXD43" s="63"/>
      <c r="MXE43" s="63"/>
      <c r="MXF43" s="63"/>
      <c r="MXG43" s="63"/>
      <c r="MXH43" s="63"/>
      <c r="MXI43" s="63"/>
      <c r="MXJ43" s="63"/>
      <c r="MXK43" s="63"/>
      <c r="MXL43" s="63"/>
      <c r="MXM43" s="63"/>
      <c r="MXN43" s="63"/>
      <c r="MXO43" s="63"/>
      <c r="MXP43" s="63"/>
      <c r="MXQ43" s="63"/>
      <c r="MXR43" s="63"/>
      <c r="MXS43" s="63"/>
      <c r="MXT43" s="63"/>
      <c r="MXU43" s="63"/>
      <c r="MXV43" s="63"/>
      <c r="MXW43" s="63"/>
      <c r="MXX43" s="63"/>
      <c r="MXY43" s="63"/>
      <c r="MXZ43" s="63"/>
      <c r="MYA43" s="63"/>
      <c r="MYB43" s="63"/>
      <c r="MYC43" s="63"/>
      <c r="MYD43" s="63"/>
      <c r="MYE43" s="63"/>
      <c r="MYF43" s="63"/>
      <c r="MYG43" s="63"/>
      <c r="MYH43" s="63"/>
      <c r="MYI43" s="63"/>
      <c r="MYJ43" s="63"/>
      <c r="MYK43" s="63"/>
      <c r="MYL43" s="63"/>
      <c r="MYM43" s="63"/>
      <c r="MYN43" s="63"/>
      <c r="MYO43" s="63"/>
      <c r="MYP43" s="63"/>
      <c r="MYQ43" s="63"/>
      <c r="MYR43" s="63"/>
      <c r="MYS43" s="63"/>
      <c r="MYT43" s="63"/>
      <c r="MYU43" s="63"/>
      <c r="MYV43" s="63"/>
      <c r="MYW43" s="63"/>
      <c r="MYX43" s="63"/>
      <c r="MYY43" s="63"/>
      <c r="MYZ43" s="63"/>
      <c r="MZA43" s="63"/>
      <c r="MZB43" s="63"/>
      <c r="MZC43" s="63"/>
      <c r="MZD43" s="63"/>
      <c r="MZE43" s="63"/>
      <c r="MZF43" s="63"/>
      <c r="MZG43" s="63"/>
      <c r="MZH43" s="63"/>
      <c r="MZI43" s="63"/>
      <c r="MZJ43" s="63"/>
      <c r="MZK43" s="63"/>
      <c r="MZL43" s="63"/>
      <c r="MZM43" s="63"/>
      <c r="MZN43" s="63"/>
      <c r="MZO43" s="63"/>
      <c r="MZP43" s="63"/>
      <c r="MZQ43" s="63"/>
      <c r="MZR43" s="63"/>
      <c r="MZS43" s="63"/>
      <c r="MZT43" s="63"/>
      <c r="MZU43" s="63"/>
      <c r="MZV43" s="63"/>
      <c r="MZW43" s="63"/>
      <c r="MZX43" s="63"/>
      <c r="MZY43" s="63"/>
      <c r="MZZ43" s="63"/>
      <c r="NAA43" s="63"/>
      <c r="NAB43" s="63"/>
      <c r="NAC43" s="63"/>
      <c r="NAD43" s="63"/>
      <c r="NAE43" s="63"/>
      <c r="NAF43" s="63"/>
      <c r="NAG43" s="63"/>
      <c r="NAH43" s="63"/>
      <c r="NAI43" s="63"/>
      <c r="NAJ43" s="63"/>
      <c r="NAK43" s="63"/>
      <c r="NAL43" s="63"/>
      <c r="NAM43" s="63"/>
      <c r="NAN43" s="63"/>
      <c r="NAO43" s="63"/>
      <c r="NAP43" s="63"/>
      <c r="NAQ43" s="63"/>
      <c r="NAR43" s="63"/>
      <c r="NAS43" s="63"/>
      <c r="NAT43" s="63"/>
      <c r="NAU43" s="63"/>
      <c r="NAV43" s="63"/>
      <c r="NAW43" s="63"/>
      <c r="NAX43" s="63"/>
      <c r="NAY43" s="63"/>
      <c r="NAZ43" s="63"/>
      <c r="NBA43" s="63"/>
      <c r="NBB43" s="63"/>
      <c r="NBC43" s="63"/>
      <c r="NBD43" s="63"/>
      <c r="NBE43" s="63"/>
      <c r="NBF43" s="63"/>
      <c r="NBG43" s="63"/>
      <c r="NBH43" s="63"/>
      <c r="NBI43" s="63"/>
      <c r="NBJ43" s="63"/>
      <c r="NBK43" s="63"/>
      <c r="NBL43" s="63"/>
      <c r="NBM43" s="63"/>
      <c r="NBN43" s="63"/>
      <c r="NBO43" s="63"/>
      <c r="NBP43" s="63"/>
      <c r="NBQ43" s="63"/>
      <c r="NBR43" s="63"/>
      <c r="NBS43" s="63"/>
      <c r="NBT43" s="63"/>
      <c r="NBU43" s="63"/>
      <c r="NBV43" s="63"/>
      <c r="NBW43" s="63"/>
      <c r="NBX43" s="63"/>
      <c r="NBY43" s="63"/>
      <c r="NBZ43" s="63"/>
      <c r="NCA43" s="63"/>
      <c r="NCB43" s="63"/>
      <c r="NCC43" s="63"/>
      <c r="NCD43" s="63"/>
      <c r="NCE43" s="63"/>
      <c r="NCF43" s="63"/>
      <c r="NCG43" s="63"/>
      <c r="NCH43" s="63"/>
      <c r="NCI43" s="63"/>
      <c r="NCJ43" s="63"/>
      <c r="NCK43" s="63"/>
      <c r="NCL43" s="63"/>
      <c r="NCM43" s="63"/>
      <c r="NCN43" s="63"/>
      <c r="NCO43" s="63"/>
      <c r="NCP43" s="63"/>
      <c r="NCQ43" s="63"/>
      <c r="NCR43" s="63"/>
      <c r="NCS43" s="63"/>
      <c r="NCT43" s="63"/>
      <c r="NCU43" s="63"/>
      <c r="NCV43" s="63"/>
      <c r="NCW43" s="63"/>
      <c r="NCX43" s="63"/>
      <c r="NCY43" s="63"/>
      <c r="NCZ43" s="63"/>
      <c r="NDA43" s="63"/>
      <c r="NDB43" s="63"/>
      <c r="NDC43" s="63"/>
      <c r="NDD43" s="63"/>
      <c r="NDE43" s="63"/>
      <c r="NDF43" s="63"/>
      <c r="NDG43" s="63"/>
      <c r="NDH43" s="63"/>
      <c r="NDI43" s="63"/>
      <c r="NDJ43" s="63"/>
      <c r="NDK43" s="63"/>
      <c r="NDL43" s="63"/>
      <c r="NDM43" s="63"/>
      <c r="NDN43" s="63"/>
      <c r="NDO43" s="63"/>
      <c r="NDP43" s="63"/>
      <c r="NDQ43" s="63"/>
      <c r="NDR43" s="63"/>
      <c r="NDS43" s="63"/>
      <c r="NDT43" s="63"/>
      <c r="NDU43" s="63"/>
      <c r="NDV43" s="63"/>
      <c r="NDW43" s="63"/>
      <c r="NDX43" s="63"/>
      <c r="NDY43" s="63"/>
      <c r="NDZ43" s="63"/>
      <c r="NEA43" s="63"/>
      <c r="NEB43" s="63"/>
      <c r="NEC43" s="63"/>
      <c r="NED43" s="63"/>
      <c r="NEE43" s="63"/>
      <c r="NEF43" s="63"/>
      <c r="NEG43" s="63"/>
      <c r="NEH43" s="63"/>
      <c r="NEI43" s="63"/>
      <c r="NEJ43" s="63"/>
      <c r="NEK43" s="63"/>
      <c r="NEL43" s="63"/>
      <c r="NEM43" s="63"/>
      <c r="NEN43" s="63"/>
      <c r="NEO43" s="63"/>
      <c r="NEP43" s="63"/>
      <c r="NEQ43" s="63"/>
      <c r="NER43" s="63"/>
      <c r="NES43" s="63"/>
      <c r="NET43" s="63"/>
      <c r="NEU43" s="63"/>
      <c r="NEV43" s="63"/>
      <c r="NEW43" s="63"/>
      <c r="NEX43" s="63"/>
      <c r="NEY43" s="63"/>
      <c r="NEZ43" s="63"/>
      <c r="NFA43" s="63"/>
      <c r="NFB43" s="63"/>
      <c r="NFC43" s="63"/>
      <c r="NFD43" s="63"/>
      <c r="NFE43" s="63"/>
      <c r="NFF43" s="63"/>
      <c r="NFG43" s="63"/>
      <c r="NFH43" s="63"/>
      <c r="NFI43" s="63"/>
      <c r="NFJ43" s="63"/>
      <c r="NFK43" s="63"/>
      <c r="NFL43" s="63"/>
      <c r="NFM43" s="63"/>
      <c r="NFN43" s="63"/>
      <c r="NFO43" s="63"/>
      <c r="NFP43" s="63"/>
      <c r="NFQ43" s="63"/>
      <c r="NFR43" s="63"/>
      <c r="NFS43" s="63"/>
      <c r="NFT43" s="63"/>
      <c r="NFU43" s="63"/>
      <c r="NFV43" s="63"/>
      <c r="NFW43" s="63"/>
      <c r="NFX43" s="63"/>
      <c r="NFY43" s="63"/>
      <c r="NFZ43" s="63"/>
      <c r="NGA43" s="63"/>
      <c r="NGB43" s="63"/>
      <c r="NGC43" s="63"/>
      <c r="NGD43" s="63"/>
      <c r="NGE43" s="63"/>
      <c r="NGF43" s="63"/>
      <c r="NGG43" s="63"/>
      <c r="NGH43" s="63"/>
      <c r="NGI43" s="63"/>
      <c r="NGJ43" s="63"/>
      <c r="NGK43" s="63"/>
      <c r="NGL43" s="63"/>
      <c r="NGM43" s="63"/>
      <c r="NGN43" s="63"/>
      <c r="NGO43" s="63"/>
      <c r="NGP43" s="63"/>
      <c r="NGQ43" s="63"/>
      <c r="NGR43" s="63"/>
      <c r="NGS43" s="63"/>
      <c r="NGT43" s="63"/>
      <c r="NGU43" s="63"/>
      <c r="NGV43" s="63"/>
      <c r="NGW43" s="63"/>
      <c r="NGX43" s="63"/>
      <c r="NGY43" s="63"/>
      <c r="NGZ43" s="63"/>
      <c r="NHA43" s="63"/>
      <c r="NHB43" s="63"/>
      <c r="NHC43" s="63"/>
      <c r="NHD43" s="63"/>
      <c r="NHE43" s="63"/>
      <c r="NHF43" s="63"/>
      <c r="NHG43" s="63"/>
      <c r="NHH43" s="63"/>
      <c r="NHI43" s="63"/>
      <c r="NHJ43" s="63"/>
      <c r="NHK43" s="63"/>
      <c r="NHL43" s="63"/>
      <c r="NHM43" s="63"/>
      <c r="NHN43" s="63"/>
      <c r="NHO43" s="63"/>
      <c r="NHP43" s="63"/>
      <c r="NHQ43" s="63"/>
      <c r="NHR43" s="63"/>
      <c r="NHS43" s="63"/>
      <c r="NHT43" s="63"/>
      <c r="NHU43" s="63"/>
      <c r="NHV43" s="63"/>
      <c r="NHW43" s="63"/>
      <c r="NHX43" s="63"/>
      <c r="NHY43" s="63"/>
      <c r="NHZ43" s="63"/>
      <c r="NIA43" s="63"/>
      <c r="NIB43" s="63"/>
      <c r="NIC43" s="63"/>
      <c r="NID43" s="63"/>
      <c r="NIE43" s="63"/>
      <c r="NIF43" s="63"/>
      <c r="NIG43" s="63"/>
      <c r="NIH43" s="63"/>
      <c r="NII43" s="63"/>
      <c r="NIJ43" s="63"/>
      <c r="NIK43" s="63"/>
      <c r="NIL43" s="63"/>
      <c r="NIM43" s="63"/>
      <c r="NIN43" s="63"/>
      <c r="NIO43" s="63"/>
      <c r="NIP43" s="63"/>
      <c r="NIQ43" s="63"/>
      <c r="NIR43" s="63"/>
      <c r="NIS43" s="63"/>
      <c r="NIT43" s="63"/>
      <c r="NIU43" s="63"/>
      <c r="NIV43" s="63"/>
      <c r="NIW43" s="63"/>
      <c r="NIX43" s="63"/>
      <c r="NIY43" s="63"/>
      <c r="NIZ43" s="63"/>
      <c r="NJA43" s="63"/>
      <c r="NJB43" s="63"/>
      <c r="NJC43" s="63"/>
      <c r="NJD43" s="63"/>
      <c r="NJE43" s="63"/>
      <c r="NJF43" s="63"/>
      <c r="NJG43" s="63"/>
      <c r="NJH43" s="63"/>
      <c r="NJI43" s="63"/>
      <c r="NJJ43" s="63"/>
      <c r="NJK43" s="63"/>
      <c r="NJL43" s="63"/>
      <c r="NJM43" s="63"/>
      <c r="NJN43" s="63"/>
      <c r="NJO43" s="63"/>
      <c r="NJP43" s="63"/>
      <c r="NJQ43" s="63"/>
      <c r="NJR43" s="63"/>
      <c r="NJS43" s="63"/>
      <c r="NJT43" s="63"/>
      <c r="NJU43" s="63"/>
      <c r="NJV43" s="63"/>
      <c r="NJW43" s="63"/>
      <c r="NJX43" s="63"/>
      <c r="NJY43" s="63"/>
      <c r="NJZ43" s="63"/>
      <c r="NKA43" s="63"/>
      <c r="NKB43" s="63"/>
      <c r="NKC43" s="63"/>
      <c r="NKD43" s="63"/>
      <c r="NKE43" s="63"/>
      <c r="NKF43" s="63"/>
      <c r="NKG43" s="63"/>
      <c r="NKH43" s="63"/>
      <c r="NKI43" s="63"/>
      <c r="NKJ43" s="63"/>
      <c r="NKK43" s="63"/>
      <c r="NKL43" s="63"/>
      <c r="NKM43" s="63"/>
      <c r="NKN43" s="63"/>
      <c r="NKO43" s="63"/>
      <c r="NKP43" s="63"/>
      <c r="NKQ43" s="63"/>
      <c r="NKR43" s="63"/>
      <c r="NKS43" s="63"/>
      <c r="NKT43" s="63"/>
      <c r="NKU43" s="63"/>
      <c r="NKV43" s="63"/>
      <c r="NKW43" s="63"/>
      <c r="NKX43" s="63"/>
      <c r="NKY43" s="63"/>
      <c r="NKZ43" s="63"/>
      <c r="NLA43" s="63"/>
      <c r="NLB43" s="63"/>
      <c r="NLC43" s="63"/>
      <c r="NLD43" s="63"/>
      <c r="NLE43" s="63"/>
      <c r="NLF43" s="63"/>
      <c r="NLG43" s="63"/>
      <c r="NLH43" s="63"/>
      <c r="NLI43" s="63"/>
      <c r="NLJ43" s="63"/>
      <c r="NLK43" s="63"/>
      <c r="NLL43" s="63"/>
      <c r="NLM43" s="63"/>
      <c r="NLN43" s="63"/>
      <c r="NLO43" s="63"/>
      <c r="NLP43" s="63"/>
      <c r="NLQ43" s="63"/>
      <c r="NLR43" s="63"/>
      <c r="NLS43" s="63"/>
      <c r="NLT43" s="63"/>
      <c r="NLU43" s="63"/>
      <c r="NLV43" s="63"/>
      <c r="NLW43" s="63"/>
      <c r="NLX43" s="63"/>
      <c r="NLY43" s="63"/>
      <c r="NLZ43" s="63"/>
      <c r="NMA43" s="63"/>
      <c r="NMB43" s="63"/>
      <c r="NMC43" s="63"/>
      <c r="NMD43" s="63"/>
      <c r="NME43" s="63"/>
      <c r="NMF43" s="63"/>
      <c r="NMG43" s="63"/>
      <c r="NMH43" s="63"/>
      <c r="NMI43" s="63"/>
      <c r="NMJ43" s="63"/>
      <c r="NMK43" s="63"/>
      <c r="NML43" s="63"/>
      <c r="NMM43" s="63"/>
      <c r="NMN43" s="63"/>
      <c r="NMO43" s="63"/>
      <c r="NMP43" s="63"/>
      <c r="NMQ43" s="63"/>
      <c r="NMR43" s="63"/>
      <c r="NMS43" s="63"/>
      <c r="NMT43" s="63"/>
      <c r="NMU43" s="63"/>
      <c r="NMV43" s="63"/>
      <c r="NMW43" s="63"/>
      <c r="NMX43" s="63"/>
      <c r="NMY43" s="63"/>
      <c r="NMZ43" s="63"/>
      <c r="NNA43" s="63"/>
      <c r="NNB43" s="63"/>
      <c r="NNC43" s="63"/>
      <c r="NND43" s="63"/>
      <c r="NNE43" s="63"/>
      <c r="NNF43" s="63"/>
      <c r="NNG43" s="63"/>
      <c r="NNH43" s="63"/>
      <c r="NNI43" s="63"/>
      <c r="NNJ43" s="63"/>
      <c r="NNK43" s="63"/>
      <c r="NNL43" s="63"/>
      <c r="NNM43" s="63"/>
      <c r="NNN43" s="63"/>
      <c r="NNO43" s="63"/>
      <c r="NNP43" s="63"/>
      <c r="NNQ43" s="63"/>
      <c r="NNR43" s="63"/>
      <c r="NNS43" s="63"/>
      <c r="NNT43" s="63"/>
      <c r="NNU43" s="63"/>
      <c r="NNV43" s="63"/>
      <c r="NNW43" s="63"/>
      <c r="NNX43" s="63"/>
      <c r="NNY43" s="63"/>
      <c r="NNZ43" s="63"/>
      <c r="NOA43" s="63"/>
      <c r="NOB43" s="63"/>
      <c r="NOC43" s="63"/>
      <c r="NOD43" s="63"/>
      <c r="NOE43" s="63"/>
      <c r="NOF43" s="63"/>
      <c r="NOG43" s="63"/>
      <c r="NOH43" s="63"/>
      <c r="NOI43" s="63"/>
      <c r="NOJ43" s="63"/>
      <c r="NOK43" s="63"/>
      <c r="NOL43" s="63"/>
      <c r="NOM43" s="63"/>
      <c r="NON43" s="63"/>
      <c r="NOO43" s="63"/>
      <c r="NOP43" s="63"/>
      <c r="NOQ43" s="63"/>
      <c r="NOR43" s="63"/>
      <c r="NOS43" s="63"/>
      <c r="NOT43" s="63"/>
      <c r="NOU43" s="63"/>
      <c r="NOV43" s="63"/>
      <c r="NOW43" s="63"/>
      <c r="NOX43" s="63"/>
      <c r="NOY43" s="63"/>
      <c r="NOZ43" s="63"/>
      <c r="NPA43" s="63"/>
      <c r="NPB43" s="63"/>
      <c r="NPC43" s="63"/>
      <c r="NPD43" s="63"/>
      <c r="NPE43" s="63"/>
      <c r="NPF43" s="63"/>
      <c r="NPG43" s="63"/>
      <c r="NPH43" s="63"/>
      <c r="NPI43" s="63"/>
      <c r="NPJ43" s="63"/>
      <c r="NPK43" s="63"/>
      <c r="NPL43" s="63"/>
      <c r="NPM43" s="63"/>
      <c r="NPN43" s="63"/>
      <c r="NPO43" s="63"/>
      <c r="NPP43" s="63"/>
      <c r="NPQ43" s="63"/>
      <c r="NPR43" s="63"/>
      <c r="NPS43" s="63"/>
      <c r="NPT43" s="63"/>
      <c r="NPU43" s="63"/>
      <c r="NPV43" s="63"/>
      <c r="NPW43" s="63"/>
      <c r="NPX43" s="63"/>
      <c r="NPY43" s="63"/>
      <c r="NPZ43" s="63"/>
      <c r="NQA43" s="63"/>
      <c r="NQB43" s="63"/>
      <c r="NQC43" s="63"/>
      <c r="NQD43" s="63"/>
      <c r="NQE43" s="63"/>
      <c r="NQF43" s="63"/>
      <c r="NQG43" s="63"/>
      <c r="NQH43" s="63"/>
      <c r="NQI43" s="63"/>
      <c r="NQJ43" s="63"/>
      <c r="NQK43" s="63"/>
      <c r="NQL43" s="63"/>
      <c r="NQM43" s="63"/>
      <c r="NQN43" s="63"/>
      <c r="NQO43" s="63"/>
      <c r="NQP43" s="63"/>
      <c r="NQQ43" s="63"/>
      <c r="NQR43" s="63"/>
      <c r="NQS43" s="63"/>
      <c r="NQT43" s="63"/>
      <c r="NQU43" s="63"/>
      <c r="NQV43" s="63"/>
      <c r="NQW43" s="63"/>
      <c r="NQX43" s="63"/>
      <c r="NQY43" s="63"/>
      <c r="NQZ43" s="63"/>
      <c r="NRA43" s="63"/>
      <c r="NRB43" s="63"/>
      <c r="NRC43" s="63"/>
      <c r="NRD43" s="63"/>
      <c r="NRE43" s="63"/>
      <c r="NRF43" s="63"/>
      <c r="NRG43" s="63"/>
      <c r="NRH43" s="63"/>
      <c r="NRI43" s="63"/>
      <c r="NRJ43" s="63"/>
      <c r="NRK43" s="63"/>
      <c r="NRL43" s="63"/>
      <c r="NRM43" s="63"/>
      <c r="NRN43" s="63"/>
      <c r="NRO43" s="63"/>
      <c r="NRP43" s="63"/>
      <c r="NRQ43" s="63"/>
      <c r="NRR43" s="63"/>
      <c r="NRS43" s="63"/>
      <c r="NRT43" s="63"/>
      <c r="NRU43" s="63"/>
      <c r="NRV43" s="63"/>
      <c r="NRW43" s="63"/>
      <c r="NRX43" s="63"/>
      <c r="NRY43" s="63"/>
      <c r="NRZ43" s="63"/>
      <c r="NSA43" s="63"/>
      <c r="NSB43" s="63"/>
      <c r="NSC43" s="63"/>
      <c r="NSD43" s="63"/>
      <c r="NSE43" s="63"/>
      <c r="NSF43" s="63"/>
      <c r="NSG43" s="63"/>
      <c r="NSH43" s="63"/>
      <c r="NSI43" s="63"/>
      <c r="NSJ43" s="63"/>
      <c r="NSK43" s="63"/>
      <c r="NSL43" s="63"/>
      <c r="NSM43" s="63"/>
      <c r="NSN43" s="63"/>
      <c r="NSO43" s="63"/>
      <c r="NSP43" s="63"/>
      <c r="NSQ43" s="63"/>
      <c r="NSR43" s="63"/>
      <c r="NSS43" s="63"/>
      <c r="NST43" s="63"/>
      <c r="NSU43" s="63"/>
      <c r="NSV43" s="63"/>
      <c r="NSW43" s="63"/>
      <c r="NSX43" s="63"/>
      <c r="NSY43" s="63"/>
      <c r="NSZ43" s="63"/>
      <c r="NTA43" s="63"/>
      <c r="NTB43" s="63"/>
      <c r="NTC43" s="63"/>
      <c r="NTD43" s="63"/>
      <c r="NTE43" s="63"/>
      <c r="NTF43" s="63"/>
      <c r="NTG43" s="63"/>
      <c r="NTH43" s="63"/>
      <c r="NTI43" s="63"/>
      <c r="NTJ43" s="63"/>
      <c r="NTK43" s="63"/>
      <c r="NTL43" s="63"/>
      <c r="NTM43" s="63"/>
      <c r="NTN43" s="63"/>
      <c r="NTO43" s="63"/>
      <c r="NTP43" s="63"/>
      <c r="NTQ43" s="63"/>
      <c r="NTR43" s="63"/>
      <c r="NTS43" s="63"/>
      <c r="NTT43" s="63"/>
      <c r="NTU43" s="63"/>
      <c r="NTV43" s="63"/>
      <c r="NTW43" s="63"/>
      <c r="NTX43" s="63"/>
      <c r="NTY43" s="63"/>
      <c r="NTZ43" s="63"/>
      <c r="NUA43" s="63"/>
      <c r="NUB43" s="63"/>
      <c r="NUC43" s="63"/>
      <c r="NUD43" s="63"/>
      <c r="NUE43" s="63"/>
      <c r="NUF43" s="63"/>
      <c r="NUG43" s="63"/>
      <c r="NUH43" s="63"/>
      <c r="NUI43" s="63"/>
      <c r="NUJ43" s="63"/>
      <c r="NUK43" s="63"/>
      <c r="NUL43" s="63"/>
      <c r="NUM43" s="63"/>
      <c r="NUN43" s="63"/>
      <c r="NUO43" s="63"/>
      <c r="NUP43" s="63"/>
      <c r="NUQ43" s="63"/>
      <c r="NUR43" s="63"/>
      <c r="NUS43" s="63"/>
      <c r="NUT43" s="63"/>
      <c r="NUU43" s="63"/>
      <c r="NUV43" s="63"/>
      <c r="NUW43" s="63"/>
      <c r="NUX43" s="63"/>
      <c r="NUY43" s="63"/>
      <c r="NUZ43" s="63"/>
      <c r="NVA43" s="63"/>
      <c r="NVB43" s="63"/>
      <c r="NVC43" s="63"/>
      <c r="NVD43" s="63"/>
      <c r="NVE43" s="63"/>
      <c r="NVF43" s="63"/>
      <c r="NVG43" s="63"/>
      <c r="NVH43" s="63"/>
      <c r="NVI43" s="63"/>
      <c r="NVJ43" s="63"/>
      <c r="NVK43" s="63"/>
      <c r="NVL43" s="63"/>
      <c r="NVM43" s="63"/>
      <c r="NVN43" s="63"/>
      <c r="NVO43" s="63"/>
      <c r="NVP43" s="63"/>
      <c r="NVQ43" s="63"/>
      <c r="NVR43" s="63"/>
      <c r="NVS43" s="63"/>
      <c r="NVT43" s="63"/>
      <c r="NVU43" s="63"/>
      <c r="NVV43" s="63"/>
      <c r="NVW43" s="63"/>
      <c r="NVX43" s="63"/>
      <c r="NVY43" s="63"/>
      <c r="NVZ43" s="63"/>
      <c r="NWA43" s="63"/>
      <c r="NWB43" s="63"/>
      <c r="NWC43" s="63"/>
      <c r="NWD43" s="63"/>
      <c r="NWE43" s="63"/>
      <c r="NWF43" s="63"/>
      <c r="NWG43" s="63"/>
      <c r="NWH43" s="63"/>
      <c r="NWI43" s="63"/>
      <c r="NWJ43" s="63"/>
      <c r="NWK43" s="63"/>
      <c r="NWL43" s="63"/>
      <c r="NWM43" s="63"/>
      <c r="NWN43" s="63"/>
      <c r="NWO43" s="63"/>
      <c r="NWP43" s="63"/>
      <c r="NWQ43" s="63"/>
      <c r="NWR43" s="63"/>
      <c r="NWS43" s="63"/>
      <c r="NWT43" s="63"/>
      <c r="NWU43" s="63"/>
      <c r="NWV43" s="63"/>
      <c r="NWW43" s="63"/>
      <c r="NWX43" s="63"/>
      <c r="NWY43" s="63"/>
      <c r="NWZ43" s="63"/>
      <c r="NXA43" s="63"/>
      <c r="NXB43" s="63"/>
      <c r="NXC43" s="63"/>
      <c r="NXD43" s="63"/>
      <c r="NXE43" s="63"/>
      <c r="NXF43" s="63"/>
      <c r="NXG43" s="63"/>
      <c r="NXH43" s="63"/>
      <c r="NXI43" s="63"/>
      <c r="NXJ43" s="63"/>
      <c r="NXK43" s="63"/>
      <c r="NXL43" s="63"/>
      <c r="NXM43" s="63"/>
      <c r="NXN43" s="63"/>
      <c r="NXO43" s="63"/>
      <c r="NXP43" s="63"/>
      <c r="NXQ43" s="63"/>
      <c r="NXR43" s="63"/>
      <c r="NXS43" s="63"/>
      <c r="NXT43" s="63"/>
      <c r="NXU43" s="63"/>
      <c r="NXV43" s="63"/>
      <c r="NXW43" s="63"/>
      <c r="NXX43" s="63"/>
      <c r="NXY43" s="63"/>
      <c r="NXZ43" s="63"/>
      <c r="NYA43" s="63"/>
      <c r="NYB43" s="63"/>
      <c r="NYC43" s="63"/>
      <c r="NYD43" s="63"/>
      <c r="NYE43" s="63"/>
      <c r="NYF43" s="63"/>
      <c r="NYG43" s="63"/>
      <c r="NYH43" s="63"/>
      <c r="NYI43" s="63"/>
      <c r="NYJ43" s="63"/>
      <c r="NYK43" s="63"/>
      <c r="NYL43" s="63"/>
      <c r="NYM43" s="63"/>
      <c r="NYN43" s="63"/>
      <c r="NYO43" s="63"/>
      <c r="NYP43" s="63"/>
      <c r="NYQ43" s="63"/>
      <c r="NYR43" s="63"/>
      <c r="NYS43" s="63"/>
      <c r="NYT43" s="63"/>
      <c r="NYU43" s="63"/>
      <c r="NYV43" s="63"/>
      <c r="NYW43" s="63"/>
      <c r="NYX43" s="63"/>
      <c r="NYY43" s="63"/>
      <c r="NYZ43" s="63"/>
      <c r="NZA43" s="63"/>
      <c r="NZB43" s="63"/>
      <c r="NZC43" s="63"/>
      <c r="NZD43" s="63"/>
      <c r="NZE43" s="63"/>
      <c r="NZF43" s="63"/>
      <c r="NZG43" s="63"/>
      <c r="NZH43" s="63"/>
      <c r="NZI43" s="63"/>
      <c r="NZJ43" s="63"/>
      <c r="NZK43" s="63"/>
      <c r="NZL43" s="63"/>
      <c r="NZM43" s="63"/>
      <c r="NZN43" s="63"/>
      <c r="NZO43" s="63"/>
      <c r="NZP43" s="63"/>
      <c r="NZQ43" s="63"/>
      <c r="NZR43" s="63"/>
      <c r="NZS43" s="63"/>
      <c r="NZT43" s="63"/>
      <c r="NZU43" s="63"/>
      <c r="NZV43" s="63"/>
      <c r="NZW43" s="63"/>
      <c r="NZX43" s="63"/>
      <c r="NZY43" s="63"/>
      <c r="NZZ43" s="63"/>
      <c r="OAA43" s="63"/>
      <c r="OAB43" s="63"/>
      <c r="OAC43" s="63"/>
      <c r="OAD43" s="63"/>
      <c r="OAE43" s="63"/>
      <c r="OAF43" s="63"/>
      <c r="OAG43" s="63"/>
      <c r="OAH43" s="63"/>
      <c r="OAI43" s="63"/>
      <c r="OAJ43" s="63"/>
      <c r="OAK43" s="63"/>
      <c r="OAL43" s="63"/>
      <c r="OAM43" s="63"/>
      <c r="OAN43" s="63"/>
      <c r="OAO43" s="63"/>
      <c r="OAP43" s="63"/>
      <c r="OAQ43" s="63"/>
      <c r="OAR43" s="63"/>
      <c r="OAS43" s="63"/>
      <c r="OAT43" s="63"/>
      <c r="OAU43" s="63"/>
      <c r="OAV43" s="63"/>
      <c r="OAW43" s="63"/>
      <c r="OAX43" s="63"/>
      <c r="OAY43" s="63"/>
      <c r="OAZ43" s="63"/>
      <c r="OBA43" s="63"/>
      <c r="OBB43" s="63"/>
      <c r="OBC43" s="63"/>
      <c r="OBD43" s="63"/>
      <c r="OBE43" s="63"/>
      <c r="OBF43" s="63"/>
      <c r="OBG43" s="63"/>
      <c r="OBH43" s="63"/>
      <c r="OBI43" s="63"/>
      <c r="OBJ43" s="63"/>
      <c r="OBK43" s="63"/>
      <c r="OBL43" s="63"/>
      <c r="OBM43" s="63"/>
      <c r="OBN43" s="63"/>
      <c r="OBO43" s="63"/>
      <c r="OBP43" s="63"/>
      <c r="OBQ43" s="63"/>
      <c r="OBR43" s="63"/>
      <c r="OBS43" s="63"/>
      <c r="OBT43" s="63"/>
      <c r="OBU43" s="63"/>
      <c r="OBV43" s="63"/>
      <c r="OBW43" s="63"/>
      <c r="OBX43" s="63"/>
      <c r="OBY43" s="63"/>
      <c r="OBZ43" s="63"/>
      <c r="OCA43" s="63"/>
      <c r="OCB43" s="63"/>
      <c r="OCC43" s="63"/>
      <c r="OCD43" s="63"/>
      <c r="OCE43" s="63"/>
      <c r="OCF43" s="63"/>
      <c r="OCG43" s="63"/>
      <c r="OCH43" s="63"/>
      <c r="OCI43" s="63"/>
      <c r="OCJ43" s="63"/>
      <c r="OCK43" s="63"/>
      <c r="OCL43" s="63"/>
      <c r="OCM43" s="63"/>
      <c r="OCN43" s="63"/>
      <c r="OCO43" s="63"/>
      <c r="OCP43" s="63"/>
      <c r="OCQ43" s="63"/>
      <c r="OCR43" s="63"/>
      <c r="OCS43" s="63"/>
      <c r="OCT43" s="63"/>
      <c r="OCU43" s="63"/>
      <c r="OCV43" s="63"/>
      <c r="OCW43" s="63"/>
      <c r="OCX43" s="63"/>
      <c r="OCY43" s="63"/>
      <c r="OCZ43" s="63"/>
      <c r="ODA43" s="63"/>
      <c r="ODB43" s="63"/>
      <c r="ODC43" s="63"/>
      <c r="ODD43" s="63"/>
      <c r="ODE43" s="63"/>
      <c r="ODF43" s="63"/>
      <c r="ODG43" s="63"/>
      <c r="ODH43" s="63"/>
      <c r="ODI43" s="63"/>
      <c r="ODJ43" s="63"/>
      <c r="ODK43" s="63"/>
      <c r="ODL43" s="63"/>
      <c r="ODM43" s="63"/>
      <c r="ODN43" s="63"/>
      <c r="ODO43" s="63"/>
      <c r="ODP43" s="63"/>
      <c r="ODQ43" s="63"/>
      <c r="ODR43" s="63"/>
      <c r="ODS43" s="63"/>
      <c r="ODT43" s="63"/>
      <c r="ODU43" s="63"/>
      <c r="ODV43" s="63"/>
      <c r="ODW43" s="63"/>
      <c r="ODX43" s="63"/>
      <c r="ODY43" s="63"/>
      <c r="ODZ43" s="63"/>
      <c r="OEA43" s="63"/>
      <c r="OEB43" s="63"/>
      <c r="OEC43" s="63"/>
      <c r="OED43" s="63"/>
      <c r="OEE43" s="63"/>
      <c r="OEF43" s="63"/>
      <c r="OEG43" s="63"/>
      <c r="OEH43" s="63"/>
      <c r="OEI43" s="63"/>
      <c r="OEJ43" s="63"/>
      <c r="OEK43" s="63"/>
      <c r="OEL43" s="63"/>
      <c r="OEM43" s="63"/>
      <c r="OEN43" s="63"/>
      <c r="OEO43" s="63"/>
      <c r="OEP43" s="63"/>
      <c r="OEQ43" s="63"/>
      <c r="OER43" s="63"/>
      <c r="OES43" s="63"/>
      <c r="OET43" s="63"/>
      <c r="OEU43" s="63"/>
      <c r="OEV43" s="63"/>
      <c r="OEW43" s="63"/>
      <c r="OEX43" s="63"/>
      <c r="OEY43" s="63"/>
      <c r="OEZ43" s="63"/>
      <c r="OFA43" s="63"/>
      <c r="OFB43" s="63"/>
      <c r="OFC43" s="63"/>
      <c r="OFD43" s="63"/>
      <c r="OFE43" s="63"/>
      <c r="OFF43" s="63"/>
      <c r="OFG43" s="63"/>
      <c r="OFH43" s="63"/>
      <c r="OFI43" s="63"/>
      <c r="OFJ43" s="63"/>
      <c r="OFK43" s="63"/>
      <c r="OFL43" s="63"/>
      <c r="OFM43" s="63"/>
      <c r="OFN43" s="63"/>
      <c r="OFO43" s="63"/>
      <c r="OFP43" s="63"/>
      <c r="OFQ43" s="63"/>
      <c r="OFR43" s="63"/>
      <c r="OFS43" s="63"/>
      <c r="OFT43" s="63"/>
      <c r="OFU43" s="63"/>
      <c r="OFV43" s="63"/>
      <c r="OFW43" s="63"/>
      <c r="OFX43" s="63"/>
      <c r="OFY43" s="63"/>
      <c r="OFZ43" s="63"/>
      <c r="OGA43" s="63"/>
      <c r="OGB43" s="63"/>
      <c r="OGC43" s="63"/>
      <c r="OGD43" s="63"/>
      <c r="OGE43" s="63"/>
      <c r="OGF43" s="63"/>
      <c r="OGG43" s="63"/>
      <c r="OGH43" s="63"/>
      <c r="OGI43" s="63"/>
      <c r="OGJ43" s="63"/>
      <c r="OGK43" s="63"/>
      <c r="OGL43" s="63"/>
      <c r="OGM43" s="63"/>
      <c r="OGN43" s="63"/>
      <c r="OGO43" s="63"/>
      <c r="OGP43" s="63"/>
      <c r="OGQ43" s="63"/>
      <c r="OGR43" s="63"/>
      <c r="OGS43" s="63"/>
      <c r="OGT43" s="63"/>
      <c r="OGU43" s="63"/>
      <c r="OGV43" s="63"/>
      <c r="OGW43" s="63"/>
      <c r="OGX43" s="63"/>
      <c r="OGY43" s="63"/>
      <c r="OGZ43" s="63"/>
      <c r="OHA43" s="63"/>
      <c r="OHB43" s="63"/>
      <c r="OHC43" s="63"/>
      <c r="OHD43" s="63"/>
      <c r="OHE43" s="63"/>
      <c r="OHF43" s="63"/>
      <c r="OHG43" s="63"/>
      <c r="OHH43" s="63"/>
      <c r="OHI43" s="63"/>
      <c r="OHJ43" s="63"/>
      <c r="OHK43" s="63"/>
      <c r="OHL43" s="63"/>
      <c r="OHM43" s="63"/>
      <c r="OHN43" s="63"/>
      <c r="OHO43" s="63"/>
      <c r="OHP43" s="63"/>
      <c r="OHQ43" s="63"/>
      <c r="OHR43" s="63"/>
      <c r="OHS43" s="63"/>
      <c r="OHT43" s="63"/>
      <c r="OHU43" s="63"/>
      <c r="OHV43" s="63"/>
      <c r="OHW43" s="63"/>
      <c r="OHX43" s="63"/>
      <c r="OHY43" s="63"/>
      <c r="OHZ43" s="63"/>
      <c r="OIA43" s="63"/>
      <c r="OIB43" s="63"/>
      <c r="OIC43" s="63"/>
      <c r="OID43" s="63"/>
      <c r="OIE43" s="63"/>
      <c r="OIF43" s="63"/>
      <c r="OIG43" s="63"/>
      <c r="OIH43" s="63"/>
      <c r="OII43" s="63"/>
      <c r="OIJ43" s="63"/>
      <c r="OIK43" s="63"/>
      <c r="OIL43" s="63"/>
      <c r="OIM43" s="63"/>
      <c r="OIN43" s="63"/>
      <c r="OIO43" s="63"/>
      <c r="OIP43" s="63"/>
      <c r="OIQ43" s="63"/>
      <c r="OIR43" s="63"/>
      <c r="OIS43" s="63"/>
      <c r="OIT43" s="63"/>
      <c r="OIU43" s="63"/>
      <c r="OIV43" s="63"/>
      <c r="OIW43" s="63"/>
      <c r="OIX43" s="63"/>
      <c r="OIY43" s="63"/>
      <c r="OIZ43" s="63"/>
      <c r="OJA43" s="63"/>
      <c r="OJB43" s="63"/>
      <c r="OJC43" s="63"/>
      <c r="OJD43" s="63"/>
      <c r="OJE43" s="63"/>
      <c r="OJF43" s="63"/>
      <c r="OJG43" s="63"/>
      <c r="OJH43" s="63"/>
      <c r="OJI43" s="63"/>
      <c r="OJJ43" s="63"/>
      <c r="OJK43" s="63"/>
      <c r="OJL43" s="63"/>
      <c r="OJM43" s="63"/>
      <c r="OJN43" s="63"/>
      <c r="OJO43" s="63"/>
      <c r="OJP43" s="63"/>
      <c r="OJQ43" s="63"/>
      <c r="OJR43" s="63"/>
      <c r="OJS43" s="63"/>
      <c r="OJT43" s="63"/>
      <c r="OJU43" s="63"/>
      <c r="OJV43" s="63"/>
      <c r="OJW43" s="63"/>
      <c r="OJX43" s="63"/>
      <c r="OJY43" s="63"/>
      <c r="OJZ43" s="63"/>
      <c r="OKA43" s="63"/>
      <c r="OKB43" s="63"/>
      <c r="OKC43" s="63"/>
      <c r="OKD43" s="63"/>
      <c r="OKE43" s="63"/>
      <c r="OKF43" s="63"/>
      <c r="OKG43" s="63"/>
      <c r="OKH43" s="63"/>
      <c r="OKI43" s="63"/>
      <c r="OKJ43" s="63"/>
      <c r="OKK43" s="63"/>
      <c r="OKL43" s="63"/>
      <c r="OKM43" s="63"/>
      <c r="OKN43" s="63"/>
      <c r="OKO43" s="63"/>
      <c r="OKP43" s="63"/>
      <c r="OKQ43" s="63"/>
      <c r="OKR43" s="63"/>
      <c r="OKS43" s="63"/>
      <c r="OKT43" s="63"/>
      <c r="OKU43" s="63"/>
      <c r="OKV43" s="63"/>
      <c r="OKW43" s="63"/>
      <c r="OKX43" s="63"/>
      <c r="OKY43" s="63"/>
      <c r="OKZ43" s="63"/>
      <c r="OLA43" s="63"/>
      <c r="OLB43" s="63"/>
      <c r="OLC43" s="63"/>
      <c r="OLD43" s="63"/>
      <c r="OLE43" s="63"/>
      <c r="OLF43" s="63"/>
      <c r="OLG43" s="63"/>
      <c r="OLH43" s="63"/>
      <c r="OLI43" s="63"/>
      <c r="OLJ43" s="63"/>
      <c r="OLK43" s="63"/>
      <c r="OLL43" s="63"/>
      <c r="OLM43" s="63"/>
      <c r="OLN43" s="63"/>
      <c r="OLO43" s="63"/>
      <c r="OLP43" s="63"/>
      <c r="OLQ43" s="63"/>
      <c r="OLR43" s="63"/>
      <c r="OLS43" s="63"/>
      <c r="OLT43" s="63"/>
      <c r="OLU43" s="63"/>
      <c r="OLV43" s="63"/>
      <c r="OLW43" s="63"/>
      <c r="OLX43" s="63"/>
      <c r="OLY43" s="63"/>
      <c r="OLZ43" s="63"/>
      <c r="OMA43" s="63"/>
      <c r="OMB43" s="63"/>
      <c r="OMC43" s="63"/>
      <c r="OMD43" s="63"/>
      <c r="OME43" s="63"/>
      <c r="OMF43" s="63"/>
      <c r="OMG43" s="63"/>
      <c r="OMH43" s="63"/>
      <c r="OMI43" s="63"/>
      <c r="OMJ43" s="63"/>
      <c r="OMK43" s="63"/>
      <c r="OML43" s="63"/>
      <c r="OMM43" s="63"/>
      <c r="OMN43" s="63"/>
      <c r="OMO43" s="63"/>
      <c r="OMP43" s="63"/>
      <c r="OMQ43" s="63"/>
      <c r="OMR43" s="63"/>
      <c r="OMS43" s="63"/>
      <c r="OMT43" s="63"/>
      <c r="OMU43" s="63"/>
      <c r="OMV43" s="63"/>
      <c r="OMW43" s="63"/>
      <c r="OMX43" s="63"/>
      <c r="OMY43" s="63"/>
      <c r="OMZ43" s="63"/>
      <c r="ONA43" s="63"/>
      <c r="ONB43" s="63"/>
      <c r="ONC43" s="63"/>
      <c r="OND43" s="63"/>
      <c r="ONE43" s="63"/>
      <c r="ONF43" s="63"/>
      <c r="ONG43" s="63"/>
      <c r="ONH43" s="63"/>
      <c r="ONI43" s="63"/>
      <c r="ONJ43" s="63"/>
      <c r="ONK43" s="63"/>
      <c r="ONL43" s="63"/>
      <c r="ONM43" s="63"/>
      <c r="ONN43" s="63"/>
      <c r="ONO43" s="63"/>
      <c r="ONP43" s="63"/>
      <c r="ONQ43" s="63"/>
      <c r="ONR43" s="63"/>
      <c r="ONS43" s="63"/>
      <c r="ONT43" s="63"/>
      <c r="ONU43" s="63"/>
      <c r="ONV43" s="63"/>
      <c r="ONW43" s="63"/>
      <c r="ONX43" s="63"/>
      <c r="ONY43" s="63"/>
      <c r="ONZ43" s="63"/>
      <c r="OOA43" s="63"/>
      <c r="OOB43" s="63"/>
      <c r="OOC43" s="63"/>
      <c r="OOD43" s="63"/>
      <c r="OOE43" s="63"/>
      <c r="OOF43" s="63"/>
      <c r="OOG43" s="63"/>
      <c r="OOH43" s="63"/>
      <c r="OOI43" s="63"/>
      <c r="OOJ43" s="63"/>
      <c r="OOK43" s="63"/>
      <c r="OOL43" s="63"/>
      <c r="OOM43" s="63"/>
      <c r="OON43" s="63"/>
      <c r="OOO43" s="63"/>
      <c r="OOP43" s="63"/>
      <c r="OOQ43" s="63"/>
      <c r="OOR43" s="63"/>
      <c r="OOS43" s="63"/>
      <c r="OOT43" s="63"/>
      <c r="OOU43" s="63"/>
      <c r="OOV43" s="63"/>
      <c r="OOW43" s="63"/>
      <c r="OOX43" s="63"/>
      <c r="OOY43" s="63"/>
      <c r="OOZ43" s="63"/>
      <c r="OPA43" s="63"/>
      <c r="OPB43" s="63"/>
      <c r="OPC43" s="63"/>
      <c r="OPD43" s="63"/>
      <c r="OPE43" s="63"/>
      <c r="OPF43" s="63"/>
      <c r="OPG43" s="63"/>
      <c r="OPH43" s="63"/>
      <c r="OPI43" s="63"/>
      <c r="OPJ43" s="63"/>
      <c r="OPK43" s="63"/>
      <c r="OPL43" s="63"/>
      <c r="OPM43" s="63"/>
      <c r="OPN43" s="63"/>
      <c r="OPO43" s="63"/>
      <c r="OPP43" s="63"/>
      <c r="OPQ43" s="63"/>
      <c r="OPR43" s="63"/>
      <c r="OPS43" s="63"/>
      <c r="OPT43" s="63"/>
      <c r="OPU43" s="63"/>
      <c r="OPV43" s="63"/>
      <c r="OPW43" s="63"/>
      <c r="OPX43" s="63"/>
      <c r="OPY43" s="63"/>
      <c r="OPZ43" s="63"/>
      <c r="OQA43" s="63"/>
      <c r="OQB43" s="63"/>
      <c r="OQC43" s="63"/>
      <c r="OQD43" s="63"/>
      <c r="OQE43" s="63"/>
      <c r="OQF43" s="63"/>
      <c r="OQG43" s="63"/>
      <c r="OQH43" s="63"/>
      <c r="OQI43" s="63"/>
      <c r="OQJ43" s="63"/>
      <c r="OQK43" s="63"/>
      <c r="OQL43" s="63"/>
      <c r="OQM43" s="63"/>
      <c r="OQN43" s="63"/>
      <c r="OQO43" s="63"/>
      <c r="OQP43" s="63"/>
      <c r="OQQ43" s="63"/>
      <c r="OQR43" s="63"/>
      <c r="OQS43" s="63"/>
      <c r="OQT43" s="63"/>
      <c r="OQU43" s="63"/>
      <c r="OQV43" s="63"/>
      <c r="OQW43" s="63"/>
      <c r="OQX43" s="63"/>
      <c r="OQY43" s="63"/>
      <c r="OQZ43" s="63"/>
      <c r="ORA43" s="63"/>
      <c r="ORB43" s="63"/>
      <c r="ORC43" s="63"/>
      <c r="ORD43" s="63"/>
      <c r="ORE43" s="63"/>
      <c r="ORF43" s="63"/>
      <c r="ORG43" s="63"/>
      <c r="ORH43" s="63"/>
      <c r="ORI43" s="63"/>
      <c r="ORJ43" s="63"/>
      <c r="ORK43" s="63"/>
      <c r="ORL43" s="63"/>
      <c r="ORM43" s="63"/>
      <c r="ORN43" s="63"/>
      <c r="ORO43" s="63"/>
      <c r="ORP43" s="63"/>
      <c r="ORQ43" s="63"/>
      <c r="ORR43" s="63"/>
      <c r="ORS43" s="63"/>
      <c r="ORT43" s="63"/>
      <c r="ORU43" s="63"/>
      <c r="ORV43" s="63"/>
      <c r="ORW43" s="63"/>
      <c r="ORX43" s="63"/>
      <c r="ORY43" s="63"/>
      <c r="ORZ43" s="63"/>
      <c r="OSA43" s="63"/>
      <c r="OSB43" s="63"/>
      <c r="OSC43" s="63"/>
      <c r="OSD43" s="63"/>
      <c r="OSE43" s="63"/>
      <c r="OSF43" s="63"/>
      <c r="OSG43" s="63"/>
      <c r="OSH43" s="63"/>
      <c r="OSI43" s="63"/>
      <c r="OSJ43" s="63"/>
      <c r="OSK43" s="63"/>
      <c r="OSL43" s="63"/>
      <c r="OSM43" s="63"/>
      <c r="OSN43" s="63"/>
      <c r="OSO43" s="63"/>
      <c r="OSP43" s="63"/>
      <c r="OSQ43" s="63"/>
      <c r="OSR43" s="63"/>
      <c r="OSS43" s="63"/>
      <c r="OST43" s="63"/>
      <c r="OSU43" s="63"/>
      <c r="OSV43" s="63"/>
      <c r="OSW43" s="63"/>
      <c r="OSX43" s="63"/>
      <c r="OSY43" s="63"/>
      <c r="OSZ43" s="63"/>
      <c r="OTA43" s="63"/>
      <c r="OTB43" s="63"/>
      <c r="OTC43" s="63"/>
      <c r="OTD43" s="63"/>
      <c r="OTE43" s="63"/>
      <c r="OTF43" s="63"/>
      <c r="OTG43" s="63"/>
      <c r="OTH43" s="63"/>
      <c r="OTI43" s="63"/>
      <c r="OTJ43" s="63"/>
      <c r="OTK43" s="63"/>
      <c r="OTL43" s="63"/>
      <c r="OTM43" s="63"/>
      <c r="OTN43" s="63"/>
      <c r="OTO43" s="63"/>
      <c r="OTP43" s="63"/>
      <c r="OTQ43" s="63"/>
      <c r="OTR43" s="63"/>
      <c r="OTS43" s="63"/>
      <c r="OTT43" s="63"/>
      <c r="OTU43" s="63"/>
      <c r="OTV43" s="63"/>
      <c r="OTW43" s="63"/>
      <c r="OTX43" s="63"/>
      <c r="OTY43" s="63"/>
      <c r="OTZ43" s="63"/>
      <c r="OUA43" s="63"/>
      <c r="OUB43" s="63"/>
      <c r="OUC43" s="63"/>
      <c r="OUD43" s="63"/>
      <c r="OUE43" s="63"/>
      <c r="OUF43" s="63"/>
      <c r="OUG43" s="63"/>
      <c r="OUH43" s="63"/>
      <c r="OUI43" s="63"/>
      <c r="OUJ43" s="63"/>
      <c r="OUK43" s="63"/>
      <c r="OUL43" s="63"/>
      <c r="OUM43" s="63"/>
      <c r="OUN43" s="63"/>
      <c r="OUO43" s="63"/>
      <c r="OUP43" s="63"/>
      <c r="OUQ43" s="63"/>
      <c r="OUR43" s="63"/>
      <c r="OUS43" s="63"/>
      <c r="OUT43" s="63"/>
      <c r="OUU43" s="63"/>
      <c r="OUV43" s="63"/>
      <c r="OUW43" s="63"/>
      <c r="OUX43" s="63"/>
      <c r="OUY43" s="63"/>
      <c r="OUZ43" s="63"/>
      <c r="OVA43" s="63"/>
      <c r="OVB43" s="63"/>
      <c r="OVC43" s="63"/>
      <c r="OVD43" s="63"/>
      <c r="OVE43" s="63"/>
      <c r="OVF43" s="63"/>
      <c r="OVG43" s="63"/>
      <c r="OVH43" s="63"/>
      <c r="OVI43" s="63"/>
      <c r="OVJ43" s="63"/>
      <c r="OVK43" s="63"/>
      <c r="OVL43" s="63"/>
      <c r="OVM43" s="63"/>
      <c r="OVN43" s="63"/>
      <c r="OVO43" s="63"/>
      <c r="OVP43" s="63"/>
      <c r="OVQ43" s="63"/>
      <c r="OVR43" s="63"/>
      <c r="OVS43" s="63"/>
      <c r="OVT43" s="63"/>
      <c r="OVU43" s="63"/>
      <c r="OVV43" s="63"/>
      <c r="OVW43" s="63"/>
      <c r="OVX43" s="63"/>
      <c r="OVY43" s="63"/>
      <c r="OVZ43" s="63"/>
      <c r="OWA43" s="63"/>
      <c r="OWB43" s="63"/>
      <c r="OWC43" s="63"/>
      <c r="OWD43" s="63"/>
      <c r="OWE43" s="63"/>
      <c r="OWF43" s="63"/>
      <c r="OWG43" s="63"/>
      <c r="OWH43" s="63"/>
      <c r="OWI43" s="63"/>
      <c r="OWJ43" s="63"/>
      <c r="OWK43" s="63"/>
      <c r="OWL43" s="63"/>
      <c r="OWM43" s="63"/>
      <c r="OWN43" s="63"/>
      <c r="OWO43" s="63"/>
      <c r="OWP43" s="63"/>
      <c r="OWQ43" s="63"/>
      <c r="OWR43" s="63"/>
      <c r="OWS43" s="63"/>
      <c r="OWT43" s="63"/>
      <c r="OWU43" s="63"/>
      <c r="OWV43" s="63"/>
      <c r="OWW43" s="63"/>
      <c r="OWX43" s="63"/>
      <c r="OWY43" s="63"/>
      <c r="OWZ43" s="63"/>
      <c r="OXA43" s="63"/>
      <c r="OXB43" s="63"/>
      <c r="OXC43" s="63"/>
      <c r="OXD43" s="63"/>
      <c r="OXE43" s="63"/>
      <c r="OXF43" s="63"/>
      <c r="OXG43" s="63"/>
      <c r="OXH43" s="63"/>
      <c r="OXI43" s="63"/>
      <c r="OXJ43" s="63"/>
      <c r="OXK43" s="63"/>
      <c r="OXL43" s="63"/>
      <c r="OXM43" s="63"/>
      <c r="OXN43" s="63"/>
      <c r="OXO43" s="63"/>
      <c r="OXP43" s="63"/>
      <c r="OXQ43" s="63"/>
      <c r="OXR43" s="63"/>
      <c r="OXS43" s="63"/>
      <c r="OXT43" s="63"/>
      <c r="OXU43" s="63"/>
      <c r="OXV43" s="63"/>
      <c r="OXW43" s="63"/>
      <c r="OXX43" s="63"/>
      <c r="OXY43" s="63"/>
      <c r="OXZ43" s="63"/>
      <c r="OYA43" s="63"/>
      <c r="OYB43" s="63"/>
      <c r="OYC43" s="63"/>
      <c r="OYD43" s="63"/>
      <c r="OYE43" s="63"/>
      <c r="OYF43" s="63"/>
      <c r="OYG43" s="63"/>
      <c r="OYH43" s="63"/>
      <c r="OYI43" s="63"/>
      <c r="OYJ43" s="63"/>
      <c r="OYK43" s="63"/>
      <c r="OYL43" s="63"/>
      <c r="OYM43" s="63"/>
      <c r="OYN43" s="63"/>
      <c r="OYO43" s="63"/>
      <c r="OYP43" s="63"/>
      <c r="OYQ43" s="63"/>
      <c r="OYR43" s="63"/>
      <c r="OYS43" s="63"/>
      <c r="OYT43" s="63"/>
      <c r="OYU43" s="63"/>
      <c r="OYV43" s="63"/>
      <c r="OYW43" s="63"/>
      <c r="OYX43" s="63"/>
      <c r="OYY43" s="63"/>
      <c r="OYZ43" s="63"/>
      <c r="OZA43" s="63"/>
      <c r="OZB43" s="63"/>
      <c r="OZC43" s="63"/>
      <c r="OZD43" s="63"/>
      <c r="OZE43" s="63"/>
      <c r="OZF43" s="63"/>
      <c r="OZG43" s="63"/>
      <c r="OZH43" s="63"/>
      <c r="OZI43" s="63"/>
      <c r="OZJ43" s="63"/>
      <c r="OZK43" s="63"/>
      <c r="OZL43" s="63"/>
      <c r="OZM43" s="63"/>
      <c r="OZN43" s="63"/>
      <c r="OZO43" s="63"/>
      <c r="OZP43" s="63"/>
      <c r="OZQ43" s="63"/>
      <c r="OZR43" s="63"/>
      <c r="OZS43" s="63"/>
      <c r="OZT43" s="63"/>
      <c r="OZU43" s="63"/>
      <c r="OZV43" s="63"/>
      <c r="OZW43" s="63"/>
      <c r="OZX43" s="63"/>
      <c r="OZY43" s="63"/>
      <c r="OZZ43" s="63"/>
      <c r="PAA43" s="63"/>
      <c r="PAB43" s="63"/>
      <c r="PAC43" s="63"/>
      <c r="PAD43" s="63"/>
      <c r="PAE43" s="63"/>
      <c r="PAF43" s="63"/>
      <c r="PAG43" s="63"/>
      <c r="PAH43" s="63"/>
      <c r="PAI43" s="63"/>
      <c r="PAJ43" s="63"/>
      <c r="PAK43" s="63"/>
      <c r="PAL43" s="63"/>
      <c r="PAM43" s="63"/>
      <c r="PAN43" s="63"/>
      <c r="PAO43" s="63"/>
      <c r="PAP43" s="63"/>
      <c r="PAQ43" s="63"/>
      <c r="PAR43" s="63"/>
      <c r="PAS43" s="63"/>
      <c r="PAT43" s="63"/>
      <c r="PAU43" s="63"/>
      <c r="PAV43" s="63"/>
      <c r="PAW43" s="63"/>
      <c r="PAX43" s="63"/>
      <c r="PAY43" s="63"/>
      <c r="PAZ43" s="63"/>
      <c r="PBA43" s="63"/>
      <c r="PBB43" s="63"/>
      <c r="PBC43" s="63"/>
      <c r="PBD43" s="63"/>
      <c r="PBE43" s="63"/>
      <c r="PBF43" s="63"/>
      <c r="PBG43" s="63"/>
      <c r="PBH43" s="63"/>
      <c r="PBI43" s="63"/>
      <c r="PBJ43" s="63"/>
      <c r="PBK43" s="63"/>
      <c r="PBL43" s="63"/>
      <c r="PBM43" s="63"/>
      <c r="PBN43" s="63"/>
      <c r="PBO43" s="63"/>
      <c r="PBP43" s="63"/>
      <c r="PBQ43" s="63"/>
      <c r="PBR43" s="63"/>
      <c r="PBS43" s="63"/>
      <c r="PBT43" s="63"/>
      <c r="PBU43" s="63"/>
      <c r="PBV43" s="63"/>
      <c r="PBW43" s="63"/>
      <c r="PBX43" s="63"/>
      <c r="PBY43" s="63"/>
      <c r="PBZ43" s="63"/>
      <c r="PCA43" s="63"/>
      <c r="PCB43" s="63"/>
      <c r="PCC43" s="63"/>
      <c r="PCD43" s="63"/>
      <c r="PCE43" s="63"/>
      <c r="PCF43" s="63"/>
      <c r="PCG43" s="63"/>
      <c r="PCH43" s="63"/>
      <c r="PCI43" s="63"/>
      <c r="PCJ43" s="63"/>
      <c r="PCK43" s="63"/>
      <c r="PCL43" s="63"/>
      <c r="PCM43" s="63"/>
      <c r="PCN43" s="63"/>
      <c r="PCO43" s="63"/>
      <c r="PCP43" s="63"/>
      <c r="PCQ43" s="63"/>
      <c r="PCR43" s="63"/>
      <c r="PCS43" s="63"/>
      <c r="PCT43" s="63"/>
      <c r="PCU43" s="63"/>
      <c r="PCV43" s="63"/>
      <c r="PCW43" s="63"/>
      <c r="PCX43" s="63"/>
      <c r="PCY43" s="63"/>
      <c r="PCZ43" s="63"/>
      <c r="PDA43" s="63"/>
      <c r="PDB43" s="63"/>
      <c r="PDC43" s="63"/>
      <c r="PDD43" s="63"/>
      <c r="PDE43" s="63"/>
      <c r="PDF43" s="63"/>
      <c r="PDG43" s="63"/>
      <c r="PDH43" s="63"/>
      <c r="PDI43" s="63"/>
      <c r="PDJ43" s="63"/>
      <c r="PDK43" s="63"/>
      <c r="PDL43" s="63"/>
      <c r="PDM43" s="63"/>
      <c r="PDN43" s="63"/>
      <c r="PDO43" s="63"/>
      <c r="PDP43" s="63"/>
      <c r="PDQ43" s="63"/>
      <c r="PDR43" s="63"/>
      <c r="PDS43" s="63"/>
      <c r="PDT43" s="63"/>
      <c r="PDU43" s="63"/>
      <c r="PDV43" s="63"/>
      <c r="PDW43" s="63"/>
      <c r="PDX43" s="63"/>
      <c r="PDY43" s="63"/>
      <c r="PDZ43" s="63"/>
      <c r="PEA43" s="63"/>
      <c r="PEB43" s="63"/>
      <c r="PEC43" s="63"/>
      <c r="PED43" s="63"/>
      <c r="PEE43" s="63"/>
      <c r="PEF43" s="63"/>
      <c r="PEG43" s="63"/>
      <c r="PEH43" s="63"/>
      <c r="PEI43" s="63"/>
      <c r="PEJ43" s="63"/>
      <c r="PEK43" s="63"/>
      <c r="PEL43" s="63"/>
      <c r="PEM43" s="63"/>
      <c r="PEN43" s="63"/>
      <c r="PEO43" s="63"/>
      <c r="PEP43" s="63"/>
      <c r="PEQ43" s="63"/>
      <c r="PER43" s="63"/>
      <c r="PES43" s="63"/>
      <c r="PET43" s="63"/>
      <c r="PEU43" s="63"/>
      <c r="PEV43" s="63"/>
      <c r="PEW43" s="63"/>
      <c r="PEX43" s="63"/>
      <c r="PEY43" s="63"/>
      <c r="PEZ43" s="63"/>
      <c r="PFA43" s="63"/>
      <c r="PFB43" s="63"/>
      <c r="PFC43" s="63"/>
      <c r="PFD43" s="63"/>
      <c r="PFE43" s="63"/>
      <c r="PFF43" s="63"/>
      <c r="PFG43" s="63"/>
      <c r="PFH43" s="63"/>
      <c r="PFI43" s="63"/>
      <c r="PFJ43" s="63"/>
      <c r="PFK43" s="63"/>
      <c r="PFL43" s="63"/>
      <c r="PFM43" s="63"/>
      <c r="PFN43" s="63"/>
      <c r="PFO43" s="63"/>
      <c r="PFP43" s="63"/>
      <c r="PFQ43" s="63"/>
      <c r="PFR43" s="63"/>
      <c r="PFS43" s="63"/>
      <c r="PFT43" s="63"/>
      <c r="PFU43" s="63"/>
      <c r="PFV43" s="63"/>
      <c r="PFW43" s="63"/>
      <c r="PFX43" s="63"/>
      <c r="PFY43" s="63"/>
      <c r="PFZ43" s="63"/>
      <c r="PGA43" s="63"/>
      <c r="PGB43" s="63"/>
      <c r="PGC43" s="63"/>
      <c r="PGD43" s="63"/>
      <c r="PGE43" s="63"/>
      <c r="PGF43" s="63"/>
      <c r="PGG43" s="63"/>
      <c r="PGH43" s="63"/>
      <c r="PGI43" s="63"/>
      <c r="PGJ43" s="63"/>
      <c r="PGK43" s="63"/>
      <c r="PGL43" s="63"/>
      <c r="PGM43" s="63"/>
      <c r="PGN43" s="63"/>
      <c r="PGO43" s="63"/>
      <c r="PGP43" s="63"/>
      <c r="PGQ43" s="63"/>
      <c r="PGR43" s="63"/>
      <c r="PGS43" s="63"/>
      <c r="PGT43" s="63"/>
      <c r="PGU43" s="63"/>
      <c r="PGV43" s="63"/>
      <c r="PGW43" s="63"/>
      <c r="PGX43" s="63"/>
      <c r="PGY43" s="63"/>
      <c r="PGZ43" s="63"/>
      <c r="PHA43" s="63"/>
      <c r="PHB43" s="63"/>
      <c r="PHC43" s="63"/>
      <c r="PHD43" s="63"/>
      <c r="PHE43" s="63"/>
      <c r="PHF43" s="63"/>
      <c r="PHG43" s="63"/>
      <c r="PHH43" s="63"/>
      <c r="PHI43" s="63"/>
      <c r="PHJ43" s="63"/>
      <c r="PHK43" s="63"/>
      <c r="PHL43" s="63"/>
      <c r="PHM43" s="63"/>
      <c r="PHN43" s="63"/>
      <c r="PHO43" s="63"/>
      <c r="PHP43" s="63"/>
      <c r="PHQ43" s="63"/>
      <c r="PHR43" s="63"/>
      <c r="PHS43" s="63"/>
      <c r="PHT43" s="63"/>
      <c r="PHU43" s="63"/>
      <c r="PHV43" s="63"/>
      <c r="PHW43" s="63"/>
      <c r="PHX43" s="63"/>
      <c r="PHY43" s="63"/>
      <c r="PHZ43" s="63"/>
      <c r="PIA43" s="63"/>
      <c r="PIB43" s="63"/>
      <c r="PIC43" s="63"/>
      <c r="PID43" s="63"/>
      <c r="PIE43" s="63"/>
      <c r="PIF43" s="63"/>
      <c r="PIG43" s="63"/>
      <c r="PIH43" s="63"/>
      <c r="PII43" s="63"/>
      <c r="PIJ43" s="63"/>
      <c r="PIK43" s="63"/>
      <c r="PIL43" s="63"/>
      <c r="PIM43" s="63"/>
      <c r="PIN43" s="63"/>
      <c r="PIO43" s="63"/>
      <c r="PIP43" s="63"/>
      <c r="PIQ43" s="63"/>
      <c r="PIR43" s="63"/>
      <c r="PIS43" s="63"/>
      <c r="PIT43" s="63"/>
      <c r="PIU43" s="63"/>
      <c r="PIV43" s="63"/>
      <c r="PIW43" s="63"/>
      <c r="PIX43" s="63"/>
      <c r="PIY43" s="63"/>
      <c r="PIZ43" s="63"/>
      <c r="PJA43" s="63"/>
      <c r="PJB43" s="63"/>
      <c r="PJC43" s="63"/>
      <c r="PJD43" s="63"/>
      <c r="PJE43" s="63"/>
      <c r="PJF43" s="63"/>
      <c r="PJG43" s="63"/>
      <c r="PJH43" s="63"/>
      <c r="PJI43" s="63"/>
      <c r="PJJ43" s="63"/>
      <c r="PJK43" s="63"/>
      <c r="PJL43" s="63"/>
      <c r="PJM43" s="63"/>
      <c r="PJN43" s="63"/>
      <c r="PJO43" s="63"/>
      <c r="PJP43" s="63"/>
      <c r="PJQ43" s="63"/>
      <c r="PJR43" s="63"/>
      <c r="PJS43" s="63"/>
      <c r="PJT43" s="63"/>
      <c r="PJU43" s="63"/>
      <c r="PJV43" s="63"/>
      <c r="PJW43" s="63"/>
      <c r="PJX43" s="63"/>
      <c r="PJY43" s="63"/>
      <c r="PJZ43" s="63"/>
      <c r="PKA43" s="63"/>
      <c r="PKB43" s="63"/>
      <c r="PKC43" s="63"/>
      <c r="PKD43" s="63"/>
      <c r="PKE43" s="63"/>
      <c r="PKF43" s="63"/>
      <c r="PKG43" s="63"/>
      <c r="PKH43" s="63"/>
      <c r="PKI43" s="63"/>
      <c r="PKJ43" s="63"/>
      <c r="PKK43" s="63"/>
      <c r="PKL43" s="63"/>
      <c r="PKM43" s="63"/>
      <c r="PKN43" s="63"/>
      <c r="PKO43" s="63"/>
      <c r="PKP43" s="63"/>
      <c r="PKQ43" s="63"/>
      <c r="PKR43" s="63"/>
      <c r="PKS43" s="63"/>
      <c r="PKT43" s="63"/>
      <c r="PKU43" s="63"/>
      <c r="PKV43" s="63"/>
      <c r="PKW43" s="63"/>
      <c r="PKX43" s="63"/>
      <c r="PKY43" s="63"/>
      <c r="PKZ43" s="63"/>
      <c r="PLA43" s="63"/>
      <c r="PLB43" s="63"/>
      <c r="PLC43" s="63"/>
      <c r="PLD43" s="63"/>
      <c r="PLE43" s="63"/>
      <c r="PLF43" s="63"/>
      <c r="PLG43" s="63"/>
      <c r="PLH43" s="63"/>
      <c r="PLI43" s="63"/>
      <c r="PLJ43" s="63"/>
      <c r="PLK43" s="63"/>
      <c r="PLL43" s="63"/>
      <c r="PLM43" s="63"/>
      <c r="PLN43" s="63"/>
      <c r="PLO43" s="63"/>
      <c r="PLP43" s="63"/>
      <c r="PLQ43" s="63"/>
      <c r="PLR43" s="63"/>
      <c r="PLS43" s="63"/>
      <c r="PLT43" s="63"/>
      <c r="PLU43" s="63"/>
      <c r="PLV43" s="63"/>
      <c r="PLW43" s="63"/>
      <c r="PLX43" s="63"/>
      <c r="PLY43" s="63"/>
      <c r="PLZ43" s="63"/>
      <c r="PMA43" s="63"/>
      <c r="PMB43" s="63"/>
      <c r="PMC43" s="63"/>
      <c r="PMD43" s="63"/>
      <c r="PME43" s="63"/>
      <c r="PMF43" s="63"/>
      <c r="PMG43" s="63"/>
      <c r="PMH43" s="63"/>
      <c r="PMI43" s="63"/>
      <c r="PMJ43" s="63"/>
      <c r="PMK43" s="63"/>
      <c r="PML43" s="63"/>
      <c r="PMM43" s="63"/>
      <c r="PMN43" s="63"/>
      <c r="PMO43" s="63"/>
      <c r="PMP43" s="63"/>
      <c r="PMQ43" s="63"/>
      <c r="PMR43" s="63"/>
      <c r="PMS43" s="63"/>
      <c r="PMT43" s="63"/>
      <c r="PMU43" s="63"/>
      <c r="PMV43" s="63"/>
      <c r="PMW43" s="63"/>
      <c r="PMX43" s="63"/>
      <c r="PMY43" s="63"/>
      <c r="PMZ43" s="63"/>
      <c r="PNA43" s="63"/>
      <c r="PNB43" s="63"/>
      <c r="PNC43" s="63"/>
      <c r="PND43" s="63"/>
      <c r="PNE43" s="63"/>
      <c r="PNF43" s="63"/>
      <c r="PNG43" s="63"/>
      <c r="PNH43" s="63"/>
      <c r="PNI43" s="63"/>
      <c r="PNJ43" s="63"/>
      <c r="PNK43" s="63"/>
      <c r="PNL43" s="63"/>
      <c r="PNM43" s="63"/>
      <c r="PNN43" s="63"/>
      <c r="PNO43" s="63"/>
      <c r="PNP43" s="63"/>
      <c r="PNQ43" s="63"/>
      <c r="PNR43" s="63"/>
      <c r="PNS43" s="63"/>
      <c r="PNT43" s="63"/>
      <c r="PNU43" s="63"/>
      <c r="PNV43" s="63"/>
      <c r="PNW43" s="63"/>
      <c r="PNX43" s="63"/>
      <c r="PNY43" s="63"/>
      <c r="PNZ43" s="63"/>
      <c r="POA43" s="63"/>
      <c r="POB43" s="63"/>
      <c r="POC43" s="63"/>
      <c r="POD43" s="63"/>
      <c r="POE43" s="63"/>
      <c r="POF43" s="63"/>
      <c r="POG43" s="63"/>
      <c r="POH43" s="63"/>
      <c r="POI43" s="63"/>
      <c r="POJ43" s="63"/>
      <c r="POK43" s="63"/>
      <c r="POL43" s="63"/>
      <c r="POM43" s="63"/>
      <c r="PON43" s="63"/>
      <c r="POO43" s="63"/>
      <c r="POP43" s="63"/>
      <c r="POQ43" s="63"/>
      <c r="POR43" s="63"/>
      <c r="POS43" s="63"/>
      <c r="POT43" s="63"/>
      <c r="POU43" s="63"/>
      <c r="POV43" s="63"/>
      <c r="POW43" s="63"/>
      <c r="POX43" s="63"/>
      <c r="POY43" s="63"/>
      <c r="POZ43" s="63"/>
      <c r="PPA43" s="63"/>
      <c r="PPB43" s="63"/>
      <c r="PPC43" s="63"/>
      <c r="PPD43" s="63"/>
      <c r="PPE43" s="63"/>
      <c r="PPF43" s="63"/>
      <c r="PPG43" s="63"/>
      <c r="PPH43" s="63"/>
      <c r="PPI43" s="63"/>
      <c r="PPJ43" s="63"/>
      <c r="PPK43" s="63"/>
      <c r="PPL43" s="63"/>
      <c r="PPM43" s="63"/>
      <c r="PPN43" s="63"/>
      <c r="PPO43" s="63"/>
      <c r="PPP43" s="63"/>
      <c r="PPQ43" s="63"/>
      <c r="PPR43" s="63"/>
      <c r="PPS43" s="63"/>
      <c r="PPT43" s="63"/>
      <c r="PPU43" s="63"/>
      <c r="PPV43" s="63"/>
      <c r="PPW43" s="63"/>
      <c r="PPX43" s="63"/>
      <c r="PPY43" s="63"/>
      <c r="PPZ43" s="63"/>
      <c r="PQA43" s="63"/>
      <c r="PQB43" s="63"/>
      <c r="PQC43" s="63"/>
      <c r="PQD43" s="63"/>
      <c r="PQE43" s="63"/>
      <c r="PQF43" s="63"/>
      <c r="PQG43" s="63"/>
      <c r="PQH43" s="63"/>
      <c r="PQI43" s="63"/>
      <c r="PQJ43" s="63"/>
      <c r="PQK43" s="63"/>
      <c r="PQL43" s="63"/>
      <c r="PQM43" s="63"/>
      <c r="PQN43" s="63"/>
      <c r="PQO43" s="63"/>
      <c r="PQP43" s="63"/>
      <c r="PQQ43" s="63"/>
      <c r="PQR43" s="63"/>
      <c r="PQS43" s="63"/>
      <c r="PQT43" s="63"/>
      <c r="PQU43" s="63"/>
      <c r="PQV43" s="63"/>
      <c r="PQW43" s="63"/>
      <c r="PQX43" s="63"/>
      <c r="PQY43" s="63"/>
      <c r="PQZ43" s="63"/>
      <c r="PRA43" s="63"/>
      <c r="PRB43" s="63"/>
      <c r="PRC43" s="63"/>
      <c r="PRD43" s="63"/>
      <c r="PRE43" s="63"/>
      <c r="PRF43" s="63"/>
      <c r="PRG43" s="63"/>
      <c r="PRH43" s="63"/>
      <c r="PRI43" s="63"/>
      <c r="PRJ43" s="63"/>
      <c r="PRK43" s="63"/>
      <c r="PRL43" s="63"/>
      <c r="PRM43" s="63"/>
      <c r="PRN43" s="63"/>
      <c r="PRO43" s="63"/>
      <c r="PRP43" s="63"/>
      <c r="PRQ43" s="63"/>
      <c r="PRR43" s="63"/>
      <c r="PRS43" s="63"/>
      <c r="PRT43" s="63"/>
      <c r="PRU43" s="63"/>
      <c r="PRV43" s="63"/>
      <c r="PRW43" s="63"/>
      <c r="PRX43" s="63"/>
      <c r="PRY43" s="63"/>
      <c r="PRZ43" s="63"/>
      <c r="PSA43" s="63"/>
      <c r="PSB43" s="63"/>
      <c r="PSC43" s="63"/>
      <c r="PSD43" s="63"/>
      <c r="PSE43" s="63"/>
      <c r="PSF43" s="63"/>
      <c r="PSG43" s="63"/>
      <c r="PSH43" s="63"/>
      <c r="PSI43" s="63"/>
      <c r="PSJ43" s="63"/>
      <c r="PSK43" s="63"/>
      <c r="PSL43" s="63"/>
      <c r="PSM43" s="63"/>
      <c r="PSN43" s="63"/>
      <c r="PSO43" s="63"/>
      <c r="PSP43" s="63"/>
      <c r="PSQ43" s="63"/>
      <c r="PSR43" s="63"/>
      <c r="PSS43" s="63"/>
      <c r="PST43" s="63"/>
      <c r="PSU43" s="63"/>
      <c r="PSV43" s="63"/>
      <c r="PSW43" s="63"/>
      <c r="PSX43" s="63"/>
      <c r="PSY43" s="63"/>
      <c r="PSZ43" s="63"/>
      <c r="PTA43" s="63"/>
      <c r="PTB43" s="63"/>
      <c r="PTC43" s="63"/>
      <c r="PTD43" s="63"/>
      <c r="PTE43" s="63"/>
      <c r="PTF43" s="63"/>
      <c r="PTG43" s="63"/>
      <c r="PTH43" s="63"/>
      <c r="PTI43" s="63"/>
      <c r="PTJ43" s="63"/>
      <c r="PTK43" s="63"/>
      <c r="PTL43" s="63"/>
      <c r="PTM43" s="63"/>
      <c r="PTN43" s="63"/>
      <c r="PTO43" s="63"/>
      <c r="PTP43" s="63"/>
      <c r="PTQ43" s="63"/>
      <c r="PTR43" s="63"/>
      <c r="PTS43" s="63"/>
      <c r="PTT43" s="63"/>
      <c r="PTU43" s="63"/>
      <c r="PTV43" s="63"/>
      <c r="PTW43" s="63"/>
      <c r="PTX43" s="63"/>
      <c r="PTY43" s="63"/>
      <c r="PTZ43" s="63"/>
      <c r="PUA43" s="63"/>
      <c r="PUB43" s="63"/>
      <c r="PUC43" s="63"/>
      <c r="PUD43" s="63"/>
      <c r="PUE43" s="63"/>
      <c r="PUF43" s="63"/>
      <c r="PUG43" s="63"/>
      <c r="PUH43" s="63"/>
      <c r="PUI43" s="63"/>
      <c r="PUJ43" s="63"/>
      <c r="PUK43" s="63"/>
      <c r="PUL43" s="63"/>
      <c r="PUM43" s="63"/>
      <c r="PUN43" s="63"/>
      <c r="PUO43" s="63"/>
      <c r="PUP43" s="63"/>
      <c r="PUQ43" s="63"/>
      <c r="PUR43" s="63"/>
      <c r="PUS43" s="63"/>
      <c r="PUT43" s="63"/>
      <c r="PUU43" s="63"/>
      <c r="PUV43" s="63"/>
      <c r="PUW43" s="63"/>
      <c r="PUX43" s="63"/>
      <c r="PUY43" s="63"/>
      <c r="PUZ43" s="63"/>
      <c r="PVA43" s="63"/>
      <c r="PVB43" s="63"/>
      <c r="PVC43" s="63"/>
      <c r="PVD43" s="63"/>
      <c r="PVE43" s="63"/>
      <c r="PVF43" s="63"/>
      <c r="PVG43" s="63"/>
      <c r="PVH43" s="63"/>
      <c r="PVI43" s="63"/>
      <c r="PVJ43" s="63"/>
      <c r="PVK43" s="63"/>
      <c r="PVL43" s="63"/>
      <c r="PVM43" s="63"/>
      <c r="PVN43" s="63"/>
      <c r="PVO43" s="63"/>
      <c r="PVP43" s="63"/>
      <c r="PVQ43" s="63"/>
      <c r="PVR43" s="63"/>
      <c r="PVS43" s="63"/>
      <c r="PVT43" s="63"/>
      <c r="PVU43" s="63"/>
      <c r="PVV43" s="63"/>
      <c r="PVW43" s="63"/>
      <c r="PVX43" s="63"/>
      <c r="PVY43" s="63"/>
      <c r="PVZ43" s="63"/>
      <c r="PWA43" s="63"/>
      <c r="PWB43" s="63"/>
      <c r="PWC43" s="63"/>
      <c r="PWD43" s="63"/>
      <c r="PWE43" s="63"/>
      <c r="PWF43" s="63"/>
      <c r="PWG43" s="63"/>
      <c r="PWH43" s="63"/>
      <c r="PWI43" s="63"/>
      <c r="PWJ43" s="63"/>
      <c r="PWK43" s="63"/>
      <c r="PWL43" s="63"/>
      <c r="PWM43" s="63"/>
      <c r="PWN43" s="63"/>
      <c r="PWO43" s="63"/>
      <c r="PWP43" s="63"/>
      <c r="PWQ43" s="63"/>
      <c r="PWR43" s="63"/>
      <c r="PWS43" s="63"/>
      <c r="PWT43" s="63"/>
      <c r="PWU43" s="63"/>
      <c r="PWV43" s="63"/>
      <c r="PWW43" s="63"/>
      <c r="PWX43" s="63"/>
      <c r="PWY43" s="63"/>
      <c r="PWZ43" s="63"/>
      <c r="PXA43" s="63"/>
      <c r="PXB43" s="63"/>
      <c r="PXC43" s="63"/>
      <c r="PXD43" s="63"/>
      <c r="PXE43" s="63"/>
      <c r="PXF43" s="63"/>
      <c r="PXG43" s="63"/>
      <c r="PXH43" s="63"/>
      <c r="PXI43" s="63"/>
      <c r="PXJ43" s="63"/>
      <c r="PXK43" s="63"/>
      <c r="PXL43" s="63"/>
      <c r="PXM43" s="63"/>
      <c r="PXN43" s="63"/>
      <c r="PXO43" s="63"/>
      <c r="PXP43" s="63"/>
      <c r="PXQ43" s="63"/>
      <c r="PXR43" s="63"/>
      <c r="PXS43" s="63"/>
      <c r="PXT43" s="63"/>
      <c r="PXU43" s="63"/>
      <c r="PXV43" s="63"/>
      <c r="PXW43" s="63"/>
      <c r="PXX43" s="63"/>
      <c r="PXY43" s="63"/>
      <c r="PXZ43" s="63"/>
      <c r="PYA43" s="63"/>
      <c r="PYB43" s="63"/>
      <c r="PYC43" s="63"/>
      <c r="PYD43" s="63"/>
      <c r="PYE43" s="63"/>
      <c r="PYF43" s="63"/>
      <c r="PYG43" s="63"/>
      <c r="PYH43" s="63"/>
      <c r="PYI43" s="63"/>
      <c r="PYJ43" s="63"/>
      <c r="PYK43" s="63"/>
      <c r="PYL43" s="63"/>
      <c r="PYM43" s="63"/>
      <c r="PYN43" s="63"/>
      <c r="PYO43" s="63"/>
      <c r="PYP43" s="63"/>
      <c r="PYQ43" s="63"/>
      <c r="PYR43" s="63"/>
      <c r="PYS43" s="63"/>
      <c r="PYT43" s="63"/>
      <c r="PYU43" s="63"/>
      <c r="PYV43" s="63"/>
      <c r="PYW43" s="63"/>
      <c r="PYX43" s="63"/>
      <c r="PYY43" s="63"/>
      <c r="PYZ43" s="63"/>
      <c r="PZA43" s="63"/>
      <c r="PZB43" s="63"/>
      <c r="PZC43" s="63"/>
      <c r="PZD43" s="63"/>
      <c r="PZE43" s="63"/>
      <c r="PZF43" s="63"/>
      <c r="PZG43" s="63"/>
      <c r="PZH43" s="63"/>
      <c r="PZI43" s="63"/>
      <c r="PZJ43" s="63"/>
      <c r="PZK43" s="63"/>
      <c r="PZL43" s="63"/>
      <c r="PZM43" s="63"/>
      <c r="PZN43" s="63"/>
      <c r="PZO43" s="63"/>
      <c r="PZP43" s="63"/>
      <c r="PZQ43" s="63"/>
      <c r="PZR43" s="63"/>
      <c r="PZS43" s="63"/>
      <c r="PZT43" s="63"/>
      <c r="PZU43" s="63"/>
      <c r="PZV43" s="63"/>
      <c r="PZW43" s="63"/>
      <c r="PZX43" s="63"/>
      <c r="PZY43" s="63"/>
      <c r="PZZ43" s="63"/>
      <c r="QAA43" s="63"/>
      <c r="QAB43" s="63"/>
      <c r="QAC43" s="63"/>
      <c r="QAD43" s="63"/>
      <c r="QAE43" s="63"/>
      <c r="QAF43" s="63"/>
      <c r="QAG43" s="63"/>
      <c r="QAH43" s="63"/>
      <c r="QAI43" s="63"/>
      <c r="QAJ43" s="63"/>
      <c r="QAK43" s="63"/>
      <c r="QAL43" s="63"/>
      <c r="QAM43" s="63"/>
      <c r="QAN43" s="63"/>
      <c r="QAO43" s="63"/>
      <c r="QAP43" s="63"/>
      <c r="QAQ43" s="63"/>
      <c r="QAR43" s="63"/>
      <c r="QAS43" s="63"/>
      <c r="QAT43" s="63"/>
      <c r="QAU43" s="63"/>
      <c r="QAV43" s="63"/>
      <c r="QAW43" s="63"/>
      <c r="QAX43" s="63"/>
      <c r="QAY43" s="63"/>
      <c r="QAZ43" s="63"/>
      <c r="QBA43" s="63"/>
      <c r="QBB43" s="63"/>
      <c r="QBC43" s="63"/>
      <c r="QBD43" s="63"/>
      <c r="QBE43" s="63"/>
      <c r="QBF43" s="63"/>
      <c r="QBG43" s="63"/>
      <c r="QBH43" s="63"/>
      <c r="QBI43" s="63"/>
      <c r="QBJ43" s="63"/>
      <c r="QBK43" s="63"/>
      <c r="QBL43" s="63"/>
      <c r="QBM43" s="63"/>
      <c r="QBN43" s="63"/>
      <c r="QBO43" s="63"/>
      <c r="QBP43" s="63"/>
      <c r="QBQ43" s="63"/>
      <c r="QBR43" s="63"/>
      <c r="QBS43" s="63"/>
      <c r="QBT43" s="63"/>
      <c r="QBU43" s="63"/>
      <c r="QBV43" s="63"/>
      <c r="QBW43" s="63"/>
      <c r="QBX43" s="63"/>
      <c r="QBY43" s="63"/>
      <c r="QBZ43" s="63"/>
      <c r="QCA43" s="63"/>
      <c r="QCB43" s="63"/>
      <c r="QCC43" s="63"/>
      <c r="QCD43" s="63"/>
      <c r="QCE43" s="63"/>
      <c r="QCF43" s="63"/>
      <c r="QCG43" s="63"/>
      <c r="QCH43" s="63"/>
      <c r="QCI43" s="63"/>
      <c r="QCJ43" s="63"/>
      <c r="QCK43" s="63"/>
      <c r="QCL43" s="63"/>
      <c r="QCM43" s="63"/>
      <c r="QCN43" s="63"/>
      <c r="QCO43" s="63"/>
      <c r="QCP43" s="63"/>
      <c r="QCQ43" s="63"/>
      <c r="QCR43" s="63"/>
      <c r="QCS43" s="63"/>
      <c r="QCT43" s="63"/>
      <c r="QCU43" s="63"/>
      <c r="QCV43" s="63"/>
      <c r="QCW43" s="63"/>
      <c r="QCX43" s="63"/>
      <c r="QCY43" s="63"/>
      <c r="QCZ43" s="63"/>
      <c r="QDA43" s="63"/>
      <c r="QDB43" s="63"/>
      <c r="QDC43" s="63"/>
      <c r="QDD43" s="63"/>
      <c r="QDE43" s="63"/>
      <c r="QDF43" s="63"/>
      <c r="QDG43" s="63"/>
      <c r="QDH43" s="63"/>
      <c r="QDI43" s="63"/>
      <c r="QDJ43" s="63"/>
      <c r="QDK43" s="63"/>
      <c r="QDL43" s="63"/>
      <c r="QDM43" s="63"/>
      <c r="QDN43" s="63"/>
      <c r="QDO43" s="63"/>
      <c r="QDP43" s="63"/>
      <c r="QDQ43" s="63"/>
      <c r="QDR43" s="63"/>
      <c r="QDS43" s="63"/>
      <c r="QDT43" s="63"/>
      <c r="QDU43" s="63"/>
      <c r="QDV43" s="63"/>
      <c r="QDW43" s="63"/>
      <c r="QDX43" s="63"/>
      <c r="QDY43" s="63"/>
      <c r="QDZ43" s="63"/>
      <c r="QEA43" s="63"/>
      <c r="QEB43" s="63"/>
      <c r="QEC43" s="63"/>
      <c r="QED43" s="63"/>
      <c r="QEE43" s="63"/>
      <c r="QEF43" s="63"/>
      <c r="QEG43" s="63"/>
      <c r="QEH43" s="63"/>
      <c r="QEI43" s="63"/>
      <c r="QEJ43" s="63"/>
      <c r="QEK43" s="63"/>
      <c r="QEL43" s="63"/>
      <c r="QEM43" s="63"/>
      <c r="QEN43" s="63"/>
      <c r="QEO43" s="63"/>
      <c r="QEP43" s="63"/>
      <c r="QEQ43" s="63"/>
      <c r="QER43" s="63"/>
      <c r="QES43" s="63"/>
      <c r="QET43" s="63"/>
      <c r="QEU43" s="63"/>
      <c r="QEV43" s="63"/>
      <c r="QEW43" s="63"/>
      <c r="QEX43" s="63"/>
      <c r="QEY43" s="63"/>
      <c r="QEZ43" s="63"/>
      <c r="QFA43" s="63"/>
      <c r="QFB43" s="63"/>
      <c r="QFC43" s="63"/>
      <c r="QFD43" s="63"/>
      <c r="QFE43" s="63"/>
      <c r="QFF43" s="63"/>
      <c r="QFG43" s="63"/>
      <c r="QFH43" s="63"/>
      <c r="QFI43" s="63"/>
      <c r="QFJ43" s="63"/>
      <c r="QFK43" s="63"/>
      <c r="QFL43" s="63"/>
      <c r="QFM43" s="63"/>
      <c r="QFN43" s="63"/>
      <c r="QFO43" s="63"/>
      <c r="QFP43" s="63"/>
      <c r="QFQ43" s="63"/>
      <c r="QFR43" s="63"/>
      <c r="QFS43" s="63"/>
      <c r="QFT43" s="63"/>
      <c r="QFU43" s="63"/>
      <c r="QFV43" s="63"/>
      <c r="QFW43" s="63"/>
      <c r="QFX43" s="63"/>
      <c r="QFY43" s="63"/>
      <c r="QFZ43" s="63"/>
      <c r="QGA43" s="63"/>
      <c r="QGB43" s="63"/>
      <c r="QGC43" s="63"/>
      <c r="QGD43" s="63"/>
      <c r="QGE43" s="63"/>
      <c r="QGF43" s="63"/>
      <c r="QGG43" s="63"/>
      <c r="QGH43" s="63"/>
      <c r="QGI43" s="63"/>
      <c r="QGJ43" s="63"/>
      <c r="QGK43" s="63"/>
      <c r="QGL43" s="63"/>
      <c r="QGM43" s="63"/>
      <c r="QGN43" s="63"/>
      <c r="QGO43" s="63"/>
      <c r="QGP43" s="63"/>
      <c r="QGQ43" s="63"/>
      <c r="QGR43" s="63"/>
      <c r="QGS43" s="63"/>
      <c r="QGT43" s="63"/>
      <c r="QGU43" s="63"/>
      <c r="QGV43" s="63"/>
      <c r="QGW43" s="63"/>
      <c r="QGX43" s="63"/>
      <c r="QGY43" s="63"/>
      <c r="QGZ43" s="63"/>
      <c r="QHA43" s="63"/>
      <c r="QHB43" s="63"/>
      <c r="QHC43" s="63"/>
      <c r="QHD43" s="63"/>
      <c r="QHE43" s="63"/>
      <c r="QHF43" s="63"/>
      <c r="QHG43" s="63"/>
      <c r="QHH43" s="63"/>
      <c r="QHI43" s="63"/>
      <c r="QHJ43" s="63"/>
      <c r="QHK43" s="63"/>
      <c r="QHL43" s="63"/>
      <c r="QHM43" s="63"/>
      <c r="QHN43" s="63"/>
      <c r="QHO43" s="63"/>
      <c r="QHP43" s="63"/>
      <c r="QHQ43" s="63"/>
      <c r="QHR43" s="63"/>
      <c r="QHS43" s="63"/>
      <c r="QHT43" s="63"/>
      <c r="QHU43" s="63"/>
      <c r="QHV43" s="63"/>
      <c r="QHW43" s="63"/>
      <c r="QHX43" s="63"/>
      <c r="QHY43" s="63"/>
      <c r="QHZ43" s="63"/>
      <c r="QIA43" s="63"/>
      <c r="QIB43" s="63"/>
      <c r="QIC43" s="63"/>
      <c r="QID43" s="63"/>
      <c r="QIE43" s="63"/>
      <c r="QIF43" s="63"/>
      <c r="QIG43" s="63"/>
      <c r="QIH43" s="63"/>
      <c r="QII43" s="63"/>
      <c r="QIJ43" s="63"/>
      <c r="QIK43" s="63"/>
      <c r="QIL43" s="63"/>
      <c r="QIM43" s="63"/>
      <c r="QIN43" s="63"/>
      <c r="QIO43" s="63"/>
      <c r="QIP43" s="63"/>
      <c r="QIQ43" s="63"/>
      <c r="QIR43" s="63"/>
      <c r="QIS43" s="63"/>
      <c r="QIT43" s="63"/>
      <c r="QIU43" s="63"/>
      <c r="QIV43" s="63"/>
      <c r="QIW43" s="63"/>
      <c r="QIX43" s="63"/>
      <c r="QIY43" s="63"/>
      <c r="QIZ43" s="63"/>
      <c r="QJA43" s="63"/>
      <c r="QJB43" s="63"/>
      <c r="QJC43" s="63"/>
      <c r="QJD43" s="63"/>
      <c r="QJE43" s="63"/>
      <c r="QJF43" s="63"/>
      <c r="QJG43" s="63"/>
      <c r="QJH43" s="63"/>
      <c r="QJI43" s="63"/>
      <c r="QJJ43" s="63"/>
      <c r="QJK43" s="63"/>
      <c r="QJL43" s="63"/>
      <c r="QJM43" s="63"/>
      <c r="QJN43" s="63"/>
      <c r="QJO43" s="63"/>
      <c r="QJP43" s="63"/>
      <c r="QJQ43" s="63"/>
      <c r="QJR43" s="63"/>
      <c r="QJS43" s="63"/>
      <c r="QJT43" s="63"/>
      <c r="QJU43" s="63"/>
      <c r="QJV43" s="63"/>
      <c r="QJW43" s="63"/>
      <c r="QJX43" s="63"/>
      <c r="QJY43" s="63"/>
      <c r="QJZ43" s="63"/>
      <c r="QKA43" s="63"/>
      <c r="QKB43" s="63"/>
      <c r="QKC43" s="63"/>
      <c r="QKD43" s="63"/>
      <c r="QKE43" s="63"/>
      <c r="QKF43" s="63"/>
      <c r="QKG43" s="63"/>
      <c r="QKH43" s="63"/>
      <c r="QKI43" s="63"/>
      <c r="QKJ43" s="63"/>
      <c r="QKK43" s="63"/>
      <c r="QKL43" s="63"/>
      <c r="QKM43" s="63"/>
      <c r="QKN43" s="63"/>
      <c r="QKO43" s="63"/>
      <c r="QKP43" s="63"/>
      <c r="QKQ43" s="63"/>
      <c r="QKR43" s="63"/>
      <c r="QKS43" s="63"/>
      <c r="QKT43" s="63"/>
      <c r="QKU43" s="63"/>
      <c r="QKV43" s="63"/>
      <c r="QKW43" s="63"/>
      <c r="QKX43" s="63"/>
      <c r="QKY43" s="63"/>
      <c r="QKZ43" s="63"/>
      <c r="QLA43" s="63"/>
      <c r="QLB43" s="63"/>
      <c r="QLC43" s="63"/>
      <c r="QLD43" s="63"/>
      <c r="QLE43" s="63"/>
      <c r="QLF43" s="63"/>
      <c r="QLG43" s="63"/>
      <c r="QLH43" s="63"/>
      <c r="QLI43" s="63"/>
      <c r="QLJ43" s="63"/>
      <c r="QLK43" s="63"/>
      <c r="QLL43" s="63"/>
      <c r="QLM43" s="63"/>
      <c r="QLN43" s="63"/>
      <c r="QLO43" s="63"/>
      <c r="QLP43" s="63"/>
      <c r="QLQ43" s="63"/>
      <c r="QLR43" s="63"/>
      <c r="QLS43" s="63"/>
      <c r="QLT43" s="63"/>
      <c r="QLU43" s="63"/>
      <c r="QLV43" s="63"/>
      <c r="QLW43" s="63"/>
      <c r="QLX43" s="63"/>
      <c r="QLY43" s="63"/>
      <c r="QLZ43" s="63"/>
      <c r="QMA43" s="63"/>
      <c r="QMB43" s="63"/>
      <c r="QMC43" s="63"/>
      <c r="QMD43" s="63"/>
      <c r="QME43" s="63"/>
      <c r="QMF43" s="63"/>
      <c r="QMG43" s="63"/>
      <c r="QMH43" s="63"/>
      <c r="QMI43" s="63"/>
      <c r="QMJ43" s="63"/>
      <c r="QMK43" s="63"/>
      <c r="QML43" s="63"/>
      <c r="QMM43" s="63"/>
      <c r="QMN43" s="63"/>
      <c r="QMO43" s="63"/>
      <c r="QMP43" s="63"/>
      <c r="QMQ43" s="63"/>
      <c r="QMR43" s="63"/>
      <c r="QMS43" s="63"/>
      <c r="QMT43" s="63"/>
      <c r="QMU43" s="63"/>
      <c r="QMV43" s="63"/>
      <c r="QMW43" s="63"/>
      <c r="QMX43" s="63"/>
      <c r="QMY43" s="63"/>
      <c r="QMZ43" s="63"/>
      <c r="QNA43" s="63"/>
      <c r="QNB43" s="63"/>
      <c r="QNC43" s="63"/>
      <c r="QND43" s="63"/>
      <c r="QNE43" s="63"/>
      <c r="QNF43" s="63"/>
      <c r="QNG43" s="63"/>
      <c r="QNH43" s="63"/>
      <c r="QNI43" s="63"/>
      <c r="QNJ43" s="63"/>
      <c r="QNK43" s="63"/>
      <c r="QNL43" s="63"/>
      <c r="QNM43" s="63"/>
      <c r="QNN43" s="63"/>
      <c r="QNO43" s="63"/>
      <c r="QNP43" s="63"/>
      <c r="QNQ43" s="63"/>
      <c r="QNR43" s="63"/>
      <c r="QNS43" s="63"/>
      <c r="QNT43" s="63"/>
      <c r="QNU43" s="63"/>
      <c r="QNV43" s="63"/>
      <c r="QNW43" s="63"/>
      <c r="QNX43" s="63"/>
      <c r="QNY43" s="63"/>
      <c r="QNZ43" s="63"/>
      <c r="QOA43" s="63"/>
      <c r="QOB43" s="63"/>
      <c r="QOC43" s="63"/>
      <c r="QOD43" s="63"/>
      <c r="QOE43" s="63"/>
      <c r="QOF43" s="63"/>
      <c r="QOG43" s="63"/>
      <c r="QOH43" s="63"/>
      <c r="QOI43" s="63"/>
      <c r="QOJ43" s="63"/>
      <c r="QOK43" s="63"/>
      <c r="QOL43" s="63"/>
      <c r="QOM43" s="63"/>
      <c r="QON43" s="63"/>
      <c r="QOO43" s="63"/>
      <c r="QOP43" s="63"/>
      <c r="QOQ43" s="63"/>
      <c r="QOR43" s="63"/>
      <c r="QOS43" s="63"/>
      <c r="QOT43" s="63"/>
      <c r="QOU43" s="63"/>
      <c r="QOV43" s="63"/>
      <c r="QOW43" s="63"/>
      <c r="QOX43" s="63"/>
      <c r="QOY43" s="63"/>
      <c r="QOZ43" s="63"/>
      <c r="QPA43" s="63"/>
      <c r="QPB43" s="63"/>
      <c r="QPC43" s="63"/>
      <c r="QPD43" s="63"/>
      <c r="QPE43" s="63"/>
      <c r="QPF43" s="63"/>
      <c r="QPG43" s="63"/>
      <c r="QPH43" s="63"/>
      <c r="QPI43" s="63"/>
      <c r="QPJ43" s="63"/>
      <c r="QPK43" s="63"/>
      <c r="QPL43" s="63"/>
      <c r="QPM43" s="63"/>
      <c r="QPN43" s="63"/>
      <c r="QPO43" s="63"/>
      <c r="QPP43" s="63"/>
      <c r="QPQ43" s="63"/>
      <c r="QPR43" s="63"/>
      <c r="QPS43" s="63"/>
      <c r="QPT43" s="63"/>
      <c r="QPU43" s="63"/>
      <c r="QPV43" s="63"/>
      <c r="QPW43" s="63"/>
      <c r="QPX43" s="63"/>
      <c r="QPY43" s="63"/>
      <c r="QPZ43" s="63"/>
      <c r="QQA43" s="63"/>
      <c r="QQB43" s="63"/>
      <c r="QQC43" s="63"/>
      <c r="QQD43" s="63"/>
      <c r="QQE43" s="63"/>
      <c r="QQF43" s="63"/>
      <c r="QQG43" s="63"/>
      <c r="QQH43" s="63"/>
      <c r="QQI43" s="63"/>
      <c r="QQJ43" s="63"/>
      <c r="QQK43" s="63"/>
      <c r="QQL43" s="63"/>
      <c r="QQM43" s="63"/>
      <c r="QQN43" s="63"/>
      <c r="QQO43" s="63"/>
      <c r="QQP43" s="63"/>
      <c r="QQQ43" s="63"/>
      <c r="QQR43" s="63"/>
      <c r="QQS43" s="63"/>
      <c r="QQT43" s="63"/>
      <c r="QQU43" s="63"/>
      <c r="QQV43" s="63"/>
      <c r="QQW43" s="63"/>
      <c r="QQX43" s="63"/>
      <c r="QQY43" s="63"/>
      <c r="QQZ43" s="63"/>
      <c r="QRA43" s="63"/>
      <c r="QRB43" s="63"/>
      <c r="QRC43" s="63"/>
      <c r="QRD43" s="63"/>
      <c r="QRE43" s="63"/>
      <c r="QRF43" s="63"/>
      <c r="QRG43" s="63"/>
      <c r="QRH43" s="63"/>
      <c r="QRI43" s="63"/>
      <c r="QRJ43" s="63"/>
      <c r="QRK43" s="63"/>
      <c r="QRL43" s="63"/>
      <c r="QRM43" s="63"/>
      <c r="QRN43" s="63"/>
      <c r="QRO43" s="63"/>
      <c r="QRP43" s="63"/>
      <c r="QRQ43" s="63"/>
      <c r="QRR43" s="63"/>
      <c r="QRS43" s="63"/>
      <c r="QRT43" s="63"/>
      <c r="QRU43" s="63"/>
      <c r="QRV43" s="63"/>
      <c r="QRW43" s="63"/>
      <c r="QRX43" s="63"/>
      <c r="QRY43" s="63"/>
      <c r="QRZ43" s="63"/>
      <c r="QSA43" s="63"/>
      <c r="QSB43" s="63"/>
      <c r="QSC43" s="63"/>
      <c r="QSD43" s="63"/>
      <c r="QSE43" s="63"/>
      <c r="QSF43" s="63"/>
      <c r="QSG43" s="63"/>
      <c r="QSH43" s="63"/>
      <c r="QSI43" s="63"/>
      <c r="QSJ43" s="63"/>
      <c r="QSK43" s="63"/>
      <c r="QSL43" s="63"/>
      <c r="QSM43" s="63"/>
      <c r="QSN43" s="63"/>
      <c r="QSO43" s="63"/>
      <c r="QSP43" s="63"/>
      <c r="QSQ43" s="63"/>
      <c r="QSR43" s="63"/>
      <c r="QSS43" s="63"/>
      <c r="QST43" s="63"/>
      <c r="QSU43" s="63"/>
      <c r="QSV43" s="63"/>
      <c r="QSW43" s="63"/>
      <c r="QSX43" s="63"/>
      <c r="QSY43" s="63"/>
      <c r="QSZ43" s="63"/>
      <c r="QTA43" s="63"/>
      <c r="QTB43" s="63"/>
      <c r="QTC43" s="63"/>
      <c r="QTD43" s="63"/>
      <c r="QTE43" s="63"/>
      <c r="QTF43" s="63"/>
      <c r="QTG43" s="63"/>
      <c r="QTH43" s="63"/>
      <c r="QTI43" s="63"/>
      <c r="QTJ43" s="63"/>
      <c r="QTK43" s="63"/>
      <c r="QTL43" s="63"/>
      <c r="QTM43" s="63"/>
      <c r="QTN43" s="63"/>
      <c r="QTO43" s="63"/>
      <c r="QTP43" s="63"/>
      <c r="QTQ43" s="63"/>
      <c r="QTR43" s="63"/>
      <c r="QTS43" s="63"/>
      <c r="QTT43" s="63"/>
      <c r="QTU43" s="63"/>
      <c r="QTV43" s="63"/>
      <c r="QTW43" s="63"/>
      <c r="QTX43" s="63"/>
      <c r="QTY43" s="63"/>
      <c r="QTZ43" s="63"/>
      <c r="QUA43" s="63"/>
      <c r="QUB43" s="63"/>
      <c r="QUC43" s="63"/>
      <c r="QUD43" s="63"/>
      <c r="QUE43" s="63"/>
      <c r="QUF43" s="63"/>
      <c r="QUG43" s="63"/>
      <c r="QUH43" s="63"/>
      <c r="QUI43" s="63"/>
      <c r="QUJ43" s="63"/>
      <c r="QUK43" s="63"/>
      <c r="QUL43" s="63"/>
      <c r="QUM43" s="63"/>
      <c r="QUN43" s="63"/>
      <c r="QUO43" s="63"/>
      <c r="QUP43" s="63"/>
      <c r="QUQ43" s="63"/>
      <c r="QUR43" s="63"/>
      <c r="QUS43" s="63"/>
      <c r="QUT43" s="63"/>
      <c r="QUU43" s="63"/>
      <c r="QUV43" s="63"/>
      <c r="QUW43" s="63"/>
      <c r="QUX43" s="63"/>
      <c r="QUY43" s="63"/>
      <c r="QUZ43" s="63"/>
      <c r="QVA43" s="63"/>
      <c r="QVB43" s="63"/>
      <c r="QVC43" s="63"/>
      <c r="QVD43" s="63"/>
      <c r="QVE43" s="63"/>
      <c r="QVF43" s="63"/>
      <c r="QVG43" s="63"/>
      <c r="QVH43" s="63"/>
      <c r="QVI43" s="63"/>
      <c r="QVJ43" s="63"/>
      <c r="QVK43" s="63"/>
      <c r="QVL43" s="63"/>
      <c r="QVM43" s="63"/>
      <c r="QVN43" s="63"/>
      <c r="QVO43" s="63"/>
      <c r="QVP43" s="63"/>
      <c r="QVQ43" s="63"/>
      <c r="QVR43" s="63"/>
      <c r="QVS43" s="63"/>
      <c r="QVT43" s="63"/>
      <c r="QVU43" s="63"/>
      <c r="QVV43" s="63"/>
      <c r="QVW43" s="63"/>
      <c r="QVX43" s="63"/>
      <c r="QVY43" s="63"/>
      <c r="QVZ43" s="63"/>
      <c r="QWA43" s="63"/>
      <c r="QWB43" s="63"/>
      <c r="QWC43" s="63"/>
      <c r="QWD43" s="63"/>
      <c r="QWE43" s="63"/>
      <c r="QWF43" s="63"/>
      <c r="QWG43" s="63"/>
      <c r="QWH43" s="63"/>
      <c r="QWI43" s="63"/>
      <c r="QWJ43" s="63"/>
      <c r="QWK43" s="63"/>
      <c r="QWL43" s="63"/>
      <c r="QWM43" s="63"/>
      <c r="QWN43" s="63"/>
      <c r="QWO43" s="63"/>
      <c r="QWP43" s="63"/>
      <c r="QWQ43" s="63"/>
      <c r="QWR43" s="63"/>
      <c r="QWS43" s="63"/>
      <c r="QWT43" s="63"/>
      <c r="QWU43" s="63"/>
      <c r="QWV43" s="63"/>
      <c r="QWW43" s="63"/>
      <c r="QWX43" s="63"/>
      <c r="QWY43" s="63"/>
      <c r="QWZ43" s="63"/>
      <c r="QXA43" s="63"/>
      <c r="QXB43" s="63"/>
      <c r="QXC43" s="63"/>
      <c r="QXD43" s="63"/>
      <c r="QXE43" s="63"/>
      <c r="QXF43" s="63"/>
      <c r="QXG43" s="63"/>
      <c r="QXH43" s="63"/>
      <c r="QXI43" s="63"/>
      <c r="QXJ43" s="63"/>
      <c r="QXK43" s="63"/>
      <c r="QXL43" s="63"/>
      <c r="QXM43" s="63"/>
      <c r="QXN43" s="63"/>
      <c r="QXO43" s="63"/>
      <c r="QXP43" s="63"/>
      <c r="QXQ43" s="63"/>
      <c r="QXR43" s="63"/>
      <c r="QXS43" s="63"/>
      <c r="QXT43" s="63"/>
      <c r="QXU43" s="63"/>
      <c r="QXV43" s="63"/>
      <c r="QXW43" s="63"/>
      <c r="QXX43" s="63"/>
      <c r="QXY43" s="63"/>
      <c r="QXZ43" s="63"/>
      <c r="QYA43" s="63"/>
      <c r="QYB43" s="63"/>
      <c r="QYC43" s="63"/>
      <c r="QYD43" s="63"/>
      <c r="QYE43" s="63"/>
      <c r="QYF43" s="63"/>
      <c r="QYG43" s="63"/>
      <c r="QYH43" s="63"/>
      <c r="QYI43" s="63"/>
      <c r="QYJ43" s="63"/>
      <c r="QYK43" s="63"/>
      <c r="QYL43" s="63"/>
      <c r="QYM43" s="63"/>
      <c r="QYN43" s="63"/>
      <c r="QYO43" s="63"/>
      <c r="QYP43" s="63"/>
      <c r="QYQ43" s="63"/>
      <c r="QYR43" s="63"/>
      <c r="QYS43" s="63"/>
      <c r="QYT43" s="63"/>
      <c r="QYU43" s="63"/>
      <c r="QYV43" s="63"/>
      <c r="QYW43" s="63"/>
      <c r="QYX43" s="63"/>
      <c r="QYY43" s="63"/>
      <c r="QYZ43" s="63"/>
      <c r="QZA43" s="63"/>
      <c r="QZB43" s="63"/>
      <c r="QZC43" s="63"/>
      <c r="QZD43" s="63"/>
      <c r="QZE43" s="63"/>
      <c r="QZF43" s="63"/>
      <c r="QZG43" s="63"/>
      <c r="QZH43" s="63"/>
      <c r="QZI43" s="63"/>
      <c r="QZJ43" s="63"/>
      <c r="QZK43" s="63"/>
      <c r="QZL43" s="63"/>
      <c r="QZM43" s="63"/>
      <c r="QZN43" s="63"/>
      <c r="QZO43" s="63"/>
      <c r="QZP43" s="63"/>
      <c r="QZQ43" s="63"/>
      <c r="QZR43" s="63"/>
      <c r="QZS43" s="63"/>
      <c r="QZT43" s="63"/>
      <c r="QZU43" s="63"/>
      <c r="QZV43" s="63"/>
      <c r="QZW43" s="63"/>
      <c r="QZX43" s="63"/>
      <c r="QZY43" s="63"/>
      <c r="QZZ43" s="63"/>
      <c r="RAA43" s="63"/>
      <c r="RAB43" s="63"/>
      <c r="RAC43" s="63"/>
      <c r="RAD43" s="63"/>
      <c r="RAE43" s="63"/>
      <c r="RAF43" s="63"/>
      <c r="RAG43" s="63"/>
      <c r="RAH43" s="63"/>
      <c r="RAI43" s="63"/>
      <c r="RAJ43" s="63"/>
      <c r="RAK43" s="63"/>
      <c r="RAL43" s="63"/>
      <c r="RAM43" s="63"/>
      <c r="RAN43" s="63"/>
      <c r="RAO43" s="63"/>
      <c r="RAP43" s="63"/>
      <c r="RAQ43" s="63"/>
      <c r="RAR43" s="63"/>
      <c r="RAS43" s="63"/>
      <c r="RAT43" s="63"/>
      <c r="RAU43" s="63"/>
      <c r="RAV43" s="63"/>
      <c r="RAW43" s="63"/>
      <c r="RAX43" s="63"/>
      <c r="RAY43" s="63"/>
      <c r="RAZ43" s="63"/>
      <c r="RBA43" s="63"/>
      <c r="RBB43" s="63"/>
      <c r="RBC43" s="63"/>
      <c r="RBD43" s="63"/>
      <c r="RBE43" s="63"/>
      <c r="RBF43" s="63"/>
      <c r="RBG43" s="63"/>
      <c r="RBH43" s="63"/>
      <c r="RBI43" s="63"/>
      <c r="RBJ43" s="63"/>
      <c r="RBK43" s="63"/>
      <c r="RBL43" s="63"/>
      <c r="RBM43" s="63"/>
      <c r="RBN43" s="63"/>
      <c r="RBO43" s="63"/>
      <c r="RBP43" s="63"/>
      <c r="RBQ43" s="63"/>
      <c r="RBR43" s="63"/>
      <c r="RBS43" s="63"/>
      <c r="RBT43" s="63"/>
      <c r="RBU43" s="63"/>
      <c r="RBV43" s="63"/>
      <c r="RBW43" s="63"/>
      <c r="RBX43" s="63"/>
      <c r="RBY43" s="63"/>
      <c r="RBZ43" s="63"/>
      <c r="RCA43" s="63"/>
      <c r="RCB43" s="63"/>
      <c r="RCC43" s="63"/>
      <c r="RCD43" s="63"/>
      <c r="RCE43" s="63"/>
      <c r="RCF43" s="63"/>
      <c r="RCG43" s="63"/>
      <c r="RCH43" s="63"/>
      <c r="RCI43" s="63"/>
      <c r="RCJ43" s="63"/>
      <c r="RCK43" s="63"/>
      <c r="RCL43" s="63"/>
      <c r="RCM43" s="63"/>
      <c r="RCN43" s="63"/>
      <c r="RCO43" s="63"/>
      <c r="RCP43" s="63"/>
      <c r="RCQ43" s="63"/>
      <c r="RCR43" s="63"/>
      <c r="RCS43" s="63"/>
      <c r="RCT43" s="63"/>
      <c r="RCU43" s="63"/>
      <c r="RCV43" s="63"/>
      <c r="RCW43" s="63"/>
      <c r="RCX43" s="63"/>
      <c r="RCY43" s="63"/>
      <c r="RCZ43" s="63"/>
      <c r="RDA43" s="63"/>
      <c r="RDB43" s="63"/>
      <c r="RDC43" s="63"/>
      <c r="RDD43" s="63"/>
      <c r="RDE43" s="63"/>
      <c r="RDF43" s="63"/>
      <c r="RDG43" s="63"/>
      <c r="RDH43" s="63"/>
      <c r="RDI43" s="63"/>
      <c r="RDJ43" s="63"/>
      <c r="RDK43" s="63"/>
      <c r="RDL43" s="63"/>
      <c r="RDM43" s="63"/>
      <c r="RDN43" s="63"/>
      <c r="RDO43" s="63"/>
      <c r="RDP43" s="63"/>
      <c r="RDQ43" s="63"/>
      <c r="RDR43" s="63"/>
      <c r="RDS43" s="63"/>
      <c r="RDT43" s="63"/>
      <c r="RDU43" s="63"/>
      <c r="RDV43" s="63"/>
      <c r="RDW43" s="63"/>
      <c r="RDX43" s="63"/>
      <c r="RDY43" s="63"/>
      <c r="RDZ43" s="63"/>
      <c r="REA43" s="63"/>
      <c r="REB43" s="63"/>
      <c r="REC43" s="63"/>
      <c r="RED43" s="63"/>
      <c r="REE43" s="63"/>
      <c r="REF43" s="63"/>
      <c r="REG43" s="63"/>
      <c r="REH43" s="63"/>
      <c r="REI43" s="63"/>
      <c r="REJ43" s="63"/>
      <c r="REK43" s="63"/>
      <c r="REL43" s="63"/>
      <c r="REM43" s="63"/>
      <c r="REN43" s="63"/>
      <c r="REO43" s="63"/>
      <c r="REP43" s="63"/>
      <c r="REQ43" s="63"/>
      <c r="RER43" s="63"/>
      <c r="RES43" s="63"/>
      <c r="RET43" s="63"/>
      <c r="REU43" s="63"/>
      <c r="REV43" s="63"/>
      <c r="REW43" s="63"/>
      <c r="REX43" s="63"/>
      <c r="REY43" s="63"/>
      <c r="REZ43" s="63"/>
      <c r="RFA43" s="63"/>
      <c r="RFB43" s="63"/>
      <c r="RFC43" s="63"/>
      <c r="RFD43" s="63"/>
      <c r="RFE43" s="63"/>
      <c r="RFF43" s="63"/>
      <c r="RFG43" s="63"/>
      <c r="RFH43" s="63"/>
      <c r="RFI43" s="63"/>
      <c r="RFJ43" s="63"/>
      <c r="RFK43" s="63"/>
      <c r="RFL43" s="63"/>
      <c r="RFM43" s="63"/>
      <c r="RFN43" s="63"/>
      <c r="RFO43" s="63"/>
      <c r="RFP43" s="63"/>
      <c r="RFQ43" s="63"/>
      <c r="RFR43" s="63"/>
      <c r="RFS43" s="63"/>
      <c r="RFT43" s="63"/>
      <c r="RFU43" s="63"/>
      <c r="RFV43" s="63"/>
      <c r="RFW43" s="63"/>
      <c r="RFX43" s="63"/>
      <c r="RFY43" s="63"/>
      <c r="RFZ43" s="63"/>
      <c r="RGA43" s="63"/>
      <c r="RGB43" s="63"/>
      <c r="RGC43" s="63"/>
      <c r="RGD43" s="63"/>
      <c r="RGE43" s="63"/>
      <c r="RGF43" s="63"/>
      <c r="RGG43" s="63"/>
      <c r="RGH43" s="63"/>
      <c r="RGI43" s="63"/>
      <c r="RGJ43" s="63"/>
      <c r="RGK43" s="63"/>
      <c r="RGL43" s="63"/>
      <c r="RGM43" s="63"/>
      <c r="RGN43" s="63"/>
      <c r="RGO43" s="63"/>
      <c r="RGP43" s="63"/>
      <c r="RGQ43" s="63"/>
      <c r="RGR43" s="63"/>
      <c r="RGS43" s="63"/>
      <c r="RGT43" s="63"/>
      <c r="RGU43" s="63"/>
      <c r="RGV43" s="63"/>
      <c r="RGW43" s="63"/>
      <c r="RGX43" s="63"/>
      <c r="RGY43" s="63"/>
      <c r="RGZ43" s="63"/>
      <c r="RHA43" s="63"/>
      <c r="RHB43" s="63"/>
      <c r="RHC43" s="63"/>
      <c r="RHD43" s="63"/>
      <c r="RHE43" s="63"/>
      <c r="RHF43" s="63"/>
      <c r="RHG43" s="63"/>
      <c r="RHH43" s="63"/>
      <c r="RHI43" s="63"/>
      <c r="RHJ43" s="63"/>
      <c r="RHK43" s="63"/>
      <c r="RHL43" s="63"/>
      <c r="RHM43" s="63"/>
      <c r="RHN43" s="63"/>
      <c r="RHO43" s="63"/>
      <c r="RHP43" s="63"/>
      <c r="RHQ43" s="63"/>
      <c r="RHR43" s="63"/>
      <c r="RHS43" s="63"/>
      <c r="RHT43" s="63"/>
      <c r="RHU43" s="63"/>
      <c r="RHV43" s="63"/>
      <c r="RHW43" s="63"/>
      <c r="RHX43" s="63"/>
      <c r="RHY43" s="63"/>
      <c r="RHZ43" s="63"/>
      <c r="RIA43" s="63"/>
      <c r="RIB43" s="63"/>
      <c r="RIC43" s="63"/>
      <c r="RID43" s="63"/>
      <c r="RIE43" s="63"/>
      <c r="RIF43" s="63"/>
      <c r="RIG43" s="63"/>
      <c r="RIH43" s="63"/>
      <c r="RII43" s="63"/>
      <c r="RIJ43" s="63"/>
      <c r="RIK43" s="63"/>
      <c r="RIL43" s="63"/>
      <c r="RIM43" s="63"/>
      <c r="RIN43" s="63"/>
      <c r="RIO43" s="63"/>
      <c r="RIP43" s="63"/>
      <c r="RIQ43" s="63"/>
      <c r="RIR43" s="63"/>
      <c r="RIS43" s="63"/>
      <c r="RIT43" s="63"/>
      <c r="RIU43" s="63"/>
      <c r="RIV43" s="63"/>
      <c r="RIW43" s="63"/>
      <c r="RIX43" s="63"/>
      <c r="RIY43" s="63"/>
      <c r="RIZ43" s="63"/>
      <c r="RJA43" s="63"/>
      <c r="RJB43" s="63"/>
      <c r="RJC43" s="63"/>
      <c r="RJD43" s="63"/>
      <c r="RJE43" s="63"/>
      <c r="RJF43" s="63"/>
      <c r="RJG43" s="63"/>
      <c r="RJH43" s="63"/>
      <c r="RJI43" s="63"/>
      <c r="RJJ43" s="63"/>
      <c r="RJK43" s="63"/>
      <c r="RJL43" s="63"/>
      <c r="RJM43" s="63"/>
      <c r="RJN43" s="63"/>
      <c r="RJO43" s="63"/>
      <c r="RJP43" s="63"/>
      <c r="RJQ43" s="63"/>
      <c r="RJR43" s="63"/>
      <c r="RJS43" s="63"/>
      <c r="RJT43" s="63"/>
      <c r="RJU43" s="63"/>
      <c r="RJV43" s="63"/>
      <c r="RJW43" s="63"/>
      <c r="RJX43" s="63"/>
      <c r="RJY43" s="63"/>
      <c r="RJZ43" s="63"/>
      <c r="RKA43" s="63"/>
      <c r="RKB43" s="63"/>
      <c r="RKC43" s="63"/>
      <c r="RKD43" s="63"/>
      <c r="RKE43" s="63"/>
      <c r="RKF43" s="63"/>
      <c r="RKG43" s="63"/>
      <c r="RKH43" s="63"/>
      <c r="RKI43" s="63"/>
      <c r="RKJ43" s="63"/>
      <c r="RKK43" s="63"/>
      <c r="RKL43" s="63"/>
      <c r="RKM43" s="63"/>
      <c r="RKN43" s="63"/>
      <c r="RKO43" s="63"/>
      <c r="RKP43" s="63"/>
      <c r="RKQ43" s="63"/>
      <c r="RKR43" s="63"/>
      <c r="RKS43" s="63"/>
      <c r="RKT43" s="63"/>
      <c r="RKU43" s="63"/>
      <c r="RKV43" s="63"/>
      <c r="RKW43" s="63"/>
      <c r="RKX43" s="63"/>
      <c r="RKY43" s="63"/>
      <c r="RKZ43" s="63"/>
      <c r="RLA43" s="63"/>
      <c r="RLB43" s="63"/>
      <c r="RLC43" s="63"/>
      <c r="RLD43" s="63"/>
      <c r="RLE43" s="63"/>
      <c r="RLF43" s="63"/>
      <c r="RLG43" s="63"/>
      <c r="RLH43" s="63"/>
      <c r="RLI43" s="63"/>
      <c r="RLJ43" s="63"/>
      <c r="RLK43" s="63"/>
      <c r="RLL43" s="63"/>
      <c r="RLM43" s="63"/>
      <c r="RLN43" s="63"/>
      <c r="RLO43" s="63"/>
      <c r="RLP43" s="63"/>
      <c r="RLQ43" s="63"/>
      <c r="RLR43" s="63"/>
      <c r="RLS43" s="63"/>
      <c r="RLT43" s="63"/>
      <c r="RLU43" s="63"/>
      <c r="RLV43" s="63"/>
      <c r="RLW43" s="63"/>
      <c r="RLX43" s="63"/>
      <c r="RLY43" s="63"/>
      <c r="RLZ43" s="63"/>
      <c r="RMA43" s="63"/>
      <c r="RMB43" s="63"/>
      <c r="RMC43" s="63"/>
      <c r="RMD43" s="63"/>
      <c r="RME43" s="63"/>
      <c r="RMF43" s="63"/>
      <c r="RMG43" s="63"/>
      <c r="RMH43" s="63"/>
      <c r="RMI43" s="63"/>
      <c r="RMJ43" s="63"/>
      <c r="RMK43" s="63"/>
      <c r="RML43" s="63"/>
      <c r="RMM43" s="63"/>
      <c r="RMN43" s="63"/>
      <c r="RMO43" s="63"/>
      <c r="RMP43" s="63"/>
      <c r="RMQ43" s="63"/>
      <c r="RMR43" s="63"/>
      <c r="RMS43" s="63"/>
      <c r="RMT43" s="63"/>
      <c r="RMU43" s="63"/>
      <c r="RMV43" s="63"/>
      <c r="RMW43" s="63"/>
      <c r="RMX43" s="63"/>
      <c r="RMY43" s="63"/>
      <c r="RMZ43" s="63"/>
      <c r="RNA43" s="63"/>
      <c r="RNB43" s="63"/>
      <c r="RNC43" s="63"/>
      <c r="RND43" s="63"/>
      <c r="RNE43" s="63"/>
      <c r="RNF43" s="63"/>
      <c r="RNG43" s="63"/>
      <c r="RNH43" s="63"/>
      <c r="RNI43" s="63"/>
      <c r="RNJ43" s="63"/>
      <c r="RNK43" s="63"/>
      <c r="RNL43" s="63"/>
      <c r="RNM43" s="63"/>
      <c r="RNN43" s="63"/>
      <c r="RNO43" s="63"/>
      <c r="RNP43" s="63"/>
      <c r="RNQ43" s="63"/>
      <c r="RNR43" s="63"/>
      <c r="RNS43" s="63"/>
      <c r="RNT43" s="63"/>
      <c r="RNU43" s="63"/>
      <c r="RNV43" s="63"/>
      <c r="RNW43" s="63"/>
      <c r="RNX43" s="63"/>
      <c r="RNY43" s="63"/>
      <c r="RNZ43" s="63"/>
      <c r="ROA43" s="63"/>
      <c r="ROB43" s="63"/>
      <c r="ROC43" s="63"/>
      <c r="ROD43" s="63"/>
      <c r="ROE43" s="63"/>
      <c r="ROF43" s="63"/>
      <c r="ROG43" s="63"/>
      <c r="ROH43" s="63"/>
      <c r="ROI43" s="63"/>
      <c r="ROJ43" s="63"/>
      <c r="ROK43" s="63"/>
      <c r="ROL43" s="63"/>
      <c r="ROM43" s="63"/>
      <c r="RON43" s="63"/>
      <c r="ROO43" s="63"/>
      <c r="ROP43" s="63"/>
      <c r="ROQ43" s="63"/>
      <c r="ROR43" s="63"/>
      <c r="ROS43" s="63"/>
      <c r="ROT43" s="63"/>
      <c r="ROU43" s="63"/>
      <c r="ROV43" s="63"/>
      <c r="ROW43" s="63"/>
      <c r="ROX43" s="63"/>
      <c r="ROY43" s="63"/>
      <c r="ROZ43" s="63"/>
      <c r="RPA43" s="63"/>
      <c r="RPB43" s="63"/>
      <c r="RPC43" s="63"/>
      <c r="RPD43" s="63"/>
      <c r="RPE43" s="63"/>
      <c r="RPF43" s="63"/>
      <c r="RPG43" s="63"/>
      <c r="RPH43" s="63"/>
      <c r="RPI43" s="63"/>
      <c r="RPJ43" s="63"/>
      <c r="RPK43" s="63"/>
      <c r="RPL43" s="63"/>
      <c r="RPM43" s="63"/>
      <c r="RPN43" s="63"/>
      <c r="RPO43" s="63"/>
      <c r="RPP43" s="63"/>
      <c r="RPQ43" s="63"/>
      <c r="RPR43" s="63"/>
      <c r="RPS43" s="63"/>
      <c r="RPT43" s="63"/>
      <c r="RPU43" s="63"/>
      <c r="RPV43" s="63"/>
      <c r="RPW43" s="63"/>
      <c r="RPX43" s="63"/>
      <c r="RPY43" s="63"/>
      <c r="RPZ43" s="63"/>
      <c r="RQA43" s="63"/>
      <c r="RQB43" s="63"/>
      <c r="RQC43" s="63"/>
      <c r="RQD43" s="63"/>
      <c r="RQE43" s="63"/>
      <c r="RQF43" s="63"/>
      <c r="RQG43" s="63"/>
      <c r="RQH43" s="63"/>
      <c r="RQI43" s="63"/>
      <c r="RQJ43" s="63"/>
      <c r="RQK43" s="63"/>
      <c r="RQL43" s="63"/>
      <c r="RQM43" s="63"/>
      <c r="RQN43" s="63"/>
      <c r="RQO43" s="63"/>
      <c r="RQP43" s="63"/>
      <c r="RQQ43" s="63"/>
      <c r="RQR43" s="63"/>
      <c r="RQS43" s="63"/>
      <c r="RQT43" s="63"/>
      <c r="RQU43" s="63"/>
      <c r="RQV43" s="63"/>
      <c r="RQW43" s="63"/>
      <c r="RQX43" s="63"/>
      <c r="RQY43" s="63"/>
      <c r="RQZ43" s="63"/>
      <c r="RRA43" s="63"/>
      <c r="RRB43" s="63"/>
      <c r="RRC43" s="63"/>
      <c r="RRD43" s="63"/>
      <c r="RRE43" s="63"/>
      <c r="RRF43" s="63"/>
      <c r="RRG43" s="63"/>
      <c r="RRH43" s="63"/>
      <c r="RRI43" s="63"/>
      <c r="RRJ43" s="63"/>
      <c r="RRK43" s="63"/>
      <c r="RRL43" s="63"/>
      <c r="RRM43" s="63"/>
      <c r="RRN43" s="63"/>
      <c r="RRO43" s="63"/>
      <c r="RRP43" s="63"/>
      <c r="RRQ43" s="63"/>
      <c r="RRR43" s="63"/>
      <c r="RRS43" s="63"/>
      <c r="RRT43" s="63"/>
      <c r="RRU43" s="63"/>
      <c r="RRV43" s="63"/>
      <c r="RRW43" s="63"/>
      <c r="RRX43" s="63"/>
      <c r="RRY43" s="63"/>
      <c r="RRZ43" s="63"/>
      <c r="RSA43" s="63"/>
      <c r="RSB43" s="63"/>
      <c r="RSC43" s="63"/>
      <c r="RSD43" s="63"/>
      <c r="RSE43" s="63"/>
      <c r="RSF43" s="63"/>
      <c r="RSG43" s="63"/>
      <c r="RSH43" s="63"/>
      <c r="RSI43" s="63"/>
      <c r="RSJ43" s="63"/>
      <c r="RSK43" s="63"/>
      <c r="RSL43" s="63"/>
      <c r="RSM43" s="63"/>
      <c r="RSN43" s="63"/>
      <c r="RSO43" s="63"/>
      <c r="RSP43" s="63"/>
      <c r="RSQ43" s="63"/>
      <c r="RSR43" s="63"/>
      <c r="RSS43" s="63"/>
      <c r="RST43" s="63"/>
      <c r="RSU43" s="63"/>
      <c r="RSV43" s="63"/>
      <c r="RSW43" s="63"/>
      <c r="RSX43" s="63"/>
      <c r="RSY43" s="63"/>
      <c r="RSZ43" s="63"/>
      <c r="RTA43" s="63"/>
      <c r="RTB43" s="63"/>
      <c r="RTC43" s="63"/>
      <c r="RTD43" s="63"/>
      <c r="RTE43" s="63"/>
      <c r="RTF43" s="63"/>
      <c r="RTG43" s="63"/>
      <c r="RTH43" s="63"/>
      <c r="RTI43" s="63"/>
      <c r="RTJ43" s="63"/>
      <c r="RTK43" s="63"/>
      <c r="RTL43" s="63"/>
      <c r="RTM43" s="63"/>
      <c r="RTN43" s="63"/>
      <c r="RTO43" s="63"/>
      <c r="RTP43" s="63"/>
      <c r="RTQ43" s="63"/>
      <c r="RTR43" s="63"/>
      <c r="RTS43" s="63"/>
      <c r="RTT43" s="63"/>
      <c r="RTU43" s="63"/>
      <c r="RTV43" s="63"/>
      <c r="RTW43" s="63"/>
      <c r="RTX43" s="63"/>
      <c r="RTY43" s="63"/>
      <c r="RTZ43" s="63"/>
      <c r="RUA43" s="63"/>
      <c r="RUB43" s="63"/>
      <c r="RUC43" s="63"/>
      <c r="RUD43" s="63"/>
      <c r="RUE43" s="63"/>
      <c r="RUF43" s="63"/>
      <c r="RUG43" s="63"/>
      <c r="RUH43" s="63"/>
      <c r="RUI43" s="63"/>
      <c r="RUJ43" s="63"/>
      <c r="RUK43" s="63"/>
      <c r="RUL43" s="63"/>
      <c r="RUM43" s="63"/>
      <c r="RUN43" s="63"/>
      <c r="RUO43" s="63"/>
      <c r="RUP43" s="63"/>
      <c r="RUQ43" s="63"/>
      <c r="RUR43" s="63"/>
      <c r="RUS43" s="63"/>
      <c r="RUT43" s="63"/>
      <c r="RUU43" s="63"/>
      <c r="RUV43" s="63"/>
      <c r="RUW43" s="63"/>
      <c r="RUX43" s="63"/>
      <c r="RUY43" s="63"/>
      <c r="RUZ43" s="63"/>
      <c r="RVA43" s="63"/>
      <c r="RVB43" s="63"/>
      <c r="RVC43" s="63"/>
      <c r="RVD43" s="63"/>
      <c r="RVE43" s="63"/>
      <c r="RVF43" s="63"/>
      <c r="RVG43" s="63"/>
      <c r="RVH43" s="63"/>
      <c r="RVI43" s="63"/>
      <c r="RVJ43" s="63"/>
      <c r="RVK43" s="63"/>
      <c r="RVL43" s="63"/>
      <c r="RVM43" s="63"/>
      <c r="RVN43" s="63"/>
      <c r="RVO43" s="63"/>
      <c r="RVP43" s="63"/>
      <c r="RVQ43" s="63"/>
      <c r="RVR43" s="63"/>
      <c r="RVS43" s="63"/>
      <c r="RVT43" s="63"/>
      <c r="RVU43" s="63"/>
      <c r="RVV43" s="63"/>
      <c r="RVW43" s="63"/>
      <c r="RVX43" s="63"/>
      <c r="RVY43" s="63"/>
      <c r="RVZ43" s="63"/>
      <c r="RWA43" s="63"/>
      <c r="RWB43" s="63"/>
      <c r="RWC43" s="63"/>
      <c r="RWD43" s="63"/>
      <c r="RWE43" s="63"/>
      <c r="RWF43" s="63"/>
      <c r="RWG43" s="63"/>
      <c r="RWH43" s="63"/>
      <c r="RWI43" s="63"/>
      <c r="RWJ43" s="63"/>
      <c r="RWK43" s="63"/>
      <c r="RWL43" s="63"/>
      <c r="RWM43" s="63"/>
      <c r="RWN43" s="63"/>
      <c r="RWO43" s="63"/>
      <c r="RWP43" s="63"/>
      <c r="RWQ43" s="63"/>
      <c r="RWR43" s="63"/>
      <c r="RWS43" s="63"/>
      <c r="RWT43" s="63"/>
      <c r="RWU43" s="63"/>
      <c r="RWV43" s="63"/>
      <c r="RWW43" s="63"/>
      <c r="RWX43" s="63"/>
      <c r="RWY43" s="63"/>
      <c r="RWZ43" s="63"/>
      <c r="RXA43" s="63"/>
      <c r="RXB43" s="63"/>
      <c r="RXC43" s="63"/>
      <c r="RXD43" s="63"/>
      <c r="RXE43" s="63"/>
      <c r="RXF43" s="63"/>
      <c r="RXG43" s="63"/>
      <c r="RXH43" s="63"/>
      <c r="RXI43" s="63"/>
      <c r="RXJ43" s="63"/>
      <c r="RXK43" s="63"/>
      <c r="RXL43" s="63"/>
      <c r="RXM43" s="63"/>
      <c r="RXN43" s="63"/>
      <c r="RXO43" s="63"/>
      <c r="RXP43" s="63"/>
      <c r="RXQ43" s="63"/>
      <c r="RXR43" s="63"/>
      <c r="RXS43" s="63"/>
      <c r="RXT43" s="63"/>
      <c r="RXU43" s="63"/>
      <c r="RXV43" s="63"/>
      <c r="RXW43" s="63"/>
      <c r="RXX43" s="63"/>
      <c r="RXY43" s="63"/>
      <c r="RXZ43" s="63"/>
      <c r="RYA43" s="63"/>
      <c r="RYB43" s="63"/>
      <c r="RYC43" s="63"/>
      <c r="RYD43" s="63"/>
      <c r="RYE43" s="63"/>
      <c r="RYF43" s="63"/>
      <c r="RYG43" s="63"/>
      <c r="RYH43" s="63"/>
      <c r="RYI43" s="63"/>
      <c r="RYJ43" s="63"/>
      <c r="RYK43" s="63"/>
      <c r="RYL43" s="63"/>
      <c r="RYM43" s="63"/>
      <c r="RYN43" s="63"/>
      <c r="RYO43" s="63"/>
      <c r="RYP43" s="63"/>
      <c r="RYQ43" s="63"/>
      <c r="RYR43" s="63"/>
      <c r="RYS43" s="63"/>
      <c r="RYT43" s="63"/>
      <c r="RYU43" s="63"/>
      <c r="RYV43" s="63"/>
      <c r="RYW43" s="63"/>
      <c r="RYX43" s="63"/>
      <c r="RYY43" s="63"/>
      <c r="RYZ43" s="63"/>
      <c r="RZA43" s="63"/>
      <c r="RZB43" s="63"/>
      <c r="RZC43" s="63"/>
      <c r="RZD43" s="63"/>
      <c r="RZE43" s="63"/>
      <c r="RZF43" s="63"/>
      <c r="RZG43" s="63"/>
      <c r="RZH43" s="63"/>
      <c r="RZI43" s="63"/>
      <c r="RZJ43" s="63"/>
      <c r="RZK43" s="63"/>
      <c r="RZL43" s="63"/>
      <c r="RZM43" s="63"/>
      <c r="RZN43" s="63"/>
      <c r="RZO43" s="63"/>
      <c r="RZP43" s="63"/>
      <c r="RZQ43" s="63"/>
      <c r="RZR43" s="63"/>
      <c r="RZS43" s="63"/>
      <c r="RZT43" s="63"/>
      <c r="RZU43" s="63"/>
      <c r="RZV43" s="63"/>
      <c r="RZW43" s="63"/>
      <c r="RZX43" s="63"/>
      <c r="RZY43" s="63"/>
      <c r="RZZ43" s="63"/>
      <c r="SAA43" s="63"/>
      <c r="SAB43" s="63"/>
      <c r="SAC43" s="63"/>
      <c r="SAD43" s="63"/>
      <c r="SAE43" s="63"/>
      <c r="SAF43" s="63"/>
      <c r="SAG43" s="63"/>
      <c r="SAH43" s="63"/>
      <c r="SAI43" s="63"/>
      <c r="SAJ43" s="63"/>
      <c r="SAK43" s="63"/>
      <c r="SAL43" s="63"/>
      <c r="SAM43" s="63"/>
      <c r="SAN43" s="63"/>
      <c r="SAO43" s="63"/>
      <c r="SAP43" s="63"/>
      <c r="SAQ43" s="63"/>
      <c r="SAR43" s="63"/>
      <c r="SAS43" s="63"/>
      <c r="SAT43" s="63"/>
      <c r="SAU43" s="63"/>
      <c r="SAV43" s="63"/>
      <c r="SAW43" s="63"/>
      <c r="SAX43" s="63"/>
      <c r="SAY43" s="63"/>
      <c r="SAZ43" s="63"/>
      <c r="SBA43" s="63"/>
      <c r="SBB43" s="63"/>
      <c r="SBC43" s="63"/>
      <c r="SBD43" s="63"/>
      <c r="SBE43" s="63"/>
      <c r="SBF43" s="63"/>
      <c r="SBG43" s="63"/>
      <c r="SBH43" s="63"/>
      <c r="SBI43" s="63"/>
      <c r="SBJ43" s="63"/>
      <c r="SBK43" s="63"/>
      <c r="SBL43" s="63"/>
      <c r="SBM43" s="63"/>
      <c r="SBN43" s="63"/>
      <c r="SBO43" s="63"/>
      <c r="SBP43" s="63"/>
      <c r="SBQ43" s="63"/>
      <c r="SBR43" s="63"/>
      <c r="SBS43" s="63"/>
      <c r="SBT43" s="63"/>
      <c r="SBU43" s="63"/>
      <c r="SBV43" s="63"/>
      <c r="SBW43" s="63"/>
      <c r="SBX43" s="63"/>
      <c r="SBY43" s="63"/>
      <c r="SBZ43" s="63"/>
      <c r="SCA43" s="63"/>
      <c r="SCB43" s="63"/>
      <c r="SCC43" s="63"/>
      <c r="SCD43" s="63"/>
      <c r="SCE43" s="63"/>
      <c r="SCF43" s="63"/>
      <c r="SCG43" s="63"/>
      <c r="SCH43" s="63"/>
      <c r="SCI43" s="63"/>
      <c r="SCJ43" s="63"/>
      <c r="SCK43" s="63"/>
      <c r="SCL43" s="63"/>
      <c r="SCM43" s="63"/>
      <c r="SCN43" s="63"/>
      <c r="SCO43" s="63"/>
      <c r="SCP43" s="63"/>
      <c r="SCQ43" s="63"/>
      <c r="SCR43" s="63"/>
      <c r="SCS43" s="63"/>
      <c r="SCT43" s="63"/>
      <c r="SCU43" s="63"/>
      <c r="SCV43" s="63"/>
      <c r="SCW43" s="63"/>
      <c r="SCX43" s="63"/>
      <c r="SCY43" s="63"/>
      <c r="SCZ43" s="63"/>
      <c r="SDA43" s="63"/>
      <c r="SDB43" s="63"/>
      <c r="SDC43" s="63"/>
      <c r="SDD43" s="63"/>
      <c r="SDE43" s="63"/>
      <c r="SDF43" s="63"/>
      <c r="SDG43" s="63"/>
      <c r="SDH43" s="63"/>
      <c r="SDI43" s="63"/>
      <c r="SDJ43" s="63"/>
      <c r="SDK43" s="63"/>
      <c r="SDL43" s="63"/>
      <c r="SDM43" s="63"/>
      <c r="SDN43" s="63"/>
      <c r="SDO43" s="63"/>
      <c r="SDP43" s="63"/>
      <c r="SDQ43" s="63"/>
      <c r="SDR43" s="63"/>
      <c r="SDS43" s="63"/>
      <c r="SDT43" s="63"/>
      <c r="SDU43" s="63"/>
      <c r="SDV43" s="63"/>
      <c r="SDW43" s="63"/>
      <c r="SDX43" s="63"/>
      <c r="SDY43" s="63"/>
      <c r="SDZ43" s="63"/>
      <c r="SEA43" s="63"/>
      <c r="SEB43" s="63"/>
      <c r="SEC43" s="63"/>
      <c r="SED43" s="63"/>
      <c r="SEE43" s="63"/>
      <c r="SEF43" s="63"/>
      <c r="SEG43" s="63"/>
      <c r="SEH43" s="63"/>
      <c r="SEI43" s="63"/>
      <c r="SEJ43" s="63"/>
      <c r="SEK43" s="63"/>
      <c r="SEL43" s="63"/>
      <c r="SEM43" s="63"/>
      <c r="SEN43" s="63"/>
      <c r="SEO43" s="63"/>
      <c r="SEP43" s="63"/>
      <c r="SEQ43" s="63"/>
      <c r="SER43" s="63"/>
      <c r="SES43" s="63"/>
      <c r="SET43" s="63"/>
      <c r="SEU43" s="63"/>
      <c r="SEV43" s="63"/>
      <c r="SEW43" s="63"/>
      <c r="SEX43" s="63"/>
      <c r="SEY43" s="63"/>
      <c r="SEZ43" s="63"/>
      <c r="SFA43" s="63"/>
      <c r="SFB43" s="63"/>
      <c r="SFC43" s="63"/>
      <c r="SFD43" s="63"/>
      <c r="SFE43" s="63"/>
      <c r="SFF43" s="63"/>
      <c r="SFG43" s="63"/>
      <c r="SFH43" s="63"/>
      <c r="SFI43" s="63"/>
      <c r="SFJ43" s="63"/>
      <c r="SFK43" s="63"/>
      <c r="SFL43" s="63"/>
      <c r="SFM43" s="63"/>
      <c r="SFN43" s="63"/>
      <c r="SFO43" s="63"/>
      <c r="SFP43" s="63"/>
      <c r="SFQ43" s="63"/>
      <c r="SFR43" s="63"/>
      <c r="SFS43" s="63"/>
      <c r="SFT43" s="63"/>
      <c r="SFU43" s="63"/>
      <c r="SFV43" s="63"/>
      <c r="SFW43" s="63"/>
      <c r="SFX43" s="63"/>
      <c r="SFY43" s="63"/>
      <c r="SFZ43" s="63"/>
      <c r="SGA43" s="63"/>
      <c r="SGB43" s="63"/>
      <c r="SGC43" s="63"/>
      <c r="SGD43" s="63"/>
      <c r="SGE43" s="63"/>
      <c r="SGF43" s="63"/>
      <c r="SGG43" s="63"/>
      <c r="SGH43" s="63"/>
      <c r="SGI43" s="63"/>
      <c r="SGJ43" s="63"/>
      <c r="SGK43" s="63"/>
      <c r="SGL43" s="63"/>
      <c r="SGM43" s="63"/>
      <c r="SGN43" s="63"/>
      <c r="SGO43" s="63"/>
      <c r="SGP43" s="63"/>
      <c r="SGQ43" s="63"/>
      <c r="SGR43" s="63"/>
      <c r="SGS43" s="63"/>
      <c r="SGT43" s="63"/>
      <c r="SGU43" s="63"/>
      <c r="SGV43" s="63"/>
      <c r="SGW43" s="63"/>
      <c r="SGX43" s="63"/>
      <c r="SGY43" s="63"/>
      <c r="SGZ43" s="63"/>
      <c r="SHA43" s="63"/>
      <c r="SHB43" s="63"/>
      <c r="SHC43" s="63"/>
      <c r="SHD43" s="63"/>
      <c r="SHE43" s="63"/>
      <c r="SHF43" s="63"/>
      <c r="SHG43" s="63"/>
      <c r="SHH43" s="63"/>
      <c r="SHI43" s="63"/>
      <c r="SHJ43" s="63"/>
      <c r="SHK43" s="63"/>
      <c r="SHL43" s="63"/>
      <c r="SHM43" s="63"/>
      <c r="SHN43" s="63"/>
      <c r="SHO43" s="63"/>
      <c r="SHP43" s="63"/>
      <c r="SHQ43" s="63"/>
      <c r="SHR43" s="63"/>
      <c r="SHS43" s="63"/>
      <c r="SHT43" s="63"/>
      <c r="SHU43" s="63"/>
      <c r="SHV43" s="63"/>
      <c r="SHW43" s="63"/>
      <c r="SHX43" s="63"/>
      <c r="SHY43" s="63"/>
      <c r="SHZ43" s="63"/>
      <c r="SIA43" s="63"/>
      <c r="SIB43" s="63"/>
      <c r="SIC43" s="63"/>
      <c r="SID43" s="63"/>
      <c r="SIE43" s="63"/>
      <c r="SIF43" s="63"/>
      <c r="SIG43" s="63"/>
      <c r="SIH43" s="63"/>
      <c r="SII43" s="63"/>
      <c r="SIJ43" s="63"/>
      <c r="SIK43" s="63"/>
      <c r="SIL43" s="63"/>
      <c r="SIM43" s="63"/>
      <c r="SIN43" s="63"/>
      <c r="SIO43" s="63"/>
      <c r="SIP43" s="63"/>
      <c r="SIQ43" s="63"/>
      <c r="SIR43" s="63"/>
      <c r="SIS43" s="63"/>
      <c r="SIT43" s="63"/>
      <c r="SIU43" s="63"/>
      <c r="SIV43" s="63"/>
      <c r="SIW43" s="63"/>
      <c r="SIX43" s="63"/>
      <c r="SIY43" s="63"/>
      <c r="SIZ43" s="63"/>
      <c r="SJA43" s="63"/>
      <c r="SJB43" s="63"/>
      <c r="SJC43" s="63"/>
      <c r="SJD43" s="63"/>
      <c r="SJE43" s="63"/>
      <c r="SJF43" s="63"/>
      <c r="SJG43" s="63"/>
      <c r="SJH43" s="63"/>
      <c r="SJI43" s="63"/>
      <c r="SJJ43" s="63"/>
      <c r="SJK43" s="63"/>
      <c r="SJL43" s="63"/>
      <c r="SJM43" s="63"/>
      <c r="SJN43" s="63"/>
      <c r="SJO43" s="63"/>
      <c r="SJP43" s="63"/>
      <c r="SJQ43" s="63"/>
      <c r="SJR43" s="63"/>
      <c r="SJS43" s="63"/>
      <c r="SJT43" s="63"/>
      <c r="SJU43" s="63"/>
      <c r="SJV43" s="63"/>
      <c r="SJW43" s="63"/>
      <c r="SJX43" s="63"/>
      <c r="SJY43" s="63"/>
      <c r="SJZ43" s="63"/>
      <c r="SKA43" s="63"/>
      <c r="SKB43" s="63"/>
      <c r="SKC43" s="63"/>
      <c r="SKD43" s="63"/>
      <c r="SKE43" s="63"/>
      <c r="SKF43" s="63"/>
      <c r="SKG43" s="63"/>
      <c r="SKH43" s="63"/>
      <c r="SKI43" s="63"/>
      <c r="SKJ43" s="63"/>
      <c r="SKK43" s="63"/>
      <c r="SKL43" s="63"/>
      <c r="SKM43" s="63"/>
      <c r="SKN43" s="63"/>
      <c r="SKO43" s="63"/>
      <c r="SKP43" s="63"/>
      <c r="SKQ43" s="63"/>
      <c r="SKR43" s="63"/>
      <c r="SKS43" s="63"/>
      <c r="SKT43" s="63"/>
      <c r="SKU43" s="63"/>
      <c r="SKV43" s="63"/>
      <c r="SKW43" s="63"/>
      <c r="SKX43" s="63"/>
      <c r="SKY43" s="63"/>
      <c r="SKZ43" s="63"/>
      <c r="SLA43" s="63"/>
      <c r="SLB43" s="63"/>
      <c r="SLC43" s="63"/>
      <c r="SLD43" s="63"/>
      <c r="SLE43" s="63"/>
      <c r="SLF43" s="63"/>
      <c r="SLG43" s="63"/>
      <c r="SLH43" s="63"/>
      <c r="SLI43" s="63"/>
      <c r="SLJ43" s="63"/>
      <c r="SLK43" s="63"/>
      <c r="SLL43" s="63"/>
      <c r="SLM43" s="63"/>
      <c r="SLN43" s="63"/>
      <c r="SLO43" s="63"/>
      <c r="SLP43" s="63"/>
      <c r="SLQ43" s="63"/>
      <c r="SLR43" s="63"/>
      <c r="SLS43" s="63"/>
      <c r="SLT43" s="63"/>
      <c r="SLU43" s="63"/>
      <c r="SLV43" s="63"/>
      <c r="SLW43" s="63"/>
      <c r="SLX43" s="63"/>
      <c r="SLY43" s="63"/>
      <c r="SLZ43" s="63"/>
      <c r="SMA43" s="63"/>
      <c r="SMB43" s="63"/>
      <c r="SMC43" s="63"/>
      <c r="SMD43" s="63"/>
      <c r="SME43" s="63"/>
      <c r="SMF43" s="63"/>
      <c r="SMG43" s="63"/>
      <c r="SMH43" s="63"/>
      <c r="SMI43" s="63"/>
      <c r="SMJ43" s="63"/>
      <c r="SMK43" s="63"/>
      <c r="SML43" s="63"/>
      <c r="SMM43" s="63"/>
      <c r="SMN43" s="63"/>
      <c r="SMO43" s="63"/>
      <c r="SMP43" s="63"/>
      <c r="SMQ43" s="63"/>
      <c r="SMR43" s="63"/>
      <c r="SMS43" s="63"/>
      <c r="SMT43" s="63"/>
      <c r="SMU43" s="63"/>
      <c r="SMV43" s="63"/>
      <c r="SMW43" s="63"/>
      <c r="SMX43" s="63"/>
      <c r="SMY43" s="63"/>
      <c r="SMZ43" s="63"/>
      <c r="SNA43" s="63"/>
      <c r="SNB43" s="63"/>
      <c r="SNC43" s="63"/>
      <c r="SND43" s="63"/>
      <c r="SNE43" s="63"/>
      <c r="SNF43" s="63"/>
      <c r="SNG43" s="63"/>
      <c r="SNH43" s="63"/>
      <c r="SNI43" s="63"/>
      <c r="SNJ43" s="63"/>
      <c r="SNK43" s="63"/>
      <c r="SNL43" s="63"/>
      <c r="SNM43" s="63"/>
      <c r="SNN43" s="63"/>
      <c r="SNO43" s="63"/>
      <c r="SNP43" s="63"/>
      <c r="SNQ43" s="63"/>
      <c r="SNR43" s="63"/>
      <c r="SNS43" s="63"/>
      <c r="SNT43" s="63"/>
      <c r="SNU43" s="63"/>
      <c r="SNV43" s="63"/>
      <c r="SNW43" s="63"/>
      <c r="SNX43" s="63"/>
      <c r="SNY43" s="63"/>
      <c r="SNZ43" s="63"/>
      <c r="SOA43" s="63"/>
      <c r="SOB43" s="63"/>
      <c r="SOC43" s="63"/>
      <c r="SOD43" s="63"/>
      <c r="SOE43" s="63"/>
      <c r="SOF43" s="63"/>
      <c r="SOG43" s="63"/>
      <c r="SOH43" s="63"/>
      <c r="SOI43" s="63"/>
      <c r="SOJ43" s="63"/>
      <c r="SOK43" s="63"/>
      <c r="SOL43" s="63"/>
      <c r="SOM43" s="63"/>
      <c r="SON43" s="63"/>
      <c r="SOO43" s="63"/>
      <c r="SOP43" s="63"/>
      <c r="SOQ43" s="63"/>
      <c r="SOR43" s="63"/>
      <c r="SOS43" s="63"/>
      <c r="SOT43" s="63"/>
      <c r="SOU43" s="63"/>
      <c r="SOV43" s="63"/>
      <c r="SOW43" s="63"/>
      <c r="SOX43" s="63"/>
      <c r="SOY43" s="63"/>
      <c r="SOZ43" s="63"/>
      <c r="SPA43" s="63"/>
      <c r="SPB43" s="63"/>
      <c r="SPC43" s="63"/>
      <c r="SPD43" s="63"/>
      <c r="SPE43" s="63"/>
      <c r="SPF43" s="63"/>
      <c r="SPG43" s="63"/>
      <c r="SPH43" s="63"/>
      <c r="SPI43" s="63"/>
      <c r="SPJ43" s="63"/>
      <c r="SPK43" s="63"/>
      <c r="SPL43" s="63"/>
      <c r="SPM43" s="63"/>
      <c r="SPN43" s="63"/>
      <c r="SPO43" s="63"/>
      <c r="SPP43" s="63"/>
      <c r="SPQ43" s="63"/>
      <c r="SPR43" s="63"/>
      <c r="SPS43" s="63"/>
      <c r="SPT43" s="63"/>
      <c r="SPU43" s="63"/>
      <c r="SPV43" s="63"/>
      <c r="SPW43" s="63"/>
      <c r="SPX43" s="63"/>
      <c r="SPY43" s="63"/>
      <c r="SPZ43" s="63"/>
      <c r="SQA43" s="63"/>
      <c r="SQB43" s="63"/>
      <c r="SQC43" s="63"/>
      <c r="SQD43" s="63"/>
      <c r="SQE43" s="63"/>
      <c r="SQF43" s="63"/>
      <c r="SQG43" s="63"/>
      <c r="SQH43" s="63"/>
      <c r="SQI43" s="63"/>
      <c r="SQJ43" s="63"/>
      <c r="SQK43" s="63"/>
      <c r="SQL43" s="63"/>
      <c r="SQM43" s="63"/>
      <c r="SQN43" s="63"/>
      <c r="SQO43" s="63"/>
      <c r="SQP43" s="63"/>
      <c r="SQQ43" s="63"/>
      <c r="SQR43" s="63"/>
      <c r="SQS43" s="63"/>
      <c r="SQT43" s="63"/>
      <c r="SQU43" s="63"/>
      <c r="SQV43" s="63"/>
      <c r="SQW43" s="63"/>
      <c r="SQX43" s="63"/>
      <c r="SQY43" s="63"/>
      <c r="SQZ43" s="63"/>
      <c r="SRA43" s="63"/>
      <c r="SRB43" s="63"/>
      <c r="SRC43" s="63"/>
      <c r="SRD43" s="63"/>
      <c r="SRE43" s="63"/>
      <c r="SRF43" s="63"/>
      <c r="SRG43" s="63"/>
      <c r="SRH43" s="63"/>
      <c r="SRI43" s="63"/>
      <c r="SRJ43" s="63"/>
      <c r="SRK43" s="63"/>
      <c r="SRL43" s="63"/>
      <c r="SRM43" s="63"/>
      <c r="SRN43" s="63"/>
      <c r="SRO43" s="63"/>
      <c r="SRP43" s="63"/>
      <c r="SRQ43" s="63"/>
      <c r="SRR43" s="63"/>
      <c r="SRS43" s="63"/>
      <c r="SRT43" s="63"/>
      <c r="SRU43" s="63"/>
      <c r="SRV43" s="63"/>
      <c r="SRW43" s="63"/>
      <c r="SRX43" s="63"/>
      <c r="SRY43" s="63"/>
      <c r="SRZ43" s="63"/>
      <c r="SSA43" s="63"/>
      <c r="SSB43" s="63"/>
      <c r="SSC43" s="63"/>
      <c r="SSD43" s="63"/>
      <c r="SSE43" s="63"/>
      <c r="SSF43" s="63"/>
      <c r="SSG43" s="63"/>
      <c r="SSH43" s="63"/>
      <c r="SSI43" s="63"/>
      <c r="SSJ43" s="63"/>
      <c r="SSK43" s="63"/>
      <c r="SSL43" s="63"/>
      <c r="SSM43" s="63"/>
      <c r="SSN43" s="63"/>
      <c r="SSO43" s="63"/>
      <c r="SSP43" s="63"/>
      <c r="SSQ43" s="63"/>
      <c r="SSR43" s="63"/>
      <c r="SSS43" s="63"/>
      <c r="SST43" s="63"/>
      <c r="SSU43" s="63"/>
      <c r="SSV43" s="63"/>
      <c r="SSW43" s="63"/>
      <c r="SSX43" s="63"/>
      <c r="SSY43" s="63"/>
      <c r="SSZ43" s="63"/>
      <c r="STA43" s="63"/>
      <c r="STB43" s="63"/>
      <c r="STC43" s="63"/>
      <c r="STD43" s="63"/>
      <c r="STE43" s="63"/>
      <c r="STF43" s="63"/>
      <c r="STG43" s="63"/>
      <c r="STH43" s="63"/>
      <c r="STI43" s="63"/>
      <c r="STJ43" s="63"/>
      <c r="STK43" s="63"/>
      <c r="STL43" s="63"/>
      <c r="STM43" s="63"/>
      <c r="STN43" s="63"/>
      <c r="STO43" s="63"/>
      <c r="STP43" s="63"/>
      <c r="STQ43" s="63"/>
      <c r="STR43" s="63"/>
      <c r="STS43" s="63"/>
      <c r="STT43" s="63"/>
      <c r="STU43" s="63"/>
      <c r="STV43" s="63"/>
      <c r="STW43" s="63"/>
      <c r="STX43" s="63"/>
      <c r="STY43" s="63"/>
      <c r="STZ43" s="63"/>
      <c r="SUA43" s="63"/>
      <c r="SUB43" s="63"/>
      <c r="SUC43" s="63"/>
      <c r="SUD43" s="63"/>
      <c r="SUE43" s="63"/>
      <c r="SUF43" s="63"/>
      <c r="SUG43" s="63"/>
      <c r="SUH43" s="63"/>
      <c r="SUI43" s="63"/>
      <c r="SUJ43" s="63"/>
      <c r="SUK43" s="63"/>
      <c r="SUL43" s="63"/>
      <c r="SUM43" s="63"/>
      <c r="SUN43" s="63"/>
      <c r="SUO43" s="63"/>
      <c r="SUP43" s="63"/>
      <c r="SUQ43" s="63"/>
      <c r="SUR43" s="63"/>
      <c r="SUS43" s="63"/>
      <c r="SUT43" s="63"/>
      <c r="SUU43" s="63"/>
      <c r="SUV43" s="63"/>
      <c r="SUW43" s="63"/>
      <c r="SUX43" s="63"/>
      <c r="SUY43" s="63"/>
      <c r="SUZ43" s="63"/>
      <c r="SVA43" s="63"/>
      <c r="SVB43" s="63"/>
      <c r="SVC43" s="63"/>
      <c r="SVD43" s="63"/>
      <c r="SVE43" s="63"/>
      <c r="SVF43" s="63"/>
      <c r="SVG43" s="63"/>
      <c r="SVH43" s="63"/>
      <c r="SVI43" s="63"/>
      <c r="SVJ43" s="63"/>
      <c r="SVK43" s="63"/>
      <c r="SVL43" s="63"/>
      <c r="SVM43" s="63"/>
      <c r="SVN43" s="63"/>
      <c r="SVO43" s="63"/>
      <c r="SVP43" s="63"/>
      <c r="SVQ43" s="63"/>
      <c r="SVR43" s="63"/>
      <c r="SVS43" s="63"/>
      <c r="SVT43" s="63"/>
      <c r="SVU43" s="63"/>
      <c r="SVV43" s="63"/>
      <c r="SVW43" s="63"/>
      <c r="SVX43" s="63"/>
      <c r="SVY43" s="63"/>
      <c r="SVZ43" s="63"/>
      <c r="SWA43" s="63"/>
      <c r="SWB43" s="63"/>
      <c r="SWC43" s="63"/>
      <c r="SWD43" s="63"/>
      <c r="SWE43" s="63"/>
      <c r="SWF43" s="63"/>
      <c r="SWG43" s="63"/>
      <c r="SWH43" s="63"/>
      <c r="SWI43" s="63"/>
      <c r="SWJ43" s="63"/>
      <c r="SWK43" s="63"/>
      <c r="SWL43" s="63"/>
      <c r="SWM43" s="63"/>
      <c r="SWN43" s="63"/>
      <c r="SWO43" s="63"/>
      <c r="SWP43" s="63"/>
      <c r="SWQ43" s="63"/>
      <c r="SWR43" s="63"/>
      <c r="SWS43" s="63"/>
      <c r="SWT43" s="63"/>
      <c r="SWU43" s="63"/>
      <c r="SWV43" s="63"/>
      <c r="SWW43" s="63"/>
      <c r="SWX43" s="63"/>
      <c r="SWY43" s="63"/>
      <c r="SWZ43" s="63"/>
      <c r="SXA43" s="63"/>
      <c r="SXB43" s="63"/>
      <c r="SXC43" s="63"/>
      <c r="SXD43" s="63"/>
      <c r="SXE43" s="63"/>
      <c r="SXF43" s="63"/>
      <c r="SXG43" s="63"/>
      <c r="SXH43" s="63"/>
      <c r="SXI43" s="63"/>
      <c r="SXJ43" s="63"/>
      <c r="SXK43" s="63"/>
      <c r="SXL43" s="63"/>
      <c r="SXM43" s="63"/>
      <c r="SXN43" s="63"/>
      <c r="SXO43" s="63"/>
      <c r="SXP43" s="63"/>
      <c r="SXQ43" s="63"/>
      <c r="SXR43" s="63"/>
      <c r="SXS43" s="63"/>
      <c r="SXT43" s="63"/>
      <c r="SXU43" s="63"/>
      <c r="SXV43" s="63"/>
      <c r="SXW43" s="63"/>
      <c r="SXX43" s="63"/>
      <c r="SXY43" s="63"/>
      <c r="SXZ43" s="63"/>
      <c r="SYA43" s="63"/>
      <c r="SYB43" s="63"/>
      <c r="SYC43" s="63"/>
      <c r="SYD43" s="63"/>
      <c r="SYE43" s="63"/>
      <c r="SYF43" s="63"/>
      <c r="SYG43" s="63"/>
      <c r="SYH43" s="63"/>
      <c r="SYI43" s="63"/>
      <c r="SYJ43" s="63"/>
      <c r="SYK43" s="63"/>
      <c r="SYL43" s="63"/>
      <c r="SYM43" s="63"/>
      <c r="SYN43" s="63"/>
      <c r="SYO43" s="63"/>
      <c r="SYP43" s="63"/>
      <c r="SYQ43" s="63"/>
      <c r="SYR43" s="63"/>
      <c r="SYS43" s="63"/>
      <c r="SYT43" s="63"/>
      <c r="SYU43" s="63"/>
      <c r="SYV43" s="63"/>
      <c r="SYW43" s="63"/>
      <c r="SYX43" s="63"/>
      <c r="SYY43" s="63"/>
      <c r="SYZ43" s="63"/>
      <c r="SZA43" s="63"/>
      <c r="SZB43" s="63"/>
      <c r="SZC43" s="63"/>
      <c r="SZD43" s="63"/>
      <c r="SZE43" s="63"/>
      <c r="SZF43" s="63"/>
      <c r="SZG43" s="63"/>
      <c r="SZH43" s="63"/>
      <c r="SZI43" s="63"/>
      <c r="SZJ43" s="63"/>
      <c r="SZK43" s="63"/>
      <c r="SZL43" s="63"/>
      <c r="SZM43" s="63"/>
      <c r="SZN43" s="63"/>
      <c r="SZO43" s="63"/>
      <c r="SZP43" s="63"/>
      <c r="SZQ43" s="63"/>
      <c r="SZR43" s="63"/>
      <c r="SZS43" s="63"/>
      <c r="SZT43" s="63"/>
      <c r="SZU43" s="63"/>
      <c r="SZV43" s="63"/>
      <c r="SZW43" s="63"/>
      <c r="SZX43" s="63"/>
      <c r="SZY43" s="63"/>
      <c r="SZZ43" s="63"/>
      <c r="TAA43" s="63"/>
      <c r="TAB43" s="63"/>
      <c r="TAC43" s="63"/>
      <c r="TAD43" s="63"/>
      <c r="TAE43" s="63"/>
      <c r="TAF43" s="63"/>
      <c r="TAG43" s="63"/>
      <c r="TAH43" s="63"/>
      <c r="TAI43" s="63"/>
      <c r="TAJ43" s="63"/>
      <c r="TAK43" s="63"/>
      <c r="TAL43" s="63"/>
      <c r="TAM43" s="63"/>
      <c r="TAN43" s="63"/>
      <c r="TAO43" s="63"/>
      <c r="TAP43" s="63"/>
      <c r="TAQ43" s="63"/>
      <c r="TAR43" s="63"/>
      <c r="TAS43" s="63"/>
      <c r="TAT43" s="63"/>
      <c r="TAU43" s="63"/>
      <c r="TAV43" s="63"/>
      <c r="TAW43" s="63"/>
      <c r="TAX43" s="63"/>
      <c r="TAY43" s="63"/>
      <c r="TAZ43" s="63"/>
      <c r="TBA43" s="63"/>
      <c r="TBB43" s="63"/>
      <c r="TBC43" s="63"/>
      <c r="TBD43" s="63"/>
      <c r="TBE43" s="63"/>
      <c r="TBF43" s="63"/>
      <c r="TBG43" s="63"/>
      <c r="TBH43" s="63"/>
      <c r="TBI43" s="63"/>
      <c r="TBJ43" s="63"/>
      <c r="TBK43" s="63"/>
      <c r="TBL43" s="63"/>
      <c r="TBM43" s="63"/>
      <c r="TBN43" s="63"/>
      <c r="TBO43" s="63"/>
      <c r="TBP43" s="63"/>
      <c r="TBQ43" s="63"/>
      <c r="TBR43" s="63"/>
      <c r="TBS43" s="63"/>
      <c r="TBT43" s="63"/>
      <c r="TBU43" s="63"/>
      <c r="TBV43" s="63"/>
      <c r="TBW43" s="63"/>
      <c r="TBX43" s="63"/>
      <c r="TBY43" s="63"/>
      <c r="TBZ43" s="63"/>
      <c r="TCA43" s="63"/>
      <c r="TCB43" s="63"/>
      <c r="TCC43" s="63"/>
      <c r="TCD43" s="63"/>
      <c r="TCE43" s="63"/>
      <c r="TCF43" s="63"/>
      <c r="TCG43" s="63"/>
      <c r="TCH43" s="63"/>
      <c r="TCI43" s="63"/>
      <c r="TCJ43" s="63"/>
      <c r="TCK43" s="63"/>
      <c r="TCL43" s="63"/>
      <c r="TCM43" s="63"/>
      <c r="TCN43" s="63"/>
      <c r="TCO43" s="63"/>
      <c r="TCP43" s="63"/>
      <c r="TCQ43" s="63"/>
      <c r="TCR43" s="63"/>
      <c r="TCS43" s="63"/>
      <c r="TCT43" s="63"/>
      <c r="TCU43" s="63"/>
      <c r="TCV43" s="63"/>
      <c r="TCW43" s="63"/>
      <c r="TCX43" s="63"/>
      <c r="TCY43" s="63"/>
      <c r="TCZ43" s="63"/>
      <c r="TDA43" s="63"/>
      <c r="TDB43" s="63"/>
      <c r="TDC43" s="63"/>
      <c r="TDD43" s="63"/>
      <c r="TDE43" s="63"/>
      <c r="TDF43" s="63"/>
      <c r="TDG43" s="63"/>
      <c r="TDH43" s="63"/>
      <c r="TDI43" s="63"/>
      <c r="TDJ43" s="63"/>
      <c r="TDK43" s="63"/>
      <c r="TDL43" s="63"/>
      <c r="TDM43" s="63"/>
      <c r="TDN43" s="63"/>
      <c r="TDO43" s="63"/>
      <c r="TDP43" s="63"/>
      <c r="TDQ43" s="63"/>
      <c r="TDR43" s="63"/>
      <c r="TDS43" s="63"/>
      <c r="TDT43" s="63"/>
      <c r="TDU43" s="63"/>
      <c r="TDV43" s="63"/>
      <c r="TDW43" s="63"/>
      <c r="TDX43" s="63"/>
      <c r="TDY43" s="63"/>
      <c r="TDZ43" s="63"/>
      <c r="TEA43" s="63"/>
      <c r="TEB43" s="63"/>
      <c r="TEC43" s="63"/>
      <c r="TED43" s="63"/>
      <c r="TEE43" s="63"/>
      <c r="TEF43" s="63"/>
      <c r="TEG43" s="63"/>
      <c r="TEH43" s="63"/>
      <c r="TEI43" s="63"/>
      <c r="TEJ43" s="63"/>
      <c r="TEK43" s="63"/>
      <c r="TEL43" s="63"/>
      <c r="TEM43" s="63"/>
      <c r="TEN43" s="63"/>
      <c r="TEO43" s="63"/>
      <c r="TEP43" s="63"/>
      <c r="TEQ43" s="63"/>
      <c r="TER43" s="63"/>
      <c r="TES43" s="63"/>
      <c r="TET43" s="63"/>
      <c r="TEU43" s="63"/>
      <c r="TEV43" s="63"/>
      <c r="TEW43" s="63"/>
      <c r="TEX43" s="63"/>
      <c r="TEY43" s="63"/>
      <c r="TEZ43" s="63"/>
      <c r="TFA43" s="63"/>
      <c r="TFB43" s="63"/>
      <c r="TFC43" s="63"/>
      <c r="TFD43" s="63"/>
      <c r="TFE43" s="63"/>
      <c r="TFF43" s="63"/>
      <c r="TFG43" s="63"/>
      <c r="TFH43" s="63"/>
      <c r="TFI43" s="63"/>
      <c r="TFJ43" s="63"/>
      <c r="TFK43" s="63"/>
      <c r="TFL43" s="63"/>
      <c r="TFM43" s="63"/>
      <c r="TFN43" s="63"/>
      <c r="TFO43" s="63"/>
      <c r="TFP43" s="63"/>
      <c r="TFQ43" s="63"/>
      <c r="TFR43" s="63"/>
      <c r="TFS43" s="63"/>
      <c r="TFT43" s="63"/>
      <c r="TFU43" s="63"/>
      <c r="TFV43" s="63"/>
      <c r="TFW43" s="63"/>
      <c r="TFX43" s="63"/>
      <c r="TFY43" s="63"/>
      <c r="TFZ43" s="63"/>
      <c r="TGA43" s="63"/>
      <c r="TGB43" s="63"/>
      <c r="TGC43" s="63"/>
      <c r="TGD43" s="63"/>
      <c r="TGE43" s="63"/>
      <c r="TGF43" s="63"/>
      <c r="TGG43" s="63"/>
      <c r="TGH43" s="63"/>
      <c r="TGI43" s="63"/>
      <c r="TGJ43" s="63"/>
      <c r="TGK43" s="63"/>
      <c r="TGL43" s="63"/>
      <c r="TGM43" s="63"/>
      <c r="TGN43" s="63"/>
      <c r="TGO43" s="63"/>
      <c r="TGP43" s="63"/>
      <c r="TGQ43" s="63"/>
      <c r="TGR43" s="63"/>
      <c r="TGS43" s="63"/>
      <c r="TGT43" s="63"/>
      <c r="TGU43" s="63"/>
      <c r="TGV43" s="63"/>
      <c r="TGW43" s="63"/>
      <c r="TGX43" s="63"/>
      <c r="TGY43" s="63"/>
      <c r="TGZ43" s="63"/>
      <c r="THA43" s="63"/>
      <c r="THB43" s="63"/>
      <c r="THC43" s="63"/>
      <c r="THD43" s="63"/>
      <c r="THE43" s="63"/>
      <c r="THF43" s="63"/>
      <c r="THG43" s="63"/>
      <c r="THH43" s="63"/>
      <c r="THI43" s="63"/>
      <c r="THJ43" s="63"/>
      <c r="THK43" s="63"/>
      <c r="THL43" s="63"/>
      <c r="THM43" s="63"/>
      <c r="THN43" s="63"/>
      <c r="THO43" s="63"/>
      <c r="THP43" s="63"/>
      <c r="THQ43" s="63"/>
      <c r="THR43" s="63"/>
      <c r="THS43" s="63"/>
      <c r="THT43" s="63"/>
      <c r="THU43" s="63"/>
      <c r="THV43" s="63"/>
      <c r="THW43" s="63"/>
      <c r="THX43" s="63"/>
      <c r="THY43" s="63"/>
      <c r="THZ43" s="63"/>
      <c r="TIA43" s="63"/>
      <c r="TIB43" s="63"/>
      <c r="TIC43" s="63"/>
      <c r="TID43" s="63"/>
      <c r="TIE43" s="63"/>
      <c r="TIF43" s="63"/>
      <c r="TIG43" s="63"/>
      <c r="TIH43" s="63"/>
      <c r="TII43" s="63"/>
      <c r="TIJ43" s="63"/>
      <c r="TIK43" s="63"/>
      <c r="TIL43" s="63"/>
      <c r="TIM43" s="63"/>
      <c r="TIN43" s="63"/>
      <c r="TIO43" s="63"/>
      <c r="TIP43" s="63"/>
      <c r="TIQ43" s="63"/>
      <c r="TIR43" s="63"/>
      <c r="TIS43" s="63"/>
      <c r="TIT43" s="63"/>
      <c r="TIU43" s="63"/>
      <c r="TIV43" s="63"/>
      <c r="TIW43" s="63"/>
      <c r="TIX43" s="63"/>
      <c r="TIY43" s="63"/>
      <c r="TIZ43" s="63"/>
      <c r="TJA43" s="63"/>
      <c r="TJB43" s="63"/>
      <c r="TJC43" s="63"/>
      <c r="TJD43" s="63"/>
      <c r="TJE43" s="63"/>
      <c r="TJF43" s="63"/>
      <c r="TJG43" s="63"/>
      <c r="TJH43" s="63"/>
      <c r="TJI43" s="63"/>
      <c r="TJJ43" s="63"/>
      <c r="TJK43" s="63"/>
      <c r="TJL43" s="63"/>
      <c r="TJM43" s="63"/>
      <c r="TJN43" s="63"/>
      <c r="TJO43" s="63"/>
      <c r="TJP43" s="63"/>
      <c r="TJQ43" s="63"/>
      <c r="TJR43" s="63"/>
      <c r="TJS43" s="63"/>
      <c r="TJT43" s="63"/>
      <c r="TJU43" s="63"/>
      <c r="TJV43" s="63"/>
      <c r="TJW43" s="63"/>
      <c r="TJX43" s="63"/>
      <c r="TJY43" s="63"/>
      <c r="TJZ43" s="63"/>
      <c r="TKA43" s="63"/>
      <c r="TKB43" s="63"/>
      <c r="TKC43" s="63"/>
      <c r="TKD43" s="63"/>
      <c r="TKE43" s="63"/>
      <c r="TKF43" s="63"/>
      <c r="TKG43" s="63"/>
      <c r="TKH43" s="63"/>
      <c r="TKI43" s="63"/>
      <c r="TKJ43" s="63"/>
      <c r="TKK43" s="63"/>
      <c r="TKL43" s="63"/>
      <c r="TKM43" s="63"/>
      <c r="TKN43" s="63"/>
      <c r="TKO43" s="63"/>
      <c r="TKP43" s="63"/>
      <c r="TKQ43" s="63"/>
      <c r="TKR43" s="63"/>
      <c r="TKS43" s="63"/>
      <c r="TKT43" s="63"/>
      <c r="TKU43" s="63"/>
      <c r="TKV43" s="63"/>
      <c r="TKW43" s="63"/>
      <c r="TKX43" s="63"/>
      <c r="TKY43" s="63"/>
      <c r="TKZ43" s="63"/>
      <c r="TLA43" s="63"/>
      <c r="TLB43" s="63"/>
      <c r="TLC43" s="63"/>
      <c r="TLD43" s="63"/>
      <c r="TLE43" s="63"/>
      <c r="TLF43" s="63"/>
      <c r="TLG43" s="63"/>
      <c r="TLH43" s="63"/>
      <c r="TLI43" s="63"/>
      <c r="TLJ43" s="63"/>
      <c r="TLK43" s="63"/>
      <c r="TLL43" s="63"/>
      <c r="TLM43" s="63"/>
      <c r="TLN43" s="63"/>
      <c r="TLO43" s="63"/>
      <c r="TLP43" s="63"/>
      <c r="TLQ43" s="63"/>
      <c r="TLR43" s="63"/>
      <c r="TLS43" s="63"/>
      <c r="TLT43" s="63"/>
      <c r="TLU43" s="63"/>
      <c r="TLV43" s="63"/>
      <c r="TLW43" s="63"/>
      <c r="TLX43" s="63"/>
      <c r="TLY43" s="63"/>
      <c r="TLZ43" s="63"/>
      <c r="TMA43" s="63"/>
      <c r="TMB43" s="63"/>
      <c r="TMC43" s="63"/>
      <c r="TMD43" s="63"/>
      <c r="TME43" s="63"/>
      <c r="TMF43" s="63"/>
      <c r="TMG43" s="63"/>
      <c r="TMH43" s="63"/>
      <c r="TMI43" s="63"/>
      <c r="TMJ43" s="63"/>
      <c r="TMK43" s="63"/>
      <c r="TML43" s="63"/>
      <c r="TMM43" s="63"/>
      <c r="TMN43" s="63"/>
      <c r="TMO43" s="63"/>
      <c r="TMP43" s="63"/>
      <c r="TMQ43" s="63"/>
      <c r="TMR43" s="63"/>
      <c r="TMS43" s="63"/>
      <c r="TMT43" s="63"/>
      <c r="TMU43" s="63"/>
      <c r="TMV43" s="63"/>
      <c r="TMW43" s="63"/>
      <c r="TMX43" s="63"/>
      <c r="TMY43" s="63"/>
      <c r="TMZ43" s="63"/>
      <c r="TNA43" s="63"/>
      <c r="TNB43" s="63"/>
      <c r="TNC43" s="63"/>
      <c r="TND43" s="63"/>
      <c r="TNE43" s="63"/>
      <c r="TNF43" s="63"/>
      <c r="TNG43" s="63"/>
      <c r="TNH43" s="63"/>
      <c r="TNI43" s="63"/>
      <c r="TNJ43" s="63"/>
      <c r="TNK43" s="63"/>
      <c r="TNL43" s="63"/>
      <c r="TNM43" s="63"/>
      <c r="TNN43" s="63"/>
      <c r="TNO43" s="63"/>
      <c r="TNP43" s="63"/>
      <c r="TNQ43" s="63"/>
      <c r="TNR43" s="63"/>
      <c r="TNS43" s="63"/>
      <c r="TNT43" s="63"/>
      <c r="TNU43" s="63"/>
      <c r="TNV43" s="63"/>
      <c r="TNW43" s="63"/>
      <c r="TNX43" s="63"/>
      <c r="TNY43" s="63"/>
      <c r="TNZ43" s="63"/>
      <c r="TOA43" s="63"/>
      <c r="TOB43" s="63"/>
      <c r="TOC43" s="63"/>
      <c r="TOD43" s="63"/>
      <c r="TOE43" s="63"/>
      <c r="TOF43" s="63"/>
      <c r="TOG43" s="63"/>
      <c r="TOH43" s="63"/>
      <c r="TOI43" s="63"/>
      <c r="TOJ43" s="63"/>
      <c r="TOK43" s="63"/>
      <c r="TOL43" s="63"/>
      <c r="TOM43" s="63"/>
      <c r="TON43" s="63"/>
      <c r="TOO43" s="63"/>
      <c r="TOP43" s="63"/>
      <c r="TOQ43" s="63"/>
      <c r="TOR43" s="63"/>
      <c r="TOS43" s="63"/>
      <c r="TOT43" s="63"/>
      <c r="TOU43" s="63"/>
      <c r="TOV43" s="63"/>
      <c r="TOW43" s="63"/>
      <c r="TOX43" s="63"/>
      <c r="TOY43" s="63"/>
      <c r="TOZ43" s="63"/>
      <c r="TPA43" s="63"/>
      <c r="TPB43" s="63"/>
      <c r="TPC43" s="63"/>
      <c r="TPD43" s="63"/>
      <c r="TPE43" s="63"/>
      <c r="TPF43" s="63"/>
      <c r="TPG43" s="63"/>
      <c r="TPH43" s="63"/>
      <c r="TPI43" s="63"/>
      <c r="TPJ43" s="63"/>
      <c r="TPK43" s="63"/>
      <c r="TPL43" s="63"/>
      <c r="TPM43" s="63"/>
      <c r="TPN43" s="63"/>
      <c r="TPO43" s="63"/>
      <c r="TPP43" s="63"/>
      <c r="TPQ43" s="63"/>
      <c r="TPR43" s="63"/>
      <c r="TPS43" s="63"/>
      <c r="TPT43" s="63"/>
      <c r="TPU43" s="63"/>
      <c r="TPV43" s="63"/>
      <c r="TPW43" s="63"/>
      <c r="TPX43" s="63"/>
      <c r="TPY43" s="63"/>
      <c r="TPZ43" s="63"/>
      <c r="TQA43" s="63"/>
      <c r="TQB43" s="63"/>
      <c r="TQC43" s="63"/>
      <c r="TQD43" s="63"/>
      <c r="TQE43" s="63"/>
      <c r="TQF43" s="63"/>
      <c r="TQG43" s="63"/>
      <c r="TQH43" s="63"/>
      <c r="TQI43" s="63"/>
      <c r="TQJ43" s="63"/>
      <c r="TQK43" s="63"/>
      <c r="TQL43" s="63"/>
      <c r="TQM43" s="63"/>
      <c r="TQN43" s="63"/>
      <c r="TQO43" s="63"/>
      <c r="TQP43" s="63"/>
      <c r="TQQ43" s="63"/>
      <c r="TQR43" s="63"/>
      <c r="TQS43" s="63"/>
      <c r="TQT43" s="63"/>
      <c r="TQU43" s="63"/>
      <c r="TQV43" s="63"/>
      <c r="TQW43" s="63"/>
      <c r="TQX43" s="63"/>
      <c r="TQY43" s="63"/>
      <c r="TQZ43" s="63"/>
      <c r="TRA43" s="63"/>
      <c r="TRB43" s="63"/>
      <c r="TRC43" s="63"/>
      <c r="TRD43" s="63"/>
      <c r="TRE43" s="63"/>
      <c r="TRF43" s="63"/>
      <c r="TRG43" s="63"/>
      <c r="TRH43" s="63"/>
      <c r="TRI43" s="63"/>
      <c r="TRJ43" s="63"/>
      <c r="TRK43" s="63"/>
      <c r="TRL43" s="63"/>
      <c r="TRM43" s="63"/>
      <c r="TRN43" s="63"/>
      <c r="TRO43" s="63"/>
      <c r="TRP43" s="63"/>
      <c r="TRQ43" s="63"/>
      <c r="TRR43" s="63"/>
      <c r="TRS43" s="63"/>
      <c r="TRT43" s="63"/>
      <c r="TRU43" s="63"/>
      <c r="TRV43" s="63"/>
      <c r="TRW43" s="63"/>
      <c r="TRX43" s="63"/>
      <c r="TRY43" s="63"/>
      <c r="TRZ43" s="63"/>
      <c r="TSA43" s="63"/>
      <c r="TSB43" s="63"/>
      <c r="TSC43" s="63"/>
      <c r="TSD43" s="63"/>
      <c r="TSE43" s="63"/>
      <c r="TSF43" s="63"/>
      <c r="TSG43" s="63"/>
      <c r="TSH43" s="63"/>
      <c r="TSI43" s="63"/>
      <c r="TSJ43" s="63"/>
      <c r="TSK43" s="63"/>
      <c r="TSL43" s="63"/>
      <c r="TSM43" s="63"/>
      <c r="TSN43" s="63"/>
      <c r="TSO43" s="63"/>
      <c r="TSP43" s="63"/>
      <c r="TSQ43" s="63"/>
      <c r="TSR43" s="63"/>
      <c r="TSS43" s="63"/>
      <c r="TST43" s="63"/>
      <c r="TSU43" s="63"/>
      <c r="TSV43" s="63"/>
      <c r="TSW43" s="63"/>
      <c r="TSX43" s="63"/>
      <c r="TSY43" s="63"/>
      <c r="TSZ43" s="63"/>
      <c r="TTA43" s="63"/>
      <c r="TTB43" s="63"/>
      <c r="TTC43" s="63"/>
      <c r="TTD43" s="63"/>
      <c r="TTE43" s="63"/>
      <c r="TTF43" s="63"/>
      <c r="TTG43" s="63"/>
      <c r="TTH43" s="63"/>
      <c r="TTI43" s="63"/>
      <c r="TTJ43" s="63"/>
      <c r="TTK43" s="63"/>
      <c r="TTL43" s="63"/>
      <c r="TTM43" s="63"/>
      <c r="TTN43" s="63"/>
      <c r="TTO43" s="63"/>
      <c r="TTP43" s="63"/>
      <c r="TTQ43" s="63"/>
      <c r="TTR43" s="63"/>
      <c r="TTS43" s="63"/>
      <c r="TTT43" s="63"/>
      <c r="TTU43" s="63"/>
      <c r="TTV43" s="63"/>
      <c r="TTW43" s="63"/>
      <c r="TTX43" s="63"/>
      <c r="TTY43" s="63"/>
      <c r="TTZ43" s="63"/>
      <c r="TUA43" s="63"/>
      <c r="TUB43" s="63"/>
      <c r="TUC43" s="63"/>
      <c r="TUD43" s="63"/>
      <c r="TUE43" s="63"/>
      <c r="TUF43" s="63"/>
      <c r="TUG43" s="63"/>
      <c r="TUH43" s="63"/>
      <c r="TUI43" s="63"/>
      <c r="TUJ43" s="63"/>
      <c r="TUK43" s="63"/>
      <c r="TUL43" s="63"/>
      <c r="TUM43" s="63"/>
      <c r="TUN43" s="63"/>
      <c r="TUO43" s="63"/>
      <c r="TUP43" s="63"/>
      <c r="TUQ43" s="63"/>
      <c r="TUR43" s="63"/>
      <c r="TUS43" s="63"/>
      <c r="TUT43" s="63"/>
      <c r="TUU43" s="63"/>
      <c r="TUV43" s="63"/>
      <c r="TUW43" s="63"/>
      <c r="TUX43" s="63"/>
      <c r="TUY43" s="63"/>
      <c r="TUZ43" s="63"/>
      <c r="TVA43" s="63"/>
      <c r="TVB43" s="63"/>
      <c r="TVC43" s="63"/>
      <c r="TVD43" s="63"/>
      <c r="TVE43" s="63"/>
      <c r="TVF43" s="63"/>
      <c r="TVG43" s="63"/>
      <c r="TVH43" s="63"/>
      <c r="TVI43" s="63"/>
      <c r="TVJ43" s="63"/>
      <c r="TVK43" s="63"/>
      <c r="TVL43" s="63"/>
      <c r="TVM43" s="63"/>
      <c r="TVN43" s="63"/>
      <c r="TVO43" s="63"/>
      <c r="TVP43" s="63"/>
      <c r="TVQ43" s="63"/>
      <c r="TVR43" s="63"/>
      <c r="TVS43" s="63"/>
      <c r="TVT43" s="63"/>
      <c r="TVU43" s="63"/>
      <c r="TVV43" s="63"/>
      <c r="TVW43" s="63"/>
      <c r="TVX43" s="63"/>
      <c r="TVY43" s="63"/>
      <c r="TVZ43" s="63"/>
      <c r="TWA43" s="63"/>
      <c r="TWB43" s="63"/>
      <c r="TWC43" s="63"/>
      <c r="TWD43" s="63"/>
      <c r="TWE43" s="63"/>
      <c r="TWF43" s="63"/>
      <c r="TWG43" s="63"/>
      <c r="TWH43" s="63"/>
      <c r="TWI43" s="63"/>
      <c r="TWJ43" s="63"/>
      <c r="TWK43" s="63"/>
      <c r="TWL43" s="63"/>
      <c r="TWM43" s="63"/>
      <c r="TWN43" s="63"/>
      <c r="TWO43" s="63"/>
      <c r="TWP43" s="63"/>
      <c r="TWQ43" s="63"/>
      <c r="TWR43" s="63"/>
      <c r="TWS43" s="63"/>
      <c r="TWT43" s="63"/>
      <c r="TWU43" s="63"/>
      <c r="TWV43" s="63"/>
      <c r="TWW43" s="63"/>
      <c r="TWX43" s="63"/>
      <c r="TWY43" s="63"/>
      <c r="TWZ43" s="63"/>
      <c r="TXA43" s="63"/>
      <c r="TXB43" s="63"/>
      <c r="TXC43" s="63"/>
      <c r="TXD43" s="63"/>
      <c r="TXE43" s="63"/>
      <c r="TXF43" s="63"/>
      <c r="TXG43" s="63"/>
      <c r="TXH43" s="63"/>
      <c r="TXI43" s="63"/>
      <c r="TXJ43" s="63"/>
      <c r="TXK43" s="63"/>
      <c r="TXL43" s="63"/>
      <c r="TXM43" s="63"/>
      <c r="TXN43" s="63"/>
      <c r="TXO43" s="63"/>
      <c r="TXP43" s="63"/>
      <c r="TXQ43" s="63"/>
      <c r="TXR43" s="63"/>
      <c r="TXS43" s="63"/>
      <c r="TXT43" s="63"/>
      <c r="TXU43" s="63"/>
      <c r="TXV43" s="63"/>
      <c r="TXW43" s="63"/>
      <c r="TXX43" s="63"/>
      <c r="TXY43" s="63"/>
      <c r="TXZ43" s="63"/>
      <c r="TYA43" s="63"/>
      <c r="TYB43" s="63"/>
      <c r="TYC43" s="63"/>
      <c r="TYD43" s="63"/>
      <c r="TYE43" s="63"/>
      <c r="TYF43" s="63"/>
      <c r="TYG43" s="63"/>
      <c r="TYH43" s="63"/>
      <c r="TYI43" s="63"/>
      <c r="TYJ43" s="63"/>
      <c r="TYK43" s="63"/>
      <c r="TYL43" s="63"/>
      <c r="TYM43" s="63"/>
      <c r="TYN43" s="63"/>
      <c r="TYO43" s="63"/>
      <c r="TYP43" s="63"/>
      <c r="TYQ43" s="63"/>
      <c r="TYR43" s="63"/>
      <c r="TYS43" s="63"/>
      <c r="TYT43" s="63"/>
      <c r="TYU43" s="63"/>
      <c r="TYV43" s="63"/>
      <c r="TYW43" s="63"/>
      <c r="TYX43" s="63"/>
      <c r="TYY43" s="63"/>
      <c r="TYZ43" s="63"/>
      <c r="TZA43" s="63"/>
      <c r="TZB43" s="63"/>
      <c r="TZC43" s="63"/>
      <c r="TZD43" s="63"/>
      <c r="TZE43" s="63"/>
      <c r="TZF43" s="63"/>
      <c r="TZG43" s="63"/>
      <c r="TZH43" s="63"/>
      <c r="TZI43" s="63"/>
      <c r="TZJ43" s="63"/>
      <c r="TZK43" s="63"/>
      <c r="TZL43" s="63"/>
      <c r="TZM43" s="63"/>
      <c r="TZN43" s="63"/>
      <c r="TZO43" s="63"/>
      <c r="TZP43" s="63"/>
      <c r="TZQ43" s="63"/>
      <c r="TZR43" s="63"/>
      <c r="TZS43" s="63"/>
      <c r="TZT43" s="63"/>
      <c r="TZU43" s="63"/>
      <c r="TZV43" s="63"/>
      <c r="TZW43" s="63"/>
      <c r="TZX43" s="63"/>
      <c r="TZY43" s="63"/>
      <c r="TZZ43" s="63"/>
      <c r="UAA43" s="63"/>
      <c r="UAB43" s="63"/>
      <c r="UAC43" s="63"/>
      <c r="UAD43" s="63"/>
      <c r="UAE43" s="63"/>
      <c r="UAF43" s="63"/>
      <c r="UAG43" s="63"/>
      <c r="UAH43" s="63"/>
      <c r="UAI43" s="63"/>
      <c r="UAJ43" s="63"/>
      <c r="UAK43" s="63"/>
      <c r="UAL43" s="63"/>
      <c r="UAM43" s="63"/>
      <c r="UAN43" s="63"/>
      <c r="UAO43" s="63"/>
      <c r="UAP43" s="63"/>
      <c r="UAQ43" s="63"/>
      <c r="UAR43" s="63"/>
      <c r="UAS43" s="63"/>
      <c r="UAT43" s="63"/>
      <c r="UAU43" s="63"/>
      <c r="UAV43" s="63"/>
      <c r="UAW43" s="63"/>
      <c r="UAX43" s="63"/>
      <c r="UAY43" s="63"/>
      <c r="UAZ43" s="63"/>
      <c r="UBA43" s="63"/>
      <c r="UBB43" s="63"/>
      <c r="UBC43" s="63"/>
      <c r="UBD43" s="63"/>
      <c r="UBE43" s="63"/>
      <c r="UBF43" s="63"/>
      <c r="UBG43" s="63"/>
      <c r="UBH43" s="63"/>
      <c r="UBI43" s="63"/>
      <c r="UBJ43" s="63"/>
      <c r="UBK43" s="63"/>
      <c r="UBL43" s="63"/>
      <c r="UBM43" s="63"/>
      <c r="UBN43" s="63"/>
      <c r="UBO43" s="63"/>
      <c r="UBP43" s="63"/>
      <c r="UBQ43" s="63"/>
      <c r="UBR43" s="63"/>
      <c r="UBS43" s="63"/>
      <c r="UBT43" s="63"/>
      <c r="UBU43" s="63"/>
      <c r="UBV43" s="63"/>
      <c r="UBW43" s="63"/>
      <c r="UBX43" s="63"/>
      <c r="UBY43" s="63"/>
      <c r="UBZ43" s="63"/>
      <c r="UCA43" s="63"/>
      <c r="UCB43" s="63"/>
      <c r="UCC43" s="63"/>
      <c r="UCD43" s="63"/>
      <c r="UCE43" s="63"/>
      <c r="UCF43" s="63"/>
      <c r="UCG43" s="63"/>
      <c r="UCH43" s="63"/>
      <c r="UCI43" s="63"/>
      <c r="UCJ43" s="63"/>
      <c r="UCK43" s="63"/>
      <c r="UCL43" s="63"/>
      <c r="UCM43" s="63"/>
      <c r="UCN43" s="63"/>
      <c r="UCO43" s="63"/>
      <c r="UCP43" s="63"/>
      <c r="UCQ43" s="63"/>
      <c r="UCR43" s="63"/>
      <c r="UCS43" s="63"/>
      <c r="UCT43" s="63"/>
      <c r="UCU43" s="63"/>
      <c r="UCV43" s="63"/>
      <c r="UCW43" s="63"/>
      <c r="UCX43" s="63"/>
      <c r="UCY43" s="63"/>
      <c r="UCZ43" s="63"/>
      <c r="UDA43" s="63"/>
      <c r="UDB43" s="63"/>
      <c r="UDC43" s="63"/>
      <c r="UDD43" s="63"/>
      <c r="UDE43" s="63"/>
      <c r="UDF43" s="63"/>
      <c r="UDG43" s="63"/>
      <c r="UDH43" s="63"/>
      <c r="UDI43" s="63"/>
      <c r="UDJ43" s="63"/>
      <c r="UDK43" s="63"/>
      <c r="UDL43" s="63"/>
      <c r="UDM43" s="63"/>
      <c r="UDN43" s="63"/>
      <c r="UDO43" s="63"/>
      <c r="UDP43" s="63"/>
      <c r="UDQ43" s="63"/>
      <c r="UDR43" s="63"/>
      <c r="UDS43" s="63"/>
      <c r="UDT43" s="63"/>
      <c r="UDU43" s="63"/>
      <c r="UDV43" s="63"/>
      <c r="UDW43" s="63"/>
      <c r="UDX43" s="63"/>
      <c r="UDY43" s="63"/>
      <c r="UDZ43" s="63"/>
      <c r="UEA43" s="63"/>
      <c r="UEB43" s="63"/>
      <c r="UEC43" s="63"/>
      <c r="UED43" s="63"/>
      <c r="UEE43" s="63"/>
      <c r="UEF43" s="63"/>
      <c r="UEG43" s="63"/>
      <c r="UEH43" s="63"/>
      <c r="UEI43" s="63"/>
      <c r="UEJ43" s="63"/>
      <c r="UEK43" s="63"/>
      <c r="UEL43" s="63"/>
      <c r="UEM43" s="63"/>
      <c r="UEN43" s="63"/>
      <c r="UEO43" s="63"/>
      <c r="UEP43" s="63"/>
      <c r="UEQ43" s="63"/>
      <c r="UER43" s="63"/>
      <c r="UES43" s="63"/>
      <c r="UET43" s="63"/>
      <c r="UEU43" s="63"/>
      <c r="UEV43" s="63"/>
      <c r="UEW43" s="63"/>
      <c r="UEX43" s="63"/>
      <c r="UEY43" s="63"/>
      <c r="UEZ43" s="63"/>
      <c r="UFA43" s="63"/>
      <c r="UFB43" s="63"/>
      <c r="UFC43" s="63"/>
      <c r="UFD43" s="63"/>
      <c r="UFE43" s="63"/>
      <c r="UFF43" s="63"/>
      <c r="UFG43" s="63"/>
      <c r="UFH43" s="63"/>
      <c r="UFI43" s="63"/>
      <c r="UFJ43" s="63"/>
      <c r="UFK43" s="63"/>
      <c r="UFL43" s="63"/>
      <c r="UFM43" s="63"/>
      <c r="UFN43" s="63"/>
      <c r="UFO43" s="63"/>
      <c r="UFP43" s="63"/>
      <c r="UFQ43" s="63"/>
      <c r="UFR43" s="63"/>
      <c r="UFS43" s="63"/>
      <c r="UFT43" s="63"/>
      <c r="UFU43" s="63"/>
      <c r="UFV43" s="63"/>
      <c r="UFW43" s="63"/>
      <c r="UFX43" s="63"/>
      <c r="UFY43" s="63"/>
      <c r="UFZ43" s="63"/>
      <c r="UGA43" s="63"/>
      <c r="UGB43" s="63"/>
      <c r="UGC43" s="63"/>
      <c r="UGD43" s="63"/>
      <c r="UGE43" s="63"/>
      <c r="UGF43" s="63"/>
      <c r="UGG43" s="63"/>
      <c r="UGH43" s="63"/>
      <c r="UGI43" s="63"/>
      <c r="UGJ43" s="63"/>
      <c r="UGK43" s="63"/>
      <c r="UGL43" s="63"/>
      <c r="UGM43" s="63"/>
      <c r="UGN43" s="63"/>
      <c r="UGO43" s="63"/>
      <c r="UGP43" s="63"/>
      <c r="UGQ43" s="63"/>
      <c r="UGR43" s="63"/>
      <c r="UGS43" s="63"/>
      <c r="UGT43" s="63"/>
      <c r="UGU43" s="63"/>
      <c r="UGV43" s="63"/>
      <c r="UGW43" s="63"/>
      <c r="UGX43" s="63"/>
      <c r="UGY43" s="63"/>
      <c r="UGZ43" s="63"/>
      <c r="UHA43" s="63"/>
      <c r="UHB43" s="63"/>
      <c r="UHC43" s="63"/>
      <c r="UHD43" s="63"/>
      <c r="UHE43" s="63"/>
      <c r="UHF43" s="63"/>
      <c r="UHG43" s="63"/>
      <c r="UHH43" s="63"/>
      <c r="UHI43" s="63"/>
      <c r="UHJ43" s="63"/>
      <c r="UHK43" s="63"/>
      <c r="UHL43" s="63"/>
      <c r="UHM43" s="63"/>
      <c r="UHN43" s="63"/>
      <c r="UHO43" s="63"/>
      <c r="UHP43" s="63"/>
      <c r="UHQ43" s="63"/>
      <c r="UHR43" s="63"/>
      <c r="UHS43" s="63"/>
      <c r="UHT43" s="63"/>
      <c r="UHU43" s="63"/>
      <c r="UHV43" s="63"/>
      <c r="UHW43" s="63"/>
      <c r="UHX43" s="63"/>
      <c r="UHY43" s="63"/>
      <c r="UHZ43" s="63"/>
      <c r="UIA43" s="63"/>
      <c r="UIB43" s="63"/>
      <c r="UIC43" s="63"/>
      <c r="UID43" s="63"/>
      <c r="UIE43" s="63"/>
      <c r="UIF43" s="63"/>
      <c r="UIG43" s="63"/>
      <c r="UIH43" s="63"/>
      <c r="UII43" s="63"/>
      <c r="UIJ43" s="63"/>
      <c r="UIK43" s="63"/>
      <c r="UIL43" s="63"/>
      <c r="UIM43" s="63"/>
      <c r="UIN43" s="63"/>
      <c r="UIO43" s="63"/>
      <c r="UIP43" s="63"/>
      <c r="UIQ43" s="63"/>
      <c r="UIR43" s="63"/>
      <c r="UIS43" s="63"/>
      <c r="UIT43" s="63"/>
      <c r="UIU43" s="63"/>
      <c r="UIV43" s="63"/>
      <c r="UIW43" s="63"/>
      <c r="UIX43" s="63"/>
      <c r="UIY43" s="63"/>
      <c r="UIZ43" s="63"/>
      <c r="UJA43" s="63"/>
      <c r="UJB43" s="63"/>
      <c r="UJC43" s="63"/>
      <c r="UJD43" s="63"/>
      <c r="UJE43" s="63"/>
      <c r="UJF43" s="63"/>
      <c r="UJG43" s="63"/>
      <c r="UJH43" s="63"/>
      <c r="UJI43" s="63"/>
      <c r="UJJ43" s="63"/>
      <c r="UJK43" s="63"/>
      <c r="UJL43" s="63"/>
      <c r="UJM43" s="63"/>
      <c r="UJN43" s="63"/>
      <c r="UJO43" s="63"/>
      <c r="UJP43" s="63"/>
      <c r="UJQ43" s="63"/>
      <c r="UJR43" s="63"/>
      <c r="UJS43" s="63"/>
      <c r="UJT43" s="63"/>
      <c r="UJU43" s="63"/>
      <c r="UJV43" s="63"/>
      <c r="UJW43" s="63"/>
      <c r="UJX43" s="63"/>
      <c r="UJY43" s="63"/>
      <c r="UJZ43" s="63"/>
      <c r="UKA43" s="63"/>
      <c r="UKB43" s="63"/>
      <c r="UKC43" s="63"/>
      <c r="UKD43" s="63"/>
      <c r="UKE43" s="63"/>
      <c r="UKF43" s="63"/>
      <c r="UKG43" s="63"/>
      <c r="UKH43" s="63"/>
      <c r="UKI43" s="63"/>
      <c r="UKJ43" s="63"/>
      <c r="UKK43" s="63"/>
      <c r="UKL43" s="63"/>
      <c r="UKM43" s="63"/>
      <c r="UKN43" s="63"/>
      <c r="UKO43" s="63"/>
      <c r="UKP43" s="63"/>
      <c r="UKQ43" s="63"/>
      <c r="UKR43" s="63"/>
      <c r="UKS43" s="63"/>
      <c r="UKT43" s="63"/>
      <c r="UKU43" s="63"/>
      <c r="UKV43" s="63"/>
      <c r="UKW43" s="63"/>
      <c r="UKX43" s="63"/>
      <c r="UKY43" s="63"/>
      <c r="UKZ43" s="63"/>
      <c r="ULA43" s="63"/>
      <c r="ULB43" s="63"/>
      <c r="ULC43" s="63"/>
      <c r="ULD43" s="63"/>
      <c r="ULE43" s="63"/>
      <c r="ULF43" s="63"/>
      <c r="ULG43" s="63"/>
      <c r="ULH43" s="63"/>
      <c r="ULI43" s="63"/>
      <c r="ULJ43" s="63"/>
      <c r="ULK43" s="63"/>
      <c r="ULL43" s="63"/>
      <c r="ULM43" s="63"/>
      <c r="ULN43" s="63"/>
      <c r="ULO43" s="63"/>
      <c r="ULP43" s="63"/>
      <c r="ULQ43" s="63"/>
      <c r="ULR43" s="63"/>
      <c r="ULS43" s="63"/>
      <c r="ULT43" s="63"/>
      <c r="ULU43" s="63"/>
      <c r="ULV43" s="63"/>
      <c r="ULW43" s="63"/>
      <c r="ULX43" s="63"/>
      <c r="ULY43" s="63"/>
      <c r="ULZ43" s="63"/>
      <c r="UMA43" s="63"/>
      <c r="UMB43" s="63"/>
      <c r="UMC43" s="63"/>
      <c r="UMD43" s="63"/>
      <c r="UME43" s="63"/>
      <c r="UMF43" s="63"/>
      <c r="UMG43" s="63"/>
      <c r="UMH43" s="63"/>
      <c r="UMI43" s="63"/>
      <c r="UMJ43" s="63"/>
      <c r="UMK43" s="63"/>
      <c r="UML43" s="63"/>
      <c r="UMM43" s="63"/>
      <c r="UMN43" s="63"/>
      <c r="UMO43" s="63"/>
      <c r="UMP43" s="63"/>
      <c r="UMQ43" s="63"/>
      <c r="UMR43" s="63"/>
      <c r="UMS43" s="63"/>
      <c r="UMT43" s="63"/>
      <c r="UMU43" s="63"/>
      <c r="UMV43" s="63"/>
      <c r="UMW43" s="63"/>
      <c r="UMX43" s="63"/>
      <c r="UMY43" s="63"/>
      <c r="UMZ43" s="63"/>
      <c r="UNA43" s="63"/>
      <c r="UNB43" s="63"/>
      <c r="UNC43" s="63"/>
      <c r="UND43" s="63"/>
      <c r="UNE43" s="63"/>
      <c r="UNF43" s="63"/>
      <c r="UNG43" s="63"/>
      <c r="UNH43" s="63"/>
      <c r="UNI43" s="63"/>
      <c r="UNJ43" s="63"/>
      <c r="UNK43" s="63"/>
      <c r="UNL43" s="63"/>
      <c r="UNM43" s="63"/>
      <c r="UNN43" s="63"/>
      <c r="UNO43" s="63"/>
      <c r="UNP43" s="63"/>
      <c r="UNQ43" s="63"/>
      <c r="UNR43" s="63"/>
      <c r="UNS43" s="63"/>
      <c r="UNT43" s="63"/>
      <c r="UNU43" s="63"/>
      <c r="UNV43" s="63"/>
      <c r="UNW43" s="63"/>
      <c r="UNX43" s="63"/>
      <c r="UNY43" s="63"/>
      <c r="UNZ43" s="63"/>
      <c r="UOA43" s="63"/>
      <c r="UOB43" s="63"/>
      <c r="UOC43" s="63"/>
      <c r="UOD43" s="63"/>
      <c r="UOE43" s="63"/>
      <c r="UOF43" s="63"/>
      <c r="UOG43" s="63"/>
      <c r="UOH43" s="63"/>
      <c r="UOI43" s="63"/>
      <c r="UOJ43" s="63"/>
      <c r="UOK43" s="63"/>
      <c r="UOL43" s="63"/>
      <c r="UOM43" s="63"/>
      <c r="UON43" s="63"/>
      <c r="UOO43" s="63"/>
      <c r="UOP43" s="63"/>
      <c r="UOQ43" s="63"/>
      <c r="UOR43" s="63"/>
      <c r="UOS43" s="63"/>
      <c r="UOT43" s="63"/>
      <c r="UOU43" s="63"/>
      <c r="UOV43" s="63"/>
      <c r="UOW43" s="63"/>
      <c r="UOX43" s="63"/>
      <c r="UOY43" s="63"/>
      <c r="UOZ43" s="63"/>
      <c r="UPA43" s="63"/>
      <c r="UPB43" s="63"/>
      <c r="UPC43" s="63"/>
      <c r="UPD43" s="63"/>
      <c r="UPE43" s="63"/>
      <c r="UPF43" s="63"/>
      <c r="UPG43" s="63"/>
      <c r="UPH43" s="63"/>
      <c r="UPI43" s="63"/>
      <c r="UPJ43" s="63"/>
      <c r="UPK43" s="63"/>
      <c r="UPL43" s="63"/>
      <c r="UPM43" s="63"/>
      <c r="UPN43" s="63"/>
      <c r="UPO43" s="63"/>
      <c r="UPP43" s="63"/>
      <c r="UPQ43" s="63"/>
      <c r="UPR43" s="63"/>
      <c r="UPS43" s="63"/>
      <c r="UPT43" s="63"/>
      <c r="UPU43" s="63"/>
      <c r="UPV43" s="63"/>
      <c r="UPW43" s="63"/>
      <c r="UPX43" s="63"/>
      <c r="UPY43" s="63"/>
      <c r="UPZ43" s="63"/>
      <c r="UQA43" s="63"/>
      <c r="UQB43" s="63"/>
      <c r="UQC43" s="63"/>
      <c r="UQD43" s="63"/>
      <c r="UQE43" s="63"/>
      <c r="UQF43" s="63"/>
      <c r="UQG43" s="63"/>
      <c r="UQH43" s="63"/>
      <c r="UQI43" s="63"/>
      <c r="UQJ43" s="63"/>
      <c r="UQK43" s="63"/>
      <c r="UQL43" s="63"/>
      <c r="UQM43" s="63"/>
      <c r="UQN43" s="63"/>
      <c r="UQO43" s="63"/>
      <c r="UQP43" s="63"/>
      <c r="UQQ43" s="63"/>
      <c r="UQR43" s="63"/>
      <c r="UQS43" s="63"/>
      <c r="UQT43" s="63"/>
      <c r="UQU43" s="63"/>
      <c r="UQV43" s="63"/>
      <c r="UQW43" s="63"/>
      <c r="UQX43" s="63"/>
      <c r="UQY43" s="63"/>
      <c r="UQZ43" s="63"/>
      <c r="URA43" s="63"/>
      <c r="URB43" s="63"/>
      <c r="URC43" s="63"/>
      <c r="URD43" s="63"/>
      <c r="URE43" s="63"/>
      <c r="URF43" s="63"/>
      <c r="URG43" s="63"/>
      <c r="URH43" s="63"/>
      <c r="URI43" s="63"/>
      <c r="URJ43" s="63"/>
      <c r="URK43" s="63"/>
      <c r="URL43" s="63"/>
      <c r="URM43" s="63"/>
      <c r="URN43" s="63"/>
      <c r="URO43" s="63"/>
      <c r="URP43" s="63"/>
      <c r="URQ43" s="63"/>
      <c r="URR43" s="63"/>
      <c r="URS43" s="63"/>
      <c r="URT43" s="63"/>
      <c r="URU43" s="63"/>
      <c r="URV43" s="63"/>
      <c r="URW43" s="63"/>
      <c r="URX43" s="63"/>
      <c r="URY43" s="63"/>
      <c r="URZ43" s="63"/>
      <c r="USA43" s="63"/>
      <c r="USB43" s="63"/>
      <c r="USC43" s="63"/>
      <c r="USD43" s="63"/>
      <c r="USE43" s="63"/>
      <c r="USF43" s="63"/>
      <c r="USG43" s="63"/>
      <c r="USH43" s="63"/>
      <c r="USI43" s="63"/>
      <c r="USJ43" s="63"/>
      <c r="USK43" s="63"/>
      <c r="USL43" s="63"/>
      <c r="USM43" s="63"/>
      <c r="USN43" s="63"/>
      <c r="USO43" s="63"/>
      <c r="USP43" s="63"/>
      <c r="USQ43" s="63"/>
      <c r="USR43" s="63"/>
      <c r="USS43" s="63"/>
      <c r="UST43" s="63"/>
      <c r="USU43" s="63"/>
      <c r="USV43" s="63"/>
      <c r="USW43" s="63"/>
      <c r="USX43" s="63"/>
      <c r="USY43" s="63"/>
      <c r="USZ43" s="63"/>
      <c r="UTA43" s="63"/>
      <c r="UTB43" s="63"/>
      <c r="UTC43" s="63"/>
      <c r="UTD43" s="63"/>
      <c r="UTE43" s="63"/>
      <c r="UTF43" s="63"/>
      <c r="UTG43" s="63"/>
      <c r="UTH43" s="63"/>
      <c r="UTI43" s="63"/>
      <c r="UTJ43" s="63"/>
      <c r="UTK43" s="63"/>
      <c r="UTL43" s="63"/>
      <c r="UTM43" s="63"/>
      <c r="UTN43" s="63"/>
      <c r="UTO43" s="63"/>
      <c r="UTP43" s="63"/>
      <c r="UTQ43" s="63"/>
      <c r="UTR43" s="63"/>
      <c r="UTS43" s="63"/>
      <c r="UTT43" s="63"/>
      <c r="UTU43" s="63"/>
      <c r="UTV43" s="63"/>
      <c r="UTW43" s="63"/>
      <c r="UTX43" s="63"/>
      <c r="UTY43" s="63"/>
      <c r="UTZ43" s="63"/>
      <c r="UUA43" s="63"/>
      <c r="UUB43" s="63"/>
      <c r="UUC43" s="63"/>
      <c r="UUD43" s="63"/>
      <c r="UUE43" s="63"/>
      <c r="UUF43" s="63"/>
      <c r="UUG43" s="63"/>
      <c r="UUH43" s="63"/>
      <c r="UUI43" s="63"/>
      <c r="UUJ43" s="63"/>
      <c r="UUK43" s="63"/>
      <c r="UUL43" s="63"/>
      <c r="UUM43" s="63"/>
      <c r="UUN43" s="63"/>
      <c r="UUO43" s="63"/>
      <c r="UUP43" s="63"/>
      <c r="UUQ43" s="63"/>
      <c r="UUR43" s="63"/>
      <c r="UUS43" s="63"/>
      <c r="UUT43" s="63"/>
      <c r="UUU43" s="63"/>
      <c r="UUV43" s="63"/>
      <c r="UUW43" s="63"/>
      <c r="UUX43" s="63"/>
      <c r="UUY43" s="63"/>
      <c r="UUZ43" s="63"/>
      <c r="UVA43" s="63"/>
      <c r="UVB43" s="63"/>
      <c r="UVC43" s="63"/>
      <c r="UVD43" s="63"/>
      <c r="UVE43" s="63"/>
      <c r="UVF43" s="63"/>
      <c r="UVG43" s="63"/>
      <c r="UVH43" s="63"/>
      <c r="UVI43" s="63"/>
      <c r="UVJ43" s="63"/>
      <c r="UVK43" s="63"/>
      <c r="UVL43" s="63"/>
      <c r="UVM43" s="63"/>
      <c r="UVN43" s="63"/>
      <c r="UVO43" s="63"/>
      <c r="UVP43" s="63"/>
      <c r="UVQ43" s="63"/>
      <c r="UVR43" s="63"/>
      <c r="UVS43" s="63"/>
      <c r="UVT43" s="63"/>
      <c r="UVU43" s="63"/>
      <c r="UVV43" s="63"/>
      <c r="UVW43" s="63"/>
      <c r="UVX43" s="63"/>
      <c r="UVY43" s="63"/>
      <c r="UVZ43" s="63"/>
      <c r="UWA43" s="63"/>
      <c r="UWB43" s="63"/>
      <c r="UWC43" s="63"/>
      <c r="UWD43" s="63"/>
      <c r="UWE43" s="63"/>
      <c r="UWF43" s="63"/>
      <c r="UWG43" s="63"/>
      <c r="UWH43" s="63"/>
      <c r="UWI43" s="63"/>
      <c r="UWJ43" s="63"/>
      <c r="UWK43" s="63"/>
      <c r="UWL43" s="63"/>
      <c r="UWM43" s="63"/>
      <c r="UWN43" s="63"/>
      <c r="UWO43" s="63"/>
      <c r="UWP43" s="63"/>
      <c r="UWQ43" s="63"/>
      <c r="UWR43" s="63"/>
      <c r="UWS43" s="63"/>
      <c r="UWT43" s="63"/>
      <c r="UWU43" s="63"/>
      <c r="UWV43" s="63"/>
      <c r="UWW43" s="63"/>
      <c r="UWX43" s="63"/>
      <c r="UWY43" s="63"/>
      <c r="UWZ43" s="63"/>
      <c r="UXA43" s="63"/>
      <c r="UXB43" s="63"/>
      <c r="UXC43" s="63"/>
      <c r="UXD43" s="63"/>
      <c r="UXE43" s="63"/>
      <c r="UXF43" s="63"/>
      <c r="UXG43" s="63"/>
      <c r="UXH43" s="63"/>
      <c r="UXI43" s="63"/>
      <c r="UXJ43" s="63"/>
      <c r="UXK43" s="63"/>
      <c r="UXL43" s="63"/>
      <c r="UXM43" s="63"/>
      <c r="UXN43" s="63"/>
      <c r="UXO43" s="63"/>
      <c r="UXP43" s="63"/>
      <c r="UXQ43" s="63"/>
      <c r="UXR43" s="63"/>
      <c r="UXS43" s="63"/>
      <c r="UXT43" s="63"/>
      <c r="UXU43" s="63"/>
      <c r="UXV43" s="63"/>
      <c r="UXW43" s="63"/>
      <c r="UXX43" s="63"/>
      <c r="UXY43" s="63"/>
      <c r="UXZ43" s="63"/>
      <c r="UYA43" s="63"/>
      <c r="UYB43" s="63"/>
      <c r="UYC43" s="63"/>
      <c r="UYD43" s="63"/>
      <c r="UYE43" s="63"/>
      <c r="UYF43" s="63"/>
      <c r="UYG43" s="63"/>
      <c r="UYH43" s="63"/>
      <c r="UYI43" s="63"/>
      <c r="UYJ43" s="63"/>
      <c r="UYK43" s="63"/>
      <c r="UYL43" s="63"/>
      <c r="UYM43" s="63"/>
      <c r="UYN43" s="63"/>
      <c r="UYO43" s="63"/>
      <c r="UYP43" s="63"/>
      <c r="UYQ43" s="63"/>
      <c r="UYR43" s="63"/>
      <c r="UYS43" s="63"/>
      <c r="UYT43" s="63"/>
      <c r="UYU43" s="63"/>
      <c r="UYV43" s="63"/>
      <c r="UYW43" s="63"/>
      <c r="UYX43" s="63"/>
      <c r="UYY43" s="63"/>
      <c r="UYZ43" s="63"/>
      <c r="UZA43" s="63"/>
      <c r="UZB43" s="63"/>
      <c r="UZC43" s="63"/>
      <c r="UZD43" s="63"/>
      <c r="UZE43" s="63"/>
      <c r="UZF43" s="63"/>
      <c r="UZG43" s="63"/>
      <c r="UZH43" s="63"/>
      <c r="UZI43" s="63"/>
      <c r="UZJ43" s="63"/>
      <c r="UZK43" s="63"/>
      <c r="UZL43" s="63"/>
      <c r="UZM43" s="63"/>
      <c r="UZN43" s="63"/>
      <c r="UZO43" s="63"/>
      <c r="UZP43" s="63"/>
      <c r="UZQ43" s="63"/>
      <c r="UZR43" s="63"/>
      <c r="UZS43" s="63"/>
      <c r="UZT43" s="63"/>
      <c r="UZU43" s="63"/>
      <c r="UZV43" s="63"/>
      <c r="UZW43" s="63"/>
      <c r="UZX43" s="63"/>
      <c r="UZY43" s="63"/>
      <c r="UZZ43" s="63"/>
      <c r="VAA43" s="63"/>
      <c r="VAB43" s="63"/>
      <c r="VAC43" s="63"/>
      <c r="VAD43" s="63"/>
      <c r="VAE43" s="63"/>
      <c r="VAF43" s="63"/>
      <c r="VAG43" s="63"/>
      <c r="VAH43" s="63"/>
      <c r="VAI43" s="63"/>
      <c r="VAJ43" s="63"/>
      <c r="VAK43" s="63"/>
      <c r="VAL43" s="63"/>
      <c r="VAM43" s="63"/>
      <c r="VAN43" s="63"/>
      <c r="VAO43" s="63"/>
      <c r="VAP43" s="63"/>
      <c r="VAQ43" s="63"/>
      <c r="VAR43" s="63"/>
      <c r="VAS43" s="63"/>
      <c r="VAT43" s="63"/>
      <c r="VAU43" s="63"/>
      <c r="VAV43" s="63"/>
      <c r="VAW43" s="63"/>
      <c r="VAX43" s="63"/>
      <c r="VAY43" s="63"/>
      <c r="VAZ43" s="63"/>
      <c r="VBA43" s="63"/>
      <c r="VBB43" s="63"/>
      <c r="VBC43" s="63"/>
      <c r="VBD43" s="63"/>
      <c r="VBE43" s="63"/>
      <c r="VBF43" s="63"/>
      <c r="VBG43" s="63"/>
      <c r="VBH43" s="63"/>
      <c r="VBI43" s="63"/>
      <c r="VBJ43" s="63"/>
      <c r="VBK43" s="63"/>
      <c r="VBL43" s="63"/>
      <c r="VBM43" s="63"/>
      <c r="VBN43" s="63"/>
      <c r="VBO43" s="63"/>
      <c r="VBP43" s="63"/>
      <c r="VBQ43" s="63"/>
      <c r="VBR43" s="63"/>
      <c r="VBS43" s="63"/>
      <c r="VBT43" s="63"/>
      <c r="VBU43" s="63"/>
      <c r="VBV43" s="63"/>
      <c r="VBW43" s="63"/>
      <c r="VBX43" s="63"/>
      <c r="VBY43" s="63"/>
      <c r="VBZ43" s="63"/>
      <c r="VCA43" s="63"/>
      <c r="VCB43" s="63"/>
      <c r="VCC43" s="63"/>
      <c r="VCD43" s="63"/>
      <c r="VCE43" s="63"/>
      <c r="VCF43" s="63"/>
      <c r="VCG43" s="63"/>
      <c r="VCH43" s="63"/>
      <c r="VCI43" s="63"/>
      <c r="VCJ43" s="63"/>
      <c r="VCK43" s="63"/>
      <c r="VCL43" s="63"/>
      <c r="VCM43" s="63"/>
      <c r="VCN43" s="63"/>
      <c r="VCO43" s="63"/>
      <c r="VCP43" s="63"/>
      <c r="VCQ43" s="63"/>
      <c r="VCR43" s="63"/>
      <c r="VCS43" s="63"/>
      <c r="VCT43" s="63"/>
      <c r="VCU43" s="63"/>
      <c r="VCV43" s="63"/>
      <c r="VCW43" s="63"/>
      <c r="VCX43" s="63"/>
      <c r="VCY43" s="63"/>
      <c r="VCZ43" s="63"/>
      <c r="VDA43" s="63"/>
      <c r="VDB43" s="63"/>
      <c r="VDC43" s="63"/>
      <c r="VDD43" s="63"/>
      <c r="VDE43" s="63"/>
      <c r="VDF43" s="63"/>
      <c r="VDG43" s="63"/>
      <c r="VDH43" s="63"/>
      <c r="VDI43" s="63"/>
      <c r="VDJ43" s="63"/>
      <c r="VDK43" s="63"/>
      <c r="VDL43" s="63"/>
      <c r="VDM43" s="63"/>
      <c r="VDN43" s="63"/>
      <c r="VDO43" s="63"/>
      <c r="VDP43" s="63"/>
      <c r="VDQ43" s="63"/>
      <c r="VDR43" s="63"/>
      <c r="VDS43" s="63"/>
      <c r="VDT43" s="63"/>
      <c r="VDU43" s="63"/>
      <c r="VDV43" s="63"/>
      <c r="VDW43" s="63"/>
      <c r="VDX43" s="63"/>
      <c r="VDY43" s="63"/>
      <c r="VDZ43" s="63"/>
      <c r="VEA43" s="63"/>
      <c r="VEB43" s="63"/>
      <c r="VEC43" s="63"/>
      <c r="VED43" s="63"/>
      <c r="VEE43" s="63"/>
      <c r="VEF43" s="63"/>
      <c r="VEG43" s="63"/>
      <c r="VEH43" s="63"/>
      <c r="VEI43" s="63"/>
      <c r="VEJ43" s="63"/>
      <c r="VEK43" s="63"/>
      <c r="VEL43" s="63"/>
      <c r="VEM43" s="63"/>
      <c r="VEN43" s="63"/>
      <c r="VEO43" s="63"/>
      <c r="VEP43" s="63"/>
      <c r="VEQ43" s="63"/>
      <c r="VER43" s="63"/>
      <c r="VES43" s="63"/>
      <c r="VET43" s="63"/>
      <c r="VEU43" s="63"/>
      <c r="VEV43" s="63"/>
      <c r="VEW43" s="63"/>
      <c r="VEX43" s="63"/>
    </row>
    <row r="44" spans="1:15026">
      <c r="C44" s="15"/>
      <c r="D44" s="14" t="s">
        <v>75</v>
      </c>
      <c r="E44" s="230">
        <v>17143</v>
      </c>
      <c r="F44" s="20" t="s">
        <v>14</v>
      </c>
      <c r="G44" s="33">
        <f>G45+G46</f>
        <v>0</v>
      </c>
      <c r="H44" s="33">
        <f t="shared" ref="H44:AK44" si="8">H45+H46</f>
        <v>0</v>
      </c>
      <c r="I44" s="33">
        <f t="shared" si="8"/>
        <v>0</v>
      </c>
      <c r="J44" s="33">
        <f t="shared" si="8"/>
        <v>0</v>
      </c>
      <c r="K44" s="33"/>
      <c r="L44" s="33">
        <f t="shared" si="8"/>
        <v>0</v>
      </c>
      <c r="M44" s="33" t="s">
        <v>216</v>
      </c>
      <c r="N44" s="33">
        <f>N45+N46</f>
        <v>0</v>
      </c>
      <c r="O44" s="33">
        <f t="shared" si="8"/>
        <v>0</v>
      </c>
      <c r="P44" s="33"/>
      <c r="Q44" s="33">
        <f t="shared" si="8"/>
        <v>0</v>
      </c>
      <c r="R44" s="33">
        <f t="shared" si="8"/>
        <v>0</v>
      </c>
      <c r="S44" s="1965"/>
      <c r="T44" s="33"/>
      <c r="U44" s="33"/>
      <c r="V44" s="33">
        <f t="shared" ref="V44" si="9">V45+V46</f>
        <v>0</v>
      </c>
      <c r="W44" s="33">
        <f t="shared" si="8"/>
        <v>0</v>
      </c>
      <c r="X44" s="33"/>
      <c r="Y44" s="33"/>
      <c r="Z44" s="33"/>
      <c r="AA44" s="33"/>
      <c r="AB44" s="33"/>
      <c r="AC44" s="33"/>
      <c r="AD44" s="33"/>
      <c r="AE44" s="33"/>
      <c r="AF44" s="33"/>
      <c r="AG44" s="33">
        <f t="shared" si="8"/>
        <v>0</v>
      </c>
      <c r="AH44" s="33">
        <f t="shared" si="8"/>
        <v>0</v>
      </c>
      <c r="AI44" s="33"/>
      <c r="AJ44" s="33"/>
      <c r="AK44" s="33">
        <f t="shared" si="8"/>
        <v>0</v>
      </c>
      <c r="AM44" s="55">
        <f>SUM(G44:AK44)</f>
        <v>0</v>
      </c>
    </row>
    <row r="45" spans="1:15026">
      <c r="C45" s="15"/>
      <c r="D45" s="65" t="s">
        <v>112</v>
      </c>
      <c r="E45" s="68">
        <v>12000</v>
      </c>
      <c r="F45" s="66" t="s">
        <v>14</v>
      </c>
      <c r="G45" s="271"/>
      <c r="H45" s="271"/>
      <c r="I45" s="271"/>
      <c r="J45" s="271"/>
      <c r="K45" s="271"/>
      <c r="L45" s="271"/>
      <c r="M45" s="271"/>
      <c r="N45" s="271">
        <f>O45-P45</f>
        <v>0</v>
      </c>
      <c r="O45" s="271"/>
      <c r="P45" s="271"/>
      <c r="Q45" s="271">
        <v>0</v>
      </c>
      <c r="R45" s="271">
        <v>0</v>
      </c>
      <c r="S45" s="1971"/>
      <c r="T45" s="271"/>
      <c r="U45" s="271"/>
      <c r="V45" s="271">
        <v>0</v>
      </c>
      <c r="W45" s="271">
        <v>0</v>
      </c>
      <c r="X45" s="271"/>
      <c r="Y45" s="271"/>
      <c r="Z45" s="271"/>
      <c r="AA45" s="271"/>
      <c r="AB45" s="271"/>
      <c r="AC45" s="271"/>
      <c r="AD45" s="271"/>
      <c r="AE45" s="271"/>
      <c r="AF45" s="271"/>
      <c r="AG45" s="271">
        <v>0</v>
      </c>
      <c r="AH45" s="271">
        <v>0</v>
      </c>
      <c r="AI45" s="271"/>
      <c r="AJ45" s="271"/>
      <c r="AK45" s="271">
        <v>0</v>
      </c>
      <c r="AM45" s="58">
        <f>SUM(G45:AK45)</f>
        <v>0</v>
      </c>
      <c r="AP45" s="3"/>
    </row>
    <row r="46" spans="1:15026">
      <c r="C46" s="15"/>
      <c r="D46" s="65" t="s">
        <v>73</v>
      </c>
      <c r="E46" s="68">
        <v>5143</v>
      </c>
      <c r="F46" s="106" t="s">
        <v>14</v>
      </c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>
        <v>0</v>
      </c>
      <c r="R46" s="272">
        <v>0</v>
      </c>
      <c r="S46" s="1972"/>
      <c r="T46" s="272"/>
      <c r="U46" s="272"/>
      <c r="V46" s="272">
        <v>0</v>
      </c>
      <c r="W46" s="272">
        <v>0</v>
      </c>
      <c r="X46" s="272"/>
      <c r="Y46" s="272"/>
      <c r="Z46" s="272"/>
      <c r="AA46" s="272"/>
      <c r="AB46" s="272"/>
      <c r="AC46" s="272"/>
      <c r="AD46" s="272"/>
      <c r="AE46" s="272"/>
      <c r="AF46" s="272"/>
      <c r="AG46" s="272">
        <v>0</v>
      </c>
      <c r="AH46" s="272"/>
      <c r="AI46" s="272"/>
      <c r="AJ46" s="272"/>
      <c r="AK46" s="272">
        <v>0</v>
      </c>
      <c r="AM46" s="58">
        <f>SUM(G46:AK46)</f>
        <v>0</v>
      </c>
      <c r="AP46" s="3"/>
    </row>
    <row r="47" spans="1:15026" s="71" customFormat="1" ht="15" hidden="1" customHeight="1">
      <c r="A47" s="63"/>
      <c r="B47" s="63"/>
      <c r="C47" s="69"/>
      <c r="D47" s="231" t="s">
        <v>816</v>
      </c>
      <c r="E47" s="306"/>
      <c r="F47" s="9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1973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  <c r="AD47" s="273"/>
      <c r="AE47" s="273"/>
      <c r="AF47" s="273"/>
      <c r="AG47" s="273"/>
      <c r="AH47" s="273"/>
      <c r="AI47" s="273"/>
      <c r="AJ47" s="273"/>
      <c r="AK47" s="273"/>
      <c r="AL47" s="63"/>
      <c r="AM47" s="67" t="s">
        <v>111</v>
      </c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144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  <c r="EX47" s="63"/>
      <c r="EY47" s="63"/>
      <c r="EZ47" s="63"/>
      <c r="FA47" s="63"/>
      <c r="FB47" s="63"/>
      <c r="FC47" s="63"/>
      <c r="FD47" s="63"/>
      <c r="FE47" s="63"/>
      <c r="FF47" s="63"/>
      <c r="FG47" s="63"/>
      <c r="FH47" s="63"/>
      <c r="FI47" s="63"/>
      <c r="FJ47" s="63"/>
      <c r="FK47" s="63"/>
      <c r="FL47" s="63"/>
      <c r="FM47" s="63"/>
      <c r="FN47" s="63"/>
      <c r="FO47" s="63"/>
      <c r="FP47" s="63"/>
      <c r="FQ47" s="63"/>
      <c r="FR47" s="63"/>
      <c r="FS47" s="63"/>
      <c r="FT47" s="63"/>
      <c r="FU47" s="63"/>
      <c r="FV47" s="63"/>
      <c r="FW47" s="63"/>
      <c r="FX47" s="63"/>
      <c r="FY47" s="63"/>
      <c r="FZ47" s="63"/>
      <c r="GA47" s="63"/>
      <c r="GB47" s="63"/>
      <c r="GC47" s="63"/>
      <c r="GD47" s="63"/>
      <c r="GE47" s="63"/>
      <c r="GF47" s="63"/>
      <c r="GG47" s="63"/>
      <c r="GH47" s="63"/>
      <c r="GI47" s="63"/>
      <c r="GJ47" s="63"/>
      <c r="GK47" s="63"/>
      <c r="GL47" s="63"/>
      <c r="GM47" s="63"/>
      <c r="GN47" s="63"/>
      <c r="GO47" s="63"/>
      <c r="GP47" s="63"/>
      <c r="GQ47" s="63"/>
      <c r="GR47" s="63"/>
      <c r="GS47" s="63"/>
      <c r="GT47" s="63"/>
      <c r="GU47" s="63"/>
      <c r="GV47" s="63"/>
      <c r="GW47" s="63"/>
      <c r="GX47" s="63"/>
      <c r="GY47" s="63"/>
      <c r="GZ47" s="63"/>
      <c r="HA47" s="63"/>
      <c r="HB47" s="63"/>
      <c r="HC47" s="63"/>
      <c r="HD47" s="63"/>
      <c r="HE47" s="63"/>
      <c r="HF47" s="63"/>
      <c r="HG47" s="63"/>
      <c r="HH47" s="63"/>
      <c r="HI47" s="63"/>
      <c r="HJ47" s="63"/>
      <c r="HK47" s="63"/>
      <c r="HL47" s="63"/>
      <c r="HM47" s="63"/>
      <c r="HN47" s="63"/>
      <c r="HO47" s="63"/>
      <c r="HP47" s="63"/>
      <c r="HQ47" s="63"/>
      <c r="HR47" s="63"/>
      <c r="HS47" s="63"/>
      <c r="HT47" s="63"/>
      <c r="HU47" s="63"/>
      <c r="HV47" s="63"/>
      <c r="HW47" s="63"/>
      <c r="HX47" s="63"/>
      <c r="HY47" s="63"/>
      <c r="HZ47" s="63"/>
      <c r="IA47" s="63"/>
      <c r="IB47" s="63"/>
      <c r="IC47" s="63"/>
      <c r="ID47" s="63"/>
      <c r="IE47" s="63"/>
      <c r="IF47" s="63"/>
      <c r="IG47" s="63"/>
      <c r="IH47" s="63"/>
      <c r="II47" s="63"/>
      <c r="IJ47" s="63"/>
      <c r="IK47" s="63"/>
      <c r="IL47" s="63"/>
      <c r="IM47" s="63"/>
      <c r="IN47" s="63"/>
      <c r="IO47" s="63"/>
      <c r="IP47" s="63"/>
      <c r="IQ47" s="63"/>
      <c r="IR47" s="63"/>
      <c r="IS47" s="63"/>
      <c r="IT47" s="63"/>
      <c r="IU47" s="63"/>
      <c r="IV47" s="63"/>
      <c r="IW47" s="63"/>
      <c r="IX47" s="63"/>
      <c r="IY47" s="63"/>
      <c r="IZ47" s="63"/>
      <c r="JA47" s="63"/>
      <c r="JB47" s="63"/>
      <c r="JC47" s="63"/>
      <c r="JD47" s="63"/>
      <c r="JE47" s="63"/>
      <c r="JF47" s="63"/>
      <c r="JG47" s="63"/>
      <c r="JH47" s="63"/>
      <c r="JI47" s="63"/>
      <c r="JJ47" s="63"/>
      <c r="JK47" s="63"/>
      <c r="JL47" s="63"/>
      <c r="JM47" s="63"/>
      <c r="JN47" s="63"/>
      <c r="JO47" s="63"/>
      <c r="JP47" s="63"/>
      <c r="JQ47" s="63"/>
      <c r="JR47" s="63"/>
      <c r="JS47" s="63"/>
      <c r="JT47" s="63"/>
      <c r="JU47" s="63"/>
      <c r="JV47" s="63"/>
      <c r="JW47" s="63"/>
      <c r="JX47" s="63"/>
      <c r="JY47" s="63"/>
      <c r="JZ47" s="63"/>
      <c r="KA47" s="63"/>
      <c r="KB47" s="63"/>
      <c r="KC47" s="63"/>
      <c r="KD47" s="63"/>
      <c r="KE47" s="63"/>
      <c r="KF47" s="63"/>
      <c r="KG47" s="63"/>
      <c r="KH47" s="63"/>
      <c r="KI47" s="63"/>
      <c r="KJ47" s="63"/>
      <c r="KK47" s="63"/>
      <c r="KL47" s="63"/>
      <c r="KM47" s="63"/>
      <c r="KN47" s="63"/>
      <c r="KO47" s="63"/>
      <c r="KP47" s="63"/>
      <c r="KQ47" s="63"/>
      <c r="KR47" s="63"/>
      <c r="KS47" s="63"/>
      <c r="KT47" s="63"/>
      <c r="KU47" s="63"/>
      <c r="KV47" s="63"/>
      <c r="KW47" s="63"/>
      <c r="KX47" s="63"/>
      <c r="KY47" s="63"/>
      <c r="KZ47" s="63"/>
      <c r="LA47" s="63"/>
      <c r="LB47" s="63"/>
      <c r="LC47" s="63"/>
      <c r="LD47" s="63"/>
      <c r="LE47" s="63"/>
      <c r="LF47" s="63"/>
      <c r="LG47" s="63"/>
      <c r="LH47" s="63"/>
      <c r="LI47" s="63"/>
      <c r="LJ47" s="63"/>
      <c r="LK47" s="63"/>
      <c r="LL47" s="63"/>
      <c r="LM47" s="63"/>
      <c r="LN47" s="63"/>
      <c r="LO47" s="63"/>
      <c r="LP47" s="63"/>
      <c r="LQ47" s="63"/>
      <c r="LR47" s="63"/>
      <c r="LS47" s="63"/>
      <c r="LT47" s="63"/>
      <c r="LU47" s="63"/>
      <c r="LV47" s="63"/>
      <c r="LW47" s="63"/>
      <c r="LX47" s="63"/>
      <c r="LY47" s="63"/>
      <c r="LZ47" s="63"/>
      <c r="MA47" s="63"/>
      <c r="MB47" s="63"/>
      <c r="MC47" s="63"/>
      <c r="MD47" s="63"/>
      <c r="ME47" s="63"/>
      <c r="MF47" s="63"/>
      <c r="MG47" s="63"/>
      <c r="MH47" s="63"/>
      <c r="MI47" s="63"/>
      <c r="MJ47" s="63"/>
      <c r="MK47" s="63"/>
      <c r="ML47" s="63"/>
      <c r="MM47" s="63"/>
      <c r="MN47" s="63"/>
      <c r="MO47" s="63"/>
      <c r="MP47" s="63"/>
      <c r="MQ47" s="63"/>
      <c r="MR47" s="63"/>
      <c r="MS47" s="63"/>
      <c r="MT47" s="63"/>
      <c r="MU47" s="63"/>
      <c r="MV47" s="63"/>
      <c r="MW47" s="63"/>
      <c r="MX47" s="63"/>
      <c r="MY47" s="63"/>
      <c r="MZ47" s="63"/>
      <c r="NA47" s="63"/>
      <c r="NB47" s="63"/>
      <c r="NC47" s="63"/>
      <c r="ND47" s="63"/>
      <c r="NE47" s="63"/>
      <c r="NF47" s="63"/>
      <c r="NG47" s="63"/>
      <c r="NH47" s="63"/>
      <c r="NI47" s="63"/>
      <c r="NJ47" s="63"/>
      <c r="NK47" s="63"/>
      <c r="NL47" s="63"/>
      <c r="NM47" s="63"/>
      <c r="NN47" s="63"/>
      <c r="NO47" s="63"/>
      <c r="NP47" s="63"/>
      <c r="NQ47" s="63"/>
      <c r="NR47" s="63"/>
      <c r="NS47" s="63"/>
      <c r="NT47" s="63"/>
      <c r="NU47" s="63"/>
      <c r="NV47" s="63"/>
      <c r="NW47" s="63"/>
      <c r="NX47" s="63"/>
      <c r="NY47" s="63"/>
      <c r="NZ47" s="63"/>
      <c r="OA47" s="63"/>
      <c r="OB47" s="63"/>
      <c r="OC47" s="63"/>
      <c r="OD47" s="63"/>
      <c r="OE47" s="63"/>
      <c r="OF47" s="63"/>
      <c r="OG47" s="63"/>
      <c r="OH47" s="63"/>
      <c r="OI47" s="63"/>
      <c r="OJ47" s="63"/>
      <c r="OK47" s="63"/>
      <c r="OL47" s="63"/>
      <c r="OM47" s="63"/>
      <c r="ON47" s="63"/>
      <c r="OO47" s="63"/>
      <c r="OP47" s="63"/>
      <c r="OQ47" s="63"/>
      <c r="OR47" s="63"/>
      <c r="OS47" s="63"/>
      <c r="OT47" s="63"/>
      <c r="OU47" s="63"/>
      <c r="OV47" s="63"/>
      <c r="OW47" s="63"/>
      <c r="OX47" s="63"/>
      <c r="OY47" s="63"/>
      <c r="OZ47" s="63"/>
      <c r="PA47" s="63"/>
      <c r="PB47" s="63"/>
      <c r="PC47" s="63"/>
      <c r="PD47" s="63"/>
      <c r="PE47" s="63"/>
      <c r="PF47" s="63"/>
      <c r="PG47" s="63"/>
      <c r="PH47" s="63"/>
      <c r="PI47" s="63"/>
      <c r="PJ47" s="63"/>
      <c r="PK47" s="63"/>
      <c r="PL47" s="63"/>
      <c r="PM47" s="63"/>
      <c r="PN47" s="63"/>
      <c r="PO47" s="63"/>
      <c r="PP47" s="63"/>
      <c r="PQ47" s="63"/>
      <c r="PR47" s="63"/>
      <c r="PS47" s="63"/>
      <c r="PT47" s="63"/>
      <c r="PU47" s="63"/>
      <c r="PV47" s="63"/>
      <c r="PW47" s="63"/>
      <c r="PX47" s="63"/>
      <c r="PY47" s="63"/>
      <c r="PZ47" s="63"/>
      <c r="QA47" s="63"/>
      <c r="QB47" s="63"/>
      <c r="QC47" s="63"/>
      <c r="QD47" s="63"/>
      <c r="QE47" s="63"/>
      <c r="QF47" s="63"/>
      <c r="QG47" s="63"/>
      <c r="QH47" s="63"/>
      <c r="QI47" s="63"/>
      <c r="QJ47" s="63"/>
      <c r="QK47" s="63"/>
      <c r="QL47" s="63"/>
      <c r="QM47" s="63"/>
      <c r="QN47" s="63"/>
      <c r="QO47" s="63"/>
      <c r="QP47" s="63"/>
      <c r="QQ47" s="63"/>
      <c r="QR47" s="63"/>
      <c r="QS47" s="63"/>
      <c r="QT47" s="63"/>
      <c r="QU47" s="63"/>
      <c r="QV47" s="63"/>
      <c r="QW47" s="63"/>
      <c r="QX47" s="63"/>
      <c r="QY47" s="63"/>
      <c r="QZ47" s="63"/>
      <c r="RA47" s="63"/>
      <c r="RB47" s="63"/>
      <c r="RC47" s="63"/>
      <c r="RD47" s="63"/>
      <c r="RE47" s="63"/>
      <c r="RF47" s="63"/>
      <c r="RG47" s="63"/>
      <c r="RH47" s="63"/>
      <c r="RI47" s="63"/>
      <c r="RJ47" s="63"/>
      <c r="RK47" s="63"/>
      <c r="RL47" s="63"/>
      <c r="RM47" s="63"/>
      <c r="RN47" s="63"/>
      <c r="RO47" s="63"/>
      <c r="RP47" s="63"/>
      <c r="RQ47" s="63"/>
      <c r="RR47" s="63"/>
      <c r="RS47" s="63"/>
      <c r="RT47" s="63"/>
      <c r="RU47" s="63"/>
      <c r="RV47" s="63"/>
      <c r="RW47" s="63"/>
      <c r="RX47" s="63"/>
      <c r="RY47" s="63"/>
      <c r="RZ47" s="63"/>
      <c r="SA47" s="63"/>
      <c r="SB47" s="63"/>
      <c r="SC47" s="63"/>
      <c r="SD47" s="63"/>
      <c r="SE47" s="63"/>
      <c r="SF47" s="63"/>
      <c r="SG47" s="63"/>
      <c r="SH47" s="63"/>
      <c r="SI47" s="63"/>
      <c r="SJ47" s="63"/>
      <c r="SK47" s="63"/>
      <c r="SL47" s="63"/>
      <c r="SM47" s="63"/>
      <c r="SN47" s="63"/>
      <c r="SO47" s="63"/>
      <c r="SP47" s="63"/>
      <c r="SQ47" s="63"/>
      <c r="SR47" s="63"/>
      <c r="SS47" s="63"/>
      <c r="ST47" s="63"/>
      <c r="SU47" s="63"/>
      <c r="SV47" s="63"/>
      <c r="SW47" s="63"/>
      <c r="SX47" s="63"/>
      <c r="SY47" s="63"/>
      <c r="SZ47" s="63"/>
      <c r="TA47" s="63"/>
      <c r="TB47" s="63"/>
      <c r="TC47" s="63"/>
      <c r="TD47" s="63"/>
      <c r="TE47" s="63"/>
      <c r="TF47" s="63"/>
      <c r="TG47" s="63"/>
      <c r="TH47" s="63"/>
      <c r="TI47" s="63"/>
      <c r="TJ47" s="63"/>
      <c r="TK47" s="63"/>
      <c r="TL47" s="63"/>
      <c r="TM47" s="63"/>
      <c r="TN47" s="63"/>
      <c r="TO47" s="63"/>
      <c r="TP47" s="63"/>
      <c r="TQ47" s="63"/>
      <c r="TR47" s="63"/>
      <c r="TS47" s="63"/>
      <c r="TT47" s="63"/>
      <c r="TU47" s="63"/>
      <c r="TV47" s="63"/>
      <c r="TW47" s="63"/>
      <c r="TX47" s="63"/>
      <c r="TY47" s="63"/>
      <c r="TZ47" s="63"/>
      <c r="UA47" s="63"/>
      <c r="UB47" s="63"/>
      <c r="UC47" s="63"/>
      <c r="UD47" s="63"/>
      <c r="UE47" s="63"/>
      <c r="UF47" s="63"/>
      <c r="UG47" s="63"/>
      <c r="UH47" s="63"/>
      <c r="UI47" s="63"/>
      <c r="UJ47" s="63"/>
      <c r="UK47" s="63"/>
      <c r="UL47" s="63"/>
      <c r="UM47" s="63"/>
      <c r="UN47" s="63"/>
      <c r="UO47" s="63"/>
      <c r="UP47" s="63"/>
      <c r="UQ47" s="63"/>
      <c r="UR47" s="63"/>
      <c r="US47" s="63"/>
      <c r="UT47" s="63"/>
      <c r="UU47" s="63"/>
      <c r="UV47" s="63"/>
      <c r="UW47" s="63"/>
      <c r="UX47" s="63"/>
      <c r="UY47" s="63"/>
      <c r="UZ47" s="63"/>
      <c r="VA47" s="63"/>
      <c r="VB47" s="63"/>
      <c r="VC47" s="63"/>
      <c r="VD47" s="63"/>
      <c r="VE47" s="63"/>
      <c r="VF47" s="63"/>
      <c r="VG47" s="63"/>
      <c r="VH47" s="63"/>
      <c r="VI47" s="63"/>
      <c r="VJ47" s="63"/>
      <c r="VK47" s="63"/>
      <c r="VL47" s="63"/>
      <c r="VM47" s="63"/>
      <c r="VN47" s="63"/>
      <c r="VO47" s="63"/>
      <c r="VP47" s="63"/>
      <c r="VQ47" s="63"/>
      <c r="VR47" s="63"/>
      <c r="VS47" s="63"/>
      <c r="VT47" s="63"/>
      <c r="VU47" s="63"/>
      <c r="VV47" s="63"/>
      <c r="VW47" s="63"/>
      <c r="VX47" s="63"/>
      <c r="VY47" s="63"/>
      <c r="VZ47" s="63"/>
      <c r="WA47" s="63"/>
      <c r="WB47" s="63"/>
      <c r="WC47" s="63"/>
      <c r="WD47" s="63"/>
      <c r="WE47" s="63"/>
      <c r="WF47" s="63"/>
      <c r="WG47" s="63"/>
      <c r="WH47" s="63"/>
      <c r="WI47" s="63"/>
      <c r="WJ47" s="63"/>
      <c r="WK47" s="63"/>
      <c r="WL47" s="63"/>
      <c r="WM47" s="63"/>
      <c r="WN47" s="63"/>
      <c r="WO47" s="63"/>
      <c r="WP47" s="63"/>
      <c r="WQ47" s="63"/>
      <c r="WR47" s="63"/>
      <c r="WS47" s="63"/>
      <c r="WT47" s="63"/>
      <c r="WU47" s="63"/>
      <c r="WV47" s="63"/>
      <c r="WW47" s="63"/>
      <c r="WX47" s="63"/>
      <c r="WY47" s="63"/>
      <c r="WZ47" s="63"/>
      <c r="XA47" s="63"/>
      <c r="XB47" s="63"/>
      <c r="XC47" s="63"/>
      <c r="XD47" s="63"/>
      <c r="XE47" s="63"/>
      <c r="XF47" s="63"/>
      <c r="XG47" s="63"/>
      <c r="XH47" s="63"/>
      <c r="XI47" s="63"/>
      <c r="XJ47" s="63"/>
      <c r="XK47" s="63"/>
      <c r="XL47" s="63"/>
      <c r="XM47" s="63"/>
      <c r="XN47" s="63"/>
      <c r="XO47" s="63"/>
      <c r="XP47" s="63"/>
      <c r="XQ47" s="63"/>
      <c r="XR47" s="63"/>
      <c r="XS47" s="63"/>
      <c r="XT47" s="63"/>
      <c r="XU47" s="63"/>
      <c r="XV47" s="63"/>
      <c r="XW47" s="63"/>
      <c r="XX47" s="63"/>
      <c r="XY47" s="63"/>
      <c r="XZ47" s="63"/>
      <c r="YA47" s="63"/>
      <c r="YB47" s="63"/>
      <c r="YC47" s="63"/>
      <c r="YD47" s="63"/>
      <c r="YE47" s="63"/>
      <c r="YF47" s="63"/>
      <c r="YG47" s="63"/>
      <c r="YH47" s="63"/>
      <c r="YI47" s="63"/>
      <c r="YJ47" s="63"/>
      <c r="YK47" s="63"/>
      <c r="YL47" s="63"/>
      <c r="YM47" s="63"/>
      <c r="YN47" s="63"/>
      <c r="YO47" s="63"/>
      <c r="YP47" s="63"/>
      <c r="YQ47" s="63"/>
      <c r="YR47" s="63"/>
      <c r="YS47" s="63"/>
      <c r="YT47" s="63"/>
      <c r="YU47" s="63"/>
      <c r="YV47" s="63"/>
      <c r="YW47" s="63"/>
      <c r="YX47" s="63"/>
      <c r="YY47" s="63"/>
      <c r="YZ47" s="63"/>
      <c r="ZA47" s="63"/>
      <c r="ZB47" s="63"/>
      <c r="ZC47" s="63"/>
      <c r="ZD47" s="63"/>
      <c r="ZE47" s="63"/>
      <c r="ZF47" s="63"/>
      <c r="ZG47" s="63"/>
      <c r="ZH47" s="63"/>
      <c r="ZI47" s="63"/>
      <c r="ZJ47" s="63"/>
      <c r="ZK47" s="63"/>
      <c r="ZL47" s="63"/>
      <c r="ZM47" s="63"/>
      <c r="ZN47" s="63"/>
      <c r="ZO47" s="63"/>
      <c r="ZP47" s="63"/>
      <c r="ZQ47" s="63"/>
      <c r="ZR47" s="63"/>
      <c r="ZS47" s="63"/>
      <c r="ZT47" s="63"/>
      <c r="ZU47" s="63"/>
      <c r="ZV47" s="63"/>
      <c r="ZW47" s="63"/>
      <c r="ZX47" s="63"/>
      <c r="ZY47" s="63"/>
      <c r="ZZ47" s="63"/>
      <c r="AAA47" s="63"/>
      <c r="AAB47" s="63"/>
      <c r="AAC47" s="63"/>
      <c r="AAD47" s="63"/>
      <c r="AAE47" s="63"/>
      <c r="AAF47" s="63"/>
      <c r="AAG47" s="63"/>
      <c r="AAH47" s="63"/>
      <c r="AAI47" s="63"/>
      <c r="AAJ47" s="63"/>
      <c r="AAK47" s="63"/>
      <c r="AAL47" s="63"/>
      <c r="AAM47" s="63"/>
      <c r="AAN47" s="63"/>
      <c r="AAO47" s="63"/>
      <c r="AAP47" s="63"/>
      <c r="AAQ47" s="63"/>
      <c r="AAR47" s="63"/>
      <c r="AAS47" s="63"/>
      <c r="AAT47" s="63"/>
      <c r="AAU47" s="63"/>
      <c r="AAV47" s="63"/>
      <c r="AAW47" s="63"/>
      <c r="AAX47" s="63"/>
      <c r="AAY47" s="63"/>
      <c r="AAZ47" s="63"/>
      <c r="ABA47" s="63"/>
      <c r="ABB47" s="63"/>
      <c r="ABC47" s="63"/>
      <c r="ABD47" s="63"/>
      <c r="ABE47" s="63"/>
      <c r="ABF47" s="63"/>
      <c r="ABG47" s="63"/>
      <c r="ABH47" s="63"/>
      <c r="ABI47" s="63"/>
      <c r="ABJ47" s="63"/>
      <c r="ABK47" s="63"/>
      <c r="ABL47" s="63"/>
      <c r="ABM47" s="63"/>
      <c r="ABN47" s="63"/>
      <c r="ABO47" s="63"/>
      <c r="ABP47" s="63"/>
      <c r="ABQ47" s="63"/>
      <c r="ABR47" s="63"/>
      <c r="ABS47" s="63"/>
      <c r="ABT47" s="63"/>
      <c r="ABU47" s="63"/>
      <c r="ABV47" s="63"/>
      <c r="ABW47" s="63"/>
      <c r="ABX47" s="63"/>
      <c r="ABY47" s="63"/>
      <c r="ABZ47" s="63"/>
      <c r="ACA47" s="63"/>
      <c r="ACB47" s="63"/>
      <c r="ACC47" s="63"/>
      <c r="ACD47" s="63"/>
      <c r="ACE47" s="63"/>
      <c r="ACF47" s="63"/>
      <c r="ACG47" s="63"/>
      <c r="ACH47" s="63"/>
      <c r="ACI47" s="63"/>
      <c r="ACJ47" s="63"/>
      <c r="ACK47" s="63"/>
      <c r="ACL47" s="63"/>
      <c r="ACM47" s="63"/>
      <c r="ACN47" s="63"/>
      <c r="ACO47" s="63"/>
      <c r="ACP47" s="63"/>
      <c r="ACQ47" s="63"/>
      <c r="ACR47" s="63"/>
      <c r="ACS47" s="63"/>
      <c r="ACT47" s="63"/>
      <c r="ACU47" s="63"/>
      <c r="ACV47" s="63"/>
      <c r="ACW47" s="63"/>
      <c r="ACX47" s="63"/>
      <c r="ACY47" s="63"/>
      <c r="ACZ47" s="63"/>
      <c r="ADA47" s="63"/>
      <c r="ADB47" s="63"/>
      <c r="ADC47" s="63"/>
      <c r="ADD47" s="63"/>
      <c r="ADE47" s="63"/>
      <c r="ADF47" s="63"/>
      <c r="ADG47" s="63"/>
      <c r="ADH47" s="63"/>
      <c r="ADI47" s="63"/>
      <c r="ADJ47" s="63"/>
      <c r="ADK47" s="63"/>
      <c r="ADL47" s="63"/>
      <c r="ADM47" s="63"/>
      <c r="ADN47" s="63"/>
      <c r="ADO47" s="63"/>
      <c r="ADP47" s="63"/>
      <c r="ADQ47" s="63"/>
      <c r="ADR47" s="63"/>
      <c r="ADS47" s="63"/>
      <c r="ADT47" s="63"/>
      <c r="ADU47" s="63"/>
      <c r="ADV47" s="63"/>
      <c r="ADW47" s="63"/>
      <c r="ADX47" s="63"/>
      <c r="ADY47" s="63"/>
      <c r="ADZ47" s="63"/>
      <c r="AEA47" s="63"/>
      <c r="AEB47" s="63"/>
      <c r="AEC47" s="63"/>
      <c r="AED47" s="63"/>
      <c r="AEE47" s="63"/>
      <c r="AEF47" s="63"/>
      <c r="AEG47" s="63"/>
      <c r="AEH47" s="63"/>
      <c r="AEI47" s="63"/>
      <c r="AEJ47" s="63"/>
      <c r="AEK47" s="63"/>
      <c r="AEL47" s="63"/>
      <c r="AEM47" s="63"/>
      <c r="AEN47" s="63"/>
      <c r="AEO47" s="63"/>
      <c r="AEP47" s="63"/>
      <c r="AEQ47" s="63"/>
      <c r="AER47" s="63"/>
      <c r="AES47" s="63"/>
      <c r="AET47" s="63"/>
      <c r="AEU47" s="63"/>
      <c r="AEV47" s="63"/>
      <c r="AEW47" s="63"/>
      <c r="AEX47" s="63"/>
      <c r="AEY47" s="63"/>
      <c r="AEZ47" s="63"/>
      <c r="AFA47" s="63"/>
      <c r="AFB47" s="63"/>
      <c r="AFC47" s="63"/>
      <c r="AFD47" s="63"/>
      <c r="AFE47" s="63"/>
      <c r="AFF47" s="63"/>
      <c r="AFG47" s="63"/>
      <c r="AFH47" s="63"/>
      <c r="AFI47" s="63"/>
      <c r="AFJ47" s="63"/>
      <c r="AFK47" s="63"/>
      <c r="AFL47" s="63"/>
      <c r="AFM47" s="63"/>
      <c r="AFN47" s="63"/>
      <c r="AFO47" s="63"/>
      <c r="AFP47" s="63"/>
      <c r="AFQ47" s="63"/>
      <c r="AFR47" s="63"/>
      <c r="AFS47" s="63"/>
      <c r="AFT47" s="63"/>
      <c r="AFU47" s="63"/>
      <c r="AFV47" s="63"/>
      <c r="AFW47" s="63"/>
      <c r="AFX47" s="63"/>
      <c r="AFY47" s="63"/>
      <c r="AFZ47" s="63"/>
      <c r="AGA47" s="63"/>
      <c r="AGB47" s="63"/>
      <c r="AGC47" s="63"/>
      <c r="AGD47" s="63"/>
      <c r="AGE47" s="63"/>
      <c r="AGF47" s="63"/>
      <c r="AGG47" s="63"/>
      <c r="AGH47" s="63"/>
      <c r="AGI47" s="63"/>
      <c r="AGJ47" s="63"/>
      <c r="AGK47" s="63"/>
      <c r="AGL47" s="63"/>
      <c r="AGM47" s="63"/>
      <c r="AGN47" s="63"/>
      <c r="AGO47" s="63"/>
      <c r="AGP47" s="63"/>
      <c r="AGQ47" s="63"/>
      <c r="AGR47" s="63"/>
      <c r="AGS47" s="63"/>
      <c r="AGT47" s="63"/>
      <c r="AGU47" s="63"/>
      <c r="AGV47" s="63"/>
      <c r="AGW47" s="63"/>
      <c r="AGX47" s="63"/>
      <c r="AGY47" s="63"/>
      <c r="AGZ47" s="63"/>
      <c r="AHA47" s="63"/>
      <c r="AHB47" s="63"/>
      <c r="AHC47" s="63"/>
      <c r="AHD47" s="63"/>
      <c r="AHE47" s="63"/>
      <c r="AHF47" s="63"/>
      <c r="AHG47" s="63"/>
      <c r="AHH47" s="63"/>
      <c r="AHI47" s="63"/>
      <c r="AHJ47" s="63"/>
      <c r="AHK47" s="63"/>
      <c r="AHL47" s="63"/>
      <c r="AHM47" s="63"/>
      <c r="AHN47" s="63"/>
      <c r="AHO47" s="63"/>
      <c r="AHP47" s="63"/>
      <c r="AHQ47" s="63"/>
      <c r="AHR47" s="63"/>
      <c r="AHS47" s="63"/>
      <c r="AHT47" s="63"/>
      <c r="AHU47" s="63"/>
      <c r="AHV47" s="63"/>
      <c r="AHW47" s="63"/>
      <c r="AHX47" s="63"/>
      <c r="AHY47" s="63"/>
      <c r="AHZ47" s="63"/>
      <c r="AIA47" s="63"/>
      <c r="AIB47" s="63"/>
      <c r="AIC47" s="63"/>
      <c r="AID47" s="63"/>
      <c r="AIE47" s="63"/>
      <c r="AIF47" s="63"/>
      <c r="AIG47" s="63"/>
      <c r="AIH47" s="63"/>
      <c r="AII47" s="63"/>
      <c r="AIJ47" s="63"/>
      <c r="AIK47" s="63"/>
      <c r="AIL47" s="63"/>
      <c r="AIM47" s="63"/>
      <c r="AIN47" s="63"/>
      <c r="AIO47" s="63"/>
      <c r="AIP47" s="63"/>
      <c r="AIQ47" s="63"/>
      <c r="AIR47" s="63"/>
      <c r="AIS47" s="63"/>
      <c r="AIT47" s="63"/>
      <c r="AIU47" s="63"/>
      <c r="AIV47" s="63"/>
      <c r="AIW47" s="63"/>
      <c r="AIX47" s="63"/>
      <c r="AIY47" s="63"/>
      <c r="AIZ47" s="63"/>
      <c r="AJA47" s="63"/>
      <c r="AJB47" s="63"/>
      <c r="AJC47" s="63"/>
      <c r="AJD47" s="63"/>
      <c r="AJE47" s="63"/>
      <c r="AJF47" s="63"/>
      <c r="AJG47" s="63"/>
      <c r="AJH47" s="63"/>
      <c r="AJI47" s="63"/>
      <c r="AJJ47" s="63"/>
      <c r="AJK47" s="63"/>
      <c r="AJL47" s="63"/>
      <c r="AJM47" s="63"/>
      <c r="AJN47" s="63"/>
      <c r="AJO47" s="63"/>
      <c r="AJP47" s="63"/>
      <c r="AJQ47" s="63"/>
      <c r="AJR47" s="63"/>
      <c r="AJS47" s="63"/>
      <c r="AJT47" s="63"/>
      <c r="AJU47" s="63"/>
      <c r="AJV47" s="63"/>
      <c r="AJW47" s="63"/>
      <c r="AJX47" s="63"/>
      <c r="AJY47" s="63"/>
      <c r="AJZ47" s="63"/>
      <c r="AKA47" s="63"/>
      <c r="AKB47" s="63"/>
      <c r="AKC47" s="63"/>
      <c r="AKD47" s="63"/>
      <c r="AKE47" s="63"/>
      <c r="AKF47" s="63"/>
      <c r="AKG47" s="63"/>
      <c r="AKH47" s="63"/>
      <c r="AKI47" s="63"/>
      <c r="AKJ47" s="63"/>
      <c r="AKK47" s="63"/>
      <c r="AKL47" s="63"/>
      <c r="AKM47" s="63"/>
      <c r="AKN47" s="63"/>
      <c r="AKO47" s="63"/>
      <c r="AKP47" s="63"/>
      <c r="AKQ47" s="63"/>
      <c r="AKR47" s="63"/>
      <c r="AKS47" s="63"/>
      <c r="AKT47" s="63"/>
      <c r="AKU47" s="63"/>
      <c r="AKV47" s="63"/>
      <c r="AKW47" s="63"/>
      <c r="AKX47" s="63"/>
      <c r="AKY47" s="63"/>
      <c r="AKZ47" s="63"/>
      <c r="ALA47" s="63"/>
      <c r="ALB47" s="63"/>
      <c r="ALC47" s="63"/>
      <c r="ALD47" s="63"/>
      <c r="ALE47" s="63"/>
      <c r="ALF47" s="63"/>
      <c r="ALG47" s="63"/>
      <c r="ALH47" s="63"/>
      <c r="ALI47" s="63"/>
      <c r="ALJ47" s="63"/>
      <c r="ALK47" s="63"/>
      <c r="ALL47" s="63"/>
      <c r="ALM47" s="63"/>
      <c r="ALN47" s="63"/>
      <c r="ALO47" s="63"/>
      <c r="ALP47" s="63"/>
      <c r="ALQ47" s="63"/>
      <c r="ALR47" s="63"/>
      <c r="ALS47" s="63"/>
      <c r="ALT47" s="63"/>
      <c r="ALU47" s="63"/>
      <c r="ALV47" s="63"/>
      <c r="ALW47" s="63"/>
      <c r="ALX47" s="63"/>
      <c r="ALY47" s="63"/>
      <c r="ALZ47" s="63"/>
      <c r="AMA47" s="63"/>
      <c r="AMB47" s="63"/>
      <c r="AMC47" s="63"/>
      <c r="AMD47" s="63"/>
      <c r="AME47" s="63"/>
      <c r="AMF47" s="63"/>
      <c r="AMG47" s="63"/>
      <c r="AMH47" s="63"/>
      <c r="AMI47" s="63"/>
      <c r="AMJ47" s="63"/>
      <c r="AMK47" s="63"/>
      <c r="AML47" s="63"/>
      <c r="AMM47" s="63"/>
      <c r="AMN47" s="63"/>
      <c r="AMO47" s="63"/>
      <c r="AMP47" s="63"/>
      <c r="AMQ47" s="63"/>
      <c r="AMR47" s="63"/>
      <c r="AMS47" s="63"/>
      <c r="AMT47" s="63"/>
      <c r="AMU47" s="63"/>
      <c r="AMV47" s="63"/>
      <c r="AMW47" s="63"/>
      <c r="AMX47" s="63"/>
      <c r="AMY47" s="63"/>
      <c r="AMZ47" s="63"/>
      <c r="ANA47" s="63"/>
      <c r="ANB47" s="63"/>
      <c r="ANC47" s="63"/>
      <c r="AND47" s="63"/>
      <c r="ANE47" s="63"/>
      <c r="ANF47" s="63"/>
      <c r="ANG47" s="63"/>
      <c r="ANH47" s="63"/>
      <c r="ANI47" s="63"/>
      <c r="ANJ47" s="63"/>
      <c r="ANK47" s="63"/>
      <c r="ANL47" s="63"/>
      <c r="ANM47" s="63"/>
      <c r="ANN47" s="63"/>
      <c r="ANO47" s="63"/>
      <c r="ANP47" s="63"/>
      <c r="ANQ47" s="63"/>
      <c r="ANR47" s="63"/>
      <c r="ANS47" s="63"/>
      <c r="ANT47" s="63"/>
      <c r="ANU47" s="63"/>
      <c r="ANV47" s="63"/>
      <c r="ANW47" s="63"/>
      <c r="ANX47" s="63"/>
      <c r="ANY47" s="63"/>
      <c r="ANZ47" s="63"/>
      <c r="AOA47" s="63"/>
      <c r="AOB47" s="63"/>
      <c r="AOC47" s="63"/>
      <c r="AOD47" s="63"/>
      <c r="AOE47" s="63"/>
      <c r="AOF47" s="63"/>
      <c r="AOG47" s="63"/>
      <c r="AOH47" s="63"/>
      <c r="AOI47" s="63"/>
      <c r="AOJ47" s="63"/>
      <c r="AOK47" s="63"/>
      <c r="AOL47" s="63"/>
      <c r="AOM47" s="63"/>
      <c r="AON47" s="63"/>
      <c r="AOO47" s="63"/>
      <c r="AOP47" s="63"/>
      <c r="AOQ47" s="63"/>
      <c r="AOR47" s="63"/>
      <c r="AOS47" s="63"/>
      <c r="AOT47" s="63"/>
      <c r="AOU47" s="63"/>
      <c r="AOV47" s="63"/>
      <c r="AOW47" s="63"/>
      <c r="AOX47" s="63"/>
      <c r="AOY47" s="63"/>
      <c r="AOZ47" s="63"/>
      <c r="APA47" s="63"/>
      <c r="APB47" s="63"/>
      <c r="APC47" s="63"/>
      <c r="APD47" s="63"/>
      <c r="APE47" s="63"/>
      <c r="APF47" s="63"/>
      <c r="APG47" s="63"/>
      <c r="APH47" s="63"/>
      <c r="API47" s="63"/>
      <c r="APJ47" s="63"/>
      <c r="APK47" s="63"/>
      <c r="APL47" s="63"/>
      <c r="APM47" s="63"/>
      <c r="APN47" s="63"/>
      <c r="APO47" s="63"/>
      <c r="APP47" s="63"/>
      <c r="APQ47" s="63"/>
      <c r="APR47" s="63"/>
      <c r="APS47" s="63"/>
      <c r="APT47" s="63"/>
      <c r="APU47" s="63"/>
      <c r="APV47" s="63"/>
      <c r="APW47" s="63"/>
      <c r="APX47" s="63"/>
      <c r="APY47" s="63"/>
      <c r="APZ47" s="63"/>
      <c r="AQA47" s="63"/>
      <c r="AQB47" s="63"/>
      <c r="AQC47" s="63"/>
      <c r="AQD47" s="63"/>
      <c r="AQE47" s="63"/>
      <c r="AQF47" s="63"/>
      <c r="AQG47" s="63"/>
      <c r="AQH47" s="63"/>
      <c r="AQI47" s="63"/>
      <c r="AQJ47" s="63"/>
      <c r="AQK47" s="63"/>
      <c r="AQL47" s="63"/>
      <c r="AQM47" s="63"/>
      <c r="AQN47" s="63"/>
      <c r="AQO47" s="63"/>
      <c r="AQP47" s="63"/>
      <c r="AQQ47" s="63"/>
      <c r="AQR47" s="63"/>
      <c r="AQS47" s="63"/>
      <c r="AQT47" s="63"/>
      <c r="AQU47" s="63"/>
      <c r="AQV47" s="63"/>
      <c r="AQW47" s="63"/>
      <c r="AQX47" s="63"/>
      <c r="AQY47" s="63"/>
      <c r="AQZ47" s="63"/>
      <c r="ARA47" s="63"/>
      <c r="ARB47" s="63"/>
      <c r="ARC47" s="63"/>
      <c r="ARD47" s="63"/>
      <c r="ARE47" s="63"/>
      <c r="ARF47" s="63"/>
      <c r="ARG47" s="63"/>
      <c r="ARH47" s="63"/>
      <c r="ARI47" s="63"/>
      <c r="ARJ47" s="63"/>
      <c r="ARK47" s="63"/>
      <c r="ARL47" s="63"/>
      <c r="ARM47" s="63"/>
      <c r="ARN47" s="63"/>
      <c r="ARO47" s="63"/>
      <c r="ARP47" s="63"/>
      <c r="ARQ47" s="63"/>
      <c r="ARR47" s="63"/>
      <c r="ARS47" s="63"/>
      <c r="ART47" s="63"/>
      <c r="ARU47" s="63"/>
      <c r="ARV47" s="63"/>
      <c r="ARW47" s="63"/>
      <c r="ARX47" s="63"/>
      <c r="ARY47" s="63"/>
      <c r="ARZ47" s="63"/>
      <c r="ASA47" s="63"/>
      <c r="ASB47" s="63"/>
      <c r="ASC47" s="63"/>
      <c r="ASD47" s="63"/>
      <c r="ASE47" s="63"/>
      <c r="ASF47" s="63"/>
      <c r="ASG47" s="63"/>
      <c r="ASH47" s="63"/>
      <c r="ASI47" s="63"/>
      <c r="ASJ47" s="63"/>
      <c r="ASK47" s="63"/>
      <c r="ASL47" s="63"/>
      <c r="ASM47" s="63"/>
      <c r="ASN47" s="63"/>
      <c r="ASO47" s="63"/>
      <c r="ASP47" s="63"/>
      <c r="ASQ47" s="63"/>
      <c r="ASR47" s="63"/>
      <c r="ASS47" s="63"/>
      <c r="AST47" s="63"/>
      <c r="ASU47" s="63"/>
      <c r="ASV47" s="63"/>
      <c r="ASW47" s="63"/>
      <c r="ASX47" s="63"/>
      <c r="ASY47" s="63"/>
      <c r="ASZ47" s="63"/>
      <c r="ATA47" s="63"/>
      <c r="ATB47" s="63"/>
      <c r="ATC47" s="63"/>
      <c r="ATD47" s="63"/>
      <c r="ATE47" s="63"/>
      <c r="ATF47" s="63"/>
      <c r="ATG47" s="63"/>
      <c r="ATH47" s="63"/>
      <c r="ATI47" s="63"/>
      <c r="ATJ47" s="63"/>
      <c r="ATK47" s="63"/>
      <c r="ATL47" s="63"/>
      <c r="ATM47" s="63"/>
      <c r="ATN47" s="63"/>
      <c r="ATO47" s="63"/>
      <c r="ATP47" s="63"/>
      <c r="ATQ47" s="63"/>
      <c r="ATR47" s="63"/>
      <c r="ATS47" s="63"/>
      <c r="ATT47" s="63"/>
      <c r="ATU47" s="63"/>
      <c r="ATV47" s="63"/>
      <c r="ATW47" s="63"/>
      <c r="ATX47" s="63"/>
      <c r="ATY47" s="63"/>
      <c r="ATZ47" s="63"/>
      <c r="AUA47" s="63"/>
      <c r="AUB47" s="63"/>
      <c r="AUC47" s="63"/>
      <c r="AUD47" s="63"/>
      <c r="AUE47" s="63"/>
      <c r="AUF47" s="63"/>
      <c r="AUG47" s="63"/>
      <c r="AUH47" s="63"/>
      <c r="AUI47" s="63"/>
      <c r="AUJ47" s="63"/>
      <c r="AUK47" s="63"/>
      <c r="AUL47" s="63"/>
      <c r="AUM47" s="63"/>
      <c r="AUN47" s="63"/>
      <c r="AUO47" s="63"/>
      <c r="AUP47" s="63"/>
      <c r="AUQ47" s="63"/>
      <c r="AUR47" s="63"/>
      <c r="AUS47" s="63"/>
      <c r="AUT47" s="63"/>
      <c r="AUU47" s="63"/>
      <c r="AUV47" s="63"/>
      <c r="AUW47" s="63"/>
      <c r="AUX47" s="63"/>
      <c r="AUY47" s="63"/>
      <c r="AUZ47" s="63"/>
      <c r="AVA47" s="63"/>
      <c r="AVB47" s="63"/>
      <c r="AVC47" s="63"/>
      <c r="AVD47" s="63"/>
      <c r="AVE47" s="63"/>
      <c r="AVF47" s="63"/>
      <c r="AVG47" s="63"/>
      <c r="AVH47" s="63"/>
      <c r="AVI47" s="63"/>
      <c r="AVJ47" s="63"/>
      <c r="AVK47" s="63"/>
      <c r="AVL47" s="63"/>
      <c r="AVM47" s="63"/>
      <c r="AVN47" s="63"/>
      <c r="AVO47" s="63"/>
      <c r="AVP47" s="63"/>
      <c r="AVQ47" s="63"/>
      <c r="AVR47" s="63"/>
      <c r="AVS47" s="63"/>
      <c r="AVT47" s="63"/>
      <c r="AVU47" s="63"/>
      <c r="AVV47" s="63"/>
      <c r="AVW47" s="63"/>
      <c r="AVX47" s="63"/>
      <c r="AVY47" s="63"/>
      <c r="AVZ47" s="63"/>
      <c r="AWA47" s="63"/>
      <c r="AWB47" s="63"/>
      <c r="AWC47" s="63"/>
      <c r="AWD47" s="63"/>
      <c r="AWE47" s="63"/>
      <c r="AWF47" s="63"/>
      <c r="AWG47" s="63"/>
      <c r="AWH47" s="63"/>
      <c r="AWI47" s="63"/>
      <c r="AWJ47" s="63"/>
      <c r="AWK47" s="63"/>
      <c r="AWL47" s="63"/>
      <c r="AWM47" s="63"/>
      <c r="AWN47" s="63"/>
      <c r="AWO47" s="63"/>
      <c r="AWP47" s="63"/>
      <c r="AWQ47" s="63"/>
      <c r="AWR47" s="63"/>
      <c r="AWS47" s="63"/>
      <c r="AWT47" s="63"/>
      <c r="AWU47" s="63"/>
      <c r="AWV47" s="63"/>
      <c r="AWW47" s="63"/>
      <c r="AWX47" s="63"/>
      <c r="AWY47" s="63"/>
      <c r="AWZ47" s="63"/>
      <c r="AXA47" s="63"/>
      <c r="AXB47" s="63"/>
      <c r="AXC47" s="63"/>
      <c r="AXD47" s="63"/>
      <c r="AXE47" s="63"/>
      <c r="AXF47" s="63"/>
      <c r="AXG47" s="63"/>
      <c r="AXH47" s="63"/>
      <c r="AXI47" s="63"/>
      <c r="AXJ47" s="63"/>
      <c r="AXK47" s="63"/>
      <c r="AXL47" s="63"/>
      <c r="AXM47" s="63"/>
      <c r="AXN47" s="63"/>
      <c r="AXO47" s="63"/>
      <c r="AXP47" s="63"/>
      <c r="AXQ47" s="63"/>
      <c r="AXR47" s="63"/>
      <c r="AXS47" s="63"/>
      <c r="AXT47" s="63"/>
      <c r="AXU47" s="63"/>
      <c r="AXV47" s="63"/>
      <c r="AXW47" s="63"/>
      <c r="AXX47" s="63"/>
      <c r="AXY47" s="63"/>
      <c r="AXZ47" s="63"/>
      <c r="AYA47" s="63"/>
      <c r="AYB47" s="63"/>
      <c r="AYC47" s="63"/>
      <c r="AYD47" s="63"/>
      <c r="AYE47" s="63"/>
      <c r="AYF47" s="63"/>
      <c r="AYG47" s="63"/>
      <c r="AYH47" s="63"/>
      <c r="AYI47" s="63"/>
      <c r="AYJ47" s="63"/>
      <c r="AYK47" s="63"/>
      <c r="AYL47" s="63"/>
      <c r="AYM47" s="63"/>
      <c r="AYN47" s="63"/>
      <c r="AYO47" s="63"/>
      <c r="AYP47" s="63"/>
      <c r="AYQ47" s="63"/>
      <c r="AYR47" s="63"/>
      <c r="AYS47" s="63"/>
      <c r="AYT47" s="63"/>
      <c r="AYU47" s="63"/>
      <c r="AYV47" s="63"/>
      <c r="AYW47" s="63"/>
      <c r="AYX47" s="63"/>
      <c r="AYY47" s="63"/>
      <c r="AYZ47" s="63"/>
      <c r="AZA47" s="63"/>
      <c r="AZB47" s="63"/>
      <c r="AZC47" s="63"/>
      <c r="AZD47" s="63"/>
      <c r="AZE47" s="63"/>
      <c r="AZF47" s="63"/>
      <c r="AZG47" s="63"/>
      <c r="AZH47" s="63"/>
      <c r="AZI47" s="63"/>
      <c r="AZJ47" s="63"/>
      <c r="AZK47" s="63"/>
      <c r="AZL47" s="63"/>
      <c r="AZM47" s="63"/>
      <c r="AZN47" s="63"/>
      <c r="AZO47" s="63"/>
      <c r="AZP47" s="63"/>
      <c r="AZQ47" s="63"/>
      <c r="AZR47" s="63"/>
      <c r="AZS47" s="63"/>
      <c r="AZT47" s="63"/>
      <c r="AZU47" s="63"/>
      <c r="AZV47" s="63"/>
      <c r="AZW47" s="63"/>
      <c r="AZX47" s="63"/>
      <c r="AZY47" s="63"/>
      <c r="AZZ47" s="63"/>
      <c r="BAA47" s="63"/>
      <c r="BAB47" s="63"/>
      <c r="BAC47" s="63"/>
      <c r="BAD47" s="63"/>
      <c r="BAE47" s="63"/>
      <c r="BAF47" s="63"/>
      <c r="BAG47" s="63"/>
      <c r="BAH47" s="63"/>
      <c r="BAI47" s="63"/>
      <c r="BAJ47" s="63"/>
      <c r="BAK47" s="63"/>
      <c r="BAL47" s="63"/>
      <c r="BAM47" s="63"/>
      <c r="BAN47" s="63"/>
      <c r="BAO47" s="63"/>
      <c r="BAP47" s="63"/>
      <c r="BAQ47" s="63"/>
      <c r="BAR47" s="63"/>
      <c r="BAS47" s="63"/>
      <c r="BAT47" s="63"/>
      <c r="BAU47" s="63"/>
      <c r="BAV47" s="63"/>
      <c r="BAW47" s="63"/>
      <c r="BAX47" s="63"/>
      <c r="BAY47" s="63"/>
      <c r="BAZ47" s="63"/>
      <c r="BBA47" s="63"/>
      <c r="BBB47" s="63"/>
      <c r="BBC47" s="63"/>
      <c r="BBD47" s="63"/>
      <c r="BBE47" s="63"/>
      <c r="BBF47" s="63"/>
      <c r="BBG47" s="63"/>
      <c r="BBH47" s="63"/>
      <c r="BBI47" s="63"/>
      <c r="BBJ47" s="63"/>
      <c r="BBK47" s="63"/>
      <c r="BBL47" s="63"/>
      <c r="BBM47" s="63"/>
      <c r="BBN47" s="63"/>
      <c r="BBO47" s="63"/>
      <c r="BBP47" s="63"/>
      <c r="BBQ47" s="63"/>
      <c r="BBR47" s="63"/>
      <c r="BBS47" s="63"/>
      <c r="BBT47" s="63"/>
      <c r="BBU47" s="63"/>
      <c r="BBV47" s="63"/>
      <c r="BBW47" s="63"/>
      <c r="BBX47" s="63"/>
      <c r="BBY47" s="63"/>
      <c r="BBZ47" s="63"/>
      <c r="BCA47" s="63"/>
      <c r="BCB47" s="63"/>
      <c r="BCC47" s="63"/>
      <c r="BCD47" s="63"/>
      <c r="BCE47" s="63"/>
      <c r="BCF47" s="63"/>
      <c r="BCG47" s="63"/>
      <c r="BCH47" s="63"/>
      <c r="BCI47" s="63"/>
      <c r="BCJ47" s="63"/>
      <c r="BCK47" s="63"/>
      <c r="BCL47" s="63"/>
      <c r="BCM47" s="63"/>
      <c r="BCN47" s="63"/>
      <c r="BCO47" s="63"/>
      <c r="BCP47" s="63"/>
      <c r="BCQ47" s="63"/>
      <c r="BCR47" s="63"/>
      <c r="BCS47" s="63"/>
      <c r="BCT47" s="63"/>
      <c r="BCU47" s="63"/>
      <c r="BCV47" s="63"/>
      <c r="BCW47" s="63"/>
      <c r="BCX47" s="63"/>
      <c r="BCY47" s="63"/>
      <c r="BCZ47" s="63"/>
      <c r="BDA47" s="63"/>
      <c r="BDB47" s="63"/>
      <c r="BDC47" s="63"/>
      <c r="BDD47" s="63"/>
      <c r="BDE47" s="63"/>
      <c r="BDF47" s="63"/>
      <c r="BDG47" s="63"/>
      <c r="BDH47" s="63"/>
      <c r="BDI47" s="63"/>
      <c r="BDJ47" s="63"/>
      <c r="BDK47" s="63"/>
      <c r="BDL47" s="63"/>
      <c r="BDM47" s="63"/>
      <c r="BDN47" s="63"/>
      <c r="BDO47" s="63"/>
      <c r="BDP47" s="63"/>
      <c r="BDQ47" s="63"/>
      <c r="BDR47" s="63"/>
      <c r="BDS47" s="63"/>
      <c r="BDT47" s="63"/>
      <c r="BDU47" s="63"/>
      <c r="BDV47" s="63"/>
      <c r="BDW47" s="63"/>
      <c r="BDX47" s="63"/>
      <c r="BDY47" s="63"/>
      <c r="BDZ47" s="63"/>
      <c r="BEA47" s="63"/>
      <c r="BEB47" s="63"/>
      <c r="BEC47" s="63"/>
      <c r="BED47" s="63"/>
      <c r="BEE47" s="63"/>
      <c r="BEF47" s="63"/>
      <c r="BEG47" s="63"/>
      <c r="BEH47" s="63"/>
      <c r="BEI47" s="63"/>
      <c r="BEJ47" s="63"/>
      <c r="BEK47" s="63"/>
      <c r="BEL47" s="63"/>
      <c r="BEM47" s="63"/>
      <c r="BEN47" s="63"/>
      <c r="BEO47" s="63"/>
      <c r="BEP47" s="63"/>
      <c r="BEQ47" s="63"/>
      <c r="BER47" s="63"/>
      <c r="BES47" s="63"/>
      <c r="BET47" s="63"/>
      <c r="BEU47" s="63"/>
      <c r="BEV47" s="63"/>
      <c r="BEW47" s="63"/>
      <c r="BEX47" s="63"/>
      <c r="BEY47" s="63"/>
      <c r="BEZ47" s="63"/>
      <c r="BFA47" s="63"/>
      <c r="BFB47" s="63"/>
      <c r="BFC47" s="63"/>
      <c r="BFD47" s="63"/>
      <c r="BFE47" s="63"/>
      <c r="BFF47" s="63"/>
      <c r="BFG47" s="63"/>
      <c r="BFH47" s="63"/>
      <c r="BFI47" s="63"/>
      <c r="BFJ47" s="63"/>
      <c r="BFK47" s="63"/>
      <c r="BFL47" s="63"/>
      <c r="BFM47" s="63"/>
      <c r="BFN47" s="63"/>
      <c r="BFO47" s="63"/>
      <c r="BFP47" s="63"/>
      <c r="BFQ47" s="63"/>
      <c r="BFR47" s="63"/>
      <c r="BFS47" s="63"/>
      <c r="BFT47" s="63"/>
      <c r="BFU47" s="63"/>
      <c r="BFV47" s="63"/>
      <c r="BFW47" s="63"/>
      <c r="BFX47" s="63"/>
      <c r="BFY47" s="63"/>
      <c r="BFZ47" s="63"/>
      <c r="BGA47" s="63"/>
      <c r="BGB47" s="63"/>
      <c r="BGC47" s="63"/>
      <c r="BGD47" s="63"/>
      <c r="BGE47" s="63"/>
      <c r="BGF47" s="63"/>
      <c r="BGG47" s="63"/>
      <c r="BGH47" s="63"/>
      <c r="BGI47" s="63"/>
      <c r="BGJ47" s="63"/>
      <c r="BGK47" s="63"/>
      <c r="BGL47" s="63"/>
      <c r="BGM47" s="63"/>
      <c r="BGN47" s="63"/>
      <c r="BGO47" s="63"/>
      <c r="BGP47" s="63"/>
      <c r="BGQ47" s="63"/>
      <c r="BGR47" s="63"/>
      <c r="BGS47" s="63"/>
      <c r="BGT47" s="63"/>
      <c r="BGU47" s="63"/>
      <c r="BGV47" s="63"/>
      <c r="BGW47" s="63"/>
      <c r="BGX47" s="63"/>
      <c r="BGY47" s="63"/>
      <c r="BGZ47" s="63"/>
      <c r="BHA47" s="63"/>
      <c r="BHB47" s="63"/>
      <c r="BHC47" s="63"/>
      <c r="BHD47" s="63"/>
      <c r="BHE47" s="63"/>
      <c r="BHF47" s="63"/>
      <c r="BHG47" s="63"/>
      <c r="BHH47" s="63"/>
      <c r="BHI47" s="63"/>
      <c r="BHJ47" s="63"/>
      <c r="BHK47" s="63"/>
      <c r="BHL47" s="63"/>
      <c r="BHM47" s="63"/>
      <c r="BHN47" s="63"/>
      <c r="BHO47" s="63"/>
      <c r="BHP47" s="63"/>
      <c r="BHQ47" s="63"/>
      <c r="BHR47" s="63"/>
      <c r="BHS47" s="63"/>
      <c r="BHT47" s="63"/>
      <c r="BHU47" s="63"/>
      <c r="BHV47" s="63"/>
      <c r="BHW47" s="63"/>
      <c r="BHX47" s="63"/>
      <c r="BHY47" s="63"/>
      <c r="BHZ47" s="63"/>
      <c r="BIA47" s="63"/>
      <c r="BIB47" s="63"/>
      <c r="BIC47" s="63"/>
      <c r="BID47" s="63"/>
      <c r="BIE47" s="63"/>
      <c r="BIF47" s="63"/>
      <c r="BIG47" s="63"/>
      <c r="BIH47" s="63"/>
      <c r="BII47" s="63"/>
      <c r="BIJ47" s="63"/>
      <c r="BIK47" s="63"/>
      <c r="BIL47" s="63"/>
      <c r="BIM47" s="63"/>
      <c r="BIN47" s="63"/>
      <c r="BIO47" s="63"/>
      <c r="BIP47" s="63"/>
      <c r="BIQ47" s="63"/>
      <c r="BIR47" s="63"/>
      <c r="BIS47" s="63"/>
      <c r="BIT47" s="63"/>
      <c r="BIU47" s="63"/>
      <c r="BIV47" s="63"/>
      <c r="BIW47" s="63"/>
      <c r="BIX47" s="63"/>
      <c r="BIY47" s="63"/>
      <c r="BIZ47" s="63"/>
      <c r="BJA47" s="63"/>
      <c r="BJB47" s="63"/>
      <c r="BJC47" s="63"/>
      <c r="BJD47" s="63"/>
      <c r="BJE47" s="63"/>
      <c r="BJF47" s="63"/>
      <c r="BJG47" s="63"/>
      <c r="BJH47" s="63"/>
      <c r="BJI47" s="63"/>
      <c r="BJJ47" s="63"/>
      <c r="BJK47" s="63"/>
      <c r="BJL47" s="63"/>
      <c r="BJM47" s="63"/>
      <c r="BJN47" s="63"/>
      <c r="BJO47" s="63"/>
      <c r="BJP47" s="63"/>
      <c r="BJQ47" s="63"/>
      <c r="BJR47" s="63"/>
      <c r="BJS47" s="63"/>
      <c r="BJT47" s="63"/>
      <c r="BJU47" s="63"/>
      <c r="BJV47" s="63"/>
      <c r="BJW47" s="63"/>
      <c r="BJX47" s="63"/>
      <c r="BJY47" s="63"/>
      <c r="BJZ47" s="63"/>
      <c r="BKA47" s="63"/>
      <c r="BKB47" s="63"/>
      <c r="BKC47" s="63"/>
      <c r="BKD47" s="63"/>
      <c r="BKE47" s="63"/>
      <c r="BKF47" s="63"/>
      <c r="BKG47" s="63"/>
      <c r="BKH47" s="63"/>
      <c r="BKI47" s="63"/>
      <c r="BKJ47" s="63"/>
      <c r="BKK47" s="63"/>
      <c r="BKL47" s="63"/>
      <c r="BKM47" s="63"/>
      <c r="BKN47" s="63"/>
      <c r="BKO47" s="63"/>
      <c r="BKP47" s="63"/>
      <c r="BKQ47" s="63"/>
      <c r="BKR47" s="63"/>
      <c r="BKS47" s="63"/>
      <c r="BKT47" s="63"/>
      <c r="BKU47" s="63"/>
      <c r="BKV47" s="63"/>
      <c r="BKW47" s="63"/>
      <c r="BKX47" s="63"/>
      <c r="BKY47" s="63"/>
      <c r="BKZ47" s="63"/>
      <c r="BLA47" s="63"/>
      <c r="BLB47" s="63"/>
      <c r="BLC47" s="63"/>
      <c r="BLD47" s="63"/>
      <c r="BLE47" s="63"/>
      <c r="BLF47" s="63"/>
      <c r="BLG47" s="63"/>
      <c r="BLH47" s="63"/>
      <c r="BLI47" s="63"/>
      <c r="BLJ47" s="63"/>
      <c r="BLK47" s="63"/>
      <c r="BLL47" s="63"/>
      <c r="BLM47" s="63"/>
      <c r="BLN47" s="63"/>
      <c r="BLO47" s="63"/>
      <c r="BLP47" s="63"/>
      <c r="BLQ47" s="63"/>
      <c r="BLR47" s="63"/>
      <c r="BLS47" s="63"/>
      <c r="BLT47" s="63"/>
      <c r="BLU47" s="63"/>
      <c r="BLV47" s="63"/>
      <c r="BLW47" s="63"/>
      <c r="BLX47" s="63"/>
      <c r="BLY47" s="63"/>
      <c r="BLZ47" s="63"/>
      <c r="BMA47" s="63"/>
      <c r="BMB47" s="63"/>
      <c r="BMC47" s="63"/>
      <c r="BMD47" s="63"/>
      <c r="BME47" s="63"/>
      <c r="BMF47" s="63"/>
      <c r="BMG47" s="63"/>
      <c r="BMH47" s="63"/>
      <c r="BMI47" s="63"/>
      <c r="BMJ47" s="63"/>
      <c r="BMK47" s="63"/>
      <c r="BML47" s="63"/>
      <c r="BMM47" s="63"/>
      <c r="BMN47" s="63"/>
      <c r="BMO47" s="63"/>
      <c r="BMP47" s="63"/>
      <c r="BMQ47" s="63"/>
      <c r="BMR47" s="63"/>
      <c r="BMS47" s="63"/>
      <c r="BMT47" s="63"/>
      <c r="BMU47" s="63"/>
      <c r="BMV47" s="63"/>
      <c r="BMW47" s="63"/>
      <c r="BMX47" s="63"/>
      <c r="BMY47" s="63"/>
      <c r="BMZ47" s="63"/>
      <c r="BNA47" s="63"/>
      <c r="BNB47" s="63"/>
      <c r="BNC47" s="63"/>
      <c r="BND47" s="63"/>
      <c r="BNE47" s="63"/>
      <c r="BNF47" s="63"/>
      <c r="BNG47" s="63"/>
      <c r="BNH47" s="63"/>
      <c r="BNI47" s="63"/>
      <c r="BNJ47" s="63"/>
      <c r="BNK47" s="63"/>
      <c r="BNL47" s="63"/>
      <c r="BNM47" s="63"/>
      <c r="BNN47" s="63"/>
      <c r="BNO47" s="63"/>
      <c r="BNP47" s="63"/>
      <c r="BNQ47" s="63"/>
      <c r="BNR47" s="63"/>
      <c r="BNS47" s="63"/>
      <c r="BNT47" s="63"/>
      <c r="BNU47" s="63"/>
      <c r="BNV47" s="63"/>
      <c r="BNW47" s="63"/>
      <c r="BNX47" s="63"/>
      <c r="BNY47" s="63"/>
      <c r="BNZ47" s="63"/>
      <c r="BOA47" s="63"/>
      <c r="BOB47" s="63"/>
      <c r="BOC47" s="63"/>
      <c r="BOD47" s="63"/>
      <c r="BOE47" s="63"/>
      <c r="BOF47" s="63"/>
      <c r="BOG47" s="63"/>
      <c r="BOH47" s="63"/>
      <c r="BOI47" s="63"/>
      <c r="BOJ47" s="63"/>
      <c r="BOK47" s="63"/>
      <c r="BOL47" s="63"/>
      <c r="BOM47" s="63"/>
      <c r="BON47" s="63"/>
      <c r="BOO47" s="63"/>
      <c r="BOP47" s="63"/>
      <c r="BOQ47" s="63"/>
      <c r="BOR47" s="63"/>
      <c r="BOS47" s="63"/>
      <c r="BOT47" s="63"/>
      <c r="BOU47" s="63"/>
      <c r="BOV47" s="63"/>
      <c r="BOW47" s="63"/>
      <c r="BOX47" s="63"/>
      <c r="BOY47" s="63"/>
      <c r="BOZ47" s="63"/>
      <c r="BPA47" s="63"/>
      <c r="BPB47" s="63"/>
      <c r="BPC47" s="63"/>
      <c r="BPD47" s="63"/>
      <c r="BPE47" s="63"/>
      <c r="BPF47" s="63"/>
      <c r="BPG47" s="63"/>
      <c r="BPH47" s="63"/>
      <c r="BPI47" s="63"/>
      <c r="BPJ47" s="63"/>
      <c r="BPK47" s="63"/>
      <c r="BPL47" s="63"/>
      <c r="BPM47" s="63"/>
      <c r="BPN47" s="63"/>
      <c r="BPO47" s="63"/>
      <c r="BPP47" s="63"/>
      <c r="BPQ47" s="63"/>
      <c r="BPR47" s="63"/>
      <c r="BPS47" s="63"/>
      <c r="BPT47" s="63"/>
      <c r="BPU47" s="63"/>
      <c r="BPV47" s="63"/>
      <c r="BPW47" s="63"/>
      <c r="BPX47" s="63"/>
      <c r="BPY47" s="63"/>
      <c r="BPZ47" s="63"/>
      <c r="BQA47" s="63"/>
      <c r="BQB47" s="63"/>
      <c r="BQC47" s="63"/>
      <c r="BQD47" s="63"/>
      <c r="BQE47" s="63"/>
      <c r="BQF47" s="63"/>
      <c r="BQG47" s="63"/>
      <c r="BQH47" s="63"/>
      <c r="BQI47" s="63"/>
      <c r="BQJ47" s="63"/>
      <c r="BQK47" s="63"/>
      <c r="BQL47" s="63"/>
      <c r="BQM47" s="63"/>
      <c r="BQN47" s="63"/>
      <c r="BQO47" s="63"/>
      <c r="BQP47" s="63"/>
      <c r="BQQ47" s="63"/>
      <c r="BQR47" s="63"/>
      <c r="BQS47" s="63"/>
      <c r="BQT47" s="63"/>
      <c r="BQU47" s="63"/>
      <c r="BQV47" s="63"/>
      <c r="BQW47" s="63"/>
      <c r="BQX47" s="63"/>
      <c r="BQY47" s="63"/>
      <c r="BQZ47" s="63"/>
      <c r="BRA47" s="63"/>
      <c r="BRB47" s="63"/>
      <c r="BRC47" s="63"/>
      <c r="BRD47" s="63"/>
      <c r="BRE47" s="63"/>
      <c r="BRF47" s="63"/>
      <c r="BRG47" s="63"/>
      <c r="BRH47" s="63"/>
      <c r="BRI47" s="63"/>
      <c r="BRJ47" s="63"/>
      <c r="BRK47" s="63"/>
      <c r="BRL47" s="63"/>
      <c r="BRM47" s="63"/>
      <c r="BRN47" s="63"/>
      <c r="BRO47" s="63"/>
      <c r="BRP47" s="63"/>
      <c r="BRQ47" s="63"/>
      <c r="BRR47" s="63"/>
      <c r="BRS47" s="63"/>
      <c r="BRT47" s="63"/>
      <c r="BRU47" s="63"/>
      <c r="BRV47" s="63"/>
      <c r="BRW47" s="63"/>
      <c r="BRX47" s="63"/>
      <c r="BRY47" s="63"/>
      <c r="BRZ47" s="63"/>
      <c r="BSA47" s="63"/>
      <c r="BSB47" s="63"/>
      <c r="BSC47" s="63"/>
      <c r="BSD47" s="63"/>
      <c r="BSE47" s="63"/>
      <c r="BSF47" s="63"/>
      <c r="BSG47" s="63"/>
      <c r="BSH47" s="63"/>
      <c r="BSI47" s="63"/>
      <c r="BSJ47" s="63"/>
      <c r="BSK47" s="63"/>
      <c r="BSL47" s="63"/>
      <c r="BSM47" s="63"/>
      <c r="BSN47" s="63"/>
      <c r="BSO47" s="63"/>
      <c r="BSP47" s="63"/>
      <c r="BSQ47" s="63"/>
      <c r="BSR47" s="63"/>
      <c r="BSS47" s="63"/>
      <c r="BST47" s="63"/>
      <c r="BSU47" s="63"/>
      <c r="BSV47" s="63"/>
      <c r="BSW47" s="63"/>
      <c r="BSX47" s="63"/>
      <c r="BSY47" s="63"/>
      <c r="BSZ47" s="63"/>
      <c r="BTA47" s="63"/>
      <c r="BTB47" s="63"/>
      <c r="BTC47" s="63"/>
      <c r="BTD47" s="63"/>
      <c r="BTE47" s="63"/>
      <c r="BTF47" s="63"/>
      <c r="BTG47" s="63"/>
      <c r="BTH47" s="63"/>
      <c r="BTI47" s="63"/>
      <c r="BTJ47" s="63"/>
      <c r="BTK47" s="63"/>
      <c r="BTL47" s="63"/>
      <c r="BTM47" s="63"/>
      <c r="BTN47" s="63"/>
      <c r="BTO47" s="63"/>
      <c r="BTP47" s="63"/>
      <c r="BTQ47" s="63"/>
      <c r="BTR47" s="63"/>
      <c r="BTS47" s="63"/>
      <c r="BTT47" s="63"/>
      <c r="BTU47" s="63"/>
      <c r="BTV47" s="63"/>
      <c r="BTW47" s="63"/>
      <c r="BTX47" s="63"/>
      <c r="BTY47" s="63"/>
      <c r="BTZ47" s="63"/>
      <c r="BUA47" s="63"/>
      <c r="BUB47" s="63"/>
      <c r="BUC47" s="63"/>
      <c r="BUD47" s="63"/>
      <c r="BUE47" s="63"/>
      <c r="BUF47" s="63"/>
      <c r="BUG47" s="63"/>
      <c r="BUH47" s="63"/>
      <c r="BUI47" s="63"/>
      <c r="BUJ47" s="63"/>
      <c r="BUK47" s="63"/>
      <c r="BUL47" s="63"/>
      <c r="BUM47" s="63"/>
      <c r="BUN47" s="63"/>
      <c r="BUO47" s="63"/>
      <c r="BUP47" s="63"/>
      <c r="BUQ47" s="63"/>
      <c r="BUR47" s="63"/>
      <c r="BUS47" s="63"/>
      <c r="BUT47" s="63"/>
      <c r="BUU47" s="63"/>
      <c r="BUV47" s="63"/>
      <c r="BUW47" s="63"/>
      <c r="BUX47" s="63"/>
      <c r="BUY47" s="63"/>
      <c r="BUZ47" s="63"/>
      <c r="BVA47" s="63"/>
      <c r="BVB47" s="63"/>
      <c r="BVC47" s="63"/>
      <c r="BVD47" s="63"/>
      <c r="BVE47" s="63"/>
      <c r="BVF47" s="63"/>
      <c r="BVG47" s="63"/>
      <c r="BVH47" s="63"/>
      <c r="BVI47" s="63"/>
      <c r="BVJ47" s="63"/>
      <c r="BVK47" s="63"/>
      <c r="BVL47" s="63"/>
      <c r="BVM47" s="63"/>
      <c r="BVN47" s="63"/>
      <c r="BVO47" s="63"/>
      <c r="BVP47" s="63"/>
      <c r="BVQ47" s="63"/>
      <c r="BVR47" s="63"/>
      <c r="BVS47" s="63"/>
      <c r="BVT47" s="63"/>
      <c r="BVU47" s="63"/>
      <c r="BVV47" s="63"/>
      <c r="BVW47" s="63"/>
      <c r="BVX47" s="63"/>
      <c r="BVY47" s="63"/>
      <c r="BVZ47" s="63"/>
      <c r="BWA47" s="63"/>
      <c r="BWB47" s="63"/>
      <c r="BWC47" s="63"/>
      <c r="BWD47" s="63"/>
      <c r="BWE47" s="63"/>
      <c r="BWF47" s="63"/>
      <c r="BWG47" s="63"/>
      <c r="BWH47" s="63"/>
      <c r="BWI47" s="63"/>
      <c r="BWJ47" s="63"/>
      <c r="BWK47" s="63"/>
      <c r="BWL47" s="63"/>
      <c r="BWM47" s="63"/>
      <c r="BWN47" s="63"/>
      <c r="BWO47" s="63"/>
      <c r="BWP47" s="63"/>
      <c r="BWQ47" s="63"/>
      <c r="BWR47" s="63"/>
      <c r="BWS47" s="63"/>
      <c r="BWT47" s="63"/>
      <c r="BWU47" s="63"/>
      <c r="BWV47" s="63"/>
      <c r="BWW47" s="63"/>
      <c r="BWX47" s="63"/>
      <c r="BWY47" s="63"/>
      <c r="BWZ47" s="63"/>
      <c r="BXA47" s="63"/>
      <c r="BXB47" s="63"/>
      <c r="BXC47" s="63"/>
      <c r="BXD47" s="63"/>
      <c r="BXE47" s="63"/>
      <c r="BXF47" s="63"/>
      <c r="BXG47" s="63"/>
      <c r="BXH47" s="63"/>
      <c r="BXI47" s="63"/>
      <c r="BXJ47" s="63"/>
      <c r="BXK47" s="63"/>
      <c r="BXL47" s="63"/>
      <c r="BXM47" s="63"/>
      <c r="BXN47" s="63"/>
      <c r="BXO47" s="63"/>
      <c r="BXP47" s="63"/>
      <c r="BXQ47" s="63"/>
      <c r="BXR47" s="63"/>
      <c r="BXS47" s="63"/>
      <c r="BXT47" s="63"/>
      <c r="BXU47" s="63"/>
      <c r="BXV47" s="63"/>
      <c r="BXW47" s="63"/>
      <c r="BXX47" s="63"/>
      <c r="BXY47" s="63"/>
      <c r="BXZ47" s="63"/>
      <c r="BYA47" s="63"/>
      <c r="BYB47" s="63"/>
      <c r="BYC47" s="63"/>
      <c r="BYD47" s="63"/>
      <c r="BYE47" s="63"/>
      <c r="BYF47" s="63"/>
      <c r="BYG47" s="63"/>
      <c r="BYH47" s="63"/>
      <c r="BYI47" s="63"/>
      <c r="BYJ47" s="63"/>
      <c r="BYK47" s="63"/>
      <c r="BYL47" s="63"/>
      <c r="BYM47" s="63"/>
      <c r="BYN47" s="63"/>
      <c r="BYO47" s="63"/>
      <c r="BYP47" s="63"/>
      <c r="BYQ47" s="63"/>
      <c r="BYR47" s="63"/>
      <c r="BYS47" s="63"/>
      <c r="BYT47" s="63"/>
      <c r="BYU47" s="63"/>
      <c r="BYV47" s="63"/>
      <c r="BYW47" s="63"/>
      <c r="BYX47" s="63"/>
      <c r="BYY47" s="63"/>
      <c r="BYZ47" s="63"/>
      <c r="BZA47" s="63"/>
      <c r="BZB47" s="63"/>
      <c r="BZC47" s="63"/>
      <c r="BZD47" s="63"/>
      <c r="BZE47" s="63"/>
      <c r="BZF47" s="63"/>
      <c r="BZG47" s="63"/>
      <c r="BZH47" s="63"/>
      <c r="BZI47" s="63"/>
      <c r="BZJ47" s="63"/>
      <c r="BZK47" s="63"/>
      <c r="BZL47" s="63"/>
      <c r="BZM47" s="63"/>
      <c r="BZN47" s="63"/>
      <c r="BZO47" s="63"/>
      <c r="BZP47" s="63"/>
      <c r="BZQ47" s="63"/>
      <c r="BZR47" s="63"/>
      <c r="BZS47" s="63"/>
      <c r="BZT47" s="63"/>
      <c r="BZU47" s="63"/>
      <c r="BZV47" s="63"/>
      <c r="BZW47" s="63"/>
      <c r="BZX47" s="63"/>
      <c r="BZY47" s="63"/>
      <c r="BZZ47" s="63"/>
      <c r="CAA47" s="63"/>
      <c r="CAB47" s="63"/>
      <c r="CAC47" s="63"/>
      <c r="CAD47" s="63"/>
      <c r="CAE47" s="63"/>
      <c r="CAF47" s="63"/>
      <c r="CAG47" s="63"/>
      <c r="CAH47" s="63"/>
      <c r="CAI47" s="63"/>
      <c r="CAJ47" s="63"/>
      <c r="CAK47" s="63"/>
      <c r="CAL47" s="63"/>
      <c r="CAM47" s="63"/>
      <c r="CAN47" s="63"/>
      <c r="CAO47" s="63"/>
      <c r="CAP47" s="63"/>
      <c r="CAQ47" s="63"/>
      <c r="CAR47" s="63"/>
      <c r="CAS47" s="63"/>
      <c r="CAT47" s="63"/>
      <c r="CAU47" s="63"/>
      <c r="CAV47" s="63"/>
      <c r="CAW47" s="63"/>
      <c r="CAX47" s="63"/>
      <c r="CAY47" s="63"/>
      <c r="CAZ47" s="63"/>
      <c r="CBA47" s="63"/>
      <c r="CBB47" s="63"/>
      <c r="CBC47" s="63"/>
      <c r="CBD47" s="63"/>
      <c r="CBE47" s="63"/>
      <c r="CBF47" s="63"/>
      <c r="CBG47" s="63"/>
      <c r="CBH47" s="63"/>
      <c r="CBI47" s="63"/>
      <c r="CBJ47" s="63"/>
      <c r="CBK47" s="63"/>
      <c r="CBL47" s="63"/>
      <c r="CBM47" s="63"/>
      <c r="CBN47" s="63"/>
      <c r="CBO47" s="63"/>
      <c r="CBP47" s="63"/>
      <c r="CBQ47" s="63"/>
      <c r="CBR47" s="63"/>
      <c r="CBS47" s="63"/>
      <c r="CBT47" s="63"/>
      <c r="CBU47" s="63"/>
      <c r="CBV47" s="63"/>
      <c r="CBW47" s="63"/>
      <c r="CBX47" s="63"/>
      <c r="CBY47" s="63"/>
      <c r="CBZ47" s="63"/>
      <c r="CCA47" s="63"/>
      <c r="CCB47" s="63"/>
      <c r="CCC47" s="63"/>
      <c r="CCD47" s="63"/>
      <c r="CCE47" s="63"/>
      <c r="CCF47" s="63"/>
      <c r="CCG47" s="63"/>
      <c r="CCH47" s="63"/>
      <c r="CCI47" s="63"/>
      <c r="CCJ47" s="63"/>
      <c r="CCK47" s="63"/>
      <c r="CCL47" s="63"/>
      <c r="CCM47" s="63"/>
      <c r="CCN47" s="63"/>
      <c r="CCO47" s="63"/>
      <c r="CCP47" s="63"/>
      <c r="CCQ47" s="63"/>
      <c r="CCR47" s="63"/>
      <c r="CCS47" s="63"/>
      <c r="CCT47" s="63"/>
      <c r="CCU47" s="63"/>
      <c r="CCV47" s="63"/>
      <c r="CCW47" s="63"/>
      <c r="CCX47" s="63"/>
      <c r="CCY47" s="63"/>
      <c r="CCZ47" s="63"/>
      <c r="CDA47" s="63"/>
      <c r="CDB47" s="63"/>
      <c r="CDC47" s="63"/>
      <c r="CDD47" s="63"/>
      <c r="CDE47" s="63"/>
      <c r="CDF47" s="63"/>
      <c r="CDG47" s="63"/>
      <c r="CDH47" s="63"/>
      <c r="CDI47" s="63"/>
      <c r="CDJ47" s="63"/>
      <c r="CDK47" s="63"/>
      <c r="CDL47" s="63"/>
      <c r="CDM47" s="63"/>
      <c r="CDN47" s="63"/>
      <c r="CDO47" s="63"/>
      <c r="CDP47" s="63"/>
      <c r="CDQ47" s="63"/>
      <c r="CDR47" s="63"/>
      <c r="CDS47" s="63"/>
      <c r="CDT47" s="63"/>
      <c r="CDU47" s="63"/>
      <c r="CDV47" s="63"/>
      <c r="CDW47" s="63"/>
      <c r="CDX47" s="63"/>
      <c r="CDY47" s="63"/>
      <c r="CDZ47" s="63"/>
      <c r="CEA47" s="63"/>
      <c r="CEB47" s="63"/>
      <c r="CEC47" s="63"/>
      <c r="CED47" s="63"/>
      <c r="CEE47" s="63"/>
      <c r="CEF47" s="63"/>
      <c r="CEG47" s="63"/>
      <c r="CEH47" s="63"/>
      <c r="CEI47" s="63"/>
      <c r="CEJ47" s="63"/>
      <c r="CEK47" s="63"/>
      <c r="CEL47" s="63"/>
      <c r="CEM47" s="63"/>
      <c r="CEN47" s="63"/>
      <c r="CEO47" s="63"/>
      <c r="CEP47" s="63"/>
      <c r="CEQ47" s="63"/>
      <c r="CER47" s="63"/>
      <c r="CES47" s="63"/>
      <c r="CET47" s="63"/>
      <c r="CEU47" s="63"/>
      <c r="CEV47" s="63"/>
      <c r="CEW47" s="63"/>
      <c r="CEX47" s="63"/>
      <c r="CEY47" s="63"/>
      <c r="CEZ47" s="63"/>
      <c r="CFA47" s="63"/>
      <c r="CFB47" s="63"/>
      <c r="CFC47" s="63"/>
      <c r="CFD47" s="63"/>
      <c r="CFE47" s="63"/>
      <c r="CFF47" s="63"/>
      <c r="CFG47" s="63"/>
      <c r="CFH47" s="63"/>
      <c r="CFI47" s="63"/>
      <c r="CFJ47" s="63"/>
      <c r="CFK47" s="63"/>
      <c r="CFL47" s="63"/>
      <c r="CFM47" s="63"/>
      <c r="CFN47" s="63"/>
      <c r="CFO47" s="63"/>
      <c r="CFP47" s="63"/>
      <c r="CFQ47" s="63"/>
      <c r="CFR47" s="63"/>
      <c r="CFS47" s="63"/>
      <c r="CFT47" s="63"/>
      <c r="CFU47" s="63"/>
      <c r="CFV47" s="63"/>
      <c r="CFW47" s="63"/>
      <c r="CFX47" s="63"/>
      <c r="CFY47" s="63"/>
      <c r="CFZ47" s="63"/>
      <c r="CGA47" s="63"/>
      <c r="CGB47" s="63"/>
      <c r="CGC47" s="63"/>
      <c r="CGD47" s="63"/>
      <c r="CGE47" s="63"/>
      <c r="CGF47" s="63"/>
      <c r="CGG47" s="63"/>
      <c r="CGH47" s="63"/>
      <c r="CGI47" s="63"/>
      <c r="CGJ47" s="63"/>
      <c r="CGK47" s="63"/>
      <c r="CGL47" s="63"/>
      <c r="CGM47" s="63"/>
      <c r="CGN47" s="63"/>
      <c r="CGO47" s="63"/>
      <c r="CGP47" s="63"/>
      <c r="CGQ47" s="63"/>
      <c r="CGR47" s="63"/>
      <c r="CGS47" s="63"/>
      <c r="CGT47" s="63"/>
      <c r="CGU47" s="63"/>
      <c r="CGV47" s="63"/>
      <c r="CGW47" s="63"/>
      <c r="CGX47" s="63"/>
      <c r="CGY47" s="63"/>
      <c r="CGZ47" s="63"/>
      <c r="CHA47" s="63"/>
      <c r="CHB47" s="63"/>
      <c r="CHC47" s="63"/>
      <c r="CHD47" s="63"/>
      <c r="CHE47" s="63"/>
      <c r="CHF47" s="63"/>
      <c r="CHG47" s="63"/>
      <c r="CHH47" s="63"/>
      <c r="CHI47" s="63"/>
      <c r="CHJ47" s="63"/>
      <c r="CHK47" s="63"/>
      <c r="CHL47" s="63"/>
      <c r="CHM47" s="63"/>
      <c r="CHN47" s="63"/>
      <c r="CHO47" s="63"/>
      <c r="CHP47" s="63"/>
      <c r="CHQ47" s="63"/>
      <c r="CHR47" s="63"/>
      <c r="CHS47" s="63"/>
      <c r="CHT47" s="63"/>
      <c r="CHU47" s="63"/>
      <c r="CHV47" s="63"/>
      <c r="CHW47" s="63"/>
      <c r="CHX47" s="63"/>
      <c r="CHY47" s="63"/>
      <c r="CHZ47" s="63"/>
      <c r="CIA47" s="63"/>
      <c r="CIB47" s="63"/>
      <c r="CIC47" s="63"/>
      <c r="CID47" s="63"/>
      <c r="CIE47" s="63"/>
      <c r="CIF47" s="63"/>
      <c r="CIG47" s="63"/>
      <c r="CIH47" s="63"/>
      <c r="CII47" s="63"/>
      <c r="CIJ47" s="63"/>
      <c r="CIK47" s="63"/>
      <c r="CIL47" s="63"/>
      <c r="CIM47" s="63"/>
      <c r="CIN47" s="63"/>
      <c r="CIO47" s="63"/>
      <c r="CIP47" s="63"/>
      <c r="CIQ47" s="63"/>
      <c r="CIR47" s="63"/>
      <c r="CIS47" s="63"/>
      <c r="CIT47" s="63"/>
      <c r="CIU47" s="63"/>
      <c r="CIV47" s="63"/>
      <c r="CIW47" s="63"/>
      <c r="CIX47" s="63"/>
      <c r="CIY47" s="63"/>
      <c r="CIZ47" s="63"/>
      <c r="CJA47" s="63"/>
      <c r="CJB47" s="63"/>
      <c r="CJC47" s="63"/>
      <c r="CJD47" s="63"/>
      <c r="CJE47" s="63"/>
      <c r="CJF47" s="63"/>
      <c r="CJG47" s="63"/>
      <c r="CJH47" s="63"/>
      <c r="CJI47" s="63"/>
      <c r="CJJ47" s="63"/>
      <c r="CJK47" s="63"/>
      <c r="CJL47" s="63"/>
      <c r="CJM47" s="63"/>
      <c r="CJN47" s="63"/>
      <c r="CJO47" s="63"/>
      <c r="CJP47" s="63"/>
      <c r="CJQ47" s="63"/>
      <c r="CJR47" s="63"/>
      <c r="CJS47" s="63"/>
      <c r="CJT47" s="63"/>
      <c r="CJU47" s="63"/>
      <c r="CJV47" s="63"/>
      <c r="CJW47" s="63"/>
      <c r="CJX47" s="63"/>
      <c r="CJY47" s="63"/>
      <c r="CJZ47" s="63"/>
      <c r="CKA47" s="63"/>
      <c r="CKB47" s="63"/>
      <c r="CKC47" s="63"/>
      <c r="CKD47" s="63"/>
      <c r="CKE47" s="63"/>
      <c r="CKF47" s="63"/>
      <c r="CKG47" s="63"/>
      <c r="CKH47" s="63"/>
      <c r="CKI47" s="63"/>
      <c r="CKJ47" s="63"/>
      <c r="CKK47" s="63"/>
      <c r="CKL47" s="63"/>
      <c r="CKM47" s="63"/>
      <c r="CKN47" s="63"/>
      <c r="CKO47" s="63"/>
      <c r="CKP47" s="63"/>
      <c r="CKQ47" s="63"/>
      <c r="CKR47" s="63"/>
      <c r="CKS47" s="63"/>
      <c r="CKT47" s="63"/>
      <c r="CKU47" s="63"/>
      <c r="CKV47" s="63"/>
      <c r="CKW47" s="63"/>
      <c r="CKX47" s="63"/>
      <c r="CKY47" s="63"/>
      <c r="CKZ47" s="63"/>
      <c r="CLA47" s="63"/>
      <c r="CLB47" s="63"/>
      <c r="CLC47" s="63"/>
      <c r="CLD47" s="63"/>
      <c r="CLE47" s="63"/>
      <c r="CLF47" s="63"/>
      <c r="CLG47" s="63"/>
      <c r="CLH47" s="63"/>
      <c r="CLI47" s="63"/>
      <c r="CLJ47" s="63"/>
      <c r="CLK47" s="63"/>
      <c r="CLL47" s="63"/>
      <c r="CLM47" s="63"/>
      <c r="CLN47" s="63"/>
      <c r="CLO47" s="63"/>
      <c r="CLP47" s="63"/>
      <c r="CLQ47" s="63"/>
      <c r="CLR47" s="63"/>
      <c r="CLS47" s="63"/>
      <c r="CLT47" s="63"/>
      <c r="CLU47" s="63"/>
      <c r="CLV47" s="63"/>
      <c r="CLW47" s="63"/>
      <c r="CLX47" s="63"/>
      <c r="CLY47" s="63"/>
      <c r="CLZ47" s="63"/>
      <c r="CMA47" s="63"/>
      <c r="CMB47" s="63"/>
      <c r="CMC47" s="63"/>
      <c r="CMD47" s="63"/>
      <c r="CME47" s="63"/>
      <c r="CMF47" s="63"/>
      <c r="CMG47" s="63"/>
      <c r="CMH47" s="63"/>
      <c r="CMI47" s="63"/>
      <c r="CMJ47" s="63"/>
      <c r="CMK47" s="63"/>
      <c r="CML47" s="63"/>
      <c r="CMM47" s="63"/>
      <c r="CMN47" s="63"/>
      <c r="CMO47" s="63"/>
      <c r="CMP47" s="63"/>
      <c r="CMQ47" s="63"/>
      <c r="CMR47" s="63"/>
      <c r="CMS47" s="63"/>
      <c r="CMT47" s="63"/>
      <c r="CMU47" s="63"/>
      <c r="CMV47" s="63"/>
      <c r="CMW47" s="63"/>
      <c r="CMX47" s="63"/>
      <c r="CMY47" s="63"/>
      <c r="CMZ47" s="63"/>
      <c r="CNA47" s="63"/>
      <c r="CNB47" s="63"/>
      <c r="CNC47" s="63"/>
      <c r="CND47" s="63"/>
      <c r="CNE47" s="63"/>
      <c r="CNF47" s="63"/>
      <c r="CNG47" s="63"/>
      <c r="CNH47" s="63"/>
      <c r="CNI47" s="63"/>
      <c r="CNJ47" s="63"/>
      <c r="CNK47" s="63"/>
      <c r="CNL47" s="63"/>
      <c r="CNM47" s="63"/>
      <c r="CNN47" s="63"/>
      <c r="CNO47" s="63"/>
      <c r="CNP47" s="63"/>
      <c r="CNQ47" s="63"/>
      <c r="CNR47" s="63"/>
      <c r="CNS47" s="63"/>
      <c r="CNT47" s="63"/>
      <c r="CNU47" s="63"/>
      <c r="CNV47" s="63"/>
      <c r="CNW47" s="63"/>
      <c r="CNX47" s="63"/>
      <c r="CNY47" s="63"/>
      <c r="CNZ47" s="63"/>
      <c r="COA47" s="63"/>
      <c r="COB47" s="63"/>
      <c r="COC47" s="63"/>
      <c r="COD47" s="63"/>
      <c r="COE47" s="63"/>
      <c r="COF47" s="63"/>
      <c r="COG47" s="63"/>
      <c r="COH47" s="63"/>
      <c r="COI47" s="63"/>
      <c r="COJ47" s="63"/>
      <c r="COK47" s="63"/>
      <c r="COL47" s="63"/>
      <c r="COM47" s="63"/>
      <c r="CON47" s="63"/>
      <c r="COO47" s="63"/>
      <c r="COP47" s="63"/>
      <c r="COQ47" s="63"/>
      <c r="COR47" s="63"/>
      <c r="COS47" s="63"/>
      <c r="COT47" s="63"/>
      <c r="COU47" s="63"/>
      <c r="COV47" s="63"/>
      <c r="COW47" s="63"/>
      <c r="COX47" s="63"/>
      <c r="COY47" s="63"/>
      <c r="COZ47" s="63"/>
      <c r="CPA47" s="63"/>
      <c r="CPB47" s="63"/>
      <c r="CPC47" s="63"/>
      <c r="CPD47" s="63"/>
      <c r="CPE47" s="63"/>
      <c r="CPF47" s="63"/>
      <c r="CPG47" s="63"/>
      <c r="CPH47" s="63"/>
      <c r="CPI47" s="63"/>
      <c r="CPJ47" s="63"/>
      <c r="CPK47" s="63"/>
      <c r="CPL47" s="63"/>
      <c r="CPM47" s="63"/>
      <c r="CPN47" s="63"/>
      <c r="CPO47" s="63"/>
      <c r="CPP47" s="63"/>
      <c r="CPQ47" s="63"/>
      <c r="CPR47" s="63"/>
      <c r="CPS47" s="63"/>
      <c r="CPT47" s="63"/>
      <c r="CPU47" s="63"/>
      <c r="CPV47" s="63"/>
      <c r="CPW47" s="63"/>
      <c r="CPX47" s="63"/>
      <c r="CPY47" s="63"/>
      <c r="CPZ47" s="63"/>
      <c r="CQA47" s="63"/>
      <c r="CQB47" s="63"/>
      <c r="CQC47" s="63"/>
      <c r="CQD47" s="63"/>
      <c r="CQE47" s="63"/>
      <c r="CQF47" s="63"/>
      <c r="CQG47" s="63"/>
      <c r="CQH47" s="63"/>
      <c r="CQI47" s="63"/>
      <c r="CQJ47" s="63"/>
      <c r="CQK47" s="63"/>
      <c r="CQL47" s="63"/>
      <c r="CQM47" s="63"/>
      <c r="CQN47" s="63"/>
      <c r="CQO47" s="63"/>
      <c r="CQP47" s="63"/>
      <c r="CQQ47" s="63"/>
      <c r="CQR47" s="63"/>
      <c r="CQS47" s="63"/>
      <c r="CQT47" s="63"/>
      <c r="CQU47" s="63"/>
      <c r="CQV47" s="63"/>
      <c r="CQW47" s="63"/>
      <c r="CQX47" s="63"/>
      <c r="CQY47" s="63"/>
      <c r="CQZ47" s="63"/>
      <c r="CRA47" s="63"/>
      <c r="CRB47" s="63"/>
      <c r="CRC47" s="63"/>
      <c r="CRD47" s="63"/>
      <c r="CRE47" s="63"/>
      <c r="CRF47" s="63"/>
      <c r="CRG47" s="63"/>
      <c r="CRH47" s="63"/>
      <c r="CRI47" s="63"/>
      <c r="CRJ47" s="63"/>
      <c r="CRK47" s="63"/>
      <c r="CRL47" s="63"/>
      <c r="CRM47" s="63"/>
      <c r="CRN47" s="63"/>
      <c r="CRO47" s="63"/>
      <c r="CRP47" s="63"/>
      <c r="CRQ47" s="63"/>
      <c r="CRR47" s="63"/>
      <c r="CRS47" s="63"/>
      <c r="CRT47" s="63"/>
      <c r="CRU47" s="63"/>
      <c r="CRV47" s="63"/>
      <c r="CRW47" s="63"/>
      <c r="CRX47" s="63"/>
      <c r="CRY47" s="63"/>
      <c r="CRZ47" s="63"/>
      <c r="CSA47" s="63"/>
      <c r="CSB47" s="63"/>
      <c r="CSC47" s="63"/>
      <c r="CSD47" s="63"/>
      <c r="CSE47" s="63"/>
      <c r="CSF47" s="63"/>
      <c r="CSG47" s="63"/>
      <c r="CSH47" s="63"/>
      <c r="CSI47" s="63"/>
      <c r="CSJ47" s="63"/>
      <c r="CSK47" s="63"/>
      <c r="CSL47" s="63"/>
      <c r="CSM47" s="63"/>
      <c r="CSN47" s="63"/>
      <c r="CSO47" s="63"/>
      <c r="CSP47" s="63"/>
      <c r="CSQ47" s="63"/>
      <c r="CSR47" s="63"/>
      <c r="CSS47" s="63"/>
      <c r="CST47" s="63"/>
      <c r="CSU47" s="63"/>
      <c r="CSV47" s="63"/>
      <c r="CSW47" s="63"/>
      <c r="CSX47" s="63"/>
      <c r="CSY47" s="63"/>
      <c r="CSZ47" s="63"/>
      <c r="CTA47" s="63"/>
      <c r="CTB47" s="63"/>
      <c r="CTC47" s="63"/>
      <c r="CTD47" s="63"/>
      <c r="CTE47" s="63"/>
      <c r="CTF47" s="63"/>
      <c r="CTG47" s="63"/>
      <c r="CTH47" s="63"/>
      <c r="CTI47" s="63"/>
      <c r="CTJ47" s="63"/>
      <c r="CTK47" s="63"/>
      <c r="CTL47" s="63"/>
      <c r="CTM47" s="63"/>
      <c r="CTN47" s="63"/>
      <c r="CTO47" s="63"/>
      <c r="CTP47" s="63"/>
      <c r="CTQ47" s="63"/>
      <c r="CTR47" s="63"/>
      <c r="CTS47" s="63"/>
      <c r="CTT47" s="63"/>
      <c r="CTU47" s="63"/>
      <c r="CTV47" s="63"/>
      <c r="CTW47" s="63"/>
      <c r="CTX47" s="63"/>
      <c r="CTY47" s="63"/>
      <c r="CTZ47" s="63"/>
      <c r="CUA47" s="63"/>
      <c r="CUB47" s="63"/>
      <c r="CUC47" s="63"/>
      <c r="CUD47" s="63"/>
      <c r="CUE47" s="63"/>
      <c r="CUF47" s="63"/>
      <c r="CUG47" s="63"/>
      <c r="CUH47" s="63"/>
      <c r="CUI47" s="63"/>
      <c r="CUJ47" s="63"/>
      <c r="CUK47" s="63"/>
      <c r="CUL47" s="63"/>
      <c r="CUM47" s="63"/>
      <c r="CUN47" s="63"/>
      <c r="CUO47" s="63"/>
      <c r="CUP47" s="63"/>
      <c r="CUQ47" s="63"/>
      <c r="CUR47" s="63"/>
      <c r="CUS47" s="63"/>
      <c r="CUT47" s="63"/>
      <c r="CUU47" s="63"/>
      <c r="CUV47" s="63"/>
      <c r="CUW47" s="63"/>
      <c r="CUX47" s="63"/>
      <c r="CUY47" s="63"/>
      <c r="CUZ47" s="63"/>
      <c r="CVA47" s="63"/>
      <c r="CVB47" s="63"/>
      <c r="CVC47" s="63"/>
      <c r="CVD47" s="63"/>
      <c r="CVE47" s="63"/>
      <c r="CVF47" s="63"/>
      <c r="CVG47" s="63"/>
      <c r="CVH47" s="63"/>
      <c r="CVI47" s="63"/>
      <c r="CVJ47" s="63"/>
      <c r="CVK47" s="63"/>
      <c r="CVL47" s="63"/>
      <c r="CVM47" s="63"/>
      <c r="CVN47" s="63"/>
      <c r="CVO47" s="63"/>
      <c r="CVP47" s="63"/>
      <c r="CVQ47" s="63"/>
      <c r="CVR47" s="63"/>
      <c r="CVS47" s="63"/>
      <c r="CVT47" s="63"/>
      <c r="CVU47" s="63"/>
      <c r="CVV47" s="63"/>
      <c r="CVW47" s="63"/>
      <c r="CVX47" s="63"/>
      <c r="CVY47" s="63"/>
      <c r="CVZ47" s="63"/>
      <c r="CWA47" s="63"/>
      <c r="CWB47" s="63"/>
      <c r="CWC47" s="63"/>
      <c r="CWD47" s="63"/>
      <c r="CWE47" s="63"/>
      <c r="CWF47" s="63"/>
      <c r="CWG47" s="63"/>
      <c r="CWH47" s="63"/>
      <c r="CWI47" s="63"/>
      <c r="CWJ47" s="63"/>
      <c r="CWK47" s="63"/>
      <c r="CWL47" s="63"/>
      <c r="CWM47" s="63"/>
      <c r="CWN47" s="63"/>
      <c r="CWO47" s="63"/>
      <c r="CWP47" s="63"/>
      <c r="CWQ47" s="63"/>
      <c r="CWR47" s="63"/>
      <c r="CWS47" s="63"/>
      <c r="CWT47" s="63"/>
      <c r="CWU47" s="63"/>
      <c r="CWV47" s="63"/>
      <c r="CWW47" s="63"/>
      <c r="CWX47" s="63"/>
      <c r="CWY47" s="63"/>
      <c r="CWZ47" s="63"/>
      <c r="CXA47" s="63"/>
      <c r="CXB47" s="63"/>
      <c r="CXC47" s="63"/>
      <c r="CXD47" s="63"/>
      <c r="CXE47" s="63"/>
      <c r="CXF47" s="63"/>
      <c r="CXG47" s="63"/>
      <c r="CXH47" s="63"/>
      <c r="CXI47" s="63"/>
      <c r="CXJ47" s="63"/>
      <c r="CXK47" s="63"/>
      <c r="CXL47" s="63"/>
      <c r="CXM47" s="63"/>
      <c r="CXN47" s="63"/>
      <c r="CXO47" s="63"/>
      <c r="CXP47" s="63"/>
      <c r="CXQ47" s="63"/>
      <c r="CXR47" s="63"/>
      <c r="CXS47" s="63"/>
      <c r="CXT47" s="63"/>
      <c r="CXU47" s="63"/>
      <c r="CXV47" s="63"/>
      <c r="CXW47" s="63"/>
      <c r="CXX47" s="63"/>
      <c r="CXY47" s="63"/>
      <c r="CXZ47" s="63"/>
      <c r="CYA47" s="63"/>
      <c r="CYB47" s="63"/>
      <c r="CYC47" s="63"/>
      <c r="CYD47" s="63"/>
      <c r="CYE47" s="63"/>
      <c r="CYF47" s="63"/>
      <c r="CYG47" s="63"/>
      <c r="CYH47" s="63"/>
      <c r="CYI47" s="63"/>
      <c r="CYJ47" s="63"/>
      <c r="CYK47" s="63"/>
      <c r="CYL47" s="63"/>
      <c r="CYM47" s="63"/>
      <c r="CYN47" s="63"/>
      <c r="CYO47" s="63"/>
      <c r="CYP47" s="63"/>
      <c r="CYQ47" s="63"/>
      <c r="CYR47" s="63"/>
      <c r="CYS47" s="63"/>
      <c r="CYT47" s="63"/>
      <c r="CYU47" s="63"/>
      <c r="CYV47" s="63"/>
      <c r="CYW47" s="63"/>
      <c r="CYX47" s="63"/>
      <c r="CYY47" s="63"/>
      <c r="CYZ47" s="63"/>
      <c r="CZA47" s="63"/>
      <c r="CZB47" s="63"/>
      <c r="CZC47" s="63"/>
      <c r="CZD47" s="63"/>
      <c r="CZE47" s="63"/>
      <c r="CZF47" s="63"/>
      <c r="CZG47" s="63"/>
      <c r="CZH47" s="63"/>
      <c r="CZI47" s="63"/>
      <c r="CZJ47" s="63"/>
      <c r="CZK47" s="63"/>
      <c r="CZL47" s="63"/>
      <c r="CZM47" s="63"/>
      <c r="CZN47" s="63"/>
      <c r="CZO47" s="63"/>
      <c r="CZP47" s="63"/>
      <c r="CZQ47" s="63"/>
      <c r="CZR47" s="63"/>
      <c r="CZS47" s="63"/>
      <c r="CZT47" s="63"/>
      <c r="CZU47" s="63"/>
      <c r="CZV47" s="63"/>
      <c r="CZW47" s="63"/>
      <c r="CZX47" s="63"/>
      <c r="CZY47" s="63"/>
      <c r="CZZ47" s="63"/>
      <c r="DAA47" s="63"/>
      <c r="DAB47" s="63"/>
      <c r="DAC47" s="63"/>
      <c r="DAD47" s="63"/>
      <c r="DAE47" s="63"/>
      <c r="DAF47" s="63"/>
      <c r="DAG47" s="63"/>
      <c r="DAH47" s="63"/>
      <c r="DAI47" s="63"/>
      <c r="DAJ47" s="63"/>
      <c r="DAK47" s="63"/>
      <c r="DAL47" s="63"/>
      <c r="DAM47" s="63"/>
      <c r="DAN47" s="63"/>
      <c r="DAO47" s="63"/>
      <c r="DAP47" s="63"/>
      <c r="DAQ47" s="63"/>
      <c r="DAR47" s="63"/>
      <c r="DAS47" s="63"/>
      <c r="DAT47" s="63"/>
      <c r="DAU47" s="63"/>
      <c r="DAV47" s="63"/>
      <c r="DAW47" s="63"/>
      <c r="DAX47" s="63"/>
      <c r="DAY47" s="63"/>
      <c r="DAZ47" s="63"/>
      <c r="DBA47" s="63"/>
      <c r="DBB47" s="63"/>
      <c r="DBC47" s="63"/>
      <c r="DBD47" s="63"/>
      <c r="DBE47" s="63"/>
      <c r="DBF47" s="63"/>
      <c r="DBG47" s="63"/>
      <c r="DBH47" s="63"/>
      <c r="DBI47" s="63"/>
      <c r="DBJ47" s="63"/>
      <c r="DBK47" s="63"/>
      <c r="DBL47" s="63"/>
      <c r="DBM47" s="63"/>
      <c r="DBN47" s="63"/>
      <c r="DBO47" s="63"/>
      <c r="DBP47" s="63"/>
      <c r="DBQ47" s="63"/>
      <c r="DBR47" s="63"/>
      <c r="DBS47" s="63"/>
      <c r="DBT47" s="63"/>
      <c r="DBU47" s="63"/>
      <c r="DBV47" s="63"/>
      <c r="DBW47" s="63"/>
      <c r="DBX47" s="63"/>
      <c r="DBY47" s="63"/>
      <c r="DBZ47" s="63"/>
      <c r="DCA47" s="63"/>
      <c r="DCB47" s="63"/>
      <c r="DCC47" s="63"/>
      <c r="DCD47" s="63"/>
      <c r="DCE47" s="63"/>
      <c r="DCF47" s="63"/>
      <c r="DCG47" s="63"/>
      <c r="DCH47" s="63"/>
      <c r="DCI47" s="63"/>
      <c r="DCJ47" s="63"/>
      <c r="DCK47" s="63"/>
      <c r="DCL47" s="63"/>
      <c r="DCM47" s="63"/>
      <c r="DCN47" s="63"/>
      <c r="DCO47" s="63"/>
      <c r="DCP47" s="63"/>
      <c r="DCQ47" s="63"/>
      <c r="DCR47" s="63"/>
      <c r="DCS47" s="63"/>
      <c r="DCT47" s="63"/>
      <c r="DCU47" s="63"/>
      <c r="DCV47" s="63"/>
      <c r="DCW47" s="63"/>
      <c r="DCX47" s="63"/>
      <c r="DCY47" s="63"/>
      <c r="DCZ47" s="63"/>
      <c r="DDA47" s="63"/>
      <c r="DDB47" s="63"/>
      <c r="DDC47" s="63"/>
      <c r="DDD47" s="63"/>
      <c r="DDE47" s="63"/>
      <c r="DDF47" s="63"/>
      <c r="DDG47" s="63"/>
      <c r="DDH47" s="63"/>
      <c r="DDI47" s="63"/>
      <c r="DDJ47" s="63"/>
      <c r="DDK47" s="63"/>
      <c r="DDL47" s="63"/>
      <c r="DDM47" s="63"/>
      <c r="DDN47" s="63"/>
      <c r="DDO47" s="63"/>
      <c r="DDP47" s="63"/>
      <c r="DDQ47" s="63"/>
      <c r="DDR47" s="63"/>
      <c r="DDS47" s="63"/>
      <c r="DDT47" s="63"/>
      <c r="DDU47" s="63"/>
      <c r="DDV47" s="63"/>
      <c r="DDW47" s="63"/>
      <c r="DDX47" s="63"/>
      <c r="DDY47" s="63"/>
      <c r="DDZ47" s="63"/>
      <c r="DEA47" s="63"/>
      <c r="DEB47" s="63"/>
      <c r="DEC47" s="63"/>
      <c r="DED47" s="63"/>
      <c r="DEE47" s="63"/>
      <c r="DEF47" s="63"/>
      <c r="DEG47" s="63"/>
      <c r="DEH47" s="63"/>
      <c r="DEI47" s="63"/>
      <c r="DEJ47" s="63"/>
      <c r="DEK47" s="63"/>
      <c r="DEL47" s="63"/>
      <c r="DEM47" s="63"/>
      <c r="DEN47" s="63"/>
      <c r="DEO47" s="63"/>
      <c r="DEP47" s="63"/>
      <c r="DEQ47" s="63"/>
      <c r="DER47" s="63"/>
      <c r="DES47" s="63"/>
      <c r="DET47" s="63"/>
      <c r="DEU47" s="63"/>
      <c r="DEV47" s="63"/>
      <c r="DEW47" s="63"/>
      <c r="DEX47" s="63"/>
      <c r="DEY47" s="63"/>
      <c r="DEZ47" s="63"/>
      <c r="DFA47" s="63"/>
      <c r="DFB47" s="63"/>
      <c r="DFC47" s="63"/>
      <c r="DFD47" s="63"/>
      <c r="DFE47" s="63"/>
      <c r="DFF47" s="63"/>
      <c r="DFG47" s="63"/>
      <c r="DFH47" s="63"/>
      <c r="DFI47" s="63"/>
      <c r="DFJ47" s="63"/>
      <c r="DFK47" s="63"/>
      <c r="DFL47" s="63"/>
      <c r="DFM47" s="63"/>
      <c r="DFN47" s="63"/>
      <c r="DFO47" s="63"/>
      <c r="DFP47" s="63"/>
      <c r="DFQ47" s="63"/>
      <c r="DFR47" s="63"/>
      <c r="DFS47" s="63"/>
      <c r="DFT47" s="63"/>
      <c r="DFU47" s="63"/>
      <c r="DFV47" s="63"/>
      <c r="DFW47" s="63"/>
      <c r="DFX47" s="63"/>
      <c r="DFY47" s="63"/>
      <c r="DFZ47" s="63"/>
      <c r="DGA47" s="63"/>
      <c r="DGB47" s="63"/>
      <c r="DGC47" s="63"/>
      <c r="DGD47" s="63"/>
      <c r="DGE47" s="63"/>
      <c r="DGF47" s="63"/>
      <c r="DGG47" s="63"/>
      <c r="DGH47" s="63"/>
      <c r="DGI47" s="63"/>
      <c r="DGJ47" s="63"/>
      <c r="DGK47" s="63"/>
      <c r="DGL47" s="63"/>
      <c r="DGM47" s="63"/>
      <c r="DGN47" s="63"/>
      <c r="DGO47" s="63"/>
      <c r="DGP47" s="63"/>
      <c r="DGQ47" s="63"/>
      <c r="DGR47" s="63"/>
      <c r="DGS47" s="63"/>
      <c r="DGT47" s="63"/>
      <c r="DGU47" s="63"/>
      <c r="DGV47" s="63"/>
      <c r="DGW47" s="63"/>
      <c r="DGX47" s="63"/>
      <c r="DGY47" s="63"/>
      <c r="DGZ47" s="63"/>
      <c r="DHA47" s="63"/>
      <c r="DHB47" s="63"/>
      <c r="DHC47" s="63"/>
      <c r="DHD47" s="63"/>
      <c r="DHE47" s="63"/>
      <c r="DHF47" s="63"/>
      <c r="DHG47" s="63"/>
      <c r="DHH47" s="63"/>
      <c r="DHI47" s="63"/>
      <c r="DHJ47" s="63"/>
      <c r="DHK47" s="63"/>
      <c r="DHL47" s="63"/>
      <c r="DHM47" s="63"/>
      <c r="DHN47" s="63"/>
      <c r="DHO47" s="63"/>
      <c r="DHP47" s="63"/>
      <c r="DHQ47" s="63"/>
      <c r="DHR47" s="63"/>
      <c r="DHS47" s="63"/>
      <c r="DHT47" s="63"/>
      <c r="DHU47" s="63"/>
      <c r="DHV47" s="63"/>
      <c r="DHW47" s="63"/>
      <c r="DHX47" s="63"/>
      <c r="DHY47" s="63"/>
      <c r="DHZ47" s="63"/>
      <c r="DIA47" s="63"/>
      <c r="DIB47" s="63"/>
      <c r="DIC47" s="63"/>
      <c r="DID47" s="63"/>
      <c r="DIE47" s="63"/>
      <c r="DIF47" s="63"/>
      <c r="DIG47" s="63"/>
      <c r="DIH47" s="63"/>
      <c r="DII47" s="63"/>
      <c r="DIJ47" s="63"/>
      <c r="DIK47" s="63"/>
      <c r="DIL47" s="63"/>
      <c r="DIM47" s="63"/>
      <c r="DIN47" s="63"/>
      <c r="DIO47" s="63"/>
      <c r="DIP47" s="63"/>
      <c r="DIQ47" s="63"/>
      <c r="DIR47" s="63"/>
      <c r="DIS47" s="63"/>
      <c r="DIT47" s="63"/>
      <c r="DIU47" s="63"/>
      <c r="DIV47" s="63"/>
      <c r="DIW47" s="63"/>
      <c r="DIX47" s="63"/>
      <c r="DIY47" s="63"/>
      <c r="DIZ47" s="63"/>
      <c r="DJA47" s="63"/>
      <c r="DJB47" s="63"/>
      <c r="DJC47" s="63"/>
      <c r="DJD47" s="63"/>
      <c r="DJE47" s="63"/>
      <c r="DJF47" s="63"/>
      <c r="DJG47" s="63"/>
      <c r="DJH47" s="63"/>
      <c r="DJI47" s="63"/>
      <c r="DJJ47" s="63"/>
      <c r="DJK47" s="63"/>
      <c r="DJL47" s="63"/>
      <c r="DJM47" s="63"/>
      <c r="DJN47" s="63"/>
      <c r="DJO47" s="63"/>
      <c r="DJP47" s="63"/>
      <c r="DJQ47" s="63"/>
      <c r="DJR47" s="63"/>
      <c r="DJS47" s="63"/>
      <c r="DJT47" s="63"/>
      <c r="DJU47" s="63"/>
      <c r="DJV47" s="63"/>
      <c r="DJW47" s="63"/>
      <c r="DJX47" s="63"/>
      <c r="DJY47" s="63"/>
      <c r="DJZ47" s="63"/>
      <c r="DKA47" s="63"/>
      <c r="DKB47" s="63"/>
      <c r="DKC47" s="63"/>
      <c r="DKD47" s="63"/>
      <c r="DKE47" s="63"/>
      <c r="DKF47" s="63"/>
      <c r="DKG47" s="63"/>
      <c r="DKH47" s="63"/>
      <c r="DKI47" s="63"/>
      <c r="DKJ47" s="63"/>
      <c r="DKK47" s="63"/>
      <c r="DKL47" s="63"/>
      <c r="DKM47" s="63"/>
      <c r="DKN47" s="63"/>
      <c r="DKO47" s="63"/>
      <c r="DKP47" s="63"/>
      <c r="DKQ47" s="63"/>
      <c r="DKR47" s="63"/>
      <c r="DKS47" s="63"/>
      <c r="DKT47" s="63"/>
      <c r="DKU47" s="63"/>
      <c r="DKV47" s="63"/>
      <c r="DKW47" s="63"/>
      <c r="DKX47" s="63"/>
      <c r="DKY47" s="63"/>
      <c r="DKZ47" s="63"/>
      <c r="DLA47" s="63"/>
      <c r="DLB47" s="63"/>
      <c r="DLC47" s="63"/>
      <c r="DLD47" s="63"/>
      <c r="DLE47" s="63"/>
      <c r="DLF47" s="63"/>
      <c r="DLG47" s="63"/>
      <c r="DLH47" s="63"/>
      <c r="DLI47" s="63"/>
      <c r="DLJ47" s="63"/>
      <c r="DLK47" s="63"/>
      <c r="DLL47" s="63"/>
      <c r="DLM47" s="63"/>
      <c r="DLN47" s="63"/>
      <c r="DLO47" s="63"/>
      <c r="DLP47" s="63"/>
      <c r="DLQ47" s="63"/>
      <c r="DLR47" s="63"/>
      <c r="DLS47" s="63"/>
      <c r="DLT47" s="63"/>
      <c r="DLU47" s="63"/>
      <c r="DLV47" s="63"/>
      <c r="DLW47" s="63"/>
      <c r="DLX47" s="63"/>
      <c r="DLY47" s="63"/>
      <c r="DLZ47" s="63"/>
      <c r="DMA47" s="63"/>
      <c r="DMB47" s="63"/>
      <c r="DMC47" s="63"/>
      <c r="DMD47" s="63"/>
      <c r="DME47" s="63"/>
      <c r="DMF47" s="63"/>
      <c r="DMG47" s="63"/>
      <c r="DMH47" s="63"/>
      <c r="DMI47" s="63"/>
      <c r="DMJ47" s="63"/>
      <c r="DMK47" s="63"/>
      <c r="DML47" s="63"/>
      <c r="DMM47" s="63"/>
      <c r="DMN47" s="63"/>
      <c r="DMO47" s="63"/>
      <c r="DMP47" s="63"/>
      <c r="DMQ47" s="63"/>
      <c r="DMR47" s="63"/>
      <c r="DMS47" s="63"/>
      <c r="DMT47" s="63"/>
      <c r="DMU47" s="63"/>
      <c r="DMV47" s="63"/>
      <c r="DMW47" s="63"/>
      <c r="DMX47" s="63"/>
      <c r="DMY47" s="63"/>
      <c r="DMZ47" s="63"/>
      <c r="DNA47" s="63"/>
      <c r="DNB47" s="63"/>
      <c r="DNC47" s="63"/>
      <c r="DND47" s="63"/>
      <c r="DNE47" s="63"/>
      <c r="DNF47" s="63"/>
      <c r="DNG47" s="63"/>
      <c r="DNH47" s="63"/>
      <c r="DNI47" s="63"/>
      <c r="DNJ47" s="63"/>
      <c r="DNK47" s="63"/>
      <c r="DNL47" s="63"/>
      <c r="DNM47" s="63"/>
      <c r="DNN47" s="63"/>
      <c r="DNO47" s="63"/>
      <c r="DNP47" s="63"/>
      <c r="DNQ47" s="63"/>
      <c r="DNR47" s="63"/>
      <c r="DNS47" s="63"/>
      <c r="DNT47" s="63"/>
      <c r="DNU47" s="63"/>
      <c r="DNV47" s="63"/>
      <c r="DNW47" s="63"/>
      <c r="DNX47" s="63"/>
      <c r="DNY47" s="63"/>
      <c r="DNZ47" s="63"/>
      <c r="DOA47" s="63"/>
      <c r="DOB47" s="63"/>
      <c r="DOC47" s="63"/>
      <c r="DOD47" s="63"/>
      <c r="DOE47" s="63"/>
      <c r="DOF47" s="63"/>
      <c r="DOG47" s="63"/>
      <c r="DOH47" s="63"/>
      <c r="DOI47" s="63"/>
      <c r="DOJ47" s="63"/>
      <c r="DOK47" s="63"/>
      <c r="DOL47" s="63"/>
      <c r="DOM47" s="63"/>
      <c r="DON47" s="63"/>
      <c r="DOO47" s="63"/>
      <c r="DOP47" s="63"/>
      <c r="DOQ47" s="63"/>
      <c r="DOR47" s="63"/>
      <c r="DOS47" s="63"/>
      <c r="DOT47" s="63"/>
      <c r="DOU47" s="63"/>
      <c r="DOV47" s="63"/>
      <c r="DOW47" s="63"/>
      <c r="DOX47" s="63"/>
      <c r="DOY47" s="63"/>
      <c r="DOZ47" s="63"/>
      <c r="DPA47" s="63"/>
      <c r="DPB47" s="63"/>
      <c r="DPC47" s="63"/>
      <c r="DPD47" s="63"/>
      <c r="DPE47" s="63"/>
      <c r="DPF47" s="63"/>
      <c r="DPG47" s="63"/>
      <c r="DPH47" s="63"/>
      <c r="DPI47" s="63"/>
      <c r="DPJ47" s="63"/>
      <c r="DPK47" s="63"/>
      <c r="DPL47" s="63"/>
      <c r="DPM47" s="63"/>
      <c r="DPN47" s="63"/>
      <c r="DPO47" s="63"/>
      <c r="DPP47" s="63"/>
      <c r="DPQ47" s="63"/>
      <c r="DPR47" s="63"/>
      <c r="DPS47" s="63"/>
      <c r="DPT47" s="63"/>
      <c r="DPU47" s="63"/>
      <c r="DPV47" s="63"/>
      <c r="DPW47" s="63"/>
      <c r="DPX47" s="63"/>
      <c r="DPY47" s="63"/>
      <c r="DPZ47" s="63"/>
      <c r="DQA47" s="63"/>
      <c r="DQB47" s="63"/>
      <c r="DQC47" s="63"/>
      <c r="DQD47" s="63"/>
      <c r="DQE47" s="63"/>
      <c r="DQF47" s="63"/>
      <c r="DQG47" s="63"/>
      <c r="DQH47" s="63"/>
      <c r="DQI47" s="63"/>
      <c r="DQJ47" s="63"/>
      <c r="DQK47" s="63"/>
      <c r="DQL47" s="63"/>
      <c r="DQM47" s="63"/>
      <c r="DQN47" s="63"/>
      <c r="DQO47" s="63"/>
      <c r="DQP47" s="63"/>
      <c r="DQQ47" s="63"/>
      <c r="DQR47" s="63"/>
      <c r="DQS47" s="63"/>
      <c r="DQT47" s="63"/>
      <c r="DQU47" s="63"/>
      <c r="DQV47" s="63"/>
      <c r="DQW47" s="63"/>
      <c r="DQX47" s="63"/>
      <c r="DQY47" s="63"/>
      <c r="DQZ47" s="63"/>
      <c r="DRA47" s="63"/>
      <c r="DRB47" s="63"/>
      <c r="DRC47" s="63"/>
      <c r="DRD47" s="63"/>
      <c r="DRE47" s="63"/>
      <c r="DRF47" s="63"/>
      <c r="DRG47" s="63"/>
      <c r="DRH47" s="63"/>
      <c r="DRI47" s="63"/>
      <c r="DRJ47" s="63"/>
      <c r="DRK47" s="63"/>
      <c r="DRL47" s="63"/>
      <c r="DRM47" s="63"/>
      <c r="DRN47" s="63"/>
      <c r="DRO47" s="63"/>
      <c r="DRP47" s="63"/>
      <c r="DRQ47" s="63"/>
      <c r="DRR47" s="63"/>
      <c r="DRS47" s="63"/>
      <c r="DRT47" s="63"/>
      <c r="DRU47" s="63"/>
      <c r="DRV47" s="63"/>
      <c r="DRW47" s="63"/>
      <c r="DRX47" s="63"/>
      <c r="DRY47" s="63"/>
      <c r="DRZ47" s="63"/>
      <c r="DSA47" s="63"/>
      <c r="DSB47" s="63"/>
      <c r="DSC47" s="63"/>
      <c r="DSD47" s="63"/>
      <c r="DSE47" s="63"/>
      <c r="DSF47" s="63"/>
      <c r="DSG47" s="63"/>
      <c r="DSH47" s="63"/>
      <c r="DSI47" s="63"/>
      <c r="DSJ47" s="63"/>
      <c r="DSK47" s="63"/>
      <c r="DSL47" s="63"/>
      <c r="DSM47" s="63"/>
      <c r="DSN47" s="63"/>
      <c r="DSO47" s="63"/>
      <c r="DSP47" s="63"/>
      <c r="DSQ47" s="63"/>
      <c r="DSR47" s="63"/>
      <c r="DSS47" s="63"/>
      <c r="DST47" s="63"/>
      <c r="DSU47" s="63"/>
      <c r="DSV47" s="63"/>
      <c r="DSW47" s="63"/>
      <c r="DSX47" s="63"/>
      <c r="DSY47" s="63"/>
      <c r="DSZ47" s="63"/>
      <c r="DTA47" s="63"/>
      <c r="DTB47" s="63"/>
      <c r="DTC47" s="63"/>
      <c r="DTD47" s="63"/>
      <c r="DTE47" s="63"/>
      <c r="DTF47" s="63"/>
      <c r="DTG47" s="63"/>
      <c r="DTH47" s="63"/>
      <c r="DTI47" s="63"/>
      <c r="DTJ47" s="63"/>
      <c r="DTK47" s="63"/>
      <c r="DTL47" s="63"/>
      <c r="DTM47" s="63"/>
      <c r="DTN47" s="63"/>
      <c r="DTO47" s="63"/>
      <c r="DTP47" s="63"/>
      <c r="DTQ47" s="63"/>
      <c r="DTR47" s="63"/>
      <c r="DTS47" s="63"/>
      <c r="DTT47" s="63"/>
      <c r="DTU47" s="63"/>
      <c r="DTV47" s="63"/>
      <c r="DTW47" s="63"/>
      <c r="DTX47" s="63"/>
      <c r="DTY47" s="63"/>
      <c r="DTZ47" s="63"/>
      <c r="DUA47" s="63"/>
      <c r="DUB47" s="63"/>
      <c r="DUC47" s="63"/>
      <c r="DUD47" s="63"/>
      <c r="DUE47" s="63"/>
      <c r="DUF47" s="63"/>
      <c r="DUG47" s="63"/>
      <c r="DUH47" s="63"/>
      <c r="DUI47" s="63"/>
      <c r="DUJ47" s="63"/>
      <c r="DUK47" s="63"/>
      <c r="DUL47" s="63"/>
      <c r="DUM47" s="63"/>
      <c r="DUN47" s="63"/>
      <c r="DUO47" s="63"/>
      <c r="DUP47" s="63"/>
      <c r="DUQ47" s="63"/>
      <c r="DUR47" s="63"/>
      <c r="DUS47" s="63"/>
      <c r="DUT47" s="63"/>
      <c r="DUU47" s="63"/>
      <c r="DUV47" s="63"/>
      <c r="DUW47" s="63"/>
      <c r="DUX47" s="63"/>
      <c r="DUY47" s="63"/>
      <c r="DUZ47" s="63"/>
      <c r="DVA47" s="63"/>
      <c r="DVB47" s="63"/>
      <c r="DVC47" s="63"/>
      <c r="DVD47" s="63"/>
      <c r="DVE47" s="63"/>
      <c r="DVF47" s="63"/>
      <c r="DVG47" s="63"/>
      <c r="DVH47" s="63"/>
      <c r="DVI47" s="63"/>
      <c r="DVJ47" s="63"/>
      <c r="DVK47" s="63"/>
      <c r="DVL47" s="63"/>
      <c r="DVM47" s="63"/>
      <c r="DVN47" s="63"/>
      <c r="DVO47" s="63"/>
      <c r="DVP47" s="63"/>
      <c r="DVQ47" s="63"/>
      <c r="DVR47" s="63"/>
      <c r="DVS47" s="63"/>
      <c r="DVT47" s="63"/>
      <c r="DVU47" s="63"/>
      <c r="DVV47" s="63"/>
      <c r="DVW47" s="63"/>
      <c r="DVX47" s="63"/>
      <c r="DVY47" s="63"/>
      <c r="DVZ47" s="63"/>
      <c r="DWA47" s="63"/>
      <c r="DWB47" s="63"/>
      <c r="DWC47" s="63"/>
      <c r="DWD47" s="63"/>
      <c r="DWE47" s="63"/>
      <c r="DWF47" s="63"/>
      <c r="DWG47" s="63"/>
      <c r="DWH47" s="63"/>
      <c r="DWI47" s="63"/>
      <c r="DWJ47" s="63"/>
      <c r="DWK47" s="63"/>
      <c r="DWL47" s="63"/>
      <c r="DWM47" s="63"/>
      <c r="DWN47" s="63"/>
      <c r="DWO47" s="63"/>
      <c r="DWP47" s="63"/>
      <c r="DWQ47" s="63"/>
      <c r="DWR47" s="63"/>
      <c r="DWS47" s="63"/>
      <c r="DWT47" s="63"/>
      <c r="DWU47" s="63"/>
      <c r="DWV47" s="63"/>
      <c r="DWW47" s="63"/>
      <c r="DWX47" s="63"/>
      <c r="DWY47" s="63"/>
      <c r="DWZ47" s="63"/>
      <c r="DXA47" s="63"/>
      <c r="DXB47" s="63"/>
      <c r="DXC47" s="63"/>
      <c r="DXD47" s="63"/>
      <c r="DXE47" s="63"/>
      <c r="DXF47" s="63"/>
      <c r="DXG47" s="63"/>
      <c r="DXH47" s="63"/>
      <c r="DXI47" s="63"/>
      <c r="DXJ47" s="63"/>
      <c r="DXK47" s="63"/>
      <c r="DXL47" s="63"/>
      <c r="DXM47" s="63"/>
      <c r="DXN47" s="63"/>
      <c r="DXO47" s="63"/>
      <c r="DXP47" s="63"/>
      <c r="DXQ47" s="63"/>
      <c r="DXR47" s="63"/>
      <c r="DXS47" s="63"/>
      <c r="DXT47" s="63"/>
      <c r="DXU47" s="63"/>
      <c r="DXV47" s="63"/>
      <c r="DXW47" s="63"/>
      <c r="DXX47" s="63"/>
      <c r="DXY47" s="63"/>
      <c r="DXZ47" s="63"/>
      <c r="DYA47" s="63"/>
      <c r="DYB47" s="63"/>
      <c r="DYC47" s="63"/>
      <c r="DYD47" s="63"/>
      <c r="DYE47" s="63"/>
      <c r="DYF47" s="63"/>
      <c r="DYG47" s="63"/>
      <c r="DYH47" s="63"/>
      <c r="DYI47" s="63"/>
      <c r="DYJ47" s="63"/>
      <c r="DYK47" s="63"/>
      <c r="DYL47" s="63"/>
      <c r="DYM47" s="63"/>
      <c r="DYN47" s="63"/>
      <c r="DYO47" s="63"/>
      <c r="DYP47" s="63"/>
      <c r="DYQ47" s="63"/>
      <c r="DYR47" s="63"/>
      <c r="DYS47" s="63"/>
      <c r="DYT47" s="63"/>
      <c r="DYU47" s="63"/>
      <c r="DYV47" s="63"/>
      <c r="DYW47" s="63"/>
      <c r="DYX47" s="63"/>
      <c r="DYY47" s="63"/>
      <c r="DYZ47" s="63"/>
      <c r="DZA47" s="63"/>
      <c r="DZB47" s="63"/>
      <c r="DZC47" s="63"/>
      <c r="DZD47" s="63"/>
      <c r="DZE47" s="63"/>
      <c r="DZF47" s="63"/>
      <c r="DZG47" s="63"/>
      <c r="DZH47" s="63"/>
      <c r="DZI47" s="63"/>
      <c r="DZJ47" s="63"/>
      <c r="DZK47" s="63"/>
      <c r="DZL47" s="63"/>
      <c r="DZM47" s="63"/>
      <c r="DZN47" s="63"/>
      <c r="DZO47" s="63"/>
      <c r="DZP47" s="63"/>
      <c r="DZQ47" s="63"/>
      <c r="DZR47" s="63"/>
      <c r="DZS47" s="63"/>
      <c r="DZT47" s="63"/>
      <c r="DZU47" s="63"/>
      <c r="DZV47" s="63"/>
      <c r="DZW47" s="63"/>
      <c r="DZX47" s="63"/>
      <c r="DZY47" s="63"/>
      <c r="DZZ47" s="63"/>
      <c r="EAA47" s="63"/>
      <c r="EAB47" s="63"/>
      <c r="EAC47" s="63"/>
      <c r="EAD47" s="63"/>
      <c r="EAE47" s="63"/>
      <c r="EAF47" s="63"/>
      <c r="EAG47" s="63"/>
      <c r="EAH47" s="63"/>
      <c r="EAI47" s="63"/>
      <c r="EAJ47" s="63"/>
      <c r="EAK47" s="63"/>
      <c r="EAL47" s="63"/>
      <c r="EAM47" s="63"/>
      <c r="EAN47" s="63"/>
      <c r="EAO47" s="63"/>
      <c r="EAP47" s="63"/>
      <c r="EAQ47" s="63"/>
      <c r="EAR47" s="63"/>
      <c r="EAS47" s="63"/>
      <c r="EAT47" s="63"/>
      <c r="EAU47" s="63"/>
      <c r="EAV47" s="63"/>
      <c r="EAW47" s="63"/>
      <c r="EAX47" s="63"/>
      <c r="EAY47" s="63"/>
      <c r="EAZ47" s="63"/>
      <c r="EBA47" s="63"/>
      <c r="EBB47" s="63"/>
      <c r="EBC47" s="63"/>
      <c r="EBD47" s="63"/>
      <c r="EBE47" s="63"/>
      <c r="EBF47" s="63"/>
      <c r="EBG47" s="63"/>
      <c r="EBH47" s="63"/>
      <c r="EBI47" s="63"/>
      <c r="EBJ47" s="63"/>
      <c r="EBK47" s="63"/>
      <c r="EBL47" s="63"/>
      <c r="EBM47" s="63"/>
      <c r="EBN47" s="63"/>
      <c r="EBO47" s="63"/>
      <c r="EBP47" s="63"/>
      <c r="EBQ47" s="63"/>
      <c r="EBR47" s="63"/>
      <c r="EBS47" s="63"/>
      <c r="EBT47" s="63"/>
      <c r="EBU47" s="63"/>
      <c r="EBV47" s="63"/>
      <c r="EBW47" s="63"/>
      <c r="EBX47" s="63"/>
      <c r="EBY47" s="63"/>
      <c r="EBZ47" s="63"/>
      <c r="ECA47" s="63"/>
      <c r="ECB47" s="63"/>
      <c r="ECC47" s="63"/>
      <c r="ECD47" s="63"/>
      <c r="ECE47" s="63"/>
      <c r="ECF47" s="63"/>
      <c r="ECG47" s="63"/>
      <c r="ECH47" s="63"/>
      <c r="ECI47" s="63"/>
      <c r="ECJ47" s="63"/>
      <c r="ECK47" s="63"/>
      <c r="ECL47" s="63"/>
      <c r="ECM47" s="63"/>
      <c r="ECN47" s="63"/>
      <c r="ECO47" s="63"/>
      <c r="ECP47" s="63"/>
      <c r="ECQ47" s="63"/>
      <c r="ECR47" s="63"/>
      <c r="ECS47" s="63"/>
      <c r="ECT47" s="63"/>
      <c r="ECU47" s="63"/>
      <c r="ECV47" s="63"/>
      <c r="ECW47" s="63"/>
      <c r="ECX47" s="63"/>
      <c r="ECY47" s="63"/>
      <c r="ECZ47" s="63"/>
      <c r="EDA47" s="63"/>
      <c r="EDB47" s="63"/>
      <c r="EDC47" s="63"/>
      <c r="EDD47" s="63"/>
      <c r="EDE47" s="63"/>
      <c r="EDF47" s="63"/>
      <c r="EDG47" s="63"/>
      <c r="EDH47" s="63"/>
      <c r="EDI47" s="63"/>
      <c r="EDJ47" s="63"/>
      <c r="EDK47" s="63"/>
      <c r="EDL47" s="63"/>
      <c r="EDM47" s="63"/>
      <c r="EDN47" s="63"/>
      <c r="EDO47" s="63"/>
      <c r="EDP47" s="63"/>
      <c r="EDQ47" s="63"/>
      <c r="EDR47" s="63"/>
      <c r="EDS47" s="63"/>
      <c r="EDT47" s="63"/>
      <c r="EDU47" s="63"/>
      <c r="EDV47" s="63"/>
      <c r="EDW47" s="63"/>
      <c r="EDX47" s="63"/>
      <c r="EDY47" s="63"/>
      <c r="EDZ47" s="63"/>
      <c r="EEA47" s="63"/>
      <c r="EEB47" s="63"/>
      <c r="EEC47" s="63"/>
      <c r="EED47" s="63"/>
      <c r="EEE47" s="63"/>
      <c r="EEF47" s="63"/>
      <c r="EEG47" s="63"/>
      <c r="EEH47" s="63"/>
      <c r="EEI47" s="63"/>
      <c r="EEJ47" s="63"/>
      <c r="EEK47" s="63"/>
      <c r="EEL47" s="63"/>
      <c r="EEM47" s="63"/>
      <c r="EEN47" s="63"/>
      <c r="EEO47" s="63"/>
      <c r="EEP47" s="63"/>
      <c r="EEQ47" s="63"/>
      <c r="EER47" s="63"/>
      <c r="EES47" s="63"/>
      <c r="EET47" s="63"/>
      <c r="EEU47" s="63"/>
      <c r="EEV47" s="63"/>
      <c r="EEW47" s="63"/>
      <c r="EEX47" s="63"/>
      <c r="EEY47" s="63"/>
      <c r="EEZ47" s="63"/>
      <c r="EFA47" s="63"/>
      <c r="EFB47" s="63"/>
      <c r="EFC47" s="63"/>
      <c r="EFD47" s="63"/>
      <c r="EFE47" s="63"/>
      <c r="EFF47" s="63"/>
      <c r="EFG47" s="63"/>
      <c r="EFH47" s="63"/>
      <c r="EFI47" s="63"/>
      <c r="EFJ47" s="63"/>
      <c r="EFK47" s="63"/>
      <c r="EFL47" s="63"/>
      <c r="EFM47" s="63"/>
      <c r="EFN47" s="63"/>
      <c r="EFO47" s="63"/>
      <c r="EFP47" s="63"/>
      <c r="EFQ47" s="63"/>
      <c r="EFR47" s="63"/>
      <c r="EFS47" s="63"/>
      <c r="EFT47" s="63"/>
      <c r="EFU47" s="63"/>
      <c r="EFV47" s="63"/>
      <c r="EFW47" s="63"/>
      <c r="EFX47" s="63"/>
      <c r="EFY47" s="63"/>
      <c r="EFZ47" s="63"/>
      <c r="EGA47" s="63"/>
      <c r="EGB47" s="63"/>
      <c r="EGC47" s="63"/>
      <c r="EGD47" s="63"/>
      <c r="EGE47" s="63"/>
      <c r="EGF47" s="63"/>
      <c r="EGG47" s="63"/>
      <c r="EGH47" s="63"/>
      <c r="EGI47" s="63"/>
      <c r="EGJ47" s="63"/>
      <c r="EGK47" s="63"/>
      <c r="EGL47" s="63"/>
      <c r="EGM47" s="63"/>
      <c r="EGN47" s="63"/>
      <c r="EGO47" s="63"/>
      <c r="EGP47" s="63"/>
      <c r="EGQ47" s="63"/>
      <c r="EGR47" s="63"/>
      <c r="EGS47" s="63"/>
      <c r="EGT47" s="63"/>
      <c r="EGU47" s="63"/>
      <c r="EGV47" s="63"/>
      <c r="EGW47" s="63"/>
      <c r="EGX47" s="63"/>
      <c r="EGY47" s="63"/>
      <c r="EGZ47" s="63"/>
      <c r="EHA47" s="63"/>
      <c r="EHB47" s="63"/>
      <c r="EHC47" s="63"/>
      <c r="EHD47" s="63"/>
      <c r="EHE47" s="63"/>
      <c r="EHF47" s="63"/>
      <c r="EHG47" s="63"/>
      <c r="EHH47" s="63"/>
      <c r="EHI47" s="63"/>
      <c r="EHJ47" s="63"/>
      <c r="EHK47" s="63"/>
      <c r="EHL47" s="63"/>
      <c r="EHM47" s="63"/>
      <c r="EHN47" s="63"/>
      <c r="EHO47" s="63"/>
      <c r="EHP47" s="63"/>
      <c r="EHQ47" s="63"/>
      <c r="EHR47" s="63"/>
      <c r="EHS47" s="63"/>
      <c r="EHT47" s="63"/>
      <c r="EHU47" s="63"/>
      <c r="EHV47" s="63"/>
      <c r="EHW47" s="63"/>
      <c r="EHX47" s="63"/>
      <c r="EHY47" s="63"/>
      <c r="EHZ47" s="63"/>
      <c r="EIA47" s="63"/>
      <c r="EIB47" s="63"/>
      <c r="EIC47" s="63"/>
      <c r="EID47" s="63"/>
      <c r="EIE47" s="63"/>
      <c r="EIF47" s="63"/>
      <c r="EIG47" s="63"/>
      <c r="EIH47" s="63"/>
      <c r="EII47" s="63"/>
      <c r="EIJ47" s="63"/>
      <c r="EIK47" s="63"/>
      <c r="EIL47" s="63"/>
      <c r="EIM47" s="63"/>
      <c r="EIN47" s="63"/>
      <c r="EIO47" s="63"/>
      <c r="EIP47" s="63"/>
      <c r="EIQ47" s="63"/>
      <c r="EIR47" s="63"/>
      <c r="EIS47" s="63"/>
      <c r="EIT47" s="63"/>
      <c r="EIU47" s="63"/>
      <c r="EIV47" s="63"/>
      <c r="EIW47" s="63"/>
      <c r="EIX47" s="63"/>
      <c r="EIY47" s="63"/>
      <c r="EIZ47" s="63"/>
      <c r="EJA47" s="63"/>
      <c r="EJB47" s="63"/>
      <c r="EJC47" s="63"/>
      <c r="EJD47" s="63"/>
      <c r="EJE47" s="63"/>
      <c r="EJF47" s="63"/>
      <c r="EJG47" s="63"/>
      <c r="EJH47" s="63"/>
      <c r="EJI47" s="63"/>
      <c r="EJJ47" s="63"/>
      <c r="EJK47" s="63"/>
      <c r="EJL47" s="63"/>
      <c r="EJM47" s="63"/>
      <c r="EJN47" s="63"/>
      <c r="EJO47" s="63"/>
      <c r="EJP47" s="63"/>
      <c r="EJQ47" s="63"/>
      <c r="EJR47" s="63"/>
      <c r="EJS47" s="63"/>
      <c r="EJT47" s="63"/>
      <c r="EJU47" s="63"/>
      <c r="EJV47" s="63"/>
      <c r="EJW47" s="63"/>
      <c r="EJX47" s="63"/>
      <c r="EJY47" s="63"/>
      <c r="EJZ47" s="63"/>
      <c r="EKA47" s="63"/>
      <c r="EKB47" s="63"/>
      <c r="EKC47" s="63"/>
      <c r="EKD47" s="63"/>
      <c r="EKE47" s="63"/>
      <c r="EKF47" s="63"/>
      <c r="EKG47" s="63"/>
      <c r="EKH47" s="63"/>
      <c r="EKI47" s="63"/>
      <c r="EKJ47" s="63"/>
      <c r="EKK47" s="63"/>
      <c r="EKL47" s="63"/>
      <c r="EKM47" s="63"/>
      <c r="EKN47" s="63"/>
      <c r="EKO47" s="63"/>
      <c r="EKP47" s="63"/>
      <c r="EKQ47" s="63"/>
      <c r="EKR47" s="63"/>
      <c r="EKS47" s="63"/>
      <c r="EKT47" s="63"/>
      <c r="EKU47" s="63"/>
      <c r="EKV47" s="63"/>
      <c r="EKW47" s="63"/>
      <c r="EKX47" s="63"/>
      <c r="EKY47" s="63"/>
      <c r="EKZ47" s="63"/>
      <c r="ELA47" s="63"/>
      <c r="ELB47" s="63"/>
      <c r="ELC47" s="63"/>
      <c r="ELD47" s="63"/>
      <c r="ELE47" s="63"/>
      <c r="ELF47" s="63"/>
      <c r="ELG47" s="63"/>
      <c r="ELH47" s="63"/>
      <c r="ELI47" s="63"/>
      <c r="ELJ47" s="63"/>
      <c r="ELK47" s="63"/>
      <c r="ELL47" s="63"/>
      <c r="ELM47" s="63"/>
      <c r="ELN47" s="63"/>
      <c r="ELO47" s="63"/>
      <c r="ELP47" s="63"/>
      <c r="ELQ47" s="63"/>
      <c r="ELR47" s="63"/>
      <c r="ELS47" s="63"/>
      <c r="ELT47" s="63"/>
      <c r="ELU47" s="63"/>
      <c r="ELV47" s="63"/>
      <c r="ELW47" s="63"/>
      <c r="ELX47" s="63"/>
      <c r="ELY47" s="63"/>
      <c r="ELZ47" s="63"/>
      <c r="EMA47" s="63"/>
      <c r="EMB47" s="63"/>
      <c r="EMC47" s="63"/>
      <c r="EMD47" s="63"/>
      <c r="EME47" s="63"/>
      <c r="EMF47" s="63"/>
      <c r="EMG47" s="63"/>
      <c r="EMH47" s="63"/>
      <c r="EMI47" s="63"/>
      <c r="EMJ47" s="63"/>
      <c r="EMK47" s="63"/>
      <c r="EML47" s="63"/>
      <c r="EMM47" s="63"/>
      <c r="EMN47" s="63"/>
      <c r="EMO47" s="63"/>
      <c r="EMP47" s="63"/>
      <c r="EMQ47" s="63"/>
      <c r="EMR47" s="63"/>
      <c r="EMS47" s="63"/>
      <c r="EMT47" s="63"/>
      <c r="EMU47" s="63"/>
      <c r="EMV47" s="63"/>
      <c r="EMW47" s="63"/>
      <c r="EMX47" s="63"/>
      <c r="EMY47" s="63"/>
      <c r="EMZ47" s="63"/>
      <c r="ENA47" s="63"/>
      <c r="ENB47" s="63"/>
      <c r="ENC47" s="63"/>
      <c r="END47" s="63"/>
      <c r="ENE47" s="63"/>
      <c r="ENF47" s="63"/>
      <c r="ENG47" s="63"/>
      <c r="ENH47" s="63"/>
      <c r="ENI47" s="63"/>
      <c r="ENJ47" s="63"/>
      <c r="ENK47" s="63"/>
      <c r="ENL47" s="63"/>
      <c r="ENM47" s="63"/>
      <c r="ENN47" s="63"/>
      <c r="ENO47" s="63"/>
      <c r="ENP47" s="63"/>
      <c r="ENQ47" s="63"/>
      <c r="ENR47" s="63"/>
      <c r="ENS47" s="63"/>
      <c r="ENT47" s="63"/>
      <c r="ENU47" s="63"/>
      <c r="ENV47" s="63"/>
      <c r="ENW47" s="63"/>
      <c r="ENX47" s="63"/>
      <c r="ENY47" s="63"/>
      <c r="ENZ47" s="63"/>
      <c r="EOA47" s="63"/>
      <c r="EOB47" s="63"/>
      <c r="EOC47" s="63"/>
      <c r="EOD47" s="63"/>
      <c r="EOE47" s="63"/>
      <c r="EOF47" s="63"/>
      <c r="EOG47" s="63"/>
      <c r="EOH47" s="63"/>
      <c r="EOI47" s="63"/>
      <c r="EOJ47" s="63"/>
      <c r="EOK47" s="63"/>
      <c r="EOL47" s="63"/>
      <c r="EOM47" s="63"/>
      <c r="EON47" s="63"/>
      <c r="EOO47" s="63"/>
      <c r="EOP47" s="63"/>
      <c r="EOQ47" s="63"/>
      <c r="EOR47" s="63"/>
      <c r="EOS47" s="63"/>
      <c r="EOT47" s="63"/>
      <c r="EOU47" s="63"/>
      <c r="EOV47" s="63"/>
      <c r="EOW47" s="63"/>
      <c r="EOX47" s="63"/>
      <c r="EOY47" s="63"/>
      <c r="EOZ47" s="63"/>
      <c r="EPA47" s="63"/>
      <c r="EPB47" s="63"/>
      <c r="EPC47" s="63"/>
      <c r="EPD47" s="63"/>
      <c r="EPE47" s="63"/>
      <c r="EPF47" s="63"/>
      <c r="EPG47" s="63"/>
      <c r="EPH47" s="63"/>
      <c r="EPI47" s="63"/>
      <c r="EPJ47" s="63"/>
      <c r="EPK47" s="63"/>
      <c r="EPL47" s="63"/>
      <c r="EPM47" s="63"/>
      <c r="EPN47" s="63"/>
      <c r="EPO47" s="63"/>
      <c r="EPP47" s="63"/>
      <c r="EPQ47" s="63"/>
      <c r="EPR47" s="63"/>
      <c r="EPS47" s="63"/>
      <c r="EPT47" s="63"/>
      <c r="EPU47" s="63"/>
      <c r="EPV47" s="63"/>
      <c r="EPW47" s="63"/>
      <c r="EPX47" s="63"/>
      <c r="EPY47" s="63"/>
      <c r="EPZ47" s="63"/>
      <c r="EQA47" s="63"/>
      <c r="EQB47" s="63"/>
      <c r="EQC47" s="63"/>
      <c r="EQD47" s="63"/>
      <c r="EQE47" s="63"/>
      <c r="EQF47" s="63"/>
      <c r="EQG47" s="63"/>
      <c r="EQH47" s="63"/>
      <c r="EQI47" s="63"/>
      <c r="EQJ47" s="63"/>
      <c r="EQK47" s="63"/>
      <c r="EQL47" s="63"/>
      <c r="EQM47" s="63"/>
      <c r="EQN47" s="63"/>
      <c r="EQO47" s="63"/>
      <c r="EQP47" s="63"/>
      <c r="EQQ47" s="63"/>
      <c r="EQR47" s="63"/>
      <c r="EQS47" s="63"/>
      <c r="EQT47" s="63"/>
      <c r="EQU47" s="63"/>
      <c r="EQV47" s="63"/>
      <c r="EQW47" s="63"/>
      <c r="EQX47" s="63"/>
      <c r="EQY47" s="63"/>
      <c r="EQZ47" s="63"/>
      <c r="ERA47" s="63"/>
      <c r="ERB47" s="63"/>
      <c r="ERC47" s="63"/>
      <c r="ERD47" s="63"/>
      <c r="ERE47" s="63"/>
      <c r="ERF47" s="63"/>
      <c r="ERG47" s="63"/>
      <c r="ERH47" s="63"/>
      <c r="ERI47" s="63"/>
      <c r="ERJ47" s="63"/>
      <c r="ERK47" s="63"/>
      <c r="ERL47" s="63"/>
      <c r="ERM47" s="63"/>
      <c r="ERN47" s="63"/>
      <c r="ERO47" s="63"/>
      <c r="ERP47" s="63"/>
      <c r="ERQ47" s="63"/>
      <c r="ERR47" s="63"/>
      <c r="ERS47" s="63"/>
      <c r="ERT47" s="63"/>
      <c r="ERU47" s="63"/>
      <c r="ERV47" s="63"/>
      <c r="ERW47" s="63"/>
      <c r="ERX47" s="63"/>
      <c r="ERY47" s="63"/>
      <c r="ERZ47" s="63"/>
      <c r="ESA47" s="63"/>
      <c r="ESB47" s="63"/>
      <c r="ESC47" s="63"/>
      <c r="ESD47" s="63"/>
      <c r="ESE47" s="63"/>
      <c r="ESF47" s="63"/>
      <c r="ESG47" s="63"/>
      <c r="ESH47" s="63"/>
      <c r="ESI47" s="63"/>
      <c r="ESJ47" s="63"/>
      <c r="ESK47" s="63"/>
      <c r="ESL47" s="63"/>
      <c r="ESM47" s="63"/>
      <c r="ESN47" s="63"/>
      <c r="ESO47" s="63"/>
      <c r="ESP47" s="63"/>
      <c r="ESQ47" s="63"/>
      <c r="ESR47" s="63"/>
      <c r="ESS47" s="63"/>
      <c r="EST47" s="63"/>
      <c r="ESU47" s="63"/>
      <c r="ESV47" s="63"/>
      <c r="ESW47" s="63"/>
      <c r="ESX47" s="63"/>
      <c r="ESY47" s="63"/>
      <c r="ESZ47" s="63"/>
      <c r="ETA47" s="63"/>
      <c r="ETB47" s="63"/>
      <c r="ETC47" s="63"/>
      <c r="ETD47" s="63"/>
      <c r="ETE47" s="63"/>
      <c r="ETF47" s="63"/>
      <c r="ETG47" s="63"/>
      <c r="ETH47" s="63"/>
      <c r="ETI47" s="63"/>
      <c r="ETJ47" s="63"/>
      <c r="ETK47" s="63"/>
      <c r="ETL47" s="63"/>
      <c r="ETM47" s="63"/>
      <c r="ETN47" s="63"/>
      <c r="ETO47" s="63"/>
      <c r="ETP47" s="63"/>
      <c r="ETQ47" s="63"/>
      <c r="ETR47" s="63"/>
      <c r="ETS47" s="63"/>
      <c r="ETT47" s="63"/>
      <c r="ETU47" s="63"/>
      <c r="ETV47" s="63"/>
      <c r="ETW47" s="63"/>
      <c r="ETX47" s="63"/>
      <c r="ETY47" s="63"/>
      <c r="ETZ47" s="63"/>
      <c r="EUA47" s="63"/>
      <c r="EUB47" s="63"/>
      <c r="EUC47" s="63"/>
      <c r="EUD47" s="63"/>
      <c r="EUE47" s="63"/>
      <c r="EUF47" s="63"/>
      <c r="EUG47" s="63"/>
      <c r="EUH47" s="63"/>
      <c r="EUI47" s="63"/>
      <c r="EUJ47" s="63"/>
      <c r="EUK47" s="63"/>
      <c r="EUL47" s="63"/>
      <c r="EUM47" s="63"/>
      <c r="EUN47" s="63"/>
      <c r="EUO47" s="63"/>
      <c r="EUP47" s="63"/>
      <c r="EUQ47" s="63"/>
      <c r="EUR47" s="63"/>
      <c r="EUS47" s="63"/>
      <c r="EUT47" s="63"/>
      <c r="EUU47" s="63"/>
      <c r="EUV47" s="63"/>
      <c r="EUW47" s="63"/>
      <c r="EUX47" s="63"/>
      <c r="EUY47" s="63"/>
      <c r="EUZ47" s="63"/>
      <c r="EVA47" s="63"/>
      <c r="EVB47" s="63"/>
      <c r="EVC47" s="63"/>
      <c r="EVD47" s="63"/>
      <c r="EVE47" s="63"/>
      <c r="EVF47" s="63"/>
      <c r="EVG47" s="63"/>
      <c r="EVH47" s="63"/>
      <c r="EVI47" s="63"/>
      <c r="EVJ47" s="63"/>
      <c r="EVK47" s="63"/>
      <c r="EVL47" s="63"/>
      <c r="EVM47" s="63"/>
      <c r="EVN47" s="63"/>
      <c r="EVO47" s="63"/>
      <c r="EVP47" s="63"/>
      <c r="EVQ47" s="63"/>
      <c r="EVR47" s="63"/>
      <c r="EVS47" s="63"/>
      <c r="EVT47" s="63"/>
      <c r="EVU47" s="63"/>
      <c r="EVV47" s="63"/>
      <c r="EVW47" s="63"/>
      <c r="EVX47" s="63"/>
      <c r="EVY47" s="63"/>
      <c r="EVZ47" s="63"/>
      <c r="EWA47" s="63"/>
      <c r="EWB47" s="63"/>
      <c r="EWC47" s="63"/>
      <c r="EWD47" s="63"/>
      <c r="EWE47" s="63"/>
      <c r="EWF47" s="63"/>
      <c r="EWG47" s="63"/>
      <c r="EWH47" s="63"/>
      <c r="EWI47" s="63"/>
      <c r="EWJ47" s="63"/>
      <c r="EWK47" s="63"/>
      <c r="EWL47" s="63"/>
      <c r="EWM47" s="63"/>
      <c r="EWN47" s="63"/>
      <c r="EWO47" s="63"/>
      <c r="EWP47" s="63"/>
      <c r="EWQ47" s="63"/>
      <c r="EWR47" s="63"/>
      <c r="EWS47" s="63"/>
      <c r="EWT47" s="63"/>
      <c r="EWU47" s="63"/>
      <c r="EWV47" s="63"/>
      <c r="EWW47" s="63"/>
      <c r="EWX47" s="63"/>
      <c r="EWY47" s="63"/>
      <c r="EWZ47" s="63"/>
      <c r="EXA47" s="63"/>
      <c r="EXB47" s="63"/>
      <c r="EXC47" s="63"/>
      <c r="EXD47" s="63"/>
      <c r="EXE47" s="63"/>
      <c r="EXF47" s="63"/>
      <c r="EXG47" s="63"/>
      <c r="EXH47" s="63"/>
      <c r="EXI47" s="63"/>
      <c r="EXJ47" s="63"/>
      <c r="EXK47" s="63"/>
      <c r="EXL47" s="63"/>
      <c r="EXM47" s="63"/>
      <c r="EXN47" s="63"/>
      <c r="EXO47" s="63"/>
      <c r="EXP47" s="63"/>
      <c r="EXQ47" s="63"/>
      <c r="EXR47" s="63"/>
      <c r="EXS47" s="63"/>
      <c r="EXT47" s="63"/>
      <c r="EXU47" s="63"/>
      <c r="EXV47" s="63"/>
      <c r="EXW47" s="63"/>
      <c r="EXX47" s="63"/>
      <c r="EXY47" s="63"/>
      <c r="EXZ47" s="63"/>
      <c r="EYA47" s="63"/>
      <c r="EYB47" s="63"/>
      <c r="EYC47" s="63"/>
      <c r="EYD47" s="63"/>
      <c r="EYE47" s="63"/>
      <c r="EYF47" s="63"/>
      <c r="EYG47" s="63"/>
      <c r="EYH47" s="63"/>
      <c r="EYI47" s="63"/>
      <c r="EYJ47" s="63"/>
      <c r="EYK47" s="63"/>
      <c r="EYL47" s="63"/>
      <c r="EYM47" s="63"/>
      <c r="EYN47" s="63"/>
      <c r="EYO47" s="63"/>
      <c r="EYP47" s="63"/>
      <c r="EYQ47" s="63"/>
      <c r="EYR47" s="63"/>
      <c r="EYS47" s="63"/>
      <c r="EYT47" s="63"/>
      <c r="EYU47" s="63"/>
      <c r="EYV47" s="63"/>
      <c r="EYW47" s="63"/>
      <c r="EYX47" s="63"/>
      <c r="EYY47" s="63"/>
      <c r="EYZ47" s="63"/>
      <c r="EZA47" s="63"/>
      <c r="EZB47" s="63"/>
      <c r="EZC47" s="63"/>
      <c r="EZD47" s="63"/>
      <c r="EZE47" s="63"/>
      <c r="EZF47" s="63"/>
      <c r="EZG47" s="63"/>
      <c r="EZH47" s="63"/>
      <c r="EZI47" s="63"/>
      <c r="EZJ47" s="63"/>
      <c r="EZK47" s="63"/>
      <c r="EZL47" s="63"/>
      <c r="EZM47" s="63"/>
      <c r="EZN47" s="63"/>
      <c r="EZO47" s="63"/>
      <c r="EZP47" s="63"/>
      <c r="EZQ47" s="63"/>
      <c r="EZR47" s="63"/>
      <c r="EZS47" s="63"/>
      <c r="EZT47" s="63"/>
      <c r="EZU47" s="63"/>
      <c r="EZV47" s="63"/>
      <c r="EZW47" s="63"/>
      <c r="EZX47" s="63"/>
      <c r="EZY47" s="63"/>
      <c r="EZZ47" s="63"/>
      <c r="FAA47" s="63"/>
      <c r="FAB47" s="63"/>
      <c r="FAC47" s="63"/>
      <c r="FAD47" s="63"/>
      <c r="FAE47" s="63"/>
      <c r="FAF47" s="63"/>
      <c r="FAG47" s="63"/>
      <c r="FAH47" s="63"/>
      <c r="FAI47" s="63"/>
      <c r="FAJ47" s="63"/>
      <c r="FAK47" s="63"/>
      <c r="FAL47" s="63"/>
      <c r="FAM47" s="63"/>
      <c r="FAN47" s="63"/>
      <c r="FAO47" s="63"/>
      <c r="FAP47" s="63"/>
      <c r="FAQ47" s="63"/>
      <c r="FAR47" s="63"/>
      <c r="FAS47" s="63"/>
      <c r="FAT47" s="63"/>
      <c r="FAU47" s="63"/>
      <c r="FAV47" s="63"/>
      <c r="FAW47" s="63"/>
      <c r="FAX47" s="63"/>
      <c r="FAY47" s="63"/>
      <c r="FAZ47" s="63"/>
      <c r="FBA47" s="63"/>
      <c r="FBB47" s="63"/>
      <c r="FBC47" s="63"/>
      <c r="FBD47" s="63"/>
      <c r="FBE47" s="63"/>
      <c r="FBF47" s="63"/>
      <c r="FBG47" s="63"/>
      <c r="FBH47" s="63"/>
      <c r="FBI47" s="63"/>
      <c r="FBJ47" s="63"/>
      <c r="FBK47" s="63"/>
      <c r="FBL47" s="63"/>
      <c r="FBM47" s="63"/>
      <c r="FBN47" s="63"/>
      <c r="FBO47" s="63"/>
      <c r="FBP47" s="63"/>
      <c r="FBQ47" s="63"/>
      <c r="FBR47" s="63"/>
      <c r="FBS47" s="63"/>
      <c r="FBT47" s="63"/>
      <c r="FBU47" s="63"/>
      <c r="FBV47" s="63"/>
      <c r="FBW47" s="63"/>
      <c r="FBX47" s="63"/>
      <c r="FBY47" s="63"/>
      <c r="FBZ47" s="63"/>
      <c r="FCA47" s="63"/>
      <c r="FCB47" s="63"/>
      <c r="FCC47" s="63"/>
      <c r="FCD47" s="63"/>
      <c r="FCE47" s="63"/>
      <c r="FCF47" s="63"/>
      <c r="FCG47" s="63"/>
      <c r="FCH47" s="63"/>
      <c r="FCI47" s="63"/>
      <c r="FCJ47" s="63"/>
      <c r="FCK47" s="63"/>
      <c r="FCL47" s="63"/>
      <c r="FCM47" s="63"/>
      <c r="FCN47" s="63"/>
      <c r="FCO47" s="63"/>
      <c r="FCP47" s="63"/>
      <c r="FCQ47" s="63"/>
      <c r="FCR47" s="63"/>
      <c r="FCS47" s="63"/>
      <c r="FCT47" s="63"/>
      <c r="FCU47" s="63"/>
      <c r="FCV47" s="63"/>
      <c r="FCW47" s="63"/>
      <c r="FCX47" s="63"/>
      <c r="FCY47" s="63"/>
      <c r="FCZ47" s="63"/>
      <c r="FDA47" s="63"/>
      <c r="FDB47" s="63"/>
      <c r="FDC47" s="63"/>
      <c r="FDD47" s="63"/>
      <c r="FDE47" s="63"/>
      <c r="FDF47" s="63"/>
      <c r="FDG47" s="63"/>
      <c r="FDH47" s="63"/>
      <c r="FDI47" s="63"/>
      <c r="FDJ47" s="63"/>
      <c r="FDK47" s="63"/>
      <c r="FDL47" s="63"/>
      <c r="FDM47" s="63"/>
      <c r="FDN47" s="63"/>
      <c r="FDO47" s="63"/>
      <c r="FDP47" s="63"/>
      <c r="FDQ47" s="63"/>
      <c r="FDR47" s="63"/>
      <c r="FDS47" s="63"/>
      <c r="FDT47" s="63"/>
      <c r="FDU47" s="63"/>
      <c r="FDV47" s="63"/>
      <c r="FDW47" s="63"/>
      <c r="FDX47" s="63"/>
      <c r="FDY47" s="63"/>
      <c r="FDZ47" s="63"/>
      <c r="FEA47" s="63"/>
      <c r="FEB47" s="63"/>
      <c r="FEC47" s="63"/>
      <c r="FED47" s="63"/>
      <c r="FEE47" s="63"/>
      <c r="FEF47" s="63"/>
      <c r="FEG47" s="63"/>
      <c r="FEH47" s="63"/>
      <c r="FEI47" s="63"/>
      <c r="FEJ47" s="63"/>
      <c r="FEK47" s="63"/>
      <c r="FEL47" s="63"/>
      <c r="FEM47" s="63"/>
      <c r="FEN47" s="63"/>
      <c r="FEO47" s="63"/>
      <c r="FEP47" s="63"/>
      <c r="FEQ47" s="63"/>
      <c r="FER47" s="63"/>
      <c r="FES47" s="63"/>
      <c r="FET47" s="63"/>
      <c r="FEU47" s="63"/>
      <c r="FEV47" s="63"/>
      <c r="FEW47" s="63"/>
      <c r="FEX47" s="63"/>
      <c r="FEY47" s="63"/>
      <c r="FEZ47" s="63"/>
      <c r="FFA47" s="63"/>
      <c r="FFB47" s="63"/>
      <c r="FFC47" s="63"/>
      <c r="FFD47" s="63"/>
      <c r="FFE47" s="63"/>
      <c r="FFF47" s="63"/>
      <c r="FFG47" s="63"/>
      <c r="FFH47" s="63"/>
      <c r="FFI47" s="63"/>
      <c r="FFJ47" s="63"/>
      <c r="FFK47" s="63"/>
      <c r="FFL47" s="63"/>
      <c r="FFM47" s="63"/>
      <c r="FFN47" s="63"/>
      <c r="FFO47" s="63"/>
      <c r="FFP47" s="63"/>
      <c r="FFQ47" s="63"/>
      <c r="FFR47" s="63"/>
      <c r="FFS47" s="63"/>
      <c r="FFT47" s="63"/>
      <c r="FFU47" s="63"/>
      <c r="FFV47" s="63"/>
      <c r="FFW47" s="63"/>
      <c r="FFX47" s="63"/>
      <c r="FFY47" s="63"/>
      <c r="FFZ47" s="63"/>
      <c r="FGA47" s="63"/>
      <c r="FGB47" s="63"/>
      <c r="FGC47" s="63"/>
      <c r="FGD47" s="63"/>
      <c r="FGE47" s="63"/>
      <c r="FGF47" s="63"/>
      <c r="FGG47" s="63"/>
      <c r="FGH47" s="63"/>
      <c r="FGI47" s="63"/>
      <c r="FGJ47" s="63"/>
      <c r="FGK47" s="63"/>
      <c r="FGL47" s="63"/>
      <c r="FGM47" s="63"/>
      <c r="FGN47" s="63"/>
      <c r="FGO47" s="63"/>
      <c r="FGP47" s="63"/>
      <c r="FGQ47" s="63"/>
      <c r="FGR47" s="63"/>
      <c r="FGS47" s="63"/>
      <c r="FGT47" s="63"/>
      <c r="FGU47" s="63"/>
      <c r="FGV47" s="63"/>
      <c r="FGW47" s="63"/>
      <c r="FGX47" s="63"/>
      <c r="FGY47" s="63"/>
      <c r="FGZ47" s="63"/>
      <c r="FHA47" s="63"/>
      <c r="FHB47" s="63"/>
      <c r="FHC47" s="63"/>
      <c r="FHD47" s="63"/>
      <c r="FHE47" s="63"/>
      <c r="FHF47" s="63"/>
      <c r="FHG47" s="63"/>
      <c r="FHH47" s="63"/>
      <c r="FHI47" s="63"/>
      <c r="FHJ47" s="63"/>
      <c r="FHK47" s="63"/>
      <c r="FHL47" s="63"/>
      <c r="FHM47" s="63"/>
      <c r="FHN47" s="63"/>
      <c r="FHO47" s="63"/>
      <c r="FHP47" s="63"/>
      <c r="FHQ47" s="63"/>
      <c r="FHR47" s="63"/>
      <c r="FHS47" s="63"/>
      <c r="FHT47" s="63"/>
      <c r="FHU47" s="63"/>
      <c r="FHV47" s="63"/>
      <c r="FHW47" s="63"/>
      <c r="FHX47" s="63"/>
      <c r="FHY47" s="63"/>
      <c r="FHZ47" s="63"/>
      <c r="FIA47" s="63"/>
      <c r="FIB47" s="63"/>
      <c r="FIC47" s="63"/>
      <c r="FID47" s="63"/>
      <c r="FIE47" s="63"/>
      <c r="FIF47" s="63"/>
      <c r="FIG47" s="63"/>
      <c r="FIH47" s="63"/>
      <c r="FII47" s="63"/>
      <c r="FIJ47" s="63"/>
      <c r="FIK47" s="63"/>
      <c r="FIL47" s="63"/>
      <c r="FIM47" s="63"/>
      <c r="FIN47" s="63"/>
      <c r="FIO47" s="63"/>
      <c r="FIP47" s="63"/>
      <c r="FIQ47" s="63"/>
      <c r="FIR47" s="63"/>
      <c r="FIS47" s="63"/>
      <c r="FIT47" s="63"/>
      <c r="FIU47" s="63"/>
      <c r="FIV47" s="63"/>
      <c r="FIW47" s="63"/>
      <c r="FIX47" s="63"/>
      <c r="FIY47" s="63"/>
      <c r="FIZ47" s="63"/>
      <c r="FJA47" s="63"/>
      <c r="FJB47" s="63"/>
      <c r="FJC47" s="63"/>
      <c r="FJD47" s="63"/>
      <c r="FJE47" s="63"/>
      <c r="FJF47" s="63"/>
      <c r="FJG47" s="63"/>
      <c r="FJH47" s="63"/>
      <c r="FJI47" s="63"/>
      <c r="FJJ47" s="63"/>
      <c r="FJK47" s="63"/>
      <c r="FJL47" s="63"/>
      <c r="FJM47" s="63"/>
      <c r="FJN47" s="63"/>
      <c r="FJO47" s="63"/>
      <c r="FJP47" s="63"/>
      <c r="FJQ47" s="63"/>
      <c r="FJR47" s="63"/>
      <c r="FJS47" s="63"/>
      <c r="FJT47" s="63"/>
      <c r="FJU47" s="63"/>
      <c r="FJV47" s="63"/>
      <c r="FJW47" s="63"/>
      <c r="FJX47" s="63"/>
      <c r="FJY47" s="63"/>
      <c r="FJZ47" s="63"/>
      <c r="FKA47" s="63"/>
      <c r="FKB47" s="63"/>
      <c r="FKC47" s="63"/>
      <c r="FKD47" s="63"/>
      <c r="FKE47" s="63"/>
      <c r="FKF47" s="63"/>
      <c r="FKG47" s="63"/>
      <c r="FKH47" s="63"/>
      <c r="FKI47" s="63"/>
      <c r="FKJ47" s="63"/>
      <c r="FKK47" s="63"/>
      <c r="FKL47" s="63"/>
      <c r="FKM47" s="63"/>
      <c r="FKN47" s="63"/>
      <c r="FKO47" s="63"/>
      <c r="FKP47" s="63"/>
      <c r="FKQ47" s="63"/>
      <c r="FKR47" s="63"/>
      <c r="FKS47" s="63"/>
      <c r="FKT47" s="63"/>
      <c r="FKU47" s="63"/>
      <c r="FKV47" s="63"/>
      <c r="FKW47" s="63"/>
      <c r="FKX47" s="63"/>
      <c r="FKY47" s="63"/>
      <c r="FKZ47" s="63"/>
      <c r="FLA47" s="63"/>
      <c r="FLB47" s="63"/>
      <c r="FLC47" s="63"/>
      <c r="FLD47" s="63"/>
      <c r="FLE47" s="63"/>
      <c r="FLF47" s="63"/>
      <c r="FLG47" s="63"/>
      <c r="FLH47" s="63"/>
      <c r="FLI47" s="63"/>
      <c r="FLJ47" s="63"/>
      <c r="FLK47" s="63"/>
      <c r="FLL47" s="63"/>
      <c r="FLM47" s="63"/>
      <c r="FLN47" s="63"/>
      <c r="FLO47" s="63"/>
      <c r="FLP47" s="63"/>
      <c r="FLQ47" s="63"/>
      <c r="FLR47" s="63"/>
      <c r="FLS47" s="63"/>
      <c r="FLT47" s="63"/>
      <c r="FLU47" s="63"/>
      <c r="FLV47" s="63"/>
      <c r="FLW47" s="63"/>
      <c r="FLX47" s="63"/>
      <c r="FLY47" s="63"/>
      <c r="FLZ47" s="63"/>
      <c r="FMA47" s="63"/>
      <c r="FMB47" s="63"/>
      <c r="FMC47" s="63"/>
      <c r="FMD47" s="63"/>
      <c r="FME47" s="63"/>
      <c r="FMF47" s="63"/>
      <c r="FMG47" s="63"/>
      <c r="FMH47" s="63"/>
      <c r="FMI47" s="63"/>
      <c r="FMJ47" s="63"/>
      <c r="FMK47" s="63"/>
      <c r="FML47" s="63"/>
      <c r="FMM47" s="63"/>
      <c r="FMN47" s="63"/>
      <c r="FMO47" s="63"/>
      <c r="FMP47" s="63"/>
      <c r="FMQ47" s="63"/>
      <c r="FMR47" s="63"/>
      <c r="FMS47" s="63"/>
      <c r="FMT47" s="63"/>
      <c r="FMU47" s="63"/>
      <c r="FMV47" s="63"/>
      <c r="FMW47" s="63"/>
      <c r="FMX47" s="63"/>
      <c r="FMY47" s="63"/>
      <c r="FMZ47" s="63"/>
      <c r="FNA47" s="63"/>
      <c r="FNB47" s="63"/>
      <c r="FNC47" s="63"/>
      <c r="FND47" s="63"/>
      <c r="FNE47" s="63"/>
      <c r="FNF47" s="63"/>
      <c r="FNG47" s="63"/>
      <c r="FNH47" s="63"/>
      <c r="FNI47" s="63"/>
      <c r="FNJ47" s="63"/>
      <c r="FNK47" s="63"/>
      <c r="FNL47" s="63"/>
      <c r="FNM47" s="63"/>
      <c r="FNN47" s="63"/>
      <c r="FNO47" s="63"/>
      <c r="FNP47" s="63"/>
      <c r="FNQ47" s="63"/>
      <c r="FNR47" s="63"/>
      <c r="FNS47" s="63"/>
      <c r="FNT47" s="63"/>
      <c r="FNU47" s="63"/>
      <c r="FNV47" s="63"/>
      <c r="FNW47" s="63"/>
      <c r="FNX47" s="63"/>
      <c r="FNY47" s="63"/>
      <c r="FNZ47" s="63"/>
      <c r="FOA47" s="63"/>
      <c r="FOB47" s="63"/>
      <c r="FOC47" s="63"/>
      <c r="FOD47" s="63"/>
      <c r="FOE47" s="63"/>
      <c r="FOF47" s="63"/>
      <c r="FOG47" s="63"/>
      <c r="FOH47" s="63"/>
      <c r="FOI47" s="63"/>
      <c r="FOJ47" s="63"/>
      <c r="FOK47" s="63"/>
      <c r="FOL47" s="63"/>
      <c r="FOM47" s="63"/>
      <c r="FON47" s="63"/>
      <c r="FOO47" s="63"/>
      <c r="FOP47" s="63"/>
      <c r="FOQ47" s="63"/>
      <c r="FOR47" s="63"/>
      <c r="FOS47" s="63"/>
      <c r="FOT47" s="63"/>
      <c r="FOU47" s="63"/>
      <c r="FOV47" s="63"/>
      <c r="FOW47" s="63"/>
      <c r="FOX47" s="63"/>
      <c r="FOY47" s="63"/>
      <c r="FOZ47" s="63"/>
      <c r="FPA47" s="63"/>
      <c r="FPB47" s="63"/>
      <c r="FPC47" s="63"/>
      <c r="FPD47" s="63"/>
      <c r="FPE47" s="63"/>
      <c r="FPF47" s="63"/>
      <c r="FPG47" s="63"/>
      <c r="FPH47" s="63"/>
      <c r="FPI47" s="63"/>
      <c r="FPJ47" s="63"/>
      <c r="FPK47" s="63"/>
      <c r="FPL47" s="63"/>
      <c r="FPM47" s="63"/>
      <c r="FPN47" s="63"/>
      <c r="FPO47" s="63"/>
      <c r="FPP47" s="63"/>
      <c r="FPQ47" s="63"/>
      <c r="FPR47" s="63"/>
      <c r="FPS47" s="63"/>
      <c r="FPT47" s="63"/>
      <c r="FPU47" s="63"/>
      <c r="FPV47" s="63"/>
      <c r="FPW47" s="63"/>
      <c r="FPX47" s="63"/>
      <c r="FPY47" s="63"/>
      <c r="FPZ47" s="63"/>
      <c r="FQA47" s="63"/>
      <c r="FQB47" s="63"/>
      <c r="FQC47" s="63"/>
      <c r="FQD47" s="63"/>
      <c r="FQE47" s="63"/>
      <c r="FQF47" s="63"/>
      <c r="FQG47" s="63"/>
      <c r="FQH47" s="63"/>
      <c r="FQI47" s="63"/>
      <c r="FQJ47" s="63"/>
      <c r="FQK47" s="63"/>
      <c r="FQL47" s="63"/>
      <c r="FQM47" s="63"/>
      <c r="FQN47" s="63"/>
      <c r="FQO47" s="63"/>
      <c r="FQP47" s="63"/>
      <c r="FQQ47" s="63"/>
      <c r="FQR47" s="63"/>
      <c r="FQS47" s="63"/>
      <c r="FQT47" s="63"/>
      <c r="FQU47" s="63"/>
      <c r="FQV47" s="63"/>
      <c r="FQW47" s="63"/>
      <c r="FQX47" s="63"/>
      <c r="FQY47" s="63"/>
      <c r="FQZ47" s="63"/>
      <c r="FRA47" s="63"/>
      <c r="FRB47" s="63"/>
      <c r="FRC47" s="63"/>
      <c r="FRD47" s="63"/>
      <c r="FRE47" s="63"/>
      <c r="FRF47" s="63"/>
      <c r="FRG47" s="63"/>
      <c r="FRH47" s="63"/>
      <c r="FRI47" s="63"/>
      <c r="FRJ47" s="63"/>
      <c r="FRK47" s="63"/>
      <c r="FRL47" s="63"/>
      <c r="FRM47" s="63"/>
      <c r="FRN47" s="63"/>
      <c r="FRO47" s="63"/>
      <c r="FRP47" s="63"/>
      <c r="FRQ47" s="63"/>
      <c r="FRR47" s="63"/>
      <c r="FRS47" s="63"/>
      <c r="FRT47" s="63"/>
      <c r="FRU47" s="63"/>
      <c r="FRV47" s="63"/>
      <c r="FRW47" s="63"/>
      <c r="FRX47" s="63"/>
      <c r="FRY47" s="63"/>
      <c r="FRZ47" s="63"/>
      <c r="FSA47" s="63"/>
      <c r="FSB47" s="63"/>
      <c r="FSC47" s="63"/>
      <c r="FSD47" s="63"/>
      <c r="FSE47" s="63"/>
      <c r="FSF47" s="63"/>
      <c r="FSG47" s="63"/>
      <c r="FSH47" s="63"/>
      <c r="FSI47" s="63"/>
      <c r="FSJ47" s="63"/>
      <c r="FSK47" s="63"/>
      <c r="FSL47" s="63"/>
      <c r="FSM47" s="63"/>
      <c r="FSN47" s="63"/>
      <c r="FSO47" s="63"/>
      <c r="FSP47" s="63"/>
      <c r="FSQ47" s="63"/>
      <c r="FSR47" s="63"/>
      <c r="FSS47" s="63"/>
      <c r="FST47" s="63"/>
      <c r="FSU47" s="63"/>
      <c r="FSV47" s="63"/>
      <c r="FSW47" s="63"/>
      <c r="FSX47" s="63"/>
      <c r="FSY47" s="63"/>
      <c r="FSZ47" s="63"/>
      <c r="FTA47" s="63"/>
      <c r="FTB47" s="63"/>
      <c r="FTC47" s="63"/>
      <c r="FTD47" s="63"/>
      <c r="FTE47" s="63"/>
      <c r="FTF47" s="63"/>
      <c r="FTG47" s="63"/>
      <c r="FTH47" s="63"/>
      <c r="FTI47" s="63"/>
      <c r="FTJ47" s="63"/>
      <c r="FTK47" s="63"/>
      <c r="FTL47" s="63"/>
      <c r="FTM47" s="63"/>
      <c r="FTN47" s="63"/>
      <c r="FTO47" s="63"/>
      <c r="FTP47" s="63"/>
      <c r="FTQ47" s="63"/>
      <c r="FTR47" s="63"/>
      <c r="FTS47" s="63"/>
      <c r="FTT47" s="63"/>
      <c r="FTU47" s="63"/>
      <c r="FTV47" s="63"/>
      <c r="FTW47" s="63"/>
      <c r="FTX47" s="63"/>
      <c r="FTY47" s="63"/>
      <c r="FTZ47" s="63"/>
      <c r="FUA47" s="63"/>
      <c r="FUB47" s="63"/>
      <c r="FUC47" s="63"/>
      <c r="FUD47" s="63"/>
      <c r="FUE47" s="63"/>
      <c r="FUF47" s="63"/>
      <c r="FUG47" s="63"/>
      <c r="FUH47" s="63"/>
      <c r="FUI47" s="63"/>
      <c r="FUJ47" s="63"/>
      <c r="FUK47" s="63"/>
      <c r="FUL47" s="63"/>
      <c r="FUM47" s="63"/>
      <c r="FUN47" s="63"/>
      <c r="FUO47" s="63"/>
      <c r="FUP47" s="63"/>
      <c r="FUQ47" s="63"/>
      <c r="FUR47" s="63"/>
      <c r="FUS47" s="63"/>
      <c r="FUT47" s="63"/>
      <c r="FUU47" s="63"/>
      <c r="FUV47" s="63"/>
      <c r="FUW47" s="63"/>
      <c r="FUX47" s="63"/>
      <c r="FUY47" s="63"/>
      <c r="FUZ47" s="63"/>
      <c r="FVA47" s="63"/>
      <c r="FVB47" s="63"/>
      <c r="FVC47" s="63"/>
      <c r="FVD47" s="63"/>
      <c r="FVE47" s="63"/>
      <c r="FVF47" s="63"/>
      <c r="FVG47" s="63"/>
      <c r="FVH47" s="63"/>
      <c r="FVI47" s="63"/>
      <c r="FVJ47" s="63"/>
      <c r="FVK47" s="63"/>
      <c r="FVL47" s="63"/>
      <c r="FVM47" s="63"/>
      <c r="FVN47" s="63"/>
      <c r="FVO47" s="63"/>
      <c r="FVP47" s="63"/>
      <c r="FVQ47" s="63"/>
      <c r="FVR47" s="63"/>
      <c r="FVS47" s="63"/>
      <c r="FVT47" s="63"/>
      <c r="FVU47" s="63"/>
      <c r="FVV47" s="63"/>
      <c r="FVW47" s="63"/>
      <c r="FVX47" s="63"/>
      <c r="FVY47" s="63"/>
      <c r="FVZ47" s="63"/>
      <c r="FWA47" s="63"/>
      <c r="FWB47" s="63"/>
      <c r="FWC47" s="63"/>
      <c r="FWD47" s="63"/>
      <c r="FWE47" s="63"/>
      <c r="FWF47" s="63"/>
      <c r="FWG47" s="63"/>
      <c r="FWH47" s="63"/>
      <c r="FWI47" s="63"/>
      <c r="FWJ47" s="63"/>
      <c r="FWK47" s="63"/>
      <c r="FWL47" s="63"/>
      <c r="FWM47" s="63"/>
      <c r="FWN47" s="63"/>
      <c r="FWO47" s="63"/>
      <c r="FWP47" s="63"/>
      <c r="FWQ47" s="63"/>
      <c r="FWR47" s="63"/>
      <c r="FWS47" s="63"/>
      <c r="FWT47" s="63"/>
      <c r="FWU47" s="63"/>
      <c r="FWV47" s="63"/>
      <c r="FWW47" s="63"/>
      <c r="FWX47" s="63"/>
      <c r="FWY47" s="63"/>
      <c r="FWZ47" s="63"/>
      <c r="FXA47" s="63"/>
      <c r="FXB47" s="63"/>
      <c r="FXC47" s="63"/>
      <c r="FXD47" s="63"/>
      <c r="FXE47" s="63"/>
      <c r="FXF47" s="63"/>
      <c r="FXG47" s="63"/>
      <c r="FXH47" s="63"/>
      <c r="FXI47" s="63"/>
      <c r="FXJ47" s="63"/>
      <c r="FXK47" s="63"/>
      <c r="FXL47" s="63"/>
      <c r="FXM47" s="63"/>
      <c r="FXN47" s="63"/>
      <c r="FXO47" s="63"/>
      <c r="FXP47" s="63"/>
      <c r="FXQ47" s="63"/>
      <c r="FXR47" s="63"/>
      <c r="FXS47" s="63"/>
      <c r="FXT47" s="63"/>
      <c r="FXU47" s="63"/>
      <c r="FXV47" s="63"/>
      <c r="FXW47" s="63"/>
      <c r="FXX47" s="63"/>
      <c r="FXY47" s="63"/>
      <c r="FXZ47" s="63"/>
      <c r="FYA47" s="63"/>
      <c r="FYB47" s="63"/>
      <c r="FYC47" s="63"/>
      <c r="FYD47" s="63"/>
      <c r="FYE47" s="63"/>
      <c r="FYF47" s="63"/>
      <c r="FYG47" s="63"/>
      <c r="FYH47" s="63"/>
      <c r="FYI47" s="63"/>
      <c r="FYJ47" s="63"/>
      <c r="FYK47" s="63"/>
      <c r="FYL47" s="63"/>
      <c r="FYM47" s="63"/>
      <c r="FYN47" s="63"/>
      <c r="FYO47" s="63"/>
      <c r="FYP47" s="63"/>
      <c r="FYQ47" s="63"/>
      <c r="FYR47" s="63"/>
      <c r="FYS47" s="63"/>
      <c r="FYT47" s="63"/>
      <c r="FYU47" s="63"/>
      <c r="FYV47" s="63"/>
      <c r="FYW47" s="63"/>
      <c r="FYX47" s="63"/>
      <c r="FYY47" s="63"/>
      <c r="FYZ47" s="63"/>
      <c r="FZA47" s="63"/>
      <c r="FZB47" s="63"/>
      <c r="FZC47" s="63"/>
      <c r="FZD47" s="63"/>
      <c r="FZE47" s="63"/>
      <c r="FZF47" s="63"/>
      <c r="FZG47" s="63"/>
      <c r="FZH47" s="63"/>
      <c r="FZI47" s="63"/>
      <c r="FZJ47" s="63"/>
      <c r="FZK47" s="63"/>
      <c r="FZL47" s="63"/>
      <c r="FZM47" s="63"/>
      <c r="FZN47" s="63"/>
      <c r="FZO47" s="63"/>
      <c r="FZP47" s="63"/>
      <c r="FZQ47" s="63"/>
      <c r="FZR47" s="63"/>
      <c r="FZS47" s="63"/>
      <c r="FZT47" s="63"/>
      <c r="FZU47" s="63"/>
      <c r="FZV47" s="63"/>
      <c r="FZW47" s="63"/>
      <c r="FZX47" s="63"/>
      <c r="FZY47" s="63"/>
      <c r="FZZ47" s="63"/>
      <c r="GAA47" s="63"/>
      <c r="GAB47" s="63"/>
      <c r="GAC47" s="63"/>
      <c r="GAD47" s="63"/>
      <c r="GAE47" s="63"/>
      <c r="GAF47" s="63"/>
      <c r="GAG47" s="63"/>
      <c r="GAH47" s="63"/>
      <c r="GAI47" s="63"/>
      <c r="GAJ47" s="63"/>
      <c r="GAK47" s="63"/>
      <c r="GAL47" s="63"/>
      <c r="GAM47" s="63"/>
      <c r="GAN47" s="63"/>
      <c r="GAO47" s="63"/>
      <c r="GAP47" s="63"/>
      <c r="GAQ47" s="63"/>
      <c r="GAR47" s="63"/>
      <c r="GAS47" s="63"/>
      <c r="GAT47" s="63"/>
      <c r="GAU47" s="63"/>
      <c r="GAV47" s="63"/>
      <c r="GAW47" s="63"/>
      <c r="GAX47" s="63"/>
      <c r="GAY47" s="63"/>
      <c r="GAZ47" s="63"/>
      <c r="GBA47" s="63"/>
      <c r="GBB47" s="63"/>
      <c r="GBC47" s="63"/>
      <c r="GBD47" s="63"/>
      <c r="GBE47" s="63"/>
      <c r="GBF47" s="63"/>
      <c r="GBG47" s="63"/>
      <c r="GBH47" s="63"/>
      <c r="GBI47" s="63"/>
      <c r="GBJ47" s="63"/>
      <c r="GBK47" s="63"/>
      <c r="GBL47" s="63"/>
      <c r="GBM47" s="63"/>
      <c r="GBN47" s="63"/>
      <c r="GBO47" s="63"/>
      <c r="GBP47" s="63"/>
      <c r="GBQ47" s="63"/>
      <c r="GBR47" s="63"/>
      <c r="GBS47" s="63"/>
      <c r="GBT47" s="63"/>
      <c r="GBU47" s="63"/>
      <c r="GBV47" s="63"/>
      <c r="GBW47" s="63"/>
      <c r="GBX47" s="63"/>
      <c r="GBY47" s="63"/>
      <c r="GBZ47" s="63"/>
      <c r="GCA47" s="63"/>
      <c r="GCB47" s="63"/>
      <c r="GCC47" s="63"/>
      <c r="GCD47" s="63"/>
      <c r="GCE47" s="63"/>
      <c r="GCF47" s="63"/>
      <c r="GCG47" s="63"/>
      <c r="GCH47" s="63"/>
      <c r="GCI47" s="63"/>
      <c r="GCJ47" s="63"/>
      <c r="GCK47" s="63"/>
      <c r="GCL47" s="63"/>
      <c r="GCM47" s="63"/>
      <c r="GCN47" s="63"/>
      <c r="GCO47" s="63"/>
      <c r="GCP47" s="63"/>
      <c r="GCQ47" s="63"/>
      <c r="GCR47" s="63"/>
      <c r="GCS47" s="63"/>
      <c r="GCT47" s="63"/>
      <c r="GCU47" s="63"/>
      <c r="GCV47" s="63"/>
      <c r="GCW47" s="63"/>
      <c r="GCX47" s="63"/>
      <c r="GCY47" s="63"/>
      <c r="GCZ47" s="63"/>
      <c r="GDA47" s="63"/>
      <c r="GDB47" s="63"/>
      <c r="GDC47" s="63"/>
      <c r="GDD47" s="63"/>
      <c r="GDE47" s="63"/>
      <c r="GDF47" s="63"/>
      <c r="GDG47" s="63"/>
      <c r="GDH47" s="63"/>
      <c r="GDI47" s="63"/>
      <c r="GDJ47" s="63"/>
      <c r="GDK47" s="63"/>
      <c r="GDL47" s="63"/>
      <c r="GDM47" s="63"/>
      <c r="GDN47" s="63"/>
      <c r="GDO47" s="63"/>
      <c r="GDP47" s="63"/>
      <c r="GDQ47" s="63"/>
      <c r="GDR47" s="63"/>
      <c r="GDS47" s="63"/>
      <c r="GDT47" s="63"/>
      <c r="GDU47" s="63"/>
      <c r="GDV47" s="63"/>
      <c r="GDW47" s="63"/>
      <c r="GDX47" s="63"/>
      <c r="GDY47" s="63"/>
      <c r="GDZ47" s="63"/>
      <c r="GEA47" s="63"/>
      <c r="GEB47" s="63"/>
      <c r="GEC47" s="63"/>
      <c r="GED47" s="63"/>
      <c r="GEE47" s="63"/>
      <c r="GEF47" s="63"/>
      <c r="GEG47" s="63"/>
      <c r="GEH47" s="63"/>
      <c r="GEI47" s="63"/>
      <c r="GEJ47" s="63"/>
      <c r="GEK47" s="63"/>
      <c r="GEL47" s="63"/>
      <c r="GEM47" s="63"/>
      <c r="GEN47" s="63"/>
      <c r="GEO47" s="63"/>
      <c r="GEP47" s="63"/>
      <c r="GEQ47" s="63"/>
      <c r="GER47" s="63"/>
      <c r="GES47" s="63"/>
      <c r="GET47" s="63"/>
      <c r="GEU47" s="63"/>
      <c r="GEV47" s="63"/>
      <c r="GEW47" s="63"/>
      <c r="GEX47" s="63"/>
      <c r="GEY47" s="63"/>
      <c r="GEZ47" s="63"/>
      <c r="GFA47" s="63"/>
      <c r="GFB47" s="63"/>
      <c r="GFC47" s="63"/>
      <c r="GFD47" s="63"/>
      <c r="GFE47" s="63"/>
      <c r="GFF47" s="63"/>
      <c r="GFG47" s="63"/>
      <c r="GFH47" s="63"/>
      <c r="GFI47" s="63"/>
      <c r="GFJ47" s="63"/>
      <c r="GFK47" s="63"/>
      <c r="GFL47" s="63"/>
      <c r="GFM47" s="63"/>
      <c r="GFN47" s="63"/>
      <c r="GFO47" s="63"/>
      <c r="GFP47" s="63"/>
      <c r="GFQ47" s="63"/>
      <c r="GFR47" s="63"/>
      <c r="GFS47" s="63"/>
      <c r="GFT47" s="63"/>
      <c r="GFU47" s="63"/>
      <c r="GFV47" s="63"/>
      <c r="GFW47" s="63"/>
      <c r="GFX47" s="63"/>
      <c r="GFY47" s="63"/>
      <c r="GFZ47" s="63"/>
      <c r="GGA47" s="63"/>
      <c r="GGB47" s="63"/>
      <c r="GGC47" s="63"/>
      <c r="GGD47" s="63"/>
      <c r="GGE47" s="63"/>
      <c r="GGF47" s="63"/>
      <c r="GGG47" s="63"/>
      <c r="GGH47" s="63"/>
      <c r="GGI47" s="63"/>
      <c r="GGJ47" s="63"/>
      <c r="GGK47" s="63"/>
      <c r="GGL47" s="63"/>
      <c r="GGM47" s="63"/>
      <c r="GGN47" s="63"/>
      <c r="GGO47" s="63"/>
      <c r="GGP47" s="63"/>
      <c r="GGQ47" s="63"/>
      <c r="GGR47" s="63"/>
      <c r="GGS47" s="63"/>
      <c r="GGT47" s="63"/>
      <c r="GGU47" s="63"/>
      <c r="GGV47" s="63"/>
      <c r="GGW47" s="63"/>
      <c r="GGX47" s="63"/>
      <c r="GGY47" s="63"/>
      <c r="GGZ47" s="63"/>
      <c r="GHA47" s="63"/>
      <c r="GHB47" s="63"/>
      <c r="GHC47" s="63"/>
      <c r="GHD47" s="63"/>
      <c r="GHE47" s="63"/>
      <c r="GHF47" s="63"/>
      <c r="GHG47" s="63"/>
      <c r="GHH47" s="63"/>
      <c r="GHI47" s="63"/>
      <c r="GHJ47" s="63"/>
      <c r="GHK47" s="63"/>
      <c r="GHL47" s="63"/>
      <c r="GHM47" s="63"/>
      <c r="GHN47" s="63"/>
      <c r="GHO47" s="63"/>
      <c r="GHP47" s="63"/>
      <c r="GHQ47" s="63"/>
      <c r="GHR47" s="63"/>
      <c r="GHS47" s="63"/>
      <c r="GHT47" s="63"/>
      <c r="GHU47" s="63"/>
      <c r="GHV47" s="63"/>
      <c r="GHW47" s="63"/>
      <c r="GHX47" s="63"/>
      <c r="GHY47" s="63"/>
      <c r="GHZ47" s="63"/>
      <c r="GIA47" s="63"/>
      <c r="GIB47" s="63"/>
      <c r="GIC47" s="63"/>
      <c r="GID47" s="63"/>
      <c r="GIE47" s="63"/>
      <c r="GIF47" s="63"/>
      <c r="GIG47" s="63"/>
      <c r="GIH47" s="63"/>
      <c r="GII47" s="63"/>
      <c r="GIJ47" s="63"/>
      <c r="GIK47" s="63"/>
      <c r="GIL47" s="63"/>
      <c r="GIM47" s="63"/>
      <c r="GIN47" s="63"/>
      <c r="GIO47" s="63"/>
      <c r="GIP47" s="63"/>
      <c r="GIQ47" s="63"/>
      <c r="GIR47" s="63"/>
      <c r="GIS47" s="63"/>
      <c r="GIT47" s="63"/>
      <c r="GIU47" s="63"/>
      <c r="GIV47" s="63"/>
      <c r="GIW47" s="63"/>
      <c r="GIX47" s="63"/>
      <c r="GIY47" s="63"/>
      <c r="GIZ47" s="63"/>
      <c r="GJA47" s="63"/>
      <c r="GJB47" s="63"/>
      <c r="GJC47" s="63"/>
      <c r="GJD47" s="63"/>
      <c r="GJE47" s="63"/>
      <c r="GJF47" s="63"/>
      <c r="GJG47" s="63"/>
      <c r="GJH47" s="63"/>
      <c r="GJI47" s="63"/>
      <c r="GJJ47" s="63"/>
      <c r="GJK47" s="63"/>
      <c r="GJL47" s="63"/>
      <c r="GJM47" s="63"/>
      <c r="GJN47" s="63"/>
      <c r="GJO47" s="63"/>
      <c r="GJP47" s="63"/>
      <c r="GJQ47" s="63"/>
      <c r="GJR47" s="63"/>
      <c r="GJS47" s="63"/>
      <c r="GJT47" s="63"/>
      <c r="GJU47" s="63"/>
      <c r="GJV47" s="63"/>
      <c r="GJW47" s="63"/>
      <c r="GJX47" s="63"/>
      <c r="GJY47" s="63"/>
      <c r="GJZ47" s="63"/>
      <c r="GKA47" s="63"/>
      <c r="GKB47" s="63"/>
      <c r="GKC47" s="63"/>
      <c r="GKD47" s="63"/>
      <c r="GKE47" s="63"/>
      <c r="GKF47" s="63"/>
      <c r="GKG47" s="63"/>
      <c r="GKH47" s="63"/>
      <c r="GKI47" s="63"/>
      <c r="GKJ47" s="63"/>
      <c r="GKK47" s="63"/>
      <c r="GKL47" s="63"/>
      <c r="GKM47" s="63"/>
      <c r="GKN47" s="63"/>
      <c r="GKO47" s="63"/>
      <c r="GKP47" s="63"/>
      <c r="GKQ47" s="63"/>
      <c r="GKR47" s="63"/>
      <c r="GKS47" s="63"/>
      <c r="GKT47" s="63"/>
      <c r="GKU47" s="63"/>
      <c r="GKV47" s="63"/>
      <c r="GKW47" s="63"/>
      <c r="GKX47" s="63"/>
      <c r="GKY47" s="63"/>
      <c r="GKZ47" s="63"/>
      <c r="GLA47" s="63"/>
      <c r="GLB47" s="63"/>
      <c r="GLC47" s="63"/>
      <c r="GLD47" s="63"/>
      <c r="GLE47" s="63"/>
      <c r="GLF47" s="63"/>
      <c r="GLG47" s="63"/>
      <c r="GLH47" s="63"/>
      <c r="GLI47" s="63"/>
      <c r="GLJ47" s="63"/>
      <c r="GLK47" s="63"/>
      <c r="GLL47" s="63"/>
      <c r="GLM47" s="63"/>
      <c r="GLN47" s="63"/>
      <c r="GLO47" s="63"/>
      <c r="GLP47" s="63"/>
      <c r="GLQ47" s="63"/>
      <c r="GLR47" s="63"/>
      <c r="GLS47" s="63"/>
      <c r="GLT47" s="63"/>
      <c r="GLU47" s="63"/>
      <c r="GLV47" s="63"/>
      <c r="GLW47" s="63"/>
      <c r="GLX47" s="63"/>
      <c r="GLY47" s="63"/>
      <c r="GLZ47" s="63"/>
      <c r="GMA47" s="63"/>
      <c r="GMB47" s="63"/>
      <c r="GMC47" s="63"/>
      <c r="GMD47" s="63"/>
      <c r="GME47" s="63"/>
      <c r="GMF47" s="63"/>
      <c r="GMG47" s="63"/>
      <c r="GMH47" s="63"/>
      <c r="GMI47" s="63"/>
      <c r="GMJ47" s="63"/>
      <c r="GMK47" s="63"/>
      <c r="GML47" s="63"/>
      <c r="GMM47" s="63"/>
      <c r="GMN47" s="63"/>
      <c r="GMO47" s="63"/>
      <c r="GMP47" s="63"/>
      <c r="GMQ47" s="63"/>
      <c r="GMR47" s="63"/>
      <c r="GMS47" s="63"/>
      <c r="GMT47" s="63"/>
      <c r="GMU47" s="63"/>
      <c r="GMV47" s="63"/>
      <c r="GMW47" s="63"/>
      <c r="GMX47" s="63"/>
      <c r="GMY47" s="63"/>
      <c r="GMZ47" s="63"/>
      <c r="GNA47" s="63"/>
      <c r="GNB47" s="63"/>
      <c r="GNC47" s="63"/>
      <c r="GND47" s="63"/>
      <c r="GNE47" s="63"/>
      <c r="GNF47" s="63"/>
      <c r="GNG47" s="63"/>
      <c r="GNH47" s="63"/>
      <c r="GNI47" s="63"/>
      <c r="GNJ47" s="63"/>
      <c r="GNK47" s="63"/>
      <c r="GNL47" s="63"/>
      <c r="GNM47" s="63"/>
      <c r="GNN47" s="63"/>
      <c r="GNO47" s="63"/>
      <c r="GNP47" s="63"/>
      <c r="GNQ47" s="63"/>
      <c r="GNR47" s="63"/>
      <c r="GNS47" s="63"/>
      <c r="GNT47" s="63"/>
      <c r="GNU47" s="63"/>
      <c r="GNV47" s="63"/>
      <c r="GNW47" s="63"/>
      <c r="GNX47" s="63"/>
      <c r="GNY47" s="63"/>
      <c r="GNZ47" s="63"/>
      <c r="GOA47" s="63"/>
      <c r="GOB47" s="63"/>
      <c r="GOC47" s="63"/>
      <c r="GOD47" s="63"/>
      <c r="GOE47" s="63"/>
      <c r="GOF47" s="63"/>
      <c r="GOG47" s="63"/>
      <c r="GOH47" s="63"/>
      <c r="GOI47" s="63"/>
      <c r="GOJ47" s="63"/>
      <c r="GOK47" s="63"/>
      <c r="GOL47" s="63"/>
      <c r="GOM47" s="63"/>
      <c r="GON47" s="63"/>
      <c r="GOO47" s="63"/>
      <c r="GOP47" s="63"/>
      <c r="GOQ47" s="63"/>
      <c r="GOR47" s="63"/>
      <c r="GOS47" s="63"/>
      <c r="GOT47" s="63"/>
      <c r="GOU47" s="63"/>
      <c r="GOV47" s="63"/>
      <c r="GOW47" s="63"/>
      <c r="GOX47" s="63"/>
      <c r="GOY47" s="63"/>
      <c r="GOZ47" s="63"/>
      <c r="GPA47" s="63"/>
      <c r="GPB47" s="63"/>
      <c r="GPC47" s="63"/>
      <c r="GPD47" s="63"/>
      <c r="GPE47" s="63"/>
      <c r="GPF47" s="63"/>
      <c r="GPG47" s="63"/>
      <c r="GPH47" s="63"/>
      <c r="GPI47" s="63"/>
      <c r="GPJ47" s="63"/>
      <c r="GPK47" s="63"/>
      <c r="GPL47" s="63"/>
      <c r="GPM47" s="63"/>
      <c r="GPN47" s="63"/>
      <c r="GPO47" s="63"/>
      <c r="GPP47" s="63"/>
      <c r="GPQ47" s="63"/>
      <c r="GPR47" s="63"/>
      <c r="GPS47" s="63"/>
      <c r="GPT47" s="63"/>
      <c r="GPU47" s="63"/>
      <c r="GPV47" s="63"/>
      <c r="GPW47" s="63"/>
      <c r="GPX47" s="63"/>
      <c r="GPY47" s="63"/>
      <c r="GPZ47" s="63"/>
      <c r="GQA47" s="63"/>
      <c r="GQB47" s="63"/>
      <c r="GQC47" s="63"/>
      <c r="GQD47" s="63"/>
      <c r="GQE47" s="63"/>
      <c r="GQF47" s="63"/>
      <c r="GQG47" s="63"/>
      <c r="GQH47" s="63"/>
      <c r="GQI47" s="63"/>
      <c r="GQJ47" s="63"/>
      <c r="GQK47" s="63"/>
      <c r="GQL47" s="63"/>
      <c r="GQM47" s="63"/>
      <c r="GQN47" s="63"/>
      <c r="GQO47" s="63"/>
      <c r="GQP47" s="63"/>
      <c r="GQQ47" s="63"/>
      <c r="GQR47" s="63"/>
      <c r="GQS47" s="63"/>
      <c r="GQT47" s="63"/>
      <c r="GQU47" s="63"/>
      <c r="GQV47" s="63"/>
      <c r="GQW47" s="63"/>
      <c r="GQX47" s="63"/>
      <c r="GQY47" s="63"/>
      <c r="GQZ47" s="63"/>
      <c r="GRA47" s="63"/>
      <c r="GRB47" s="63"/>
      <c r="GRC47" s="63"/>
      <c r="GRD47" s="63"/>
      <c r="GRE47" s="63"/>
      <c r="GRF47" s="63"/>
      <c r="GRG47" s="63"/>
      <c r="GRH47" s="63"/>
      <c r="GRI47" s="63"/>
      <c r="GRJ47" s="63"/>
      <c r="GRK47" s="63"/>
      <c r="GRL47" s="63"/>
      <c r="GRM47" s="63"/>
      <c r="GRN47" s="63"/>
      <c r="GRO47" s="63"/>
      <c r="GRP47" s="63"/>
      <c r="GRQ47" s="63"/>
      <c r="GRR47" s="63"/>
      <c r="GRS47" s="63"/>
      <c r="GRT47" s="63"/>
      <c r="GRU47" s="63"/>
      <c r="GRV47" s="63"/>
      <c r="GRW47" s="63"/>
      <c r="GRX47" s="63"/>
      <c r="GRY47" s="63"/>
      <c r="GRZ47" s="63"/>
      <c r="GSA47" s="63"/>
      <c r="GSB47" s="63"/>
      <c r="GSC47" s="63"/>
      <c r="GSD47" s="63"/>
      <c r="GSE47" s="63"/>
      <c r="GSF47" s="63"/>
      <c r="GSG47" s="63"/>
      <c r="GSH47" s="63"/>
      <c r="GSI47" s="63"/>
      <c r="GSJ47" s="63"/>
      <c r="GSK47" s="63"/>
      <c r="GSL47" s="63"/>
      <c r="GSM47" s="63"/>
      <c r="GSN47" s="63"/>
      <c r="GSO47" s="63"/>
      <c r="GSP47" s="63"/>
      <c r="GSQ47" s="63"/>
      <c r="GSR47" s="63"/>
      <c r="GSS47" s="63"/>
      <c r="GST47" s="63"/>
      <c r="GSU47" s="63"/>
      <c r="GSV47" s="63"/>
      <c r="GSW47" s="63"/>
      <c r="GSX47" s="63"/>
      <c r="GSY47" s="63"/>
      <c r="GSZ47" s="63"/>
      <c r="GTA47" s="63"/>
      <c r="GTB47" s="63"/>
      <c r="GTC47" s="63"/>
      <c r="GTD47" s="63"/>
      <c r="GTE47" s="63"/>
      <c r="GTF47" s="63"/>
      <c r="GTG47" s="63"/>
      <c r="GTH47" s="63"/>
      <c r="GTI47" s="63"/>
      <c r="GTJ47" s="63"/>
      <c r="GTK47" s="63"/>
      <c r="GTL47" s="63"/>
      <c r="GTM47" s="63"/>
      <c r="GTN47" s="63"/>
      <c r="GTO47" s="63"/>
      <c r="GTP47" s="63"/>
      <c r="GTQ47" s="63"/>
      <c r="GTR47" s="63"/>
      <c r="GTS47" s="63"/>
      <c r="GTT47" s="63"/>
      <c r="GTU47" s="63"/>
      <c r="GTV47" s="63"/>
      <c r="GTW47" s="63"/>
      <c r="GTX47" s="63"/>
      <c r="GTY47" s="63"/>
      <c r="GTZ47" s="63"/>
      <c r="GUA47" s="63"/>
      <c r="GUB47" s="63"/>
      <c r="GUC47" s="63"/>
      <c r="GUD47" s="63"/>
      <c r="GUE47" s="63"/>
      <c r="GUF47" s="63"/>
      <c r="GUG47" s="63"/>
      <c r="GUH47" s="63"/>
      <c r="GUI47" s="63"/>
      <c r="GUJ47" s="63"/>
      <c r="GUK47" s="63"/>
      <c r="GUL47" s="63"/>
      <c r="GUM47" s="63"/>
      <c r="GUN47" s="63"/>
      <c r="GUO47" s="63"/>
      <c r="GUP47" s="63"/>
      <c r="GUQ47" s="63"/>
      <c r="GUR47" s="63"/>
      <c r="GUS47" s="63"/>
      <c r="GUT47" s="63"/>
      <c r="GUU47" s="63"/>
      <c r="GUV47" s="63"/>
      <c r="GUW47" s="63"/>
      <c r="GUX47" s="63"/>
      <c r="GUY47" s="63"/>
      <c r="GUZ47" s="63"/>
      <c r="GVA47" s="63"/>
      <c r="GVB47" s="63"/>
      <c r="GVC47" s="63"/>
      <c r="GVD47" s="63"/>
      <c r="GVE47" s="63"/>
      <c r="GVF47" s="63"/>
      <c r="GVG47" s="63"/>
      <c r="GVH47" s="63"/>
      <c r="GVI47" s="63"/>
      <c r="GVJ47" s="63"/>
      <c r="GVK47" s="63"/>
      <c r="GVL47" s="63"/>
      <c r="GVM47" s="63"/>
      <c r="GVN47" s="63"/>
      <c r="GVO47" s="63"/>
      <c r="GVP47" s="63"/>
      <c r="GVQ47" s="63"/>
      <c r="GVR47" s="63"/>
      <c r="GVS47" s="63"/>
      <c r="GVT47" s="63"/>
      <c r="GVU47" s="63"/>
      <c r="GVV47" s="63"/>
      <c r="GVW47" s="63"/>
      <c r="GVX47" s="63"/>
      <c r="GVY47" s="63"/>
      <c r="GVZ47" s="63"/>
      <c r="GWA47" s="63"/>
      <c r="GWB47" s="63"/>
      <c r="GWC47" s="63"/>
      <c r="GWD47" s="63"/>
      <c r="GWE47" s="63"/>
      <c r="GWF47" s="63"/>
      <c r="GWG47" s="63"/>
      <c r="GWH47" s="63"/>
      <c r="GWI47" s="63"/>
      <c r="GWJ47" s="63"/>
      <c r="GWK47" s="63"/>
      <c r="GWL47" s="63"/>
      <c r="GWM47" s="63"/>
      <c r="GWN47" s="63"/>
      <c r="GWO47" s="63"/>
      <c r="GWP47" s="63"/>
      <c r="GWQ47" s="63"/>
      <c r="GWR47" s="63"/>
      <c r="GWS47" s="63"/>
      <c r="GWT47" s="63"/>
      <c r="GWU47" s="63"/>
      <c r="GWV47" s="63"/>
      <c r="GWW47" s="63"/>
      <c r="GWX47" s="63"/>
      <c r="GWY47" s="63"/>
      <c r="GWZ47" s="63"/>
      <c r="GXA47" s="63"/>
      <c r="GXB47" s="63"/>
      <c r="GXC47" s="63"/>
      <c r="GXD47" s="63"/>
      <c r="GXE47" s="63"/>
      <c r="GXF47" s="63"/>
      <c r="GXG47" s="63"/>
      <c r="GXH47" s="63"/>
      <c r="GXI47" s="63"/>
      <c r="GXJ47" s="63"/>
      <c r="GXK47" s="63"/>
      <c r="GXL47" s="63"/>
      <c r="GXM47" s="63"/>
      <c r="GXN47" s="63"/>
      <c r="GXO47" s="63"/>
      <c r="GXP47" s="63"/>
      <c r="GXQ47" s="63"/>
      <c r="GXR47" s="63"/>
      <c r="GXS47" s="63"/>
      <c r="GXT47" s="63"/>
      <c r="GXU47" s="63"/>
      <c r="GXV47" s="63"/>
      <c r="GXW47" s="63"/>
      <c r="GXX47" s="63"/>
      <c r="GXY47" s="63"/>
      <c r="GXZ47" s="63"/>
      <c r="GYA47" s="63"/>
      <c r="GYB47" s="63"/>
      <c r="GYC47" s="63"/>
      <c r="GYD47" s="63"/>
      <c r="GYE47" s="63"/>
      <c r="GYF47" s="63"/>
      <c r="GYG47" s="63"/>
      <c r="GYH47" s="63"/>
      <c r="GYI47" s="63"/>
      <c r="GYJ47" s="63"/>
      <c r="GYK47" s="63"/>
      <c r="GYL47" s="63"/>
      <c r="GYM47" s="63"/>
      <c r="GYN47" s="63"/>
      <c r="GYO47" s="63"/>
      <c r="GYP47" s="63"/>
      <c r="GYQ47" s="63"/>
      <c r="GYR47" s="63"/>
      <c r="GYS47" s="63"/>
      <c r="GYT47" s="63"/>
      <c r="GYU47" s="63"/>
      <c r="GYV47" s="63"/>
      <c r="GYW47" s="63"/>
      <c r="GYX47" s="63"/>
      <c r="GYY47" s="63"/>
      <c r="GYZ47" s="63"/>
      <c r="GZA47" s="63"/>
      <c r="GZB47" s="63"/>
      <c r="GZC47" s="63"/>
      <c r="GZD47" s="63"/>
      <c r="GZE47" s="63"/>
      <c r="GZF47" s="63"/>
      <c r="GZG47" s="63"/>
      <c r="GZH47" s="63"/>
      <c r="GZI47" s="63"/>
      <c r="GZJ47" s="63"/>
      <c r="GZK47" s="63"/>
      <c r="GZL47" s="63"/>
      <c r="GZM47" s="63"/>
      <c r="GZN47" s="63"/>
      <c r="GZO47" s="63"/>
      <c r="GZP47" s="63"/>
      <c r="GZQ47" s="63"/>
      <c r="GZR47" s="63"/>
      <c r="GZS47" s="63"/>
      <c r="GZT47" s="63"/>
      <c r="GZU47" s="63"/>
      <c r="GZV47" s="63"/>
      <c r="GZW47" s="63"/>
      <c r="GZX47" s="63"/>
      <c r="GZY47" s="63"/>
      <c r="GZZ47" s="63"/>
      <c r="HAA47" s="63"/>
      <c r="HAB47" s="63"/>
      <c r="HAC47" s="63"/>
      <c r="HAD47" s="63"/>
      <c r="HAE47" s="63"/>
      <c r="HAF47" s="63"/>
      <c r="HAG47" s="63"/>
      <c r="HAH47" s="63"/>
      <c r="HAI47" s="63"/>
      <c r="HAJ47" s="63"/>
      <c r="HAK47" s="63"/>
      <c r="HAL47" s="63"/>
      <c r="HAM47" s="63"/>
      <c r="HAN47" s="63"/>
      <c r="HAO47" s="63"/>
      <c r="HAP47" s="63"/>
      <c r="HAQ47" s="63"/>
      <c r="HAR47" s="63"/>
      <c r="HAS47" s="63"/>
      <c r="HAT47" s="63"/>
      <c r="HAU47" s="63"/>
      <c r="HAV47" s="63"/>
      <c r="HAW47" s="63"/>
      <c r="HAX47" s="63"/>
      <c r="HAY47" s="63"/>
      <c r="HAZ47" s="63"/>
      <c r="HBA47" s="63"/>
      <c r="HBB47" s="63"/>
      <c r="HBC47" s="63"/>
      <c r="HBD47" s="63"/>
      <c r="HBE47" s="63"/>
      <c r="HBF47" s="63"/>
      <c r="HBG47" s="63"/>
      <c r="HBH47" s="63"/>
      <c r="HBI47" s="63"/>
      <c r="HBJ47" s="63"/>
      <c r="HBK47" s="63"/>
      <c r="HBL47" s="63"/>
      <c r="HBM47" s="63"/>
      <c r="HBN47" s="63"/>
      <c r="HBO47" s="63"/>
      <c r="HBP47" s="63"/>
      <c r="HBQ47" s="63"/>
      <c r="HBR47" s="63"/>
      <c r="HBS47" s="63"/>
      <c r="HBT47" s="63"/>
      <c r="HBU47" s="63"/>
      <c r="HBV47" s="63"/>
      <c r="HBW47" s="63"/>
      <c r="HBX47" s="63"/>
      <c r="HBY47" s="63"/>
      <c r="HBZ47" s="63"/>
      <c r="HCA47" s="63"/>
      <c r="HCB47" s="63"/>
      <c r="HCC47" s="63"/>
      <c r="HCD47" s="63"/>
      <c r="HCE47" s="63"/>
      <c r="HCF47" s="63"/>
      <c r="HCG47" s="63"/>
      <c r="HCH47" s="63"/>
      <c r="HCI47" s="63"/>
      <c r="HCJ47" s="63"/>
      <c r="HCK47" s="63"/>
      <c r="HCL47" s="63"/>
      <c r="HCM47" s="63"/>
      <c r="HCN47" s="63"/>
      <c r="HCO47" s="63"/>
      <c r="HCP47" s="63"/>
      <c r="HCQ47" s="63"/>
      <c r="HCR47" s="63"/>
      <c r="HCS47" s="63"/>
      <c r="HCT47" s="63"/>
      <c r="HCU47" s="63"/>
      <c r="HCV47" s="63"/>
      <c r="HCW47" s="63"/>
      <c r="HCX47" s="63"/>
      <c r="HCY47" s="63"/>
      <c r="HCZ47" s="63"/>
      <c r="HDA47" s="63"/>
      <c r="HDB47" s="63"/>
      <c r="HDC47" s="63"/>
      <c r="HDD47" s="63"/>
      <c r="HDE47" s="63"/>
      <c r="HDF47" s="63"/>
      <c r="HDG47" s="63"/>
      <c r="HDH47" s="63"/>
      <c r="HDI47" s="63"/>
      <c r="HDJ47" s="63"/>
      <c r="HDK47" s="63"/>
      <c r="HDL47" s="63"/>
      <c r="HDM47" s="63"/>
      <c r="HDN47" s="63"/>
      <c r="HDO47" s="63"/>
      <c r="HDP47" s="63"/>
      <c r="HDQ47" s="63"/>
      <c r="HDR47" s="63"/>
      <c r="HDS47" s="63"/>
      <c r="HDT47" s="63"/>
      <c r="HDU47" s="63"/>
      <c r="HDV47" s="63"/>
      <c r="HDW47" s="63"/>
      <c r="HDX47" s="63"/>
      <c r="HDY47" s="63"/>
      <c r="HDZ47" s="63"/>
      <c r="HEA47" s="63"/>
      <c r="HEB47" s="63"/>
      <c r="HEC47" s="63"/>
      <c r="HED47" s="63"/>
      <c r="HEE47" s="63"/>
      <c r="HEF47" s="63"/>
      <c r="HEG47" s="63"/>
      <c r="HEH47" s="63"/>
      <c r="HEI47" s="63"/>
      <c r="HEJ47" s="63"/>
      <c r="HEK47" s="63"/>
      <c r="HEL47" s="63"/>
      <c r="HEM47" s="63"/>
      <c r="HEN47" s="63"/>
      <c r="HEO47" s="63"/>
      <c r="HEP47" s="63"/>
      <c r="HEQ47" s="63"/>
      <c r="HER47" s="63"/>
      <c r="HES47" s="63"/>
      <c r="HET47" s="63"/>
      <c r="HEU47" s="63"/>
      <c r="HEV47" s="63"/>
      <c r="HEW47" s="63"/>
      <c r="HEX47" s="63"/>
      <c r="HEY47" s="63"/>
      <c r="HEZ47" s="63"/>
      <c r="HFA47" s="63"/>
      <c r="HFB47" s="63"/>
      <c r="HFC47" s="63"/>
      <c r="HFD47" s="63"/>
      <c r="HFE47" s="63"/>
      <c r="HFF47" s="63"/>
      <c r="HFG47" s="63"/>
      <c r="HFH47" s="63"/>
      <c r="HFI47" s="63"/>
      <c r="HFJ47" s="63"/>
      <c r="HFK47" s="63"/>
      <c r="HFL47" s="63"/>
      <c r="HFM47" s="63"/>
      <c r="HFN47" s="63"/>
      <c r="HFO47" s="63"/>
      <c r="HFP47" s="63"/>
      <c r="HFQ47" s="63"/>
      <c r="HFR47" s="63"/>
      <c r="HFS47" s="63"/>
      <c r="HFT47" s="63"/>
      <c r="HFU47" s="63"/>
      <c r="HFV47" s="63"/>
      <c r="HFW47" s="63"/>
      <c r="HFX47" s="63"/>
      <c r="HFY47" s="63"/>
      <c r="HFZ47" s="63"/>
      <c r="HGA47" s="63"/>
      <c r="HGB47" s="63"/>
      <c r="HGC47" s="63"/>
      <c r="HGD47" s="63"/>
      <c r="HGE47" s="63"/>
      <c r="HGF47" s="63"/>
      <c r="HGG47" s="63"/>
      <c r="HGH47" s="63"/>
      <c r="HGI47" s="63"/>
      <c r="HGJ47" s="63"/>
      <c r="HGK47" s="63"/>
      <c r="HGL47" s="63"/>
      <c r="HGM47" s="63"/>
      <c r="HGN47" s="63"/>
      <c r="HGO47" s="63"/>
      <c r="HGP47" s="63"/>
      <c r="HGQ47" s="63"/>
      <c r="HGR47" s="63"/>
      <c r="HGS47" s="63"/>
      <c r="HGT47" s="63"/>
      <c r="HGU47" s="63"/>
      <c r="HGV47" s="63"/>
      <c r="HGW47" s="63"/>
      <c r="HGX47" s="63"/>
      <c r="HGY47" s="63"/>
      <c r="HGZ47" s="63"/>
      <c r="HHA47" s="63"/>
      <c r="HHB47" s="63"/>
      <c r="HHC47" s="63"/>
      <c r="HHD47" s="63"/>
      <c r="HHE47" s="63"/>
      <c r="HHF47" s="63"/>
      <c r="HHG47" s="63"/>
      <c r="HHH47" s="63"/>
      <c r="HHI47" s="63"/>
      <c r="HHJ47" s="63"/>
      <c r="HHK47" s="63"/>
      <c r="HHL47" s="63"/>
      <c r="HHM47" s="63"/>
      <c r="HHN47" s="63"/>
      <c r="HHO47" s="63"/>
      <c r="HHP47" s="63"/>
      <c r="HHQ47" s="63"/>
      <c r="HHR47" s="63"/>
      <c r="HHS47" s="63"/>
      <c r="HHT47" s="63"/>
      <c r="HHU47" s="63"/>
      <c r="HHV47" s="63"/>
      <c r="HHW47" s="63"/>
      <c r="HHX47" s="63"/>
      <c r="HHY47" s="63"/>
      <c r="HHZ47" s="63"/>
      <c r="HIA47" s="63"/>
      <c r="HIB47" s="63"/>
      <c r="HIC47" s="63"/>
      <c r="HID47" s="63"/>
      <c r="HIE47" s="63"/>
      <c r="HIF47" s="63"/>
      <c r="HIG47" s="63"/>
      <c r="HIH47" s="63"/>
      <c r="HII47" s="63"/>
      <c r="HIJ47" s="63"/>
      <c r="HIK47" s="63"/>
      <c r="HIL47" s="63"/>
      <c r="HIM47" s="63"/>
      <c r="HIN47" s="63"/>
      <c r="HIO47" s="63"/>
      <c r="HIP47" s="63"/>
      <c r="HIQ47" s="63"/>
      <c r="HIR47" s="63"/>
      <c r="HIS47" s="63"/>
      <c r="HIT47" s="63"/>
      <c r="HIU47" s="63"/>
      <c r="HIV47" s="63"/>
      <c r="HIW47" s="63"/>
      <c r="HIX47" s="63"/>
      <c r="HIY47" s="63"/>
      <c r="HIZ47" s="63"/>
      <c r="HJA47" s="63"/>
      <c r="HJB47" s="63"/>
      <c r="HJC47" s="63"/>
      <c r="HJD47" s="63"/>
      <c r="HJE47" s="63"/>
      <c r="HJF47" s="63"/>
      <c r="HJG47" s="63"/>
      <c r="HJH47" s="63"/>
      <c r="HJI47" s="63"/>
      <c r="HJJ47" s="63"/>
      <c r="HJK47" s="63"/>
      <c r="HJL47" s="63"/>
      <c r="HJM47" s="63"/>
      <c r="HJN47" s="63"/>
      <c r="HJO47" s="63"/>
      <c r="HJP47" s="63"/>
      <c r="HJQ47" s="63"/>
      <c r="HJR47" s="63"/>
      <c r="HJS47" s="63"/>
      <c r="HJT47" s="63"/>
      <c r="HJU47" s="63"/>
      <c r="HJV47" s="63"/>
      <c r="HJW47" s="63"/>
      <c r="HJX47" s="63"/>
      <c r="HJY47" s="63"/>
      <c r="HJZ47" s="63"/>
      <c r="HKA47" s="63"/>
      <c r="HKB47" s="63"/>
      <c r="HKC47" s="63"/>
      <c r="HKD47" s="63"/>
      <c r="HKE47" s="63"/>
      <c r="HKF47" s="63"/>
      <c r="HKG47" s="63"/>
      <c r="HKH47" s="63"/>
      <c r="HKI47" s="63"/>
      <c r="HKJ47" s="63"/>
      <c r="HKK47" s="63"/>
      <c r="HKL47" s="63"/>
      <c r="HKM47" s="63"/>
      <c r="HKN47" s="63"/>
      <c r="HKO47" s="63"/>
      <c r="HKP47" s="63"/>
      <c r="HKQ47" s="63"/>
      <c r="HKR47" s="63"/>
      <c r="HKS47" s="63"/>
      <c r="HKT47" s="63"/>
      <c r="HKU47" s="63"/>
      <c r="HKV47" s="63"/>
      <c r="HKW47" s="63"/>
      <c r="HKX47" s="63"/>
      <c r="HKY47" s="63"/>
      <c r="HKZ47" s="63"/>
      <c r="HLA47" s="63"/>
      <c r="HLB47" s="63"/>
      <c r="HLC47" s="63"/>
      <c r="HLD47" s="63"/>
      <c r="HLE47" s="63"/>
      <c r="HLF47" s="63"/>
      <c r="HLG47" s="63"/>
      <c r="HLH47" s="63"/>
      <c r="HLI47" s="63"/>
      <c r="HLJ47" s="63"/>
      <c r="HLK47" s="63"/>
      <c r="HLL47" s="63"/>
      <c r="HLM47" s="63"/>
      <c r="HLN47" s="63"/>
      <c r="HLO47" s="63"/>
      <c r="HLP47" s="63"/>
      <c r="HLQ47" s="63"/>
      <c r="HLR47" s="63"/>
      <c r="HLS47" s="63"/>
      <c r="HLT47" s="63"/>
      <c r="HLU47" s="63"/>
      <c r="HLV47" s="63"/>
      <c r="HLW47" s="63"/>
      <c r="HLX47" s="63"/>
      <c r="HLY47" s="63"/>
      <c r="HLZ47" s="63"/>
      <c r="HMA47" s="63"/>
      <c r="HMB47" s="63"/>
      <c r="HMC47" s="63"/>
      <c r="HMD47" s="63"/>
      <c r="HME47" s="63"/>
      <c r="HMF47" s="63"/>
      <c r="HMG47" s="63"/>
      <c r="HMH47" s="63"/>
      <c r="HMI47" s="63"/>
      <c r="HMJ47" s="63"/>
      <c r="HMK47" s="63"/>
      <c r="HML47" s="63"/>
      <c r="HMM47" s="63"/>
      <c r="HMN47" s="63"/>
      <c r="HMO47" s="63"/>
      <c r="HMP47" s="63"/>
      <c r="HMQ47" s="63"/>
      <c r="HMR47" s="63"/>
      <c r="HMS47" s="63"/>
      <c r="HMT47" s="63"/>
      <c r="HMU47" s="63"/>
      <c r="HMV47" s="63"/>
      <c r="HMW47" s="63"/>
      <c r="HMX47" s="63"/>
      <c r="HMY47" s="63"/>
      <c r="HMZ47" s="63"/>
      <c r="HNA47" s="63"/>
      <c r="HNB47" s="63"/>
      <c r="HNC47" s="63"/>
      <c r="HND47" s="63"/>
      <c r="HNE47" s="63"/>
      <c r="HNF47" s="63"/>
      <c r="HNG47" s="63"/>
      <c r="HNH47" s="63"/>
      <c r="HNI47" s="63"/>
      <c r="HNJ47" s="63"/>
      <c r="HNK47" s="63"/>
      <c r="HNL47" s="63"/>
      <c r="HNM47" s="63"/>
      <c r="HNN47" s="63"/>
      <c r="HNO47" s="63"/>
      <c r="HNP47" s="63"/>
      <c r="HNQ47" s="63"/>
      <c r="HNR47" s="63"/>
      <c r="HNS47" s="63"/>
      <c r="HNT47" s="63"/>
      <c r="HNU47" s="63"/>
      <c r="HNV47" s="63"/>
      <c r="HNW47" s="63"/>
      <c r="HNX47" s="63"/>
      <c r="HNY47" s="63"/>
      <c r="HNZ47" s="63"/>
      <c r="HOA47" s="63"/>
      <c r="HOB47" s="63"/>
      <c r="HOC47" s="63"/>
      <c r="HOD47" s="63"/>
      <c r="HOE47" s="63"/>
      <c r="HOF47" s="63"/>
      <c r="HOG47" s="63"/>
      <c r="HOH47" s="63"/>
      <c r="HOI47" s="63"/>
      <c r="HOJ47" s="63"/>
      <c r="HOK47" s="63"/>
      <c r="HOL47" s="63"/>
      <c r="HOM47" s="63"/>
      <c r="HON47" s="63"/>
      <c r="HOO47" s="63"/>
      <c r="HOP47" s="63"/>
      <c r="HOQ47" s="63"/>
      <c r="HOR47" s="63"/>
      <c r="HOS47" s="63"/>
      <c r="HOT47" s="63"/>
      <c r="HOU47" s="63"/>
      <c r="HOV47" s="63"/>
      <c r="HOW47" s="63"/>
      <c r="HOX47" s="63"/>
      <c r="HOY47" s="63"/>
      <c r="HOZ47" s="63"/>
      <c r="HPA47" s="63"/>
      <c r="HPB47" s="63"/>
      <c r="HPC47" s="63"/>
      <c r="HPD47" s="63"/>
      <c r="HPE47" s="63"/>
      <c r="HPF47" s="63"/>
      <c r="HPG47" s="63"/>
      <c r="HPH47" s="63"/>
      <c r="HPI47" s="63"/>
      <c r="HPJ47" s="63"/>
      <c r="HPK47" s="63"/>
      <c r="HPL47" s="63"/>
      <c r="HPM47" s="63"/>
      <c r="HPN47" s="63"/>
      <c r="HPO47" s="63"/>
      <c r="HPP47" s="63"/>
      <c r="HPQ47" s="63"/>
      <c r="HPR47" s="63"/>
      <c r="HPS47" s="63"/>
      <c r="HPT47" s="63"/>
      <c r="HPU47" s="63"/>
      <c r="HPV47" s="63"/>
      <c r="HPW47" s="63"/>
      <c r="HPX47" s="63"/>
      <c r="HPY47" s="63"/>
      <c r="HPZ47" s="63"/>
      <c r="HQA47" s="63"/>
      <c r="HQB47" s="63"/>
      <c r="HQC47" s="63"/>
      <c r="HQD47" s="63"/>
      <c r="HQE47" s="63"/>
      <c r="HQF47" s="63"/>
      <c r="HQG47" s="63"/>
      <c r="HQH47" s="63"/>
      <c r="HQI47" s="63"/>
      <c r="HQJ47" s="63"/>
      <c r="HQK47" s="63"/>
      <c r="HQL47" s="63"/>
      <c r="HQM47" s="63"/>
      <c r="HQN47" s="63"/>
      <c r="HQO47" s="63"/>
      <c r="HQP47" s="63"/>
      <c r="HQQ47" s="63"/>
      <c r="HQR47" s="63"/>
      <c r="HQS47" s="63"/>
      <c r="HQT47" s="63"/>
      <c r="HQU47" s="63"/>
      <c r="HQV47" s="63"/>
      <c r="HQW47" s="63"/>
      <c r="HQX47" s="63"/>
      <c r="HQY47" s="63"/>
      <c r="HQZ47" s="63"/>
      <c r="HRA47" s="63"/>
      <c r="HRB47" s="63"/>
      <c r="HRC47" s="63"/>
      <c r="HRD47" s="63"/>
      <c r="HRE47" s="63"/>
      <c r="HRF47" s="63"/>
      <c r="HRG47" s="63"/>
      <c r="HRH47" s="63"/>
      <c r="HRI47" s="63"/>
      <c r="HRJ47" s="63"/>
      <c r="HRK47" s="63"/>
      <c r="HRL47" s="63"/>
      <c r="HRM47" s="63"/>
      <c r="HRN47" s="63"/>
      <c r="HRO47" s="63"/>
      <c r="HRP47" s="63"/>
      <c r="HRQ47" s="63"/>
      <c r="HRR47" s="63"/>
      <c r="HRS47" s="63"/>
      <c r="HRT47" s="63"/>
      <c r="HRU47" s="63"/>
      <c r="HRV47" s="63"/>
      <c r="HRW47" s="63"/>
      <c r="HRX47" s="63"/>
      <c r="HRY47" s="63"/>
      <c r="HRZ47" s="63"/>
      <c r="HSA47" s="63"/>
      <c r="HSB47" s="63"/>
      <c r="HSC47" s="63"/>
      <c r="HSD47" s="63"/>
      <c r="HSE47" s="63"/>
      <c r="HSF47" s="63"/>
      <c r="HSG47" s="63"/>
      <c r="HSH47" s="63"/>
      <c r="HSI47" s="63"/>
      <c r="HSJ47" s="63"/>
      <c r="HSK47" s="63"/>
      <c r="HSL47" s="63"/>
      <c r="HSM47" s="63"/>
      <c r="HSN47" s="63"/>
      <c r="HSO47" s="63"/>
      <c r="HSP47" s="63"/>
      <c r="HSQ47" s="63"/>
      <c r="HSR47" s="63"/>
      <c r="HSS47" s="63"/>
      <c r="HST47" s="63"/>
      <c r="HSU47" s="63"/>
      <c r="HSV47" s="63"/>
      <c r="HSW47" s="63"/>
      <c r="HSX47" s="63"/>
      <c r="HSY47" s="63"/>
      <c r="HSZ47" s="63"/>
      <c r="HTA47" s="63"/>
      <c r="HTB47" s="63"/>
      <c r="HTC47" s="63"/>
      <c r="HTD47" s="63"/>
      <c r="HTE47" s="63"/>
      <c r="HTF47" s="63"/>
      <c r="HTG47" s="63"/>
      <c r="HTH47" s="63"/>
      <c r="HTI47" s="63"/>
      <c r="HTJ47" s="63"/>
      <c r="HTK47" s="63"/>
      <c r="HTL47" s="63"/>
      <c r="HTM47" s="63"/>
      <c r="HTN47" s="63"/>
      <c r="HTO47" s="63"/>
      <c r="HTP47" s="63"/>
      <c r="HTQ47" s="63"/>
      <c r="HTR47" s="63"/>
      <c r="HTS47" s="63"/>
      <c r="HTT47" s="63"/>
      <c r="HTU47" s="63"/>
      <c r="HTV47" s="63"/>
      <c r="HTW47" s="63"/>
      <c r="HTX47" s="63"/>
      <c r="HTY47" s="63"/>
      <c r="HTZ47" s="63"/>
      <c r="HUA47" s="63"/>
      <c r="HUB47" s="63"/>
      <c r="HUC47" s="63"/>
      <c r="HUD47" s="63"/>
      <c r="HUE47" s="63"/>
      <c r="HUF47" s="63"/>
      <c r="HUG47" s="63"/>
      <c r="HUH47" s="63"/>
      <c r="HUI47" s="63"/>
      <c r="HUJ47" s="63"/>
      <c r="HUK47" s="63"/>
      <c r="HUL47" s="63"/>
      <c r="HUM47" s="63"/>
      <c r="HUN47" s="63"/>
      <c r="HUO47" s="63"/>
      <c r="HUP47" s="63"/>
      <c r="HUQ47" s="63"/>
      <c r="HUR47" s="63"/>
      <c r="HUS47" s="63"/>
      <c r="HUT47" s="63"/>
      <c r="HUU47" s="63"/>
      <c r="HUV47" s="63"/>
      <c r="HUW47" s="63"/>
      <c r="HUX47" s="63"/>
      <c r="HUY47" s="63"/>
      <c r="HUZ47" s="63"/>
      <c r="HVA47" s="63"/>
      <c r="HVB47" s="63"/>
      <c r="HVC47" s="63"/>
      <c r="HVD47" s="63"/>
      <c r="HVE47" s="63"/>
      <c r="HVF47" s="63"/>
      <c r="HVG47" s="63"/>
      <c r="HVH47" s="63"/>
      <c r="HVI47" s="63"/>
      <c r="HVJ47" s="63"/>
      <c r="HVK47" s="63"/>
      <c r="HVL47" s="63"/>
      <c r="HVM47" s="63"/>
      <c r="HVN47" s="63"/>
      <c r="HVO47" s="63"/>
      <c r="HVP47" s="63"/>
      <c r="HVQ47" s="63"/>
      <c r="HVR47" s="63"/>
      <c r="HVS47" s="63"/>
      <c r="HVT47" s="63"/>
      <c r="HVU47" s="63"/>
      <c r="HVV47" s="63"/>
      <c r="HVW47" s="63"/>
      <c r="HVX47" s="63"/>
      <c r="HVY47" s="63"/>
      <c r="HVZ47" s="63"/>
      <c r="HWA47" s="63"/>
      <c r="HWB47" s="63"/>
      <c r="HWC47" s="63"/>
      <c r="HWD47" s="63"/>
      <c r="HWE47" s="63"/>
      <c r="HWF47" s="63"/>
      <c r="HWG47" s="63"/>
      <c r="HWH47" s="63"/>
      <c r="HWI47" s="63"/>
      <c r="HWJ47" s="63"/>
      <c r="HWK47" s="63"/>
      <c r="HWL47" s="63"/>
      <c r="HWM47" s="63"/>
      <c r="HWN47" s="63"/>
      <c r="HWO47" s="63"/>
      <c r="HWP47" s="63"/>
      <c r="HWQ47" s="63"/>
      <c r="HWR47" s="63"/>
      <c r="HWS47" s="63"/>
      <c r="HWT47" s="63"/>
      <c r="HWU47" s="63"/>
      <c r="HWV47" s="63"/>
      <c r="HWW47" s="63"/>
      <c r="HWX47" s="63"/>
      <c r="HWY47" s="63"/>
      <c r="HWZ47" s="63"/>
      <c r="HXA47" s="63"/>
      <c r="HXB47" s="63"/>
      <c r="HXC47" s="63"/>
      <c r="HXD47" s="63"/>
      <c r="HXE47" s="63"/>
      <c r="HXF47" s="63"/>
      <c r="HXG47" s="63"/>
      <c r="HXH47" s="63"/>
      <c r="HXI47" s="63"/>
      <c r="HXJ47" s="63"/>
      <c r="HXK47" s="63"/>
      <c r="HXL47" s="63"/>
      <c r="HXM47" s="63"/>
      <c r="HXN47" s="63"/>
      <c r="HXO47" s="63"/>
      <c r="HXP47" s="63"/>
      <c r="HXQ47" s="63"/>
      <c r="HXR47" s="63"/>
      <c r="HXS47" s="63"/>
      <c r="HXT47" s="63"/>
      <c r="HXU47" s="63"/>
      <c r="HXV47" s="63"/>
      <c r="HXW47" s="63"/>
      <c r="HXX47" s="63"/>
      <c r="HXY47" s="63"/>
      <c r="HXZ47" s="63"/>
      <c r="HYA47" s="63"/>
      <c r="HYB47" s="63"/>
      <c r="HYC47" s="63"/>
      <c r="HYD47" s="63"/>
      <c r="HYE47" s="63"/>
      <c r="HYF47" s="63"/>
      <c r="HYG47" s="63"/>
      <c r="HYH47" s="63"/>
      <c r="HYI47" s="63"/>
      <c r="HYJ47" s="63"/>
      <c r="HYK47" s="63"/>
      <c r="HYL47" s="63"/>
      <c r="HYM47" s="63"/>
      <c r="HYN47" s="63"/>
      <c r="HYO47" s="63"/>
      <c r="HYP47" s="63"/>
      <c r="HYQ47" s="63"/>
      <c r="HYR47" s="63"/>
      <c r="HYS47" s="63"/>
      <c r="HYT47" s="63"/>
      <c r="HYU47" s="63"/>
      <c r="HYV47" s="63"/>
      <c r="HYW47" s="63"/>
      <c r="HYX47" s="63"/>
      <c r="HYY47" s="63"/>
      <c r="HYZ47" s="63"/>
      <c r="HZA47" s="63"/>
      <c r="HZB47" s="63"/>
      <c r="HZC47" s="63"/>
      <c r="HZD47" s="63"/>
      <c r="HZE47" s="63"/>
      <c r="HZF47" s="63"/>
      <c r="HZG47" s="63"/>
      <c r="HZH47" s="63"/>
      <c r="HZI47" s="63"/>
      <c r="HZJ47" s="63"/>
      <c r="HZK47" s="63"/>
      <c r="HZL47" s="63"/>
      <c r="HZM47" s="63"/>
      <c r="HZN47" s="63"/>
      <c r="HZO47" s="63"/>
      <c r="HZP47" s="63"/>
      <c r="HZQ47" s="63"/>
      <c r="HZR47" s="63"/>
      <c r="HZS47" s="63"/>
      <c r="HZT47" s="63"/>
      <c r="HZU47" s="63"/>
      <c r="HZV47" s="63"/>
      <c r="HZW47" s="63"/>
      <c r="HZX47" s="63"/>
      <c r="HZY47" s="63"/>
      <c r="HZZ47" s="63"/>
      <c r="IAA47" s="63"/>
      <c r="IAB47" s="63"/>
      <c r="IAC47" s="63"/>
      <c r="IAD47" s="63"/>
      <c r="IAE47" s="63"/>
      <c r="IAF47" s="63"/>
      <c r="IAG47" s="63"/>
      <c r="IAH47" s="63"/>
      <c r="IAI47" s="63"/>
      <c r="IAJ47" s="63"/>
      <c r="IAK47" s="63"/>
      <c r="IAL47" s="63"/>
      <c r="IAM47" s="63"/>
      <c r="IAN47" s="63"/>
      <c r="IAO47" s="63"/>
      <c r="IAP47" s="63"/>
      <c r="IAQ47" s="63"/>
      <c r="IAR47" s="63"/>
      <c r="IAS47" s="63"/>
      <c r="IAT47" s="63"/>
      <c r="IAU47" s="63"/>
      <c r="IAV47" s="63"/>
      <c r="IAW47" s="63"/>
      <c r="IAX47" s="63"/>
      <c r="IAY47" s="63"/>
      <c r="IAZ47" s="63"/>
      <c r="IBA47" s="63"/>
      <c r="IBB47" s="63"/>
      <c r="IBC47" s="63"/>
      <c r="IBD47" s="63"/>
      <c r="IBE47" s="63"/>
      <c r="IBF47" s="63"/>
      <c r="IBG47" s="63"/>
      <c r="IBH47" s="63"/>
      <c r="IBI47" s="63"/>
      <c r="IBJ47" s="63"/>
      <c r="IBK47" s="63"/>
      <c r="IBL47" s="63"/>
      <c r="IBM47" s="63"/>
      <c r="IBN47" s="63"/>
      <c r="IBO47" s="63"/>
      <c r="IBP47" s="63"/>
      <c r="IBQ47" s="63"/>
      <c r="IBR47" s="63"/>
      <c r="IBS47" s="63"/>
      <c r="IBT47" s="63"/>
      <c r="IBU47" s="63"/>
      <c r="IBV47" s="63"/>
      <c r="IBW47" s="63"/>
      <c r="IBX47" s="63"/>
      <c r="IBY47" s="63"/>
      <c r="IBZ47" s="63"/>
      <c r="ICA47" s="63"/>
      <c r="ICB47" s="63"/>
      <c r="ICC47" s="63"/>
      <c r="ICD47" s="63"/>
      <c r="ICE47" s="63"/>
      <c r="ICF47" s="63"/>
      <c r="ICG47" s="63"/>
      <c r="ICH47" s="63"/>
      <c r="ICI47" s="63"/>
      <c r="ICJ47" s="63"/>
      <c r="ICK47" s="63"/>
      <c r="ICL47" s="63"/>
      <c r="ICM47" s="63"/>
      <c r="ICN47" s="63"/>
      <c r="ICO47" s="63"/>
      <c r="ICP47" s="63"/>
      <c r="ICQ47" s="63"/>
      <c r="ICR47" s="63"/>
      <c r="ICS47" s="63"/>
      <c r="ICT47" s="63"/>
      <c r="ICU47" s="63"/>
      <c r="ICV47" s="63"/>
      <c r="ICW47" s="63"/>
      <c r="ICX47" s="63"/>
      <c r="ICY47" s="63"/>
      <c r="ICZ47" s="63"/>
      <c r="IDA47" s="63"/>
      <c r="IDB47" s="63"/>
      <c r="IDC47" s="63"/>
      <c r="IDD47" s="63"/>
      <c r="IDE47" s="63"/>
      <c r="IDF47" s="63"/>
      <c r="IDG47" s="63"/>
      <c r="IDH47" s="63"/>
      <c r="IDI47" s="63"/>
      <c r="IDJ47" s="63"/>
      <c r="IDK47" s="63"/>
      <c r="IDL47" s="63"/>
      <c r="IDM47" s="63"/>
      <c r="IDN47" s="63"/>
      <c r="IDO47" s="63"/>
      <c r="IDP47" s="63"/>
      <c r="IDQ47" s="63"/>
      <c r="IDR47" s="63"/>
      <c r="IDS47" s="63"/>
      <c r="IDT47" s="63"/>
      <c r="IDU47" s="63"/>
      <c r="IDV47" s="63"/>
      <c r="IDW47" s="63"/>
      <c r="IDX47" s="63"/>
      <c r="IDY47" s="63"/>
      <c r="IDZ47" s="63"/>
      <c r="IEA47" s="63"/>
      <c r="IEB47" s="63"/>
      <c r="IEC47" s="63"/>
      <c r="IED47" s="63"/>
      <c r="IEE47" s="63"/>
      <c r="IEF47" s="63"/>
      <c r="IEG47" s="63"/>
      <c r="IEH47" s="63"/>
      <c r="IEI47" s="63"/>
      <c r="IEJ47" s="63"/>
      <c r="IEK47" s="63"/>
      <c r="IEL47" s="63"/>
      <c r="IEM47" s="63"/>
      <c r="IEN47" s="63"/>
      <c r="IEO47" s="63"/>
      <c r="IEP47" s="63"/>
      <c r="IEQ47" s="63"/>
      <c r="IER47" s="63"/>
      <c r="IES47" s="63"/>
      <c r="IET47" s="63"/>
      <c r="IEU47" s="63"/>
      <c r="IEV47" s="63"/>
      <c r="IEW47" s="63"/>
      <c r="IEX47" s="63"/>
      <c r="IEY47" s="63"/>
      <c r="IEZ47" s="63"/>
      <c r="IFA47" s="63"/>
      <c r="IFB47" s="63"/>
      <c r="IFC47" s="63"/>
      <c r="IFD47" s="63"/>
      <c r="IFE47" s="63"/>
      <c r="IFF47" s="63"/>
      <c r="IFG47" s="63"/>
      <c r="IFH47" s="63"/>
      <c r="IFI47" s="63"/>
      <c r="IFJ47" s="63"/>
      <c r="IFK47" s="63"/>
      <c r="IFL47" s="63"/>
      <c r="IFM47" s="63"/>
      <c r="IFN47" s="63"/>
      <c r="IFO47" s="63"/>
      <c r="IFP47" s="63"/>
      <c r="IFQ47" s="63"/>
      <c r="IFR47" s="63"/>
      <c r="IFS47" s="63"/>
      <c r="IFT47" s="63"/>
      <c r="IFU47" s="63"/>
      <c r="IFV47" s="63"/>
      <c r="IFW47" s="63"/>
      <c r="IFX47" s="63"/>
      <c r="IFY47" s="63"/>
      <c r="IFZ47" s="63"/>
      <c r="IGA47" s="63"/>
      <c r="IGB47" s="63"/>
      <c r="IGC47" s="63"/>
      <c r="IGD47" s="63"/>
      <c r="IGE47" s="63"/>
      <c r="IGF47" s="63"/>
      <c r="IGG47" s="63"/>
      <c r="IGH47" s="63"/>
      <c r="IGI47" s="63"/>
      <c r="IGJ47" s="63"/>
      <c r="IGK47" s="63"/>
      <c r="IGL47" s="63"/>
      <c r="IGM47" s="63"/>
      <c r="IGN47" s="63"/>
      <c r="IGO47" s="63"/>
      <c r="IGP47" s="63"/>
      <c r="IGQ47" s="63"/>
      <c r="IGR47" s="63"/>
      <c r="IGS47" s="63"/>
      <c r="IGT47" s="63"/>
      <c r="IGU47" s="63"/>
      <c r="IGV47" s="63"/>
      <c r="IGW47" s="63"/>
      <c r="IGX47" s="63"/>
      <c r="IGY47" s="63"/>
      <c r="IGZ47" s="63"/>
      <c r="IHA47" s="63"/>
      <c r="IHB47" s="63"/>
      <c r="IHC47" s="63"/>
      <c r="IHD47" s="63"/>
      <c r="IHE47" s="63"/>
      <c r="IHF47" s="63"/>
      <c r="IHG47" s="63"/>
      <c r="IHH47" s="63"/>
      <c r="IHI47" s="63"/>
      <c r="IHJ47" s="63"/>
      <c r="IHK47" s="63"/>
      <c r="IHL47" s="63"/>
      <c r="IHM47" s="63"/>
      <c r="IHN47" s="63"/>
      <c r="IHO47" s="63"/>
      <c r="IHP47" s="63"/>
      <c r="IHQ47" s="63"/>
      <c r="IHR47" s="63"/>
      <c r="IHS47" s="63"/>
      <c r="IHT47" s="63"/>
      <c r="IHU47" s="63"/>
      <c r="IHV47" s="63"/>
      <c r="IHW47" s="63"/>
      <c r="IHX47" s="63"/>
      <c r="IHY47" s="63"/>
      <c r="IHZ47" s="63"/>
      <c r="IIA47" s="63"/>
      <c r="IIB47" s="63"/>
      <c r="IIC47" s="63"/>
      <c r="IID47" s="63"/>
      <c r="IIE47" s="63"/>
      <c r="IIF47" s="63"/>
      <c r="IIG47" s="63"/>
      <c r="IIH47" s="63"/>
      <c r="III47" s="63"/>
      <c r="IIJ47" s="63"/>
      <c r="IIK47" s="63"/>
      <c r="IIL47" s="63"/>
      <c r="IIM47" s="63"/>
      <c r="IIN47" s="63"/>
      <c r="IIO47" s="63"/>
      <c r="IIP47" s="63"/>
      <c r="IIQ47" s="63"/>
      <c r="IIR47" s="63"/>
      <c r="IIS47" s="63"/>
      <c r="IIT47" s="63"/>
      <c r="IIU47" s="63"/>
      <c r="IIV47" s="63"/>
      <c r="IIW47" s="63"/>
      <c r="IIX47" s="63"/>
      <c r="IIY47" s="63"/>
      <c r="IIZ47" s="63"/>
      <c r="IJA47" s="63"/>
      <c r="IJB47" s="63"/>
      <c r="IJC47" s="63"/>
      <c r="IJD47" s="63"/>
      <c r="IJE47" s="63"/>
      <c r="IJF47" s="63"/>
      <c r="IJG47" s="63"/>
      <c r="IJH47" s="63"/>
      <c r="IJI47" s="63"/>
      <c r="IJJ47" s="63"/>
      <c r="IJK47" s="63"/>
      <c r="IJL47" s="63"/>
      <c r="IJM47" s="63"/>
      <c r="IJN47" s="63"/>
      <c r="IJO47" s="63"/>
      <c r="IJP47" s="63"/>
      <c r="IJQ47" s="63"/>
      <c r="IJR47" s="63"/>
      <c r="IJS47" s="63"/>
      <c r="IJT47" s="63"/>
      <c r="IJU47" s="63"/>
      <c r="IJV47" s="63"/>
      <c r="IJW47" s="63"/>
      <c r="IJX47" s="63"/>
      <c r="IJY47" s="63"/>
      <c r="IJZ47" s="63"/>
      <c r="IKA47" s="63"/>
      <c r="IKB47" s="63"/>
      <c r="IKC47" s="63"/>
      <c r="IKD47" s="63"/>
      <c r="IKE47" s="63"/>
      <c r="IKF47" s="63"/>
      <c r="IKG47" s="63"/>
      <c r="IKH47" s="63"/>
      <c r="IKI47" s="63"/>
      <c r="IKJ47" s="63"/>
      <c r="IKK47" s="63"/>
      <c r="IKL47" s="63"/>
      <c r="IKM47" s="63"/>
      <c r="IKN47" s="63"/>
      <c r="IKO47" s="63"/>
      <c r="IKP47" s="63"/>
      <c r="IKQ47" s="63"/>
      <c r="IKR47" s="63"/>
      <c r="IKS47" s="63"/>
      <c r="IKT47" s="63"/>
      <c r="IKU47" s="63"/>
      <c r="IKV47" s="63"/>
      <c r="IKW47" s="63"/>
      <c r="IKX47" s="63"/>
      <c r="IKY47" s="63"/>
      <c r="IKZ47" s="63"/>
      <c r="ILA47" s="63"/>
      <c r="ILB47" s="63"/>
      <c r="ILC47" s="63"/>
      <c r="ILD47" s="63"/>
      <c r="ILE47" s="63"/>
      <c r="ILF47" s="63"/>
      <c r="ILG47" s="63"/>
      <c r="ILH47" s="63"/>
      <c r="ILI47" s="63"/>
      <c r="ILJ47" s="63"/>
      <c r="ILK47" s="63"/>
      <c r="ILL47" s="63"/>
      <c r="ILM47" s="63"/>
      <c r="ILN47" s="63"/>
      <c r="ILO47" s="63"/>
      <c r="ILP47" s="63"/>
      <c r="ILQ47" s="63"/>
      <c r="ILR47" s="63"/>
      <c r="ILS47" s="63"/>
      <c r="ILT47" s="63"/>
      <c r="ILU47" s="63"/>
      <c r="ILV47" s="63"/>
      <c r="ILW47" s="63"/>
      <c r="ILX47" s="63"/>
      <c r="ILY47" s="63"/>
      <c r="ILZ47" s="63"/>
      <c r="IMA47" s="63"/>
      <c r="IMB47" s="63"/>
      <c r="IMC47" s="63"/>
      <c r="IMD47" s="63"/>
      <c r="IME47" s="63"/>
      <c r="IMF47" s="63"/>
      <c r="IMG47" s="63"/>
      <c r="IMH47" s="63"/>
      <c r="IMI47" s="63"/>
      <c r="IMJ47" s="63"/>
      <c r="IMK47" s="63"/>
      <c r="IML47" s="63"/>
      <c r="IMM47" s="63"/>
      <c r="IMN47" s="63"/>
      <c r="IMO47" s="63"/>
      <c r="IMP47" s="63"/>
      <c r="IMQ47" s="63"/>
      <c r="IMR47" s="63"/>
      <c r="IMS47" s="63"/>
      <c r="IMT47" s="63"/>
      <c r="IMU47" s="63"/>
      <c r="IMV47" s="63"/>
      <c r="IMW47" s="63"/>
      <c r="IMX47" s="63"/>
      <c r="IMY47" s="63"/>
      <c r="IMZ47" s="63"/>
      <c r="INA47" s="63"/>
      <c r="INB47" s="63"/>
      <c r="INC47" s="63"/>
      <c r="IND47" s="63"/>
      <c r="INE47" s="63"/>
      <c r="INF47" s="63"/>
      <c r="ING47" s="63"/>
      <c r="INH47" s="63"/>
      <c r="INI47" s="63"/>
      <c r="INJ47" s="63"/>
      <c r="INK47" s="63"/>
      <c r="INL47" s="63"/>
      <c r="INM47" s="63"/>
      <c r="INN47" s="63"/>
      <c r="INO47" s="63"/>
      <c r="INP47" s="63"/>
      <c r="INQ47" s="63"/>
      <c r="INR47" s="63"/>
      <c r="INS47" s="63"/>
      <c r="INT47" s="63"/>
      <c r="INU47" s="63"/>
      <c r="INV47" s="63"/>
      <c r="INW47" s="63"/>
      <c r="INX47" s="63"/>
      <c r="INY47" s="63"/>
      <c r="INZ47" s="63"/>
      <c r="IOA47" s="63"/>
      <c r="IOB47" s="63"/>
      <c r="IOC47" s="63"/>
      <c r="IOD47" s="63"/>
      <c r="IOE47" s="63"/>
      <c r="IOF47" s="63"/>
      <c r="IOG47" s="63"/>
      <c r="IOH47" s="63"/>
      <c r="IOI47" s="63"/>
      <c r="IOJ47" s="63"/>
      <c r="IOK47" s="63"/>
      <c r="IOL47" s="63"/>
      <c r="IOM47" s="63"/>
      <c r="ION47" s="63"/>
      <c r="IOO47" s="63"/>
      <c r="IOP47" s="63"/>
      <c r="IOQ47" s="63"/>
      <c r="IOR47" s="63"/>
      <c r="IOS47" s="63"/>
      <c r="IOT47" s="63"/>
      <c r="IOU47" s="63"/>
      <c r="IOV47" s="63"/>
      <c r="IOW47" s="63"/>
      <c r="IOX47" s="63"/>
      <c r="IOY47" s="63"/>
      <c r="IOZ47" s="63"/>
      <c r="IPA47" s="63"/>
      <c r="IPB47" s="63"/>
      <c r="IPC47" s="63"/>
      <c r="IPD47" s="63"/>
      <c r="IPE47" s="63"/>
      <c r="IPF47" s="63"/>
      <c r="IPG47" s="63"/>
      <c r="IPH47" s="63"/>
      <c r="IPI47" s="63"/>
      <c r="IPJ47" s="63"/>
      <c r="IPK47" s="63"/>
      <c r="IPL47" s="63"/>
      <c r="IPM47" s="63"/>
      <c r="IPN47" s="63"/>
      <c r="IPO47" s="63"/>
      <c r="IPP47" s="63"/>
      <c r="IPQ47" s="63"/>
      <c r="IPR47" s="63"/>
      <c r="IPS47" s="63"/>
      <c r="IPT47" s="63"/>
      <c r="IPU47" s="63"/>
      <c r="IPV47" s="63"/>
      <c r="IPW47" s="63"/>
      <c r="IPX47" s="63"/>
      <c r="IPY47" s="63"/>
      <c r="IPZ47" s="63"/>
      <c r="IQA47" s="63"/>
      <c r="IQB47" s="63"/>
      <c r="IQC47" s="63"/>
      <c r="IQD47" s="63"/>
      <c r="IQE47" s="63"/>
      <c r="IQF47" s="63"/>
      <c r="IQG47" s="63"/>
      <c r="IQH47" s="63"/>
      <c r="IQI47" s="63"/>
      <c r="IQJ47" s="63"/>
      <c r="IQK47" s="63"/>
      <c r="IQL47" s="63"/>
      <c r="IQM47" s="63"/>
      <c r="IQN47" s="63"/>
      <c r="IQO47" s="63"/>
      <c r="IQP47" s="63"/>
      <c r="IQQ47" s="63"/>
      <c r="IQR47" s="63"/>
      <c r="IQS47" s="63"/>
      <c r="IQT47" s="63"/>
      <c r="IQU47" s="63"/>
      <c r="IQV47" s="63"/>
      <c r="IQW47" s="63"/>
      <c r="IQX47" s="63"/>
      <c r="IQY47" s="63"/>
      <c r="IQZ47" s="63"/>
      <c r="IRA47" s="63"/>
      <c r="IRB47" s="63"/>
      <c r="IRC47" s="63"/>
      <c r="IRD47" s="63"/>
      <c r="IRE47" s="63"/>
      <c r="IRF47" s="63"/>
      <c r="IRG47" s="63"/>
      <c r="IRH47" s="63"/>
      <c r="IRI47" s="63"/>
      <c r="IRJ47" s="63"/>
      <c r="IRK47" s="63"/>
      <c r="IRL47" s="63"/>
      <c r="IRM47" s="63"/>
      <c r="IRN47" s="63"/>
      <c r="IRO47" s="63"/>
      <c r="IRP47" s="63"/>
      <c r="IRQ47" s="63"/>
      <c r="IRR47" s="63"/>
      <c r="IRS47" s="63"/>
      <c r="IRT47" s="63"/>
      <c r="IRU47" s="63"/>
      <c r="IRV47" s="63"/>
      <c r="IRW47" s="63"/>
      <c r="IRX47" s="63"/>
      <c r="IRY47" s="63"/>
      <c r="IRZ47" s="63"/>
      <c r="ISA47" s="63"/>
      <c r="ISB47" s="63"/>
      <c r="ISC47" s="63"/>
      <c r="ISD47" s="63"/>
      <c r="ISE47" s="63"/>
      <c r="ISF47" s="63"/>
      <c r="ISG47" s="63"/>
      <c r="ISH47" s="63"/>
      <c r="ISI47" s="63"/>
      <c r="ISJ47" s="63"/>
      <c r="ISK47" s="63"/>
      <c r="ISL47" s="63"/>
      <c r="ISM47" s="63"/>
      <c r="ISN47" s="63"/>
      <c r="ISO47" s="63"/>
      <c r="ISP47" s="63"/>
      <c r="ISQ47" s="63"/>
      <c r="ISR47" s="63"/>
      <c r="ISS47" s="63"/>
      <c r="IST47" s="63"/>
      <c r="ISU47" s="63"/>
      <c r="ISV47" s="63"/>
      <c r="ISW47" s="63"/>
      <c r="ISX47" s="63"/>
      <c r="ISY47" s="63"/>
      <c r="ISZ47" s="63"/>
      <c r="ITA47" s="63"/>
      <c r="ITB47" s="63"/>
      <c r="ITC47" s="63"/>
      <c r="ITD47" s="63"/>
      <c r="ITE47" s="63"/>
      <c r="ITF47" s="63"/>
      <c r="ITG47" s="63"/>
      <c r="ITH47" s="63"/>
      <c r="ITI47" s="63"/>
      <c r="ITJ47" s="63"/>
      <c r="ITK47" s="63"/>
      <c r="ITL47" s="63"/>
      <c r="ITM47" s="63"/>
      <c r="ITN47" s="63"/>
      <c r="ITO47" s="63"/>
      <c r="ITP47" s="63"/>
      <c r="ITQ47" s="63"/>
      <c r="ITR47" s="63"/>
      <c r="ITS47" s="63"/>
      <c r="ITT47" s="63"/>
      <c r="ITU47" s="63"/>
      <c r="ITV47" s="63"/>
      <c r="ITW47" s="63"/>
      <c r="ITX47" s="63"/>
      <c r="ITY47" s="63"/>
      <c r="ITZ47" s="63"/>
      <c r="IUA47" s="63"/>
      <c r="IUB47" s="63"/>
      <c r="IUC47" s="63"/>
      <c r="IUD47" s="63"/>
      <c r="IUE47" s="63"/>
      <c r="IUF47" s="63"/>
      <c r="IUG47" s="63"/>
      <c r="IUH47" s="63"/>
      <c r="IUI47" s="63"/>
      <c r="IUJ47" s="63"/>
      <c r="IUK47" s="63"/>
      <c r="IUL47" s="63"/>
      <c r="IUM47" s="63"/>
      <c r="IUN47" s="63"/>
      <c r="IUO47" s="63"/>
      <c r="IUP47" s="63"/>
      <c r="IUQ47" s="63"/>
      <c r="IUR47" s="63"/>
      <c r="IUS47" s="63"/>
      <c r="IUT47" s="63"/>
      <c r="IUU47" s="63"/>
      <c r="IUV47" s="63"/>
      <c r="IUW47" s="63"/>
      <c r="IUX47" s="63"/>
      <c r="IUY47" s="63"/>
      <c r="IUZ47" s="63"/>
      <c r="IVA47" s="63"/>
      <c r="IVB47" s="63"/>
      <c r="IVC47" s="63"/>
      <c r="IVD47" s="63"/>
      <c r="IVE47" s="63"/>
      <c r="IVF47" s="63"/>
      <c r="IVG47" s="63"/>
      <c r="IVH47" s="63"/>
      <c r="IVI47" s="63"/>
      <c r="IVJ47" s="63"/>
      <c r="IVK47" s="63"/>
      <c r="IVL47" s="63"/>
      <c r="IVM47" s="63"/>
      <c r="IVN47" s="63"/>
      <c r="IVO47" s="63"/>
      <c r="IVP47" s="63"/>
      <c r="IVQ47" s="63"/>
      <c r="IVR47" s="63"/>
      <c r="IVS47" s="63"/>
      <c r="IVT47" s="63"/>
      <c r="IVU47" s="63"/>
      <c r="IVV47" s="63"/>
      <c r="IVW47" s="63"/>
      <c r="IVX47" s="63"/>
      <c r="IVY47" s="63"/>
      <c r="IVZ47" s="63"/>
      <c r="IWA47" s="63"/>
      <c r="IWB47" s="63"/>
      <c r="IWC47" s="63"/>
      <c r="IWD47" s="63"/>
      <c r="IWE47" s="63"/>
      <c r="IWF47" s="63"/>
      <c r="IWG47" s="63"/>
      <c r="IWH47" s="63"/>
      <c r="IWI47" s="63"/>
      <c r="IWJ47" s="63"/>
      <c r="IWK47" s="63"/>
      <c r="IWL47" s="63"/>
      <c r="IWM47" s="63"/>
      <c r="IWN47" s="63"/>
      <c r="IWO47" s="63"/>
      <c r="IWP47" s="63"/>
      <c r="IWQ47" s="63"/>
      <c r="IWR47" s="63"/>
      <c r="IWS47" s="63"/>
      <c r="IWT47" s="63"/>
      <c r="IWU47" s="63"/>
      <c r="IWV47" s="63"/>
      <c r="IWW47" s="63"/>
      <c r="IWX47" s="63"/>
      <c r="IWY47" s="63"/>
      <c r="IWZ47" s="63"/>
      <c r="IXA47" s="63"/>
      <c r="IXB47" s="63"/>
      <c r="IXC47" s="63"/>
      <c r="IXD47" s="63"/>
      <c r="IXE47" s="63"/>
      <c r="IXF47" s="63"/>
      <c r="IXG47" s="63"/>
      <c r="IXH47" s="63"/>
      <c r="IXI47" s="63"/>
      <c r="IXJ47" s="63"/>
      <c r="IXK47" s="63"/>
      <c r="IXL47" s="63"/>
      <c r="IXM47" s="63"/>
      <c r="IXN47" s="63"/>
      <c r="IXO47" s="63"/>
      <c r="IXP47" s="63"/>
      <c r="IXQ47" s="63"/>
      <c r="IXR47" s="63"/>
      <c r="IXS47" s="63"/>
      <c r="IXT47" s="63"/>
      <c r="IXU47" s="63"/>
      <c r="IXV47" s="63"/>
      <c r="IXW47" s="63"/>
      <c r="IXX47" s="63"/>
      <c r="IXY47" s="63"/>
      <c r="IXZ47" s="63"/>
      <c r="IYA47" s="63"/>
      <c r="IYB47" s="63"/>
      <c r="IYC47" s="63"/>
      <c r="IYD47" s="63"/>
      <c r="IYE47" s="63"/>
      <c r="IYF47" s="63"/>
      <c r="IYG47" s="63"/>
      <c r="IYH47" s="63"/>
      <c r="IYI47" s="63"/>
      <c r="IYJ47" s="63"/>
      <c r="IYK47" s="63"/>
      <c r="IYL47" s="63"/>
      <c r="IYM47" s="63"/>
      <c r="IYN47" s="63"/>
      <c r="IYO47" s="63"/>
      <c r="IYP47" s="63"/>
      <c r="IYQ47" s="63"/>
      <c r="IYR47" s="63"/>
      <c r="IYS47" s="63"/>
      <c r="IYT47" s="63"/>
      <c r="IYU47" s="63"/>
      <c r="IYV47" s="63"/>
      <c r="IYW47" s="63"/>
      <c r="IYX47" s="63"/>
      <c r="IYY47" s="63"/>
      <c r="IYZ47" s="63"/>
      <c r="IZA47" s="63"/>
      <c r="IZB47" s="63"/>
      <c r="IZC47" s="63"/>
      <c r="IZD47" s="63"/>
      <c r="IZE47" s="63"/>
      <c r="IZF47" s="63"/>
      <c r="IZG47" s="63"/>
      <c r="IZH47" s="63"/>
      <c r="IZI47" s="63"/>
      <c r="IZJ47" s="63"/>
      <c r="IZK47" s="63"/>
      <c r="IZL47" s="63"/>
      <c r="IZM47" s="63"/>
      <c r="IZN47" s="63"/>
      <c r="IZO47" s="63"/>
      <c r="IZP47" s="63"/>
      <c r="IZQ47" s="63"/>
      <c r="IZR47" s="63"/>
      <c r="IZS47" s="63"/>
      <c r="IZT47" s="63"/>
      <c r="IZU47" s="63"/>
      <c r="IZV47" s="63"/>
      <c r="IZW47" s="63"/>
      <c r="IZX47" s="63"/>
      <c r="IZY47" s="63"/>
      <c r="IZZ47" s="63"/>
      <c r="JAA47" s="63"/>
      <c r="JAB47" s="63"/>
      <c r="JAC47" s="63"/>
      <c r="JAD47" s="63"/>
      <c r="JAE47" s="63"/>
      <c r="JAF47" s="63"/>
      <c r="JAG47" s="63"/>
      <c r="JAH47" s="63"/>
      <c r="JAI47" s="63"/>
      <c r="JAJ47" s="63"/>
      <c r="JAK47" s="63"/>
      <c r="JAL47" s="63"/>
      <c r="JAM47" s="63"/>
      <c r="JAN47" s="63"/>
      <c r="JAO47" s="63"/>
      <c r="JAP47" s="63"/>
      <c r="JAQ47" s="63"/>
      <c r="JAR47" s="63"/>
      <c r="JAS47" s="63"/>
      <c r="JAT47" s="63"/>
      <c r="JAU47" s="63"/>
      <c r="JAV47" s="63"/>
      <c r="JAW47" s="63"/>
      <c r="JAX47" s="63"/>
      <c r="JAY47" s="63"/>
      <c r="JAZ47" s="63"/>
      <c r="JBA47" s="63"/>
      <c r="JBB47" s="63"/>
      <c r="JBC47" s="63"/>
      <c r="JBD47" s="63"/>
      <c r="JBE47" s="63"/>
      <c r="JBF47" s="63"/>
      <c r="JBG47" s="63"/>
      <c r="JBH47" s="63"/>
      <c r="JBI47" s="63"/>
      <c r="JBJ47" s="63"/>
      <c r="JBK47" s="63"/>
      <c r="JBL47" s="63"/>
      <c r="JBM47" s="63"/>
      <c r="JBN47" s="63"/>
      <c r="JBO47" s="63"/>
      <c r="JBP47" s="63"/>
      <c r="JBQ47" s="63"/>
      <c r="JBR47" s="63"/>
      <c r="JBS47" s="63"/>
      <c r="JBT47" s="63"/>
      <c r="JBU47" s="63"/>
      <c r="JBV47" s="63"/>
      <c r="JBW47" s="63"/>
      <c r="JBX47" s="63"/>
      <c r="JBY47" s="63"/>
      <c r="JBZ47" s="63"/>
      <c r="JCA47" s="63"/>
      <c r="JCB47" s="63"/>
      <c r="JCC47" s="63"/>
      <c r="JCD47" s="63"/>
      <c r="JCE47" s="63"/>
      <c r="JCF47" s="63"/>
      <c r="JCG47" s="63"/>
      <c r="JCH47" s="63"/>
      <c r="JCI47" s="63"/>
      <c r="JCJ47" s="63"/>
      <c r="JCK47" s="63"/>
      <c r="JCL47" s="63"/>
      <c r="JCM47" s="63"/>
      <c r="JCN47" s="63"/>
      <c r="JCO47" s="63"/>
      <c r="JCP47" s="63"/>
      <c r="JCQ47" s="63"/>
      <c r="JCR47" s="63"/>
      <c r="JCS47" s="63"/>
      <c r="JCT47" s="63"/>
      <c r="JCU47" s="63"/>
      <c r="JCV47" s="63"/>
      <c r="JCW47" s="63"/>
      <c r="JCX47" s="63"/>
      <c r="JCY47" s="63"/>
      <c r="JCZ47" s="63"/>
      <c r="JDA47" s="63"/>
      <c r="JDB47" s="63"/>
      <c r="JDC47" s="63"/>
      <c r="JDD47" s="63"/>
      <c r="JDE47" s="63"/>
      <c r="JDF47" s="63"/>
      <c r="JDG47" s="63"/>
      <c r="JDH47" s="63"/>
      <c r="JDI47" s="63"/>
      <c r="JDJ47" s="63"/>
      <c r="JDK47" s="63"/>
      <c r="JDL47" s="63"/>
      <c r="JDM47" s="63"/>
      <c r="JDN47" s="63"/>
      <c r="JDO47" s="63"/>
      <c r="JDP47" s="63"/>
      <c r="JDQ47" s="63"/>
      <c r="JDR47" s="63"/>
      <c r="JDS47" s="63"/>
      <c r="JDT47" s="63"/>
      <c r="JDU47" s="63"/>
      <c r="JDV47" s="63"/>
      <c r="JDW47" s="63"/>
      <c r="JDX47" s="63"/>
      <c r="JDY47" s="63"/>
      <c r="JDZ47" s="63"/>
      <c r="JEA47" s="63"/>
      <c r="JEB47" s="63"/>
      <c r="JEC47" s="63"/>
      <c r="JED47" s="63"/>
      <c r="JEE47" s="63"/>
      <c r="JEF47" s="63"/>
      <c r="JEG47" s="63"/>
      <c r="JEH47" s="63"/>
      <c r="JEI47" s="63"/>
      <c r="JEJ47" s="63"/>
      <c r="JEK47" s="63"/>
      <c r="JEL47" s="63"/>
      <c r="JEM47" s="63"/>
      <c r="JEN47" s="63"/>
      <c r="JEO47" s="63"/>
      <c r="JEP47" s="63"/>
      <c r="JEQ47" s="63"/>
      <c r="JER47" s="63"/>
      <c r="JES47" s="63"/>
      <c r="JET47" s="63"/>
      <c r="JEU47" s="63"/>
      <c r="JEV47" s="63"/>
      <c r="JEW47" s="63"/>
      <c r="JEX47" s="63"/>
      <c r="JEY47" s="63"/>
      <c r="JEZ47" s="63"/>
      <c r="JFA47" s="63"/>
      <c r="JFB47" s="63"/>
      <c r="JFC47" s="63"/>
      <c r="JFD47" s="63"/>
      <c r="JFE47" s="63"/>
      <c r="JFF47" s="63"/>
      <c r="JFG47" s="63"/>
      <c r="JFH47" s="63"/>
      <c r="JFI47" s="63"/>
      <c r="JFJ47" s="63"/>
      <c r="JFK47" s="63"/>
      <c r="JFL47" s="63"/>
      <c r="JFM47" s="63"/>
      <c r="JFN47" s="63"/>
      <c r="JFO47" s="63"/>
      <c r="JFP47" s="63"/>
      <c r="JFQ47" s="63"/>
      <c r="JFR47" s="63"/>
      <c r="JFS47" s="63"/>
      <c r="JFT47" s="63"/>
      <c r="JFU47" s="63"/>
      <c r="JFV47" s="63"/>
      <c r="JFW47" s="63"/>
      <c r="JFX47" s="63"/>
      <c r="JFY47" s="63"/>
      <c r="JFZ47" s="63"/>
      <c r="JGA47" s="63"/>
      <c r="JGB47" s="63"/>
      <c r="JGC47" s="63"/>
      <c r="JGD47" s="63"/>
      <c r="JGE47" s="63"/>
      <c r="JGF47" s="63"/>
      <c r="JGG47" s="63"/>
      <c r="JGH47" s="63"/>
      <c r="JGI47" s="63"/>
      <c r="JGJ47" s="63"/>
      <c r="JGK47" s="63"/>
      <c r="JGL47" s="63"/>
      <c r="JGM47" s="63"/>
      <c r="JGN47" s="63"/>
      <c r="JGO47" s="63"/>
      <c r="JGP47" s="63"/>
      <c r="JGQ47" s="63"/>
      <c r="JGR47" s="63"/>
      <c r="JGS47" s="63"/>
      <c r="JGT47" s="63"/>
      <c r="JGU47" s="63"/>
      <c r="JGV47" s="63"/>
      <c r="JGW47" s="63"/>
      <c r="JGX47" s="63"/>
      <c r="JGY47" s="63"/>
      <c r="JGZ47" s="63"/>
      <c r="JHA47" s="63"/>
      <c r="JHB47" s="63"/>
      <c r="JHC47" s="63"/>
      <c r="JHD47" s="63"/>
      <c r="JHE47" s="63"/>
      <c r="JHF47" s="63"/>
      <c r="JHG47" s="63"/>
      <c r="JHH47" s="63"/>
      <c r="JHI47" s="63"/>
      <c r="JHJ47" s="63"/>
      <c r="JHK47" s="63"/>
      <c r="JHL47" s="63"/>
      <c r="JHM47" s="63"/>
      <c r="JHN47" s="63"/>
      <c r="JHO47" s="63"/>
      <c r="JHP47" s="63"/>
      <c r="JHQ47" s="63"/>
      <c r="JHR47" s="63"/>
      <c r="JHS47" s="63"/>
      <c r="JHT47" s="63"/>
      <c r="JHU47" s="63"/>
      <c r="JHV47" s="63"/>
      <c r="JHW47" s="63"/>
      <c r="JHX47" s="63"/>
      <c r="JHY47" s="63"/>
      <c r="JHZ47" s="63"/>
      <c r="JIA47" s="63"/>
      <c r="JIB47" s="63"/>
      <c r="JIC47" s="63"/>
      <c r="JID47" s="63"/>
      <c r="JIE47" s="63"/>
      <c r="JIF47" s="63"/>
      <c r="JIG47" s="63"/>
      <c r="JIH47" s="63"/>
      <c r="JII47" s="63"/>
      <c r="JIJ47" s="63"/>
      <c r="JIK47" s="63"/>
      <c r="JIL47" s="63"/>
      <c r="JIM47" s="63"/>
      <c r="JIN47" s="63"/>
      <c r="JIO47" s="63"/>
      <c r="JIP47" s="63"/>
      <c r="JIQ47" s="63"/>
      <c r="JIR47" s="63"/>
      <c r="JIS47" s="63"/>
      <c r="JIT47" s="63"/>
      <c r="JIU47" s="63"/>
      <c r="JIV47" s="63"/>
      <c r="JIW47" s="63"/>
      <c r="JIX47" s="63"/>
      <c r="JIY47" s="63"/>
      <c r="JIZ47" s="63"/>
      <c r="JJA47" s="63"/>
      <c r="JJB47" s="63"/>
      <c r="JJC47" s="63"/>
      <c r="JJD47" s="63"/>
      <c r="JJE47" s="63"/>
      <c r="JJF47" s="63"/>
      <c r="JJG47" s="63"/>
      <c r="JJH47" s="63"/>
      <c r="JJI47" s="63"/>
      <c r="JJJ47" s="63"/>
      <c r="JJK47" s="63"/>
      <c r="JJL47" s="63"/>
      <c r="JJM47" s="63"/>
      <c r="JJN47" s="63"/>
      <c r="JJO47" s="63"/>
      <c r="JJP47" s="63"/>
      <c r="JJQ47" s="63"/>
      <c r="JJR47" s="63"/>
      <c r="JJS47" s="63"/>
      <c r="JJT47" s="63"/>
      <c r="JJU47" s="63"/>
      <c r="JJV47" s="63"/>
      <c r="JJW47" s="63"/>
      <c r="JJX47" s="63"/>
      <c r="JJY47" s="63"/>
      <c r="JJZ47" s="63"/>
      <c r="JKA47" s="63"/>
      <c r="JKB47" s="63"/>
      <c r="JKC47" s="63"/>
      <c r="JKD47" s="63"/>
      <c r="JKE47" s="63"/>
      <c r="JKF47" s="63"/>
      <c r="JKG47" s="63"/>
      <c r="JKH47" s="63"/>
      <c r="JKI47" s="63"/>
      <c r="JKJ47" s="63"/>
      <c r="JKK47" s="63"/>
      <c r="JKL47" s="63"/>
      <c r="JKM47" s="63"/>
      <c r="JKN47" s="63"/>
      <c r="JKO47" s="63"/>
      <c r="JKP47" s="63"/>
      <c r="JKQ47" s="63"/>
      <c r="JKR47" s="63"/>
      <c r="JKS47" s="63"/>
      <c r="JKT47" s="63"/>
      <c r="JKU47" s="63"/>
      <c r="JKV47" s="63"/>
      <c r="JKW47" s="63"/>
      <c r="JKX47" s="63"/>
      <c r="JKY47" s="63"/>
      <c r="JKZ47" s="63"/>
      <c r="JLA47" s="63"/>
      <c r="JLB47" s="63"/>
      <c r="JLC47" s="63"/>
      <c r="JLD47" s="63"/>
      <c r="JLE47" s="63"/>
      <c r="JLF47" s="63"/>
      <c r="JLG47" s="63"/>
      <c r="JLH47" s="63"/>
      <c r="JLI47" s="63"/>
      <c r="JLJ47" s="63"/>
      <c r="JLK47" s="63"/>
      <c r="JLL47" s="63"/>
      <c r="JLM47" s="63"/>
      <c r="JLN47" s="63"/>
      <c r="JLO47" s="63"/>
      <c r="JLP47" s="63"/>
      <c r="JLQ47" s="63"/>
      <c r="JLR47" s="63"/>
      <c r="JLS47" s="63"/>
      <c r="JLT47" s="63"/>
      <c r="JLU47" s="63"/>
      <c r="JLV47" s="63"/>
      <c r="JLW47" s="63"/>
      <c r="JLX47" s="63"/>
      <c r="JLY47" s="63"/>
      <c r="JLZ47" s="63"/>
      <c r="JMA47" s="63"/>
      <c r="JMB47" s="63"/>
      <c r="JMC47" s="63"/>
      <c r="JMD47" s="63"/>
      <c r="JME47" s="63"/>
      <c r="JMF47" s="63"/>
      <c r="JMG47" s="63"/>
      <c r="JMH47" s="63"/>
      <c r="JMI47" s="63"/>
      <c r="JMJ47" s="63"/>
      <c r="JMK47" s="63"/>
      <c r="JML47" s="63"/>
      <c r="JMM47" s="63"/>
      <c r="JMN47" s="63"/>
      <c r="JMO47" s="63"/>
      <c r="JMP47" s="63"/>
      <c r="JMQ47" s="63"/>
      <c r="JMR47" s="63"/>
      <c r="JMS47" s="63"/>
      <c r="JMT47" s="63"/>
      <c r="JMU47" s="63"/>
      <c r="JMV47" s="63"/>
      <c r="JMW47" s="63"/>
      <c r="JMX47" s="63"/>
      <c r="JMY47" s="63"/>
      <c r="JMZ47" s="63"/>
      <c r="JNA47" s="63"/>
      <c r="JNB47" s="63"/>
      <c r="JNC47" s="63"/>
      <c r="JND47" s="63"/>
      <c r="JNE47" s="63"/>
      <c r="JNF47" s="63"/>
      <c r="JNG47" s="63"/>
      <c r="JNH47" s="63"/>
      <c r="JNI47" s="63"/>
      <c r="JNJ47" s="63"/>
      <c r="JNK47" s="63"/>
      <c r="JNL47" s="63"/>
      <c r="JNM47" s="63"/>
      <c r="JNN47" s="63"/>
      <c r="JNO47" s="63"/>
      <c r="JNP47" s="63"/>
      <c r="JNQ47" s="63"/>
      <c r="JNR47" s="63"/>
      <c r="JNS47" s="63"/>
      <c r="JNT47" s="63"/>
      <c r="JNU47" s="63"/>
      <c r="JNV47" s="63"/>
      <c r="JNW47" s="63"/>
      <c r="JNX47" s="63"/>
      <c r="JNY47" s="63"/>
      <c r="JNZ47" s="63"/>
      <c r="JOA47" s="63"/>
      <c r="JOB47" s="63"/>
      <c r="JOC47" s="63"/>
      <c r="JOD47" s="63"/>
      <c r="JOE47" s="63"/>
      <c r="JOF47" s="63"/>
      <c r="JOG47" s="63"/>
      <c r="JOH47" s="63"/>
      <c r="JOI47" s="63"/>
      <c r="JOJ47" s="63"/>
      <c r="JOK47" s="63"/>
      <c r="JOL47" s="63"/>
      <c r="JOM47" s="63"/>
      <c r="JON47" s="63"/>
      <c r="JOO47" s="63"/>
      <c r="JOP47" s="63"/>
      <c r="JOQ47" s="63"/>
      <c r="JOR47" s="63"/>
      <c r="JOS47" s="63"/>
      <c r="JOT47" s="63"/>
      <c r="JOU47" s="63"/>
      <c r="JOV47" s="63"/>
      <c r="JOW47" s="63"/>
      <c r="JOX47" s="63"/>
      <c r="JOY47" s="63"/>
      <c r="JOZ47" s="63"/>
      <c r="JPA47" s="63"/>
      <c r="JPB47" s="63"/>
      <c r="JPC47" s="63"/>
      <c r="JPD47" s="63"/>
      <c r="JPE47" s="63"/>
      <c r="JPF47" s="63"/>
      <c r="JPG47" s="63"/>
      <c r="JPH47" s="63"/>
      <c r="JPI47" s="63"/>
      <c r="JPJ47" s="63"/>
      <c r="JPK47" s="63"/>
      <c r="JPL47" s="63"/>
      <c r="JPM47" s="63"/>
      <c r="JPN47" s="63"/>
      <c r="JPO47" s="63"/>
      <c r="JPP47" s="63"/>
      <c r="JPQ47" s="63"/>
      <c r="JPR47" s="63"/>
      <c r="JPS47" s="63"/>
      <c r="JPT47" s="63"/>
      <c r="JPU47" s="63"/>
      <c r="JPV47" s="63"/>
      <c r="JPW47" s="63"/>
      <c r="JPX47" s="63"/>
      <c r="JPY47" s="63"/>
      <c r="JPZ47" s="63"/>
      <c r="JQA47" s="63"/>
      <c r="JQB47" s="63"/>
      <c r="JQC47" s="63"/>
      <c r="JQD47" s="63"/>
      <c r="JQE47" s="63"/>
      <c r="JQF47" s="63"/>
      <c r="JQG47" s="63"/>
      <c r="JQH47" s="63"/>
      <c r="JQI47" s="63"/>
      <c r="JQJ47" s="63"/>
      <c r="JQK47" s="63"/>
      <c r="JQL47" s="63"/>
      <c r="JQM47" s="63"/>
      <c r="JQN47" s="63"/>
      <c r="JQO47" s="63"/>
      <c r="JQP47" s="63"/>
      <c r="JQQ47" s="63"/>
      <c r="JQR47" s="63"/>
      <c r="JQS47" s="63"/>
      <c r="JQT47" s="63"/>
      <c r="JQU47" s="63"/>
      <c r="JQV47" s="63"/>
      <c r="JQW47" s="63"/>
      <c r="JQX47" s="63"/>
      <c r="JQY47" s="63"/>
      <c r="JQZ47" s="63"/>
      <c r="JRA47" s="63"/>
      <c r="JRB47" s="63"/>
      <c r="JRC47" s="63"/>
      <c r="JRD47" s="63"/>
      <c r="JRE47" s="63"/>
      <c r="JRF47" s="63"/>
      <c r="JRG47" s="63"/>
      <c r="JRH47" s="63"/>
      <c r="JRI47" s="63"/>
      <c r="JRJ47" s="63"/>
      <c r="JRK47" s="63"/>
      <c r="JRL47" s="63"/>
      <c r="JRM47" s="63"/>
      <c r="JRN47" s="63"/>
      <c r="JRO47" s="63"/>
      <c r="JRP47" s="63"/>
      <c r="JRQ47" s="63"/>
      <c r="JRR47" s="63"/>
      <c r="JRS47" s="63"/>
      <c r="JRT47" s="63"/>
      <c r="JRU47" s="63"/>
      <c r="JRV47" s="63"/>
      <c r="JRW47" s="63"/>
      <c r="JRX47" s="63"/>
      <c r="JRY47" s="63"/>
      <c r="JRZ47" s="63"/>
      <c r="JSA47" s="63"/>
      <c r="JSB47" s="63"/>
      <c r="JSC47" s="63"/>
      <c r="JSD47" s="63"/>
      <c r="JSE47" s="63"/>
      <c r="JSF47" s="63"/>
      <c r="JSG47" s="63"/>
      <c r="JSH47" s="63"/>
      <c r="JSI47" s="63"/>
      <c r="JSJ47" s="63"/>
      <c r="JSK47" s="63"/>
      <c r="JSL47" s="63"/>
      <c r="JSM47" s="63"/>
      <c r="JSN47" s="63"/>
      <c r="JSO47" s="63"/>
      <c r="JSP47" s="63"/>
      <c r="JSQ47" s="63"/>
      <c r="JSR47" s="63"/>
      <c r="JSS47" s="63"/>
      <c r="JST47" s="63"/>
      <c r="JSU47" s="63"/>
      <c r="JSV47" s="63"/>
      <c r="JSW47" s="63"/>
      <c r="JSX47" s="63"/>
      <c r="JSY47" s="63"/>
      <c r="JSZ47" s="63"/>
      <c r="JTA47" s="63"/>
      <c r="JTB47" s="63"/>
      <c r="JTC47" s="63"/>
      <c r="JTD47" s="63"/>
      <c r="JTE47" s="63"/>
      <c r="JTF47" s="63"/>
      <c r="JTG47" s="63"/>
      <c r="JTH47" s="63"/>
      <c r="JTI47" s="63"/>
      <c r="JTJ47" s="63"/>
      <c r="JTK47" s="63"/>
      <c r="JTL47" s="63"/>
      <c r="JTM47" s="63"/>
      <c r="JTN47" s="63"/>
      <c r="JTO47" s="63"/>
      <c r="JTP47" s="63"/>
      <c r="JTQ47" s="63"/>
      <c r="JTR47" s="63"/>
      <c r="JTS47" s="63"/>
      <c r="JTT47" s="63"/>
      <c r="JTU47" s="63"/>
      <c r="JTV47" s="63"/>
      <c r="JTW47" s="63"/>
      <c r="JTX47" s="63"/>
      <c r="JTY47" s="63"/>
      <c r="JTZ47" s="63"/>
      <c r="JUA47" s="63"/>
      <c r="JUB47" s="63"/>
      <c r="JUC47" s="63"/>
      <c r="JUD47" s="63"/>
      <c r="JUE47" s="63"/>
      <c r="JUF47" s="63"/>
      <c r="JUG47" s="63"/>
      <c r="JUH47" s="63"/>
      <c r="JUI47" s="63"/>
      <c r="JUJ47" s="63"/>
      <c r="JUK47" s="63"/>
      <c r="JUL47" s="63"/>
      <c r="JUM47" s="63"/>
      <c r="JUN47" s="63"/>
      <c r="JUO47" s="63"/>
      <c r="JUP47" s="63"/>
      <c r="JUQ47" s="63"/>
      <c r="JUR47" s="63"/>
      <c r="JUS47" s="63"/>
      <c r="JUT47" s="63"/>
      <c r="JUU47" s="63"/>
      <c r="JUV47" s="63"/>
      <c r="JUW47" s="63"/>
      <c r="JUX47" s="63"/>
      <c r="JUY47" s="63"/>
      <c r="JUZ47" s="63"/>
      <c r="JVA47" s="63"/>
      <c r="JVB47" s="63"/>
      <c r="JVC47" s="63"/>
      <c r="JVD47" s="63"/>
      <c r="JVE47" s="63"/>
      <c r="JVF47" s="63"/>
      <c r="JVG47" s="63"/>
      <c r="JVH47" s="63"/>
      <c r="JVI47" s="63"/>
      <c r="JVJ47" s="63"/>
      <c r="JVK47" s="63"/>
      <c r="JVL47" s="63"/>
      <c r="JVM47" s="63"/>
      <c r="JVN47" s="63"/>
      <c r="JVO47" s="63"/>
      <c r="JVP47" s="63"/>
      <c r="JVQ47" s="63"/>
      <c r="JVR47" s="63"/>
      <c r="JVS47" s="63"/>
      <c r="JVT47" s="63"/>
      <c r="JVU47" s="63"/>
      <c r="JVV47" s="63"/>
      <c r="JVW47" s="63"/>
      <c r="JVX47" s="63"/>
      <c r="JVY47" s="63"/>
      <c r="JVZ47" s="63"/>
      <c r="JWA47" s="63"/>
      <c r="JWB47" s="63"/>
      <c r="JWC47" s="63"/>
      <c r="JWD47" s="63"/>
      <c r="JWE47" s="63"/>
      <c r="JWF47" s="63"/>
      <c r="JWG47" s="63"/>
      <c r="JWH47" s="63"/>
      <c r="JWI47" s="63"/>
      <c r="JWJ47" s="63"/>
      <c r="JWK47" s="63"/>
      <c r="JWL47" s="63"/>
      <c r="JWM47" s="63"/>
      <c r="JWN47" s="63"/>
      <c r="JWO47" s="63"/>
      <c r="JWP47" s="63"/>
      <c r="JWQ47" s="63"/>
      <c r="JWR47" s="63"/>
      <c r="JWS47" s="63"/>
      <c r="JWT47" s="63"/>
      <c r="JWU47" s="63"/>
      <c r="JWV47" s="63"/>
      <c r="JWW47" s="63"/>
      <c r="JWX47" s="63"/>
      <c r="JWY47" s="63"/>
      <c r="JWZ47" s="63"/>
      <c r="JXA47" s="63"/>
      <c r="JXB47" s="63"/>
      <c r="JXC47" s="63"/>
      <c r="JXD47" s="63"/>
      <c r="JXE47" s="63"/>
      <c r="JXF47" s="63"/>
      <c r="JXG47" s="63"/>
      <c r="JXH47" s="63"/>
      <c r="JXI47" s="63"/>
      <c r="JXJ47" s="63"/>
      <c r="JXK47" s="63"/>
      <c r="JXL47" s="63"/>
      <c r="JXM47" s="63"/>
      <c r="JXN47" s="63"/>
      <c r="JXO47" s="63"/>
      <c r="JXP47" s="63"/>
      <c r="JXQ47" s="63"/>
      <c r="JXR47" s="63"/>
      <c r="JXS47" s="63"/>
      <c r="JXT47" s="63"/>
      <c r="JXU47" s="63"/>
      <c r="JXV47" s="63"/>
      <c r="JXW47" s="63"/>
      <c r="JXX47" s="63"/>
      <c r="JXY47" s="63"/>
      <c r="JXZ47" s="63"/>
      <c r="JYA47" s="63"/>
      <c r="JYB47" s="63"/>
      <c r="JYC47" s="63"/>
      <c r="JYD47" s="63"/>
      <c r="JYE47" s="63"/>
      <c r="JYF47" s="63"/>
      <c r="JYG47" s="63"/>
      <c r="JYH47" s="63"/>
      <c r="JYI47" s="63"/>
      <c r="JYJ47" s="63"/>
      <c r="JYK47" s="63"/>
      <c r="JYL47" s="63"/>
      <c r="JYM47" s="63"/>
      <c r="JYN47" s="63"/>
      <c r="JYO47" s="63"/>
      <c r="JYP47" s="63"/>
      <c r="JYQ47" s="63"/>
      <c r="JYR47" s="63"/>
      <c r="JYS47" s="63"/>
      <c r="JYT47" s="63"/>
      <c r="JYU47" s="63"/>
      <c r="JYV47" s="63"/>
      <c r="JYW47" s="63"/>
      <c r="JYX47" s="63"/>
      <c r="JYY47" s="63"/>
      <c r="JYZ47" s="63"/>
      <c r="JZA47" s="63"/>
      <c r="JZB47" s="63"/>
      <c r="JZC47" s="63"/>
      <c r="JZD47" s="63"/>
      <c r="JZE47" s="63"/>
      <c r="JZF47" s="63"/>
      <c r="JZG47" s="63"/>
      <c r="JZH47" s="63"/>
      <c r="JZI47" s="63"/>
      <c r="JZJ47" s="63"/>
      <c r="JZK47" s="63"/>
      <c r="JZL47" s="63"/>
      <c r="JZM47" s="63"/>
      <c r="JZN47" s="63"/>
      <c r="JZO47" s="63"/>
      <c r="JZP47" s="63"/>
      <c r="JZQ47" s="63"/>
      <c r="JZR47" s="63"/>
      <c r="JZS47" s="63"/>
      <c r="JZT47" s="63"/>
      <c r="JZU47" s="63"/>
      <c r="JZV47" s="63"/>
      <c r="JZW47" s="63"/>
      <c r="JZX47" s="63"/>
      <c r="JZY47" s="63"/>
      <c r="JZZ47" s="63"/>
      <c r="KAA47" s="63"/>
      <c r="KAB47" s="63"/>
      <c r="KAC47" s="63"/>
      <c r="KAD47" s="63"/>
      <c r="KAE47" s="63"/>
      <c r="KAF47" s="63"/>
      <c r="KAG47" s="63"/>
      <c r="KAH47" s="63"/>
      <c r="KAI47" s="63"/>
      <c r="KAJ47" s="63"/>
      <c r="KAK47" s="63"/>
      <c r="KAL47" s="63"/>
      <c r="KAM47" s="63"/>
      <c r="KAN47" s="63"/>
      <c r="KAO47" s="63"/>
      <c r="KAP47" s="63"/>
      <c r="KAQ47" s="63"/>
      <c r="KAR47" s="63"/>
      <c r="KAS47" s="63"/>
      <c r="KAT47" s="63"/>
      <c r="KAU47" s="63"/>
      <c r="KAV47" s="63"/>
      <c r="KAW47" s="63"/>
      <c r="KAX47" s="63"/>
      <c r="KAY47" s="63"/>
      <c r="KAZ47" s="63"/>
      <c r="KBA47" s="63"/>
      <c r="KBB47" s="63"/>
      <c r="KBC47" s="63"/>
      <c r="KBD47" s="63"/>
      <c r="KBE47" s="63"/>
      <c r="KBF47" s="63"/>
      <c r="KBG47" s="63"/>
      <c r="KBH47" s="63"/>
      <c r="KBI47" s="63"/>
      <c r="KBJ47" s="63"/>
      <c r="KBK47" s="63"/>
      <c r="KBL47" s="63"/>
      <c r="KBM47" s="63"/>
      <c r="KBN47" s="63"/>
      <c r="KBO47" s="63"/>
      <c r="KBP47" s="63"/>
      <c r="KBQ47" s="63"/>
      <c r="KBR47" s="63"/>
      <c r="KBS47" s="63"/>
      <c r="KBT47" s="63"/>
      <c r="KBU47" s="63"/>
      <c r="KBV47" s="63"/>
      <c r="KBW47" s="63"/>
      <c r="KBX47" s="63"/>
      <c r="KBY47" s="63"/>
      <c r="KBZ47" s="63"/>
      <c r="KCA47" s="63"/>
      <c r="KCB47" s="63"/>
      <c r="KCC47" s="63"/>
      <c r="KCD47" s="63"/>
      <c r="KCE47" s="63"/>
      <c r="KCF47" s="63"/>
      <c r="KCG47" s="63"/>
      <c r="KCH47" s="63"/>
      <c r="KCI47" s="63"/>
      <c r="KCJ47" s="63"/>
      <c r="KCK47" s="63"/>
      <c r="KCL47" s="63"/>
      <c r="KCM47" s="63"/>
      <c r="KCN47" s="63"/>
      <c r="KCO47" s="63"/>
      <c r="KCP47" s="63"/>
      <c r="KCQ47" s="63"/>
      <c r="KCR47" s="63"/>
      <c r="KCS47" s="63"/>
      <c r="KCT47" s="63"/>
      <c r="KCU47" s="63"/>
      <c r="KCV47" s="63"/>
      <c r="KCW47" s="63"/>
      <c r="KCX47" s="63"/>
      <c r="KCY47" s="63"/>
      <c r="KCZ47" s="63"/>
      <c r="KDA47" s="63"/>
      <c r="KDB47" s="63"/>
      <c r="KDC47" s="63"/>
      <c r="KDD47" s="63"/>
      <c r="KDE47" s="63"/>
      <c r="KDF47" s="63"/>
      <c r="KDG47" s="63"/>
      <c r="KDH47" s="63"/>
      <c r="KDI47" s="63"/>
      <c r="KDJ47" s="63"/>
      <c r="KDK47" s="63"/>
      <c r="KDL47" s="63"/>
      <c r="KDM47" s="63"/>
      <c r="KDN47" s="63"/>
      <c r="KDO47" s="63"/>
      <c r="KDP47" s="63"/>
      <c r="KDQ47" s="63"/>
      <c r="KDR47" s="63"/>
      <c r="KDS47" s="63"/>
      <c r="KDT47" s="63"/>
      <c r="KDU47" s="63"/>
      <c r="KDV47" s="63"/>
      <c r="KDW47" s="63"/>
      <c r="KDX47" s="63"/>
      <c r="KDY47" s="63"/>
      <c r="KDZ47" s="63"/>
      <c r="KEA47" s="63"/>
      <c r="KEB47" s="63"/>
      <c r="KEC47" s="63"/>
      <c r="KED47" s="63"/>
      <c r="KEE47" s="63"/>
      <c r="KEF47" s="63"/>
      <c r="KEG47" s="63"/>
      <c r="KEH47" s="63"/>
      <c r="KEI47" s="63"/>
      <c r="KEJ47" s="63"/>
      <c r="KEK47" s="63"/>
      <c r="KEL47" s="63"/>
      <c r="KEM47" s="63"/>
      <c r="KEN47" s="63"/>
      <c r="KEO47" s="63"/>
      <c r="KEP47" s="63"/>
      <c r="KEQ47" s="63"/>
      <c r="KER47" s="63"/>
      <c r="KES47" s="63"/>
      <c r="KET47" s="63"/>
      <c r="KEU47" s="63"/>
      <c r="KEV47" s="63"/>
      <c r="KEW47" s="63"/>
      <c r="KEX47" s="63"/>
      <c r="KEY47" s="63"/>
      <c r="KEZ47" s="63"/>
      <c r="KFA47" s="63"/>
      <c r="KFB47" s="63"/>
      <c r="KFC47" s="63"/>
      <c r="KFD47" s="63"/>
      <c r="KFE47" s="63"/>
      <c r="KFF47" s="63"/>
      <c r="KFG47" s="63"/>
      <c r="KFH47" s="63"/>
      <c r="KFI47" s="63"/>
      <c r="KFJ47" s="63"/>
      <c r="KFK47" s="63"/>
      <c r="KFL47" s="63"/>
      <c r="KFM47" s="63"/>
      <c r="KFN47" s="63"/>
      <c r="KFO47" s="63"/>
      <c r="KFP47" s="63"/>
      <c r="KFQ47" s="63"/>
      <c r="KFR47" s="63"/>
      <c r="KFS47" s="63"/>
      <c r="KFT47" s="63"/>
      <c r="KFU47" s="63"/>
      <c r="KFV47" s="63"/>
      <c r="KFW47" s="63"/>
      <c r="KFX47" s="63"/>
      <c r="KFY47" s="63"/>
      <c r="KFZ47" s="63"/>
      <c r="KGA47" s="63"/>
      <c r="KGB47" s="63"/>
      <c r="KGC47" s="63"/>
      <c r="KGD47" s="63"/>
      <c r="KGE47" s="63"/>
      <c r="KGF47" s="63"/>
      <c r="KGG47" s="63"/>
      <c r="KGH47" s="63"/>
      <c r="KGI47" s="63"/>
      <c r="KGJ47" s="63"/>
      <c r="KGK47" s="63"/>
      <c r="KGL47" s="63"/>
      <c r="KGM47" s="63"/>
      <c r="KGN47" s="63"/>
      <c r="KGO47" s="63"/>
      <c r="KGP47" s="63"/>
      <c r="KGQ47" s="63"/>
      <c r="KGR47" s="63"/>
      <c r="KGS47" s="63"/>
      <c r="KGT47" s="63"/>
      <c r="KGU47" s="63"/>
      <c r="KGV47" s="63"/>
      <c r="KGW47" s="63"/>
      <c r="KGX47" s="63"/>
      <c r="KGY47" s="63"/>
      <c r="KGZ47" s="63"/>
      <c r="KHA47" s="63"/>
      <c r="KHB47" s="63"/>
      <c r="KHC47" s="63"/>
      <c r="KHD47" s="63"/>
      <c r="KHE47" s="63"/>
      <c r="KHF47" s="63"/>
      <c r="KHG47" s="63"/>
      <c r="KHH47" s="63"/>
      <c r="KHI47" s="63"/>
      <c r="KHJ47" s="63"/>
      <c r="KHK47" s="63"/>
      <c r="KHL47" s="63"/>
      <c r="KHM47" s="63"/>
      <c r="KHN47" s="63"/>
      <c r="KHO47" s="63"/>
      <c r="KHP47" s="63"/>
      <c r="KHQ47" s="63"/>
      <c r="KHR47" s="63"/>
      <c r="KHS47" s="63"/>
      <c r="KHT47" s="63"/>
      <c r="KHU47" s="63"/>
      <c r="KHV47" s="63"/>
      <c r="KHW47" s="63"/>
      <c r="KHX47" s="63"/>
      <c r="KHY47" s="63"/>
      <c r="KHZ47" s="63"/>
      <c r="KIA47" s="63"/>
      <c r="KIB47" s="63"/>
      <c r="KIC47" s="63"/>
      <c r="KID47" s="63"/>
      <c r="KIE47" s="63"/>
      <c r="KIF47" s="63"/>
      <c r="KIG47" s="63"/>
      <c r="KIH47" s="63"/>
      <c r="KII47" s="63"/>
      <c r="KIJ47" s="63"/>
      <c r="KIK47" s="63"/>
      <c r="KIL47" s="63"/>
      <c r="KIM47" s="63"/>
      <c r="KIN47" s="63"/>
      <c r="KIO47" s="63"/>
      <c r="KIP47" s="63"/>
      <c r="KIQ47" s="63"/>
      <c r="KIR47" s="63"/>
      <c r="KIS47" s="63"/>
      <c r="KIT47" s="63"/>
      <c r="KIU47" s="63"/>
      <c r="KIV47" s="63"/>
      <c r="KIW47" s="63"/>
      <c r="KIX47" s="63"/>
      <c r="KIY47" s="63"/>
      <c r="KIZ47" s="63"/>
      <c r="KJA47" s="63"/>
      <c r="KJB47" s="63"/>
      <c r="KJC47" s="63"/>
      <c r="KJD47" s="63"/>
      <c r="KJE47" s="63"/>
      <c r="KJF47" s="63"/>
      <c r="KJG47" s="63"/>
      <c r="KJH47" s="63"/>
      <c r="KJI47" s="63"/>
      <c r="KJJ47" s="63"/>
      <c r="KJK47" s="63"/>
      <c r="KJL47" s="63"/>
      <c r="KJM47" s="63"/>
      <c r="KJN47" s="63"/>
      <c r="KJO47" s="63"/>
      <c r="KJP47" s="63"/>
      <c r="KJQ47" s="63"/>
      <c r="KJR47" s="63"/>
      <c r="KJS47" s="63"/>
      <c r="KJT47" s="63"/>
      <c r="KJU47" s="63"/>
      <c r="KJV47" s="63"/>
      <c r="KJW47" s="63"/>
      <c r="KJX47" s="63"/>
      <c r="KJY47" s="63"/>
      <c r="KJZ47" s="63"/>
      <c r="KKA47" s="63"/>
      <c r="KKB47" s="63"/>
      <c r="KKC47" s="63"/>
      <c r="KKD47" s="63"/>
      <c r="KKE47" s="63"/>
      <c r="KKF47" s="63"/>
      <c r="KKG47" s="63"/>
      <c r="KKH47" s="63"/>
      <c r="KKI47" s="63"/>
      <c r="KKJ47" s="63"/>
      <c r="KKK47" s="63"/>
      <c r="KKL47" s="63"/>
      <c r="KKM47" s="63"/>
      <c r="KKN47" s="63"/>
      <c r="KKO47" s="63"/>
      <c r="KKP47" s="63"/>
      <c r="KKQ47" s="63"/>
      <c r="KKR47" s="63"/>
      <c r="KKS47" s="63"/>
      <c r="KKT47" s="63"/>
      <c r="KKU47" s="63"/>
      <c r="KKV47" s="63"/>
      <c r="KKW47" s="63"/>
      <c r="KKX47" s="63"/>
      <c r="KKY47" s="63"/>
      <c r="KKZ47" s="63"/>
      <c r="KLA47" s="63"/>
      <c r="KLB47" s="63"/>
      <c r="KLC47" s="63"/>
      <c r="KLD47" s="63"/>
      <c r="KLE47" s="63"/>
      <c r="KLF47" s="63"/>
      <c r="KLG47" s="63"/>
      <c r="KLH47" s="63"/>
      <c r="KLI47" s="63"/>
      <c r="KLJ47" s="63"/>
      <c r="KLK47" s="63"/>
      <c r="KLL47" s="63"/>
      <c r="KLM47" s="63"/>
      <c r="KLN47" s="63"/>
      <c r="KLO47" s="63"/>
      <c r="KLP47" s="63"/>
      <c r="KLQ47" s="63"/>
      <c r="KLR47" s="63"/>
      <c r="KLS47" s="63"/>
      <c r="KLT47" s="63"/>
      <c r="KLU47" s="63"/>
      <c r="KLV47" s="63"/>
      <c r="KLW47" s="63"/>
      <c r="KLX47" s="63"/>
      <c r="KLY47" s="63"/>
      <c r="KLZ47" s="63"/>
      <c r="KMA47" s="63"/>
      <c r="KMB47" s="63"/>
      <c r="KMC47" s="63"/>
      <c r="KMD47" s="63"/>
      <c r="KME47" s="63"/>
      <c r="KMF47" s="63"/>
      <c r="KMG47" s="63"/>
      <c r="KMH47" s="63"/>
      <c r="KMI47" s="63"/>
      <c r="KMJ47" s="63"/>
      <c r="KMK47" s="63"/>
      <c r="KML47" s="63"/>
      <c r="KMM47" s="63"/>
      <c r="KMN47" s="63"/>
      <c r="KMO47" s="63"/>
      <c r="KMP47" s="63"/>
      <c r="KMQ47" s="63"/>
      <c r="KMR47" s="63"/>
      <c r="KMS47" s="63"/>
      <c r="KMT47" s="63"/>
      <c r="KMU47" s="63"/>
      <c r="KMV47" s="63"/>
      <c r="KMW47" s="63"/>
      <c r="KMX47" s="63"/>
      <c r="KMY47" s="63"/>
      <c r="KMZ47" s="63"/>
      <c r="KNA47" s="63"/>
      <c r="KNB47" s="63"/>
      <c r="KNC47" s="63"/>
      <c r="KND47" s="63"/>
      <c r="KNE47" s="63"/>
      <c r="KNF47" s="63"/>
      <c r="KNG47" s="63"/>
      <c r="KNH47" s="63"/>
      <c r="KNI47" s="63"/>
      <c r="KNJ47" s="63"/>
      <c r="KNK47" s="63"/>
      <c r="KNL47" s="63"/>
      <c r="KNM47" s="63"/>
      <c r="KNN47" s="63"/>
      <c r="KNO47" s="63"/>
      <c r="KNP47" s="63"/>
      <c r="KNQ47" s="63"/>
      <c r="KNR47" s="63"/>
      <c r="KNS47" s="63"/>
      <c r="KNT47" s="63"/>
      <c r="KNU47" s="63"/>
      <c r="KNV47" s="63"/>
      <c r="KNW47" s="63"/>
      <c r="KNX47" s="63"/>
      <c r="KNY47" s="63"/>
      <c r="KNZ47" s="63"/>
      <c r="KOA47" s="63"/>
      <c r="KOB47" s="63"/>
      <c r="KOC47" s="63"/>
      <c r="KOD47" s="63"/>
      <c r="KOE47" s="63"/>
      <c r="KOF47" s="63"/>
      <c r="KOG47" s="63"/>
      <c r="KOH47" s="63"/>
      <c r="KOI47" s="63"/>
      <c r="KOJ47" s="63"/>
      <c r="KOK47" s="63"/>
      <c r="KOL47" s="63"/>
      <c r="KOM47" s="63"/>
      <c r="KON47" s="63"/>
      <c r="KOO47" s="63"/>
      <c r="KOP47" s="63"/>
      <c r="KOQ47" s="63"/>
      <c r="KOR47" s="63"/>
      <c r="KOS47" s="63"/>
      <c r="KOT47" s="63"/>
      <c r="KOU47" s="63"/>
      <c r="KOV47" s="63"/>
      <c r="KOW47" s="63"/>
      <c r="KOX47" s="63"/>
      <c r="KOY47" s="63"/>
      <c r="KOZ47" s="63"/>
      <c r="KPA47" s="63"/>
      <c r="KPB47" s="63"/>
      <c r="KPC47" s="63"/>
      <c r="KPD47" s="63"/>
      <c r="KPE47" s="63"/>
      <c r="KPF47" s="63"/>
      <c r="KPG47" s="63"/>
      <c r="KPH47" s="63"/>
      <c r="KPI47" s="63"/>
      <c r="KPJ47" s="63"/>
      <c r="KPK47" s="63"/>
      <c r="KPL47" s="63"/>
      <c r="KPM47" s="63"/>
      <c r="KPN47" s="63"/>
      <c r="KPO47" s="63"/>
      <c r="KPP47" s="63"/>
      <c r="KPQ47" s="63"/>
      <c r="KPR47" s="63"/>
      <c r="KPS47" s="63"/>
      <c r="KPT47" s="63"/>
      <c r="KPU47" s="63"/>
      <c r="KPV47" s="63"/>
      <c r="KPW47" s="63"/>
      <c r="KPX47" s="63"/>
      <c r="KPY47" s="63"/>
      <c r="KPZ47" s="63"/>
      <c r="KQA47" s="63"/>
      <c r="KQB47" s="63"/>
      <c r="KQC47" s="63"/>
      <c r="KQD47" s="63"/>
      <c r="KQE47" s="63"/>
      <c r="KQF47" s="63"/>
      <c r="KQG47" s="63"/>
      <c r="KQH47" s="63"/>
      <c r="KQI47" s="63"/>
      <c r="KQJ47" s="63"/>
      <c r="KQK47" s="63"/>
      <c r="KQL47" s="63"/>
      <c r="KQM47" s="63"/>
      <c r="KQN47" s="63"/>
      <c r="KQO47" s="63"/>
      <c r="KQP47" s="63"/>
      <c r="KQQ47" s="63"/>
      <c r="KQR47" s="63"/>
      <c r="KQS47" s="63"/>
      <c r="KQT47" s="63"/>
      <c r="KQU47" s="63"/>
      <c r="KQV47" s="63"/>
      <c r="KQW47" s="63"/>
      <c r="KQX47" s="63"/>
      <c r="KQY47" s="63"/>
      <c r="KQZ47" s="63"/>
      <c r="KRA47" s="63"/>
      <c r="KRB47" s="63"/>
      <c r="KRC47" s="63"/>
      <c r="KRD47" s="63"/>
      <c r="KRE47" s="63"/>
      <c r="KRF47" s="63"/>
      <c r="KRG47" s="63"/>
      <c r="KRH47" s="63"/>
      <c r="KRI47" s="63"/>
      <c r="KRJ47" s="63"/>
      <c r="KRK47" s="63"/>
      <c r="KRL47" s="63"/>
      <c r="KRM47" s="63"/>
      <c r="KRN47" s="63"/>
      <c r="KRO47" s="63"/>
      <c r="KRP47" s="63"/>
      <c r="KRQ47" s="63"/>
      <c r="KRR47" s="63"/>
      <c r="KRS47" s="63"/>
      <c r="KRT47" s="63"/>
      <c r="KRU47" s="63"/>
      <c r="KRV47" s="63"/>
      <c r="KRW47" s="63"/>
      <c r="KRX47" s="63"/>
      <c r="KRY47" s="63"/>
      <c r="KRZ47" s="63"/>
      <c r="KSA47" s="63"/>
      <c r="KSB47" s="63"/>
      <c r="KSC47" s="63"/>
      <c r="KSD47" s="63"/>
      <c r="KSE47" s="63"/>
      <c r="KSF47" s="63"/>
      <c r="KSG47" s="63"/>
      <c r="KSH47" s="63"/>
      <c r="KSI47" s="63"/>
      <c r="KSJ47" s="63"/>
      <c r="KSK47" s="63"/>
      <c r="KSL47" s="63"/>
      <c r="KSM47" s="63"/>
      <c r="KSN47" s="63"/>
      <c r="KSO47" s="63"/>
      <c r="KSP47" s="63"/>
      <c r="KSQ47" s="63"/>
      <c r="KSR47" s="63"/>
      <c r="KSS47" s="63"/>
      <c r="KST47" s="63"/>
      <c r="KSU47" s="63"/>
      <c r="KSV47" s="63"/>
      <c r="KSW47" s="63"/>
      <c r="KSX47" s="63"/>
      <c r="KSY47" s="63"/>
      <c r="KSZ47" s="63"/>
      <c r="KTA47" s="63"/>
      <c r="KTB47" s="63"/>
      <c r="KTC47" s="63"/>
      <c r="KTD47" s="63"/>
      <c r="KTE47" s="63"/>
      <c r="KTF47" s="63"/>
      <c r="KTG47" s="63"/>
      <c r="KTH47" s="63"/>
      <c r="KTI47" s="63"/>
      <c r="KTJ47" s="63"/>
      <c r="KTK47" s="63"/>
      <c r="KTL47" s="63"/>
      <c r="KTM47" s="63"/>
      <c r="KTN47" s="63"/>
      <c r="KTO47" s="63"/>
      <c r="KTP47" s="63"/>
      <c r="KTQ47" s="63"/>
      <c r="KTR47" s="63"/>
      <c r="KTS47" s="63"/>
      <c r="KTT47" s="63"/>
      <c r="KTU47" s="63"/>
      <c r="KTV47" s="63"/>
      <c r="KTW47" s="63"/>
      <c r="KTX47" s="63"/>
      <c r="KTY47" s="63"/>
      <c r="KTZ47" s="63"/>
      <c r="KUA47" s="63"/>
      <c r="KUB47" s="63"/>
      <c r="KUC47" s="63"/>
      <c r="KUD47" s="63"/>
      <c r="KUE47" s="63"/>
      <c r="KUF47" s="63"/>
      <c r="KUG47" s="63"/>
      <c r="KUH47" s="63"/>
      <c r="KUI47" s="63"/>
      <c r="KUJ47" s="63"/>
      <c r="KUK47" s="63"/>
      <c r="KUL47" s="63"/>
      <c r="KUM47" s="63"/>
      <c r="KUN47" s="63"/>
      <c r="KUO47" s="63"/>
      <c r="KUP47" s="63"/>
      <c r="KUQ47" s="63"/>
      <c r="KUR47" s="63"/>
      <c r="KUS47" s="63"/>
      <c r="KUT47" s="63"/>
      <c r="KUU47" s="63"/>
      <c r="KUV47" s="63"/>
      <c r="KUW47" s="63"/>
      <c r="KUX47" s="63"/>
      <c r="KUY47" s="63"/>
      <c r="KUZ47" s="63"/>
      <c r="KVA47" s="63"/>
      <c r="KVB47" s="63"/>
      <c r="KVC47" s="63"/>
      <c r="KVD47" s="63"/>
      <c r="KVE47" s="63"/>
      <c r="KVF47" s="63"/>
      <c r="KVG47" s="63"/>
      <c r="KVH47" s="63"/>
      <c r="KVI47" s="63"/>
      <c r="KVJ47" s="63"/>
      <c r="KVK47" s="63"/>
      <c r="KVL47" s="63"/>
      <c r="KVM47" s="63"/>
      <c r="KVN47" s="63"/>
      <c r="KVO47" s="63"/>
      <c r="KVP47" s="63"/>
      <c r="KVQ47" s="63"/>
      <c r="KVR47" s="63"/>
      <c r="KVS47" s="63"/>
      <c r="KVT47" s="63"/>
      <c r="KVU47" s="63"/>
      <c r="KVV47" s="63"/>
      <c r="KVW47" s="63"/>
      <c r="KVX47" s="63"/>
      <c r="KVY47" s="63"/>
      <c r="KVZ47" s="63"/>
      <c r="KWA47" s="63"/>
      <c r="KWB47" s="63"/>
      <c r="KWC47" s="63"/>
      <c r="KWD47" s="63"/>
      <c r="KWE47" s="63"/>
      <c r="KWF47" s="63"/>
      <c r="KWG47" s="63"/>
      <c r="KWH47" s="63"/>
      <c r="KWI47" s="63"/>
      <c r="KWJ47" s="63"/>
      <c r="KWK47" s="63"/>
      <c r="KWL47" s="63"/>
      <c r="KWM47" s="63"/>
      <c r="KWN47" s="63"/>
      <c r="KWO47" s="63"/>
      <c r="KWP47" s="63"/>
      <c r="KWQ47" s="63"/>
      <c r="KWR47" s="63"/>
      <c r="KWS47" s="63"/>
      <c r="KWT47" s="63"/>
      <c r="KWU47" s="63"/>
      <c r="KWV47" s="63"/>
      <c r="KWW47" s="63"/>
      <c r="KWX47" s="63"/>
      <c r="KWY47" s="63"/>
      <c r="KWZ47" s="63"/>
      <c r="KXA47" s="63"/>
      <c r="KXB47" s="63"/>
      <c r="KXC47" s="63"/>
      <c r="KXD47" s="63"/>
      <c r="KXE47" s="63"/>
      <c r="KXF47" s="63"/>
      <c r="KXG47" s="63"/>
      <c r="KXH47" s="63"/>
      <c r="KXI47" s="63"/>
      <c r="KXJ47" s="63"/>
      <c r="KXK47" s="63"/>
      <c r="KXL47" s="63"/>
      <c r="KXM47" s="63"/>
      <c r="KXN47" s="63"/>
      <c r="KXO47" s="63"/>
      <c r="KXP47" s="63"/>
      <c r="KXQ47" s="63"/>
      <c r="KXR47" s="63"/>
      <c r="KXS47" s="63"/>
      <c r="KXT47" s="63"/>
      <c r="KXU47" s="63"/>
      <c r="KXV47" s="63"/>
      <c r="KXW47" s="63"/>
      <c r="KXX47" s="63"/>
      <c r="KXY47" s="63"/>
      <c r="KXZ47" s="63"/>
      <c r="KYA47" s="63"/>
      <c r="KYB47" s="63"/>
      <c r="KYC47" s="63"/>
      <c r="KYD47" s="63"/>
      <c r="KYE47" s="63"/>
      <c r="KYF47" s="63"/>
      <c r="KYG47" s="63"/>
      <c r="KYH47" s="63"/>
      <c r="KYI47" s="63"/>
      <c r="KYJ47" s="63"/>
      <c r="KYK47" s="63"/>
      <c r="KYL47" s="63"/>
      <c r="KYM47" s="63"/>
      <c r="KYN47" s="63"/>
      <c r="KYO47" s="63"/>
      <c r="KYP47" s="63"/>
      <c r="KYQ47" s="63"/>
      <c r="KYR47" s="63"/>
      <c r="KYS47" s="63"/>
      <c r="KYT47" s="63"/>
      <c r="KYU47" s="63"/>
      <c r="KYV47" s="63"/>
      <c r="KYW47" s="63"/>
      <c r="KYX47" s="63"/>
      <c r="KYY47" s="63"/>
      <c r="KYZ47" s="63"/>
      <c r="KZA47" s="63"/>
      <c r="KZB47" s="63"/>
      <c r="KZC47" s="63"/>
      <c r="KZD47" s="63"/>
      <c r="KZE47" s="63"/>
      <c r="KZF47" s="63"/>
      <c r="KZG47" s="63"/>
      <c r="KZH47" s="63"/>
      <c r="KZI47" s="63"/>
      <c r="KZJ47" s="63"/>
      <c r="KZK47" s="63"/>
      <c r="KZL47" s="63"/>
      <c r="KZM47" s="63"/>
      <c r="KZN47" s="63"/>
      <c r="KZO47" s="63"/>
      <c r="KZP47" s="63"/>
      <c r="KZQ47" s="63"/>
      <c r="KZR47" s="63"/>
      <c r="KZS47" s="63"/>
      <c r="KZT47" s="63"/>
      <c r="KZU47" s="63"/>
      <c r="KZV47" s="63"/>
      <c r="KZW47" s="63"/>
      <c r="KZX47" s="63"/>
      <c r="KZY47" s="63"/>
      <c r="KZZ47" s="63"/>
      <c r="LAA47" s="63"/>
      <c r="LAB47" s="63"/>
      <c r="LAC47" s="63"/>
      <c r="LAD47" s="63"/>
      <c r="LAE47" s="63"/>
      <c r="LAF47" s="63"/>
      <c r="LAG47" s="63"/>
      <c r="LAH47" s="63"/>
      <c r="LAI47" s="63"/>
      <c r="LAJ47" s="63"/>
      <c r="LAK47" s="63"/>
      <c r="LAL47" s="63"/>
      <c r="LAM47" s="63"/>
      <c r="LAN47" s="63"/>
      <c r="LAO47" s="63"/>
      <c r="LAP47" s="63"/>
      <c r="LAQ47" s="63"/>
      <c r="LAR47" s="63"/>
      <c r="LAS47" s="63"/>
      <c r="LAT47" s="63"/>
      <c r="LAU47" s="63"/>
      <c r="LAV47" s="63"/>
      <c r="LAW47" s="63"/>
      <c r="LAX47" s="63"/>
      <c r="LAY47" s="63"/>
      <c r="LAZ47" s="63"/>
      <c r="LBA47" s="63"/>
      <c r="LBB47" s="63"/>
      <c r="LBC47" s="63"/>
      <c r="LBD47" s="63"/>
      <c r="LBE47" s="63"/>
      <c r="LBF47" s="63"/>
      <c r="LBG47" s="63"/>
      <c r="LBH47" s="63"/>
      <c r="LBI47" s="63"/>
      <c r="LBJ47" s="63"/>
      <c r="LBK47" s="63"/>
      <c r="LBL47" s="63"/>
      <c r="LBM47" s="63"/>
      <c r="LBN47" s="63"/>
      <c r="LBO47" s="63"/>
      <c r="LBP47" s="63"/>
      <c r="LBQ47" s="63"/>
      <c r="LBR47" s="63"/>
      <c r="LBS47" s="63"/>
      <c r="LBT47" s="63"/>
      <c r="LBU47" s="63"/>
      <c r="LBV47" s="63"/>
      <c r="LBW47" s="63"/>
      <c r="LBX47" s="63"/>
      <c r="LBY47" s="63"/>
      <c r="LBZ47" s="63"/>
      <c r="LCA47" s="63"/>
      <c r="LCB47" s="63"/>
      <c r="LCC47" s="63"/>
      <c r="LCD47" s="63"/>
      <c r="LCE47" s="63"/>
      <c r="LCF47" s="63"/>
      <c r="LCG47" s="63"/>
      <c r="LCH47" s="63"/>
      <c r="LCI47" s="63"/>
      <c r="LCJ47" s="63"/>
      <c r="LCK47" s="63"/>
      <c r="LCL47" s="63"/>
      <c r="LCM47" s="63"/>
      <c r="LCN47" s="63"/>
      <c r="LCO47" s="63"/>
      <c r="LCP47" s="63"/>
      <c r="LCQ47" s="63"/>
      <c r="LCR47" s="63"/>
      <c r="LCS47" s="63"/>
      <c r="LCT47" s="63"/>
      <c r="LCU47" s="63"/>
      <c r="LCV47" s="63"/>
      <c r="LCW47" s="63"/>
      <c r="LCX47" s="63"/>
      <c r="LCY47" s="63"/>
      <c r="LCZ47" s="63"/>
      <c r="LDA47" s="63"/>
      <c r="LDB47" s="63"/>
      <c r="LDC47" s="63"/>
      <c r="LDD47" s="63"/>
      <c r="LDE47" s="63"/>
      <c r="LDF47" s="63"/>
      <c r="LDG47" s="63"/>
      <c r="LDH47" s="63"/>
      <c r="LDI47" s="63"/>
      <c r="LDJ47" s="63"/>
      <c r="LDK47" s="63"/>
      <c r="LDL47" s="63"/>
      <c r="LDM47" s="63"/>
      <c r="LDN47" s="63"/>
      <c r="LDO47" s="63"/>
      <c r="LDP47" s="63"/>
      <c r="LDQ47" s="63"/>
      <c r="LDR47" s="63"/>
      <c r="LDS47" s="63"/>
      <c r="LDT47" s="63"/>
      <c r="LDU47" s="63"/>
      <c r="LDV47" s="63"/>
      <c r="LDW47" s="63"/>
      <c r="LDX47" s="63"/>
      <c r="LDY47" s="63"/>
      <c r="LDZ47" s="63"/>
      <c r="LEA47" s="63"/>
      <c r="LEB47" s="63"/>
      <c r="LEC47" s="63"/>
      <c r="LED47" s="63"/>
      <c r="LEE47" s="63"/>
      <c r="LEF47" s="63"/>
      <c r="LEG47" s="63"/>
      <c r="LEH47" s="63"/>
      <c r="LEI47" s="63"/>
      <c r="LEJ47" s="63"/>
      <c r="LEK47" s="63"/>
      <c r="LEL47" s="63"/>
      <c r="LEM47" s="63"/>
      <c r="LEN47" s="63"/>
      <c r="LEO47" s="63"/>
      <c r="LEP47" s="63"/>
      <c r="LEQ47" s="63"/>
      <c r="LER47" s="63"/>
      <c r="LES47" s="63"/>
      <c r="LET47" s="63"/>
      <c r="LEU47" s="63"/>
      <c r="LEV47" s="63"/>
      <c r="LEW47" s="63"/>
      <c r="LEX47" s="63"/>
      <c r="LEY47" s="63"/>
      <c r="LEZ47" s="63"/>
      <c r="LFA47" s="63"/>
      <c r="LFB47" s="63"/>
      <c r="LFC47" s="63"/>
      <c r="LFD47" s="63"/>
      <c r="LFE47" s="63"/>
      <c r="LFF47" s="63"/>
      <c r="LFG47" s="63"/>
      <c r="LFH47" s="63"/>
      <c r="LFI47" s="63"/>
      <c r="LFJ47" s="63"/>
      <c r="LFK47" s="63"/>
      <c r="LFL47" s="63"/>
      <c r="LFM47" s="63"/>
      <c r="LFN47" s="63"/>
      <c r="LFO47" s="63"/>
      <c r="LFP47" s="63"/>
      <c r="LFQ47" s="63"/>
      <c r="LFR47" s="63"/>
      <c r="LFS47" s="63"/>
      <c r="LFT47" s="63"/>
      <c r="LFU47" s="63"/>
      <c r="LFV47" s="63"/>
      <c r="LFW47" s="63"/>
      <c r="LFX47" s="63"/>
      <c r="LFY47" s="63"/>
      <c r="LFZ47" s="63"/>
      <c r="LGA47" s="63"/>
      <c r="LGB47" s="63"/>
      <c r="LGC47" s="63"/>
      <c r="LGD47" s="63"/>
      <c r="LGE47" s="63"/>
      <c r="LGF47" s="63"/>
      <c r="LGG47" s="63"/>
      <c r="LGH47" s="63"/>
      <c r="LGI47" s="63"/>
      <c r="LGJ47" s="63"/>
      <c r="LGK47" s="63"/>
      <c r="LGL47" s="63"/>
      <c r="LGM47" s="63"/>
      <c r="LGN47" s="63"/>
      <c r="LGO47" s="63"/>
      <c r="LGP47" s="63"/>
      <c r="LGQ47" s="63"/>
      <c r="LGR47" s="63"/>
      <c r="LGS47" s="63"/>
      <c r="LGT47" s="63"/>
      <c r="LGU47" s="63"/>
      <c r="LGV47" s="63"/>
      <c r="LGW47" s="63"/>
      <c r="LGX47" s="63"/>
      <c r="LGY47" s="63"/>
      <c r="LGZ47" s="63"/>
      <c r="LHA47" s="63"/>
      <c r="LHB47" s="63"/>
      <c r="LHC47" s="63"/>
      <c r="LHD47" s="63"/>
      <c r="LHE47" s="63"/>
      <c r="LHF47" s="63"/>
      <c r="LHG47" s="63"/>
      <c r="LHH47" s="63"/>
      <c r="LHI47" s="63"/>
      <c r="LHJ47" s="63"/>
      <c r="LHK47" s="63"/>
      <c r="LHL47" s="63"/>
      <c r="LHM47" s="63"/>
      <c r="LHN47" s="63"/>
      <c r="LHO47" s="63"/>
      <c r="LHP47" s="63"/>
      <c r="LHQ47" s="63"/>
      <c r="LHR47" s="63"/>
      <c r="LHS47" s="63"/>
      <c r="LHT47" s="63"/>
      <c r="LHU47" s="63"/>
      <c r="LHV47" s="63"/>
      <c r="LHW47" s="63"/>
      <c r="LHX47" s="63"/>
      <c r="LHY47" s="63"/>
      <c r="LHZ47" s="63"/>
      <c r="LIA47" s="63"/>
      <c r="LIB47" s="63"/>
      <c r="LIC47" s="63"/>
      <c r="LID47" s="63"/>
      <c r="LIE47" s="63"/>
      <c r="LIF47" s="63"/>
      <c r="LIG47" s="63"/>
      <c r="LIH47" s="63"/>
      <c r="LII47" s="63"/>
      <c r="LIJ47" s="63"/>
      <c r="LIK47" s="63"/>
      <c r="LIL47" s="63"/>
      <c r="LIM47" s="63"/>
      <c r="LIN47" s="63"/>
      <c r="LIO47" s="63"/>
      <c r="LIP47" s="63"/>
      <c r="LIQ47" s="63"/>
      <c r="LIR47" s="63"/>
      <c r="LIS47" s="63"/>
      <c r="LIT47" s="63"/>
      <c r="LIU47" s="63"/>
      <c r="LIV47" s="63"/>
      <c r="LIW47" s="63"/>
      <c r="LIX47" s="63"/>
      <c r="LIY47" s="63"/>
      <c r="LIZ47" s="63"/>
      <c r="LJA47" s="63"/>
      <c r="LJB47" s="63"/>
      <c r="LJC47" s="63"/>
      <c r="LJD47" s="63"/>
      <c r="LJE47" s="63"/>
      <c r="LJF47" s="63"/>
      <c r="LJG47" s="63"/>
      <c r="LJH47" s="63"/>
      <c r="LJI47" s="63"/>
      <c r="LJJ47" s="63"/>
      <c r="LJK47" s="63"/>
      <c r="LJL47" s="63"/>
      <c r="LJM47" s="63"/>
      <c r="LJN47" s="63"/>
      <c r="LJO47" s="63"/>
      <c r="LJP47" s="63"/>
      <c r="LJQ47" s="63"/>
      <c r="LJR47" s="63"/>
      <c r="LJS47" s="63"/>
      <c r="LJT47" s="63"/>
      <c r="LJU47" s="63"/>
      <c r="LJV47" s="63"/>
      <c r="LJW47" s="63"/>
      <c r="LJX47" s="63"/>
      <c r="LJY47" s="63"/>
      <c r="LJZ47" s="63"/>
      <c r="LKA47" s="63"/>
      <c r="LKB47" s="63"/>
      <c r="LKC47" s="63"/>
      <c r="LKD47" s="63"/>
      <c r="LKE47" s="63"/>
      <c r="LKF47" s="63"/>
      <c r="LKG47" s="63"/>
      <c r="LKH47" s="63"/>
      <c r="LKI47" s="63"/>
      <c r="LKJ47" s="63"/>
      <c r="LKK47" s="63"/>
      <c r="LKL47" s="63"/>
      <c r="LKM47" s="63"/>
      <c r="LKN47" s="63"/>
      <c r="LKO47" s="63"/>
      <c r="LKP47" s="63"/>
      <c r="LKQ47" s="63"/>
      <c r="LKR47" s="63"/>
      <c r="LKS47" s="63"/>
      <c r="LKT47" s="63"/>
      <c r="LKU47" s="63"/>
      <c r="LKV47" s="63"/>
      <c r="LKW47" s="63"/>
      <c r="LKX47" s="63"/>
      <c r="LKY47" s="63"/>
      <c r="LKZ47" s="63"/>
      <c r="LLA47" s="63"/>
      <c r="LLB47" s="63"/>
      <c r="LLC47" s="63"/>
      <c r="LLD47" s="63"/>
      <c r="LLE47" s="63"/>
      <c r="LLF47" s="63"/>
      <c r="LLG47" s="63"/>
      <c r="LLH47" s="63"/>
      <c r="LLI47" s="63"/>
      <c r="LLJ47" s="63"/>
      <c r="LLK47" s="63"/>
      <c r="LLL47" s="63"/>
      <c r="LLM47" s="63"/>
      <c r="LLN47" s="63"/>
      <c r="LLO47" s="63"/>
      <c r="LLP47" s="63"/>
      <c r="LLQ47" s="63"/>
      <c r="LLR47" s="63"/>
      <c r="LLS47" s="63"/>
      <c r="LLT47" s="63"/>
      <c r="LLU47" s="63"/>
      <c r="LLV47" s="63"/>
      <c r="LLW47" s="63"/>
      <c r="LLX47" s="63"/>
      <c r="LLY47" s="63"/>
      <c r="LLZ47" s="63"/>
      <c r="LMA47" s="63"/>
      <c r="LMB47" s="63"/>
      <c r="LMC47" s="63"/>
      <c r="LMD47" s="63"/>
      <c r="LME47" s="63"/>
      <c r="LMF47" s="63"/>
      <c r="LMG47" s="63"/>
      <c r="LMH47" s="63"/>
      <c r="LMI47" s="63"/>
      <c r="LMJ47" s="63"/>
      <c r="LMK47" s="63"/>
      <c r="LML47" s="63"/>
      <c r="LMM47" s="63"/>
      <c r="LMN47" s="63"/>
      <c r="LMO47" s="63"/>
      <c r="LMP47" s="63"/>
      <c r="LMQ47" s="63"/>
      <c r="LMR47" s="63"/>
      <c r="LMS47" s="63"/>
      <c r="LMT47" s="63"/>
      <c r="LMU47" s="63"/>
      <c r="LMV47" s="63"/>
      <c r="LMW47" s="63"/>
      <c r="LMX47" s="63"/>
      <c r="LMY47" s="63"/>
      <c r="LMZ47" s="63"/>
      <c r="LNA47" s="63"/>
      <c r="LNB47" s="63"/>
      <c r="LNC47" s="63"/>
      <c r="LND47" s="63"/>
      <c r="LNE47" s="63"/>
      <c r="LNF47" s="63"/>
      <c r="LNG47" s="63"/>
      <c r="LNH47" s="63"/>
      <c r="LNI47" s="63"/>
      <c r="LNJ47" s="63"/>
      <c r="LNK47" s="63"/>
      <c r="LNL47" s="63"/>
      <c r="LNM47" s="63"/>
      <c r="LNN47" s="63"/>
      <c r="LNO47" s="63"/>
      <c r="LNP47" s="63"/>
      <c r="LNQ47" s="63"/>
      <c r="LNR47" s="63"/>
      <c r="LNS47" s="63"/>
      <c r="LNT47" s="63"/>
      <c r="LNU47" s="63"/>
      <c r="LNV47" s="63"/>
      <c r="LNW47" s="63"/>
      <c r="LNX47" s="63"/>
      <c r="LNY47" s="63"/>
      <c r="LNZ47" s="63"/>
      <c r="LOA47" s="63"/>
      <c r="LOB47" s="63"/>
      <c r="LOC47" s="63"/>
      <c r="LOD47" s="63"/>
      <c r="LOE47" s="63"/>
      <c r="LOF47" s="63"/>
      <c r="LOG47" s="63"/>
      <c r="LOH47" s="63"/>
      <c r="LOI47" s="63"/>
      <c r="LOJ47" s="63"/>
      <c r="LOK47" s="63"/>
      <c r="LOL47" s="63"/>
      <c r="LOM47" s="63"/>
      <c r="LON47" s="63"/>
      <c r="LOO47" s="63"/>
      <c r="LOP47" s="63"/>
      <c r="LOQ47" s="63"/>
      <c r="LOR47" s="63"/>
      <c r="LOS47" s="63"/>
      <c r="LOT47" s="63"/>
      <c r="LOU47" s="63"/>
      <c r="LOV47" s="63"/>
      <c r="LOW47" s="63"/>
      <c r="LOX47" s="63"/>
      <c r="LOY47" s="63"/>
      <c r="LOZ47" s="63"/>
      <c r="LPA47" s="63"/>
      <c r="LPB47" s="63"/>
      <c r="LPC47" s="63"/>
      <c r="LPD47" s="63"/>
      <c r="LPE47" s="63"/>
      <c r="LPF47" s="63"/>
      <c r="LPG47" s="63"/>
      <c r="LPH47" s="63"/>
      <c r="LPI47" s="63"/>
      <c r="LPJ47" s="63"/>
      <c r="LPK47" s="63"/>
      <c r="LPL47" s="63"/>
      <c r="LPM47" s="63"/>
      <c r="LPN47" s="63"/>
      <c r="LPO47" s="63"/>
      <c r="LPP47" s="63"/>
      <c r="LPQ47" s="63"/>
      <c r="LPR47" s="63"/>
      <c r="LPS47" s="63"/>
      <c r="LPT47" s="63"/>
      <c r="LPU47" s="63"/>
      <c r="LPV47" s="63"/>
      <c r="LPW47" s="63"/>
      <c r="LPX47" s="63"/>
      <c r="LPY47" s="63"/>
      <c r="LPZ47" s="63"/>
      <c r="LQA47" s="63"/>
      <c r="LQB47" s="63"/>
      <c r="LQC47" s="63"/>
      <c r="LQD47" s="63"/>
      <c r="LQE47" s="63"/>
      <c r="LQF47" s="63"/>
      <c r="LQG47" s="63"/>
      <c r="LQH47" s="63"/>
      <c r="LQI47" s="63"/>
      <c r="LQJ47" s="63"/>
      <c r="LQK47" s="63"/>
      <c r="LQL47" s="63"/>
      <c r="LQM47" s="63"/>
      <c r="LQN47" s="63"/>
      <c r="LQO47" s="63"/>
      <c r="LQP47" s="63"/>
      <c r="LQQ47" s="63"/>
      <c r="LQR47" s="63"/>
      <c r="LQS47" s="63"/>
      <c r="LQT47" s="63"/>
      <c r="LQU47" s="63"/>
      <c r="LQV47" s="63"/>
      <c r="LQW47" s="63"/>
      <c r="LQX47" s="63"/>
      <c r="LQY47" s="63"/>
      <c r="LQZ47" s="63"/>
      <c r="LRA47" s="63"/>
      <c r="LRB47" s="63"/>
      <c r="LRC47" s="63"/>
      <c r="LRD47" s="63"/>
      <c r="LRE47" s="63"/>
      <c r="LRF47" s="63"/>
      <c r="LRG47" s="63"/>
      <c r="LRH47" s="63"/>
      <c r="LRI47" s="63"/>
      <c r="LRJ47" s="63"/>
      <c r="LRK47" s="63"/>
      <c r="LRL47" s="63"/>
      <c r="LRM47" s="63"/>
      <c r="LRN47" s="63"/>
      <c r="LRO47" s="63"/>
      <c r="LRP47" s="63"/>
      <c r="LRQ47" s="63"/>
      <c r="LRR47" s="63"/>
      <c r="LRS47" s="63"/>
      <c r="LRT47" s="63"/>
      <c r="LRU47" s="63"/>
      <c r="LRV47" s="63"/>
      <c r="LRW47" s="63"/>
      <c r="LRX47" s="63"/>
      <c r="LRY47" s="63"/>
      <c r="LRZ47" s="63"/>
      <c r="LSA47" s="63"/>
      <c r="LSB47" s="63"/>
      <c r="LSC47" s="63"/>
      <c r="LSD47" s="63"/>
      <c r="LSE47" s="63"/>
      <c r="LSF47" s="63"/>
      <c r="LSG47" s="63"/>
      <c r="LSH47" s="63"/>
      <c r="LSI47" s="63"/>
      <c r="LSJ47" s="63"/>
      <c r="LSK47" s="63"/>
      <c r="LSL47" s="63"/>
      <c r="LSM47" s="63"/>
      <c r="LSN47" s="63"/>
      <c r="LSO47" s="63"/>
      <c r="LSP47" s="63"/>
      <c r="LSQ47" s="63"/>
      <c r="LSR47" s="63"/>
      <c r="LSS47" s="63"/>
      <c r="LST47" s="63"/>
      <c r="LSU47" s="63"/>
      <c r="LSV47" s="63"/>
      <c r="LSW47" s="63"/>
      <c r="LSX47" s="63"/>
      <c r="LSY47" s="63"/>
      <c r="LSZ47" s="63"/>
      <c r="LTA47" s="63"/>
      <c r="LTB47" s="63"/>
      <c r="LTC47" s="63"/>
      <c r="LTD47" s="63"/>
      <c r="LTE47" s="63"/>
      <c r="LTF47" s="63"/>
      <c r="LTG47" s="63"/>
      <c r="LTH47" s="63"/>
      <c r="LTI47" s="63"/>
      <c r="LTJ47" s="63"/>
      <c r="LTK47" s="63"/>
      <c r="LTL47" s="63"/>
      <c r="LTM47" s="63"/>
      <c r="LTN47" s="63"/>
      <c r="LTO47" s="63"/>
      <c r="LTP47" s="63"/>
      <c r="LTQ47" s="63"/>
      <c r="LTR47" s="63"/>
      <c r="LTS47" s="63"/>
      <c r="LTT47" s="63"/>
      <c r="LTU47" s="63"/>
      <c r="LTV47" s="63"/>
      <c r="LTW47" s="63"/>
      <c r="LTX47" s="63"/>
      <c r="LTY47" s="63"/>
      <c r="LTZ47" s="63"/>
      <c r="LUA47" s="63"/>
      <c r="LUB47" s="63"/>
      <c r="LUC47" s="63"/>
      <c r="LUD47" s="63"/>
      <c r="LUE47" s="63"/>
      <c r="LUF47" s="63"/>
      <c r="LUG47" s="63"/>
      <c r="LUH47" s="63"/>
      <c r="LUI47" s="63"/>
      <c r="LUJ47" s="63"/>
      <c r="LUK47" s="63"/>
      <c r="LUL47" s="63"/>
      <c r="LUM47" s="63"/>
      <c r="LUN47" s="63"/>
      <c r="LUO47" s="63"/>
      <c r="LUP47" s="63"/>
      <c r="LUQ47" s="63"/>
      <c r="LUR47" s="63"/>
      <c r="LUS47" s="63"/>
      <c r="LUT47" s="63"/>
      <c r="LUU47" s="63"/>
      <c r="LUV47" s="63"/>
      <c r="LUW47" s="63"/>
      <c r="LUX47" s="63"/>
      <c r="LUY47" s="63"/>
      <c r="LUZ47" s="63"/>
      <c r="LVA47" s="63"/>
      <c r="LVB47" s="63"/>
      <c r="LVC47" s="63"/>
      <c r="LVD47" s="63"/>
      <c r="LVE47" s="63"/>
      <c r="LVF47" s="63"/>
      <c r="LVG47" s="63"/>
      <c r="LVH47" s="63"/>
      <c r="LVI47" s="63"/>
      <c r="LVJ47" s="63"/>
      <c r="LVK47" s="63"/>
      <c r="LVL47" s="63"/>
      <c r="LVM47" s="63"/>
      <c r="LVN47" s="63"/>
      <c r="LVO47" s="63"/>
      <c r="LVP47" s="63"/>
      <c r="LVQ47" s="63"/>
      <c r="LVR47" s="63"/>
      <c r="LVS47" s="63"/>
      <c r="LVT47" s="63"/>
      <c r="LVU47" s="63"/>
      <c r="LVV47" s="63"/>
      <c r="LVW47" s="63"/>
      <c r="LVX47" s="63"/>
      <c r="LVY47" s="63"/>
      <c r="LVZ47" s="63"/>
      <c r="LWA47" s="63"/>
      <c r="LWB47" s="63"/>
      <c r="LWC47" s="63"/>
      <c r="LWD47" s="63"/>
      <c r="LWE47" s="63"/>
      <c r="LWF47" s="63"/>
      <c r="LWG47" s="63"/>
      <c r="LWH47" s="63"/>
      <c r="LWI47" s="63"/>
      <c r="LWJ47" s="63"/>
      <c r="LWK47" s="63"/>
      <c r="LWL47" s="63"/>
      <c r="LWM47" s="63"/>
      <c r="LWN47" s="63"/>
      <c r="LWO47" s="63"/>
      <c r="LWP47" s="63"/>
      <c r="LWQ47" s="63"/>
      <c r="LWR47" s="63"/>
      <c r="LWS47" s="63"/>
      <c r="LWT47" s="63"/>
      <c r="LWU47" s="63"/>
      <c r="LWV47" s="63"/>
      <c r="LWW47" s="63"/>
      <c r="LWX47" s="63"/>
      <c r="LWY47" s="63"/>
      <c r="LWZ47" s="63"/>
      <c r="LXA47" s="63"/>
      <c r="LXB47" s="63"/>
      <c r="LXC47" s="63"/>
      <c r="LXD47" s="63"/>
      <c r="LXE47" s="63"/>
      <c r="LXF47" s="63"/>
      <c r="LXG47" s="63"/>
      <c r="LXH47" s="63"/>
      <c r="LXI47" s="63"/>
      <c r="LXJ47" s="63"/>
      <c r="LXK47" s="63"/>
      <c r="LXL47" s="63"/>
      <c r="LXM47" s="63"/>
      <c r="LXN47" s="63"/>
      <c r="LXO47" s="63"/>
      <c r="LXP47" s="63"/>
      <c r="LXQ47" s="63"/>
      <c r="LXR47" s="63"/>
      <c r="LXS47" s="63"/>
      <c r="LXT47" s="63"/>
      <c r="LXU47" s="63"/>
      <c r="LXV47" s="63"/>
      <c r="LXW47" s="63"/>
      <c r="LXX47" s="63"/>
      <c r="LXY47" s="63"/>
      <c r="LXZ47" s="63"/>
      <c r="LYA47" s="63"/>
      <c r="LYB47" s="63"/>
      <c r="LYC47" s="63"/>
      <c r="LYD47" s="63"/>
      <c r="LYE47" s="63"/>
      <c r="LYF47" s="63"/>
      <c r="LYG47" s="63"/>
      <c r="LYH47" s="63"/>
      <c r="LYI47" s="63"/>
      <c r="LYJ47" s="63"/>
      <c r="LYK47" s="63"/>
      <c r="LYL47" s="63"/>
      <c r="LYM47" s="63"/>
      <c r="LYN47" s="63"/>
      <c r="LYO47" s="63"/>
      <c r="LYP47" s="63"/>
      <c r="LYQ47" s="63"/>
      <c r="LYR47" s="63"/>
      <c r="LYS47" s="63"/>
      <c r="LYT47" s="63"/>
      <c r="LYU47" s="63"/>
      <c r="LYV47" s="63"/>
      <c r="LYW47" s="63"/>
      <c r="LYX47" s="63"/>
      <c r="LYY47" s="63"/>
      <c r="LYZ47" s="63"/>
      <c r="LZA47" s="63"/>
      <c r="LZB47" s="63"/>
      <c r="LZC47" s="63"/>
      <c r="LZD47" s="63"/>
      <c r="LZE47" s="63"/>
      <c r="LZF47" s="63"/>
      <c r="LZG47" s="63"/>
      <c r="LZH47" s="63"/>
      <c r="LZI47" s="63"/>
      <c r="LZJ47" s="63"/>
      <c r="LZK47" s="63"/>
      <c r="LZL47" s="63"/>
      <c r="LZM47" s="63"/>
      <c r="LZN47" s="63"/>
      <c r="LZO47" s="63"/>
      <c r="LZP47" s="63"/>
      <c r="LZQ47" s="63"/>
      <c r="LZR47" s="63"/>
      <c r="LZS47" s="63"/>
      <c r="LZT47" s="63"/>
      <c r="LZU47" s="63"/>
      <c r="LZV47" s="63"/>
      <c r="LZW47" s="63"/>
      <c r="LZX47" s="63"/>
      <c r="LZY47" s="63"/>
      <c r="LZZ47" s="63"/>
      <c r="MAA47" s="63"/>
      <c r="MAB47" s="63"/>
      <c r="MAC47" s="63"/>
      <c r="MAD47" s="63"/>
      <c r="MAE47" s="63"/>
      <c r="MAF47" s="63"/>
      <c r="MAG47" s="63"/>
      <c r="MAH47" s="63"/>
      <c r="MAI47" s="63"/>
      <c r="MAJ47" s="63"/>
      <c r="MAK47" s="63"/>
      <c r="MAL47" s="63"/>
      <c r="MAM47" s="63"/>
      <c r="MAN47" s="63"/>
      <c r="MAO47" s="63"/>
      <c r="MAP47" s="63"/>
      <c r="MAQ47" s="63"/>
      <c r="MAR47" s="63"/>
      <c r="MAS47" s="63"/>
      <c r="MAT47" s="63"/>
      <c r="MAU47" s="63"/>
      <c r="MAV47" s="63"/>
      <c r="MAW47" s="63"/>
      <c r="MAX47" s="63"/>
      <c r="MAY47" s="63"/>
      <c r="MAZ47" s="63"/>
      <c r="MBA47" s="63"/>
      <c r="MBB47" s="63"/>
      <c r="MBC47" s="63"/>
      <c r="MBD47" s="63"/>
      <c r="MBE47" s="63"/>
      <c r="MBF47" s="63"/>
      <c r="MBG47" s="63"/>
      <c r="MBH47" s="63"/>
      <c r="MBI47" s="63"/>
      <c r="MBJ47" s="63"/>
      <c r="MBK47" s="63"/>
      <c r="MBL47" s="63"/>
      <c r="MBM47" s="63"/>
      <c r="MBN47" s="63"/>
      <c r="MBO47" s="63"/>
      <c r="MBP47" s="63"/>
      <c r="MBQ47" s="63"/>
      <c r="MBR47" s="63"/>
      <c r="MBS47" s="63"/>
      <c r="MBT47" s="63"/>
      <c r="MBU47" s="63"/>
      <c r="MBV47" s="63"/>
      <c r="MBW47" s="63"/>
      <c r="MBX47" s="63"/>
      <c r="MBY47" s="63"/>
      <c r="MBZ47" s="63"/>
      <c r="MCA47" s="63"/>
      <c r="MCB47" s="63"/>
      <c r="MCC47" s="63"/>
      <c r="MCD47" s="63"/>
      <c r="MCE47" s="63"/>
      <c r="MCF47" s="63"/>
      <c r="MCG47" s="63"/>
      <c r="MCH47" s="63"/>
      <c r="MCI47" s="63"/>
      <c r="MCJ47" s="63"/>
      <c r="MCK47" s="63"/>
      <c r="MCL47" s="63"/>
      <c r="MCM47" s="63"/>
      <c r="MCN47" s="63"/>
      <c r="MCO47" s="63"/>
      <c r="MCP47" s="63"/>
      <c r="MCQ47" s="63"/>
      <c r="MCR47" s="63"/>
      <c r="MCS47" s="63"/>
      <c r="MCT47" s="63"/>
      <c r="MCU47" s="63"/>
      <c r="MCV47" s="63"/>
      <c r="MCW47" s="63"/>
      <c r="MCX47" s="63"/>
      <c r="MCY47" s="63"/>
      <c r="MCZ47" s="63"/>
      <c r="MDA47" s="63"/>
      <c r="MDB47" s="63"/>
      <c r="MDC47" s="63"/>
      <c r="MDD47" s="63"/>
      <c r="MDE47" s="63"/>
      <c r="MDF47" s="63"/>
      <c r="MDG47" s="63"/>
      <c r="MDH47" s="63"/>
      <c r="MDI47" s="63"/>
      <c r="MDJ47" s="63"/>
      <c r="MDK47" s="63"/>
      <c r="MDL47" s="63"/>
      <c r="MDM47" s="63"/>
      <c r="MDN47" s="63"/>
      <c r="MDO47" s="63"/>
      <c r="MDP47" s="63"/>
      <c r="MDQ47" s="63"/>
      <c r="MDR47" s="63"/>
      <c r="MDS47" s="63"/>
      <c r="MDT47" s="63"/>
      <c r="MDU47" s="63"/>
      <c r="MDV47" s="63"/>
      <c r="MDW47" s="63"/>
      <c r="MDX47" s="63"/>
      <c r="MDY47" s="63"/>
      <c r="MDZ47" s="63"/>
      <c r="MEA47" s="63"/>
      <c r="MEB47" s="63"/>
      <c r="MEC47" s="63"/>
      <c r="MED47" s="63"/>
      <c r="MEE47" s="63"/>
      <c r="MEF47" s="63"/>
      <c r="MEG47" s="63"/>
      <c r="MEH47" s="63"/>
      <c r="MEI47" s="63"/>
      <c r="MEJ47" s="63"/>
      <c r="MEK47" s="63"/>
      <c r="MEL47" s="63"/>
      <c r="MEM47" s="63"/>
      <c r="MEN47" s="63"/>
      <c r="MEO47" s="63"/>
      <c r="MEP47" s="63"/>
      <c r="MEQ47" s="63"/>
      <c r="MER47" s="63"/>
      <c r="MES47" s="63"/>
      <c r="MET47" s="63"/>
      <c r="MEU47" s="63"/>
      <c r="MEV47" s="63"/>
      <c r="MEW47" s="63"/>
      <c r="MEX47" s="63"/>
      <c r="MEY47" s="63"/>
      <c r="MEZ47" s="63"/>
      <c r="MFA47" s="63"/>
      <c r="MFB47" s="63"/>
      <c r="MFC47" s="63"/>
      <c r="MFD47" s="63"/>
      <c r="MFE47" s="63"/>
      <c r="MFF47" s="63"/>
      <c r="MFG47" s="63"/>
      <c r="MFH47" s="63"/>
      <c r="MFI47" s="63"/>
      <c r="MFJ47" s="63"/>
      <c r="MFK47" s="63"/>
      <c r="MFL47" s="63"/>
      <c r="MFM47" s="63"/>
      <c r="MFN47" s="63"/>
      <c r="MFO47" s="63"/>
      <c r="MFP47" s="63"/>
      <c r="MFQ47" s="63"/>
      <c r="MFR47" s="63"/>
      <c r="MFS47" s="63"/>
      <c r="MFT47" s="63"/>
      <c r="MFU47" s="63"/>
      <c r="MFV47" s="63"/>
      <c r="MFW47" s="63"/>
      <c r="MFX47" s="63"/>
      <c r="MFY47" s="63"/>
      <c r="MFZ47" s="63"/>
      <c r="MGA47" s="63"/>
      <c r="MGB47" s="63"/>
      <c r="MGC47" s="63"/>
      <c r="MGD47" s="63"/>
      <c r="MGE47" s="63"/>
      <c r="MGF47" s="63"/>
      <c r="MGG47" s="63"/>
      <c r="MGH47" s="63"/>
      <c r="MGI47" s="63"/>
      <c r="MGJ47" s="63"/>
      <c r="MGK47" s="63"/>
      <c r="MGL47" s="63"/>
      <c r="MGM47" s="63"/>
      <c r="MGN47" s="63"/>
      <c r="MGO47" s="63"/>
      <c r="MGP47" s="63"/>
      <c r="MGQ47" s="63"/>
      <c r="MGR47" s="63"/>
      <c r="MGS47" s="63"/>
      <c r="MGT47" s="63"/>
      <c r="MGU47" s="63"/>
      <c r="MGV47" s="63"/>
      <c r="MGW47" s="63"/>
      <c r="MGX47" s="63"/>
      <c r="MGY47" s="63"/>
      <c r="MGZ47" s="63"/>
      <c r="MHA47" s="63"/>
      <c r="MHB47" s="63"/>
      <c r="MHC47" s="63"/>
      <c r="MHD47" s="63"/>
      <c r="MHE47" s="63"/>
      <c r="MHF47" s="63"/>
      <c r="MHG47" s="63"/>
      <c r="MHH47" s="63"/>
      <c r="MHI47" s="63"/>
      <c r="MHJ47" s="63"/>
      <c r="MHK47" s="63"/>
      <c r="MHL47" s="63"/>
      <c r="MHM47" s="63"/>
      <c r="MHN47" s="63"/>
      <c r="MHO47" s="63"/>
      <c r="MHP47" s="63"/>
      <c r="MHQ47" s="63"/>
      <c r="MHR47" s="63"/>
      <c r="MHS47" s="63"/>
      <c r="MHT47" s="63"/>
      <c r="MHU47" s="63"/>
      <c r="MHV47" s="63"/>
      <c r="MHW47" s="63"/>
      <c r="MHX47" s="63"/>
      <c r="MHY47" s="63"/>
      <c r="MHZ47" s="63"/>
      <c r="MIA47" s="63"/>
      <c r="MIB47" s="63"/>
      <c r="MIC47" s="63"/>
      <c r="MID47" s="63"/>
      <c r="MIE47" s="63"/>
      <c r="MIF47" s="63"/>
      <c r="MIG47" s="63"/>
      <c r="MIH47" s="63"/>
      <c r="MII47" s="63"/>
      <c r="MIJ47" s="63"/>
      <c r="MIK47" s="63"/>
      <c r="MIL47" s="63"/>
      <c r="MIM47" s="63"/>
      <c r="MIN47" s="63"/>
      <c r="MIO47" s="63"/>
      <c r="MIP47" s="63"/>
      <c r="MIQ47" s="63"/>
      <c r="MIR47" s="63"/>
      <c r="MIS47" s="63"/>
      <c r="MIT47" s="63"/>
      <c r="MIU47" s="63"/>
      <c r="MIV47" s="63"/>
      <c r="MIW47" s="63"/>
      <c r="MIX47" s="63"/>
      <c r="MIY47" s="63"/>
      <c r="MIZ47" s="63"/>
      <c r="MJA47" s="63"/>
      <c r="MJB47" s="63"/>
      <c r="MJC47" s="63"/>
      <c r="MJD47" s="63"/>
      <c r="MJE47" s="63"/>
      <c r="MJF47" s="63"/>
      <c r="MJG47" s="63"/>
      <c r="MJH47" s="63"/>
      <c r="MJI47" s="63"/>
      <c r="MJJ47" s="63"/>
      <c r="MJK47" s="63"/>
      <c r="MJL47" s="63"/>
      <c r="MJM47" s="63"/>
      <c r="MJN47" s="63"/>
      <c r="MJO47" s="63"/>
      <c r="MJP47" s="63"/>
      <c r="MJQ47" s="63"/>
      <c r="MJR47" s="63"/>
      <c r="MJS47" s="63"/>
      <c r="MJT47" s="63"/>
      <c r="MJU47" s="63"/>
      <c r="MJV47" s="63"/>
      <c r="MJW47" s="63"/>
      <c r="MJX47" s="63"/>
      <c r="MJY47" s="63"/>
      <c r="MJZ47" s="63"/>
      <c r="MKA47" s="63"/>
      <c r="MKB47" s="63"/>
      <c r="MKC47" s="63"/>
      <c r="MKD47" s="63"/>
      <c r="MKE47" s="63"/>
      <c r="MKF47" s="63"/>
      <c r="MKG47" s="63"/>
      <c r="MKH47" s="63"/>
      <c r="MKI47" s="63"/>
      <c r="MKJ47" s="63"/>
      <c r="MKK47" s="63"/>
      <c r="MKL47" s="63"/>
      <c r="MKM47" s="63"/>
      <c r="MKN47" s="63"/>
      <c r="MKO47" s="63"/>
      <c r="MKP47" s="63"/>
      <c r="MKQ47" s="63"/>
      <c r="MKR47" s="63"/>
      <c r="MKS47" s="63"/>
      <c r="MKT47" s="63"/>
      <c r="MKU47" s="63"/>
      <c r="MKV47" s="63"/>
      <c r="MKW47" s="63"/>
      <c r="MKX47" s="63"/>
      <c r="MKY47" s="63"/>
      <c r="MKZ47" s="63"/>
      <c r="MLA47" s="63"/>
      <c r="MLB47" s="63"/>
      <c r="MLC47" s="63"/>
      <c r="MLD47" s="63"/>
      <c r="MLE47" s="63"/>
      <c r="MLF47" s="63"/>
      <c r="MLG47" s="63"/>
      <c r="MLH47" s="63"/>
      <c r="MLI47" s="63"/>
      <c r="MLJ47" s="63"/>
      <c r="MLK47" s="63"/>
      <c r="MLL47" s="63"/>
      <c r="MLM47" s="63"/>
      <c r="MLN47" s="63"/>
      <c r="MLO47" s="63"/>
      <c r="MLP47" s="63"/>
      <c r="MLQ47" s="63"/>
      <c r="MLR47" s="63"/>
      <c r="MLS47" s="63"/>
      <c r="MLT47" s="63"/>
      <c r="MLU47" s="63"/>
      <c r="MLV47" s="63"/>
      <c r="MLW47" s="63"/>
      <c r="MLX47" s="63"/>
      <c r="MLY47" s="63"/>
      <c r="MLZ47" s="63"/>
      <c r="MMA47" s="63"/>
      <c r="MMB47" s="63"/>
      <c r="MMC47" s="63"/>
      <c r="MMD47" s="63"/>
      <c r="MME47" s="63"/>
      <c r="MMF47" s="63"/>
      <c r="MMG47" s="63"/>
      <c r="MMH47" s="63"/>
      <c r="MMI47" s="63"/>
      <c r="MMJ47" s="63"/>
      <c r="MMK47" s="63"/>
      <c r="MML47" s="63"/>
      <c r="MMM47" s="63"/>
      <c r="MMN47" s="63"/>
      <c r="MMO47" s="63"/>
      <c r="MMP47" s="63"/>
      <c r="MMQ47" s="63"/>
      <c r="MMR47" s="63"/>
      <c r="MMS47" s="63"/>
      <c r="MMT47" s="63"/>
      <c r="MMU47" s="63"/>
      <c r="MMV47" s="63"/>
      <c r="MMW47" s="63"/>
      <c r="MMX47" s="63"/>
      <c r="MMY47" s="63"/>
      <c r="MMZ47" s="63"/>
      <c r="MNA47" s="63"/>
      <c r="MNB47" s="63"/>
      <c r="MNC47" s="63"/>
      <c r="MND47" s="63"/>
      <c r="MNE47" s="63"/>
      <c r="MNF47" s="63"/>
      <c r="MNG47" s="63"/>
      <c r="MNH47" s="63"/>
      <c r="MNI47" s="63"/>
      <c r="MNJ47" s="63"/>
      <c r="MNK47" s="63"/>
      <c r="MNL47" s="63"/>
      <c r="MNM47" s="63"/>
      <c r="MNN47" s="63"/>
      <c r="MNO47" s="63"/>
      <c r="MNP47" s="63"/>
      <c r="MNQ47" s="63"/>
      <c r="MNR47" s="63"/>
      <c r="MNS47" s="63"/>
      <c r="MNT47" s="63"/>
      <c r="MNU47" s="63"/>
      <c r="MNV47" s="63"/>
      <c r="MNW47" s="63"/>
      <c r="MNX47" s="63"/>
      <c r="MNY47" s="63"/>
      <c r="MNZ47" s="63"/>
      <c r="MOA47" s="63"/>
      <c r="MOB47" s="63"/>
      <c r="MOC47" s="63"/>
      <c r="MOD47" s="63"/>
      <c r="MOE47" s="63"/>
      <c r="MOF47" s="63"/>
      <c r="MOG47" s="63"/>
      <c r="MOH47" s="63"/>
      <c r="MOI47" s="63"/>
      <c r="MOJ47" s="63"/>
      <c r="MOK47" s="63"/>
      <c r="MOL47" s="63"/>
      <c r="MOM47" s="63"/>
      <c r="MON47" s="63"/>
      <c r="MOO47" s="63"/>
      <c r="MOP47" s="63"/>
      <c r="MOQ47" s="63"/>
      <c r="MOR47" s="63"/>
      <c r="MOS47" s="63"/>
      <c r="MOT47" s="63"/>
      <c r="MOU47" s="63"/>
      <c r="MOV47" s="63"/>
      <c r="MOW47" s="63"/>
      <c r="MOX47" s="63"/>
      <c r="MOY47" s="63"/>
      <c r="MOZ47" s="63"/>
      <c r="MPA47" s="63"/>
      <c r="MPB47" s="63"/>
      <c r="MPC47" s="63"/>
      <c r="MPD47" s="63"/>
      <c r="MPE47" s="63"/>
      <c r="MPF47" s="63"/>
      <c r="MPG47" s="63"/>
      <c r="MPH47" s="63"/>
      <c r="MPI47" s="63"/>
      <c r="MPJ47" s="63"/>
      <c r="MPK47" s="63"/>
      <c r="MPL47" s="63"/>
      <c r="MPM47" s="63"/>
      <c r="MPN47" s="63"/>
      <c r="MPO47" s="63"/>
      <c r="MPP47" s="63"/>
      <c r="MPQ47" s="63"/>
      <c r="MPR47" s="63"/>
      <c r="MPS47" s="63"/>
      <c r="MPT47" s="63"/>
      <c r="MPU47" s="63"/>
      <c r="MPV47" s="63"/>
      <c r="MPW47" s="63"/>
      <c r="MPX47" s="63"/>
      <c r="MPY47" s="63"/>
      <c r="MPZ47" s="63"/>
      <c r="MQA47" s="63"/>
      <c r="MQB47" s="63"/>
      <c r="MQC47" s="63"/>
      <c r="MQD47" s="63"/>
      <c r="MQE47" s="63"/>
      <c r="MQF47" s="63"/>
      <c r="MQG47" s="63"/>
      <c r="MQH47" s="63"/>
      <c r="MQI47" s="63"/>
      <c r="MQJ47" s="63"/>
      <c r="MQK47" s="63"/>
      <c r="MQL47" s="63"/>
      <c r="MQM47" s="63"/>
      <c r="MQN47" s="63"/>
      <c r="MQO47" s="63"/>
      <c r="MQP47" s="63"/>
      <c r="MQQ47" s="63"/>
      <c r="MQR47" s="63"/>
      <c r="MQS47" s="63"/>
      <c r="MQT47" s="63"/>
      <c r="MQU47" s="63"/>
      <c r="MQV47" s="63"/>
      <c r="MQW47" s="63"/>
      <c r="MQX47" s="63"/>
      <c r="MQY47" s="63"/>
      <c r="MQZ47" s="63"/>
      <c r="MRA47" s="63"/>
      <c r="MRB47" s="63"/>
      <c r="MRC47" s="63"/>
      <c r="MRD47" s="63"/>
      <c r="MRE47" s="63"/>
      <c r="MRF47" s="63"/>
      <c r="MRG47" s="63"/>
      <c r="MRH47" s="63"/>
      <c r="MRI47" s="63"/>
      <c r="MRJ47" s="63"/>
      <c r="MRK47" s="63"/>
      <c r="MRL47" s="63"/>
      <c r="MRM47" s="63"/>
      <c r="MRN47" s="63"/>
      <c r="MRO47" s="63"/>
      <c r="MRP47" s="63"/>
      <c r="MRQ47" s="63"/>
      <c r="MRR47" s="63"/>
      <c r="MRS47" s="63"/>
      <c r="MRT47" s="63"/>
      <c r="MRU47" s="63"/>
      <c r="MRV47" s="63"/>
      <c r="MRW47" s="63"/>
      <c r="MRX47" s="63"/>
      <c r="MRY47" s="63"/>
      <c r="MRZ47" s="63"/>
      <c r="MSA47" s="63"/>
      <c r="MSB47" s="63"/>
      <c r="MSC47" s="63"/>
      <c r="MSD47" s="63"/>
      <c r="MSE47" s="63"/>
      <c r="MSF47" s="63"/>
      <c r="MSG47" s="63"/>
      <c r="MSH47" s="63"/>
      <c r="MSI47" s="63"/>
      <c r="MSJ47" s="63"/>
      <c r="MSK47" s="63"/>
      <c r="MSL47" s="63"/>
      <c r="MSM47" s="63"/>
      <c r="MSN47" s="63"/>
      <c r="MSO47" s="63"/>
      <c r="MSP47" s="63"/>
      <c r="MSQ47" s="63"/>
      <c r="MSR47" s="63"/>
      <c r="MSS47" s="63"/>
      <c r="MST47" s="63"/>
      <c r="MSU47" s="63"/>
      <c r="MSV47" s="63"/>
      <c r="MSW47" s="63"/>
      <c r="MSX47" s="63"/>
      <c r="MSY47" s="63"/>
      <c r="MSZ47" s="63"/>
      <c r="MTA47" s="63"/>
      <c r="MTB47" s="63"/>
      <c r="MTC47" s="63"/>
      <c r="MTD47" s="63"/>
      <c r="MTE47" s="63"/>
      <c r="MTF47" s="63"/>
      <c r="MTG47" s="63"/>
      <c r="MTH47" s="63"/>
      <c r="MTI47" s="63"/>
      <c r="MTJ47" s="63"/>
      <c r="MTK47" s="63"/>
      <c r="MTL47" s="63"/>
      <c r="MTM47" s="63"/>
      <c r="MTN47" s="63"/>
      <c r="MTO47" s="63"/>
      <c r="MTP47" s="63"/>
      <c r="MTQ47" s="63"/>
      <c r="MTR47" s="63"/>
      <c r="MTS47" s="63"/>
      <c r="MTT47" s="63"/>
      <c r="MTU47" s="63"/>
      <c r="MTV47" s="63"/>
      <c r="MTW47" s="63"/>
      <c r="MTX47" s="63"/>
      <c r="MTY47" s="63"/>
      <c r="MTZ47" s="63"/>
      <c r="MUA47" s="63"/>
      <c r="MUB47" s="63"/>
      <c r="MUC47" s="63"/>
      <c r="MUD47" s="63"/>
      <c r="MUE47" s="63"/>
      <c r="MUF47" s="63"/>
      <c r="MUG47" s="63"/>
      <c r="MUH47" s="63"/>
      <c r="MUI47" s="63"/>
      <c r="MUJ47" s="63"/>
      <c r="MUK47" s="63"/>
      <c r="MUL47" s="63"/>
      <c r="MUM47" s="63"/>
      <c r="MUN47" s="63"/>
      <c r="MUO47" s="63"/>
      <c r="MUP47" s="63"/>
      <c r="MUQ47" s="63"/>
      <c r="MUR47" s="63"/>
      <c r="MUS47" s="63"/>
      <c r="MUT47" s="63"/>
      <c r="MUU47" s="63"/>
      <c r="MUV47" s="63"/>
      <c r="MUW47" s="63"/>
      <c r="MUX47" s="63"/>
      <c r="MUY47" s="63"/>
      <c r="MUZ47" s="63"/>
      <c r="MVA47" s="63"/>
      <c r="MVB47" s="63"/>
      <c r="MVC47" s="63"/>
      <c r="MVD47" s="63"/>
      <c r="MVE47" s="63"/>
      <c r="MVF47" s="63"/>
      <c r="MVG47" s="63"/>
      <c r="MVH47" s="63"/>
      <c r="MVI47" s="63"/>
      <c r="MVJ47" s="63"/>
      <c r="MVK47" s="63"/>
      <c r="MVL47" s="63"/>
      <c r="MVM47" s="63"/>
      <c r="MVN47" s="63"/>
      <c r="MVO47" s="63"/>
      <c r="MVP47" s="63"/>
      <c r="MVQ47" s="63"/>
      <c r="MVR47" s="63"/>
      <c r="MVS47" s="63"/>
      <c r="MVT47" s="63"/>
      <c r="MVU47" s="63"/>
      <c r="MVV47" s="63"/>
      <c r="MVW47" s="63"/>
      <c r="MVX47" s="63"/>
      <c r="MVY47" s="63"/>
      <c r="MVZ47" s="63"/>
      <c r="MWA47" s="63"/>
      <c r="MWB47" s="63"/>
      <c r="MWC47" s="63"/>
      <c r="MWD47" s="63"/>
      <c r="MWE47" s="63"/>
      <c r="MWF47" s="63"/>
      <c r="MWG47" s="63"/>
      <c r="MWH47" s="63"/>
      <c r="MWI47" s="63"/>
      <c r="MWJ47" s="63"/>
      <c r="MWK47" s="63"/>
      <c r="MWL47" s="63"/>
      <c r="MWM47" s="63"/>
      <c r="MWN47" s="63"/>
      <c r="MWO47" s="63"/>
      <c r="MWP47" s="63"/>
      <c r="MWQ47" s="63"/>
      <c r="MWR47" s="63"/>
      <c r="MWS47" s="63"/>
      <c r="MWT47" s="63"/>
      <c r="MWU47" s="63"/>
      <c r="MWV47" s="63"/>
      <c r="MWW47" s="63"/>
      <c r="MWX47" s="63"/>
      <c r="MWY47" s="63"/>
      <c r="MWZ47" s="63"/>
      <c r="MXA47" s="63"/>
      <c r="MXB47" s="63"/>
      <c r="MXC47" s="63"/>
      <c r="MXD47" s="63"/>
      <c r="MXE47" s="63"/>
      <c r="MXF47" s="63"/>
      <c r="MXG47" s="63"/>
      <c r="MXH47" s="63"/>
      <c r="MXI47" s="63"/>
      <c r="MXJ47" s="63"/>
      <c r="MXK47" s="63"/>
      <c r="MXL47" s="63"/>
      <c r="MXM47" s="63"/>
      <c r="MXN47" s="63"/>
      <c r="MXO47" s="63"/>
      <c r="MXP47" s="63"/>
      <c r="MXQ47" s="63"/>
      <c r="MXR47" s="63"/>
      <c r="MXS47" s="63"/>
      <c r="MXT47" s="63"/>
      <c r="MXU47" s="63"/>
      <c r="MXV47" s="63"/>
      <c r="MXW47" s="63"/>
      <c r="MXX47" s="63"/>
      <c r="MXY47" s="63"/>
      <c r="MXZ47" s="63"/>
      <c r="MYA47" s="63"/>
      <c r="MYB47" s="63"/>
      <c r="MYC47" s="63"/>
      <c r="MYD47" s="63"/>
      <c r="MYE47" s="63"/>
      <c r="MYF47" s="63"/>
      <c r="MYG47" s="63"/>
      <c r="MYH47" s="63"/>
      <c r="MYI47" s="63"/>
      <c r="MYJ47" s="63"/>
      <c r="MYK47" s="63"/>
      <c r="MYL47" s="63"/>
      <c r="MYM47" s="63"/>
      <c r="MYN47" s="63"/>
      <c r="MYO47" s="63"/>
      <c r="MYP47" s="63"/>
      <c r="MYQ47" s="63"/>
      <c r="MYR47" s="63"/>
      <c r="MYS47" s="63"/>
      <c r="MYT47" s="63"/>
      <c r="MYU47" s="63"/>
      <c r="MYV47" s="63"/>
      <c r="MYW47" s="63"/>
      <c r="MYX47" s="63"/>
      <c r="MYY47" s="63"/>
      <c r="MYZ47" s="63"/>
      <c r="MZA47" s="63"/>
      <c r="MZB47" s="63"/>
      <c r="MZC47" s="63"/>
      <c r="MZD47" s="63"/>
      <c r="MZE47" s="63"/>
      <c r="MZF47" s="63"/>
      <c r="MZG47" s="63"/>
      <c r="MZH47" s="63"/>
      <c r="MZI47" s="63"/>
      <c r="MZJ47" s="63"/>
      <c r="MZK47" s="63"/>
      <c r="MZL47" s="63"/>
      <c r="MZM47" s="63"/>
      <c r="MZN47" s="63"/>
      <c r="MZO47" s="63"/>
      <c r="MZP47" s="63"/>
      <c r="MZQ47" s="63"/>
      <c r="MZR47" s="63"/>
      <c r="MZS47" s="63"/>
      <c r="MZT47" s="63"/>
      <c r="MZU47" s="63"/>
      <c r="MZV47" s="63"/>
      <c r="MZW47" s="63"/>
      <c r="MZX47" s="63"/>
      <c r="MZY47" s="63"/>
      <c r="MZZ47" s="63"/>
      <c r="NAA47" s="63"/>
      <c r="NAB47" s="63"/>
      <c r="NAC47" s="63"/>
      <c r="NAD47" s="63"/>
      <c r="NAE47" s="63"/>
      <c r="NAF47" s="63"/>
      <c r="NAG47" s="63"/>
      <c r="NAH47" s="63"/>
      <c r="NAI47" s="63"/>
      <c r="NAJ47" s="63"/>
      <c r="NAK47" s="63"/>
      <c r="NAL47" s="63"/>
      <c r="NAM47" s="63"/>
      <c r="NAN47" s="63"/>
      <c r="NAO47" s="63"/>
      <c r="NAP47" s="63"/>
      <c r="NAQ47" s="63"/>
      <c r="NAR47" s="63"/>
      <c r="NAS47" s="63"/>
      <c r="NAT47" s="63"/>
      <c r="NAU47" s="63"/>
      <c r="NAV47" s="63"/>
      <c r="NAW47" s="63"/>
      <c r="NAX47" s="63"/>
      <c r="NAY47" s="63"/>
      <c r="NAZ47" s="63"/>
      <c r="NBA47" s="63"/>
      <c r="NBB47" s="63"/>
      <c r="NBC47" s="63"/>
      <c r="NBD47" s="63"/>
      <c r="NBE47" s="63"/>
      <c r="NBF47" s="63"/>
      <c r="NBG47" s="63"/>
      <c r="NBH47" s="63"/>
      <c r="NBI47" s="63"/>
      <c r="NBJ47" s="63"/>
      <c r="NBK47" s="63"/>
      <c r="NBL47" s="63"/>
      <c r="NBM47" s="63"/>
      <c r="NBN47" s="63"/>
      <c r="NBO47" s="63"/>
      <c r="NBP47" s="63"/>
      <c r="NBQ47" s="63"/>
      <c r="NBR47" s="63"/>
      <c r="NBS47" s="63"/>
      <c r="NBT47" s="63"/>
      <c r="NBU47" s="63"/>
      <c r="NBV47" s="63"/>
      <c r="NBW47" s="63"/>
      <c r="NBX47" s="63"/>
      <c r="NBY47" s="63"/>
      <c r="NBZ47" s="63"/>
      <c r="NCA47" s="63"/>
      <c r="NCB47" s="63"/>
      <c r="NCC47" s="63"/>
      <c r="NCD47" s="63"/>
      <c r="NCE47" s="63"/>
      <c r="NCF47" s="63"/>
      <c r="NCG47" s="63"/>
      <c r="NCH47" s="63"/>
      <c r="NCI47" s="63"/>
      <c r="NCJ47" s="63"/>
      <c r="NCK47" s="63"/>
      <c r="NCL47" s="63"/>
      <c r="NCM47" s="63"/>
      <c r="NCN47" s="63"/>
      <c r="NCO47" s="63"/>
      <c r="NCP47" s="63"/>
      <c r="NCQ47" s="63"/>
      <c r="NCR47" s="63"/>
      <c r="NCS47" s="63"/>
      <c r="NCT47" s="63"/>
      <c r="NCU47" s="63"/>
      <c r="NCV47" s="63"/>
      <c r="NCW47" s="63"/>
      <c r="NCX47" s="63"/>
      <c r="NCY47" s="63"/>
      <c r="NCZ47" s="63"/>
      <c r="NDA47" s="63"/>
      <c r="NDB47" s="63"/>
      <c r="NDC47" s="63"/>
      <c r="NDD47" s="63"/>
      <c r="NDE47" s="63"/>
      <c r="NDF47" s="63"/>
      <c r="NDG47" s="63"/>
      <c r="NDH47" s="63"/>
      <c r="NDI47" s="63"/>
      <c r="NDJ47" s="63"/>
      <c r="NDK47" s="63"/>
      <c r="NDL47" s="63"/>
      <c r="NDM47" s="63"/>
      <c r="NDN47" s="63"/>
      <c r="NDO47" s="63"/>
      <c r="NDP47" s="63"/>
      <c r="NDQ47" s="63"/>
      <c r="NDR47" s="63"/>
      <c r="NDS47" s="63"/>
      <c r="NDT47" s="63"/>
      <c r="NDU47" s="63"/>
      <c r="NDV47" s="63"/>
      <c r="NDW47" s="63"/>
      <c r="NDX47" s="63"/>
      <c r="NDY47" s="63"/>
      <c r="NDZ47" s="63"/>
      <c r="NEA47" s="63"/>
      <c r="NEB47" s="63"/>
      <c r="NEC47" s="63"/>
      <c r="NED47" s="63"/>
      <c r="NEE47" s="63"/>
      <c r="NEF47" s="63"/>
      <c r="NEG47" s="63"/>
      <c r="NEH47" s="63"/>
      <c r="NEI47" s="63"/>
      <c r="NEJ47" s="63"/>
      <c r="NEK47" s="63"/>
      <c r="NEL47" s="63"/>
      <c r="NEM47" s="63"/>
      <c r="NEN47" s="63"/>
      <c r="NEO47" s="63"/>
      <c r="NEP47" s="63"/>
      <c r="NEQ47" s="63"/>
      <c r="NER47" s="63"/>
      <c r="NES47" s="63"/>
      <c r="NET47" s="63"/>
      <c r="NEU47" s="63"/>
      <c r="NEV47" s="63"/>
      <c r="NEW47" s="63"/>
      <c r="NEX47" s="63"/>
      <c r="NEY47" s="63"/>
      <c r="NEZ47" s="63"/>
      <c r="NFA47" s="63"/>
      <c r="NFB47" s="63"/>
      <c r="NFC47" s="63"/>
      <c r="NFD47" s="63"/>
      <c r="NFE47" s="63"/>
      <c r="NFF47" s="63"/>
      <c r="NFG47" s="63"/>
      <c r="NFH47" s="63"/>
      <c r="NFI47" s="63"/>
      <c r="NFJ47" s="63"/>
      <c r="NFK47" s="63"/>
      <c r="NFL47" s="63"/>
      <c r="NFM47" s="63"/>
      <c r="NFN47" s="63"/>
      <c r="NFO47" s="63"/>
      <c r="NFP47" s="63"/>
      <c r="NFQ47" s="63"/>
      <c r="NFR47" s="63"/>
      <c r="NFS47" s="63"/>
      <c r="NFT47" s="63"/>
      <c r="NFU47" s="63"/>
      <c r="NFV47" s="63"/>
      <c r="NFW47" s="63"/>
      <c r="NFX47" s="63"/>
      <c r="NFY47" s="63"/>
      <c r="NFZ47" s="63"/>
      <c r="NGA47" s="63"/>
      <c r="NGB47" s="63"/>
      <c r="NGC47" s="63"/>
      <c r="NGD47" s="63"/>
      <c r="NGE47" s="63"/>
      <c r="NGF47" s="63"/>
      <c r="NGG47" s="63"/>
      <c r="NGH47" s="63"/>
      <c r="NGI47" s="63"/>
      <c r="NGJ47" s="63"/>
      <c r="NGK47" s="63"/>
      <c r="NGL47" s="63"/>
      <c r="NGM47" s="63"/>
      <c r="NGN47" s="63"/>
      <c r="NGO47" s="63"/>
      <c r="NGP47" s="63"/>
      <c r="NGQ47" s="63"/>
      <c r="NGR47" s="63"/>
      <c r="NGS47" s="63"/>
      <c r="NGT47" s="63"/>
      <c r="NGU47" s="63"/>
      <c r="NGV47" s="63"/>
      <c r="NGW47" s="63"/>
      <c r="NGX47" s="63"/>
      <c r="NGY47" s="63"/>
      <c r="NGZ47" s="63"/>
      <c r="NHA47" s="63"/>
      <c r="NHB47" s="63"/>
      <c r="NHC47" s="63"/>
      <c r="NHD47" s="63"/>
      <c r="NHE47" s="63"/>
      <c r="NHF47" s="63"/>
      <c r="NHG47" s="63"/>
      <c r="NHH47" s="63"/>
      <c r="NHI47" s="63"/>
      <c r="NHJ47" s="63"/>
      <c r="NHK47" s="63"/>
      <c r="NHL47" s="63"/>
      <c r="NHM47" s="63"/>
      <c r="NHN47" s="63"/>
      <c r="NHO47" s="63"/>
      <c r="NHP47" s="63"/>
      <c r="NHQ47" s="63"/>
      <c r="NHR47" s="63"/>
      <c r="NHS47" s="63"/>
      <c r="NHT47" s="63"/>
      <c r="NHU47" s="63"/>
      <c r="NHV47" s="63"/>
      <c r="NHW47" s="63"/>
      <c r="NHX47" s="63"/>
      <c r="NHY47" s="63"/>
      <c r="NHZ47" s="63"/>
      <c r="NIA47" s="63"/>
      <c r="NIB47" s="63"/>
      <c r="NIC47" s="63"/>
      <c r="NID47" s="63"/>
      <c r="NIE47" s="63"/>
      <c r="NIF47" s="63"/>
      <c r="NIG47" s="63"/>
      <c r="NIH47" s="63"/>
      <c r="NII47" s="63"/>
      <c r="NIJ47" s="63"/>
      <c r="NIK47" s="63"/>
      <c r="NIL47" s="63"/>
      <c r="NIM47" s="63"/>
      <c r="NIN47" s="63"/>
      <c r="NIO47" s="63"/>
      <c r="NIP47" s="63"/>
      <c r="NIQ47" s="63"/>
      <c r="NIR47" s="63"/>
      <c r="NIS47" s="63"/>
      <c r="NIT47" s="63"/>
      <c r="NIU47" s="63"/>
      <c r="NIV47" s="63"/>
      <c r="NIW47" s="63"/>
      <c r="NIX47" s="63"/>
      <c r="NIY47" s="63"/>
      <c r="NIZ47" s="63"/>
      <c r="NJA47" s="63"/>
      <c r="NJB47" s="63"/>
      <c r="NJC47" s="63"/>
      <c r="NJD47" s="63"/>
      <c r="NJE47" s="63"/>
      <c r="NJF47" s="63"/>
      <c r="NJG47" s="63"/>
      <c r="NJH47" s="63"/>
      <c r="NJI47" s="63"/>
      <c r="NJJ47" s="63"/>
      <c r="NJK47" s="63"/>
      <c r="NJL47" s="63"/>
      <c r="NJM47" s="63"/>
      <c r="NJN47" s="63"/>
      <c r="NJO47" s="63"/>
      <c r="NJP47" s="63"/>
      <c r="NJQ47" s="63"/>
      <c r="NJR47" s="63"/>
      <c r="NJS47" s="63"/>
      <c r="NJT47" s="63"/>
      <c r="NJU47" s="63"/>
      <c r="NJV47" s="63"/>
      <c r="NJW47" s="63"/>
      <c r="NJX47" s="63"/>
      <c r="NJY47" s="63"/>
      <c r="NJZ47" s="63"/>
      <c r="NKA47" s="63"/>
      <c r="NKB47" s="63"/>
      <c r="NKC47" s="63"/>
      <c r="NKD47" s="63"/>
      <c r="NKE47" s="63"/>
      <c r="NKF47" s="63"/>
      <c r="NKG47" s="63"/>
      <c r="NKH47" s="63"/>
      <c r="NKI47" s="63"/>
      <c r="NKJ47" s="63"/>
      <c r="NKK47" s="63"/>
      <c r="NKL47" s="63"/>
      <c r="NKM47" s="63"/>
      <c r="NKN47" s="63"/>
      <c r="NKO47" s="63"/>
      <c r="NKP47" s="63"/>
      <c r="NKQ47" s="63"/>
      <c r="NKR47" s="63"/>
      <c r="NKS47" s="63"/>
      <c r="NKT47" s="63"/>
      <c r="NKU47" s="63"/>
      <c r="NKV47" s="63"/>
      <c r="NKW47" s="63"/>
      <c r="NKX47" s="63"/>
      <c r="NKY47" s="63"/>
      <c r="NKZ47" s="63"/>
      <c r="NLA47" s="63"/>
      <c r="NLB47" s="63"/>
      <c r="NLC47" s="63"/>
      <c r="NLD47" s="63"/>
      <c r="NLE47" s="63"/>
      <c r="NLF47" s="63"/>
      <c r="NLG47" s="63"/>
      <c r="NLH47" s="63"/>
      <c r="NLI47" s="63"/>
      <c r="NLJ47" s="63"/>
      <c r="NLK47" s="63"/>
      <c r="NLL47" s="63"/>
      <c r="NLM47" s="63"/>
      <c r="NLN47" s="63"/>
      <c r="NLO47" s="63"/>
      <c r="NLP47" s="63"/>
      <c r="NLQ47" s="63"/>
      <c r="NLR47" s="63"/>
      <c r="NLS47" s="63"/>
      <c r="NLT47" s="63"/>
      <c r="NLU47" s="63"/>
      <c r="NLV47" s="63"/>
      <c r="NLW47" s="63"/>
      <c r="NLX47" s="63"/>
      <c r="NLY47" s="63"/>
      <c r="NLZ47" s="63"/>
      <c r="NMA47" s="63"/>
      <c r="NMB47" s="63"/>
      <c r="NMC47" s="63"/>
      <c r="NMD47" s="63"/>
      <c r="NME47" s="63"/>
      <c r="NMF47" s="63"/>
      <c r="NMG47" s="63"/>
      <c r="NMH47" s="63"/>
      <c r="NMI47" s="63"/>
      <c r="NMJ47" s="63"/>
      <c r="NMK47" s="63"/>
      <c r="NML47" s="63"/>
      <c r="NMM47" s="63"/>
      <c r="NMN47" s="63"/>
      <c r="NMO47" s="63"/>
      <c r="NMP47" s="63"/>
      <c r="NMQ47" s="63"/>
      <c r="NMR47" s="63"/>
      <c r="NMS47" s="63"/>
      <c r="NMT47" s="63"/>
      <c r="NMU47" s="63"/>
      <c r="NMV47" s="63"/>
      <c r="NMW47" s="63"/>
      <c r="NMX47" s="63"/>
      <c r="NMY47" s="63"/>
      <c r="NMZ47" s="63"/>
      <c r="NNA47" s="63"/>
      <c r="NNB47" s="63"/>
      <c r="NNC47" s="63"/>
      <c r="NND47" s="63"/>
      <c r="NNE47" s="63"/>
      <c r="NNF47" s="63"/>
      <c r="NNG47" s="63"/>
      <c r="NNH47" s="63"/>
      <c r="NNI47" s="63"/>
      <c r="NNJ47" s="63"/>
      <c r="NNK47" s="63"/>
      <c r="NNL47" s="63"/>
      <c r="NNM47" s="63"/>
      <c r="NNN47" s="63"/>
      <c r="NNO47" s="63"/>
      <c r="NNP47" s="63"/>
      <c r="NNQ47" s="63"/>
      <c r="NNR47" s="63"/>
      <c r="NNS47" s="63"/>
      <c r="NNT47" s="63"/>
      <c r="NNU47" s="63"/>
      <c r="NNV47" s="63"/>
      <c r="NNW47" s="63"/>
      <c r="NNX47" s="63"/>
      <c r="NNY47" s="63"/>
      <c r="NNZ47" s="63"/>
      <c r="NOA47" s="63"/>
      <c r="NOB47" s="63"/>
      <c r="NOC47" s="63"/>
      <c r="NOD47" s="63"/>
      <c r="NOE47" s="63"/>
      <c r="NOF47" s="63"/>
      <c r="NOG47" s="63"/>
      <c r="NOH47" s="63"/>
      <c r="NOI47" s="63"/>
      <c r="NOJ47" s="63"/>
      <c r="NOK47" s="63"/>
      <c r="NOL47" s="63"/>
      <c r="NOM47" s="63"/>
      <c r="NON47" s="63"/>
      <c r="NOO47" s="63"/>
      <c r="NOP47" s="63"/>
      <c r="NOQ47" s="63"/>
      <c r="NOR47" s="63"/>
      <c r="NOS47" s="63"/>
      <c r="NOT47" s="63"/>
      <c r="NOU47" s="63"/>
      <c r="NOV47" s="63"/>
      <c r="NOW47" s="63"/>
      <c r="NOX47" s="63"/>
      <c r="NOY47" s="63"/>
      <c r="NOZ47" s="63"/>
      <c r="NPA47" s="63"/>
      <c r="NPB47" s="63"/>
      <c r="NPC47" s="63"/>
      <c r="NPD47" s="63"/>
      <c r="NPE47" s="63"/>
      <c r="NPF47" s="63"/>
      <c r="NPG47" s="63"/>
      <c r="NPH47" s="63"/>
      <c r="NPI47" s="63"/>
      <c r="NPJ47" s="63"/>
      <c r="NPK47" s="63"/>
      <c r="NPL47" s="63"/>
      <c r="NPM47" s="63"/>
      <c r="NPN47" s="63"/>
      <c r="NPO47" s="63"/>
      <c r="NPP47" s="63"/>
      <c r="NPQ47" s="63"/>
      <c r="NPR47" s="63"/>
      <c r="NPS47" s="63"/>
      <c r="NPT47" s="63"/>
      <c r="NPU47" s="63"/>
      <c r="NPV47" s="63"/>
      <c r="NPW47" s="63"/>
      <c r="NPX47" s="63"/>
      <c r="NPY47" s="63"/>
      <c r="NPZ47" s="63"/>
      <c r="NQA47" s="63"/>
      <c r="NQB47" s="63"/>
      <c r="NQC47" s="63"/>
      <c r="NQD47" s="63"/>
      <c r="NQE47" s="63"/>
      <c r="NQF47" s="63"/>
      <c r="NQG47" s="63"/>
      <c r="NQH47" s="63"/>
      <c r="NQI47" s="63"/>
      <c r="NQJ47" s="63"/>
      <c r="NQK47" s="63"/>
      <c r="NQL47" s="63"/>
      <c r="NQM47" s="63"/>
      <c r="NQN47" s="63"/>
      <c r="NQO47" s="63"/>
      <c r="NQP47" s="63"/>
      <c r="NQQ47" s="63"/>
      <c r="NQR47" s="63"/>
      <c r="NQS47" s="63"/>
      <c r="NQT47" s="63"/>
      <c r="NQU47" s="63"/>
      <c r="NQV47" s="63"/>
      <c r="NQW47" s="63"/>
      <c r="NQX47" s="63"/>
      <c r="NQY47" s="63"/>
      <c r="NQZ47" s="63"/>
      <c r="NRA47" s="63"/>
      <c r="NRB47" s="63"/>
      <c r="NRC47" s="63"/>
      <c r="NRD47" s="63"/>
      <c r="NRE47" s="63"/>
      <c r="NRF47" s="63"/>
      <c r="NRG47" s="63"/>
      <c r="NRH47" s="63"/>
      <c r="NRI47" s="63"/>
      <c r="NRJ47" s="63"/>
      <c r="NRK47" s="63"/>
      <c r="NRL47" s="63"/>
      <c r="NRM47" s="63"/>
      <c r="NRN47" s="63"/>
      <c r="NRO47" s="63"/>
      <c r="NRP47" s="63"/>
      <c r="NRQ47" s="63"/>
      <c r="NRR47" s="63"/>
      <c r="NRS47" s="63"/>
      <c r="NRT47" s="63"/>
      <c r="NRU47" s="63"/>
      <c r="NRV47" s="63"/>
      <c r="NRW47" s="63"/>
      <c r="NRX47" s="63"/>
      <c r="NRY47" s="63"/>
      <c r="NRZ47" s="63"/>
      <c r="NSA47" s="63"/>
      <c r="NSB47" s="63"/>
      <c r="NSC47" s="63"/>
      <c r="NSD47" s="63"/>
      <c r="NSE47" s="63"/>
      <c r="NSF47" s="63"/>
      <c r="NSG47" s="63"/>
      <c r="NSH47" s="63"/>
      <c r="NSI47" s="63"/>
      <c r="NSJ47" s="63"/>
      <c r="NSK47" s="63"/>
      <c r="NSL47" s="63"/>
      <c r="NSM47" s="63"/>
      <c r="NSN47" s="63"/>
      <c r="NSO47" s="63"/>
      <c r="NSP47" s="63"/>
      <c r="NSQ47" s="63"/>
      <c r="NSR47" s="63"/>
      <c r="NSS47" s="63"/>
      <c r="NST47" s="63"/>
      <c r="NSU47" s="63"/>
      <c r="NSV47" s="63"/>
      <c r="NSW47" s="63"/>
      <c r="NSX47" s="63"/>
      <c r="NSY47" s="63"/>
      <c r="NSZ47" s="63"/>
      <c r="NTA47" s="63"/>
      <c r="NTB47" s="63"/>
      <c r="NTC47" s="63"/>
      <c r="NTD47" s="63"/>
      <c r="NTE47" s="63"/>
      <c r="NTF47" s="63"/>
      <c r="NTG47" s="63"/>
      <c r="NTH47" s="63"/>
      <c r="NTI47" s="63"/>
      <c r="NTJ47" s="63"/>
      <c r="NTK47" s="63"/>
      <c r="NTL47" s="63"/>
      <c r="NTM47" s="63"/>
      <c r="NTN47" s="63"/>
      <c r="NTO47" s="63"/>
      <c r="NTP47" s="63"/>
      <c r="NTQ47" s="63"/>
      <c r="NTR47" s="63"/>
      <c r="NTS47" s="63"/>
      <c r="NTT47" s="63"/>
      <c r="NTU47" s="63"/>
      <c r="NTV47" s="63"/>
      <c r="NTW47" s="63"/>
      <c r="NTX47" s="63"/>
      <c r="NTY47" s="63"/>
      <c r="NTZ47" s="63"/>
      <c r="NUA47" s="63"/>
      <c r="NUB47" s="63"/>
      <c r="NUC47" s="63"/>
      <c r="NUD47" s="63"/>
      <c r="NUE47" s="63"/>
      <c r="NUF47" s="63"/>
      <c r="NUG47" s="63"/>
      <c r="NUH47" s="63"/>
      <c r="NUI47" s="63"/>
      <c r="NUJ47" s="63"/>
      <c r="NUK47" s="63"/>
      <c r="NUL47" s="63"/>
      <c r="NUM47" s="63"/>
      <c r="NUN47" s="63"/>
      <c r="NUO47" s="63"/>
      <c r="NUP47" s="63"/>
      <c r="NUQ47" s="63"/>
      <c r="NUR47" s="63"/>
      <c r="NUS47" s="63"/>
      <c r="NUT47" s="63"/>
      <c r="NUU47" s="63"/>
      <c r="NUV47" s="63"/>
      <c r="NUW47" s="63"/>
      <c r="NUX47" s="63"/>
      <c r="NUY47" s="63"/>
      <c r="NUZ47" s="63"/>
      <c r="NVA47" s="63"/>
      <c r="NVB47" s="63"/>
      <c r="NVC47" s="63"/>
      <c r="NVD47" s="63"/>
      <c r="NVE47" s="63"/>
      <c r="NVF47" s="63"/>
      <c r="NVG47" s="63"/>
      <c r="NVH47" s="63"/>
      <c r="NVI47" s="63"/>
      <c r="NVJ47" s="63"/>
      <c r="NVK47" s="63"/>
      <c r="NVL47" s="63"/>
      <c r="NVM47" s="63"/>
      <c r="NVN47" s="63"/>
      <c r="NVO47" s="63"/>
      <c r="NVP47" s="63"/>
      <c r="NVQ47" s="63"/>
      <c r="NVR47" s="63"/>
      <c r="NVS47" s="63"/>
      <c r="NVT47" s="63"/>
      <c r="NVU47" s="63"/>
      <c r="NVV47" s="63"/>
      <c r="NVW47" s="63"/>
      <c r="NVX47" s="63"/>
      <c r="NVY47" s="63"/>
      <c r="NVZ47" s="63"/>
      <c r="NWA47" s="63"/>
      <c r="NWB47" s="63"/>
      <c r="NWC47" s="63"/>
      <c r="NWD47" s="63"/>
      <c r="NWE47" s="63"/>
      <c r="NWF47" s="63"/>
      <c r="NWG47" s="63"/>
      <c r="NWH47" s="63"/>
      <c r="NWI47" s="63"/>
      <c r="NWJ47" s="63"/>
      <c r="NWK47" s="63"/>
      <c r="NWL47" s="63"/>
      <c r="NWM47" s="63"/>
      <c r="NWN47" s="63"/>
      <c r="NWO47" s="63"/>
      <c r="NWP47" s="63"/>
      <c r="NWQ47" s="63"/>
      <c r="NWR47" s="63"/>
      <c r="NWS47" s="63"/>
      <c r="NWT47" s="63"/>
      <c r="NWU47" s="63"/>
      <c r="NWV47" s="63"/>
      <c r="NWW47" s="63"/>
      <c r="NWX47" s="63"/>
      <c r="NWY47" s="63"/>
      <c r="NWZ47" s="63"/>
      <c r="NXA47" s="63"/>
      <c r="NXB47" s="63"/>
      <c r="NXC47" s="63"/>
      <c r="NXD47" s="63"/>
      <c r="NXE47" s="63"/>
      <c r="NXF47" s="63"/>
      <c r="NXG47" s="63"/>
      <c r="NXH47" s="63"/>
      <c r="NXI47" s="63"/>
      <c r="NXJ47" s="63"/>
      <c r="NXK47" s="63"/>
      <c r="NXL47" s="63"/>
      <c r="NXM47" s="63"/>
      <c r="NXN47" s="63"/>
      <c r="NXO47" s="63"/>
      <c r="NXP47" s="63"/>
      <c r="NXQ47" s="63"/>
      <c r="NXR47" s="63"/>
      <c r="NXS47" s="63"/>
      <c r="NXT47" s="63"/>
      <c r="NXU47" s="63"/>
      <c r="NXV47" s="63"/>
      <c r="NXW47" s="63"/>
      <c r="NXX47" s="63"/>
      <c r="NXY47" s="63"/>
      <c r="NXZ47" s="63"/>
      <c r="NYA47" s="63"/>
      <c r="NYB47" s="63"/>
      <c r="NYC47" s="63"/>
      <c r="NYD47" s="63"/>
      <c r="NYE47" s="63"/>
      <c r="NYF47" s="63"/>
      <c r="NYG47" s="63"/>
      <c r="NYH47" s="63"/>
      <c r="NYI47" s="63"/>
      <c r="NYJ47" s="63"/>
      <c r="NYK47" s="63"/>
      <c r="NYL47" s="63"/>
      <c r="NYM47" s="63"/>
      <c r="NYN47" s="63"/>
      <c r="NYO47" s="63"/>
      <c r="NYP47" s="63"/>
      <c r="NYQ47" s="63"/>
      <c r="NYR47" s="63"/>
      <c r="NYS47" s="63"/>
      <c r="NYT47" s="63"/>
      <c r="NYU47" s="63"/>
      <c r="NYV47" s="63"/>
      <c r="NYW47" s="63"/>
      <c r="NYX47" s="63"/>
      <c r="NYY47" s="63"/>
      <c r="NYZ47" s="63"/>
      <c r="NZA47" s="63"/>
      <c r="NZB47" s="63"/>
      <c r="NZC47" s="63"/>
      <c r="NZD47" s="63"/>
      <c r="NZE47" s="63"/>
      <c r="NZF47" s="63"/>
      <c r="NZG47" s="63"/>
      <c r="NZH47" s="63"/>
      <c r="NZI47" s="63"/>
      <c r="NZJ47" s="63"/>
      <c r="NZK47" s="63"/>
      <c r="NZL47" s="63"/>
      <c r="NZM47" s="63"/>
      <c r="NZN47" s="63"/>
      <c r="NZO47" s="63"/>
      <c r="NZP47" s="63"/>
      <c r="NZQ47" s="63"/>
      <c r="NZR47" s="63"/>
      <c r="NZS47" s="63"/>
      <c r="NZT47" s="63"/>
      <c r="NZU47" s="63"/>
      <c r="NZV47" s="63"/>
      <c r="NZW47" s="63"/>
      <c r="NZX47" s="63"/>
      <c r="NZY47" s="63"/>
      <c r="NZZ47" s="63"/>
      <c r="OAA47" s="63"/>
      <c r="OAB47" s="63"/>
      <c r="OAC47" s="63"/>
      <c r="OAD47" s="63"/>
      <c r="OAE47" s="63"/>
      <c r="OAF47" s="63"/>
      <c r="OAG47" s="63"/>
      <c r="OAH47" s="63"/>
      <c r="OAI47" s="63"/>
      <c r="OAJ47" s="63"/>
      <c r="OAK47" s="63"/>
      <c r="OAL47" s="63"/>
      <c r="OAM47" s="63"/>
      <c r="OAN47" s="63"/>
      <c r="OAO47" s="63"/>
      <c r="OAP47" s="63"/>
      <c r="OAQ47" s="63"/>
      <c r="OAR47" s="63"/>
      <c r="OAS47" s="63"/>
      <c r="OAT47" s="63"/>
      <c r="OAU47" s="63"/>
      <c r="OAV47" s="63"/>
      <c r="OAW47" s="63"/>
      <c r="OAX47" s="63"/>
      <c r="OAY47" s="63"/>
      <c r="OAZ47" s="63"/>
      <c r="OBA47" s="63"/>
      <c r="OBB47" s="63"/>
      <c r="OBC47" s="63"/>
      <c r="OBD47" s="63"/>
      <c r="OBE47" s="63"/>
      <c r="OBF47" s="63"/>
      <c r="OBG47" s="63"/>
      <c r="OBH47" s="63"/>
      <c r="OBI47" s="63"/>
      <c r="OBJ47" s="63"/>
      <c r="OBK47" s="63"/>
      <c r="OBL47" s="63"/>
      <c r="OBM47" s="63"/>
      <c r="OBN47" s="63"/>
      <c r="OBO47" s="63"/>
      <c r="OBP47" s="63"/>
      <c r="OBQ47" s="63"/>
      <c r="OBR47" s="63"/>
      <c r="OBS47" s="63"/>
      <c r="OBT47" s="63"/>
      <c r="OBU47" s="63"/>
      <c r="OBV47" s="63"/>
      <c r="OBW47" s="63"/>
      <c r="OBX47" s="63"/>
      <c r="OBY47" s="63"/>
      <c r="OBZ47" s="63"/>
      <c r="OCA47" s="63"/>
      <c r="OCB47" s="63"/>
      <c r="OCC47" s="63"/>
      <c r="OCD47" s="63"/>
      <c r="OCE47" s="63"/>
      <c r="OCF47" s="63"/>
      <c r="OCG47" s="63"/>
      <c r="OCH47" s="63"/>
      <c r="OCI47" s="63"/>
      <c r="OCJ47" s="63"/>
      <c r="OCK47" s="63"/>
      <c r="OCL47" s="63"/>
      <c r="OCM47" s="63"/>
      <c r="OCN47" s="63"/>
      <c r="OCO47" s="63"/>
      <c r="OCP47" s="63"/>
      <c r="OCQ47" s="63"/>
      <c r="OCR47" s="63"/>
      <c r="OCS47" s="63"/>
      <c r="OCT47" s="63"/>
      <c r="OCU47" s="63"/>
      <c r="OCV47" s="63"/>
      <c r="OCW47" s="63"/>
      <c r="OCX47" s="63"/>
      <c r="OCY47" s="63"/>
      <c r="OCZ47" s="63"/>
      <c r="ODA47" s="63"/>
      <c r="ODB47" s="63"/>
      <c r="ODC47" s="63"/>
      <c r="ODD47" s="63"/>
      <c r="ODE47" s="63"/>
      <c r="ODF47" s="63"/>
      <c r="ODG47" s="63"/>
      <c r="ODH47" s="63"/>
      <c r="ODI47" s="63"/>
      <c r="ODJ47" s="63"/>
      <c r="ODK47" s="63"/>
      <c r="ODL47" s="63"/>
      <c r="ODM47" s="63"/>
      <c r="ODN47" s="63"/>
      <c r="ODO47" s="63"/>
      <c r="ODP47" s="63"/>
      <c r="ODQ47" s="63"/>
      <c r="ODR47" s="63"/>
      <c r="ODS47" s="63"/>
      <c r="ODT47" s="63"/>
      <c r="ODU47" s="63"/>
      <c r="ODV47" s="63"/>
      <c r="ODW47" s="63"/>
      <c r="ODX47" s="63"/>
      <c r="ODY47" s="63"/>
      <c r="ODZ47" s="63"/>
      <c r="OEA47" s="63"/>
      <c r="OEB47" s="63"/>
      <c r="OEC47" s="63"/>
      <c r="OED47" s="63"/>
      <c r="OEE47" s="63"/>
      <c r="OEF47" s="63"/>
      <c r="OEG47" s="63"/>
      <c r="OEH47" s="63"/>
      <c r="OEI47" s="63"/>
      <c r="OEJ47" s="63"/>
      <c r="OEK47" s="63"/>
      <c r="OEL47" s="63"/>
      <c r="OEM47" s="63"/>
      <c r="OEN47" s="63"/>
      <c r="OEO47" s="63"/>
      <c r="OEP47" s="63"/>
      <c r="OEQ47" s="63"/>
      <c r="OER47" s="63"/>
      <c r="OES47" s="63"/>
      <c r="OET47" s="63"/>
      <c r="OEU47" s="63"/>
      <c r="OEV47" s="63"/>
      <c r="OEW47" s="63"/>
      <c r="OEX47" s="63"/>
      <c r="OEY47" s="63"/>
      <c r="OEZ47" s="63"/>
      <c r="OFA47" s="63"/>
      <c r="OFB47" s="63"/>
      <c r="OFC47" s="63"/>
      <c r="OFD47" s="63"/>
      <c r="OFE47" s="63"/>
      <c r="OFF47" s="63"/>
      <c r="OFG47" s="63"/>
      <c r="OFH47" s="63"/>
      <c r="OFI47" s="63"/>
      <c r="OFJ47" s="63"/>
      <c r="OFK47" s="63"/>
      <c r="OFL47" s="63"/>
      <c r="OFM47" s="63"/>
      <c r="OFN47" s="63"/>
      <c r="OFO47" s="63"/>
      <c r="OFP47" s="63"/>
      <c r="OFQ47" s="63"/>
      <c r="OFR47" s="63"/>
      <c r="OFS47" s="63"/>
      <c r="OFT47" s="63"/>
      <c r="OFU47" s="63"/>
      <c r="OFV47" s="63"/>
      <c r="OFW47" s="63"/>
      <c r="OFX47" s="63"/>
      <c r="OFY47" s="63"/>
      <c r="OFZ47" s="63"/>
      <c r="OGA47" s="63"/>
      <c r="OGB47" s="63"/>
      <c r="OGC47" s="63"/>
      <c r="OGD47" s="63"/>
      <c r="OGE47" s="63"/>
      <c r="OGF47" s="63"/>
      <c r="OGG47" s="63"/>
      <c r="OGH47" s="63"/>
      <c r="OGI47" s="63"/>
      <c r="OGJ47" s="63"/>
      <c r="OGK47" s="63"/>
      <c r="OGL47" s="63"/>
      <c r="OGM47" s="63"/>
      <c r="OGN47" s="63"/>
      <c r="OGO47" s="63"/>
      <c r="OGP47" s="63"/>
      <c r="OGQ47" s="63"/>
      <c r="OGR47" s="63"/>
      <c r="OGS47" s="63"/>
      <c r="OGT47" s="63"/>
      <c r="OGU47" s="63"/>
      <c r="OGV47" s="63"/>
      <c r="OGW47" s="63"/>
      <c r="OGX47" s="63"/>
      <c r="OGY47" s="63"/>
      <c r="OGZ47" s="63"/>
      <c r="OHA47" s="63"/>
      <c r="OHB47" s="63"/>
      <c r="OHC47" s="63"/>
      <c r="OHD47" s="63"/>
      <c r="OHE47" s="63"/>
      <c r="OHF47" s="63"/>
      <c r="OHG47" s="63"/>
      <c r="OHH47" s="63"/>
      <c r="OHI47" s="63"/>
      <c r="OHJ47" s="63"/>
      <c r="OHK47" s="63"/>
      <c r="OHL47" s="63"/>
      <c r="OHM47" s="63"/>
      <c r="OHN47" s="63"/>
      <c r="OHO47" s="63"/>
      <c r="OHP47" s="63"/>
      <c r="OHQ47" s="63"/>
      <c r="OHR47" s="63"/>
      <c r="OHS47" s="63"/>
      <c r="OHT47" s="63"/>
      <c r="OHU47" s="63"/>
      <c r="OHV47" s="63"/>
      <c r="OHW47" s="63"/>
      <c r="OHX47" s="63"/>
      <c r="OHY47" s="63"/>
      <c r="OHZ47" s="63"/>
      <c r="OIA47" s="63"/>
      <c r="OIB47" s="63"/>
      <c r="OIC47" s="63"/>
      <c r="OID47" s="63"/>
      <c r="OIE47" s="63"/>
      <c r="OIF47" s="63"/>
      <c r="OIG47" s="63"/>
      <c r="OIH47" s="63"/>
      <c r="OII47" s="63"/>
      <c r="OIJ47" s="63"/>
      <c r="OIK47" s="63"/>
      <c r="OIL47" s="63"/>
      <c r="OIM47" s="63"/>
      <c r="OIN47" s="63"/>
      <c r="OIO47" s="63"/>
      <c r="OIP47" s="63"/>
      <c r="OIQ47" s="63"/>
      <c r="OIR47" s="63"/>
      <c r="OIS47" s="63"/>
      <c r="OIT47" s="63"/>
      <c r="OIU47" s="63"/>
      <c r="OIV47" s="63"/>
      <c r="OIW47" s="63"/>
      <c r="OIX47" s="63"/>
      <c r="OIY47" s="63"/>
      <c r="OIZ47" s="63"/>
      <c r="OJA47" s="63"/>
      <c r="OJB47" s="63"/>
      <c r="OJC47" s="63"/>
      <c r="OJD47" s="63"/>
      <c r="OJE47" s="63"/>
      <c r="OJF47" s="63"/>
      <c r="OJG47" s="63"/>
      <c r="OJH47" s="63"/>
      <c r="OJI47" s="63"/>
      <c r="OJJ47" s="63"/>
      <c r="OJK47" s="63"/>
      <c r="OJL47" s="63"/>
      <c r="OJM47" s="63"/>
      <c r="OJN47" s="63"/>
      <c r="OJO47" s="63"/>
      <c r="OJP47" s="63"/>
      <c r="OJQ47" s="63"/>
      <c r="OJR47" s="63"/>
      <c r="OJS47" s="63"/>
      <c r="OJT47" s="63"/>
      <c r="OJU47" s="63"/>
      <c r="OJV47" s="63"/>
      <c r="OJW47" s="63"/>
      <c r="OJX47" s="63"/>
      <c r="OJY47" s="63"/>
      <c r="OJZ47" s="63"/>
      <c r="OKA47" s="63"/>
      <c r="OKB47" s="63"/>
      <c r="OKC47" s="63"/>
      <c r="OKD47" s="63"/>
      <c r="OKE47" s="63"/>
      <c r="OKF47" s="63"/>
      <c r="OKG47" s="63"/>
      <c r="OKH47" s="63"/>
      <c r="OKI47" s="63"/>
      <c r="OKJ47" s="63"/>
      <c r="OKK47" s="63"/>
      <c r="OKL47" s="63"/>
      <c r="OKM47" s="63"/>
      <c r="OKN47" s="63"/>
      <c r="OKO47" s="63"/>
      <c r="OKP47" s="63"/>
      <c r="OKQ47" s="63"/>
      <c r="OKR47" s="63"/>
      <c r="OKS47" s="63"/>
      <c r="OKT47" s="63"/>
      <c r="OKU47" s="63"/>
      <c r="OKV47" s="63"/>
      <c r="OKW47" s="63"/>
      <c r="OKX47" s="63"/>
      <c r="OKY47" s="63"/>
      <c r="OKZ47" s="63"/>
      <c r="OLA47" s="63"/>
      <c r="OLB47" s="63"/>
      <c r="OLC47" s="63"/>
      <c r="OLD47" s="63"/>
      <c r="OLE47" s="63"/>
      <c r="OLF47" s="63"/>
      <c r="OLG47" s="63"/>
      <c r="OLH47" s="63"/>
      <c r="OLI47" s="63"/>
      <c r="OLJ47" s="63"/>
      <c r="OLK47" s="63"/>
      <c r="OLL47" s="63"/>
      <c r="OLM47" s="63"/>
      <c r="OLN47" s="63"/>
      <c r="OLO47" s="63"/>
      <c r="OLP47" s="63"/>
      <c r="OLQ47" s="63"/>
      <c r="OLR47" s="63"/>
      <c r="OLS47" s="63"/>
      <c r="OLT47" s="63"/>
      <c r="OLU47" s="63"/>
      <c r="OLV47" s="63"/>
      <c r="OLW47" s="63"/>
      <c r="OLX47" s="63"/>
      <c r="OLY47" s="63"/>
      <c r="OLZ47" s="63"/>
      <c r="OMA47" s="63"/>
      <c r="OMB47" s="63"/>
      <c r="OMC47" s="63"/>
      <c r="OMD47" s="63"/>
      <c r="OME47" s="63"/>
      <c r="OMF47" s="63"/>
      <c r="OMG47" s="63"/>
      <c r="OMH47" s="63"/>
      <c r="OMI47" s="63"/>
      <c r="OMJ47" s="63"/>
      <c r="OMK47" s="63"/>
      <c r="OML47" s="63"/>
      <c r="OMM47" s="63"/>
      <c r="OMN47" s="63"/>
      <c r="OMO47" s="63"/>
      <c r="OMP47" s="63"/>
      <c r="OMQ47" s="63"/>
      <c r="OMR47" s="63"/>
      <c r="OMS47" s="63"/>
      <c r="OMT47" s="63"/>
      <c r="OMU47" s="63"/>
      <c r="OMV47" s="63"/>
      <c r="OMW47" s="63"/>
      <c r="OMX47" s="63"/>
      <c r="OMY47" s="63"/>
      <c r="OMZ47" s="63"/>
      <c r="ONA47" s="63"/>
      <c r="ONB47" s="63"/>
      <c r="ONC47" s="63"/>
      <c r="OND47" s="63"/>
      <c r="ONE47" s="63"/>
      <c r="ONF47" s="63"/>
      <c r="ONG47" s="63"/>
      <c r="ONH47" s="63"/>
      <c r="ONI47" s="63"/>
      <c r="ONJ47" s="63"/>
      <c r="ONK47" s="63"/>
      <c r="ONL47" s="63"/>
      <c r="ONM47" s="63"/>
      <c r="ONN47" s="63"/>
      <c r="ONO47" s="63"/>
      <c r="ONP47" s="63"/>
      <c r="ONQ47" s="63"/>
      <c r="ONR47" s="63"/>
      <c r="ONS47" s="63"/>
      <c r="ONT47" s="63"/>
      <c r="ONU47" s="63"/>
      <c r="ONV47" s="63"/>
      <c r="ONW47" s="63"/>
      <c r="ONX47" s="63"/>
      <c r="ONY47" s="63"/>
      <c r="ONZ47" s="63"/>
      <c r="OOA47" s="63"/>
      <c r="OOB47" s="63"/>
      <c r="OOC47" s="63"/>
      <c r="OOD47" s="63"/>
      <c r="OOE47" s="63"/>
      <c r="OOF47" s="63"/>
      <c r="OOG47" s="63"/>
      <c r="OOH47" s="63"/>
      <c r="OOI47" s="63"/>
      <c r="OOJ47" s="63"/>
      <c r="OOK47" s="63"/>
      <c r="OOL47" s="63"/>
      <c r="OOM47" s="63"/>
      <c r="OON47" s="63"/>
      <c r="OOO47" s="63"/>
      <c r="OOP47" s="63"/>
      <c r="OOQ47" s="63"/>
      <c r="OOR47" s="63"/>
      <c r="OOS47" s="63"/>
      <c r="OOT47" s="63"/>
      <c r="OOU47" s="63"/>
      <c r="OOV47" s="63"/>
      <c r="OOW47" s="63"/>
      <c r="OOX47" s="63"/>
      <c r="OOY47" s="63"/>
      <c r="OOZ47" s="63"/>
      <c r="OPA47" s="63"/>
      <c r="OPB47" s="63"/>
      <c r="OPC47" s="63"/>
      <c r="OPD47" s="63"/>
      <c r="OPE47" s="63"/>
      <c r="OPF47" s="63"/>
      <c r="OPG47" s="63"/>
      <c r="OPH47" s="63"/>
      <c r="OPI47" s="63"/>
      <c r="OPJ47" s="63"/>
      <c r="OPK47" s="63"/>
      <c r="OPL47" s="63"/>
      <c r="OPM47" s="63"/>
      <c r="OPN47" s="63"/>
      <c r="OPO47" s="63"/>
      <c r="OPP47" s="63"/>
      <c r="OPQ47" s="63"/>
      <c r="OPR47" s="63"/>
      <c r="OPS47" s="63"/>
      <c r="OPT47" s="63"/>
      <c r="OPU47" s="63"/>
      <c r="OPV47" s="63"/>
      <c r="OPW47" s="63"/>
      <c r="OPX47" s="63"/>
      <c r="OPY47" s="63"/>
      <c r="OPZ47" s="63"/>
      <c r="OQA47" s="63"/>
      <c r="OQB47" s="63"/>
      <c r="OQC47" s="63"/>
      <c r="OQD47" s="63"/>
      <c r="OQE47" s="63"/>
      <c r="OQF47" s="63"/>
      <c r="OQG47" s="63"/>
      <c r="OQH47" s="63"/>
      <c r="OQI47" s="63"/>
      <c r="OQJ47" s="63"/>
      <c r="OQK47" s="63"/>
      <c r="OQL47" s="63"/>
      <c r="OQM47" s="63"/>
      <c r="OQN47" s="63"/>
      <c r="OQO47" s="63"/>
      <c r="OQP47" s="63"/>
      <c r="OQQ47" s="63"/>
      <c r="OQR47" s="63"/>
      <c r="OQS47" s="63"/>
      <c r="OQT47" s="63"/>
      <c r="OQU47" s="63"/>
      <c r="OQV47" s="63"/>
      <c r="OQW47" s="63"/>
      <c r="OQX47" s="63"/>
      <c r="OQY47" s="63"/>
      <c r="OQZ47" s="63"/>
      <c r="ORA47" s="63"/>
      <c r="ORB47" s="63"/>
      <c r="ORC47" s="63"/>
      <c r="ORD47" s="63"/>
      <c r="ORE47" s="63"/>
      <c r="ORF47" s="63"/>
      <c r="ORG47" s="63"/>
      <c r="ORH47" s="63"/>
      <c r="ORI47" s="63"/>
      <c r="ORJ47" s="63"/>
      <c r="ORK47" s="63"/>
      <c r="ORL47" s="63"/>
      <c r="ORM47" s="63"/>
      <c r="ORN47" s="63"/>
      <c r="ORO47" s="63"/>
      <c r="ORP47" s="63"/>
      <c r="ORQ47" s="63"/>
      <c r="ORR47" s="63"/>
      <c r="ORS47" s="63"/>
      <c r="ORT47" s="63"/>
      <c r="ORU47" s="63"/>
      <c r="ORV47" s="63"/>
      <c r="ORW47" s="63"/>
      <c r="ORX47" s="63"/>
      <c r="ORY47" s="63"/>
      <c r="ORZ47" s="63"/>
      <c r="OSA47" s="63"/>
      <c r="OSB47" s="63"/>
      <c r="OSC47" s="63"/>
      <c r="OSD47" s="63"/>
      <c r="OSE47" s="63"/>
      <c r="OSF47" s="63"/>
      <c r="OSG47" s="63"/>
      <c r="OSH47" s="63"/>
      <c r="OSI47" s="63"/>
      <c r="OSJ47" s="63"/>
      <c r="OSK47" s="63"/>
      <c r="OSL47" s="63"/>
      <c r="OSM47" s="63"/>
      <c r="OSN47" s="63"/>
      <c r="OSO47" s="63"/>
      <c r="OSP47" s="63"/>
      <c r="OSQ47" s="63"/>
      <c r="OSR47" s="63"/>
      <c r="OSS47" s="63"/>
      <c r="OST47" s="63"/>
      <c r="OSU47" s="63"/>
      <c r="OSV47" s="63"/>
      <c r="OSW47" s="63"/>
      <c r="OSX47" s="63"/>
      <c r="OSY47" s="63"/>
      <c r="OSZ47" s="63"/>
      <c r="OTA47" s="63"/>
      <c r="OTB47" s="63"/>
      <c r="OTC47" s="63"/>
      <c r="OTD47" s="63"/>
      <c r="OTE47" s="63"/>
      <c r="OTF47" s="63"/>
      <c r="OTG47" s="63"/>
      <c r="OTH47" s="63"/>
      <c r="OTI47" s="63"/>
      <c r="OTJ47" s="63"/>
      <c r="OTK47" s="63"/>
      <c r="OTL47" s="63"/>
      <c r="OTM47" s="63"/>
      <c r="OTN47" s="63"/>
      <c r="OTO47" s="63"/>
      <c r="OTP47" s="63"/>
      <c r="OTQ47" s="63"/>
      <c r="OTR47" s="63"/>
      <c r="OTS47" s="63"/>
      <c r="OTT47" s="63"/>
      <c r="OTU47" s="63"/>
      <c r="OTV47" s="63"/>
      <c r="OTW47" s="63"/>
      <c r="OTX47" s="63"/>
      <c r="OTY47" s="63"/>
      <c r="OTZ47" s="63"/>
      <c r="OUA47" s="63"/>
      <c r="OUB47" s="63"/>
      <c r="OUC47" s="63"/>
      <c r="OUD47" s="63"/>
      <c r="OUE47" s="63"/>
      <c r="OUF47" s="63"/>
      <c r="OUG47" s="63"/>
      <c r="OUH47" s="63"/>
      <c r="OUI47" s="63"/>
      <c r="OUJ47" s="63"/>
      <c r="OUK47" s="63"/>
      <c r="OUL47" s="63"/>
      <c r="OUM47" s="63"/>
      <c r="OUN47" s="63"/>
      <c r="OUO47" s="63"/>
      <c r="OUP47" s="63"/>
      <c r="OUQ47" s="63"/>
      <c r="OUR47" s="63"/>
      <c r="OUS47" s="63"/>
      <c r="OUT47" s="63"/>
      <c r="OUU47" s="63"/>
      <c r="OUV47" s="63"/>
      <c r="OUW47" s="63"/>
      <c r="OUX47" s="63"/>
      <c r="OUY47" s="63"/>
      <c r="OUZ47" s="63"/>
      <c r="OVA47" s="63"/>
      <c r="OVB47" s="63"/>
      <c r="OVC47" s="63"/>
      <c r="OVD47" s="63"/>
      <c r="OVE47" s="63"/>
      <c r="OVF47" s="63"/>
      <c r="OVG47" s="63"/>
      <c r="OVH47" s="63"/>
      <c r="OVI47" s="63"/>
      <c r="OVJ47" s="63"/>
      <c r="OVK47" s="63"/>
      <c r="OVL47" s="63"/>
      <c r="OVM47" s="63"/>
      <c r="OVN47" s="63"/>
      <c r="OVO47" s="63"/>
      <c r="OVP47" s="63"/>
      <c r="OVQ47" s="63"/>
      <c r="OVR47" s="63"/>
      <c r="OVS47" s="63"/>
      <c r="OVT47" s="63"/>
      <c r="OVU47" s="63"/>
      <c r="OVV47" s="63"/>
      <c r="OVW47" s="63"/>
      <c r="OVX47" s="63"/>
      <c r="OVY47" s="63"/>
      <c r="OVZ47" s="63"/>
      <c r="OWA47" s="63"/>
      <c r="OWB47" s="63"/>
      <c r="OWC47" s="63"/>
      <c r="OWD47" s="63"/>
      <c r="OWE47" s="63"/>
      <c r="OWF47" s="63"/>
      <c r="OWG47" s="63"/>
      <c r="OWH47" s="63"/>
      <c r="OWI47" s="63"/>
      <c r="OWJ47" s="63"/>
      <c r="OWK47" s="63"/>
      <c r="OWL47" s="63"/>
      <c r="OWM47" s="63"/>
      <c r="OWN47" s="63"/>
      <c r="OWO47" s="63"/>
      <c r="OWP47" s="63"/>
      <c r="OWQ47" s="63"/>
      <c r="OWR47" s="63"/>
      <c r="OWS47" s="63"/>
      <c r="OWT47" s="63"/>
      <c r="OWU47" s="63"/>
      <c r="OWV47" s="63"/>
      <c r="OWW47" s="63"/>
      <c r="OWX47" s="63"/>
      <c r="OWY47" s="63"/>
      <c r="OWZ47" s="63"/>
      <c r="OXA47" s="63"/>
      <c r="OXB47" s="63"/>
      <c r="OXC47" s="63"/>
      <c r="OXD47" s="63"/>
      <c r="OXE47" s="63"/>
      <c r="OXF47" s="63"/>
      <c r="OXG47" s="63"/>
      <c r="OXH47" s="63"/>
      <c r="OXI47" s="63"/>
      <c r="OXJ47" s="63"/>
      <c r="OXK47" s="63"/>
      <c r="OXL47" s="63"/>
      <c r="OXM47" s="63"/>
      <c r="OXN47" s="63"/>
      <c r="OXO47" s="63"/>
      <c r="OXP47" s="63"/>
      <c r="OXQ47" s="63"/>
      <c r="OXR47" s="63"/>
      <c r="OXS47" s="63"/>
      <c r="OXT47" s="63"/>
      <c r="OXU47" s="63"/>
      <c r="OXV47" s="63"/>
      <c r="OXW47" s="63"/>
      <c r="OXX47" s="63"/>
      <c r="OXY47" s="63"/>
      <c r="OXZ47" s="63"/>
      <c r="OYA47" s="63"/>
      <c r="OYB47" s="63"/>
      <c r="OYC47" s="63"/>
      <c r="OYD47" s="63"/>
      <c r="OYE47" s="63"/>
      <c r="OYF47" s="63"/>
      <c r="OYG47" s="63"/>
      <c r="OYH47" s="63"/>
      <c r="OYI47" s="63"/>
      <c r="OYJ47" s="63"/>
      <c r="OYK47" s="63"/>
      <c r="OYL47" s="63"/>
      <c r="OYM47" s="63"/>
      <c r="OYN47" s="63"/>
      <c r="OYO47" s="63"/>
      <c r="OYP47" s="63"/>
      <c r="OYQ47" s="63"/>
      <c r="OYR47" s="63"/>
      <c r="OYS47" s="63"/>
      <c r="OYT47" s="63"/>
      <c r="OYU47" s="63"/>
      <c r="OYV47" s="63"/>
      <c r="OYW47" s="63"/>
      <c r="OYX47" s="63"/>
      <c r="OYY47" s="63"/>
      <c r="OYZ47" s="63"/>
      <c r="OZA47" s="63"/>
      <c r="OZB47" s="63"/>
      <c r="OZC47" s="63"/>
      <c r="OZD47" s="63"/>
      <c r="OZE47" s="63"/>
      <c r="OZF47" s="63"/>
      <c r="OZG47" s="63"/>
      <c r="OZH47" s="63"/>
      <c r="OZI47" s="63"/>
      <c r="OZJ47" s="63"/>
      <c r="OZK47" s="63"/>
      <c r="OZL47" s="63"/>
      <c r="OZM47" s="63"/>
      <c r="OZN47" s="63"/>
      <c r="OZO47" s="63"/>
      <c r="OZP47" s="63"/>
      <c r="OZQ47" s="63"/>
      <c r="OZR47" s="63"/>
      <c r="OZS47" s="63"/>
      <c r="OZT47" s="63"/>
      <c r="OZU47" s="63"/>
      <c r="OZV47" s="63"/>
      <c r="OZW47" s="63"/>
      <c r="OZX47" s="63"/>
      <c r="OZY47" s="63"/>
      <c r="OZZ47" s="63"/>
      <c r="PAA47" s="63"/>
      <c r="PAB47" s="63"/>
      <c r="PAC47" s="63"/>
      <c r="PAD47" s="63"/>
      <c r="PAE47" s="63"/>
      <c r="PAF47" s="63"/>
      <c r="PAG47" s="63"/>
      <c r="PAH47" s="63"/>
      <c r="PAI47" s="63"/>
      <c r="PAJ47" s="63"/>
      <c r="PAK47" s="63"/>
      <c r="PAL47" s="63"/>
      <c r="PAM47" s="63"/>
      <c r="PAN47" s="63"/>
      <c r="PAO47" s="63"/>
      <c r="PAP47" s="63"/>
      <c r="PAQ47" s="63"/>
      <c r="PAR47" s="63"/>
      <c r="PAS47" s="63"/>
      <c r="PAT47" s="63"/>
      <c r="PAU47" s="63"/>
      <c r="PAV47" s="63"/>
      <c r="PAW47" s="63"/>
      <c r="PAX47" s="63"/>
      <c r="PAY47" s="63"/>
      <c r="PAZ47" s="63"/>
      <c r="PBA47" s="63"/>
      <c r="PBB47" s="63"/>
      <c r="PBC47" s="63"/>
      <c r="PBD47" s="63"/>
      <c r="PBE47" s="63"/>
      <c r="PBF47" s="63"/>
      <c r="PBG47" s="63"/>
      <c r="PBH47" s="63"/>
      <c r="PBI47" s="63"/>
      <c r="PBJ47" s="63"/>
      <c r="PBK47" s="63"/>
      <c r="PBL47" s="63"/>
      <c r="PBM47" s="63"/>
      <c r="PBN47" s="63"/>
      <c r="PBO47" s="63"/>
      <c r="PBP47" s="63"/>
      <c r="PBQ47" s="63"/>
      <c r="PBR47" s="63"/>
      <c r="PBS47" s="63"/>
      <c r="PBT47" s="63"/>
      <c r="PBU47" s="63"/>
      <c r="PBV47" s="63"/>
      <c r="PBW47" s="63"/>
      <c r="PBX47" s="63"/>
      <c r="PBY47" s="63"/>
      <c r="PBZ47" s="63"/>
      <c r="PCA47" s="63"/>
      <c r="PCB47" s="63"/>
      <c r="PCC47" s="63"/>
      <c r="PCD47" s="63"/>
      <c r="PCE47" s="63"/>
      <c r="PCF47" s="63"/>
      <c r="PCG47" s="63"/>
      <c r="PCH47" s="63"/>
      <c r="PCI47" s="63"/>
      <c r="PCJ47" s="63"/>
      <c r="PCK47" s="63"/>
      <c r="PCL47" s="63"/>
      <c r="PCM47" s="63"/>
      <c r="PCN47" s="63"/>
      <c r="PCO47" s="63"/>
      <c r="PCP47" s="63"/>
      <c r="PCQ47" s="63"/>
      <c r="PCR47" s="63"/>
      <c r="PCS47" s="63"/>
      <c r="PCT47" s="63"/>
      <c r="PCU47" s="63"/>
      <c r="PCV47" s="63"/>
      <c r="PCW47" s="63"/>
      <c r="PCX47" s="63"/>
      <c r="PCY47" s="63"/>
      <c r="PCZ47" s="63"/>
      <c r="PDA47" s="63"/>
      <c r="PDB47" s="63"/>
      <c r="PDC47" s="63"/>
      <c r="PDD47" s="63"/>
      <c r="PDE47" s="63"/>
      <c r="PDF47" s="63"/>
      <c r="PDG47" s="63"/>
      <c r="PDH47" s="63"/>
      <c r="PDI47" s="63"/>
      <c r="PDJ47" s="63"/>
      <c r="PDK47" s="63"/>
      <c r="PDL47" s="63"/>
      <c r="PDM47" s="63"/>
      <c r="PDN47" s="63"/>
      <c r="PDO47" s="63"/>
      <c r="PDP47" s="63"/>
      <c r="PDQ47" s="63"/>
      <c r="PDR47" s="63"/>
      <c r="PDS47" s="63"/>
      <c r="PDT47" s="63"/>
      <c r="PDU47" s="63"/>
      <c r="PDV47" s="63"/>
      <c r="PDW47" s="63"/>
      <c r="PDX47" s="63"/>
      <c r="PDY47" s="63"/>
      <c r="PDZ47" s="63"/>
      <c r="PEA47" s="63"/>
      <c r="PEB47" s="63"/>
      <c r="PEC47" s="63"/>
      <c r="PED47" s="63"/>
      <c r="PEE47" s="63"/>
      <c r="PEF47" s="63"/>
      <c r="PEG47" s="63"/>
      <c r="PEH47" s="63"/>
      <c r="PEI47" s="63"/>
      <c r="PEJ47" s="63"/>
      <c r="PEK47" s="63"/>
      <c r="PEL47" s="63"/>
      <c r="PEM47" s="63"/>
      <c r="PEN47" s="63"/>
      <c r="PEO47" s="63"/>
      <c r="PEP47" s="63"/>
      <c r="PEQ47" s="63"/>
      <c r="PER47" s="63"/>
      <c r="PES47" s="63"/>
      <c r="PET47" s="63"/>
      <c r="PEU47" s="63"/>
      <c r="PEV47" s="63"/>
      <c r="PEW47" s="63"/>
      <c r="PEX47" s="63"/>
      <c r="PEY47" s="63"/>
      <c r="PEZ47" s="63"/>
      <c r="PFA47" s="63"/>
      <c r="PFB47" s="63"/>
      <c r="PFC47" s="63"/>
      <c r="PFD47" s="63"/>
      <c r="PFE47" s="63"/>
      <c r="PFF47" s="63"/>
      <c r="PFG47" s="63"/>
      <c r="PFH47" s="63"/>
      <c r="PFI47" s="63"/>
      <c r="PFJ47" s="63"/>
      <c r="PFK47" s="63"/>
      <c r="PFL47" s="63"/>
      <c r="PFM47" s="63"/>
      <c r="PFN47" s="63"/>
      <c r="PFO47" s="63"/>
      <c r="PFP47" s="63"/>
      <c r="PFQ47" s="63"/>
      <c r="PFR47" s="63"/>
      <c r="PFS47" s="63"/>
      <c r="PFT47" s="63"/>
      <c r="PFU47" s="63"/>
      <c r="PFV47" s="63"/>
      <c r="PFW47" s="63"/>
      <c r="PFX47" s="63"/>
      <c r="PFY47" s="63"/>
      <c r="PFZ47" s="63"/>
      <c r="PGA47" s="63"/>
      <c r="PGB47" s="63"/>
      <c r="PGC47" s="63"/>
      <c r="PGD47" s="63"/>
      <c r="PGE47" s="63"/>
      <c r="PGF47" s="63"/>
      <c r="PGG47" s="63"/>
      <c r="PGH47" s="63"/>
      <c r="PGI47" s="63"/>
      <c r="PGJ47" s="63"/>
      <c r="PGK47" s="63"/>
      <c r="PGL47" s="63"/>
      <c r="PGM47" s="63"/>
      <c r="PGN47" s="63"/>
      <c r="PGO47" s="63"/>
      <c r="PGP47" s="63"/>
      <c r="PGQ47" s="63"/>
      <c r="PGR47" s="63"/>
      <c r="PGS47" s="63"/>
      <c r="PGT47" s="63"/>
      <c r="PGU47" s="63"/>
      <c r="PGV47" s="63"/>
      <c r="PGW47" s="63"/>
      <c r="PGX47" s="63"/>
      <c r="PGY47" s="63"/>
      <c r="PGZ47" s="63"/>
      <c r="PHA47" s="63"/>
      <c r="PHB47" s="63"/>
      <c r="PHC47" s="63"/>
      <c r="PHD47" s="63"/>
      <c r="PHE47" s="63"/>
      <c r="PHF47" s="63"/>
      <c r="PHG47" s="63"/>
      <c r="PHH47" s="63"/>
      <c r="PHI47" s="63"/>
      <c r="PHJ47" s="63"/>
      <c r="PHK47" s="63"/>
      <c r="PHL47" s="63"/>
      <c r="PHM47" s="63"/>
      <c r="PHN47" s="63"/>
      <c r="PHO47" s="63"/>
      <c r="PHP47" s="63"/>
      <c r="PHQ47" s="63"/>
      <c r="PHR47" s="63"/>
      <c r="PHS47" s="63"/>
      <c r="PHT47" s="63"/>
      <c r="PHU47" s="63"/>
      <c r="PHV47" s="63"/>
      <c r="PHW47" s="63"/>
      <c r="PHX47" s="63"/>
      <c r="PHY47" s="63"/>
      <c r="PHZ47" s="63"/>
      <c r="PIA47" s="63"/>
      <c r="PIB47" s="63"/>
      <c r="PIC47" s="63"/>
      <c r="PID47" s="63"/>
      <c r="PIE47" s="63"/>
      <c r="PIF47" s="63"/>
      <c r="PIG47" s="63"/>
      <c r="PIH47" s="63"/>
      <c r="PII47" s="63"/>
      <c r="PIJ47" s="63"/>
      <c r="PIK47" s="63"/>
      <c r="PIL47" s="63"/>
      <c r="PIM47" s="63"/>
      <c r="PIN47" s="63"/>
      <c r="PIO47" s="63"/>
      <c r="PIP47" s="63"/>
      <c r="PIQ47" s="63"/>
      <c r="PIR47" s="63"/>
      <c r="PIS47" s="63"/>
      <c r="PIT47" s="63"/>
      <c r="PIU47" s="63"/>
      <c r="PIV47" s="63"/>
      <c r="PIW47" s="63"/>
      <c r="PIX47" s="63"/>
      <c r="PIY47" s="63"/>
      <c r="PIZ47" s="63"/>
      <c r="PJA47" s="63"/>
      <c r="PJB47" s="63"/>
      <c r="PJC47" s="63"/>
      <c r="PJD47" s="63"/>
      <c r="PJE47" s="63"/>
      <c r="PJF47" s="63"/>
      <c r="PJG47" s="63"/>
      <c r="PJH47" s="63"/>
      <c r="PJI47" s="63"/>
      <c r="PJJ47" s="63"/>
      <c r="PJK47" s="63"/>
      <c r="PJL47" s="63"/>
      <c r="PJM47" s="63"/>
      <c r="PJN47" s="63"/>
      <c r="PJO47" s="63"/>
      <c r="PJP47" s="63"/>
      <c r="PJQ47" s="63"/>
      <c r="PJR47" s="63"/>
      <c r="PJS47" s="63"/>
      <c r="PJT47" s="63"/>
      <c r="PJU47" s="63"/>
      <c r="PJV47" s="63"/>
      <c r="PJW47" s="63"/>
      <c r="PJX47" s="63"/>
      <c r="PJY47" s="63"/>
      <c r="PJZ47" s="63"/>
      <c r="PKA47" s="63"/>
      <c r="PKB47" s="63"/>
      <c r="PKC47" s="63"/>
      <c r="PKD47" s="63"/>
      <c r="PKE47" s="63"/>
      <c r="PKF47" s="63"/>
      <c r="PKG47" s="63"/>
      <c r="PKH47" s="63"/>
      <c r="PKI47" s="63"/>
      <c r="PKJ47" s="63"/>
      <c r="PKK47" s="63"/>
      <c r="PKL47" s="63"/>
      <c r="PKM47" s="63"/>
      <c r="PKN47" s="63"/>
      <c r="PKO47" s="63"/>
      <c r="PKP47" s="63"/>
      <c r="PKQ47" s="63"/>
      <c r="PKR47" s="63"/>
      <c r="PKS47" s="63"/>
      <c r="PKT47" s="63"/>
      <c r="PKU47" s="63"/>
      <c r="PKV47" s="63"/>
      <c r="PKW47" s="63"/>
      <c r="PKX47" s="63"/>
      <c r="PKY47" s="63"/>
      <c r="PKZ47" s="63"/>
      <c r="PLA47" s="63"/>
      <c r="PLB47" s="63"/>
      <c r="PLC47" s="63"/>
      <c r="PLD47" s="63"/>
      <c r="PLE47" s="63"/>
      <c r="PLF47" s="63"/>
      <c r="PLG47" s="63"/>
      <c r="PLH47" s="63"/>
      <c r="PLI47" s="63"/>
      <c r="PLJ47" s="63"/>
      <c r="PLK47" s="63"/>
      <c r="PLL47" s="63"/>
      <c r="PLM47" s="63"/>
      <c r="PLN47" s="63"/>
      <c r="PLO47" s="63"/>
      <c r="PLP47" s="63"/>
      <c r="PLQ47" s="63"/>
      <c r="PLR47" s="63"/>
      <c r="PLS47" s="63"/>
      <c r="PLT47" s="63"/>
      <c r="PLU47" s="63"/>
      <c r="PLV47" s="63"/>
      <c r="PLW47" s="63"/>
      <c r="PLX47" s="63"/>
      <c r="PLY47" s="63"/>
      <c r="PLZ47" s="63"/>
      <c r="PMA47" s="63"/>
      <c r="PMB47" s="63"/>
      <c r="PMC47" s="63"/>
      <c r="PMD47" s="63"/>
      <c r="PME47" s="63"/>
      <c r="PMF47" s="63"/>
      <c r="PMG47" s="63"/>
      <c r="PMH47" s="63"/>
      <c r="PMI47" s="63"/>
      <c r="PMJ47" s="63"/>
      <c r="PMK47" s="63"/>
      <c r="PML47" s="63"/>
      <c r="PMM47" s="63"/>
      <c r="PMN47" s="63"/>
      <c r="PMO47" s="63"/>
      <c r="PMP47" s="63"/>
      <c r="PMQ47" s="63"/>
      <c r="PMR47" s="63"/>
      <c r="PMS47" s="63"/>
      <c r="PMT47" s="63"/>
      <c r="PMU47" s="63"/>
      <c r="PMV47" s="63"/>
      <c r="PMW47" s="63"/>
      <c r="PMX47" s="63"/>
      <c r="PMY47" s="63"/>
      <c r="PMZ47" s="63"/>
      <c r="PNA47" s="63"/>
      <c r="PNB47" s="63"/>
      <c r="PNC47" s="63"/>
      <c r="PND47" s="63"/>
      <c r="PNE47" s="63"/>
      <c r="PNF47" s="63"/>
      <c r="PNG47" s="63"/>
      <c r="PNH47" s="63"/>
      <c r="PNI47" s="63"/>
      <c r="PNJ47" s="63"/>
      <c r="PNK47" s="63"/>
      <c r="PNL47" s="63"/>
      <c r="PNM47" s="63"/>
      <c r="PNN47" s="63"/>
      <c r="PNO47" s="63"/>
      <c r="PNP47" s="63"/>
      <c r="PNQ47" s="63"/>
      <c r="PNR47" s="63"/>
      <c r="PNS47" s="63"/>
      <c r="PNT47" s="63"/>
      <c r="PNU47" s="63"/>
      <c r="PNV47" s="63"/>
      <c r="PNW47" s="63"/>
      <c r="PNX47" s="63"/>
      <c r="PNY47" s="63"/>
      <c r="PNZ47" s="63"/>
      <c r="POA47" s="63"/>
      <c r="POB47" s="63"/>
      <c r="POC47" s="63"/>
      <c r="POD47" s="63"/>
      <c r="POE47" s="63"/>
      <c r="POF47" s="63"/>
      <c r="POG47" s="63"/>
      <c r="POH47" s="63"/>
      <c r="POI47" s="63"/>
      <c r="POJ47" s="63"/>
      <c r="POK47" s="63"/>
      <c r="POL47" s="63"/>
      <c r="POM47" s="63"/>
      <c r="PON47" s="63"/>
      <c r="POO47" s="63"/>
      <c r="POP47" s="63"/>
      <c r="POQ47" s="63"/>
      <c r="POR47" s="63"/>
      <c r="POS47" s="63"/>
      <c r="POT47" s="63"/>
      <c r="POU47" s="63"/>
      <c r="POV47" s="63"/>
      <c r="POW47" s="63"/>
      <c r="POX47" s="63"/>
      <c r="POY47" s="63"/>
      <c r="POZ47" s="63"/>
      <c r="PPA47" s="63"/>
      <c r="PPB47" s="63"/>
      <c r="PPC47" s="63"/>
      <c r="PPD47" s="63"/>
      <c r="PPE47" s="63"/>
      <c r="PPF47" s="63"/>
      <c r="PPG47" s="63"/>
      <c r="PPH47" s="63"/>
      <c r="PPI47" s="63"/>
      <c r="PPJ47" s="63"/>
      <c r="PPK47" s="63"/>
      <c r="PPL47" s="63"/>
      <c r="PPM47" s="63"/>
      <c r="PPN47" s="63"/>
      <c r="PPO47" s="63"/>
      <c r="PPP47" s="63"/>
      <c r="PPQ47" s="63"/>
      <c r="PPR47" s="63"/>
      <c r="PPS47" s="63"/>
      <c r="PPT47" s="63"/>
      <c r="PPU47" s="63"/>
      <c r="PPV47" s="63"/>
      <c r="PPW47" s="63"/>
      <c r="PPX47" s="63"/>
      <c r="PPY47" s="63"/>
      <c r="PPZ47" s="63"/>
      <c r="PQA47" s="63"/>
      <c r="PQB47" s="63"/>
      <c r="PQC47" s="63"/>
      <c r="PQD47" s="63"/>
      <c r="PQE47" s="63"/>
      <c r="PQF47" s="63"/>
      <c r="PQG47" s="63"/>
      <c r="PQH47" s="63"/>
      <c r="PQI47" s="63"/>
      <c r="PQJ47" s="63"/>
      <c r="PQK47" s="63"/>
      <c r="PQL47" s="63"/>
      <c r="PQM47" s="63"/>
      <c r="PQN47" s="63"/>
      <c r="PQO47" s="63"/>
      <c r="PQP47" s="63"/>
      <c r="PQQ47" s="63"/>
      <c r="PQR47" s="63"/>
      <c r="PQS47" s="63"/>
      <c r="PQT47" s="63"/>
      <c r="PQU47" s="63"/>
      <c r="PQV47" s="63"/>
      <c r="PQW47" s="63"/>
      <c r="PQX47" s="63"/>
      <c r="PQY47" s="63"/>
      <c r="PQZ47" s="63"/>
      <c r="PRA47" s="63"/>
      <c r="PRB47" s="63"/>
      <c r="PRC47" s="63"/>
      <c r="PRD47" s="63"/>
      <c r="PRE47" s="63"/>
      <c r="PRF47" s="63"/>
      <c r="PRG47" s="63"/>
      <c r="PRH47" s="63"/>
      <c r="PRI47" s="63"/>
      <c r="PRJ47" s="63"/>
      <c r="PRK47" s="63"/>
      <c r="PRL47" s="63"/>
      <c r="PRM47" s="63"/>
      <c r="PRN47" s="63"/>
      <c r="PRO47" s="63"/>
      <c r="PRP47" s="63"/>
      <c r="PRQ47" s="63"/>
      <c r="PRR47" s="63"/>
      <c r="PRS47" s="63"/>
      <c r="PRT47" s="63"/>
      <c r="PRU47" s="63"/>
      <c r="PRV47" s="63"/>
      <c r="PRW47" s="63"/>
      <c r="PRX47" s="63"/>
      <c r="PRY47" s="63"/>
      <c r="PRZ47" s="63"/>
      <c r="PSA47" s="63"/>
      <c r="PSB47" s="63"/>
      <c r="PSC47" s="63"/>
      <c r="PSD47" s="63"/>
      <c r="PSE47" s="63"/>
      <c r="PSF47" s="63"/>
      <c r="PSG47" s="63"/>
      <c r="PSH47" s="63"/>
      <c r="PSI47" s="63"/>
      <c r="PSJ47" s="63"/>
      <c r="PSK47" s="63"/>
      <c r="PSL47" s="63"/>
      <c r="PSM47" s="63"/>
      <c r="PSN47" s="63"/>
      <c r="PSO47" s="63"/>
      <c r="PSP47" s="63"/>
      <c r="PSQ47" s="63"/>
      <c r="PSR47" s="63"/>
      <c r="PSS47" s="63"/>
      <c r="PST47" s="63"/>
      <c r="PSU47" s="63"/>
      <c r="PSV47" s="63"/>
      <c r="PSW47" s="63"/>
      <c r="PSX47" s="63"/>
      <c r="PSY47" s="63"/>
      <c r="PSZ47" s="63"/>
      <c r="PTA47" s="63"/>
      <c r="PTB47" s="63"/>
      <c r="PTC47" s="63"/>
      <c r="PTD47" s="63"/>
      <c r="PTE47" s="63"/>
      <c r="PTF47" s="63"/>
      <c r="PTG47" s="63"/>
      <c r="PTH47" s="63"/>
      <c r="PTI47" s="63"/>
      <c r="PTJ47" s="63"/>
      <c r="PTK47" s="63"/>
      <c r="PTL47" s="63"/>
      <c r="PTM47" s="63"/>
      <c r="PTN47" s="63"/>
      <c r="PTO47" s="63"/>
      <c r="PTP47" s="63"/>
      <c r="PTQ47" s="63"/>
      <c r="PTR47" s="63"/>
      <c r="PTS47" s="63"/>
      <c r="PTT47" s="63"/>
      <c r="PTU47" s="63"/>
      <c r="PTV47" s="63"/>
      <c r="PTW47" s="63"/>
      <c r="PTX47" s="63"/>
      <c r="PTY47" s="63"/>
      <c r="PTZ47" s="63"/>
      <c r="PUA47" s="63"/>
      <c r="PUB47" s="63"/>
      <c r="PUC47" s="63"/>
      <c r="PUD47" s="63"/>
      <c r="PUE47" s="63"/>
      <c r="PUF47" s="63"/>
      <c r="PUG47" s="63"/>
      <c r="PUH47" s="63"/>
      <c r="PUI47" s="63"/>
      <c r="PUJ47" s="63"/>
      <c r="PUK47" s="63"/>
      <c r="PUL47" s="63"/>
      <c r="PUM47" s="63"/>
      <c r="PUN47" s="63"/>
      <c r="PUO47" s="63"/>
      <c r="PUP47" s="63"/>
      <c r="PUQ47" s="63"/>
      <c r="PUR47" s="63"/>
      <c r="PUS47" s="63"/>
      <c r="PUT47" s="63"/>
      <c r="PUU47" s="63"/>
      <c r="PUV47" s="63"/>
      <c r="PUW47" s="63"/>
      <c r="PUX47" s="63"/>
      <c r="PUY47" s="63"/>
      <c r="PUZ47" s="63"/>
      <c r="PVA47" s="63"/>
      <c r="PVB47" s="63"/>
      <c r="PVC47" s="63"/>
      <c r="PVD47" s="63"/>
      <c r="PVE47" s="63"/>
      <c r="PVF47" s="63"/>
      <c r="PVG47" s="63"/>
      <c r="PVH47" s="63"/>
      <c r="PVI47" s="63"/>
      <c r="PVJ47" s="63"/>
      <c r="PVK47" s="63"/>
      <c r="PVL47" s="63"/>
      <c r="PVM47" s="63"/>
      <c r="PVN47" s="63"/>
      <c r="PVO47" s="63"/>
      <c r="PVP47" s="63"/>
      <c r="PVQ47" s="63"/>
      <c r="PVR47" s="63"/>
      <c r="PVS47" s="63"/>
      <c r="PVT47" s="63"/>
      <c r="PVU47" s="63"/>
      <c r="PVV47" s="63"/>
      <c r="PVW47" s="63"/>
      <c r="PVX47" s="63"/>
      <c r="PVY47" s="63"/>
      <c r="PVZ47" s="63"/>
      <c r="PWA47" s="63"/>
      <c r="PWB47" s="63"/>
      <c r="PWC47" s="63"/>
      <c r="PWD47" s="63"/>
      <c r="PWE47" s="63"/>
      <c r="PWF47" s="63"/>
      <c r="PWG47" s="63"/>
      <c r="PWH47" s="63"/>
      <c r="PWI47" s="63"/>
      <c r="PWJ47" s="63"/>
      <c r="PWK47" s="63"/>
      <c r="PWL47" s="63"/>
      <c r="PWM47" s="63"/>
      <c r="PWN47" s="63"/>
      <c r="PWO47" s="63"/>
      <c r="PWP47" s="63"/>
      <c r="PWQ47" s="63"/>
      <c r="PWR47" s="63"/>
      <c r="PWS47" s="63"/>
      <c r="PWT47" s="63"/>
      <c r="PWU47" s="63"/>
      <c r="PWV47" s="63"/>
      <c r="PWW47" s="63"/>
      <c r="PWX47" s="63"/>
      <c r="PWY47" s="63"/>
      <c r="PWZ47" s="63"/>
      <c r="PXA47" s="63"/>
      <c r="PXB47" s="63"/>
      <c r="PXC47" s="63"/>
      <c r="PXD47" s="63"/>
      <c r="PXE47" s="63"/>
      <c r="PXF47" s="63"/>
      <c r="PXG47" s="63"/>
      <c r="PXH47" s="63"/>
      <c r="PXI47" s="63"/>
      <c r="PXJ47" s="63"/>
      <c r="PXK47" s="63"/>
      <c r="PXL47" s="63"/>
      <c r="PXM47" s="63"/>
      <c r="PXN47" s="63"/>
      <c r="PXO47" s="63"/>
      <c r="PXP47" s="63"/>
      <c r="PXQ47" s="63"/>
      <c r="PXR47" s="63"/>
      <c r="PXS47" s="63"/>
      <c r="PXT47" s="63"/>
      <c r="PXU47" s="63"/>
      <c r="PXV47" s="63"/>
      <c r="PXW47" s="63"/>
      <c r="PXX47" s="63"/>
      <c r="PXY47" s="63"/>
      <c r="PXZ47" s="63"/>
      <c r="PYA47" s="63"/>
      <c r="PYB47" s="63"/>
      <c r="PYC47" s="63"/>
      <c r="PYD47" s="63"/>
      <c r="PYE47" s="63"/>
      <c r="PYF47" s="63"/>
      <c r="PYG47" s="63"/>
      <c r="PYH47" s="63"/>
      <c r="PYI47" s="63"/>
      <c r="PYJ47" s="63"/>
      <c r="PYK47" s="63"/>
      <c r="PYL47" s="63"/>
      <c r="PYM47" s="63"/>
      <c r="PYN47" s="63"/>
      <c r="PYO47" s="63"/>
      <c r="PYP47" s="63"/>
      <c r="PYQ47" s="63"/>
      <c r="PYR47" s="63"/>
      <c r="PYS47" s="63"/>
      <c r="PYT47" s="63"/>
      <c r="PYU47" s="63"/>
      <c r="PYV47" s="63"/>
      <c r="PYW47" s="63"/>
      <c r="PYX47" s="63"/>
      <c r="PYY47" s="63"/>
      <c r="PYZ47" s="63"/>
      <c r="PZA47" s="63"/>
      <c r="PZB47" s="63"/>
      <c r="PZC47" s="63"/>
      <c r="PZD47" s="63"/>
      <c r="PZE47" s="63"/>
      <c r="PZF47" s="63"/>
      <c r="PZG47" s="63"/>
      <c r="PZH47" s="63"/>
      <c r="PZI47" s="63"/>
      <c r="PZJ47" s="63"/>
      <c r="PZK47" s="63"/>
      <c r="PZL47" s="63"/>
      <c r="PZM47" s="63"/>
      <c r="PZN47" s="63"/>
      <c r="PZO47" s="63"/>
      <c r="PZP47" s="63"/>
      <c r="PZQ47" s="63"/>
      <c r="PZR47" s="63"/>
      <c r="PZS47" s="63"/>
      <c r="PZT47" s="63"/>
      <c r="PZU47" s="63"/>
      <c r="PZV47" s="63"/>
      <c r="PZW47" s="63"/>
      <c r="PZX47" s="63"/>
      <c r="PZY47" s="63"/>
      <c r="PZZ47" s="63"/>
      <c r="QAA47" s="63"/>
      <c r="QAB47" s="63"/>
      <c r="QAC47" s="63"/>
      <c r="QAD47" s="63"/>
      <c r="QAE47" s="63"/>
      <c r="QAF47" s="63"/>
      <c r="QAG47" s="63"/>
      <c r="QAH47" s="63"/>
      <c r="QAI47" s="63"/>
      <c r="QAJ47" s="63"/>
      <c r="QAK47" s="63"/>
      <c r="QAL47" s="63"/>
      <c r="QAM47" s="63"/>
      <c r="QAN47" s="63"/>
      <c r="QAO47" s="63"/>
      <c r="QAP47" s="63"/>
      <c r="QAQ47" s="63"/>
      <c r="QAR47" s="63"/>
      <c r="QAS47" s="63"/>
      <c r="QAT47" s="63"/>
      <c r="QAU47" s="63"/>
      <c r="QAV47" s="63"/>
      <c r="QAW47" s="63"/>
      <c r="QAX47" s="63"/>
      <c r="QAY47" s="63"/>
      <c r="QAZ47" s="63"/>
      <c r="QBA47" s="63"/>
      <c r="QBB47" s="63"/>
      <c r="QBC47" s="63"/>
      <c r="QBD47" s="63"/>
      <c r="QBE47" s="63"/>
      <c r="QBF47" s="63"/>
      <c r="QBG47" s="63"/>
      <c r="QBH47" s="63"/>
      <c r="QBI47" s="63"/>
      <c r="QBJ47" s="63"/>
      <c r="QBK47" s="63"/>
      <c r="QBL47" s="63"/>
      <c r="QBM47" s="63"/>
      <c r="QBN47" s="63"/>
      <c r="QBO47" s="63"/>
      <c r="QBP47" s="63"/>
      <c r="QBQ47" s="63"/>
      <c r="QBR47" s="63"/>
      <c r="QBS47" s="63"/>
      <c r="QBT47" s="63"/>
      <c r="QBU47" s="63"/>
      <c r="QBV47" s="63"/>
      <c r="QBW47" s="63"/>
      <c r="QBX47" s="63"/>
      <c r="QBY47" s="63"/>
      <c r="QBZ47" s="63"/>
      <c r="QCA47" s="63"/>
      <c r="QCB47" s="63"/>
      <c r="QCC47" s="63"/>
      <c r="QCD47" s="63"/>
      <c r="QCE47" s="63"/>
      <c r="QCF47" s="63"/>
      <c r="QCG47" s="63"/>
      <c r="QCH47" s="63"/>
      <c r="QCI47" s="63"/>
      <c r="QCJ47" s="63"/>
      <c r="QCK47" s="63"/>
      <c r="QCL47" s="63"/>
      <c r="QCM47" s="63"/>
      <c r="QCN47" s="63"/>
      <c r="QCO47" s="63"/>
      <c r="QCP47" s="63"/>
      <c r="QCQ47" s="63"/>
      <c r="QCR47" s="63"/>
      <c r="QCS47" s="63"/>
      <c r="QCT47" s="63"/>
      <c r="QCU47" s="63"/>
      <c r="QCV47" s="63"/>
      <c r="QCW47" s="63"/>
      <c r="QCX47" s="63"/>
      <c r="QCY47" s="63"/>
      <c r="QCZ47" s="63"/>
      <c r="QDA47" s="63"/>
      <c r="QDB47" s="63"/>
      <c r="QDC47" s="63"/>
      <c r="QDD47" s="63"/>
      <c r="QDE47" s="63"/>
      <c r="QDF47" s="63"/>
      <c r="QDG47" s="63"/>
      <c r="QDH47" s="63"/>
      <c r="QDI47" s="63"/>
      <c r="QDJ47" s="63"/>
      <c r="QDK47" s="63"/>
      <c r="QDL47" s="63"/>
      <c r="QDM47" s="63"/>
      <c r="QDN47" s="63"/>
      <c r="QDO47" s="63"/>
      <c r="QDP47" s="63"/>
      <c r="QDQ47" s="63"/>
      <c r="QDR47" s="63"/>
      <c r="QDS47" s="63"/>
      <c r="QDT47" s="63"/>
      <c r="QDU47" s="63"/>
      <c r="QDV47" s="63"/>
      <c r="QDW47" s="63"/>
      <c r="QDX47" s="63"/>
      <c r="QDY47" s="63"/>
      <c r="QDZ47" s="63"/>
      <c r="QEA47" s="63"/>
      <c r="QEB47" s="63"/>
      <c r="QEC47" s="63"/>
      <c r="QED47" s="63"/>
      <c r="QEE47" s="63"/>
      <c r="QEF47" s="63"/>
      <c r="QEG47" s="63"/>
      <c r="QEH47" s="63"/>
      <c r="QEI47" s="63"/>
      <c r="QEJ47" s="63"/>
      <c r="QEK47" s="63"/>
      <c r="QEL47" s="63"/>
      <c r="QEM47" s="63"/>
      <c r="QEN47" s="63"/>
      <c r="QEO47" s="63"/>
      <c r="QEP47" s="63"/>
      <c r="QEQ47" s="63"/>
      <c r="QER47" s="63"/>
      <c r="QES47" s="63"/>
      <c r="QET47" s="63"/>
      <c r="QEU47" s="63"/>
      <c r="QEV47" s="63"/>
      <c r="QEW47" s="63"/>
      <c r="QEX47" s="63"/>
      <c r="QEY47" s="63"/>
      <c r="QEZ47" s="63"/>
      <c r="QFA47" s="63"/>
      <c r="QFB47" s="63"/>
      <c r="QFC47" s="63"/>
      <c r="QFD47" s="63"/>
      <c r="QFE47" s="63"/>
      <c r="QFF47" s="63"/>
      <c r="QFG47" s="63"/>
      <c r="QFH47" s="63"/>
      <c r="QFI47" s="63"/>
      <c r="QFJ47" s="63"/>
      <c r="QFK47" s="63"/>
      <c r="QFL47" s="63"/>
      <c r="QFM47" s="63"/>
      <c r="QFN47" s="63"/>
      <c r="QFO47" s="63"/>
      <c r="QFP47" s="63"/>
      <c r="QFQ47" s="63"/>
      <c r="QFR47" s="63"/>
      <c r="QFS47" s="63"/>
      <c r="QFT47" s="63"/>
      <c r="QFU47" s="63"/>
      <c r="QFV47" s="63"/>
      <c r="QFW47" s="63"/>
      <c r="QFX47" s="63"/>
      <c r="QFY47" s="63"/>
      <c r="QFZ47" s="63"/>
      <c r="QGA47" s="63"/>
      <c r="QGB47" s="63"/>
      <c r="QGC47" s="63"/>
      <c r="QGD47" s="63"/>
      <c r="QGE47" s="63"/>
      <c r="QGF47" s="63"/>
      <c r="QGG47" s="63"/>
      <c r="QGH47" s="63"/>
      <c r="QGI47" s="63"/>
      <c r="QGJ47" s="63"/>
      <c r="QGK47" s="63"/>
      <c r="QGL47" s="63"/>
      <c r="QGM47" s="63"/>
      <c r="QGN47" s="63"/>
      <c r="QGO47" s="63"/>
      <c r="QGP47" s="63"/>
      <c r="QGQ47" s="63"/>
      <c r="QGR47" s="63"/>
      <c r="QGS47" s="63"/>
      <c r="QGT47" s="63"/>
      <c r="QGU47" s="63"/>
      <c r="QGV47" s="63"/>
      <c r="QGW47" s="63"/>
      <c r="QGX47" s="63"/>
      <c r="QGY47" s="63"/>
      <c r="QGZ47" s="63"/>
      <c r="QHA47" s="63"/>
      <c r="QHB47" s="63"/>
      <c r="QHC47" s="63"/>
      <c r="QHD47" s="63"/>
      <c r="QHE47" s="63"/>
      <c r="QHF47" s="63"/>
      <c r="QHG47" s="63"/>
      <c r="QHH47" s="63"/>
      <c r="QHI47" s="63"/>
      <c r="QHJ47" s="63"/>
      <c r="QHK47" s="63"/>
      <c r="QHL47" s="63"/>
      <c r="QHM47" s="63"/>
      <c r="QHN47" s="63"/>
      <c r="QHO47" s="63"/>
      <c r="QHP47" s="63"/>
      <c r="QHQ47" s="63"/>
      <c r="QHR47" s="63"/>
      <c r="QHS47" s="63"/>
      <c r="QHT47" s="63"/>
      <c r="QHU47" s="63"/>
      <c r="QHV47" s="63"/>
      <c r="QHW47" s="63"/>
      <c r="QHX47" s="63"/>
      <c r="QHY47" s="63"/>
      <c r="QHZ47" s="63"/>
      <c r="QIA47" s="63"/>
      <c r="QIB47" s="63"/>
      <c r="QIC47" s="63"/>
      <c r="QID47" s="63"/>
      <c r="QIE47" s="63"/>
      <c r="QIF47" s="63"/>
      <c r="QIG47" s="63"/>
      <c r="QIH47" s="63"/>
      <c r="QII47" s="63"/>
      <c r="QIJ47" s="63"/>
      <c r="QIK47" s="63"/>
      <c r="QIL47" s="63"/>
      <c r="QIM47" s="63"/>
      <c r="QIN47" s="63"/>
      <c r="QIO47" s="63"/>
      <c r="QIP47" s="63"/>
      <c r="QIQ47" s="63"/>
      <c r="QIR47" s="63"/>
      <c r="QIS47" s="63"/>
      <c r="QIT47" s="63"/>
      <c r="QIU47" s="63"/>
      <c r="QIV47" s="63"/>
      <c r="QIW47" s="63"/>
      <c r="QIX47" s="63"/>
      <c r="QIY47" s="63"/>
      <c r="QIZ47" s="63"/>
      <c r="QJA47" s="63"/>
      <c r="QJB47" s="63"/>
      <c r="QJC47" s="63"/>
      <c r="QJD47" s="63"/>
      <c r="QJE47" s="63"/>
      <c r="QJF47" s="63"/>
      <c r="QJG47" s="63"/>
      <c r="QJH47" s="63"/>
      <c r="QJI47" s="63"/>
      <c r="QJJ47" s="63"/>
      <c r="QJK47" s="63"/>
      <c r="QJL47" s="63"/>
      <c r="QJM47" s="63"/>
      <c r="QJN47" s="63"/>
      <c r="QJO47" s="63"/>
      <c r="QJP47" s="63"/>
      <c r="QJQ47" s="63"/>
      <c r="QJR47" s="63"/>
      <c r="QJS47" s="63"/>
      <c r="QJT47" s="63"/>
      <c r="QJU47" s="63"/>
      <c r="QJV47" s="63"/>
      <c r="QJW47" s="63"/>
      <c r="QJX47" s="63"/>
      <c r="QJY47" s="63"/>
      <c r="QJZ47" s="63"/>
      <c r="QKA47" s="63"/>
      <c r="QKB47" s="63"/>
      <c r="QKC47" s="63"/>
      <c r="QKD47" s="63"/>
      <c r="QKE47" s="63"/>
      <c r="QKF47" s="63"/>
      <c r="QKG47" s="63"/>
      <c r="QKH47" s="63"/>
      <c r="QKI47" s="63"/>
      <c r="QKJ47" s="63"/>
      <c r="QKK47" s="63"/>
      <c r="QKL47" s="63"/>
      <c r="QKM47" s="63"/>
      <c r="QKN47" s="63"/>
      <c r="QKO47" s="63"/>
      <c r="QKP47" s="63"/>
      <c r="QKQ47" s="63"/>
      <c r="QKR47" s="63"/>
      <c r="QKS47" s="63"/>
      <c r="QKT47" s="63"/>
      <c r="QKU47" s="63"/>
      <c r="QKV47" s="63"/>
      <c r="QKW47" s="63"/>
      <c r="QKX47" s="63"/>
      <c r="QKY47" s="63"/>
      <c r="QKZ47" s="63"/>
      <c r="QLA47" s="63"/>
      <c r="QLB47" s="63"/>
      <c r="QLC47" s="63"/>
      <c r="QLD47" s="63"/>
      <c r="QLE47" s="63"/>
      <c r="QLF47" s="63"/>
      <c r="QLG47" s="63"/>
      <c r="QLH47" s="63"/>
      <c r="QLI47" s="63"/>
      <c r="QLJ47" s="63"/>
      <c r="QLK47" s="63"/>
      <c r="QLL47" s="63"/>
      <c r="QLM47" s="63"/>
      <c r="QLN47" s="63"/>
      <c r="QLO47" s="63"/>
      <c r="QLP47" s="63"/>
      <c r="QLQ47" s="63"/>
      <c r="QLR47" s="63"/>
      <c r="QLS47" s="63"/>
      <c r="QLT47" s="63"/>
      <c r="QLU47" s="63"/>
      <c r="QLV47" s="63"/>
      <c r="QLW47" s="63"/>
      <c r="QLX47" s="63"/>
      <c r="QLY47" s="63"/>
      <c r="QLZ47" s="63"/>
      <c r="QMA47" s="63"/>
      <c r="QMB47" s="63"/>
      <c r="QMC47" s="63"/>
      <c r="QMD47" s="63"/>
      <c r="QME47" s="63"/>
      <c r="QMF47" s="63"/>
      <c r="QMG47" s="63"/>
      <c r="QMH47" s="63"/>
      <c r="QMI47" s="63"/>
      <c r="QMJ47" s="63"/>
      <c r="QMK47" s="63"/>
      <c r="QML47" s="63"/>
      <c r="QMM47" s="63"/>
      <c r="QMN47" s="63"/>
      <c r="QMO47" s="63"/>
      <c r="QMP47" s="63"/>
      <c r="QMQ47" s="63"/>
      <c r="QMR47" s="63"/>
      <c r="QMS47" s="63"/>
      <c r="QMT47" s="63"/>
      <c r="QMU47" s="63"/>
      <c r="QMV47" s="63"/>
      <c r="QMW47" s="63"/>
      <c r="QMX47" s="63"/>
      <c r="QMY47" s="63"/>
      <c r="QMZ47" s="63"/>
      <c r="QNA47" s="63"/>
      <c r="QNB47" s="63"/>
      <c r="QNC47" s="63"/>
      <c r="QND47" s="63"/>
      <c r="QNE47" s="63"/>
      <c r="QNF47" s="63"/>
      <c r="QNG47" s="63"/>
      <c r="QNH47" s="63"/>
      <c r="QNI47" s="63"/>
      <c r="QNJ47" s="63"/>
      <c r="QNK47" s="63"/>
      <c r="QNL47" s="63"/>
      <c r="QNM47" s="63"/>
      <c r="QNN47" s="63"/>
      <c r="QNO47" s="63"/>
      <c r="QNP47" s="63"/>
      <c r="QNQ47" s="63"/>
      <c r="QNR47" s="63"/>
      <c r="QNS47" s="63"/>
      <c r="QNT47" s="63"/>
      <c r="QNU47" s="63"/>
      <c r="QNV47" s="63"/>
      <c r="QNW47" s="63"/>
      <c r="QNX47" s="63"/>
      <c r="QNY47" s="63"/>
      <c r="QNZ47" s="63"/>
      <c r="QOA47" s="63"/>
      <c r="QOB47" s="63"/>
      <c r="QOC47" s="63"/>
      <c r="QOD47" s="63"/>
      <c r="QOE47" s="63"/>
      <c r="QOF47" s="63"/>
      <c r="QOG47" s="63"/>
      <c r="QOH47" s="63"/>
      <c r="QOI47" s="63"/>
      <c r="QOJ47" s="63"/>
      <c r="QOK47" s="63"/>
      <c r="QOL47" s="63"/>
      <c r="QOM47" s="63"/>
      <c r="QON47" s="63"/>
      <c r="QOO47" s="63"/>
      <c r="QOP47" s="63"/>
      <c r="QOQ47" s="63"/>
      <c r="QOR47" s="63"/>
      <c r="QOS47" s="63"/>
      <c r="QOT47" s="63"/>
      <c r="QOU47" s="63"/>
      <c r="QOV47" s="63"/>
      <c r="QOW47" s="63"/>
      <c r="QOX47" s="63"/>
      <c r="QOY47" s="63"/>
      <c r="QOZ47" s="63"/>
      <c r="QPA47" s="63"/>
      <c r="QPB47" s="63"/>
      <c r="QPC47" s="63"/>
      <c r="QPD47" s="63"/>
      <c r="QPE47" s="63"/>
      <c r="QPF47" s="63"/>
      <c r="QPG47" s="63"/>
      <c r="QPH47" s="63"/>
      <c r="QPI47" s="63"/>
      <c r="QPJ47" s="63"/>
      <c r="QPK47" s="63"/>
      <c r="QPL47" s="63"/>
      <c r="QPM47" s="63"/>
      <c r="QPN47" s="63"/>
      <c r="QPO47" s="63"/>
      <c r="QPP47" s="63"/>
      <c r="QPQ47" s="63"/>
      <c r="QPR47" s="63"/>
      <c r="QPS47" s="63"/>
      <c r="QPT47" s="63"/>
      <c r="QPU47" s="63"/>
      <c r="QPV47" s="63"/>
      <c r="QPW47" s="63"/>
      <c r="QPX47" s="63"/>
      <c r="QPY47" s="63"/>
      <c r="QPZ47" s="63"/>
      <c r="QQA47" s="63"/>
      <c r="QQB47" s="63"/>
      <c r="QQC47" s="63"/>
      <c r="QQD47" s="63"/>
      <c r="QQE47" s="63"/>
      <c r="QQF47" s="63"/>
      <c r="QQG47" s="63"/>
      <c r="QQH47" s="63"/>
      <c r="QQI47" s="63"/>
      <c r="QQJ47" s="63"/>
      <c r="QQK47" s="63"/>
      <c r="QQL47" s="63"/>
      <c r="QQM47" s="63"/>
      <c r="QQN47" s="63"/>
      <c r="QQO47" s="63"/>
      <c r="QQP47" s="63"/>
      <c r="QQQ47" s="63"/>
      <c r="QQR47" s="63"/>
      <c r="QQS47" s="63"/>
      <c r="QQT47" s="63"/>
      <c r="QQU47" s="63"/>
      <c r="QQV47" s="63"/>
      <c r="QQW47" s="63"/>
      <c r="QQX47" s="63"/>
      <c r="QQY47" s="63"/>
      <c r="QQZ47" s="63"/>
      <c r="QRA47" s="63"/>
      <c r="QRB47" s="63"/>
      <c r="QRC47" s="63"/>
      <c r="QRD47" s="63"/>
      <c r="QRE47" s="63"/>
      <c r="QRF47" s="63"/>
      <c r="QRG47" s="63"/>
      <c r="QRH47" s="63"/>
      <c r="QRI47" s="63"/>
      <c r="QRJ47" s="63"/>
      <c r="QRK47" s="63"/>
      <c r="QRL47" s="63"/>
      <c r="QRM47" s="63"/>
      <c r="QRN47" s="63"/>
      <c r="QRO47" s="63"/>
      <c r="QRP47" s="63"/>
      <c r="QRQ47" s="63"/>
      <c r="QRR47" s="63"/>
      <c r="QRS47" s="63"/>
      <c r="QRT47" s="63"/>
      <c r="QRU47" s="63"/>
      <c r="QRV47" s="63"/>
      <c r="QRW47" s="63"/>
      <c r="QRX47" s="63"/>
      <c r="QRY47" s="63"/>
      <c r="QRZ47" s="63"/>
      <c r="QSA47" s="63"/>
      <c r="QSB47" s="63"/>
      <c r="QSC47" s="63"/>
      <c r="QSD47" s="63"/>
      <c r="QSE47" s="63"/>
      <c r="QSF47" s="63"/>
      <c r="QSG47" s="63"/>
      <c r="QSH47" s="63"/>
      <c r="QSI47" s="63"/>
      <c r="QSJ47" s="63"/>
      <c r="QSK47" s="63"/>
      <c r="QSL47" s="63"/>
      <c r="QSM47" s="63"/>
      <c r="QSN47" s="63"/>
      <c r="QSO47" s="63"/>
      <c r="QSP47" s="63"/>
      <c r="QSQ47" s="63"/>
      <c r="QSR47" s="63"/>
      <c r="QSS47" s="63"/>
      <c r="QST47" s="63"/>
      <c r="QSU47" s="63"/>
      <c r="QSV47" s="63"/>
      <c r="QSW47" s="63"/>
      <c r="QSX47" s="63"/>
      <c r="QSY47" s="63"/>
      <c r="QSZ47" s="63"/>
      <c r="QTA47" s="63"/>
      <c r="QTB47" s="63"/>
      <c r="QTC47" s="63"/>
      <c r="QTD47" s="63"/>
      <c r="QTE47" s="63"/>
      <c r="QTF47" s="63"/>
      <c r="QTG47" s="63"/>
      <c r="QTH47" s="63"/>
      <c r="QTI47" s="63"/>
      <c r="QTJ47" s="63"/>
      <c r="QTK47" s="63"/>
      <c r="QTL47" s="63"/>
      <c r="QTM47" s="63"/>
      <c r="QTN47" s="63"/>
      <c r="QTO47" s="63"/>
      <c r="QTP47" s="63"/>
      <c r="QTQ47" s="63"/>
      <c r="QTR47" s="63"/>
      <c r="QTS47" s="63"/>
      <c r="QTT47" s="63"/>
      <c r="QTU47" s="63"/>
      <c r="QTV47" s="63"/>
      <c r="QTW47" s="63"/>
      <c r="QTX47" s="63"/>
      <c r="QTY47" s="63"/>
      <c r="QTZ47" s="63"/>
      <c r="QUA47" s="63"/>
      <c r="QUB47" s="63"/>
      <c r="QUC47" s="63"/>
      <c r="QUD47" s="63"/>
      <c r="QUE47" s="63"/>
      <c r="QUF47" s="63"/>
      <c r="QUG47" s="63"/>
      <c r="QUH47" s="63"/>
      <c r="QUI47" s="63"/>
      <c r="QUJ47" s="63"/>
      <c r="QUK47" s="63"/>
      <c r="QUL47" s="63"/>
      <c r="QUM47" s="63"/>
      <c r="QUN47" s="63"/>
      <c r="QUO47" s="63"/>
      <c r="QUP47" s="63"/>
      <c r="QUQ47" s="63"/>
      <c r="QUR47" s="63"/>
      <c r="QUS47" s="63"/>
      <c r="QUT47" s="63"/>
      <c r="QUU47" s="63"/>
      <c r="QUV47" s="63"/>
      <c r="QUW47" s="63"/>
      <c r="QUX47" s="63"/>
      <c r="QUY47" s="63"/>
      <c r="QUZ47" s="63"/>
      <c r="QVA47" s="63"/>
      <c r="QVB47" s="63"/>
      <c r="QVC47" s="63"/>
      <c r="QVD47" s="63"/>
      <c r="QVE47" s="63"/>
      <c r="QVF47" s="63"/>
      <c r="QVG47" s="63"/>
      <c r="QVH47" s="63"/>
      <c r="QVI47" s="63"/>
      <c r="QVJ47" s="63"/>
      <c r="QVK47" s="63"/>
      <c r="QVL47" s="63"/>
      <c r="QVM47" s="63"/>
      <c r="QVN47" s="63"/>
      <c r="QVO47" s="63"/>
      <c r="QVP47" s="63"/>
      <c r="QVQ47" s="63"/>
      <c r="QVR47" s="63"/>
      <c r="QVS47" s="63"/>
      <c r="QVT47" s="63"/>
      <c r="QVU47" s="63"/>
      <c r="QVV47" s="63"/>
      <c r="QVW47" s="63"/>
      <c r="QVX47" s="63"/>
      <c r="QVY47" s="63"/>
      <c r="QVZ47" s="63"/>
      <c r="QWA47" s="63"/>
      <c r="QWB47" s="63"/>
      <c r="QWC47" s="63"/>
      <c r="QWD47" s="63"/>
      <c r="QWE47" s="63"/>
      <c r="QWF47" s="63"/>
      <c r="QWG47" s="63"/>
      <c r="QWH47" s="63"/>
      <c r="QWI47" s="63"/>
      <c r="QWJ47" s="63"/>
      <c r="QWK47" s="63"/>
      <c r="QWL47" s="63"/>
      <c r="QWM47" s="63"/>
      <c r="QWN47" s="63"/>
      <c r="QWO47" s="63"/>
      <c r="QWP47" s="63"/>
      <c r="QWQ47" s="63"/>
      <c r="QWR47" s="63"/>
      <c r="QWS47" s="63"/>
      <c r="QWT47" s="63"/>
      <c r="QWU47" s="63"/>
      <c r="QWV47" s="63"/>
      <c r="QWW47" s="63"/>
      <c r="QWX47" s="63"/>
      <c r="QWY47" s="63"/>
      <c r="QWZ47" s="63"/>
      <c r="QXA47" s="63"/>
      <c r="QXB47" s="63"/>
      <c r="QXC47" s="63"/>
      <c r="QXD47" s="63"/>
      <c r="QXE47" s="63"/>
      <c r="QXF47" s="63"/>
      <c r="QXG47" s="63"/>
      <c r="QXH47" s="63"/>
      <c r="QXI47" s="63"/>
      <c r="QXJ47" s="63"/>
      <c r="QXK47" s="63"/>
      <c r="QXL47" s="63"/>
      <c r="QXM47" s="63"/>
      <c r="QXN47" s="63"/>
      <c r="QXO47" s="63"/>
      <c r="QXP47" s="63"/>
      <c r="QXQ47" s="63"/>
      <c r="QXR47" s="63"/>
      <c r="QXS47" s="63"/>
      <c r="QXT47" s="63"/>
      <c r="QXU47" s="63"/>
      <c r="QXV47" s="63"/>
      <c r="QXW47" s="63"/>
      <c r="QXX47" s="63"/>
      <c r="QXY47" s="63"/>
      <c r="QXZ47" s="63"/>
      <c r="QYA47" s="63"/>
      <c r="QYB47" s="63"/>
      <c r="QYC47" s="63"/>
      <c r="QYD47" s="63"/>
      <c r="QYE47" s="63"/>
      <c r="QYF47" s="63"/>
      <c r="QYG47" s="63"/>
      <c r="QYH47" s="63"/>
      <c r="QYI47" s="63"/>
      <c r="QYJ47" s="63"/>
      <c r="QYK47" s="63"/>
      <c r="QYL47" s="63"/>
      <c r="QYM47" s="63"/>
      <c r="QYN47" s="63"/>
      <c r="QYO47" s="63"/>
      <c r="QYP47" s="63"/>
      <c r="QYQ47" s="63"/>
      <c r="QYR47" s="63"/>
      <c r="QYS47" s="63"/>
      <c r="QYT47" s="63"/>
      <c r="QYU47" s="63"/>
      <c r="QYV47" s="63"/>
      <c r="QYW47" s="63"/>
      <c r="QYX47" s="63"/>
      <c r="QYY47" s="63"/>
      <c r="QYZ47" s="63"/>
      <c r="QZA47" s="63"/>
      <c r="QZB47" s="63"/>
      <c r="QZC47" s="63"/>
      <c r="QZD47" s="63"/>
      <c r="QZE47" s="63"/>
      <c r="QZF47" s="63"/>
      <c r="QZG47" s="63"/>
      <c r="QZH47" s="63"/>
      <c r="QZI47" s="63"/>
      <c r="QZJ47" s="63"/>
      <c r="QZK47" s="63"/>
      <c r="QZL47" s="63"/>
      <c r="QZM47" s="63"/>
      <c r="QZN47" s="63"/>
      <c r="QZO47" s="63"/>
      <c r="QZP47" s="63"/>
      <c r="QZQ47" s="63"/>
      <c r="QZR47" s="63"/>
      <c r="QZS47" s="63"/>
      <c r="QZT47" s="63"/>
      <c r="QZU47" s="63"/>
      <c r="QZV47" s="63"/>
      <c r="QZW47" s="63"/>
      <c r="QZX47" s="63"/>
      <c r="QZY47" s="63"/>
      <c r="QZZ47" s="63"/>
      <c r="RAA47" s="63"/>
      <c r="RAB47" s="63"/>
      <c r="RAC47" s="63"/>
      <c r="RAD47" s="63"/>
      <c r="RAE47" s="63"/>
      <c r="RAF47" s="63"/>
      <c r="RAG47" s="63"/>
      <c r="RAH47" s="63"/>
      <c r="RAI47" s="63"/>
      <c r="RAJ47" s="63"/>
      <c r="RAK47" s="63"/>
      <c r="RAL47" s="63"/>
      <c r="RAM47" s="63"/>
      <c r="RAN47" s="63"/>
      <c r="RAO47" s="63"/>
      <c r="RAP47" s="63"/>
      <c r="RAQ47" s="63"/>
      <c r="RAR47" s="63"/>
      <c r="RAS47" s="63"/>
      <c r="RAT47" s="63"/>
      <c r="RAU47" s="63"/>
      <c r="RAV47" s="63"/>
      <c r="RAW47" s="63"/>
      <c r="RAX47" s="63"/>
      <c r="RAY47" s="63"/>
      <c r="RAZ47" s="63"/>
      <c r="RBA47" s="63"/>
      <c r="RBB47" s="63"/>
      <c r="RBC47" s="63"/>
      <c r="RBD47" s="63"/>
      <c r="RBE47" s="63"/>
      <c r="RBF47" s="63"/>
      <c r="RBG47" s="63"/>
      <c r="RBH47" s="63"/>
      <c r="RBI47" s="63"/>
      <c r="RBJ47" s="63"/>
      <c r="RBK47" s="63"/>
      <c r="RBL47" s="63"/>
      <c r="RBM47" s="63"/>
      <c r="RBN47" s="63"/>
      <c r="RBO47" s="63"/>
      <c r="RBP47" s="63"/>
      <c r="RBQ47" s="63"/>
      <c r="RBR47" s="63"/>
      <c r="RBS47" s="63"/>
      <c r="RBT47" s="63"/>
      <c r="RBU47" s="63"/>
      <c r="RBV47" s="63"/>
      <c r="RBW47" s="63"/>
      <c r="RBX47" s="63"/>
      <c r="RBY47" s="63"/>
      <c r="RBZ47" s="63"/>
      <c r="RCA47" s="63"/>
      <c r="RCB47" s="63"/>
      <c r="RCC47" s="63"/>
      <c r="RCD47" s="63"/>
      <c r="RCE47" s="63"/>
      <c r="RCF47" s="63"/>
      <c r="RCG47" s="63"/>
      <c r="RCH47" s="63"/>
      <c r="RCI47" s="63"/>
      <c r="RCJ47" s="63"/>
      <c r="RCK47" s="63"/>
      <c r="RCL47" s="63"/>
      <c r="RCM47" s="63"/>
      <c r="RCN47" s="63"/>
      <c r="RCO47" s="63"/>
      <c r="RCP47" s="63"/>
      <c r="RCQ47" s="63"/>
      <c r="RCR47" s="63"/>
      <c r="RCS47" s="63"/>
      <c r="RCT47" s="63"/>
      <c r="RCU47" s="63"/>
      <c r="RCV47" s="63"/>
      <c r="RCW47" s="63"/>
      <c r="RCX47" s="63"/>
      <c r="RCY47" s="63"/>
      <c r="RCZ47" s="63"/>
      <c r="RDA47" s="63"/>
      <c r="RDB47" s="63"/>
      <c r="RDC47" s="63"/>
      <c r="RDD47" s="63"/>
      <c r="RDE47" s="63"/>
      <c r="RDF47" s="63"/>
      <c r="RDG47" s="63"/>
      <c r="RDH47" s="63"/>
      <c r="RDI47" s="63"/>
      <c r="RDJ47" s="63"/>
      <c r="RDK47" s="63"/>
      <c r="RDL47" s="63"/>
      <c r="RDM47" s="63"/>
      <c r="RDN47" s="63"/>
      <c r="RDO47" s="63"/>
      <c r="RDP47" s="63"/>
      <c r="RDQ47" s="63"/>
      <c r="RDR47" s="63"/>
      <c r="RDS47" s="63"/>
      <c r="RDT47" s="63"/>
      <c r="RDU47" s="63"/>
      <c r="RDV47" s="63"/>
      <c r="RDW47" s="63"/>
      <c r="RDX47" s="63"/>
      <c r="RDY47" s="63"/>
      <c r="RDZ47" s="63"/>
      <c r="REA47" s="63"/>
      <c r="REB47" s="63"/>
      <c r="REC47" s="63"/>
      <c r="RED47" s="63"/>
      <c r="REE47" s="63"/>
      <c r="REF47" s="63"/>
      <c r="REG47" s="63"/>
      <c r="REH47" s="63"/>
      <c r="REI47" s="63"/>
      <c r="REJ47" s="63"/>
      <c r="REK47" s="63"/>
      <c r="REL47" s="63"/>
      <c r="REM47" s="63"/>
      <c r="REN47" s="63"/>
      <c r="REO47" s="63"/>
      <c r="REP47" s="63"/>
      <c r="REQ47" s="63"/>
      <c r="RER47" s="63"/>
      <c r="RES47" s="63"/>
      <c r="RET47" s="63"/>
      <c r="REU47" s="63"/>
      <c r="REV47" s="63"/>
      <c r="REW47" s="63"/>
      <c r="REX47" s="63"/>
      <c r="REY47" s="63"/>
      <c r="REZ47" s="63"/>
      <c r="RFA47" s="63"/>
      <c r="RFB47" s="63"/>
      <c r="RFC47" s="63"/>
      <c r="RFD47" s="63"/>
      <c r="RFE47" s="63"/>
      <c r="RFF47" s="63"/>
      <c r="RFG47" s="63"/>
      <c r="RFH47" s="63"/>
      <c r="RFI47" s="63"/>
      <c r="RFJ47" s="63"/>
      <c r="RFK47" s="63"/>
      <c r="RFL47" s="63"/>
      <c r="RFM47" s="63"/>
      <c r="RFN47" s="63"/>
      <c r="RFO47" s="63"/>
      <c r="RFP47" s="63"/>
      <c r="RFQ47" s="63"/>
      <c r="RFR47" s="63"/>
      <c r="RFS47" s="63"/>
      <c r="RFT47" s="63"/>
      <c r="RFU47" s="63"/>
      <c r="RFV47" s="63"/>
      <c r="RFW47" s="63"/>
      <c r="RFX47" s="63"/>
      <c r="RFY47" s="63"/>
      <c r="RFZ47" s="63"/>
      <c r="RGA47" s="63"/>
      <c r="RGB47" s="63"/>
      <c r="RGC47" s="63"/>
      <c r="RGD47" s="63"/>
      <c r="RGE47" s="63"/>
      <c r="RGF47" s="63"/>
      <c r="RGG47" s="63"/>
      <c r="RGH47" s="63"/>
      <c r="RGI47" s="63"/>
      <c r="RGJ47" s="63"/>
      <c r="RGK47" s="63"/>
      <c r="RGL47" s="63"/>
      <c r="RGM47" s="63"/>
      <c r="RGN47" s="63"/>
      <c r="RGO47" s="63"/>
      <c r="RGP47" s="63"/>
      <c r="RGQ47" s="63"/>
      <c r="RGR47" s="63"/>
      <c r="RGS47" s="63"/>
      <c r="RGT47" s="63"/>
      <c r="RGU47" s="63"/>
      <c r="RGV47" s="63"/>
      <c r="RGW47" s="63"/>
      <c r="RGX47" s="63"/>
      <c r="RGY47" s="63"/>
      <c r="RGZ47" s="63"/>
      <c r="RHA47" s="63"/>
      <c r="RHB47" s="63"/>
      <c r="RHC47" s="63"/>
      <c r="RHD47" s="63"/>
      <c r="RHE47" s="63"/>
      <c r="RHF47" s="63"/>
      <c r="RHG47" s="63"/>
      <c r="RHH47" s="63"/>
      <c r="RHI47" s="63"/>
      <c r="RHJ47" s="63"/>
      <c r="RHK47" s="63"/>
      <c r="RHL47" s="63"/>
      <c r="RHM47" s="63"/>
      <c r="RHN47" s="63"/>
      <c r="RHO47" s="63"/>
      <c r="RHP47" s="63"/>
      <c r="RHQ47" s="63"/>
      <c r="RHR47" s="63"/>
      <c r="RHS47" s="63"/>
      <c r="RHT47" s="63"/>
      <c r="RHU47" s="63"/>
      <c r="RHV47" s="63"/>
      <c r="RHW47" s="63"/>
      <c r="RHX47" s="63"/>
      <c r="RHY47" s="63"/>
      <c r="RHZ47" s="63"/>
      <c r="RIA47" s="63"/>
      <c r="RIB47" s="63"/>
      <c r="RIC47" s="63"/>
      <c r="RID47" s="63"/>
      <c r="RIE47" s="63"/>
      <c r="RIF47" s="63"/>
      <c r="RIG47" s="63"/>
      <c r="RIH47" s="63"/>
      <c r="RII47" s="63"/>
      <c r="RIJ47" s="63"/>
      <c r="RIK47" s="63"/>
      <c r="RIL47" s="63"/>
      <c r="RIM47" s="63"/>
      <c r="RIN47" s="63"/>
      <c r="RIO47" s="63"/>
      <c r="RIP47" s="63"/>
      <c r="RIQ47" s="63"/>
      <c r="RIR47" s="63"/>
      <c r="RIS47" s="63"/>
      <c r="RIT47" s="63"/>
      <c r="RIU47" s="63"/>
      <c r="RIV47" s="63"/>
      <c r="RIW47" s="63"/>
      <c r="RIX47" s="63"/>
      <c r="RIY47" s="63"/>
      <c r="RIZ47" s="63"/>
      <c r="RJA47" s="63"/>
      <c r="RJB47" s="63"/>
      <c r="RJC47" s="63"/>
      <c r="RJD47" s="63"/>
      <c r="RJE47" s="63"/>
      <c r="RJF47" s="63"/>
      <c r="RJG47" s="63"/>
      <c r="RJH47" s="63"/>
      <c r="RJI47" s="63"/>
      <c r="RJJ47" s="63"/>
      <c r="RJK47" s="63"/>
      <c r="RJL47" s="63"/>
      <c r="RJM47" s="63"/>
      <c r="RJN47" s="63"/>
      <c r="RJO47" s="63"/>
      <c r="RJP47" s="63"/>
      <c r="RJQ47" s="63"/>
      <c r="RJR47" s="63"/>
      <c r="RJS47" s="63"/>
      <c r="RJT47" s="63"/>
      <c r="RJU47" s="63"/>
      <c r="RJV47" s="63"/>
      <c r="RJW47" s="63"/>
      <c r="RJX47" s="63"/>
      <c r="RJY47" s="63"/>
      <c r="RJZ47" s="63"/>
      <c r="RKA47" s="63"/>
      <c r="RKB47" s="63"/>
      <c r="RKC47" s="63"/>
      <c r="RKD47" s="63"/>
      <c r="RKE47" s="63"/>
      <c r="RKF47" s="63"/>
      <c r="RKG47" s="63"/>
      <c r="RKH47" s="63"/>
      <c r="RKI47" s="63"/>
      <c r="RKJ47" s="63"/>
      <c r="RKK47" s="63"/>
      <c r="RKL47" s="63"/>
      <c r="RKM47" s="63"/>
      <c r="RKN47" s="63"/>
      <c r="RKO47" s="63"/>
      <c r="RKP47" s="63"/>
      <c r="RKQ47" s="63"/>
      <c r="RKR47" s="63"/>
      <c r="RKS47" s="63"/>
      <c r="RKT47" s="63"/>
      <c r="RKU47" s="63"/>
      <c r="RKV47" s="63"/>
      <c r="RKW47" s="63"/>
      <c r="RKX47" s="63"/>
      <c r="RKY47" s="63"/>
      <c r="RKZ47" s="63"/>
      <c r="RLA47" s="63"/>
      <c r="RLB47" s="63"/>
      <c r="RLC47" s="63"/>
      <c r="RLD47" s="63"/>
      <c r="RLE47" s="63"/>
      <c r="RLF47" s="63"/>
      <c r="RLG47" s="63"/>
      <c r="RLH47" s="63"/>
      <c r="RLI47" s="63"/>
      <c r="RLJ47" s="63"/>
      <c r="RLK47" s="63"/>
      <c r="RLL47" s="63"/>
      <c r="RLM47" s="63"/>
      <c r="RLN47" s="63"/>
      <c r="RLO47" s="63"/>
      <c r="RLP47" s="63"/>
      <c r="RLQ47" s="63"/>
      <c r="RLR47" s="63"/>
      <c r="RLS47" s="63"/>
      <c r="RLT47" s="63"/>
      <c r="RLU47" s="63"/>
      <c r="RLV47" s="63"/>
      <c r="RLW47" s="63"/>
      <c r="RLX47" s="63"/>
      <c r="RLY47" s="63"/>
      <c r="RLZ47" s="63"/>
      <c r="RMA47" s="63"/>
      <c r="RMB47" s="63"/>
      <c r="RMC47" s="63"/>
      <c r="RMD47" s="63"/>
      <c r="RME47" s="63"/>
      <c r="RMF47" s="63"/>
      <c r="RMG47" s="63"/>
      <c r="RMH47" s="63"/>
      <c r="RMI47" s="63"/>
      <c r="RMJ47" s="63"/>
      <c r="RMK47" s="63"/>
      <c r="RML47" s="63"/>
      <c r="RMM47" s="63"/>
      <c r="RMN47" s="63"/>
      <c r="RMO47" s="63"/>
      <c r="RMP47" s="63"/>
      <c r="RMQ47" s="63"/>
      <c r="RMR47" s="63"/>
      <c r="RMS47" s="63"/>
      <c r="RMT47" s="63"/>
      <c r="RMU47" s="63"/>
      <c r="RMV47" s="63"/>
      <c r="RMW47" s="63"/>
      <c r="RMX47" s="63"/>
      <c r="RMY47" s="63"/>
      <c r="RMZ47" s="63"/>
      <c r="RNA47" s="63"/>
      <c r="RNB47" s="63"/>
      <c r="RNC47" s="63"/>
      <c r="RND47" s="63"/>
      <c r="RNE47" s="63"/>
      <c r="RNF47" s="63"/>
      <c r="RNG47" s="63"/>
      <c r="RNH47" s="63"/>
      <c r="RNI47" s="63"/>
      <c r="RNJ47" s="63"/>
      <c r="RNK47" s="63"/>
      <c r="RNL47" s="63"/>
      <c r="RNM47" s="63"/>
      <c r="RNN47" s="63"/>
      <c r="RNO47" s="63"/>
      <c r="RNP47" s="63"/>
      <c r="RNQ47" s="63"/>
      <c r="RNR47" s="63"/>
      <c r="RNS47" s="63"/>
      <c r="RNT47" s="63"/>
      <c r="RNU47" s="63"/>
      <c r="RNV47" s="63"/>
      <c r="RNW47" s="63"/>
      <c r="RNX47" s="63"/>
      <c r="RNY47" s="63"/>
      <c r="RNZ47" s="63"/>
      <c r="ROA47" s="63"/>
      <c r="ROB47" s="63"/>
      <c r="ROC47" s="63"/>
      <c r="ROD47" s="63"/>
      <c r="ROE47" s="63"/>
      <c r="ROF47" s="63"/>
      <c r="ROG47" s="63"/>
      <c r="ROH47" s="63"/>
      <c r="ROI47" s="63"/>
      <c r="ROJ47" s="63"/>
      <c r="ROK47" s="63"/>
      <c r="ROL47" s="63"/>
      <c r="ROM47" s="63"/>
      <c r="RON47" s="63"/>
      <c r="ROO47" s="63"/>
      <c r="ROP47" s="63"/>
      <c r="ROQ47" s="63"/>
      <c r="ROR47" s="63"/>
      <c r="ROS47" s="63"/>
      <c r="ROT47" s="63"/>
      <c r="ROU47" s="63"/>
      <c r="ROV47" s="63"/>
      <c r="ROW47" s="63"/>
      <c r="ROX47" s="63"/>
      <c r="ROY47" s="63"/>
      <c r="ROZ47" s="63"/>
      <c r="RPA47" s="63"/>
      <c r="RPB47" s="63"/>
      <c r="RPC47" s="63"/>
      <c r="RPD47" s="63"/>
      <c r="RPE47" s="63"/>
      <c r="RPF47" s="63"/>
      <c r="RPG47" s="63"/>
      <c r="RPH47" s="63"/>
      <c r="RPI47" s="63"/>
      <c r="RPJ47" s="63"/>
      <c r="RPK47" s="63"/>
      <c r="RPL47" s="63"/>
      <c r="RPM47" s="63"/>
      <c r="RPN47" s="63"/>
      <c r="RPO47" s="63"/>
      <c r="RPP47" s="63"/>
      <c r="RPQ47" s="63"/>
      <c r="RPR47" s="63"/>
      <c r="RPS47" s="63"/>
      <c r="RPT47" s="63"/>
      <c r="RPU47" s="63"/>
      <c r="RPV47" s="63"/>
      <c r="RPW47" s="63"/>
      <c r="RPX47" s="63"/>
      <c r="RPY47" s="63"/>
      <c r="RPZ47" s="63"/>
      <c r="RQA47" s="63"/>
      <c r="RQB47" s="63"/>
      <c r="RQC47" s="63"/>
      <c r="RQD47" s="63"/>
      <c r="RQE47" s="63"/>
      <c r="RQF47" s="63"/>
      <c r="RQG47" s="63"/>
      <c r="RQH47" s="63"/>
      <c r="RQI47" s="63"/>
      <c r="RQJ47" s="63"/>
      <c r="RQK47" s="63"/>
      <c r="RQL47" s="63"/>
      <c r="RQM47" s="63"/>
      <c r="RQN47" s="63"/>
      <c r="RQO47" s="63"/>
      <c r="RQP47" s="63"/>
      <c r="RQQ47" s="63"/>
      <c r="RQR47" s="63"/>
      <c r="RQS47" s="63"/>
      <c r="RQT47" s="63"/>
      <c r="RQU47" s="63"/>
      <c r="RQV47" s="63"/>
      <c r="RQW47" s="63"/>
      <c r="RQX47" s="63"/>
      <c r="RQY47" s="63"/>
      <c r="RQZ47" s="63"/>
      <c r="RRA47" s="63"/>
      <c r="RRB47" s="63"/>
      <c r="RRC47" s="63"/>
      <c r="RRD47" s="63"/>
      <c r="RRE47" s="63"/>
      <c r="RRF47" s="63"/>
      <c r="RRG47" s="63"/>
      <c r="RRH47" s="63"/>
      <c r="RRI47" s="63"/>
      <c r="RRJ47" s="63"/>
      <c r="RRK47" s="63"/>
      <c r="RRL47" s="63"/>
      <c r="RRM47" s="63"/>
      <c r="RRN47" s="63"/>
      <c r="RRO47" s="63"/>
      <c r="RRP47" s="63"/>
      <c r="RRQ47" s="63"/>
      <c r="RRR47" s="63"/>
      <c r="RRS47" s="63"/>
      <c r="RRT47" s="63"/>
      <c r="RRU47" s="63"/>
      <c r="RRV47" s="63"/>
      <c r="RRW47" s="63"/>
      <c r="RRX47" s="63"/>
      <c r="RRY47" s="63"/>
      <c r="RRZ47" s="63"/>
      <c r="RSA47" s="63"/>
      <c r="RSB47" s="63"/>
      <c r="RSC47" s="63"/>
      <c r="RSD47" s="63"/>
      <c r="RSE47" s="63"/>
      <c r="RSF47" s="63"/>
      <c r="RSG47" s="63"/>
      <c r="RSH47" s="63"/>
      <c r="RSI47" s="63"/>
      <c r="RSJ47" s="63"/>
      <c r="RSK47" s="63"/>
      <c r="RSL47" s="63"/>
      <c r="RSM47" s="63"/>
      <c r="RSN47" s="63"/>
      <c r="RSO47" s="63"/>
      <c r="RSP47" s="63"/>
      <c r="RSQ47" s="63"/>
      <c r="RSR47" s="63"/>
      <c r="RSS47" s="63"/>
      <c r="RST47" s="63"/>
      <c r="RSU47" s="63"/>
      <c r="RSV47" s="63"/>
      <c r="RSW47" s="63"/>
      <c r="RSX47" s="63"/>
      <c r="RSY47" s="63"/>
      <c r="RSZ47" s="63"/>
      <c r="RTA47" s="63"/>
      <c r="RTB47" s="63"/>
      <c r="RTC47" s="63"/>
      <c r="RTD47" s="63"/>
      <c r="RTE47" s="63"/>
      <c r="RTF47" s="63"/>
      <c r="RTG47" s="63"/>
      <c r="RTH47" s="63"/>
      <c r="RTI47" s="63"/>
      <c r="RTJ47" s="63"/>
      <c r="RTK47" s="63"/>
      <c r="RTL47" s="63"/>
      <c r="RTM47" s="63"/>
      <c r="RTN47" s="63"/>
      <c r="RTO47" s="63"/>
      <c r="RTP47" s="63"/>
      <c r="RTQ47" s="63"/>
      <c r="RTR47" s="63"/>
      <c r="RTS47" s="63"/>
      <c r="RTT47" s="63"/>
      <c r="RTU47" s="63"/>
      <c r="RTV47" s="63"/>
      <c r="RTW47" s="63"/>
      <c r="RTX47" s="63"/>
      <c r="RTY47" s="63"/>
      <c r="RTZ47" s="63"/>
      <c r="RUA47" s="63"/>
      <c r="RUB47" s="63"/>
      <c r="RUC47" s="63"/>
      <c r="RUD47" s="63"/>
      <c r="RUE47" s="63"/>
      <c r="RUF47" s="63"/>
      <c r="RUG47" s="63"/>
      <c r="RUH47" s="63"/>
      <c r="RUI47" s="63"/>
      <c r="RUJ47" s="63"/>
      <c r="RUK47" s="63"/>
      <c r="RUL47" s="63"/>
      <c r="RUM47" s="63"/>
      <c r="RUN47" s="63"/>
      <c r="RUO47" s="63"/>
      <c r="RUP47" s="63"/>
      <c r="RUQ47" s="63"/>
      <c r="RUR47" s="63"/>
      <c r="RUS47" s="63"/>
      <c r="RUT47" s="63"/>
      <c r="RUU47" s="63"/>
      <c r="RUV47" s="63"/>
      <c r="RUW47" s="63"/>
      <c r="RUX47" s="63"/>
      <c r="RUY47" s="63"/>
      <c r="RUZ47" s="63"/>
      <c r="RVA47" s="63"/>
      <c r="RVB47" s="63"/>
      <c r="RVC47" s="63"/>
      <c r="RVD47" s="63"/>
      <c r="RVE47" s="63"/>
      <c r="RVF47" s="63"/>
      <c r="RVG47" s="63"/>
      <c r="RVH47" s="63"/>
      <c r="RVI47" s="63"/>
      <c r="RVJ47" s="63"/>
      <c r="RVK47" s="63"/>
      <c r="RVL47" s="63"/>
      <c r="RVM47" s="63"/>
      <c r="RVN47" s="63"/>
      <c r="RVO47" s="63"/>
      <c r="RVP47" s="63"/>
      <c r="RVQ47" s="63"/>
      <c r="RVR47" s="63"/>
      <c r="RVS47" s="63"/>
      <c r="RVT47" s="63"/>
      <c r="RVU47" s="63"/>
      <c r="RVV47" s="63"/>
      <c r="RVW47" s="63"/>
      <c r="RVX47" s="63"/>
      <c r="RVY47" s="63"/>
      <c r="RVZ47" s="63"/>
      <c r="RWA47" s="63"/>
      <c r="RWB47" s="63"/>
      <c r="RWC47" s="63"/>
      <c r="RWD47" s="63"/>
      <c r="RWE47" s="63"/>
      <c r="RWF47" s="63"/>
      <c r="RWG47" s="63"/>
      <c r="RWH47" s="63"/>
      <c r="RWI47" s="63"/>
      <c r="RWJ47" s="63"/>
      <c r="RWK47" s="63"/>
      <c r="RWL47" s="63"/>
      <c r="RWM47" s="63"/>
      <c r="RWN47" s="63"/>
      <c r="RWO47" s="63"/>
      <c r="RWP47" s="63"/>
      <c r="RWQ47" s="63"/>
      <c r="RWR47" s="63"/>
      <c r="RWS47" s="63"/>
      <c r="RWT47" s="63"/>
      <c r="RWU47" s="63"/>
      <c r="RWV47" s="63"/>
      <c r="RWW47" s="63"/>
      <c r="RWX47" s="63"/>
      <c r="RWY47" s="63"/>
      <c r="RWZ47" s="63"/>
      <c r="RXA47" s="63"/>
      <c r="RXB47" s="63"/>
      <c r="RXC47" s="63"/>
      <c r="RXD47" s="63"/>
      <c r="RXE47" s="63"/>
      <c r="RXF47" s="63"/>
      <c r="RXG47" s="63"/>
      <c r="RXH47" s="63"/>
      <c r="RXI47" s="63"/>
      <c r="RXJ47" s="63"/>
      <c r="RXK47" s="63"/>
      <c r="RXL47" s="63"/>
      <c r="RXM47" s="63"/>
      <c r="RXN47" s="63"/>
      <c r="RXO47" s="63"/>
      <c r="RXP47" s="63"/>
      <c r="RXQ47" s="63"/>
      <c r="RXR47" s="63"/>
      <c r="RXS47" s="63"/>
      <c r="RXT47" s="63"/>
      <c r="RXU47" s="63"/>
      <c r="RXV47" s="63"/>
      <c r="RXW47" s="63"/>
      <c r="RXX47" s="63"/>
      <c r="RXY47" s="63"/>
      <c r="RXZ47" s="63"/>
      <c r="RYA47" s="63"/>
      <c r="RYB47" s="63"/>
      <c r="RYC47" s="63"/>
      <c r="RYD47" s="63"/>
      <c r="RYE47" s="63"/>
      <c r="RYF47" s="63"/>
      <c r="RYG47" s="63"/>
      <c r="RYH47" s="63"/>
      <c r="RYI47" s="63"/>
      <c r="RYJ47" s="63"/>
      <c r="RYK47" s="63"/>
      <c r="RYL47" s="63"/>
      <c r="RYM47" s="63"/>
      <c r="RYN47" s="63"/>
      <c r="RYO47" s="63"/>
      <c r="RYP47" s="63"/>
      <c r="RYQ47" s="63"/>
      <c r="RYR47" s="63"/>
      <c r="RYS47" s="63"/>
      <c r="RYT47" s="63"/>
      <c r="RYU47" s="63"/>
      <c r="RYV47" s="63"/>
      <c r="RYW47" s="63"/>
      <c r="RYX47" s="63"/>
      <c r="RYY47" s="63"/>
      <c r="RYZ47" s="63"/>
      <c r="RZA47" s="63"/>
      <c r="RZB47" s="63"/>
      <c r="RZC47" s="63"/>
      <c r="RZD47" s="63"/>
      <c r="RZE47" s="63"/>
      <c r="RZF47" s="63"/>
      <c r="RZG47" s="63"/>
      <c r="RZH47" s="63"/>
      <c r="RZI47" s="63"/>
      <c r="RZJ47" s="63"/>
      <c r="RZK47" s="63"/>
      <c r="RZL47" s="63"/>
      <c r="RZM47" s="63"/>
      <c r="RZN47" s="63"/>
      <c r="RZO47" s="63"/>
      <c r="RZP47" s="63"/>
      <c r="RZQ47" s="63"/>
      <c r="RZR47" s="63"/>
      <c r="RZS47" s="63"/>
      <c r="RZT47" s="63"/>
      <c r="RZU47" s="63"/>
      <c r="RZV47" s="63"/>
      <c r="RZW47" s="63"/>
      <c r="RZX47" s="63"/>
      <c r="RZY47" s="63"/>
      <c r="RZZ47" s="63"/>
      <c r="SAA47" s="63"/>
      <c r="SAB47" s="63"/>
      <c r="SAC47" s="63"/>
      <c r="SAD47" s="63"/>
      <c r="SAE47" s="63"/>
      <c r="SAF47" s="63"/>
      <c r="SAG47" s="63"/>
      <c r="SAH47" s="63"/>
      <c r="SAI47" s="63"/>
      <c r="SAJ47" s="63"/>
      <c r="SAK47" s="63"/>
      <c r="SAL47" s="63"/>
      <c r="SAM47" s="63"/>
      <c r="SAN47" s="63"/>
      <c r="SAO47" s="63"/>
      <c r="SAP47" s="63"/>
      <c r="SAQ47" s="63"/>
      <c r="SAR47" s="63"/>
      <c r="SAS47" s="63"/>
      <c r="SAT47" s="63"/>
      <c r="SAU47" s="63"/>
      <c r="SAV47" s="63"/>
      <c r="SAW47" s="63"/>
      <c r="SAX47" s="63"/>
      <c r="SAY47" s="63"/>
      <c r="SAZ47" s="63"/>
      <c r="SBA47" s="63"/>
      <c r="SBB47" s="63"/>
      <c r="SBC47" s="63"/>
      <c r="SBD47" s="63"/>
      <c r="SBE47" s="63"/>
      <c r="SBF47" s="63"/>
      <c r="SBG47" s="63"/>
      <c r="SBH47" s="63"/>
      <c r="SBI47" s="63"/>
      <c r="SBJ47" s="63"/>
      <c r="SBK47" s="63"/>
      <c r="SBL47" s="63"/>
      <c r="SBM47" s="63"/>
      <c r="SBN47" s="63"/>
      <c r="SBO47" s="63"/>
      <c r="SBP47" s="63"/>
      <c r="SBQ47" s="63"/>
      <c r="SBR47" s="63"/>
      <c r="SBS47" s="63"/>
      <c r="SBT47" s="63"/>
      <c r="SBU47" s="63"/>
      <c r="SBV47" s="63"/>
      <c r="SBW47" s="63"/>
      <c r="SBX47" s="63"/>
      <c r="SBY47" s="63"/>
      <c r="SBZ47" s="63"/>
      <c r="SCA47" s="63"/>
      <c r="SCB47" s="63"/>
      <c r="SCC47" s="63"/>
      <c r="SCD47" s="63"/>
      <c r="SCE47" s="63"/>
      <c r="SCF47" s="63"/>
      <c r="SCG47" s="63"/>
      <c r="SCH47" s="63"/>
      <c r="SCI47" s="63"/>
      <c r="SCJ47" s="63"/>
      <c r="SCK47" s="63"/>
      <c r="SCL47" s="63"/>
      <c r="SCM47" s="63"/>
      <c r="SCN47" s="63"/>
      <c r="SCO47" s="63"/>
      <c r="SCP47" s="63"/>
      <c r="SCQ47" s="63"/>
      <c r="SCR47" s="63"/>
      <c r="SCS47" s="63"/>
      <c r="SCT47" s="63"/>
      <c r="SCU47" s="63"/>
      <c r="SCV47" s="63"/>
      <c r="SCW47" s="63"/>
      <c r="SCX47" s="63"/>
      <c r="SCY47" s="63"/>
      <c r="SCZ47" s="63"/>
      <c r="SDA47" s="63"/>
      <c r="SDB47" s="63"/>
      <c r="SDC47" s="63"/>
      <c r="SDD47" s="63"/>
      <c r="SDE47" s="63"/>
      <c r="SDF47" s="63"/>
      <c r="SDG47" s="63"/>
      <c r="SDH47" s="63"/>
      <c r="SDI47" s="63"/>
      <c r="SDJ47" s="63"/>
      <c r="SDK47" s="63"/>
      <c r="SDL47" s="63"/>
      <c r="SDM47" s="63"/>
      <c r="SDN47" s="63"/>
      <c r="SDO47" s="63"/>
      <c r="SDP47" s="63"/>
      <c r="SDQ47" s="63"/>
      <c r="SDR47" s="63"/>
      <c r="SDS47" s="63"/>
      <c r="SDT47" s="63"/>
      <c r="SDU47" s="63"/>
      <c r="SDV47" s="63"/>
      <c r="SDW47" s="63"/>
      <c r="SDX47" s="63"/>
      <c r="SDY47" s="63"/>
      <c r="SDZ47" s="63"/>
      <c r="SEA47" s="63"/>
      <c r="SEB47" s="63"/>
      <c r="SEC47" s="63"/>
      <c r="SED47" s="63"/>
      <c r="SEE47" s="63"/>
      <c r="SEF47" s="63"/>
      <c r="SEG47" s="63"/>
      <c r="SEH47" s="63"/>
      <c r="SEI47" s="63"/>
      <c r="SEJ47" s="63"/>
      <c r="SEK47" s="63"/>
      <c r="SEL47" s="63"/>
      <c r="SEM47" s="63"/>
      <c r="SEN47" s="63"/>
      <c r="SEO47" s="63"/>
      <c r="SEP47" s="63"/>
      <c r="SEQ47" s="63"/>
      <c r="SER47" s="63"/>
      <c r="SES47" s="63"/>
      <c r="SET47" s="63"/>
      <c r="SEU47" s="63"/>
      <c r="SEV47" s="63"/>
      <c r="SEW47" s="63"/>
      <c r="SEX47" s="63"/>
      <c r="SEY47" s="63"/>
      <c r="SEZ47" s="63"/>
      <c r="SFA47" s="63"/>
      <c r="SFB47" s="63"/>
      <c r="SFC47" s="63"/>
      <c r="SFD47" s="63"/>
      <c r="SFE47" s="63"/>
      <c r="SFF47" s="63"/>
      <c r="SFG47" s="63"/>
      <c r="SFH47" s="63"/>
      <c r="SFI47" s="63"/>
      <c r="SFJ47" s="63"/>
      <c r="SFK47" s="63"/>
      <c r="SFL47" s="63"/>
      <c r="SFM47" s="63"/>
      <c r="SFN47" s="63"/>
      <c r="SFO47" s="63"/>
      <c r="SFP47" s="63"/>
      <c r="SFQ47" s="63"/>
      <c r="SFR47" s="63"/>
      <c r="SFS47" s="63"/>
      <c r="SFT47" s="63"/>
      <c r="SFU47" s="63"/>
      <c r="SFV47" s="63"/>
      <c r="SFW47" s="63"/>
      <c r="SFX47" s="63"/>
      <c r="SFY47" s="63"/>
      <c r="SFZ47" s="63"/>
      <c r="SGA47" s="63"/>
      <c r="SGB47" s="63"/>
      <c r="SGC47" s="63"/>
      <c r="SGD47" s="63"/>
      <c r="SGE47" s="63"/>
      <c r="SGF47" s="63"/>
      <c r="SGG47" s="63"/>
      <c r="SGH47" s="63"/>
      <c r="SGI47" s="63"/>
      <c r="SGJ47" s="63"/>
      <c r="SGK47" s="63"/>
      <c r="SGL47" s="63"/>
      <c r="SGM47" s="63"/>
      <c r="SGN47" s="63"/>
      <c r="SGO47" s="63"/>
      <c r="SGP47" s="63"/>
      <c r="SGQ47" s="63"/>
      <c r="SGR47" s="63"/>
      <c r="SGS47" s="63"/>
      <c r="SGT47" s="63"/>
      <c r="SGU47" s="63"/>
      <c r="SGV47" s="63"/>
      <c r="SGW47" s="63"/>
      <c r="SGX47" s="63"/>
      <c r="SGY47" s="63"/>
      <c r="SGZ47" s="63"/>
      <c r="SHA47" s="63"/>
      <c r="SHB47" s="63"/>
      <c r="SHC47" s="63"/>
      <c r="SHD47" s="63"/>
      <c r="SHE47" s="63"/>
      <c r="SHF47" s="63"/>
      <c r="SHG47" s="63"/>
      <c r="SHH47" s="63"/>
      <c r="SHI47" s="63"/>
      <c r="SHJ47" s="63"/>
      <c r="SHK47" s="63"/>
      <c r="SHL47" s="63"/>
      <c r="SHM47" s="63"/>
      <c r="SHN47" s="63"/>
      <c r="SHO47" s="63"/>
      <c r="SHP47" s="63"/>
      <c r="SHQ47" s="63"/>
      <c r="SHR47" s="63"/>
      <c r="SHS47" s="63"/>
      <c r="SHT47" s="63"/>
      <c r="SHU47" s="63"/>
      <c r="SHV47" s="63"/>
      <c r="SHW47" s="63"/>
      <c r="SHX47" s="63"/>
      <c r="SHY47" s="63"/>
      <c r="SHZ47" s="63"/>
      <c r="SIA47" s="63"/>
      <c r="SIB47" s="63"/>
      <c r="SIC47" s="63"/>
      <c r="SID47" s="63"/>
      <c r="SIE47" s="63"/>
      <c r="SIF47" s="63"/>
      <c r="SIG47" s="63"/>
      <c r="SIH47" s="63"/>
      <c r="SII47" s="63"/>
      <c r="SIJ47" s="63"/>
      <c r="SIK47" s="63"/>
      <c r="SIL47" s="63"/>
      <c r="SIM47" s="63"/>
      <c r="SIN47" s="63"/>
      <c r="SIO47" s="63"/>
      <c r="SIP47" s="63"/>
      <c r="SIQ47" s="63"/>
      <c r="SIR47" s="63"/>
      <c r="SIS47" s="63"/>
      <c r="SIT47" s="63"/>
      <c r="SIU47" s="63"/>
      <c r="SIV47" s="63"/>
      <c r="SIW47" s="63"/>
      <c r="SIX47" s="63"/>
      <c r="SIY47" s="63"/>
      <c r="SIZ47" s="63"/>
      <c r="SJA47" s="63"/>
      <c r="SJB47" s="63"/>
      <c r="SJC47" s="63"/>
      <c r="SJD47" s="63"/>
      <c r="SJE47" s="63"/>
      <c r="SJF47" s="63"/>
      <c r="SJG47" s="63"/>
      <c r="SJH47" s="63"/>
      <c r="SJI47" s="63"/>
      <c r="SJJ47" s="63"/>
      <c r="SJK47" s="63"/>
      <c r="SJL47" s="63"/>
      <c r="SJM47" s="63"/>
      <c r="SJN47" s="63"/>
      <c r="SJO47" s="63"/>
      <c r="SJP47" s="63"/>
      <c r="SJQ47" s="63"/>
      <c r="SJR47" s="63"/>
      <c r="SJS47" s="63"/>
      <c r="SJT47" s="63"/>
      <c r="SJU47" s="63"/>
      <c r="SJV47" s="63"/>
      <c r="SJW47" s="63"/>
      <c r="SJX47" s="63"/>
      <c r="SJY47" s="63"/>
      <c r="SJZ47" s="63"/>
      <c r="SKA47" s="63"/>
      <c r="SKB47" s="63"/>
      <c r="SKC47" s="63"/>
      <c r="SKD47" s="63"/>
      <c r="SKE47" s="63"/>
      <c r="SKF47" s="63"/>
      <c r="SKG47" s="63"/>
      <c r="SKH47" s="63"/>
      <c r="SKI47" s="63"/>
      <c r="SKJ47" s="63"/>
      <c r="SKK47" s="63"/>
      <c r="SKL47" s="63"/>
      <c r="SKM47" s="63"/>
      <c r="SKN47" s="63"/>
      <c r="SKO47" s="63"/>
      <c r="SKP47" s="63"/>
      <c r="SKQ47" s="63"/>
      <c r="SKR47" s="63"/>
      <c r="SKS47" s="63"/>
      <c r="SKT47" s="63"/>
      <c r="SKU47" s="63"/>
      <c r="SKV47" s="63"/>
      <c r="SKW47" s="63"/>
      <c r="SKX47" s="63"/>
      <c r="SKY47" s="63"/>
      <c r="SKZ47" s="63"/>
      <c r="SLA47" s="63"/>
      <c r="SLB47" s="63"/>
      <c r="SLC47" s="63"/>
      <c r="SLD47" s="63"/>
      <c r="SLE47" s="63"/>
      <c r="SLF47" s="63"/>
      <c r="SLG47" s="63"/>
      <c r="SLH47" s="63"/>
      <c r="SLI47" s="63"/>
      <c r="SLJ47" s="63"/>
      <c r="SLK47" s="63"/>
      <c r="SLL47" s="63"/>
      <c r="SLM47" s="63"/>
      <c r="SLN47" s="63"/>
      <c r="SLO47" s="63"/>
      <c r="SLP47" s="63"/>
      <c r="SLQ47" s="63"/>
      <c r="SLR47" s="63"/>
      <c r="SLS47" s="63"/>
      <c r="SLT47" s="63"/>
      <c r="SLU47" s="63"/>
      <c r="SLV47" s="63"/>
      <c r="SLW47" s="63"/>
      <c r="SLX47" s="63"/>
      <c r="SLY47" s="63"/>
      <c r="SLZ47" s="63"/>
      <c r="SMA47" s="63"/>
      <c r="SMB47" s="63"/>
      <c r="SMC47" s="63"/>
      <c r="SMD47" s="63"/>
      <c r="SME47" s="63"/>
      <c r="SMF47" s="63"/>
      <c r="SMG47" s="63"/>
      <c r="SMH47" s="63"/>
      <c r="SMI47" s="63"/>
      <c r="SMJ47" s="63"/>
      <c r="SMK47" s="63"/>
      <c r="SML47" s="63"/>
      <c r="SMM47" s="63"/>
      <c r="SMN47" s="63"/>
      <c r="SMO47" s="63"/>
      <c r="SMP47" s="63"/>
      <c r="SMQ47" s="63"/>
      <c r="SMR47" s="63"/>
      <c r="SMS47" s="63"/>
      <c r="SMT47" s="63"/>
      <c r="SMU47" s="63"/>
      <c r="SMV47" s="63"/>
      <c r="SMW47" s="63"/>
      <c r="SMX47" s="63"/>
      <c r="SMY47" s="63"/>
      <c r="SMZ47" s="63"/>
      <c r="SNA47" s="63"/>
      <c r="SNB47" s="63"/>
      <c r="SNC47" s="63"/>
      <c r="SND47" s="63"/>
      <c r="SNE47" s="63"/>
      <c r="SNF47" s="63"/>
      <c r="SNG47" s="63"/>
      <c r="SNH47" s="63"/>
      <c r="SNI47" s="63"/>
      <c r="SNJ47" s="63"/>
      <c r="SNK47" s="63"/>
      <c r="SNL47" s="63"/>
      <c r="SNM47" s="63"/>
      <c r="SNN47" s="63"/>
      <c r="SNO47" s="63"/>
      <c r="SNP47" s="63"/>
      <c r="SNQ47" s="63"/>
      <c r="SNR47" s="63"/>
      <c r="SNS47" s="63"/>
      <c r="SNT47" s="63"/>
      <c r="SNU47" s="63"/>
      <c r="SNV47" s="63"/>
      <c r="SNW47" s="63"/>
      <c r="SNX47" s="63"/>
      <c r="SNY47" s="63"/>
      <c r="SNZ47" s="63"/>
      <c r="SOA47" s="63"/>
      <c r="SOB47" s="63"/>
      <c r="SOC47" s="63"/>
      <c r="SOD47" s="63"/>
      <c r="SOE47" s="63"/>
      <c r="SOF47" s="63"/>
      <c r="SOG47" s="63"/>
      <c r="SOH47" s="63"/>
      <c r="SOI47" s="63"/>
      <c r="SOJ47" s="63"/>
      <c r="SOK47" s="63"/>
      <c r="SOL47" s="63"/>
      <c r="SOM47" s="63"/>
      <c r="SON47" s="63"/>
      <c r="SOO47" s="63"/>
      <c r="SOP47" s="63"/>
      <c r="SOQ47" s="63"/>
      <c r="SOR47" s="63"/>
      <c r="SOS47" s="63"/>
      <c r="SOT47" s="63"/>
      <c r="SOU47" s="63"/>
      <c r="SOV47" s="63"/>
      <c r="SOW47" s="63"/>
      <c r="SOX47" s="63"/>
      <c r="SOY47" s="63"/>
      <c r="SOZ47" s="63"/>
      <c r="SPA47" s="63"/>
      <c r="SPB47" s="63"/>
      <c r="SPC47" s="63"/>
      <c r="SPD47" s="63"/>
      <c r="SPE47" s="63"/>
      <c r="SPF47" s="63"/>
      <c r="SPG47" s="63"/>
      <c r="SPH47" s="63"/>
      <c r="SPI47" s="63"/>
      <c r="SPJ47" s="63"/>
      <c r="SPK47" s="63"/>
      <c r="SPL47" s="63"/>
      <c r="SPM47" s="63"/>
      <c r="SPN47" s="63"/>
      <c r="SPO47" s="63"/>
      <c r="SPP47" s="63"/>
      <c r="SPQ47" s="63"/>
      <c r="SPR47" s="63"/>
      <c r="SPS47" s="63"/>
      <c r="SPT47" s="63"/>
      <c r="SPU47" s="63"/>
      <c r="SPV47" s="63"/>
      <c r="SPW47" s="63"/>
      <c r="SPX47" s="63"/>
      <c r="SPY47" s="63"/>
      <c r="SPZ47" s="63"/>
      <c r="SQA47" s="63"/>
      <c r="SQB47" s="63"/>
      <c r="SQC47" s="63"/>
      <c r="SQD47" s="63"/>
      <c r="SQE47" s="63"/>
      <c r="SQF47" s="63"/>
      <c r="SQG47" s="63"/>
      <c r="SQH47" s="63"/>
      <c r="SQI47" s="63"/>
      <c r="SQJ47" s="63"/>
      <c r="SQK47" s="63"/>
      <c r="SQL47" s="63"/>
      <c r="SQM47" s="63"/>
      <c r="SQN47" s="63"/>
      <c r="SQO47" s="63"/>
      <c r="SQP47" s="63"/>
      <c r="SQQ47" s="63"/>
      <c r="SQR47" s="63"/>
      <c r="SQS47" s="63"/>
      <c r="SQT47" s="63"/>
      <c r="SQU47" s="63"/>
      <c r="SQV47" s="63"/>
      <c r="SQW47" s="63"/>
      <c r="SQX47" s="63"/>
      <c r="SQY47" s="63"/>
      <c r="SQZ47" s="63"/>
      <c r="SRA47" s="63"/>
      <c r="SRB47" s="63"/>
      <c r="SRC47" s="63"/>
      <c r="SRD47" s="63"/>
      <c r="SRE47" s="63"/>
      <c r="SRF47" s="63"/>
      <c r="SRG47" s="63"/>
      <c r="SRH47" s="63"/>
      <c r="SRI47" s="63"/>
      <c r="SRJ47" s="63"/>
      <c r="SRK47" s="63"/>
      <c r="SRL47" s="63"/>
      <c r="SRM47" s="63"/>
      <c r="SRN47" s="63"/>
      <c r="SRO47" s="63"/>
      <c r="SRP47" s="63"/>
      <c r="SRQ47" s="63"/>
      <c r="SRR47" s="63"/>
      <c r="SRS47" s="63"/>
      <c r="SRT47" s="63"/>
      <c r="SRU47" s="63"/>
      <c r="SRV47" s="63"/>
      <c r="SRW47" s="63"/>
      <c r="SRX47" s="63"/>
      <c r="SRY47" s="63"/>
      <c r="SRZ47" s="63"/>
      <c r="SSA47" s="63"/>
      <c r="SSB47" s="63"/>
      <c r="SSC47" s="63"/>
      <c r="SSD47" s="63"/>
      <c r="SSE47" s="63"/>
      <c r="SSF47" s="63"/>
      <c r="SSG47" s="63"/>
      <c r="SSH47" s="63"/>
      <c r="SSI47" s="63"/>
      <c r="SSJ47" s="63"/>
      <c r="SSK47" s="63"/>
      <c r="SSL47" s="63"/>
      <c r="SSM47" s="63"/>
      <c r="SSN47" s="63"/>
      <c r="SSO47" s="63"/>
      <c r="SSP47" s="63"/>
      <c r="SSQ47" s="63"/>
      <c r="SSR47" s="63"/>
      <c r="SSS47" s="63"/>
      <c r="SST47" s="63"/>
      <c r="SSU47" s="63"/>
      <c r="SSV47" s="63"/>
      <c r="SSW47" s="63"/>
      <c r="SSX47" s="63"/>
      <c r="SSY47" s="63"/>
      <c r="SSZ47" s="63"/>
      <c r="STA47" s="63"/>
      <c r="STB47" s="63"/>
      <c r="STC47" s="63"/>
      <c r="STD47" s="63"/>
      <c r="STE47" s="63"/>
      <c r="STF47" s="63"/>
      <c r="STG47" s="63"/>
      <c r="STH47" s="63"/>
      <c r="STI47" s="63"/>
      <c r="STJ47" s="63"/>
      <c r="STK47" s="63"/>
      <c r="STL47" s="63"/>
      <c r="STM47" s="63"/>
      <c r="STN47" s="63"/>
      <c r="STO47" s="63"/>
      <c r="STP47" s="63"/>
      <c r="STQ47" s="63"/>
      <c r="STR47" s="63"/>
      <c r="STS47" s="63"/>
      <c r="STT47" s="63"/>
      <c r="STU47" s="63"/>
      <c r="STV47" s="63"/>
      <c r="STW47" s="63"/>
      <c r="STX47" s="63"/>
      <c r="STY47" s="63"/>
      <c r="STZ47" s="63"/>
      <c r="SUA47" s="63"/>
      <c r="SUB47" s="63"/>
      <c r="SUC47" s="63"/>
      <c r="SUD47" s="63"/>
      <c r="SUE47" s="63"/>
      <c r="SUF47" s="63"/>
      <c r="SUG47" s="63"/>
      <c r="SUH47" s="63"/>
      <c r="SUI47" s="63"/>
      <c r="SUJ47" s="63"/>
      <c r="SUK47" s="63"/>
      <c r="SUL47" s="63"/>
      <c r="SUM47" s="63"/>
      <c r="SUN47" s="63"/>
      <c r="SUO47" s="63"/>
      <c r="SUP47" s="63"/>
      <c r="SUQ47" s="63"/>
      <c r="SUR47" s="63"/>
      <c r="SUS47" s="63"/>
      <c r="SUT47" s="63"/>
      <c r="SUU47" s="63"/>
      <c r="SUV47" s="63"/>
      <c r="SUW47" s="63"/>
      <c r="SUX47" s="63"/>
      <c r="SUY47" s="63"/>
      <c r="SUZ47" s="63"/>
      <c r="SVA47" s="63"/>
      <c r="SVB47" s="63"/>
      <c r="SVC47" s="63"/>
      <c r="SVD47" s="63"/>
      <c r="SVE47" s="63"/>
      <c r="SVF47" s="63"/>
      <c r="SVG47" s="63"/>
      <c r="SVH47" s="63"/>
      <c r="SVI47" s="63"/>
      <c r="SVJ47" s="63"/>
      <c r="SVK47" s="63"/>
      <c r="SVL47" s="63"/>
      <c r="SVM47" s="63"/>
      <c r="SVN47" s="63"/>
      <c r="SVO47" s="63"/>
      <c r="SVP47" s="63"/>
      <c r="SVQ47" s="63"/>
      <c r="SVR47" s="63"/>
      <c r="SVS47" s="63"/>
      <c r="SVT47" s="63"/>
      <c r="SVU47" s="63"/>
      <c r="SVV47" s="63"/>
      <c r="SVW47" s="63"/>
      <c r="SVX47" s="63"/>
      <c r="SVY47" s="63"/>
      <c r="SVZ47" s="63"/>
      <c r="SWA47" s="63"/>
      <c r="SWB47" s="63"/>
      <c r="SWC47" s="63"/>
      <c r="SWD47" s="63"/>
      <c r="SWE47" s="63"/>
      <c r="SWF47" s="63"/>
      <c r="SWG47" s="63"/>
      <c r="SWH47" s="63"/>
      <c r="SWI47" s="63"/>
      <c r="SWJ47" s="63"/>
      <c r="SWK47" s="63"/>
      <c r="SWL47" s="63"/>
      <c r="SWM47" s="63"/>
      <c r="SWN47" s="63"/>
      <c r="SWO47" s="63"/>
      <c r="SWP47" s="63"/>
      <c r="SWQ47" s="63"/>
      <c r="SWR47" s="63"/>
      <c r="SWS47" s="63"/>
      <c r="SWT47" s="63"/>
      <c r="SWU47" s="63"/>
      <c r="SWV47" s="63"/>
      <c r="SWW47" s="63"/>
      <c r="SWX47" s="63"/>
      <c r="SWY47" s="63"/>
      <c r="SWZ47" s="63"/>
      <c r="SXA47" s="63"/>
      <c r="SXB47" s="63"/>
      <c r="SXC47" s="63"/>
      <c r="SXD47" s="63"/>
      <c r="SXE47" s="63"/>
      <c r="SXF47" s="63"/>
      <c r="SXG47" s="63"/>
      <c r="SXH47" s="63"/>
      <c r="SXI47" s="63"/>
      <c r="SXJ47" s="63"/>
      <c r="SXK47" s="63"/>
      <c r="SXL47" s="63"/>
      <c r="SXM47" s="63"/>
      <c r="SXN47" s="63"/>
      <c r="SXO47" s="63"/>
      <c r="SXP47" s="63"/>
      <c r="SXQ47" s="63"/>
      <c r="SXR47" s="63"/>
      <c r="SXS47" s="63"/>
      <c r="SXT47" s="63"/>
      <c r="SXU47" s="63"/>
      <c r="SXV47" s="63"/>
      <c r="SXW47" s="63"/>
      <c r="SXX47" s="63"/>
      <c r="SXY47" s="63"/>
      <c r="SXZ47" s="63"/>
      <c r="SYA47" s="63"/>
      <c r="SYB47" s="63"/>
      <c r="SYC47" s="63"/>
      <c r="SYD47" s="63"/>
      <c r="SYE47" s="63"/>
      <c r="SYF47" s="63"/>
      <c r="SYG47" s="63"/>
      <c r="SYH47" s="63"/>
      <c r="SYI47" s="63"/>
      <c r="SYJ47" s="63"/>
      <c r="SYK47" s="63"/>
      <c r="SYL47" s="63"/>
      <c r="SYM47" s="63"/>
      <c r="SYN47" s="63"/>
      <c r="SYO47" s="63"/>
      <c r="SYP47" s="63"/>
      <c r="SYQ47" s="63"/>
      <c r="SYR47" s="63"/>
      <c r="SYS47" s="63"/>
      <c r="SYT47" s="63"/>
      <c r="SYU47" s="63"/>
      <c r="SYV47" s="63"/>
      <c r="SYW47" s="63"/>
      <c r="SYX47" s="63"/>
      <c r="SYY47" s="63"/>
      <c r="SYZ47" s="63"/>
      <c r="SZA47" s="63"/>
      <c r="SZB47" s="63"/>
      <c r="SZC47" s="63"/>
      <c r="SZD47" s="63"/>
      <c r="SZE47" s="63"/>
      <c r="SZF47" s="63"/>
      <c r="SZG47" s="63"/>
      <c r="SZH47" s="63"/>
      <c r="SZI47" s="63"/>
      <c r="SZJ47" s="63"/>
      <c r="SZK47" s="63"/>
      <c r="SZL47" s="63"/>
      <c r="SZM47" s="63"/>
      <c r="SZN47" s="63"/>
      <c r="SZO47" s="63"/>
      <c r="SZP47" s="63"/>
      <c r="SZQ47" s="63"/>
      <c r="SZR47" s="63"/>
      <c r="SZS47" s="63"/>
      <c r="SZT47" s="63"/>
      <c r="SZU47" s="63"/>
      <c r="SZV47" s="63"/>
      <c r="SZW47" s="63"/>
      <c r="SZX47" s="63"/>
      <c r="SZY47" s="63"/>
      <c r="SZZ47" s="63"/>
      <c r="TAA47" s="63"/>
      <c r="TAB47" s="63"/>
      <c r="TAC47" s="63"/>
      <c r="TAD47" s="63"/>
      <c r="TAE47" s="63"/>
      <c r="TAF47" s="63"/>
      <c r="TAG47" s="63"/>
      <c r="TAH47" s="63"/>
      <c r="TAI47" s="63"/>
      <c r="TAJ47" s="63"/>
      <c r="TAK47" s="63"/>
      <c r="TAL47" s="63"/>
      <c r="TAM47" s="63"/>
      <c r="TAN47" s="63"/>
      <c r="TAO47" s="63"/>
      <c r="TAP47" s="63"/>
      <c r="TAQ47" s="63"/>
      <c r="TAR47" s="63"/>
      <c r="TAS47" s="63"/>
      <c r="TAT47" s="63"/>
      <c r="TAU47" s="63"/>
      <c r="TAV47" s="63"/>
      <c r="TAW47" s="63"/>
      <c r="TAX47" s="63"/>
      <c r="TAY47" s="63"/>
      <c r="TAZ47" s="63"/>
      <c r="TBA47" s="63"/>
      <c r="TBB47" s="63"/>
      <c r="TBC47" s="63"/>
      <c r="TBD47" s="63"/>
      <c r="TBE47" s="63"/>
      <c r="TBF47" s="63"/>
      <c r="TBG47" s="63"/>
      <c r="TBH47" s="63"/>
      <c r="TBI47" s="63"/>
      <c r="TBJ47" s="63"/>
      <c r="TBK47" s="63"/>
      <c r="TBL47" s="63"/>
      <c r="TBM47" s="63"/>
      <c r="TBN47" s="63"/>
      <c r="TBO47" s="63"/>
      <c r="TBP47" s="63"/>
      <c r="TBQ47" s="63"/>
      <c r="TBR47" s="63"/>
      <c r="TBS47" s="63"/>
      <c r="TBT47" s="63"/>
      <c r="TBU47" s="63"/>
      <c r="TBV47" s="63"/>
      <c r="TBW47" s="63"/>
      <c r="TBX47" s="63"/>
      <c r="TBY47" s="63"/>
      <c r="TBZ47" s="63"/>
      <c r="TCA47" s="63"/>
      <c r="TCB47" s="63"/>
      <c r="TCC47" s="63"/>
      <c r="TCD47" s="63"/>
      <c r="TCE47" s="63"/>
      <c r="TCF47" s="63"/>
      <c r="TCG47" s="63"/>
      <c r="TCH47" s="63"/>
      <c r="TCI47" s="63"/>
      <c r="TCJ47" s="63"/>
      <c r="TCK47" s="63"/>
      <c r="TCL47" s="63"/>
      <c r="TCM47" s="63"/>
      <c r="TCN47" s="63"/>
      <c r="TCO47" s="63"/>
      <c r="TCP47" s="63"/>
      <c r="TCQ47" s="63"/>
      <c r="TCR47" s="63"/>
      <c r="TCS47" s="63"/>
      <c r="TCT47" s="63"/>
      <c r="TCU47" s="63"/>
      <c r="TCV47" s="63"/>
      <c r="TCW47" s="63"/>
      <c r="TCX47" s="63"/>
      <c r="TCY47" s="63"/>
      <c r="TCZ47" s="63"/>
      <c r="TDA47" s="63"/>
      <c r="TDB47" s="63"/>
      <c r="TDC47" s="63"/>
      <c r="TDD47" s="63"/>
      <c r="TDE47" s="63"/>
      <c r="TDF47" s="63"/>
      <c r="TDG47" s="63"/>
      <c r="TDH47" s="63"/>
      <c r="TDI47" s="63"/>
      <c r="TDJ47" s="63"/>
      <c r="TDK47" s="63"/>
      <c r="TDL47" s="63"/>
      <c r="TDM47" s="63"/>
      <c r="TDN47" s="63"/>
      <c r="TDO47" s="63"/>
      <c r="TDP47" s="63"/>
      <c r="TDQ47" s="63"/>
      <c r="TDR47" s="63"/>
      <c r="TDS47" s="63"/>
      <c r="TDT47" s="63"/>
      <c r="TDU47" s="63"/>
      <c r="TDV47" s="63"/>
      <c r="TDW47" s="63"/>
      <c r="TDX47" s="63"/>
      <c r="TDY47" s="63"/>
      <c r="TDZ47" s="63"/>
      <c r="TEA47" s="63"/>
      <c r="TEB47" s="63"/>
      <c r="TEC47" s="63"/>
      <c r="TED47" s="63"/>
      <c r="TEE47" s="63"/>
      <c r="TEF47" s="63"/>
      <c r="TEG47" s="63"/>
      <c r="TEH47" s="63"/>
      <c r="TEI47" s="63"/>
      <c r="TEJ47" s="63"/>
      <c r="TEK47" s="63"/>
      <c r="TEL47" s="63"/>
      <c r="TEM47" s="63"/>
      <c r="TEN47" s="63"/>
      <c r="TEO47" s="63"/>
      <c r="TEP47" s="63"/>
      <c r="TEQ47" s="63"/>
      <c r="TER47" s="63"/>
      <c r="TES47" s="63"/>
      <c r="TET47" s="63"/>
      <c r="TEU47" s="63"/>
      <c r="TEV47" s="63"/>
      <c r="TEW47" s="63"/>
      <c r="TEX47" s="63"/>
      <c r="TEY47" s="63"/>
      <c r="TEZ47" s="63"/>
      <c r="TFA47" s="63"/>
      <c r="TFB47" s="63"/>
      <c r="TFC47" s="63"/>
      <c r="TFD47" s="63"/>
      <c r="TFE47" s="63"/>
      <c r="TFF47" s="63"/>
      <c r="TFG47" s="63"/>
      <c r="TFH47" s="63"/>
      <c r="TFI47" s="63"/>
      <c r="TFJ47" s="63"/>
      <c r="TFK47" s="63"/>
      <c r="TFL47" s="63"/>
      <c r="TFM47" s="63"/>
      <c r="TFN47" s="63"/>
      <c r="TFO47" s="63"/>
      <c r="TFP47" s="63"/>
      <c r="TFQ47" s="63"/>
      <c r="TFR47" s="63"/>
      <c r="TFS47" s="63"/>
      <c r="TFT47" s="63"/>
      <c r="TFU47" s="63"/>
      <c r="TFV47" s="63"/>
      <c r="TFW47" s="63"/>
      <c r="TFX47" s="63"/>
      <c r="TFY47" s="63"/>
      <c r="TFZ47" s="63"/>
      <c r="TGA47" s="63"/>
      <c r="TGB47" s="63"/>
      <c r="TGC47" s="63"/>
      <c r="TGD47" s="63"/>
      <c r="TGE47" s="63"/>
      <c r="TGF47" s="63"/>
      <c r="TGG47" s="63"/>
      <c r="TGH47" s="63"/>
      <c r="TGI47" s="63"/>
      <c r="TGJ47" s="63"/>
      <c r="TGK47" s="63"/>
      <c r="TGL47" s="63"/>
      <c r="TGM47" s="63"/>
      <c r="TGN47" s="63"/>
      <c r="TGO47" s="63"/>
      <c r="TGP47" s="63"/>
      <c r="TGQ47" s="63"/>
      <c r="TGR47" s="63"/>
      <c r="TGS47" s="63"/>
      <c r="TGT47" s="63"/>
      <c r="TGU47" s="63"/>
      <c r="TGV47" s="63"/>
      <c r="TGW47" s="63"/>
      <c r="TGX47" s="63"/>
      <c r="TGY47" s="63"/>
      <c r="TGZ47" s="63"/>
      <c r="THA47" s="63"/>
      <c r="THB47" s="63"/>
      <c r="THC47" s="63"/>
      <c r="THD47" s="63"/>
      <c r="THE47" s="63"/>
      <c r="THF47" s="63"/>
      <c r="THG47" s="63"/>
      <c r="THH47" s="63"/>
      <c r="THI47" s="63"/>
      <c r="THJ47" s="63"/>
      <c r="THK47" s="63"/>
      <c r="THL47" s="63"/>
      <c r="THM47" s="63"/>
      <c r="THN47" s="63"/>
      <c r="THO47" s="63"/>
      <c r="THP47" s="63"/>
      <c r="THQ47" s="63"/>
      <c r="THR47" s="63"/>
      <c r="THS47" s="63"/>
      <c r="THT47" s="63"/>
      <c r="THU47" s="63"/>
      <c r="THV47" s="63"/>
      <c r="THW47" s="63"/>
      <c r="THX47" s="63"/>
      <c r="THY47" s="63"/>
      <c r="THZ47" s="63"/>
      <c r="TIA47" s="63"/>
      <c r="TIB47" s="63"/>
      <c r="TIC47" s="63"/>
      <c r="TID47" s="63"/>
      <c r="TIE47" s="63"/>
      <c r="TIF47" s="63"/>
      <c r="TIG47" s="63"/>
      <c r="TIH47" s="63"/>
      <c r="TII47" s="63"/>
      <c r="TIJ47" s="63"/>
      <c r="TIK47" s="63"/>
      <c r="TIL47" s="63"/>
      <c r="TIM47" s="63"/>
      <c r="TIN47" s="63"/>
      <c r="TIO47" s="63"/>
      <c r="TIP47" s="63"/>
      <c r="TIQ47" s="63"/>
      <c r="TIR47" s="63"/>
      <c r="TIS47" s="63"/>
      <c r="TIT47" s="63"/>
      <c r="TIU47" s="63"/>
      <c r="TIV47" s="63"/>
      <c r="TIW47" s="63"/>
      <c r="TIX47" s="63"/>
      <c r="TIY47" s="63"/>
      <c r="TIZ47" s="63"/>
      <c r="TJA47" s="63"/>
      <c r="TJB47" s="63"/>
      <c r="TJC47" s="63"/>
      <c r="TJD47" s="63"/>
      <c r="TJE47" s="63"/>
      <c r="TJF47" s="63"/>
      <c r="TJG47" s="63"/>
      <c r="TJH47" s="63"/>
      <c r="TJI47" s="63"/>
      <c r="TJJ47" s="63"/>
      <c r="TJK47" s="63"/>
      <c r="TJL47" s="63"/>
      <c r="TJM47" s="63"/>
      <c r="TJN47" s="63"/>
      <c r="TJO47" s="63"/>
      <c r="TJP47" s="63"/>
      <c r="TJQ47" s="63"/>
      <c r="TJR47" s="63"/>
      <c r="TJS47" s="63"/>
      <c r="TJT47" s="63"/>
      <c r="TJU47" s="63"/>
      <c r="TJV47" s="63"/>
      <c r="TJW47" s="63"/>
      <c r="TJX47" s="63"/>
      <c r="TJY47" s="63"/>
      <c r="TJZ47" s="63"/>
      <c r="TKA47" s="63"/>
      <c r="TKB47" s="63"/>
      <c r="TKC47" s="63"/>
      <c r="TKD47" s="63"/>
      <c r="TKE47" s="63"/>
      <c r="TKF47" s="63"/>
      <c r="TKG47" s="63"/>
      <c r="TKH47" s="63"/>
      <c r="TKI47" s="63"/>
      <c r="TKJ47" s="63"/>
      <c r="TKK47" s="63"/>
      <c r="TKL47" s="63"/>
      <c r="TKM47" s="63"/>
      <c r="TKN47" s="63"/>
      <c r="TKO47" s="63"/>
      <c r="TKP47" s="63"/>
      <c r="TKQ47" s="63"/>
      <c r="TKR47" s="63"/>
      <c r="TKS47" s="63"/>
      <c r="TKT47" s="63"/>
      <c r="TKU47" s="63"/>
      <c r="TKV47" s="63"/>
      <c r="TKW47" s="63"/>
      <c r="TKX47" s="63"/>
      <c r="TKY47" s="63"/>
      <c r="TKZ47" s="63"/>
      <c r="TLA47" s="63"/>
      <c r="TLB47" s="63"/>
      <c r="TLC47" s="63"/>
      <c r="TLD47" s="63"/>
      <c r="TLE47" s="63"/>
      <c r="TLF47" s="63"/>
      <c r="TLG47" s="63"/>
      <c r="TLH47" s="63"/>
      <c r="TLI47" s="63"/>
      <c r="TLJ47" s="63"/>
      <c r="TLK47" s="63"/>
      <c r="TLL47" s="63"/>
      <c r="TLM47" s="63"/>
      <c r="TLN47" s="63"/>
      <c r="TLO47" s="63"/>
      <c r="TLP47" s="63"/>
      <c r="TLQ47" s="63"/>
      <c r="TLR47" s="63"/>
      <c r="TLS47" s="63"/>
      <c r="TLT47" s="63"/>
      <c r="TLU47" s="63"/>
      <c r="TLV47" s="63"/>
      <c r="TLW47" s="63"/>
      <c r="TLX47" s="63"/>
      <c r="TLY47" s="63"/>
      <c r="TLZ47" s="63"/>
      <c r="TMA47" s="63"/>
      <c r="TMB47" s="63"/>
      <c r="TMC47" s="63"/>
      <c r="TMD47" s="63"/>
      <c r="TME47" s="63"/>
      <c r="TMF47" s="63"/>
      <c r="TMG47" s="63"/>
      <c r="TMH47" s="63"/>
      <c r="TMI47" s="63"/>
      <c r="TMJ47" s="63"/>
      <c r="TMK47" s="63"/>
      <c r="TML47" s="63"/>
      <c r="TMM47" s="63"/>
      <c r="TMN47" s="63"/>
      <c r="TMO47" s="63"/>
      <c r="TMP47" s="63"/>
      <c r="TMQ47" s="63"/>
      <c r="TMR47" s="63"/>
      <c r="TMS47" s="63"/>
      <c r="TMT47" s="63"/>
      <c r="TMU47" s="63"/>
      <c r="TMV47" s="63"/>
      <c r="TMW47" s="63"/>
      <c r="TMX47" s="63"/>
      <c r="TMY47" s="63"/>
      <c r="TMZ47" s="63"/>
      <c r="TNA47" s="63"/>
      <c r="TNB47" s="63"/>
      <c r="TNC47" s="63"/>
      <c r="TND47" s="63"/>
      <c r="TNE47" s="63"/>
      <c r="TNF47" s="63"/>
      <c r="TNG47" s="63"/>
      <c r="TNH47" s="63"/>
      <c r="TNI47" s="63"/>
      <c r="TNJ47" s="63"/>
      <c r="TNK47" s="63"/>
      <c r="TNL47" s="63"/>
      <c r="TNM47" s="63"/>
      <c r="TNN47" s="63"/>
      <c r="TNO47" s="63"/>
      <c r="TNP47" s="63"/>
      <c r="TNQ47" s="63"/>
      <c r="TNR47" s="63"/>
      <c r="TNS47" s="63"/>
      <c r="TNT47" s="63"/>
      <c r="TNU47" s="63"/>
      <c r="TNV47" s="63"/>
      <c r="TNW47" s="63"/>
      <c r="TNX47" s="63"/>
      <c r="TNY47" s="63"/>
      <c r="TNZ47" s="63"/>
      <c r="TOA47" s="63"/>
      <c r="TOB47" s="63"/>
      <c r="TOC47" s="63"/>
      <c r="TOD47" s="63"/>
      <c r="TOE47" s="63"/>
      <c r="TOF47" s="63"/>
      <c r="TOG47" s="63"/>
      <c r="TOH47" s="63"/>
      <c r="TOI47" s="63"/>
      <c r="TOJ47" s="63"/>
      <c r="TOK47" s="63"/>
      <c r="TOL47" s="63"/>
      <c r="TOM47" s="63"/>
      <c r="TON47" s="63"/>
      <c r="TOO47" s="63"/>
      <c r="TOP47" s="63"/>
      <c r="TOQ47" s="63"/>
      <c r="TOR47" s="63"/>
      <c r="TOS47" s="63"/>
      <c r="TOT47" s="63"/>
      <c r="TOU47" s="63"/>
      <c r="TOV47" s="63"/>
      <c r="TOW47" s="63"/>
      <c r="TOX47" s="63"/>
      <c r="TOY47" s="63"/>
      <c r="TOZ47" s="63"/>
      <c r="TPA47" s="63"/>
      <c r="TPB47" s="63"/>
      <c r="TPC47" s="63"/>
      <c r="TPD47" s="63"/>
      <c r="TPE47" s="63"/>
      <c r="TPF47" s="63"/>
      <c r="TPG47" s="63"/>
      <c r="TPH47" s="63"/>
      <c r="TPI47" s="63"/>
      <c r="TPJ47" s="63"/>
      <c r="TPK47" s="63"/>
      <c r="TPL47" s="63"/>
      <c r="TPM47" s="63"/>
      <c r="TPN47" s="63"/>
      <c r="TPO47" s="63"/>
      <c r="TPP47" s="63"/>
      <c r="TPQ47" s="63"/>
      <c r="TPR47" s="63"/>
      <c r="TPS47" s="63"/>
      <c r="TPT47" s="63"/>
      <c r="TPU47" s="63"/>
      <c r="TPV47" s="63"/>
      <c r="TPW47" s="63"/>
      <c r="TPX47" s="63"/>
      <c r="TPY47" s="63"/>
      <c r="TPZ47" s="63"/>
      <c r="TQA47" s="63"/>
      <c r="TQB47" s="63"/>
      <c r="TQC47" s="63"/>
      <c r="TQD47" s="63"/>
      <c r="TQE47" s="63"/>
      <c r="TQF47" s="63"/>
      <c r="TQG47" s="63"/>
      <c r="TQH47" s="63"/>
      <c r="TQI47" s="63"/>
      <c r="TQJ47" s="63"/>
      <c r="TQK47" s="63"/>
      <c r="TQL47" s="63"/>
      <c r="TQM47" s="63"/>
      <c r="TQN47" s="63"/>
      <c r="TQO47" s="63"/>
      <c r="TQP47" s="63"/>
      <c r="TQQ47" s="63"/>
      <c r="TQR47" s="63"/>
      <c r="TQS47" s="63"/>
      <c r="TQT47" s="63"/>
      <c r="TQU47" s="63"/>
      <c r="TQV47" s="63"/>
      <c r="TQW47" s="63"/>
      <c r="TQX47" s="63"/>
      <c r="TQY47" s="63"/>
      <c r="TQZ47" s="63"/>
      <c r="TRA47" s="63"/>
      <c r="TRB47" s="63"/>
      <c r="TRC47" s="63"/>
      <c r="TRD47" s="63"/>
      <c r="TRE47" s="63"/>
      <c r="TRF47" s="63"/>
      <c r="TRG47" s="63"/>
      <c r="TRH47" s="63"/>
      <c r="TRI47" s="63"/>
      <c r="TRJ47" s="63"/>
      <c r="TRK47" s="63"/>
      <c r="TRL47" s="63"/>
      <c r="TRM47" s="63"/>
      <c r="TRN47" s="63"/>
      <c r="TRO47" s="63"/>
      <c r="TRP47" s="63"/>
      <c r="TRQ47" s="63"/>
      <c r="TRR47" s="63"/>
      <c r="TRS47" s="63"/>
      <c r="TRT47" s="63"/>
      <c r="TRU47" s="63"/>
      <c r="TRV47" s="63"/>
      <c r="TRW47" s="63"/>
      <c r="TRX47" s="63"/>
      <c r="TRY47" s="63"/>
      <c r="TRZ47" s="63"/>
      <c r="TSA47" s="63"/>
      <c r="TSB47" s="63"/>
      <c r="TSC47" s="63"/>
      <c r="TSD47" s="63"/>
      <c r="TSE47" s="63"/>
      <c r="TSF47" s="63"/>
      <c r="TSG47" s="63"/>
      <c r="TSH47" s="63"/>
      <c r="TSI47" s="63"/>
      <c r="TSJ47" s="63"/>
      <c r="TSK47" s="63"/>
      <c r="TSL47" s="63"/>
      <c r="TSM47" s="63"/>
      <c r="TSN47" s="63"/>
      <c r="TSO47" s="63"/>
      <c r="TSP47" s="63"/>
      <c r="TSQ47" s="63"/>
      <c r="TSR47" s="63"/>
      <c r="TSS47" s="63"/>
      <c r="TST47" s="63"/>
      <c r="TSU47" s="63"/>
      <c r="TSV47" s="63"/>
      <c r="TSW47" s="63"/>
      <c r="TSX47" s="63"/>
      <c r="TSY47" s="63"/>
      <c r="TSZ47" s="63"/>
      <c r="TTA47" s="63"/>
      <c r="TTB47" s="63"/>
      <c r="TTC47" s="63"/>
      <c r="TTD47" s="63"/>
      <c r="TTE47" s="63"/>
      <c r="TTF47" s="63"/>
      <c r="TTG47" s="63"/>
      <c r="TTH47" s="63"/>
      <c r="TTI47" s="63"/>
      <c r="TTJ47" s="63"/>
      <c r="TTK47" s="63"/>
      <c r="TTL47" s="63"/>
      <c r="TTM47" s="63"/>
      <c r="TTN47" s="63"/>
      <c r="TTO47" s="63"/>
      <c r="TTP47" s="63"/>
      <c r="TTQ47" s="63"/>
      <c r="TTR47" s="63"/>
      <c r="TTS47" s="63"/>
      <c r="TTT47" s="63"/>
      <c r="TTU47" s="63"/>
      <c r="TTV47" s="63"/>
      <c r="TTW47" s="63"/>
      <c r="TTX47" s="63"/>
      <c r="TTY47" s="63"/>
      <c r="TTZ47" s="63"/>
      <c r="TUA47" s="63"/>
      <c r="TUB47" s="63"/>
      <c r="TUC47" s="63"/>
      <c r="TUD47" s="63"/>
      <c r="TUE47" s="63"/>
      <c r="TUF47" s="63"/>
      <c r="TUG47" s="63"/>
      <c r="TUH47" s="63"/>
      <c r="TUI47" s="63"/>
      <c r="TUJ47" s="63"/>
      <c r="TUK47" s="63"/>
      <c r="TUL47" s="63"/>
      <c r="TUM47" s="63"/>
      <c r="TUN47" s="63"/>
      <c r="TUO47" s="63"/>
      <c r="TUP47" s="63"/>
      <c r="TUQ47" s="63"/>
      <c r="TUR47" s="63"/>
      <c r="TUS47" s="63"/>
      <c r="TUT47" s="63"/>
      <c r="TUU47" s="63"/>
      <c r="TUV47" s="63"/>
      <c r="TUW47" s="63"/>
      <c r="TUX47" s="63"/>
      <c r="TUY47" s="63"/>
      <c r="TUZ47" s="63"/>
      <c r="TVA47" s="63"/>
      <c r="TVB47" s="63"/>
      <c r="TVC47" s="63"/>
      <c r="TVD47" s="63"/>
      <c r="TVE47" s="63"/>
      <c r="TVF47" s="63"/>
      <c r="TVG47" s="63"/>
      <c r="TVH47" s="63"/>
      <c r="TVI47" s="63"/>
      <c r="TVJ47" s="63"/>
      <c r="TVK47" s="63"/>
      <c r="TVL47" s="63"/>
      <c r="TVM47" s="63"/>
      <c r="TVN47" s="63"/>
      <c r="TVO47" s="63"/>
      <c r="TVP47" s="63"/>
      <c r="TVQ47" s="63"/>
      <c r="TVR47" s="63"/>
      <c r="TVS47" s="63"/>
      <c r="TVT47" s="63"/>
      <c r="TVU47" s="63"/>
      <c r="TVV47" s="63"/>
      <c r="TVW47" s="63"/>
      <c r="TVX47" s="63"/>
      <c r="TVY47" s="63"/>
      <c r="TVZ47" s="63"/>
      <c r="TWA47" s="63"/>
      <c r="TWB47" s="63"/>
      <c r="TWC47" s="63"/>
      <c r="TWD47" s="63"/>
      <c r="TWE47" s="63"/>
      <c r="TWF47" s="63"/>
      <c r="TWG47" s="63"/>
      <c r="TWH47" s="63"/>
      <c r="TWI47" s="63"/>
      <c r="TWJ47" s="63"/>
      <c r="TWK47" s="63"/>
      <c r="TWL47" s="63"/>
      <c r="TWM47" s="63"/>
      <c r="TWN47" s="63"/>
      <c r="TWO47" s="63"/>
      <c r="TWP47" s="63"/>
      <c r="TWQ47" s="63"/>
      <c r="TWR47" s="63"/>
      <c r="TWS47" s="63"/>
      <c r="TWT47" s="63"/>
      <c r="TWU47" s="63"/>
      <c r="TWV47" s="63"/>
      <c r="TWW47" s="63"/>
      <c r="TWX47" s="63"/>
      <c r="TWY47" s="63"/>
      <c r="TWZ47" s="63"/>
      <c r="TXA47" s="63"/>
      <c r="TXB47" s="63"/>
      <c r="TXC47" s="63"/>
      <c r="TXD47" s="63"/>
      <c r="TXE47" s="63"/>
      <c r="TXF47" s="63"/>
      <c r="TXG47" s="63"/>
      <c r="TXH47" s="63"/>
      <c r="TXI47" s="63"/>
      <c r="TXJ47" s="63"/>
      <c r="TXK47" s="63"/>
      <c r="TXL47" s="63"/>
      <c r="TXM47" s="63"/>
      <c r="TXN47" s="63"/>
      <c r="TXO47" s="63"/>
      <c r="TXP47" s="63"/>
      <c r="TXQ47" s="63"/>
      <c r="TXR47" s="63"/>
      <c r="TXS47" s="63"/>
      <c r="TXT47" s="63"/>
      <c r="TXU47" s="63"/>
      <c r="TXV47" s="63"/>
      <c r="TXW47" s="63"/>
      <c r="TXX47" s="63"/>
      <c r="TXY47" s="63"/>
      <c r="TXZ47" s="63"/>
      <c r="TYA47" s="63"/>
      <c r="TYB47" s="63"/>
      <c r="TYC47" s="63"/>
      <c r="TYD47" s="63"/>
      <c r="TYE47" s="63"/>
      <c r="TYF47" s="63"/>
      <c r="TYG47" s="63"/>
      <c r="TYH47" s="63"/>
      <c r="TYI47" s="63"/>
      <c r="TYJ47" s="63"/>
      <c r="TYK47" s="63"/>
      <c r="TYL47" s="63"/>
      <c r="TYM47" s="63"/>
      <c r="TYN47" s="63"/>
      <c r="TYO47" s="63"/>
      <c r="TYP47" s="63"/>
      <c r="TYQ47" s="63"/>
      <c r="TYR47" s="63"/>
      <c r="TYS47" s="63"/>
      <c r="TYT47" s="63"/>
      <c r="TYU47" s="63"/>
      <c r="TYV47" s="63"/>
      <c r="TYW47" s="63"/>
      <c r="TYX47" s="63"/>
      <c r="TYY47" s="63"/>
      <c r="TYZ47" s="63"/>
      <c r="TZA47" s="63"/>
      <c r="TZB47" s="63"/>
      <c r="TZC47" s="63"/>
      <c r="TZD47" s="63"/>
      <c r="TZE47" s="63"/>
      <c r="TZF47" s="63"/>
      <c r="TZG47" s="63"/>
      <c r="TZH47" s="63"/>
      <c r="TZI47" s="63"/>
      <c r="TZJ47" s="63"/>
      <c r="TZK47" s="63"/>
      <c r="TZL47" s="63"/>
      <c r="TZM47" s="63"/>
      <c r="TZN47" s="63"/>
      <c r="TZO47" s="63"/>
      <c r="TZP47" s="63"/>
      <c r="TZQ47" s="63"/>
      <c r="TZR47" s="63"/>
      <c r="TZS47" s="63"/>
      <c r="TZT47" s="63"/>
      <c r="TZU47" s="63"/>
      <c r="TZV47" s="63"/>
      <c r="TZW47" s="63"/>
      <c r="TZX47" s="63"/>
      <c r="TZY47" s="63"/>
      <c r="TZZ47" s="63"/>
      <c r="UAA47" s="63"/>
      <c r="UAB47" s="63"/>
      <c r="UAC47" s="63"/>
      <c r="UAD47" s="63"/>
      <c r="UAE47" s="63"/>
      <c r="UAF47" s="63"/>
      <c r="UAG47" s="63"/>
      <c r="UAH47" s="63"/>
      <c r="UAI47" s="63"/>
      <c r="UAJ47" s="63"/>
      <c r="UAK47" s="63"/>
      <c r="UAL47" s="63"/>
      <c r="UAM47" s="63"/>
      <c r="UAN47" s="63"/>
      <c r="UAO47" s="63"/>
      <c r="UAP47" s="63"/>
      <c r="UAQ47" s="63"/>
      <c r="UAR47" s="63"/>
      <c r="UAS47" s="63"/>
      <c r="UAT47" s="63"/>
      <c r="UAU47" s="63"/>
      <c r="UAV47" s="63"/>
      <c r="UAW47" s="63"/>
      <c r="UAX47" s="63"/>
      <c r="UAY47" s="63"/>
      <c r="UAZ47" s="63"/>
      <c r="UBA47" s="63"/>
      <c r="UBB47" s="63"/>
      <c r="UBC47" s="63"/>
      <c r="UBD47" s="63"/>
      <c r="UBE47" s="63"/>
      <c r="UBF47" s="63"/>
      <c r="UBG47" s="63"/>
      <c r="UBH47" s="63"/>
      <c r="UBI47" s="63"/>
      <c r="UBJ47" s="63"/>
      <c r="UBK47" s="63"/>
      <c r="UBL47" s="63"/>
      <c r="UBM47" s="63"/>
      <c r="UBN47" s="63"/>
      <c r="UBO47" s="63"/>
      <c r="UBP47" s="63"/>
      <c r="UBQ47" s="63"/>
      <c r="UBR47" s="63"/>
      <c r="UBS47" s="63"/>
      <c r="UBT47" s="63"/>
      <c r="UBU47" s="63"/>
      <c r="UBV47" s="63"/>
      <c r="UBW47" s="63"/>
      <c r="UBX47" s="63"/>
      <c r="UBY47" s="63"/>
      <c r="UBZ47" s="63"/>
      <c r="UCA47" s="63"/>
      <c r="UCB47" s="63"/>
      <c r="UCC47" s="63"/>
      <c r="UCD47" s="63"/>
      <c r="UCE47" s="63"/>
      <c r="UCF47" s="63"/>
      <c r="UCG47" s="63"/>
      <c r="UCH47" s="63"/>
      <c r="UCI47" s="63"/>
      <c r="UCJ47" s="63"/>
      <c r="UCK47" s="63"/>
      <c r="UCL47" s="63"/>
      <c r="UCM47" s="63"/>
      <c r="UCN47" s="63"/>
      <c r="UCO47" s="63"/>
      <c r="UCP47" s="63"/>
      <c r="UCQ47" s="63"/>
      <c r="UCR47" s="63"/>
      <c r="UCS47" s="63"/>
      <c r="UCT47" s="63"/>
      <c r="UCU47" s="63"/>
      <c r="UCV47" s="63"/>
      <c r="UCW47" s="63"/>
      <c r="UCX47" s="63"/>
      <c r="UCY47" s="63"/>
      <c r="UCZ47" s="63"/>
      <c r="UDA47" s="63"/>
      <c r="UDB47" s="63"/>
      <c r="UDC47" s="63"/>
      <c r="UDD47" s="63"/>
      <c r="UDE47" s="63"/>
      <c r="UDF47" s="63"/>
      <c r="UDG47" s="63"/>
      <c r="UDH47" s="63"/>
      <c r="UDI47" s="63"/>
      <c r="UDJ47" s="63"/>
      <c r="UDK47" s="63"/>
      <c r="UDL47" s="63"/>
      <c r="UDM47" s="63"/>
      <c r="UDN47" s="63"/>
      <c r="UDO47" s="63"/>
      <c r="UDP47" s="63"/>
      <c r="UDQ47" s="63"/>
      <c r="UDR47" s="63"/>
      <c r="UDS47" s="63"/>
      <c r="UDT47" s="63"/>
      <c r="UDU47" s="63"/>
      <c r="UDV47" s="63"/>
      <c r="UDW47" s="63"/>
      <c r="UDX47" s="63"/>
      <c r="UDY47" s="63"/>
      <c r="UDZ47" s="63"/>
      <c r="UEA47" s="63"/>
      <c r="UEB47" s="63"/>
      <c r="UEC47" s="63"/>
      <c r="UED47" s="63"/>
      <c r="UEE47" s="63"/>
      <c r="UEF47" s="63"/>
      <c r="UEG47" s="63"/>
      <c r="UEH47" s="63"/>
      <c r="UEI47" s="63"/>
      <c r="UEJ47" s="63"/>
      <c r="UEK47" s="63"/>
      <c r="UEL47" s="63"/>
      <c r="UEM47" s="63"/>
      <c r="UEN47" s="63"/>
      <c r="UEO47" s="63"/>
      <c r="UEP47" s="63"/>
      <c r="UEQ47" s="63"/>
      <c r="UER47" s="63"/>
      <c r="UES47" s="63"/>
      <c r="UET47" s="63"/>
      <c r="UEU47" s="63"/>
      <c r="UEV47" s="63"/>
      <c r="UEW47" s="63"/>
      <c r="UEX47" s="63"/>
      <c r="UEY47" s="63"/>
      <c r="UEZ47" s="63"/>
      <c r="UFA47" s="63"/>
      <c r="UFB47" s="63"/>
      <c r="UFC47" s="63"/>
      <c r="UFD47" s="63"/>
      <c r="UFE47" s="63"/>
      <c r="UFF47" s="63"/>
      <c r="UFG47" s="63"/>
      <c r="UFH47" s="63"/>
      <c r="UFI47" s="63"/>
      <c r="UFJ47" s="63"/>
      <c r="UFK47" s="63"/>
      <c r="UFL47" s="63"/>
      <c r="UFM47" s="63"/>
      <c r="UFN47" s="63"/>
      <c r="UFO47" s="63"/>
      <c r="UFP47" s="63"/>
      <c r="UFQ47" s="63"/>
      <c r="UFR47" s="63"/>
      <c r="UFS47" s="63"/>
      <c r="UFT47" s="63"/>
      <c r="UFU47" s="63"/>
      <c r="UFV47" s="63"/>
      <c r="UFW47" s="63"/>
      <c r="UFX47" s="63"/>
      <c r="UFY47" s="63"/>
      <c r="UFZ47" s="63"/>
      <c r="UGA47" s="63"/>
      <c r="UGB47" s="63"/>
      <c r="UGC47" s="63"/>
      <c r="UGD47" s="63"/>
      <c r="UGE47" s="63"/>
      <c r="UGF47" s="63"/>
      <c r="UGG47" s="63"/>
      <c r="UGH47" s="63"/>
      <c r="UGI47" s="63"/>
      <c r="UGJ47" s="63"/>
      <c r="UGK47" s="63"/>
      <c r="UGL47" s="63"/>
      <c r="UGM47" s="63"/>
      <c r="UGN47" s="63"/>
      <c r="UGO47" s="63"/>
      <c r="UGP47" s="63"/>
      <c r="UGQ47" s="63"/>
      <c r="UGR47" s="63"/>
      <c r="UGS47" s="63"/>
      <c r="UGT47" s="63"/>
      <c r="UGU47" s="63"/>
      <c r="UGV47" s="63"/>
      <c r="UGW47" s="63"/>
      <c r="UGX47" s="63"/>
      <c r="UGY47" s="63"/>
      <c r="UGZ47" s="63"/>
      <c r="UHA47" s="63"/>
      <c r="UHB47" s="63"/>
      <c r="UHC47" s="63"/>
      <c r="UHD47" s="63"/>
      <c r="UHE47" s="63"/>
      <c r="UHF47" s="63"/>
      <c r="UHG47" s="63"/>
      <c r="UHH47" s="63"/>
      <c r="UHI47" s="63"/>
      <c r="UHJ47" s="63"/>
      <c r="UHK47" s="63"/>
      <c r="UHL47" s="63"/>
      <c r="UHM47" s="63"/>
      <c r="UHN47" s="63"/>
      <c r="UHO47" s="63"/>
      <c r="UHP47" s="63"/>
      <c r="UHQ47" s="63"/>
      <c r="UHR47" s="63"/>
      <c r="UHS47" s="63"/>
      <c r="UHT47" s="63"/>
      <c r="UHU47" s="63"/>
      <c r="UHV47" s="63"/>
      <c r="UHW47" s="63"/>
      <c r="UHX47" s="63"/>
      <c r="UHY47" s="63"/>
      <c r="UHZ47" s="63"/>
      <c r="UIA47" s="63"/>
      <c r="UIB47" s="63"/>
      <c r="UIC47" s="63"/>
      <c r="UID47" s="63"/>
      <c r="UIE47" s="63"/>
      <c r="UIF47" s="63"/>
      <c r="UIG47" s="63"/>
      <c r="UIH47" s="63"/>
      <c r="UII47" s="63"/>
      <c r="UIJ47" s="63"/>
      <c r="UIK47" s="63"/>
      <c r="UIL47" s="63"/>
      <c r="UIM47" s="63"/>
      <c r="UIN47" s="63"/>
      <c r="UIO47" s="63"/>
      <c r="UIP47" s="63"/>
      <c r="UIQ47" s="63"/>
      <c r="UIR47" s="63"/>
      <c r="UIS47" s="63"/>
      <c r="UIT47" s="63"/>
      <c r="UIU47" s="63"/>
      <c r="UIV47" s="63"/>
      <c r="UIW47" s="63"/>
      <c r="UIX47" s="63"/>
      <c r="UIY47" s="63"/>
      <c r="UIZ47" s="63"/>
      <c r="UJA47" s="63"/>
      <c r="UJB47" s="63"/>
      <c r="UJC47" s="63"/>
      <c r="UJD47" s="63"/>
      <c r="UJE47" s="63"/>
      <c r="UJF47" s="63"/>
      <c r="UJG47" s="63"/>
      <c r="UJH47" s="63"/>
      <c r="UJI47" s="63"/>
      <c r="UJJ47" s="63"/>
      <c r="UJK47" s="63"/>
      <c r="UJL47" s="63"/>
      <c r="UJM47" s="63"/>
      <c r="UJN47" s="63"/>
      <c r="UJO47" s="63"/>
      <c r="UJP47" s="63"/>
      <c r="UJQ47" s="63"/>
      <c r="UJR47" s="63"/>
      <c r="UJS47" s="63"/>
      <c r="UJT47" s="63"/>
      <c r="UJU47" s="63"/>
      <c r="UJV47" s="63"/>
      <c r="UJW47" s="63"/>
      <c r="UJX47" s="63"/>
      <c r="UJY47" s="63"/>
      <c r="UJZ47" s="63"/>
      <c r="UKA47" s="63"/>
      <c r="UKB47" s="63"/>
      <c r="UKC47" s="63"/>
      <c r="UKD47" s="63"/>
      <c r="UKE47" s="63"/>
      <c r="UKF47" s="63"/>
      <c r="UKG47" s="63"/>
      <c r="UKH47" s="63"/>
      <c r="UKI47" s="63"/>
      <c r="UKJ47" s="63"/>
      <c r="UKK47" s="63"/>
      <c r="UKL47" s="63"/>
      <c r="UKM47" s="63"/>
      <c r="UKN47" s="63"/>
      <c r="UKO47" s="63"/>
      <c r="UKP47" s="63"/>
      <c r="UKQ47" s="63"/>
      <c r="UKR47" s="63"/>
      <c r="UKS47" s="63"/>
      <c r="UKT47" s="63"/>
      <c r="UKU47" s="63"/>
      <c r="UKV47" s="63"/>
      <c r="UKW47" s="63"/>
      <c r="UKX47" s="63"/>
      <c r="UKY47" s="63"/>
      <c r="UKZ47" s="63"/>
      <c r="ULA47" s="63"/>
      <c r="ULB47" s="63"/>
      <c r="ULC47" s="63"/>
      <c r="ULD47" s="63"/>
      <c r="ULE47" s="63"/>
      <c r="ULF47" s="63"/>
      <c r="ULG47" s="63"/>
      <c r="ULH47" s="63"/>
      <c r="ULI47" s="63"/>
      <c r="ULJ47" s="63"/>
      <c r="ULK47" s="63"/>
      <c r="ULL47" s="63"/>
      <c r="ULM47" s="63"/>
      <c r="ULN47" s="63"/>
      <c r="ULO47" s="63"/>
      <c r="ULP47" s="63"/>
      <c r="ULQ47" s="63"/>
      <c r="ULR47" s="63"/>
      <c r="ULS47" s="63"/>
      <c r="ULT47" s="63"/>
      <c r="ULU47" s="63"/>
      <c r="ULV47" s="63"/>
      <c r="ULW47" s="63"/>
      <c r="ULX47" s="63"/>
      <c r="ULY47" s="63"/>
      <c r="ULZ47" s="63"/>
      <c r="UMA47" s="63"/>
      <c r="UMB47" s="63"/>
      <c r="UMC47" s="63"/>
      <c r="UMD47" s="63"/>
      <c r="UME47" s="63"/>
      <c r="UMF47" s="63"/>
      <c r="UMG47" s="63"/>
      <c r="UMH47" s="63"/>
      <c r="UMI47" s="63"/>
      <c r="UMJ47" s="63"/>
      <c r="UMK47" s="63"/>
      <c r="UML47" s="63"/>
      <c r="UMM47" s="63"/>
      <c r="UMN47" s="63"/>
      <c r="UMO47" s="63"/>
      <c r="UMP47" s="63"/>
      <c r="UMQ47" s="63"/>
      <c r="UMR47" s="63"/>
      <c r="UMS47" s="63"/>
      <c r="UMT47" s="63"/>
      <c r="UMU47" s="63"/>
      <c r="UMV47" s="63"/>
      <c r="UMW47" s="63"/>
      <c r="UMX47" s="63"/>
      <c r="UMY47" s="63"/>
      <c r="UMZ47" s="63"/>
      <c r="UNA47" s="63"/>
      <c r="UNB47" s="63"/>
      <c r="UNC47" s="63"/>
      <c r="UND47" s="63"/>
      <c r="UNE47" s="63"/>
      <c r="UNF47" s="63"/>
      <c r="UNG47" s="63"/>
      <c r="UNH47" s="63"/>
      <c r="UNI47" s="63"/>
      <c r="UNJ47" s="63"/>
      <c r="UNK47" s="63"/>
      <c r="UNL47" s="63"/>
      <c r="UNM47" s="63"/>
      <c r="UNN47" s="63"/>
      <c r="UNO47" s="63"/>
      <c r="UNP47" s="63"/>
      <c r="UNQ47" s="63"/>
      <c r="UNR47" s="63"/>
      <c r="UNS47" s="63"/>
      <c r="UNT47" s="63"/>
      <c r="UNU47" s="63"/>
      <c r="UNV47" s="63"/>
      <c r="UNW47" s="63"/>
      <c r="UNX47" s="63"/>
      <c r="UNY47" s="63"/>
      <c r="UNZ47" s="63"/>
      <c r="UOA47" s="63"/>
      <c r="UOB47" s="63"/>
      <c r="UOC47" s="63"/>
      <c r="UOD47" s="63"/>
      <c r="UOE47" s="63"/>
      <c r="UOF47" s="63"/>
      <c r="UOG47" s="63"/>
      <c r="UOH47" s="63"/>
      <c r="UOI47" s="63"/>
      <c r="UOJ47" s="63"/>
      <c r="UOK47" s="63"/>
      <c r="UOL47" s="63"/>
      <c r="UOM47" s="63"/>
      <c r="UON47" s="63"/>
      <c r="UOO47" s="63"/>
      <c r="UOP47" s="63"/>
      <c r="UOQ47" s="63"/>
      <c r="UOR47" s="63"/>
      <c r="UOS47" s="63"/>
      <c r="UOT47" s="63"/>
      <c r="UOU47" s="63"/>
      <c r="UOV47" s="63"/>
      <c r="UOW47" s="63"/>
      <c r="UOX47" s="63"/>
      <c r="UOY47" s="63"/>
      <c r="UOZ47" s="63"/>
      <c r="UPA47" s="63"/>
      <c r="UPB47" s="63"/>
      <c r="UPC47" s="63"/>
      <c r="UPD47" s="63"/>
      <c r="UPE47" s="63"/>
      <c r="UPF47" s="63"/>
      <c r="UPG47" s="63"/>
      <c r="UPH47" s="63"/>
      <c r="UPI47" s="63"/>
      <c r="UPJ47" s="63"/>
      <c r="UPK47" s="63"/>
      <c r="UPL47" s="63"/>
      <c r="UPM47" s="63"/>
      <c r="UPN47" s="63"/>
      <c r="UPO47" s="63"/>
      <c r="UPP47" s="63"/>
      <c r="UPQ47" s="63"/>
      <c r="UPR47" s="63"/>
      <c r="UPS47" s="63"/>
      <c r="UPT47" s="63"/>
      <c r="UPU47" s="63"/>
      <c r="UPV47" s="63"/>
      <c r="UPW47" s="63"/>
      <c r="UPX47" s="63"/>
      <c r="UPY47" s="63"/>
      <c r="UPZ47" s="63"/>
      <c r="UQA47" s="63"/>
      <c r="UQB47" s="63"/>
      <c r="UQC47" s="63"/>
      <c r="UQD47" s="63"/>
      <c r="UQE47" s="63"/>
      <c r="UQF47" s="63"/>
      <c r="UQG47" s="63"/>
      <c r="UQH47" s="63"/>
      <c r="UQI47" s="63"/>
      <c r="UQJ47" s="63"/>
      <c r="UQK47" s="63"/>
      <c r="UQL47" s="63"/>
      <c r="UQM47" s="63"/>
      <c r="UQN47" s="63"/>
      <c r="UQO47" s="63"/>
      <c r="UQP47" s="63"/>
      <c r="UQQ47" s="63"/>
      <c r="UQR47" s="63"/>
      <c r="UQS47" s="63"/>
      <c r="UQT47" s="63"/>
      <c r="UQU47" s="63"/>
      <c r="UQV47" s="63"/>
      <c r="UQW47" s="63"/>
      <c r="UQX47" s="63"/>
      <c r="UQY47" s="63"/>
      <c r="UQZ47" s="63"/>
      <c r="URA47" s="63"/>
      <c r="URB47" s="63"/>
      <c r="URC47" s="63"/>
      <c r="URD47" s="63"/>
      <c r="URE47" s="63"/>
      <c r="URF47" s="63"/>
      <c r="URG47" s="63"/>
      <c r="URH47" s="63"/>
      <c r="URI47" s="63"/>
      <c r="URJ47" s="63"/>
      <c r="URK47" s="63"/>
      <c r="URL47" s="63"/>
      <c r="URM47" s="63"/>
      <c r="URN47" s="63"/>
      <c r="URO47" s="63"/>
      <c r="URP47" s="63"/>
      <c r="URQ47" s="63"/>
      <c r="URR47" s="63"/>
      <c r="URS47" s="63"/>
      <c r="URT47" s="63"/>
      <c r="URU47" s="63"/>
      <c r="URV47" s="63"/>
      <c r="URW47" s="63"/>
      <c r="URX47" s="63"/>
      <c r="URY47" s="63"/>
      <c r="URZ47" s="63"/>
      <c r="USA47" s="63"/>
      <c r="USB47" s="63"/>
      <c r="USC47" s="63"/>
      <c r="USD47" s="63"/>
      <c r="USE47" s="63"/>
      <c r="USF47" s="63"/>
      <c r="USG47" s="63"/>
      <c r="USH47" s="63"/>
      <c r="USI47" s="63"/>
      <c r="USJ47" s="63"/>
      <c r="USK47" s="63"/>
      <c r="USL47" s="63"/>
      <c r="USM47" s="63"/>
      <c r="USN47" s="63"/>
      <c r="USO47" s="63"/>
      <c r="USP47" s="63"/>
      <c r="USQ47" s="63"/>
      <c r="USR47" s="63"/>
      <c r="USS47" s="63"/>
      <c r="UST47" s="63"/>
      <c r="USU47" s="63"/>
      <c r="USV47" s="63"/>
      <c r="USW47" s="63"/>
      <c r="USX47" s="63"/>
      <c r="USY47" s="63"/>
      <c r="USZ47" s="63"/>
      <c r="UTA47" s="63"/>
      <c r="UTB47" s="63"/>
      <c r="UTC47" s="63"/>
      <c r="UTD47" s="63"/>
      <c r="UTE47" s="63"/>
      <c r="UTF47" s="63"/>
      <c r="UTG47" s="63"/>
      <c r="UTH47" s="63"/>
      <c r="UTI47" s="63"/>
      <c r="UTJ47" s="63"/>
      <c r="UTK47" s="63"/>
      <c r="UTL47" s="63"/>
      <c r="UTM47" s="63"/>
      <c r="UTN47" s="63"/>
      <c r="UTO47" s="63"/>
      <c r="UTP47" s="63"/>
      <c r="UTQ47" s="63"/>
      <c r="UTR47" s="63"/>
      <c r="UTS47" s="63"/>
      <c r="UTT47" s="63"/>
      <c r="UTU47" s="63"/>
      <c r="UTV47" s="63"/>
      <c r="UTW47" s="63"/>
      <c r="UTX47" s="63"/>
      <c r="UTY47" s="63"/>
      <c r="UTZ47" s="63"/>
      <c r="UUA47" s="63"/>
      <c r="UUB47" s="63"/>
      <c r="UUC47" s="63"/>
      <c r="UUD47" s="63"/>
      <c r="UUE47" s="63"/>
      <c r="UUF47" s="63"/>
      <c r="UUG47" s="63"/>
      <c r="UUH47" s="63"/>
      <c r="UUI47" s="63"/>
      <c r="UUJ47" s="63"/>
      <c r="UUK47" s="63"/>
      <c r="UUL47" s="63"/>
      <c r="UUM47" s="63"/>
      <c r="UUN47" s="63"/>
      <c r="UUO47" s="63"/>
      <c r="UUP47" s="63"/>
      <c r="UUQ47" s="63"/>
      <c r="UUR47" s="63"/>
      <c r="UUS47" s="63"/>
      <c r="UUT47" s="63"/>
      <c r="UUU47" s="63"/>
      <c r="UUV47" s="63"/>
      <c r="UUW47" s="63"/>
      <c r="UUX47" s="63"/>
      <c r="UUY47" s="63"/>
      <c r="UUZ47" s="63"/>
      <c r="UVA47" s="63"/>
      <c r="UVB47" s="63"/>
      <c r="UVC47" s="63"/>
      <c r="UVD47" s="63"/>
      <c r="UVE47" s="63"/>
      <c r="UVF47" s="63"/>
      <c r="UVG47" s="63"/>
      <c r="UVH47" s="63"/>
      <c r="UVI47" s="63"/>
      <c r="UVJ47" s="63"/>
      <c r="UVK47" s="63"/>
      <c r="UVL47" s="63"/>
      <c r="UVM47" s="63"/>
      <c r="UVN47" s="63"/>
      <c r="UVO47" s="63"/>
      <c r="UVP47" s="63"/>
      <c r="UVQ47" s="63"/>
      <c r="UVR47" s="63"/>
      <c r="UVS47" s="63"/>
      <c r="UVT47" s="63"/>
      <c r="UVU47" s="63"/>
      <c r="UVV47" s="63"/>
      <c r="UVW47" s="63"/>
      <c r="UVX47" s="63"/>
      <c r="UVY47" s="63"/>
      <c r="UVZ47" s="63"/>
      <c r="UWA47" s="63"/>
      <c r="UWB47" s="63"/>
      <c r="UWC47" s="63"/>
      <c r="UWD47" s="63"/>
      <c r="UWE47" s="63"/>
      <c r="UWF47" s="63"/>
      <c r="UWG47" s="63"/>
      <c r="UWH47" s="63"/>
      <c r="UWI47" s="63"/>
      <c r="UWJ47" s="63"/>
      <c r="UWK47" s="63"/>
      <c r="UWL47" s="63"/>
      <c r="UWM47" s="63"/>
      <c r="UWN47" s="63"/>
      <c r="UWO47" s="63"/>
      <c r="UWP47" s="63"/>
      <c r="UWQ47" s="63"/>
      <c r="UWR47" s="63"/>
      <c r="UWS47" s="63"/>
      <c r="UWT47" s="63"/>
      <c r="UWU47" s="63"/>
      <c r="UWV47" s="63"/>
      <c r="UWW47" s="63"/>
      <c r="UWX47" s="63"/>
      <c r="UWY47" s="63"/>
      <c r="UWZ47" s="63"/>
      <c r="UXA47" s="63"/>
      <c r="UXB47" s="63"/>
      <c r="UXC47" s="63"/>
      <c r="UXD47" s="63"/>
      <c r="UXE47" s="63"/>
      <c r="UXF47" s="63"/>
      <c r="UXG47" s="63"/>
      <c r="UXH47" s="63"/>
      <c r="UXI47" s="63"/>
      <c r="UXJ47" s="63"/>
      <c r="UXK47" s="63"/>
      <c r="UXL47" s="63"/>
      <c r="UXM47" s="63"/>
      <c r="UXN47" s="63"/>
      <c r="UXO47" s="63"/>
      <c r="UXP47" s="63"/>
      <c r="UXQ47" s="63"/>
      <c r="UXR47" s="63"/>
      <c r="UXS47" s="63"/>
      <c r="UXT47" s="63"/>
      <c r="UXU47" s="63"/>
      <c r="UXV47" s="63"/>
      <c r="UXW47" s="63"/>
      <c r="UXX47" s="63"/>
      <c r="UXY47" s="63"/>
      <c r="UXZ47" s="63"/>
      <c r="UYA47" s="63"/>
      <c r="UYB47" s="63"/>
      <c r="UYC47" s="63"/>
      <c r="UYD47" s="63"/>
      <c r="UYE47" s="63"/>
      <c r="UYF47" s="63"/>
      <c r="UYG47" s="63"/>
      <c r="UYH47" s="63"/>
      <c r="UYI47" s="63"/>
      <c r="UYJ47" s="63"/>
      <c r="UYK47" s="63"/>
      <c r="UYL47" s="63"/>
      <c r="UYM47" s="63"/>
      <c r="UYN47" s="63"/>
      <c r="UYO47" s="63"/>
      <c r="UYP47" s="63"/>
      <c r="UYQ47" s="63"/>
      <c r="UYR47" s="63"/>
      <c r="UYS47" s="63"/>
      <c r="UYT47" s="63"/>
      <c r="UYU47" s="63"/>
      <c r="UYV47" s="63"/>
      <c r="UYW47" s="63"/>
      <c r="UYX47" s="63"/>
      <c r="UYY47" s="63"/>
      <c r="UYZ47" s="63"/>
      <c r="UZA47" s="63"/>
      <c r="UZB47" s="63"/>
      <c r="UZC47" s="63"/>
      <c r="UZD47" s="63"/>
      <c r="UZE47" s="63"/>
      <c r="UZF47" s="63"/>
      <c r="UZG47" s="63"/>
      <c r="UZH47" s="63"/>
      <c r="UZI47" s="63"/>
      <c r="UZJ47" s="63"/>
      <c r="UZK47" s="63"/>
      <c r="UZL47" s="63"/>
      <c r="UZM47" s="63"/>
      <c r="UZN47" s="63"/>
      <c r="UZO47" s="63"/>
      <c r="UZP47" s="63"/>
      <c r="UZQ47" s="63"/>
      <c r="UZR47" s="63"/>
      <c r="UZS47" s="63"/>
      <c r="UZT47" s="63"/>
      <c r="UZU47" s="63"/>
      <c r="UZV47" s="63"/>
      <c r="UZW47" s="63"/>
      <c r="UZX47" s="63"/>
      <c r="UZY47" s="63"/>
      <c r="UZZ47" s="63"/>
      <c r="VAA47" s="63"/>
      <c r="VAB47" s="63"/>
      <c r="VAC47" s="63"/>
      <c r="VAD47" s="63"/>
      <c r="VAE47" s="63"/>
      <c r="VAF47" s="63"/>
      <c r="VAG47" s="63"/>
      <c r="VAH47" s="63"/>
      <c r="VAI47" s="63"/>
      <c r="VAJ47" s="63"/>
      <c r="VAK47" s="63"/>
      <c r="VAL47" s="63"/>
      <c r="VAM47" s="63"/>
      <c r="VAN47" s="63"/>
      <c r="VAO47" s="63"/>
      <c r="VAP47" s="63"/>
      <c r="VAQ47" s="63"/>
      <c r="VAR47" s="63"/>
      <c r="VAS47" s="63"/>
      <c r="VAT47" s="63"/>
      <c r="VAU47" s="63"/>
      <c r="VAV47" s="63"/>
      <c r="VAW47" s="63"/>
      <c r="VAX47" s="63"/>
      <c r="VAY47" s="63"/>
      <c r="VAZ47" s="63"/>
      <c r="VBA47" s="63"/>
      <c r="VBB47" s="63"/>
      <c r="VBC47" s="63"/>
      <c r="VBD47" s="63"/>
      <c r="VBE47" s="63"/>
      <c r="VBF47" s="63"/>
      <c r="VBG47" s="63"/>
      <c r="VBH47" s="63"/>
      <c r="VBI47" s="63"/>
      <c r="VBJ47" s="63"/>
      <c r="VBK47" s="63"/>
      <c r="VBL47" s="63"/>
      <c r="VBM47" s="63"/>
      <c r="VBN47" s="63"/>
      <c r="VBO47" s="63"/>
      <c r="VBP47" s="63"/>
      <c r="VBQ47" s="63"/>
      <c r="VBR47" s="63"/>
      <c r="VBS47" s="63"/>
      <c r="VBT47" s="63"/>
      <c r="VBU47" s="63"/>
      <c r="VBV47" s="63"/>
      <c r="VBW47" s="63"/>
      <c r="VBX47" s="63"/>
      <c r="VBY47" s="63"/>
      <c r="VBZ47" s="63"/>
      <c r="VCA47" s="63"/>
      <c r="VCB47" s="63"/>
      <c r="VCC47" s="63"/>
      <c r="VCD47" s="63"/>
      <c r="VCE47" s="63"/>
      <c r="VCF47" s="63"/>
      <c r="VCG47" s="63"/>
      <c r="VCH47" s="63"/>
      <c r="VCI47" s="63"/>
      <c r="VCJ47" s="63"/>
      <c r="VCK47" s="63"/>
      <c r="VCL47" s="63"/>
      <c r="VCM47" s="63"/>
      <c r="VCN47" s="63"/>
      <c r="VCO47" s="63"/>
      <c r="VCP47" s="63"/>
      <c r="VCQ47" s="63"/>
      <c r="VCR47" s="63"/>
      <c r="VCS47" s="63"/>
      <c r="VCT47" s="63"/>
      <c r="VCU47" s="63"/>
      <c r="VCV47" s="63"/>
      <c r="VCW47" s="63"/>
      <c r="VCX47" s="63"/>
      <c r="VCY47" s="63"/>
      <c r="VCZ47" s="63"/>
      <c r="VDA47" s="63"/>
      <c r="VDB47" s="63"/>
      <c r="VDC47" s="63"/>
      <c r="VDD47" s="63"/>
      <c r="VDE47" s="63"/>
      <c r="VDF47" s="63"/>
      <c r="VDG47" s="63"/>
      <c r="VDH47" s="63"/>
      <c r="VDI47" s="63"/>
      <c r="VDJ47" s="63"/>
      <c r="VDK47" s="63"/>
      <c r="VDL47" s="63"/>
      <c r="VDM47" s="63"/>
      <c r="VDN47" s="63"/>
      <c r="VDO47" s="63"/>
      <c r="VDP47" s="63"/>
      <c r="VDQ47" s="63"/>
      <c r="VDR47" s="63"/>
      <c r="VDS47" s="63"/>
      <c r="VDT47" s="63"/>
      <c r="VDU47" s="63"/>
      <c r="VDV47" s="63"/>
      <c r="VDW47" s="63"/>
      <c r="VDX47" s="63"/>
      <c r="VDY47" s="63"/>
      <c r="VDZ47" s="63"/>
      <c r="VEA47" s="63"/>
      <c r="VEB47" s="63"/>
      <c r="VEC47" s="63"/>
      <c r="VED47" s="63"/>
      <c r="VEE47" s="63"/>
      <c r="VEF47" s="63"/>
      <c r="VEG47" s="63"/>
      <c r="VEH47" s="63"/>
      <c r="VEI47" s="63"/>
      <c r="VEJ47" s="63"/>
      <c r="VEK47" s="63"/>
      <c r="VEL47" s="63"/>
      <c r="VEM47" s="63"/>
      <c r="VEN47" s="63"/>
      <c r="VEO47" s="63"/>
      <c r="VEP47" s="63"/>
      <c r="VEQ47" s="63"/>
      <c r="VER47" s="63"/>
      <c r="VES47" s="63"/>
      <c r="VET47" s="63"/>
      <c r="VEU47" s="63"/>
      <c r="VEV47" s="63"/>
      <c r="VEW47" s="63"/>
      <c r="VEX47" s="63"/>
    </row>
    <row r="48" spans="1:15026" s="74" customFormat="1" ht="15" hidden="1" customHeight="1">
      <c r="A48" s="16"/>
      <c r="B48" s="16"/>
      <c r="C48" s="17"/>
      <c r="D48" s="11" t="s">
        <v>71</v>
      </c>
      <c r="E48" s="257"/>
      <c r="F48" s="12" t="s">
        <v>14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1965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16"/>
      <c r="AM48" s="55">
        <f>SUM(G48:AK48)</f>
        <v>0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45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6"/>
      <c r="WJ48" s="16"/>
      <c r="WK48" s="16"/>
      <c r="WL48" s="16"/>
      <c r="WM48" s="16"/>
      <c r="WN48" s="16"/>
      <c r="WO48" s="16"/>
      <c r="WP48" s="16"/>
      <c r="WQ48" s="16"/>
      <c r="WR48" s="16"/>
      <c r="WS48" s="16"/>
      <c r="WT48" s="16"/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6"/>
      <c r="ABZ48" s="16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6"/>
      <c r="AGW48" s="16"/>
      <c r="AGX48" s="16"/>
      <c r="AGY48" s="16"/>
      <c r="AGZ48" s="16"/>
      <c r="AHA48" s="16"/>
      <c r="AHB48" s="16"/>
      <c r="AHC48" s="16"/>
      <c r="AHD48" s="16"/>
      <c r="AHE48" s="16"/>
      <c r="AHF48" s="16"/>
      <c r="AHG48" s="16"/>
      <c r="AHH48" s="16"/>
      <c r="AHI48" s="16"/>
      <c r="AHJ48" s="16"/>
      <c r="AHK48" s="16"/>
      <c r="AHL48" s="16"/>
      <c r="AHM48" s="16"/>
      <c r="AHN48" s="16"/>
      <c r="AHO48" s="16"/>
      <c r="AHP48" s="16"/>
      <c r="AHQ48" s="16"/>
      <c r="AHR48" s="16"/>
      <c r="AHS48" s="16"/>
      <c r="AHT48" s="16"/>
      <c r="AHU48" s="16"/>
      <c r="AHV48" s="16"/>
      <c r="AHW48" s="16"/>
      <c r="AHX48" s="16"/>
      <c r="AHY48" s="16"/>
      <c r="AHZ48" s="16"/>
      <c r="AIA48" s="16"/>
      <c r="AIB48" s="16"/>
      <c r="AIC48" s="16"/>
      <c r="AID48" s="16"/>
      <c r="AIE48" s="16"/>
      <c r="AIF48" s="16"/>
      <c r="AIG48" s="16"/>
      <c r="AIH48" s="16"/>
      <c r="AII48" s="16"/>
      <c r="AIJ48" s="16"/>
      <c r="AIK48" s="16"/>
      <c r="AIL48" s="16"/>
      <c r="AIM48" s="16"/>
      <c r="AIN48" s="16"/>
      <c r="AIO48" s="16"/>
      <c r="AIP48" s="16"/>
      <c r="AIQ48" s="16"/>
      <c r="AIR48" s="16"/>
      <c r="AIS48" s="16"/>
      <c r="AIT48" s="16"/>
      <c r="AIU48" s="16"/>
      <c r="AIV48" s="16"/>
      <c r="AIW48" s="16"/>
      <c r="AIX48" s="16"/>
      <c r="AIY48" s="16"/>
      <c r="AIZ48" s="16"/>
      <c r="AJA48" s="16"/>
      <c r="AJB48" s="16"/>
      <c r="AJC48" s="16"/>
      <c r="AJD48" s="16"/>
      <c r="AJE48" s="16"/>
      <c r="AJF48" s="16"/>
      <c r="AJG48" s="16"/>
      <c r="AJH48" s="16"/>
      <c r="AJI48" s="16"/>
      <c r="AJJ48" s="16"/>
      <c r="AJK48" s="16"/>
      <c r="AJL48" s="16"/>
      <c r="AJM48" s="16"/>
      <c r="AJN48" s="16"/>
      <c r="AJO48" s="16"/>
      <c r="AJP48" s="16"/>
      <c r="AJQ48" s="16"/>
      <c r="AJR48" s="16"/>
      <c r="AJS48" s="16"/>
      <c r="AJT48" s="16"/>
      <c r="AJU48" s="16"/>
      <c r="AJV48" s="16"/>
      <c r="AJW48" s="16"/>
      <c r="AJX48" s="16"/>
      <c r="AJY48" s="16"/>
      <c r="AJZ48" s="16"/>
      <c r="AKA48" s="16"/>
      <c r="AKB48" s="16"/>
      <c r="AKC48" s="16"/>
      <c r="AKD48" s="16"/>
      <c r="AKE48" s="16"/>
      <c r="AKF48" s="16"/>
      <c r="AKG48" s="16"/>
      <c r="AKH48" s="16"/>
      <c r="AKI48" s="16"/>
      <c r="AKJ48" s="16"/>
      <c r="AKK48" s="16"/>
      <c r="AKL48" s="16"/>
      <c r="AKM48" s="16"/>
      <c r="AKN48" s="16"/>
      <c r="AKO48" s="16"/>
      <c r="AKP48" s="16"/>
      <c r="AKQ48" s="16"/>
      <c r="AKR48" s="16"/>
      <c r="AKS48" s="16"/>
      <c r="AKT48" s="16"/>
      <c r="AKU48" s="16"/>
      <c r="AKV48" s="16"/>
      <c r="AKW48" s="16"/>
      <c r="AKX48" s="16"/>
      <c r="AKY48" s="16"/>
      <c r="AKZ48" s="16"/>
      <c r="ALA48" s="16"/>
      <c r="ALB48" s="16"/>
      <c r="ALC48" s="16"/>
      <c r="ALD48" s="16"/>
      <c r="ALE48" s="16"/>
      <c r="ALF48" s="16"/>
      <c r="ALG48" s="16"/>
      <c r="ALH48" s="16"/>
      <c r="ALI48" s="16"/>
      <c r="ALJ48" s="16"/>
      <c r="ALK48" s="16"/>
      <c r="ALL48" s="16"/>
      <c r="ALM48" s="16"/>
      <c r="ALN48" s="16"/>
      <c r="ALO48" s="16"/>
      <c r="ALP48" s="16"/>
      <c r="ALQ48" s="16"/>
      <c r="ALR48" s="16"/>
      <c r="ALS48" s="16"/>
      <c r="ALT48" s="16"/>
      <c r="ALU48" s="16"/>
      <c r="ALV48" s="16"/>
      <c r="ALW48" s="16"/>
      <c r="ALX48" s="16"/>
      <c r="ALY48" s="16"/>
      <c r="ALZ48" s="16"/>
      <c r="AMA48" s="16"/>
      <c r="AMB48" s="16"/>
      <c r="AMC48" s="16"/>
      <c r="AMD48" s="16"/>
      <c r="AME48" s="16"/>
      <c r="AMF48" s="16"/>
      <c r="AMG48" s="16"/>
      <c r="AMH48" s="16"/>
      <c r="AMI48" s="16"/>
      <c r="AMJ48" s="16"/>
      <c r="AMK48" s="16"/>
      <c r="AML48" s="16"/>
      <c r="AMM48" s="16"/>
      <c r="AMN48" s="16"/>
      <c r="AMO48" s="16"/>
      <c r="AMP48" s="16"/>
      <c r="AMQ48" s="16"/>
      <c r="AMR48" s="16"/>
      <c r="AMS48" s="16"/>
      <c r="AMT48" s="16"/>
      <c r="AMU48" s="16"/>
      <c r="AMV48" s="16"/>
      <c r="AMW48" s="16"/>
      <c r="AMX48" s="16"/>
      <c r="AMY48" s="16"/>
      <c r="AMZ48" s="16"/>
      <c r="ANA48" s="16"/>
      <c r="ANB48" s="16"/>
      <c r="ANC48" s="16"/>
      <c r="AND48" s="16"/>
      <c r="ANE48" s="16"/>
      <c r="ANF48" s="16"/>
      <c r="ANG48" s="16"/>
      <c r="ANH48" s="16"/>
      <c r="ANI48" s="16"/>
      <c r="ANJ48" s="16"/>
      <c r="ANK48" s="16"/>
      <c r="ANL48" s="16"/>
      <c r="ANM48" s="16"/>
      <c r="ANN48" s="16"/>
      <c r="ANO48" s="16"/>
      <c r="ANP48" s="16"/>
      <c r="ANQ48" s="16"/>
      <c r="ANR48" s="16"/>
      <c r="ANS48" s="16"/>
      <c r="ANT48" s="16"/>
      <c r="ANU48" s="16"/>
      <c r="ANV48" s="16"/>
      <c r="ANW48" s="16"/>
      <c r="ANX48" s="16"/>
      <c r="ANY48" s="16"/>
      <c r="ANZ48" s="16"/>
      <c r="AOA48" s="16"/>
      <c r="AOB48" s="16"/>
      <c r="AOC48" s="16"/>
      <c r="AOD48" s="16"/>
      <c r="AOE48" s="16"/>
      <c r="AOF48" s="16"/>
      <c r="AOG48" s="16"/>
      <c r="AOH48" s="16"/>
      <c r="AOI48" s="16"/>
      <c r="AOJ48" s="16"/>
      <c r="AOK48" s="16"/>
      <c r="AOL48" s="16"/>
      <c r="AOM48" s="16"/>
      <c r="AON48" s="16"/>
      <c r="AOO48" s="16"/>
      <c r="AOP48" s="16"/>
      <c r="AOQ48" s="16"/>
      <c r="AOR48" s="16"/>
      <c r="AOS48" s="16"/>
      <c r="AOT48" s="16"/>
      <c r="AOU48" s="16"/>
      <c r="AOV48" s="16"/>
      <c r="AOW48" s="16"/>
      <c r="AOX48" s="16"/>
      <c r="AOY48" s="16"/>
      <c r="AOZ48" s="16"/>
      <c r="APA48" s="16"/>
      <c r="APB48" s="16"/>
      <c r="APC48" s="16"/>
      <c r="APD48" s="16"/>
      <c r="APE48" s="16"/>
      <c r="APF48" s="16"/>
      <c r="APG48" s="16"/>
      <c r="APH48" s="16"/>
      <c r="API48" s="16"/>
      <c r="APJ48" s="16"/>
      <c r="APK48" s="16"/>
      <c r="APL48" s="16"/>
      <c r="APM48" s="16"/>
      <c r="APN48" s="16"/>
      <c r="APO48" s="16"/>
      <c r="APP48" s="16"/>
      <c r="APQ48" s="16"/>
      <c r="APR48" s="16"/>
      <c r="APS48" s="16"/>
      <c r="APT48" s="16"/>
      <c r="APU48" s="16"/>
      <c r="APV48" s="16"/>
      <c r="APW48" s="16"/>
      <c r="APX48" s="16"/>
      <c r="APY48" s="16"/>
      <c r="APZ48" s="16"/>
      <c r="AQA48" s="16"/>
      <c r="AQB48" s="16"/>
      <c r="AQC48" s="16"/>
      <c r="AQD48" s="16"/>
      <c r="AQE48" s="16"/>
      <c r="AQF48" s="16"/>
      <c r="AQG48" s="16"/>
      <c r="AQH48" s="16"/>
      <c r="AQI48" s="16"/>
      <c r="AQJ48" s="16"/>
      <c r="AQK48" s="16"/>
      <c r="AQL48" s="16"/>
      <c r="AQM48" s="16"/>
      <c r="AQN48" s="16"/>
      <c r="AQO48" s="16"/>
      <c r="AQP48" s="16"/>
      <c r="AQQ48" s="16"/>
      <c r="AQR48" s="16"/>
      <c r="AQS48" s="16"/>
      <c r="AQT48" s="16"/>
      <c r="AQU48" s="16"/>
      <c r="AQV48" s="16"/>
      <c r="AQW48" s="16"/>
      <c r="AQX48" s="16"/>
      <c r="AQY48" s="16"/>
      <c r="AQZ48" s="16"/>
      <c r="ARA48" s="16"/>
      <c r="ARB48" s="16"/>
      <c r="ARC48" s="16"/>
      <c r="ARD48" s="16"/>
      <c r="ARE48" s="16"/>
      <c r="ARF48" s="16"/>
      <c r="ARG48" s="16"/>
      <c r="ARH48" s="16"/>
      <c r="ARI48" s="16"/>
      <c r="ARJ48" s="16"/>
      <c r="ARK48" s="16"/>
      <c r="ARL48" s="16"/>
      <c r="ARM48" s="16"/>
      <c r="ARN48" s="16"/>
      <c r="ARO48" s="16"/>
      <c r="ARP48" s="16"/>
      <c r="ARQ48" s="16"/>
      <c r="ARR48" s="16"/>
      <c r="ARS48" s="16"/>
      <c r="ART48" s="16"/>
      <c r="ARU48" s="16"/>
      <c r="ARV48" s="16"/>
      <c r="ARW48" s="16"/>
      <c r="ARX48" s="16"/>
      <c r="ARY48" s="16"/>
      <c r="ARZ48" s="16"/>
      <c r="ASA48" s="16"/>
      <c r="ASB48" s="16"/>
      <c r="ASC48" s="16"/>
      <c r="ASD48" s="16"/>
      <c r="ASE48" s="16"/>
      <c r="ASF48" s="16"/>
      <c r="ASG48" s="16"/>
      <c r="ASH48" s="16"/>
      <c r="ASI48" s="16"/>
      <c r="ASJ48" s="16"/>
      <c r="ASK48" s="16"/>
      <c r="ASL48" s="16"/>
      <c r="ASM48" s="16"/>
      <c r="ASN48" s="16"/>
      <c r="ASO48" s="16"/>
      <c r="ASP48" s="16"/>
      <c r="ASQ48" s="16"/>
      <c r="ASR48" s="16"/>
      <c r="ASS48" s="16"/>
      <c r="AST48" s="16"/>
      <c r="ASU48" s="16"/>
      <c r="ASV48" s="16"/>
      <c r="ASW48" s="16"/>
      <c r="ASX48" s="16"/>
      <c r="ASY48" s="16"/>
      <c r="ASZ48" s="16"/>
      <c r="ATA48" s="16"/>
      <c r="ATB48" s="16"/>
      <c r="ATC48" s="16"/>
      <c r="ATD48" s="16"/>
      <c r="ATE48" s="16"/>
      <c r="ATF48" s="16"/>
      <c r="ATG48" s="16"/>
      <c r="ATH48" s="16"/>
      <c r="ATI48" s="16"/>
      <c r="ATJ48" s="16"/>
      <c r="ATK48" s="16"/>
      <c r="ATL48" s="16"/>
      <c r="ATM48" s="16"/>
      <c r="ATN48" s="16"/>
      <c r="ATO48" s="16"/>
      <c r="ATP48" s="16"/>
      <c r="ATQ48" s="16"/>
      <c r="ATR48" s="16"/>
      <c r="ATS48" s="16"/>
      <c r="ATT48" s="16"/>
      <c r="ATU48" s="16"/>
      <c r="ATV48" s="16"/>
      <c r="ATW48" s="16"/>
      <c r="ATX48" s="16"/>
      <c r="ATY48" s="16"/>
      <c r="ATZ48" s="16"/>
      <c r="AUA48" s="16"/>
      <c r="AUB48" s="16"/>
      <c r="AUC48" s="16"/>
      <c r="AUD48" s="16"/>
      <c r="AUE48" s="16"/>
      <c r="AUF48" s="16"/>
      <c r="AUG48" s="16"/>
      <c r="AUH48" s="16"/>
      <c r="AUI48" s="16"/>
      <c r="AUJ48" s="16"/>
      <c r="AUK48" s="16"/>
      <c r="AUL48" s="16"/>
      <c r="AUM48" s="16"/>
      <c r="AUN48" s="16"/>
      <c r="AUO48" s="16"/>
      <c r="AUP48" s="16"/>
      <c r="AUQ48" s="16"/>
      <c r="AUR48" s="16"/>
      <c r="AUS48" s="16"/>
      <c r="AUT48" s="16"/>
      <c r="AUU48" s="16"/>
      <c r="AUV48" s="16"/>
      <c r="AUW48" s="16"/>
      <c r="AUX48" s="16"/>
      <c r="AUY48" s="16"/>
      <c r="AUZ48" s="16"/>
      <c r="AVA48" s="16"/>
      <c r="AVB48" s="16"/>
      <c r="AVC48" s="16"/>
      <c r="AVD48" s="16"/>
      <c r="AVE48" s="16"/>
      <c r="AVF48" s="16"/>
      <c r="AVG48" s="16"/>
      <c r="AVH48" s="16"/>
      <c r="AVI48" s="16"/>
      <c r="AVJ48" s="16"/>
      <c r="AVK48" s="16"/>
      <c r="AVL48" s="16"/>
      <c r="AVM48" s="16"/>
      <c r="AVN48" s="16"/>
      <c r="AVO48" s="16"/>
      <c r="AVP48" s="16"/>
      <c r="AVQ48" s="16"/>
      <c r="AVR48" s="16"/>
      <c r="AVS48" s="16"/>
      <c r="AVT48" s="16"/>
      <c r="AVU48" s="16"/>
      <c r="AVV48" s="16"/>
      <c r="AVW48" s="16"/>
      <c r="AVX48" s="16"/>
      <c r="AVY48" s="16"/>
      <c r="AVZ48" s="16"/>
      <c r="AWA48" s="16"/>
      <c r="AWB48" s="16"/>
      <c r="AWC48" s="16"/>
      <c r="AWD48" s="16"/>
      <c r="AWE48" s="16"/>
      <c r="AWF48" s="16"/>
      <c r="AWG48" s="16"/>
      <c r="AWH48" s="16"/>
      <c r="AWI48" s="16"/>
      <c r="AWJ48" s="16"/>
      <c r="AWK48" s="16"/>
      <c r="AWL48" s="16"/>
      <c r="AWM48" s="16"/>
      <c r="AWN48" s="16"/>
      <c r="AWO48" s="16"/>
      <c r="AWP48" s="16"/>
      <c r="AWQ48" s="16"/>
      <c r="AWR48" s="16"/>
      <c r="AWS48" s="16"/>
      <c r="AWT48" s="16"/>
      <c r="AWU48" s="16"/>
      <c r="AWV48" s="16"/>
      <c r="AWW48" s="16"/>
      <c r="AWX48" s="16"/>
      <c r="AWY48" s="16"/>
      <c r="AWZ48" s="16"/>
      <c r="AXA48" s="16"/>
      <c r="AXB48" s="16"/>
      <c r="AXC48" s="16"/>
      <c r="AXD48" s="16"/>
      <c r="AXE48" s="16"/>
      <c r="AXF48" s="16"/>
      <c r="AXG48" s="16"/>
      <c r="AXH48" s="16"/>
      <c r="AXI48" s="16"/>
      <c r="AXJ48" s="16"/>
      <c r="AXK48" s="16"/>
      <c r="AXL48" s="16"/>
      <c r="AXM48" s="16"/>
      <c r="AXN48" s="16"/>
      <c r="AXO48" s="16"/>
      <c r="AXP48" s="16"/>
      <c r="AXQ48" s="16"/>
      <c r="AXR48" s="16"/>
      <c r="AXS48" s="16"/>
      <c r="AXT48" s="16"/>
      <c r="AXU48" s="16"/>
      <c r="AXV48" s="16"/>
      <c r="AXW48" s="16"/>
      <c r="AXX48" s="16"/>
      <c r="AXY48" s="16"/>
      <c r="AXZ48" s="16"/>
      <c r="AYA48" s="16"/>
      <c r="AYB48" s="16"/>
      <c r="AYC48" s="16"/>
      <c r="AYD48" s="16"/>
      <c r="AYE48" s="16"/>
      <c r="AYF48" s="16"/>
      <c r="AYG48" s="16"/>
      <c r="AYH48" s="16"/>
      <c r="AYI48" s="16"/>
      <c r="AYJ48" s="16"/>
      <c r="AYK48" s="16"/>
      <c r="AYL48" s="16"/>
      <c r="AYM48" s="16"/>
      <c r="AYN48" s="16"/>
      <c r="AYO48" s="16"/>
      <c r="AYP48" s="16"/>
      <c r="AYQ48" s="16"/>
      <c r="AYR48" s="16"/>
      <c r="AYS48" s="16"/>
      <c r="AYT48" s="16"/>
      <c r="AYU48" s="16"/>
      <c r="AYV48" s="16"/>
      <c r="AYW48" s="16"/>
      <c r="AYX48" s="16"/>
      <c r="AYY48" s="16"/>
      <c r="AYZ48" s="16"/>
      <c r="AZA48" s="16"/>
      <c r="AZB48" s="16"/>
      <c r="AZC48" s="16"/>
      <c r="AZD48" s="16"/>
      <c r="AZE48" s="16"/>
      <c r="AZF48" s="16"/>
      <c r="AZG48" s="16"/>
      <c r="AZH48" s="16"/>
      <c r="AZI48" s="16"/>
      <c r="AZJ48" s="16"/>
      <c r="AZK48" s="16"/>
      <c r="AZL48" s="16"/>
      <c r="AZM48" s="16"/>
      <c r="AZN48" s="16"/>
      <c r="AZO48" s="16"/>
      <c r="AZP48" s="16"/>
      <c r="AZQ48" s="16"/>
      <c r="AZR48" s="16"/>
      <c r="AZS48" s="16"/>
      <c r="AZT48" s="16"/>
      <c r="AZU48" s="16"/>
      <c r="AZV48" s="16"/>
      <c r="AZW48" s="16"/>
      <c r="AZX48" s="16"/>
      <c r="AZY48" s="16"/>
      <c r="AZZ48" s="16"/>
      <c r="BAA48" s="16"/>
      <c r="BAB48" s="16"/>
      <c r="BAC48" s="16"/>
      <c r="BAD48" s="16"/>
      <c r="BAE48" s="16"/>
      <c r="BAF48" s="16"/>
      <c r="BAG48" s="16"/>
      <c r="BAH48" s="16"/>
      <c r="BAI48" s="16"/>
      <c r="BAJ48" s="16"/>
      <c r="BAK48" s="16"/>
      <c r="BAL48" s="16"/>
      <c r="BAM48" s="16"/>
      <c r="BAN48" s="16"/>
      <c r="BAO48" s="16"/>
      <c r="BAP48" s="16"/>
      <c r="BAQ48" s="16"/>
      <c r="BAR48" s="16"/>
      <c r="BAS48" s="16"/>
      <c r="BAT48" s="16"/>
      <c r="BAU48" s="16"/>
      <c r="BAV48" s="16"/>
      <c r="BAW48" s="16"/>
      <c r="BAX48" s="16"/>
      <c r="BAY48" s="16"/>
      <c r="BAZ48" s="16"/>
      <c r="BBA48" s="16"/>
      <c r="BBB48" s="16"/>
      <c r="BBC48" s="16"/>
      <c r="BBD48" s="16"/>
      <c r="BBE48" s="16"/>
      <c r="BBF48" s="16"/>
      <c r="BBG48" s="16"/>
      <c r="BBH48" s="16"/>
      <c r="BBI48" s="16"/>
      <c r="BBJ48" s="16"/>
      <c r="BBK48" s="16"/>
      <c r="BBL48" s="16"/>
      <c r="BBM48" s="16"/>
      <c r="BBN48" s="16"/>
      <c r="BBO48" s="16"/>
      <c r="BBP48" s="16"/>
      <c r="BBQ48" s="16"/>
      <c r="BBR48" s="16"/>
      <c r="BBS48" s="16"/>
      <c r="BBT48" s="16"/>
      <c r="BBU48" s="16"/>
      <c r="BBV48" s="16"/>
      <c r="BBW48" s="16"/>
      <c r="BBX48" s="16"/>
      <c r="BBY48" s="16"/>
      <c r="BBZ48" s="16"/>
      <c r="BCA48" s="16"/>
      <c r="BCB48" s="16"/>
      <c r="BCC48" s="16"/>
      <c r="BCD48" s="16"/>
      <c r="BCE48" s="16"/>
      <c r="BCF48" s="16"/>
      <c r="BCG48" s="16"/>
      <c r="BCH48" s="16"/>
      <c r="BCI48" s="16"/>
      <c r="BCJ48" s="16"/>
      <c r="BCK48" s="16"/>
      <c r="BCL48" s="16"/>
      <c r="BCM48" s="16"/>
      <c r="BCN48" s="16"/>
      <c r="BCO48" s="16"/>
      <c r="BCP48" s="16"/>
      <c r="BCQ48" s="16"/>
      <c r="BCR48" s="16"/>
      <c r="BCS48" s="16"/>
      <c r="BCT48" s="16"/>
      <c r="BCU48" s="16"/>
      <c r="BCV48" s="16"/>
      <c r="BCW48" s="16"/>
      <c r="BCX48" s="16"/>
      <c r="BCY48" s="16"/>
      <c r="BCZ48" s="16"/>
      <c r="BDA48" s="16"/>
      <c r="BDB48" s="16"/>
      <c r="BDC48" s="16"/>
      <c r="BDD48" s="16"/>
      <c r="BDE48" s="16"/>
      <c r="BDF48" s="16"/>
      <c r="BDG48" s="16"/>
      <c r="BDH48" s="16"/>
      <c r="BDI48" s="16"/>
      <c r="BDJ48" s="16"/>
      <c r="BDK48" s="16"/>
      <c r="BDL48" s="16"/>
      <c r="BDM48" s="16"/>
      <c r="BDN48" s="16"/>
      <c r="BDO48" s="16"/>
      <c r="BDP48" s="16"/>
      <c r="BDQ48" s="16"/>
      <c r="BDR48" s="16"/>
      <c r="BDS48" s="16"/>
      <c r="BDT48" s="16"/>
      <c r="BDU48" s="16"/>
      <c r="BDV48" s="16"/>
      <c r="BDW48" s="16"/>
      <c r="BDX48" s="16"/>
      <c r="BDY48" s="16"/>
      <c r="BDZ48" s="16"/>
      <c r="BEA48" s="16"/>
      <c r="BEB48" s="16"/>
      <c r="BEC48" s="16"/>
      <c r="BED48" s="16"/>
      <c r="BEE48" s="16"/>
      <c r="BEF48" s="16"/>
      <c r="BEG48" s="16"/>
      <c r="BEH48" s="16"/>
      <c r="BEI48" s="16"/>
      <c r="BEJ48" s="16"/>
      <c r="BEK48" s="16"/>
      <c r="BEL48" s="16"/>
      <c r="BEM48" s="16"/>
      <c r="BEN48" s="16"/>
      <c r="BEO48" s="16"/>
      <c r="BEP48" s="16"/>
      <c r="BEQ48" s="16"/>
      <c r="BER48" s="16"/>
      <c r="BES48" s="16"/>
      <c r="BET48" s="16"/>
      <c r="BEU48" s="16"/>
      <c r="BEV48" s="16"/>
      <c r="BEW48" s="16"/>
      <c r="BEX48" s="16"/>
      <c r="BEY48" s="16"/>
      <c r="BEZ48" s="16"/>
      <c r="BFA48" s="16"/>
      <c r="BFB48" s="16"/>
      <c r="BFC48" s="16"/>
      <c r="BFD48" s="16"/>
      <c r="BFE48" s="16"/>
      <c r="BFF48" s="16"/>
      <c r="BFG48" s="16"/>
      <c r="BFH48" s="16"/>
      <c r="BFI48" s="16"/>
      <c r="BFJ48" s="16"/>
      <c r="BFK48" s="16"/>
      <c r="BFL48" s="16"/>
      <c r="BFM48" s="16"/>
      <c r="BFN48" s="16"/>
      <c r="BFO48" s="16"/>
      <c r="BFP48" s="16"/>
      <c r="BFQ48" s="16"/>
      <c r="BFR48" s="16"/>
      <c r="BFS48" s="16"/>
      <c r="BFT48" s="16"/>
      <c r="BFU48" s="16"/>
      <c r="BFV48" s="16"/>
      <c r="BFW48" s="16"/>
      <c r="BFX48" s="16"/>
      <c r="BFY48" s="16"/>
      <c r="BFZ48" s="16"/>
      <c r="BGA48" s="16"/>
      <c r="BGB48" s="16"/>
      <c r="BGC48" s="16"/>
      <c r="BGD48" s="16"/>
      <c r="BGE48" s="16"/>
      <c r="BGF48" s="16"/>
      <c r="BGG48" s="16"/>
      <c r="BGH48" s="16"/>
      <c r="BGI48" s="16"/>
      <c r="BGJ48" s="16"/>
      <c r="BGK48" s="16"/>
      <c r="BGL48" s="16"/>
      <c r="BGM48" s="16"/>
      <c r="BGN48" s="16"/>
      <c r="BGO48" s="16"/>
      <c r="BGP48" s="16"/>
      <c r="BGQ48" s="16"/>
      <c r="BGR48" s="16"/>
      <c r="BGS48" s="16"/>
      <c r="BGT48" s="16"/>
      <c r="BGU48" s="16"/>
      <c r="BGV48" s="16"/>
      <c r="BGW48" s="16"/>
      <c r="BGX48" s="16"/>
      <c r="BGY48" s="16"/>
      <c r="BGZ48" s="16"/>
      <c r="BHA48" s="16"/>
      <c r="BHB48" s="16"/>
      <c r="BHC48" s="16"/>
      <c r="BHD48" s="16"/>
      <c r="BHE48" s="16"/>
      <c r="BHF48" s="16"/>
      <c r="BHG48" s="16"/>
      <c r="BHH48" s="16"/>
      <c r="BHI48" s="16"/>
      <c r="BHJ48" s="16"/>
      <c r="BHK48" s="16"/>
      <c r="BHL48" s="16"/>
      <c r="BHM48" s="16"/>
      <c r="BHN48" s="16"/>
      <c r="BHO48" s="16"/>
      <c r="BHP48" s="16"/>
      <c r="BHQ48" s="16"/>
      <c r="BHR48" s="16"/>
      <c r="BHS48" s="16"/>
      <c r="BHT48" s="16"/>
      <c r="BHU48" s="16"/>
      <c r="BHV48" s="16"/>
      <c r="BHW48" s="16"/>
      <c r="BHX48" s="16"/>
      <c r="BHY48" s="16"/>
      <c r="BHZ48" s="16"/>
      <c r="BIA48" s="16"/>
      <c r="BIB48" s="16"/>
      <c r="BIC48" s="16"/>
      <c r="BID48" s="16"/>
      <c r="BIE48" s="16"/>
      <c r="BIF48" s="16"/>
      <c r="BIG48" s="16"/>
      <c r="BIH48" s="16"/>
      <c r="BII48" s="16"/>
      <c r="BIJ48" s="16"/>
      <c r="BIK48" s="16"/>
      <c r="BIL48" s="16"/>
      <c r="BIM48" s="16"/>
      <c r="BIN48" s="16"/>
      <c r="BIO48" s="16"/>
      <c r="BIP48" s="16"/>
      <c r="BIQ48" s="16"/>
      <c r="BIR48" s="16"/>
      <c r="BIS48" s="16"/>
      <c r="BIT48" s="16"/>
      <c r="BIU48" s="16"/>
      <c r="BIV48" s="16"/>
      <c r="BIW48" s="16"/>
      <c r="BIX48" s="16"/>
      <c r="BIY48" s="16"/>
      <c r="BIZ48" s="16"/>
      <c r="BJA48" s="16"/>
      <c r="BJB48" s="16"/>
      <c r="BJC48" s="16"/>
      <c r="BJD48" s="16"/>
      <c r="BJE48" s="16"/>
      <c r="BJF48" s="16"/>
      <c r="BJG48" s="16"/>
      <c r="BJH48" s="16"/>
      <c r="BJI48" s="16"/>
      <c r="BJJ48" s="16"/>
      <c r="BJK48" s="16"/>
      <c r="BJL48" s="16"/>
      <c r="BJM48" s="16"/>
      <c r="BJN48" s="16"/>
      <c r="BJO48" s="16"/>
      <c r="BJP48" s="16"/>
      <c r="BJQ48" s="16"/>
      <c r="BJR48" s="16"/>
      <c r="BJS48" s="16"/>
      <c r="BJT48" s="16"/>
      <c r="BJU48" s="16"/>
      <c r="BJV48" s="16"/>
      <c r="BJW48" s="16"/>
      <c r="BJX48" s="16"/>
      <c r="BJY48" s="16"/>
      <c r="BJZ48" s="16"/>
      <c r="BKA48" s="16"/>
      <c r="BKB48" s="16"/>
      <c r="BKC48" s="16"/>
      <c r="BKD48" s="16"/>
      <c r="BKE48" s="16"/>
      <c r="BKF48" s="16"/>
      <c r="BKG48" s="16"/>
      <c r="BKH48" s="16"/>
      <c r="BKI48" s="16"/>
      <c r="BKJ48" s="16"/>
      <c r="BKK48" s="16"/>
      <c r="BKL48" s="16"/>
      <c r="BKM48" s="16"/>
      <c r="BKN48" s="16"/>
      <c r="BKO48" s="16"/>
      <c r="BKP48" s="16"/>
      <c r="BKQ48" s="16"/>
      <c r="BKR48" s="16"/>
      <c r="BKS48" s="16"/>
      <c r="BKT48" s="16"/>
      <c r="BKU48" s="16"/>
      <c r="BKV48" s="16"/>
      <c r="BKW48" s="16"/>
      <c r="BKX48" s="16"/>
      <c r="BKY48" s="16"/>
      <c r="BKZ48" s="16"/>
      <c r="BLA48" s="16"/>
      <c r="BLB48" s="16"/>
      <c r="BLC48" s="16"/>
      <c r="BLD48" s="16"/>
      <c r="BLE48" s="16"/>
      <c r="BLF48" s="16"/>
      <c r="BLG48" s="16"/>
      <c r="BLH48" s="16"/>
      <c r="BLI48" s="16"/>
      <c r="BLJ48" s="16"/>
      <c r="BLK48" s="16"/>
      <c r="BLL48" s="16"/>
      <c r="BLM48" s="16"/>
      <c r="BLN48" s="16"/>
      <c r="BLO48" s="16"/>
      <c r="BLP48" s="16"/>
      <c r="BLQ48" s="16"/>
      <c r="BLR48" s="16"/>
      <c r="BLS48" s="16"/>
      <c r="BLT48" s="16"/>
      <c r="BLU48" s="16"/>
      <c r="BLV48" s="16"/>
      <c r="BLW48" s="16"/>
      <c r="BLX48" s="16"/>
      <c r="BLY48" s="16"/>
      <c r="BLZ48" s="16"/>
      <c r="BMA48" s="16"/>
      <c r="BMB48" s="16"/>
      <c r="BMC48" s="16"/>
      <c r="BMD48" s="16"/>
      <c r="BME48" s="16"/>
      <c r="BMF48" s="16"/>
      <c r="BMG48" s="16"/>
      <c r="BMH48" s="16"/>
      <c r="BMI48" s="16"/>
      <c r="BMJ48" s="16"/>
      <c r="BMK48" s="16"/>
      <c r="BML48" s="16"/>
      <c r="BMM48" s="16"/>
      <c r="BMN48" s="16"/>
      <c r="BMO48" s="16"/>
      <c r="BMP48" s="16"/>
      <c r="BMQ48" s="16"/>
      <c r="BMR48" s="16"/>
      <c r="BMS48" s="16"/>
      <c r="BMT48" s="16"/>
      <c r="BMU48" s="16"/>
      <c r="BMV48" s="16"/>
      <c r="BMW48" s="16"/>
      <c r="BMX48" s="16"/>
      <c r="BMY48" s="16"/>
      <c r="BMZ48" s="16"/>
      <c r="BNA48" s="16"/>
      <c r="BNB48" s="16"/>
      <c r="BNC48" s="16"/>
      <c r="BND48" s="16"/>
      <c r="BNE48" s="16"/>
      <c r="BNF48" s="16"/>
      <c r="BNG48" s="16"/>
      <c r="BNH48" s="16"/>
      <c r="BNI48" s="16"/>
      <c r="BNJ48" s="16"/>
      <c r="BNK48" s="16"/>
      <c r="BNL48" s="16"/>
      <c r="BNM48" s="16"/>
      <c r="BNN48" s="16"/>
      <c r="BNO48" s="16"/>
      <c r="BNP48" s="16"/>
      <c r="BNQ48" s="16"/>
      <c r="BNR48" s="16"/>
      <c r="BNS48" s="16"/>
      <c r="BNT48" s="16"/>
      <c r="BNU48" s="16"/>
      <c r="BNV48" s="16"/>
      <c r="BNW48" s="16"/>
      <c r="BNX48" s="16"/>
      <c r="BNY48" s="16"/>
      <c r="BNZ48" s="16"/>
      <c r="BOA48" s="16"/>
      <c r="BOB48" s="16"/>
      <c r="BOC48" s="16"/>
      <c r="BOD48" s="16"/>
      <c r="BOE48" s="16"/>
      <c r="BOF48" s="16"/>
      <c r="BOG48" s="16"/>
      <c r="BOH48" s="16"/>
      <c r="BOI48" s="16"/>
      <c r="BOJ48" s="16"/>
      <c r="BOK48" s="16"/>
      <c r="BOL48" s="16"/>
      <c r="BOM48" s="16"/>
      <c r="BON48" s="16"/>
      <c r="BOO48" s="16"/>
      <c r="BOP48" s="16"/>
      <c r="BOQ48" s="16"/>
      <c r="BOR48" s="16"/>
      <c r="BOS48" s="16"/>
      <c r="BOT48" s="16"/>
      <c r="BOU48" s="16"/>
      <c r="BOV48" s="16"/>
      <c r="BOW48" s="16"/>
      <c r="BOX48" s="16"/>
      <c r="BOY48" s="16"/>
      <c r="BOZ48" s="16"/>
      <c r="BPA48" s="16"/>
      <c r="BPB48" s="16"/>
      <c r="BPC48" s="16"/>
      <c r="BPD48" s="16"/>
      <c r="BPE48" s="16"/>
      <c r="BPF48" s="16"/>
      <c r="BPG48" s="16"/>
      <c r="BPH48" s="16"/>
      <c r="BPI48" s="16"/>
      <c r="BPJ48" s="16"/>
      <c r="BPK48" s="16"/>
      <c r="BPL48" s="16"/>
      <c r="BPM48" s="16"/>
      <c r="BPN48" s="16"/>
      <c r="BPO48" s="16"/>
      <c r="BPP48" s="16"/>
      <c r="BPQ48" s="16"/>
      <c r="BPR48" s="16"/>
      <c r="BPS48" s="16"/>
      <c r="BPT48" s="16"/>
      <c r="BPU48" s="16"/>
      <c r="BPV48" s="16"/>
      <c r="BPW48" s="16"/>
      <c r="BPX48" s="16"/>
      <c r="BPY48" s="16"/>
      <c r="BPZ48" s="16"/>
      <c r="BQA48" s="16"/>
      <c r="BQB48" s="16"/>
      <c r="BQC48" s="16"/>
      <c r="BQD48" s="16"/>
      <c r="BQE48" s="16"/>
      <c r="BQF48" s="16"/>
      <c r="BQG48" s="16"/>
      <c r="BQH48" s="16"/>
      <c r="BQI48" s="16"/>
      <c r="BQJ48" s="16"/>
      <c r="BQK48" s="16"/>
      <c r="BQL48" s="16"/>
      <c r="BQM48" s="16"/>
      <c r="BQN48" s="16"/>
      <c r="BQO48" s="16"/>
      <c r="BQP48" s="16"/>
      <c r="BQQ48" s="16"/>
      <c r="BQR48" s="16"/>
      <c r="BQS48" s="16"/>
      <c r="BQT48" s="16"/>
      <c r="BQU48" s="16"/>
      <c r="BQV48" s="16"/>
      <c r="BQW48" s="16"/>
      <c r="BQX48" s="16"/>
      <c r="BQY48" s="16"/>
      <c r="BQZ48" s="16"/>
      <c r="BRA48" s="16"/>
      <c r="BRB48" s="16"/>
      <c r="BRC48" s="16"/>
      <c r="BRD48" s="16"/>
      <c r="BRE48" s="16"/>
      <c r="BRF48" s="16"/>
      <c r="BRG48" s="16"/>
      <c r="BRH48" s="16"/>
      <c r="BRI48" s="16"/>
      <c r="BRJ48" s="16"/>
      <c r="BRK48" s="16"/>
      <c r="BRL48" s="16"/>
      <c r="BRM48" s="16"/>
      <c r="BRN48" s="16"/>
      <c r="BRO48" s="16"/>
      <c r="BRP48" s="16"/>
      <c r="BRQ48" s="16"/>
      <c r="BRR48" s="16"/>
      <c r="BRS48" s="16"/>
      <c r="BRT48" s="16"/>
      <c r="BRU48" s="16"/>
      <c r="BRV48" s="16"/>
      <c r="BRW48" s="16"/>
      <c r="BRX48" s="16"/>
      <c r="BRY48" s="16"/>
      <c r="BRZ48" s="16"/>
      <c r="BSA48" s="16"/>
      <c r="BSB48" s="16"/>
      <c r="BSC48" s="16"/>
      <c r="BSD48" s="16"/>
      <c r="BSE48" s="16"/>
      <c r="BSF48" s="16"/>
      <c r="BSG48" s="16"/>
      <c r="BSH48" s="16"/>
      <c r="BSI48" s="16"/>
      <c r="BSJ48" s="16"/>
      <c r="BSK48" s="16"/>
      <c r="BSL48" s="16"/>
      <c r="BSM48" s="16"/>
      <c r="BSN48" s="16"/>
      <c r="BSO48" s="16"/>
      <c r="BSP48" s="16"/>
      <c r="BSQ48" s="16"/>
      <c r="BSR48" s="16"/>
      <c r="BSS48" s="16"/>
      <c r="BST48" s="16"/>
      <c r="BSU48" s="16"/>
      <c r="BSV48" s="16"/>
      <c r="BSW48" s="16"/>
      <c r="BSX48" s="16"/>
      <c r="BSY48" s="16"/>
      <c r="BSZ48" s="16"/>
      <c r="BTA48" s="16"/>
      <c r="BTB48" s="16"/>
      <c r="BTC48" s="16"/>
      <c r="BTD48" s="16"/>
      <c r="BTE48" s="16"/>
      <c r="BTF48" s="16"/>
      <c r="BTG48" s="16"/>
      <c r="BTH48" s="16"/>
      <c r="BTI48" s="16"/>
      <c r="BTJ48" s="16"/>
      <c r="BTK48" s="16"/>
      <c r="BTL48" s="16"/>
      <c r="BTM48" s="16"/>
      <c r="BTN48" s="16"/>
      <c r="BTO48" s="16"/>
      <c r="BTP48" s="16"/>
      <c r="BTQ48" s="16"/>
      <c r="BTR48" s="16"/>
      <c r="BTS48" s="16"/>
      <c r="BTT48" s="16"/>
      <c r="BTU48" s="16"/>
      <c r="BTV48" s="16"/>
      <c r="BTW48" s="16"/>
      <c r="BTX48" s="16"/>
      <c r="BTY48" s="16"/>
      <c r="BTZ48" s="16"/>
      <c r="BUA48" s="16"/>
      <c r="BUB48" s="16"/>
      <c r="BUC48" s="16"/>
      <c r="BUD48" s="16"/>
      <c r="BUE48" s="16"/>
      <c r="BUF48" s="16"/>
      <c r="BUG48" s="16"/>
      <c r="BUH48" s="16"/>
      <c r="BUI48" s="16"/>
      <c r="BUJ48" s="16"/>
      <c r="BUK48" s="16"/>
      <c r="BUL48" s="16"/>
      <c r="BUM48" s="16"/>
      <c r="BUN48" s="16"/>
      <c r="BUO48" s="16"/>
      <c r="BUP48" s="16"/>
      <c r="BUQ48" s="16"/>
      <c r="BUR48" s="16"/>
      <c r="BUS48" s="16"/>
      <c r="BUT48" s="16"/>
      <c r="BUU48" s="16"/>
      <c r="BUV48" s="16"/>
      <c r="BUW48" s="16"/>
      <c r="BUX48" s="16"/>
      <c r="BUY48" s="16"/>
      <c r="BUZ48" s="16"/>
      <c r="BVA48" s="16"/>
      <c r="BVB48" s="16"/>
      <c r="BVC48" s="16"/>
      <c r="BVD48" s="16"/>
      <c r="BVE48" s="16"/>
      <c r="BVF48" s="16"/>
      <c r="BVG48" s="16"/>
      <c r="BVH48" s="16"/>
      <c r="BVI48" s="16"/>
      <c r="BVJ48" s="16"/>
      <c r="BVK48" s="16"/>
      <c r="BVL48" s="16"/>
      <c r="BVM48" s="16"/>
      <c r="BVN48" s="16"/>
      <c r="BVO48" s="16"/>
      <c r="BVP48" s="16"/>
      <c r="BVQ48" s="16"/>
      <c r="BVR48" s="16"/>
      <c r="BVS48" s="16"/>
      <c r="BVT48" s="16"/>
      <c r="BVU48" s="16"/>
      <c r="BVV48" s="16"/>
      <c r="BVW48" s="16"/>
      <c r="BVX48" s="16"/>
      <c r="BVY48" s="16"/>
      <c r="BVZ48" s="16"/>
      <c r="BWA48" s="16"/>
      <c r="BWB48" s="16"/>
      <c r="BWC48" s="16"/>
      <c r="BWD48" s="16"/>
      <c r="BWE48" s="16"/>
      <c r="BWF48" s="16"/>
      <c r="BWG48" s="16"/>
      <c r="BWH48" s="16"/>
      <c r="BWI48" s="16"/>
      <c r="BWJ48" s="16"/>
      <c r="BWK48" s="16"/>
      <c r="BWL48" s="16"/>
      <c r="BWM48" s="16"/>
      <c r="BWN48" s="16"/>
      <c r="BWO48" s="16"/>
      <c r="BWP48" s="16"/>
      <c r="BWQ48" s="16"/>
      <c r="BWR48" s="16"/>
      <c r="BWS48" s="16"/>
      <c r="BWT48" s="16"/>
      <c r="BWU48" s="16"/>
      <c r="BWV48" s="16"/>
      <c r="BWW48" s="16"/>
      <c r="BWX48" s="16"/>
      <c r="BWY48" s="16"/>
      <c r="BWZ48" s="16"/>
      <c r="BXA48" s="16"/>
      <c r="BXB48" s="16"/>
      <c r="BXC48" s="16"/>
      <c r="BXD48" s="16"/>
      <c r="BXE48" s="16"/>
      <c r="BXF48" s="16"/>
      <c r="BXG48" s="16"/>
      <c r="BXH48" s="16"/>
      <c r="BXI48" s="16"/>
      <c r="BXJ48" s="16"/>
      <c r="BXK48" s="16"/>
      <c r="BXL48" s="16"/>
      <c r="BXM48" s="16"/>
      <c r="BXN48" s="16"/>
      <c r="BXO48" s="16"/>
      <c r="BXP48" s="16"/>
      <c r="BXQ48" s="16"/>
      <c r="BXR48" s="16"/>
      <c r="BXS48" s="16"/>
      <c r="BXT48" s="16"/>
      <c r="BXU48" s="16"/>
      <c r="BXV48" s="16"/>
      <c r="BXW48" s="16"/>
      <c r="BXX48" s="16"/>
      <c r="BXY48" s="16"/>
      <c r="BXZ48" s="16"/>
      <c r="BYA48" s="16"/>
      <c r="BYB48" s="16"/>
      <c r="BYC48" s="16"/>
      <c r="BYD48" s="16"/>
      <c r="BYE48" s="16"/>
      <c r="BYF48" s="16"/>
      <c r="BYG48" s="16"/>
      <c r="BYH48" s="16"/>
      <c r="BYI48" s="16"/>
      <c r="BYJ48" s="16"/>
      <c r="BYK48" s="16"/>
      <c r="BYL48" s="16"/>
      <c r="BYM48" s="16"/>
      <c r="BYN48" s="16"/>
      <c r="BYO48" s="16"/>
      <c r="BYP48" s="16"/>
      <c r="BYQ48" s="16"/>
      <c r="BYR48" s="16"/>
      <c r="BYS48" s="16"/>
      <c r="BYT48" s="16"/>
      <c r="BYU48" s="16"/>
      <c r="BYV48" s="16"/>
      <c r="BYW48" s="16"/>
      <c r="BYX48" s="16"/>
      <c r="BYY48" s="16"/>
      <c r="BYZ48" s="16"/>
      <c r="BZA48" s="16"/>
      <c r="BZB48" s="16"/>
      <c r="BZC48" s="16"/>
      <c r="BZD48" s="16"/>
      <c r="BZE48" s="16"/>
      <c r="BZF48" s="16"/>
      <c r="BZG48" s="16"/>
      <c r="BZH48" s="16"/>
      <c r="BZI48" s="16"/>
      <c r="BZJ48" s="16"/>
      <c r="BZK48" s="16"/>
      <c r="BZL48" s="16"/>
      <c r="BZM48" s="16"/>
      <c r="BZN48" s="16"/>
      <c r="BZO48" s="16"/>
      <c r="BZP48" s="16"/>
      <c r="BZQ48" s="16"/>
      <c r="BZR48" s="16"/>
      <c r="BZS48" s="16"/>
      <c r="BZT48" s="16"/>
      <c r="BZU48" s="16"/>
      <c r="BZV48" s="16"/>
      <c r="BZW48" s="16"/>
      <c r="BZX48" s="16"/>
      <c r="BZY48" s="16"/>
      <c r="BZZ48" s="16"/>
      <c r="CAA48" s="16"/>
      <c r="CAB48" s="16"/>
      <c r="CAC48" s="16"/>
      <c r="CAD48" s="16"/>
      <c r="CAE48" s="16"/>
      <c r="CAF48" s="16"/>
      <c r="CAG48" s="16"/>
      <c r="CAH48" s="16"/>
      <c r="CAI48" s="16"/>
      <c r="CAJ48" s="16"/>
      <c r="CAK48" s="16"/>
      <c r="CAL48" s="16"/>
      <c r="CAM48" s="16"/>
      <c r="CAN48" s="16"/>
      <c r="CAO48" s="16"/>
      <c r="CAP48" s="16"/>
      <c r="CAQ48" s="16"/>
      <c r="CAR48" s="16"/>
      <c r="CAS48" s="16"/>
      <c r="CAT48" s="16"/>
      <c r="CAU48" s="16"/>
      <c r="CAV48" s="16"/>
      <c r="CAW48" s="16"/>
      <c r="CAX48" s="16"/>
      <c r="CAY48" s="16"/>
      <c r="CAZ48" s="16"/>
      <c r="CBA48" s="16"/>
      <c r="CBB48" s="16"/>
      <c r="CBC48" s="16"/>
      <c r="CBD48" s="16"/>
      <c r="CBE48" s="16"/>
      <c r="CBF48" s="16"/>
      <c r="CBG48" s="16"/>
      <c r="CBH48" s="16"/>
      <c r="CBI48" s="16"/>
      <c r="CBJ48" s="16"/>
      <c r="CBK48" s="16"/>
      <c r="CBL48" s="16"/>
      <c r="CBM48" s="16"/>
      <c r="CBN48" s="16"/>
      <c r="CBO48" s="16"/>
      <c r="CBP48" s="16"/>
      <c r="CBQ48" s="16"/>
      <c r="CBR48" s="16"/>
      <c r="CBS48" s="16"/>
      <c r="CBT48" s="16"/>
      <c r="CBU48" s="16"/>
      <c r="CBV48" s="16"/>
      <c r="CBW48" s="16"/>
      <c r="CBX48" s="16"/>
      <c r="CBY48" s="16"/>
      <c r="CBZ48" s="16"/>
      <c r="CCA48" s="16"/>
      <c r="CCB48" s="16"/>
      <c r="CCC48" s="16"/>
      <c r="CCD48" s="16"/>
      <c r="CCE48" s="16"/>
      <c r="CCF48" s="16"/>
      <c r="CCG48" s="16"/>
      <c r="CCH48" s="16"/>
      <c r="CCI48" s="16"/>
      <c r="CCJ48" s="16"/>
      <c r="CCK48" s="16"/>
      <c r="CCL48" s="16"/>
      <c r="CCM48" s="16"/>
      <c r="CCN48" s="16"/>
      <c r="CCO48" s="16"/>
      <c r="CCP48" s="16"/>
      <c r="CCQ48" s="16"/>
      <c r="CCR48" s="16"/>
      <c r="CCS48" s="16"/>
      <c r="CCT48" s="16"/>
      <c r="CCU48" s="16"/>
      <c r="CCV48" s="16"/>
      <c r="CCW48" s="16"/>
      <c r="CCX48" s="16"/>
      <c r="CCY48" s="16"/>
      <c r="CCZ48" s="16"/>
      <c r="CDA48" s="16"/>
      <c r="CDB48" s="16"/>
      <c r="CDC48" s="16"/>
      <c r="CDD48" s="16"/>
      <c r="CDE48" s="16"/>
      <c r="CDF48" s="16"/>
      <c r="CDG48" s="16"/>
      <c r="CDH48" s="16"/>
      <c r="CDI48" s="16"/>
      <c r="CDJ48" s="16"/>
      <c r="CDK48" s="16"/>
      <c r="CDL48" s="16"/>
      <c r="CDM48" s="16"/>
      <c r="CDN48" s="16"/>
      <c r="CDO48" s="16"/>
      <c r="CDP48" s="16"/>
      <c r="CDQ48" s="16"/>
      <c r="CDR48" s="16"/>
      <c r="CDS48" s="16"/>
      <c r="CDT48" s="16"/>
      <c r="CDU48" s="16"/>
      <c r="CDV48" s="16"/>
      <c r="CDW48" s="16"/>
      <c r="CDX48" s="16"/>
      <c r="CDY48" s="16"/>
      <c r="CDZ48" s="16"/>
      <c r="CEA48" s="16"/>
      <c r="CEB48" s="16"/>
      <c r="CEC48" s="16"/>
      <c r="CED48" s="16"/>
      <c r="CEE48" s="16"/>
      <c r="CEF48" s="16"/>
      <c r="CEG48" s="16"/>
      <c r="CEH48" s="16"/>
      <c r="CEI48" s="16"/>
      <c r="CEJ48" s="16"/>
      <c r="CEK48" s="16"/>
      <c r="CEL48" s="16"/>
      <c r="CEM48" s="16"/>
      <c r="CEN48" s="16"/>
      <c r="CEO48" s="16"/>
      <c r="CEP48" s="16"/>
      <c r="CEQ48" s="16"/>
      <c r="CER48" s="16"/>
      <c r="CES48" s="16"/>
      <c r="CET48" s="16"/>
      <c r="CEU48" s="16"/>
      <c r="CEV48" s="16"/>
      <c r="CEW48" s="16"/>
      <c r="CEX48" s="16"/>
      <c r="CEY48" s="16"/>
      <c r="CEZ48" s="16"/>
      <c r="CFA48" s="16"/>
      <c r="CFB48" s="16"/>
      <c r="CFC48" s="16"/>
      <c r="CFD48" s="16"/>
      <c r="CFE48" s="16"/>
      <c r="CFF48" s="16"/>
      <c r="CFG48" s="16"/>
      <c r="CFH48" s="16"/>
      <c r="CFI48" s="16"/>
      <c r="CFJ48" s="16"/>
      <c r="CFK48" s="16"/>
      <c r="CFL48" s="16"/>
      <c r="CFM48" s="16"/>
      <c r="CFN48" s="16"/>
      <c r="CFO48" s="16"/>
      <c r="CFP48" s="16"/>
      <c r="CFQ48" s="16"/>
      <c r="CFR48" s="16"/>
      <c r="CFS48" s="16"/>
      <c r="CFT48" s="16"/>
      <c r="CFU48" s="16"/>
      <c r="CFV48" s="16"/>
      <c r="CFW48" s="16"/>
      <c r="CFX48" s="16"/>
      <c r="CFY48" s="16"/>
      <c r="CFZ48" s="16"/>
      <c r="CGA48" s="16"/>
      <c r="CGB48" s="16"/>
      <c r="CGC48" s="16"/>
      <c r="CGD48" s="16"/>
      <c r="CGE48" s="16"/>
      <c r="CGF48" s="16"/>
      <c r="CGG48" s="16"/>
      <c r="CGH48" s="16"/>
      <c r="CGI48" s="16"/>
      <c r="CGJ48" s="16"/>
      <c r="CGK48" s="16"/>
      <c r="CGL48" s="16"/>
      <c r="CGM48" s="16"/>
      <c r="CGN48" s="16"/>
      <c r="CGO48" s="16"/>
      <c r="CGP48" s="16"/>
      <c r="CGQ48" s="16"/>
      <c r="CGR48" s="16"/>
      <c r="CGS48" s="16"/>
      <c r="CGT48" s="16"/>
      <c r="CGU48" s="16"/>
      <c r="CGV48" s="16"/>
      <c r="CGW48" s="16"/>
      <c r="CGX48" s="16"/>
      <c r="CGY48" s="16"/>
      <c r="CGZ48" s="16"/>
      <c r="CHA48" s="16"/>
      <c r="CHB48" s="16"/>
      <c r="CHC48" s="16"/>
      <c r="CHD48" s="16"/>
      <c r="CHE48" s="16"/>
      <c r="CHF48" s="16"/>
      <c r="CHG48" s="16"/>
      <c r="CHH48" s="16"/>
      <c r="CHI48" s="16"/>
      <c r="CHJ48" s="16"/>
      <c r="CHK48" s="16"/>
      <c r="CHL48" s="16"/>
      <c r="CHM48" s="16"/>
      <c r="CHN48" s="16"/>
      <c r="CHO48" s="16"/>
      <c r="CHP48" s="16"/>
      <c r="CHQ48" s="16"/>
      <c r="CHR48" s="16"/>
      <c r="CHS48" s="16"/>
      <c r="CHT48" s="16"/>
      <c r="CHU48" s="16"/>
      <c r="CHV48" s="16"/>
      <c r="CHW48" s="16"/>
      <c r="CHX48" s="16"/>
      <c r="CHY48" s="16"/>
      <c r="CHZ48" s="16"/>
      <c r="CIA48" s="16"/>
      <c r="CIB48" s="16"/>
      <c r="CIC48" s="16"/>
      <c r="CID48" s="16"/>
      <c r="CIE48" s="16"/>
      <c r="CIF48" s="16"/>
      <c r="CIG48" s="16"/>
      <c r="CIH48" s="16"/>
      <c r="CII48" s="16"/>
      <c r="CIJ48" s="16"/>
      <c r="CIK48" s="16"/>
      <c r="CIL48" s="16"/>
      <c r="CIM48" s="16"/>
      <c r="CIN48" s="16"/>
      <c r="CIO48" s="16"/>
      <c r="CIP48" s="16"/>
      <c r="CIQ48" s="16"/>
      <c r="CIR48" s="16"/>
      <c r="CIS48" s="16"/>
      <c r="CIT48" s="16"/>
      <c r="CIU48" s="16"/>
      <c r="CIV48" s="16"/>
      <c r="CIW48" s="16"/>
      <c r="CIX48" s="16"/>
      <c r="CIY48" s="16"/>
      <c r="CIZ48" s="16"/>
      <c r="CJA48" s="16"/>
      <c r="CJB48" s="16"/>
      <c r="CJC48" s="16"/>
      <c r="CJD48" s="16"/>
      <c r="CJE48" s="16"/>
      <c r="CJF48" s="16"/>
      <c r="CJG48" s="16"/>
      <c r="CJH48" s="16"/>
      <c r="CJI48" s="16"/>
      <c r="CJJ48" s="16"/>
      <c r="CJK48" s="16"/>
      <c r="CJL48" s="16"/>
      <c r="CJM48" s="16"/>
      <c r="CJN48" s="16"/>
      <c r="CJO48" s="16"/>
      <c r="CJP48" s="16"/>
      <c r="CJQ48" s="16"/>
      <c r="CJR48" s="16"/>
      <c r="CJS48" s="16"/>
      <c r="CJT48" s="16"/>
      <c r="CJU48" s="16"/>
      <c r="CJV48" s="16"/>
      <c r="CJW48" s="16"/>
      <c r="CJX48" s="16"/>
      <c r="CJY48" s="16"/>
      <c r="CJZ48" s="16"/>
      <c r="CKA48" s="16"/>
      <c r="CKB48" s="16"/>
      <c r="CKC48" s="16"/>
      <c r="CKD48" s="16"/>
      <c r="CKE48" s="16"/>
      <c r="CKF48" s="16"/>
      <c r="CKG48" s="16"/>
      <c r="CKH48" s="16"/>
      <c r="CKI48" s="16"/>
      <c r="CKJ48" s="16"/>
      <c r="CKK48" s="16"/>
      <c r="CKL48" s="16"/>
      <c r="CKM48" s="16"/>
      <c r="CKN48" s="16"/>
      <c r="CKO48" s="16"/>
      <c r="CKP48" s="16"/>
      <c r="CKQ48" s="16"/>
      <c r="CKR48" s="16"/>
      <c r="CKS48" s="16"/>
      <c r="CKT48" s="16"/>
      <c r="CKU48" s="16"/>
      <c r="CKV48" s="16"/>
      <c r="CKW48" s="16"/>
      <c r="CKX48" s="16"/>
      <c r="CKY48" s="16"/>
      <c r="CKZ48" s="16"/>
      <c r="CLA48" s="16"/>
      <c r="CLB48" s="16"/>
      <c r="CLC48" s="16"/>
      <c r="CLD48" s="16"/>
      <c r="CLE48" s="16"/>
      <c r="CLF48" s="16"/>
      <c r="CLG48" s="16"/>
      <c r="CLH48" s="16"/>
      <c r="CLI48" s="16"/>
      <c r="CLJ48" s="16"/>
      <c r="CLK48" s="16"/>
      <c r="CLL48" s="16"/>
      <c r="CLM48" s="16"/>
      <c r="CLN48" s="16"/>
      <c r="CLO48" s="16"/>
      <c r="CLP48" s="16"/>
      <c r="CLQ48" s="16"/>
      <c r="CLR48" s="16"/>
      <c r="CLS48" s="16"/>
      <c r="CLT48" s="16"/>
      <c r="CLU48" s="16"/>
      <c r="CLV48" s="16"/>
      <c r="CLW48" s="16"/>
      <c r="CLX48" s="16"/>
      <c r="CLY48" s="16"/>
      <c r="CLZ48" s="16"/>
      <c r="CMA48" s="16"/>
      <c r="CMB48" s="16"/>
      <c r="CMC48" s="16"/>
      <c r="CMD48" s="16"/>
      <c r="CME48" s="16"/>
      <c r="CMF48" s="16"/>
      <c r="CMG48" s="16"/>
      <c r="CMH48" s="16"/>
      <c r="CMI48" s="16"/>
      <c r="CMJ48" s="16"/>
      <c r="CMK48" s="16"/>
      <c r="CML48" s="16"/>
      <c r="CMM48" s="16"/>
      <c r="CMN48" s="16"/>
      <c r="CMO48" s="16"/>
      <c r="CMP48" s="16"/>
      <c r="CMQ48" s="16"/>
      <c r="CMR48" s="16"/>
      <c r="CMS48" s="16"/>
      <c r="CMT48" s="16"/>
      <c r="CMU48" s="16"/>
      <c r="CMV48" s="16"/>
      <c r="CMW48" s="16"/>
      <c r="CMX48" s="16"/>
      <c r="CMY48" s="16"/>
      <c r="CMZ48" s="16"/>
      <c r="CNA48" s="16"/>
      <c r="CNB48" s="16"/>
      <c r="CNC48" s="16"/>
      <c r="CND48" s="16"/>
      <c r="CNE48" s="16"/>
      <c r="CNF48" s="16"/>
      <c r="CNG48" s="16"/>
      <c r="CNH48" s="16"/>
      <c r="CNI48" s="16"/>
      <c r="CNJ48" s="16"/>
      <c r="CNK48" s="16"/>
      <c r="CNL48" s="16"/>
      <c r="CNM48" s="16"/>
      <c r="CNN48" s="16"/>
      <c r="CNO48" s="16"/>
      <c r="CNP48" s="16"/>
      <c r="CNQ48" s="16"/>
      <c r="CNR48" s="16"/>
      <c r="CNS48" s="16"/>
      <c r="CNT48" s="16"/>
      <c r="CNU48" s="16"/>
      <c r="CNV48" s="16"/>
      <c r="CNW48" s="16"/>
      <c r="CNX48" s="16"/>
      <c r="CNY48" s="16"/>
      <c r="CNZ48" s="16"/>
      <c r="COA48" s="16"/>
      <c r="COB48" s="16"/>
      <c r="COC48" s="16"/>
      <c r="COD48" s="16"/>
      <c r="COE48" s="16"/>
      <c r="COF48" s="16"/>
      <c r="COG48" s="16"/>
      <c r="COH48" s="16"/>
      <c r="COI48" s="16"/>
      <c r="COJ48" s="16"/>
      <c r="COK48" s="16"/>
      <c r="COL48" s="16"/>
      <c r="COM48" s="16"/>
      <c r="CON48" s="16"/>
      <c r="COO48" s="16"/>
      <c r="COP48" s="16"/>
      <c r="COQ48" s="16"/>
      <c r="COR48" s="16"/>
      <c r="COS48" s="16"/>
      <c r="COT48" s="16"/>
      <c r="COU48" s="16"/>
      <c r="COV48" s="16"/>
      <c r="COW48" s="16"/>
      <c r="COX48" s="16"/>
      <c r="COY48" s="16"/>
      <c r="COZ48" s="16"/>
      <c r="CPA48" s="16"/>
      <c r="CPB48" s="16"/>
      <c r="CPC48" s="16"/>
      <c r="CPD48" s="16"/>
      <c r="CPE48" s="16"/>
      <c r="CPF48" s="16"/>
      <c r="CPG48" s="16"/>
      <c r="CPH48" s="16"/>
      <c r="CPI48" s="16"/>
      <c r="CPJ48" s="16"/>
      <c r="CPK48" s="16"/>
      <c r="CPL48" s="16"/>
      <c r="CPM48" s="16"/>
      <c r="CPN48" s="16"/>
      <c r="CPO48" s="16"/>
      <c r="CPP48" s="16"/>
      <c r="CPQ48" s="16"/>
      <c r="CPR48" s="16"/>
      <c r="CPS48" s="16"/>
      <c r="CPT48" s="16"/>
      <c r="CPU48" s="16"/>
      <c r="CPV48" s="16"/>
      <c r="CPW48" s="16"/>
      <c r="CPX48" s="16"/>
      <c r="CPY48" s="16"/>
      <c r="CPZ48" s="16"/>
      <c r="CQA48" s="16"/>
      <c r="CQB48" s="16"/>
      <c r="CQC48" s="16"/>
      <c r="CQD48" s="16"/>
      <c r="CQE48" s="16"/>
      <c r="CQF48" s="16"/>
      <c r="CQG48" s="16"/>
      <c r="CQH48" s="16"/>
      <c r="CQI48" s="16"/>
      <c r="CQJ48" s="16"/>
      <c r="CQK48" s="16"/>
      <c r="CQL48" s="16"/>
      <c r="CQM48" s="16"/>
      <c r="CQN48" s="16"/>
      <c r="CQO48" s="16"/>
      <c r="CQP48" s="16"/>
      <c r="CQQ48" s="16"/>
      <c r="CQR48" s="16"/>
      <c r="CQS48" s="16"/>
      <c r="CQT48" s="16"/>
      <c r="CQU48" s="16"/>
      <c r="CQV48" s="16"/>
      <c r="CQW48" s="16"/>
      <c r="CQX48" s="16"/>
      <c r="CQY48" s="16"/>
      <c r="CQZ48" s="16"/>
      <c r="CRA48" s="16"/>
      <c r="CRB48" s="16"/>
      <c r="CRC48" s="16"/>
      <c r="CRD48" s="16"/>
      <c r="CRE48" s="16"/>
      <c r="CRF48" s="16"/>
      <c r="CRG48" s="16"/>
      <c r="CRH48" s="16"/>
      <c r="CRI48" s="16"/>
      <c r="CRJ48" s="16"/>
      <c r="CRK48" s="16"/>
      <c r="CRL48" s="16"/>
      <c r="CRM48" s="16"/>
      <c r="CRN48" s="16"/>
      <c r="CRO48" s="16"/>
      <c r="CRP48" s="16"/>
      <c r="CRQ48" s="16"/>
      <c r="CRR48" s="16"/>
      <c r="CRS48" s="16"/>
      <c r="CRT48" s="16"/>
      <c r="CRU48" s="16"/>
      <c r="CRV48" s="16"/>
      <c r="CRW48" s="16"/>
      <c r="CRX48" s="16"/>
      <c r="CRY48" s="16"/>
      <c r="CRZ48" s="16"/>
      <c r="CSA48" s="16"/>
      <c r="CSB48" s="16"/>
      <c r="CSC48" s="16"/>
      <c r="CSD48" s="16"/>
      <c r="CSE48" s="16"/>
      <c r="CSF48" s="16"/>
      <c r="CSG48" s="16"/>
      <c r="CSH48" s="16"/>
      <c r="CSI48" s="16"/>
      <c r="CSJ48" s="16"/>
      <c r="CSK48" s="16"/>
      <c r="CSL48" s="16"/>
      <c r="CSM48" s="16"/>
      <c r="CSN48" s="16"/>
      <c r="CSO48" s="16"/>
      <c r="CSP48" s="16"/>
      <c r="CSQ48" s="16"/>
      <c r="CSR48" s="16"/>
      <c r="CSS48" s="16"/>
      <c r="CST48" s="16"/>
      <c r="CSU48" s="16"/>
      <c r="CSV48" s="16"/>
      <c r="CSW48" s="16"/>
      <c r="CSX48" s="16"/>
      <c r="CSY48" s="16"/>
      <c r="CSZ48" s="16"/>
      <c r="CTA48" s="16"/>
      <c r="CTB48" s="16"/>
      <c r="CTC48" s="16"/>
      <c r="CTD48" s="16"/>
      <c r="CTE48" s="16"/>
      <c r="CTF48" s="16"/>
      <c r="CTG48" s="16"/>
      <c r="CTH48" s="16"/>
      <c r="CTI48" s="16"/>
      <c r="CTJ48" s="16"/>
      <c r="CTK48" s="16"/>
      <c r="CTL48" s="16"/>
      <c r="CTM48" s="16"/>
      <c r="CTN48" s="16"/>
      <c r="CTO48" s="16"/>
      <c r="CTP48" s="16"/>
      <c r="CTQ48" s="16"/>
      <c r="CTR48" s="16"/>
      <c r="CTS48" s="16"/>
      <c r="CTT48" s="16"/>
      <c r="CTU48" s="16"/>
      <c r="CTV48" s="16"/>
      <c r="CTW48" s="16"/>
      <c r="CTX48" s="16"/>
      <c r="CTY48" s="16"/>
      <c r="CTZ48" s="16"/>
      <c r="CUA48" s="16"/>
      <c r="CUB48" s="16"/>
      <c r="CUC48" s="16"/>
      <c r="CUD48" s="16"/>
      <c r="CUE48" s="16"/>
      <c r="CUF48" s="16"/>
      <c r="CUG48" s="16"/>
      <c r="CUH48" s="16"/>
      <c r="CUI48" s="16"/>
      <c r="CUJ48" s="16"/>
      <c r="CUK48" s="16"/>
      <c r="CUL48" s="16"/>
      <c r="CUM48" s="16"/>
      <c r="CUN48" s="16"/>
      <c r="CUO48" s="16"/>
      <c r="CUP48" s="16"/>
      <c r="CUQ48" s="16"/>
      <c r="CUR48" s="16"/>
      <c r="CUS48" s="16"/>
      <c r="CUT48" s="16"/>
      <c r="CUU48" s="16"/>
      <c r="CUV48" s="16"/>
      <c r="CUW48" s="16"/>
      <c r="CUX48" s="16"/>
      <c r="CUY48" s="16"/>
      <c r="CUZ48" s="16"/>
      <c r="CVA48" s="16"/>
      <c r="CVB48" s="16"/>
      <c r="CVC48" s="16"/>
      <c r="CVD48" s="16"/>
      <c r="CVE48" s="16"/>
      <c r="CVF48" s="16"/>
      <c r="CVG48" s="16"/>
      <c r="CVH48" s="16"/>
      <c r="CVI48" s="16"/>
      <c r="CVJ48" s="16"/>
      <c r="CVK48" s="16"/>
      <c r="CVL48" s="16"/>
      <c r="CVM48" s="16"/>
      <c r="CVN48" s="16"/>
      <c r="CVO48" s="16"/>
      <c r="CVP48" s="16"/>
      <c r="CVQ48" s="16"/>
      <c r="CVR48" s="16"/>
      <c r="CVS48" s="16"/>
      <c r="CVT48" s="16"/>
      <c r="CVU48" s="16"/>
      <c r="CVV48" s="16"/>
      <c r="CVW48" s="16"/>
      <c r="CVX48" s="16"/>
      <c r="CVY48" s="16"/>
      <c r="CVZ48" s="16"/>
      <c r="CWA48" s="16"/>
      <c r="CWB48" s="16"/>
      <c r="CWC48" s="16"/>
      <c r="CWD48" s="16"/>
      <c r="CWE48" s="16"/>
      <c r="CWF48" s="16"/>
      <c r="CWG48" s="16"/>
      <c r="CWH48" s="16"/>
      <c r="CWI48" s="16"/>
      <c r="CWJ48" s="16"/>
      <c r="CWK48" s="16"/>
      <c r="CWL48" s="16"/>
      <c r="CWM48" s="16"/>
      <c r="CWN48" s="16"/>
      <c r="CWO48" s="16"/>
      <c r="CWP48" s="16"/>
      <c r="CWQ48" s="16"/>
      <c r="CWR48" s="16"/>
      <c r="CWS48" s="16"/>
      <c r="CWT48" s="16"/>
      <c r="CWU48" s="16"/>
      <c r="CWV48" s="16"/>
      <c r="CWW48" s="16"/>
      <c r="CWX48" s="16"/>
      <c r="CWY48" s="16"/>
      <c r="CWZ48" s="16"/>
      <c r="CXA48" s="16"/>
      <c r="CXB48" s="16"/>
      <c r="CXC48" s="16"/>
      <c r="CXD48" s="16"/>
      <c r="CXE48" s="16"/>
      <c r="CXF48" s="16"/>
      <c r="CXG48" s="16"/>
      <c r="CXH48" s="16"/>
      <c r="CXI48" s="16"/>
      <c r="CXJ48" s="16"/>
      <c r="CXK48" s="16"/>
      <c r="CXL48" s="16"/>
      <c r="CXM48" s="16"/>
      <c r="CXN48" s="16"/>
      <c r="CXO48" s="16"/>
      <c r="CXP48" s="16"/>
      <c r="CXQ48" s="16"/>
      <c r="CXR48" s="16"/>
      <c r="CXS48" s="16"/>
      <c r="CXT48" s="16"/>
      <c r="CXU48" s="16"/>
      <c r="CXV48" s="16"/>
      <c r="CXW48" s="16"/>
      <c r="CXX48" s="16"/>
      <c r="CXY48" s="16"/>
      <c r="CXZ48" s="16"/>
      <c r="CYA48" s="16"/>
      <c r="CYB48" s="16"/>
      <c r="CYC48" s="16"/>
      <c r="CYD48" s="16"/>
      <c r="CYE48" s="16"/>
      <c r="CYF48" s="16"/>
      <c r="CYG48" s="16"/>
      <c r="CYH48" s="16"/>
      <c r="CYI48" s="16"/>
      <c r="CYJ48" s="16"/>
      <c r="CYK48" s="16"/>
      <c r="CYL48" s="16"/>
      <c r="CYM48" s="16"/>
      <c r="CYN48" s="16"/>
      <c r="CYO48" s="16"/>
      <c r="CYP48" s="16"/>
      <c r="CYQ48" s="16"/>
      <c r="CYR48" s="16"/>
      <c r="CYS48" s="16"/>
      <c r="CYT48" s="16"/>
      <c r="CYU48" s="16"/>
      <c r="CYV48" s="16"/>
      <c r="CYW48" s="16"/>
      <c r="CYX48" s="16"/>
      <c r="CYY48" s="16"/>
      <c r="CYZ48" s="16"/>
      <c r="CZA48" s="16"/>
      <c r="CZB48" s="16"/>
      <c r="CZC48" s="16"/>
      <c r="CZD48" s="16"/>
      <c r="CZE48" s="16"/>
      <c r="CZF48" s="16"/>
      <c r="CZG48" s="16"/>
      <c r="CZH48" s="16"/>
      <c r="CZI48" s="16"/>
      <c r="CZJ48" s="16"/>
      <c r="CZK48" s="16"/>
      <c r="CZL48" s="16"/>
      <c r="CZM48" s="16"/>
      <c r="CZN48" s="16"/>
      <c r="CZO48" s="16"/>
      <c r="CZP48" s="16"/>
      <c r="CZQ48" s="16"/>
      <c r="CZR48" s="16"/>
      <c r="CZS48" s="16"/>
      <c r="CZT48" s="16"/>
      <c r="CZU48" s="16"/>
      <c r="CZV48" s="16"/>
      <c r="CZW48" s="16"/>
      <c r="CZX48" s="16"/>
      <c r="CZY48" s="16"/>
      <c r="CZZ48" s="16"/>
      <c r="DAA48" s="16"/>
      <c r="DAB48" s="16"/>
      <c r="DAC48" s="16"/>
      <c r="DAD48" s="16"/>
      <c r="DAE48" s="16"/>
      <c r="DAF48" s="16"/>
      <c r="DAG48" s="16"/>
      <c r="DAH48" s="16"/>
      <c r="DAI48" s="16"/>
      <c r="DAJ48" s="16"/>
      <c r="DAK48" s="16"/>
      <c r="DAL48" s="16"/>
      <c r="DAM48" s="16"/>
      <c r="DAN48" s="16"/>
      <c r="DAO48" s="16"/>
      <c r="DAP48" s="16"/>
      <c r="DAQ48" s="16"/>
      <c r="DAR48" s="16"/>
      <c r="DAS48" s="16"/>
      <c r="DAT48" s="16"/>
      <c r="DAU48" s="16"/>
      <c r="DAV48" s="16"/>
      <c r="DAW48" s="16"/>
      <c r="DAX48" s="16"/>
      <c r="DAY48" s="16"/>
      <c r="DAZ48" s="16"/>
      <c r="DBA48" s="16"/>
      <c r="DBB48" s="16"/>
      <c r="DBC48" s="16"/>
      <c r="DBD48" s="16"/>
      <c r="DBE48" s="16"/>
      <c r="DBF48" s="16"/>
      <c r="DBG48" s="16"/>
      <c r="DBH48" s="16"/>
      <c r="DBI48" s="16"/>
      <c r="DBJ48" s="16"/>
      <c r="DBK48" s="16"/>
      <c r="DBL48" s="16"/>
      <c r="DBM48" s="16"/>
      <c r="DBN48" s="16"/>
      <c r="DBO48" s="16"/>
      <c r="DBP48" s="16"/>
      <c r="DBQ48" s="16"/>
      <c r="DBR48" s="16"/>
      <c r="DBS48" s="16"/>
      <c r="DBT48" s="16"/>
      <c r="DBU48" s="16"/>
      <c r="DBV48" s="16"/>
      <c r="DBW48" s="16"/>
      <c r="DBX48" s="16"/>
      <c r="DBY48" s="16"/>
      <c r="DBZ48" s="16"/>
      <c r="DCA48" s="16"/>
      <c r="DCB48" s="16"/>
      <c r="DCC48" s="16"/>
      <c r="DCD48" s="16"/>
      <c r="DCE48" s="16"/>
      <c r="DCF48" s="16"/>
      <c r="DCG48" s="16"/>
      <c r="DCH48" s="16"/>
      <c r="DCI48" s="16"/>
      <c r="DCJ48" s="16"/>
      <c r="DCK48" s="16"/>
      <c r="DCL48" s="16"/>
      <c r="DCM48" s="16"/>
      <c r="DCN48" s="16"/>
      <c r="DCO48" s="16"/>
      <c r="DCP48" s="16"/>
      <c r="DCQ48" s="16"/>
      <c r="DCR48" s="16"/>
      <c r="DCS48" s="16"/>
      <c r="DCT48" s="16"/>
      <c r="DCU48" s="16"/>
      <c r="DCV48" s="16"/>
      <c r="DCW48" s="16"/>
      <c r="DCX48" s="16"/>
      <c r="DCY48" s="16"/>
      <c r="DCZ48" s="16"/>
      <c r="DDA48" s="16"/>
      <c r="DDB48" s="16"/>
      <c r="DDC48" s="16"/>
      <c r="DDD48" s="16"/>
      <c r="DDE48" s="16"/>
      <c r="DDF48" s="16"/>
      <c r="DDG48" s="16"/>
      <c r="DDH48" s="16"/>
      <c r="DDI48" s="16"/>
      <c r="DDJ48" s="16"/>
      <c r="DDK48" s="16"/>
      <c r="DDL48" s="16"/>
      <c r="DDM48" s="16"/>
      <c r="DDN48" s="16"/>
      <c r="DDO48" s="16"/>
      <c r="DDP48" s="16"/>
      <c r="DDQ48" s="16"/>
      <c r="DDR48" s="16"/>
      <c r="DDS48" s="16"/>
      <c r="DDT48" s="16"/>
      <c r="DDU48" s="16"/>
      <c r="DDV48" s="16"/>
      <c r="DDW48" s="16"/>
      <c r="DDX48" s="16"/>
      <c r="DDY48" s="16"/>
      <c r="DDZ48" s="16"/>
      <c r="DEA48" s="16"/>
      <c r="DEB48" s="16"/>
      <c r="DEC48" s="16"/>
      <c r="DED48" s="16"/>
      <c r="DEE48" s="16"/>
      <c r="DEF48" s="16"/>
      <c r="DEG48" s="16"/>
      <c r="DEH48" s="16"/>
      <c r="DEI48" s="16"/>
      <c r="DEJ48" s="16"/>
      <c r="DEK48" s="16"/>
      <c r="DEL48" s="16"/>
      <c r="DEM48" s="16"/>
      <c r="DEN48" s="16"/>
      <c r="DEO48" s="16"/>
      <c r="DEP48" s="16"/>
      <c r="DEQ48" s="16"/>
      <c r="DER48" s="16"/>
      <c r="DES48" s="16"/>
      <c r="DET48" s="16"/>
      <c r="DEU48" s="16"/>
      <c r="DEV48" s="16"/>
      <c r="DEW48" s="16"/>
      <c r="DEX48" s="16"/>
      <c r="DEY48" s="16"/>
      <c r="DEZ48" s="16"/>
      <c r="DFA48" s="16"/>
      <c r="DFB48" s="16"/>
      <c r="DFC48" s="16"/>
      <c r="DFD48" s="16"/>
      <c r="DFE48" s="16"/>
      <c r="DFF48" s="16"/>
      <c r="DFG48" s="16"/>
      <c r="DFH48" s="16"/>
      <c r="DFI48" s="16"/>
      <c r="DFJ48" s="16"/>
      <c r="DFK48" s="16"/>
      <c r="DFL48" s="16"/>
      <c r="DFM48" s="16"/>
      <c r="DFN48" s="16"/>
      <c r="DFO48" s="16"/>
      <c r="DFP48" s="16"/>
      <c r="DFQ48" s="16"/>
      <c r="DFR48" s="16"/>
      <c r="DFS48" s="16"/>
      <c r="DFT48" s="16"/>
      <c r="DFU48" s="16"/>
      <c r="DFV48" s="16"/>
      <c r="DFW48" s="16"/>
      <c r="DFX48" s="16"/>
      <c r="DFY48" s="16"/>
      <c r="DFZ48" s="16"/>
      <c r="DGA48" s="16"/>
      <c r="DGB48" s="16"/>
      <c r="DGC48" s="16"/>
      <c r="DGD48" s="16"/>
      <c r="DGE48" s="16"/>
      <c r="DGF48" s="16"/>
      <c r="DGG48" s="16"/>
      <c r="DGH48" s="16"/>
      <c r="DGI48" s="16"/>
      <c r="DGJ48" s="16"/>
      <c r="DGK48" s="16"/>
      <c r="DGL48" s="16"/>
      <c r="DGM48" s="16"/>
      <c r="DGN48" s="16"/>
      <c r="DGO48" s="16"/>
      <c r="DGP48" s="16"/>
      <c r="DGQ48" s="16"/>
      <c r="DGR48" s="16"/>
      <c r="DGS48" s="16"/>
      <c r="DGT48" s="16"/>
      <c r="DGU48" s="16"/>
      <c r="DGV48" s="16"/>
      <c r="DGW48" s="16"/>
      <c r="DGX48" s="16"/>
      <c r="DGY48" s="16"/>
      <c r="DGZ48" s="16"/>
      <c r="DHA48" s="16"/>
      <c r="DHB48" s="16"/>
      <c r="DHC48" s="16"/>
      <c r="DHD48" s="16"/>
      <c r="DHE48" s="16"/>
      <c r="DHF48" s="16"/>
      <c r="DHG48" s="16"/>
      <c r="DHH48" s="16"/>
      <c r="DHI48" s="16"/>
      <c r="DHJ48" s="16"/>
      <c r="DHK48" s="16"/>
      <c r="DHL48" s="16"/>
      <c r="DHM48" s="16"/>
      <c r="DHN48" s="16"/>
      <c r="DHO48" s="16"/>
      <c r="DHP48" s="16"/>
      <c r="DHQ48" s="16"/>
      <c r="DHR48" s="16"/>
      <c r="DHS48" s="16"/>
      <c r="DHT48" s="16"/>
      <c r="DHU48" s="16"/>
      <c r="DHV48" s="16"/>
      <c r="DHW48" s="16"/>
      <c r="DHX48" s="16"/>
      <c r="DHY48" s="16"/>
      <c r="DHZ48" s="16"/>
      <c r="DIA48" s="16"/>
      <c r="DIB48" s="16"/>
      <c r="DIC48" s="16"/>
      <c r="DID48" s="16"/>
      <c r="DIE48" s="16"/>
      <c r="DIF48" s="16"/>
      <c r="DIG48" s="16"/>
      <c r="DIH48" s="16"/>
      <c r="DII48" s="16"/>
      <c r="DIJ48" s="16"/>
      <c r="DIK48" s="16"/>
      <c r="DIL48" s="16"/>
      <c r="DIM48" s="16"/>
      <c r="DIN48" s="16"/>
      <c r="DIO48" s="16"/>
      <c r="DIP48" s="16"/>
      <c r="DIQ48" s="16"/>
      <c r="DIR48" s="16"/>
      <c r="DIS48" s="16"/>
      <c r="DIT48" s="16"/>
      <c r="DIU48" s="16"/>
      <c r="DIV48" s="16"/>
      <c r="DIW48" s="16"/>
      <c r="DIX48" s="16"/>
      <c r="DIY48" s="16"/>
      <c r="DIZ48" s="16"/>
      <c r="DJA48" s="16"/>
      <c r="DJB48" s="16"/>
      <c r="DJC48" s="16"/>
      <c r="DJD48" s="16"/>
      <c r="DJE48" s="16"/>
      <c r="DJF48" s="16"/>
      <c r="DJG48" s="16"/>
      <c r="DJH48" s="16"/>
      <c r="DJI48" s="16"/>
      <c r="DJJ48" s="16"/>
      <c r="DJK48" s="16"/>
      <c r="DJL48" s="16"/>
      <c r="DJM48" s="16"/>
      <c r="DJN48" s="16"/>
      <c r="DJO48" s="16"/>
      <c r="DJP48" s="16"/>
      <c r="DJQ48" s="16"/>
      <c r="DJR48" s="16"/>
      <c r="DJS48" s="16"/>
      <c r="DJT48" s="16"/>
      <c r="DJU48" s="16"/>
      <c r="DJV48" s="16"/>
      <c r="DJW48" s="16"/>
      <c r="DJX48" s="16"/>
      <c r="DJY48" s="16"/>
      <c r="DJZ48" s="16"/>
      <c r="DKA48" s="16"/>
      <c r="DKB48" s="16"/>
      <c r="DKC48" s="16"/>
      <c r="DKD48" s="16"/>
      <c r="DKE48" s="16"/>
      <c r="DKF48" s="16"/>
      <c r="DKG48" s="16"/>
      <c r="DKH48" s="16"/>
      <c r="DKI48" s="16"/>
      <c r="DKJ48" s="16"/>
      <c r="DKK48" s="16"/>
      <c r="DKL48" s="16"/>
      <c r="DKM48" s="16"/>
      <c r="DKN48" s="16"/>
      <c r="DKO48" s="16"/>
      <c r="DKP48" s="16"/>
      <c r="DKQ48" s="16"/>
      <c r="DKR48" s="16"/>
      <c r="DKS48" s="16"/>
      <c r="DKT48" s="16"/>
      <c r="DKU48" s="16"/>
      <c r="DKV48" s="16"/>
      <c r="DKW48" s="16"/>
      <c r="DKX48" s="16"/>
      <c r="DKY48" s="16"/>
      <c r="DKZ48" s="16"/>
      <c r="DLA48" s="16"/>
      <c r="DLB48" s="16"/>
      <c r="DLC48" s="16"/>
      <c r="DLD48" s="16"/>
      <c r="DLE48" s="16"/>
      <c r="DLF48" s="16"/>
      <c r="DLG48" s="16"/>
      <c r="DLH48" s="16"/>
      <c r="DLI48" s="16"/>
      <c r="DLJ48" s="16"/>
      <c r="DLK48" s="16"/>
      <c r="DLL48" s="16"/>
      <c r="DLM48" s="16"/>
      <c r="DLN48" s="16"/>
      <c r="DLO48" s="16"/>
      <c r="DLP48" s="16"/>
      <c r="DLQ48" s="16"/>
      <c r="DLR48" s="16"/>
      <c r="DLS48" s="16"/>
      <c r="DLT48" s="16"/>
      <c r="DLU48" s="16"/>
      <c r="DLV48" s="16"/>
      <c r="DLW48" s="16"/>
      <c r="DLX48" s="16"/>
      <c r="DLY48" s="16"/>
      <c r="DLZ48" s="16"/>
      <c r="DMA48" s="16"/>
      <c r="DMB48" s="16"/>
      <c r="DMC48" s="16"/>
      <c r="DMD48" s="16"/>
      <c r="DME48" s="16"/>
      <c r="DMF48" s="16"/>
      <c r="DMG48" s="16"/>
      <c r="DMH48" s="16"/>
      <c r="DMI48" s="16"/>
      <c r="DMJ48" s="16"/>
      <c r="DMK48" s="16"/>
      <c r="DML48" s="16"/>
      <c r="DMM48" s="16"/>
      <c r="DMN48" s="16"/>
      <c r="DMO48" s="16"/>
      <c r="DMP48" s="16"/>
      <c r="DMQ48" s="16"/>
      <c r="DMR48" s="16"/>
      <c r="DMS48" s="16"/>
      <c r="DMT48" s="16"/>
      <c r="DMU48" s="16"/>
      <c r="DMV48" s="16"/>
      <c r="DMW48" s="16"/>
      <c r="DMX48" s="16"/>
      <c r="DMY48" s="16"/>
      <c r="DMZ48" s="16"/>
      <c r="DNA48" s="16"/>
      <c r="DNB48" s="16"/>
      <c r="DNC48" s="16"/>
      <c r="DND48" s="16"/>
      <c r="DNE48" s="16"/>
      <c r="DNF48" s="16"/>
      <c r="DNG48" s="16"/>
      <c r="DNH48" s="16"/>
      <c r="DNI48" s="16"/>
      <c r="DNJ48" s="16"/>
      <c r="DNK48" s="16"/>
      <c r="DNL48" s="16"/>
      <c r="DNM48" s="16"/>
      <c r="DNN48" s="16"/>
      <c r="DNO48" s="16"/>
      <c r="DNP48" s="16"/>
      <c r="DNQ48" s="16"/>
      <c r="DNR48" s="16"/>
      <c r="DNS48" s="16"/>
      <c r="DNT48" s="16"/>
      <c r="DNU48" s="16"/>
      <c r="DNV48" s="16"/>
      <c r="DNW48" s="16"/>
      <c r="DNX48" s="16"/>
      <c r="DNY48" s="16"/>
      <c r="DNZ48" s="16"/>
      <c r="DOA48" s="16"/>
      <c r="DOB48" s="16"/>
      <c r="DOC48" s="16"/>
      <c r="DOD48" s="16"/>
      <c r="DOE48" s="16"/>
      <c r="DOF48" s="16"/>
      <c r="DOG48" s="16"/>
      <c r="DOH48" s="16"/>
      <c r="DOI48" s="16"/>
      <c r="DOJ48" s="16"/>
      <c r="DOK48" s="16"/>
      <c r="DOL48" s="16"/>
      <c r="DOM48" s="16"/>
      <c r="DON48" s="16"/>
      <c r="DOO48" s="16"/>
      <c r="DOP48" s="16"/>
      <c r="DOQ48" s="16"/>
      <c r="DOR48" s="16"/>
      <c r="DOS48" s="16"/>
      <c r="DOT48" s="16"/>
      <c r="DOU48" s="16"/>
      <c r="DOV48" s="16"/>
      <c r="DOW48" s="16"/>
      <c r="DOX48" s="16"/>
      <c r="DOY48" s="16"/>
      <c r="DOZ48" s="16"/>
      <c r="DPA48" s="16"/>
      <c r="DPB48" s="16"/>
      <c r="DPC48" s="16"/>
      <c r="DPD48" s="16"/>
      <c r="DPE48" s="16"/>
      <c r="DPF48" s="16"/>
      <c r="DPG48" s="16"/>
      <c r="DPH48" s="16"/>
      <c r="DPI48" s="16"/>
      <c r="DPJ48" s="16"/>
      <c r="DPK48" s="16"/>
      <c r="DPL48" s="16"/>
      <c r="DPM48" s="16"/>
      <c r="DPN48" s="16"/>
      <c r="DPO48" s="16"/>
      <c r="DPP48" s="16"/>
      <c r="DPQ48" s="16"/>
      <c r="DPR48" s="16"/>
      <c r="DPS48" s="16"/>
      <c r="DPT48" s="16"/>
      <c r="DPU48" s="16"/>
      <c r="DPV48" s="16"/>
      <c r="DPW48" s="16"/>
      <c r="DPX48" s="16"/>
      <c r="DPY48" s="16"/>
      <c r="DPZ48" s="16"/>
      <c r="DQA48" s="16"/>
      <c r="DQB48" s="16"/>
      <c r="DQC48" s="16"/>
      <c r="DQD48" s="16"/>
      <c r="DQE48" s="16"/>
      <c r="DQF48" s="16"/>
      <c r="DQG48" s="16"/>
      <c r="DQH48" s="16"/>
      <c r="DQI48" s="16"/>
      <c r="DQJ48" s="16"/>
      <c r="DQK48" s="16"/>
      <c r="DQL48" s="16"/>
      <c r="DQM48" s="16"/>
      <c r="DQN48" s="16"/>
      <c r="DQO48" s="16"/>
      <c r="DQP48" s="16"/>
      <c r="DQQ48" s="16"/>
      <c r="DQR48" s="16"/>
      <c r="DQS48" s="16"/>
      <c r="DQT48" s="16"/>
      <c r="DQU48" s="16"/>
      <c r="DQV48" s="16"/>
      <c r="DQW48" s="16"/>
      <c r="DQX48" s="16"/>
      <c r="DQY48" s="16"/>
      <c r="DQZ48" s="16"/>
      <c r="DRA48" s="16"/>
      <c r="DRB48" s="16"/>
      <c r="DRC48" s="16"/>
      <c r="DRD48" s="16"/>
      <c r="DRE48" s="16"/>
      <c r="DRF48" s="16"/>
      <c r="DRG48" s="16"/>
      <c r="DRH48" s="16"/>
      <c r="DRI48" s="16"/>
      <c r="DRJ48" s="16"/>
      <c r="DRK48" s="16"/>
      <c r="DRL48" s="16"/>
      <c r="DRM48" s="16"/>
      <c r="DRN48" s="16"/>
      <c r="DRO48" s="16"/>
      <c r="DRP48" s="16"/>
      <c r="DRQ48" s="16"/>
      <c r="DRR48" s="16"/>
      <c r="DRS48" s="16"/>
      <c r="DRT48" s="16"/>
      <c r="DRU48" s="16"/>
      <c r="DRV48" s="16"/>
      <c r="DRW48" s="16"/>
      <c r="DRX48" s="16"/>
      <c r="DRY48" s="16"/>
      <c r="DRZ48" s="16"/>
      <c r="DSA48" s="16"/>
      <c r="DSB48" s="16"/>
      <c r="DSC48" s="16"/>
      <c r="DSD48" s="16"/>
      <c r="DSE48" s="16"/>
      <c r="DSF48" s="16"/>
      <c r="DSG48" s="16"/>
      <c r="DSH48" s="16"/>
      <c r="DSI48" s="16"/>
      <c r="DSJ48" s="16"/>
      <c r="DSK48" s="16"/>
      <c r="DSL48" s="16"/>
      <c r="DSM48" s="16"/>
      <c r="DSN48" s="16"/>
      <c r="DSO48" s="16"/>
      <c r="DSP48" s="16"/>
      <c r="DSQ48" s="16"/>
      <c r="DSR48" s="16"/>
      <c r="DSS48" s="16"/>
      <c r="DST48" s="16"/>
      <c r="DSU48" s="16"/>
      <c r="DSV48" s="16"/>
      <c r="DSW48" s="16"/>
      <c r="DSX48" s="16"/>
      <c r="DSY48" s="16"/>
      <c r="DSZ48" s="16"/>
      <c r="DTA48" s="16"/>
      <c r="DTB48" s="16"/>
      <c r="DTC48" s="16"/>
      <c r="DTD48" s="16"/>
      <c r="DTE48" s="16"/>
      <c r="DTF48" s="16"/>
      <c r="DTG48" s="16"/>
      <c r="DTH48" s="16"/>
      <c r="DTI48" s="16"/>
      <c r="DTJ48" s="16"/>
      <c r="DTK48" s="16"/>
      <c r="DTL48" s="16"/>
      <c r="DTM48" s="16"/>
      <c r="DTN48" s="16"/>
      <c r="DTO48" s="16"/>
      <c r="DTP48" s="16"/>
      <c r="DTQ48" s="16"/>
      <c r="DTR48" s="16"/>
      <c r="DTS48" s="16"/>
      <c r="DTT48" s="16"/>
      <c r="DTU48" s="16"/>
      <c r="DTV48" s="16"/>
      <c r="DTW48" s="16"/>
      <c r="DTX48" s="16"/>
      <c r="DTY48" s="16"/>
      <c r="DTZ48" s="16"/>
      <c r="DUA48" s="16"/>
      <c r="DUB48" s="16"/>
      <c r="DUC48" s="16"/>
      <c r="DUD48" s="16"/>
      <c r="DUE48" s="16"/>
      <c r="DUF48" s="16"/>
      <c r="DUG48" s="16"/>
      <c r="DUH48" s="16"/>
      <c r="DUI48" s="16"/>
      <c r="DUJ48" s="16"/>
      <c r="DUK48" s="16"/>
      <c r="DUL48" s="16"/>
      <c r="DUM48" s="16"/>
      <c r="DUN48" s="16"/>
      <c r="DUO48" s="16"/>
      <c r="DUP48" s="16"/>
      <c r="DUQ48" s="16"/>
      <c r="DUR48" s="16"/>
      <c r="DUS48" s="16"/>
      <c r="DUT48" s="16"/>
      <c r="DUU48" s="16"/>
      <c r="DUV48" s="16"/>
      <c r="DUW48" s="16"/>
      <c r="DUX48" s="16"/>
      <c r="DUY48" s="16"/>
      <c r="DUZ48" s="16"/>
      <c r="DVA48" s="16"/>
      <c r="DVB48" s="16"/>
      <c r="DVC48" s="16"/>
      <c r="DVD48" s="16"/>
      <c r="DVE48" s="16"/>
      <c r="DVF48" s="16"/>
      <c r="DVG48" s="16"/>
      <c r="DVH48" s="16"/>
      <c r="DVI48" s="16"/>
      <c r="DVJ48" s="16"/>
      <c r="DVK48" s="16"/>
      <c r="DVL48" s="16"/>
      <c r="DVM48" s="16"/>
      <c r="DVN48" s="16"/>
      <c r="DVO48" s="16"/>
      <c r="DVP48" s="16"/>
      <c r="DVQ48" s="16"/>
      <c r="DVR48" s="16"/>
      <c r="DVS48" s="16"/>
      <c r="DVT48" s="16"/>
      <c r="DVU48" s="16"/>
      <c r="DVV48" s="16"/>
      <c r="DVW48" s="16"/>
      <c r="DVX48" s="16"/>
      <c r="DVY48" s="16"/>
      <c r="DVZ48" s="16"/>
      <c r="DWA48" s="16"/>
      <c r="DWB48" s="16"/>
      <c r="DWC48" s="16"/>
      <c r="DWD48" s="16"/>
      <c r="DWE48" s="16"/>
      <c r="DWF48" s="16"/>
      <c r="DWG48" s="16"/>
      <c r="DWH48" s="16"/>
      <c r="DWI48" s="16"/>
      <c r="DWJ48" s="16"/>
      <c r="DWK48" s="16"/>
      <c r="DWL48" s="16"/>
      <c r="DWM48" s="16"/>
      <c r="DWN48" s="16"/>
      <c r="DWO48" s="16"/>
      <c r="DWP48" s="16"/>
      <c r="DWQ48" s="16"/>
      <c r="DWR48" s="16"/>
      <c r="DWS48" s="16"/>
      <c r="DWT48" s="16"/>
      <c r="DWU48" s="16"/>
      <c r="DWV48" s="16"/>
      <c r="DWW48" s="16"/>
      <c r="DWX48" s="16"/>
      <c r="DWY48" s="16"/>
      <c r="DWZ48" s="16"/>
      <c r="DXA48" s="16"/>
      <c r="DXB48" s="16"/>
      <c r="DXC48" s="16"/>
      <c r="DXD48" s="16"/>
      <c r="DXE48" s="16"/>
      <c r="DXF48" s="16"/>
      <c r="DXG48" s="16"/>
      <c r="DXH48" s="16"/>
      <c r="DXI48" s="16"/>
      <c r="DXJ48" s="16"/>
      <c r="DXK48" s="16"/>
      <c r="DXL48" s="16"/>
      <c r="DXM48" s="16"/>
      <c r="DXN48" s="16"/>
      <c r="DXO48" s="16"/>
      <c r="DXP48" s="16"/>
      <c r="DXQ48" s="16"/>
      <c r="DXR48" s="16"/>
      <c r="DXS48" s="16"/>
      <c r="DXT48" s="16"/>
      <c r="DXU48" s="16"/>
      <c r="DXV48" s="16"/>
      <c r="DXW48" s="16"/>
      <c r="DXX48" s="16"/>
      <c r="DXY48" s="16"/>
      <c r="DXZ48" s="16"/>
      <c r="DYA48" s="16"/>
      <c r="DYB48" s="16"/>
      <c r="DYC48" s="16"/>
      <c r="DYD48" s="16"/>
      <c r="DYE48" s="16"/>
      <c r="DYF48" s="16"/>
      <c r="DYG48" s="16"/>
      <c r="DYH48" s="16"/>
      <c r="DYI48" s="16"/>
      <c r="DYJ48" s="16"/>
      <c r="DYK48" s="16"/>
      <c r="DYL48" s="16"/>
      <c r="DYM48" s="16"/>
      <c r="DYN48" s="16"/>
      <c r="DYO48" s="16"/>
      <c r="DYP48" s="16"/>
      <c r="DYQ48" s="16"/>
      <c r="DYR48" s="16"/>
      <c r="DYS48" s="16"/>
      <c r="DYT48" s="16"/>
      <c r="DYU48" s="16"/>
      <c r="DYV48" s="16"/>
      <c r="DYW48" s="16"/>
      <c r="DYX48" s="16"/>
      <c r="DYY48" s="16"/>
      <c r="DYZ48" s="16"/>
      <c r="DZA48" s="16"/>
      <c r="DZB48" s="16"/>
      <c r="DZC48" s="16"/>
      <c r="DZD48" s="16"/>
      <c r="DZE48" s="16"/>
      <c r="DZF48" s="16"/>
      <c r="DZG48" s="16"/>
      <c r="DZH48" s="16"/>
      <c r="DZI48" s="16"/>
      <c r="DZJ48" s="16"/>
      <c r="DZK48" s="16"/>
      <c r="DZL48" s="16"/>
      <c r="DZM48" s="16"/>
      <c r="DZN48" s="16"/>
      <c r="DZO48" s="16"/>
      <c r="DZP48" s="16"/>
      <c r="DZQ48" s="16"/>
      <c r="DZR48" s="16"/>
      <c r="DZS48" s="16"/>
      <c r="DZT48" s="16"/>
      <c r="DZU48" s="16"/>
      <c r="DZV48" s="16"/>
      <c r="DZW48" s="16"/>
      <c r="DZX48" s="16"/>
      <c r="DZY48" s="16"/>
      <c r="DZZ48" s="16"/>
      <c r="EAA48" s="16"/>
      <c r="EAB48" s="16"/>
      <c r="EAC48" s="16"/>
      <c r="EAD48" s="16"/>
      <c r="EAE48" s="16"/>
      <c r="EAF48" s="16"/>
      <c r="EAG48" s="16"/>
      <c r="EAH48" s="16"/>
      <c r="EAI48" s="16"/>
      <c r="EAJ48" s="16"/>
      <c r="EAK48" s="16"/>
      <c r="EAL48" s="16"/>
      <c r="EAM48" s="16"/>
      <c r="EAN48" s="16"/>
      <c r="EAO48" s="16"/>
      <c r="EAP48" s="16"/>
      <c r="EAQ48" s="16"/>
      <c r="EAR48" s="16"/>
      <c r="EAS48" s="16"/>
      <c r="EAT48" s="16"/>
      <c r="EAU48" s="16"/>
      <c r="EAV48" s="16"/>
      <c r="EAW48" s="16"/>
      <c r="EAX48" s="16"/>
      <c r="EAY48" s="16"/>
      <c r="EAZ48" s="16"/>
      <c r="EBA48" s="16"/>
      <c r="EBB48" s="16"/>
      <c r="EBC48" s="16"/>
      <c r="EBD48" s="16"/>
      <c r="EBE48" s="16"/>
      <c r="EBF48" s="16"/>
      <c r="EBG48" s="16"/>
      <c r="EBH48" s="16"/>
      <c r="EBI48" s="16"/>
      <c r="EBJ48" s="16"/>
      <c r="EBK48" s="16"/>
      <c r="EBL48" s="16"/>
      <c r="EBM48" s="16"/>
      <c r="EBN48" s="16"/>
      <c r="EBO48" s="16"/>
      <c r="EBP48" s="16"/>
      <c r="EBQ48" s="16"/>
      <c r="EBR48" s="16"/>
      <c r="EBS48" s="16"/>
      <c r="EBT48" s="16"/>
      <c r="EBU48" s="16"/>
      <c r="EBV48" s="16"/>
      <c r="EBW48" s="16"/>
      <c r="EBX48" s="16"/>
      <c r="EBY48" s="16"/>
      <c r="EBZ48" s="16"/>
      <c r="ECA48" s="16"/>
      <c r="ECB48" s="16"/>
      <c r="ECC48" s="16"/>
      <c r="ECD48" s="16"/>
      <c r="ECE48" s="16"/>
      <c r="ECF48" s="16"/>
      <c r="ECG48" s="16"/>
      <c r="ECH48" s="16"/>
      <c r="ECI48" s="16"/>
      <c r="ECJ48" s="16"/>
      <c r="ECK48" s="16"/>
      <c r="ECL48" s="16"/>
      <c r="ECM48" s="16"/>
      <c r="ECN48" s="16"/>
      <c r="ECO48" s="16"/>
      <c r="ECP48" s="16"/>
      <c r="ECQ48" s="16"/>
      <c r="ECR48" s="16"/>
      <c r="ECS48" s="16"/>
      <c r="ECT48" s="16"/>
      <c r="ECU48" s="16"/>
      <c r="ECV48" s="16"/>
      <c r="ECW48" s="16"/>
      <c r="ECX48" s="16"/>
      <c r="ECY48" s="16"/>
      <c r="ECZ48" s="16"/>
      <c r="EDA48" s="16"/>
      <c r="EDB48" s="16"/>
      <c r="EDC48" s="16"/>
      <c r="EDD48" s="16"/>
      <c r="EDE48" s="16"/>
      <c r="EDF48" s="16"/>
      <c r="EDG48" s="16"/>
      <c r="EDH48" s="16"/>
      <c r="EDI48" s="16"/>
      <c r="EDJ48" s="16"/>
      <c r="EDK48" s="16"/>
      <c r="EDL48" s="16"/>
      <c r="EDM48" s="16"/>
      <c r="EDN48" s="16"/>
      <c r="EDO48" s="16"/>
      <c r="EDP48" s="16"/>
      <c r="EDQ48" s="16"/>
      <c r="EDR48" s="16"/>
      <c r="EDS48" s="16"/>
      <c r="EDT48" s="16"/>
      <c r="EDU48" s="16"/>
      <c r="EDV48" s="16"/>
      <c r="EDW48" s="16"/>
      <c r="EDX48" s="16"/>
      <c r="EDY48" s="16"/>
      <c r="EDZ48" s="16"/>
      <c r="EEA48" s="16"/>
      <c r="EEB48" s="16"/>
      <c r="EEC48" s="16"/>
      <c r="EED48" s="16"/>
      <c r="EEE48" s="16"/>
      <c r="EEF48" s="16"/>
      <c r="EEG48" s="16"/>
      <c r="EEH48" s="16"/>
      <c r="EEI48" s="16"/>
      <c r="EEJ48" s="16"/>
      <c r="EEK48" s="16"/>
      <c r="EEL48" s="16"/>
      <c r="EEM48" s="16"/>
      <c r="EEN48" s="16"/>
      <c r="EEO48" s="16"/>
      <c r="EEP48" s="16"/>
      <c r="EEQ48" s="16"/>
      <c r="EER48" s="16"/>
      <c r="EES48" s="16"/>
      <c r="EET48" s="16"/>
      <c r="EEU48" s="16"/>
      <c r="EEV48" s="16"/>
      <c r="EEW48" s="16"/>
      <c r="EEX48" s="16"/>
      <c r="EEY48" s="16"/>
      <c r="EEZ48" s="16"/>
      <c r="EFA48" s="16"/>
      <c r="EFB48" s="16"/>
      <c r="EFC48" s="16"/>
      <c r="EFD48" s="16"/>
      <c r="EFE48" s="16"/>
      <c r="EFF48" s="16"/>
      <c r="EFG48" s="16"/>
      <c r="EFH48" s="16"/>
      <c r="EFI48" s="16"/>
      <c r="EFJ48" s="16"/>
      <c r="EFK48" s="16"/>
      <c r="EFL48" s="16"/>
      <c r="EFM48" s="16"/>
      <c r="EFN48" s="16"/>
      <c r="EFO48" s="16"/>
      <c r="EFP48" s="16"/>
      <c r="EFQ48" s="16"/>
      <c r="EFR48" s="16"/>
      <c r="EFS48" s="16"/>
      <c r="EFT48" s="16"/>
      <c r="EFU48" s="16"/>
      <c r="EFV48" s="16"/>
      <c r="EFW48" s="16"/>
      <c r="EFX48" s="16"/>
      <c r="EFY48" s="16"/>
      <c r="EFZ48" s="16"/>
      <c r="EGA48" s="16"/>
      <c r="EGB48" s="16"/>
      <c r="EGC48" s="16"/>
      <c r="EGD48" s="16"/>
      <c r="EGE48" s="16"/>
      <c r="EGF48" s="16"/>
      <c r="EGG48" s="16"/>
      <c r="EGH48" s="16"/>
      <c r="EGI48" s="16"/>
      <c r="EGJ48" s="16"/>
      <c r="EGK48" s="16"/>
      <c r="EGL48" s="16"/>
      <c r="EGM48" s="16"/>
      <c r="EGN48" s="16"/>
      <c r="EGO48" s="16"/>
      <c r="EGP48" s="16"/>
      <c r="EGQ48" s="16"/>
      <c r="EGR48" s="16"/>
      <c r="EGS48" s="16"/>
      <c r="EGT48" s="16"/>
      <c r="EGU48" s="16"/>
      <c r="EGV48" s="16"/>
      <c r="EGW48" s="16"/>
      <c r="EGX48" s="16"/>
      <c r="EGY48" s="16"/>
      <c r="EGZ48" s="16"/>
      <c r="EHA48" s="16"/>
      <c r="EHB48" s="16"/>
      <c r="EHC48" s="16"/>
      <c r="EHD48" s="16"/>
      <c r="EHE48" s="16"/>
      <c r="EHF48" s="16"/>
      <c r="EHG48" s="16"/>
      <c r="EHH48" s="16"/>
      <c r="EHI48" s="16"/>
      <c r="EHJ48" s="16"/>
      <c r="EHK48" s="16"/>
      <c r="EHL48" s="16"/>
      <c r="EHM48" s="16"/>
      <c r="EHN48" s="16"/>
      <c r="EHO48" s="16"/>
      <c r="EHP48" s="16"/>
      <c r="EHQ48" s="16"/>
      <c r="EHR48" s="16"/>
      <c r="EHS48" s="16"/>
      <c r="EHT48" s="16"/>
      <c r="EHU48" s="16"/>
      <c r="EHV48" s="16"/>
      <c r="EHW48" s="16"/>
      <c r="EHX48" s="16"/>
      <c r="EHY48" s="16"/>
      <c r="EHZ48" s="16"/>
      <c r="EIA48" s="16"/>
      <c r="EIB48" s="16"/>
      <c r="EIC48" s="16"/>
      <c r="EID48" s="16"/>
      <c r="EIE48" s="16"/>
      <c r="EIF48" s="16"/>
      <c r="EIG48" s="16"/>
      <c r="EIH48" s="16"/>
      <c r="EII48" s="16"/>
      <c r="EIJ48" s="16"/>
      <c r="EIK48" s="16"/>
      <c r="EIL48" s="16"/>
      <c r="EIM48" s="16"/>
      <c r="EIN48" s="16"/>
      <c r="EIO48" s="16"/>
      <c r="EIP48" s="16"/>
      <c r="EIQ48" s="16"/>
      <c r="EIR48" s="16"/>
      <c r="EIS48" s="16"/>
      <c r="EIT48" s="16"/>
      <c r="EIU48" s="16"/>
      <c r="EIV48" s="16"/>
      <c r="EIW48" s="16"/>
      <c r="EIX48" s="16"/>
      <c r="EIY48" s="16"/>
      <c r="EIZ48" s="16"/>
      <c r="EJA48" s="16"/>
      <c r="EJB48" s="16"/>
      <c r="EJC48" s="16"/>
      <c r="EJD48" s="16"/>
      <c r="EJE48" s="16"/>
      <c r="EJF48" s="16"/>
      <c r="EJG48" s="16"/>
      <c r="EJH48" s="16"/>
      <c r="EJI48" s="16"/>
      <c r="EJJ48" s="16"/>
      <c r="EJK48" s="16"/>
      <c r="EJL48" s="16"/>
      <c r="EJM48" s="16"/>
      <c r="EJN48" s="16"/>
      <c r="EJO48" s="16"/>
      <c r="EJP48" s="16"/>
      <c r="EJQ48" s="16"/>
      <c r="EJR48" s="16"/>
      <c r="EJS48" s="16"/>
      <c r="EJT48" s="16"/>
      <c r="EJU48" s="16"/>
      <c r="EJV48" s="16"/>
      <c r="EJW48" s="16"/>
      <c r="EJX48" s="16"/>
      <c r="EJY48" s="16"/>
      <c r="EJZ48" s="16"/>
      <c r="EKA48" s="16"/>
      <c r="EKB48" s="16"/>
      <c r="EKC48" s="16"/>
      <c r="EKD48" s="16"/>
      <c r="EKE48" s="16"/>
      <c r="EKF48" s="16"/>
      <c r="EKG48" s="16"/>
      <c r="EKH48" s="16"/>
      <c r="EKI48" s="16"/>
      <c r="EKJ48" s="16"/>
      <c r="EKK48" s="16"/>
      <c r="EKL48" s="16"/>
      <c r="EKM48" s="16"/>
      <c r="EKN48" s="16"/>
      <c r="EKO48" s="16"/>
      <c r="EKP48" s="16"/>
      <c r="EKQ48" s="16"/>
      <c r="EKR48" s="16"/>
      <c r="EKS48" s="16"/>
      <c r="EKT48" s="16"/>
      <c r="EKU48" s="16"/>
      <c r="EKV48" s="16"/>
      <c r="EKW48" s="16"/>
      <c r="EKX48" s="16"/>
      <c r="EKY48" s="16"/>
      <c r="EKZ48" s="16"/>
      <c r="ELA48" s="16"/>
      <c r="ELB48" s="16"/>
      <c r="ELC48" s="16"/>
      <c r="ELD48" s="16"/>
      <c r="ELE48" s="16"/>
      <c r="ELF48" s="16"/>
      <c r="ELG48" s="16"/>
      <c r="ELH48" s="16"/>
      <c r="ELI48" s="16"/>
      <c r="ELJ48" s="16"/>
      <c r="ELK48" s="16"/>
      <c r="ELL48" s="16"/>
      <c r="ELM48" s="16"/>
      <c r="ELN48" s="16"/>
      <c r="ELO48" s="16"/>
      <c r="ELP48" s="16"/>
      <c r="ELQ48" s="16"/>
      <c r="ELR48" s="16"/>
      <c r="ELS48" s="16"/>
      <c r="ELT48" s="16"/>
      <c r="ELU48" s="16"/>
      <c r="ELV48" s="16"/>
      <c r="ELW48" s="16"/>
      <c r="ELX48" s="16"/>
      <c r="ELY48" s="16"/>
      <c r="ELZ48" s="16"/>
      <c r="EMA48" s="16"/>
      <c r="EMB48" s="16"/>
      <c r="EMC48" s="16"/>
      <c r="EMD48" s="16"/>
      <c r="EME48" s="16"/>
      <c r="EMF48" s="16"/>
      <c r="EMG48" s="16"/>
      <c r="EMH48" s="16"/>
      <c r="EMI48" s="16"/>
      <c r="EMJ48" s="16"/>
      <c r="EMK48" s="16"/>
      <c r="EML48" s="16"/>
      <c r="EMM48" s="16"/>
      <c r="EMN48" s="16"/>
      <c r="EMO48" s="16"/>
      <c r="EMP48" s="16"/>
      <c r="EMQ48" s="16"/>
      <c r="EMR48" s="16"/>
      <c r="EMS48" s="16"/>
      <c r="EMT48" s="16"/>
      <c r="EMU48" s="16"/>
      <c r="EMV48" s="16"/>
      <c r="EMW48" s="16"/>
      <c r="EMX48" s="16"/>
      <c r="EMY48" s="16"/>
      <c r="EMZ48" s="16"/>
      <c r="ENA48" s="16"/>
      <c r="ENB48" s="16"/>
      <c r="ENC48" s="16"/>
      <c r="END48" s="16"/>
      <c r="ENE48" s="16"/>
      <c r="ENF48" s="16"/>
      <c r="ENG48" s="16"/>
      <c r="ENH48" s="16"/>
      <c r="ENI48" s="16"/>
      <c r="ENJ48" s="16"/>
      <c r="ENK48" s="16"/>
      <c r="ENL48" s="16"/>
      <c r="ENM48" s="16"/>
      <c r="ENN48" s="16"/>
      <c r="ENO48" s="16"/>
      <c r="ENP48" s="16"/>
      <c r="ENQ48" s="16"/>
      <c r="ENR48" s="16"/>
      <c r="ENS48" s="16"/>
      <c r="ENT48" s="16"/>
      <c r="ENU48" s="16"/>
      <c r="ENV48" s="16"/>
      <c r="ENW48" s="16"/>
      <c r="ENX48" s="16"/>
      <c r="ENY48" s="16"/>
      <c r="ENZ48" s="16"/>
      <c r="EOA48" s="16"/>
      <c r="EOB48" s="16"/>
      <c r="EOC48" s="16"/>
      <c r="EOD48" s="16"/>
      <c r="EOE48" s="16"/>
      <c r="EOF48" s="16"/>
      <c r="EOG48" s="16"/>
      <c r="EOH48" s="16"/>
      <c r="EOI48" s="16"/>
      <c r="EOJ48" s="16"/>
      <c r="EOK48" s="16"/>
      <c r="EOL48" s="16"/>
      <c r="EOM48" s="16"/>
      <c r="EON48" s="16"/>
      <c r="EOO48" s="16"/>
      <c r="EOP48" s="16"/>
      <c r="EOQ48" s="16"/>
      <c r="EOR48" s="16"/>
      <c r="EOS48" s="16"/>
      <c r="EOT48" s="16"/>
      <c r="EOU48" s="16"/>
      <c r="EOV48" s="16"/>
      <c r="EOW48" s="16"/>
      <c r="EOX48" s="16"/>
      <c r="EOY48" s="16"/>
      <c r="EOZ48" s="16"/>
      <c r="EPA48" s="16"/>
      <c r="EPB48" s="16"/>
      <c r="EPC48" s="16"/>
      <c r="EPD48" s="16"/>
      <c r="EPE48" s="16"/>
      <c r="EPF48" s="16"/>
      <c r="EPG48" s="16"/>
      <c r="EPH48" s="16"/>
      <c r="EPI48" s="16"/>
      <c r="EPJ48" s="16"/>
      <c r="EPK48" s="16"/>
      <c r="EPL48" s="16"/>
      <c r="EPM48" s="16"/>
      <c r="EPN48" s="16"/>
      <c r="EPO48" s="16"/>
      <c r="EPP48" s="16"/>
      <c r="EPQ48" s="16"/>
      <c r="EPR48" s="16"/>
      <c r="EPS48" s="16"/>
      <c r="EPT48" s="16"/>
      <c r="EPU48" s="16"/>
      <c r="EPV48" s="16"/>
      <c r="EPW48" s="16"/>
      <c r="EPX48" s="16"/>
      <c r="EPY48" s="16"/>
      <c r="EPZ48" s="16"/>
      <c r="EQA48" s="16"/>
      <c r="EQB48" s="16"/>
      <c r="EQC48" s="16"/>
      <c r="EQD48" s="16"/>
      <c r="EQE48" s="16"/>
      <c r="EQF48" s="16"/>
      <c r="EQG48" s="16"/>
      <c r="EQH48" s="16"/>
      <c r="EQI48" s="16"/>
      <c r="EQJ48" s="16"/>
      <c r="EQK48" s="16"/>
      <c r="EQL48" s="16"/>
      <c r="EQM48" s="16"/>
      <c r="EQN48" s="16"/>
      <c r="EQO48" s="16"/>
      <c r="EQP48" s="16"/>
      <c r="EQQ48" s="16"/>
      <c r="EQR48" s="16"/>
      <c r="EQS48" s="16"/>
      <c r="EQT48" s="16"/>
      <c r="EQU48" s="16"/>
      <c r="EQV48" s="16"/>
      <c r="EQW48" s="16"/>
      <c r="EQX48" s="16"/>
      <c r="EQY48" s="16"/>
      <c r="EQZ48" s="16"/>
      <c r="ERA48" s="16"/>
      <c r="ERB48" s="16"/>
      <c r="ERC48" s="16"/>
      <c r="ERD48" s="16"/>
      <c r="ERE48" s="16"/>
      <c r="ERF48" s="16"/>
      <c r="ERG48" s="16"/>
      <c r="ERH48" s="16"/>
      <c r="ERI48" s="16"/>
      <c r="ERJ48" s="16"/>
      <c r="ERK48" s="16"/>
      <c r="ERL48" s="16"/>
      <c r="ERM48" s="16"/>
      <c r="ERN48" s="16"/>
      <c r="ERO48" s="16"/>
      <c r="ERP48" s="16"/>
      <c r="ERQ48" s="16"/>
      <c r="ERR48" s="16"/>
      <c r="ERS48" s="16"/>
      <c r="ERT48" s="16"/>
      <c r="ERU48" s="16"/>
      <c r="ERV48" s="16"/>
      <c r="ERW48" s="16"/>
      <c r="ERX48" s="16"/>
      <c r="ERY48" s="16"/>
      <c r="ERZ48" s="16"/>
      <c r="ESA48" s="16"/>
      <c r="ESB48" s="16"/>
      <c r="ESC48" s="16"/>
      <c r="ESD48" s="16"/>
      <c r="ESE48" s="16"/>
      <c r="ESF48" s="16"/>
      <c r="ESG48" s="16"/>
      <c r="ESH48" s="16"/>
      <c r="ESI48" s="16"/>
      <c r="ESJ48" s="16"/>
      <c r="ESK48" s="16"/>
      <c r="ESL48" s="16"/>
      <c r="ESM48" s="16"/>
      <c r="ESN48" s="16"/>
      <c r="ESO48" s="16"/>
      <c r="ESP48" s="16"/>
      <c r="ESQ48" s="16"/>
      <c r="ESR48" s="16"/>
      <c r="ESS48" s="16"/>
      <c r="EST48" s="16"/>
      <c r="ESU48" s="16"/>
      <c r="ESV48" s="16"/>
      <c r="ESW48" s="16"/>
      <c r="ESX48" s="16"/>
      <c r="ESY48" s="16"/>
      <c r="ESZ48" s="16"/>
      <c r="ETA48" s="16"/>
      <c r="ETB48" s="16"/>
      <c r="ETC48" s="16"/>
      <c r="ETD48" s="16"/>
      <c r="ETE48" s="16"/>
      <c r="ETF48" s="16"/>
      <c r="ETG48" s="16"/>
      <c r="ETH48" s="16"/>
      <c r="ETI48" s="16"/>
      <c r="ETJ48" s="16"/>
      <c r="ETK48" s="16"/>
      <c r="ETL48" s="16"/>
      <c r="ETM48" s="16"/>
      <c r="ETN48" s="16"/>
      <c r="ETO48" s="16"/>
      <c r="ETP48" s="16"/>
      <c r="ETQ48" s="16"/>
      <c r="ETR48" s="16"/>
      <c r="ETS48" s="16"/>
      <c r="ETT48" s="16"/>
      <c r="ETU48" s="16"/>
      <c r="ETV48" s="16"/>
      <c r="ETW48" s="16"/>
      <c r="ETX48" s="16"/>
      <c r="ETY48" s="16"/>
      <c r="ETZ48" s="16"/>
      <c r="EUA48" s="16"/>
      <c r="EUB48" s="16"/>
      <c r="EUC48" s="16"/>
      <c r="EUD48" s="16"/>
      <c r="EUE48" s="16"/>
      <c r="EUF48" s="16"/>
      <c r="EUG48" s="16"/>
      <c r="EUH48" s="16"/>
      <c r="EUI48" s="16"/>
      <c r="EUJ48" s="16"/>
      <c r="EUK48" s="16"/>
      <c r="EUL48" s="16"/>
      <c r="EUM48" s="16"/>
      <c r="EUN48" s="16"/>
      <c r="EUO48" s="16"/>
      <c r="EUP48" s="16"/>
      <c r="EUQ48" s="16"/>
      <c r="EUR48" s="16"/>
      <c r="EUS48" s="16"/>
      <c r="EUT48" s="16"/>
      <c r="EUU48" s="16"/>
      <c r="EUV48" s="16"/>
      <c r="EUW48" s="16"/>
      <c r="EUX48" s="16"/>
      <c r="EUY48" s="16"/>
      <c r="EUZ48" s="16"/>
      <c r="EVA48" s="16"/>
      <c r="EVB48" s="16"/>
      <c r="EVC48" s="16"/>
      <c r="EVD48" s="16"/>
      <c r="EVE48" s="16"/>
      <c r="EVF48" s="16"/>
      <c r="EVG48" s="16"/>
      <c r="EVH48" s="16"/>
      <c r="EVI48" s="16"/>
      <c r="EVJ48" s="16"/>
      <c r="EVK48" s="16"/>
      <c r="EVL48" s="16"/>
      <c r="EVM48" s="16"/>
      <c r="EVN48" s="16"/>
      <c r="EVO48" s="16"/>
      <c r="EVP48" s="16"/>
      <c r="EVQ48" s="16"/>
      <c r="EVR48" s="16"/>
      <c r="EVS48" s="16"/>
      <c r="EVT48" s="16"/>
      <c r="EVU48" s="16"/>
      <c r="EVV48" s="16"/>
      <c r="EVW48" s="16"/>
      <c r="EVX48" s="16"/>
      <c r="EVY48" s="16"/>
      <c r="EVZ48" s="16"/>
      <c r="EWA48" s="16"/>
      <c r="EWB48" s="16"/>
      <c r="EWC48" s="16"/>
      <c r="EWD48" s="16"/>
      <c r="EWE48" s="16"/>
      <c r="EWF48" s="16"/>
      <c r="EWG48" s="16"/>
      <c r="EWH48" s="16"/>
      <c r="EWI48" s="16"/>
      <c r="EWJ48" s="16"/>
      <c r="EWK48" s="16"/>
      <c r="EWL48" s="16"/>
      <c r="EWM48" s="16"/>
      <c r="EWN48" s="16"/>
      <c r="EWO48" s="16"/>
      <c r="EWP48" s="16"/>
      <c r="EWQ48" s="16"/>
      <c r="EWR48" s="16"/>
      <c r="EWS48" s="16"/>
      <c r="EWT48" s="16"/>
      <c r="EWU48" s="16"/>
      <c r="EWV48" s="16"/>
      <c r="EWW48" s="16"/>
      <c r="EWX48" s="16"/>
      <c r="EWY48" s="16"/>
      <c r="EWZ48" s="16"/>
      <c r="EXA48" s="16"/>
      <c r="EXB48" s="16"/>
      <c r="EXC48" s="16"/>
      <c r="EXD48" s="16"/>
      <c r="EXE48" s="16"/>
      <c r="EXF48" s="16"/>
      <c r="EXG48" s="16"/>
      <c r="EXH48" s="16"/>
      <c r="EXI48" s="16"/>
      <c r="EXJ48" s="16"/>
      <c r="EXK48" s="16"/>
      <c r="EXL48" s="16"/>
      <c r="EXM48" s="16"/>
      <c r="EXN48" s="16"/>
      <c r="EXO48" s="16"/>
      <c r="EXP48" s="16"/>
      <c r="EXQ48" s="16"/>
      <c r="EXR48" s="16"/>
      <c r="EXS48" s="16"/>
      <c r="EXT48" s="16"/>
      <c r="EXU48" s="16"/>
      <c r="EXV48" s="16"/>
      <c r="EXW48" s="16"/>
      <c r="EXX48" s="16"/>
      <c r="EXY48" s="16"/>
      <c r="EXZ48" s="16"/>
      <c r="EYA48" s="16"/>
      <c r="EYB48" s="16"/>
      <c r="EYC48" s="16"/>
      <c r="EYD48" s="16"/>
      <c r="EYE48" s="16"/>
      <c r="EYF48" s="16"/>
      <c r="EYG48" s="16"/>
      <c r="EYH48" s="16"/>
      <c r="EYI48" s="16"/>
      <c r="EYJ48" s="16"/>
      <c r="EYK48" s="16"/>
      <c r="EYL48" s="16"/>
      <c r="EYM48" s="16"/>
      <c r="EYN48" s="16"/>
      <c r="EYO48" s="16"/>
      <c r="EYP48" s="16"/>
      <c r="EYQ48" s="16"/>
      <c r="EYR48" s="16"/>
      <c r="EYS48" s="16"/>
      <c r="EYT48" s="16"/>
      <c r="EYU48" s="16"/>
      <c r="EYV48" s="16"/>
      <c r="EYW48" s="16"/>
      <c r="EYX48" s="16"/>
      <c r="EYY48" s="16"/>
      <c r="EYZ48" s="16"/>
      <c r="EZA48" s="16"/>
      <c r="EZB48" s="16"/>
      <c r="EZC48" s="16"/>
      <c r="EZD48" s="16"/>
      <c r="EZE48" s="16"/>
      <c r="EZF48" s="16"/>
      <c r="EZG48" s="16"/>
      <c r="EZH48" s="16"/>
      <c r="EZI48" s="16"/>
      <c r="EZJ48" s="16"/>
      <c r="EZK48" s="16"/>
      <c r="EZL48" s="16"/>
      <c r="EZM48" s="16"/>
      <c r="EZN48" s="16"/>
      <c r="EZO48" s="16"/>
      <c r="EZP48" s="16"/>
      <c r="EZQ48" s="16"/>
      <c r="EZR48" s="16"/>
      <c r="EZS48" s="16"/>
      <c r="EZT48" s="16"/>
      <c r="EZU48" s="16"/>
      <c r="EZV48" s="16"/>
      <c r="EZW48" s="16"/>
      <c r="EZX48" s="16"/>
      <c r="EZY48" s="16"/>
      <c r="EZZ48" s="16"/>
      <c r="FAA48" s="16"/>
      <c r="FAB48" s="16"/>
      <c r="FAC48" s="16"/>
      <c r="FAD48" s="16"/>
      <c r="FAE48" s="16"/>
      <c r="FAF48" s="16"/>
      <c r="FAG48" s="16"/>
      <c r="FAH48" s="16"/>
      <c r="FAI48" s="16"/>
      <c r="FAJ48" s="16"/>
      <c r="FAK48" s="16"/>
      <c r="FAL48" s="16"/>
      <c r="FAM48" s="16"/>
      <c r="FAN48" s="16"/>
      <c r="FAO48" s="16"/>
      <c r="FAP48" s="16"/>
      <c r="FAQ48" s="16"/>
      <c r="FAR48" s="16"/>
      <c r="FAS48" s="16"/>
      <c r="FAT48" s="16"/>
      <c r="FAU48" s="16"/>
      <c r="FAV48" s="16"/>
      <c r="FAW48" s="16"/>
      <c r="FAX48" s="16"/>
      <c r="FAY48" s="16"/>
      <c r="FAZ48" s="16"/>
      <c r="FBA48" s="16"/>
      <c r="FBB48" s="16"/>
      <c r="FBC48" s="16"/>
      <c r="FBD48" s="16"/>
      <c r="FBE48" s="16"/>
      <c r="FBF48" s="16"/>
      <c r="FBG48" s="16"/>
      <c r="FBH48" s="16"/>
      <c r="FBI48" s="16"/>
      <c r="FBJ48" s="16"/>
      <c r="FBK48" s="16"/>
      <c r="FBL48" s="16"/>
      <c r="FBM48" s="16"/>
      <c r="FBN48" s="16"/>
      <c r="FBO48" s="16"/>
      <c r="FBP48" s="16"/>
      <c r="FBQ48" s="16"/>
      <c r="FBR48" s="16"/>
      <c r="FBS48" s="16"/>
      <c r="FBT48" s="16"/>
      <c r="FBU48" s="16"/>
      <c r="FBV48" s="16"/>
      <c r="FBW48" s="16"/>
      <c r="FBX48" s="16"/>
      <c r="FBY48" s="16"/>
      <c r="FBZ48" s="16"/>
      <c r="FCA48" s="16"/>
      <c r="FCB48" s="16"/>
      <c r="FCC48" s="16"/>
      <c r="FCD48" s="16"/>
      <c r="FCE48" s="16"/>
      <c r="FCF48" s="16"/>
      <c r="FCG48" s="16"/>
      <c r="FCH48" s="16"/>
      <c r="FCI48" s="16"/>
      <c r="FCJ48" s="16"/>
      <c r="FCK48" s="16"/>
      <c r="FCL48" s="16"/>
      <c r="FCM48" s="16"/>
      <c r="FCN48" s="16"/>
      <c r="FCO48" s="16"/>
      <c r="FCP48" s="16"/>
      <c r="FCQ48" s="16"/>
      <c r="FCR48" s="16"/>
      <c r="FCS48" s="16"/>
      <c r="FCT48" s="16"/>
      <c r="FCU48" s="16"/>
      <c r="FCV48" s="16"/>
      <c r="FCW48" s="16"/>
      <c r="FCX48" s="16"/>
      <c r="FCY48" s="16"/>
      <c r="FCZ48" s="16"/>
      <c r="FDA48" s="16"/>
      <c r="FDB48" s="16"/>
      <c r="FDC48" s="16"/>
      <c r="FDD48" s="16"/>
      <c r="FDE48" s="16"/>
      <c r="FDF48" s="16"/>
      <c r="FDG48" s="16"/>
      <c r="FDH48" s="16"/>
      <c r="FDI48" s="16"/>
      <c r="FDJ48" s="16"/>
      <c r="FDK48" s="16"/>
      <c r="FDL48" s="16"/>
      <c r="FDM48" s="16"/>
      <c r="FDN48" s="16"/>
      <c r="FDO48" s="16"/>
      <c r="FDP48" s="16"/>
      <c r="FDQ48" s="16"/>
      <c r="FDR48" s="16"/>
      <c r="FDS48" s="16"/>
      <c r="FDT48" s="16"/>
      <c r="FDU48" s="16"/>
      <c r="FDV48" s="16"/>
      <c r="FDW48" s="16"/>
      <c r="FDX48" s="16"/>
      <c r="FDY48" s="16"/>
      <c r="FDZ48" s="16"/>
      <c r="FEA48" s="16"/>
      <c r="FEB48" s="16"/>
      <c r="FEC48" s="16"/>
      <c r="FED48" s="16"/>
      <c r="FEE48" s="16"/>
      <c r="FEF48" s="16"/>
      <c r="FEG48" s="16"/>
      <c r="FEH48" s="16"/>
      <c r="FEI48" s="16"/>
      <c r="FEJ48" s="16"/>
      <c r="FEK48" s="16"/>
      <c r="FEL48" s="16"/>
      <c r="FEM48" s="16"/>
      <c r="FEN48" s="16"/>
      <c r="FEO48" s="16"/>
      <c r="FEP48" s="16"/>
      <c r="FEQ48" s="16"/>
      <c r="FER48" s="16"/>
      <c r="FES48" s="16"/>
      <c r="FET48" s="16"/>
      <c r="FEU48" s="16"/>
      <c r="FEV48" s="16"/>
      <c r="FEW48" s="16"/>
      <c r="FEX48" s="16"/>
      <c r="FEY48" s="16"/>
      <c r="FEZ48" s="16"/>
      <c r="FFA48" s="16"/>
      <c r="FFB48" s="16"/>
      <c r="FFC48" s="16"/>
      <c r="FFD48" s="16"/>
      <c r="FFE48" s="16"/>
      <c r="FFF48" s="16"/>
      <c r="FFG48" s="16"/>
      <c r="FFH48" s="16"/>
      <c r="FFI48" s="16"/>
      <c r="FFJ48" s="16"/>
      <c r="FFK48" s="16"/>
      <c r="FFL48" s="16"/>
      <c r="FFM48" s="16"/>
      <c r="FFN48" s="16"/>
      <c r="FFO48" s="16"/>
      <c r="FFP48" s="16"/>
      <c r="FFQ48" s="16"/>
      <c r="FFR48" s="16"/>
      <c r="FFS48" s="16"/>
      <c r="FFT48" s="16"/>
      <c r="FFU48" s="16"/>
      <c r="FFV48" s="16"/>
      <c r="FFW48" s="16"/>
      <c r="FFX48" s="16"/>
      <c r="FFY48" s="16"/>
      <c r="FFZ48" s="16"/>
      <c r="FGA48" s="16"/>
      <c r="FGB48" s="16"/>
      <c r="FGC48" s="16"/>
      <c r="FGD48" s="16"/>
      <c r="FGE48" s="16"/>
      <c r="FGF48" s="16"/>
      <c r="FGG48" s="16"/>
      <c r="FGH48" s="16"/>
      <c r="FGI48" s="16"/>
      <c r="FGJ48" s="16"/>
      <c r="FGK48" s="16"/>
      <c r="FGL48" s="16"/>
      <c r="FGM48" s="16"/>
      <c r="FGN48" s="16"/>
      <c r="FGO48" s="16"/>
      <c r="FGP48" s="16"/>
      <c r="FGQ48" s="16"/>
      <c r="FGR48" s="16"/>
      <c r="FGS48" s="16"/>
      <c r="FGT48" s="16"/>
      <c r="FGU48" s="16"/>
      <c r="FGV48" s="16"/>
      <c r="FGW48" s="16"/>
      <c r="FGX48" s="16"/>
      <c r="FGY48" s="16"/>
      <c r="FGZ48" s="16"/>
      <c r="FHA48" s="16"/>
      <c r="FHB48" s="16"/>
      <c r="FHC48" s="16"/>
      <c r="FHD48" s="16"/>
      <c r="FHE48" s="16"/>
      <c r="FHF48" s="16"/>
      <c r="FHG48" s="16"/>
      <c r="FHH48" s="16"/>
      <c r="FHI48" s="16"/>
      <c r="FHJ48" s="16"/>
      <c r="FHK48" s="16"/>
      <c r="FHL48" s="16"/>
      <c r="FHM48" s="16"/>
      <c r="FHN48" s="16"/>
      <c r="FHO48" s="16"/>
      <c r="FHP48" s="16"/>
      <c r="FHQ48" s="16"/>
      <c r="FHR48" s="16"/>
      <c r="FHS48" s="16"/>
      <c r="FHT48" s="16"/>
      <c r="FHU48" s="16"/>
      <c r="FHV48" s="16"/>
      <c r="FHW48" s="16"/>
      <c r="FHX48" s="16"/>
      <c r="FHY48" s="16"/>
      <c r="FHZ48" s="16"/>
      <c r="FIA48" s="16"/>
      <c r="FIB48" s="16"/>
      <c r="FIC48" s="16"/>
      <c r="FID48" s="16"/>
      <c r="FIE48" s="16"/>
      <c r="FIF48" s="16"/>
      <c r="FIG48" s="16"/>
      <c r="FIH48" s="16"/>
      <c r="FII48" s="16"/>
      <c r="FIJ48" s="16"/>
      <c r="FIK48" s="16"/>
      <c r="FIL48" s="16"/>
      <c r="FIM48" s="16"/>
      <c r="FIN48" s="16"/>
      <c r="FIO48" s="16"/>
      <c r="FIP48" s="16"/>
      <c r="FIQ48" s="16"/>
      <c r="FIR48" s="16"/>
      <c r="FIS48" s="16"/>
      <c r="FIT48" s="16"/>
      <c r="FIU48" s="16"/>
      <c r="FIV48" s="16"/>
      <c r="FIW48" s="16"/>
      <c r="FIX48" s="16"/>
      <c r="FIY48" s="16"/>
      <c r="FIZ48" s="16"/>
      <c r="FJA48" s="16"/>
      <c r="FJB48" s="16"/>
      <c r="FJC48" s="16"/>
      <c r="FJD48" s="16"/>
      <c r="FJE48" s="16"/>
      <c r="FJF48" s="16"/>
      <c r="FJG48" s="16"/>
      <c r="FJH48" s="16"/>
      <c r="FJI48" s="16"/>
      <c r="FJJ48" s="16"/>
      <c r="FJK48" s="16"/>
      <c r="FJL48" s="16"/>
      <c r="FJM48" s="16"/>
      <c r="FJN48" s="16"/>
      <c r="FJO48" s="16"/>
      <c r="FJP48" s="16"/>
      <c r="FJQ48" s="16"/>
      <c r="FJR48" s="16"/>
      <c r="FJS48" s="16"/>
      <c r="FJT48" s="16"/>
      <c r="FJU48" s="16"/>
      <c r="FJV48" s="16"/>
      <c r="FJW48" s="16"/>
      <c r="FJX48" s="16"/>
      <c r="FJY48" s="16"/>
      <c r="FJZ48" s="16"/>
      <c r="FKA48" s="16"/>
      <c r="FKB48" s="16"/>
      <c r="FKC48" s="16"/>
      <c r="FKD48" s="16"/>
      <c r="FKE48" s="16"/>
      <c r="FKF48" s="16"/>
      <c r="FKG48" s="16"/>
      <c r="FKH48" s="16"/>
      <c r="FKI48" s="16"/>
      <c r="FKJ48" s="16"/>
      <c r="FKK48" s="16"/>
      <c r="FKL48" s="16"/>
      <c r="FKM48" s="16"/>
      <c r="FKN48" s="16"/>
      <c r="FKO48" s="16"/>
      <c r="FKP48" s="16"/>
      <c r="FKQ48" s="16"/>
      <c r="FKR48" s="16"/>
      <c r="FKS48" s="16"/>
      <c r="FKT48" s="16"/>
      <c r="FKU48" s="16"/>
      <c r="FKV48" s="16"/>
      <c r="FKW48" s="16"/>
      <c r="FKX48" s="16"/>
      <c r="FKY48" s="16"/>
      <c r="FKZ48" s="16"/>
      <c r="FLA48" s="16"/>
      <c r="FLB48" s="16"/>
      <c r="FLC48" s="16"/>
      <c r="FLD48" s="16"/>
      <c r="FLE48" s="16"/>
      <c r="FLF48" s="16"/>
      <c r="FLG48" s="16"/>
      <c r="FLH48" s="16"/>
      <c r="FLI48" s="16"/>
      <c r="FLJ48" s="16"/>
      <c r="FLK48" s="16"/>
      <c r="FLL48" s="16"/>
      <c r="FLM48" s="16"/>
      <c r="FLN48" s="16"/>
      <c r="FLO48" s="16"/>
      <c r="FLP48" s="16"/>
      <c r="FLQ48" s="16"/>
      <c r="FLR48" s="16"/>
      <c r="FLS48" s="16"/>
      <c r="FLT48" s="16"/>
      <c r="FLU48" s="16"/>
      <c r="FLV48" s="16"/>
      <c r="FLW48" s="16"/>
      <c r="FLX48" s="16"/>
      <c r="FLY48" s="16"/>
      <c r="FLZ48" s="16"/>
      <c r="FMA48" s="16"/>
      <c r="FMB48" s="16"/>
      <c r="FMC48" s="16"/>
      <c r="FMD48" s="16"/>
      <c r="FME48" s="16"/>
      <c r="FMF48" s="16"/>
      <c r="FMG48" s="16"/>
      <c r="FMH48" s="16"/>
      <c r="FMI48" s="16"/>
      <c r="FMJ48" s="16"/>
      <c r="FMK48" s="16"/>
      <c r="FML48" s="16"/>
      <c r="FMM48" s="16"/>
      <c r="FMN48" s="16"/>
      <c r="FMO48" s="16"/>
      <c r="FMP48" s="16"/>
      <c r="FMQ48" s="16"/>
      <c r="FMR48" s="16"/>
      <c r="FMS48" s="16"/>
      <c r="FMT48" s="16"/>
      <c r="FMU48" s="16"/>
      <c r="FMV48" s="16"/>
      <c r="FMW48" s="16"/>
      <c r="FMX48" s="16"/>
      <c r="FMY48" s="16"/>
      <c r="FMZ48" s="16"/>
      <c r="FNA48" s="16"/>
      <c r="FNB48" s="16"/>
      <c r="FNC48" s="16"/>
      <c r="FND48" s="16"/>
      <c r="FNE48" s="16"/>
      <c r="FNF48" s="16"/>
      <c r="FNG48" s="16"/>
      <c r="FNH48" s="16"/>
      <c r="FNI48" s="16"/>
      <c r="FNJ48" s="16"/>
      <c r="FNK48" s="16"/>
      <c r="FNL48" s="16"/>
      <c r="FNM48" s="16"/>
      <c r="FNN48" s="16"/>
      <c r="FNO48" s="16"/>
      <c r="FNP48" s="16"/>
      <c r="FNQ48" s="16"/>
      <c r="FNR48" s="16"/>
      <c r="FNS48" s="16"/>
      <c r="FNT48" s="16"/>
      <c r="FNU48" s="16"/>
      <c r="FNV48" s="16"/>
      <c r="FNW48" s="16"/>
      <c r="FNX48" s="16"/>
      <c r="FNY48" s="16"/>
      <c r="FNZ48" s="16"/>
      <c r="FOA48" s="16"/>
      <c r="FOB48" s="16"/>
      <c r="FOC48" s="16"/>
      <c r="FOD48" s="16"/>
      <c r="FOE48" s="16"/>
      <c r="FOF48" s="16"/>
      <c r="FOG48" s="16"/>
      <c r="FOH48" s="16"/>
      <c r="FOI48" s="16"/>
      <c r="FOJ48" s="16"/>
      <c r="FOK48" s="16"/>
      <c r="FOL48" s="16"/>
      <c r="FOM48" s="16"/>
      <c r="FON48" s="16"/>
      <c r="FOO48" s="16"/>
      <c r="FOP48" s="16"/>
      <c r="FOQ48" s="16"/>
      <c r="FOR48" s="16"/>
      <c r="FOS48" s="16"/>
      <c r="FOT48" s="16"/>
      <c r="FOU48" s="16"/>
      <c r="FOV48" s="16"/>
      <c r="FOW48" s="16"/>
      <c r="FOX48" s="16"/>
      <c r="FOY48" s="16"/>
      <c r="FOZ48" s="16"/>
      <c r="FPA48" s="16"/>
      <c r="FPB48" s="16"/>
      <c r="FPC48" s="16"/>
      <c r="FPD48" s="16"/>
      <c r="FPE48" s="16"/>
      <c r="FPF48" s="16"/>
      <c r="FPG48" s="16"/>
      <c r="FPH48" s="16"/>
      <c r="FPI48" s="16"/>
      <c r="FPJ48" s="16"/>
      <c r="FPK48" s="16"/>
      <c r="FPL48" s="16"/>
      <c r="FPM48" s="16"/>
      <c r="FPN48" s="16"/>
      <c r="FPO48" s="16"/>
      <c r="FPP48" s="16"/>
      <c r="FPQ48" s="16"/>
      <c r="FPR48" s="16"/>
      <c r="FPS48" s="16"/>
      <c r="FPT48" s="16"/>
      <c r="FPU48" s="16"/>
      <c r="FPV48" s="16"/>
      <c r="FPW48" s="16"/>
      <c r="FPX48" s="16"/>
      <c r="FPY48" s="16"/>
      <c r="FPZ48" s="16"/>
      <c r="FQA48" s="16"/>
      <c r="FQB48" s="16"/>
      <c r="FQC48" s="16"/>
      <c r="FQD48" s="16"/>
      <c r="FQE48" s="16"/>
      <c r="FQF48" s="16"/>
      <c r="FQG48" s="16"/>
      <c r="FQH48" s="16"/>
      <c r="FQI48" s="16"/>
      <c r="FQJ48" s="16"/>
      <c r="FQK48" s="16"/>
      <c r="FQL48" s="16"/>
      <c r="FQM48" s="16"/>
      <c r="FQN48" s="16"/>
      <c r="FQO48" s="16"/>
      <c r="FQP48" s="16"/>
      <c r="FQQ48" s="16"/>
      <c r="FQR48" s="16"/>
      <c r="FQS48" s="16"/>
      <c r="FQT48" s="16"/>
      <c r="FQU48" s="16"/>
      <c r="FQV48" s="16"/>
      <c r="FQW48" s="16"/>
      <c r="FQX48" s="16"/>
      <c r="FQY48" s="16"/>
      <c r="FQZ48" s="16"/>
      <c r="FRA48" s="16"/>
      <c r="FRB48" s="16"/>
      <c r="FRC48" s="16"/>
      <c r="FRD48" s="16"/>
      <c r="FRE48" s="16"/>
      <c r="FRF48" s="16"/>
      <c r="FRG48" s="16"/>
      <c r="FRH48" s="16"/>
      <c r="FRI48" s="16"/>
      <c r="FRJ48" s="16"/>
      <c r="FRK48" s="16"/>
      <c r="FRL48" s="16"/>
      <c r="FRM48" s="16"/>
      <c r="FRN48" s="16"/>
      <c r="FRO48" s="16"/>
      <c r="FRP48" s="16"/>
      <c r="FRQ48" s="16"/>
      <c r="FRR48" s="16"/>
      <c r="FRS48" s="16"/>
      <c r="FRT48" s="16"/>
      <c r="FRU48" s="16"/>
      <c r="FRV48" s="16"/>
      <c r="FRW48" s="16"/>
      <c r="FRX48" s="16"/>
      <c r="FRY48" s="16"/>
      <c r="FRZ48" s="16"/>
      <c r="FSA48" s="16"/>
      <c r="FSB48" s="16"/>
      <c r="FSC48" s="16"/>
      <c r="FSD48" s="16"/>
      <c r="FSE48" s="16"/>
      <c r="FSF48" s="16"/>
      <c r="FSG48" s="16"/>
      <c r="FSH48" s="16"/>
      <c r="FSI48" s="16"/>
      <c r="FSJ48" s="16"/>
      <c r="FSK48" s="16"/>
      <c r="FSL48" s="16"/>
      <c r="FSM48" s="16"/>
      <c r="FSN48" s="16"/>
      <c r="FSO48" s="16"/>
      <c r="FSP48" s="16"/>
      <c r="FSQ48" s="16"/>
      <c r="FSR48" s="16"/>
      <c r="FSS48" s="16"/>
      <c r="FST48" s="16"/>
      <c r="FSU48" s="16"/>
      <c r="FSV48" s="16"/>
      <c r="FSW48" s="16"/>
      <c r="FSX48" s="16"/>
      <c r="FSY48" s="16"/>
      <c r="FSZ48" s="16"/>
      <c r="FTA48" s="16"/>
      <c r="FTB48" s="16"/>
      <c r="FTC48" s="16"/>
      <c r="FTD48" s="16"/>
      <c r="FTE48" s="16"/>
      <c r="FTF48" s="16"/>
      <c r="FTG48" s="16"/>
      <c r="FTH48" s="16"/>
      <c r="FTI48" s="16"/>
      <c r="FTJ48" s="16"/>
      <c r="FTK48" s="16"/>
      <c r="FTL48" s="16"/>
      <c r="FTM48" s="16"/>
      <c r="FTN48" s="16"/>
      <c r="FTO48" s="16"/>
      <c r="FTP48" s="16"/>
      <c r="FTQ48" s="16"/>
      <c r="FTR48" s="16"/>
      <c r="FTS48" s="16"/>
      <c r="FTT48" s="16"/>
      <c r="FTU48" s="16"/>
      <c r="FTV48" s="16"/>
      <c r="FTW48" s="16"/>
      <c r="FTX48" s="16"/>
      <c r="FTY48" s="16"/>
      <c r="FTZ48" s="16"/>
      <c r="FUA48" s="16"/>
      <c r="FUB48" s="16"/>
      <c r="FUC48" s="16"/>
      <c r="FUD48" s="16"/>
      <c r="FUE48" s="16"/>
      <c r="FUF48" s="16"/>
      <c r="FUG48" s="16"/>
      <c r="FUH48" s="16"/>
      <c r="FUI48" s="16"/>
      <c r="FUJ48" s="16"/>
      <c r="FUK48" s="16"/>
      <c r="FUL48" s="16"/>
      <c r="FUM48" s="16"/>
      <c r="FUN48" s="16"/>
      <c r="FUO48" s="16"/>
      <c r="FUP48" s="16"/>
      <c r="FUQ48" s="16"/>
      <c r="FUR48" s="16"/>
      <c r="FUS48" s="16"/>
      <c r="FUT48" s="16"/>
      <c r="FUU48" s="16"/>
      <c r="FUV48" s="16"/>
      <c r="FUW48" s="16"/>
      <c r="FUX48" s="16"/>
      <c r="FUY48" s="16"/>
      <c r="FUZ48" s="16"/>
      <c r="FVA48" s="16"/>
      <c r="FVB48" s="16"/>
      <c r="FVC48" s="16"/>
      <c r="FVD48" s="16"/>
      <c r="FVE48" s="16"/>
      <c r="FVF48" s="16"/>
      <c r="FVG48" s="16"/>
      <c r="FVH48" s="16"/>
      <c r="FVI48" s="16"/>
      <c r="FVJ48" s="16"/>
      <c r="FVK48" s="16"/>
      <c r="FVL48" s="16"/>
      <c r="FVM48" s="16"/>
      <c r="FVN48" s="16"/>
      <c r="FVO48" s="16"/>
      <c r="FVP48" s="16"/>
      <c r="FVQ48" s="16"/>
      <c r="FVR48" s="16"/>
      <c r="FVS48" s="16"/>
      <c r="FVT48" s="16"/>
      <c r="FVU48" s="16"/>
      <c r="FVV48" s="16"/>
      <c r="FVW48" s="16"/>
      <c r="FVX48" s="16"/>
      <c r="FVY48" s="16"/>
      <c r="FVZ48" s="16"/>
      <c r="FWA48" s="16"/>
      <c r="FWB48" s="16"/>
      <c r="FWC48" s="16"/>
      <c r="FWD48" s="16"/>
      <c r="FWE48" s="16"/>
      <c r="FWF48" s="16"/>
      <c r="FWG48" s="16"/>
      <c r="FWH48" s="16"/>
      <c r="FWI48" s="16"/>
      <c r="FWJ48" s="16"/>
      <c r="FWK48" s="16"/>
      <c r="FWL48" s="16"/>
      <c r="FWM48" s="16"/>
      <c r="FWN48" s="16"/>
      <c r="FWO48" s="16"/>
      <c r="FWP48" s="16"/>
      <c r="FWQ48" s="16"/>
      <c r="FWR48" s="16"/>
      <c r="FWS48" s="16"/>
      <c r="FWT48" s="16"/>
      <c r="FWU48" s="16"/>
      <c r="FWV48" s="16"/>
      <c r="FWW48" s="16"/>
      <c r="FWX48" s="16"/>
      <c r="FWY48" s="16"/>
      <c r="FWZ48" s="16"/>
      <c r="FXA48" s="16"/>
      <c r="FXB48" s="16"/>
      <c r="FXC48" s="16"/>
      <c r="FXD48" s="16"/>
      <c r="FXE48" s="16"/>
      <c r="FXF48" s="16"/>
      <c r="FXG48" s="16"/>
      <c r="FXH48" s="16"/>
      <c r="FXI48" s="16"/>
      <c r="FXJ48" s="16"/>
      <c r="FXK48" s="16"/>
      <c r="FXL48" s="16"/>
      <c r="FXM48" s="16"/>
      <c r="FXN48" s="16"/>
      <c r="FXO48" s="16"/>
      <c r="FXP48" s="16"/>
      <c r="FXQ48" s="16"/>
      <c r="FXR48" s="16"/>
      <c r="FXS48" s="16"/>
      <c r="FXT48" s="16"/>
      <c r="FXU48" s="16"/>
      <c r="FXV48" s="16"/>
      <c r="FXW48" s="16"/>
      <c r="FXX48" s="16"/>
      <c r="FXY48" s="16"/>
      <c r="FXZ48" s="16"/>
      <c r="FYA48" s="16"/>
      <c r="FYB48" s="16"/>
      <c r="FYC48" s="16"/>
      <c r="FYD48" s="16"/>
      <c r="FYE48" s="16"/>
      <c r="FYF48" s="16"/>
      <c r="FYG48" s="16"/>
      <c r="FYH48" s="16"/>
      <c r="FYI48" s="16"/>
      <c r="FYJ48" s="16"/>
      <c r="FYK48" s="16"/>
      <c r="FYL48" s="16"/>
      <c r="FYM48" s="16"/>
      <c r="FYN48" s="16"/>
      <c r="FYO48" s="16"/>
      <c r="FYP48" s="16"/>
      <c r="FYQ48" s="16"/>
      <c r="FYR48" s="16"/>
      <c r="FYS48" s="16"/>
      <c r="FYT48" s="16"/>
      <c r="FYU48" s="16"/>
      <c r="FYV48" s="16"/>
      <c r="FYW48" s="16"/>
      <c r="FYX48" s="16"/>
      <c r="FYY48" s="16"/>
      <c r="FYZ48" s="16"/>
      <c r="FZA48" s="16"/>
      <c r="FZB48" s="16"/>
      <c r="FZC48" s="16"/>
      <c r="FZD48" s="16"/>
      <c r="FZE48" s="16"/>
      <c r="FZF48" s="16"/>
      <c r="FZG48" s="16"/>
      <c r="FZH48" s="16"/>
      <c r="FZI48" s="16"/>
      <c r="FZJ48" s="16"/>
      <c r="FZK48" s="16"/>
      <c r="FZL48" s="16"/>
      <c r="FZM48" s="16"/>
      <c r="FZN48" s="16"/>
      <c r="FZO48" s="16"/>
      <c r="FZP48" s="16"/>
      <c r="FZQ48" s="16"/>
      <c r="FZR48" s="16"/>
      <c r="FZS48" s="16"/>
      <c r="FZT48" s="16"/>
      <c r="FZU48" s="16"/>
      <c r="FZV48" s="16"/>
      <c r="FZW48" s="16"/>
      <c r="FZX48" s="16"/>
      <c r="FZY48" s="16"/>
      <c r="FZZ48" s="16"/>
      <c r="GAA48" s="16"/>
      <c r="GAB48" s="16"/>
      <c r="GAC48" s="16"/>
      <c r="GAD48" s="16"/>
      <c r="GAE48" s="16"/>
      <c r="GAF48" s="16"/>
      <c r="GAG48" s="16"/>
      <c r="GAH48" s="16"/>
      <c r="GAI48" s="16"/>
      <c r="GAJ48" s="16"/>
      <c r="GAK48" s="16"/>
      <c r="GAL48" s="16"/>
      <c r="GAM48" s="16"/>
      <c r="GAN48" s="16"/>
      <c r="GAO48" s="16"/>
      <c r="GAP48" s="16"/>
      <c r="GAQ48" s="16"/>
      <c r="GAR48" s="16"/>
      <c r="GAS48" s="16"/>
      <c r="GAT48" s="16"/>
      <c r="GAU48" s="16"/>
      <c r="GAV48" s="16"/>
      <c r="GAW48" s="16"/>
      <c r="GAX48" s="16"/>
      <c r="GAY48" s="16"/>
      <c r="GAZ48" s="16"/>
      <c r="GBA48" s="16"/>
      <c r="GBB48" s="16"/>
      <c r="GBC48" s="16"/>
      <c r="GBD48" s="16"/>
      <c r="GBE48" s="16"/>
      <c r="GBF48" s="16"/>
      <c r="GBG48" s="16"/>
      <c r="GBH48" s="16"/>
      <c r="GBI48" s="16"/>
      <c r="GBJ48" s="16"/>
      <c r="GBK48" s="16"/>
      <c r="GBL48" s="16"/>
      <c r="GBM48" s="16"/>
      <c r="GBN48" s="16"/>
      <c r="GBO48" s="16"/>
      <c r="GBP48" s="16"/>
      <c r="GBQ48" s="16"/>
      <c r="GBR48" s="16"/>
      <c r="GBS48" s="16"/>
      <c r="GBT48" s="16"/>
      <c r="GBU48" s="16"/>
      <c r="GBV48" s="16"/>
      <c r="GBW48" s="16"/>
      <c r="GBX48" s="16"/>
      <c r="GBY48" s="16"/>
      <c r="GBZ48" s="16"/>
      <c r="GCA48" s="16"/>
      <c r="GCB48" s="16"/>
      <c r="GCC48" s="16"/>
      <c r="GCD48" s="16"/>
      <c r="GCE48" s="16"/>
      <c r="GCF48" s="16"/>
      <c r="GCG48" s="16"/>
      <c r="GCH48" s="16"/>
      <c r="GCI48" s="16"/>
      <c r="GCJ48" s="16"/>
      <c r="GCK48" s="16"/>
      <c r="GCL48" s="16"/>
      <c r="GCM48" s="16"/>
      <c r="GCN48" s="16"/>
      <c r="GCO48" s="16"/>
      <c r="GCP48" s="16"/>
      <c r="GCQ48" s="16"/>
      <c r="GCR48" s="16"/>
      <c r="GCS48" s="16"/>
      <c r="GCT48" s="16"/>
      <c r="GCU48" s="16"/>
      <c r="GCV48" s="16"/>
      <c r="GCW48" s="16"/>
      <c r="GCX48" s="16"/>
      <c r="GCY48" s="16"/>
      <c r="GCZ48" s="16"/>
      <c r="GDA48" s="16"/>
      <c r="GDB48" s="16"/>
      <c r="GDC48" s="16"/>
      <c r="GDD48" s="16"/>
      <c r="GDE48" s="16"/>
      <c r="GDF48" s="16"/>
      <c r="GDG48" s="16"/>
      <c r="GDH48" s="16"/>
      <c r="GDI48" s="16"/>
      <c r="GDJ48" s="16"/>
      <c r="GDK48" s="16"/>
      <c r="GDL48" s="16"/>
      <c r="GDM48" s="16"/>
      <c r="GDN48" s="16"/>
      <c r="GDO48" s="16"/>
      <c r="GDP48" s="16"/>
      <c r="GDQ48" s="16"/>
      <c r="GDR48" s="16"/>
      <c r="GDS48" s="16"/>
      <c r="GDT48" s="16"/>
      <c r="GDU48" s="16"/>
      <c r="GDV48" s="16"/>
      <c r="GDW48" s="16"/>
      <c r="GDX48" s="16"/>
      <c r="GDY48" s="16"/>
      <c r="GDZ48" s="16"/>
      <c r="GEA48" s="16"/>
      <c r="GEB48" s="16"/>
      <c r="GEC48" s="16"/>
      <c r="GED48" s="16"/>
      <c r="GEE48" s="16"/>
      <c r="GEF48" s="16"/>
      <c r="GEG48" s="16"/>
      <c r="GEH48" s="16"/>
      <c r="GEI48" s="16"/>
      <c r="GEJ48" s="16"/>
      <c r="GEK48" s="16"/>
      <c r="GEL48" s="16"/>
      <c r="GEM48" s="16"/>
      <c r="GEN48" s="16"/>
      <c r="GEO48" s="16"/>
      <c r="GEP48" s="16"/>
      <c r="GEQ48" s="16"/>
      <c r="GER48" s="16"/>
      <c r="GES48" s="16"/>
      <c r="GET48" s="16"/>
      <c r="GEU48" s="16"/>
      <c r="GEV48" s="16"/>
      <c r="GEW48" s="16"/>
      <c r="GEX48" s="16"/>
      <c r="GEY48" s="16"/>
      <c r="GEZ48" s="16"/>
      <c r="GFA48" s="16"/>
      <c r="GFB48" s="16"/>
      <c r="GFC48" s="16"/>
      <c r="GFD48" s="16"/>
      <c r="GFE48" s="16"/>
      <c r="GFF48" s="16"/>
      <c r="GFG48" s="16"/>
      <c r="GFH48" s="16"/>
      <c r="GFI48" s="16"/>
      <c r="GFJ48" s="16"/>
      <c r="GFK48" s="16"/>
      <c r="GFL48" s="16"/>
      <c r="GFM48" s="16"/>
      <c r="GFN48" s="16"/>
      <c r="GFO48" s="16"/>
      <c r="GFP48" s="16"/>
      <c r="GFQ48" s="16"/>
      <c r="GFR48" s="16"/>
      <c r="GFS48" s="16"/>
      <c r="GFT48" s="16"/>
      <c r="GFU48" s="16"/>
      <c r="GFV48" s="16"/>
      <c r="GFW48" s="16"/>
      <c r="GFX48" s="16"/>
      <c r="GFY48" s="16"/>
      <c r="GFZ48" s="16"/>
      <c r="GGA48" s="16"/>
      <c r="GGB48" s="16"/>
      <c r="GGC48" s="16"/>
      <c r="GGD48" s="16"/>
      <c r="GGE48" s="16"/>
      <c r="GGF48" s="16"/>
      <c r="GGG48" s="16"/>
      <c r="GGH48" s="16"/>
      <c r="GGI48" s="16"/>
      <c r="GGJ48" s="16"/>
      <c r="GGK48" s="16"/>
      <c r="GGL48" s="16"/>
      <c r="GGM48" s="16"/>
      <c r="GGN48" s="16"/>
      <c r="GGO48" s="16"/>
      <c r="GGP48" s="16"/>
      <c r="GGQ48" s="16"/>
      <c r="GGR48" s="16"/>
      <c r="GGS48" s="16"/>
      <c r="GGT48" s="16"/>
      <c r="GGU48" s="16"/>
      <c r="GGV48" s="16"/>
      <c r="GGW48" s="16"/>
      <c r="GGX48" s="16"/>
      <c r="GGY48" s="16"/>
      <c r="GGZ48" s="16"/>
      <c r="GHA48" s="16"/>
      <c r="GHB48" s="16"/>
      <c r="GHC48" s="16"/>
      <c r="GHD48" s="16"/>
      <c r="GHE48" s="16"/>
      <c r="GHF48" s="16"/>
      <c r="GHG48" s="16"/>
      <c r="GHH48" s="16"/>
      <c r="GHI48" s="16"/>
      <c r="GHJ48" s="16"/>
      <c r="GHK48" s="16"/>
      <c r="GHL48" s="16"/>
      <c r="GHM48" s="16"/>
      <c r="GHN48" s="16"/>
      <c r="GHO48" s="16"/>
      <c r="GHP48" s="16"/>
      <c r="GHQ48" s="16"/>
      <c r="GHR48" s="16"/>
      <c r="GHS48" s="16"/>
      <c r="GHT48" s="16"/>
      <c r="GHU48" s="16"/>
      <c r="GHV48" s="16"/>
      <c r="GHW48" s="16"/>
      <c r="GHX48" s="16"/>
      <c r="GHY48" s="16"/>
      <c r="GHZ48" s="16"/>
      <c r="GIA48" s="16"/>
      <c r="GIB48" s="16"/>
      <c r="GIC48" s="16"/>
      <c r="GID48" s="16"/>
      <c r="GIE48" s="16"/>
      <c r="GIF48" s="16"/>
      <c r="GIG48" s="16"/>
      <c r="GIH48" s="16"/>
      <c r="GII48" s="16"/>
      <c r="GIJ48" s="16"/>
      <c r="GIK48" s="16"/>
      <c r="GIL48" s="16"/>
      <c r="GIM48" s="16"/>
      <c r="GIN48" s="16"/>
      <c r="GIO48" s="16"/>
      <c r="GIP48" s="16"/>
      <c r="GIQ48" s="16"/>
      <c r="GIR48" s="16"/>
      <c r="GIS48" s="16"/>
      <c r="GIT48" s="16"/>
      <c r="GIU48" s="16"/>
      <c r="GIV48" s="16"/>
      <c r="GIW48" s="16"/>
      <c r="GIX48" s="16"/>
      <c r="GIY48" s="16"/>
      <c r="GIZ48" s="16"/>
      <c r="GJA48" s="16"/>
      <c r="GJB48" s="16"/>
      <c r="GJC48" s="16"/>
      <c r="GJD48" s="16"/>
      <c r="GJE48" s="16"/>
      <c r="GJF48" s="16"/>
      <c r="GJG48" s="16"/>
      <c r="GJH48" s="16"/>
      <c r="GJI48" s="16"/>
      <c r="GJJ48" s="16"/>
      <c r="GJK48" s="16"/>
      <c r="GJL48" s="16"/>
      <c r="GJM48" s="16"/>
      <c r="GJN48" s="16"/>
      <c r="GJO48" s="16"/>
      <c r="GJP48" s="16"/>
      <c r="GJQ48" s="16"/>
      <c r="GJR48" s="16"/>
      <c r="GJS48" s="16"/>
      <c r="GJT48" s="16"/>
      <c r="GJU48" s="16"/>
      <c r="GJV48" s="16"/>
      <c r="GJW48" s="16"/>
      <c r="GJX48" s="16"/>
      <c r="GJY48" s="16"/>
      <c r="GJZ48" s="16"/>
      <c r="GKA48" s="16"/>
      <c r="GKB48" s="16"/>
      <c r="GKC48" s="16"/>
      <c r="GKD48" s="16"/>
      <c r="GKE48" s="16"/>
      <c r="GKF48" s="16"/>
      <c r="GKG48" s="16"/>
      <c r="GKH48" s="16"/>
      <c r="GKI48" s="16"/>
      <c r="GKJ48" s="16"/>
      <c r="GKK48" s="16"/>
      <c r="GKL48" s="16"/>
      <c r="GKM48" s="16"/>
      <c r="GKN48" s="16"/>
      <c r="GKO48" s="16"/>
      <c r="GKP48" s="16"/>
      <c r="GKQ48" s="16"/>
      <c r="GKR48" s="16"/>
      <c r="GKS48" s="16"/>
      <c r="GKT48" s="16"/>
      <c r="GKU48" s="16"/>
      <c r="GKV48" s="16"/>
      <c r="GKW48" s="16"/>
      <c r="GKX48" s="16"/>
      <c r="GKY48" s="16"/>
      <c r="GKZ48" s="16"/>
      <c r="GLA48" s="16"/>
      <c r="GLB48" s="16"/>
      <c r="GLC48" s="16"/>
      <c r="GLD48" s="16"/>
      <c r="GLE48" s="16"/>
      <c r="GLF48" s="16"/>
      <c r="GLG48" s="16"/>
      <c r="GLH48" s="16"/>
      <c r="GLI48" s="16"/>
      <c r="GLJ48" s="16"/>
      <c r="GLK48" s="16"/>
      <c r="GLL48" s="16"/>
      <c r="GLM48" s="16"/>
      <c r="GLN48" s="16"/>
      <c r="GLO48" s="16"/>
      <c r="GLP48" s="16"/>
      <c r="GLQ48" s="16"/>
      <c r="GLR48" s="16"/>
      <c r="GLS48" s="16"/>
      <c r="GLT48" s="16"/>
      <c r="GLU48" s="16"/>
      <c r="GLV48" s="16"/>
      <c r="GLW48" s="16"/>
      <c r="GLX48" s="16"/>
      <c r="GLY48" s="16"/>
      <c r="GLZ48" s="16"/>
      <c r="GMA48" s="16"/>
      <c r="GMB48" s="16"/>
      <c r="GMC48" s="16"/>
      <c r="GMD48" s="16"/>
      <c r="GME48" s="16"/>
      <c r="GMF48" s="16"/>
      <c r="GMG48" s="16"/>
      <c r="GMH48" s="16"/>
      <c r="GMI48" s="16"/>
      <c r="GMJ48" s="16"/>
      <c r="GMK48" s="16"/>
      <c r="GML48" s="16"/>
      <c r="GMM48" s="16"/>
      <c r="GMN48" s="16"/>
      <c r="GMO48" s="16"/>
      <c r="GMP48" s="16"/>
      <c r="GMQ48" s="16"/>
      <c r="GMR48" s="16"/>
      <c r="GMS48" s="16"/>
      <c r="GMT48" s="16"/>
      <c r="GMU48" s="16"/>
      <c r="GMV48" s="16"/>
      <c r="GMW48" s="16"/>
      <c r="GMX48" s="16"/>
      <c r="GMY48" s="16"/>
      <c r="GMZ48" s="16"/>
      <c r="GNA48" s="16"/>
      <c r="GNB48" s="16"/>
      <c r="GNC48" s="16"/>
      <c r="GND48" s="16"/>
      <c r="GNE48" s="16"/>
      <c r="GNF48" s="16"/>
      <c r="GNG48" s="16"/>
      <c r="GNH48" s="16"/>
      <c r="GNI48" s="16"/>
      <c r="GNJ48" s="16"/>
      <c r="GNK48" s="16"/>
      <c r="GNL48" s="16"/>
      <c r="GNM48" s="16"/>
      <c r="GNN48" s="16"/>
      <c r="GNO48" s="16"/>
      <c r="GNP48" s="16"/>
      <c r="GNQ48" s="16"/>
      <c r="GNR48" s="16"/>
      <c r="GNS48" s="16"/>
      <c r="GNT48" s="16"/>
      <c r="GNU48" s="16"/>
      <c r="GNV48" s="16"/>
      <c r="GNW48" s="16"/>
      <c r="GNX48" s="16"/>
      <c r="GNY48" s="16"/>
      <c r="GNZ48" s="16"/>
      <c r="GOA48" s="16"/>
      <c r="GOB48" s="16"/>
      <c r="GOC48" s="16"/>
      <c r="GOD48" s="16"/>
      <c r="GOE48" s="16"/>
      <c r="GOF48" s="16"/>
      <c r="GOG48" s="16"/>
      <c r="GOH48" s="16"/>
      <c r="GOI48" s="16"/>
      <c r="GOJ48" s="16"/>
      <c r="GOK48" s="16"/>
      <c r="GOL48" s="16"/>
      <c r="GOM48" s="16"/>
      <c r="GON48" s="16"/>
      <c r="GOO48" s="16"/>
      <c r="GOP48" s="16"/>
      <c r="GOQ48" s="16"/>
      <c r="GOR48" s="16"/>
      <c r="GOS48" s="16"/>
      <c r="GOT48" s="16"/>
      <c r="GOU48" s="16"/>
      <c r="GOV48" s="16"/>
      <c r="GOW48" s="16"/>
      <c r="GOX48" s="16"/>
      <c r="GOY48" s="16"/>
      <c r="GOZ48" s="16"/>
      <c r="GPA48" s="16"/>
      <c r="GPB48" s="16"/>
      <c r="GPC48" s="16"/>
      <c r="GPD48" s="16"/>
      <c r="GPE48" s="16"/>
      <c r="GPF48" s="16"/>
      <c r="GPG48" s="16"/>
      <c r="GPH48" s="16"/>
      <c r="GPI48" s="16"/>
      <c r="GPJ48" s="16"/>
      <c r="GPK48" s="16"/>
      <c r="GPL48" s="16"/>
      <c r="GPM48" s="16"/>
      <c r="GPN48" s="16"/>
      <c r="GPO48" s="16"/>
      <c r="GPP48" s="16"/>
      <c r="GPQ48" s="16"/>
      <c r="GPR48" s="16"/>
      <c r="GPS48" s="16"/>
      <c r="GPT48" s="16"/>
      <c r="GPU48" s="16"/>
      <c r="GPV48" s="16"/>
      <c r="GPW48" s="16"/>
      <c r="GPX48" s="16"/>
      <c r="GPY48" s="16"/>
      <c r="GPZ48" s="16"/>
      <c r="GQA48" s="16"/>
      <c r="GQB48" s="16"/>
      <c r="GQC48" s="16"/>
      <c r="GQD48" s="16"/>
      <c r="GQE48" s="16"/>
      <c r="GQF48" s="16"/>
      <c r="GQG48" s="16"/>
      <c r="GQH48" s="16"/>
      <c r="GQI48" s="16"/>
      <c r="GQJ48" s="16"/>
      <c r="GQK48" s="16"/>
      <c r="GQL48" s="16"/>
      <c r="GQM48" s="16"/>
      <c r="GQN48" s="16"/>
      <c r="GQO48" s="16"/>
      <c r="GQP48" s="16"/>
      <c r="GQQ48" s="16"/>
      <c r="GQR48" s="16"/>
      <c r="GQS48" s="16"/>
      <c r="GQT48" s="16"/>
      <c r="GQU48" s="16"/>
      <c r="GQV48" s="16"/>
      <c r="GQW48" s="16"/>
      <c r="GQX48" s="16"/>
      <c r="GQY48" s="16"/>
      <c r="GQZ48" s="16"/>
      <c r="GRA48" s="16"/>
      <c r="GRB48" s="16"/>
      <c r="GRC48" s="16"/>
      <c r="GRD48" s="16"/>
      <c r="GRE48" s="16"/>
      <c r="GRF48" s="16"/>
      <c r="GRG48" s="16"/>
      <c r="GRH48" s="16"/>
      <c r="GRI48" s="16"/>
      <c r="GRJ48" s="16"/>
      <c r="GRK48" s="16"/>
      <c r="GRL48" s="16"/>
      <c r="GRM48" s="16"/>
      <c r="GRN48" s="16"/>
      <c r="GRO48" s="16"/>
      <c r="GRP48" s="16"/>
      <c r="GRQ48" s="16"/>
      <c r="GRR48" s="16"/>
      <c r="GRS48" s="16"/>
      <c r="GRT48" s="16"/>
      <c r="GRU48" s="16"/>
      <c r="GRV48" s="16"/>
      <c r="GRW48" s="16"/>
      <c r="GRX48" s="16"/>
      <c r="GRY48" s="16"/>
      <c r="GRZ48" s="16"/>
      <c r="GSA48" s="16"/>
      <c r="GSB48" s="16"/>
      <c r="GSC48" s="16"/>
      <c r="GSD48" s="16"/>
      <c r="GSE48" s="16"/>
      <c r="GSF48" s="16"/>
      <c r="GSG48" s="16"/>
      <c r="GSH48" s="16"/>
      <c r="GSI48" s="16"/>
      <c r="GSJ48" s="16"/>
      <c r="GSK48" s="16"/>
      <c r="GSL48" s="16"/>
      <c r="GSM48" s="16"/>
      <c r="GSN48" s="16"/>
      <c r="GSO48" s="16"/>
      <c r="GSP48" s="16"/>
      <c r="GSQ48" s="16"/>
      <c r="GSR48" s="16"/>
      <c r="GSS48" s="16"/>
      <c r="GST48" s="16"/>
      <c r="GSU48" s="16"/>
      <c r="GSV48" s="16"/>
      <c r="GSW48" s="16"/>
      <c r="GSX48" s="16"/>
      <c r="GSY48" s="16"/>
      <c r="GSZ48" s="16"/>
      <c r="GTA48" s="16"/>
      <c r="GTB48" s="16"/>
      <c r="GTC48" s="16"/>
      <c r="GTD48" s="16"/>
      <c r="GTE48" s="16"/>
      <c r="GTF48" s="16"/>
      <c r="GTG48" s="16"/>
      <c r="GTH48" s="16"/>
      <c r="GTI48" s="16"/>
      <c r="GTJ48" s="16"/>
      <c r="GTK48" s="16"/>
      <c r="GTL48" s="16"/>
      <c r="GTM48" s="16"/>
      <c r="GTN48" s="16"/>
      <c r="GTO48" s="16"/>
      <c r="GTP48" s="16"/>
      <c r="GTQ48" s="16"/>
      <c r="GTR48" s="16"/>
      <c r="GTS48" s="16"/>
      <c r="GTT48" s="16"/>
      <c r="GTU48" s="16"/>
      <c r="GTV48" s="16"/>
      <c r="GTW48" s="16"/>
      <c r="GTX48" s="16"/>
      <c r="GTY48" s="16"/>
      <c r="GTZ48" s="16"/>
      <c r="GUA48" s="16"/>
      <c r="GUB48" s="16"/>
      <c r="GUC48" s="16"/>
      <c r="GUD48" s="16"/>
      <c r="GUE48" s="16"/>
      <c r="GUF48" s="16"/>
      <c r="GUG48" s="16"/>
      <c r="GUH48" s="16"/>
      <c r="GUI48" s="16"/>
      <c r="GUJ48" s="16"/>
      <c r="GUK48" s="16"/>
      <c r="GUL48" s="16"/>
      <c r="GUM48" s="16"/>
      <c r="GUN48" s="16"/>
      <c r="GUO48" s="16"/>
      <c r="GUP48" s="16"/>
      <c r="GUQ48" s="16"/>
      <c r="GUR48" s="16"/>
      <c r="GUS48" s="16"/>
      <c r="GUT48" s="16"/>
      <c r="GUU48" s="16"/>
      <c r="GUV48" s="16"/>
      <c r="GUW48" s="16"/>
      <c r="GUX48" s="16"/>
      <c r="GUY48" s="16"/>
      <c r="GUZ48" s="16"/>
      <c r="GVA48" s="16"/>
      <c r="GVB48" s="16"/>
      <c r="GVC48" s="16"/>
      <c r="GVD48" s="16"/>
      <c r="GVE48" s="16"/>
      <c r="GVF48" s="16"/>
      <c r="GVG48" s="16"/>
      <c r="GVH48" s="16"/>
      <c r="GVI48" s="16"/>
      <c r="GVJ48" s="16"/>
      <c r="GVK48" s="16"/>
      <c r="GVL48" s="16"/>
      <c r="GVM48" s="16"/>
      <c r="GVN48" s="16"/>
      <c r="GVO48" s="16"/>
      <c r="GVP48" s="16"/>
      <c r="GVQ48" s="16"/>
      <c r="GVR48" s="16"/>
      <c r="GVS48" s="16"/>
      <c r="GVT48" s="16"/>
      <c r="GVU48" s="16"/>
      <c r="GVV48" s="16"/>
      <c r="GVW48" s="16"/>
      <c r="GVX48" s="16"/>
      <c r="GVY48" s="16"/>
      <c r="GVZ48" s="16"/>
      <c r="GWA48" s="16"/>
      <c r="GWB48" s="16"/>
      <c r="GWC48" s="16"/>
      <c r="GWD48" s="16"/>
      <c r="GWE48" s="16"/>
      <c r="GWF48" s="16"/>
      <c r="GWG48" s="16"/>
      <c r="GWH48" s="16"/>
      <c r="GWI48" s="16"/>
      <c r="GWJ48" s="16"/>
      <c r="GWK48" s="16"/>
      <c r="GWL48" s="16"/>
      <c r="GWM48" s="16"/>
      <c r="GWN48" s="16"/>
      <c r="GWO48" s="16"/>
      <c r="GWP48" s="16"/>
      <c r="GWQ48" s="16"/>
      <c r="GWR48" s="16"/>
      <c r="GWS48" s="16"/>
      <c r="GWT48" s="16"/>
      <c r="GWU48" s="16"/>
      <c r="GWV48" s="16"/>
      <c r="GWW48" s="16"/>
      <c r="GWX48" s="16"/>
      <c r="GWY48" s="16"/>
      <c r="GWZ48" s="16"/>
      <c r="GXA48" s="16"/>
      <c r="GXB48" s="16"/>
      <c r="GXC48" s="16"/>
      <c r="GXD48" s="16"/>
      <c r="GXE48" s="16"/>
      <c r="GXF48" s="16"/>
      <c r="GXG48" s="16"/>
      <c r="GXH48" s="16"/>
      <c r="GXI48" s="16"/>
      <c r="GXJ48" s="16"/>
      <c r="GXK48" s="16"/>
      <c r="GXL48" s="16"/>
      <c r="GXM48" s="16"/>
      <c r="GXN48" s="16"/>
      <c r="GXO48" s="16"/>
      <c r="GXP48" s="16"/>
      <c r="GXQ48" s="16"/>
      <c r="GXR48" s="16"/>
      <c r="GXS48" s="16"/>
      <c r="GXT48" s="16"/>
      <c r="GXU48" s="16"/>
      <c r="GXV48" s="16"/>
      <c r="GXW48" s="16"/>
      <c r="GXX48" s="16"/>
      <c r="GXY48" s="16"/>
      <c r="GXZ48" s="16"/>
      <c r="GYA48" s="16"/>
      <c r="GYB48" s="16"/>
      <c r="GYC48" s="16"/>
      <c r="GYD48" s="16"/>
      <c r="GYE48" s="16"/>
      <c r="GYF48" s="16"/>
      <c r="GYG48" s="16"/>
      <c r="GYH48" s="16"/>
      <c r="GYI48" s="16"/>
      <c r="GYJ48" s="16"/>
      <c r="GYK48" s="16"/>
      <c r="GYL48" s="16"/>
      <c r="GYM48" s="16"/>
      <c r="GYN48" s="16"/>
      <c r="GYO48" s="16"/>
      <c r="GYP48" s="16"/>
      <c r="GYQ48" s="16"/>
      <c r="GYR48" s="16"/>
      <c r="GYS48" s="16"/>
      <c r="GYT48" s="16"/>
      <c r="GYU48" s="16"/>
      <c r="GYV48" s="16"/>
      <c r="GYW48" s="16"/>
      <c r="GYX48" s="16"/>
      <c r="GYY48" s="16"/>
      <c r="GYZ48" s="16"/>
      <c r="GZA48" s="16"/>
      <c r="GZB48" s="16"/>
      <c r="GZC48" s="16"/>
      <c r="GZD48" s="16"/>
      <c r="GZE48" s="16"/>
      <c r="GZF48" s="16"/>
      <c r="GZG48" s="16"/>
      <c r="GZH48" s="16"/>
      <c r="GZI48" s="16"/>
      <c r="GZJ48" s="16"/>
      <c r="GZK48" s="16"/>
      <c r="GZL48" s="16"/>
      <c r="GZM48" s="16"/>
      <c r="GZN48" s="16"/>
      <c r="GZO48" s="16"/>
      <c r="GZP48" s="16"/>
      <c r="GZQ48" s="16"/>
      <c r="GZR48" s="16"/>
      <c r="GZS48" s="16"/>
      <c r="GZT48" s="16"/>
      <c r="GZU48" s="16"/>
      <c r="GZV48" s="16"/>
      <c r="GZW48" s="16"/>
      <c r="GZX48" s="16"/>
      <c r="GZY48" s="16"/>
      <c r="GZZ48" s="16"/>
      <c r="HAA48" s="16"/>
      <c r="HAB48" s="16"/>
      <c r="HAC48" s="16"/>
      <c r="HAD48" s="16"/>
      <c r="HAE48" s="16"/>
      <c r="HAF48" s="16"/>
      <c r="HAG48" s="16"/>
      <c r="HAH48" s="16"/>
      <c r="HAI48" s="16"/>
      <c r="HAJ48" s="16"/>
      <c r="HAK48" s="16"/>
      <c r="HAL48" s="16"/>
      <c r="HAM48" s="16"/>
      <c r="HAN48" s="16"/>
      <c r="HAO48" s="16"/>
      <c r="HAP48" s="16"/>
      <c r="HAQ48" s="16"/>
      <c r="HAR48" s="16"/>
      <c r="HAS48" s="16"/>
      <c r="HAT48" s="16"/>
      <c r="HAU48" s="16"/>
      <c r="HAV48" s="16"/>
      <c r="HAW48" s="16"/>
      <c r="HAX48" s="16"/>
      <c r="HAY48" s="16"/>
      <c r="HAZ48" s="16"/>
      <c r="HBA48" s="16"/>
      <c r="HBB48" s="16"/>
      <c r="HBC48" s="16"/>
      <c r="HBD48" s="16"/>
      <c r="HBE48" s="16"/>
      <c r="HBF48" s="16"/>
      <c r="HBG48" s="16"/>
      <c r="HBH48" s="16"/>
      <c r="HBI48" s="16"/>
      <c r="HBJ48" s="16"/>
      <c r="HBK48" s="16"/>
      <c r="HBL48" s="16"/>
      <c r="HBM48" s="16"/>
      <c r="HBN48" s="16"/>
      <c r="HBO48" s="16"/>
      <c r="HBP48" s="16"/>
      <c r="HBQ48" s="16"/>
      <c r="HBR48" s="16"/>
      <c r="HBS48" s="16"/>
      <c r="HBT48" s="16"/>
      <c r="HBU48" s="16"/>
      <c r="HBV48" s="16"/>
      <c r="HBW48" s="16"/>
      <c r="HBX48" s="16"/>
      <c r="HBY48" s="16"/>
      <c r="HBZ48" s="16"/>
      <c r="HCA48" s="16"/>
      <c r="HCB48" s="16"/>
      <c r="HCC48" s="16"/>
      <c r="HCD48" s="16"/>
      <c r="HCE48" s="16"/>
      <c r="HCF48" s="16"/>
      <c r="HCG48" s="16"/>
      <c r="HCH48" s="16"/>
      <c r="HCI48" s="16"/>
      <c r="HCJ48" s="16"/>
      <c r="HCK48" s="16"/>
      <c r="HCL48" s="16"/>
      <c r="HCM48" s="16"/>
      <c r="HCN48" s="16"/>
      <c r="HCO48" s="16"/>
      <c r="HCP48" s="16"/>
      <c r="HCQ48" s="16"/>
      <c r="HCR48" s="16"/>
      <c r="HCS48" s="16"/>
      <c r="HCT48" s="16"/>
      <c r="HCU48" s="16"/>
      <c r="HCV48" s="16"/>
      <c r="HCW48" s="16"/>
      <c r="HCX48" s="16"/>
      <c r="HCY48" s="16"/>
      <c r="HCZ48" s="16"/>
      <c r="HDA48" s="16"/>
      <c r="HDB48" s="16"/>
      <c r="HDC48" s="16"/>
      <c r="HDD48" s="16"/>
      <c r="HDE48" s="16"/>
      <c r="HDF48" s="16"/>
      <c r="HDG48" s="16"/>
      <c r="HDH48" s="16"/>
      <c r="HDI48" s="16"/>
      <c r="HDJ48" s="16"/>
      <c r="HDK48" s="16"/>
      <c r="HDL48" s="16"/>
      <c r="HDM48" s="16"/>
      <c r="HDN48" s="16"/>
      <c r="HDO48" s="16"/>
      <c r="HDP48" s="16"/>
      <c r="HDQ48" s="16"/>
      <c r="HDR48" s="16"/>
      <c r="HDS48" s="16"/>
      <c r="HDT48" s="16"/>
      <c r="HDU48" s="16"/>
      <c r="HDV48" s="16"/>
      <c r="HDW48" s="16"/>
      <c r="HDX48" s="16"/>
      <c r="HDY48" s="16"/>
      <c r="HDZ48" s="16"/>
      <c r="HEA48" s="16"/>
      <c r="HEB48" s="16"/>
      <c r="HEC48" s="16"/>
      <c r="HED48" s="16"/>
      <c r="HEE48" s="16"/>
      <c r="HEF48" s="16"/>
      <c r="HEG48" s="16"/>
      <c r="HEH48" s="16"/>
      <c r="HEI48" s="16"/>
      <c r="HEJ48" s="16"/>
      <c r="HEK48" s="16"/>
      <c r="HEL48" s="16"/>
      <c r="HEM48" s="16"/>
      <c r="HEN48" s="16"/>
      <c r="HEO48" s="16"/>
      <c r="HEP48" s="16"/>
      <c r="HEQ48" s="16"/>
      <c r="HER48" s="16"/>
      <c r="HES48" s="16"/>
      <c r="HET48" s="16"/>
      <c r="HEU48" s="16"/>
      <c r="HEV48" s="16"/>
      <c r="HEW48" s="16"/>
      <c r="HEX48" s="16"/>
      <c r="HEY48" s="16"/>
      <c r="HEZ48" s="16"/>
      <c r="HFA48" s="16"/>
      <c r="HFB48" s="16"/>
      <c r="HFC48" s="16"/>
      <c r="HFD48" s="16"/>
      <c r="HFE48" s="16"/>
      <c r="HFF48" s="16"/>
      <c r="HFG48" s="16"/>
      <c r="HFH48" s="16"/>
      <c r="HFI48" s="16"/>
      <c r="HFJ48" s="16"/>
      <c r="HFK48" s="16"/>
      <c r="HFL48" s="16"/>
      <c r="HFM48" s="16"/>
      <c r="HFN48" s="16"/>
      <c r="HFO48" s="16"/>
      <c r="HFP48" s="16"/>
      <c r="HFQ48" s="16"/>
      <c r="HFR48" s="16"/>
      <c r="HFS48" s="16"/>
      <c r="HFT48" s="16"/>
      <c r="HFU48" s="16"/>
      <c r="HFV48" s="16"/>
      <c r="HFW48" s="16"/>
      <c r="HFX48" s="16"/>
      <c r="HFY48" s="16"/>
      <c r="HFZ48" s="16"/>
      <c r="HGA48" s="16"/>
      <c r="HGB48" s="16"/>
      <c r="HGC48" s="16"/>
      <c r="HGD48" s="16"/>
      <c r="HGE48" s="16"/>
      <c r="HGF48" s="16"/>
      <c r="HGG48" s="16"/>
      <c r="HGH48" s="16"/>
      <c r="HGI48" s="16"/>
      <c r="HGJ48" s="16"/>
      <c r="HGK48" s="16"/>
      <c r="HGL48" s="16"/>
      <c r="HGM48" s="16"/>
      <c r="HGN48" s="16"/>
      <c r="HGO48" s="16"/>
      <c r="HGP48" s="16"/>
      <c r="HGQ48" s="16"/>
      <c r="HGR48" s="16"/>
      <c r="HGS48" s="16"/>
      <c r="HGT48" s="16"/>
      <c r="HGU48" s="16"/>
      <c r="HGV48" s="16"/>
      <c r="HGW48" s="16"/>
      <c r="HGX48" s="16"/>
      <c r="HGY48" s="16"/>
      <c r="HGZ48" s="16"/>
      <c r="HHA48" s="16"/>
      <c r="HHB48" s="16"/>
      <c r="HHC48" s="16"/>
      <c r="HHD48" s="16"/>
      <c r="HHE48" s="16"/>
      <c r="HHF48" s="16"/>
      <c r="HHG48" s="16"/>
      <c r="HHH48" s="16"/>
      <c r="HHI48" s="16"/>
      <c r="HHJ48" s="16"/>
      <c r="HHK48" s="16"/>
      <c r="HHL48" s="16"/>
      <c r="HHM48" s="16"/>
      <c r="HHN48" s="16"/>
      <c r="HHO48" s="16"/>
      <c r="HHP48" s="16"/>
      <c r="HHQ48" s="16"/>
      <c r="HHR48" s="16"/>
      <c r="HHS48" s="16"/>
      <c r="HHT48" s="16"/>
      <c r="HHU48" s="16"/>
      <c r="HHV48" s="16"/>
      <c r="HHW48" s="16"/>
      <c r="HHX48" s="16"/>
      <c r="HHY48" s="16"/>
      <c r="HHZ48" s="16"/>
      <c r="HIA48" s="16"/>
      <c r="HIB48" s="16"/>
      <c r="HIC48" s="16"/>
      <c r="HID48" s="16"/>
      <c r="HIE48" s="16"/>
      <c r="HIF48" s="16"/>
      <c r="HIG48" s="16"/>
      <c r="HIH48" s="16"/>
      <c r="HII48" s="16"/>
      <c r="HIJ48" s="16"/>
      <c r="HIK48" s="16"/>
      <c r="HIL48" s="16"/>
      <c r="HIM48" s="16"/>
      <c r="HIN48" s="16"/>
      <c r="HIO48" s="16"/>
      <c r="HIP48" s="16"/>
      <c r="HIQ48" s="16"/>
      <c r="HIR48" s="16"/>
      <c r="HIS48" s="16"/>
      <c r="HIT48" s="16"/>
      <c r="HIU48" s="16"/>
      <c r="HIV48" s="16"/>
      <c r="HIW48" s="16"/>
      <c r="HIX48" s="16"/>
      <c r="HIY48" s="16"/>
      <c r="HIZ48" s="16"/>
      <c r="HJA48" s="16"/>
      <c r="HJB48" s="16"/>
      <c r="HJC48" s="16"/>
      <c r="HJD48" s="16"/>
      <c r="HJE48" s="16"/>
      <c r="HJF48" s="16"/>
      <c r="HJG48" s="16"/>
      <c r="HJH48" s="16"/>
      <c r="HJI48" s="16"/>
      <c r="HJJ48" s="16"/>
      <c r="HJK48" s="16"/>
      <c r="HJL48" s="16"/>
      <c r="HJM48" s="16"/>
      <c r="HJN48" s="16"/>
      <c r="HJO48" s="16"/>
      <c r="HJP48" s="16"/>
      <c r="HJQ48" s="16"/>
      <c r="HJR48" s="16"/>
      <c r="HJS48" s="16"/>
      <c r="HJT48" s="16"/>
      <c r="HJU48" s="16"/>
      <c r="HJV48" s="16"/>
      <c r="HJW48" s="16"/>
      <c r="HJX48" s="16"/>
      <c r="HJY48" s="16"/>
      <c r="HJZ48" s="16"/>
      <c r="HKA48" s="16"/>
      <c r="HKB48" s="16"/>
      <c r="HKC48" s="16"/>
      <c r="HKD48" s="16"/>
      <c r="HKE48" s="16"/>
      <c r="HKF48" s="16"/>
      <c r="HKG48" s="16"/>
      <c r="HKH48" s="16"/>
      <c r="HKI48" s="16"/>
      <c r="HKJ48" s="16"/>
      <c r="HKK48" s="16"/>
      <c r="HKL48" s="16"/>
      <c r="HKM48" s="16"/>
      <c r="HKN48" s="16"/>
      <c r="HKO48" s="16"/>
      <c r="HKP48" s="16"/>
      <c r="HKQ48" s="16"/>
      <c r="HKR48" s="16"/>
      <c r="HKS48" s="16"/>
      <c r="HKT48" s="16"/>
      <c r="HKU48" s="16"/>
      <c r="HKV48" s="16"/>
      <c r="HKW48" s="16"/>
      <c r="HKX48" s="16"/>
      <c r="HKY48" s="16"/>
      <c r="HKZ48" s="16"/>
      <c r="HLA48" s="16"/>
      <c r="HLB48" s="16"/>
      <c r="HLC48" s="16"/>
      <c r="HLD48" s="16"/>
      <c r="HLE48" s="16"/>
      <c r="HLF48" s="16"/>
      <c r="HLG48" s="16"/>
      <c r="HLH48" s="16"/>
      <c r="HLI48" s="16"/>
      <c r="HLJ48" s="16"/>
      <c r="HLK48" s="16"/>
      <c r="HLL48" s="16"/>
      <c r="HLM48" s="16"/>
      <c r="HLN48" s="16"/>
      <c r="HLO48" s="16"/>
      <c r="HLP48" s="16"/>
      <c r="HLQ48" s="16"/>
      <c r="HLR48" s="16"/>
      <c r="HLS48" s="16"/>
      <c r="HLT48" s="16"/>
      <c r="HLU48" s="16"/>
      <c r="HLV48" s="16"/>
      <c r="HLW48" s="16"/>
      <c r="HLX48" s="16"/>
      <c r="HLY48" s="16"/>
      <c r="HLZ48" s="16"/>
      <c r="HMA48" s="16"/>
      <c r="HMB48" s="16"/>
      <c r="HMC48" s="16"/>
      <c r="HMD48" s="16"/>
      <c r="HME48" s="16"/>
      <c r="HMF48" s="16"/>
      <c r="HMG48" s="16"/>
      <c r="HMH48" s="16"/>
      <c r="HMI48" s="16"/>
      <c r="HMJ48" s="16"/>
      <c r="HMK48" s="16"/>
      <c r="HML48" s="16"/>
      <c r="HMM48" s="16"/>
      <c r="HMN48" s="16"/>
      <c r="HMO48" s="16"/>
      <c r="HMP48" s="16"/>
      <c r="HMQ48" s="16"/>
      <c r="HMR48" s="16"/>
      <c r="HMS48" s="16"/>
      <c r="HMT48" s="16"/>
      <c r="HMU48" s="16"/>
      <c r="HMV48" s="16"/>
      <c r="HMW48" s="16"/>
      <c r="HMX48" s="16"/>
      <c r="HMY48" s="16"/>
      <c r="HMZ48" s="16"/>
      <c r="HNA48" s="16"/>
      <c r="HNB48" s="16"/>
      <c r="HNC48" s="16"/>
      <c r="HND48" s="16"/>
      <c r="HNE48" s="16"/>
      <c r="HNF48" s="16"/>
      <c r="HNG48" s="16"/>
      <c r="HNH48" s="16"/>
      <c r="HNI48" s="16"/>
      <c r="HNJ48" s="16"/>
      <c r="HNK48" s="16"/>
      <c r="HNL48" s="16"/>
      <c r="HNM48" s="16"/>
      <c r="HNN48" s="16"/>
      <c r="HNO48" s="16"/>
      <c r="HNP48" s="16"/>
      <c r="HNQ48" s="16"/>
      <c r="HNR48" s="16"/>
      <c r="HNS48" s="16"/>
      <c r="HNT48" s="16"/>
      <c r="HNU48" s="16"/>
      <c r="HNV48" s="16"/>
      <c r="HNW48" s="16"/>
      <c r="HNX48" s="16"/>
      <c r="HNY48" s="16"/>
      <c r="HNZ48" s="16"/>
      <c r="HOA48" s="16"/>
      <c r="HOB48" s="16"/>
      <c r="HOC48" s="16"/>
      <c r="HOD48" s="16"/>
      <c r="HOE48" s="16"/>
      <c r="HOF48" s="16"/>
      <c r="HOG48" s="16"/>
      <c r="HOH48" s="16"/>
      <c r="HOI48" s="16"/>
      <c r="HOJ48" s="16"/>
      <c r="HOK48" s="16"/>
      <c r="HOL48" s="16"/>
      <c r="HOM48" s="16"/>
      <c r="HON48" s="16"/>
      <c r="HOO48" s="16"/>
      <c r="HOP48" s="16"/>
      <c r="HOQ48" s="16"/>
      <c r="HOR48" s="16"/>
      <c r="HOS48" s="16"/>
      <c r="HOT48" s="16"/>
      <c r="HOU48" s="16"/>
      <c r="HOV48" s="16"/>
      <c r="HOW48" s="16"/>
      <c r="HOX48" s="16"/>
      <c r="HOY48" s="16"/>
      <c r="HOZ48" s="16"/>
      <c r="HPA48" s="16"/>
      <c r="HPB48" s="16"/>
      <c r="HPC48" s="16"/>
      <c r="HPD48" s="16"/>
      <c r="HPE48" s="16"/>
      <c r="HPF48" s="16"/>
      <c r="HPG48" s="16"/>
      <c r="HPH48" s="16"/>
      <c r="HPI48" s="16"/>
      <c r="HPJ48" s="16"/>
      <c r="HPK48" s="16"/>
      <c r="HPL48" s="16"/>
      <c r="HPM48" s="16"/>
      <c r="HPN48" s="16"/>
      <c r="HPO48" s="16"/>
      <c r="HPP48" s="16"/>
      <c r="HPQ48" s="16"/>
      <c r="HPR48" s="16"/>
      <c r="HPS48" s="16"/>
      <c r="HPT48" s="16"/>
      <c r="HPU48" s="16"/>
      <c r="HPV48" s="16"/>
      <c r="HPW48" s="16"/>
      <c r="HPX48" s="16"/>
      <c r="HPY48" s="16"/>
      <c r="HPZ48" s="16"/>
      <c r="HQA48" s="16"/>
      <c r="HQB48" s="16"/>
      <c r="HQC48" s="16"/>
      <c r="HQD48" s="16"/>
      <c r="HQE48" s="16"/>
      <c r="HQF48" s="16"/>
      <c r="HQG48" s="16"/>
      <c r="HQH48" s="16"/>
      <c r="HQI48" s="16"/>
      <c r="HQJ48" s="16"/>
      <c r="HQK48" s="16"/>
      <c r="HQL48" s="16"/>
      <c r="HQM48" s="16"/>
      <c r="HQN48" s="16"/>
      <c r="HQO48" s="16"/>
      <c r="HQP48" s="16"/>
      <c r="HQQ48" s="16"/>
      <c r="HQR48" s="16"/>
      <c r="HQS48" s="16"/>
      <c r="HQT48" s="16"/>
      <c r="HQU48" s="16"/>
      <c r="HQV48" s="16"/>
      <c r="HQW48" s="16"/>
      <c r="HQX48" s="16"/>
      <c r="HQY48" s="16"/>
      <c r="HQZ48" s="16"/>
      <c r="HRA48" s="16"/>
      <c r="HRB48" s="16"/>
      <c r="HRC48" s="16"/>
      <c r="HRD48" s="16"/>
      <c r="HRE48" s="16"/>
      <c r="HRF48" s="16"/>
      <c r="HRG48" s="16"/>
      <c r="HRH48" s="16"/>
      <c r="HRI48" s="16"/>
      <c r="HRJ48" s="16"/>
      <c r="HRK48" s="16"/>
      <c r="HRL48" s="16"/>
      <c r="HRM48" s="16"/>
      <c r="HRN48" s="16"/>
      <c r="HRO48" s="16"/>
      <c r="HRP48" s="16"/>
      <c r="HRQ48" s="16"/>
      <c r="HRR48" s="16"/>
      <c r="HRS48" s="16"/>
      <c r="HRT48" s="16"/>
      <c r="HRU48" s="16"/>
      <c r="HRV48" s="16"/>
      <c r="HRW48" s="16"/>
      <c r="HRX48" s="16"/>
      <c r="HRY48" s="16"/>
      <c r="HRZ48" s="16"/>
      <c r="HSA48" s="16"/>
      <c r="HSB48" s="16"/>
      <c r="HSC48" s="16"/>
      <c r="HSD48" s="16"/>
      <c r="HSE48" s="16"/>
      <c r="HSF48" s="16"/>
      <c r="HSG48" s="16"/>
      <c r="HSH48" s="16"/>
      <c r="HSI48" s="16"/>
      <c r="HSJ48" s="16"/>
      <c r="HSK48" s="16"/>
      <c r="HSL48" s="16"/>
      <c r="HSM48" s="16"/>
      <c r="HSN48" s="16"/>
      <c r="HSO48" s="16"/>
      <c r="HSP48" s="16"/>
      <c r="HSQ48" s="16"/>
      <c r="HSR48" s="16"/>
      <c r="HSS48" s="16"/>
      <c r="HST48" s="16"/>
      <c r="HSU48" s="16"/>
      <c r="HSV48" s="16"/>
      <c r="HSW48" s="16"/>
      <c r="HSX48" s="16"/>
      <c r="HSY48" s="16"/>
      <c r="HSZ48" s="16"/>
      <c r="HTA48" s="16"/>
      <c r="HTB48" s="16"/>
      <c r="HTC48" s="16"/>
      <c r="HTD48" s="16"/>
      <c r="HTE48" s="16"/>
      <c r="HTF48" s="16"/>
      <c r="HTG48" s="16"/>
      <c r="HTH48" s="16"/>
      <c r="HTI48" s="16"/>
      <c r="HTJ48" s="16"/>
      <c r="HTK48" s="16"/>
      <c r="HTL48" s="16"/>
      <c r="HTM48" s="16"/>
      <c r="HTN48" s="16"/>
      <c r="HTO48" s="16"/>
      <c r="HTP48" s="16"/>
      <c r="HTQ48" s="16"/>
      <c r="HTR48" s="16"/>
      <c r="HTS48" s="16"/>
      <c r="HTT48" s="16"/>
      <c r="HTU48" s="16"/>
      <c r="HTV48" s="16"/>
      <c r="HTW48" s="16"/>
      <c r="HTX48" s="16"/>
      <c r="HTY48" s="16"/>
      <c r="HTZ48" s="16"/>
      <c r="HUA48" s="16"/>
      <c r="HUB48" s="16"/>
      <c r="HUC48" s="16"/>
      <c r="HUD48" s="16"/>
      <c r="HUE48" s="16"/>
      <c r="HUF48" s="16"/>
      <c r="HUG48" s="16"/>
      <c r="HUH48" s="16"/>
      <c r="HUI48" s="16"/>
      <c r="HUJ48" s="16"/>
      <c r="HUK48" s="16"/>
      <c r="HUL48" s="16"/>
      <c r="HUM48" s="16"/>
      <c r="HUN48" s="16"/>
      <c r="HUO48" s="16"/>
      <c r="HUP48" s="16"/>
      <c r="HUQ48" s="16"/>
      <c r="HUR48" s="16"/>
      <c r="HUS48" s="16"/>
      <c r="HUT48" s="16"/>
      <c r="HUU48" s="16"/>
      <c r="HUV48" s="16"/>
      <c r="HUW48" s="16"/>
      <c r="HUX48" s="16"/>
      <c r="HUY48" s="16"/>
      <c r="HUZ48" s="16"/>
      <c r="HVA48" s="16"/>
      <c r="HVB48" s="16"/>
      <c r="HVC48" s="16"/>
      <c r="HVD48" s="16"/>
      <c r="HVE48" s="16"/>
      <c r="HVF48" s="16"/>
      <c r="HVG48" s="16"/>
      <c r="HVH48" s="16"/>
      <c r="HVI48" s="16"/>
      <c r="HVJ48" s="16"/>
      <c r="HVK48" s="16"/>
      <c r="HVL48" s="16"/>
      <c r="HVM48" s="16"/>
      <c r="HVN48" s="16"/>
      <c r="HVO48" s="16"/>
      <c r="HVP48" s="16"/>
      <c r="HVQ48" s="16"/>
      <c r="HVR48" s="16"/>
      <c r="HVS48" s="16"/>
      <c r="HVT48" s="16"/>
      <c r="HVU48" s="16"/>
      <c r="HVV48" s="16"/>
      <c r="HVW48" s="16"/>
      <c r="HVX48" s="16"/>
      <c r="HVY48" s="16"/>
      <c r="HVZ48" s="16"/>
      <c r="HWA48" s="16"/>
      <c r="HWB48" s="16"/>
      <c r="HWC48" s="16"/>
      <c r="HWD48" s="16"/>
      <c r="HWE48" s="16"/>
      <c r="HWF48" s="16"/>
      <c r="HWG48" s="16"/>
      <c r="HWH48" s="16"/>
      <c r="HWI48" s="16"/>
      <c r="HWJ48" s="16"/>
      <c r="HWK48" s="16"/>
      <c r="HWL48" s="16"/>
      <c r="HWM48" s="16"/>
      <c r="HWN48" s="16"/>
      <c r="HWO48" s="16"/>
      <c r="HWP48" s="16"/>
      <c r="HWQ48" s="16"/>
      <c r="HWR48" s="16"/>
      <c r="HWS48" s="16"/>
      <c r="HWT48" s="16"/>
      <c r="HWU48" s="16"/>
      <c r="HWV48" s="16"/>
      <c r="HWW48" s="16"/>
      <c r="HWX48" s="16"/>
      <c r="HWY48" s="16"/>
      <c r="HWZ48" s="16"/>
      <c r="HXA48" s="16"/>
      <c r="HXB48" s="16"/>
      <c r="HXC48" s="16"/>
      <c r="HXD48" s="16"/>
      <c r="HXE48" s="16"/>
      <c r="HXF48" s="16"/>
      <c r="HXG48" s="16"/>
      <c r="HXH48" s="16"/>
      <c r="HXI48" s="16"/>
      <c r="HXJ48" s="16"/>
      <c r="HXK48" s="16"/>
      <c r="HXL48" s="16"/>
      <c r="HXM48" s="16"/>
      <c r="HXN48" s="16"/>
      <c r="HXO48" s="16"/>
      <c r="HXP48" s="16"/>
      <c r="HXQ48" s="16"/>
      <c r="HXR48" s="16"/>
      <c r="HXS48" s="16"/>
      <c r="HXT48" s="16"/>
      <c r="HXU48" s="16"/>
      <c r="HXV48" s="16"/>
      <c r="HXW48" s="16"/>
      <c r="HXX48" s="16"/>
      <c r="HXY48" s="16"/>
      <c r="HXZ48" s="16"/>
      <c r="HYA48" s="16"/>
      <c r="HYB48" s="16"/>
      <c r="HYC48" s="16"/>
      <c r="HYD48" s="16"/>
      <c r="HYE48" s="16"/>
      <c r="HYF48" s="16"/>
      <c r="HYG48" s="16"/>
      <c r="HYH48" s="16"/>
      <c r="HYI48" s="16"/>
      <c r="HYJ48" s="16"/>
      <c r="HYK48" s="16"/>
      <c r="HYL48" s="16"/>
      <c r="HYM48" s="16"/>
      <c r="HYN48" s="16"/>
      <c r="HYO48" s="16"/>
      <c r="HYP48" s="16"/>
      <c r="HYQ48" s="16"/>
      <c r="HYR48" s="16"/>
      <c r="HYS48" s="16"/>
      <c r="HYT48" s="16"/>
      <c r="HYU48" s="16"/>
      <c r="HYV48" s="16"/>
      <c r="HYW48" s="16"/>
      <c r="HYX48" s="16"/>
      <c r="HYY48" s="16"/>
      <c r="HYZ48" s="16"/>
      <c r="HZA48" s="16"/>
      <c r="HZB48" s="16"/>
      <c r="HZC48" s="16"/>
      <c r="HZD48" s="16"/>
      <c r="HZE48" s="16"/>
      <c r="HZF48" s="16"/>
      <c r="HZG48" s="16"/>
      <c r="HZH48" s="16"/>
      <c r="HZI48" s="16"/>
      <c r="HZJ48" s="16"/>
      <c r="HZK48" s="16"/>
      <c r="HZL48" s="16"/>
      <c r="HZM48" s="16"/>
      <c r="HZN48" s="16"/>
      <c r="HZO48" s="16"/>
      <c r="HZP48" s="16"/>
      <c r="HZQ48" s="16"/>
      <c r="HZR48" s="16"/>
      <c r="HZS48" s="16"/>
      <c r="HZT48" s="16"/>
      <c r="HZU48" s="16"/>
      <c r="HZV48" s="16"/>
      <c r="HZW48" s="16"/>
      <c r="HZX48" s="16"/>
      <c r="HZY48" s="16"/>
      <c r="HZZ48" s="16"/>
      <c r="IAA48" s="16"/>
      <c r="IAB48" s="16"/>
      <c r="IAC48" s="16"/>
      <c r="IAD48" s="16"/>
      <c r="IAE48" s="16"/>
      <c r="IAF48" s="16"/>
      <c r="IAG48" s="16"/>
      <c r="IAH48" s="16"/>
      <c r="IAI48" s="16"/>
      <c r="IAJ48" s="16"/>
      <c r="IAK48" s="16"/>
      <c r="IAL48" s="16"/>
      <c r="IAM48" s="16"/>
      <c r="IAN48" s="16"/>
      <c r="IAO48" s="16"/>
      <c r="IAP48" s="16"/>
      <c r="IAQ48" s="16"/>
      <c r="IAR48" s="16"/>
      <c r="IAS48" s="16"/>
      <c r="IAT48" s="16"/>
      <c r="IAU48" s="16"/>
      <c r="IAV48" s="16"/>
      <c r="IAW48" s="16"/>
      <c r="IAX48" s="16"/>
      <c r="IAY48" s="16"/>
      <c r="IAZ48" s="16"/>
      <c r="IBA48" s="16"/>
      <c r="IBB48" s="16"/>
      <c r="IBC48" s="16"/>
      <c r="IBD48" s="16"/>
      <c r="IBE48" s="16"/>
      <c r="IBF48" s="16"/>
      <c r="IBG48" s="16"/>
      <c r="IBH48" s="16"/>
      <c r="IBI48" s="16"/>
      <c r="IBJ48" s="16"/>
      <c r="IBK48" s="16"/>
      <c r="IBL48" s="16"/>
      <c r="IBM48" s="16"/>
      <c r="IBN48" s="16"/>
      <c r="IBO48" s="16"/>
      <c r="IBP48" s="16"/>
      <c r="IBQ48" s="16"/>
      <c r="IBR48" s="16"/>
      <c r="IBS48" s="16"/>
      <c r="IBT48" s="16"/>
      <c r="IBU48" s="16"/>
      <c r="IBV48" s="16"/>
      <c r="IBW48" s="16"/>
      <c r="IBX48" s="16"/>
      <c r="IBY48" s="16"/>
      <c r="IBZ48" s="16"/>
      <c r="ICA48" s="16"/>
      <c r="ICB48" s="16"/>
      <c r="ICC48" s="16"/>
      <c r="ICD48" s="16"/>
      <c r="ICE48" s="16"/>
      <c r="ICF48" s="16"/>
      <c r="ICG48" s="16"/>
      <c r="ICH48" s="16"/>
      <c r="ICI48" s="16"/>
      <c r="ICJ48" s="16"/>
      <c r="ICK48" s="16"/>
      <c r="ICL48" s="16"/>
      <c r="ICM48" s="16"/>
      <c r="ICN48" s="16"/>
      <c r="ICO48" s="16"/>
      <c r="ICP48" s="16"/>
      <c r="ICQ48" s="16"/>
      <c r="ICR48" s="16"/>
      <c r="ICS48" s="16"/>
      <c r="ICT48" s="16"/>
      <c r="ICU48" s="16"/>
      <c r="ICV48" s="16"/>
      <c r="ICW48" s="16"/>
      <c r="ICX48" s="16"/>
      <c r="ICY48" s="16"/>
      <c r="ICZ48" s="16"/>
      <c r="IDA48" s="16"/>
      <c r="IDB48" s="16"/>
      <c r="IDC48" s="16"/>
      <c r="IDD48" s="16"/>
      <c r="IDE48" s="16"/>
      <c r="IDF48" s="16"/>
      <c r="IDG48" s="16"/>
      <c r="IDH48" s="16"/>
      <c r="IDI48" s="16"/>
      <c r="IDJ48" s="16"/>
      <c r="IDK48" s="16"/>
      <c r="IDL48" s="16"/>
      <c r="IDM48" s="16"/>
      <c r="IDN48" s="16"/>
      <c r="IDO48" s="16"/>
      <c r="IDP48" s="16"/>
      <c r="IDQ48" s="16"/>
      <c r="IDR48" s="16"/>
      <c r="IDS48" s="16"/>
      <c r="IDT48" s="16"/>
      <c r="IDU48" s="16"/>
      <c r="IDV48" s="16"/>
      <c r="IDW48" s="16"/>
      <c r="IDX48" s="16"/>
      <c r="IDY48" s="16"/>
      <c r="IDZ48" s="16"/>
      <c r="IEA48" s="16"/>
      <c r="IEB48" s="16"/>
      <c r="IEC48" s="16"/>
      <c r="IED48" s="16"/>
      <c r="IEE48" s="16"/>
      <c r="IEF48" s="16"/>
      <c r="IEG48" s="16"/>
      <c r="IEH48" s="16"/>
      <c r="IEI48" s="16"/>
      <c r="IEJ48" s="16"/>
      <c r="IEK48" s="16"/>
      <c r="IEL48" s="16"/>
      <c r="IEM48" s="16"/>
      <c r="IEN48" s="16"/>
      <c r="IEO48" s="16"/>
      <c r="IEP48" s="16"/>
      <c r="IEQ48" s="16"/>
      <c r="IER48" s="16"/>
      <c r="IES48" s="16"/>
      <c r="IET48" s="16"/>
      <c r="IEU48" s="16"/>
      <c r="IEV48" s="16"/>
      <c r="IEW48" s="16"/>
      <c r="IEX48" s="16"/>
      <c r="IEY48" s="16"/>
      <c r="IEZ48" s="16"/>
      <c r="IFA48" s="16"/>
      <c r="IFB48" s="16"/>
      <c r="IFC48" s="16"/>
      <c r="IFD48" s="16"/>
      <c r="IFE48" s="16"/>
      <c r="IFF48" s="16"/>
      <c r="IFG48" s="16"/>
      <c r="IFH48" s="16"/>
      <c r="IFI48" s="16"/>
      <c r="IFJ48" s="16"/>
      <c r="IFK48" s="16"/>
      <c r="IFL48" s="16"/>
      <c r="IFM48" s="16"/>
      <c r="IFN48" s="16"/>
      <c r="IFO48" s="16"/>
      <c r="IFP48" s="16"/>
      <c r="IFQ48" s="16"/>
      <c r="IFR48" s="16"/>
      <c r="IFS48" s="16"/>
      <c r="IFT48" s="16"/>
      <c r="IFU48" s="16"/>
      <c r="IFV48" s="16"/>
      <c r="IFW48" s="16"/>
      <c r="IFX48" s="16"/>
      <c r="IFY48" s="16"/>
      <c r="IFZ48" s="16"/>
      <c r="IGA48" s="16"/>
      <c r="IGB48" s="16"/>
      <c r="IGC48" s="16"/>
      <c r="IGD48" s="16"/>
      <c r="IGE48" s="16"/>
      <c r="IGF48" s="16"/>
      <c r="IGG48" s="16"/>
      <c r="IGH48" s="16"/>
      <c r="IGI48" s="16"/>
      <c r="IGJ48" s="16"/>
      <c r="IGK48" s="16"/>
      <c r="IGL48" s="16"/>
      <c r="IGM48" s="16"/>
      <c r="IGN48" s="16"/>
      <c r="IGO48" s="16"/>
      <c r="IGP48" s="16"/>
      <c r="IGQ48" s="16"/>
      <c r="IGR48" s="16"/>
      <c r="IGS48" s="16"/>
      <c r="IGT48" s="16"/>
      <c r="IGU48" s="16"/>
      <c r="IGV48" s="16"/>
      <c r="IGW48" s="16"/>
      <c r="IGX48" s="16"/>
      <c r="IGY48" s="16"/>
      <c r="IGZ48" s="16"/>
      <c r="IHA48" s="16"/>
      <c r="IHB48" s="16"/>
      <c r="IHC48" s="16"/>
      <c r="IHD48" s="16"/>
      <c r="IHE48" s="16"/>
      <c r="IHF48" s="16"/>
      <c r="IHG48" s="16"/>
      <c r="IHH48" s="16"/>
      <c r="IHI48" s="16"/>
      <c r="IHJ48" s="16"/>
      <c r="IHK48" s="16"/>
      <c r="IHL48" s="16"/>
      <c r="IHM48" s="16"/>
      <c r="IHN48" s="16"/>
      <c r="IHO48" s="16"/>
      <c r="IHP48" s="16"/>
      <c r="IHQ48" s="16"/>
      <c r="IHR48" s="16"/>
      <c r="IHS48" s="16"/>
      <c r="IHT48" s="16"/>
      <c r="IHU48" s="16"/>
      <c r="IHV48" s="16"/>
      <c r="IHW48" s="16"/>
      <c r="IHX48" s="16"/>
      <c r="IHY48" s="16"/>
      <c r="IHZ48" s="16"/>
      <c r="IIA48" s="16"/>
      <c r="IIB48" s="16"/>
      <c r="IIC48" s="16"/>
      <c r="IID48" s="16"/>
      <c r="IIE48" s="16"/>
      <c r="IIF48" s="16"/>
      <c r="IIG48" s="16"/>
      <c r="IIH48" s="16"/>
      <c r="III48" s="16"/>
      <c r="IIJ48" s="16"/>
      <c r="IIK48" s="16"/>
      <c r="IIL48" s="16"/>
      <c r="IIM48" s="16"/>
      <c r="IIN48" s="16"/>
      <c r="IIO48" s="16"/>
      <c r="IIP48" s="16"/>
      <c r="IIQ48" s="16"/>
      <c r="IIR48" s="16"/>
      <c r="IIS48" s="16"/>
      <c r="IIT48" s="16"/>
      <c r="IIU48" s="16"/>
      <c r="IIV48" s="16"/>
      <c r="IIW48" s="16"/>
      <c r="IIX48" s="16"/>
      <c r="IIY48" s="16"/>
      <c r="IIZ48" s="16"/>
      <c r="IJA48" s="16"/>
      <c r="IJB48" s="16"/>
      <c r="IJC48" s="16"/>
      <c r="IJD48" s="16"/>
      <c r="IJE48" s="16"/>
      <c r="IJF48" s="16"/>
      <c r="IJG48" s="16"/>
      <c r="IJH48" s="16"/>
      <c r="IJI48" s="16"/>
      <c r="IJJ48" s="16"/>
      <c r="IJK48" s="16"/>
      <c r="IJL48" s="16"/>
      <c r="IJM48" s="16"/>
      <c r="IJN48" s="16"/>
      <c r="IJO48" s="16"/>
      <c r="IJP48" s="16"/>
      <c r="IJQ48" s="16"/>
      <c r="IJR48" s="16"/>
      <c r="IJS48" s="16"/>
      <c r="IJT48" s="16"/>
      <c r="IJU48" s="16"/>
      <c r="IJV48" s="16"/>
      <c r="IJW48" s="16"/>
      <c r="IJX48" s="16"/>
      <c r="IJY48" s="16"/>
      <c r="IJZ48" s="16"/>
      <c r="IKA48" s="16"/>
      <c r="IKB48" s="16"/>
      <c r="IKC48" s="16"/>
      <c r="IKD48" s="16"/>
      <c r="IKE48" s="16"/>
      <c r="IKF48" s="16"/>
      <c r="IKG48" s="16"/>
      <c r="IKH48" s="16"/>
      <c r="IKI48" s="16"/>
      <c r="IKJ48" s="16"/>
      <c r="IKK48" s="16"/>
      <c r="IKL48" s="16"/>
      <c r="IKM48" s="16"/>
      <c r="IKN48" s="16"/>
      <c r="IKO48" s="16"/>
      <c r="IKP48" s="16"/>
      <c r="IKQ48" s="16"/>
      <c r="IKR48" s="16"/>
      <c r="IKS48" s="16"/>
      <c r="IKT48" s="16"/>
      <c r="IKU48" s="16"/>
      <c r="IKV48" s="16"/>
      <c r="IKW48" s="16"/>
      <c r="IKX48" s="16"/>
      <c r="IKY48" s="16"/>
      <c r="IKZ48" s="16"/>
      <c r="ILA48" s="16"/>
      <c r="ILB48" s="16"/>
      <c r="ILC48" s="16"/>
      <c r="ILD48" s="16"/>
      <c r="ILE48" s="16"/>
      <c r="ILF48" s="16"/>
      <c r="ILG48" s="16"/>
      <c r="ILH48" s="16"/>
      <c r="ILI48" s="16"/>
      <c r="ILJ48" s="16"/>
      <c r="ILK48" s="16"/>
      <c r="ILL48" s="16"/>
      <c r="ILM48" s="16"/>
      <c r="ILN48" s="16"/>
      <c r="ILO48" s="16"/>
      <c r="ILP48" s="16"/>
      <c r="ILQ48" s="16"/>
      <c r="ILR48" s="16"/>
      <c r="ILS48" s="16"/>
      <c r="ILT48" s="16"/>
      <c r="ILU48" s="16"/>
      <c r="ILV48" s="16"/>
      <c r="ILW48" s="16"/>
      <c r="ILX48" s="16"/>
      <c r="ILY48" s="16"/>
      <c r="ILZ48" s="16"/>
      <c r="IMA48" s="16"/>
      <c r="IMB48" s="16"/>
      <c r="IMC48" s="16"/>
      <c r="IMD48" s="16"/>
      <c r="IME48" s="16"/>
      <c r="IMF48" s="16"/>
      <c r="IMG48" s="16"/>
      <c r="IMH48" s="16"/>
      <c r="IMI48" s="16"/>
      <c r="IMJ48" s="16"/>
      <c r="IMK48" s="16"/>
      <c r="IML48" s="16"/>
      <c r="IMM48" s="16"/>
      <c r="IMN48" s="16"/>
      <c r="IMO48" s="16"/>
      <c r="IMP48" s="16"/>
      <c r="IMQ48" s="16"/>
      <c r="IMR48" s="16"/>
      <c r="IMS48" s="16"/>
      <c r="IMT48" s="16"/>
      <c r="IMU48" s="16"/>
      <c r="IMV48" s="16"/>
      <c r="IMW48" s="16"/>
      <c r="IMX48" s="16"/>
      <c r="IMY48" s="16"/>
      <c r="IMZ48" s="16"/>
      <c r="INA48" s="16"/>
      <c r="INB48" s="16"/>
      <c r="INC48" s="16"/>
      <c r="IND48" s="16"/>
      <c r="INE48" s="16"/>
      <c r="INF48" s="16"/>
      <c r="ING48" s="16"/>
      <c r="INH48" s="16"/>
      <c r="INI48" s="16"/>
      <c r="INJ48" s="16"/>
      <c r="INK48" s="16"/>
      <c r="INL48" s="16"/>
      <c r="INM48" s="16"/>
      <c r="INN48" s="16"/>
      <c r="INO48" s="16"/>
      <c r="INP48" s="16"/>
      <c r="INQ48" s="16"/>
      <c r="INR48" s="16"/>
      <c r="INS48" s="16"/>
      <c r="INT48" s="16"/>
      <c r="INU48" s="16"/>
      <c r="INV48" s="16"/>
      <c r="INW48" s="16"/>
      <c r="INX48" s="16"/>
      <c r="INY48" s="16"/>
      <c r="INZ48" s="16"/>
      <c r="IOA48" s="16"/>
      <c r="IOB48" s="16"/>
      <c r="IOC48" s="16"/>
      <c r="IOD48" s="16"/>
      <c r="IOE48" s="16"/>
      <c r="IOF48" s="16"/>
      <c r="IOG48" s="16"/>
      <c r="IOH48" s="16"/>
      <c r="IOI48" s="16"/>
      <c r="IOJ48" s="16"/>
      <c r="IOK48" s="16"/>
      <c r="IOL48" s="16"/>
      <c r="IOM48" s="16"/>
      <c r="ION48" s="16"/>
      <c r="IOO48" s="16"/>
      <c r="IOP48" s="16"/>
      <c r="IOQ48" s="16"/>
      <c r="IOR48" s="16"/>
      <c r="IOS48" s="16"/>
      <c r="IOT48" s="16"/>
      <c r="IOU48" s="16"/>
      <c r="IOV48" s="16"/>
      <c r="IOW48" s="16"/>
      <c r="IOX48" s="16"/>
      <c r="IOY48" s="16"/>
      <c r="IOZ48" s="16"/>
      <c r="IPA48" s="16"/>
      <c r="IPB48" s="16"/>
      <c r="IPC48" s="16"/>
      <c r="IPD48" s="16"/>
      <c r="IPE48" s="16"/>
      <c r="IPF48" s="16"/>
      <c r="IPG48" s="16"/>
      <c r="IPH48" s="16"/>
      <c r="IPI48" s="16"/>
      <c r="IPJ48" s="16"/>
      <c r="IPK48" s="16"/>
      <c r="IPL48" s="16"/>
      <c r="IPM48" s="16"/>
      <c r="IPN48" s="16"/>
      <c r="IPO48" s="16"/>
      <c r="IPP48" s="16"/>
      <c r="IPQ48" s="16"/>
      <c r="IPR48" s="16"/>
      <c r="IPS48" s="16"/>
      <c r="IPT48" s="16"/>
      <c r="IPU48" s="16"/>
      <c r="IPV48" s="16"/>
      <c r="IPW48" s="16"/>
      <c r="IPX48" s="16"/>
      <c r="IPY48" s="16"/>
      <c r="IPZ48" s="16"/>
      <c r="IQA48" s="16"/>
      <c r="IQB48" s="16"/>
      <c r="IQC48" s="16"/>
      <c r="IQD48" s="16"/>
      <c r="IQE48" s="16"/>
      <c r="IQF48" s="16"/>
      <c r="IQG48" s="16"/>
      <c r="IQH48" s="16"/>
      <c r="IQI48" s="16"/>
      <c r="IQJ48" s="16"/>
      <c r="IQK48" s="16"/>
      <c r="IQL48" s="16"/>
      <c r="IQM48" s="16"/>
      <c r="IQN48" s="16"/>
      <c r="IQO48" s="16"/>
      <c r="IQP48" s="16"/>
      <c r="IQQ48" s="16"/>
      <c r="IQR48" s="16"/>
      <c r="IQS48" s="16"/>
      <c r="IQT48" s="16"/>
      <c r="IQU48" s="16"/>
      <c r="IQV48" s="16"/>
      <c r="IQW48" s="16"/>
      <c r="IQX48" s="16"/>
      <c r="IQY48" s="16"/>
      <c r="IQZ48" s="16"/>
      <c r="IRA48" s="16"/>
      <c r="IRB48" s="16"/>
      <c r="IRC48" s="16"/>
      <c r="IRD48" s="16"/>
      <c r="IRE48" s="16"/>
      <c r="IRF48" s="16"/>
      <c r="IRG48" s="16"/>
      <c r="IRH48" s="16"/>
      <c r="IRI48" s="16"/>
      <c r="IRJ48" s="16"/>
      <c r="IRK48" s="16"/>
      <c r="IRL48" s="16"/>
      <c r="IRM48" s="16"/>
      <c r="IRN48" s="16"/>
      <c r="IRO48" s="16"/>
      <c r="IRP48" s="16"/>
      <c r="IRQ48" s="16"/>
      <c r="IRR48" s="16"/>
      <c r="IRS48" s="16"/>
      <c r="IRT48" s="16"/>
      <c r="IRU48" s="16"/>
      <c r="IRV48" s="16"/>
      <c r="IRW48" s="16"/>
      <c r="IRX48" s="16"/>
      <c r="IRY48" s="16"/>
      <c r="IRZ48" s="16"/>
      <c r="ISA48" s="16"/>
      <c r="ISB48" s="16"/>
      <c r="ISC48" s="16"/>
      <c r="ISD48" s="16"/>
      <c r="ISE48" s="16"/>
      <c r="ISF48" s="16"/>
      <c r="ISG48" s="16"/>
      <c r="ISH48" s="16"/>
      <c r="ISI48" s="16"/>
      <c r="ISJ48" s="16"/>
      <c r="ISK48" s="16"/>
      <c r="ISL48" s="16"/>
      <c r="ISM48" s="16"/>
      <c r="ISN48" s="16"/>
      <c r="ISO48" s="16"/>
      <c r="ISP48" s="16"/>
      <c r="ISQ48" s="16"/>
      <c r="ISR48" s="16"/>
      <c r="ISS48" s="16"/>
      <c r="IST48" s="16"/>
      <c r="ISU48" s="16"/>
      <c r="ISV48" s="16"/>
      <c r="ISW48" s="16"/>
      <c r="ISX48" s="16"/>
      <c r="ISY48" s="16"/>
      <c r="ISZ48" s="16"/>
      <c r="ITA48" s="16"/>
      <c r="ITB48" s="16"/>
      <c r="ITC48" s="16"/>
      <c r="ITD48" s="16"/>
      <c r="ITE48" s="16"/>
      <c r="ITF48" s="16"/>
      <c r="ITG48" s="16"/>
      <c r="ITH48" s="16"/>
      <c r="ITI48" s="16"/>
      <c r="ITJ48" s="16"/>
      <c r="ITK48" s="16"/>
      <c r="ITL48" s="16"/>
      <c r="ITM48" s="16"/>
      <c r="ITN48" s="16"/>
      <c r="ITO48" s="16"/>
      <c r="ITP48" s="16"/>
      <c r="ITQ48" s="16"/>
      <c r="ITR48" s="16"/>
      <c r="ITS48" s="16"/>
      <c r="ITT48" s="16"/>
      <c r="ITU48" s="16"/>
      <c r="ITV48" s="16"/>
      <c r="ITW48" s="16"/>
      <c r="ITX48" s="16"/>
      <c r="ITY48" s="16"/>
      <c r="ITZ48" s="16"/>
      <c r="IUA48" s="16"/>
      <c r="IUB48" s="16"/>
      <c r="IUC48" s="16"/>
      <c r="IUD48" s="16"/>
      <c r="IUE48" s="16"/>
      <c r="IUF48" s="16"/>
      <c r="IUG48" s="16"/>
      <c r="IUH48" s="16"/>
      <c r="IUI48" s="16"/>
      <c r="IUJ48" s="16"/>
      <c r="IUK48" s="16"/>
      <c r="IUL48" s="16"/>
      <c r="IUM48" s="16"/>
      <c r="IUN48" s="16"/>
      <c r="IUO48" s="16"/>
      <c r="IUP48" s="16"/>
      <c r="IUQ48" s="16"/>
      <c r="IUR48" s="16"/>
      <c r="IUS48" s="16"/>
      <c r="IUT48" s="16"/>
      <c r="IUU48" s="16"/>
      <c r="IUV48" s="16"/>
      <c r="IUW48" s="16"/>
      <c r="IUX48" s="16"/>
      <c r="IUY48" s="16"/>
      <c r="IUZ48" s="16"/>
      <c r="IVA48" s="16"/>
      <c r="IVB48" s="16"/>
      <c r="IVC48" s="16"/>
      <c r="IVD48" s="16"/>
      <c r="IVE48" s="16"/>
      <c r="IVF48" s="16"/>
      <c r="IVG48" s="16"/>
      <c r="IVH48" s="16"/>
      <c r="IVI48" s="16"/>
      <c r="IVJ48" s="16"/>
      <c r="IVK48" s="16"/>
      <c r="IVL48" s="16"/>
      <c r="IVM48" s="16"/>
      <c r="IVN48" s="16"/>
      <c r="IVO48" s="16"/>
      <c r="IVP48" s="16"/>
      <c r="IVQ48" s="16"/>
      <c r="IVR48" s="16"/>
      <c r="IVS48" s="16"/>
      <c r="IVT48" s="16"/>
      <c r="IVU48" s="16"/>
      <c r="IVV48" s="16"/>
      <c r="IVW48" s="16"/>
      <c r="IVX48" s="16"/>
      <c r="IVY48" s="16"/>
      <c r="IVZ48" s="16"/>
      <c r="IWA48" s="16"/>
      <c r="IWB48" s="16"/>
      <c r="IWC48" s="16"/>
      <c r="IWD48" s="16"/>
      <c r="IWE48" s="16"/>
      <c r="IWF48" s="16"/>
      <c r="IWG48" s="16"/>
      <c r="IWH48" s="16"/>
      <c r="IWI48" s="16"/>
      <c r="IWJ48" s="16"/>
      <c r="IWK48" s="16"/>
      <c r="IWL48" s="16"/>
      <c r="IWM48" s="16"/>
      <c r="IWN48" s="16"/>
      <c r="IWO48" s="16"/>
      <c r="IWP48" s="16"/>
      <c r="IWQ48" s="16"/>
      <c r="IWR48" s="16"/>
      <c r="IWS48" s="16"/>
      <c r="IWT48" s="16"/>
      <c r="IWU48" s="16"/>
      <c r="IWV48" s="16"/>
      <c r="IWW48" s="16"/>
      <c r="IWX48" s="16"/>
      <c r="IWY48" s="16"/>
      <c r="IWZ48" s="16"/>
      <c r="IXA48" s="16"/>
      <c r="IXB48" s="16"/>
      <c r="IXC48" s="16"/>
      <c r="IXD48" s="16"/>
      <c r="IXE48" s="16"/>
      <c r="IXF48" s="16"/>
      <c r="IXG48" s="16"/>
      <c r="IXH48" s="16"/>
      <c r="IXI48" s="16"/>
      <c r="IXJ48" s="16"/>
      <c r="IXK48" s="16"/>
      <c r="IXL48" s="16"/>
      <c r="IXM48" s="16"/>
      <c r="IXN48" s="16"/>
      <c r="IXO48" s="16"/>
      <c r="IXP48" s="16"/>
      <c r="IXQ48" s="16"/>
      <c r="IXR48" s="16"/>
      <c r="IXS48" s="16"/>
      <c r="IXT48" s="16"/>
      <c r="IXU48" s="16"/>
      <c r="IXV48" s="16"/>
      <c r="IXW48" s="16"/>
      <c r="IXX48" s="16"/>
      <c r="IXY48" s="16"/>
      <c r="IXZ48" s="16"/>
      <c r="IYA48" s="16"/>
      <c r="IYB48" s="16"/>
      <c r="IYC48" s="16"/>
      <c r="IYD48" s="16"/>
      <c r="IYE48" s="16"/>
      <c r="IYF48" s="16"/>
      <c r="IYG48" s="16"/>
      <c r="IYH48" s="16"/>
      <c r="IYI48" s="16"/>
      <c r="IYJ48" s="16"/>
      <c r="IYK48" s="16"/>
      <c r="IYL48" s="16"/>
      <c r="IYM48" s="16"/>
      <c r="IYN48" s="16"/>
      <c r="IYO48" s="16"/>
      <c r="IYP48" s="16"/>
      <c r="IYQ48" s="16"/>
      <c r="IYR48" s="16"/>
      <c r="IYS48" s="16"/>
      <c r="IYT48" s="16"/>
      <c r="IYU48" s="16"/>
      <c r="IYV48" s="16"/>
      <c r="IYW48" s="16"/>
      <c r="IYX48" s="16"/>
      <c r="IYY48" s="16"/>
      <c r="IYZ48" s="16"/>
      <c r="IZA48" s="16"/>
      <c r="IZB48" s="16"/>
      <c r="IZC48" s="16"/>
      <c r="IZD48" s="16"/>
      <c r="IZE48" s="16"/>
      <c r="IZF48" s="16"/>
      <c r="IZG48" s="16"/>
      <c r="IZH48" s="16"/>
      <c r="IZI48" s="16"/>
      <c r="IZJ48" s="16"/>
      <c r="IZK48" s="16"/>
      <c r="IZL48" s="16"/>
      <c r="IZM48" s="16"/>
      <c r="IZN48" s="16"/>
      <c r="IZO48" s="16"/>
      <c r="IZP48" s="16"/>
      <c r="IZQ48" s="16"/>
      <c r="IZR48" s="16"/>
      <c r="IZS48" s="16"/>
      <c r="IZT48" s="16"/>
      <c r="IZU48" s="16"/>
      <c r="IZV48" s="16"/>
      <c r="IZW48" s="16"/>
      <c r="IZX48" s="16"/>
      <c r="IZY48" s="16"/>
      <c r="IZZ48" s="16"/>
      <c r="JAA48" s="16"/>
      <c r="JAB48" s="16"/>
      <c r="JAC48" s="16"/>
      <c r="JAD48" s="16"/>
      <c r="JAE48" s="16"/>
      <c r="JAF48" s="16"/>
      <c r="JAG48" s="16"/>
      <c r="JAH48" s="16"/>
      <c r="JAI48" s="16"/>
      <c r="JAJ48" s="16"/>
      <c r="JAK48" s="16"/>
      <c r="JAL48" s="16"/>
      <c r="JAM48" s="16"/>
      <c r="JAN48" s="16"/>
      <c r="JAO48" s="16"/>
      <c r="JAP48" s="16"/>
      <c r="JAQ48" s="16"/>
      <c r="JAR48" s="16"/>
      <c r="JAS48" s="16"/>
      <c r="JAT48" s="16"/>
      <c r="JAU48" s="16"/>
      <c r="JAV48" s="16"/>
      <c r="JAW48" s="16"/>
      <c r="JAX48" s="16"/>
      <c r="JAY48" s="16"/>
      <c r="JAZ48" s="16"/>
      <c r="JBA48" s="16"/>
      <c r="JBB48" s="16"/>
      <c r="JBC48" s="16"/>
      <c r="JBD48" s="16"/>
      <c r="JBE48" s="16"/>
      <c r="JBF48" s="16"/>
      <c r="JBG48" s="16"/>
      <c r="JBH48" s="16"/>
      <c r="JBI48" s="16"/>
      <c r="JBJ48" s="16"/>
      <c r="JBK48" s="16"/>
      <c r="JBL48" s="16"/>
      <c r="JBM48" s="16"/>
      <c r="JBN48" s="16"/>
      <c r="JBO48" s="16"/>
      <c r="JBP48" s="16"/>
      <c r="JBQ48" s="16"/>
      <c r="JBR48" s="16"/>
      <c r="JBS48" s="16"/>
      <c r="JBT48" s="16"/>
      <c r="JBU48" s="16"/>
      <c r="JBV48" s="16"/>
      <c r="JBW48" s="16"/>
      <c r="JBX48" s="16"/>
      <c r="JBY48" s="16"/>
      <c r="JBZ48" s="16"/>
      <c r="JCA48" s="16"/>
      <c r="JCB48" s="16"/>
      <c r="JCC48" s="16"/>
      <c r="JCD48" s="16"/>
      <c r="JCE48" s="16"/>
      <c r="JCF48" s="16"/>
      <c r="JCG48" s="16"/>
      <c r="JCH48" s="16"/>
      <c r="JCI48" s="16"/>
      <c r="JCJ48" s="16"/>
      <c r="JCK48" s="16"/>
      <c r="JCL48" s="16"/>
      <c r="JCM48" s="16"/>
      <c r="JCN48" s="16"/>
      <c r="JCO48" s="16"/>
      <c r="JCP48" s="16"/>
      <c r="JCQ48" s="16"/>
      <c r="JCR48" s="16"/>
      <c r="JCS48" s="16"/>
      <c r="JCT48" s="16"/>
      <c r="JCU48" s="16"/>
      <c r="JCV48" s="16"/>
      <c r="JCW48" s="16"/>
      <c r="JCX48" s="16"/>
      <c r="JCY48" s="16"/>
      <c r="JCZ48" s="16"/>
      <c r="JDA48" s="16"/>
      <c r="JDB48" s="16"/>
      <c r="JDC48" s="16"/>
      <c r="JDD48" s="16"/>
      <c r="JDE48" s="16"/>
      <c r="JDF48" s="16"/>
      <c r="JDG48" s="16"/>
      <c r="JDH48" s="16"/>
      <c r="JDI48" s="16"/>
      <c r="JDJ48" s="16"/>
      <c r="JDK48" s="16"/>
      <c r="JDL48" s="16"/>
      <c r="JDM48" s="16"/>
      <c r="JDN48" s="16"/>
      <c r="JDO48" s="16"/>
      <c r="JDP48" s="16"/>
      <c r="JDQ48" s="16"/>
      <c r="JDR48" s="16"/>
      <c r="JDS48" s="16"/>
      <c r="JDT48" s="16"/>
      <c r="JDU48" s="16"/>
      <c r="JDV48" s="16"/>
      <c r="JDW48" s="16"/>
      <c r="JDX48" s="16"/>
      <c r="JDY48" s="16"/>
      <c r="JDZ48" s="16"/>
      <c r="JEA48" s="16"/>
      <c r="JEB48" s="16"/>
      <c r="JEC48" s="16"/>
      <c r="JED48" s="16"/>
      <c r="JEE48" s="16"/>
      <c r="JEF48" s="16"/>
      <c r="JEG48" s="16"/>
      <c r="JEH48" s="16"/>
      <c r="JEI48" s="16"/>
      <c r="JEJ48" s="16"/>
      <c r="JEK48" s="16"/>
      <c r="JEL48" s="16"/>
      <c r="JEM48" s="16"/>
      <c r="JEN48" s="16"/>
      <c r="JEO48" s="16"/>
      <c r="JEP48" s="16"/>
      <c r="JEQ48" s="16"/>
      <c r="JER48" s="16"/>
      <c r="JES48" s="16"/>
      <c r="JET48" s="16"/>
      <c r="JEU48" s="16"/>
      <c r="JEV48" s="16"/>
      <c r="JEW48" s="16"/>
      <c r="JEX48" s="16"/>
      <c r="JEY48" s="16"/>
      <c r="JEZ48" s="16"/>
      <c r="JFA48" s="16"/>
      <c r="JFB48" s="16"/>
      <c r="JFC48" s="16"/>
      <c r="JFD48" s="16"/>
      <c r="JFE48" s="16"/>
      <c r="JFF48" s="16"/>
      <c r="JFG48" s="16"/>
      <c r="JFH48" s="16"/>
      <c r="JFI48" s="16"/>
      <c r="JFJ48" s="16"/>
      <c r="JFK48" s="16"/>
      <c r="JFL48" s="16"/>
      <c r="JFM48" s="16"/>
      <c r="JFN48" s="16"/>
      <c r="JFO48" s="16"/>
      <c r="JFP48" s="16"/>
      <c r="JFQ48" s="16"/>
      <c r="JFR48" s="16"/>
      <c r="JFS48" s="16"/>
      <c r="JFT48" s="16"/>
      <c r="JFU48" s="16"/>
      <c r="JFV48" s="16"/>
      <c r="JFW48" s="16"/>
      <c r="JFX48" s="16"/>
      <c r="JFY48" s="16"/>
      <c r="JFZ48" s="16"/>
      <c r="JGA48" s="16"/>
      <c r="JGB48" s="16"/>
      <c r="JGC48" s="16"/>
      <c r="JGD48" s="16"/>
      <c r="JGE48" s="16"/>
      <c r="JGF48" s="16"/>
      <c r="JGG48" s="16"/>
      <c r="JGH48" s="16"/>
      <c r="JGI48" s="16"/>
      <c r="JGJ48" s="16"/>
      <c r="JGK48" s="16"/>
      <c r="JGL48" s="16"/>
      <c r="JGM48" s="16"/>
      <c r="JGN48" s="16"/>
      <c r="JGO48" s="16"/>
      <c r="JGP48" s="16"/>
      <c r="JGQ48" s="16"/>
      <c r="JGR48" s="16"/>
      <c r="JGS48" s="16"/>
      <c r="JGT48" s="16"/>
      <c r="JGU48" s="16"/>
      <c r="JGV48" s="16"/>
      <c r="JGW48" s="16"/>
      <c r="JGX48" s="16"/>
      <c r="JGY48" s="16"/>
      <c r="JGZ48" s="16"/>
      <c r="JHA48" s="16"/>
      <c r="JHB48" s="16"/>
      <c r="JHC48" s="16"/>
      <c r="JHD48" s="16"/>
      <c r="JHE48" s="16"/>
      <c r="JHF48" s="16"/>
      <c r="JHG48" s="16"/>
      <c r="JHH48" s="16"/>
      <c r="JHI48" s="16"/>
      <c r="JHJ48" s="16"/>
      <c r="JHK48" s="16"/>
      <c r="JHL48" s="16"/>
      <c r="JHM48" s="16"/>
      <c r="JHN48" s="16"/>
      <c r="JHO48" s="16"/>
      <c r="JHP48" s="16"/>
      <c r="JHQ48" s="16"/>
      <c r="JHR48" s="16"/>
      <c r="JHS48" s="16"/>
      <c r="JHT48" s="16"/>
      <c r="JHU48" s="16"/>
      <c r="JHV48" s="16"/>
      <c r="JHW48" s="16"/>
      <c r="JHX48" s="16"/>
      <c r="JHY48" s="16"/>
      <c r="JHZ48" s="16"/>
      <c r="JIA48" s="16"/>
      <c r="JIB48" s="16"/>
      <c r="JIC48" s="16"/>
      <c r="JID48" s="16"/>
      <c r="JIE48" s="16"/>
      <c r="JIF48" s="16"/>
      <c r="JIG48" s="16"/>
      <c r="JIH48" s="16"/>
      <c r="JII48" s="16"/>
      <c r="JIJ48" s="16"/>
      <c r="JIK48" s="16"/>
      <c r="JIL48" s="16"/>
      <c r="JIM48" s="16"/>
      <c r="JIN48" s="16"/>
      <c r="JIO48" s="16"/>
      <c r="JIP48" s="16"/>
      <c r="JIQ48" s="16"/>
      <c r="JIR48" s="16"/>
      <c r="JIS48" s="16"/>
      <c r="JIT48" s="16"/>
      <c r="JIU48" s="16"/>
      <c r="JIV48" s="16"/>
      <c r="JIW48" s="16"/>
      <c r="JIX48" s="16"/>
      <c r="JIY48" s="16"/>
      <c r="JIZ48" s="16"/>
      <c r="JJA48" s="16"/>
      <c r="JJB48" s="16"/>
      <c r="JJC48" s="16"/>
      <c r="JJD48" s="16"/>
      <c r="JJE48" s="16"/>
      <c r="JJF48" s="16"/>
      <c r="JJG48" s="16"/>
      <c r="JJH48" s="16"/>
      <c r="JJI48" s="16"/>
      <c r="JJJ48" s="16"/>
      <c r="JJK48" s="16"/>
      <c r="JJL48" s="16"/>
      <c r="JJM48" s="16"/>
      <c r="JJN48" s="16"/>
      <c r="JJO48" s="16"/>
      <c r="JJP48" s="16"/>
      <c r="JJQ48" s="16"/>
      <c r="JJR48" s="16"/>
      <c r="JJS48" s="16"/>
      <c r="JJT48" s="16"/>
      <c r="JJU48" s="16"/>
      <c r="JJV48" s="16"/>
      <c r="JJW48" s="16"/>
      <c r="JJX48" s="16"/>
      <c r="JJY48" s="16"/>
      <c r="JJZ48" s="16"/>
      <c r="JKA48" s="16"/>
      <c r="JKB48" s="16"/>
      <c r="JKC48" s="16"/>
      <c r="JKD48" s="16"/>
      <c r="JKE48" s="16"/>
      <c r="JKF48" s="16"/>
      <c r="JKG48" s="16"/>
      <c r="JKH48" s="16"/>
      <c r="JKI48" s="16"/>
      <c r="JKJ48" s="16"/>
      <c r="JKK48" s="16"/>
      <c r="JKL48" s="16"/>
      <c r="JKM48" s="16"/>
      <c r="JKN48" s="16"/>
      <c r="JKO48" s="16"/>
      <c r="JKP48" s="16"/>
      <c r="JKQ48" s="16"/>
      <c r="JKR48" s="16"/>
      <c r="JKS48" s="16"/>
      <c r="JKT48" s="16"/>
      <c r="JKU48" s="16"/>
      <c r="JKV48" s="16"/>
      <c r="JKW48" s="16"/>
      <c r="JKX48" s="16"/>
      <c r="JKY48" s="16"/>
      <c r="JKZ48" s="16"/>
      <c r="JLA48" s="16"/>
      <c r="JLB48" s="16"/>
      <c r="JLC48" s="16"/>
      <c r="JLD48" s="16"/>
      <c r="JLE48" s="16"/>
      <c r="JLF48" s="16"/>
      <c r="JLG48" s="16"/>
      <c r="JLH48" s="16"/>
      <c r="JLI48" s="16"/>
      <c r="JLJ48" s="16"/>
      <c r="JLK48" s="16"/>
      <c r="JLL48" s="16"/>
      <c r="JLM48" s="16"/>
      <c r="JLN48" s="16"/>
      <c r="JLO48" s="16"/>
      <c r="JLP48" s="16"/>
      <c r="JLQ48" s="16"/>
      <c r="JLR48" s="16"/>
      <c r="JLS48" s="16"/>
      <c r="JLT48" s="16"/>
      <c r="JLU48" s="16"/>
      <c r="JLV48" s="16"/>
      <c r="JLW48" s="16"/>
      <c r="JLX48" s="16"/>
      <c r="JLY48" s="16"/>
      <c r="JLZ48" s="16"/>
      <c r="JMA48" s="16"/>
      <c r="JMB48" s="16"/>
      <c r="JMC48" s="16"/>
      <c r="JMD48" s="16"/>
      <c r="JME48" s="16"/>
      <c r="JMF48" s="16"/>
      <c r="JMG48" s="16"/>
      <c r="JMH48" s="16"/>
      <c r="JMI48" s="16"/>
      <c r="JMJ48" s="16"/>
      <c r="JMK48" s="16"/>
      <c r="JML48" s="16"/>
      <c r="JMM48" s="16"/>
      <c r="JMN48" s="16"/>
      <c r="JMO48" s="16"/>
      <c r="JMP48" s="16"/>
      <c r="JMQ48" s="16"/>
      <c r="JMR48" s="16"/>
      <c r="JMS48" s="16"/>
      <c r="JMT48" s="16"/>
      <c r="JMU48" s="16"/>
      <c r="JMV48" s="16"/>
      <c r="JMW48" s="16"/>
      <c r="JMX48" s="16"/>
      <c r="JMY48" s="16"/>
      <c r="JMZ48" s="16"/>
      <c r="JNA48" s="16"/>
      <c r="JNB48" s="16"/>
      <c r="JNC48" s="16"/>
      <c r="JND48" s="16"/>
      <c r="JNE48" s="16"/>
      <c r="JNF48" s="16"/>
      <c r="JNG48" s="16"/>
      <c r="JNH48" s="16"/>
      <c r="JNI48" s="16"/>
      <c r="JNJ48" s="16"/>
      <c r="JNK48" s="16"/>
      <c r="JNL48" s="16"/>
      <c r="JNM48" s="16"/>
      <c r="JNN48" s="16"/>
      <c r="JNO48" s="16"/>
      <c r="JNP48" s="16"/>
      <c r="JNQ48" s="16"/>
      <c r="JNR48" s="16"/>
      <c r="JNS48" s="16"/>
      <c r="JNT48" s="16"/>
      <c r="JNU48" s="16"/>
      <c r="JNV48" s="16"/>
      <c r="JNW48" s="16"/>
      <c r="JNX48" s="16"/>
      <c r="JNY48" s="16"/>
      <c r="JNZ48" s="16"/>
      <c r="JOA48" s="16"/>
      <c r="JOB48" s="16"/>
      <c r="JOC48" s="16"/>
      <c r="JOD48" s="16"/>
      <c r="JOE48" s="16"/>
      <c r="JOF48" s="16"/>
      <c r="JOG48" s="16"/>
      <c r="JOH48" s="16"/>
      <c r="JOI48" s="16"/>
      <c r="JOJ48" s="16"/>
      <c r="JOK48" s="16"/>
      <c r="JOL48" s="16"/>
      <c r="JOM48" s="16"/>
      <c r="JON48" s="16"/>
      <c r="JOO48" s="16"/>
      <c r="JOP48" s="16"/>
      <c r="JOQ48" s="16"/>
      <c r="JOR48" s="16"/>
      <c r="JOS48" s="16"/>
      <c r="JOT48" s="16"/>
      <c r="JOU48" s="16"/>
      <c r="JOV48" s="16"/>
      <c r="JOW48" s="16"/>
      <c r="JOX48" s="16"/>
      <c r="JOY48" s="16"/>
      <c r="JOZ48" s="16"/>
      <c r="JPA48" s="16"/>
      <c r="JPB48" s="16"/>
      <c r="JPC48" s="16"/>
      <c r="JPD48" s="16"/>
      <c r="JPE48" s="16"/>
      <c r="JPF48" s="16"/>
      <c r="JPG48" s="16"/>
      <c r="JPH48" s="16"/>
      <c r="JPI48" s="16"/>
      <c r="JPJ48" s="16"/>
      <c r="JPK48" s="16"/>
      <c r="JPL48" s="16"/>
      <c r="JPM48" s="16"/>
      <c r="JPN48" s="16"/>
      <c r="JPO48" s="16"/>
      <c r="JPP48" s="16"/>
      <c r="JPQ48" s="16"/>
      <c r="JPR48" s="16"/>
      <c r="JPS48" s="16"/>
      <c r="JPT48" s="16"/>
      <c r="JPU48" s="16"/>
      <c r="JPV48" s="16"/>
      <c r="JPW48" s="16"/>
      <c r="JPX48" s="16"/>
      <c r="JPY48" s="16"/>
      <c r="JPZ48" s="16"/>
      <c r="JQA48" s="16"/>
      <c r="JQB48" s="16"/>
      <c r="JQC48" s="16"/>
      <c r="JQD48" s="16"/>
      <c r="JQE48" s="16"/>
      <c r="JQF48" s="16"/>
      <c r="JQG48" s="16"/>
      <c r="JQH48" s="16"/>
      <c r="JQI48" s="16"/>
      <c r="JQJ48" s="16"/>
      <c r="JQK48" s="16"/>
      <c r="JQL48" s="16"/>
      <c r="JQM48" s="16"/>
      <c r="JQN48" s="16"/>
      <c r="JQO48" s="16"/>
      <c r="JQP48" s="16"/>
      <c r="JQQ48" s="16"/>
      <c r="JQR48" s="16"/>
      <c r="JQS48" s="16"/>
      <c r="JQT48" s="16"/>
      <c r="JQU48" s="16"/>
      <c r="JQV48" s="16"/>
      <c r="JQW48" s="16"/>
      <c r="JQX48" s="16"/>
      <c r="JQY48" s="16"/>
      <c r="JQZ48" s="16"/>
      <c r="JRA48" s="16"/>
      <c r="JRB48" s="16"/>
      <c r="JRC48" s="16"/>
      <c r="JRD48" s="16"/>
      <c r="JRE48" s="16"/>
      <c r="JRF48" s="16"/>
      <c r="JRG48" s="16"/>
      <c r="JRH48" s="16"/>
      <c r="JRI48" s="16"/>
      <c r="JRJ48" s="16"/>
      <c r="JRK48" s="16"/>
      <c r="JRL48" s="16"/>
      <c r="JRM48" s="16"/>
      <c r="JRN48" s="16"/>
      <c r="JRO48" s="16"/>
      <c r="JRP48" s="16"/>
      <c r="JRQ48" s="16"/>
      <c r="JRR48" s="16"/>
      <c r="JRS48" s="16"/>
      <c r="JRT48" s="16"/>
      <c r="JRU48" s="16"/>
      <c r="JRV48" s="16"/>
      <c r="JRW48" s="16"/>
      <c r="JRX48" s="16"/>
      <c r="JRY48" s="16"/>
      <c r="JRZ48" s="16"/>
      <c r="JSA48" s="16"/>
      <c r="JSB48" s="16"/>
      <c r="JSC48" s="16"/>
      <c r="JSD48" s="16"/>
      <c r="JSE48" s="16"/>
      <c r="JSF48" s="16"/>
      <c r="JSG48" s="16"/>
      <c r="JSH48" s="16"/>
      <c r="JSI48" s="16"/>
      <c r="JSJ48" s="16"/>
      <c r="JSK48" s="16"/>
      <c r="JSL48" s="16"/>
      <c r="JSM48" s="16"/>
      <c r="JSN48" s="16"/>
      <c r="JSO48" s="16"/>
      <c r="JSP48" s="16"/>
      <c r="JSQ48" s="16"/>
      <c r="JSR48" s="16"/>
      <c r="JSS48" s="16"/>
      <c r="JST48" s="16"/>
      <c r="JSU48" s="16"/>
      <c r="JSV48" s="16"/>
      <c r="JSW48" s="16"/>
      <c r="JSX48" s="16"/>
      <c r="JSY48" s="16"/>
      <c r="JSZ48" s="16"/>
      <c r="JTA48" s="16"/>
      <c r="JTB48" s="16"/>
      <c r="JTC48" s="16"/>
      <c r="JTD48" s="16"/>
      <c r="JTE48" s="16"/>
      <c r="JTF48" s="16"/>
      <c r="JTG48" s="16"/>
      <c r="JTH48" s="16"/>
      <c r="JTI48" s="16"/>
      <c r="JTJ48" s="16"/>
      <c r="JTK48" s="16"/>
      <c r="JTL48" s="16"/>
      <c r="JTM48" s="16"/>
      <c r="JTN48" s="16"/>
      <c r="JTO48" s="16"/>
      <c r="JTP48" s="16"/>
      <c r="JTQ48" s="16"/>
      <c r="JTR48" s="16"/>
      <c r="JTS48" s="16"/>
      <c r="JTT48" s="16"/>
      <c r="JTU48" s="16"/>
      <c r="JTV48" s="16"/>
      <c r="JTW48" s="16"/>
      <c r="JTX48" s="16"/>
      <c r="JTY48" s="16"/>
      <c r="JTZ48" s="16"/>
      <c r="JUA48" s="16"/>
      <c r="JUB48" s="16"/>
      <c r="JUC48" s="16"/>
      <c r="JUD48" s="16"/>
      <c r="JUE48" s="16"/>
      <c r="JUF48" s="16"/>
      <c r="JUG48" s="16"/>
      <c r="JUH48" s="16"/>
      <c r="JUI48" s="16"/>
      <c r="JUJ48" s="16"/>
      <c r="JUK48" s="16"/>
      <c r="JUL48" s="16"/>
      <c r="JUM48" s="16"/>
      <c r="JUN48" s="16"/>
      <c r="JUO48" s="16"/>
      <c r="JUP48" s="16"/>
      <c r="JUQ48" s="16"/>
      <c r="JUR48" s="16"/>
      <c r="JUS48" s="16"/>
      <c r="JUT48" s="16"/>
      <c r="JUU48" s="16"/>
      <c r="JUV48" s="16"/>
      <c r="JUW48" s="16"/>
      <c r="JUX48" s="16"/>
      <c r="JUY48" s="16"/>
      <c r="JUZ48" s="16"/>
      <c r="JVA48" s="16"/>
      <c r="JVB48" s="16"/>
      <c r="JVC48" s="16"/>
      <c r="JVD48" s="16"/>
      <c r="JVE48" s="16"/>
      <c r="JVF48" s="16"/>
      <c r="JVG48" s="16"/>
      <c r="JVH48" s="16"/>
      <c r="JVI48" s="16"/>
      <c r="JVJ48" s="16"/>
      <c r="JVK48" s="16"/>
      <c r="JVL48" s="16"/>
      <c r="JVM48" s="16"/>
      <c r="JVN48" s="16"/>
      <c r="JVO48" s="16"/>
      <c r="JVP48" s="16"/>
      <c r="JVQ48" s="16"/>
      <c r="JVR48" s="16"/>
      <c r="JVS48" s="16"/>
      <c r="JVT48" s="16"/>
      <c r="JVU48" s="16"/>
      <c r="JVV48" s="16"/>
      <c r="JVW48" s="16"/>
      <c r="JVX48" s="16"/>
      <c r="JVY48" s="16"/>
      <c r="JVZ48" s="16"/>
      <c r="JWA48" s="16"/>
      <c r="JWB48" s="16"/>
      <c r="JWC48" s="16"/>
      <c r="JWD48" s="16"/>
      <c r="JWE48" s="16"/>
      <c r="JWF48" s="16"/>
      <c r="JWG48" s="16"/>
      <c r="JWH48" s="16"/>
      <c r="JWI48" s="16"/>
      <c r="JWJ48" s="16"/>
      <c r="JWK48" s="16"/>
      <c r="JWL48" s="16"/>
      <c r="JWM48" s="16"/>
      <c r="JWN48" s="16"/>
      <c r="JWO48" s="16"/>
      <c r="JWP48" s="16"/>
      <c r="JWQ48" s="16"/>
      <c r="JWR48" s="16"/>
      <c r="JWS48" s="16"/>
      <c r="JWT48" s="16"/>
      <c r="JWU48" s="16"/>
      <c r="JWV48" s="16"/>
      <c r="JWW48" s="16"/>
      <c r="JWX48" s="16"/>
      <c r="JWY48" s="16"/>
      <c r="JWZ48" s="16"/>
      <c r="JXA48" s="16"/>
      <c r="JXB48" s="16"/>
      <c r="JXC48" s="16"/>
      <c r="JXD48" s="16"/>
      <c r="JXE48" s="16"/>
      <c r="JXF48" s="16"/>
      <c r="JXG48" s="16"/>
      <c r="JXH48" s="16"/>
      <c r="JXI48" s="16"/>
      <c r="JXJ48" s="16"/>
      <c r="JXK48" s="16"/>
      <c r="JXL48" s="16"/>
      <c r="JXM48" s="16"/>
      <c r="JXN48" s="16"/>
      <c r="JXO48" s="16"/>
      <c r="JXP48" s="16"/>
      <c r="JXQ48" s="16"/>
      <c r="JXR48" s="16"/>
      <c r="JXS48" s="16"/>
      <c r="JXT48" s="16"/>
      <c r="JXU48" s="16"/>
      <c r="JXV48" s="16"/>
      <c r="JXW48" s="16"/>
      <c r="JXX48" s="16"/>
      <c r="JXY48" s="16"/>
      <c r="JXZ48" s="16"/>
      <c r="JYA48" s="16"/>
      <c r="JYB48" s="16"/>
      <c r="JYC48" s="16"/>
      <c r="JYD48" s="16"/>
      <c r="JYE48" s="16"/>
      <c r="JYF48" s="16"/>
      <c r="JYG48" s="16"/>
      <c r="JYH48" s="16"/>
      <c r="JYI48" s="16"/>
      <c r="JYJ48" s="16"/>
      <c r="JYK48" s="16"/>
      <c r="JYL48" s="16"/>
      <c r="JYM48" s="16"/>
      <c r="JYN48" s="16"/>
      <c r="JYO48" s="16"/>
      <c r="JYP48" s="16"/>
      <c r="JYQ48" s="16"/>
      <c r="JYR48" s="16"/>
      <c r="JYS48" s="16"/>
      <c r="JYT48" s="16"/>
      <c r="JYU48" s="16"/>
      <c r="JYV48" s="16"/>
      <c r="JYW48" s="16"/>
      <c r="JYX48" s="16"/>
      <c r="JYY48" s="16"/>
      <c r="JYZ48" s="16"/>
      <c r="JZA48" s="16"/>
      <c r="JZB48" s="16"/>
      <c r="JZC48" s="16"/>
      <c r="JZD48" s="16"/>
      <c r="JZE48" s="16"/>
      <c r="JZF48" s="16"/>
      <c r="JZG48" s="16"/>
      <c r="JZH48" s="16"/>
      <c r="JZI48" s="16"/>
      <c r="JZJ48" s="16"/>
      <c r="JZK48" s="16"/>
      <c r="JZL48" s="16"/>
      <c r="JZM48" s="16"/>
      <c r="JZN48" s="16"/>
      <c r="JZO48" s="16"/>
      <c r="JZP48" s="16"/>
      <c r="JZQ48" s="16"/>
      <c r="JZR48" s="16"/>
      <c r="JZS48" s="16"/>
      <c r="JZT48" s="16"/>
      <c r="JZU48" s="16"/>
      <c r="JZV48" s="16"/>
      <c r="JZW48" s="16"/>
      <c r="JZX48" s="16"/>
      <c r="JZY48" s="16"/>
      <c r="JZZ48" s="16"/>
      <c r="KAA48" s="16"/>
      <c r="KAB48" s="16"/>
      <c r="KAC48" s="16"/>
      <c r="KAD48" s="16"/>
      <c r="KAE48" s="16"/>
      <c r="KAF48" s="16"/>
      <c r="KAG48" s="16"/>
      <c r="KAH48" s="16"/>
      <c r="KAI48" s="16"/>
      <c r="KAJ48" s="16"/>
      <c r="KAK48" s="16"/>
      <c r="KAL48" s="16"/>
      <c r="KAM48" s="16"/>
      <c r="KAN48" s="16"/>
      <c r="KAO48" s="16"/>
      <c r="KAP48" s="16"/>
      <c r="KAQ48" s="16"/>
      <c r="KAR48" s="16"/>
      <c r="KAS48" s="16"/>
      <c r="KAT48" s="16"/>
      <c r="KAU48" s="16"/>
      <c r="KAV48" s="16"/>
      <c r="KAW48" s="16"/>
      <c r="KAX48" s="16"/>
      <c r="KAY48" s="16"/>
      <c r="KAZ48" s="16"/>
      <c r="KBA48" s="16"/>
      <c r="KBB48" s="16"/>
      <c r="KBC48" s="16"/>
      <c r="KBD48" s="16"/>
      <c r="KBE48" s="16"/>
      <c r="KBF48" s="16"/>
      <c r="KBG48" s="16"/>
      <c r="KBH48" s="16"/>
      <c r="KBI48" s="16"/>
      <c r="KBJ48" s="16"/>
      <c r="KBK48" s="16"/>
      <c r="KBL48" s="16"/>
      <c r="KBM48" s="16"/>
      <c r="KBN48" s="16"/>
      <c r="KBO48" s="16"/>
      <c r="KBP48" s="16"/>
      <c r="KBQ48" s="16"/>
      <c r="KBR48" s="16"/>
      <c r="KBS48" s="16"/>
      <c r="KBT48" s="16"/>
      <c r="KBU48" s="16"/>
      <c r="KBV48" s="16"/>
      <c r="KBW48" s="16"/>
      <c r="KBX48" s="16"/>
      <c r="KBY48" s="16"/>
      <c r="KBZ48" s="16"/>
      <c r="KCA48" s="16"/>
      <c r="KCB48" s="16"/>
      <c r="KCC48" s="16"/>
      <c r="KCD48" s="16"/>
      <c r="KCE48" s="16"/>
      <c r="KCF48" s="16"/>
      <c r="KCG48" s="16"/>
      <c r="KCH48" s="16"/>
      <c r="KCI48" s="16"/>
      <c r="KCJ48" s="16"/>
      <c r="KCK48" s="16"/>
      <c r="KCL48" s="16"/>
      <c r="KCM48" s="16"/>
      <c r="KCN48" s="16"/>
      <c r="KCO48" s="16"/>
      <c r="KCP48" s="16"/>
      <c r="KCQ48" s="16"/>
      <c r="KCR48" s="16"/>
      <c r="KCS48" s="16"/>
      <c r="KCT48" s="16"/>
      <c r="KCU48" s="16"/>
      <c r="KCV48" s="16"/>
      <c r="KCW48" s="16"/>
      <c r="KCX48" s="16"/>
      <c r="KCY48" s="16"/>
      <c r="KCZ48" s="16"/>
      <c r="KDA48" s="16"/>
      <c r="KDB48" s="16"/>
      <c r="KDC48" s="16"/>
      <c r="KDD48" s="16"/>
      <c r="KDE48" s="16"/>
      <c r="KDF48" s="16"/>
      <c r="KDG48" s="16"/>
      <c r="KDH48" s="16"/>
      <c r="KDI48" s="16"/>
      <c r="KDJ48" s="16"/>
      <c r="KDK48" s="16"/>
      <c r="KDL48" s="16"/>
      <c r="KDM48" s="16"/>
      <c r="KDN48" s="16"/>
      <c r="KDO48" s="16"/>
      <c r="KDP48" s="16"/>
      <c r="KDQ48" s="16"/>
      <c r="KDR48" s="16"/>
      <c r="KDS48" s="16"/>
      <c r="KDT48" s="16"/>
      <c r="KDU48" s="16"/>
      <c r="KDV48" s="16"/>
      <c r="KDW48" s="16"/>
      <c r="KDX48" s="16"/>
      <c r="KDY48" s="16"/>
      <c r="KDZ48" s="16"/>
      <c r="KEA48" s="16"/>
      <c r="KEB48" s="16"/>
      <c r="KEC48" s="16"/>
      <c r="KED48" s="16"/>
      <c r="KEE48" s="16"/>
      <c r="KEF48" s="16"/>
      <c r="KEG48" s="16"/>
      <c r="KEH48" s="16"/>
      <c r="KEI48" s="16"/>
      <c r="KEJ48" s="16"/>
      <c r="KEK48" s="16"/>
      <c r="KEL48" s="16"/>
      <c r="KEM48" s="16"/>
      <c r="KEN48" s="16"/>
      <c r="KEO48" s="16"/>
      <c r="KEP48" s="16"/>
      <c r="KEQ48" s="16"/>
      <c r="KER48" s="16"/>
      <c r="KES48" s="16"/>
      <c r="KET48" s="16"/>
      <c r="KEU48" s="16"/>
      <c r="KEV48" s="16"/>
      <c r="KEW48" s="16"/>
      <c r="KEX48" s="16"/>
      <c r="KEY48" s="16"/>
      <c r="KEZ48" s="16"/>
      <c r="KFA48" s="16"/>
      <c r="KFB48" s="16"/>
      <c r="KFC48" s="16"/>
      <c r="KFD48" s="16"/>
      <c r="KFE48" s="16"/>
      <c r="KFF48" s="16"/>
      <c r="KFG48" s="16"/>
      <c r="KFH48" s="16"/>
      <c r="KFI48" s="16"/>
      <c r="KFJ48" s="16"/>
      <c r="KFK48" s="16"/>
      <c r="KFL48" s="16"/>
      <c r="KFM48" s="16"/>
      <c r="KFN48" s="16"/>
      <c r="KFO48" s="16"/>
      <c r="KFP48" s="16"/>
      <c r="KFQ48" s="16"/>
      <c r="KFR48" s="16"/>
      <c r="KFS48" s="16"/>
      <c r="KFT48" s="16"/>
      <c r="KFU48" s="16"/>
      <c r="KFV48" s="16"/>
      <c r="KFW48" s="16"/>
      <c r="KFX48" s="16"/>
      <c r="KFY48" s="16"/>
      <c r="KFZ48" s="16"/>
      <c r="KGA48" s="16"/>
      <c r="KGB48" s="16"/>
      <c r="KGC48" s="16"/>
      <c r="KGD48" s="16"/>
      <c r="KGE48" s="16"/>
      <c r="KGF48" s="16"/>
      <c r="KGG48" s="16"/>
      <c r="KGH48" s="16"/>
      <c r="KGI48" s="16"/>
      <c r="KGJ48" s="16"/>
      <c r="KGK48" s="16"/>
      <c r="KGL48" s="16"/>
      <c r="KGM48" s="16"/>
      <c r="KGN48" s="16"/>
      <c r="KGO48" s="16"/>
      <c r="KGP48" s="16"/>
      <c r="KGQ48" s="16"/>
      <c r="KGR48" s="16"/>
      <c r="KGS48" s="16"/>
      <c r="KGT48" s="16"/>
      <c r="KGU48" s="16"/>
      <c r="KGV48" s="16"/>
      <c r="KGW48" s="16"/>
      <c r="KGX48" s="16"/>
      <c r="KGY48" s="16"/>
      <c r="KGZ48" s="16"/>
      <c r="KHA48" s="16"/>
      <c r="KHB48" s="16"/>
      <c r="KHC48" s="16"/>
      <c r="KHD48" s="16"/>
      <c r="KHE48" s="16"/>
      <c r="KHF48" s="16"/>
      <c r="KHG48" s="16"/>
      <c r="KHH48" s="16"/>
      <c r="KHI48" s="16"/>
      <c r="KHJ48" s="16"/>
      <c r="KHK48" s="16"/>
      <c r="KHL48" s="16"/>
      <c r="KHM48" s="16"/>
      <c r="KHN48" s="16"/>
      <c r="KHO48" s="16"/>
      <c r="KHP48" s="16"/>
      <c r="KHQ48" s="16"/>
      <c r="KHR48" s="16"/>
      <c r="KHS48" s="16"/>
      <c r="KHT48" s="16"/>
      <c r="KHU48" s="16"/>
      <c r="KHV48" s="16"/>
      <c r="KHW48" s="16"/>
      <c r="KHX48" s="16"/>
      <c r="KHY48" s="16"/>
      <c r="KHZ48" s="16"/>
      <c r="KIA48" s="16"/>
      <c r="KIB48" s="16"/>
      <c r="KIC48" s="16"/>
      <c r="KID48" s="16"/>
      <c r="KIE48" s="16"/>
      <c r="KIF48" s="16"/>
      <c r="KIG48" s="16"/>
      <c r="KIH48" s="16"/>
      <c r="KII48" s="16"/>
      <c r="KIJ48" s="16"/>
      <c r="KIK48" s="16"/>
      <c r="KIL48" s="16"/>
      <c r="KIM48" s="16"/>
      <c r="KIN48" s="16"/>
      <c r="KIO48" s="16"/>
      <c r="KIP48" s="16"/>
      <c r="KIQ48" s="16"/>
      <c r="KIR48" s="16"/>
      <c r="KIS48" s="16"/>
      <c r="KIT48" s="16"/>
      <c r="KIU48" s="16"/>
      <c r="KIV48" s="16"/>
      <c r="KIW48" s="16"/>
      <c r="KIX48" s="16"/>
      <c r="KIY48" s="16"/>
      <c r="KIZ48" s="16"/>
      <c r="KJA48" s="16"/>
      <c r="KJB48" s="16"/>
      <c r="KJC48" s="16"/>
      <c r="KJD48" s="16"/>
      <c r="KJE48" s="16"/>
      <c r="KJF48" s="16"/>
      <c r="KJG48" s="16"/>
      <c r="KJH48" s="16"/>
      <c r="KJI48" s="16"/>
      <c r="KJJ48" s="16"/>
      <c r="KJK48" s="16"/>
      <c r="KJL48" s="16"/>
      <c r="KJM48" s="16"/>
      <c r="KJN48" s="16"/>
      <c r="KJO48" s="16"/>
      <c r="KJP48" s="16"/>
      <c r="KJQ48" s="16"/>
      <c r="KJR48" s="16"/>
      <c r="KJS48" s="16"/>
      <c r="KJT48" s="16"/>
      <c r="KJU48" s="16"/>
      <c r="KJV48" s="16"/>
      <c r="KJW48" s="16"/>
      <c r="KJX48" s="16"/>
      <c r="KJY48" s="16"/>
      <c r="KJZ48" s="16"/>
      <c r="KKA48" s="16"/>
      <c r="KKB48" s="16"/>
      <c r="KKC48" s="16"/>
      <c r="KKD48" s="16"/>
      <c r="KKE48" s="16"/>
      <c r="KKF48" s="16"/>
      <c r="KKG48" s="16"/>
      <c r="KKH48" s="16"/>
      <c r="KKI48" s="16"/>
      <c r="KKJ48" s="16"/>
      <c r="KKK48" s="16"/>
      <c r="KKL48" s="16"/>
      <c r="KKM48" s="16"/>
      <c r="KKN48" s="16"/>
      <c r="KKO48" s="16"/>
      <c r="KKP48" s="16"/>
      <c r="KKQ48" s="16"/>
      <c r="KKR48" s="16"/>
      <c r="KKS48" s="16"/>
      <c r="KKT48" s="16"/>
      <c r="KKU48" s="16"/>
      <c r="KKV48" s="16"/>
      <c r="KKW48" s="16"/>
      <c r="KKX48" s="16"/>
      <c r="KKY48" s="16"/>
      <c r="KKZ48" s="16"/>
      <c r="KLA48" s="16"/>
      <c r="KLB48" s="16"/>
      <c r="KLC48" s="16"/>
      <c r="KLD48" s="16"/>
      <c r="KLE48" s="16"/>
      <c r="KLF48" s="16"/>
      <c r="KLG48" s="16"/>
      <c r="KLH48" s="16"/>
      <c r="KLI48" s="16"/>
      <c r="KLJ48" s="16"/>
      <c r="KLK48" s="16"/>
      <c r="KLL48" s="16"/>
      <c r="KLM48" s="16"/>
      <c r="KLN48" s="16"/>
      <c r="KLO48" s="16"/>
      <c r="KLP48" s="16"/>
      <c r="KLQ48" s="16"/>
      <c r="KLR48" s="16"/>
      <c r="KLS48" s="16"/>
      <c r="KLT48" s="16"/>
      <c r="KLU48" s="16"/>
      <c r="KLV48" s="16"/>
      <c r="KLW48" s="16"/>
      <c r="KLX48" s="16"/>
      <c r="KLY48" s="16"/>
      <c r="KLZ48" s="16"/>
      <c r="KMA48" s="16"/>
      <c r="KMB48" s="16"/>
      <c r="KMC48" s="16"/>
      <c r="KMD48" s="16"/>
      <c r="KME48" s="16"/>
      <c r="KMF48" s="16"/>
      <c r="KMG48" s="16"/>
      <c r="KMH48" s="16"/>
      <c r="KMI48" s="16"/>
      <c r="KMJ48" s="16"/>
      <c r="KMK48" s="16"/>
      <c r="KML48" s="16"/>
      <c r="KMM48" s="16"/>
      <c r="KMN48" s="16"/>
      <c r="KMO48" s="16"/>
      <c r="KMP48" s="16"/>
      <c r="KMQ48" s="16"/>
      <c r="KMR48" s="16"/>
      <c r="KMS48" s="16"/>
      <c r="KMT48" s="16"/>
      <c r="KMU48" s="16"/>
      <c r="KMV48" s="16"/>
      <c r="KMW48" s="16"/>
      <c r="KMX48" s="16"/>
      <c r="KMY48" s="16"/>
      <c r="KMZ48" s="16"/>
      <c r="KNA48" s="16"/>
      <c r="KNB48" s="16"/>
      <c r="KNC48" s="16"/>
      <c r="KND48" s="16"/>
      <c r="KNE48" s="16"/>
      <c r="KNF48" s="16"/>
      <c r="KNG48" s="16"/>
      <c r="KNH48" s="16"/>
      <c r="KNI48" s="16"/>
      <c r="KNJ48" s="16"/>
      <c r="KNK48" s="16"/>
      <c r="KNL48" s="16"/>
      <c r="KNM48" s="16"/>
      <c r="KNN48" s="16"/>
      <c r="KNO48" s="16"/>
      <c r="KNP48" s="16"/>
      <c r="KNQ48" s="16"/>
      <c r="KNR48" s="16"/>
      <c r="KNS48" s="16"/>
      <c r="KNT48" s="16"/>
      <c r="KNU48" s="16"/>
      <c r="KNV48" s="16"/>
      <c r="KNW48" s="16"/>
      <c r="KNX48" s="16"/>
      <c r="KNY48" s="16"/>
      <c r="KNZ48" s="16"/>
      <c r="KOA48" s="16"/>
      <c r="KOB48" s="16"/>
      <c r="KOC48" s="16"/>
      <c r="KOD48" s="16"/>
      <c r="KOE48" s="16"/>
      <c r="KOF48" s="16"/>
      <c r="KOG48" s="16"/>
      <c r="KOH48" s="16"/>
      <c r="KOI48" s="16"/>
      <c r="KOJ48" s="16"/>
      <c r="KOK48" s="16"/>
      <c r="KOL48" s="16"/>
      <c r="KOM48" s="16"/>
      <c r="KON48" s="16"/>
      <c r="KOO48" s="16"/>
      <c r="KOP48" s="16"/>
      <c r="KOQ48" s="16"/>
      <c r="KOR48" s="16"/>
      <c r="KOS48" s="16"/>
      <c r="KOT48" s="16"/>
      <c r="KOU48" s="16"/>
      <c r="KOV48" s="16"/>
      <c r="KOW48" s="16"/>
      <c r="KOX48" s="16"/>
      <c r="KOY48" s="16"/>
      <c r="KOZ48" s="16"/>
      <c r="KPA48" s="16"/>
      <c r="KPB48" s="16"/>
      <c r="KPC48" s="16"/>
      <c r="KPD48" s="16"/>
      <c r="KPE48" s="16"/>
      <c r="KPF48" s="16"/>
      <c r="KPG48" s="16"/>
      <c r="KPH48" s="16"/>
      <c r="KPI48" s="16"/>
      <c r="KPJ48" s="16"/>
      <c r="KPK48" s="16"/>
      <c r="KPL48" s="16"/>
      <c r="KPM48" s="16"/>
      <c r="KPN48" s="16"/>
      <c r="KPO48" s="16"/>
      <c r="KPP48" s="16"/>
      <c r="KPQ48" s="16"/>
      <c r="KPR48" s="16"/>
      <c r="KPS48" s="16"/>
      <c r="KPT48" s="16"/>
      <c r="KPU48" s="16"/>
      <c r="KPV48" s="16"/>
      <c r="KPW48" s="16"/>
      <c r="KPX48" s="16"/>
      <c r="KPY48" s="16"/>
      <c r="KPZ48" s="16"/>
      <c r="KQA48" s="16"/>
      <c r="KQB48" s="16"/>
      <c r="KQC48" s="16"/>
      <c r="KQD48" s="16"/>
      <c r="KQE48" s="16"/>
      <c r="KQF48" s="16"/>
      <c r="KQG48" s="16"/>
      <c r="KQH48" s="16"/>
      <c r="KQI48" s="16"/>
      <c r="KQJ48" s="16"/>
      <c r="KQK48" s="16"/>
      <c r="KQL48" s="16"/>
      <c r="KQM48" s="16"/>
      <c r="KQN48" s="16"/>
      <c r="KQO48" s="16"/>
      <c r="KQP48" s="16"/>
      <c r="KQQ48" s="16"/>
      <c r="KQR48" s="16"/>
      <c r="KQS48" s="16"/>
      <c r="KQT48" s="16"/>
      <c r="KQU48" s="16"/>
      <c r="KQV48" s="16"/>
      <c r="KQW48" s="16"/>
      <c r="KQX48" s="16"/>
      <c r="KQY48" s="16"/>
      <c r="KQZ48" s="16"/>
      <c r="KRA48" s="16"/>
      <c r="KRB48" s="16"/>
      <c r="KRC48" s="16"/>
      <c r="KRD48" s="16"/>
      <c r="KRE48" s="16"/>
      <c r="KRF48" s="16"/>
      <c r="KRG48" s="16"/>
      <c r="KRH48" s="16"/>
      <c r="KRI48" s="16"/>
      <c r="KRJ48" s="16"/>
      <c r="KRK48" s="16"/>
      <c r="KRL48" s="16"/>
      <c r="KRM48" s="16"/>
      <c r="KRN48" s="16"/>
      <c r="KRO48" s="16"/>
      <c r="KRP48" s="16"/>
      <c r="KRQ48" s="16"/>
      <c r="KRR48" s="16"/>
      <c r="KRS48" s="16"/>
      <c r="KRT48" s="16"/>
      <c r="KRU48" s="16"/>
      <c r="KRV48" s="16"/>
      <c r="KRW48" s="16"/>
      <c r="KRX48" s="16"/>
      <c r="KRY48" s="16"/>
      <c r="KRZ48" s="16"/>
      <c r="KSA48" s="16"/>
      <c r="KSB48" s="16"/>
      <c r="KSC48" s="16"/>
      <c r="KSD48" s="16"/>
      <c r="KSE48" s="16"/>
      <c r="KSF48" s="16"/>
      <c r="KSG48" s="16"/>
      <c r="KSH48" s="16"/>
      <c r="KSI48" s="16"/>
      <c r="KSJ48" s="16"/>
      <c r="KSK48" s="16"/>
      <c r="KSL48" s="16"/>
      <c r="KSM48" s="16"/>
      <c r="KSN48" s="16"/>
      <c r="KSO48" s="16"/>
      <c r="KSP48" s="16"/>
      <c r="KSQ48" s="16"/>
      <c r="KSR48" s="16"/>
      <c r="KSS48" s="16"/>
      <c r="KST48" s="16"/>
      <c r="KSU48" s="16"/>
      <c r="KSV48" s="16"/>
      <c r="KSW48" s="16"/>
      <c r="KSX48" s="16"/>
      <c r="KSY48" s="16"/>
      <c r="KSZ48" s="16"/>
      <c r="KTA48" s="16"/>
      <c r="KTB48" s="16"/>
      <c r="KTC48" s="16"/>
      <c r="KTD48" s="16"/>
      <c r="KTE48" s="16"/>
      <c r="KTF48" s="16"/>
      <c r="KTG48" s="16"/>
      <c r="KTH48" s="16"/>
      <c r="KTI48" s="16"/>
      <c r="KTJ48" s="16"/>
      <c r="KTK48" s="16"/>
      <c r="KTL48" s="16"/>
      <c r="KTM48" s="16"/>
      <c r="KTN48" s="16"/>
      <c r="KTO48" s="16"/>
      <c r="KTP48" s="16"/>
      <c r="KTQ48" s="16"/>
      <c r="KTR48" s="16"/>
      <c r="KTS48" s="16"/>
      <c r="KTT48" s="16"/>
      <c r="KTU48" s="16"/>
      <c r="KTV48" s="16"/>
      <c r="KTW48" s="16"/>
      <c r="KTX48" s="16"/>
      <c r="KTY48" s="16"/>
      <c r="KTZ48" s="16"/>
      <c r="KUA48" s="16"/>
      <c r="KUB48" s="16"/>
      <c r="KUC48" s="16"/>
      <c r="KUD48" s="16"/>
      <c r="KUE48" s="16"/>
      <c r="KUF48" s="16"/>
      <c r="KUG48" s="16"/>
      <c r="KUH48" s="16"/>
      <c r="KUI48" s="16"/>
      <c r="KUJ48" s="16"/>
      <c r="KUK48" s="16"/>
      <c r="KUL48" s="16"/>
      <c r="KUM48" s="16"/>
      <c r="KUN48" s="16"/>
      <c r="KUO48" s="16"/>
      <c r="KUP48" s="16"/>
      <c r="KUQ48" s="16"/>
      <c r="KUR48" s="16"/>
      <c r="KUS48" s="16"/>
      <c r="KUT48" s="16"/>
      <c r="KUU48" s="16"/>
      <c r="KUV48" s="16"/>
      <c r="KUW48" s="16"/>
      <c r="KUX48" s="16"/>
      <c r="KUY48" s="16"/>
      <c r="KUZ48" s="16"/>
      <c r="KVA48" s="16"/>
      <c r="KVB48" s="16"/>
      <c r="KVC48" s="16"/>
      <c r="KVD48" s="16"/>
      <c r="KVE48" s="16"/>
      <c r="KVF48" s="16"/>
      <c r="KVG48" s="16"/>
      <c r="KVH48" s="16"/>
      <c r="KVI48" s="16"/>
      <c r="KVJ48" s="16"/>
      <c r="KVK48" s="16"/>
      <c r="KVL48" s="16"/>
      <c r="KVM48" s="16"/>
      <c r="KVN48" s="16"/>
      <c r="KVO48" s="16"/>
      <c r="KVP48" s="16"/>
      <c r="KVQ48" s="16"/>
      <c r="KVR48" s="16"/>
      <c r="KVS48" s="16"/>
      <c r="KVT48" s="16"/>
      <c r="KVU48" s="16"/>
      <c r="KVV48" s="16"/>
      <c r="KVW48" s="16"/>
      <c r="KVX48" s="16"/>
      <c r="KVY48" s="16"/>
      <c r="KVZ48" s="16"/>
      <c r="KWA48" s="16"/>
      <c r="KWB48" s="16"/>
      <c r="KWC48" s="16"/>
      <c r="KWD48" s="16"/>
      <c r="KWE48" s="16"/>
      <c r="KWF48" s="16"/>
      <c r="KWG48" s="16"/>
      <c r="KWH48" s="16"/>
      <c r="KWI48" s="16"/>
      <c r="KWJ48" s="16"/>
      <c r="KWK48" s="16"/>
      <c r="KWL48" s="16"/>
      <c r="KWM48" s="16"/>
      <c r="KWN48" s="16"/>
      <c r="KWO48" s="16"/>
      <c r="KWP48" s="16"/>
      <c r="KWQ48" s="16"/>
      <c r="KWR48" s="16"/>
      <c r="KWS48" s="16"/>
      <c r="KWT48" s="16"/>
      <c r="KWU48" s="16"/>
      <c r="KWV48" s="16"/>
      <c r="KWW48" s="16"/>
      <c r="KWX48" s="16"/>
      <c r="KWY48" s="16"/>
      <c r="KWZ48" s="16"/>
      <c r="KXA48" s="16"/>
      <c r="KXB48" s="16"/>
      <c r="KXC48" s="16"/>
      <c r="KXD48" s="16"/>
      <c r="KXE48" s="16"/>
      <c r="KXF48" s="16"/>
      <c r="KXG48" s="16"/>
      <c r="KXH48" s="16"/>
      <c r="KXI48" s="16"/>
      <c r="KXJ48" s="16"/>
      <c r="KXK48" s="16"/>
      <c r="KXL48" s="16"/>
      <c r="KXM48" s="16"/>
      <c r="KXN48" s="16"/>
      <c r="KXO48" s="16"/>
      <c r="KXP48" s="16"/>
      <c r="KXQ48" s="16"/>
      <c r="KXR48" s="16"/>
      <c r="KXS48" s="16"/>
      <c r="KXT48" s="16"/>
      <c r="KXU48" s="16"/>
      <c r="KXV48" s="16"/>
      <c r="KXW48" s="16"/>
      <c r="KXX48" s="16"/>
      <c r="KXY48" s="16"/>
      <c r="KXZ48" s="16"/>
      <c r="KYA48" s="16"/>
      <c r="KYB48" s="16"/>
      <c r="KYC48" s="16"/>
      <c r="KYD48" s="16"/>
      <c r="KYE48" s="16"/>
      <c r="KYF48" s="16"/>
      <c r="KYG48" s="16"/>
      <c r="KYH48" s="16"/>
      <c r="KYI48" s="16"/>
      <c r="KYJ48" s="16"/>
      <c r="KYK48" s="16"/>
      <c r="KYL48" s="16"/>
      <c r="KYM48" s="16"/>
      <c r="KYN48" s="16"/>
      <c r="KYO48" s="16"/>
      <c r="KYP48" s="16"/>
      <c r="KYQ48" s="16"/>
      <c r="KYR48" s="16"/>
      <c r="KYS48" s="16"/>
      <c r="KYT48" s="16"/>
      <c r="KYU48" s="16"/>
      <c r="KYV48" s="16"/>
      <c r="KYW48" s="16"/>
      <c r="KYX48" s="16"/>
      <c r="KYY48" s="16"/>
      <c r="KYZ48" s="16"/>
      <c r="KZA48" s="16"/>
      <c r="KZB48" s="16"/>
      <c r="KZC48" s="16"/>
      <c r="KZD48" s="16"/>
      <c r="KZE48" s="16"/>
      <c r="KZF48" s="16"/>
      <c r="KZG48" s="16"/>
      <c r="KZH48" s="16"/>
      <c r="KZI48" s="16"/>
      <c r="KZJ48" s="16"/>
      <c r="KZK48" s="16"/>
      <c r="KZL48" s="16"/>
      <c r="KZM48" s="16"/>
      <c r="KZN48" s="16"/>
      <c r="KZO48" s="16"/>
      <c r="KZP48" s="16"/>
      <c r="KZQ48" s="16"/>
      <c r="KZR48" s="16"/>
      <c r="KZS48" s="16"/>
      <c r="KZT48" s="16"/>
      <c r="KZU48" s="16"/>
      <c r="KZV48" s="16"/>
      <c r="KZW48" s="16"/>
      <c r="KZX48" s="16"/>
      <c r="KZY48" s="16"/>
      <c r="KZZ48" s="16"/>
      <c r="LAA48" s="16"/>
      <c r="LAB48" s="16"/>
      <c r="LAC48" s="16"/>
      <c r="LAD48" s="16"/>
      <c r="LAE48" s="16"/>
      <c r="LAF48" s="16"/>
      <c r="LAG48" s="16"/>
      <c r="LAH48" s="16"/>
      <c r="LAI48" s="16"/>
      <c r="LAJ48" s="16"/>
      <c r="LAK48" s="16"/>
      <c r="LAL48" s="16"/>
      <c r="LAM48" s="16"/>
      <c r="LAN48" s="16"/>
      <c r="LAO48" s="16"/>
      <c r="LAP48" s="16"/>
      <c r="LAQ48" s="16"/>
      <c r="LAR48" s="16"/>
      <c r="LAS48" s="16"/>
      <c r="LAT48" s="16"/>
      <c r="LAU48" s="16"/>
      <c r="LAV48" s="16"/>
      <c r="LAW48" s="16"/>
      <c r="LAX48" s="16"/>
      <c r="LAY48" s="16"/>
      <c r="LAZ48" s="16"/>
      <c r="LBA48" s="16"/>
      <c r="LBB48" s="16"/>
      <c r="LBC48" s="16"/>
      <c r="LBD48" s="16"/>
      <c r="LBE48" s="16"/>
      <c r="LBF48" s="16"/>
      <c r="LBG48" s="16"/>
      <c r="LBH48" s="16"/>
      <c r="LBI48" s="16"/>
      <c r="LBJ48" s="16"/>
      <c r="LBK48" s="16"/>
      <c r="LBL48" s="16"/>
      <c r="LBM48" s="16"/>
      <c r="LBN48" s="16"/>
      <c r="LBO48" s="16"/>
      <c r="LBP48" s="16"/>
      <c r="LBQ48" s="16"/>
      <c r="LBR48" s="16"/>
      <c r="LBS48" s="16"/>
      <c r="LBT48" s="16"/>
      <c r="LBU48" s="16"/>
      <c r="LBV48" s="16"/>
      <c r="LBW48" s="16"/>
      <c r="LBX48" s="16"/>
      <c r="LBY48" s="16"/>
      <c r="LBZ48" s="16"/>
      <c r="LCA48" s="16"/>
      <c r="LCB48" s="16"/>
      <c r="LCC48" s="16"/>
      <c r="LCD48" s="16"/>
      <c r="LCE48" s="16"/>
      <c r="LCF48" s="16"/>
      <c r="LCG48" s="16"/>
      <c r="LCH48" s="16"/>
      <c r="LCI48" s="16"/>
      <c r="LCJ48" s="16"/>
      <c r="LCK48" s="16"/>
      <c r="LCL48" s="16"/>
      <c r="LCM48" s="16"/>
      <c r="LCN48" s="16"/>
      <c r="LCO48" s="16"/>
      <c r="LCP48" s="16"/>
      <c r="LCQ48" s="16"/>
      <c r="LCR48" s="16"/>
      <c r="LCS48" s="16"/>
      <c r="LCT48" s="16"/>
      <c r="LCU48" s="16"/>
      <c r="LCV48" s="16"/>
      <c r="LCW48" s="16"/>
      <c r="LCX48" s="16"/>
      <c r="LCY48" s="16"/>
      <c r="LCZ48" s="16"/>
      <c r="LDA48" s="16"/>
      <c r="LDB48" s="16"/>
      <c r="LDC48" s="16"/>
      <c r="LDD48" s="16"/>
      <c r="LDE48" s="16"/>
      <c r="LDF48" s="16"/>
      <c r="LDG48" s="16"/>
      <c r="LDH48" s="16"/>
      <c r="LDI48" s="16"/>
      <c r="LDJ48" s="16"/>
      <c r="LDK48" s="16"/>
      <c r="LDL48" s="16"/>
      <c r="LDM48" s="16"/>
      <c r="LDN48" s="16"/>
      <c r="LDO48" s="16"/>
      <c r="LDP48" s="16"/>
      <c r="LDQ48" s="16"/>
      <c r="LDR48" s="16"/>
      <c r="LDS48" s="16"/>
      <c r="LDT48" s="16"/>
      <c r="LDU48" s="16"/>
      <c r="LDV48" s="16"/>
      <c r="LDW48" s="16"/>
      <c r="LDX48" s="16"/>
      <c r="LDY48" s="16"/>
      <c r="LDZ48" s="16"/>
      <c r="LEA48" s="16"/>
      <c r="LEB48" s="16"/>
      <c r="LEC48" s="16"/>
      <c r="LED48" s="16"/>
      <c r="LEE48" s="16"/>
      <c r="LEF48" s="16"/>
      <c r="LEG48" s="16"/>
      <c r="LEH48" s="16"/>
      <c r="LEI48" s="16"/>
      <c r="LEJ48" s="16"/>
      <c r="LEK48" s="16"/>
      <c r="LEL48" s="16"/>
      <c r="LEM48" s="16"/>
      <c r="LEN48" s="16"/>
      <c r="LEO48" s="16"/>
      <c r="LEP48" s="16"/>
      <c r="LEQ48" s="16"/>
      <c r="LER48" s="16"/>
      <c r="LES48" s="16"/>
      <c r="LET48" s="16"/>
      <c r="LEU48" s="16"/>
      <c r="LEV48" s="16"/>
      <c r="LEW48" s="16"/>
      <c r="LEX48" s="16"/>
      <c r="LEY48" s="16"/>
      <c r="LEZ48" s="16"/>
      <c r="LFA48" s="16"/>
      <c r="LFB48" s="16"/>
      <c r="LFC48" s="16"/>
      <c r="LFD48" s="16"/>
      <c r="LFE48" s="16"/>
      <c r="LFF48" s="16"/>
      <c r="LFG48" s="16"/>
      <c r="LFH48" s="16"/>
      <c r="LFI48" s="16"/>
      <c r="LFJ48" s="16"/>
      <c r="LFK48" s="16"/>
      <c r="LFL48" s="16"/>
      <c r="LFM48" s="16"/>
      <c r="LFN48" s="16"/>
      <c r="LFO48" s="16"/>
      <c r="LFP48" s="16"/>
      <c r="LFQ48" s="16"/>
      <c r="LFR48" s="16"/>
      <c r="LFS48" s="16"/>
      <c r="LFT48" s="16"/>
      <c r="LFU48" s="16"/>
      <c r="LFV48" s="16"/>
      <c r="LFW48" s="16"/>
      <c r="LFX48" s="16"/>
      <c r="LFY48" s="16"/>
      <c r="LFZ48" s="16"/>
      <c r="LGA48" s="16"/>
      <c r="LGB48" s="16"/>
      <c r="LGC48" s="16"/>
      <c r="LGD48" s="16"/>
      <c r="LGE48" s="16"/>
      <c r="LGF48" s="16"/>
      <c r="LGG48" s="16"/>
      <c r="LGH48" s="16"/>
      <c r="LGI48" s="16"/>
      <c r="LGJ48" s="16"/>
      <c r="LGK48" s="16"/>
      <c r="LGL48" s="16"/>
      <c r="LGM48" s="16"/>
      <c r="LGN48" s="16"/>
      <c r="LGO48" s="16"/>
      <c r="LGP48" s="16"/>
      <c r="LGQ48" s="16"/>
      <c r="LGR48" s="16"/>
      <c r="LGS48" s="16"/>
      <c r="LGT48" s="16"/>
      <c r="LGU48" s="16"/>
      <c r="LGV48" s="16"/>
      <c r="LGW48" s="16"/>
      <c r="LGX48" s="16"/>
      <c r="LGY48" s="16"/>
      <c r="LGZ48" s="16"/>
      <c r="LHA48" s="16"/>
      <c r="LHB48" s="16"/>
      <c r="LHC48" s="16"/>
      <c r="LHD48" s="16"/>
      <c r="LHE48" s="16"/>
      <c r="LHF48" s="16"/>
      <c r="LHG48" s="16"/>
      <c r="LHH48" s="16"/>
      <c r="LHI48" s="16"/>
      <c r="LHJ48" s="16"/>
      <c r="LHK48" s="16"/>
      <c r="LHL48" s="16"/>
      <c r="LHM48" s="16"/>
      <c r="LHN48" s="16"/>
      <c r="LHO48" s="16"/>
      <c r="LHP48" s="16"/>
      <c r="LHQ48" s="16"/>
      <c r="LHR48" s="16"/>
      <c r="LHS48" s="16"/>
      <c r="LHT48" s="16"/>
      <c r="LHU48" s="16"/>
      <c r="LHV48" s="16"/>
      <c r="LHW48" s="16"/>
      <c r="LHX48" s="16"/>
      <c r="LHY48" s="16"/>
      <c r="LHZ48" s="16"/>
      <c r="LIA48" s="16"/>
      <c r="LIB48" s="16"/>
      <c r="LIC48" s="16"/>
      <c r="LID48" s="16"/>
      <c r="LIE48" s="16"/>
      <c r="LIF48" s="16"/>
      <c r="LIG48" s="16"/>
      <c r="LIH48" s="16"/>
      <c r="LII48" s="16"/>
      <c r="LIJ48" s="16"/>
      <c r="LIK48" s="16"/>
      <c r="LIL48" s="16"/>
      <c r="LIM48" s="16"/>
      <c r="LIN48" s="16"/>
      <c r="LIO48" s="16"/>
      <c r="LIP48" s="16"/>
      <c r="LIQ48" s="16"/>
      <c r="LIR48" s="16"/>
      <c r="LIS48" s="16"/>
      <c r="LIT48" s="16"/>
      <c r="LIU48" s="16"/>
      <c r="LIV48" s="16"/>
      <c r="LIW48" s="16"/>
      <c r="LIX48" s="16"/>
      <c r="LIY48" s="16"/>
      <c r="LIZ48" s="16"/>
      <c r="LJA48" s="16"/>
      <c r="LJB48" s="16"/>
      <c r="LJC48" s="16"/>
      <c r="LJD48" s="16"/>
      <c r="LJE48" s="16"/>
      <c r="LJF48" s="16"/>
      <c r="LJG48" s="16"/>
      <c r="LJH48" s="16"/>
      <c r="LJI48" s="16"/>
      <c r="LJJ48" s="16"/>
      <c r="LJK48" s="16"/>
      <c r="LJL48" s="16"/>
      <c r="LJM48" s="16"/>
      <c r="LJN48" s="16"/>
      <c r="LJO48" s="16"/>
      <c r="LJP48" s="16"/>
      <c r="LJQ48" s="16"/>
      <c r="LJR48" s="16"/>
      <c r="LJS48" s="16"/>
      <c r="LJT48" s="16"/>
      <c r="LJU48" s="16"/>
      <c r="LJV48" s="16"/>
      <c r="LJW48" s="16"/>
      <c r="LJX48" s="16"/>
      <c r="LJY48" s="16"/>
      <c r="LJZ48" s="16"/>
      <c r="LKA48" s="16"/>
      <c r="LKB48" s="16"/>
      <c r="LKC48" s="16"/>
      <c r="LKD48" s="16"/>
      <c r="LKE48" s="16"/>
      <c r="LKF48" s="16"/>
      <c r="LKG48" s="16"/>
      <c r="LKH48" s="16"/>
      <c r="LKI48" s="16"/>
      <c r="LKJ48" s="16"/>
      <c r="LKK48" s="16"/>
      <c r="LKL48" s="16"/>
      <c r="LKM48" s="16"/>
      <c r="LKN48" s="16"/>
      <c r="LKO48" s="16"/>
      <c r="LKP48" s="16"/>
      <c r="LKQ48" s="16"/>
      <c r="LKR48" s="16"/>
      <c r="LKS48" s="16"/>
      <c r="LKT48" s="16"/>
      <c r="LKU48" s="16"/>
      <c r="LKV48" s="16"/>
      <c r="LKW48" s="16"/>
      <c r="LKX48" s="16"/>
      <c r="LKY48" s="16"/>
      <c r="LKZ48" s="16"/>
      <c r="LLA48" s="16"/>
      <c r="LLB48" s="16"/>
      <c r="LLC48" s="16"/>
      <c r="LLD48" s="16"/>
      <c r="LLE48" s="16"/>
      <c r="LLF48" s="16"/>
      <c r="LLG48" s="16"/>
      <c r="LLH48" s="16"/>
      <c r="LLI48" s="16"/>
      <c r="LLJ48" s="16"/>
      <c r="LLK48" s="16"/>
      <c r="LLL48" s="16"/>
      <c r="LLM48" s="16"/>
      <c r="LLN48" s="16"/>
      <c r="LLO48" s="16"/>
      <c r="LLP48" s="16"/>
      <c r="LLQ48" s="16"/>
      <c r="LLR48" s="16"/>
      <c r="LLS48" s="16"/>
      <c r="LLT48" s="16"/>
      <c r="LLU48" s="16"/>
      <c r="LLV48" s="16"/>
      <c r="LLW48" s="16"/>
      <c r="LLX48" s="16"/>
      <c r="LLY48" s="16"/>
      <c r="LLZ48" s="16"/>
      <c r="LMA48" s="16"/>
      <c r="LMB48" s="16"/>
      <c r="LMC48" s="16"/>
      <c r="LMD48" s="16"/>
      <c r="LME48" s="16"/>
      <c r="LMF48" s="16"/>
      <c r="LMG48" s="16"/>
      <c r="LMH48" s="16"/>
      <c r="LMI48" s="16"/>
      <c r="LMJ48" s="16"/>
      <c r="LMK48" s="16"/>
      <c r="LML48" s="16"/>
      <c r="LMM48" s="16"/>
      <c r="LMN48" s="16"/>
      <c r="LMO48" s="16"/>
      <c r="LMP48" s="16"/>
      <c r="LMQ48" s="16"/>
      <c r="LMR48" s="16"/>
      <c r="LMS48" s="16"/>
      <c r="LMT48" s="16"/>
      <c r="LMU48" s="16"/>
      <c r="LMV48" s="16"/>
      <c r="LMW48" s="16"/>
      <c r="LMX48" s="16"/>
      <c r="LMY48" s="16"/>
      <c r="LMZ48" s="16"/>
      <c r="LNA48" s="16"/>
      <c r="LNB48" s="16"/>
      <c r="LNC48" s="16"/>
      <c r="LND48" s="16"/>
      <c r="LNE48" s="16"/>
      <c r="LNF48" s="16"/>
      <c r="LNG48" s="16"/>
      <c r="LNH48" s="16"/>
      <c r="LNI48" s="16"/>
      <c r="LNJ48" s="16"/>
      <c r="LNK48" s="16"/>
      <c r="LNL48" s="16"/>
      <c r="LNM48" s="16"/>
      <c r="LNN48" s="16"/>
      <c r="LNO48" s="16"/>
      <c r="LNP48" s="16"/>
      <c r="LNQ48" s="16"/>
      <c r="LNR48" s="16"/>
      <c r="LNS48" s="16"/>
      <c r="LNT48" s="16"/>
      <c r="LNU48" s="16"/>
      <c r="LNV48" s="16"/>
      <c r="LNW48" s="16"/>
      <c r="LNX48" s="16"/>
      <c r="LNY48" s="16"/>
      <c r="LNZ48" s="16"/>
      <c r="LOA48" s="16"/>
      <c r="LOB48" s="16"/>
      <c r="LOC48" s="16"/>
      <c r="LOD48" s="16"/>
      <c r="LOE48" s="16"/>
      <c r="LOF48" s="16"/>
      <c r="LOG48" s="16"/>
      <c r="LOH48" s="16"/>
      <c r="LOI48" s="16"/>
      <c r="LOJ48" s="16"/>
      <c r="LOK48" s="16"/>
      <c r="LOL48" s="16"/>
      <c r="LOM48" s="16"/>
      <c r="LON48" s="16"/>
      <c r="LOO48" s="16"/>
      <c r="LOP48" s="16"/>
      <c r="LOQ48" s="16"/>
      <c r="LOR48" s="16"/>
      <c r="LOS48" s="16"/>
      <c r="LOT48" s="16"/>
      <c r="LOU48" s="16"/>
      <c r="LOV48" s="16"/>
      <c r="LOW48" s="16"/>
      <c r="LOX48" s="16"/>
      <c r="LOY48" s="16"/>
      <c r="LOZ48" s="16"/>
      <c r="LPA48" s="16"/>
      <c r="LPB48" s="16"/>
      <c r="LPC48" s="16"/>
      <c r="LPD48" s="16"/>
      <c r="LPE48" s="16"/>
      <c r="LPF48" s="16"/>
      <c r="LPG48" s="16"/>
      <c r="LPH48" s="16"/>
      <c r="LPI48" s="16"/>
      <c r="LPJ48" s="16"/>
      <c r="LPK48" s="16"/>
      <c r="LPL48" s="16"/>
      <c r="LPM48" s="16"/>
      <c r="LPN48" s="16"/>
      <c r="LPO48" s="16"/>
      <c r="LPP48" s="16"/>
      <c r="LPQ48" s="16"/>
      <c r="LPR48" s="16"/>
      <c r="LPS48" s="16"/>
      <c r="LPT48" s="16"/>
      <c r="LPU48" s="16"/>
      <c r="LPV48" s="16"/>
      <c r="LPW48" s="16"/>
      <c r="LPX48" s="16"/>
      <c r="LPY48" s="16"/>
      <c r="LPZ48" s="16"/>
      <c r="LQA48" s="16"/>
      <c r="LQB48" s="16"/>
      <c r="LQC48" s="16"/>
      <c r="LQD48" s="16"/>
      <c r="LQE48" s="16"/>
      <c r="LQF48" s="16"/>
      <c r="LQG48" s="16"/>
      <c r="LQH48" s="16"/>
      <c r="LQI48" s="16"/>
      <c r="LQJ48" s="16"/>
      <c r="LQK48" s="16"/>
      <c r="LQL48" s="16"/>
      <c r="LQM48" s="16"/>
      <c r="LQN48" s="16"/>
      <c r="LQO48" s="16"/>
      <c r="LQP48" s="16"/>
      <c r="LQQ48" s="16"/>
      <c r="LQR48" s="16"/>
      <c r="LQS48" s="16"/>
      <c r="LQT48" s="16"/>
      <c r="LQU48" s="16"/>
      <c r="LQV48" s="16"/>
      <c r="LQW48" s="16"/>
      <c r="LQX48" s="16"/>
      <c r="LQY48" s="16"/>
      <c r="LQZ48" s="16"/>
      <c r="LRA48" s="16"/>
      <c r="LRB48" s="16"/>
      <c r="LRC48" s="16"/>
      <c r="LRD48" s="16"/>
      <c r="LRE48" s="16"/>
      <c r="LRF48" s="16"/>
      <c r="LRG48" s="16"/>
      <c r="LRH48" s="16"/>
      <c r="LRI48" s="16"/>
      <c r="LRJ48" s="16"/>
      <c r="LRK48" s="16"/>
      <c r="LRL48" s="16"/>
      <c r="LRM48" s="16"/>
      <c r="LRN48" s="16"/>
      <c r="LRO48" s="16"/>
      <c r="LRP48" s="16"/>
      <c r="LRQ48" s="16"/>
      <c r="LRR48" s="16"/>
      <c r="LRS48" s="16"/>
      <c r="LRT48" s="16"/>
      <c r="LRU48" s="16"/>
      <c r="LRV48" s="16"/>
      <c r="LRW48" s="16"/>
      <c r="LRX48" s="16"/>
      <c r="LRY48" s="16"/>
      <c r="LRZ48" s="16"/>
      <c r="LSA48" s="16"/>
      <c r="LSB48" s="16"/>
      <c r="LSC48" s="16"/>
      <c r="LSD48" s="16"/>
      <c r="LSE48" s="16"/>
      <c r="LSF48" s="16"/>
      <c r="LSG48" s="16"/>
      <c r="LSH48" s="16"/>
      <c r="LSI48" s="16"/>
      <c r="LSJ48" s="16"/>
      <c r="LSK48" s="16"/>
      <c r="LSL48" s="16"/>
      <c r="LSM48" s="16"/>
      <c r="LSN48" s="16"/>
      <c r="LSO48" s="16"/>
      <c r="LSP48" s="16"/>
      <c r="LSQ48" s="16"/>
      <c r="LSR48" s="16"/>
      <c r="LSS48" s="16"/>
      <c r="LST48" s="16"/>
      <c r="LSU48" s="16"/>
      <c r="LSV48" s="16"/>
      <c r="LSW48" s="16"/>
      <c r="LSX48" s="16"/>
      <c r="LSY48" s="16"/>
      <c r="LSZ48" s="16"/>
      <c r="LTA48" s="16"/>
      <c r="LTB48" s="16"/>
      <c r="LTC48" s="16"/>
      <c r="LTD48" s="16"/>
      <c r="LTE48" s="16"/>
      <c r="LTF48" s="16"/>
      <c r="LTG48" s="16"/>
      <c r="LTH48" s="16"/>
      <c r="LTI48" s="16"/>
      <c r="LTJ48" s="16"/>
      <c r="LTK48" s="16"/>
      <c r="LTL48" s="16"/>
      <c r="LTM48" s="16"/>
      <c r="LTN48" s="16"/>
      <c r="LTO48" s="16"/>
      <c r="LTP48" s="16"/>
      <c r="LTQ48" s="16"/>
      <c r="LTR48" s="16"/>
      <c r="LTS48" s="16"/>
      <c r="LTT48" s="16"/>
      <c r="LTU48" s="16"/>
      <c r="LTV48" s="16"/>
      <c r="LTW48" s="16"/>
      <c r="LTX48" s="16"/>
      <c r="LTY48" s="16"/>
      <c r="LTZ48" s="16"/>
      <c r="LUA48" s="16"/>
      <c r="LUB48" s="16"/>
      <c r="LUC48" s="16"/>
      <c r="LUD48" s="16"/>
      <c r="LUE48" s="16"/>
      <c r="LUF48" s="16"/>
      <c r="LUG48" s="16"/>
      <c r="LUH48" s="16"/>
      <c r="LUI48" s="16"/>
      <c r="LUJ48" s="16"/>
      <c r="LUK48" s="16"/>
      <c r="LUL48" s="16"/>
      <c r="LUM48" s="16"/>
      <c r="LUN48" s="16"/>
      <c r="LUO48" s="16"/>
      <c r="LUP48" s="16"/>
      <c r="LUQ48" s="16"/>
      <c r="LUR48" s="16"/>
      <c r="LUS48" s="16"/>
      <c r="LUT48" s="16"/>
      <c r="LUU48" s="16"/>
      <c r="LUV48" s="16"/>
      <c r="LUW48" s="16"/>
      <c r="LUX48" s="16"/>
      <c r="LUY48" s="16"/>
      <c r="LUZ48" s="16"/>
      <c r="LVA48" s="16"/>
      <c r="LVB48" s="16"/>
      <c r="LVC48" s="16"/>
      <c r="LVD48" s="16"/>
      <c r="LVE48" s="16"/>
      <c r="LVF48" s="16"/>
      <c r="LVG48" s="16"/>
      <c r="LVH48" s="16"/>
      <c r="LVI48" s="16"/>
      <c r="LVJ48" s="16"/>
      <c r="LVK48" s="16"/>
      <c r="LVL48" s="16"/>
      <c r="LVM48" s="16"/>
      <c r="LVN48" s="16"/>
      <c r="LVO48" s="16"/>
      <c r="LVP48" s="16"/>
      <c r="LVQ48" s="16"/>
      <c r="LVR48" s="16"/>
      <c r="LVS48" s="16"/>
      <c r="LVT48" s="16"/>
      <c r="LVU48" s="16"/>
      <c r="LVV48" s="16"/>
      <c r="LVW48" s="16"/>
      <c r="LVX48" s="16"/>
      <c r="LVY48" s="16"/>
      <c r="LVZ48" s="16"/>
      <c r="LWA48" s="16"/>
      <c r="LWB48" s="16"/>
      <c r="LWC48" s="16"/>
      <c r="LWD48" s="16"/>
      <c r="LWE48" s="16"/>
      <c r="LWF48" s="16"/>
      <c r="LWG48" s="16"/>
      <c r="LWH48" s="16"/>
      <c r="LWI48" s="16"/>
      <c r="LWJ48" s="16"/>
      <c r="LWK48" s="16"/>
      <c r="LWL48" s="16"/>
      <c r="LWM48" s="16"/>
      <c r="LWN48" s="16"/>
      <c r="LWO48" s="16"/>
      <c r="LWP48" s="16"/>
      <c r="LWQ48" s="16"/>
      <c r="LWR48" s="16"/>
      <c r="LWS48" s="16"/>
      <c r="LWT48" s="16"/>
      <c r="LWU48" s="16"/>
      <c r="LWV48" s="16"/>
      <c r="LWW48" s="16"/>
      <c r="LWX48" s="16"/>
      <c r="LWY48" s="16"/>
      <c r="LWZ48" s="16"/>
      <c r="LXA48" s="16"/>
      <c r="LXB48" s="16"/>
      <c r="LXC48" s="16"/>
      <c r="LXD48" s="16"/>
      <c r="LXE48" s="16"/>
      <c r="LXF48" s="16"/>
      <c r="LXG48" s="16"/>
      <c r="LXH48" s="16"/>
      <c r="LXI48" s="16"/>
      <c r="LXJ48" s="16"/>
      <c r="LXK48" s="16"/>
      <c r="LXL48" s="16"/>
      <c r="LXM48" s="16"/>
      <c r="LXN48" s="16"/>
      <c r="LXO48" s="16"/>
      <c r="LXP48" s="16"/>
      <c r="LXQ48" s="16"/>
      <c r="LXR48" s="16"/>
      <c r="LXS48" s="16"/>
      <c r="LXT48" s="16"/>
      <c r="LXU48" s="16"/>
      <c r="LXV48" s="16"/>
      <c r="LXW48" s="16"/>
      <c r="LXX48" s="16"/>
      <c r="LXY48" s="16"/>
      <c r="LXZ48" s="16"/>
      <c r="LYA48" s="16"/>
      <c r="LYB48" s="16"/>
      <c r="LYC48" s="16"/>
      <c r="LYD48" s="16"/>
      <c r="LYE48" s="16"/>
      <c r="LYF48" s="16"/>
      <c r="LYG48" s="16"/>
      <c r="LYH48" s="16"/>
      <c r="LYI48" s="16"/>
      <c r="LYJ48" s="16"/>
      <c r="LYK48" s="16"/>
      <c r="LYL48" s="16"/>
      <c r="LYM48" s="16"/>
      <c r="LYN48" s="16"/>
      <c r="LYO48" s="16"/>
      <c r="LYP48" s="16"/>
      <c r="LYQ48" s="16"/>
      <c r="LYR48" s="16"/>
      <c r="LYS48" s="16"/>
      <c r="LYT48" s="16"/>
      <c r="LYU48" s="16"/>
      <c r="LYV48" s="16"/>
      <c r="LYW48" s="16"/>
      <c r="LYX48" s="16"/>
      <c r="LYY48" s="16"/>
      <c r="LYZ48" s="16"/>
      <c r="LZA48" s="16"/>
      <c r="LZB48" s="16"/>
      <c r="LZC48" s="16"/>
      <c r="LZD48" s="16"/>
      <c r="LZE48" s="16"/>
      <c r="LZF48" s="16"/>
      <c r="LZG48" s="16"/>
      <c r="LZH48" s="16"/>
      <c r="LZI48" s="16"/>
      <c r="LZJ48" s="16"/>
      <c r="LZK48" s="16"/>
      <c r="LZL48" s="16"/>
      <c r="LZM48" s="16"/>
      <c r="LZN48" s="16"/>
      <c r="LZO48" s="16"/>
      <c r="LZP48" s="16"/>
      <c r="LZQ48" s="16"/>
      <c r="LZR48" s="16"/>
      <c r="LZS48" s="16"/>
      <c r="LZT48" s="16"/>
      <c r="LZU48" s="16"/>
      <c r="LZV48" s="16"/>
      <c r="LZW48" s="16"/>
      <c r="LZX48" s="16"/>
      <c r="LZY48" s="16"/>
      <c r="LZZ48" s="16"/>
      <c r="MAA48" s="16"/>
      <c r="MAB48" s="16"/>
      <c r="MAC48" s="16"/>
      <c r="MAD48" s="16"/>
      <c r="MAE48" s="16"/>
      <c r="MAF48" s="16"/>
      <c r="MAG48" s="16"/>
      <c r="MAH48" s="16"/>
      <c r="MAI48" s="16"/>
      <c r="MAJ48" s="16"/>
      <c r="MAK48" s="16"/>
      <c r="MAL48" s="16"/>
      <c r="MAM48" s="16"/>
      <c r="MAN48" s="16"/>
      <c r="MAO48" s="16"/>
      <c r="MAP48" s="16"/>
      <c r="MAQ48" s="16"/>
      <c r="MAR48" s="16"/>
      <c r="MAS48" s="16"/>
      <c r="MAT48" s="16"/>
      <c r="MAU48" s="16"/>
      <c r="MAV48" s="16"/>
      <c r="MAW48" s="16"/>
      <c r="MAX48" s="16"/>
      <c r="MAY48" s="16"/>
      <c r="MAZ48" s="16"/>
      <c r="MBA48" s="16"/>
      <c r="MBB48" s="16"/>
      <c r="MBC48" s="16"/>
      <c r="MBD48" s="16"/>
      <c r="MBE48" s="16"/>
      <c r="MBF48" s="16"/>
      <c r="MBG48" s="16"/>
      <c r="MBH48" s="16"/>
      <c r="MBI48" s="16"/>
      <c r="MBJ48" s="16"/>
      <c r="MBK48" s="16"/>
      <c r="MBL48" s="16"/>
      <c r="MBM48" s="16"/>
      <c r="MBN48" s="16"/>
      <c r="MBO48" s="16"/>
      <c r="MBP48" s="16"/>
      <c r="MBQ48" s="16"/>
      <c r="MBR48" s="16"/>
      <c r="MBS48" s="16"/>
      <c r="MBT48" s="16"/>
      <c r="MBU48" s="16"/>
      <c r="MBV48" s="16"/>
      <c r="MBW48" s="16"/>
      <c r="MBX48" s="16"/>
      <c r="MBY48" s="16"/>
      <c r="MBZ48" s="16"/>
      <c r="MCA48" s="16"/>
      <c r="MCB48" s="16"/>
      <c r="MCC48" s="16"/>
      <c r="MCD48" s="16"/>
      <c r="MCE48" s="16"/>
      <c r="MCF48" s="16"/>
      <c r="MCG48" s="16"/>
      <c r="MCH48" s="16"/>
      <c r="MCI48" s="16"/>
      <c r="MCJ48" s="16"/>
      <c r="MCK48" s="16"/>
      <c r="MCL48" s="16"/>
      <c r="MCM48" s="16"/>
      <c r="MCN48" s="16"/>
      <c r="MCO48" s="16"/>
      <c r="MCP48" s="16"/>
      <c r="MCQ48" s="16"/>
      <c r="MCR48" s="16"/>
      <c r="MCS48" s="16"/>
      <c r="MCT48" s="16"/>
      <c r="MCU48" s="16"/>
      <c r="MCV48" s="16"/>
      <c r="MCW48" s="16"/>
      <c r="MCX48" s="16"/>
      <c r="MCY48" s="16"/>
      <c r="MCZ48" s="16"/>
      <c r="MDA48" s="16"/>
      <c r="MDB48" s="16"/>
      <c r="MDC48" s="16"/>
      <c r="MDD48" s="16"/>
      <c r="MDE48" s="16"/>
      <c r="MDF48" s="16"/>
      <c r="MDG48" s="16"/>
      <c r="MDH48" s="16"/>
      <c r="MDI48" s="16"/>
      <c r="MDJ48" s="16"/>
      <c r="MDK48" s="16"/>
      <c r="MDL48" s="16"/>
      <c r="MDM48" s="16"/>
      <c r="MDN48" s="16"/>
      <c r="MDO48" s="16"/>
      <c r="MDP48" s="16"/>
      <c r="MDQ48" s="16"/>
      <c r="MDR48" s="16"/>
      <c r="MDS48" s="16"/>
      <c r="MDT48" s="16"/>
      <c r="MDU48" s="16"/>
      <c r="MDV48" s="16"/>
      <c r="MDW48" s="16"/>
      <c r="MDX48" s="16"/>
      <c r="MDY48" s="16"/>
      <c r="MDZ48" s="16"/>
      <c r="MEA48" s="16"/>
      <c r="MEB48" s="16"/>
      <c r="MEC48" s="16"/>
      <c r="MED48" s="16"/>
      <c r="MEE48" s="16"/>
      <c r="MEF48" s="16"/>
      <c r="MEG48" s="16"/>
      <c r="MEH48" s="16"/>
      <c r="MEI48" s="16"/>
      <c r="MEJ48" s="16"/>
      <c r="MEK48" s="16"/>
      <c r="MEL48" s="16"/>
      <c r="MEM48" s="16"/>
      <c r="MEN48" s="16"/>
      <c r="MEO48" s="16"/>
      <c r="MEP48" s="16"/>
      <c r="MEQ48" s="16"/>
      <c r="MER48" s="16"/>
      <c r="MES48" s="16"/>
      <c r="MET48" s="16"/>
      <c r="MEU48" s="16"/>
      <c r="MEV48" s="16"/>
      <c r="MEW48" s="16"/>
      <c r="MEX48" s="16"/>
      <c r="MEY48" s="16"/>
      <c r="MEZ48" s="16"/>
      <c r="MFA48" s="16"/>
      <c r="MFB48" s="16"/>
      <c r="MFC48" s="16"/>
      <c r="MFD48" s="16"/>
      <c r="MFE48" s="16"/>
      <c r="MFF48" s="16"/>
      <c r="MFG48" s="16"/>
      <c r="MFH48" s="16"/>
      <c r="MFI48" s="16"/>
      <c r="MFJ48" s="16"/>
      <c r="MFK48" s="16"/>
      <c r="MFL48" s="16"/>
      <c r="MFM48" s="16"/>
      <c r="MFN48" s="16"/>
      <c r="MFO48" s="16"/>
      <c r="MFP48" s="16"/>
      <c r="MFQ48" s="16"/>
      <c r="MFR48" s="16"/>
      <c r="MFS48" s="16"/>
      <c r="MFT48" s="16"/>
      <c r="MFU48" s="16"/>
      <c r="MFV48" s="16"/>
      <c r="MFW48" s="16"/>
      <c r="MFX48" s="16"/>
      <c r="MFY48" s="16"/>
      <c r="MFZ48" s="16"/>
      <c r="MGA48" s="16"/>
      <c r="MGB48" s="16"/>
      <c r="MGC48" s="16"/>
      <c r="MGD48" s="16"/>
      <c r="MGE48" s="16"/>
      <c r="MGF48" s="16"/>
      <c r="MGG48" s="16"/>
      <c r="MGH48" s="16"/>
      <c r="MGI48" s="16"/>
      <c r="MGJ48" s="16"/>
      <c r="MGK48" s="16"/>
      <c r="MGL48" s="16"/>
      <c r="MGM48" s="16"/>
      <c r="MGN48" s="16"/>
      <c r="MGO48" s="16"/>
      <c r="MGP48" s="16"/>
      <c r="MGQ48" s="16"/>
      <c r="MGR48" s="16"/>
      <c r="MGS48" s="16"/>
      <c r="MGT48" s="16"/>
      <c r="MGU48" s="16"/>
      <c r="MGV48" s="16"/>
      <c r="MGW48" s="16"/>
      <c r="MGX48" s="16"/>
      <c r="MGY48" s="16"/>
      <c r="MGZ48" s="16"/>
      <c r="MHA48" s="16"/>
      <c r="MHB48" s="16"/>
      <c r="MHC48" s="16"/>
      <c r="MHD48" s="16"/>
      <c r="MHE48" s="16"/>
      <c r="MHF48" s="16"/>
      <c r="MHG48" s="16"/>
      <c r="MHH48" s="16"/>
      <c r="MHI48" s="16"/>
      <c r="MHJ48" s="16"/>
      <c r="MHK48" s="16"/>
      <c r="MHL48" s="16"/>
      <c r="MHM48" s="16"/>
      <c r="MHN48" s="16"/>
      <c r="MHO48" s="16"/>
      <c r="MHP48" s="16"/>
      <c r="MHQ48" s="16"/>
      <c r="MHR48" s="16"/>
      <c r="MHS48" s="16"/>
      <c r="MHT48" s="16"/>
      <c r="MHU48" s="16"/>
      <c r="MHV48" s="16"/>
      <c r="MHW48" s="16"/>
      <c r="MHX48" s="16"/>
      <c r="MHY48" s="16"/>
      <c r="MHZ48" s="16"/>
      <c r="MIA48" s="16"/>
      <c r="MIB48" s="16"/>
      <c r="MIC48" s="16"/>
      <c r="MID48" s="16"/>
      <c r="MIE48" s="16"/>
      <c r="MIF48" s="16"/>
      <c r="MIG48" s="16"/>
      <c r="MIH48" s="16"/>
      <c r="MII48" s="16"/>
      <c r="MIJ48" s="16"/>
      <c r="MIK48" s="16"/>
      <c r="MIL48" s="16"/>
      <c r="MIM48" s="16"/>
      <c r="MIN48" s="16"/>
      <c r="MIO48" s="16"/>
      <c r="MIP48" s="16"/>
      <c r="MIQ48" s="16"/>
      <c r="MIR48" s="16"/>
      <c r="MIS48" s="16"/>
      <c r="MIT48" s="16"/>
      <c r="MIU48" s="16"/>
      <c r="MIV48" s="16"/>
      <c r="MIW48" s="16"/>
      <c r="MIX48" s="16"/>
      <c r="MIY48" s="16"/>
      <c r="MIZ48" s="16"/>
      <c r="MJA48" s="16"/>
      <c r="MJB48" s="16"/>
      <c r="MJC48" s="16"/>
      <c r="MJD48" s="16"/>
      <c r="MJE48" s="16"/>
      <c r="MJF48" s="16"/>
      <c r="MJG48" s="16"/>
      <c r="MJH48" s="16"/>
      <c r="MJI48" s="16"/>
      <c r="MJJ48" s="16"/>
      <c r="MJK48" s="16"/>
      <c r="MJL48" s="16"/>
      <c r="MJM48" s="16"/>
      <c r="MJN48" s="16"/>
      <c r="MJO48" s="16"/>
      <c r="MJP48" s="16"/>
      <c r="MJQ48" s="16"/>
      <c r="MJR48" s="16"/>
      <c r="MJS48" s="16"/>
      <c r="MJT48" s="16"/>
      <c r="MJU48" s="16"/>
      <c r="MJV48" s="16"/>
      <c r="MJW48" s="16"/>
      <c r="MJX48" s="16"/>
      <c r="MJY48" s="16"/>
      <c r="MJZ48" s="16"/>
      <c r="MKA48" s="16"/>
      <c r="MKB48" s="16"/>
      <c r="MKC48" s="16"/>
      <c r="MKD48" s="16"/>
      <c r="MKE48" s="16"/>
      <c r="MKF48" s="16"/>
      <c r="MKG48" s="16"/>
      <c r="MKH48" s="16"/>
      <c r="MKI48" s="16"/>
      <c r="MKJ48" s="16"/>
      <c r="MKK48" s="16"/>
      <c r="MKL48" s="16"/>
      <c r="MKM48" s="16"/>
      <c r="MKN48" s="16"/>
      <c r="MKO48" s="16"/>
      <c r="MKP48" s="16"/>
      <c r="MKQ48" s="16"/>
      <c r="MKR48" s="16"/>
      <c r="MKS48" s="16"/>
      <c r="MKT48" s="16"/>
      <c r="MKU48" s="16"/>
      <c r="MKV48" s="16"/>
      <c r="MKW48" s="16"/>
      <c r="MKX48" s="16"/>
      <c r="MKY48" s="16"/>
      <c r="MKZ48" s="16"/>
      <c r="MLA48" s="16"/>
      <c r="MLB48" s="16"/>
      <c r="MLC48" s="16"/>
      <c r="MLD48" s="16"/>
      <c r="MLE48" s="16"/>
      <c r="MLF48" s="16"/>
      <c r="MLG48" s="16"/>
      <c r="MLH48" s="16"/>
      <c r="MLI48" s="16"/>
      <c r="MLJ48" s="16"/>
      <c r="MLK48" s="16"/>
      <c r="MLL48" s="16"/>
      <c r="MLM48" s="16"/>
      <c r="MLN48" s="16"/>
      <c r="MLO48" s="16"/>
      <c r="MLP48" s="16"/>
      <c r="MLQ48" s="16"/>
      <c r="MLR48" s="16"/>
      <c r="MLS48" s="16"/>
      <c r="MLT48" s="16"/>
      <c r="MLU48" s="16"/>
      <c r="MLV48" s="16"/>
      <c r="MLW48" s="16"/>
      <c r="MLX48" s="16"/>
      <c r="MLY48" s="16"/>
      <c r="MLZ48" s="16"/>
      <c r="MMA48" s="16"/>
      <c r="MMB48" s="16"/>
      <c r="MMC48" s="16"/>
      <c r="MMD48" s="16"/>
      <c r="MME48" s="16"/>
      <c r="MMF48" s="16"/>
      <c r="MMG48" s="16"/>
      <c r="MMH48" s="16"/>
      <c r="MMI48" s="16"/>
      <c r="MMJ48" s="16"/>
      <c r="MMK48" s="16"/>
      <c r="MML48" s="16"/>
      <c r="MMM48" s="16"/>
      <c r="MMN48" s="16"/>
      <c r="MMO48" s="16"/>
      <c r="MMP48" s="16"/>
      <c r="MMQ48" s="16"/>
      <c r="MMR48" s="16"/>
      <c r="MMS48" s="16"/>
      <c r="MMT48" s="16"/>
      <c r="MMU48" s="16"/>
      <c r="MMV48" s="16"/>
      <c r="MMW48" s="16"/>
      <c r="MMX48" s="16"/>
      <c r="MMY48" s="16"/>
      <c r="MMZ48" s="16"/>
      <c r="MNA48" s="16"/>
      <c r="MNB48" s="16"/>
      <c r="MNC48" s="16"/>
      <c r="MND48" s="16"/>
      <c r="MNE48" s="16"/>
      <c r="MNF48" s="16"/>
      <c r="MNG48" s="16"/>
      <c r="MNH48" s="16"/>
      <c r="MNI48" s="16"/>
      <c r="MNJ48" s="16"/>
      <c r="MNK48" s="16"/>
      <c r="MNL48" s="16"/>
      <c r="MNM48" s="16"/>
      <c r="MNN48" s="16"/>
      <c r="MNO48" s="16"/>
      <c r="MNP48" s="16"/>
      <c r="MNQ48" s="16"/>
      <c r="MNR48" s="16"/>
      <c r="MNS48" s="16"/>
      <c r="MNT48" s="16"/>
      <c r="MNU48" s="16"/>
      <c r="MNV48" s="16"/>
      <c r="MNW48" s="16"/>
      <c r="MNX48" s="16"/>
      <c r="MNY48" s="16"/>
      <c r="MNZ48" s="16"/>
      <c r="MOA48" s="16"/>
      <c r="MOB48" s="16"/>
      <c r="MOC48" s="16"/>
      <c r="MOD48" s="16"/>
      <c r="MOE48" s="16"/>
      <c r="MOF48" s="16"/>
      <c r="MOG48" s="16"/>
      <c r="MOH48" s="16"/>
      <c r="MOI48" s="16"/>
      <c r="MOJ48" s="16"/>
      <c r="MOK48" s="16"/>
      <c r="MOL48" s="16"/>
      <c r="MOM48" s="16"/>
      <c r="MON48" s="16"/>
      <c r="MOO48" s="16"/>
      <c r="MOP48" s="16"/>
      <c r="MOQ48" s="16"/>
      <c r="MOR48" s="16"/>
      <c r="MOS48" s="16"/>
      <c r="MOT48" s="16"/>
      <c r="MOU48" s="16"/>
      <c r="MOV48" s="16"/>
      <c r="MOW48" s="16"/>
      <c r="MOX48" s="16"/>
      <c r="MOY48" s="16"/>
      <c r="MOZ48" s="16"/>
      <c r="MPA48" s="16"/>
      <c r="MPB48" s="16"/>
      <c r="MPC48" s="16"/>
      <c r="MPD48" s="16"/>
      <c r="MPE48" s="16"/>
      <c r="MPF48" s="16"/>
      <c r="MPG48" s="16"/>
      <c r="MPH48" s="16"/>
      <c r="MPI48" s="16"/>
      <c r="MPJ48" s="16"/>
      <c r="MPK48" s="16"/>
      <c r="MPL48" s="16"/>
      <c r="MPM48" s="16"/>
      <c r="MPN48" s="16"/>
      <c r="MPO48" s="16"/>
      <c r="MPP48" s="16"/>
      <c r="MPQ48" s="16"/>
      <c r="MPR48" s="16"/>
      <c r="MPS48" s="16"/>
      <c r="MPT48" s="16"/>
      <c r="MPU48" s="16"/>
      <c r="MPV48" s="16"/>
      <c r="MPW48" s="16"/>
      <c r="MPX48" s="16"/>
      <c r="MPY48" s="16"/>
      <c r="MPZ48" s="16"/>
      <c r="MQA48" s="16"/>
      <c r="MQB48" s="16"/>
      <c r="MQC48" s="16"/>
      <c r="MQD48" s="16"/>
      <c r="MQE48" s="16"/>
      <c r="MQF48" s="16"/>
      <c r="MQG48" s="16"/>
      <c r="MQH48" s="16"/>
      <c r="MQI48" s="16"/>
      <c r="MQJ48" s="16"/>
      <c r="MQK48" s="16"/>
      <c r="MQL48" s="16"/>
      <c r="MQM48" s="16"/>
      <c r="MQN48" s="16"/>
      <c r="MQO48" s="16"/>
      <c r="MQP48" s="16"/>
      <c r="MQQ48" s="16"/>
      <c r="MQR48" s="16"/>
      <c r="MQS48" s="16"/>
      <c r="MQT48" s="16"/>
      <c r="MQU48" s="16"/>
      <c r="MQV48" s="16"/>
      <c r="MQW48" s="16"/>
      <c r="MQX48" s="16"/>
      <c r="MQY48" s="16"/>
      <c r="MQZ48" s="16"/>
      <c r="MRA48" s="16"/>
      <c r="MRB48" s="16"/>
      <c r="MRC48" s="16"/>
      <c r="MRD48" s="16"/>
      <c r="MRE48" s="16"/>
      <c r="MRF48" s="16"/>
      <c r="MRG48" s="16"/>
      <c r="MRH48" s="16"/>
      <c r="MRI48" s="16"/>
      <c r="MRJ48" s="16"/>
      <c r="MRK48" s="16"/>
      <c r="MRL48" s="16"/>
      <c r="MRM48" s="16"/>
      <c r="MRN48" s="16"/>
      <c r="MRO48" s="16"/>
      <c r="MRP48" s="16"/>
      <c r="MRQ48" s="16"/>
      <c r="MRR48" s="16"/>
      <c r="MRS48" s="16"/>
      <c r="MRT48" s="16"/>
      <c r="MRU48" s="16"/>
      <c r="MRV48" s="16"/>
      <c r="MRW48" s="16"/>
      <c r="MRX48" s="16"/>
      <c r="MRY48" s="16"/>
      <c r="MRZ48" s="16"/>
      <c r="MSA48" s="16"/>
      <c r="MSB48" s="16"/>
      <c r="MSC48" s="16"/>
      <c r="MSD48" s="16"/>
      <c r="MSE48" s="16"/>
      <c r="MSF48" s="16"/>
      <c r="MSG48" s="16"/>
      <c r="MSH48" s="16"/>
      <c r="MSI48" s="16"/>
      <c r="MSJ48" s="16"/>
      <c r="MSK48" s="16"/>
      <c r="MSL48" s="16"/>
      <c r="MSM48" s="16"/>
      <c r="MSN48" s="16"/>
      <c r="MSO48" s="16"/>
      <c r="MSP48" s="16"/>
      <c r="MSQ48" s="16"/>
      <c r="MSR48" s="16"/>
      <c r="MSS48" s="16"/>
      <c r="MST48" s="16"/>
      <c r="MSU48" s="16"/>
      <c r="MSV48" s="16"/>
      <c r="MSW48" s="16"/>
      <c r="MSX48" s="16"/>
      <c r="MSY48" s="16"/>
      <c r="MSZ48" s="16"/>
      <c r="MTA48" s="16"/>
      <c r="MTB48" s="16"/>
      <c r="MTC48" s="16"/>
      <c r="MTD48" s="16"/>
      <c r="MTE48" s="16"/>
      <c r="MTF48" s="16"/>
      <c r="MTG48" s="16"/>
      <c r="MTH48" s="16"/>
      <c r="MTI48" s="16"/>
      <c r="MTJ48" s="16"/>
      <c r="MTK48" s="16"/>
      <c r="MTL48" s="16"/>
      <c r="MTM48" s="16"/>
      <c r="MTN48" s="16"/>
      <c r="MTO48" s="16"/>
      <c r="MTP48" s="16"/>
      <c r="MTQ48" s="16"/>
      <c r="MTR48" s="16"/>
      <c r="MTS48" s="16"/>
      <c r="MTT48" s="16"/>
      <c r="MTU48" s="16"/>
      <c r="MTV48" s="16"/>
      <c r="MTW48" s="16"/>
      <c r="MTX48" s="16"/>
      <c r="MTY48" s="16"/>
      <c r="MTZ48" s="16"/>
      <c r="MUA48" s="16"/>
      <c r="MUB48" s="16"/>
      <c r="MUC48" s="16"/>
      <c r="MUD48" s="16"/>
      <c r="MUE48" s="16"/>
      <c r="MUF48" s="16"/>
      <c r="MUG48" s="16"/>
      <c r="MUH48" s="16"/>
      <c r="MUI48" s="16"/>
      <c r="MUJ48" s="16"/>
      <c r="MUK48" s="16"/>
      <c r="MUL48" s="16"/>
      <c r="MUM48" s="16"/>
      <c r="MUN48" s="16"/>
      <c r="MUO48" s="16"/>
      <c r="MUP48" s="16"/>
      <c r="MUQ48" s="16"/>
      <c r="MUR48" s="16"/>
      <c r="MUS48" s="16"/>
      <c r="MUT48" s="16"/>
      <c r="MUU48" s="16"/>
      <c r="MUV48" s="16"/>
      <c r="MUW48" s="16"/>
      <c r="MUX48" s="16"/>
      <c r="MUY48" s="16"/>
      <c r="MUZ48" s="16"/>
      <c r="MVA48" s="16"/>
      <c r="MVB48" s="16"/>
      <c r="MVC48" s="16"/>
      <c r="MVD48" s="16"/>
      <c r="MVE48" s="16"/>
      <c r="MVF48" s="16"/>
      <c r="MVG48" s="16"/>
      <c r="MVH48" s="16"/>
      <c r="MVI48" s="16"/>
      <c r="MVJ48" s="16"/>
      <c r="MVK48" s="16"/>
      <c r="MVL48" s="16"/>
      <c r="MVM48" s="16"/>
      <c r="MVN48" s="16"/>
      <c r="MVO48" s="16"/>
      <c r="MVP48" s="16"/>
      <c r="MVQ48" s="16"/>
      <c r="MVR48" s="16"/>
      <c r="MVS48" s="16"/>
      <c r="MVT48" s="16"/>
      <c r="MVU48" s="16"/>
      <c r="MVV48" s="16"/>
      <c r="MVW48" s="16"/>
      <c r="MVX48" s="16"/>
      <c r="MVY48" s="16"/>
      <c r="MVZ48" s="16"/>
      <c r="MWA48" s="16"/>
      <c r="MWB48" s="16"/>
      <c r="MWC48" s="16"/>
      <c r="MWD48" s="16"/>
      <c r="MWE48" s="16"/>
      <c r="MWF48" s="16"/>
      <c r="MWG48" s="16"/>
      <c r="MWH48" s="16"/>
      <c r="MWI48" s="16"/>
      <c r="MWJ48" s="16"/>
      <c r="MWK48" s="16"/>
      <c r="MWL48" s="16"/>
      <c r="MWM48" s="16"/>
      <c r="MWN48" s="16"/>
      <c r="MWO48" s="16"/>
      <c r="MWP48" s="16"/>
      <c r="MWQ48" s="16"/>
      <c r="MWR48" s="16"/>
      <c r="MWS48" s="16"/>
      <c r="MWT48" s="16"/>
      <c r="MWU48" s="16"/>
      <c r="MWV48" s="16"/>
      <c r="MWW48" s="16"/>
      <c r="MWX48" s="16"/>
      <c r="MWY48" s="16"/>
      <c r="MWZ48" s="16"/>
      <c r="MXA48" s="16"/>
      <c r="MXB48" s="16"/>
      <c r="MXC48" s="16"/>
      <c r="MXD48" s="16"/>
      <c r="MXE48" s="16"/>
      <c r="MXF48" s="16"/>
      <c r="MXG48" s="16"/>
      <c r="MXH48" s="16"/>
      <c r="MXI48" s="16"/>
      <c r="MXJ48" s="16"/>
      <c r="MXK48" s="16"/>
      <c r="MXL48" s="16"/>
      <c r="MXM48" s="16"/>
      <c r="MXN48" s="16"/>
      <c r="MXO48" s="16"/>
      <c r="MXP48" s="16"/>
      <c r="MXQ48" s="16"/>
      <c r="MXR48" s="16"/>
      <c r="MXS48" s="16"/>
      <c r="MXT48" s="16"/>
      <c r="MXU48" s="16"/>
      <c r="MXV48" s="16"/>
      <c r="MXW48" s="16"/>
      <c r="MXX48" s="16"/>
      <c r="MXY48" s="16"/>
      <c r="MXZ48" s="16"/>
      <c r="MYA48" s="16"/>
      <c r="MYB48" s="16"/>
      <c r="MYC48" s="16"/>
      <c r="MYD48" s="16"/>
      <c r="MYE48" s="16"/>
      <c r="MYF48" s="16"/>
      <c r="MYG48" s="16"/>
      <c r="MYH48" s="16"/>
      <c r="MYI48" s="16"/>
      <c r="MYJ48" s="16"/>
      <c r="MYK48" s="16"/>
      <c r="MYL48" s="16"/>
      <c r="MYM48" s="16"/>
      <c r="MYN48" s="16"/>
      <c r="MYO48" s="16"/>
      <c r="MYP48" s="16"/>
      <c r="MYQ48" s="16"/>
      <c r="MYR48" s="16"/>
      <c r="MYS48" s="16"/>
      <c r="MYT48" s="16"/>
      <c r="MYU48" s="16"/>
      <c r="MYV48" s="16"/>
      <c r="MYW48" s="16"/>
      <c r="MYX48" s="16"/>
      <c r="MYY48" s="16"/>
      <c r="MYZ48" s="16"/>
      <c r="MZA48" s="16"/>
      <c r="MZB48" s="16"/>
      <c r="MZC48" s="16"/>
      <c r="MZD48" s="16"/>
      <c r="MZE48" s="16"/>
      <c r="MZF48" s="16"/>
      <c r="MZG48" s="16"/>
      <c r="MZH48" s="16"/>
      <c r="MZI48" s="16"/>
      <c r="MZJ48" s="16"/>
      <c r="MZK48" s="16"/>
      <c r="MZL48" s="16"/>
      <c r="MZM48" s="16"/>
      <c r="MZN48" s="16"/>
      <c r="MZO48" s="16"/>
      <c r="MZP48" s="16"/>
      <c r="MZQ48" s="16"/>
      <c r="MZR48" s="16"/>
      <c r="MZS48" s="16"/>
      <c r="MZT48" s="16"/>
      <c r="MZU48" s="16"/>
      <c r="MZV48" s="16"/>
      <c r="MZW48" s="16"/>
      <c r="MZX48" s="16"/>
      <c r="MZY48" s="16"/>
      <c r="MZZ48" s="16"/>
      <c r="NAA48" s="16"/>
      <c r="NAB48" s="16"/>
      <c r="NAC48" s="16"/>
      <c r="NAD48" s="16"/>
      <c r="NAE48" s="16"/>
      <c r="NAF48" s="16"/>
      <c r="NAG48" s="16"/>
      <c r="NAH48" s="16"/>
      <c r="NAI48" s="16"/>
      <c r="NAJ48" s="16"/>
      <c r="NAK48" s="16"/>
      <c r="NAL48" s="16"/>
      <c r="NAM48" s="16"/>
      <c r="NAN48" s="16"/>
      <c r="NAO48" s="16"/>
      <c r="NAP48" s="16"/>
      <c r="NAQ48" s="16"/>
      <c r="NAR48" s="16"/>
      <c r="NAS48" s="16"/>
      <c r="NAT48" s="16"/>
      <c r="NAU48" s="16"/>
      <c r="NAV48" s="16"/>
      <c r="NAW48" s="16"/>
      <c r="NAX48" s="16"/>
      <c r="NAY48" s="16"/>
      <c r="NAZ48" s="16"/>
      <c r="NBA48" s="16"/>
      <c r="NBB48" s="16"/>
      <c r="NBC48" s="16"/>
      <c r="NBD48" s="16"/>
      <c r="NBE48" s="16"/>
      <c r="NBF48" s="16"/>
      <c r="NBG48" s="16"/>
      <c r="NBH48" s="16"/>
      <c r="NBI48" s="16"/>
      <c r="NBJ48" s="16"/>
      <c r="NBK48" s="16"/>
      <c r="NBL48" s="16"/>
      <c r="NBM48" s="16"/>
      <c r="NBN48" s="16"/>
      <c r="NBO48" s="16"/>
      <c r="NBP48" s="16"/>
      <c r="NBQ48" s="16"/>
      <c r="NBR48" s="16"/>
      <c r="NBS48" s="16"/>
      <c r="NBT48" s="16"/>
      <c r="NBU48" s="16"/>
      <c r="NBV48" s="16"/>
      <c r="NBW48" s="16"/>
      <c r="NBX48" s="16"/>
      <c r="NBY48" s="16"/>
      <c r="NBZ48" s="16"/>
      <c r="NCA48" s="16"/>
      <c r="NCB48" s="16"/>
      <c r="NCC48" s="16"/>
      <c r="NCD48" s="16"/>
      <c r="NCE48" s="16"/>
      <c r="NCF48" s="16"/>
      <c r="NCG48" s="16"/>
      <c r="NCH48" s="16"/>
      <c r="NCI48" s="16"/>
      <c r="NCJ48" s="16"/>
      <c r="NCK48" s="16"/>
      <c r="NCL48" s="16"/>
      <c r="NCM48" s="16"/>
      <c r="NCN48" s="16"/>
      <c r="NCO48" s="16"/>
      <c r="NCP48" s="16"/>
      <c r="NCQ48" s="16"/>
      <c r="NCR48" s="16"/>
      <c r="NCS48" s="16"/>
      <c r="NCT48" s="16"/>
      <c r="NCU48" s="16"/>
      <c r="NCV48" s="16"/>
      <c r="NCW48" s="16"/>
      <c r="NCX48" s="16"/>
      <c r="NCY48" s="16"/>
      <c r="NCZ48" s="16"/>
      <c r="NDA48" s="16"/>
      <c r="NDB48" s="16"/>
      <c r="NDC48" s="16"/>
      <c r="NDD48" s="16"/>
      <c r="NDE48" s="16"/>
      <c r="NDF48" s="16"/>
      <c r="NDG48" s="16"/>
      <c r="NDH48" s="16"/>
      <c r="NDI48" s="16"/>
      <c r="NDJ48" s="16"/>
      <c r="NDK48" s="16"/>
      <c r="NDL48" s="16"/>
      <c r="NDM48" s="16"/>
      <c r="NDN48" s="16"/>
      <c r="NDO48" s="16"/>
      <c r="NDP48" s="16"/>
      <c r="NDQ48" s="16"/>
      <c r="NDR48" s="16"/>
      <c r="NDS48" s="16"/>
      <c r="NDT48" s="16"/>
      <c r="NDU48" s="16"/>
      <c r="NDV48" s="16"/>
      <c r="NDW48" s="16"/>
      <c r="NDX48" s="16"/>
      <c r="NDY48" s="16"/>
      <c r="NDZ48" s="16"/>
      <c r="NEA48" s="16"/>
      <c r="NEB48" s="16"/>
      <c r="NEC48" s="16"/>
      <c r="NED48" s="16"/>
      <c r="NEE48" s="16"/>
      <c r="NEF48" s="16"/>
      <c r="NEG48" s="16"/>
      <c r="NEH48" s="16"/>
      <c r="NEI48" s="16"/>
      <c r="NEJ48" s="16"/>
      <c r="NEK48" s="16"/>
      <c r="NEL48" s="16"/>
      <c r="NEM48" s="16"/>
      <c r="NEN48" s="16"/>
      <c r="NEO48" s="16"/>
      <c r="NEP48" s="16"/>
      <c r="NEQ48" s="16"/>
      <c r="NER48" s="16"/>
      <c r="NES48" s="16"/>
      <c r="NET48" s="16"/>
      <c r="NEU48" s="16"/>
      <c r="NEV48" s="16"/>
      <c r="NEW48" s="16"/>
      <c r="NEX48" s="16"/>
      <c r="NEY48" s="16"/>
      <c r="NEZ48" s="16"/>
      <c r="NFA48" s="16"/>
      <c r="NFB48" s="16"/>
      <c r="NFC48" s="16"/>
      <c r="NFD48" s="16"/>
      <c r="NFE48" s="16"/>
      <c r="NFF48" s="16"/>
      <c r="NFG48" s="16"/>
      <c r="NFH48" s="16"/>
      <c r="NFI48" s="16"/>
      <c r="NFJ48" s="16"/>
      <c r="NFK48" s="16"/>
      <c r="NFL48" s="16"/>
      <c r="NFM48" s="16"/>
      <c r="NFN48" s="16"/>
      <c r="NFO48" s="16"/>
      <c r="NFP48" s="16"/>
      <c r="NFQ48" s="16"/>
      <c r="NFR48" s="16"/>
      <c r="NFS48" s="16"/>
      <c r="NFT48" s="16"/>
      <c r="NFU48" s="16"/>
      <c r="NFV48" s="16"/>
      <c r="NFW48" s="16"/>
      <c r="NFX48" s="16"/>
      <c r="NFY48" s="16"/>
      <c r="NFZ48" s="16"/>
      <c r="NGA48" s="16"/>
      <c r="NGB48" s="16"/>
      <c r="NGC48" s="16"/>
      <c r="NGD48" s="16"/>
      <c r="NGE48" s="16"/>
      <c r="NGF48" s="16"/>
      <c r="NGG48" s="16"/>
      <c r="NGH48" s="16"/>
      <c r="NGI48" s="16"/>
      <c r="NGJ48" s="16"/>
      <c r="NGK48" s="16"/>
      <c r="NGL48" s="16"/>
      <c r="NGM48" s="16"/>
      <c r="NGN48" s="16"/>
      <c r="NGO48" s="16"/>
      <c r="NGP48" s="16"/>
      <c r="NGQ48" s="16"/>
      <c r="NGR48" s="16"/>
      <c r="NGS48" s="16"/>
      <c r="NGT48" s="16"/>
      <c r="NGU48" s="16"/>
      <c r="NGV48" s="16"/>
      <c r="NGW48" s="16"/>
      <c r="NGX48" s="16"/>
      <c r="NGY48" s="16"/>
      <c r="NGZ48" s="16"/>
      <c r="NHA48" s="16"/>
      <c r="NHB48" s="16"/>
      <c r="NHC48" s="16"/>
      <c r="NHD48" s="16"/>
      <c r="NHE48" s="16"/>
      <c r="NHF48" s="16"/>
      <c r="NHG48" s="16"/>
      <c r="NHH48" s="16"/>
      <c r="NHI48" s="16"/>
      <c r="NHJ48" s="16"/>
      <c r="NHK48" s="16"/>
      <c r="NHL48" s="16"/>
      <c r="NHM48" s="16"/>
      <c r="NHN48" s="16"/>
      <c r="NHO48" s="16"/>
      <c r="NHP48" s="16"/>
      <c r="NHQ48" s="16"/>
      <c r="NHR48" s="16"/>
      <c r="NHS48" s="16"/>
      <c r="NHT48" s="16"/>
      <c r="NHU48" s="16"/>
      <c r="NHV48" s="16"/>
      <c r="NHW48" s="16"/>
      <c r="NHX48" s="16"/>
      <c r="NHY48" s="16"/>
      <c r="NHZ48" s="16"/>
      <c r="NIA48" s="16"/>
      <c r="NIB48" s="16"/>
      <c r="NIC48" s="16"/>
      <c r="NID48" s="16"/>
      <c r="NIE48" s="16"/>
      <c r="NIF48" s="16"/>
      <c r="NIG48" s="16"/>
      <c r="NIH48" s="16"/>
      <c r="NII48" s="16"/>
      <c r="NIJ48" s="16"/>
      <c r="NIK48" s="16"/>
      <c r="NIL48" s="16"/>
      <c r="NIM48" s="16"/>
      <c r="NIN48" s="16"/>
      <c r="NIO48" s="16"/>
      <c r="NIP48" s="16"/>
      <c r="NIQ48" s="16"/>
      <c r="NIR48" s="16"/>
      <c r="NIS48" s="16"/>
      <c r="NIT48" s="16"/>
      <c r="NIU48" s="16"/>
      <c r="NIV48" s="16"/>
      <c r="NIW48" s="16"/>
      <c r="NIX48" s="16"/>
      <c r="NIY48" s="16"/>
      <c r="NIZ48" s="16"/>
      <c r="NJA48" s="16"/>
      <c r="NJB48" s="16"/>
      <c r="NJC48" s="16"/>
      <c r="NJD48" s="16"/>
      <c r="NJE48" s="16"/>
      <c r="NJF48" s="16"/>
      <c r="NJG48" s="16"/>
      <c r="NJH48" s="16"/>
      <c r="NJI48" s="16"/>
      <c r="NJJ48" s="16"/>
      <c r="NJK48" s="16"/>
      <c r="NJL48" s="16"/>
      <c r="NJM48" s="16"/>
      <c r="NJN48" s="16"/>
      <c r="NJO48" s="16"/>
      <c r="NJP48" s="16"/>
      <c r="NJQ48" s="16"/>
      <c r="NJR48" s="16"/>
      <c r="NJS48" s="16"/>
      <c r="NJT48" s="16"/>
      <c r="NJU48" s="16"/>
      <c r="NJV48" s="16"/>
      <c r="NJW48" s="16"/>
      <c r="NJX48" s="16"/>
      <c r="NJY48" s="16"/>
      <c r="NJZ48" s="16"/>
      <c r="NKA48" s="16"/>
      <c r="NKB48" s="16"/>
      <c r="NKC48" s="16"/>
      <c r="NKD48" s="16"/>
      <c r="NKE48" s="16"/>
      <c r="NKF48" s="16"/>
      <c r="NKG48" s="16"/>
      <c r="NKH48" s="16"/>
      <c r="NKI48" s="16"/>
      <c r="NKJ48" s="16"/>
      <c r="NKK48" s="16"/>
      <c r="NKL48" s="16"/>
      <c r="NKM48" s="16"/>
      <c r="NKN48" s="16"/>
      <c r="NKO48" s="16"/>
      <c r="NKP48" s="16"/>
      <c r="NKQ48" s="16"/>
      <c r="NKR48" s="16"/>
      <c r="NKS48" s="16"/>
      <c r="NKT48" s="16"/>
      <c r="NKU48" s="16"/>
      <c r="NKV48" s="16"/>
      <c r="NKW48" s="16"/>
      <c r="NKX48" s="16"/>
      <c r="NKY48" s="16"/>
      <c r="NKZ48" s="16"/>
      <c r="NLA48" s="16"/>
      <c r="NLB48" s="16"/>
      <c r="NLC48" s="16"/>
      <c r="NLD48" s="16"/>
      <c r="NLE48" s="16"/>
      <c r="NLF48" s="16"/>
      <c r="NLG48" s="16"/>
      <c r="NLH48" s="16"/>
      <c r="NLI48" s="16"/>
      <c r="NLJ48" s="16"/>
      <c r="NLK48" s="16"/>
      <c r="NLL48" s="16"/>
      <c r="NLM48" s="16"/>
      <c r="NLN48" s="16"/>
      <c r="NLO48" s="16"/>
      <c r="NLP48" s="16"/>
      <c r="NLQ48" s="16"/>
      <c r="NLR48" s="16"/>
      <c r="NLS48" s="16"/>
      <c r="NLT48" s="16"/>
      <c r="NLU48" s="16"/>
      <c r="NLV48" s="16"/>
      <c r="NLW48" s="16"/>
      <c r="NLX48" s="16"/>
      <c r="NLY48" s="16"/>
      <c r="NLZ48" s="16"/>
      <c r="NMA48" s="16"/>
      <c r="NMB48" s="16"/>
      <c r="NMC48" s="16"/>
      <c r="NMD48" s="16"/>
      <c r="NME48" s="16"/>
      <c r="NMF48" s="16"/>
      <c r="NMG48" s="16"/>
      <c r="NMH48" s="16"/>
      <c r="NMI48" s="16"/>
      <c r="NMJ48" s="16"/>
      <c r="NMK48" s="16"/>
      <c r="NML48" s="16"/>
      <c r="NMM48" s="16"/>
      <c r="NMN48" s="16"/>
      <c r="NMO48" s="16"/>
      <c r="NMP48" s="16"/>
      <c r="NMQ48" s="16"/>
      <c r="NMR48" s="16"/>
      <c r="NMS48" s="16"/>
      <c r="NMT48" s="16"/>
      <c r="NMU48" s="16"/>
      <c r="NMV48" s="16"/>
      <c r="NMW48" s="16"/>
      <c r="NMX48" s="16"/>
      <c r="NMY48" s="16"/>
      <c r="NMZ48" s="16"/>
      <c r="NNA48" s="16"/>
      <c r="NNB48" s="16"/>
      <c r="NNC48" s="16"/>
      <c r="NND48" s="16"/>
      <c r="NNE48" s="16"/>
      <c r="NNF48" s="16"/>
      <c r="NNG48" s="16"/>
      <c r="NNH48" s="16"/>
      <c r="NNI48" s="16"/>
      <c r="NNJ48" s="16"/>
      <c r="NNK48" s="16"/>
      <c r="NNL48" s="16"/>
      <c r="NNM48" s="16"/>
      <c r="NNN48" s="16"/>
      <c r="NNO48" s="16"/>
      <c r="NNP48" s="16"/>
      <c r="NNQ48" s="16"/>
      <c r="NNR48" s="16"/>
      <c r="NNS48" s="16"/>
      <c r="NNT48" s="16"/>
      <c r="NNU48" s="16"/>
      <c r="NNV48" s="16"/>
      <c r="NNW48" s="16"/>
      <c r="NNX48" s="16"/>
      <c r="NNY48" s="16"/>
      <c r="NNZ48" s="16"/>
      <c r="NOA48" s="16"/>
      <c r="NOB48" s="16"/>
      <c r="NOC48" s="16"/>
      <c r="NOD48" s="16"/>
      <c r="NOE48" s="16"/>
      <c r="NOF48" s="16"/>
      <c r="NOG48" s="16"/>
      <c r="NOH48" s="16"/>
      <c r="NOI48" s="16"/>
      <c r="NOJ48" s="16"/>
      <c r="NOK48" s="16"/>
      <c r="NOL48" s="16"/>
      <c r="NOM48" s="16"/>
      <c r="NON48" s="16"/>
      <c r="NOO48" s="16"/>
      <c r="NOP48" s="16"/>
      <c r="NOQ48" s="16"/>
      <c r="NOR48" s="16"/>
      <c r="NOS48" s="16"/>
      <c r="NOT48" s="16"/>
      <c r="NOU48" s="16"/>
      <c r="NOV48" s="16"/>
      <c r="NOW48" s="16"/>
      <c r="NOX48" s="16"/>
      <c r="NOY48" s="16"/>
      <c r="NOZ48" s="16"/>
      <c r="NPA48" s="16"/>
      <c r="NPB48" s="16"/>
      <c r="NPC48" s="16"/>
      <c r="NPD48" s="16"/>
      <c r="NPE48" s="16"/>
      <c r="NPF48" s="16"/>
      <c r="NPG48" s="16"/>
      <c r="NPH48" s="16"/>
      <c r="NPI48" s="16"/>
      <c r="NPJ48" s="16"/>
      <c r="NPK48" s="16"/>
      <c r="NPL48" s="16"/>
      <c r="NPM48" s="16"/>
      <c r="NPN48" s="16"/>
      <c r="NPO48" s="16"/>
      <c r="NPP48" s="16"/>
      <c r="NPQ48" s="16"/>
      <c r="NPR48" s="16"/>
      <c r="NPS48" s="16"/>
      <c r="NPT48" s="16"/>
      <c r="NPU48" s="16"/>
      <c r="NPV48" s="16"/>
      <c r="NPW48" s="16"/>
      <c r="NPX48" s="16"/>
      <c r="NPY48" s="16"/>
      <c r="NPZ48" s="16"/>
      <c r="NQA48" s="16"/>
      <c r="NQB48" s="16"/>
      <c r="NQC48" s="16"/>
      <c r="NQD48" s="16"/>
      <c r="NQE48" s="16"/>
      <c r="NQF48" s="16"/>
      <c r="NQG48" s="16"/>
      <c r="NQH48" s="16"/>
      <c r="NQI48" s="16"/>
      <c r="NQJ48" s="16"/>
      <c r="NQK48" s="16"/>
      <c r="NQL48" s="16"/>
      <c r="NQM48" s="16"/>
      <c r="NQN48" s="16"/>
      <c r="NQO48" s="16"/>
      <c r="NQP48" s="16"/>
      <c r="NQQ48" s="16"/>
      <c r="NQR48" s="16"/>
      <c r="NQS48" s="16"/>
      <c r="NQT48" s="16"/>
      <c r="NQU48" s="16"/>
      <c r="NQV48" s="16"/>
      <c r="NQW48" s="16"/>
      <c r="NQX48" s="16"/>
      <c r="NQY48" s="16"/>
      <c r="NQZ48" s="16"/>
      <c r="NRA48" s="16"/>
      <c r="NRB48" s="16"/>
      <c r="NRC48" s="16"/>
      <c r="NRD48" s="16"/>
      <c r="NRE48" s="16"/>
      <c r="NRF48" s="16"/>
      <c r="NRG48" s="16"/>
      <c r="NRH48" s="16"/>
      <c r="NRI48" s="16"/>
      <c r="NRJ48" s="16"/>
      <c r="NRK48" s="16"/>
      <c r="NRL48" s="16"/>
      <c r="NRM48" s="16"/>
      <c r="NRN48" s="16"/>
      <c r="NRO48" s="16"/>
      <c r="NRP48" s="16"/>
      <c r="NRQ48" s="16"/>
      <c r="NRR48" s="16"/>
      <c r="NRS48" s="16"/>
      <c r="NRT48" s="16"/>
      <c r="NRU48" s="16"/>
      <c r="NRV48" s="16"/>
      <c r="NRW48" s="16"/>
      <c r="NRX48" s="16"/>
      <c r="NRY48" s="16"/>
      <c r="NRZ48" s="16"/>
      <c r="NSA48" s="16"/>
      <c r="NSB48" s="16"/>
      <c r="NSC48" s="16"/>
      <c r="NSD48" s="16"/>
      <c r="NSE48" s="16"/>
      <c r="NSF48" s="16"/>
      <c r="NSG48" s="16"/>
      <c r="NSH48" s="16"/>
      <c r="NSI48" s="16"/>
      <c r="NSJ48" s="16"/>
      <c r="NSK48" s="16"/>
      <c r="NSL48" s="16"/>
      <c r="NSM48" s="16"/>
      <c r="NSN48" s="16"/>
      <c r="NSO48" s="16"/>
      <c r="NSP48" s="16"/>
      <c r="NSQ48" s="16"/>
      <c r="NSR48" s="16"/>
      <c r="NSS48" s="16"/>
      <c r="NST48" s="16"/>
      <c r="NSU48" s="16"/>
      <c r="NSV48" s="16"/>
      <c r="NSW48" s="16"/>
      <c r="NSX48" s="16"/>
      <c r="NSY48" s="16"/>
      <c r="NSZ48" s="16"/>
      <c r="NTA48" s="16"/>
      <c r="NTB48" s="16"/>
      <c r="NTC48" s="16"/>
      <c r="NTD48" s="16"/>
      <c r="NTE48" s="16"/>
      <c r="NTF48" s="16"/>
      <c r="NTG48" s="16"/>
      <c r="NTH48" s="16"/>
      <c r="NTI48" s="16"/>
      <c r="NTJ48" s="16"/>
      <c r="NTK48" s="16"/>
      <c r="NTL48" s="16"/>
      <c r="NTM48" s="16"/>
      <c r="NTN48" s="16"/>
      <c r="NTO48" s="16"/>
      <c r="NTP48" s="16"/>
      <c r="NTQ48" s="16"/>
      <c r="NTR48" s="16"/>
      <c r="NTS48" s="16"/>
      <c r="NTT48" s="16"/>
      <c r="NTU48" s="16"/>
      <c r="NTV48" s="16"/>
      <c r="NTW48" s="16"/>
      <c r="NTX48" s="16"/>
      <c r="NTY48" s="16"/>
      <c r="NTZ48" s="16"/>
      <c r="NUA48" s="16"/>
      <c r="NUB48" s="16"/>
      <c r="NUC48" s="16"/>
      <c r="NUD48" s="16"/>
      <c r="NUE48" s="16"/>
      <c r="NUF48" s="16"/>
      <c r="NUG48" s="16"/>
      <c r="NUH48" s="16"/>
      <c r="NUI48" s="16"/>
      <c r="NUJ48" s="16"/>
      <c r="NUK48" s="16"/>
      <c r="NUL48" s="16"/>
      <c r="NUM48" s="16"/>
      <c r="NUN48" s="16"/>
      <c r="NUO48" s="16"/>
      <c r="NUP48" s="16"/>
      <c r="NUQ48" s="16"/>
      <c r="NUR48" s="16"/>
      <c r="NUS48" s="16"/>
      <c r="NUT48" s="16"/>
      <c r="NUU48" s="16"/>
      <c r="NUV48" s="16"/>
      <c r="NUW48" s="16"/>
      <c r="NUX48" s="16"/>
      <c r="NUY48" s="16"/>
      <c r="NUZ48" s="16"/>
      <c r="NVA48" s="16"/>
      <c r="NVB48" s="16"/>
      <c r="NVC48" s="16"/>
      <c r="NVD48" s="16"/>
      <c r="NVE48" s="16"/>
      <c r="NVF48" s="16"/>
      <c r="NVG48" s="16"/>
      <c r="NVH48" s="16"/>
      <c r="NVI48" s="16"/>
      <c r="NVJ48" s="16"/>
      <c r="NVK48" s="16"/>
      <c r="NVL48" s="16"/>
      <c r="NVM48" s="16"/>
      <c r="NVN48" s="16"/>
      <c r="NVO48" s="16"/>
      <c r="NVP48" s="16"/>
      <c r="NVQ48" s="16"/>
      <c r="NVR48" s="16"/>
      <c r="NVS48" s="16"/>
      <c r="NVT48" s="16"/>
      <c r="NVU48" s="16"/>
      <c r="NVV48" s="16"/>
      <c r="NVW48" s="16"/>
      <c r="NVX48" s="16"/>
      <c r="NVY48" s="16"/>
      <c r="NVZ48" s="16"/>
      <c r="NWA48" s="16"/>
      <c r="NWB48" s="16"/>
      <c r="NWC48" s="16"/>
      <c r="NWD48" s="16"/>
      <c r="NWE48" s="16"/>
      <c r="NWF48" s="16"/>
      <c r="NWG48" s="16"/>
      <c r="NWH48" s="16"/>
      <c r="NWI48" s="16"/>
      <c r="NWJ48" s="16"/>
      <c r="NWK48" s="16"/>
      <c r="NWL48" s="16"/>
      <c r="NWM48" s="16"/>
      <c r="NWN48" s="16"/>
      <c r="NWO48" s="16"/>
      <c r="NWP48" s="16"/>
      <c r="NWQ48" s="16"/>
      <c r="NWR48" s="16"/>
      <c r="NWS48" s="16"/>
      <c r="NWT48" s="16"/>
      <c r="NWU48" s="16"/>
      <c r="NWV48" s="16"/>
      <c r="NWW48" s="16"/>
      <c r="NWX48" s="16"/>
      <c r="NWY48" s="16"/>
      <c r="NWZ48" s="16"/>
      <c r="NXA48" s="16"/>
      <c r="NXB48" s="16"/>
      <c r="NXC48" s="16"/>
      <c r="NXD48" s="16"/>
      <c r="NXE48" s="16"/>
      <c r="NXF48" s="16"/>
      <c r="NXG48" s="16"/>
      <c r="NXH48" s="16"/>
      <c r="NXI48" s="16"/>
      <c r="NXJ48" s="16"/>
      <c r="NXK48" s="16"/>
      <c r="NXL48" s="16"/>
      <c r="NXM48" s="16"/>
      <c r="NXN48" s="16"/>
      <c r="NXO48" s="16"/>
      <c r="NXP48" s="16"/>
      <c r="NXQ48" s="16"/>
      <c r="NXR48" s="16"/>
      <c r="NXS48" s="16"/>
      <c r="NXT48" s="16"/>
      <c r="NXU48" s="16"/>
      <c r="NXV48" s="16"/>
      <c r="NXW48" s="16"/>
      <c r="NXX48" s="16"/>
      <c r="NXY48" s="16"/>
      <c r="NXZ48" s="16"/>
      <c r="NYA48" s="16"/>
      <c r="NYB48" s="16"/>
      <c r="NYC48" s="16"/>
      <c r="NYD48" s="16"/>
      <c r="NYE48" s="16"/>
      <c r="NYF48" s="16"/>
      <c r="NYG48" s="16"/>
      <c r="NYH48" s="16"/>
      <c r="NYI48" s="16"/>
      <c r="NYJ48" s="16"/>
      <c r="NYK48" s="16"/>
      <c r="NYL48" s="16"/>
      <c r="NYM48" s="16"/>
      <c r="NYN48" s="16"/>
      <c r="NYO48" s="16"/>
      <c r="NYP48" s="16"/>
      <c r="NYQ48" s="16"/>
      <c r="NYR48" s="16"/>
      <c r="NYS48" s="16"/>
      <c r="NYT48" s="16"/>
      <c r="NYU48" s="16"/>
      <c r="NYV48" s="16"/>
      <c r="NYW48" s="16"/>
      <c r="NYX48" s="16"/>
      <c r="NYY48" s="16"/>
      <c r="NYZ48" s="16"/>
      <c r="NZA48" s="16"/>
      <c r="NZB48" s="16"/>
      <c r="NZC48" s="16"/>
      <c r="NZD48" s="16"/>
      <c r="NZE48" s="16"/>
      <c r="NZF48" s="16"/>
      <c r="NZG48" s="16"/>
      <c r="NZH48" s="16"/>
      <c r="NZI48" s="16"/>
      <c r="NZJ48" s="16"/>
      <c r="NZK48" s="16"/>
      <c r="NZL48" s="16"/>
      <c r="NZM48" s="16"/>
      <c r="NZN48" s="16"/>
      <c r="NZO48" s="16"/>
      <c r="NZP48" s="16"/>
      <c r="NZQ48" s="16"/>
      <c r="NZR48" s="16"/>
      <c r="NZS48" s="16"/>
      <c r="NZT48" s="16"/>
      <c r="NZU48" s="16"/>
      <c r="NZV48" s="16"/>
      <c r="NZW48" s="16"/>
      <c r="NZX48" s="16"/>
      <c r="NZY48" s="16"/>
      <c r="NZZ48" s="16"/>
      <c r="OAA48" s="16"/>
      <c r="OAB48" s="16"/>
      <c r="OAC48" s="16"/>
      <c r="OAD48" s="16"/>
      <c r="OAE48" s="16"/>
      <c r="OAF48" s="16"/>
      <c r="OAG48" s="16"/>
      <c r="OAH48" s="16"/>
      <c r="OAI48" s="16"/>
      <c r="OAJ48" s="16"/>
      <c r="OAK48" s="16"/>
      <c r="OAL48" s="16"/>
      <c r="OAM48" s="16"/>
      <c r="OAN48" s="16"/>
      <c r="OAO48" s="16"/>
      <c r="OAP48" s="16"/>
      <c r="OAQ48" s="16"/>
      <c r="OAR48" s="16"/>
      <c r="OAS48" s="16"/>
      <c r="OAT48" s="16"/>
      <c r="OAU48" s="16"/>
      <c r="OAV48" s="16"/>
      <c r="OAW48" s="16"/>
      <c r="OAX48" s="16"/>
      <c r="OAY48" s="16"/>
      <c r="OAZ48" s="16"/>
      <c r="OBA48" s="16"/>
      <c r="OBB48" s="16"/>
      <c r="OBC48" s="16"/>
      <c r="OBD48" s="16"/>
      <c r="OBE48" s="16"/>
      <c r="OBF48" s="16"/>
      <c r="OBG48" s="16"/>
      <c r="OBH48" s="16"/>
      <c r="OBI48" s="16"/>
      <c r="OBJ48" s="16"/>
      <c r="OBK48" s="16"/>
      <c r="OBL48" s="16"/>
      <c r="OBM48" s="16"/>
      <c r="OBN48" s="16"/>
      <c r="OBO48" s="16"/>
      <c r="OBP48" s="16"/>
      <c r="OBQ48" s="16"/>
      <c r="OBR48" s="16"/>
      <c r="OBS48" s="16"/>
      <c r="OBT48" s="16"/>
      <c r="OBU48" s="16"/>
      <c r="OBV48" s="16"/>
      <c r="OBW48" s="16"/>
      <c r="OBX48" s="16"/>
      <c r="OBY48" s="16"/>
      <c r="OBZ48" s="16"/>
      <c r="OCA48" s="16"/>
      <c r="OCB48" s="16"/>
      <c r="OCC48" s="16"/>
      <c r="OCD48" s="16"/>
      <c r="OCE48" s="16"/>
      <c r="OCF48" s="16"/>
      <c r="OCG48" s="16"/>
      <c r="OCH48" s="16"/>
      <c r="OCI48" s="16"/>
      <c r="OCJ48" s="16"/>
      <c r="OCK48" s="16"/>
      <c r="OCL48" s="16"/>
      <c r="OCM48" s="16"/>
      <c r="OCN48" s="16"/>
      <c r="OCO48" s="16"/>
      <c r="OCP48" s="16"/>
      <c r="OCQ48" s="16"/>
      <c r="OCR48" s="16"/>
      <c r="OCS48" s="16"/>
      <c r="OCT48" s="16"/>
      <c r="OCU48" s="16"/>
      <c r="OCV48" s="16"/>
      <c r="OCW48" s="16"/>
      <c r="OCX48" s="16"/>
      <c r="OCY48" s="16"/>
      <c r="OCZ48" s="16"/>
      <c r="ODA48" s="16"/>
      <c r="ODB48" s="16"/>
      <c r="ODC48" s="16"/>
      <c r="ODD48" s="16"/>
      <c r="ODE48" s="16"/>
      <c r="ODF48" s="16"/>
      <c r="ODG48" s="16"/>
      <c r="ODH48" s="16"/>
      <c r="ODI48" s="16"/>
      <c r="ODJ48" s="16"/>
      <c r="ODK48" s="16"/>
      <c r="ODL48" s="16"/>
      <c r="ODM48" s="16"/>
      <c r="ODN48" s="16"/>
      <c r="ODO48" s="16"/>
      <c r="ODP48" s="16"/>
      <c r="ODQ48" s="16"/>
      <c r="ODR48" s="16"/>
      <c r="ODS48" s="16"/>
      <c r="ODT48" s="16"/>
      <c r="ODU48" s="16"/>
      <c r="ODV48" s="16"/>
      <c r="ODW48" s="16"/>
      <c r="ODX48" s="16"/>
      <c r="ODY48" s="16"/>
      <c r="ODZ48" s="16"/>
      <c r="OEA48" s="16"/>
      <c r="OEB48" s="16"/>
      <c r="OEC48" s="16"/>
      <c r="OED48" s="16"/>
      <c r="OEE48" s="16"/>
      <c r="OEF48" s="16"/>
      <c r="OEG48" s="16"/>
      <c r="OEH48" s="16"/>
      <c r="OEI48" s="16"/>
      <c r="OEJ48" s="16"/>
      <c r="OEK48" s="16"/>
      <c r="OEL48" s="16"/>
      <c r="OEM48" s="16"/>
      <c r="OEN48" s="16"/>
      <c r="OEO48" s="16"/>
      <c r="OEP48" s="16"/>
      <c r="OEQ48" s="16"/>
      <c r="OER48" s="16"/>
      <c r="OES48" s="16"/>
      <c r="OET48" s="16"/>
      <c r="OEU48" s="16"/>
      <c r="OEV48" s="16"/>
      <c r="OEW48" s="16"/>
      <c r="OEX48" s="16"/>
      <c r="OEY48" s="16"/>
      <c r="OEZ48" s="16"/>
      <c r="OFA48" s="16"/>
      <c r="OFB48" s="16"/>
      <c r="OFC48" s="16"/>
      <c r="OFD48" s="16"/>
      <c r="OFE48" s="16"/>
      <c r="OFF48" s="16"/>
      <c r="OFG48" s="16"/>
      <c r="OFH48" s="16"/>
      <c r="OFI48" s="16"/>
      <c r="OFJ48" s="16"/>
      <c r="OFK48" s="16"/>
      <c r="OFL48" s="16"/>
      <c r="OFM48" s="16"/>
      <c r="OFN48" s="16"/>
      <c r="OFO48" s="16"/>
      <c r="OFP48" s="16"/>
      <c r="OFQ48" s="16"/>
      <c r="OFR48" s="16"/>
      <c r="OFS48" s="16"/>
      <c r="OFT48" s="16"/>
      <c r="OFU48" s="16"/>
      <c r="OFV48" s="16"/>
      <c r="OFW48" s="16"/>
      <c r="OFX48" s="16"/>
      <c r="OFY48" s="16"/>
      <c r="OFZ48" s="16"/>
      <c r="OGA48" s="16"/>
      <c r="OGB48" s="16"/>
      <c r="OGC48" s="16"/>
      <c r="OGD48" s="16"/>
      <c r="OGE48" s="16"/>
      <c r="OGF48" s="16"/>
      <c r="OGG48" s="16"/>
      <c r="OGH48" s="16"/>
      <c r="OGI48" s="16"/>
      <c r="OGJ48" s="16"/>
      <c r="OGK48" s="16"/>
      <c r="OGL48" s="16"/>
      <c r="OGM48" s="16"/>
      <c r="OGN48" s="16"/>
      <c r="OGO48" s="16"/>
      <c r="OGP48" s="16"/>
      <c r="OGQ48" s="16"/>
      <c r="OGR48" s="16"/>
      <c r="OGS48" s="16"/>
      <c r="OGT48" s="16"/>
      <c r="OGU48" s="16"/>
      <c r="OGV48" s="16"/>
      <c r="OGW48" s="16"/>
      <c r="OGX48" s="16"/>
      <c r="OGY48" s="16"/>
      <c r="OGZ48" s="16"/>
      <c r="OHA48" s="16"/>
      <c r="OHB48" s="16"/>
      <c r="OHC48" s="16"/>
      <c r="OHD48" s="16"/>
      <c r="OHE48" s="16"/>
      <c r="OHF48" s="16"/>
      <c r="OHG48" s="16"/>
      <c r="OHH48" s="16"/>
      <c r="OHI48" s="16"/>
      <c r="OHJ48" s="16"/>
      <c r="OHK48" s="16"/>
      <c r="OHL48" s="16"/>
      <c r="OHM48" s="16"/>
      <c r="OHN48" s="16"/>
      <c r="OHO48" s="16"/>
      <c r="OHP48" s="16"/>
      <c r="OHQ48" s="16"/>
      <c r="OHR48" s="16"/>
      <c r="OHS48" s="16"/>
      <c r="OHT48" s="16"/>
      <c r="OHU48" s="16"/>
      <c r="OHV48" s="16"/>
      <c r="OHW48" s="16"/>
      <c r="OHX48" s="16"/>
      <c r="OHY48" s="16"/>
      <c r="OHZ48" s="16"/>
      <c r="OIA48" s="16"/>
      <c r="OIB48" s="16"/>
      <c r="OIC48" s="16"/>
      <c r="OID48" s="16"/>
      <c r="OIE48" s="16"/>
      <c r="OIF48" s="16"/>
      <c r="OIG48" s="16"/>
      <c r="OIH48" s="16"/>
      <c r="OII48" s="16"/>
      <c r="OIJ48" s="16"/>
      <c r="OIK48" s="16"/>
      <c r="OIL48" s="16"/>
      <c r="OIM48" s="16"/>
      <c r="OIN48" s="16"/>
      <c r="OIO48" s="16"/>
      <c r="OIP48" s="16"/>
      <c r="OIQ48" s="16"/>
      <c r="OIR48" s="16"/>
      <c r="OIS48" s="16"/>
      <c r="OIT48" s="16"/>
      <c r="OIU48" s="16"/>
      <c r="OIV48" s="16"/>
      <c r="OIW48" s="16"/>
      <c r="OIX48" s="16"/>
      <c r="OIY48" s="16"/>
      <c r="OIZ48" s="16"/>
      <c r="OJA48" s="16"/>
      <c r="OJB48" s="16"/>
      <c r="OJC48" s="16"/>
      <c r="OJD48" s="16"/>
      <c r="OJE48" s="16"/>
      <c r="OJF48" s="16"/>
      <c r="OJG48" s="16"/>
      <c r="OJH48" s="16"/>
      <c r="OJI48" s="16"/>
      <c r="OJJ48" s="16"/>
      <c r="OJK48" s="16"/>
      <c r="OJL48" s="16"/>
      <c r="OJM48" s="16"/>
      <c r="OJN48" s="16"/>
      <c r="OJO48" s="16"/>
      <c r="OJP48" s="16"/>
      <c r="OJQ48" s="16"/>
      <c r="OJR48" s="16"/>
      <c r="OJS48" s="16"/>
      <c r="OJT48" s="16"/>
      <c r="OJU48" s="16"/>
      <c r="OJV48" s="16"/>
      <c r="OJW48" s="16"/>
      <c r="OJX48" s="16"/>
      <c r="OJY48" s="16"/>
      <c r="OJZ48" s="16"/>
      <c r="OKA48" s="16"/>
      <c r="OKB48" s="16"/>
      <c r="OKC48" s="16"/>
      <c r="OKD48" s="16"/>
      <c r="OKE48" s="16"/>
      <c r="OKF48" s="16"/>
      <c r="OKG48" s="16"/>
      <c r="OKH48" s="16"/>
      <c r="OKI48" s="16"/>
      <c r="OKJ48" s="16"/>
      <c r="OKK48" s="16"/>
      <c r="OKL48" s="16"/>
      <c r="OKM48" s="16"/>
      <c r="OKN48" s="16"/>
      <c r="OKO48" s="16"/>
      <c r="OKP48" s="16"/>
      <c r="OKQ48" s="16"/>
      <c r="OKR48" s="16"/>
      <c r="OKS48" s="16"/>
      <c r="OKT48" s="16"/>
      <c r="OKU48" s="16"/>
      <c r="OKV48" s="16"/>
      <c r="OKW48" s="16"/>
      <c r="OKX48" s="16"/>
      <c r="OKY48" s="16"/>
      <c r="OKZ48" s="16"/>
      <c r="OLA48" s="16"/>
      <c r="OLB48" s="16"/>
      <c r="OLC48" s="16"/>
      <c r="OLD48" s="16"/>
      <c r="OLE48" s="16"/>
      <c r="OLF48" s="16"/>
      <c r="OLG48" s="16"/>
      <c r="OLH48" s="16"/>
      <c r="OLI48" s="16"/>
      <c r="OLJ48" s="16"/>
      <c r="OLK48" s="16"/>
      <c r="OLL48" s="16"/>
      <c r="OLM48" s="16"/>
      <c r="OLN48" s="16"/>
      <c r="OLO48" s="16"/>
      <c r="OLP48" s="16"/>
      <c r="OLQ48" s="16"/>
      <c r="OLR48" s="16"/>
      <c r="OLS48" s="16"/>
      <c r="OLT48" s="16"/>
      <c r="OLU48" s="16"/>
      <c r="OLV48" s="16"/>
      <c r="OLW48" s="16"/>
      <c r="OLX48" s="16"/>
      <c r="OLY48" s="16"/>
      <c r="OLZ48" s="16"/>
      <c r="OMA48" s="16"/>
      <c r="OMB48" s="16"/>
      <c r="OMC48" s="16"/>
      <c r="OMD48" s="16"/>
      <c r="OME48" s="16"/>
      <c r="OMF48" s="16"/>
      <c r="OMG48" s="16"/>
      <c r="OMH48" s="16"/>
      <c r="OMI48" s="16"/>
      <c r="OMJ48" s="16"/>
      <c r="OMK48" s="16"/>
      <c r="OML48" s="16"/>
      <c r="OMM48" s="16"/>
      <c r="OMN48" s="16"/>
      <c r="OMO48" s="16"/>
      <c r="OMP48" s="16"/>
      <c r="OMQ48" s="16"/>
      <c r="OMR48" s="16"/>
      <c r="OMS48" s="16"/>
      <c r="OMT48" s="16"/>
      <c r="OMU48" s="16"/>
      <c r="OMV48" s="16"/>
      <c r="OMW48" s="16"/>
      <c r="OMX48" s="16"/>
      <c r="OMY48" s="16"/>
      <c r="OMZ48" s="16"/>
      <c r="ONA48" s="16"/>
      <c r="ONB48" s="16"/>
      <c r="ONC48" s="16"/>
      <c r="OND48" s="16"/>
      <c r="ONE48" s="16"/>
      <c r="ONF48" s="16"/>
      <c r="ONG48" s="16"/>
      <c r="ONH48" s="16"/>
      <c r="ONI48" s="16"/>
      <c r="ONJ48" s="16"/>
      <c r="ONK48" s="16"/>
      <c r="ONL48" s="16"/>
      <c r="ONM48" s="16"/>
      <c r="ONN48" s="16"/>
      <c r="ONO48" s="16"/>
      <c r="ONP48" s="16"/>
      <c r="ONQ48" s="16"/>
      <c r="ONR48" s="16"/>
      <c r="ONS48" s="16"/>
      <c r="ONT48" s="16"/>
      <c r="ONU48" s="16"/>
      <c r="ONV48" s="16"/>
      <c r="ONW48" s="16"/>
      <c r="ONX48" s="16"/>
      <c r="ONY48" s="16"/>
      <c r="ONZ48" s="16"/>
      <c r="OOA48" s="16"/>
      <c r="OOB48" s="16"/>
      <c r="OOC48" s="16"/>
      <c r="OOD48" s="16"/>
      <c r="OOE48" s="16"/>
      <c r="OOF48" s="16"/>
      <c r="OOG48" s="16"/>
      <c r="OOH48" s="16"/>
      <c r="OOI48" s="16"/>
      <c r="OOJ48" s="16"/>
      <c r="OOK48" s="16"/>
      <c r="OOL48" s="16"/>
      <c r="OOM48" s="16"/>
      <c r="OON48" s="16"/>
      <c r="OOO48" s="16"/>
      <c r="OOP48" s="16"/>
      <c r="OOQ48" s="16"/>
      <c r="OOR48" s="16"/>
      <c r="OOS48" s="16"/>
      <c r="OOT48" s="16"/>
      <c r="OOU48" s="16"/>
      <c r="OOV48" s="16"/>
      <c r="OOW48" s="16"/>
      <c r="OOX48" s="16"/>
      <c r="OOY48" s="16"/>
      <c r="OOZ48" s="16"/>
      <c r="OPA48" s="16"/>
      <c r="OPB48" s="16"/>
      <c r="OPC48" s="16"/>
      <c r="OPD48" s="16"/>
      <c r="OPE48" s="16"/>
      <c r="OPF48" s="16"/>
      <c r="OPG48" s="16"/>
      <c r="OPH48" s="16"/>
      <c r="OPI48" s="16"/>
      <c r="OPJ48" s="16"/>
      <c r="OPK48" s="16"/>
      <c r="OPL48" s="16"/>
      <c r="OPM48" s="16"/>
      <c r="OPN48" s="16"/>
      <c r="OPO48" s="16"/>
      <c r="OPP48" s="16"/>
      <c r="OPQ48" s="16"/>
      <c r="OPR48" s="16"/>
      <c r="OPS48" s="16"/>
      <c r="OPT48" s="16"/>
      <c r="OPU48" s="16"/>
      <c r="OPV48" s="16"/>
      <c r="OPW48" s="16"/>
      <c r="OPX48" s="16"/>
      <c r="OPY48" s="16"/>
      <c r="OPZ48" s="16"/>
      <c r="OQA48" s="16"/>
      <c r="OQB48" s="16"/>
      <c r="OQC48" s="16"/>
      <c r="OQD48" s="16"/>
      <c r="OQE48" s="16"/>
      <c r="OQF48" s="16"/>
      <c r="OQG48" s="16"/>
      <c r="OQH48" s="16"/>
      <c r="OQI48" s="16"/>
      <c r="OQJ48" s="16"/>
      <c r="OQK48" s="16"/>
      <c r="OQL48" s="16"/>
      <c r="OQM48" s="16"/>
      <c r="OQN48" s="16"/>
      <c r="OQO48" s="16"/>
      <c r="OQP48" s="16"/>
      <c r="OQQ48" s="16"/>
      <c r="OQR48" s="16"/>
      <c r="OQS48" s="16"/>
      <c r="OQT48" s="16"/>
      <c r="OQU48" s="16"/>
      <c r="OQV48" s="16"/>
      <c r="OQW48" s="16"/>
      <c r="OQX48" s="16"/>
      <c r="OQY48" s="16"/>
      <c r="OQZ48" s="16"/>
      <c r="ORA48" s="16"/>
      <c r="ORB48" s="16"/>
      <c r="ORC48" s="16"/>
      <c r="ORD48" s="16"/>
      <c r="ORE48" s="16"/>
      <c r="ORF48" s="16"/>
      <c r="ORG48" s="16"/>
      <c r="ORH48" s="16"/>
      <c r="ORI48" s="16"/>
      <c r="ORJ48" s="16"/>
      <c r="ORK48" s="16"/>
      <c r="ORL48" s="16"/>
      <c r="ORM48" s="16"/>
      <c r="ORN48" s="16"/>
      <c r="ORO48" s="16"/>
      <c r="ORP48" s="16"/>
      <c r="ORQ48" s="16"/>
      <c r="ORR48" s="16"/>
      <c r="ORS48" s="16"/>
      <c r="ORT48" s="16"/>
      <c r="ORU48" s="16"/>
      <c r="ORV48" s="16"/>
      <c r="ORW48" s="16"/>
      <c r="ORX48" s="16"/>
      <c r="ORY48" s="16"/>
      <c r="ORZ48" s="16"/>
      <c r="OSA48" s="16"/>
      <c r="OSB48" s="16"/>
      <c r="OSC48" s="16"/>
      <c r="OSD48" s="16"/>
      <c r="OSE48" s="16"/>
      <c r="OSF48" s="16"/>
      <c r="OSG48" s="16"/>
      <c r="OSH48" s="16"/>
      <c r="OSI48" s="16"/>
      <c r="OSJ48" s="16"/>
      <c r="OSK48" s="16"/>
      <c r="OSL48" s="16"/>
      <c r="OSM48" s="16"/>
      <c r="OSN48" s="16"/>
      <c r="OSO48" s="16"/>
      <c r="OSP48" s="16"/>
      <c r="OSQ48" s="16"/>
      <c r="OSR48" s="16"/>
      <c r="OSS48" s="16"/>
      <c r="OST48" s="16"/>
      <c r="OSU48" s="16"/>
      <c r="OSV48" s="16"/>
      <c r="OSW48" s="16"/>
      <c r="OSX48" s="16"/>
      <c r="OSY48" s="16"/>
      <c r="OSZ48" s="16"/>
      <c r="OTA48" s="16"/>
      <c r="OTB48" s="16"/>
      <c r="OTC48" s="16"/>
      <c r="OTD48" s="16"/>
      <c r="OTE48" s="16"/>
      <c r="OTF48" s="16"/>
      <c r="OTG48" s="16"/>
      <c r="OTH48" s="16"/>
      <c r="OTI48" s="16"/>
      <c r="OTJ48" s="16"/>
      <c r="OTK48" s="16"/>
      <c r="OTL48" s="16"/>
      <c r="OTM48" s="16"/>
      <c r="OTN48" s="16"/>
      <c r="OTO48" s="16"/>
      <c r="OTP48" s="16"/>
      <c r="OTQ48" s="16"/>
      <c r="OTR48" s="16"/>
      <c r="OTS48" s="16"/>
      <c r="OTT48" s="16"/>
      <c r="OTU48" s="16"/>
      <c r="OTV48" s="16"/>
      <c r="OTW48" s="16"/>
      <c r="OTX48" s="16"/>
      <c r="OTY48" s="16"/>
      <c r="OTZ48" s="16"/>
      <c r="OUA48" s="16"/>
      <c r="OUB48" s="16"/>
      <c r="OUC48" s="16"/>
      <c r="OUD48" s="16"/>
      <c r="OUE48" s="16"/>
      <c r="OUF48" s="16"/>
      <c r="OUG48" s="16"/>
      <c r="OUH48" s="16"/>
      <c r="OUI48" s="16"/>
      <c r="OUJ48" s="16"/>
      <c r="OUK48" s="16"/>
      <c r="OUL48" s="16"/>
      <c r="OUM48" s="16"/>
      <c r="OUN48" s="16"/>
      <c r="OUO48" s="16"/>
      <c r="OUP48" s="16"/>
      <c r="OUQ48" s="16"/>
      <c r="OUR48" s="16"/>
      <c r="OUS48" s="16"/>
      <c r="OUT48" s="16"/>
      <c r="OUU48" s="16"/>
      <c r="OUV48" s="16"/>
      <c r="OUW48" s="16"/>
      <c r="OUX48" s="16"/>
      <c r="OUY48" s="16"/>
      <c r="OUZ48" s="16"/>
      <c r="OVA48" s="16"/>
      <c r="OVB48" s="16"/>
      <c r="OVC48" s="16"/>
      <c r="OVD48" s="16"/>
      <c r="OVE48" s="16"/>
      <c r="OVF48" s="16"/>
      <c r="OVG48" s="16"/>
      <c r="OVH48" s="16"/>
      <c r="OVI48" s="16"/>
      <c r="OVJ48" s="16"/>
      <c r="OVK48" s="16"/>
      <c r="OVL48" s="16"/>
      <c r="OVM48" s="16"/>
      <c r="OVN48" s="16"/>
      <c r="OVO48" s="16"/>
      <c r="OVP48" s="16"/>
      <c r="OVQ48" s="16"/>
      <c r="OVR48" s="16"/>
      <c r="OVS48" s="16"/>
      <c r="OVT48" s="16"/>
      <c r="OVU48" s="16"/>
      <c r="OVV48" s="16"/>
      <c r="OVW48" s="16"/>
      <c r="OVX48" s="16"/>
      <c r="OVY48" s="16"/>
      <c r="OVZ48" s="16"/>
      <c r="OWA48" s="16"/>
      <c r="OWB48" s="16"/>
      <c r="OWC48" s="16"/>
      <c r="OWD48" s="16"/>
      <c r="OWE48" s="16"/>
      <c r="OWF48" s="16"/>
      <c r="OWG48" s="16"/>
      <c r="OWH48" s="16"/>
      <c r="OWI48" s="16"/>
      <c r="OWJ48" s="16"/>
      <c r="OWK48" s="16"/>
      <c r="OWL48" s="16"/>
      <c r="OWM48" s="16"/>
      <c r="OWN48" s="16"/>
      <c r="OWO48" s="16"/>
      <c r="OWP48" s="16"/>
      <c r="OWQ48" s="16"/>
      <c r="OWR48" s="16"/>
      <c r="OWS48" s="16"/>
      <c r="OWT48" s="16"/>
      <c r="OWU48" s="16"/>
      <c r="OWV48" s="16"/>
      <c r="OWW48" s="16"/>
      <c r="OWX48" s="16"/>
      <c r="OWY48" s="16"/>
      <c r="OWZ48" s="16"/>
      <c r="OXA48" s="16"/>
      <c r="OXB48" s="16"/>
      <c r="OXC48" s="16"/>
      <c r="OXD48" s="16"/>
      <c r="OXE48" s="16"/>
      <c r="OXF48" s="16"/>
      <c r="OXG48" s="16"/>
      <c r="OXH48" s="16"/>
      <c r="OXI48" s="16"/>
      <c r="OXJ48" s="16"/>
      <c r="OXK48" s="16"/>
      <c r="OXL48" s="16"/>
      <c r="OXM48" s="16"/>
      <c r="OXN48" s="16"/>
      <c r="OXO48" s="16"/>
      <c r="OXP48" s="16"/>
      <c r="OXQ48" s="16"/>
      <c r="OXR48" s="16"/>
      <c r="OXS48" s="16"/>
      <c r="OXT48" s="16"/>
      <c r="OXU48" s="16"/>
      <c r="OXV48" s="16"/>
      <c r="OXW48" s="16"/>
      <c r="OXX48" s="16"/>
      <c r="OXY48" s="16"/>
      <c r="OXZ48" s="16"/>
      <c r="OYA48" s="16"/>
      <c r="OYB48" s="16"/>
      <c r="OYC48" s="16"/>
      <c r="OYD48" s="16"/>
      <c r="OYE48" s="16"/>
      <c r="OYF48" s="16"/>
      <c r="OYG48" s="16"/>
      <c r="OYH48" s="16"/>
      <c r="OYI48" s="16"/>
      <c r="OYJ48" s="16"/>
      <c r="OYK48" s="16"/>
      <c r="OYL48" s="16"/>
      <c r="OYM48" s="16"/>
      <c r="OYN48" s="16"/>
      <c r="OYO48" s="16"/>
      <c r="OYP48" s="16"/>
      <c r="OYQ48" s="16"/>
      <c r="OYR48" s="16"/>
      <c r="OYS48" s="16"/>
      <c r="OYT48" s="16"/>
      <c r="OYU48" s="16"/>
      <c r="OYV48" s="16"/>
      <c r="OYW48" s="16"/>
      <c r="OYX48" s="16"/>
      <c r="OYY48" s="16"/>
      <c r="OYZ48" s="16"/>
      <c r="OZA48" s="16"/>
      <c r="OZB48" s="16"/>
      <c r="OZC48" s="16"/>
      <c r="OZD48" s="16"/>
      <c r="OZE48" s="16"/>
      <c r="OZF48" s="16"/>
      <c r="OZG48" s="16"/>
      <c r="OZH48" s="16"/>
      <c r="OZI48" s="16"/>
      <c r="OZJ48" s="16"/>
      <c r="OZK48" s="16"/>
      <c r="OZL48" s="16"/>
      <c r="OZM48" s="16"/>
      <c r="OZN48" s="16"/>
      <c r="OZO48" s="16"/>
      <c r="OZP48" s="16"/>
      <c r="OZQ48" s="16"/>
      <c r="OZR48" s="16"/>
      <c r="OZS48" s="16"/>
      <c r="OZT48" s="16"/>
      <c r="OZU48" s="16"/>
      <c r="OZV48" s="16"/>
      <c r="OZW48" s="16"/>
      <c r="OZX48" s="16"/>
      <c r="OZY48" s="16"/>
      <c r="OZZ48" s="16"/>
      <c r="PAA48" s="16"/>
      <c r="PAB48" s="16"/>
      <c r="PAC48" s="16"/>
      <c r="PAD48" s="16"/>
      <c r="PAE48" s="16"/>
      <c r="PAF48" s="16"/>
      <c r="PAG48" s="16"/>
      <c r="PAH48" s="16"/>
      <c r="PAI48" s="16"/>
      <c r="PAJ48" s="16"/>
      <c r="PAK48" s="16"/>
      <c r="PAL48" s="16"/>
      <c r="PAM48" s="16"/>
      <c r="PAN48" s="16"/>
      <c r="PAO48" s="16"/>
      <c r="PAP48" s="16"/>
      <c r="PAQ48" s="16"/>
      <c r="PAR48" s="16"/>
      <c r="PAS48" s="16"/>
      <c r="PAT48" s="16"/>
      <c r="PAU48" s="16"/>
      <c r="PAV48" s="16"/>
      <c r="PAW48" s="16"/>
      <c r="PAX48" s="16"/>
      <c r="PAY48" s="16"/>
      <c r="PAZ48" s="16"/>
      <c r="PBA48" s="16"/>
      <c r="PBB48" s="16"/>
      <c r="PBC48" s="16"/>
      <c r="PBD48" s="16"/>
      <c r="PBE48" s="16"/>
      <c r="PBF48" s="16"/>
      <c r="PBG48" s="16"/>
      <c r="PBH48" s="16"/>
      <c r="PBI48" s="16"/>
      <c r="PBJ48" s="16"/>
      <c r="PBK48" s="16"/>
      <c r="PBL48" s="16"/>
      <c r="PBM48" s="16"/>
      <c r="PBN48" s="16"/>
      <c r="PBO48" s="16"/>
      <c r="PBP48" s="16"/>
      <c r="PBQ48" s="16"/>
      <c r="PBR48" s="16"/>
      <c r="PBS48" s="16"/>
      <c r="PBT48" s="16"/>
      <c r="PBU48" s="16"/>
      <c r="PBV48" s="16"/>
      <c r="PBW48" s="16"/>
      <c r="PBX48" s="16"/>
      <c r="PBY48" s="16"/>
      <c r="PBZ48" s="16"/>
      <c r="PCA48" s="16"/>
      <c r="PCB48" s="16"/>
      <c r="PCC48" s="16"/>
      <c r="PCD48" s="16"/>
      <c r="PCE48" s="16"/>
      <c r="PCF48" s="16"/>
      <c r="PCG48" s="16"/>
      <c r="PCH48" s="16"/>
      <c r="PCI48" s="16"/>
      <c r="PCJ48" s="16"/>
      <c r="PCK48" s="16"/>
      <c r="PCL48" s="16"/>
      <c r="PCM48" s="16"/>
      <c r="PCN48" s="16"/>
      <c r="PCO48" s="16"/>
      <c r="PCP48" s="16"/>
      <c r="PCQ48" s="16"/>
      <c r="PCR48" s="16"/>
      <c r="PCS48" s="16"/>
      <c r="PCT48" s="16"/>
      <c r="PCU48" s="16"/>
      <c r="PCV48" s="16"/>
      <c r="PCW48" s="16"/>
      <c r="PCX48" s="16"/>
      <c r="PCY48" s="16"/>
      <c r="PCZ48" s="16"/>
      <c r="PDA48" s="16"/>
      <c r="PDB48" s="16"/>
      <c r="PDC48" s="16"/>
      <c r="PDD48" s="16"/>
      <c r="PDE48" s="16"/>
      <c r="PDF48" s="16"/>
      <c r="PDG48" s="16"/>
      <c r="PDH48" s="16"/>
      <c r="PDI48" s="16"/>
      <c r="PDJ48" s="16"/>
      <c r="PDK48" s="16"/>
      <c r="PDL48" s="16"/>
      <c r="PDM48" s="16"/>
      <c r="PDN48" s="16"/>
      <c r="PDO48" s="16"/>
      <c r="PDP48" s="16"/>
      <c r="PDQ48" s="16"/>
      <c r="PDR48" s="16"/>
      <c r="PDS48" s="16"/>
      <c r="PDT48" s="16"/>
      <c r="PDU48" s="16"/>
      <c r="PDV48" s="16"/>
      <c r="PDW48" s="16"/>
      <c r="PDX48" s="16"/>
      <c r="PDY48" s="16"/>
      <c r="PDZ48" s="16"/>
      <c r="PEA48" s="16"/>
      <c r="PEB48" s="16"/>
      <c r="PEC48" s="16"/>
      <c r="PED48" s="16"/>
      <c r="PEE48" s="16"/>
      <c r="PEF48" s="16"/>
      <c r="PEG48" s="16"/>
      <c r="PEH48" s="16"/>
      <c r="PEI48" s="16"/>
      <c r="PEJ48" s="16"/>
      <c r="PEK48" s="16"/>
      <c r="PEL48" s="16"/>
      <c r="PEM48" s="16"/>
      <c r="PEN48" s="16"/>
      <c r="PEO48" s="16"/>
      <c r="PEP48" s="16"/>
      <c r="PEQ48" s="16"/>
      <c r="PER48" s="16"/>
      <c r="PES48" s="16"/>
      <c r="PET48" s="16"/>
      <c r="PEU48" s="16"/>
      <c r="PEV48" s="16"/>
      <c r="PEW48" s="16"/>
      <c r="PEX48" s="16"/>
      <c r="PEY48" s="16"/>
      <c r="PEZ48" s="16"/>
      <c r="PFA48" s="16"/>
      <c r="PFB48" s="16"/>
      <c r="PFC48" s="16"/>
      <c r="PFD48" s="16"/>
      <c r="PFE48" s="16"/>
      <c r="PFF48" s="16"/>
      <c r="PFG48" s="16"/>
      <c r="PFH48" s="16"/>
      <c r="PFI48" s="16"/>
      <c r="PFJ48" s="16"/>
      <c r="PFK48" s="16"/>
      <c r="PFL48" s="16"/>
      <c r="PFM48" s="16"/>
      <c r="PFN48" s="16"/>
      <c r="PFO48" s="16"/>
      <c r="PFP48" s="16"/>
      <c r="PFQ48" s="16"/>
      <c r="PFR48" s="16"/>
      <c r="PFS48" s="16"/>
      <c r="PFT48" s="16"/>
      <c r="PFU48" s="16"/>
      <c r="PFV48" s="16"/>
      <c r="PFW48" s="16"/>
      <c r="PFX48" s="16"/>
      <c r="PFY48" s="16"/>
      <c r="PFZ48" s="16"/>
      <c r="PGA48" s="16"/>
      <c r="PGB48" s="16"/>
      <c r="PGC48" s="16"/>
      <c r="PGD48" s="16"/>
      <c r="PGE48" s="16"/>
      <c r="PGF48" s="16"/>
      <c r="PGG48" s="16"/>
      <c r="PGH48" s="16"/>
      <c r="PGI48" s="16"/>
      <c r="PGJ48" s="16"/>
      <c r="PGK48" s="16"/>
      <c r="PGL48" s="16"/>
      <c r="PGM48" s="16"/>
      <c r="PGN48" s="16"/>
      <c r="PGO48" s="16"/>
      <c r="PGP48" s="16"/>
      <c r="PGQ48" s="16"/>
      <c r="PGR48" s="16"/>
      <c r="PGS48" s="16"/>
      <c r="PGT48" s="16"/>
      <c r="PGU48" s="16"/>
      <c r="PGV48" s="16"/>
      <c r="PGW48" s="16"/>
      <c r="PGX48" s="16"/>
      <c r="PGY48" s="16"/>
      <c r="PGZ48" s="16"/>
      <c r="PHA48" s="16"/>
      <c r="PHB48" s="16"/>
      <c r="PHC48" s="16"/>
      <c r="PHD48" s="16"/>
      <c r="PHE48" s="16"/>
      <c r="PHF48" s="16"/>
      <c r="PHG48" s="16"/>
      <c r="PHH48" s="16"/>
      <c r="PHI48" s="16"/>
      <c r="PHJ48" s="16"/>
      <c r="PHK48" s="16"/>
      <c r="PHL48" s="16"/>
      <c r="PHM48" s="16"/>
      <c r="PHN48" s="16"/>
      <c r="PHO48" s="16"/>
      <c r="PHP48" s="16"/>
      <c r="PHQ48" s="16"/>
      <c r="PHR48" s="16"/>
      <c r="PHS48" s="16"/>
      <c r="PHT48" s="16"/>
      <c r="PHU48" s="16"/>
      <c r="PHV48" s="16"/>
      <c r="PHW48" s="16"/>
      <c r="PHX48" s="16"/>
      <c r="PHY48" s="16"/>
      <c r="PHZ48" s="16"/>
      <c r="PIA48" s="16"/>
      <c r="PIB48" s="16"/>
      <c r="PIC48" s="16"/>
      <c r="PID48" s="16"/>
      <c r="PIE48" s="16"/>
      <c r="PIF48" s="16"/>
      <c r="PIG48" s="16"/>
      <c r="PIH48" s="16"/>
      <c r="PII48" s="16"/>
      <c r="PIJ48" s="16"/>
      <c r="PIK48" s="16"/>
      <c r="PIL48" s="16"/>
      <c r="PIM48" s="16"/>
      <c r="PIN48" s="16"/>
      <c r="PIO48" s="16"/>
      <c r="PIP48" s="16"/>
      <c r="PIQ48" s="16"/>
      <c r="PIR48" s="16"/>
      <c r="PIS48" s="16"/>
      <c r="PIT48" s="16"/>
      <c r="PIU48" s="16"/>
      <c r="PIV48" s="16"/>
      <c r="PIW48" s="16"/>
      <c r="PIX48" s="16"/>
      <c r="PIY48" s="16"/>
      <c r="PIZ48" s="16"/>
      <c r="PJA48" s="16"/>
      <c r="PJB48" s="16"/>
      <c r="PJC48" s="16"/>
      <c r="PJD48" s="16"/>
      <c r="PJE48" s="16"/>
      <c r="PJF48" s="16"/>
      <c r="PJG48" s="16"/>
      <c r="PJH48" s="16"/>
      <c r="PJI48" s="16"/>
      <c r="PJJ48" s="16"/>
      <c r="PJK48" s="16"/>
      <c r="PJL48" s="16"/>
      <c r="PJM48" s="16"/>
      <c r="PJN48" s="16"/>
      <c r="PJO48" s="16"/>
      <c r="PJP48" s="16"/>
      <c r="PJQ48" s="16"/>
      <c r="PJR48" s="16"/>
      <c r="PJS48" s="16"/>
      <c r="PJT48" s="16"/>
      <c r="PJU48" s="16"/>
      <c r="PJV48" s="16"/>
      <c r="PJW48" s="16"/>
      <c r="PJX48" s="16"/>
      <c r="PJY48" s="16"/>
      <c r="PJZ48" s="16"/>
      <c r="PKA48" s="16"/>
      <c r="PKB48" s="16"/>
      <c r="PKC48" s="16"/>
      <c r="PKD48" s="16"/>
      <c r="PKE48" s="16"/>
      <c r="PKF48" s="16"/>
      <c r="PKG48" s="16"/>
      <c r="PKH48" s="16"/>
      <c r="PKI48" s="16"/>
      <c r="PKJ48" s="16"/>
      <c r="PKK48" s="16"/>
      <c r="PKL48" s="16"/>
      <c r="PKM48" s="16"/>
      <c r="PKN48" s="16"/>
      <c r="PKO48" s="16"/>
      <c r="PKP48" s="16"/>
      <c r="PKQ48" s="16"/>
      <c r="PKR48" s="16"/>
      <c r="PKS48" s="16"/>
      <c r="PKT48" s="16"/>
      <c r="PKU48" s="16"/>
      <c r="PKV48" s="16"/>
      <c r="PKW48" s="16"/>
      <c r="PKX48" s="16"/>
      <c r="PKY48" s="16"/>
      <c r="PKZ48" s="16"/>
      <c r="PLA48" s="16"/>
      <c r="PLB48" s="16"/>
      <c r="PLC48" s="16"/>
      <c r="PLD48" s="16"/>
      <c r="PLE48" s="16"/>
      <c r="PLF48" s="16"/>
      <c r="PLG48" s="16"/>
      <c r="PLH48" s="16"/>
      <c r="PLI48" s="16"/>
      <c r="PLJ48" s="16"/>
      <c r="PLK48" s="16"/>
      <c r="PLL48" s="16"/>
      <c r="PLM48" s="16"/>
      <c r="PLN48" s="16"/>
      <c r="PLO48" s="16"/>
      <c r="PLP48" s="16"/>
      <c r="PLQ48" s="16"/>
      <c r="PLR48" s="16"/>
      <c r="PLS48" s="16"/>
      <c r="PLT48" s="16"/>
      <c r="PLU48" s="16"/>
      <c r="PLV48" s="16"/>
      <c r="PLW48" s="16"/>
      <c r="PLX48" s="16"/>
      <c r="PLY48" s="16"/>
      <c r="PLZ48" s="16"/>
      <c r="PMA48" s="16"/>
      <c r="PMB48" s="16"/>
      <c r="PMC48" s="16"/>
      <c r="PMD48" s="16"/>
      <c r="PME48" s="16"/>
      <c r="PMF48" s="16"/>
      <c r="PMG48" s="16"/>
      <c r="PMH48" s="16"/>
      <c r="PMI48" s="16"/>
      <c r="PMJ48" s="16"/>
      <c r="PMK48" s="16"/>
      <c r="PML48" s="16"/>
      <c r="PMM48" s="16"/>
      <c r="PMN48" s="16"/>
      <c r="PMO48" s="16"/>
      <c r="PMP48" s="16"/>
      <c r="PMQ48" s="16"/>
      <c r="PMR48" s="16"/>
      <c r="PMS48" s="16"/>
      <c r="PMT48" s="16"/>
      <c r="PMU48" s="16"/>
      <c r="PMV48" s="16"/>
      <c r="PMW48" s="16"/>
      <c r="PMX48" s="16"/>
      <c r="PMY48" s="16"/>
      <c r="PMZ48" s="16"/>
      <c r="PNA48" s="16"/>
      <c r="PNB48" s="16"/>
      <c r="PNC48" s="16"/>
      <c r="PND48" s="16"/>
      <c r="PNE48" s="16"/>
      <c r="PNF48" s="16"/>
      <c r="PNG48" s="16"/>
      <c r="PNH48" s="16"/>
      <c r="PNI48" s="16"/>
      <c r="PNJ48" s="16"/>
      <c r="PNK48" s="16"/>
      <c r="PNL48" s="16"/>
      <c r="PNM48" s="16"/>
      <c r="PNN48" s="16"/>
      <c r="PNO48" s="16"/>
      <c r="PNP48" s="16"/>
      <c r="PNQ48" s="16"/>
      <c r="PNR48" s="16"/>
      <c r="PNS48" s="16"/>
      <c r="PNT48" s="16"/>
      <c r="PNU48" s="16"/>
      <c r="PNV48" s="16"/>
      <c r="PNW48" s="16"/>
      <c r="PNX48" s="16"/>
      <c r="PNY48" s="16"/>
      <c r="PNZ48" s="16"/>
      <c r="POA48" s="16"/>
      <c r="POB48" s="16"/>
      <c r="POC48" s="16"/>
      <c r="POD48" s="16"/>
      <c r="POE48" s="16"/>
      <c r="POF48" s="16"/>
      <c r="POG48" s="16"/>
      <c r="POH48" s="16"/>
      <c r="POI48" s="16"/>
      <c r="POJ48" s="16"/>
      <c r="POK48" s="16"/>
      <c r="POL48" s="16"/>
      <c r="POM48" s="16"/>
      <c r="PON48" s="16"/>
      <c r="POO48" s="16"/>
      <c r="POP48" s="16"/>
      <c r="POQ48" s="16"/>
      <c r="POR48" s="16"/>
      <c r="POS48" s="16"/>
      <c r="POT48" s="16"/>
      <c r="POU48" s="16"/>
      <c r="POV48" s="16"/>
      <c r="POW48" s="16"/>
      <c r="POX48" s="16"/>
      <c r="POY48" s="16"/>
      <c r="POZ48" s="16"/>
      <c r="PPA48" s="16"/>
      <c r="PPB48" s="16"/>
      <c r="PPC48" s="16"/>
      <c r="PPD48" s="16"/>
      <c r="PPE48" s="16"/>
      <c r="PPF48" s="16"/>
      <c r="PPG48" s="16"/>
      <c r="PPH48" s="16"/>
      <c r="PPI48" s="16"/>
      <c r="PPJ48" s="16"/>
      <c r="PPK48" s="16"/>
      <c r="PPL48" s="16"/>
      <c r="PPM48" s="16"/>
      <c r="PPN48" s="16"/>
      <c r="PPO48" s="16"/>
      <c r="PPP48" s="16"/>
      <c r="PPQ48" s="16"/>
      <c r="PPR48" s="16"/>
      <c r="PPS48" s="16"/>
      <c r="PPT48" s="16"/>
      <c r="PPU48" s="16"/>
      <c r="PPV48" s="16"/>
      <c r="PPW48" s="16"/>
      <c r="PPX48" s="16"/>
      <c r="PPY48" s="16"/>
      <c r="PPZ48" s="16"/>
      <c r="PQA48" s="16"/>
      <c r="PQB48" s="16"/>
      <c r="PQC48" s="16"/>
      <c r="PQD48" s="16"/>
      <c r="PQE48" s="16"/>
      <c r="PQF48" s="16"/>
      <c r="PQG48" s="16"/>
      <c r="PQH48" s="16"/>
      <c r="PQI48" s="16"/>
      <c r="PQJ48" s="16"/>
      <c r="PQK48" s="16"/>
      <c r="PQL48" s="16"/>
      <c r="PQM48" s="16"/>
      <c r="PQN48" s="16"/>
      <c r="PQO48" s="16"/>
      <c r="PQP48" s="16"/>
      <c r="PQQ48" s="16"/>
      <c r="PQR48" s="16"/>
      <c r="PQS48" s="16"/>
      <c r="PQT48" s="16"/>
      <c r="PQU48" s="16"/>
      <c r="PQV48" s="16"/>
      <c r="PQW48" s="16"/>
      <c r="PQX48" s="16"/>
      <c r="PQY48" s="16"/>
      <c r="PQZ48" s="16"/>
      <c r="PRA48" s="16"/>
      <c r="PRB48" s="16"/>
      <c r="PRC48" s="16"/>
      <c r="PRD48" s="16"/>
      <c r="PRE48" s="16"/>
      <c r="PRF48" s="16"/>
      <c r="PRG48" s="16"/>
      <c r="PRH48" s="16"/>
      <c r="PRI48" s="16"/>
      <c r="PRJ48" s="16"/>
      <c r="PRK48" s="16"/>
      <c r="PRL48" s="16"/>
      <c r="PRM48" s="16"/>
      <c r="PRN48" s="16"/>
      <c r="PRO48" s="16"/>
      <c r="PRP48" s="16"/>
      <c r="PRQ48" s="16"/>
      <c r="PRR48" s="16"/>
      <c r="PRS48" s="16"/>
      <c r="PRT48" s="16"/>
      <c r="PRU48" s="16"/>
      <c r="PRV48" s="16"/>
      <c r="PRW48" s="16"/>
      <c r="PRX48" s="16"/>
      <c r="PRY48" s="16"/>
      <c r="PRZ48" s="16"/>
      <c r="PSA48" s="16"/>
      <c r="PSB48" s="16"/>
      <c r="PSC48" s="16"/>
      <c r="PSD48" s="16"/>
      <c r="PSE48" s="16"/>
      <c r="PSF48" s="16"/>
      <c r="PSG48" s="16"/>
      <c r="PSH48" s="16"/>
      <c r="PSI48" s="16"/>
      <c r="PSJ48" s="16"/>
      <c r="PSK48" s="16"/>
      <c r="PSL48" s="16"/>
      <c r="PSM48" s="16"/>
      <c r="PSN48" s="16"/>
      <c r="PSO48" s="16"/>
      <c r="PSP48" s="16"/>
      <c r="PSQ48" s="16"/>
      <c r="PSR48" s="16"/>
      <c r="PSS48" s="16"/>
      <c r="PST48" s="16"/>
      <c r="PSU48" s="16"/>
      <c r="PSV48" s="16"/>
      <c r="PSW48" s="16"/>
      <c r="PSX48" s="16"/>
      <c r="PSY48" s="16"/>
      <c r="PSZ48" s="16"/>
      <c r="PTA48" s="16"/>
      <c r="PTB48" s="16"/>
      <c r="PTC48" s="16"/>
      <c r="PTD48" s="16"/>
      <c r="PTE48" s="16"/>
      <c r="PTF48" s="16"/>
      <c r="PTG48" s="16"/>
      <c r="PTH48" s="16"/>
      <c r="PTI48" s="16"/>
      <c r="PTJ48" s="16"/>
      <c r="PTK48" s="16"/>
      <c r="PTL48" s="16"/>
      <c r="PTM48" s="16"/>
      <c r="PTN48" s="16"/>
      <c r="PTO48" s="16"/>
      <c r="PTP48" s="16"/>
      <c r="PTQ48" s="16"/>
      <c r="PTR48" s="16"/>
      <c r="PTS48" s="16"/>
      <c r="PTT48" s="16"/>
      <c r="PTU48" s="16"/>
      <c r="PTV48" s="16"/>
      <c r="PTW48" s="16"/>
      <c r="PTX48" s="16"/>
      <c r="PTY48" s="16"/>
      <c r="PTZ48" s="16"/>
      <c r="PUA48" s="16"/>
      <c r="PUB48" s="16"/>
      <c r="PUC48" s="16"/>
      <c r="PUD48" s="16"/>
      <c r="PUE48" s="16"/>
      <c r="PUF48" s="16"/>
      <c r="PUG48" s="16"/>
      <c r="PUH48" s="16"/>
      <c r="PUI48" s="16"/>
      <c r="PUJ48" s="16"/>
      <c r="PUK48" s="16"/>
      <c r="PUL48" s="16"/>
      <c r="PUM48" s="16"/>
      <c r="PUN48" s="16"/>
      <c r="PUO48" s="16"/>
      <c r="PUP48" s="16"/>
      <c r="PUQ48" s="16"/>
      <c r="PUR48" s="16"/>
      <c r="PUS48" s="16"/>
      <c r="PUT48" s="16"/>
      <c r="PUU48" s="16"/>
      <c r="PUV48" s="16"/>
      <c r="PUW48" s="16"/>
      <c r="PUX48" s="16"/>
      <c r="PUY48" s="16"/>
      <c r="PUZ48" s="16"/>
      <c r="PVA48" s="16"/>
      <c r="PVB48" s="16"/>
      <c r="PVC48" s="16"/>
      <c r="PVD48" s="16"/>
      <c r="PVE48" s="16"/>
      <c r="PVF48" s="16"/>
      <c r="PVG48" s="16"/>
      <c r="PVH48" s="16"/>
      <c r="PVI48" s="16"/>
      <c r="PVJ48" s="16"/>
      <c r="PVK48" s="16"/>
      <c r="PVL48" s="16"/>
      <c r="PVM48" s="16"/>
      <c r="PVN48" s="16"/>
      <c r="PVO48" s="16"/>
      <c r="PVP48" s="16"/>
      <c r="PVQ48" s="16"/>
      <c r="PVR48" s="16"/>
      <c r="PVS48" s="16"/>
      <c r="PVT48" s="16"/>
      <c r="PVU48" s="16"/>
      <c r="PVV48" s="16"/>
      <c r="PVW48" s="16"/>
      <c r="PVX48" s="16"/>
      <c r="PVY48" s="16"/>
      <c r="PVZ48" s="16"/>
      <c r="PWA48" s="16"/>
      <c r="PWB48" s="16"/>
      <c r="PWC48" s="16"/>
      <c r="PWD48" s="16"/>
      <c r="PWE48" s="16"/>
      <c r="PWF48" s="16"/>
      <c r="PWG48" s="16"/>
      <c r="PWH48" s="16"/>
      <c r="PWI48" s="16"/>
      <c r="PWJ48" s="16"/>
      <c r="PWK48" s="16"/>
      <c r="PWL48" s="16"/>
      <c r="PWM48" s="16"/>
      <c r="PWN48" s="16"/>
      <c r="PWO48" s="16"/>
      <c r="PWP48" s="16"/>
      <c r="PWQ48" s="16"/>
      <c r="PWR48" s="16"/>
      <c r="PWS48" s="16"/>
      <c r="PWT48" s="16"/>
      <c r="PWU48" s="16"/>
      <c r="PWV48" s="16"/>
      <c r="PWW48" s="16"/>
      <c r="PWX48" s="16"/>
      <c r="PWY48" s="16"/>
      <c r="PWZ48" s="16"/>
      <c r="PXA48" s="16"/>
      <c r="PXB48" s="16"/>
      <c r="PXC48" s="16"/>
      <c r="PXD48" s="16"/>
      <c r="PXE48" s="16"/>
      <c r="PXF48" s="16"/>
      <c r="PXG48" s="16"/>
      <c r="PXH48" s="16"/>
      <c r="PXI48" s="16"/>
      <c r="PXJ48" s="16"/>
      <c r="PXK48" s="16"/>
      <c r="PXL48" s="16"/>
      <c r="PXM48" s="16"/>
      <c r="PXN48" s="16"/>
      <c r="PXO48" s="16"/>
      <c r="PXP48" s="16"/>
      <c r="PXQ48" s="16"/>
      <c r="PXR48" s="16"/>
      <c r="PXS48" s="16"/>
      <c r="PXT48" s="16"/>
      <c r="PXU48" s="16"/>
      <c r="PXV48" s="16"/>
      <c r="PXW48" s="16"/>
      <c r="PXX48" s="16"/>
      <c r="PXY48" s="16"/>
      <c r="PXZ48" s="16"/>
      <c r="PYA48" s="16"/>
      <c r="PYB48" s="16"/>
      <c r="PYC48" s="16"/>
      <c r="PYD48" s="16"/>
      <c r="PYE48" s="16"/>
      <c r="PYF48" s="16"/>
      <c r="PYG48" s="16"/>
      <c r="PYH48" s="16"/>
      <c r="PYI48" s="16"/>
      <c r="PYJ48" s="16"/>
      <c r="PYK48" s="16"/>
      <c r="PYL48" s="16"/>
      <c r="PYM48" s="16"/>
      <c r="PYN48" s="16"/>
      <c r="PYO48" s="16"/>
      <c r="PYP48" s="16"/>
      <c r="PYQ48" s="16"/>
      <c r="PYR48" s="16"/>
      <c r="PYS48" s="16"/>
      <c r="PYT48" s="16"/>
      <c r="PYU48" s="16"/>
      <c r="PYV48" s="16"/>
      <c r="PYW48" s="16"/>
      <c r="PYX48" s="16"/>
      <c r="PYY48" s="16"/>
      <c r="PYZ48" s="16"/>
      <c r="PZA48" s="16"/>
      <c r="PZB48" s="16"/>
      <c r="PZC48" s="16"/>
      <c r="PZD48" s="16"/>
      <c r="PZE48" s="16"/>
      <c r="PZF48" s="16"/>
      <c r="PZG48" s="16"/>
      <c r="PZH48" s="16"/>
      <c r="PZI48" s="16"/>
      <c r="PZJ48" s="16"/>
      <c r="PZK48" s="16"/>
      <c r="PZL48" s="16"/>
      <c r="PZM48" s="16"/>
      <c r="PZN48" s="16"/>
      <c r="PZO48" s="16"/>
      <c r="PZP48" s="16"/>
      <c r="PZQ48" s="16"/>
      <c r="PZR48" s="16"/>
      <c r="PZS48" s="16"/>
      <c r="PZT48" s="16"/>
      <c r="PZU48" s="16"/>
      <c r="PZV48" s="16"/>
      <c r="PZW48" s="16"/>
      <c r="PZX48" s="16"/>
      <c r="PZY48" s="16"/>
      <c r="PZZ48" s="16"/>
      <c r="QAA48" s="16"/>
      <c r="QAB48" s="16"/>
      <c r="QAC48" s="16"/>
      <c r="QAD48" s="16"/>
      <c r="QAE48" s="16"/>
      <c r="QAF48" s="16"/>
      <c r="QAG48" s="16"/>
      <c r="QAH48" s="16"/>
      <c r="QAI48" s="16"/>
      <c r="QAJ48" s="16"/>
      <c r="QAK48" s="16"/>
      <c r="QAL48" s="16"/>
      <c r="QAM48" s="16"/>
      <c r="QAN48" s="16"/>
      <c r="QAO48" s="16"/>
      <c r="QAP48" s="16"/>
      <c r="QAQ48" s="16"/>
      <c r="QAR48" s="16"/>
      <c r="QAS48" s="16"/>
      <c r="QAT48" s="16"/>
      <c r="QAU48" s="16"/>
      <c r="QAV48" s="16"/>
      <c r="QAW48" s="16"/>
      <c r="QAX48" s="16"/>
      <c r="QAY48" s="16"/>
      <c r="QAZ48" s="16"/>
      <c r="QBA48" s="16"/>
      <c r="QBB48" s="16"/>
      <c r="QBC48" s="16"/>
      <c r="QBD48" s="16"/>
      <c r="QBE48" s="16"/>
      <c r="QBF48" s="16"/>
      <c r="QBG48" s="16"/>
      <c r="QBH48" s="16"/>
      <c r="QBI48" s="16"/>
      <c r="QBJ48" s="16"/>
      <c r="QBK48" s="16"/>
      <c r="QBL48" s="16"/>
      <c r="QBM48" s="16"/>
      <c r="QBN48" s="16"/>
      <c r="QBO48" s="16"/>
      <c r="QBP48" s="16"/>
      <c r="QBQ48" s="16"/>
      <c r="QBR48" s="16"/>
      <c r="QBS48" s="16"/>
      <c r="QBT48" s="16"/>
      <c r="QBU48" s="16"/>
      <c r="QBV48" s="16"/>
      <c r="QBW48" s="16"/>
      <c r="QBX48" s="16"/>
      <c r="QBY48" s="16"/>
      <c r="QBZ48" s="16"/>
      <c r="QCA48" s="16"/>
      <c r="QCB48" s="16"/>
      <c r="QCC48" s="16"/>
      <c r="QCD48" s="16"/>
      <c r="QCE48" s="16"/>
      <c r="QCF48" s="16"/>
      <c r="QCG48" s="16"/>
      <c r="QCH48" s="16"/>
      <c r="QCI48" s="16"/>
      <c r="QCJ48" s="16"/>
      <c r="QCK48" s="16"/>
      <c r="QCL48" s="16"/>
      <c r="QCM48" s="16"/>
      <c r="QCN48" s="16"/>
      <c r="QCO48" s="16"/>
      <c r="QCP48" s="16"/>
      <c r="QCQ48" s="16"/>
      <c r="QCR48" s="16"/>
      <c r="QCS48" s="16"/>
      <c r="QCT48" s="16"/>
      <c r="QCU48" s="16"/>
      <c r="QCV48" s="16"/>
      <c r="QCW48" s="16"/>
      <c r="QCX48" s="16"/>
      <c r="QCY48" s="16"/>
      <c r="QCZ48" s="16"/>
      <c r="QDA48" s="16"/>
      <c r="QDB48" s="16"/>
      <c r="QDC48" s="16"/>
      <c r="QDD48" s="16"/>
      <c r="QDE48" s="16"/>
      <c r="QDF48" s="16"/>
      <c r="QDG48" s="16"/>
      <c r="QDH48" s="16"/>
      <c r="QDI48" s="16"/>
      <c r="QDJ48" s="16"/>
      <c r="QDK48" s="16"/>
      <c r="QDL48" s="16"/>
      <c r="QDM48" s="16"/>
      <c r="QDN48" s="16"/>
      <c r="QDO48" s="16"/>
      <c r="QDP48" s="16"/>
      <c r="QDQ48" s="16"/>
      <c r="QDR48" s="16"/>
      <c r="QDS48" s="16"/>
      <c r="QDT48" s="16"/>
      <c r="QDU48" s="16"/>
      <c r="QDV48" s="16"/>
      <c r="QDW48" s="16"/>
      <c r="QDX48" s="16"/>
      <c r="QDY48" s="16"/>
      <c r="QDZ48" s="16"/>
      <c r="QEA48" s="16"/>
      <c r="QEB48" s="16"/>
      <c r="QEC48" s="16"/>
      <c r="QED48" s="16"/>
      <c r="QEE48" s="16"/>
      <c r="QEF48" s="16"/>
      <c r="QEG48" s="16"/>
      <c r="QEH48" s="16"/>
      <c r="QEI48" s="16"/>
      <c r="QEJ48" s="16"/>
      <c r="QEK48" s="16"/>
      <c r="QEL48" s="16"/>
      <c r="QEM48" s="16"/>
      <c r="QEN48" s="16"/>
      <c r="QEO48" s="16"/>
      <c r="QEP48" s="16"/>
      <c r="QEQ48" s="16"/>
      <c r="QER48" s="16"/>
      <c r="QES48" s="16"/>
      <c r="QET48" s="16"/>
      <c r="QEU48" s="16"/>
      <c r="QEV48" s="16"/>
      <c r="QEW48" s="16"/>
      <c r="QEX48" s="16"/>
      <c r="QEY48" s="16"/>
      <c r="QEZ48" s="16"/>
      <c r="QFA48" s="16"/>
      <c r="QFB48" s="16"/>
      <c r="QFC48" s="16"/>
      <c r="QFD48" s="16"/>
      <c r="QFE48" s="16"/>
      <c r="QFF48" s="16"/>
      <c r="QFG48" s="16"/>
      <c r="QFH48" s="16"/>
      <c r="QFI48" s="16"/>
      <c r="QFJ48" s="16"/>
      <c r="QFK48" s="16"/>
      <c r="QFL48" s="16"/>
      <c r="QFM48" s="16"/>
      <c r="QFN48" s="16"/>
      <c r="QFO48" s="16"/>
      <c r="QFP48" s="16"/>
      <c r="QFQ48" s="16"/>
      <c r="QFR48" s="16"/>
      <c r="QFS48" s="16"/>
      <c r="QFT48" s="16"/>
      <c r="QFU48" s="16"/>
      <c r="QFV48" s="16"/>
      <c r="QFW48" s="16"/>
      <c r="QFX48" s="16"/>
      <c r="QFY48" s="16"/>
      <c r="QFZ48" s="16"/>
      <c r="QGA48" s="16"/>
      <c r="QGB48" s="16"/>
      <c r="QGC48" s="16"/>
      <c r="QGD48" s="16"/>
      <c r="QGE48" s="16"/>
      <c r="QGF48" s="16"/>
      <c r="QGG48" s="16"/>
      <c r="QGH48" s="16"/>
      <c r="QGI48" s="16"/>
      <c r="QGJ48" s="16"/>
      <c r="QGK48" s="16"/>
      <c r="QGL48" s="16"/>
      <c r="QGM48" s="16"/>
      <c r="QGN48" s="16"/>
      <c r="QGO48" s="16"/>
      <c r="QGP48" s="16"/>
      <c r="QGQ48" s="16"/>
      <c r="QGR48" s="16"/>
      <c r="QGS48" s="16"/>
      <c r="QGT48" s="16"/>
      <c r="QGU48" s="16"/>
      <c r="QGV48" s="16"/>
      <c r="QGW48" s="16"/>
      <c r="QGX48" s="16"/>
      <c r="QGY48" s="16"/>
      <c r="QGZ48" s="16"/>
      <c r="QHA48" s="16"/>
      <c r="QHB48" s="16"/>
      <c r="QHC48" s="16"/>
      <c r="QHD48" s="16"/>
      <c r="QHE48" s="16"/>
      <c r="QHF48" s="16"/>
      <c r="QHG48" s="16"/>
      <c r="QHH48" s="16"/>
      <c r="QHI48" s="16"/>
      <c r="QHJ48" s="16"/>
      <c r="QHK48" s="16"/>
      <c r="QHL48" s="16"/>
      <c r="QHM48" s="16"/>
      <c r="QHN48" s="16"/>
      <c r="QHO48" s="16"/>
      <c r="QHP48" s="16"/>
      <c r="QHQ48" s="16"/>
      <c r="QHR48" s="16"/>
      <c r="QHS48" s="16"/>
      <c r="QHT48" s="16"/>
      <c r="QHU48" s="16"/>
      <c r="QHV48" s="16"/>
      <c r="QHW48" s="16"/>
      <c r="QHX48" s="16"/>
      <c r="QHY48" s="16"/>
      <c r="QHZ48" s="16"/>
      <c r="QIA48" s="16"/>
      <c r="QIB48" s="16"/>
      <c r="QIC48" s="16"/>
      <c r="QID48" s="16"/>
      <c r="QIE48" s="16"/>
      <c r="QIF48" s="16"/>
      <c r="QIG48" s="16"/>
      <c r="QIH48" s="16"/>
      <c r="QII48" s="16"/>
      <c r="QIJ48" s="16"/>
      <c r="QIK48" s="16"/>
      <c r="QIL48" s="16"/>
      <c r="QIM48" s="16"/>
      <c r="QIN48" s="16"/>
      <c r="QIO48" s="16"/>
      <c r="QIP48" s="16"/>
      <c r="QIQ48" s="16"/>
      <c r="QIR48" s="16"/>
      <c r="QIS48" s="16"/>
      <c r="QIT48" s="16"/>
      <c r="QIU48" s="16"/>
      <c r="QIV48" s="16"/>
      <c r="QIW48" s="16"/>
      <c r="QIX48" s="16"/>
      <c r="QIY48" s="16"/>
      <c r="QIZ48" s="16"/>
      <c r="QJA48" s="16"/>
      <c r="QJB48" s="16"/>
      <c r="QJC48" s="16"/>
      <c r="QJD48" s="16"/>
      <c r="QJE48" s="16"/>
      <c r="QJF48" s="16"/>
      <c r="QJG48" s="16"/>
      <c r="QJH48" s="16"/>
      <c r="QJI48" s="16"/>
      <c r="QJJ48" s="16"/>
      <c r="QJK48" s="16"/>
      <c r="QJL48" s="16"/>
      <c r="QJM48" s="16"/>
      <c r="QJN48" s="16"/>
      <c r="QJO48" s="16"/>
      <c r="QJP48" s="16"/>
      <c r="QJQ48" s="16"/>
      <c r="QJR48" s="16"/>
      <c r="QJS48" s="16"/>
      <c r="QJT48" s="16"/>
      <c r="QJU48" s="16"/>
      <c r="QJV48" s="16"/>
      <c r="QJW48" s="16"/>
      <c r="QJX48" s="16"/>
      <c r="QJY48" s="16"/>
      <c r="QJZ48" s="16"/>
      <c r="QKA48" s="16"/>
      <c r="QKB48" s="16"/>
      <c r="QKC48" s="16"/>
      <c r="QKD48" s="16"/>
      <c r="QKE48" s="16"/>
      <c r="QKF48" s="16"/>
      <c r="QKG48" s="16"/>
      <c r="QKH48" s="16"/>
      <c r="QKI48" s="16"/>
      <c r="QKJ48" s="16"/>
      <c r="QKK48" s="16"/>
      <c r="QKL48" s="16"/>
      <c r="QKM48" s="16"/>
      <c r="QKN48" s="16"/>
      <c r="QKO48" s="16"/>
      <c r="QKP48" s="16"/>
      <c r="QKQ48" s="16"/>
      <c r="QKR48" s="16"/>
      <c r="QKS48" s="16"/>
      <c r="QKT48" s="16"/>
      <c r="QKU48" s="16"/>
      <c r="QKV48" s="16"/>
      <c r="QKW48" s="16"/>
      <c r="QKX48" s="16"/>
      <c r="QKY48" s="16"/>
      <c r="QKZ48" s="16"/>
      <c r="QLA48" s="16"/>
      <c r="QLB48" s="16"/>
      <c r="QLC48" s="16"/>
      <c r="QLD48" s="16"/>
      <c r="QLE48" s="16"/>
      <c r="QLF48" s="16"/>
      <c r="QLG48" s="16"/>
      <c r="QLH48" s="16"/>
      <c r="QLI48" s="16"/>
      <c r="QLJ48" s="16"/>
      <c r="QLK48" s="16"/>
      <c r="QLL48" s="16"/>
      <c r="QLM48" s="16"/>
      <c r="QLN48" s="16"/>
      <c r="QLO48" s="16"/>
      <c r="QLP48" s="16"/>
      <c r="QLQ48" s="16"/>
      <c r="QLR48" s="16"/>
      <c r="QLS48" s="16"/>
      <c r="QLT48" s="16"/>
      <c r="QLU48" s="16"/>
      <c r="QLV48" s="16"/>
      <c r="QLW48" s="16"/>
      <c r="QLX48" s="16"/>
      <c r="QLY48" s="16"/>
      <c r="QLZ48" s="16"/>
      <c r="QMA48" s="16"/>
      <c r="QMB48" s="16"/>
      <c r="QMC48" s="16"/>
      <c r="QMD48" s="16"/>
      <c r="QME48" s="16"/>
      <c r="QMF48" s="16"/>
      <c r="QMG48" s="16"/>
      <c r="QMH48" s="16"/>
      <c r="QMI48" s="16"/>
      <c r="QMJ48" s="16"/>
      <c r="QMK48" s="16"/>
      <c r="QML48" s="16"/>
      <c r="QMM48" s="16"/>
      <c r="QMN48" s="16"/>
      <c r="QMO48" s="16"/>
      <c r="QMP48" s="16"/>
      <c r="QMQ48" s="16"/>
      <c r="QMR48" s="16"/>
      <c r="QMS48" s="16"/>
      <c r="QMT48" s="16"/>
      <c r="QMU48" s="16"/>
      <c r="QMV48" s="16"/>
      <c r="QMW48" s="16"/>
      <c r="QMX48" s="16"/>
      <c r="QMY48" s="16"/>
      <c r="QMZ48" s="16"/>
      <c r="QNA48" s="16"/>
      <c r="QNB48" s="16"/>
      <c r="QNC48" s="16"/>
      <c r="QND48" s="16"/>
      <c r="QNE48" s="16"/>
      <c r="QNF48" s="16"/>
      <c r="QNG48" s="16"/>
      <c r="QNH48" s="16"/>
      <c r="QNI48" s="16"/>
      <c r="QNJ48" s="16"/>
      <c r="QNK48" s="16"/>
      <c r="QNL48" s="16"/>
      <c r="QNM48" s="16"/>
      <c r="QNN48" s="16"/>
      <c r="QNO48" s="16"/>
      <c r="QNP48" s="16"/>
      <c r="QNQ48" s="16"/>
      <c r="QNR48" s="16"/>
      <c r="QNS48" s="16"/>
      <c r="QNT48" s="16"/>
      <c r="QNU48" s="16"/>
      <c r="QNV48" s="16"/>
      <c r="QNW48" s="16"/>
      <c r="QNX48" s="16"/>
      <c r="QNY48" s="16"/>
      <c r="QNZ48" s="16"/>
      <c r="QOA48" s="16"/>
      <c r="QOB48" s="16"/>
      <c r="QOC48" s="16"/>
      <c r="QOD48" s="16"/>
      <c r="QOE48" s="16"/>
      <c r="QOF48" s="16"/>
      <c r="QOG48" s="16"/>
      <c r="QOH48" s="16"/>
      <c r="QOI48" s="16"/>
      <c r="QOJ48" s="16"/>
      <c r="QOK48" s="16"/>
      <c r="QOL48" s="16"/>
      <c r="QOM48" s="16"/>
      <c r="QON48" s="16"/>
      <c r="QOO48" s="16"/>
      <c r="QOP48" s="16"/>
      <c r="QOQ48" s="16"/>
      <c r="QOR48" s="16"/>
      <c r="QOS48" s="16"/>
      <c r="QOT48" s="16"/>
      <c r="QOU48" s="16"/>
      <c r="QOV48" s="16"/>
      <c r="QOW48" s="16"/>
      <c r="QOX48" s="16"/>
      <c r="QOY48" s="16"/>
      <c r="QOZ48" s="16"/>
      <c r="QPA48" s="16"/>
      <c r="QPB48" s="16"/>
      <c r="QPC48" s="16"/>
      <c r="QPD48" s="16"/>
      <c r="QPE48" s="16"/>
      <c r="QPF48" s="16"/>
      <c r="QPG48" s="16"/>
      <c r="QPH48" s="16"/>
      <c r="QPI48" s="16"/>
      <c r="QPJ48" s="16"/>
      <c r="QPK48" s="16"/>
      <c r="QPL48" s="16"/>
      <c r="QPM48" s="16"/>
      <c r="QPN48" s="16"/>
      <c r="QPO48" s="16"/>
      <c r="QPP48" s="16"/>
      <c r="QPQ48" s="16"/>
      <c r="QPR48" s="16"/>
      <c r="QPS48" s="16"/>
      <c r="QPT48" s="16"/>
      <c r="QPU48" s="16"/>
      <c r="QPV48" s="16"/>
      <c r="QPW48" s="16"/>
      <c r="QPX48" s="16"/>
      <c r="QPY48" s="16"/>
      <c r="QPZ48" s="16"/>
      <c r="QQA48" s="16"/>
      <c r="QQB48" s="16"/>
      <c r="QQC48" s="16"/>
      <c r="QQD48" s="16"/>
      <c r="QQE48" s="16"/>
      <c r="QQF48" s="16"/>
      <c r="QQG48" s="16"/>
      <c r="QQH48" s="16"/>
      <c r="QQI48" s="16"/>
      <c r="QQJ48" s="16"/>
      <c r="QQK48" s="16"/>
      <c r="QQL48" s="16"/>
      <c r="QQM48" s="16"/>
      <c r="QQN48" s="16"/>
      <c r="QQO48" s="16"/>
      <c r="QQP48" s="16"/>
      <c r="QQQ48" s="16"/>
      <c r="QQR48" s="16"/>
      <c r="QQS48" s="16"/>
      <c r="QQT48" s="16"/>
      <c r="QQU48" s="16"/>
      <c r="QQV48" s="16"/>
      <c r="QQW48" s="16"/>
      <c r="QQX48" s="16"/>
      <c r="QQY48" s="16"/>
      <c r="QQZ48" s="16"/>
      <c r="QRA48" s="16"/>
      <c r="QRB48" s="16"/>
      <c r="QRC48" s="16"/>
      <c r="QRD48" s="16"/>
      <c r="QRE48" s="16"/>
      <c r="QRF48" s="16"/>
      <c r="QRG48" s="16"/>
      <c r="QRH48" s="16"/>
      <c r="QRI48" s="16"/>
      <c r="QRJ48" s="16"/>
      <c r="QRK48" s="16"/>
      <c r="QRL48" s="16"/>
      <c r="QRM48" s="16"/>
      <c r="QRN48" s="16"/>
      <c r="QRO48" s="16"/>
      <c r="QRP48" s="16"/>
      <c r="QRQ48" s="16"/>
      <c r="QRR48" s="16"/>
      <c r="QRS48" s="16"/>
      <c r="QRT48" s="16"/>
      <c r="QRU48" s="16"/>
      <c r="QRV48" s="16"/>
      <c r="QRW48" s="16"/>
      <c r="QRX48" s="16"/>
      <c r="QRY48" s="16"/>
      <c r="QRZ48" s="16"/>
      <c r="QSA48" s="16"/>
      <c r="QSB48" s="16"/>
      <c r="QSC48" s="16"/>
      <c r="QSD48" s="16"/>
      <c r="QSE48" s="16"/>
      <c r="QSF48" s="16"/>
      <c r="QSG48" s="16"/>
      <c r="QSH48" s="16"/>
      <c r="QSI48" s="16"/>
      <c r="QSJ48" s="16"/>
      <c r="QSK48" s="16"/>
      <c r="QSL48" s="16"/>
      <c r="QSM48" s="16"/>
      <c r="QSN48" s="16"/>
      <c r="QSO48" s="16"/>
      <c r="QSP48" s="16"/>
      <c r="QSQ48" s="16"/>
      <c r="QSR48" s="16"/>
      <c r="QSS48" s="16"/>
      <c r="QST48" s="16"/>
      <c r="QSU48" s="16"/>
      <c r="QSV48" s="16"/>
      <c r="QSW48" s="16"/>
      <c r="QSX48" s="16"/>
      <c r="QSY48" s="16"/>
      <c r="QSZ48" s="16"/>
      <c r="QTA48" s="16"/>
      <c r="QTB48" s="16"/>
      <c r="QTC48" s="16"/>
      <c r="QTD48" s="16"/>
      <c r="QTE48" s="16"/>
      <c r="QTF48" s="16"/>
      <c r="QTG48" s="16"/>
      <c r="QTH48" s="16"/>
      <c r="QTI48" s="16"/>
      <c r="QTJ48" s="16"/>
      <c r="QTK48" s="16"/>
      <c r="QTL48" s="16"/>
      <c r="QTM48" s="16"/>
      <c r="QTN48" s="16"/>
      <c r="QTO48" s="16"/>
      <c r="QTP48" s="16"/>
      <c r="QTQ48" s="16"/>
      <c r="QTR48" s="16"/>
      <c r="QTS48" s="16"/>
      <c r="QTT48" s="16"/>
      <c r="QTU48" s="16"/>
      <c r="QTV48" s="16"/>
      <c r="QTW48" s="16"/>
      <c r="QTX48" s="16"/>
      <c r="QTY48" s="16"/>
      <c r="QTZ48" s="16"/>
      <c r="QUA48" s="16"/>
      <c r="QUB48" s="16"/>
      <c r="QUC48" s="16"/>
      <c r="QUD48" s="16"/>
      <c r="QUE48" s="16"/>
      <c r="QUF48" s="16"/>
      <c r="QUG48" s="16"/>
      <c r="QUH48" s="16"/>
      <c r="QUI48" s="16"/>
      <c r="QUJ48" s="16"/>
      <c r="QUK48" s="16"/>
      <c r="QUL48" s="16"/>
      <c r="QUM48" s="16"/>
      <c r="QUN48" s="16"/>
      <c r="QUO48" s="16"/>
      <c r="QUP48" s="16"/>
      <c r="QUQ48" s="16"/>
      <c r="QUR48" s="16"/>
      <c r="QUS48" s="16"/>
      <c r="QUT48" s="16"/>
      <c r="QUU48" s="16"/>
      <c r="QUV48" s="16"/>
      <c r="QUW48" s="16"/>
      <c r="QUX48" s="16"/>
      <c r="QUY48" s="16"/>
      <c r="QUZ48" s="16"/>
      <c r="QVA48" s="16"/>
      <c r="QVB48" s="16"/>
      <c r="QVC48" s="16"/>
      <c r="QVD48" s="16"/>
      <c r="QVE48" s="16"/>
      <c r="QVF48" s="16"/>
      <c r="QVG48" s="16"/>
      <c r="QVH48" s="16"/>
      <c r="QVI48" s="16"/>
      <c r="QVJ48" s="16"/>
      <c r="QVK48" s="16"/>
      <c r="QVL48" s="16"/>
      <c r="QVM48" s="16"/>
      <c r="QVN48" s="16"/>
      <c r="QVO48" s="16"/>
      <c r="QVP48" s="16"/>
      <c r="QVQ48" s="16"/>
      <c r="QVR48" s="16"/>
      <c r="QVS48" s="16"/>
      <c r="QVT48" s="16"/>
      <c r="QVU48" s="16"/>
      <c r="QVV48" s="16"/>
      <c r="QVW48" s="16"/>
      <c r="QVX48" s="16"/>
      <c r="QVY48" s="16"/>
      <c r="QVZ48" s="16"/>
      <c r="QWA48" s="16"/>
      <c r="QWB48" s="16"/>
      <c r="QWC48" s="16"/>
      <c r="QWD48" s="16"/>
      <c r="QWE48" s="16"/>
      <c r="QWF48" s="16"/>
      <c r="QWG48" s="16"/>
      <c r="QWH48" s="16"/>
      <c r="QWI48" s="16"/>
      <c r="QWJ48" s="16"/>
      <c r="QWK48" s="16"/>
      <c r="QWL48" s="16"/>
      <c r="QWM48" s="16"/>
      <c r="QWN48" s="16"/>
      <c r="QWO48" s="16"/>
      <c r="QWP48" s="16"/>
      <c r="QWQ48" s="16"/>
      <c r="QWR48" s="16"/>
      <c r="QWS48" s="16"/>
      <c r="QWT48" s="16"/>
      <c r="QWU48" s="16"/>
      <c r="QWV48" s="16"/>
      <c r="QWW48" s="16"/>
      <c r="QWX48" s="16"/>
      <c r="QWY48" s="16"/>
      <c r="QWZ48" s="16"/>
      <c r="QXA48" s="16"/>
      <c r="QXB48" s="16"/>
      <c r="QXC48" s="16"/>
      <c r="QXD48" s="16"/>
      <c r="QXE48" s="16"/>
      <c r="QXF48" s="16"/>
      <c r="QXG48" s="16"/>
      <c r="QXH48" s="16"/>
      <c r="QXI48" s="16"/>
      <c r="QXJ48" s="16"/>
      <c r="QXK48" s="16"/>
      <c r="QXL48" s="16"/>
      <c r="QXM48" s="16"/>
      <c r="QXN48" s="16"/>
      <c r="QXO48" s="16"/>
      <c r="QXP48" s="16"/>
      <c r="QXQ48" s="16"/>
      <c r="QXR48" s="16"/>
      <c r="QXS48" s="16"/>
      <c r="QXT48" s="16"/>
      <c r="QXU48" s="16"/>
      <c r="QXV48" s="16"/>
      <c r="QXW48" s="16"/>
      <c r="QXX48" s="16"/>
      <c r="QXY48" s="16"/>
      <c r="QXZ48" s="16"/>
      <c r="QYA48" s="16"/>
      <c r="QYB48" s="16"/>
      <c r="QYC48" s="16"/>
      <c r="QYD48" s="16"/>
      <c r="QYE48" s="16"/>
      <c r="QYF48" s="16"/>
      <c r="QYG48" s="16"/>
      <c r="QYH48" s="16"/>
      <c r="QYI48" s="16"/>
      <c r="QYJ48" s="16"/>
      <c r="QYK48" s="16"/>
      <c r="QYL48" s="16"/>
      <c r="QYM48" s="16"/>
      <c r="QYN48" s="16"/>
      <c r="QYO48" s="16"/>
      <c r="QYP48" s="16"/>
      <c r="QYQ48" s="16"/>
      <c r="QYR48" s="16"/>
      <c r="QYS48" s="16"/>
      <c r="QYT48" s="16"/>
      <c r="QYU48" s="16"/>
      <c r="QYV48" s="16"/>
      <c r="QYW48" s="16"/>
      <c r="QYX48" s="16"/>
      <c r="QYY48" s="16"/>
      <c r="QYZ48" s="16"/>
      <c r="QZA48" s="16"/>
      <c r="QZB48" s="16"/>
      <c r="QZC48" s="16"/>
      <c r="QZD48" s="16"/>
      <c r="QZE48" s="16"/>
      <c r="QZF48" s="16"/>
      <c r="QZG48" s="16"/>
      <c r="QZH48" s="16"/>
      <c r="QZI48" s="16"/>
      <c r="QZJ48" s="16"/>
      <c r="QZK48" s="16"/>
      <c r="QZL48" s="16"/>
      <c r="QZM48" s="16"/>
      <c r="QZN48" s="16"/>
      <c r="QZO48" s="16"/>
      <c r="QZP48" s="16"/>
      <c r="QZQ48" s="16"/>
      <c r="QZR48" s="16"/>
      <c r="QZS48" s="16"/>
      <c r="QZT48" s="16"/>
      <c r="QZU48" s="16"/>
      <c r="QZV48" s="16"/>
      <c r="QZW48" s="16"/>
      <c r="QZX48" s="16"/>
      <c r="QZY48" s="16"/>
      <c r="QZZ48" s="16"/>
      <c r="RAA48" s="16"/>
      <c r="RAB48" s="16"/>
      <c r="RAC48" s="16"/>
      <c r="RAD48" s="16"/>
      <c r="RAE48" s="16"/>
      <c r="RAF48" s="16"/>
      <c r="RAG48" s="16"/>
      <c r="RAH48" s="16"/>
      <c r="RAI48" s="16"/>
      <c r="RAJ48" s="16"/>
      <c r="RAK48" s="16"/>
      <c r="RAL48" s="16"/>
      <c r="RAM48" s="16"/>
      <c r="RAN48" s="16"/>
      <c r="RAO48" s="16"/>
      <c r="RAP48" s="16"/>
      <c r="RAQ48" s="16"/>
      <c r="RAR48" s="16"/>
      <c r="RAS48" s="16"/>
      <c r="RAT48" s="16"/>
      <c r="RAU48" s="16"/>
      <c r="RAV48" s="16"/>
      <c r="RAW48" s="16"/>
      <c r="RAX48" s="16"/>
      <c r="RAY48" s="16"/>
      <c r="RAZ48" s="16"/>
      <c r="RBA48" s="16"/>
      <c r="RBB48" s="16"/>
      <c r="RBC48" s="16"/>
      <c r="RBD48" s="16"/>
      <c r="RBE48" s="16"/>
      <c r="RBF48" s="16"/>
      <c r="RBG48" s="16"/>
      <c r="RBH48" s="16"/>
      <c r="RBI48" s="16"/>
      <c r="RBJ48" s="16"/>
      <c r="RBK48" s="16"/>
      <c r="RBL48" s="16"/>
      <c r="RBM48" s="16"/>
      <c r="RBN48" s="16"/>
      <c r="RBO48" s="16"/>
      <c r="RBP48" s="16"/>
      <c r="RBQ48" s="16"/>
      <c r="RBR48" s="16"/>
      <c r="RBS48" s="16"/>
      <c r="RBT48" s="16"/>
      <c r="RBU48" s="16"/>
      <c r="RBV48" s="16"/>
      <c r="RBW48" s="16"/>
      <c r="RBX48" s="16"/>
      <c r="RBY48" s="16"/>
      <c r="RBZ48" s="16"/>
      <c r="RCA48" s="16"/>
      <c r="RCB48" s="16"/>
      <c r="RCC48" s="16"/>
      <c r="RCD48" s="16"/>
      <c r="RCE48" s="16"/>
      <c r="RCF48" s="16"/>
      <c r="RCG48" s="16"/>
      <c r="RCH48" s="16"/>
      <c r="RCI48" s="16"/>
      <c r="RCJ48" s="16"/>
      <c r="RCK48" s="16"/>
      <c r="RCL48" s="16"/>
      <c r="RCM48" s="16"/>
      <c r="RCN48" s="16"/>
      <c r="RCO48" s="16"/>
      <c r="RCP48" s="16"/>
      <c r="RCQ48" s="16"/>
      <c r="RCR48" s="16"/>
      <c r="RCS48" s="16"/>
      <c r="RCT48" s="16"/>
      <c r="RCU48" s="16"/>
      <c r="RCV48" s="16"/>
      <c r="RCW48" s="16"/>
      <c r="RCX48" s="16"/>
      <c r="RCY48" s="16"/>
      <c r="RCZ48" s="16"/>
      <c r="RDA48" s="16"/>
      <c r="RDB48" s="16"/>
      <c r="RDC48" s="16"/>
      <c r="RDD48" s="16"/>
      <c r="RDE48" s="16"/>
      <c r="RDF48" s="16"/>
      <c r="RDG48" s="16"/>
      <c r="RDH48" s="16"/>
      <c r="RDI48" s="16"/>
      <c r="RDJ48" s="16"/>
      <c r="RDK48" s="16"/>
      <c r="RDL48" s="16"/>
      <c r="RDM48" s="16"/>
      <c r="RDN48" s="16"/>
      <c r="RDO48" s="16"/>
      <c r="RDP48" s="16"/>
      <c r="RDQ48" s="16"/>
      <c r="RDR48" s="16"/>
      <c r="RDS48" s="16"/>
      <c r="RDT48" s="16"/>
      <c r="RDU48" s="16"/>
      <c r="RDV48" s="16"/>
      <c r="RDW48" s="16"/>
      <c r="RDX48" s="16"/>
      <c r="RDY48" s="16"/>
      <c r="RDZ48" s="16"/>
      <c r="REA48" s="16"/>
      <c r="REB48" s="16"/>
      <c r="REC48" s="16"/>
      <c r="RED48" s="16"/>
      <c r="REE48" s="16"/>
      <c r="REF48" s="16"/>
      <c r="REG48" s="16"/>
      <c r="REH48" s="16"/>
      <c r="REI48" s="16"/>
      <c r="REJ48" s="16"/>
      <c r="REK48" s="16"/>
      <c r="REL48" s="16"/>
      <c r="REM48" s="16"/>
      <c r="REN48" s="16"/>
      <c r="REO48" s="16"/>
      <c r="REP48" s="16"/>
      <c r="REQ48" s="16"/>
      <c r="RER48" s="16"/>
      <c r="RES48" s="16"/>
      <c r="RET48" s="16"/>
      <c r="REU48" s="16"/>
      <c r="REV48" s="16"/>
      <c r="REW48" s="16"/>
      <c r="REX48" s="16"/>
      <c r="REY48" s="16"/>
      <c r="REZ48" s="16"/>
      <c r="RFA48" s="16"/>
      <c r="RFB48" s="16"/>
      <c r="RFC48" s="16"/>
      <c r="RFD48" s="16"/>
      <c r="RFE48" s="16"/>
      <c r="RFF48" s="16"/>
      <c r="RFG48" s="16"/>
      <c r="RFH48" s="16"/>
      <c r="RFI48" s="16"/>
      <c r="RFJ48" s="16"/>
      <c r="RFK48" s="16"/>
      <c r="RFL48" s="16"/>
      <c r="RFM48" s="16"/>
      <c r="RFN48" s="16"/>
      <c r="RFO48" s="16"/>
      <c r="RFP48" s="16"/>
      <c r="RFQ48" s="16"/>
      <c r="RFR48" s="16"/>
      <c r="RFS48" s="16"/>
      <c r="RFT48" s="16"/>
      <c r="RFU48" s="16"/>
      <c r="RFV48" s="16"/>
      <c r="RFW48" s="16"/>
      <c r="RFX48" s="16"/>
      <c r="RFY48" s="16"/>
      <c r="RFZ48" s="16"/>
      <c r="RGA48" s="16"/>
      <c r="RGB48" s="16"/>
      <c r="RGC48" s="16"/>
      <c r="RGD48" s="16"/>
      <c r="RGE48" s="16"/>
      <c r="RGF48" s="16"/>
      <c r="RGG48" s="16"/>
      <c r="RGH48" s="16"/>
      <c r="RGI48" s="16"/>
      <c r="RGJ48" s="16"/>
      <c r="RGK48" s="16"/>
      <c r="RGL48" s="16"/>
      <c r="RGM48" s="16"/>
      <c r="RGN48" s="16"/>
      <c r="RGO48" s="16"/>
      <c r="RGP48" s="16"/>
      <c r="RGQ48" s="16"/>
      <c r="RGR48" s="16"/>
      <c r="RGS48" s="16"/>
      <c r="RGT48" s="16"/>
      <c r="RGU48" s="16"/>
      <c r="RGV48" s="16"/>
      <c r="RGW48" s="16"/>
      <c r="RGX48" s="16"/>
      <c r="RGY48" s="16"/>
      <c r="RGZ48" s="16"/>
      <c r="RHA48" s="16"/>
      <c r="RHB48" s="16"/>
      <c r="RHC48" s="16"/>
      <c r="RHD48" s="16"/>
      <c r="RHE48" s="16"/>
      <c r="RHF48" s="16"/>
      <c r="RHG48" s="16"/>
      <c r="RHH48" s="16"/>
      <c r="RHI48" s="16"/>
      <c r="RHJ48" s="16"/>
      <c r="RHK48" s="16"/>
      <c r="RHL48" s="16"/>
      <c r="RHM48" s="16"/>
      <c r="RHN48" s="16"/>
      <c r="RHO48" s="16"/>
      <c r="RHP48" s="16"/>
      <c r="RHQ48" s="16"/>
      <c r="RHR48" s="16"/>
      <c r="RHS48" s="16"/>
      <c r="RHT48" s="16"/>
      <c r="RHU48" s="16"/>
      <c r="RHV48" s="16"/>
      <c r="RHW48" s="16"/>
      <c r="RHX48" s="16"/>
      <c r="RHY48" s="16"/>
      <c r="RHZ48" s="16"/>
      <c r="RIA48" s="16"/>
      <c r="RIB48" s="16"/>
      <c r="RIC48" s="16"/>
      <c r="RID48" s="16"/>
      <c r="RIE48" s="16"/>
      <c r="RIF48" s="16"/>
      <c r="RIG48" s="16"/>
      <c r="RIH48" s="16"/>
      <c r="RII48" s="16"/>
      <c r="RIJ48" s="16"/>
      <c r="RIK48" s="16"/>
      <c r="RIL48" s="16"/>
      <c r="RIM48" s="16"/>
      <c r="RIN48" s="16"/>
      <c r="RIO48" s="16"/>
      <c r="RIP48" s="16"/>
      <c r="RIQ48" s="16"/>
      <c r="RIR48" s="16"/>
      <c r="RIS48" s="16"/>
      <c r="RIT48" s="16"/>
      <c r="RIU48" s="16"/>
      <c r="RIV48" s="16"/>
      <c r="RIW48" s="16"/>
      <c r="RIX48" s="16"/>
      <c r="RIY48" s="16"/>
      <c r="RIZ48" s="16"/>
      <c r="RJA48" s="16"/>
      <c r="RJB48" s="16"/>
      <c r="RJC48" s="16"/>
      <c r="RJD48" s="16"/>
      <c r="RJE48" s="16"/>
      <c r="RJF48" s="16"/>
      <c r="RJG48" s="16"/>
      <c r="RJH48" s="16"/>
      <c r="RJI48" s="16"/>
      <c r="RJJ48" s="16"/>
      <c r="RJK48" s="16"/>
      <c r="RJL48" s="16"/>
      <c r="RJM48" s="16"/>
      <c r="RJN48" s="16"/>
      <c r="RJO48" s="16"/>
      <c r="RJP48" s="16"/>
      <c r="RJQ48" s="16"/>
      <c r="RJR48" s="16"/>
      <c r="RJS48" s="16"/>
      <c r="RJT48" s="16"/>
      <c r="RJU48" s="16"/>
      <c r="RJV48" s="16"/>
      <c r="RJW48" s="16"/>
      <c r="RJX48" s="16"/>
      <c r="RJY48" s="16"/>
      <c r="RJZ48" s="16"/>
      <c r="RKA48" s="16"/>
      <c r="RKB48" s="16"/>
      <c r="RKC48" s="16"/>
      <c r="RKD48" s="16"/>
      <c r="RKE48" s="16"/>
      <c r="RKF48" s="16"/>
      <c r="RKG48" s="16"/>
      <c r="RKH48" s="16"/>
      <c r="RKI48" s="16"/>
      <c r="RKJ48" s="16"/>
      <c r="RKK48" s="16"/>
      <c r="RKL48" s="16"/>
      <c r="RKM48" s="16"/>
      <c r="RKN48" s="16"/>
      <c r="RKO48" s="16"/>
      <c r="RKP48" s="16"/>
      <c r="RKQ48" s="16"/>
      <c r="RKR48" s="16"/>
      <c r="RKS48" s="16"/>
      <c r="RKT48" s="16"/>
      <c r="RKU48" s="16"/>
      <c r="RKV48" s="16"/>
      <c r="RKW48" s="16"/>
      <c r="RKX48" s="16"/>
      <c r="RKY48" s="16"/>
      <c r="RKZ48" s="16"/>
      <c r="RLA48" s="16"/>
      <c r="RLB48" s="16"/>
      <c r="RLC48" s="16"/>
      <c r="RLD48" s="16"/>
      <c r="RLE48" s="16"/>
      <c r="RLF48" s="16"/>
      <c r="RLG48" s="16"/>
      <c r="RLH48" s="16"/>
      <c r="RLI48" s="16"/>
      <c r="RLJ48" s="16"/>
      <c r="RLK48" s="16"/>
      <c r="RLL48" s="16"/>
      <c r="RLM48" s="16"/>
      <c r="RLN48" s="16"/>
      <c r="RLO48" s="16"/>
      <c r="RLP48" s="16"/>
      <c r="RLQ48" s="16"/>
      <c r="RLR48" s="16"/>
      <c r="RLS48" s="16"/>
      <c r="RLT48" s="16"/>
      <c r="RLU48" s="16"/>
      <c r="RLV48" s="16"/>
      <c r="RLW48" s="16"/>
      <c r="RLX48" s="16"/>
      <c r="RLY48" s="16"/>
      <c r="RLZ48" s="16"/>
      <c r="RMA48" s="16"/>
      <c r="RMB48" s="16"/>
      <c r="RMC48" s="16"/>
      <c r="RMD48" s="16"/>
      <c r="RME48" s="16"/>
      <c r="RMF48" s="16"/>
      <c r="RMG48" s="16"/>
      <c r="RMH48" s="16"/>
      <c r="RMI48" s="16"/>
      <c r="RMJ48" s="16"/>
      <c r="RMK48" s="16"/>
      <c r="RML48" s="16"/>
      <c r="RMM48" s="16"/>
      <c r="RMN48" s="16"/>
      <c r="RMO48" s="16"/>
      <c r="RMP48" s="16"/>
      <c r="RMQ48" s="16"/>
      <c r="RMR48" s="16"/>
      <c r="RMS48" s="16"/>
      <c r="RMT48" s="16"/>
      <c r="RMU48" s="16"/>
      <c r="RMV48" s="16"/>
      <c r="RMW48" s="16"/>
      <c r="RMX48" s="16"/>
      <c r="RMY48" s="16"/>
      <c r="RMZ48" s="16"/>
      <c r="RNA48" s="16"/>
      <c r="RNB48" s="16"/>
      <c r="RNC48" s="16"/>
      <c r="RND48" s="16"/>
      <c r="RNE48" s="16"/>
      <c r="RNF48" s="16"/>
      <c r="RNG48" s="16"/>
      <c r="RNH48" s="16"/>
      <c r="RNI48" s="16"/>
      <c r="RNJ48" s="16"/>
      <c r="RNK48" s="16"/>
      <c r="RNL48" s="16"/>
      <c r="RNM48" s="16"/>
      <c r="RNN48" s="16"/>
      <c r="RNO48" s="16"/>
      <c r="RNP48" s="16"/>
      <c r="RNQ48" s="16"/>
      <c r="RNR48" s="16"/>
      <c r="RNS48" s="16"/>
      <c r="RNT48" s="16"/>
      <c r="RNU48" s="16"/>
      <c r="RNV48" s="16"/>
      <c r="RNW48" s="16"/>
      <c r="RNX48" s="16"/>
      <c r="RNY48" s="16"/>
      <c r="RNZ48" s="16"/>
      <c r="ROA48" s="16"/>
      <c r="ROB48" s="16"/>
      <c r="ROC48" s="16"/>
      <c r="ROD48" s="16"/>
      <c r="ROE48" s="16"/>
      <c r="ROF48" s="16"/>
      <c r="ROG48" s="16"/>
      <c r="ROH48" s="16"/>
      <c r="ROI48" s="16"/>
      <c r="ROJ48" s="16"/>
      <c r="ROK48" s="16"/>
      <c r="ROL48" s="16"/>
      <c r="ROM48" s="16"/>
      <c r="RON48" s="16"/>
      <c r="ROO48" s="16"/>
      <c r="ROP48" s="16"/>
      <c r="ROQ48" s="16"/>
      <c r="ROR48" s="16"/>
      <c r="ROS48" s="16"/>
      <c r="ROT48" s="16"/>
      <c r="ROU48" s="16"/>
      <c r="ROV48" s="16"/>
      <c r="ROW48" s="16"/>
      <c r="ROX48" s="16"/>
      <c r="ROY48" s="16"/>
      <c r="ROZ48" s="16"/>
      <c r="RPA48" s="16"/>
      <c r="RPB48" s="16"/>
      <c r="RPC48" s="16"/>
      <c r="RPD48" s="16"/>
      <c r="RPE48" s="16"/>
      <c r="RPF48" s="16"/>
      <c r="RPG48" s="16"/>
      <c r="RPH48" s="16"/>
      <c r="RPI48" s="16"/>
      <c r="RPJ48" s="16"/>
      <c r="RPK48" s="16"/>
      <c r="RPL48" s="16"/>
      <c r="RPM48" s="16"/>
      <c r="RPN48" s="16"/>
      <c r="RPO48" s="16"/>
      <c r="RPP48" s="16"/>
      <c r="RPQ48" s="16"/>
      <c r="RPR48" s="16"/>
      <c r="RPS48" s="16"/>
      <c r="RPT48" s="16"/>
      <c r="RPU48" s="16"/>
      <c r="RPV48" s="16"/>
      <c r="RPW48" s="16"/>
      <c r="RPX48" s="16"/>
      <c r="RPY48" s="16"/>
      <c r="RPZ48" s="16"/>
      <c r="RQA48" s="16"/>
      <c r="RQB48" s="16"/>
      <c r="RQC48" s="16"/>
      <c r="RQD48" s="16"/>
      <c r="RQE48" s="16"/>
      <c r="RQF48" s="16"/>
      <c r="RQG48" s="16"/>
      <c r="RQH48" s="16"/>
      <c r="RQI48" s="16"/>
      <c r="RQJ48" s="16"/>
      <c r="RQK48" s="16"/>
      <c r="RQL48" s="16"/>
      <c r="RQM48" s="16"/>
      <c r="RQN48" s="16"/>
      <c r="RQO48" s="16"/>
      <c r="RQP48" s="16"/>
      <c r="RQQ48" s="16"/>
      <c r="RQR48" s="16"/>
      <c r="RQS48" s="16"/>
      <c r="RQT48" s="16"/>
      <c r="RQU48" s="16"/>
      <c r="RQV48" s="16"/>
      <c r="RQW48" s="16"/>
      <c r="RQX48" s="16"/>
      <c r="RQY48" s="16"/>
      <c r="RQZ48" s="16"/>
      <c r="RRA48" s="16"/>
      <c r="RRB48" s="16"/>
      <c r="RRC48" s="16"/>
      <c r="RRD48" s="16"/>
      <c r="RRE48" s="16"/>
      <c r="RRF48" s="16"/>
      <c r="RRG48" s="16"/>
      <c r="RRH48" s="16"/>
      <c r="RRI48" s="16"/>
      <c r="RRJ48" s="16"/>
      <c r="RRK48" s="16"/>
      <c r="RRL48" s="16"/>
      <c r="RRM48" s="16"/>
      <c r="RRN48" s="16"/>
      <c r="RRO48" s="16"/>
      <c r="RRP48" s="16"/>
      <c r="RRQ48" s="16"/>
      <c r="RRR48" s="16"/>
      <c r="RRS48" s="16"/>
      <c r="RRT48" s="16"/>
      <c r="RRU48" s="16"/>
      <c r="RRV48" s="16"/>
      <c r="RRW48" s="16"/>
      <c r="RRX48" s="16"/>
      <c r="RRY48" s="16"/>
      <c r="RRZ48" s="16"/>
      <c r="RSA48" s="16"/>
      <c r="RSB48" s="16"/>
      <c r="RSC48" s="16"/>
      <c r="RSD48" s="16"/>
      <c r="RSE48" s="16"/>
      <c r="RSF48" s="16"/>
      <c r="RSG48" s="16"/>
      <c r="RSH48" s="16"/>
      <c r="RSI48" s="16"/>
      <c r="RSJ48" s="16"/>
      <c r="RSK48" s="16"/>
      <c r="RSL48" s="16"/>
      <c r="RSM48" s="16"/>
      <c r="RSN48" s="16"/>
      <c r="RSO48" s="16"/>
      <c r="RSP48" s="16"/>
      <c r="RSQ48" s="16"/>
      <c r="RSR48" s="16"/>
      <c r="RSS48" s="16"/>
      <c r="RST48" s="16"/>
      <c r="RSU48" s="16"/>
      <c r="RSV48" s="16"/>
      <c r="RSW48" s="16"/>
      <c r="RSX48" s="16"/>
      <c r="RSY48" s="16"/>
      <c r="RSZ48" s="16"/>
      <c r="RTA48" s="16"/>
      <c r="RTB48" s="16"/>
      <c r="RTC48" s="16"/>
      <c r="RTD48" s="16"/>
      <c r="RTE48" s="16"/>
      <c r="RTF48" s="16"/>
      <c r="RTG48" s="16"/>
      <c r="RTH48" s="16"/>
      <c r="RTI48" s="16"/>
      <c r="RTJ48" s="16"/>
      <c r="RTK48" s="16"/>
      <c r="RTL48" s="16"/>
      <c r="RTM48" s="16"/>
      <c r="RTN48" s="16"/>
      <c r="RTO48" s="16"/>
      <c r="RTP48" s="16"/>
      <c r="RTQ48" s="16"/>
      <c r="RTR48" s="16"/>
      <c r="RTS48" s="16"/>
      <c r="RTT48" s="16"/>
      <c r="RTU48" s="16"/>
      <c r="RTV48" s="16"/>
      <c r="RTW48" s="16"/>
      <c r="RTX48" s="16"/>
      <c r="RTY48" s="16"/>
      <c r="RTZ48" s="16"/>
      <c r="RUA48" s="16"/>
      <c r="RUB48" s="16"/>
      <c r="RUC48" s="16"/>
      <c r="RUD48" s="16"/>
      <c r="RUE48" s="16"/>
      <c r="RUF48" s="16"/>
      <c r="RUG48" s="16"/>
      <c r="RUH48" s="16"/>
      <c r="RUI48" s="16"/>
      <c r="RUJ48" s="16"/>
      <c r="RUK48" s="16"/>
      <c r="RUL48" s="16"/>
      <c r="RUM48" s="16"/>
      <c r="RUN48" s="16"/>
      <c r="RUO48" s="16"/>
      <c r="RUP48" s="16"/>
      <c r="RUQ48" s="16"/>
      <c r="RUR48" s="16"/>
      <c r="RUS48" s="16"/>
      <c r="RUT48" s="16"/>
      <c r="RUU48" s="16"/>
      <c r="RUV48" s="16"/>
      <c r="RUW48" s="16"/>
      <c r="RUX48" s="16"/>
      <c r="RUY48" s="16"/>
      <c r="RUZ48" s="16"/>
      <c r="RVA48" s="16"/>
      <c r="RVB48" s="16"/>
      <c r="RVC48" s="16"/>
      <c r="RVD48" s="16"/>
      <c r="RVE48" s="16"/>
      <c r="RVF48" s="16"/>
      <c r="RVG48" s="16"/>
      <c r="RVH48" s="16"/>
      <c r="RVI48" s="16"/>
      <c r="RVJ48" s="16"/>
      <c r="RVK48" s="16"/>
      <c r="RVL48" s="16"/>
      <c r="RVM48" s="16"/>
      <c r="RVN48" s="16"/>
      <c r="RVO48" s="16"/>
      <c r="RVP48" s="16"/>
      <c r="RVQ48" s="16"/>
      <c r="RVR48" s="16"/>
      <c r="RVS48" s="16"/>
      <c r="RVT48" s="16"/>
      <c r="RVU48" s="16"/>
      <c r="RVV48" s="16"/>
      <c r="RVW48" s="16"/>
      <c r="RVX48" s="16"/>
      <c r="RVY48" s="16"/>
      <c r="RVZ48" s="16"/>
      <c r="RWA48" s="16"/>
      <c r="RWB48" s="16"/>
      <c r="RWC48" s="16"/>
      <c r="RWD48" s="16"/>
      <c r="RWE48" s="16"/>
      <c r="RWF48" s="16"/>
      <c r="RWG48" s="16"/>
      <c r="RWH48" s="16"/>
      <c r="RWI48" s="16"/>
      <c r="RWJ48" s="16"/>
      <c r="RWK48" s="16"/>
      <c r="RWL48" s="16"/>
      <c r="RWM48" s="16"/>
      <c r="RWN48" s="16"/>
      <c r="RWO48" s="16"/>
      <c r="RWP48" s="16"/>
      <c r="RWQ48" s="16"/>
      <c r="RWR48" s="16"/>
      <c r="RWS48" s="16"/>
      <c r="RWT48" s="16"/>
      <c r="RWU48" s="16"/>
      <c r="RWV48" s="16"/>
      <c r="RWW48" s="16"/>
      <c r="RWX48" s="16"/>
      <c r="RWY48" s="16"/>
      <c r="RWZ48" s="16"/>
      <c r="RXA48" s="16"/>
      <c r="RXB48" s="16"/>
      <c r="RXC48" s="16"/>
      <c r="RXD48" s="16"/>
      <c r="RXE48" s="16"/>
      <c r="RXF48" s="16"/>
      <c r="RXG48" s="16"/>
      <c r="RXH48" s="16"/>
      <c r="RXI48" s="16"/>
      <c r="RXJ48" s="16"/>
      <c r="RXK48" s="16"/>
      <c r="RXL48" s="16"/>
      <c r="RXM48" s="16"/>
      <c r="RXN48" s="16"/>
      <c r="RXO48" s="16"/>
      <c r="RXP48" s="16"/>
      <c r="RXQ48" s="16"/>
      <c r="RXR48" s="16"/>
      <c r="RXS48" s="16"/>
      <c r="RXT48" s="16"/>
      <c r="RXU48" s="16"/>
      <c r="RXV48" s="16"/>
      <c r="RXW48" s="16"/>
      <c r="RXX48" s="16"/>
      <c r="RXY48" s="16"/>
      <c r="RXZ48" s="16"/>
      <c r="RYA48" s="16"/>
      <c r="RYB48" s="16"/>
      <c r="RYC48" s="16"/>
      <c r="RYD48" s="16"/>
      <c r="RYE48" s="16"/>
      <c r="RYF48" s="16"/>
      <c r="RYG48" s="16"/>
      <c r="RYH48" s="16"/>
      <c r="RYI48" s="16"/>
      <c r="RYJ48" s="16"/>
      <c r="RYK48" s="16"/>
      <c r="RYL48" s="16"/>
      <c r="RYM48" s="16"/>
      <c r="RYN48" s="16"/>
      <c r="RYO48" s="16"/>
      <c r="RYP48" s="16"/>
      <c r="RYQ48" s="16"/>
      <c r="RYR48" s="16"/>
      <c r="RYS48" s="16"/>
      <c r="RYT48" s="16"/>
      <c r="RYU48" s="16"/>
      <c r="RYV48" s="16"/>
      <c r="RYW48" s="16"/>
      <c r="RYX48" s="16"/>
      <c r="RYY48" s="16"/>
      <c r="RYZ48" s="16"/>
      <c r="RZA48" s="16"/>
      <c r="RZB48" s="16"/>
      <c r="RZC48" s="16"/>
      <c r="RZD48" s="16"/>
      <c r="RZE48" s="16"/>
      <c r="RZF48" s="16"/>
      <c r="RZG48" s="16"/>
      <c r="RZH48" s="16"/>
      <c r="RZI48" s="16"/>
      <c r="RZJ48" s="16"/>
      <c r="RZK48" s="16"/>
      <c r="RZL48" s="16"/>
      <c r="RZM48" s="16"/>
      <c r="RZN48" s="16"/>
      <c r="RZO48" s="16"/>
      <c r="RZP48" s="16"/>
      <c r="RZQ48" s="16"/>
      <c r="RZR48" s="16"/>
      <c r="RZS48" s="16"/>
      <c r="RZT48" s="16"/>
      <c r="RZU48" s="16"/>
      <c r="RZV48" s="16"/>
      <c r="RZW48" s="16"/>
      <c r="RZX48" s="16"/>
      <c r="RZY48" s="16"/>
      <c r="RZZ48" s="16"/>
      <c r="SAA48" s="16"/>
      <c r="SAB48" s="16"/>
      <c r="SAC48" s="16"/>
      <c r="SAD48" s="16"/>
      <c r="SAE48" s="16"/>
      <c r="SAF48" s="16"/>
      <c r="SAG48" s="16"/>
      <c r="SAH48" s="16"/>
      <c r="SAI48" s="16"/>
      <c r="SAJ48" s="16"/>
      <c r="SAK48" s="16"/>
      <c r="SAL48" s="16"/>
      <c r="SAM48" s="16"/>
      <c r="SAN48" s="16"/>
      <c r="SAO48" s="16"/>
      <c r="SAP48" s="16"/>
      <c r="SAQ48" s="16"/>
      <c r="SAR48" s="16"/>
      <c r="SAS48" s="16"/>
      <c r="SAT48" s="16"/>
      <c r="SAU48" s="16"/>
      <c r="SAV48" s="16"/>
      <c r="SAW48" s="16"/>
      <c r="SAX48" s="16"/>
      <c r="SAY48" s="16"/>
      <c r="SAZ48" s="16"/>
      <c r="SBA48" s="16"/>
      <c r="SBB48" s="16"/>
      <c r="SBC48" s="16"/>
      <c r="SBD48" s="16"/>
      <c r="SBE48" s="16"/>
      <c r="SBF48" s="16"/>
      <c r="SBG48" s="16"/>
      <c r="SBH48" s="16"/>
      <c r="SBI48" s="16"/>
      <c r="SBJ48" s="16"/>
      <c r="SBK48" s="16"/>
      <c r="SBL48" s="16"/>
      <c r="SBM48" s="16"/>
      <c r="SBN48" s="16"/>
      <c r="SBO48" s="16"/>
      <c r="SBP48" s="16"/>
      <c r="SBQ48" s="16"/>
      <c r="SBR48" s="16"/>
      <c r="SBS48" s="16"/>
      <c r="SBT48" s="16"/>
      <c r="SBU48" s="16"/>
      <c r="SBV48" s="16"/>
      <c r="SBW48" s="16"/>
      <c r="SBX48" s="16"/>
      <c r="SBY48" s="16"/>
      <c r="SBZ48" s="16"/>
      <c r="SCA48" s="16"/>
      <c r="SCB48" s="16"/>
      <c r="SCC48" s="16"/>
      <c r="SCD48" s="16"/>
      <c r="SCE48" s="16"/>
      <c r="SCF48" s="16"/>
      <c r="SCG48" s="16"/>
      <c r="SCH48" s="16"/>
      <c r="SCI48" s="16"/>
      <c r="SCJ48" s="16"/>
      <c r="SCK48" s="16"/>
      <c r="SCL48" s="16"/>
      <c r="SCM48" s="16"/>
      <c r="SCN48" s="16"/>
      <c r="SCO48" s="16"/>
      <c r="SCP48" s="16"/>
      <c r="SCQ48" s="16"/>
      <c r="SCR48" s="16"/>
      <c r="SCS48" s="16"/>
      <c r="SCT48" s="16"/>
      <c r="SCU48" s="16"/>
      <c r="SCV48" s="16"/>
      <c r="SCW48" s="16"/>
      <c r="SCX48" s="16"/>
      <c r="SCY48" s="16"/>
      <c r="SCZ48" s="16"/>
      <c r="SDA48" s="16"/>
      <c r="SDB48" s="16"/>
      <c r="SDC48" s="16"/>
      <c r="SDD48" s="16"/>
      <c r="SDE48" s="16"/>
      <c r="SDF48" s="16"/>
      <c r="SDG48" s="16"/>
      <c r="SDH48" s="16"/>
      <c r="SDI48" s="16"/>
      <c r="SDJ48" s="16"/>
      <c r="SDK48" s="16"/>
      <c r="SDL48" s="16"/>
      <c r="SDM48" s="16"/>
      <c r="SDN48" s="16"/>
      <c r="SDO48" s="16"/>
      <c r="SDP48" s="16"/>
      <c r="SDQ48" s="16"/>
      <c r="SDR48" s="16"/>
      <c r="SDS48" s="16"/>
      <c r="SDT48" s="16"/>
      <c r="SDU48" s="16"/>
      <c r="SDV48" s="16"/>
      <c r="SDW48" s="16"/>
      <c r="SDX48" s="16"/>
      <c r="SDY48" s="16"/>
      <c r="SDZ48" s="16"/>
      <c r="SEA48" s="16"/>
      <c r="SEB48" s="16"/>
      <c r="SEC48" s="16"/>
      <c r="SED48" s="16"/>
      <c r="SEE48" s="16"/>
      <c r="SEF48" s="16"/>
      <c r="SEG48" s="16"/>
      <c r="SEH48" s="16"/>
      <c r="SEI48" s="16"/>
      <c r="SEJ48" s="16"/>
      <c r="SEK48" s="16"/>
      <c r="SEL48" s="16"/>
      <c r="SEM48" s="16"/>
      <c r="SEN48" s="16"/>
      <c r="SEO48" s="16"/>
      <c r="SEP48" s="16"/>
      <c r="SEQ48" s="16"/>
      <c r="SER48" s="16"/>
      <c r="SES48" s="16"/>
      <c r="SET48" s="16"/>
      <c r="SEU48" s="16"/>
      <c r="SEV48" s="16"/>
      <c r="SEW48" s="16"/>
      <c r="SEX48" s="16"/>
      <c r="SEY48" s="16"/>
      <c r="SEZ48" s="16"/>
      <c r="SFA48" s="16"/>
      <c r="SFB48" s="16"/>
      <c r="SFC48" s="16"/>
      <c r="SFD48" s="16"/>
      <c r="SFE48" s="16"/>
      <c r="SFF48" s="16"/>
      <c r="SFG48" s="16"/>
      <c r="SFH48" s="16"/>
      <c r="SFI48" s="16"/>
      <c r="SFJ48" s="16"/>
      <c r="SFK48" s="16"/>
      <c r="SFL48" s="16"/>
      <c r="SFM48" s="16"/>
      <c r="SFN48" s="16"/>
      <c r="SFO48" s="16"/>
      <c r="SFP48" s="16"/>
      <c r="SFQ48" s="16"/>
      <c r="SFR48" s="16"/>
      <c r="SFS48" s="16"/>
      <c r="SFT48" s="16"/>
      <c r="SFU48" s="16"/>
      <c r="SFV48" s="16"/>
      <c r="SFW48" s="16"/>
      <c r="SFX48" s="16"/>
      <c r="SFY48" s="16"/>
      <c r="SFZ48" s="16"/>
      <c r="SGA48" s="16"/>
      <c r="SGB48" s="16"/>
      <c r="SGC48" s="16"/>
      <c r="SGD48" s="16"/>
      <c r="SGE48" s="16"/>
      <c r="SGF48" s="16"/>
      <c r="SGG48" s="16"/>
      <c r="SGH48" s="16"/>
      <c r="SGI48" s="16"/>
      <c r="SGJ48" s="16"/>
      <c r="SGK48" s="16"/>
      <c r="SGL48" s="16"/>
      <c r="SGM48" s="16"/>
      <c r="SGN48" s="16"/>
      <c r="SGO48" s="16"/>
      <c r="SGP48" s="16"/>
      <c r="SGQ48" s="16"/>
      <c r="SGR48" s="16"/>
      <c r="SGS48" s="16"/>
      <c r="SGT48" s="16"/>
      <c r="SGU48" s="16"/>
      <c r="SGV48" s="16"/>
      <c r="SGW48" s="16"/>
      <c r="SGX48" s="16"/>
      <c r="SGY48" s="16"/>
      <c r="SGZ48" s="16"/>
      <c r="SHA48" s="16"/>
      <c r="SHB48" s="16"/>
      <c r="SHC48" s="16"/>
      <c r="SHD48" s="16"/>
      <c r="SHE48" s="16"/>
      <c r="SHF48" s="16"/>
      <c r="SHG48" s="16"/>
      <c r="SHH48" s="16"/>
      <c r="SHI48" s="16"/>
      <c r="SHJ48" s="16"/>
      <c r="SHK48" s="16"/>
      <c r="SHL48" s="16"/>
      <c r="SHM48" s="16"/>
      <c r="SHN48" s="16"/>
      <c r="SHO48" s="16"/>
      <c r="SHP48" s="16"/>
      <c r="SHQ48" s="16"/>
      <c r="SHR48" s="16"/>
      <c r="SHS48" s="16"/>
      <c r="SHT48" s="16"/>
      <c r="SHU48" s="16"/>
      <c r="SHV48" s="16"/>
      <c r="SHW48" s="16"/>
      <c r="SHX48" s="16"/>
      <c r="SHY48" s="16"/>
      <c r="SHZ48" s="16"/>
      <c r="SIA48" s="16"/>
      <c r="SIB48" s="16"/>
      <c r="SIC48" s="16"/>
      <c r="SID48" s="16"/>
      <c r="SIE48" s="16"/>
      <c r="SIF48" s="16"/>
      <c r="SIG48" s="16"/>
      <c r="SIH48" s="16"/>
      <c r="SII48" s="16"/>
      <c r="SIJ48" s="16"/>
      <c r="SIK48" s="16"/>
      <c r="SIL48" s="16"/>
      <c r="SIM48" s="16"/>
      <c r="SIN48" s="16"/>
      <c r="SIO48" s="16"/>
      <c r="SIP48" s="16"/>
      <c r="SIQ48" s="16"/>
      <c r="SIR48" s="16"/>
      <c r="SIS48" s="16"/>
      <c r="SIT48" s="16"/>
      <c r="SIU48" s="16"/>
      <c r="SIV48" s="16"/>
      <c r="SIW48" s="16"/>
      <c r="SIX48" s="16"/>
      <c r="SIY48" s="16"/>
      <c r="SIZ48" s="16"/>
      <c r="SJA48" s="16"/>
      <c r="SJB48" s="16"/>
      <c r="SJC48" s="16"/>
      <c r="SJD48" s="16"/>
      <c r="SJE48" s="16"/>
      <c r="SJF48" s="16"/>
      <c r="SJG48" s="16"/>
      <c r="SJH48" s="16"/>
      <c r="SJI48" s="16"/>
      <c r="SJJ48" s="16"/>
      <c r="SJK48" s="16"/>
      <c r="SJL48" s="16"/>
      <c r="SJM48" s="16"/>
      <c r="SJN48" s="16"/>
      <c r="SJO48" s="16"/>
      <c r="SJP48" s="16"/>
      <c r="SJQ48" s="16"/>
      <c r="SJR48" s="16"/>
      <c r="SJS48" s="16"/>
      <c r="SJT48" s="16"/>
      <c r="SJU48" s="16"/>
      <c r="SJV48" s="16"/>
      <c r="SJW48" s="16"/>
      <c r="SJX48" s="16"/>
      <c r="SJY48" s="16"/>
      <c r="SJZ48" s="16"/>
      <c r="SKA48" s="16"/>
      <c r="SKB48" s="16"/>
      <c r="SKC48" s="16"/>
      <c r="SKD48" s="16"/>
      <c r="SKE48" s="16"/>
      <c r="SKF48" s="16"/>
      <c r="SKG48" s="16"/>
      <c r="SKH48" s="16"/>
      <c r="SKI48" s="16"/>
      <c r="SKJ48" s="16"/>
      <c r="SKK48" s="16"/>
      <c r="SKL48" s="16"/>
      <c r="SKM48" s="16"/>
      <c r="SKN48" s="16"/>
      <c r="SKO48" s="16"/>
      <c r="SKP48" s="16"/>
      <c r="SKQ48" s="16"/>
      <c r="SKR48" s="16"/>
      <c r="SKS48" s="16"/>
      <c r="SKT48" s="16"/>
      <c r="SKU48" s="16"/>
      <c r="SKV48" s="16"/>
      <c r="SKW48" s="16"/>
      <c r="SKX48" s="16"/>
      <c r="SKY48" s="16"/>
      <c r="SKZ48" s="16"/>
      <c r="SLA48" s="16"/>
      <c r="SLB48" s="16"/>
      <c r="SLC48" s="16"/>
      <c r="SLD48" s="16"/>
      <c r="SLE48" s="16"/>
      <c r="SLF48" s="16"/>
      <c r="SLG48" s="16"/>
      <c r="SLH48" s="16"/>
      <c r="SLI48" s="16"/>
      <c r="SLJ48" s="16"/>
      <c r="SLK48" s="16"/>
      <c r="SLL48" s="16"/>
      <c r="SLM48" s="16"/>
      <c r="SLN48" s="16"/>
      <c r="SLO48" s="16"/>
      <c r="SLP48" s="16"/>
      <c r="SLQ48" s="16"/>
      <c r="SLR48" s="16"/>
      <c r="SLS48" s="16"/>
      <c r="SLT48" s="16"/>
      <c r="SLU48" s="16"/>
      <c r="SLV48" s="16"/>
      <c r="SLW48" s="16"/>
      <c r="SLX48" s="16"/>
      <c r="SLY48" s="16"/>
      <c r="SLZ48" s="16"/>
      <c r="SMA48" s="16"/>
      <c r="SMB48" s="16"/>
      <c r="SMC48" s="16"/>
      <c r="SMD48" s="16"/>
      <c r="SME48" s="16"/>
      <c r="SMF48" s="16"/>
      <c r="SMG48" s="16"/>
      <c r="SMH48" s="16"/>
      <c r="SMI48" s="16"/>
      <c r="SMJ48" s="16"/>
      <c r="SMK48" s="16"/>
      <c r="SML48" s="16"/>
      <c r="SMM48" s="16"/>
      <c r="SMN48" s="16"/>
      <c r="SMO48" s="16"/>
      <c r="SMP48" s="16"/>
      <c r="SMQ48" s="16"/>
      <c r="SMR48" s="16"/>
      <c r="SMS48" s="16"/>
      <c r="SMT48" s="16"/>
      <c r="SMU48" s="16"/>
      <c r="SMV48" s="16"/>
      <c r="SMW48" s="16"/>
      <c r="SMX48" s="16"/>
      <c r="SMY48" s="16"/>
      <c r="SMZ48" s="16"/>
      <c r="SNA48" s="16"/>
      <c r="SNB48" s="16"/>
      <c r="SNC48" s="16"/>
      <c r="SND48" s="16"/>
      <c r="SNE48" s="16"/>
      <c r="SNF48" s="16"/>
      <c r="SNG48" s="16"/>
      <c r="SNH48" s="16"/>
      <c r="SNI48" s="16"/>
      <c r="SNJ48" s="16"/>
      <c r="SNK48" s="16"/>
      <c r="SNL48" s="16"/>
      <c r="SNM48" s="16"/>
      <c r="SNN48" s="16"/>
      <c r="SNO48" s="16"/>
      <c r="SNP48" s="16"/>
      <c r="SNQ48" s="16"/>
      <c r="SNR48" s="16"/>
      <c r="SNS48" s="16"/>
      <c r="SNT48" s="16"/>
      <c r="SNU48" s="16"/>
      <c r="SNV48" s="16"/>
      <c r="SNW48" s="16"/>
      <c r="SNX48" s="16"/>
      <c r="SNY48" s="16"/>
      <c r="SNZ48" s="16"/>
      <c r="SOA48" s="16"/>
      <c r="SOB48" s="16"/>
      <c r="SOC48" s="16"/>
      <c r="SOD48" s="16"/>
      <c r="SOE48" s="16"/>
      <c r="SOF48" s="16"/>
      <c r="SOG48" s="16"/>
      <c r="SOH48" s="16"/>
      <c r="SOI48" s="16"/>
      <c r="SOJ48" s="16"/>
      <c r="SOK48" s="16"/>
      <c r="SOL48" s="16"/>
      <c r="SOM48" s="16"/>
      <c r="SON48" s="16"/>
      <c r="SOO48" s="16"/>
      <c r="SOP48" s="16"/>
      <c r="SOQ48" s="16"/>
      <c r="SOR48" s="16"/>
      <c r="SOS48" s="16"/>
      <c r="SOT48" s="16"/>
      <c r="SOU48" s="16"/>
      <c r="SOV48" s="16"/>
      <c r="SOW48" s="16"/>
      <c r="SOX48" s="16"/>
      <c r="SOY48" s="16"/>
      <c r="SOZ48" s="16"/>
      <c r="SPA48" s="16"/>
      <c r="SPB48" s="16"/>
      <c r="SPC48" s="16"/>
      <c r="SPD48" s="16"/>
      <c r="SPE48" s="16"/>
      <c r="SPF48" s="16"/>
      <c r="SPG48" s="16"/>
      <c r="SPH48" s="16"/>
      <c r="SPI48" s="16"/>
      <c r="SPJ48" s="16"/>
      <c r="SPK48" s="16"/>
      <c r="SPL48" s="16"/>
      <c r="SPM48" s="16"/>
      <c r="SPN48" s="16"/>
      <c r="SPO48" s="16"/>
      <c r="SPP48" s="16"/>
      <c r="SPQ48" s="16"/>
      <c r="SPR48" s="16"/>
      <c r="SPS48" s="16"/>
      <c r="SPT48" s="16"/>
      <c r="SPU48" s="16"/>
      <c r="SPV48" s="16"/>
      <c r="SPW48" s="16"/>
      <c r="SPX48" s="16"/>
      <c r="SPY48" s="16"/>
      <c r="SPZ48" s="16"/>
      <c r="SQA48" s="16"/>
      <c r="SQB48" s="16"/>
      <c r="SQC48" s="16"/>
      <c r="SQD48" s="16"/>
      <c r="SQE48" s="16"/>
      <c r="SQF48" s="16"/>
      <c r="SQG48" s="16"/>
      <c r="SQH48" s="16"/>
      <c r="SQI48" s="16"/>
      <c r="SQJ48" s="16"/>
      <c r="SQK48" s="16"/>
      <c r="SQL48" s="16"/>
      <c r="SQM48" s="16"/>
      <c r="SQN48" s="16"/>
      <c r="SQO48" s="16"/>
      <c r="SQP48" s="16"/>
      <c r="SQQ48" s="16"/>
      <c r="SQR48" s="16"/>
      <c r="SQS48" s="16"/>
      <c r="SQT48" s="16"/>
      <c r="SQU48" s="16"/>
      <c r="SQV48" s="16"/>
      <c r="SQW48" s="16"/>
      <c r="SQX48" s="16"/>
      <c r="SQY48" s="16"/>
      <c r="SQZ48" s="16"/>
      <c r="SRA48" s="16"/>
      <c r="SRB48" s="16"/>
      <c r="SRC48" s="16"/>
      <c r="SRD48" s="16"/>
      <c r="SRE48" s="16"/>
      <c r="SRF48" s="16"/>
      <c r="SRG48" s="16"/>
      <c r="SRH48" s="16"/>
      <c r="SRI48" s="16"/>
      <c r="SRJ48" s="16"/>
      <c r="SRK48" s="16"/>
      <c r="SRL48" s="16"/>
      <c r="SRM48" s="16"/>
      <c r="SRN48" s="16"/>
      <c r="SRO48" s="16"/>
      <c r="SRP48" s="16"/>
      <c r="SRQ48" s="16"/>
      <c r="SRR48" s="16"/>
      <c r="SRS48" s="16"/>
      <c r="SRT48" s="16"/>
      <c r="SRU48" s="16"/>
      <c r="SRV48" s="16"/>
      <c r="SRW48" s="16"/>
      <c r="SRX48" s="16"/>
      <c r="SRY48" s="16"/>
      <c r="SRZ48" s="16"/>
      <c r="SSA48" s="16"/>
      <c r="SSB48" s="16"/>
      <c r="SSC48" s="16"/>
      <c r="SSD48" s="16"/>
      <c r="SSE48" s="16"/>
      <c r="SSF48" s="16"/>
      <c r="SSG48" s="16"/>
      <c r="SSH48" s="16"/>
      <c r="SSI48" s="16"/>
      <c r="SSJ48" s="16"/>
      <c r="SSK48" s="16"/>
      <c r="SSL48" s="16"/>
      <c r="SSM48" s="16"/>
      <c r="SSN48" s="16"/>
      <c r="SSO48" s="16"/>
      <c r="SSP48" s="16"/>
      <c r="SSQ48" s="16"/>
      <c r="SSR48" s="16"/>
      <c r="SSS48" s="16"/>
      <c r="SST48" s="16"/>
      <c r="SSU48" s="16"/>
      <c r="SSV48" s="16"/>
      <c r="SSW48" s="16"/>
      <c r="SSX48" s="16"/>
      <c r="SSY48" s="16"/>
      <c r="SSZ48" s="16"/>
      <c r="STA48" s="16"/>
      <c r="STB48" s="16"/>
      <c r="STC48" s="16"/>
      <c r="STD48" s="16"/>
      <c r="STE48" s="16"/>
      <c r="STF48" s="16"/>
      <c r="STG48" s="16"/>
      <c r="STH48" s="16"/>
      <c r="STI48" s="16"/>
      <c r="STJ48" s="16"/>
      <c r="STK48" s="16"/>
      <c r="STL48" s="16"/>
      <c r="STM48" s="16"/>
      <c r="STN48" s="16"/>
      <c r="STO48" s="16"/>
      <c r="STP48" s="16"/>
      <c r="STQ48" s="16"/>
      <c r="STR48" s="16"/>
      <c r="STS48" s="16"/>
      <c r="STT48" s="16"/>
      <c r="STU48" s="16"/>
      <c r="STV48" s="16"/>
      <c r="STW48" s="16"/>
      <c r="STX48" s="16"/>
      <c r="STY48" s="16"/>
      <c r="STZ48" s="16"/>
      <c r="SUA48" s="16"/>
      <c r="SUB48" s="16"/>
      <c r="SUC48" s="16"/>
      <c r="SUD48" s="16"/>
      <c r="SUE48" s="16"/>
      <c r="SUF48" s="16"/>
      <c r="SUG48" s="16"/>
      <c r="SUH48" s="16"/>
      <c r="SUI48" s="16"/>
      <c r="SUJ48" s="16"/>
      <c r="SUK48" s="16"/>
      <c r="SUL48" s="16"/>
      <c r="SUM48" s="16"/>
      <c r="SUN48" s="16"/>
      <c r="SUO48" s="16"/>
      <c r="SUP48" s="16"/>
      <c r="SUQ48" s="16"/>
      <c r="SUR48" s="16"/>
      <c r="SUS48" s="16"/>
      <c r="SUT48" s="16"/>
      <c r="SUU48" s="16"/>
      <c r="SUV48" s="16"/>
      <c r="SUW48" s="16"/>
      <c r="SUX48" s="16"/>
      <c r="SUY48" s="16"/>
      <c r="SUZ48" s="16"/>
      <c r="SVA48" s="16"/>
      <c r="SVB48" s="16"/>
      <c r="SVC48" s="16"/>
      <c r="SVD48" s="16"/>
      <c r="SVE48" s="16"/>
      <c r="SVF48" s="16"/>
      <c r="SVG48" s="16"/>
      <c r="SVH48" s="16"/>
      <c r="SVI48" s="16"/>
      <c r="SVJ48" s="16"/>
      <c r="SVK48" s="16"/>
      <c r="SVL48" s="16"/>
      <c r="SVM48" s="16"/>
      <c r="SVN48" s="16"/>
      <c r="SVO48" s="16"/>
      <c r="SVP48" s="16"/>
      <c r="SVQ48" s="16"/>
      <c r="SVR48" s="16"/>
      <c r="SVS48" s="16"/>
      <c r="SVT48" s="16"/>
      <c r="SVU48" s="16"/>
      <c r="SVV48" s="16"/>
      <c r="SVW48" s="16"/>
      <c r="SVX48" s="16"/>
      <c r="SVY48" s="16"/>
      <c r="SVZ48" s="16"/>
      <c r="SWA48" s="16"/>
      <c r="SWB48" s="16"/>
      <c r="SWC48" s="16"/>
      <c r="SWD48" s="16"/>
      <c r="SWE48" s="16"/>
      <c r="SWF48" s="16"/>
      <c r="SWG48" s="16"/>
      <c r="SWH48" s="16"/>
      <c r="SWI48" s="16"/>
      <c r="SWJ48" s="16"/>
      <c r="SWK48" s="16"/>
      <c r="SWL48" s="16"/>
      <c r="SWM48" s="16"/>
      <c r="SWN48" s="16"/>
      <c r="SWO48" s="16"/>
      <c r="SWP48" s="16"/>
      <c r="SWQ48" s="16"/>
      <c r="SWR48" s="16"/>
      <c r="SWS48" s="16"/>
      <c r="SWT48" s="16"/>
      <c r="SWU48" s="16"/>
      <c r="SWV48" s="16"/>
      <c r="SWW48" s="16"/>
      <c r="SWX48" s="16"/>
      <c r="SWY48" s="16"/>
      <c r="SWZ48" s="16"/>
      <c r="SXA48" s="16"/>
      <c r="SXB48" s="16"/>
      <c r="SXC48" s="16"/>
      <c r="SXD48" s="16"/>
      <c r="SXE48" s="16"/>
      <c r="SXF48" s="16"/>
      <c r="SXG48" s="16"/>
      <c r="SXH48" s="16"/>
      <c r="SXI48" s="16"/>
      <c r="SXJ48" s="16"/>
      <c r="SXK48" s="16"/>
      <c r="SXL48" s="16"/>
      <c r="SXM48" s="16"/>
      <c r="SXN48" s="16"/>
      <c r="SXO48" s="16"/>
      <c r="SXP48" s="16"/>
      <c r="SXQ48" s="16"/>
      <c r="SXR48" s="16"/>
      <c r="SXS48" s="16"/>
      <c r="SXT48" s="16"/>
      <c r="SXU48" s="16"/>
      <c r="SXV48" s="16"/>
      <c r="SXW48" s="16"/>
      <c r="SXX48" s="16"/>
      <c r="SXY48" s="16"/>
      <c r="SXZ48" s="16"/>
      <c r="SYA48" s="16"/>
      <c r="SYB48" s="16"/>
      <c r="SYC48" s="16"/>
      <c r="SYD48" s="16"/>
      <c r="SYE48" s="16"/>
      <c r="SYF48" s="16"/>
      <c r="SYG48" s="16"/>
      <c r="SYH48" s="16"/>
      <c r="SYI48" s="16"/>
      <c r="SYJ48" s="16"/>
      <c r="SYK48" s="16"/>
      <c r="SYL48" s="16"/>
      <c r="SYM48" s="16"/>
      <c r="SYN48" s="16"/>
      <c r="SYO48" s="16"/>
      <c r="SYP48" s="16"/>
      <c r="SYQ48" s="16"/>
      <c r="SYR48" s="16"/>
      <c r="SYS48" s="16"/>
      <c r="SYT48" s="16"/>
      <c r="SYU48" s="16"/>
      <c r="SYV48" s="16"/>
      <c r="SYW48" s="16"/>
      <c r="SYX48" s="16"/>
      <c r="SYY48" s="16"/>
      <c r="SYZ48" s="16"/>
      <c r="SZA48" s="16"/>
      <c r="SZB48" s="16"/>
      <c r="SZC48" s="16"/>
      <c r="SZD48" s="16"/>
      <c r="SZE48" s="16"/>
      <c r="SZF48" s="16"/>
      <c r="SZG48" s="16"/>
      <c r="SZH48" s="16"/>
      <c r="SZI48" s="16"/>
      <c r="SZJ48" s="16"/>
      <c r="SZK48" s="16"/>
      <c r="SZL48" s="16"/>
      <c r="SZM48" s="16"/>
      <c r="SZN48" s="16"/>
      <c r="SZO48" s="16"/>
      <c r="SZP48" s="16"/>
      <c r="SZQ48" s="16"/>
      <c r="SZR48" s="16"/>
      <c r="SZS48" s="16"/>
      <c r="SZT48" s="16"/>
      <c r="SZU48" s="16"/>
      <c r="SZV48" s="16"/>
      <c r="SZW48" s="16"/>
      <c r="SZX48" s="16"/>
      <c r="SZY48" s="16"/>
      <c r="SZZ48" s="16"/>
      <c r="TAA48" s="16"/>
      <c r="TAB48" s="16"/>
      <c r="TAC48" s="16"/>
      <c r="TAD48" s="16"/>
      <c r="TAE48" s="16"/>
      <c r="TAF48" s="16"/>
      <c r="TAG48" s="16"/>
      <c r="TAH48" s="16"/>
      <c r="TAI48" s="16"/>
      <c r="TAJ48" s="16"/>
      <c r="TAK48" s="16"/>
      <c r="TAL48" s="16"/>
      <c r="TAM48" s="16"/>
      <c r="TAN48" s="16"/>
      <c r="TAO48" s="16"/>
      <c r="TAP48" s="16"/>
      <c r="TAQ48" s="16"/>
      <c r="TAR48" s="16"/>
      <c r="TAS48" s="16"/>
      <c r="TAT48" s="16"/>
      <c r="TAU48" s="16"/>
      <c r="TAV48" s="16"/>
      <c r="TAW48" s="16"/>
      <c r="TAX48" s="16"/>
      <c r="TAY48" s="16"/>
      <c r="TAZ48" s="16"/>
      <c r="TBA48" s="16"/>
      <c r="TBB48" s="16"/>
      <c r="TBC48" s="16"/>
      <c r="TBD48" s="16"/>
      <c r="TBE48" s="16"/>
      <c r="TBF48" s="16"/>
      <c r="TBG48" s="16"/>
      <c r="TBH48" s="16"/>
      <c r="TBI48" s="16"/>
      <c r="TBJ48" s="16"/>
      <c r="TBK48" s="16"/>
      <c r="TBL48" s="16"/>
      <c r="TBM48" s="16"/>
      <c r="TBN48" s="16"/>
      <c r="TBO48" s="16"/>
      <c r="TBP48" s="16"/>
      <c r="TBQ48" s="16"/>
      <c r="TBR48" s="16"/>
      <c r="TBS48" s="16"/>
      <c r="TBT48" s="16"/>
      <c r="TBU48" s="16"/>
      <c r="TBV48" s="16"/>
      <c r="TBW48" s="16"/>
      <c r="TBX48" s="16"/>
      <c r="TBY48" s="16"/>
      <c r="TBZ48" s="16"/>
      <c r="TCA48" s="16"/>
      <c r="TCB48" s="16"/>
      <c r="TCC48" s="16"/>
      <c r="TCD48" s="16"/>
      <c r="TCE48" s="16"/>
      <c r="TCF48" s="16"/>
      <c r="TCG48" s="16"/>
      <c r="TCH48" s="16"/>
      <c r="TCI48" s="16"/>
      <c r="TCJ48" s="16"/>
      <c r="TCK48" s="16"/>
      <c r="TCL48" s="16"/>
      <c r="TCM48" s="16"/>
      <c r="TCN48" s="16"/>
      <c r="TCO48" s="16"/>
      <c r="TCP48" s="16"/>
      <c r="TCQ48" s="16"/>
      <c r="TCR48" s="16"/>
      <c r="TCS48" s="16"/>
      <c r="TCT48" s="16"/>
      <c r="TCU48" s="16"/>
      <c r="TCV48" s="16"/>
      <c r="TCW48" s="16"/>
      <c r="TCX48" s="16"/>
      <c r="TCY48" s="16"/>
      <c r="TCZ48" s="16"/>
      <c r="TDA48" s="16"/>
      <c r="TDB48" s="16"/>
      <c r="TDC48" s="16"/>
      <c r="TDD48" s="16"/>
      <c r="TDE48" s="16"/>
      <c r="TDF48" s="16"/>
      <c r="TDG48" s="16"/>
      <c r="TDH48" s="16"/>
      <c r="TDI48" s="16"/>
      <c r="TDJ48" s="16"/>
      <c r="TDK48" s="16"/>
      <c r="TDL48" s="16"/>
      <c r="TDM48" s="16"/>
      <c r="TDN48" s="16"/>
      <c r="TDO48" s="16"/>
      <c r="TDP48" s="16"/>
      <c r="TDQ48" s="16"/>
      <c r="TDR48" s="16"/>
      <c r="TDS48" s="16"/>
      <c r="TDT48" s="16"/>
      <c r="TDU48" s="16"/>
      <c r="TDV48" s="16"/>
      <c r="TDW48" s="16"/>
      <c r="TDX48" s="16"/>
      <c r="TDY48" s="16"/>
      <c r="TDZ48" s="16"/>
      <c r="TEA48" s="16"/>
      <c r="TEB48" s="16"/>
      <c r="TEC48" s="16"/>
      <c r="TED48" s="16"/>
      <c r="TEE48" s="16"/>
      <c r="TEF48" s="16"/>
      <c r="TEG48" s="16"/>
      <c r="TEH48" s="16"/>
      <c r="TEI48" s="16"/>
      <c r="TEJ48" s="16"/>
      <c r="TEK48" s="16"/>
      <c r="TEL48" s="16"/>
      <c r="TEM48" s="16"/>
      <c r="TEN48" s="16"/>
      <c r="TEO48" s="16"/>
      <c r="TEP48" s="16"/>
      <c r="TEQ48" s="16"/>
      <c r="TER48" s="16"/>
      <c r="TES48" s="16"/>
      <c r="TET48" s="16"/>
      <c r="TEU48" s="16"/>
      <c r="TEV48" s="16"/>
      <c r="TEW48" s="16"/>
      <c r="TEX48" s="16"/>
      <c r="TEY48" s="16"/>
      <c r="TEZ48" s="16"/>
      <c r="TFA48" s="16"/>
      <c r="TFB48" s="16"/>
      <c r="TFC48" s="16"/>
      <c r="TFD48" s="16"/>
      <c r="TFE48" s="16"/>
      <c r="TFF48" s="16"/>
      <c r="TFG48" s="16"/>
      <c r="TFH48" s="16"/>
      <c r="TFI48" s="16"/>
      <c r="TFJ48" s="16"/>
      <c r="TFK48" s="16"/>
      <c r="TFL48" s="16"/>
      <c r="TFM48" s="16"/>
      <c r="TFN48" s="16"/>
      <c r="TFO48" s="16"/>
      <c r="TFP48" s="16"/>
      <c r="TFQ48" s="16"/>
      <c r="TFR48" s="16"/>
      <c r="TFS48" s="16"/>
      <c r="TFT48" s="16"/>
      <c r="TFU48" s="16"/>
      <c r="TFV48" s="16"/>
      <c r="TFW48" s="16"/>
      <c r="TFX48" s="16"/>
      <c r="TFY48" s="16"/>
      <c r="TFZ48" s="16"/>
      <c r="TGA48" s="16"/>
      <c r="TGB48" s="16"/>
      <c r="TGC48" s="16"/>
      <c r="TGD48" s="16"/>
      <c r="TGE48" s="16"/>
      <c r="TGF48" s="16"/>
      <c r="TGG48" s="16"/>
      <c r="TGH48" s="16"/>
      <c r="TGI48" s="16"/>
      <c r="TGJ48" s="16"/>
      <c r="TGK48" s="16"/>
      <c r="TGL48" s="16"/>
      <c r="TGM48" s="16"/>
      <c r="TGN48" s="16"/>
      <c r="TGO48" s="16"/>
      <c r="TGP48" s="16"/>
      <c r="TGQ48" s="16"/>
      <c r="TGR48" s="16"/>
      <c r="TGS48" s="16"/>
      <c r="TGT48" s="16"/>
      <c r="TGU48" s="16"/>
      <c r="TGV48" s="16"/>
      <c r="TGW48" s="16"/>
      <c r="TGX48" s="16"/>
      <c r="TGY48" s="16"/>
      <c r="TGZ48" s="16"/>
      <c r="THA48" s="16"/>
      <c r="THB48" s="16"/>
      <c r="THC48" s="16"/>
      <c r="THD48" s="16"/>
      <c r="THE48" s="16"/>
      <c r="THF48" s="16"/>
      <c r="THG48" s="16"/>
      <c r="THH48" s="16"/>
      <c r="THI48" s="16"/>
      <c r="THJ48" s="16"/>
      <c r="THK48" s="16"/>
      <c r="THL48" s="16"/>
      <c r="THM48" s="16"/>
      <c r="THN48" s="16"/>
      <c r="THO48" s="16"/>
      <c r="THP48" s="16"/>
      <c r="THQ48" s="16"/>
      <c r="THR48" s="16"/>
      <c r="THS48" s="16"/>
      <c r="THT48" s="16"/>
      <c r="THU48" s="16"/>
      <c r="THV48" s="16"/>
      <c r="THW48" s="16"/>
      <c r="THX48" s="16"/>
      <c r="THY48" s="16"/>
      <c r="THZ48" s="16"/>
      <c r="TIA48" s="16"/>
      <c r="TIB48" s="16"/>
      <c r="TIC48" s="16"/>
      <c r="TID48" s="16"/>
      <c r="TIE48" s="16"/>
      <c r="TIF48" s="16"/>
      <c r="TIG48" s="16"/>
      <c r="TIH48" s="16"/>
      <c r="TII48" s="16"/>
      <c r="TIJ48" s="16"/>
      <c r="TIK48" s="16"/>
      <c r="TIL48" s="16"/>
      <c r="TIM48" s="16"/>
      <c r="TIN48" s="16"/>
      <c r="TIO48" s="16"/>
      <c r="TIP48" s="16"/>
      <c r="TIQ48" s="16"/>
      <c r="TIR48" s="16"/>
      <c r="TIS48" s="16"/>
      <c r="TIT48" s="16"/>
      <c r="TIU48" s="16"/>
      <c r="TIV48" s="16"/>
      <c r="TIW48" s="16"/>
      <c r="TIX48" s="16"/>
      <c r="TIY48" s="16"/>
      <c r="TIZ48" s="16"/>
      <c r="TJA48" s="16"/>
      <c r="TJB48" s="16"/>
      <c r="TJC48" s="16"/>
      <c r="TJD48" s="16"/>
      <c r="TJE48" s="16"/>
      <c r="TJF48" s="16"/>
      <c r="TJG48" s="16"/>
      <c r="TJH48" s="16"/>
      <c r="TJI48" s="16"/>
      <c r="TJJ48" s="16"/>
      <c r="TJK48" s="16"/>
      <c r="TJL48" s="16"/>
      <c r="TJM48" s="16"/>
      <c r="TJN48" s="16"/>
      <c r="TJO48" s="16"/>
      <c r="TJP48" s="16"/>
      <c r="TJQ48" s="16"/>
      <c r="TJR48" s="16"/>
      <c r="TJS48" s="16"/>
      <c r="TJT48" s="16"/>
      <c r="TJU48" s="16"/>
      <c r="TJV48" s="16"/>
      <c r="TJW48" s="16"/>
      <c r="TJX48" s="16"/>
      <c r="TJY48" s="16"/>
      <c r="TJZ48" s="16"/>
      <c r="TKA48" s="16"/>
      <c r="TKB48" s="16"/>
      <c r="TKC48" s="16"/>
      <c r="TKD48" s="16"/>
      <c r="TKE48" s="16"/>
      <c r="TKF48" s="16"/>
      <c r="TKG48" s="16"/>
      <c r="TKH48" s="16"/>
      <c r="TKI48" s="16"/>
      <c r="TKJ48" s="16"/>
      <c r="TKK48" s="16"/>
      <c r="TKL48" s="16"/>
      <c r="TKM48" s="16"/>
      <c r="TKN48" s="16"/>
      <c r="TKO48" s="16"/>
      <c r="TKP48" s="16"/>
      <c r="TKQ48" s="16"/>
      <c r="TKR48" s="16"/>
      <c r="TKS48" s="16"/>
      <c r="TKT48" s="16"/>
      <c r="TKU48" s="16"/>
      <c r="TKV48" s="16"/>
      <c r="TKW48" s="16"/>
      <c r="TKX48" s="16"/>
      <c r="TKY48" s="16"/>
      <c r="TKZ48" s="16"/>
      <c r="TLA48" s="16"/>
      <c r="TLB48" s="16"/>
      <c r="TLC48" s="16"/>
      <c r="TLD48" s="16"/>
      <c r="TLE48" s="16"/>
      <c r="TLF48" s="16"/>
      <c r="TLG48" s="16"/>
      <c r="TLH48" s="16"/>
      <c r="TLI48" s="16"/>
      <c r="TLJ48" s="16"/>
      <c r="TLK48" s="16"/>
      <c r="TLL48" s="16"/>
      <c r="TLM48" s="16"/>
      <c r="TLN48" s="16"/>
      <c r="TLO48" s="16"/>
      <c r="TLP48" s="16"/>
      <c r="TLQ48" s="16"/>
      <c r="TLR48" s="16"/>
      <c r="TLS48" s="16"/>
      <c r="TLT48" s="16"/>
      <c r="TLU48" s="16"/>
      <c r="TLV48" s="16"/>
      <c r="TLW48" s="16"/>
      <c r="TLX48" s="16"/>
      <c r="TLY48" s="16"/>
      <c r="TLZ48" s="16"/>
      <c r="TMA48" s="16"/>
      <c r="TMB48" s="16"/>
      <c r="TMC48" s="16"/>
      <c r="TMD48" s="16"/>
      <c r="TME48" s="16"/>
      <c r="TMF48" s="16"/>
      <c r="TMG48" s="16"/>
      <c r="TMH48" s="16"/>
      <c r="TMI48" s="16"/>
      <c r="TMJ48" s="16"/>
      <c r="TMK48" s="16"/>
      <c r="TML48" s="16"/>
      <c r="TMM48" s="16"/>
      <c r="TMN48" s="16"/>
      <c r="TMO48" s="16"/>
      <c r="TMP48" s="16"/>
      <c r="TMQ48" s="16"/>
      <c r="TMR48" s="16"/>
      <c r="TMS48" s="16"/>
      <c r="TMT48" s="16"/>
      <c r="TMU48" s="16"/>
      <c r="TMV48" s="16"/>
      <c r="TMW48" s="16"/>
      <c r="TMX48" s="16"/>
      <c r="TMY48" s="16"/>
      <c r="TMZ48" s="16"/>
      <c r="TNA48" s="16"/>
      <c r="TNB48" s="16"/>
      <c r="TNC48" s="16"/>
      <c r="TND48" s="16"/>
      <c r="TNE48" s="16"/>
      <c r="TNF48" s="16"/>
      <c r="TNG48" s="16"/>
      <c r="TNH48" s="16"/>
      <c r="TNI48" s="16"/>
      <c r="TNJ48" s="16"/>
      <c r="TNK48" s="16"/>
      <c r="TNL48" s="16"/>
      <c r="TNM48" s="16"/>
      <c r="TNN48" s="16"/>
      <c r="TNO48" s="16"/>
      <c r="TNP48" s="16"/>
      <c r="TNQ48" s="16"/>
      <c r="TNR48" s="16"/>
      <c r="TNS48" s="16"/>
      <c r="TNT48" s="16"/>
      <c r="TNU48" s="16"/>
      <c r="TNV48" s="16"/>
      <c r="TNW48" s="16"/>
      <c r="TNX48" s="16"/>
      <c r="TNY48" s="16"/>
      <c r="TNZ48" s="16"/>
      <c r="TOA48" s="16"/>
      <c r="TOB48" s="16"/>
      <c r="TOC48" s="16"/>
      <c r="TOD48" s="16"/>
      <c r="TOE48" s="16"/>
      <c r="TOF48" s="16"/>
      <c r="TOG48" s="16"/>
      <c r="TOH48" s="16"/>
      <c r="TOI48" s="16"/>
      <c r="TOJ48" s="16"/>
      <c r="TOK48" s="16"/>
      <c r="TOL48" s="16"/>
      <c r="TOM48" s="16"/>
      <c r="TON48" s="16"/>
      <c r="TOO48" s="16"/>
      <c r="TOP48" s="16"/>
      <c r="TOQ48" s="16"/>
      <c r="TOR48" s="16"/>
      <c r="TOS48" s="16"/>
      <c r="TOT48" s="16"/>
      <c r="TOU48" s="16"/>
      <c r="TOV48" s="16"/>
      <c r="TOW48" s="16"/>
      <c r="TOX48" s="16"/>
      <c r="TOY48" s="16"/>
      <c r="TOZ48" s="16"/>
      <c r="TPA48" s="16"/>
      <c r="TPB48" s="16"/>
      <c r="TPC48" s="16"/>
      <c r="TPD48" s="16"/>
      <c r="TPE48" s="16"/>
      <c r="TPF48" s="16"/>
      <c r="TPG48" s="16"/>
      <c r="TPH48" s="16"/>
      <c r="TPI48" s="16"/>
      <c r="TPJ48" s="16"/>
      <c r="TPK48" s="16"/>
      <c r="TPL48" s="16"/>
      <c r="TPM48" s="16"/>
      <c r="TPN48" s="16"/>
      <c r="TPO48" s="16"/>
      <c r="TPP48" s="16"/>
      <c r="TPQ48" s="16"/>
      <c r="TPR48" s="16"/>
      <c r="TPS48" s="16"/>
      <c r="TPT48" s="16"/>
      <c r="TPU48" s="16"/>
      <c r="TPV48" s="16"/>
      <c r="TPW48" s="16"/>
      <c r="TPX48" s="16"/>
      <c r="TPY48" s="16"/>
      <c r="TPZ48" s="16"/>
      <c r="TQA48" s="16"/>
      <c r="TQB48" s="16"/>
      <c r="TQC48" s="16"/>
      <c r="TQD48" s="16"/>
      <c r="TQE48" s="16"/>
      <c r="TQF48" s="16"/>
      <c r="TQG48" s="16"/>
      <c r="TQH48" s="16"/>
      <c r="TQI48" s="16"/>
      <c r="TQJ48" s="16"/>
      <c r="TQK48" s="16"/>
      <c r="TQL48" s="16"/>
      <c r="TQM48" s="16"/>
      <c r="TQN48" s="16"/>
      <c r="TQO48" s="16"/>
      <c r="TQP48" s="16"/>
      <c r="TQQ48" s="16"/>
      <c r="TQR48" s="16"/>
      <c r="TQS48" s="16"/>
      <c r="TQT48" s="16"/>
      <c r="TQU48" s="16"/>
      <c r="TQV48" s="16"/>
      <c r="TQW48" s="16"/>
      <c r="TQX48" s="16"/>
      <c r="TQY48" s="16"/>
      <c r="TQZ48" s="16"/>
      <c r="TRA48" s="16"/>
      <c r="TRB48" s="16"/>
      <c r="TRC48" s="16"/>
      <c r="TRD48" s="16"/>
      <c r="TRE48" s="16"/>
      <c r="TRF48" s="16"/>
      <c r="TRG48" s="16"/>
      <c r="TRH48" s="16"/>
      <c r="TRI48" s="16"/>
      <c r="TRJ48" s="16"/>
      <c r="TRK48" s="16"/>
      <c r="TRL48" s="16"/>
      <c r="TRM48" s="16"/>
      <c r="TRN48" s="16"/>
      <c r="TRO48" s="16"/>
      <c r="TRP48" s="16"/>
      <c r="TRQ48" s="16"/>
      <c r="TRR48" s="16"/>
      <c r="TRS48" s="16"/>
      <c r="TRT48" s="16"/>
      <c r="TRU48" s="16"/>
      <c r="TRV48" s="16"/>
      <c r="TRW48" s="16"/>
      <c r="TRX48" s="16"/>
      <c r="TRY48" s="16"/>
      <c r="TRZ48" s="16"/>
      <c r="TSA48" s="16"/>
      <c r="TSB48" s="16"/>
      <c r="TSC48" s="16"/>
      <c r="TSD48" s="16"/>
      <c r="TSE48" s="16"/>
      <c r="TSF48" s="16"/>
      <c r="TSG48" s="16"/>
      <c r="TSH48" s="16"/>
      <c r="TSI48" s="16"/>
      <c r="TSJ48" s="16"/>
      <c r="TSK48" s="16"/>
      <c r="TSL48" s="16"/>
      <c r="TSM48" s="16"/>
      <c r="TSN48" s="16"/>
      <c r="TSO48" s="16"/>
      <c r="TSP48" s="16"/>
      <c r="TSQ48" s="16"/>
      <c r="TSR48" s="16"/>
      <c r="TSS48" s="16"/>
      <c r="TST48" s="16"/>
      <c r="TSU48" s="16"/>
      <c r="TSV48" s="16"/>
      <c r="TSW48" s="16"/>
      <c r="TSX48" s="16"/>
      <c r="TSY48" s="16"/>
      <c r="TSZ48" s="16"/>
      <c r="TTA48" s="16"/>
      <c r="TTB48" s="16"/>
      <c r="TTC48" s="16"/>
      <c r="TTD48" s="16"/>
      <c r="TTE48" s="16"/>
      <c r="TTF48" s="16"/>
      <c r="TTG48" s="16"/>
      <c r="TTH48" s="16"/>
      <c r="TTI48" s="16"/>
      <c r="TTJ48" s="16"/>
      <c r="TTK48" s="16"/>
      <c r="TTL48" s="16"/>
      <c r="TTM48" s="16"/>
      <c r="TTN48" s="16"/>
      <c r="TTO48" s="16"/>
      <c r="TTP48" s="16"/>
      <c r="TTQ48" s="16"/>
      <c r="TTR48" s="16"/>
      <c r="TTS48" s="16"/>
      <c r="TTT48" s="16"/>
      <c r="TTU48" s="16"/>
      <c r="TTV48" s="16"/>
      <c r="TTW48" s="16"/>
      <c r="TTX48" s="16"/>
      <c r="TTY48" s="16"/>
      <c r="TTZ48" s="16"/>
      <c r="TUA48" s="16"/>
      <c r="TUB48" s="16"/>
      <c r="TUC48" s="16"/>
      <c r="TUD48" s="16"/>
      <c r="TUE48" s="16"/>
      <c r="TUF48" s="16"/>
      <c r="TUG48" s="16"/>
      <c r="TUH48" s="16"/>
      <c r="TUI48" s="16"/>
      <c r="TUJ48" s="16"/>
      <c r="TUK48" s="16"/>
      <c r="TUL48" s="16"/>
      <c r="TUM48" s="16"/>
      <c r="TUN48" s="16"/>
      <c r="TUO48" s="16"/>
      <c r="TUP48" s="16"/>
      <c r="TUQ48" s="16"/>
      <c r="TUR48" s="16"/>
      <c r="TUS48" s="16"/>
      <c r="TUT48" s="16"/>
      <c r="TUU48" s="16"/>
      <c r="TUV48" s="16"/>
      <c r="TUW48" s="16"/>
      <c r="TUX48" s="16"/>
      <c r="TUY48" s="16"/>
      <c r="TUZ48" s="16"/>
      <c r="TVA48" s="16"/>
      <c r="TVB48" s="16"/>
      <c r="TVC48" s="16"/>
      <c r="TVD48" s="16"/>
      <c r="TVE48" s="16"/>
      <c r="TVF48" s="16"/>
      <c r="TVG48" s="16"/>
      <c r="TVH48" s="16"/>
      <c r="TVI48" s="16"/>
      <c r="TVJ48" s="16"/>
      <c r="TVK48" s="16"/>
      <c r="TVL48" s="16"/>
      <c r="TVM48" s="16"/>
      <c r="TVN48" s="16"/>
      <c r="TVO48" s="16"/>
      <c r="TVP48" s="16"/>
      <c r="TVQ48" s="16"/>
      <c r="TVR48" s="16"/>
      <c r="TVS48" s="16"/>
      <c r="TVT48" s="16"/>
      <c r="TVU48" s="16"/>
      <c r="TVV48" s="16"/>
      <c r="TVW48" s="16"/>
      <c r="TVX48" s="16"/>
      <c r="TVY48" s="16"/>
      <c r="TVZ48" s="16"/>
      <c r="TWA48" s="16"/>
      <c r="TWB48" s="16"/>
      <c r="TWC48" s="16"/>
      <c r="TWD48" s="16"/>
      <c r="TWE48" s="16"/>
      <c r="TWF48" s="16"/>
      <c r="TWG48" s="16"/>
      <c r="TWH48" s="16"/>
      <c r="TWI48" s="16"/>
      <c r="TWJ48" s="16"/>
      <c r="TWK48" s="16"/>
      <c r="TWL48" s="16"/>
      <c r="TWM48" s="16"/>
      <c r="TWN48" s="16"/>
      <c r="TWO48" s="16"/>
      <c r="TWP48" s="16"/>
      <c r="TWQ48" s="16"/>
      <c r="TWR48" s="16"/>
      <c r="TWS48" s="16"/>
      <c r="TWT48" s="16"/>
      <c r="TWU48" s="16"/>
      <c r="TWV48" s="16"/>
      <c r="TWW48" s="16"/>
      <c r="TWX48" s="16"/>
      <c r="TWY48" s="16"/>
      <c r="TWZ48" s="16"/>
      <c r="TXA48" s="16"/>
      <c r="TXB48" s="16"/>
      <c r="TXC48" s="16"/>
      <c r="TXD48" s="16"/>
      <c r="TXE48" s="16"/>
      <c r="TXF48" s="16"/>
      <c r="TXG48" s="16"/>
      <c r="TXH48" s="16"/>
      <c r="TXI48" s="16"/>
      <c r="TXJ48" s="16"/>
      <c r="TXK48" s="16"/>
      <c r="TXL48" s="16"/>
      <c r="TXM48" s="16"/>
      <c r="TXN48" s="16"/>
      <c r="TXO48" s="16"/>
      <c r="TXP48" s="16"/>
      <c r="TXQ48" s="16"/>
      <c r="TXR48" s="16"/>
      <c r="TXS48" s="16"/>
      <c r="TXT48" s="16"/>
      <c r="TXU48" s="16"/>
      <c r="TXV48" s="16"/>
      <c r="TXW48" s="16"/>
      <c r="TXX48" s="16"/>
      <c r="TXY48" s="16"/>
      <c r="TXZ48" s="16"/>
      <c r="TYA48" s="16"/>
      <c r="TYB48" s="16"/>
      <c r="TYC48" s="16"/>
      <c r="TYD48" s="16"/>
      <c r="TYE48" s="16"/>
      <c r="TYF48" s="16"/>
      <c r="TYG48" s="16"/>
      <c r="TYH48" s="16"/>
      <c r="TYI48" s="16"/>
      <c r="TYJ48" s="16"/>
      <c r="TYK48" s="16"/>
      <c r="TYL48" s="16"/>
      <c r="TYM48" s="16"/>
      <c r="TYN48" s="16"/>
      <c r="TYO48" s="16"/>
      <c r="TYP48" s="16"/>
      <c r="TYQ48" s="16"/>
      <c r="TYR48" s="16"/>
      <c r="TYS48" s="16"/>
      <c r="TYT48" s="16"/>
      <c r="TYU48" s="16"/>
      <c r="TYV48" s="16"/>
      <c r="TYW48" s="16"/>
      <c r="TYX48" s="16"/>
      <c r="TYY48" s="16"/>
      <c r="TYZ48" s="16"/>
      <c r="TZA48" s="16"/>
      <c r="TZB48" s="16"/>
      <c r="TZC48" s="16"/>
      <c r="TZD48" s="16"/>
      <c r="TZE48" s="16"/>
      <c r="TZF48" s="16"/>
      <c r="TZG48" s="16"/>
      <c r="TZH48" s="16"/>
      <c r="TZI48" s="16"/>
      <c r="TZJ48" s="16"/>
      <c r="TZK48" s="16"/>
      <c r="TZL48" s="16"/>
      <c r="TZM48" s="16"/>
      <c r="TZN48" s="16"/>
      <c r="TZO48" s="16"/>
      <c r="TZP48" s="16"/>
      <c r="TZQ48" s="16"/>
      <c r="TZR48" s="16"/>
      <c r="TZS48" s="16"/>
      <c r="TZT48" s="16"/>
      <c r="TZU48" s="16"/>
      <c r="TZV48" s="16"/>
      <c r="TZW48" s="16"/>
      <c r="TZX48" s="16"/>
      <c r="TZY48" s="16"/>
      <c r="TZZ48" s="16"/>
      <c r="UAA48" s="16"/>
      <c r="UAB48" s="16"/>
      <c r="UAC48" s="16"/>
      <c r="UAD48" s="16"/>
      <c r="UAE48" s="16"/>
      <c r="UAF48" s="16"/>
      <c r="UAG48" s="16"/>
      <c r="UAH48" s="16"/>
      <c r="UAI48" s="16"/>
      <c r="UAJ48" s="16"/>
      <c r="UAK48" s="16"/>
      <c r="UAL48" s="16"/>
      <c r="UAM48" s="16"/>
      <c r="UAN48" s="16"/>
      <c r="UAO48" s="16"/>
      <c r="UAP48" s="16"/>
      <c r="UAQ48" s="16"/>
      <c r="UAR48" s="16"/>
      <c r="UAS48" s="16"/>
      <c r="UAT48" s="16"/>
      <c r="UAU48" s="16"/>
      <c r="UAV48" s="16"/>
      <c r="UAW48" s="16"/>
      <c r="UAX48" s="16"/>
      <c r="UAY48" s="16"/>
      <c r="UAZ48" s="16"/>
      <c r="UBA48" s="16"/>
      <c r="UBB48" s="16"/>
      <c r="UBC48" s="16"/>
      <c r="UBD48" s="16"/>
      <c r="UBE48" s="16"/>
      <c r="UBF48" s="16"/>
      <c r="UBG48" s="16"/>
      <c r="UBH48" s="16"/>
      <c r="UBI48" s="16"/>
      <c r="UBJ48" s="16"/>
      <c r="UBK48" s="16"/>
      <c r="UBL48" s="16"/>
      <c r="UBM48" s="16"/>
      <c r="UBN48" s="16"/>
      <c r="UBO48" s="16"/>
      <c r="UBP48" s="16"/>
      <c r="UBQ48" s="16"/>
      <c r="UBR48" s="16"/>
      <c r="UBS48" s="16"/>
      <c r="UBT48" s="16"/>
      <c r="UBU48" s="16"/>
      <c r="UBV48" s="16"/>
      <c r="UBW48" s="16"/>
      <c r="UBX48" s="16"/>
      <c r="UBY48" s="16"/>
      <c r="UBZ48" s="16"/>
      <c r="UCA48" s="16"/>
      <c r="UCB48" s="16"/>
      <c r="UCC48" s="16"/>
      <c r="UCD48" s="16"/>
      <c r="UCE48" s="16"/>
      <c r="UCF48" s="16"/>
      <c r="UCG48" s="16"/>
      <c r="UCH48" s="16"/>
      <c r="UCI48" s="16"/>
      <c r="UCJ48" s="16"/>
      <c r="UCK48" s="16"/>
      <c r="UCL48" s="16"/>
      <c r="UCM48" s="16"/>
      <c r="UCN48" s="16"/>
      <c r="UCO48" s="16"/>
      <c r="UCP48" s="16"/>
      <c r="UCQ48" s="16"/>
      <c r="UCR48" s="16"/>
      <c r="UCS48" s="16"/>
      <c r="UCT48" s="16"/>
      <c r="UCU48" s="16"/>
      <c r="UCV48" s="16"/>
      <c r="UCW48" s="16"/>
      <c r="UCX48" s="16"/>
      <c r="UCY48" s="16"/>
      <c r="UCZ48" s="16"/>
      <c r="UDA48" s="16"/>
      <c r="UDB48" s="16"/>
      <c r="UDC48" s="16"/>
      <c r="UDD48" s="16"/>
      <c r="UDE48" s="16"/>
      <c r="UDF48" s="16"/>
      <c r="UDG48" s="16"/>
      <c r="UDH48" s="16"/>
      <c r="UDI48" s="16"/>
      <c r="UDJ48" s="16"/>
      <c r="UDK48" s="16"/>
      <c r="UDL48" s="16"/>
      <c r="UDM48" s="16"/>
      <c r="UDN48" s="16"/>
      <c r="UDO48" s="16"/>
      <c r="UDP48" s="16"/>
      <c r="UDQ48" s="16"/>
      <c r="UDR48" s="16"/>
      <c r="UDS48" s="16"/>
      <c r="UDT48" s="16"/>
      <c r="UDU48" s="16"/>
      <c r="UDV48" s="16"/>
      <c r="UDW48" s="16"/>
      <c r="UDX48" s="16"/>
      <c r="UDY48" s="16"/>
      <c r="UDZ48" s="16"/>
      <c r="UEA48" s="16"/>
      <c r="UEB48" s="16"/>
      <c r="UEC48" s="16"/>
      <c r="UED48" s="16"/>
      <c r="UEE48" s="16"/>
      <c r="UEF48" s="16"/>
      <c r="UEG48" s="16"/>
      <c r="UEH48" s="16"/>
      <c r="UEI48" s="16"/>
      <c r="UEJ48" s="16"/>
      <c r="UEK48" s="16"/>
      <c r="UEL48" s="16"/>
      <c r="UEM48" s="16"/>
      <c r="UEN48" s="16"/>
      <c r="UEO48" s="16"/>
      <c r="UEP48" s="16"/>
      <c r="UEQ48" s="16"/>
      <c r="UER48" s="16"/>
      <c r="UES48" s="16"/>
      <c r="UET48" s="16"/>
      <c r="UEU48" s="16"/>
      <c r="UEV48" s="16"/>
      <c r="UEW48" s="16"/>
      <c r="UEX48" s="16"/>
      <c r="UEY48" s="16"/>
      <c r="UEZ48" s="16"/>
      <c r="UFA48" s="16"/>
      <c r="UFB48" s="16"/>
      <c r="UFC48" s="16"/>
      <c r="UFD48" s="16"/>
      <c r="UFE48" s="16"/>
      <c r="UFF48" s="16"/>
      <c r="UFG48" s="16"/>
      <c r="UFH48" s="16"/>
      <c r="UFI48" s="16"/>
      <c r="UFJ48" s="16"/>
      <c r="UFK48" s="16"/>
      <c r="UFL48" s="16"/>
      <c r="UFM48" s="16"/>
      <c r="UFN48" s="16"/>
      <c r="UFO48" s="16"/>
      <c r="UFP48" s="16"/>
      <c r="UFQ48" s="16"/>
      <c r="UFR48" s="16"/>
      <c r="UFS48" s="16"/>
      <c r="UFT48" s="16"/>
      <c r="UFU48" s="16"/>
      <c r="UFV48" s="16"/>
      <c r="UFW48" s="16"/>
      <c r="UFX48" s="16"/>
      <c r="UFY48" s="16"/>
      <c r="UFZ48" s="16"/>
      <c r="UGA48" s="16"/>
      <c r="UGB48" s="16"/>
      <c r="UGC48" s="16"/>
      <c r="UGD48" s="16"/>
      <c r="UGE48" s="16"/>
      <c r="UGF48" s="16"/>
      <c r="UGG48" s="16"/>
      <c r="UGH48" s="16"/>
      <c r="UGI48" s="16"/>
      <c r="UGJ48" s="16"/>
      <c r="UGK48" s="16"/>
      <c r="UGL48" s="16"/>
      <c r="UGM48" s="16"/>
      <c r="UGN48" s="16"/>
      <c r="UGO48" s="16"/>
      <c r="UGP48" s="16"/>
      <c r="UGQ48" s="16"/>
      <c r="UGR48" s="16"/>
      <c r="UGS48" s="16"/>
      <c r="UGT48" s="16"/>
      <c r="UGU48" s="16"/>
      <c r="UGV48" s="16"/>
      <c r="UGW48" s="16"/>
      <c r="UGX48" s="16"/>
      <c r="UGY48" s="16"/>
      <c r="UGZ48" s="16"/>
      <c r="UHA48" s="16"/>
      <c r="UHB48" s="16"/>
      <c r="UHC48" s="16"/>
      <c r="UHD48" s="16"/>
      <c r="UHE48" s="16"/>
      <c r="UHF48" s="16"/>
      <c r="UHG48" s="16"/>
      <c r="UHH48" s="16"/>
      <c r="UHI48" s="16"/>
      <c r="UHJ48" s="16"/>
      <c r="UHK48" s="16"/>
      <c r="UHL48" s="16"/>
      <c r="UHM48" s="16"/>
      <c r="UHN48" s="16"/>
      <c r="UHO48" s="16"/>
      <c r="UHP48" s="16"/>
      <c r="UHQ48" s="16"/>
      <c r="UHR48" s="16"/>
      <c r="UHS48" s="16"/>
      <c r="UHT48" s="16"/>
      <c r="UHU48" s="16"/>
      <c r="UHV48" s="16"/>
      <c r="UHW48" s="16"/>
      <c r="UHX48" s="16"/>
      <c r="UHY48" s="16"/>
      <c r="UHZ48" s="16"/>
      <c r="UIA48" s="16"/>
      <c r="UIB48" s="16"/>
      <c r="UIC48" s="16"/>
      <c r="UID48" s="16"/>
      <c r="UIE48" s="16"/>
      <c r="UIF48" s="16"/>
      <c r="UIG48" s="16"/>
      <c r="UIH48" s="16"/>
      <c r="UII48" s="16"/>
      <c r="UIJ48" s="16"/>
      <c r="UIK48" s="16"/>
      <c r="UIL48" s="16"/>
      <c r="UIM48" s="16"/>
      <c r="UIN48" s="16"/>
      <c r="UIO48" s="16"/>
      <c r="UIP48" s="16"/>
      <c r="UIQ48" s="16"/>
      <c r="UIR48" s="16"/>
      <c r="UIS48" s="16"/>
      <c r="UIT48" s="16"/>
      <c r="UIU48" s="16"/>
      <c r="UIV48" s="16"/>
      <c r="UIW48" s="16"/>
      <c r="UIX48" s="16"/>
      <c r="UIY48" s="16"/>
      <c r="UIZ48" s="16"/>
      <c r="UJA48" s="16"/>
      <c r="UJB48" s="16"/>
      <c r="UJC48" s="16"/>
      <c r="UJD48" s="16"/>
      <c r="UJE48" s="16"/>
      <c r="UJF48" s="16"/>
      <c r="UJG48" s="16"/>
      <c r="UJH48" s="16"/>
      <c r="UJI48" s="16"/>
      <c r="UJJ48" s="16"/>
      <c r="UJK48" s="16"/>
      <c r="UJL48" s="16"/>
      <c r="UJM48" s="16"/>
      <c r="UJN48" s="16"/>
      <c r="UJO48" s="16"/>
      <c r="UJP48" s="16"/>
      <c r="UJQ48" s="16"/>
      <c r="UJR48" s="16"/>
      <c r="UJS48" s="16"/>
      <c r="UJT48" s="16"/>
      <c r="UJU48" s="16"/>
      <c r="UJV48" s="16"/>
      <c r="UJW48" s="16"/>
      <c r="UJX48" s="16"/>
      <c r="UJY48" s="16"/>
      <c r="UJZ48" s="16"/>
      <c r="UKA48" s="16"/>
      <c r="UKB48" s="16"/>
      <c r="UKC48" s="16"/>
      <c r="UKD48" s="16"/>
      <c r="UKE48" s="16"/>
      <c r="UKF48" s="16"/>
      <c r="UKG48" s="16"/>
      <c r="UKH48" s="16"/>
      <c r="UKI48" s="16"/>
      <c r="UKJ48" s="16"/>
      <c r="UKK48" s="16"/>
      <c r="UKL48" s="16"/>
      <c r="UKM48" s="16"/>
      <c r="UKN48" s="16"/>
      <c r="UKO48" s="16"/>
      <c r="UKP48" s="16"/>
      <c r="UKQ48" s="16"/>
      <c r="UKR48" s="16"/>
      <c r="UKS48" s="16"/>
      <c r="UKT48" s="16"/>
      <c r="UKU48" s="16"/>
      <c r="UKV48" s="16"/>
      <c r="UKW48" s="16"/>
      <c r="UKX48" s="16"/>
      <c r="UKY48" s="16"/>
      <c r="UKZ48" s="16"/>
      <c r="ULA48" s="16"/>
      <c r="ULB48" s="16"/>
      <c r="ULC48" s="16"/>
      <c r="ULD48" s="16"/>
      <c r="ULE48" s="16"/>
      <c r="ULF48" s="16"/>
      <c r="ULG48" s="16"/>
      <c r="ULH48" s="16"/>
      <c r="ULI48" s="16"/>
      <c r="ULJ48" s="16"/>
      <c r="ULK48" s="16"/>
      <c r="ULL48" s="16"/>
      <c r="ULM48" s="16"/>
      <c r="ULN48" s="16"/>
      <c r="ULO48" s="16"/>
      <c r="ULP48" s="16"/>
      <c r="ULQ48" s="16"/>
      <c r="ULR48" s="16"/>
      <c r="ULS48" s="16"/>
      <c r="ULT48" s="16"/>
      <c r="ULU48" s="16"/>
      <c r="ULV48" s="16"/>
      <c r="ULW48" s="16"/>
      <c r="ULX48" s="16"/>
      <c r="ULY48" s="16"/>
      <c r="ULZ48" s="16"/>
      <c r="UMA48" s="16"/>
      <c r="UMB48" s="16"/>
      <c r="UMC48" s="16"/>
      <c r="UMD48" s="16"/>
      <c r="UME48" s="16"/>
      <c r="UMF48" s="16"/>
      <c r="UMG48" s="16"/>
      <c r="UMH48" s="16"/>
      <c r="UMI48" s="16"/>
      <c r="UMJ48" s="16"/>
      <c r="UMK48" s="16"/>
      <c r="UML48" s="16"/>
      <c r="UMM48" s="16"/>
      <c r="UMN48" s="16"/>
      <c r="UMO48" s="16"/>
      <c r="UMP48" s="16"/>
      <c r="UMQ48" s="16"/>
      <c r="UMR48" s="16"/>
      <c r="UMS48" s="16"/>
      <c r="UMT48" s="16"/>
      <c r="UMU48" s="16"/>
      <c r="UMV48" s="16"/>
      <c r="UMW48" s="16"/>
      <c r="UMX48" s="16"/>
      <c r="UMY48" s="16"/>
      <c r="UMZ48" s="16"/>
      <c r="UNA48" s="16"/>
      <c r="UNB48" s="16"/>
      <c r="UNC48" s="16"/>
      <c r="UND48" s="16"/>
      <c r="UNE48" s="16"/>
      <c r="UNF48" s="16"/>
      <c r="UNG48" s="16"/>
      <c r="UNH48" s="16"/>
      <c r="UNI48" s="16"/>
      <c r="UNJ48" s="16"/>
      <c r="UNK48" s="16"/>
      <c r="UNL48" s="16"/>
      <c r="UNM48" s="16"/>
      <c r="UNN48" s="16"/>
      <c r="UNO48" s="16"/>
      <c r="UNP48" s="16"/>
      <c r="UNQ48" s="16"/>
      <c r="UNR48" s="16"/>
      <c r="UNS48" s="16"/>
      <c r="UNT48" s="16"/>
      <c r="UNU48" s="16"/>
      <c r="UNV48" s="16"/>
      <c r="UNW48" s="16"/>
      <c r="UNX48" s="16"/>
      <c r="UNY48" s="16"/>
      <c r="UNZ48" s="16"/>
      <c r="UOA48" s="16"/>
      <c r="UOB48" s="16"/>
      <c r="UOC48" s="16"/>
      <c r="UOD48" s="16"/>
      <c r="UOE48" s="16"/>
      <c r="UOF48" s="16"/>
      <c r="UOG48" s="16"/>
      <c r="UOH48" s="16"/>
      <c r="UOI48" s="16"/>
      <c r="UOJ48" s="16"/>
      <c r="UOK48" s="16"/>
      <c r="UOL48" s="16"/>
      <c r="UOM48" s="16"/>
      <c r="UON48" s="16"/>
      <c r="UOO48" s="16"/>
      <c r="UOP48" s="16"/>
      <c r="UOQ48" s="16"/>
      <c r="UOR48" s="16"/>
      <c r="UOS48" s="16"/>
      <c r="UOT48" s="16"/>
      <c r="UOU48" s="16"/>
      <c r="UOV48" s="16"/>
      <c r="UOW48" s="16"/>
      <c r="UOX48" s="16"/>
      <c r="UOY48" s="16"/>
      <c r="UOZ48" s="16"/>
      <c r="UPA48" s="16"/>
      <c r="UPB48" s="16"/>
      <c r="UPC48" s="16"/>
      <c r="UPD48" s="16"/>
      <c r="UPE48" s="16"/>
      <c r="UPF48" s="16"/>
      <c r="UPG48" s="16"/>
      <c r="UPH48" s="16"/>
      <c r="UPI48" s="16"/>
      <c r="UPJ48" s="16"/>
      <c r="UPK48" s="16"/>
      <c r="UPL48" s="16"/>
      <c r="UPM48" s="16"/>
      <c r="UPN48" s="16"/>
      <c r="UPO48" s="16"/>
      <c r="UPP48" s="16"/>
      <c r="UPQ48" s="16"/>
      <c r="UPR48" s="16"/>
      <c r="UPS48" s="16"/>
      <c r="UPT48" s="16"/>
      <c r="UPU48" s="16"/>
      <c r="UPV48" s="16"/>
      <c r="UPW48" s="16"/>
      <c r="UPX48" s="16"/>
      <c r="UPY48" s="16"/>
      <c r="UPZ48" s="16"/>
      <c r="UQA48" s="16"/>
      <c r="UQB48" s="16"/>
      <c r="UQC48" s="16"/>
      <c r="UQD48" s="16"/>
      <c r="UQE48" s="16"/>
      <c r="UQF48" s="16"/>
      <c r="UQG48" s="16"/>
      <c r="UQH48" s="16"/>
      <c r="UQI48" s="16"/>
      <c r="UQJ48" s="16"/>
      <c r="UQK48" s="16"/>
      <c r="UQL48" s="16"/>
      <c r="UQM48" s="16"/>
      <c r="UQN48" s="16"/>
      <c r="UQO48" s="16"/>
      <c r="UQP48" s="16"/>
      <c r="UQQ48" s="16"/>
      <c r="UQR48" s="16"/>
      <c r="UQS48" s="16"/>
      <c r="UQT48" s="16"/>
      <c r="UQU48" s="16"/>
      <c r="UQV48" s="16"/>
      <c r="UQW48" s="16"/>
      <c r="UQX48" s="16"/>
      <c r="UQY48" s="16"/>
      <c r="UQZ48" s="16"/>
      <c r="URA48" s="16"/>
      <c r="URB48" s="16"/>
      <c r="URC48" s="16"/>
      <c r="URD48" s="16"/>
      <c r="URE48" s="16"/>
      <c r="URF48" s="16"/>
      <c r="URG48" s="16"/>
      <c r="URH48" s="16"/>
      <c r="URI48" s="16"/>
      <c r="URJ48" s="16"/>
      <c r="URK48" s="16"/>
      <c r="URL48" s="16"/>
      <c r="URM48" s="16"/>
      <c r="URN48" s="16"/>
      <c r="URO48" s="16"/>
      <c r="URP48" s="16"/>
      <c r="URQ48" s="16"/>
      <c r="URR48" s="16"/>
      <c r="URS48" s="16"/>
      <c r="URT48" s="16"/>
      <c r="URU48" s="16"/>
      <c r="URV48" s="16"/>
      <c r="URW48" s="16"/>
      <c r="URX48" s="16"/>
      <c r="URY48" s="16"/>
      <c r="URZ48" s="16"/>
      <c r="USA48" s="16"/>
      <c r="USB48" s="16"/>
      <c r="USC48" s="16"/>
      <c r="USD48" s="16"/>
      <c r="USE48" s="16"/>
      <c r="USF48" s="16"/>
      <c r="USG48" s="16"/>
      <c r="USH48" s="16"/>
      <c r="USI48" s="16"/>
      <c r="USJ48" s="16"/>
      <c r="USK48" s="16"/>
      <c r="USL48" s="16"/>
      <c r="USM48" s="16"/>
      <c r="USN48" s="16"/>
      <c r="USO48" s="16"/>
      <c r="USP48" s="16"/>
      <c r="USQ48" s="16"/>
      <c r="USR48" s="16"/>
      <c r="USS48" s="16"/>
      <c r="UST48" s="16"/>
      <c r="USU48" s="16"/>
      <c r="USV48" s="16"/>
      <c r="USW48" s="16"/>
      <c r="USX48" s="16"/>
      <c r="USY48" s="16"/>
      <c r="USZ48" s="16"/>
      <c r="UTA48" s="16"/>
      <c r="UTB48" s="16"/>
      <c r="UTC48" s="16"/>
      <c r="UTD48" s="16"/>
      <c r="UTE48" s="16"/>
      <c r="UTF48" s="16"/>
      <c r="UTG48" s="16"/>
      <c r="UTH48" s="16"/>
      <c r="UTI48" s="16"/>
      <c r="UTJ48" s="16"/>
      <c r="UTK48" s="16"/>
      <c r="UTL48" s="16"/>
      <c r="UTM48" s="16"/>
      <c r="UTN48" s="16"/>
      <c r="UTO48" s="16"/>
      <c r="UTP48" s="16"/>
      <c r="UTQ48" s="16"/>
      <c r="UTR48" s="16"/>
      <c r="UTS48" s="16"/>
      <c r="UTT48" s="16"/>
      <c r="UTU48" s="16"/>
      <c r="UTV48" s="16"/>
      <c r="UTW48" s="16"/>
      <c r="UTX48" s="16"/>
      <c r="UTY48" s="16"/>
      <c r="UTZ48" s="16"/>
      <c r="UUA48" s="16"/>
      <c r="UUB48" s="16"/>
      <c r="UUC48" s="16"/>
      <c r="UUD48" s="16"/>
      <c r="UUE48" s="16"/>
      <c r="UUF48" s="16"/>
      <c r="UUG48" s="16"/>
      <c r="UUH48" s="16"/>
      <c r="UUI48" s="16"/>
      <c r="UUJ48" s="16"/>
      <c r="UUK48" s="16"/>
      <c r="UUL48" s="16"/>
      <c r="UUM48" s="16"/>
      <c r="UUN48" s="16"/>
      <c r="UUO48" s="16"/>
      <c r="UUP48" s="16"/>
      <c r="UUQ48" s="16"/>
      <c r="UUR48" s="16"/>
      <c r="UUS48" s="16"/>
      <c r="UUT48" s="16"/>
      <c r="UUU48" s="16"/>
      <c r="UUV48" s="16"/>
      <c r="UUW48" s="16"/>
      <c r="UUX48" s="16"/>
      <c r="UUY48" s="16"/>
      <c r="UUZ48" s="16"/>
      <c r="UVA48" s="16"/>
      <c r="UVB48" s="16"/>
      <c r="UVC48" s="16"/>
      <c r="UVD48" s="16"/>
      <c r="UVE48" s="16"/>
      <c r="UVF48" s="16"/>
      <c r="UVG48" s="16"/>
      <c r="UVH48" s="16"/>
      <c r="UVI48" s="16"/>
      <c r="UVJ48" s="16"/>
      <c r="UVK48" s="16"/>
      <c r="UVL48" s="16"/>
      <c r="UVM48" s="16"/>
      <c r="UVN48" s="16"/>
      <c r="UVO48" s="16"/>
      <c r="UVP48" s="16"/>
      <c r="UVQ48" s="16"/>
      <c r="UVR48" s="16"/>
      <c r="UVS48" s="16"/>
      <c r="UVT48" s="16"/>
      <c r="UVU48" s="16"/>
      <c r="UVV48" s="16"/>
      <c r="UVW48" s="16"/>
      <c r="UVX48" s="16"/>
      <c r="UVY48" s="16"/>
      <c r="UVZ48" s="16"/>
      <c r="UWA48" s="16"/>
      <c r="UWB48" s="16"/>
      <c r="UWC48" s="16"/>
      <c r="UWD48" s="16"/>
      <c r="UWE48" s="16"/>
      <c r="UWF48" s="16"/>
      <c r="UWG48" s="16"/>
      <c r="UWH48" s="16"/>
      <c r="UWI48" s="16"/>
      <c r="UWJ48" s="16"/>
      <c r="UWK48" s="16"/>
      <c r="UWL48" s="16"/>
      <c r="UWM48" s="16"/>
      <c r="UWN48" s="16"/>
      <c r="UWO48" s="16"/>
      <c r="UWP48" s="16"/>
      <c r="UWQ48" s="16"/>
      <c r="UWR48" s="16"/>
      <c r="UWS48" s="16"/>
      <c r="UWT48" s="16"/>
      <c r="UWU48" s="16"/>
      <c r="UWV48" s="16"/>
      <c r="UWW48" s="16"/>
      <c r="UWX48" s="16"/>
      <c r="UWY48" s="16"/>
      <c r="UWZ48" s="16"/>
      <c r="UXA48" s="16"/>
      <c r="UXB48" s="16"/>
      <c r="UXC48" s="16"/>
      <c r="UXD48" s="16"/>
      <c r="UXE48" s="16"/>
      <c r="UXF48" s="16"/>
      <c r="UXG48" s="16"/>
      <c r="UXH48" s="16"/>
      <c r="UXI48" s="16"/>
      <c r="UXJ48" s="16"/>
      <c r="UXK48" s="16"/>
      <c r="UXL48" s="16"/>
      <c r="UXM48" s="16"/>
      <c r="UXN48" s="16"/>
      <c r="UXO48" s="16"/>
      <c r="UXP48" s="16"/>
      <c r="UXQ48" s="16"/>
      <c r="UXR48" s="16"/>
      <c r="UXS48" s="16"/>
      <c r="UXT48" s="16"/>
      <c r="UXU48" s="16"/>
      <c r="UXV48" s="16"/>
      <c r="UXW48" s="16"/>
      <c r="UXX48" s="16"/>
      <c r="UXY48" s="16"/>
      <c r="UXZ48" s="16"/>
      <c r="UYA48" s="16"/>
      <c r="UYB48" s="16"/>
      <c r="UYC48" s="16"/>
      <c r="UYD48" s="16"/>
      <c r="UYE48" s="16"/>
      <c r="UYF48" s="16"/>
      <c r="UYG48" s="16"/>
      <c r="UYH48" s="16"/>
      <c r="UYI48" s="16"/>
      <c r="UYJ48" s="16"/>
      <c r="UYK48" s="16"/>
      <c r="UYL48" s="16"/>
      <c r="UYM48" s="16"/>
      <c r="UYN48" s="16"/>
      <c r="UYO48" s="16"/>
      <c r="UYP48" s="16"/>
      <c r="UYQ48" s="16"/>
      <c r="UYR48" s="16"/>
      <c r="UYS48" s="16"/>
      <c r="UYT48" s="16"/>
      <c r="UYU48" s="16"/>
      <c r="UYV48" s="16"/>
      <c r="UYW48" s="16"/>
      <c r="UYX48" s="16"/>
      <c r="UYY48" s="16"/>
      <c r="UYZ48" s="16"/>
      <c r="UZA48" s="16"/>
      <c r="UZB48" s="16"/>
      <c r="UZC48" s="16"/>
      <c r="UZD48" s="16"/>
      <c r="UZE48" s="16"/>
      <c r="UZF48" s="16"/>
      <c r="UZG48" s="16"/>
      <c r="UZH48" s="16"/>
      <c r="UZI48" s="16"/>
      <c r="UZJ48" s="16"/>
      <c r="UZK48" s="16"/>
      <c r="UZL48" s="16"/>
      <c r="UZM48" s="16"/>
      <c r="UZN48" s="16"/>
      <c r="UZO48" s="16"/>
      <c r="UZP48" s="16"/>
      <c r="UZQ48" s="16"/>
      <c r="UZR48" s="16"/>
      <c r="UZS48" s="16"/>
      <c r="UZT48" s="16"/>
      <c r="UZU48" s="16"/>
      <c r="UZV48" s="16"/>
      <c r="UZW48" s="16"/>
      <c r="UZX48" s="16"/>
      <c r="UZY48" s="16"/>
      <c r="UZZ48" s="16"/>
      <c r="VAA48" s="16"/>
      <c r="VAB48" s="16"/>
      <c r="VAC48" s="16"/>
      <c r="VAD48" s="16"/>
      <c r="VAE48" s="16"/>
      <c r="VAF48" s="16"/>
      <c r="VAG48" s="16"/>
      <c r="VAH48" s="16"/>
      <c r="VAI48" s="16"/>
      <c r="VAJ48" s="16"/>
      <c r="VAK48" s="16"/>
      <c r="VAL48" s="16"/>
      <c r="VAM48" s="16"/>
      <c r="VAN48" s="16"/>
      <c r="VAO48" s="16"/>
      <c r="VAP48" s="16"/>
      <c r="VAQ48" s="16"/>
      <c r="VAR48" s="16"/>
      <c r="VAS48" s="16"/>
      <c r="VAT48" s="16"/>
      <c r="VAU48" s="16"/>
      <c r="VAV48" s="16"/>
      <c r="VAW48" s="16"/>
      <c r="VAX48" s="16"/>
      <c r="VAY48" s="16"/>
      <c r="VAZ48" s="16"/>
      <c r="VBA48" s="16"/>
      <c r="VBB48" s="16"/>
      <c r="VBC48" s="16"/>
      <c r="VBD48" s="16"/>
      <c r="VBE48" s="16"/>
      <c r="VBF48" s="16"/>
      <c r="VBG48" s="16"/>
      <c r="VBH48" s="16"/>
      <c r="VBI48" s="16"/>
      <c r="VBJ48" s="16"/>
      <c r="VBK48" s="16"/>
      <c r="VBL48" s="16"/>
      <c r="VBM48" s="16"/>
      <c r="VBN48" s="16"/>
      <c r="VBO48" s="16"/>
      <c r="VBP48" s="16"/>
      <c r="VBQ48" s="16"/>
      <c r="VBR48" s="16"/>
      <c r="VBS48" s="16"/>
      <c r="VBT48" s="16"/>
      <c r="VBU48" s="16"/>
      <c r="VBV48" s="16"/>
      <c r="VBW48" s="16"/>
      <c r="VBX48" s="16"/>
      <c r="VBY48" s="16"/>
      <c r="VBZ48" s="16"/>
      <c r="VCA48" s="16"/>
      <c r="VCB48" s="16"/>
      <c r="VCC48" s="16"/>
      <c r="VCD48" s="16"/>
      <c r="VCE48" s="16"/>
      <c r="VCF48" s="16"/>
      <c r="VCG48" s="16"/>
      <c r="VCH48" s="16"/>
      <c r="VCI48" s="16"/>
      <c r="VCJ48" s="16"/>
      <c r="VCK48" s="16"/>
      <c r="VCL48" s="16"/>
      <c r="VCM48" s="16"/>
      <c r="VCN48" s="16"/>
      <c r="VCO48" s="16"/>
      <c r="VCP48" s="16"/>
      <c r="VCQ48" s="16"/>
      <c r="VCR48" s="16"/>
      <c r="VCS48" s="16"/>
      <c r="VCT48" s="16"/>
      <c r="VCU48" s="16"/>
      <c r="VCV48" s="16"/>
      <c r="VCW48" s="16"/>
      <c r="VCX48" s="16"/>
      <c r="VCY48" s="16"/>
      <c r="VCZ48" s="16"/>
      <c r="VDA48" s="16"/>
      <c r="VDB48" s="16"/>
      <c r="VDC48" s="16"/>
      <c r="VDD48" s="16"/>
      <c r="VDE48" s="16"/>
      <c r="VDF48" s="16"/>
      <c r="VDG48" s="16"/>
      <c r="VDH48" s="16"/>
      <c r="VDI48" s="16"/>
      <c r="VDJ48" s="16"/>
      <c r="VDK48" s="16"/>
      <c r="VDL48" s="16"/>
      <c r="VDM48" s="16"/>
      <c r="VDN48" s="16"/>
      <c r="VDO48" s="16"/>
      <c r="VDP48" s="16"/>
      <c r="VDQ48" s="16"/>
      <c r="VDR48" s="16"/>
      <c r="VDS48" s="16"/>
      <c r="VDT48" s="16"/>
      <c r="VDU48" s="16"/>
      <c r="VDV48" s="16"/>
      <c r="VDW48" s="16"/>
      <c r="VDX48" s="16"/>
      <c r="VDY48" s="16"/>
      <c r="VDZ48" s="16"/>
      <c r="VEA48" s="16"/>
      <c r="VEB48" s="16"/>
      <c r="VEC48" s="16"/>
      <c r="VED48" s="16"/>
      <c r="VEE48" s="16"/>
      <c r="VEF48" s="16"/>
      <c r="VEG48" s="16"/>
      <c r="VEH48" s="16"/>
      <c r="VEI48" s="16"/>
      <c r="VEJ48" s="16"/>
      <c r="VEK48" s="16"/>
      <c r="VEL48" s="16"/>
      <c r="VEM48" s="16"/>
      <c r="VEN48" s="16"/>
      <c r="VEO48" s="16"/>
      <c r="VEP48" s="16"/>
      <c r="VEQ48" s="16"/>
      <c r="VER48" s="16"/>
      <c r="VES48" s="16"/>
      <c r="VET48" s="16"/>
      <c r="VEU48" s="16"/>
      <c r="VEV48" s="16"/>
      <c r="VEW48" s="16"/>
      <c r="VEX48" s="16"/>
    </row>
    <row r="49" spans="1:15026" ht="15" hidden="1" customHeight="1">
      <c r="C49" s="15"/>
      <c r="D49" s="14" t="s">
        <v>75</v>
      </c>
      <c r="E49" s="230">
        <f>E50+E51</f>
        <v>21429000</v>
      </c>
      <c r="F49" s="20" t="s">
        <v>14</v>
      </c>
      <c r="G49" s="33">
        <f>G50+G51</f>
        <v>0</v>
      </c>
      <c r="H49" s="33">
        <f t="shared" ref="H49:AK49" si="10">H50+H51</f>
        <v>0</v>
      </c>
      <c r="I49" s="33">
        <f t="shared" si="10"/>
        <v>0</v>
      </c>
      <c r="J49" s="33">
        <f t="shared" si="10"/>
        <v>0</v>
      </c>
      <c r="K49" s="33">
        <v>0</v>
      </c>
      <c r="L49" s="33">
        <f t="shared" si="10"/>
        <v>0</v>
      </c>
      <c r="M49" s="33">
        <f t="shared" si="10"/>
        <v>0</v>
      </c>
      <c r="N49" s="33">
        <f t="shared" si="10"/>
        <v>0</v>
      </c>
      <c r="O49" s="33">
        <f t="shared" si="10"/>
        <v>0</v>
      </c>
      <c r="P49" s="33">
        <f t="shared" si="10"/>
        <v>0</v>
      </c>
      <c r="Q49" s="33">
        <f t="shared" si="10"/>
        <v>0</v>
      </c>
      <c r="R49" s="33">
        <f t="shared" si="10"/>
        <v>0</v>
      </c>
      <c r="S49" s="1965"/>
      <c r="T49" s="33"/>
      <c r="U49" s="33"/>
      <c r="V49" s="33">
        <f t="shared" si="10"/>
        <v>0</v>
      </c>
      <c r="W49" s="33">
        <f t="shared" si="10"/>
        <v>0</v>
      </c>
      <c r="X49" s="33"/>
      <c r="Y49" s="33"/>
      <c r="Z49" s="33"/>
      <c r="AA49" s="33"/>
      <c r="AB49" s="33"/>
      <c r="AC49" s="33"/>
      <c r="AD49" s="33"/>
      <c r="AE49" s="33"/>
      <c r="AF49" s="33"/>
      <c r="AG49" s="33">
        <f t="shared" si="10"/>
        <v>0</v>
      </c>
      <c r="AH49" s="33">
        <f t="shared" si="10"/>
        <v>0</v>
      </c>
      <c r="AI49" s="33"/>
      <c r="AJ49" s="33"/>
      <c r="AK49" s="33">
        <f t="shared" si="10"/>
        <v>0</v>
      </c>
      <c r="AM49" s="55">
        <f>SUM(G49:AK49)</f>
        <v>0</v>
      </c>
    </row>
    <row r="50" spans="1:15026" ht="15" hidden="1" customHeight="1">
      <c r="C50" s="15"/>
      <c r="D50" s="65" t="s">
        <v>112</v>
      </c>
      <c r="E50" s="68">
        <v>15000000</v>
      </c>
      <c r="F50" s="66" t="s">
        <v>14</v>
      </c>
      <c r="G50" s="271">
        <v>0</v>
      </c>
      <c r="H50" s="271">
        <v>0</v>
      </c>
      <c r="I50" s="271">
        <v>0</v>
      </c>
      <c r="J50" s="271">
        <v>0</v>
      </c>
      <c r="K50" s="271">
        <v>0</v>
      </c>
      <c r="L50" s="271">
        <v>0</v>
      </c>
      <c r="M50" s="271">
        <v>0</v>
      </c>
      <c r="N50" s="271">
        <v>0</v>
      </c>
      <c r="O50" s="271">
        <v>0</v>
      </c>
      <c r="P50" s="271">
        <v>0</v>
      </c>
      <c r="Q50" s="271">
        <v>0</v>
      </c>
      <c r="R50" s="271">
        <v>0</v>
      </c>
      <c r="S50" s="1971"/>
      <c r="T50" s="271"/>
      <c r="U50" s="271"/>
      <c r="V50" s="271">
        <v>0</v>
      </c>
      <c r="W50" s="271">
        <v>0</v>
      </c>
      <c r="X50" s="271"/>
      <c r="Y50" s="271"/>
      <c r="Z50" s="271"/>
      <c r="AA50" s="271"/>
      <c r="AB50" s="271"/>
      <c r="AC50" s="271"/>
      <c r="AD50" s="271"/>
      <c r="AE50" s="271"/>
      <c r="AF50" s="271"/>
      <c r="AG50" s="271">
        <v>0</v>
      </c>
      <c r="AH50" s="271">
        <v>0</v>
      </c>
      <c r="AI50" s="271"/>
      <c r="AJ50" s="271"/>
      <c r="AK50" s="271"/>
      <c r="AM50" s="58">
        <f>SUM(G50:AK50)</f>
        <v>0</v>
      </c>
    </row>
    <row r="51" spans="1:15026" ht="15" hidden="1" customHeight="1">
      <c r="C51" s="15"/>
      <c r="D51" s="65" t="s">
        <v>73</v>
      </c>
      <c r="E51" s="68">
        <v>6429000</v>
      </c>
      <c r="F51" s="66" t="s">
        <v>14</v>
      </c>
      <c r="G51" s="271">
        <v>0</v>
      </c>
      <c r="H51" s="271">
        <v>0</v>
      </c>
      <c r="I51" s="271">
        <v>0</v>
      </c>
      <c r="J51" s="271">
        <v>0</v>
      </c>
      <c r="K51" s="271">
        <v>0</v>
      </c>
      <c r="L51" s="271">
        <v>0</v>
      </c>
      <c r="M51" s="271">
        <v>0</v>
      </c>
      <c r="N51" s="271">
        <v>0</v>
      </c>
      <c r="O51" s="271">
        <v>0</v>
      </c>
      <c r="P51" s="271">
        <v>0</v>
      </c>
      <c r="Q51" s="271">
        <v>0</v>
      </c>
      <c r="R51" s="271">
        <v>0</v>
      </c>
      <c r="S51" s="1971"/>
      <c r="T51" s="271"/>
      <c r="U51" s="271"/>
      <c r="V51" s="271">
        <v>0</v>
      </c>
      <c r="W51" s="271">
        <v>0</v>
      </c>
      <c r="X51" s="271"/>
      <c r="Y51" s="271"/>
      <c r="Z51" s="271"/>
      <c r="AA51" s="271"/>
      <c r="AB51" s="271"/>
      <c r="AC51" s="271"/>
      <c r="AD51" s="271"/>
      <c r="AE51" s="271"/>
      <c r="AF51" s="271"/>
      <c r="AG51" s="271">
        <v>0</v>
      </c>
      <c r="AH51" s="271">
        <v>0</v>
      </c>
      <c r="AI51" s="271"/>
      <c r="AJ51" s="271"/>
      <c r="AK51" s="271"/>
      <c r="AM51" s="58">
        <f>SUM(G51:AK51)</f>
        <v>0</v>
      </c>
    </row>
    <row r="52" spans="1:15026">
      <c r="C52" s="15"/>
      <c r="D52" s="231" t="s">
        <v>72</v>
      </c>
      <c r="E52" s="234"/>
      <c r="F52" s="23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1968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M52" s="67" t="s">
        <v>61</v>
      </c>
    </row>
    <row r="53" spans="1:15026" s="74" customFormat="1">
      <c r="A53" s="16"/>
      <c r="B53" s="16"/>
      <c r="C53" s="17"/>
      <c r="D53" s="11" t="s">
        <v>71</v>
      </c>
      <c r="E53" s="257"/>
      <c r="F53" s="12" t="s">
        <v>14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1965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16"/>
      <c r="AM53" s="55">
        <f>SUM(G53:AK53)</f>
        <v>0</v>
      </c>
      <c r="AN53" s="16"/>
      <c r="AO53" s="16"/>
      <c r="AP53" s="140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45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  <c r="UR53" s="16"/>
      <c r="US53" s="16"/>
      <c r="UT53" s="16"/>
      <c r="UU53" s="16"/>
      <c r="UV53" s="16"/>
      <c r="UW53" s="16"/>
      <c r="UX53" s="16"/>
      <c r="UY53" s="16"/>
      <c r="UZ53" s="16"/>
      <c r="VA53" s="16"/>
      <c r="VB53" s="16"/>
      <c r="VC53" s="16"/>
      <c r="VD53" s="16"/>
      <c r="VE53" s="16"/>
      <c r="VF53" s="16"/>
      <c r="VG53" s="16"/>
      <c r="VH53" s="16"/>
      <c r="VI53" s="16"/>
      <c r="VJ53" s="16"/>
      <c r="VK53" s="16"/>
      <c r="VL53" s="16"/>
      <c r="VM53" s="16"/>
      <c r="VN53" s="16"/>
      <c r="VO53" s="16"/>
      <c r="VP53" s="16"/>
      <c r="VQ53" s="16"/>
      <c r="VR53" s="16"/>
      <c r="VS53" s="16"/>
      <c r="VT53" s="16"/>
      <c r="VU53" s="16"/>
      <c r="VV53" s="16"/>
      <c r="VW53" s="16"/>
      <c r="VX53" s="16"/>
      <c r="VY53" s="16"/>
      <c r="VZ53" s="16"/>
      <c r="WA53" s="16"/>
      <c r="WB53" s="16"/>
      <c r="WC53" s="16"/>
      <c r="WD53" s="16"/>
      <c r="WE53" s="16"/>
      <c r="WF53" s="16"/>
      <c r="WG53" s="16"/>
      <c r="WH53" s="16"/>
      <c r="WI53" s="16"/>
      <c r="WJ53" s="16"/>
      <c r="WK53" s="16"/>
      <c r="WL53" s="16"/>
      <c r="WM53" s="16"/>
      <c r="WN53" s="16"/>
      <c r="WO53" s="16"/>
      <c r="WP53" s="16"/>
      <c r="WQ53" s="16"/>
      <c r="WR53" s="16"/>
      <c r="WS53" s="16"/>
      <c r="WT53" s="16"/>
      <c r="WU53" s="16"/>
      <c r="WV53" s="16"/>
      <c r="WW53" s="16"/>
      <c r="WX53" s="16"/>
      <c r="WY53" s="16"/>
      <c r="WZ53" s="16"/>
      <c r="XA53" s="16"/>
      <c r="XB53" s="16"/>
      <c r="XC53" s="16"/>
      <c r="XD53" s="16"/>
      <c r="XE53" s="16"/>
      <c r="XF53" s="16"/>
      <c r="XG53" s="16"/>
      <c r="XH53" s="16"/>
      <c r="XI53" s="16"/>
      <c r="XJ53" s="16"/>
      <c r="XK53" s="16"/>
      <c r="XL53" s="16"/>
      <c r="XM53" s="16"/>
      <c r="XN53" s="16"/>
      <c r="XO53" s="16"/>
      <c r="XP53" s="16"/>
      <c r="XQ53" s="16"/>
      <c r="XR53" s="16"/>
      <c r="XS53" s="16"/>
      <c r="XT53" s="16"/>
      <c r="XU53" s="16"/>
      <c r="XV53" s="16"/>
      <c r="XW53" s="16"/>
      <c r="XX53" s="16"/>
      <c r="XY53" s="16"/>
      <c r="XZ53" s="16"/>
      <c r="YA53" s="16"/>
      <c r="YB53" s="16"/>
      <c r="YC53" s="16"/>
      <c r="YD53" s="16"/>
      <c r="YE53" s="16"/>
      <c r="YF53" s="16"/>
      <c r="YG53" s="16"/>
      <c r="YH53" s="16"/>
      <c r="YI53" s="16"/>
      <c r="YJ53" s="16"/>
      <c r="YK53" s="16"/>
      <c r="YL53" s="16"/>
      <c r="YM53" s="16"/>
      <c r="YN53" s="16"/>
      <c r="YO53" s="16"/>
      <c r="YP53" s="16"/>
      <c r="YQ53" s="16"/>
      <c r="YR53" s="16"/>
      <c r="YS53" s="16"/>
      <c r="YT53" s="16"/>
      <c r="YU53" s="16"/>
      <c r="YV53" s="16"/>
      <c r="YW53" s="16"/>
      <c r="YX53" s="16"/>
      <c r="YY53" s="16"/>
      <c r="YZ53" s="16"/>
      <c r="ZA53" s="16"/>
      <c r="ZB53" s="16"/>
      <c r="ZC53" s="16"/>
      <c r="ZD53" s="16"/>
      <c r="ZE53" s="16"/>
      <c r="ZF53" s="16"/>
      <c r="ZG53" s="16"/>
      <c r="ZH53" s="16"/>
      <c r="ZI53" s="16"/>
      <c r="ZJ53" s="16"/>
      <c r="ZK53" s="16"/>
      <c r="ZL53" s="16"/>
      <c r="ZM53" s="16"/>
      <c r="ZN53" s="16"/>
      <c r="ZO53" s="16"/>
      <c r="ZP53" s="16"/>
      <c r="ZQ53" s="16"/>
      <c r="ZR53" s="16"/>
      <c r="ZS53" s="16"/>
      <c r="ZT53" s="16"/>
      <c r="ZU53" s="16"/>
      <c r="ZV53" s="16"/>
      <c r="ZW53" s="16"/>
      <c r="ZX53" s="16"/>
      <c r="ZY53" s="16"/>
      <c r="ZZ53" s="16"/>
      <c r="AAA53" s="16"/>
      <c r="AAB53" s="16"/>
      <c r="AAC53" s="16"/>
      <c r="AAD53" s="16"/>
      <c r="AAE53" s="16"/>
      <c r="AAF53" s="16"/>
      <c r="AAG53" s="16"/>
      <c r="AAH53" s="16"/>
      <c r="AAI53" s="16"/>
      <c r="AAJ53" s="16"/>
      <c r="AAK53" s="16"/>
      <c r="AAL53" s="16"/>
      <c r="AAM53" s="16"/>
      <c r="AAN53" s="16"/>
      <c r="AAO53" s="16"/>
      <c r="AAP53" s="16"/>
      <c r="AAQ53" s="16"/>
      <c r="AAR53" s="16"/>
      <c r="AAS53" s="16"/>
      <c r="AAT53" s="16"/>
      <c r="AAU53" s="16"/>
      <c r="AAV53" s="16"/>
      <c r="AAW53" s="16"/>
      <c r="AAX53" s="16"/>
      <c r="AAY53" s="16"/>
      <c r="AAZ53" s="16"/>
      <c r="ABA53" s="16"/>
      <c r="ABB53" s="16"/>
      <c r="ABC53" s="16"/>
      <c r="ABD53" s="16"/>
      <c r="ABE53" s="16"/>
      <c r="ABF53" s="16"/>
      <c r="ABG53" s="16"/>
      <c r="ABH53" s="16"/>
      <c r="ABI53" s="16"/>
      <c r="ABJ53" s="16"/>
      <c r="ABK53" s="16"/>
      <c r="ABL53" s="16"/>
      <c r="ABM53" s="16"/>
      <c r="ABN53" s="16"/>
      <c r="ABO53" s="16"/>
      <c r="ABP53" s="16"/>
      <c r="ABQ53" s="16"/>
      <c r="ABR53" s="16"/>
      <c r="ABS53" s="16"/>
      <c r="ABT53" s="16"/>
      <c r="ABU53" s="16"/>
      <c r="ABV53" s="16"/>
      <c r="ABW53" s="16"/>
      <c r="ABX53" s="16"/>
      <c r="ABY53" s="16"/>
      <c r="ABZ53" s="16"/>
      <c r="ACA53" s="16"/>
      <c r="ACB53" s="16"/>
      <c r="ACC53" s="16"/>
      <c r="ACD53" s="16"/>
      <c r="ACE53" s="16"/>
      <c r="ACF53" s="16"/>
      <c r="ACG53" s="16"/>
      <c r="ACH53" s="16"/>
      <c r="ACI53" s="16"/>
      <c r="ACJ53" s="16"/>
      <c r="ACK53" s="16"/>
      <c r="ACL53" s="16"/>
      <c r="ACM53" s="16"/>
      <c r="ACN53" s="16"/>
      <c r="ACO53" s="16"/>
      <c r="ACP53" s="16"/>
      <c r="ACQ53" s="16"/>
      <c r="ACR53" s="16"/>
      <c r="ACS53" s="16"/>
      <c r="ACT53" s="16"/>
      <c r="ACU53" s="16"/>
      <c r="ACV53" s="16"/>
      <c r="ACW53" s="16"/>
      <c r="ACX53" s="16"/>
      <c r="ACY53" s="16"/>
      <c r="ACZ53" s="16"/>
      <c r="ADA53" s="16"/>
      <c r="ADB53" s="16"/>
      <c r="ADC53" s="16"/>
      <c r="ADD53" s="16"/>
      <c r="ADE53" s="16"/>
      <c r="ADF53" s="16"/>
      <c r="ADG53" s="16"/>
      <c r="ADH53" s="16"/>
      <c r="ADI53" s="16"/>
      <c r="ADJ53" s="16"/>
      <c r="ADK53" s="16"/>
      <c r="ADL53" s="16"/>
      <c r="ADM53" s="16"/>
      <c r="ADN53" s="16"/>
      <c r="ADO53" s="16"/>
      <c r="ADP53" s="16"/>
      <c r="ADQ53" s="16"/>
      <c r="ADR53" s="16"/>
      <c r="ADS53" s="16"/>
      <c r="ADT53" s="16"/>
      <c r="ADU53" s="16"/>
      <c r="ADV53" s="16"/>
      <c r="ADW53" s="16"/>
      <c r="ADX53" s="16"/>
      <c r="ADY53" s="16"/>
      <c r="ADZ53" s="16"/>
      <c r="AEA53" s="16"/>
      <c r="AEB53" s="16"/>
      <c r="AEC53" s="16"/>
      <c r="AED53" s="16"/>
      <c r="AEE53" s="16"/>
      <c r="AEF53" s="16"/>
      <c r="AEG53" s="16"/>
      <c r="AEH53" s="16"/>
      <c r="AEI53" s="16"/>
      <c r="AEJ53" s="16"/>
      <c r="AEK53" s="16"/>
      <c r="AEL53" s="16"/>
      <c r="AEM53" s="16"/>
      <c r="AEN53" s="16"/>
      <c r="AEO53" s="16"/>
      <c r="AEP53" s="16"/>
      <c r="AEQ53" s="16"/>
      <c r="AER53" s="16"/>
      <c r="AES53" s="16"/>
      <c r="AET53" s="16"/>
      <c r="AEU53" s="16"/>
      <c r="AEV53" s="16"/>
      <c r="AEW53" s="16"/>
      <c r="AEX53" s="16"/>
      <c r="AEY53" s="16"/>
      <c r="AEZ53" s="16"/>
      <c r="AFA53" s="16"/>
      <c r="AFB53" s="16"/>
      <c r="AFC53" s="16"/>
      <c r="AFD53" s="16"/>
      <c r="AFE53" s="16"/>
      <c r="AFF53" s="16"/>
      <c r="AFG53" s="16"/>
      <c r="AFH53" s="16"/>
      <c r="AFI53" s="16"/>
      <c r="AFJ53" s="16"/>
      <c r="AFK53" s="16"/>
      <c r="AFL53" s="16"/>
      <c r="AFM53" s="16"/>
      <c r="AFN53" s="16"/>
      <c r="AFO53" s="16"/>
      <c r="AFP53" s="16"/>
      <c r="AFQ53" s="16"/>
      <c r="AFR53" s="16"/>
      <c r="AFS53" s="16"/>
      <c r="AFT53" s="16"/>
      <c r="AFU53" s="16"/>
      <c r="AFV53" s="16"/>
      <c r="AFW53" s="16"/>
      <c r="AFX53" s="16"/>
      <c r="AFY53" s="16"/>
      <c r="AFZ53" s="16"/>
      <c r="AGA53" s="16"/>
      <c r="AGB53" s="16"/>
      <c r="AGC53" s="16"/>
      <c r="AGD53" s="16"/>
      <c r="AGE53" s="16"/>
      <c r="AGF53" s="16"/>
      <c r="AGG53" s="16"/>
      <c r="AGH53" s="16"/>
      <c r="AGI53" s="16"/>
      <c r="AGJ53" s="16"/>
      <c r="AGK53" s="16"/>
      <c r="AGL53" s="16"/>
      <c r="AGM53" s="16"/>
      <c r="AGN53" s="16"/>
      <c r="AGO53" s="16"/>
      <c r="AGP53" s="16"/>
      <c r="AGQ53" s="16"/>
      <c r="AGR53" s="16"/>
      <c r="AGS53" s="16"/>
      <c r="AGT53" s="16"/>
      <c r="AGU53" s="16"/>
      <c r="AGV53" s="16"/>
      <c r="AGW53" s="16"/>
      <c r="AGX53" s="16"/>
      <c r="AGY53" s="16"/>
      <c r="AGZ53" s="16"/>
      <c r="AHA53" s="16"/>
      <c r="AHB53" s="16"/>
      <c r="AHC53" s="16"/>
      <c r="AHD53" s="16"/>
      <c r="AHE53" s="16"/>
      <c r="AHF53" s="16"/>
      <c r="AHG53" s="16"/>
      <c r="AHH53" s="16"/>
      <c r="AHI53" s="16"/>
      <c r="AHJ53" s="16"/>
      <c r="AHK53" s="16"/>
      <c r="AHL53" s="16"/>
      <c r="AHM53" s="16"/>
      <c r="AHN53" s="16"/>
      <c r="AHO53" s="16"/>
      <c r="AHP53" s="16"/>
      <c r="AHQ53" s="16"/>
      <c r="AHR53" s="16"/>
      <c r="AHS53" s="16"/>
      <c r="AHT53" s="16"/>
      <c r="AHU53" s="16"/>
      <c r="AHV53" s="16"/>
      <c r="AHW53" s="16"/>
      <c r="AHX53" s="16"/>
      <c r="AHY53" s="16"/>
      <c r="AHZ53" s="16"/>
      <c r="AIA53" s="16"/>
      <c r="AIB53" s="16"/>
      <c r="AIC53" s="16"/>
      <c r="AID53" s="16"/>
      <c r="AIE53" s="16"/>
      <c r="AIF53" s="16"/>
      <c r="AIG53" s="16"/>
      <c r="AIH53" s="16"/>
      <c r="AII53" s="16"/>
      <c r="AIJ53" s="16"/>
      <c r="AIK53" s="16"/>
      <c r="AIL53" s="16"/>
      <c r="AIM53" s="16"/>
      <c r="AIN53" s="16"/>
      <c r="AIO53" s="16"/>
      <c r="AIP53" s="16"/>
      <c r="AIQ53" s="16"/>
      <c r="AIR53" s="16"/>
      <c r="AIS53" s="16"/>
      <c r="AIT53" s="16"/>
      <c r="AIU53" s="16"/>
      <c r="AIV53" s="16"/>
      <c r="AIW53" s="16"/>
      <c r="AIX53" s="16"/>
      <c r="AIY53" s="16"/>
      <c r="AIZ53" s="16"/>
      <c r="AJA53" s="16"/>
      <c r="AJB53" s="16"/>
      <c r="AJC53" s="16"/>
      <c r="AJD53" s="16"/>
      <c r="AJE53" s="16"/>
      <c r="AJF53" s="16"/>
      <c r="AJG53" s="16"/>
      <c r="AJH53" s="16"/>
      <c r="AJI53" s="16"/>
      <c r="AJJ53" s="16"/>
      <c r="AJK53" s="16"/>
      <c r="AJL53" s="16"/>
      <c r="AJM53" s="16"/>
      <c r="AJN53" s="16"/>
      <c r="AJO53" s="16"/>
      <c r="AJP53" s="16"/>
      <c r="AJQ53" s="16"/>
      <c r="AJR53" s="16"/>
      <c r="AJS53" s="16"/>
      <c r="AJT53" s="16"/>
      <c r="AJU53" s="16"/>
      <c r="AJV53" s="16"/>
      <c r="AJW53" s="16"/>
      <c r="AJX53" s="16"/>
      <c r="AJY53" s="16"/>
      <c r="AJZ53" s="16"/>
      <c r="AKA53" s="16"/>
      <c r="AKB53" s="16"/>
      <c r="AKC53" s="16"/>
      <c r="AKD53" s="16"/>
      <c r="AKE53" s="16"/>
      <c r="AKF53" s="16"/>
      <c r="AKG53" s="16"/>
      <c r="AKH53" s="16"/>
      <c r="AKI53" s="16"/>
      <c r="AKJ53" s="16"/>
      <c r="AKK53" s="16"/>
      <c r="AKL53" s="16"/>
      <c r="AKM53" s="16"/>
      <c r="AKN53" s="16"/>
      <c r="AKO53" s="16"/>
      <c r="AKP53" s="16"/>
      <c r="AKQ53" s="16"/>
      <c r="AKR53" s="16"/>
      <c r="AKS53" s="16"/>
      <c r="AKT53" s="16"/>
      <c r="AKU53" s="16"/>
      <c r="AKV53" s="16"/>
      <c r="AKW53" s="16"/>
      <c r="AKX53" s="16"/>
      <c r="AKY53" s="16"/>
      <c r="AKZ53" s="16"/>
      <c r="ALA53" s="16"/>
      <c r="ALB53" s="16"/>
      <c r="ALC53" s="16"/>
      <c r="ALD53" s="16"/>
      <c r="ALE53" s="16"/>
      <c r="ALF53" s="16"/>
      <c r="ALG53" s="16"/>
      <c r="ALH53" s="16"/>
      <c r="ALI53" s="16"/>
      <c r="ALJ53" s="16"/>
      <c r="ALK53" s="16"/>
      <c r="ALL53" s="16"/>
      <c r="ALM53" s="16"/>
      <c r="ALN53" s="16"/>
      <c r="ALO53" s="16"/>
      <c r="ALP53" s="16"/>
      <c r="ALQ53" s="16"/>
      <c r="ALR53" s="16"/>
      <c r="ALS53" s="16"/>
      <c r="ALT53" s="16"/>
      <c r="ALU53" s="16"/>
      <c r="ALV53" s="16"/>
      <c r="ALW53" s="16"/>
      <c r="ALX53" s="16"/>
      <c r="ALY53" s="16"/>
      <c r="ALZ53" s="16"/>
      <c r="AMA53" s="16"/>
      <c r="AMB53" s="16"/>
      <c r="AMC53" s="16"/>
      <c r="AMD53" s="16"/>
      <c r="AME53" s="16"/>
      <c r="AMF53" s="16"/>
      <c r="AMG53" s="16"/>
      <c r="AMH53" s="16"/>
      <c r="AMI53" s="16"/>
      <c r="AMJ53" s="16"/>
      <c r="AMK53" s="16"/>
      <c r="AML53" s="16"/>
      <c r="AMM53" s="16"/>
      <c r="AMN53" s="16"/>
      <c r="AMO53" s="16"/>
      <c r="AMP53" s="16"/>
      <c r="AMQ53" s="16"/>
      <c r="AMR53" s="16"/>
      <c r="AMS53" s="16"/>
      <c r="AMT53" s="16"/>
      <c r="AMU53" s="16"/>
      <c r="AMV53" s="16"/>
      <c r="AMW53" s="16"/>
      <c r="AMX53" s="16"/>
      <c r="AMY53" s="16"/>
      <c r="AMZ53" s="16"/>
      <c r="ANA53" s="16"/>
      <c r="ANB53" s="16"/>
      <c r="ANC53" s="16"/>
      <c r="AND53" s="16"/>
      <c r="ANE53" s="16"/>
      <c r="ANF53" s="16"/>
      <c r="ANG53" s="16"/>
      <c r="ANH53" s="16"/>
      <c r="ANI53" s="16"/>
      <c r="ANJ53" s="16"/>
      <c r="ANK53" s="16"/>
      <c r="ANL53" s="16"/>
      <c r="ANM53" s="16"/>
      <c r="ANN53" s="16"/>
      <c r="ANO53" s="16"/>
      <c r="ANP53" s="16"/>
      <c r="ANQ53" s="16"/>
      <c r="ANR53" s="16"/>
      <c r="ANS53" s="16"/>
      <c r="ANT53" s="16"/>
      <c r="ANU53" s="16"/>
      <c r="ANV53" s="16"/>
      <c r="ANW53" s="16"/>
      <c r="ANX53" s="16"/>
      <c r="ANY53" s="16"/>
      <c r="ANZ53" s="16"/>
      <c r="AOA53" s="16"/>
      <c r="AOB53" s="16"/>
      <c r="AOC53" s="16"/>
      <c r="AOD53" s="16"/>
      <c r="AOE53" s="16"/>
      <c r="AOF53" s="16"/>
      <c r="AOG53" s="16"/>
      <c r="AOH53" s="16"/>
      <c r="AOI53" s="16"/>
      <c r="AOJ53" s="16"/>
      <c r="AOK53" s="16"/>
      <c r="AOL53" s="16"/>
      <c r="AOM53" s="16"/>
      <c r="AON53" s="16"/>
      <c r="AOO53" s="16"/>
      <c r="AOP53" s="16"/>
      <c r="AOQ53" s="16"/>
      <c r="AOR53" s="16"/>
      <c r="AOS53" s="16"/>
      <c r="AOT53" s="16"/>
      <c r="AOU53" s="16"/>
      <c r="AOV53" s="16"/>
      <c r="AOW53" s="16"/>
      <c r="AOX53" s="16"/>
      <c r="AOY53" s="16"/>
      <c r="AOZ53" s="16"/>
      <c r="APA53" s="16"/>
      <c r="APB53" s="16"/>
      <c r="APC53" s="16"/>
      <c r="APD53" s="16"/>
      <c r="APE53" s="16"/>
      <c r="APF53" s="16"/>
      <c r="APG53" s="16"/>
      <c r="APH53" s="16"/>
      <c r="API53" s="16"/>
      <c r="APJ53" s="16"/>
      <c r="APK53" s="16"/>
      <c r="APL53" s="16"/>
      <c r="APM53" s="16"/>
      <c r="APN53" s="16"/>
      <c r="APO53" s="16"/>
      <c r="APP53" s="16"/>
      <c r="APQ53" s="16"/>
      <c r="APR53" s="16"/>
      <c r="APS53" s="16"/>
      <c r="APT53" s="16"/>
      <c r="APU53" s="16"/>
      <c r="APV53" s="16"/>
      <c r="APW53" s="16"/>
      <c r="APX53" s="16"/>
      <c r="APY53" s="16"/>
      <c r="APZ53" s="16"/>
      <c r="AQA53" s="16"/>
      <c r="AQB53" s="16"/>
      <c r="AQC53" s="16"/>
      <c r="AQD53" s="16"/>
      <c r="AQE53" s="16"/>
      <c r="AQF53" s="16"/>
      <c r="AQG53" s="16"/>
      <c r="AQH53" s="16"/>
      <c r="AQI53" s="16"/>
      <c r="AQJ53" s="16"/>
      <c r="AQK53" s="16"/>
      <c r="AQL53" s="16"/>
      <c r="AQM53" s="16"/>
      <c r="AQN53" s="16"/>
      <c r="AQO53" s="16"/>
      <c r="AQP53" s="16"/>
      <c r="AQQ53" s="16"/>
      <c r="AQR53" s="16"/>
      <c r="AQS53" s="16"/>
      <c r="AQT53" s="16"/>
      <c r="AQU53" s="16"/>
      <c r="AQV53" s="16"/>
      <c r="AQW53" s="16"/>
      <c r="AQX53" s="16"/>
      <c r="AQY53" s="16"/>
      <c r="AQZ53" s="16"/>
      <c r="ARA53" s="16"/>
      <c r="ARB53" s="16"/>
      <c r="ARC53" s="16"/>
      <c r="ARD53" s="16"/>
      <c r="ARE53" s="16"/>
      <c r="ARF53" s="16"/>
      <c r="ARG53" s="16"/>
      <c r="ARH53" s="16"/>
      <c r="ARI53" s="16"/>
      <c r="ARJ53" s="16"/>
      <c r="ARK53" s="16"/>
      <c r="ARL53" s="16"/>
      <c r="ARM53" s="16"/>
      <c r="ARN53" s="16"/>
      <c r="ARO53" s="16"/>
      <c r="ARP53" s="16"/>
      <c r="ARQ53" s="16"/>
      <c r="ARR53" s="16"/>
      <c r="ARS53" s="16"/>
      <c r="ART53" s="16"/>
      <c r="ARU53" s="16"/>
      <c r="ARV53" s="16"/>
      <c r="ARW53" s="16"/>
      <c r="ARX53" s="16"/>
      <c r="ARY53" s="16"/>
      <c r="ARZ53" s="16"/>
      <c r="ASA53" s="16"/>
      <c r="ASB53" s="16"/>
      <c r="ASC53" s="16"/>
      <c r="ASD53" s="16"/>
      <c r="ASE53" s="16"/>
      <c r="ASF53" s="16"/>
      <c r="ASG53" s="16"/>
      <c r="ASH53" s="16"/>
      <c r="ASI53" s="16"/>
      <c r="ASJ53" s="16"/>
      <c r="ASK53" s="16"/>
      <c r="ASL53" s="16"/>
      <c r="ASM53" s="16"/>
      <c r="ASN53" s="16"/>
      <c r="ASO53" s="16"/>
      <c r="ASP53" s="16"/>
      <c r="ASQ53" s="16"/>
      <c r="ASR53" s="16"/>
      <c r="ASS53" s="16"/>
      <c r="AST53" s="16"/>
      <c r="ASU53" s="16"/>
      <c r="ASV53" s="16"/>
      <c r="ASW53" s="16"/>
      <c r="ASX53" s="16"/>
      <c r="ASY53" s="16"/>
      <c r="ASZ53" s="16"/>
      <c r="ATA53" s="16"/>
      <c r="ATB53" s="16"/>
      <c r="ATC53" s="16"/>
      <c r="ATD53" s="16"/>
      <c r="ATE53" s="16"/>
      <c r="ATF53" s="16"/>
      <c r="ATG53" s="16"/>
      <c r="ATH53" s="16"/>
      <c r="ATI53" s="16"/>
      <c r="ATJ53" s="16"/>
      <c r="ATK53" s="16"/>
      <c r="ATL53" s="16"/>
      <c r="ATM53" s="16"/>
      <c r="ATN53" s="16"/>
      <c r="ATO53" s="16"/>
      <c r="ATP53" s="16"/>
      <c r="ATQ53" s="16"/>
      <c r="ATR53" s="16"/>
      <c r="ATS53" s="16"/>
      <c r="ATT53" s="16"/>
      <c r="ATU53" s="16"/>
      <c r="ATV53" s="16"/>
      <c r="ATW53" s="16"/>
      <c r="ATX53" s="16"/>
      <c r="ATY53" s="16"/>
      <c r="ATZ53" s="16"/>
      <c r="AUA53" s="16"/>
      <c r="AUB53" s="16"/>
      <c r="AUC53" s="16"/>
      <c r="AUD53" s="16"/>
      <c r="AUE53" s="16"/>
      <c r="AUF53" s="16"/>
      <c r="AUG53" s="16"/>
      <c r="AUH53" s="16"/>
      <c r="AUI53" s="16"/>
      <c r="AUJ53" s="16"/>
      <c r="AUK53" s="16"/>
      <c r="AUL53" s="16"/>
      <c r="AUM53" s="16"/>
      <c r="AUN53" s="16"/>
      <c r="AUO53" s="16"/>
      <c r="AUP53" s="16"/>
      <c r="AUQ53" s="16"/>
      <c r="AUR53" s="16"/>
      <c r="AUS53" s="16"/>
      <c r="AUT53" s="16"/>
      <c r="AUU53" s="16"/>
      <c r="AUV53" s="16"/>
      <c r="AUW53" s="16"/>
      <c r="AUX53" s="16"/>
      <c r="AUY53" s="16"/>
      <c r="AUZ53" s="16"/>
      <c r="AVA53" s="16"/>
      <c r="AVB53" s="16"/>
      <c r="AVC53" s="16"/>
      <c r="AVD53" s="16"/>
      <c r="AVE53" s="16"/>
      <c r="AVF53" s="16"/>
      <c r="AVG53" s="16"/>
      <c r="AVH53" s="16"/>
      <c r="AVI53" s="16"/>
      <c r="AVJ53" s="16"/>
      <c r="AVK53" s="16"/>
      <c r="AVL53" s="16"/>
      <c r="AVM53" s="16"/>
      <c r="AVN53" s="16"/>
      <c r="AVO53" s="16"/>
      <c r="AVP53" s="16"/>
      <c r="AVQ53" s="16"/>
      <c r="AVR53" s="16"/>
      <c r="AVS53" s="16"/>
      <c r="AVT53" s="16"/>
      <c r="AVU53" s="16"/>
      <c r="AVV53" s="16"/>
      <c r="AVW53" s="16"/>
      <c r="AVX53" s="16"/>
      <c r="AVY53" s="16"/>
      <c r="AVZ53" s="16"/>
      <c r="AWA53" s="16"/>
      <c r="AWB53" s="16"/>
      <c r="AWC53" s="16"/>
      <c r="AWD53" s="16"/>
      <c r="AWE53" s="16"/>
      <c r="AWF53" s="16"/>
      <c r="AWG53" s="16"/>
      <c r="AWH53" s="16"/>
      <c r="AWI53" s="16"/>
      <c r="AWJ53" s="16"/>
      <c r="AWK53" s="16"/>
      <c r="AWL53" s="16"/>
      <c r="AWM53" s="16"/>
      <c r="AWN53" s="16"/>
      <c r="AWO53" s="16"/>
      <c r="AWP53" s="16"/>
      <c r="AWQ53" s="16"/>
      <c r="AWR53" s="16"/>
      <c r="AWS53" s="16"/>
      <c r="AWT53" s="16"/>
      <c r="AWU53" s="16"/>
      <c r="AWV53" s="16"/>
      <c r="AWW53" s="16"/>
      <c r="AWX53" s="16"/>
      <c r="AWY53" s="16"/>
      <c r="AWZ53" s="16"/>
      <c r="AXA53" s="16"/>
      <c r="AXB53" s="16"/>
      <c r="AXC53" s="16"/>
      <c r="AXD53" s="16"/>
      <c r="AXE53" s="16"/>
      <c r="AXF53" s="16"/>
      <c r="AXG53" s="16"/>
      <c r="AXH53" s="16"/>
      <c r="AXI53" s="16"/>
      <c r="AXJ53" s="16"/>
      <c r="AXK53" s="16"/>
      <c r="AXL53" s="16"/>
      <c r="AXM53" s="16"/>
      <c r="AXN53" s="16"/>
      <c r="AXO53" s="16"/>
      <c r="AXP53" s="16"/>
      <c r="AXQ53" s="16"/>
      <c r="AXR53" s="16"/>
      <c r="AXS53" s="16"/>
      <c r="AXT53" s="16"/>
      <c r="AXU53" s="16"/>
      <c r="AXV53" s="16"/>
      <c r="AXW53" s="16"/>
      <c r="AXX53" s="16"/>
      <c r="AXY53" s="16"/>
      <c r="AXZ53" s="16"/>
      <c r="AYA53" s="16"/>
      <c r="AYB53" s="16"/>
      <c r="AYC53" s="16"/>
      <c r="AYD53" s="16"/>
      <c r="AYE53" s="16"/>
      <c r="AYF53" s="16"/>
      <c r="AYG53" s="16"/>
      <c r="AYH53" s="16"/>
      <c r="AYI53" s="16"/>
      <c r="AYJ53" s="16"/>
      <c r="AYK53" s="16"/>
      <c r="AYL53" s="16"/>
      <c r="AYM53" s="16"/>
      <c r="AYN53" s="16"/>
      <c r="AYO53" s="16"/>
      <c r="AYP53" s="16"/>
      <c r="AYQ53" s="16"/>
      <c r="AYR53" s="16"/>
      <c r="AYS53" s="16"/>
      <c r="AYT53" s="16"/>
      <c r="AYU53" s="16"/>
      <c r="AYV53" s="16"/>
      <c r="AYW53" s="16"/>
      <c r="AYX53" s="16"/>
      <c r="AYY53" s="16"/>
      <c r="AYZ53" s="16"/>
      <c r="AZA53" s="16"/>
      <c r="AZB53" s="16"/>
      <c r="AZC53" s="16"/>
      <c r="AZD53" s="16"/>
      <c r="AZE53" s="16"/>
      <c r="AZF53" s="16"/>
      <c r="AZG53" s="16"/>
      <c r="AZH53" s="16"/>
      <c r="AZI53" s="16"/>
      <c r="AZJ53" s="16"/>
      <c r="AZK53" s="16"/>
      <c r="AZL53" s="16"/>
      <c r="AZM53" s="16"/>
      <c r="AZN53" s="16"/>
      <c r="AZO53" s="16"/>
      <c r="AZP53" s="16"/>
      <c r="AZQ53" s="16"/>
      <c r="AZR53" s="16"/>
      <c r="AZS53" s="16"/>
      <c r="AZT53" s="16"/>
      <c r="AZU53" s="16"/>
      <c r="AZV53" s="16"/>
      <c r="AZW53" s="16"/>
      <c r="AZX53" s="16"/>
      <c r="AZY53" s="16"/>
      <c r="AZZ53" s="16"/>
      <c r="BAA53" s="16"/>
      <c r="BAB53" s="16"/>
      <c r="BAC53" s="16"/>
      <c r="BAD53" s="16"/>
      <c r="BAE53" s="16"/>
      <c r="BAF53" s="16"/>
      <c r="BAG53" s="16"/>
      <c r="BAH53" s="16"/>
      <c r="BAI53" s="16"/>
      <c r="BAJ53" s="16"/>
      <c r="BAK53" s="16"/>
      <c r="BAL53" s="16"/>
      <c r="BAM53" s="16"/>
      <c r="BAN53" s="16"/>
      <c r="BAO53" s="16"/>
      <c r="BAP53" s="16"/>
      <c r="BAQ53" s="16"/>
      <c r="BAR53" s="16"/>
      <c r="BAS53" s="16"/>
      <c r="BAT53" s="16"/>
      <c r="BAU53" s="16"/>
      <c r="BAV53" s="16"/>
      <c r="BAW53" s="16"/>
      <c r="BAX53" s="16"/>
      <c r="BAY53" s="16"/>
      <c r="BAZ53" s="16"/>
      <c r="BBA53" s="16"/>
      <c r="BBB53" s="16"/>
      <c r="BBC53" s="16"/>
      <c r="BBD53" s="16"/>
      <c r="BBE53" s="16"/>
      <c r="BBF53" s="16"/>
      <c r="BBG53" s="16"/>
      <c r="BBH53" s="16"/>
      <c r="BBI53" s="16"/>
      <c r="BBJ53" s="16"/>
      <c r="BBK53" s="16"/>
      <c r="BBL53" s="16"/>
      <c r="BBM53" s="16"/>
      <c r="BBN53" s="16"/>
      <c r="BBO53" s="16"/>
      <c r="BBP53" s="16"/>
      <c r="BBQ53" s="16"/>
      <c r="BBR53" s="16"/>
      <c r="BBS53" s="16"/>
      <c r="BBT53" s="16"/>
      <c r="BBU53" s="16"/>
      <c r="BBV53" s="16"/>
      <c r="BBW53" s="16"/>
      <c r="BBX53" s="16"/>
      <c r="BBY53" s="16"/>
      <c r="BBZ53" s="16"/>
      <c r="BCA53" s="16"/>
      <c r="BCB53" s="16"/>
      <c r="BCC53" s="16"/>
      <c r="BCD53" s="16"/>
      <c r="BCE53" s="16"/>
      <c r="BCF53" s="16"/>
      <c r="BCG53" s="16"/>
      <c r="BCH53" s="16"/>
      <c r="BCI53" s="16"/>
      <c r="BCJ53" s="16"/>
      <c r="BCK53" s="16"/>
      <c r="BCL53" s="16"/>
      <c r="BCM53" s="16"/>
      <c r="BCN53" s="16"/>
      <c r="BCO53" s="16"/>
      <c r="BCP53" s="16"/>
      <c r="BCQ53" s="16"/>
      <c r="BCR53" s="16"/>
      <c r="BCS53" s="16"/>
      <c r="BCT53" s="16"/>
      <c r="BCU53" s="16"/>
      <c r="BCV53" s="16"/>
      <c r="BCW53" s="16"/>
      <c r="BCX53" s="16"/>
      <c r="BCY53" s="16"/>
      <c r="BCZ53" s="16"/>
      <c r="BDA53" s="16"/>
      <c r="BDB53" s="16"/>
      <c r="BDC53" s="16"/>
      <c r="BDD53" s="16"/>
      <c r="BDE53" s="16"/>
      <c r="BDF53" s="16"/>
      <c r="BDG53" s="16"/>
      <c r="BDH53" s="16"/>
      <c r="BDI53" s="16"/>
      <c r="BDJ53" s="16"/>
      <c r="BDK53" s="16"/>
      <c r="BDL53" s="16"/>
      <c r="BDM53" s="16"/>
      <c r="BDN53" s="16"/>
      <c r="BDO53" s="16"/>
      <c r="BDP53" s="16"/>
      <c r="BDQ53" s="16"/>
      <c r="BDR53" s="16"/>
      <c r="BDS53" s="16"/>
      <c r="BDT53" s="16"/>
      <c r="BDU53" s="16"/>
      <c r="BDV53" s="16"/>
      <c r="BDW53" s="16"/>
      <c r="BDX53" s="16"/>
      <c r="BDY53" s="16"/>
      <c r="BDZ53" s="16"/>
      <c r="BEA53" s="16"/>
      <c r="BEB53" s="16"/>
      <c r="BEC53" s="16"/>
      <c r="BED53" s="16"/>
      <c r="BEE53" s="16"/>
      <c r="BEF53" s="16"/>
      <c r="BEG53" s="16"/>
      <c r="BEH53" s="16"/>
      <c r="BEI53" s="16"/>
      <c r="BEJ53" s="16"/>
      <c r="BEK53" s="16"/>
      <c r="BEL53" s="16"/>
      <c r="BEM53" s="16"/>
      <c r="BEN53" s="16"/>
      <c r="BEO53" s="16"/>
      <c r="BEP53" s="16"/>
      <c r="BEQ53" s="16"/>
      <c r="BER53" s="16"/>
      <c r="BES53" s="16"/>
      <c r="BET53" s="16"/>
      <c r="BEU53" s="16"/>
      <c r="BEV53" s="16"/>
      <c r="BEW53" s="16"/>
      <c r="BEX53" s="16"/>
      <c r="BEY53" s="16"/>
      <c r="BEZ53" s="16"/>
      <c r="BFA53" s="16"/>
      <c r="BFB53" s="16"/>
      <c r="BFC53" s="16"/>
      <c r="BFD53" s="16"/>
      <c r="BFE53" s="16"/>
      <c r="BFF53" s="16"/>
      <c r="BFG53" s="16"/>
      <c r="BFH53" s="16"/>
      <c r="BFI53" s="16"/>
      <c r="BFJ53" s="16"/>
      <c r="BFK53" s="16"/>
      <c r="BFL53" s="16"/>
      <c r="BFM53" s="16"/>
      <c r="BFN53" s="16"/>
      <c r="BFO53" s="16"/>
      <c r="BFP53" s="16"/>
      <c r="BFQ53" s="16"/>
      <c r="BFR53" s="16"/>
      <c r="BFS53" s="16"/>
      <c r="BFT53" s="16"/>
      <c r="BFU53" s="16"/>
      <c r="BFV53" s="16"/>
      <c r="BFW53" s="16"/>
      <c r="BFX53" s="16"/>
      <c r="BFY53" s="16"/>
      <c r="BFZ53" s="16"/>
      <c r="BGA53" s="16"/>
      <c r="BGB53" s="16"/>
      <c r="BGC53" s="16"/>
      <c r="BGD53" s="16"/>
      <c r="BGE53" s="16"/>
      <c r="BGF53" s="16"/>
      <c r="BGG53" s="16"/>
      <c r="BGH53" s="16"/>
      <c r="BGI53" s="16"/>
      <c r="BGJ53" s="16"/>
      <c r="BGK53" s="16"/>
      <c r="BGL53" s="16"/>
      <c r="BGM53" s="16"/>
      <c r="BGN53" s="16"/>
      <c r="BGO53" s="16"/>
      <c r="BGP53" s="16"/>
      <c r="BGQ53" s="16"/>
      <c r="BGR53" s="16"/>
      <c r="BGS53" s="16"/>
      <c r="BGT53" s="16"/>
      <c r="BGU53" s="16"/>
      <c r="BGV53" s="16"/>
      <c r="BGW53" s="16"/>
      <c r="BGX53" s="16"/>
      <c r="BGY53" s="16"/>
      <c r="BGZ53" s="16"/>
      <c r="BHA53" s="16"/>
      <c r="BHB53" s="16"/>
      <c r="BHC53" s="16"/>
      <c r="BHD53" s="16"/>
      <c r="BHE53" s="16"/>
      <c r="BHF53" s="16"/>
      <c r="BHG53" s="16"/>
      <c r="BHH53" s="16"/>
      <c r="BHI53" s="16"/>
      <c r="BHJ53" s="16"/>
      <c r="BHK53" s="16"/>
      <c r="BHL53" s="16"/>
      <c r="BHM53" s="16"/>
      <c r="BHN53" s="16"/>
      <c r="BHO53" s="16"/>
      <c r="BHP53" s="16"/>
      <c r="BHQ53" s="16"/>
      <c r="BHR53" s="16"/>
      <c r="BHS53" s="16"/>
      <c r="BHT53" s="16"/>
      <c r="BHU53" s="16"/>
      <c r="BHV53" s="16"/>
      <c r="BHW53" s="16"/>
      <c r="BHX53" s="16"/>
      <c r="BHY53" s="16"/>
      <c r="BHZ53" s="16"/>
      <c r="BIA53" s="16"/>
      <c r="BIB53" s="16"/>
      <c r="BIC53" s="16"/>
      <c r="BID53" s="16"/>
      <c r="BIE53" s="16"/>
      <c r="BIF53" s="16"/>
      <c r="BIG53" s="16"/>
      <c r="BIH53" s="16"/>
      <c r="BII53" s="16"/>
      <c r="BIJ53" s="16"/>
      <c r="BIK53" s="16"/>
      <c r="BIL53" s="16"/>
      <c r="BIM53" s="16"/>
      <c r="BIN53" s="16"/>
      <c r="BIO53" s="16"/>
      <c r="BIP53" s="16"/>
      <c r="BIQ53" s="16"/>
      <c r="BIR53" s="16"/>
      <c r="BIS53" s="16"/>
      <c r="BIT53" s="16"/>
      <c r="BIU53" s="16"/>
      <c r="BIV53" s="16"/>
      <c r="BIW53" s="16"/>
      <c r="BIX53" s="16"/>
      <c r="BIY53" s="16"/>
      <c r="BIZ53" s="16"/>
      <c r="BJA53" s="16"/>
      <c r="BJB53" s="16"/>
      <c r="BJC53" s="16"/>
      <c r="BJD53" s="16"/>
      <c r="BJE53" s="16"/>
      <c r="BJF53" s="16"/>
      <c r="BJG53" s="16"/>
      <c r="BJH53" s="16"/>
      <c r="BJI53" s="16"/>
      <c r="BJJ53" s="16"/>
      <c r="BJK53" s="16"/>
      <c r="BJL53" s="16"/>
      <c r="BJM53" s="16"/>
      <c r="BJN53" s="16"/>
      <c r="BJO53" s="16"/>
      <c r="BJP53" s="16"/>
      <c r="BJQ53" s="16"/>
      <c r="BJR53" s="16"/>
      <c r="BJS53" s="16"/>
      <c r="BJT53" s="16"/>
      <c r="BJU53" s="16"/>
      <c r="BJV53" s="16"/>
      <c r="BJW53" s="16"/>
      <c r="BJX53" s="16"/>
      <c r="BJY53" s="16"/>
      <c r="BJZ53" s="16"/>
      <c r="BKA53" s="16"/>
      <c r="BKB53" s="16"/>
      <c r="BKC53" s="16"/>
      <c r="BKD53" s="16"/>
      <c r="BKE53" s="16"/>
      <c r="BKF53" s="16"/>
      <c r="BKG53" s="16"/>
      <c r="BKH53" s="16"/>
      <c r="BKI53" s="16"/>
      <c r="BKJ53" s="16"/>
      <c r="BKK53" s="16"/>
      <c r="BKL53" s="16"/>
      <c r="BKM53" s="16"/>
      <c r="BKN53" s="16"/>
      <c r="BKO53" s="16"/>
      <c r="BKP53" s="16"/>
      <c r="BKQ53" s="16"/>
      <c r="BKR53" s="16"/>
      <c r="BKS53" s="16"/>
      <c r="BKT53" s="16"/>
      <c r="BKU53" s="16"/>
      <c r="BKV53" s="16"/>
      <c r="BKW53" s="16"/>
      <c r="BKX53" s="16"/>
      <c r="BKY53" s="16"/>
      <c r="BKZ53" s="16"/>
      <c r="BLA53" s="16"/>
      <c r="BLB53" s="16"/>
      <c r="BLC53" s="16"/>
      <c r="BLD53" s="16"/>
      <c r="BLE53" s="16"/>
      <c r="BLF53" s="16"/>
      <c r="BLG53" s="16"/>
      <c r="BLH53" s="16"/>
      <c r="BLI53" s="16"/>
      <c r="BLJ53" s="16"/>
      <c r="BLK53" s="16"/>
      <c r="BLL53" s="16"/>
      <c r="BLM53" s="16"/>
      <c r="BLN53" s="16"/>
      <c r="BLO53" s="16"/>
      <c r="BLP53" s="16"/>
      <c r="BLQ53" s="16"/>
      <c r="BLR53" s="16"/>
      <c r="BLS53" s="16"/>
      <c r="BLT53" s="16"/>
      <c r="BLU53" s="16"/>
      <c r="BLV53" s="16"/>
      <c r="BLW53" s="16"/>
      <c r="BLX53" s="16"/>
      <c r="BLY53" s="16"/>
      <c r="BLZ53" s="16"/>
      <c r="BMA53" s="16"/>
      <c r="BMB53" s="16"/>
      <c r="BMC53" s="16"/>
      <c r="BMD53" s="16"/>
      <c r="BME53" s="16"/>
      <c r="BMF53" s="16"/>
      <c r="BMG53" s="16"/>
      <c r="BMH53" s="16"/>
      <c r="BMI53" s="16"/>
      <c r="BMJ53" s="16"/>
      <c r="BMK53" s="16"/>
      <c r="BML53" s="16"/>
      <c r="BMM53" s="16"/>
      <c r="BMN53" s="16"/>
      <c r="BMO53" s="16"/>
      <c r="BMP53" s="16"/>
      <c r="BMQ53" s="16"/>
      <c r="BMR53" s="16"/>
      <c r="BMS53" s="16"/>
      <c r="BMT53" s="16"/>
      <c r="BMU53" s="16"/>
      <c r="BMV53" s="16"/>
      <c r="BMW53" s="16"/>
      <c r="BMX53" s="16"/>
      <c r="BMY53" s="16"/>
      <c r="BMZ53" s="16"/>
      <c r="BNA53" s="16"/>
      <c r="BNB53" s="16"/>
      <c r="BNC53" s="16"/>
      <c r="BND53" s="16"/>
      <c r="BNE53" s="16"/>
      <c r="BNF53" s="16"/>
      <c r="BNG53" s="16"/>
      <c r="BNH53" s="16"/>
      <c r="BNI53" s="16"/>
      <c r="BNJ53" s="16"/>
      <c r="BNK53" s="16"/>
      <c r="BNL53" s="16"/>
      <c r="BNM53" s="16"/>
      <c r="BNN53" s="16"/>
      <c r="BNO53" s="16"/>
      <c r="BNP53" s="16"/>
      <c r="BNQ53" s="16"/>
      <c r="BNR53" s="16"/>
      <c r="BNS53" s="16"/>
      <c r="BNT53" s="16"/>
      <c r="BNU53" s="16"/>
      <c r="BNV53" s="16"/>
      <c r="BNW53" s="16"/>
      <c r="BNX53" s="16"/>
      <c r="BNY53" s="16"/>
      <c r="BNZ53" s="16"/>
      <c r="BOA53" s="16"/>
      <c r="BOB53" s="16"/>
      <c r="BOC53" s="16"/>
      <c r="BOD53" s="16"/>
      <c r="BOE53" s="16"/>
      <c r="BOF53" s="16"/>
      <c r="BOG53" s="16"/>
      <c r="BOH53" s="16"/>
      <c r="BOI53" s="16"/>
      <c r="BOJ53" s="16"/>
      <c r="BOK53" s="16"/>
      <c r="BOL53" s="16"/>
      <c r="BOM53" s="16"/>
      <c r="BON53" s="16"/>
      <c r="BOO53" s="16"/>
      <c r="BOP53" s="16"/>
      <c r="BOQ53" s="16"/>
      <c r="BOR53" s="16"/>
      <c r="BOS53" s="16"/>
      <c r="BOT53" s="16"/>
      <c r="BOU53" s="16"/>
      <c r="BOV53" s="16"/>
      <c r="BOW53" s="16"/>
      <c r="BOX53" s="16"/>
      <c r="BOY53" s="16"/>
      <c r="BOZ53" s="16"/>
      <c r="BPA53" s="16"/>
      <c r="BPB53" s="16"/>
      <c r="BPC53" s="16"/>
      <c r="BPD53" s="16"/>
      <c r="BPE53" s="16"/>
      <c r="BPF53" s="16"/>
      <c r="BPG53" s="16"/>
      <c r="BPH53" s="16"/>
      <c r="BPI53" s="16"/>
      <c r="BPJ53" s="16"/>
      <c r="BPK53" s="16"/>
      <c r="BPL53" s="16"/>
      <c r="BPM53" s="16"/>
      <c r="BPN53" s="16"/>
      <c r="BPO53" s="16"/>
      <c r="BPP53" s="16"/>
      <c r="BPQ53" s="16"/>
      <c r="BPR53" s="16"/>
      <c r="BPS53" s="16"/>
      <c r="BPT53" s="16"/>
      <c r="BPU53" s="16"/>
      <c r="BPV53" s="16"/>
      <c r="BPW53" s="16"/>
      <c r="BPX53" s="16"/>
      <c r="BPY53" s="16"/>
      <c r="BPZ53" s="16"/>
      <c r="BQA53" s="16"/>
      <c r="BQB53" s="16"/>
      <c r="BQC53" s="16"/>
      <c r="BQD53" s="16"/>
      <c r="BQE53" s="16"/>
      <c r="BQF53" s="16"/>
      <c r="BQG53" s="16"/>
      <c r="BQH53" s="16"/>
      <c r="BQI53" s="16"/>
      <c r="BQJ53" s="16"/>
      <c r="BQK53" s="16"/>
      <c r="BQL53" s="16"/>
      <c r="BQM53" s="16"/>
      <c r="BQN53" s="16"/>
      <c r="BQO53" s="16"/>
      <c r="BQP53" s="16"/>
      <c r="BQQ53" s="16"/>
      <c r="BQR53" s="16"/>
      <c r="BQS53" s="16"/>
      <c r="BQT53" s="16"/>
      <c r="BQU53" s="16"/>
      <c r="BQV53" s="16"/>
      <c r="BQW53" s="16"/>
      <c r="BQX53" s="16"/>
      <c r="BQY53" s="16"/>
      <c r="BQZ53" s="16"/>
      <c r="BRA53" s="16"/>
      <c r="BRB53" s="16"/>
      <c r="BRC53" s="16"/>
      <c r="BRD53" s="16"/>
      <c r="BRE53" s="16"/>
      <c r="BRF53" s="16"/>
      <c r="BRG53" s="16"/>
      <c r="BRH53" s="16"/>
      <c r="BRI53" s="16"/>
      <c r="BRJ53" s="16"/>
      <c r="BRK53" s="16"/>
      <c r="BRL53" s="16"/>
      <c r="BRM53" s="16"/>
      <c r="BRN53" s="16"/>
      <c r="BRO53" s="16"/>
      <c r="BRP53" s="16"/>
      <c r="BRQ53" s="16"/>
      <c r="BRR53" s="16"/>
      <c r="BRS53" s="16"/>
      <c r="BRT53" s="16"/>
      <c r="BRU53" s="16"/>
      <c r="BRV53" s="16"/>
      <c r="BRW53" s="16"/>
      <c r="BRX53" s="16"/>
      <c r="BRY53" s="16"/>
      <c r="BRZ53" s="16"/>
      <c r="BSA53" s="16"/>
      <c r="BSB53" s="16"/>
      <c r="BSC53" s="16"/>
      <c r="BSD53" s="16"/>
      <c r="BSE53" s="16"/>
      <c r="BSF53" s="16"/>
      <c r="BSG53" s="16"/>
      <c r="BSH53" s="16"/>
      <c r="BSI53" s="16"/>
      <c r="BSJ53" s="16"/>
      <c r="BSK53" s="16"/>
      <c r="BSL53" s="16"/>
      <c r="BSM53" s="16"/>
      <c r="BSN53" s="16"/>
      <c r="BSO53" s="16"/>
      <c r="BSP53" s="16"/>
      <c r="BSQ53" s="16"/>
      <c r="BSR53" s="16"/>
      <c r="BSS53" s="16"/>
      <c r="BST53" s="16"/>
      <c r="BSU53" s="16"/>
      <c r="BSV53" s="16"/>
      <c r="BSW53" s="16"/>
      <c r="BSX53" s="16"/>
      <c r="BSY53" s="16"/>
      <c r="BSZ53" s="16"/>
      <c r="BTA53" s="16"/>
      <c r="BTB53" s="16"/>
      <c r="BTC53" s="16"/>
      <c r="BTD53" s="16"/>
      <c r="BTE53" s="16"/>
      <c r="BTF53" s="16"/>
      <c r="BTG53" s="16"/>
      <c r="BTH53" s="16"/>
      <c r="BTI53" s="16"/>
      <c r="BTJ53" s="16"/>
      <c r="BTK53" s="16"/>
      <c r="BTL53" s="16"/>
      <c r="BTM53" s="16"/>
      <c r="BTN53" s="16"/>
      <c r="BTO53" s="16"/>
      <c r="BTP53" s="16"/>
      <c r="BTQ53" s="16"/>
      <c r="BTR53" s="16"/>
      <c r="BTS53" s="16"/>
      <c r="BTT53" s="16"/>
      <c r="BTU53" s="16"/>
      <c r="BTV53" s="16"/>
      <c r="BTW53" s="16"/>
      <c r="BTX53" s="16"/>
      <c r="BTY53" s="16"/>
      <c r="BTZ53" s="16"/>
      <c r="BUA53" s="16"/>
      <c r="BUB53" s="16"/>
      <c r="BUC53" s="16"/>
      <c r="BUD53" s="16"/>
      <c r="BUE53" s="16"/>
      <c r="BUF53" s="16"/>
      <c r="BUG53" s="16"/>
      <c r="BUH53" s="16"/>
      <c r="BUI53" s="16"/>
      <c r="BUJ53" s="16"/>
      <c r="BUK53" s="16"/>
      <c r="BUL53" s="16"/>
      <c r="BUM53" s="16"/>
      <c r="BUN53" s="16"/>
      <c r="BUO53" s="16"/>
      <c r="BUP53" s="16"/>
      <c r="BUQ53" s="16"/>
      <c r="BUR53" s="16"/>
      <c r="BUS53" s="16"/>
      <c r="BUT53" s="16"/>
      <c r="BUU53" s="16"/>
      <c r="BUV53" s="16"/>
      <c r="BUW53" s="16"/>
      <c r="BUX53" s="16"/>
      <c r="BUY53" s="16"/>
      <c r="BUZ53" s="16"/>
      <c r="BVA53" s="16"/>
      <c r="BVB53" s="16"/>
      <c r="BVC53" s="16"/>
      <c r="BVD53" s="16"/>
      <c r="BVE53" s="16"/>
      <c r="BVF53" s="16"/>
      <c r="BVG53" s="16"/>
      <c r="BVH53" s="16"/>
      <c r="BVI53" s="16"/>
      <c r="BVJ53" s="16"/>
      <c r="BVK53" s="16"/>
      <c r="BVL53" s="16"/>
      <c r="BVM53" s="16"/>
      <c r="BVN53" s="16"/>
      <c r="BVO53" s="16"/>
      <c r="BVP53" s="16"/>
      <c r="BVQ53" s="16"/>
      <c r="BVR53" s="16"/>
      <c r="BVS53" s="16"/>
      <c r="BVT53" s="16"/>
      <c r="BVU53" s="16"/>
      <c r="BVV53" s="16"/>
      <c r="BVW53" s="16"/>
      <c r="BVX53" s="16"/>
      <c r="BVY53" s="16"/>
      <c r="BVZ53" s="16"/>
      <c r="BWA53" s="16"/>
      <c r="BWB53" s="16"/>
      <c r="BWC53" s="16"/>
      <c r="BWD53" s="16"/>
      <c r="BWE53" s="16"/>
      <c r="BWF53" s="16"/>
      <c r="BWG53" s="16"/>
      <c r="BWH53" s="16"/>
      <c r="BWI53" s="16"/>
      <c r="BWJ53" s="16"/>
      <c r="BWK53" s="16"/>
      <c r="BWL53" s="16"/>
      <c r="BWM53" s="16"/>
      <c r="BWN53" s="16"/>
      <c r="BWO53" s="16"/>
      <c r="BWP53" s="16"/>
      <c r="BWQ53" s="16"/>
      <c r="BWR53" s="16"/>
      <c r="BWS53" s="16"/>
      <c r="BWT53" s="16"/>
      <c r="BWU53" s="16"/>
      <c r="BWV53" s="16"/>
      <c r="BWW53" s="16"/>
      <c r="BWX53" s="16"/>
      <c r="BWY53" s="16"/>
      <c r="BWZ53" s="16"/>
      <c r="BXA53" s="16"/>
      <c r="BXB53" s="16"/>
      <c r="BXC53" s="16"/>
      <c r="BXD53" s="16"/>
      <c r="BXE53" s="16"/>
      <c r="BXF53" s="16"/>
      <c r="BXG53" s="16"/>
      <c r="BXH53" s="16"/>
      <c r="BXI53" s="16"/>
      <c r="BXJ53" s="16"/>
      <c r="BXK53" s="16"/>
      <c r="BXL53" s="16"/>
      <c r="BXM53" s="16"/>
      <c r="BXN53" s="16"/>
      <c r="BXO53" s="16"/>
      <c r="BXP53" s="16"/>
      <c r="BXQ53" s="16"/>
      <c r="BXR53" s="16"/>
      <c r="BXS53" s="16"/>
      <c r="BXT53" s="16"/>
      <c r="BXU53" s="16"/>
      <c r="BXV53" s="16"/>
      <c r="BXW53" s="16"/>
      <c r="BXX53" s="16"/>
      <c r="BXY53" s="16"/>
      <c r="BXZ53" s="16"/>
      <c r="BYA53" s="16"/>
      <c r="BYB53" s="16"/>
      <c r="BYC53" s="16"/>
      <c r="BYD53" s="16"/>
      <c r="BYE53" s="16"/>
      <c r="BYF53" s="16"/>
      <c r="BYG53" s="16"/>
      <c r="BYH53" s="16"/>
      <c r="BYI53" s="16"/>
      <c r="BYJ53" s="16"/>
      <c r="BYK53" s="16"/>
      <c r="BYL53" s="16"/>
      <c r="BYM53" s="16"/>
      <c r="BYN53" s="16"/>
      <c r="BYO53" s="16"/>
      <c r="BYP53" s="16"/>
      <c r="BYQ53" s="16"/>
      <c r="BYR53" s="16"/>
      <c r="BYS53" s="16"/>
      <c r="BYT53" s="16"/>
      <c r="BYU53" s="16"/>
      <c r="BYV53" s="16"/>
      <c r="BYW53" s="16"/>
      <c r="BYX53" s="16"/>
      <c r="BYY53" s="16"/>
      <c r="BYZ53" s="16"/>
      <c r="BZA53" s="16"/>
      <c r="BZB53" s="16"/>
      <c r="BZC53" s="16"/>
      <c r="BZD53" s="16"/>
      <c r="BZE53" s="16"/>
      <c r="BZF53" s="16"/>
      <c r="BZG53" s="16"/>
      <c r="BZH53" s="16"/>
      <c r="BZI53" s="16"/>
      <c r="BZJ53" s="16"/>
      <c r="BZK53" s="16"/>
      <c r="BZL53" s="16"/>
      <c r="BZM53" s="16"/>
      <c r="BZN53" s="16"/>
      <c r="BZO53" s="16"/>
      <c r="BZP53" s="16"/>
      <c r="BZQ53" s="16"/>
      <c r="BZR53" s="16"/>
      <c r="BZS53" s="16"/>
      <c r="BZT53" s="16"/>
      <c r="BZU53" s="16"/>
      <c r="BZV53" s="16"/>
      <c r="BZW53" s="16"/>
      <c r="BZX53" s="16"/>
      <c r="BZY53" s="16"/>
      <c r="BZZ53" s="16"/>
      <c r="CAA53" s="16"/>
      <c r="CAB53" s="16"/>
      <c r="CAC53" s="16"/>
      <c r="CAD53" s="16"/>
      <c r="CAE53" s="16"/>
      <c r="CAF53" s="16"/>
      <c r="CAG53" s="16"/>
      <c r="CAH53" s="16"/>
      <c r="CAI53" s="16"/>
      <c r="CAJ53" s="16"/>
      <c r="CAK53" s="16"/>
      <c r="CAL53" s="16"/>
      <c r="CAM53" s="16"/>
      <c r="CAN53" s="16"/>
      <c r="CAO53" s="16"/>
      <c r="CAP53" s="16"/>
      <c r="CAQ53" s="16"/>
      <c r="CAR53" s="16"/>
      <c r="CAS53" s="16"/>
      <c r="CAT53" s="16"/>
      <c r="CAU53" s="16"/>
      <c r="CAV53" s="16"/>
      <c r="CAW53" s="16"/>
      <c r="CAX53" s="16"/>
      <c r="CAY53" s="16"/>
      <c r="CAZ53" s="16"/>
      <c r="CBA53" s="16"/>
      <c r="CBB53" s="16"/>
      <c r="CBC53" s="16"/>
      <c r="CBD53" s="16"/>
      <c r="CBE53" s="16"/>
      <c r="CBF53" s="16"/>
      <c r="CBG53" s="16"/>
      <c r="CBH53" s="16"/>
      <c r="CBI53" s="16"/>
      <c r="CBJ53" s="16"/>
      <c r="CBK53" s="16"/>
      <c r="CBL53" s="16"/>
      <c r="CBM53" s="16"/>
      <c r="CBN53" s="16"/>
      <c r="CBO53" s="16"/>
      <c r="CBP53" s="16"/>
      <c r="CBQ53" s="16"/>
      <c r="CBR53" s="16"/>
      <c r="CBS53" s="16"/>
      <c r="CBT53" s="16"/>
      <c r="CBU53" s="16"/>
      <c r="CBV53" s="16"/>
      <c r="CBW53" s="16"/>
      <c r="CBX53" s="16"/>
      <c r="CBY53" s="16"/>
      <c r="CBZ53" s="16"/>
      <c r="CCA53" s="16"/>
      <c r="CCB53" s="16"/>
      <c r="CCC53" s="16"/>
      <c r="CCD53" s="16"/>
      <c r="CCE53" s="16"/>
      <c r="CCF53" s="16"/>
      <c r="CCG53" s="16"/>
      <c r="CCH53" s="16"/>
      <c r="CCI53" s="16"/>
      <c r="CCJ53" s="16"/>
      <c r="CCK53" s="16"/>
      <c r="CCL53" s="16"/>
      <c r="CCM53" s="16"/>
      <c r="CCN53" s="16"/>
      <c r="CCO53" s="16"/>
      <c r="CCP53" s="16"/>
      <c r="CCQ53" s="16"/>
      <c r="CCR53" s="16"/>
      <c r="CCS53" s="16"/>
      <c r="CCT53" s="16"/>
      <c r="CCU53" s="16"/>
      <c r="CCV53" s="16"/>
      <c r="CCW53" s="16"/>
      <c r="CCX53" s="16"/>
      <c r="CCY53" s="16"/>
      <c r="CCZ53" s="16"/>
      <c r="CDA53" s="16"/>
      <c r="CDB53" s="16"/>
      <c r="CDC53" s="16"/>
      <c r="CDD53" s="16"/>
      <c r="CDE53" s="16"/>
      <c r="CDF53" s="16"/>
      <c r="CDG53" s="16"/>
      <c r="CDH53" s="16"/>
      <c r="CDI53" s="16"/>
      <c r="CDJ53" s="16"/>
      <c r="CDK53" s="16"/>
      <c r="CDL53" s="16"/>
      <c r="CDM53" s="16"/>
      <c r="CDN53" s="16"/>
      <c r="CDO53" s="16"/>
      <c r="CDP53" s="16"/>
      <c r="CDQ53" s="16"/>
      <c r="CDR53" s="16"/>
      <c r="CDS53" s="16"/>
      <c r="CDT53" s="16"/>
      <c r="CDU53" s="16"/>
      <c r="CDV53" s="16"/>
      <c r="CDW53" s="16"/>
      <c r="CDX53" s="16"/>
      <c r="CDY53" s="16"/>
      <c r="CDZ53" s="16"/>
      <c r="CEA53" s="16"/>
      <c r="CEB53" s="16"/>
      <c r="CEC53" s="16"/>
      <c r="CED53" s="16"/>
      <c r="CEE53" s="16"/>
      <c r="CEF53" s="16"/>
      <c r="CEG53" s="16"/>
      <c r="CEH53" s="16"/>
      <c r="CEI53" s="16"/>
      <c r="CEJ53" s="16"/>
      <c r="CEK53" s="16"/>
      <c r="CEL53" s="16"/>
      <c r="CEM53" s="16"/>
      <c r="CEN53" s="16"/>
      <c r="CEO53" s="16"/>
      <c r="CEP53" s="16"/>
      <c r="CEQ53" s="16"/>
      <c r="CER53" s="16"/>
      <c r="CES53" s="16"/>
      <c r="CET53" s="16"/>
      <c r="CEU53" s="16"/>
      <c r="CEV53" s="16"/>
      <c r="CEW53" s="16"/>
      <c r="CEX53" s="16"/>
      <c r="CEY53" s="16"/>
      <c r="CEZ53" s="16"/>
      <c r="CFA53" s="16"/>
      <c r="CFB53" s="16"/>
      <c r="CFC53" s="16"/>
      <c r="CFD53" s="16"/>
      <c r="CFE53" s="16"/>
      <c r="CFF53" s="16"/>
      <c r="CFG53" s="16"/>
      <c r="CFH53" s="16"/>
      <c r="CFI53" s="16"/>
      <c r="CFJ53" s="16"/>
      <c r="CFK53" s="16"/>
      <c r="CFL53" s="16"/>
      <c r="CFM53" s="16"/>
      <c r="CFN53" s="16"/>
      <c r="CFO53" s="16"/>
      <c r="CFP53" s="16"/>
      <c r="CFQ53" s="16"/>
      <c r="CFR53" s="16"/>
      <c r="CFS53" s="16"/>
      <c r="CFT53" s="16"/>
      <c r="CFU53" s="16"/>
      <c r="CFV53" s="16"/>
      <c r="CFW53" s="16"/>
      <c r="CFX53" s="16"/>
      <c r="CFY53" s="16"/>
      <c r="CFZ53" s="16"/>
      <c r="CGA53" s="16"/>
      <c r="CGB53" s="16"/>
      <c r="CGC53" s="16"/>
      <c r="CGD53" s="16"/>
      <c r="CGE53" s="16"/>
      <c r="CGF53" s="16"/>
      <c r="CGG53" s="16"/>
      <c r="CGH53" s="16"/>
      <c r="CGI53" s="16"/>
      <c r="CGJ53" s="16"/>
      <c r="CGK53" s="16"/>
      <c r="CGL53" s="16"/>
      <c r="CGM53" s="16"/>
      <c r="CGN53" s="16"/>
      <c r="CGO53" s="16"/>
      <c r="CGP53" s="16"/>
      <c r="CGQ53" s="16"/>
      <c r="CGR53" s="16"/>
      <c r="CGS53" s="16"/>
      <c r="CGT53" s="16"/>
      <c r="CGU53" s="16"/>
      <c r="CGV53" s="16"/>
      <c r="CGW53" s="16"/>
      <c r="CGX53" s="16"/>
      <c r="CGY53" s="16"/>
      <c r="CGZ53" s="16"/>
      <c r="CHA53" s="16"/>
      <c r="CHB53" s="16"/>
      <c r="CHC53" s="16"/>
      <c r="CHD53" s="16"/>
      <c r="CHE53" s="16"/>
      <c r="CHF53" s="16"/>
      <c r="CHG53" s="16"/>
      <c r="CHH53" s="16"/>
      <c r="CHI53" s="16"/>
      <c r="CHJ53" s="16"/>
      <c r="CHK53" s="16"/>
      <c r="CHL53" s="16"/>
      <c r="CHM53" s="16"/>
      <c r="CHN53" s="16"/>
      <c r="CHO53" s="16"/>
      <c r="CHP53" s="16"/>
      <c r="CHQ53" s="16"/>
      <c r="CHR53" s="16"/>
      <c r="CHS53" s="16"/>
      <c r="CHT53" s="16"/>
      <c r="CHU53" s="16"/>
      <c r="CHV53" s="16"/>
      <c r="CHW53" s="16"/>
      <c r="CHX53" s="16"/>
      <c r="CHY53" s="16"/>
      <c r="CHZ53" s="16"/>
      <c r="CIA53" s="16"/>
      <c r="CIB53" s="16"/>
      <c r="CIC53" s="16"/>
      <c r="CID53" s="16"/>
      <c r="CIE53" s="16"/>
      <c r="CIF53" s="16"/>
      <c r="CIG53" s="16"/>
      <c r="CIH53" s="16"/>
      <c r="CII53" s="16"/>
      <c r="CIJ53" s="16"/>
      <c r="CIK53" s="16"/>
      <c r="CIL53" s="16"/>
      <c r="CIM53" s="16"/>
      <c r="CIN53" s="16"/>
      <c r="CIO53" s="16"/>
      <c r="CIP53" s="16"/>
      <c r="CIQ53" s="16"/>
      <c r="CIR53" s="16"/>
      <c r="CIS53" s="16"/>
      <c r="CIT53" s="16"/>
      <c r="CIU53" s="16"/>
      <c r="CIV53" s="16"/>
      <c r="CIW53" s="16"/>
      <c r="CIX53" s="16"/>
      <c r="CIY53" s="16"/>
      <c r="CIZ53" s="16"/>
      <c r="CJA53" s="16"/>
      <c r="CJB53" s="16"/>
      <c r="CJC53" s="16"/>
      <c r="CJD53" s="16"/>
      <c r="CJE53" s="16"/>
      <c r="CJF53" s="16"/>
      <c r="CJG53" s="16"/>
      <c r="CJH53" s="16"/>
      <c r="CJI53" s="16"/>
      <c r="CJJ53" s="16"/>
      <c r="CJK53" s="16"/>
      <c r="CJL53" s="16"/>
      <c r="CJM53" s="16"/>
      <c r="CJN53" s="16"/>
      <c r="CJO53" s="16"/>
      <c r="CJP53" s="16"/>
      <c r="CJQ53" s="16"/>
      <c r="CJR53" s="16"/>
      <c r="CJS53" s="16"/>
      <c r="CJT53" s="16"/>
      <c r="CJU53" s="16"/>
      <c r="CJV53" s="16"/>
      <c r="CJW53" s="16"/>
      <c r="CJX53" s="16"/>
      <c r="CJY53" s="16"/>
      <c r="CJZ53" s="16"/>
      <c r="CKA53" s="16"/>
      <c r="CKB53" s="16"/>
      <c r="CKC53" s="16"/>
      <c r="CKD53" s="16"/>
      <c r="CKE53" s="16"/>
      <c r="CKF53" s="16"/>
      <c r="CKG53" s="16"/>
      <c r="CKH53" s="16"/>
      <c r="CKI53" s="16"/>
      <c r="CKJ53" s="16"/>
      <c r="CKK53" s="16"/>
      <c r="CKL53" s="16"/>
      <c r="CKM53" s="16"/>
      <c r="CKN53" s="16"/>
      <c r="CKO53" s="16"/>
      <c r="CKP53" s="16"/>
      <c r="CKQ53" s="16"/>
      <c r="CKR53" s="16"/>
      <c r="CKS53" s="16"/>
      <c r="CKT53" s="16"/>
      <c r="CKU53" s="16"/>
      <c r="CKV53" s="16"/>
      <c r="CKW53" s="16"/>
      <c r="CKX53" s="16"/>
      <c r="CKY53" s="16"/>
      <c r="CKZ53" s="16"/>
      <c r="CLA53" s="16"/>
      <c r="CLB53" s="16"/>
      <c r="CLC53" s="16"/>
      <c r="CLD53" s="16"/>
      <c r="CLE53" s="16"/>
      <c r="CLF53" s="16"/>
      <c r="CLG53" s="16"/>
      <c r="CLH53" s="16"/>
      <c r="CLI53" s="16"/>
      <c r="CLJ53" s="16"/>
      <c r="CLK53" s="16"/>
      <c r="CLL53" s="16"/>
      <c r="CLM53" s="16"/>
      <c r="CLN53" s="16"/>
      <c r="CLO53" s="16"/>
      <c r="CLP53" s="16"/>
      <c r="CLQ53" s="16"/>
      <c r="CLR53" s="16"/>
      <c r="CLS53" s="16"/>
      <c r="CLT53" s="16"/>
      <c r="CLU53" s="16"/>
      <c r="CLV53" s="16"/>
      <c r="CLW53" s="16"/>
      <c r="CLX53" s="16"/>
      <c r="CLY53" s="16"/>
      <c r="CLZ53" s="16"/>
      <c r="CMA53" s="16"/>
      <c r="CMB53" s="16"/>
      <c r="CMC53" s="16"/>
      <c r="CMD53" s="16"/>
      <c r="CME53" s="16"/>
      <c r="CMF53" s="16"/>
      <c r="CMG53" s="16"/>
      <c r="CMH53" s="16"/>
      <c r="CMI53" s="16"/>
      <c r="CMJ53" s="16"/>
      <c r="CMK53" s="16"/>
      <c r="CML53" s="16"/>
      <c r="CMM53" s="16"/>
      <c r="CMN53" s="16"/>
      <c r="CMO53" s="16"/>
      <c r="CMP53" s="16"/>
      <c r="CMQ53" s="16"/>
      <c r="CMR53" s="16"/>
      <c r="CMS53" s="16"/>
      <c r="CMT53" s="16"/>
      <c r="CMU53" s="16"/>
      <c r="CMV53" s="16"/>
      <c r="CMW53" s="16"/>
      <c r="CMX53" s="16"/>
      <c r="CMY53" s="16"/>
      <c r="CMZ53" s="16"/>
      <c r="CNA53" s="16"/>
      <c r="CNB53" s="16"/>
      <c r="CNC53" s="16"/>
      <c r="CND53" s="16"/>
      <c r="CNE53" s="16"/>
      <c r="CNF53" s="16"/>
      <c r="CNG53" s="16"/>
      <c r="CNH53" s="16"/>
      <c r="CNI53" s="16"/>
      <c r="CNJ53" s="16"/>
      <c r="CNK53" s="16"/>
      <c r="CNL53" s="16"/>
      <c r="CNM53" s="16"/>
      <c r="CNN53" s="16"/>
      <c r="CNO53" s="16"/>
      <c r="CNP53" s="16"/>
      <c r="CNQ53" s="16"/>
      <c r="CNR53" s="16"/>
      <c r="CNS53" s="16"/>
      <c r="CNT53" s="16"/>
      <c r="CNU53" s="16"/>
      <c r="CNV53" s="16"/>
      <c r="CNW53" s="16"/>
      <c r="CNX53" s="16"/>
      <c r="CNY53" s="16"/>
      <c r="CNZ53" s="16"/>
      <c r="COA53" s="16"/>
      <c r="COB53" s="16"/>
      <c r="COC53" s="16"/>
      <c r="COD53" s="16"/>
      <c r="COE53" s="16"/>
      <c r="COF53" s="16"/>
      <c r="COG53" s="16"/>
      <c r="COH53" s="16"/>
      <c r="COI53" s="16"/>
      <c r="COJ53" s="16"/>
      <c r="COK53" s="16"/>
      <c r="COL53" s="16"/>
      <c r="COM53" s="16"/>
      <c r="CON53" s="16"/>
      <c r="COO53" s="16"/>
      <c r="COP53" s="16"/>
      <c r="COQ53" s="16"/>
      <c r="COR53" s="16"/>
      <c r="COS53" s="16"/>
      <c r="COT53" s="16"/>
      <c r="COU53" s="16"/>
      <c r="COV53" s="16"/>
      <c r="COW53" s="16"/>
      <c r="COX53" s="16"/>
      <c r="COY53" s="16"/>
      <c r="COZ53" s="16"/>
      <c r="CPA53" s="16"/>
      <c r="CPB53" s="16"/>
      <c r="CPC53" s="16"/>
      <c r="CPD53" s="16"/>
      <c r="CPE53" s="16"/>
      <c r="CPF53" s="16"/>
      <c r="CPG53" s="16"/>
      <c r="CPH53" s="16"/>
      <c r="CPI53" s="16"/>
      <c r="CPJ53" s="16"/>
      <c r="CPK53" s="16"/>
      <c r="CPL53" s="16"/>
      <c r="CPM53" s="16"/>
      <c r="CPN53" s="16"/>
      <c r="CPO53" s="16"/>
      <c r="CPP53" s="16"/>
      <c r="CPQ53" s="16"/>
      <c r="CPR53" s="16"/>
      <c r="CPS53" s="16"/>
      <c r="CPT53" s="16"/>
      <c r="CPU53" s="16"/>
      <c r="CPV53" s="16"/>
      <c r="CPW53" s="16"/>
      <c r="CPX53" s="16"/>
      <c r="CPY53" s="16"/>
      <c r="CPZ53" s="16"/>
      <c r="CQA53" s="16"/>
      <c r="CQB53" s="16"/>
      <c r="CQC53" s="16"/>
      <c r="CQD53" s="16"/>
      <c r="CQE53" s="16"/>
      <c r="CQF53" s="16"/>
      <c r="CQG53" s="16"/>
      <c r="CQH53" s="16"/>
      <c r="CQI53" s="16"/>
      <c r="CQJ53" s="16"/>
      <c r="CQK53" s="16"/>
      <c r="CQL53" s="16"/>
      <c r="CQM53" s="16"/>
      <c r="CQN53" s="16"/>
      <c r="CQO53" s="16"/>
      <c r="CQP53" s="16"/>
      <c r="CQQ53" s="16"/>
      <c r="CQR53" s="16"/>
      <c r="CQS53" s="16"/>
      <c r="CQT53" s="16"/>
      <c r="CQU53" s="16"/>
      <c r="CQV53" s="16"/>
      <c r="CQW53" s="16"/>
      <c r="CQX53" s="16"/>
      <c r="CQY53" s="16"/>
      <c r="CQZ53" s="16"/>
      <c r="CRA53" s="16"/>
      <c r="CRB53" s="16"/>
      <c r="CRC53" s="16"/>
      <c r="CRD53" s="16"/>
      <c r="CRE53" s="16"/>
      <c r="CRF53" s="16"/>
      <c r="CRG53" s="16"/>
      <c r="CRH53" s="16"/>
      <c r="CRI53" s="16"/>
      <c r="CRJ53" s="16"/>
      <c r="CRK53" s="16"/>
      <c r="CRL53" s="16"/>
      <c r="CRM53" s="16"/>
      <c r="CRN53" s="16"/>
      <c r="CRO53" s="16"/>
      <c r="CRP53" s="16"/>
      <c r="CRQ53" s="16"/>
      <c r="CRR53" s="16"/>
      <c r="CRS53" s="16"/>
      <c r="CRT53" s="16"/>
      <c r="CRU53" s="16"/>
      <c r="CRV53" s="16"/>
      <c r="CRW53" s="16"/>
      <c r="CRX53" s="16"/>
      <c r="CRY53" s="16"/>
      <c r="CRZ53" s="16"/>
      <c r="CSA53" s="16"/>
      <c r="CSB53" s="16"/>
      <c r="CSC53" s="16"/>
      <c r="CSD53" s="16"/>
      <c r="CSE53" s="16"/>
      <c r="CSF53" s="16"/>
      <c r="CSG53" s="16"/>
      <c r="CSH53" s="16"/>
      <c r="CSI53" s="16"/>
      <c r="CSJ53" s="16"/>
      <c r="CSK53" s="16"/>
      <c r="CSL53" s="16"/>
      <c r="CSM53" s="16"/>
      <c r="CSN53" s="16"/>
      <c r="CSO53" s="16"/>
      <c r="CSP53" s="16"/>
      <c r="CSQ53" s="16"/>
      <c r="CSR53" s="16"/>
      <c r="CSS53" s="16"/>
      <c r="CST53" s="16"/>
      <c r="CSU53" s="16"/>
      <c r="CSV53" s="16"/>
      <c r="CSW53" s="16"/>
      <c r="CSX53" s="16"/>
      <c r="CSY53" s="16"/>
      <c r="CSZ53" s="16"/>
      <c r="CTA53" s="16"/>
      <c r="CTB53" s="16"/>
      <c r="CTC53" s="16"/>
      <c r="CTD53" s="16"/>
      <c r="CTE53" s="16"/>
      <c r="CTF53" s="16"/>
      <c r="CTG53" s="16"/>
      <c r="CTH53" s="16"/>
      <c r="CTI53" s="16"/>
      <c r="CTJ53" s="16"/>
      <c r="CTK53" s="16"/>
      <c r="CTL53" s="16"/>
      <c r="CTM53" s="16"/>
      <c r="CTN53" s="16"/>
      <c r="CTO53" s="16"/>
      <c r="CTP53" s="16"/>
      <c r="CTQ53" s="16"/>
      <c r="CTR53" s="16"/>
      <c r="CTS53" s="16"/>
      <c r="CTT53" s="16"/>
      <c r="CTU53" s="16"/>
      <c r="CTV53" s="16"/>
      <c r="CTW53" s="16"/>
      <c r="CTX53" s="16"/>
      <c r="CTY53" s="16"/>
      <c r="CTZ53" s="16"/>
      <c r="CUA53" s="16"/>
      <c r="CUB53" s="16"/>
      <c r="CUC53" s="16"/>
      <c r="CUD53" s="16"/>
      <c r="CUE53" s="16"/>
      <c r="CUF53" s="16"/>
      <c r="CUG53" s="16"/>
      <c r="CUH53" s="16"/>
      <c r="CUI53" s="16"/>
      <c r="CUJ53" s="16"/>
      <c r="CUK53" s="16"/>
      <c r="CUL53" s="16"/>
      <c r="CUM53" s="16"/>
      <c r="CUN53" s="16"/>
      <c r="CUO53" s="16"/>
      <c r="CUP53" s="16"/>
      <c r="CUQ53" s="16"/>
      <c r="CUR53" s="16"/>
      <c r="CUS53" s="16"/>
      <c r="CUT53" s="16"/>
      <c r="CUU53" s="16"/>
      <c r="CUV53" s="16"/>
      <c r="CUW53" s="16"/>
      <c r="CUX53" s="16"/>
      <c r="CUY53" s="16"/>
      <c r="CUZ53" s="16"/>
      <c r="CVA53" s="16"/>
      <c r="CVB53" s="16"/>
      <c r="CVC53" s="16"/>
      <c r="CVD53" s="16"/>
      <c r="CVE53" s="16"/>
      <c r="CVF53" s="16"/>
      <c r="CVG53" s="16"/>
      <c r="CVH53" s="16"/>
      <c r="CVI53" s="16"/>
      <c r="CVJ53" s="16"/>
      <c r="CVK53" s="16"/>
      <c r="CVL53" s="16"/>
      <c r="CVM53" s="16"/>
      <c r="CVN53" s="16"/>
      <c r="CVO53" s="16"/>
      <c r="CVP53" s="16"/>
      <c r="CVQ53" s="16"/>
      <c r="CVR53" s="16"/>
      <c r="CVS53" s="16"/>
      <c r="CVT53" s="16"/>
      <c r="CVU53" s="16"/>
      <c r="CVV53" s="16"/>
      <c r="CVW53" s="16"/>
      <c r="CVX53" s="16"/>
      <c r="CVY53" s="16"/>
      <c r="CVZ53" s="16"/>
      <c r="CWA53" s="16"/>
      <c r="CWB53" s="16"/>
      <c r="CWC53" s="16"/>
      <c r="CWD53" s="16"/>
      <c r="CWE53" s="16"/>
      <c r="CWF53" s="16"/>
      <c r="CWG53" s="16"/>
      <c r="CWH53" s="16"/>
      <c r="CWI53" s="16"/>
      <c r="CWJ53" s="16"/>
      <c r="CWK53" s="16"/>
      <c r="CWL53" s="16"/>
      <c r="CWM53" s="16"/>
      <c r="CWN53" s="16"/>
      <c r="CWO53" s="16"/>
      <c r="CWP53" s="16"/>
      <c r="CWQ53" s="16"/>
      <c r="CWR53" s="16"/>
      <c r="CWS53" s="16"/>
      <c r="CWT53" s="16"/>
      <c r="CWU53" s="16"/>
      <c r="CWV53" s="16"/>
      <c r="CWW53" s="16"/>
      <c r="CWX53" s="16"/>
      <c r="CWY53" s="16"/>
      <c r="CWZ53" s="16"/>
      <c r="CXA53" s="16"/>
      <c r="CXB53" s="16"/>
      <c r="CXC53" s="16"/>
      <c r="CXD53" s="16"/>
      <c r="CXE53" s="16"/>
      <c r="CXF53" s="16"/>
      <c r="CXG53" s="16"/>
      <c r="CXH53" s="16"/>
      <c r="CXI53" s="16"/>
      <c r="CXJ53" s="16"/>
      <c r="CXK53" s="16"/>
      <c r="CXL53" s="16"/>
      <c r="CXM53" s="16"/>
      <c r="CXN53" s="16"/>
      <c r="CXO53" s="16"/>
      <c r="CXP53" s="16"/>
      <c r="CXQ53" s="16"/>
      <c r="CXR53" s="16"/>
      <c r="CXS53" s="16"/>
      <c r="CXT53" s="16"/>
      <c r="CXU53" s="16"/>
      <c r="CXV53" s="16"/>
      <c r="CXW53" s="16"/>
      <c r="CXX53" s="16"/>
      <c r="CXY53" s="16"/>
      <c r="CXZ53" s="16"/>
      <c r="CYA53" s="16"/>
      <c r="CYB53" s="16"/>
      <c r="CYC53" s="16"/>
      <c r="CYD53" s="16"/>
      <c r="CYE53" s="16"/>
      <c r="CYF53" s="16"/>
      <c r="CYG53" s="16"/>
      <c r="CYH53" s="16"/>
      <c r="CYI53" s="16"/>
      <c r="CYJ53" s="16"/>
      <c r="CYK53" s="16"/>
      <c r="CYL53" s="16"/>
      <c r="CYM53" s="16"/>
      <c r="CYN53" s="16"/>
      <c r="CYO53" s="16"/>
      <c r="CYP53" s="16"/>
      <c r="CYQ53" s="16"/>
      <c r="CYR53" s="16"/>
      <c r="CYS53" s="16"/>
      <c r="CYT53" s="16"/>
      <c r="CYU53" s="16"/>
      <c r="CYV53" s="16"/>
      <c r="CYW53" s="16"/>
      <c r="CYX53" s="16"/>
      <c r="CYY53" s="16"/>
      <c r="CYZ53" s="16"/>
      <c r="CZA53" s="16"/>
      <c r="CZB53" s="16"/>
      <c r="CZC53" s="16"/>
      <c r="CZD53" s="16"/>
      <c r="CZE53" s="16"/>
      <c r="CZF53" s="16"/>
      <c r="CZG53" s="16"/>
      <c r="CZH53" s="16"/>
      <c r="CZI53" s="16"/>
      <c r="CZJ53" s="16"/>
      <c r="CZK53" s="16"/>
      <c r="CZL53" s="16"/>
      <c r="CZM53" s="16"/>
      <c r="CZN53" s="16"/>
      <c r="CZO53" s="16"/>
      <c r="CZP53" s="16"/>
      <c r="CZQ53" s="16"/>
      <c r="CZR53" s="16"/>
      <c r="CZS53" s="16"/>
      <c r="CZT53" s="16"/>
      <c r="CZU53" s="16"/>
      <c r="CZV53" s="16"/>
      <c r="CZW53" s="16"/>
      <c r="CZX53" s="16"/>
      <c r="CZY53" s="16"/>
      <c r="CZZ53" s="16"/>
      <c r="DAA53" s="16"/>
      <c r="DAB53" s="16"/>
      <c r="DAC53" s="16"/>
      <c r="DAD53" s="16"/>
      <c r="DAE53" s="16"/>
      <c r="DAF53" s="16"/>
      <c r="DAG53" s="16"/>
      <c r="DAH53" s="16"/>
      <c r="DAI53" s="16"/>
      <c r="DAJ53" s="16"/>
      <c r="DAK53" s="16"/>
      <c r="DAL53" s="16"/>
      <c r="DAM53" s="16"/>
      <c r="DAN53" s="16"/>
      <c r="DAO53" s="16"/>
      <c r="DAP53" s="16"/>
      <c r="DAQ53" s="16"/>
      <c r="DAR53" s="16"/>
      <c r="DAS53" s="16"/>
      <c r="DAT53" s="16"/>
      <c r="DAU53" s="16"/>
      <c r="DAV53" s="16"/>
      <c r="DAW53" s="16"/>
      <c r="DAX53" s="16"/>
      <c r="DAY53" s="16"/>
      <c r="DAZ53" s="16"/>
      <c r="DBA53" s="16"/>
      <c r="DBB53" s="16"/>
      <c r="DBC53" s="16"/>
      <c r="DBD53" s="16"/>
      <c r="DBE53" s="16"/>
      <c r="DBF53" s="16"/>
      <c r="DBG53" s="16"/>
      <c r="DBH53" s="16"/>
      <c r="DBI53" s="16"/>
      <c r="DBJ53" s="16"/>
      <c r="DBK53" s="16"/>
      <c r="DBL53" s="16"/>
      <c r="DBM53" s="16"/>
      <c r="DBN53" s="16"/>
      <c r="DBO53" s="16"/>
      <c r="DBP53" s="16"/>
      <c r="DBQ53" s="16"/>
      <c r="DBR53" s="16"/>
      <c r="DBS53" s="16"/>
      <c r="DBT53" s="16"/>
      <c r="DBU53" s="16"/>
      <c r="DBV53" s="16"/>
      <c r="DBW53" s="16"/>
      <c r="DBX53" s="16"/>
      <c r="DBY53" s="16"/>
      <c r="DBZ53" s="16"/>
      <c r="DCA53" s="16"/>
      <c r="DCB53" s="16"/>
      <c r="DCC53" s="16"/>
      <c r="DCD53" s="16"/>
      <c r="DCE53" s="16"/>
      <c r="DCF53" s="16"/>
      <c r="DCG53" s="16"/>
      <c r="DCH53" s="16"/>
      <c r="DCI53" s="16"/>
      <c r="DCJ53" s="16"/>
      <c r="DCK53" s="16"/>
      <c r="DCL53" s="16"/>
      <c r="DCM53" s="16"/>
      <c r="DCN53" s="16"/>
      <c r="DCO53" s="16"/>
      <c r="DCP53" s="16"/>
      <c r="DCQ53" s="16"/>
      <c r="DCR53" s="16"/>
      <c r="DCS53" s="16"/>
      <c r="DCT53" s="16"/>
      <c r="DCU53" s="16"/>
      <c r="DCV53" s="16"/>
      <c r="DCW53" s="16"/>
      <c r="DCX53" s="16"/>
      <c r="DCY53" s="16"/>
      <c r="DCZ53" s="16"/>
      <c r="DDA53" s="16"/>
      <c r="DDB53" s="16"/>
      <c r="DDC53" s="16"/>
      <c r="DDD53" s="16"/>
      <c r="DDE53" s="16"/>
      <c r="DDF53" s="16"/>
      <c r="DDG53" s="16"/>
      <c r="DDH53" s="16"/>
      <c r="DDI53" s="16"/>
      <c r="DDJ53" s="16"/>
      <c r="DDK53" s="16"/>
      <c r="DDL53" s="16"/>
      <c r="DDM53" s="16"/>
      <c r="DDN53" s="16"/>
      <c r="DDO53" s="16"/>
      <c r="DDP53" s="16"/>
      <c r="DDQ53" s="16"/>
      <c r="DDR53" s="16"/>
      <c r="DDS53" s="16"/>
      <c r="DDT53" s="16"/>
      <c r="DDU53" s="16"/>
      <c r="DDV53" s="16"/>
      <c r="DDW53" s="16"/>
      <c r="DDX53" s="16"/>
      <c r="DDY53" s="16"/>
      <c r="DDZ53" s="16"/>
      <c r="DEA53" s="16"/>
      <c r="DEB53" s="16"/>
      <c r="DEC53" s="16"/>
      <c r="DED53" s="16"/>
      <c r="DEE53" s="16"/>
      <c r="DEF53" s="16"/>
      <c r="DEG53" s="16"/>
      <c r="DEH53" s="16"/>
      <c r="DEI53" s="16"/>
      <c r="DEJ53" s="16"/>
      <c r="DEK53" s="16"/>
      <c r="DEL53" s="16"/>
      <c r="DEM53" s="16"/>
      <c r="DEN53" s="16"/>
      <c r="DEO53" s="16"/>
      <c r="DEP53" s="16"/>
      <c r="DEQ53" s="16"/>
      <c r="DER53" s="16"/>
      <c r="DES53" s="16"/>
      <c r="DET53" s="16"/>
      <c r="DEU53" s="16"/>
      <c r="DEV53" s="16"/>
      <c r="DEW53" s="16"/>
      <c r="DEX53" s="16"/>
      <c r="DEY53" s="16"/>
      <c r="DEZ53" s="16"/>
      <c r="DFA53" s="16"/>
      <c r="DFB53" s="16"/>
      <c r="DFC53" s="16"/>
      <c r="DFD53" s="16"/>
      <c r="DFE53" s="16"/>
      <c r="DFF53" s="16"/>
      <c r="DFG53" s="16"/>
      <c r="DFH53" s="16"/>
      <c r="DFI53" s="16"/>
      <c r="DFJ53" s="16"/>
      <c r="DFK53" s="16"/>
      <c r="DFL53" s="16"/>
      <c r="DFM53" s="16"/>
      <c r="DFN53" s="16"/>
      <c r="DFO53" s="16"/>
      <c r="DFP53" s="16"/>
      <c r="DFQ53" s="16"/>
      <c r="DFR53" s="16"/>
      <c r="DFS53" s="16"/>
      <c r="DFT53" s="16"/>
      <c r="DFU53" s="16"/>
      <c r="DFV53" s="16"/>
      <c r="DFW53" s="16"/>
      <c r="DFX53" s="16"/>
      <c r="DFY53" s="16"/>
      <c r="DFZ53" s="16"/>
      <c r="DGA53" s="16"/>
      <c r="DGB53" s="16"/>
      <c r="DGC53" s="16"/>
      <c r="DGD53" s="16"/>
      <c r="DGE53" s="16"/>
      <c r="DGF53" s="16"/>
      <c r="DGG53" s="16"/>
      <c r="DGH53" s="16"/>
      <c r="DGI53" s="16"/>
      <c r="DGJ53" s="16"/>
      <c r="DGK53" s="16"/>
      <c r="DGL53" s="16"/>
      <c r="DGM53" s="16"/>
      <c r="DGN53" s="16"/>
      <c r="DGO53" s="16"/>
      <c r="DGP53" s="16"/>
      <c r="DGQ53" s="16"/>
      <c r="DGR53" s="16"/>
      <c r="DGS53" s="16"/>
      <c r="DGT53" s="16"/>
      <c r="DGU53" s="16"/>
      <c r="DGV53" s="16"/>
      <c r="DGW53" s="16"/>
      <c r="DGX53" s="16"/>
      <c r="DGY53" s="16"/>
      <c r="DGZ53" s="16"/>
      <c r="DHA53" s="16"/>
      <c r="DHB53" s="16"/>
      <c r="DHC53" s="16"/>
      <c r="DHD53" s="16"/>
      <c r="DHE53" s="16"/>
      <c r="DHF53" s="16"/>
      <c r="DHG53" s="16"/>
      <c r="DHH53" s="16"/>
      <c r="DHI53" s="16"/>
      <c r="DHJ53" s="16"/>
      <c r="DHK53" s="16"/>
      <c r="DHL53" s="16"/>
      <c r="DHM53" s="16"/>
      <c r="DHN53" s="16"/>
      <c r="DHO53" s="16"/>
      <c r="DHP53" s="16"/>
      <c r="DHQ53" s="16"/>
      <c r="DHR53" s="16"/>
      <c r="DHS53" s="16"/>
      <c r="DHT53" s="16"/>
      <c r="DHU53" s="16"/>
      <c r="DHV53" s="16"/>
      <c r="DHW53" s="16"/>
      <c r="DHX53" s="16"/>
      <c r="DHY53" s="16"/>
      <c r="DHZ53" s="16"/>
      <c r="DIA53" s="16"/>
      <c r="DIB53" s="16"/>
      <c r="DIC53" s="16"/>
      <c r="DID53" s="16"/>
      <c r="DIE53" s="16"/>
      <c r="DIF53" s="16"/>
      <c r="DIG53" s="16"/>
      <c r="DIH53" s="16"/>
      <c r="DII53" s="16"/>
      <c r="DIJ53" s="16"/>
      <c r="DIK53" s="16"/>
      <c r="DIL53" s="16"/>
      <c r="DIM53" s="16"/>
      <c r="DIN53" s="16"/>
      <c r="DIO53" s="16"/>
      <c r="DIP53" s="16"/>
      <c r="DIQ53" s="16"/>
      <c r="DIR53" s="16"/>
      <c r="DIS53" s="16"/>
      <c r="DIT53" s="16"/>
      <c r="DIU53" s="16"/>
      <c r="DIV53" s="16"/>
      <c r="DIW53" s="16"/>
      <c r="DIX53" s="16"/>
      <c r="DIY53" s="16"/>
      <c r="DIZ53" s="16"/>
      <c r="DJA53" s="16"/>
      <c r="DJB53" s="16"/>
      <c r="DJC53" s="16"/>
      <c r="DJD53" s="16"/>
      <c r="DJE53" s="16"/>
      <c r="DJF53" s="16"/>
      <c r="DJG53" s="16"/>
      <c r="DJH53" s="16"/>
      <c r="DJI53" s="16"/>
      <c r="DJJ53" s="16"/>
      <c r="DJK53" s="16"/>
      <c r="DJL53" s="16"/>
      <c r="DJM53" s="16"/>
      <c r="DJN53" s="16"/>
      <c r="DJO53" s="16"/>
      <c r="DJP53" s="16"/>
      <c r="DJQ53" s="16"/>
      <c r="DJR53" s="16"/>
      <c r="DJS53" s="16"/>
      <c r="DJT53" s="16"/>
      <c r="DJU53" s="16"/>
      <c r="DJV53" s="16"/>
      <c r="DJW53" s="16"/>
      <c r="DJX53" s="16"/>
      <c r="DJY53" s="16"/>
      <c r="DJZ53" s="16"/>
      <c r="DKA53" s="16"/>
      <c r="DKB53" s="16"/>
      <c r="DKC53" s="16"/>
      <c r="DKD53" s="16"/>
      <c r="DKE53" s="16"/>
      <c r="DKF53" s="16"/>
      <c r="DKG53" s="16"/>
      <c r="DKH53" s="16"/>
      <c r="DKI53" s="16"/>
      <c r="DKJ53" s="16"/>
      <c r="DKK53" s="16"/>
      <c r="DKL53" s="16"/>
      <c r="DKM53" s="16"/>
      <c r="DKN53" s="16"/>
      <c r="DKO53" s="16"/>
      <c r="DKP53" s="16"/>
      <c r="DKQ53" s="16"/>
      <c r="DKR53" s="16"/>
      <c r="DKS53" s="16"/>
      <c r="DKT53" s="16"/>
      <c r="DKU53" s="16"/>
      <c r="DKV53" s="16"/>
      <c r="DKW53" s="16"/>
      <c r="DKX53" s="16"/>
      <c r="DKY53" s="16"/>
      <c r="DKZ53" s="16"/>
      <c r="DLA53" s="16"/>
      <c r="DLB53" s="16"/>
      <c r="DLC53" s="16"/>
      <c r="DLD53" s="16"/>
      <c r="DLE53" s="16"/>
      <c r="DLF53" s="16"/>
      <c r="DLG53" s="16"/>
      <c r="DLH53" s="16"/>
      <c r="DLI53" s="16"/>
      <c r="DLJ53" s="16"/>
      <c r="DLK53" s="16"/>
      <c r="DLL53" s="16"/>
      <c r="DLM53" s="16"/>
      <c r="DLN53" s="16"/>
      <c r="DLO53" s="16"/>
      <c r="DLP53" s="16"/>
      <c r="DLQ53" s="16"/>
      <c r="DLR53" s="16"/>
      <c r="DLS53" s="16"/>
      <c r="DLT53" s="16"/>
      <c r="DLU53" s="16"/>
      <c r="DLV53" s="16"/>
      <c r="DLW53" s="16"/>
      <c r="DLX53" s="16"/>
      <c r="DLY53" s="16"/>
      <c r="DLZ53" s="16"/>
      <c r="DMA53" s="16"/>
      <c r="DMB53" s="16"/>
      <c r="DMC53" s="16"/>
      <c r="DMD53" s="16"/>
      <c r="DME53" s="16"/>
      <c r="DMF53" s="16"/>
      <c r="DMG53" s="16"/>
      <c r="DMH53" s="16"/>
      <c r="DMI53" s="16"/>
      <c r="DMJ53" s="16"/>
      <c r="DMK53" s="16"/>
      <c r="DML53" s="16"/>
      <c r="DMM53" s="16"/>
      <c r="DMN53" s="16"/>
      <c r="DMO53" s="16"/>
      <c r="DMP53" s="16"/>
      <c r="DMQ53" s="16"/>
      <c r="DMR53" s="16"/>
      <c r="DMS53" s="16"/>
      <c r="DMT53" s="16"/>
      <c r="DMU53" s="16"/>
      <c r="DMV53" s="16"/>
      <c r="DMW53" s="16"/>
      <c r="DMX53" s="16"/>
      <c r="DMY53" s="16"/>
      <c r="DMZ53" s="16"/>
      <c r="DNA53" s="16"/>
      <c r="DNB53" s="16"/>
      <c r="DNC53" s="16"/>
      <c r="DND53" s="16"/>
      <c r="DNE53" s="16"/>
      <c r="DNF53" s="16"/>
      <c r="DNG53" s="16"/>
      <c r="DNH53" s="16"/>
      <c r="DNI53" s="16"/>
      <c r="DNJ53" s="16"/>
      <c r="DNK53" s="16"/>
      <c r="DNL53" s="16"/>
      <c r="DNM53" s="16"/>
      <c r="DNN53" s="16"/>
      <c r="DNO53" s="16"/>
      <c r="DNP53" s="16"/>
      <c r="DNQ53" s="16"/>
      <c r="DNR53" s="16"/>
      <c r="DNS53" s="16"/>
      <c r="DNT53" s="16"/>
      <c r="DNU53" s="16"/>
      <c r="DNV53" s="16"/>
      <c r="DNW53" s="16"/>
      <c r="DNX53" s="16"/>
      <c r="DNY53" s="16"/>
      <c r="DNZ53" s="16"/>
      <c r="DOA53" s="16"/>
      <c r="DOB53" s="16"/>
      <c r="DOC53" s="16"/>
      <c r="DOD53" s="16"/>
      <c r="DOE53" s="16"/>
      <c r="DOF53" s="16"/>
      <c r="DOG53" s="16"/>
      <c r="DOH53" s="16"/>
      <c r="DOI53" s="16"/>
      <c r="DOJ53" s="16"/>
      <c r="DOK53" s="16"/>
      <c r="DOL53" s="16"/>
      <c r="DOM53" s="16"/>
      <c r="DON53" s="16"/>
      <c r="DOO53" s="16"/>
      <c r="DOP53" s="16"/>
      <c r="DOQ53" s="16"/>
      <c r="DOR53" s="16"/>
      <c r="DOS53" s="16"/>
      <c r="DOT53" s="16"/>
      <c r="DOU53" s="16"/>
      <c r="DOV53" s="16"/>
      <c r="DOW53" s="16"/>
      <c r="DOX53" s="16"/>
      <c r="DOY53" s="16"/>
      <c r="DOZ53" s="16"/>
      <c r="DPA53" s="16"/>
      <c r="DPB53" s="16"/>
      <c r="DPC53" s="16"/>
      <c r="DPD53" s="16"/>
      <c r="DPE53" s="16"/>
      <c r="DPF53" s="16"/>
      <c r="DPG53" s="16"/>
      <c r="DPH53" s="16"/>
      <c r="DPI53" s="16"/>
      <c r="DPJ53" s="16"/>
      <c r="DPK53" s="16"/>
      <c r="DPL53" s="16"/>
      <c r="DPM53" s="16"/>
      <c r="DPN53" s="16"/>
      <c r="DPO53" s="16"/>
      <c r="DPP53" s="16"/>
      <c r="DPQ53" s="16"/>
      <c r="DPR53" s="16"/>
      <c r="DPS53" s="16"/>
      <c r="DPT53" s="16"/>
      <c r="DPU53" s="16"/>
      <c r="DPV53" s="16"/>
      <c r="DPW53" s="16"/>
      <c r="DPX53" s="16"/>
      <c r="DPY53" s="16"/>
      <c r="DPZ53" s="16"/>
      <c r="DQA53" s="16"/>
      <c r="DQB53" s="16"/>
      <c r="DQC53" s="16"/>
      <c r="DQD53" s="16"/>
      <c r="DQE53" s="16"/>
      <c r="DQF53" s="16"/>
      <c r="DQG53" s="16"/>
      <c r="DQH53" s="16"/>
      <c r="DQI53" s="16"/>
      <c r="DQJ53" s="16"/>
      <c r="DQK53" s="16"/>
      <c r="DQL53" s="16"/>
      <c r="DQM53" s="16"/>
      <c r="DQN53" s="16"/>
      <c r="DQO53" s="16"/>
      <c r="DQP53" s="16"/>
      <c r="DQQ53" s="16"/>
      <c r="DQR53" s="16"/>
      <c r="DQS53" s="16"/>
      <c r="DQT53" s="16"/>
      <c r="DQU53" s="16"/>
      <c r="DQV53" s="16"/>
      <c r="DQW53" s="16"/>
      <c r="DQX53" s="16"/>
      <c r="DQY53" s="16"/>
      <c r="DQZ53" s="16"/>
      <c r="DRA53" s="16"/>
      <c r="DRB53" s="16"/>
      <c r="DRC53" s="16"/>
      <c r="DRD53" s="16"/>
      <c r="DRE53" s="16"/>
      <c r="DRF53" s="16"/>
      <c r="DRG53" s="16"/>
      <c r="DRH53" s="16"/>
      <c r="DRI53" s="16"/>
      <c r="DRJ53" s="16"/>
      <c r="DRK53" s="16"/>
      <c r="DRL53" s="16"/>
      <c r="DRM53" s="16"/>
      <c r="DRN53" s="16"/>
      <c r="DRO53" s="16"/>
      <c r="DRP53" s="16"/>
      <c r="DRQ53" s="16"/>
      <c r="DRR53" s="16"/>
      <c r="DRS53" s="16"/>
      <c r="DRT53" s="16"/>
      <c r="DRU53" s="16"/>
      <c r="DRV53" s="16"/>
      <c r="DRW53" s="16"/>
      <c r="DRX53" s="16"/>
      <c r="DRY53" s="16"/>
      <c r="DRZ53" s="16"/>
      <c r="DSA53" s="16"/>
      <c r="DSB53" s="16"/>
      <c r="DSC53" s="16"/>
      <c r="DSD53" s="16"/>
      <c r="DSE53" s="16"/>
      <c r="DSF53" s="16"/>
      <c r="DSG53" s="16"/>
      <c r="DSH53" s="16"/>
      <c r="DSI53" s="16"/>
      <c r="DSJ53" s="16"/>
      <c r="DSK53" s="16"/>
      <c r="DSL53" s="16"/>
      <c r="DSM53" s="16"/>
      <c r="DSN53" s="16"/>
      <c r="DSO53" s="16"/>
      <c r="DSP53" s="16"/>
      <c r="DSQ53" s="16"/>
      <c r="DSR53" s="16"/>
      <c r="DSS53" s="16"/>
      <c r="DST53" s="16"/>
      <c r="DSU53" s="16"/>
      <c r="DSV53" s="16"/>
      <c r="DSW53" s="16"/>
      <c r="DSX53" s="16"/>
      <c r="DSY53" s="16"/>
      <c r="DSZ53" s="16"/>
      <c r="DTA53" s="16"/>
      <c r="DTB53" s="16"/>
      <c r="DTC53" s="16"/>
      <c r="DTD53" s="16"/>
      <c r="DTE53" s="16"/>
      <c r="DTF53" s="16"/>
      <c r="DTG53" s="16"/>
      <c r="DTH53" s="16"/>
      <c r="DTI53" s="16"/>
      <c r="DTJ53" s="16"/>
      <c r="DTK53" s="16"/>
      <c r="DTL53" s="16"/>
      <c r="DTM53" s="16"/>
      <c r="DTN53" s="16"/>
      <c r="DTO53" s="16"/>
      <c r="DTP53" s="16"/>
      <c r="DTQ53" s="16"/>
      <c r="DTR53" s="16"/>
      <c r="DTS53" s="16"/>
      <c r="DTT53" s="16"/>
      <c r="DTU53" s="16"/>
      <c r="DTV53" s="16"/>
      <c r="DTW53" s="16"/>
      <c r="DTX53" s="16"/>
      <c r="DTY53" s="16"/>
      <c r="DTZ53" s="16"/>
      <c r="DUA53" s="16"/>
      <c r="DUB53" s="16"/>
      <c r="DUC53" s="16"/>
      <c r="DUD53" s="16"/>
      <c r="DUE53" s="16"/>
      <c r="DUF53" s="16"/>
      <c r="DUG53" s="16"/>
      <c r="DUH53" s="16"/>
      <c r="DUI53" s="16"/>
      <c r="DUJ53" s="16"/>
      <c r="DUK53" s="16"/>
      <c r="DUL53" s="16"/>
      <c r="DUM53" s="16"/>
      <c r="DUN53" s="16"/>
      <c r="DUO53" s="16"/>
      <c r="DUP53" s="16"/>
      <c r="DUQ53" s="16"/>
      <c r="DUR53" s="16"/>
      <c r="DUS53" s="16"/>
      <c r="DUT53" s="16"/>
      <c r="DUU53" s="16"/>
      <c r="DUV53" s="16"/>
      <c r="DUW53" s="16"/>
      <c r="DUX53" s="16"/>
      <c r="DUY53" s="16"/>
      <c r="DUZ53" s="16"/>
      <c r="DVA53" s="16"/>
      <c r="DVB53" s="16"/>
      <c r="DVC53" s="16"/>
      <c r="DVD53" s="16"/>
      <c r="DVE53" s="16"/>
      <c r="DVF53" s="16"/>
      <c r="DVG53" s="16"/>
      <c r="DVH53" s="16"/>
      <c r="DVI53" s="16"/>
      <c r="DVJ53" s="16"/>
      <c r="DVK53" s="16"/>
      <c r="DVL53" s="16"/>
      <c r="DVM53" s="16"/>
      <c r="DVN53" s="16"/>
      <c r="DVO53" s="16"/>
      <c r="DVP53" s="16"/>
      <c r="DVQ53" s="16"/>
      <c r="DVR53" s="16"/>
      <c r="DVS53" s="16"/>
      <c r="DVT53" s="16"/>
      <c r="DVU53" s="16"/>
      <c r="DVV53" s="16"/>
      <c r="DVW53" s="16"/>
      <c r="DVX53" s="16"/>
      <c r="DVY53" s="16"/>
      <c r="DVZ53" s="16"/>
      <c r="DWA53" s="16"/>
      <c r="DWB53" s="16"/>
      <c r="DWC53" s="16"/>
      <c r="DWD53" s="16"/>
      <c r="DWE53" s="16"/>
      <c r="DWF53" s="16"/>
      <c r="DWG53" s="16"/>
      <c r="DWH53" s="16"/>
      <c r="DWI53" s="16"/>
      <c r="DWJ53" s="16"/>
      <c r="DWK53" s="16"/>
      <c r="DWL53" s="16"/>
      <c r="DWM53" s="16"/>
      <c r="DWN53" s="16"/>
      <c r="DWO53" s="16"/>
      <c r="DWP53" s="16"/>
      <c r="DWQ53" s="16"/>
      <c r="DWR53" s="16"/>
      <c r="DWS53" s="16"/>
      <c r="DWT53" s="16"/>
      <c r="DWU53" s="16"/>
      <c r="DWV53" s="16"/>
      <c r="DWW53" s="16"/>
      <c r="DWX53" s="16"/>
      <c r="DWY53" s="16"/>
      <c r="DWZ53" s="16"/>
      <c r="DXA53" s="16"/>
      <c r="DXB53" s="16"/>
      <c r="DXC53" s="16"/>
      <c r="DXD53" s="16"/>
      <c r="DXE53" s="16"/>
      <c r="DXF53" s="16"/>
      <c r="DXG53" s="16"/>
      <c r="DXH53" s="16"/>
      <c r="DXI53" s="16"/>
      <c r="DXJ53" s="16"/>
      <c r="DXK53" s="16"/>
      <c r="DXL53" s="16"/>
      <c r="DXM53" s="16"/>
      <c r="DXN53" s="16"/>
      <c r="DXO53" s="16"/>
      <c r="DXP53" s="16"/>
      <c r="DXQ53" s="16"/>
      <c r="DXR53" s="16"/>
      <c r="DXS53" s="16"/>
      <c r="DXT53" s="16"/>
      <c r="DXU53" s="16"/>
      <c r="DXV53" s="16"/>
      <c r="DXW53" s="16"/>
      <c r="DXX53" s="16"/>
      <c r="DXY53" s="16"/>
      <c r="DXZ53" s="16"/>
      <c r="DYA53" s="16"/>
      <c r="DYB53" s="16"/>
      <c r="DYC53" s="16"/>
      <c r="DYD53" s="16"/>
      <c r="DYE53" s="16"/>
      <c r="DYF53" s="16"/>
      <c r="DYG53" s="16"/>
      <c r="DYH53" s="16"/>
      <c r="DYI53" s="16"/>
      <c r="DYJ53" s="16"/>
      <c r="DYK53" s="16"/>
      <c r="DYL53" s="16"/>
      <c r="DYM53" s="16"/>
      <c r="DYN53" s="16"/>
      <c r="DYO53" s="16"/>
      <c r="DYP53" s="16"/>
      <c r="DYQ53" s="16"/>
      <c r="DYR53" s="16"/>
      <c r="DYS53" s="16"/>
      <c r="DYT53" s="16"/>
      <c r="DYU53" s="16"/>
      <c r="DYV53" s="16"/>
      <c r="DYW53" s="16"/>
      <c r="DYX53" s="16"/>
      <c r="DYY53" s="16"/>
      <c r="DYZ53" s="16"/>
      <c r="DZA53" s="16"/>
      <c r="DZB53" s="16"/>
      <c r="DZC53" s="16"/>
      <c r="DZD53" s="16"/>
      <c r="DZE53" s="16"/>
      <c r="DZF53" s="16"/>
      <c r="DZG53" s="16"/>
      <c r="DZH53" s="16"/>
      <c r="DZI53" s="16"/>
      <c r="DZJ53" s="16"/>
      <c r="DZK53" s="16"/>
      <c r="DZL53" s="16"/>
      <c r="DZM53" s="16"/>
      <c r="DZN53" s="16"/>
      <c r="DZO53" s="16"/>
      <c r="DZP53" s="16"/>
      <c r="DZQ53" s="16"/>
      <c r="DZR53" s="16"/>
      <c r="DZS53" s="16"/>
      <c r="DZT53" s="16"/>
      <c r="DZU53" s="16"/>
      <c r="DZV53" s="16"/>
      <c r="DZW53" s="16"/>
      <c r="DZX53" s="16"/>
      <c r="DZY53" s="16"/>
      <c r="DZZ53" s="16"/>
      <c r="EAA53" s="16"/>
      <c r="EAB53" s="16"/>
      <c r="EAC53" s="16"/>
      <c r="EAD53" s="16"/>
      <c r="EAE53" s="16"/>
      <c r="EAF53" s="16"/>
      <c r="EAG53" s="16"/>
      <c r="EAH53" s="16"/>
      <c r="EAI53" s="16"/>
      <c r="EAJ53" s="16"/>
      <c r="EAK53" s="16"/>
      <c r="EAL53" s="16"/>
      <c r="EAM53" s="16"/>
      <c r="EAN53" s="16"/>
      <c r="EAO53" s="16"/>
      <c r="EAP53" s="16"/>
      <c r="EAQ53" s="16"/>
      <c r="EAR53" s="16"/>
      <c r="EAS53" s="16"/>
      <c r="EAT53" s="16"/>
      <c r="EAU53" s="16"/>
      <c r="EAV53" s="16"/>
      <c r="EAW53" s="16"/>
      <c r="EAX53" s="16"/>
      <c r="EAY53" s="16"/>
      <c r="EAZ53" s="16"/>
      <c r="EBA53" s="16"/>
      <c r="EBB53" s="16"/>
      <c r="EBC53" s="16"/>
      <c r="EBD53" s="16"/>
      <c r="EBE53" s="16"/>
      <c r="EBF53" s="16"/>
      <c r="EBG53" s="16"/>
      <c r="EBH53" s="16"/>
      <c r="EBI53" s="16"/>
      <c r="EBJ53" s="16"/>
      <c r="EBK53" s="16"/>
      <c r="EBL53" s="16"/>
      <c r="EBM53" s="16"/>
      <c r="EBN53" s="16"/>
      <c r="EBO53" s="16"/>
      <c r="EBP53" s="16"/>
      <c r="EBQ53" s="16"/>
      <c r="EBR53" s="16"/>
      <c r="EBS53" s="16"/>
      <c r="EBT53" s="16"/>
      <c r="EBU53" s="16"/>
      <c r="EBV53" s="16"/>
      <c r="EBW53" s="16"/>
      <c r="EBX53" s="16"/>
      <c r="EBY53" s="16"/>
      <c r="EBZ53" s="16"/>
      <c r="ECA53" s="16"/>
      <c r="ECB53" s="16"/>
      <c r="ECC53" s="16"/>
      <c r="ECD53" s="16"/>
      <c r="ECE53" s="16"/>
      <c r="ECF53" s="16"/>
      <c r="ECG53" s="16"/>
      <c r="ECH53" s="16"/>
      <c r="ECI53" s="16"/>
      <c r="ECJ53" s="16"/>
      <c r="ECK53" s="16"/>
      <c r="ECL53" s="16"/>
      <c r="ECM53" s="16"/>
      <c r="ECN53" s="16"/>
      <c r="ECO53" s="16"/>
      <c r="ECP53" s="16"/>
      <c r="ECQ53" s="16"/>
      <c r="ECR53" s="16"/>
      <c r="ECS53" s="16"/>
      <c r="ECT53" s="16"/>
      <c r="ECU53" s="16"/>
      <c r="ECV53" s="16"/>
      <c r="ECW53" s="16"/>
      <c r="ECX53" s="16"/>
      <c r="ECY53" s="16"/>
      <c r="ECZ53" s="16"/>
      <c r="EDA53" s="16"/>
      <c r="EDB53" s="16"/>
      <c r="EDC53" s="16"/>
      <c r="EDD53" s="16"/>
      <c r="EDE53" s="16"/>
      <c r="EDF53" s="16"/>
      <c r="EDG53" s="16"/>
      <c r="EDH53" s="16"/>
      <c r="EDI53" s="16"/>
      <c r="EDJ53" s="16"/>
      <c r="EDK53" s="16"/>
      <c r="EDL53" s="16"/>
      <c r="EDM53" s="16"/>
      <c r="EDN53" s="16"/>
      <c r="EDO53" s="16"/>
      <c r="EDP53" s="16"/>
      <c r="EDQ53" s="16"/>
      <c r="EDR53" s="16"/>
      <c r="EDS53" s="16"/>
      <c r="EDT53" s="16"/>
      <c r="EDU53" s="16"/>
      <c r="EDV53" s="16"/>
      <c r="EDW53" s="16"/>
      <c r="EDX53" s="16"/>
      <c r="EDY53" s="16"/>
      <c r="EDZ53" s="16"/>
      <c r="EEA53" s="16"/>
      <c r="EEB53" s="16"/>
      <c r="EEC53" s="16"/>
      <c r="EED53" s="16"/>
      <c r="EEE53" s="16"/>
      <c r="EEF53" s="16"/>
      <c r="EEG53" s="16"/>
      <c r="EEH53" s="16"/>
      <c r="EEI53" s="16"/>
      <c r="EEJ53" s="16"/>
      <c r="EEK53" s="16"/>
      <c r="EEL53" s="16"/>
      <c r="EEM53" s="16"/>
      <c r="EEN53" s="16"/>
      <c r="EEO53" s="16"/>
      <c r="EEP53" s="16"/>
      <c r="EEQ53" s="16"/>
      <c r="EER53" s="16"/>
      <c r="EES53" s="16"/>
      <c r="EET53" s="16"/>
      <c r="EEU53" s="16"/>
      <c r="EEV53" s="16"/>
      <c r="EEW53" s="16"/>
      <c r="EEX53" s="16"/>
      <c r="EEY53" s="16"/>
      <c r="EEZ53" s="16"/>
      <c r="EFA53" s="16"/>
      <c r="EFB53" s="16"/>
      <c r="EFC53" s="16"/>
      <c r="EFD53" s="16"/>
      <c r="EFE53" s="16"/>
      <c r="EFF53" s="16"/>
      <c r="EFG53" s="16"/>
      <c r="EFH53" s="16"/>
      <c r="EFI53" s="16"/>
      <c r="EFJ53" s="16"/>
      <c r="EFK53" s="16"/>
      <c r="EFL53" s="16"/>
      <c r="EFM53" s="16"/>
      <c r="EFN53" s="16"/>
      <c r="EFO53" s="16"/>
      <c r="EFP53" s="16"/>
      <c r="EFQ53" s="16"/>
      <c r="EFR53" s="16"/>
      <c r="EFS53" s="16"/>
      <c r="EFT53" s="16"/>
      <c r="EFU53" s="16"/>
      <c r="EFV53" s="16"/>
      <c r="EFW53" s="16"/>
      <c r="EFX53" s="16"/>
      <c r="EFY53" s="16"/>
      <c r="EFZ53" s="16"/>
      <c r="EGA53" s="16"/>
      <c r="EGB53" s="16"/>
      <c r="EGC53" s="16"/>
      <c r="EGD53" s="16"/>
      <c r="EGE53" s="16"/>
      <c r="EGF53" s="16"/>
      <c r="EGG53" s="16"/>
      <c r="EGH53" s="16"/>
      <c r="EGI53" s="16"/>
      <c r="EGJ53" s="16"/>
      <c r="EGK53" s="16"/>
      <c r="EGL53" s="16"/>
      <c r="EGM53" s="16"/>
      <c r="EGN53" s="16"/>
      <c r="EGO53" s="16"/>
      <c r="EGP53" s="16"/>
      <c r="EGQ53" s="16"/>
      <c r="EGR53" s="16"/>
      <c r="EGS53" s="16"/>
      <c r="EGT53" s="16"/>
      <c r="EGU53" s="16"/>
      <c r="EGV53" s="16"/>
      <c r="EGW53" s="16"/>
      <c r="EGX53" s="16"/>
      <c r="EGY53" s="16"/>
      <c r="EGZ53" s="16"/>
      <c r="EHA53" s="16"/>
      <c r="EHB53" s="16"/>
      <c r="EHC53" s="16"/>
      <c r="EHD53" s="16"/>
      <c r="EHE53" s="16"/>
      <c r="EHF53" s="16"/>
      <c r="EHG53" s="16"/>
      <c r="EHH53" s="16"/>
      <c r="EHI53" s="16"/>
      <c r="EHJ53" s="16"/>
      <c r="EHK53" s="16"/>
      <c r="EHL53" s="16"/>
      <c r="EHM53" s="16"/>
      <c r="EHN53" s="16"/>
      <c r="EHO53" s="16"/>
      <c r="EHP53" s="16"/>
      <c r="EHQ53" s="16"/>
      <c r="EHR53" s="16"/>
      <c r="EHS53" s="16"/>
      <c r="EHT53" s="16"/>
      <c r="EHU53" s="16"/>
      <c r="EHV53" s="16"/>
      <c r="EHW53" s="16"/>
      <c r="EHX53" s="16"/>
      <c r="EHY53" s="16"/>
      <c r="EHZ53" s="16"/>
      <c r="EIA53" s="16"/>
      <c r="EIB53" s="16"/>
      <c r="EIC53" s="16"/>
      <c r="EID53" s="16"/>
      <c r="EIE53" s="16"/>
      <c r="EIF53" s="16"/>
      <c r="EIG53" s="16"/>
      <c r="EIH53" s="16"/>
      <c r="EII53" s="16"/>
      <c r="EIJ53" s="16"/>
      <c r="EIK53" s="16"/>
      <c r="EIL53" s="16"/>
      <c r="EIM53" s="16"/>
      <c r="EIN53" s="16"/>
      <c r="EIO53" s="16"/>
      <c r="EIP53" s="16"/>
      <c r="EIQ53" s="16"/>
      <c r="EIR53" s="16"/>
      <c r="EIS53" s="16"/>
      <c r="EIT53" s="16"/>
      <c r="EIU53" s="16"/>
      <c r="EIV53" s="16"/>
      <c r="EIW53" s="16"/>
      <c r="EIX53" s="16"/>
      <c r="EIY53" s="16"/>
      <c r="EIZ53" s="16"/>
      <c r="EJA53" s="16"/>
      <c r="EJB53" s="16"/>
      <c r="EJC53" s="16"/>
      <c r="EJD53" s="16"/>
      <c r="EJE53" s="16"/>
      <c r="EJF53" s="16"/>
      <c r="EJG53" s="16"/>
      <c r="EJH53" s="16"/>
      <c r="EJI53" s="16"/>
      <c r="EJJ53" s="16"/>
      <c r="EJK53" s="16"/>
      <c r="EJL53" s="16"/>
      <c r="EJM53" s="16"/>
      <c r="EJN53" s="16"/>
      <c r="EJO53" s="16"/>
      <c r="EJP53" s="16"/>
      <c r="EJQ53" s="16"/>
      <c r="EJR53" s="16"/>
      <c r="EJS53" s="16"/>
      <c r="EJT53" s="16"/>
      <c r="EJU53" s="16"/>
      <c r="EJV53" s="16"/>
      <c r="EJW53" s="16"/>
      <c r="EJX53" s="16"/>
      <c r="EJY53" s="16"/>
      <c r="EJZ53" s="16"/>
      <c r="EKA53" s="16"/>
      <c r="EKB53" s="16"/>
      <c r="EKC53" s="16"/>
      <c r="EKD53" s="16"/>
      <c r="EKE53" s="16"/>
      <c r="EKF53" s="16"/>
      <c r="EKG53" s="16"/>
      <c r="EKH53" s="16"/>
      <c r="EKI53" s="16"/>
      <c r="EKJ53" s="16"/>
      <c r="EKK53" s="16"/>
      <c r="EKL53" s="16"/>
      <c r="EKM53" s="16"/>
      <c r="EKN53" s="16"/>
      <c r="EKO53" s="16"/>
      <c r="EKP53" s="16"/>
      <c r="EKQ53" s="16"/>
      <c r="EKR53" s="16"/>
      <c r="EKS53" s="16"/>
      <c r="EKT53" s="16"/>
      <c r="EKU53" s="16"/>
      <c r="EKV53" s="16"/>
      <c r="EKW53" s="16"/>
      <c r="EKX53" s="16"/>
      <c r="EKY53" s="16"/>
      <c r="EKZ53" s="16"/>
      <c r="ELA53" s="16"/>
      <c r="ELB53" s="16"/>
      <c r="ELC53" s="16"/>
      <c r="ELD53" s="16"/>
      <c r="ELE53" s="16"/>
      <c r="ELF53" s="16"/>
      <c r="ELG53" s="16"/>
      <c r="ELH53" s="16"/>
      <c r="ELI53" s="16"/>
      <c r="ELJ53" s="16"/>
      <c r="ELK53" s="16"/>
      <c r="ELL53" s="16"/>
      <c r="ELM53" s="16"/>
      <c r="ELN53" s="16"/>
      <c r="ELO53" s="16"/>
      <c r="ELP53" s="16"/>
      <c r="ELQ53" s="16"/>
      <c r="ELR53" s="16"/>
      <c r="ELS53" s="16"/>
      <c r="ELT53" s="16"/>
      <c r="ELU53" s="16"/>
      <c r="ELV53" s="16"/>
      <c r="ELW53" s="16"/>
      <c r="ELX53" s="16"/>
      <c r="ELY53" s="16"/>
      <c r="ELZ53" s="16"/>
      <c r="EMA53" s="16"/>
      <c r="EMB53" s="16"/>
      <c r="EMC53" s="16"/>
      <c r="EMD53" s="16"/>
      <c r="EME53" s="16"/>
      <c r="EMF53" s="16"/>
      <c r="EMG53" s="16"/>
      <c r="EMH53" s="16"/>
      <c r="EMI53" s="16"/>
      <c r="EMJ53" s="16"/>
      <c r="EMK53" s="16"/>
      <c r="EML53" s="16"/>
      <c r="EMM53" s="16"/>
      <c r="EMN53" s="16"/>
      <c r="EMO53" s="16"/>
      <c r="EMP53" s="16"/>
      <c r="EMQ53" s="16"/>
      <c r="EMR53" s="16"/>
      <c r="EMS53" s="16"/>
      <c r="EMT53" s="16"/>
      <c r="EMU53" s="16"/>
      <c r="EMV53" s="16"/>
      <c r="EMW53" s="16"/>
      <c r="EMX53" s="16"/>
      <c r="EMY53" s="16"/>
      <c r="EMZ53" s="16"/>
      <c r="ENA53" s="16"/>
      <c r="ENB53" s="16"/>
      <c r="ENC53" s="16"/>
      <c r="END53" s="16"/>
      <c r="ENE53" s="16"/>
      <c r="ENF53" s="16"/>
      <c r="ENG53" s="16"/>
      <c r="ENH53" s="16"/>
      <c r="ENI53" s="16"/>
      <c r="ENJ53" s="16"/>
      <c r="ENK53" s="16"/>
      <c r="ENL53" s="16"/>
      <c r="ENM53" s="16"/>
      <c r="ENN53" s="16"/>
      <c r="ENO53" s="16"/>
      <c r="ENP53" s="16"/>
      <c r="ENQ53" s="16"/>
      <c r="ENR53" s="16"/>
      <c r="ENS53" s="16"/>
      <c r="ENT53" s="16"/>
      <c r="ENU53" s="16"/>
      <c r="ENV53" s="16"/>
      <c r="ENW53" s="16"/>
      <c r="ENX53" s="16"/>
      <c r="ENY53" s="16"/>
      <c r="ENZ53" s="16"/>
      <c r="EOA53" s="16"/>
      <c r="EOB53" s="16"/>
      <c r="EOC53" s="16"/>
      <c r="EOD53" s="16"/>
      <c r="EOE53" s="16"/>
      <c r="EOF53" s="16"/>
      <c r="EOG53" s="16"/>
      <c r="EOH53" s="16"/>
      <c r="EOI53" s="16"/>
      <c r="EOJ53" s="16"/>
      <c r="EOK53" s="16"/>
      <c r="EOL53" s="16"/>
      <c r="EOM53" s="16"/>
      <c r="EON53" s="16"/>
      <c r="EOO53" s="16"/>
      <c r="EOP53" s="16"/>
      <c r="EOQ53" s="16"/>
      <c r="EOR53" s="16"/>
      <c r="EOS53" s="16"/>
      <c r="EOT53" s="16"/>
      <c r="EOU53" s="16"/>
      <c r="EOV53" s="16"/>
      <c r="EOW53" s="16"/>
      <c r="EOX53" s="16"/>
      <c r="EOY53" s="16"/>
      <c r="EOZ53" s="16"/>
      <c r="EPA53" s="16"/>
      <c r="EPB53" s="16"/>
      <c r="EPC53" s="16"/>
      <c r="EPD53" s="16"/>
      <c r="EPE53" s="16"/>
      <c r="EPF53" s="16"/>
      <c r="EPG53" s="16"/>
      <c r="EPH53" s="16"/>
      <c r="EPI53" s="16"/>
      <c r="EPJ53" s="16"/>
      <c r="EPK53" s="16"/>
      <c r="EPL53" s="16"/>
      <c r="EPM53" s="16"/>
      <c r="EPN53" s="16"/>
      <c r="EPO53" s="16"/>
      <c r="EPP53" s="16"/>
      <c r="EPQ53" s="16"/>
      <c r="EPR53" s="16"/>
      <c r="EPS53" s="16"/>
      <c r="EPT53" s="16"/>
      <c r="EPU53" s="16"/>
      <c r="EPV53" s="16"/>
      <c r="EPW53" s="16"/>
      <c r="EPX53" s="16"/>
      <c r="EPY53" s="16"/>
      <c r="EPZ53" s="16"/>
      <c r="EQA53" s="16"/>
      <c r="EQB53" s="16"/>
      <c r="EQC53" s="16"/>
      <c r="EQD53" s="16"/>
      <c r="EQE53" s="16"/>
      <c r="EQF53" s="16"/>
      <c r="EQG53" s="16"/>
      <c r="EQH53" s="16"/>
      <c r="EQI53" s="16"/>
      <c r="EQJ53" s="16"/>
      <c r="EQK53" s="16"/>
      <c r="EQL53" s="16"/>
      <c r="EQM53" s="16"/>
      <c r="EQN53" s="16"/>
      <c r="EQO53" s="16"/>
      <c r="EQP53" s="16"/>
      <c r="EQQ53" s="16"/>
      <c r="EQR53" s="16"/>
      <c r="EQS53" s="16"/>
      <c r="EQT53" s="16"/>
      <c r="EQU53" s="16"/>
      <c r="EQV53" s="16"/>
      <c r="EQW53" s="16"/>
      <c r="EQX53" s="16"/>
      <c r="EQY53" s="16"/>
      <c r="EQZ53" s="16"/>
      <c r="ERA53" s="16"/>
      <c r="ERB53" s="16"/>
      <c r="ERC53" s="16"/>
      <c r="ERD53" s="16"/>
      <c r="ERE53" s="16"/>
      <c r="ERF53" s="16"/>
      <c r="ERG53" s="16"/>
      <c r="ERH53" s="16"/>
      <c r="ERI53" s="16"/>
      <c r="ERJ53" s="16"/>
      <c r="ERK53" s="16"/>
      <c r="ERL53" s="16"/>
      <c r="ERM53" s="16"/>
      <c r="ERN53" s="16"/>
      <c r="ERO53" s="16"/>
      <c r="ERP53" s="16"/>
      <c r="ERQ53" s="16"/>
      <c r="ERR53" s="16"/>
      <c r="ERS53" s="16"/>
      <c r="ERT53" s="16"/>
      <c r="ERU53" s="16"/>
      <c r="ERV53" s="16"/>
      <c r="ERW53" s="16"/>
      <c r="ERX53" s="16"/>
      <c r="ERY53" s="16"/>
      <c r="ERZ53" s="16"/>
      <c r="ESA53" s="16"/>
      <c r="ESB53" s="16"/>
      <c r="ESC53" s="16"/>
      <c r="ESD53" s="16"/>
      <c r="ESE53" s="16"/>
      <c r="ESF53" s="16"/>
      <c r="ESG53" s="16"/>
      <c r="ESH53" s="16"/>
      <c r="ESI53" s="16"/>
      <c r="ESJ53" s="16"/>
      <c r="ESK53" s="16"/>
      <c r="ESL53" s="16"/>
      <c r="ESM53" s="16"/>
      <c r="ESN53" s="16"/>
      <c r="ESO53" s="16"/>
      <c r="ESP53" s="16"/>
      <c r="ESQ53" s="16"/>
      <c r="ESR53" s="16"/>
      <c r="ESS53" s="16"/>
      <c r="EST53" s="16"/>
      <c r="ESU53" s="16"/>
      <c r="ESV53" s="16"/>
      <c r="ESW53" s="16"/>
      <c r="ESX53" s="16"/>
      <c r="ESY53" s="16"/>
      <c r="ESZ53" s="16"/>
      <c r="ETA53" s="16"/>
      <c r="ETB53" s="16"/>
      <c r="ETC53" s="16"/>
      <c r="ETD53" s="16"/>
      <c r="ETE53" s="16"/>
      <c r="ETF53" s="16"/>
      <c r="ETG53" s="16"/>
      <c r="ETH53" s="16"/>
      <c r="ETI53" s="16"/>
      <c r="ETJ53" s="16"/>
      <c r="ETK53" s="16"/>
      <c r="ETL53" s="16"/>
      <c r="ETM53" s="16"/>
      <c r="ETN53" s="16"/>
      <c r="ETO53" s="16"/>
      <c r="ETP53" s="16"/>
      <c r="ETQ53" s="16"/>
      <c r="ETR53" s="16"/>
      <c r="ETS53" s="16"/>
      <c r="ETT53" s="16"/>
      <c r="ETU53" s="16"/>
      <c r="ETV53" s="16"/>
      <c r="ETW53" s="16"/>
      <c r="ETX53" s="16"/>
      <c r="ETY53" s="16"/>
      <c r="ETZ53" s="16"/>
      <c r="EUA53" s="16"/>
      <c r="EUB53" s="16"/>
      <c r="EUC53" s="16"/>
      <c r="EUD53" s="16"/>
      <c r="EUE53" s="16"/>
      <c r="EUF53" s="16"/>
      <c r="EUG53" s="16"/>
      <c r="EUH53" s="16"/>
      <c r="EUI53" s="16"/>
      <c r="EUJ53" s="16"/>
      <c r="EUK53" s="16"/>
      <c r="EUL53" s="16"/>
      <c r="EUM53" s="16"/>
      <c r="EUN53" s="16"/>
      <c r="EUO53" s="16"/>
      <c r="EUP53" s="16"/>
      <c r="EUQ53" s="16"/>
      <c r="EUR53" s="16"/>
      <c r="EUS53" s="16"/>
      <c r="EUT53" s="16"/>
      <c r="EUU53" s="16"/>
      <c r="EUV53" s="16"/>
      <c r="EUW53" s="16"/>
      <c r="EUX53" s="16"/>
      <c r="EUY53" s="16"/>
      <c r="EUZ53" s="16"/>
      <c r="EVA53" s="16"/>
      <c r="EVB53" s="16"/>
      <c r="EVC53" s="16"/>
      <c r="EVD53" s="16"/>
      <c r="EVE53" s="16"/>
      <c r="EVF53" s="16"/>
      <c r="EVG53" s="16"/>
      <c r="EVH53" s="16"/>
      <c r="EVI53" s="16"/>
      <c r="EVJ53" s="16"/>
      <c r="EVK53" s="16"/>
      <c r="EVL53" s="16"/>
      <c r="EVM53" s="16"/>
      <c r="EVN53" s="16"/>
      <c r="EVO53" s="16"/>
      <c r="EVP53" s="16"/>
      <c r="EVQ53" s="16"/>
      <c r="EVR53" s="16"/>
      <c r="EVS53" s="16"/>
      <c r="EVT53" s="16"/>
      <c r="EVU53" s="16"/>
      <c r="EVV53" s="16"/>
      <c r="EVW53" s="16"/>
      <c r="EVX53" s="16"/>
      <c r="EVY53" s="16"/>
      <c r="EVZ53" s="16"/>
      <c r="EWA53" s="16"/>
      <c r="EWB53" s="16"/>
      <c r="EWC53" s="16"/>
      <c r="EWD53" s="16"/>
      <c r="EWE53" s="16"/>
      <c r="EWF53" s="16"/>
      <c r="EWG53" s="16"/>
      <c r="EWH53" s="16"/>
      <c r="EWI53" s="16"/>
      <c r="EWJ53" s="16"/>
      <c r="EWK53" s="16"/>
      <c r="EWL53" s="16"/>
      <c r="EWM53" s="16"/>
      <c r="EWN53" s="16"/>
      <c r="EWO53" s="16"/>
      <c r="EWP53" s="16"/>
      <c r="EWQ53" s="16"/>
      <c r="EWR53" s="16"/>
      <c r="EWS53" s="16"/>
      <c r="EWT53" s="16"/>
      <c r="EWU53" s="16"/>
      <c r="EWV53" s="16"/>
      <c r="EWW53" s="16"/>
      <c r="EWX53" s="16"/>
      <c r="EWY53" s="16"/>
      <c r="EWZ53" s="16"/>
      <c r="EXA53" s="16"/>
      <c r="EXB53" s="16"/>
      <c r="EXC53" s="16"/>
      <c r="EXD53" s="16"/>
      <c r="EXE53" s="16"/>
      <c r="EXF53" s="16"/>
      <c r="EXG53" s="16"/>
      <c r="EXH53" s="16"/>
      <c r="EXI53" s="16"/>
      <c r="EXJ53" s="16"/>
      <c r="EXK53" s="16"/>
      <c r="EXL53" s="16"/>
      <c r="EXM53" s="16"/>
      <c r="EXN53" s="16"/>
      <c r="EXO53" s="16"/>
      <c r="EXP53" s="16"/>
      <c r="EXQ53" s="16"/>
      <c r="EXR53" s="16"/>
      <c r="EXS53" s="16"/>
      <c r="EXT53" s="16"/>
      <c r="EXU53" s="16"/>
      <c r="EXV53" s="16"/>
      <c r="EXW53" s="16"/>
      <c r="EXX53" s="16"/>
      <c r="EXY53" s="16"/>
      <c r="EXZ53" s="16"/>
      <c r="EYA53" s="16"/>
      <c r="EYB53" s="16"/>
      <c r="EYC53" s="16"/>
      <c r="EYD53" s="16"/>
      <c r="EYE53" s="16"/>
      <c r="EYF53" s="16"/>
      <c r="EYG53" s="16"/>
      <c r="EYH53" s="16"/>
      <c r="EYI53" s="16"/>
      <c r="EYJ53" s="16"/>
      <c r="EYK53" s="16"/>
      <c r="EYL53" s="16"/>
      <c r="EYM53" s="16"/>
      <c r="EYN53" s="16"/>
      <c r="EYO53" s="16"/>
      <c r="EYP53" s="16"/>
      <c r="EYQ53" s="16"/>
      <c r="EYR53" s="16"/>
      <c r="EYS53" s="16"/>
      <c r="EYT53" s="16"/>
      <c r="EYU53" s="16"/>
      <c r="EYV53" s="16"/>
      <c r="EYW53" s="16"/>
      <c r="EYX53" s="16"/>
      <c r="EYY53" s="16"/>
      <c r="EYZ53" s="16"/>
      <c r="EZA53" s="16"/>
      <c r="EZB53" s="16"/>
      <c r="EZC53" s="16"/>
      <c r="EZD53" s="16"/>
      <c r="EZE53" s="16"/>
      <c r="EZF53" s="16"/>
      <c r="EZG53" s="16"/>
      <c r="EZH53" s="16"/>
      <c r="EZI53" s="16"/>
      <c r="EZJ53" s="16"/>
      <c r="EZK53" s="16"/>
      <c r="EZL53" s="16"/>
      <c r="EZM53" s="16"/>
      <c r="EZN53" s="16"/>
      <c r="EZO53" s="16"/>
      <c r="EZP53" s="16"/>
      <c r="EZQ53" s="16"/>
      <c r="EZR53" s="16"/>
      <c r="EZS53" s="16"/>
      <c r="EZT53" s="16"/>
      <c r="EZU53" s="16"/>
      <c r="EZV53" s="16"/>
      <c r="EZW53" s="16"/>
      <c r="EZX53" s="16"/>
      <c r="EZY53" s="16"/>
      <c r="EZZ53" s="16"/>
      <c r="FAA53" s="16"/>
      <c r="FAB53" s="16"/>
      <c r="FAC53" s="16"/>
      <c r="FAD53" s="16"/>
      <c r="FAE53" s="16"/>
      <c r="FAF53" s="16"/>
      <c r="FAG53" s="16"/>
      <c r="FAH53" s="16"/>
      <c r="FAI53" s="16"/>
      <c r="FAJ53" s="16"/>
      <c r="FAK53" s="16"/>
      <c r="FAL53" s="16"/>
      <c r="FAM53" s="16"/>
      <c r="FAN53" s="16"/>
      <c r="FAO53" s="16"/>
      <c r="FAP53" s="16"/>
      <c r="FAQ53" s="16"/>
      <c r="FAR53" s="16"/>
      <c r="FAS53" s="16"/>
      <c r="FAT53" s="16"/>
      <c r="FAU53" s="16"/>
      <c r="FAV53" s="16"/>
      <c r="FAW53" s="16"/>
      <c r="FAX53" s="16"/>
      <c r="FAY53" s="16"/>
      <c r="FAZ53" s="16"/>
      <c r="FBA53" s="16"/>
      <c r="FBB53" s="16"/>
      <c r="FBC53" s="16"/>
      <c r="FBD53" s="16"/>
      <c r="FBE53" s="16"/>
      <c r="FBF53" s="16"/>
      <c r="FBG53" s="16"/>
      <c r="FBH53" s="16"/>
      <c r="FBI53" s="16"/>
      <c r="FBJ53" s="16"/>
      <c r="FBK53" s="16"/>
      <c r="FBL53" s="16"/>
      <c r="FBM53" s="16"/>
      <c r="FBN53" s="16"/>
      <c r="FBO53" s="16"/>
      <c r="FBP53" s="16"/>
      <c r="FBQ53" s="16"/>
      <c r="FBR53" s="16"/>
      <c r="FBS53" s="16"/>
      <c r="FBT53" s="16"/>
      <c r="FBU53" s="16"/>
      <c r="FBV53" s="16"/>
      <c r="FBW53" s="16"/>
      <c r="FBX53" s="16"/>
      <c r="FBY53" s="16"/>
      <c r="FBZ53" s="16"/>
      <c r="FCA53" s="16"/>
      <c r="FCB53" s="16"/>
      <c r="FCC53" s="16"/>
      <c r="FCD53" s="16"/>
      <c r="FCE53" s="16"/>
      <c r="FCF53" s="16"/>
      <c r="FCG53" s="16"/>
      <c r="FCH53" s="16"/>
      <c r="FCI53" s="16"/>
      <c r="FCJ53" s="16"/>
      <c r="FCK53" s="16"/>
      <c r="FCL53" s="16"/>
      <c r="FCM53" s="16"/>
      <c r="FCN53" s="16"/>
      <c r="FCO53" s="16"/>
      <c r="FCP53" s="16"/>
      <c r="FCQ53" s="16"/>
      <c r="FCR53" s="16"/>
      <c r="FCS53" s="16"/>
      <c r="FCT53" s="16"/>
      <c r="FCU53" s="16"/>
      <c r="FCV53" s="16"/>
      <c r="FCW53" s="16"/>
      <c r="FCX53" s="16"/>
      <c r="FCY53" s="16"/>
      <c r="FCZ53" s="16"/>
      <c r="FDA53" s="16"/>
      <c r="FDB53" s="16"/>
      <c r="FDC53" s="16"/>
      <c r="FDD53" s="16"/>
      <c r="FDE53" s="16"/>
      <c r="FDF53" s="16"/>
      <c r="FDG53" s="16"/>
      <c r="FDH53" s="16"/>
      <c r="FDI53" s="16"/>
      <c r="FDJ53" s="16"/>
      <c r="FDK53" s="16"/>
      <c r="FDL53" s="16"/>
      <c r="FDM53" s="16"/>
      <c r="FDN53" s="16"/>
      <c r="FDO53" s="16"/>
      <c r="FDP53" s="16"/>
      <c r="FDQ53" s="16"/>
      <c r="FDR53" s="16"/>
      <c r="FDS53" s="16"/>
      <c r="FDT53" s="16"/>
      <c r="FDU53" s="16"/>
      <c r="FDV53" s="16"/>
      <c r="FDW53" s="16"/>
      <c r="FDX53" s="16"/>
      <c r="FDY53" s="16"/>
      <c r="FDZ53" s="16"/>
      <c r="FEA53" s="16"/>
      <c r="FEB53" s="16"/>
      <c r="FEC53" s="16"/>
      <c r="FED53" s="16"/>
      <c r="FEE53" s="16"/>
      <c r="FEF53" s="16"/>
      <c r="FEG53" s="16"/>
      <c r="FEH53" s="16"/>
      <c r="FEI53" s="16"/>
      <c r="FEJ53" s="16"/>
      <c r="FEK53" s="16"/>
      <c r="FEL53" s="16"/>
      <c r="FEM53" s="16"/>
      <c r="FEN53" s="16"/>
      <c r="FEO53" s="16"/>
      <c r="FEP53" s="16"/>
      <c r="FEQ53" s="16"/>
      <c r="FER53" s="16"/>
      <c r="FES53" s="16"/>
      <c r="FET53" s="16"/>
      <c r="FEU53" s="16"/>
      <c r="FEV53" s="16"/>
      <c r="FEW53" s="16"/>
      <c r="FEX53" s="16"/>
      <c r="FEY53" s="16"/>
      <c r="FEZ53" s="16"/>
      <c r="FFA53" s="16"/>
      <c r="FFB53" s="16"/>
      <c r="FFC53" s="16"/>
      <c r="FFD53" s="16"/>
      <c r="FFE53" s="16"/>
      <c r="FFF53" s="16"/>
      <c r="FFG53" s="16"/>
      <c r="FFH53" s="16"/>
      <c r="FFI53" s="16"/>
      <c r="FFJ53" s="16"/>
      <c r="FFK53" s="16"/>
      <c r="FFL53" s="16"/>
      <c r="FFM53" s="16"/>
      <c r="FFN53" s="16"/>
      <c r="FFO53" s="16"/>
      <c r="FFP53" s="16"/>
      <c r="FFQ53" s="16"/>
      <c r="FFR53" s="16"/>
      <c r="FFS53" s="16"/>
      <c r="FFT53" s="16"/>
      <c r="FFU53" s="16"/>
      <c r="FFV53" s="16"/>
      <c r="FFW53" s="16"/>
      <c r="FFX53" s="16"/>
      <c r="FFY53" s="16"/>
      <c r="FFZ53" s="16"/>
      <c r="FGA53" s="16"/>
      <c r="FGB53" s="16"/>
      <c r="FGC53" s="16"/>
      <c r="FGD53" s="16"/>
      <c r="FGE53" s="16"/>
      <c r="FGF53" s="16"/>
      <c r="FGG53" s="16"/>
      <c r="FGH53" s="16"/>
      <c r="FGI53" s="16"/>
      <c r="FGJ53" s="16"/>
      <c r="FGK53" s="16"/>
      <c r="FGL53" s="16"/>
      <c r="FGM53" s="16"/>
      <c r="FGN53" s="16"/>
      <c r="FGO53" s="16"/>
      <c r="FGP53" s="16"/>
      <c r="FGQ53" s="16"/>
      <c r="FGR53" s="16"/>
      <c r="FGS53" s="16"/>
      <c r="FGT53" s="16"/>
      <c r="FGU53" s="16"/>
      <c r="FGV53" s="16"/>
      <c r="FGW53" s="16"/>
      <c r="FGX53" s="16"/>
      <c r="FGY53" s="16"/>
      <c r="FGZ53" s="16"/>
      <c r="FHA53" s="16"/>
      <c r="FHB53" s="16"/>
      <c r="FHC53" s="16"/>
      <c r="FHD53" s="16"/>
      <c r="FHE53" s="16"/>
      <c r="FHF53" s="16"/>
      <c r="FHG53" s="16"/>
      <c r="FHH53" s="16"/>
      <c r="FHI53" s="16"/>
      <c r="FHJ53" s="16"/>
      <c r="FHK53" s="16"/>
      <c r="FHL53" s="16"/>
      <c r="FHM53" s="16"/>
      <c r="FHN53" s="16"/>
      <c r="FHO53" s="16"/>
      <c r="FHP53" s="16"/>
      <c r="FHQ53" s="16"/>
      <c r="FHR53" s="16"/>
      <c r="FHS53" s="16"/>
      <c r="FHT53" s="16"/>
      <c r="FHU53" s="16"/>
      <c r="FHV53" s="16"/>
      <c r="FHW53" s="16"/>
      <c r="FHX53" s="16"/>
      <c r="FHY53" s="16"/>
      <c r="FHZ53" s="16"/>
      <c r="FIA53" s="16"/>
      <c r="FIB53" s="16"/>
      <c r="FIC53" s="16"/>
      <c r="FID53" s="16"/>
      <c r="FIE53" s="16"/>
      <c r="FIF53" s="16"/>
      <c r="FIG53" s="16"/>
      <c r="FIH53" s="16"/>
      <c r="FII53" s="16"/>
      <c r="FIJ53" s="16"/>
      <c r="FIK53" s="16"/>
      <c r="FIL53" s="16"/>
      <c r="FIM53" s="16"/>
      <c r="FIN53" s="16"/>
      <c r="FIO53" s="16"/>
      <c r="FIP53" s="16"/>
      <c r="FIQ53" s="16"/>
      <c r="FIR53" s="16"/>
      <c r="FIS53" s="16"/>
      <c r="FIT53" s="16"/>
      <c r="FIU53" s="16"/>
      <c r="FIV53" s="16"/>
      <c r="FIW53" s="16"/>
      <c r="FIX53" s="16"/>
      <c r="FIY53" s="16"/>
      <c r="FIZ53" s="16"/>
      <c r="FJA53" s="16"/>
      <c r="FJB53" s="16"/>
      <c r="FJC53" s="16"/>
      <c r="FJD53" s="16"/>
      <c r="FJE53" s="16"/>
      <c r="FJF53" s="16"/>
      <c r="FJG53" s="16"/>
      <c r="FJH53" s="16"/>
      <c r="FJI53" s="16"/>
      <c r="FJJ53" s="16"/>
      <c r="FJK53" s="16"/>
      <c r="FJL53" s="16"/>
      <c r="FJM53" s="16"/>
      <c r="FJN53" s="16"/>
      <c r="FJO53" s="16"/>
      <c r="FJP53" s="16"/>
      <c r="FJQ53" s="16"/>
      <c r="FJR53" s="16"/>
      <c r="FJS53" s="16"/>
      <c r="FJT53" s="16"/>
      <c r="FJU53" s="16"/>
      <c r="FJV53" s="16"/>
      <c r="FJW53" s="16"/>
      <c r="FJX53" s="16"/>
      <c r="FJY53" s="16"/>
      <c r="FJZ53" s="16"/>
      <c r="FKA53" s="16"/>
      <c r="FKB53" s="16"/>
      <c r="FKC53" s="16"/>
      <c r="FKD53" s="16"/>
      <c r="FKE53" s="16"/>
      <c r="FKF53" s="16"/>
      <c r="FKG53" s="16"/>
      <c r="FKH53" s="16"/>
      <c r="FKI53" s="16"/>
      <c r="FKJ53" s="16"/>
      <c r="FKK53" s="16"/>
      <c r="FKL53" s="16"/>
      <c r="FKM53" s="16"/>
      <c r="FKN53" s="16"/>
      <c r="FKO53" s="16"/>
      <c r="FKP53" s="16"/>
      <c r="FKQ53" s="16"/>
      <c r="FKR53" s="16"/>
      <c r="FKS53" s="16"/>
      <c r="FKT53" s="16"/>
      <c r="FKU53" s="16"/>
      <c r="FKV53" s="16"/>
      <c r="FKW53" s="16"/>
      <c r="FKX53" s="16"/>
      <c r="FKY53" s="16"/>
      <c r="FKZ53" s="16"/>
      <c r="FLA53" s="16"/>
      <c r="FLB53" s="16"/>
      <c r="FLC53" s="16"/>
      <c r="FLD53" s="16"/>
      <c r="FLE53" s="16"/>
      <c r="FLF53" s="16"/>
      <c r="FLG53" s="16"/>
      <c r="FLH53" s="16"/>
      <c r="FLI53" s="16"/>
      <c r="FLJ53" s="16"/>
      <c r="FLK53" s="16"/>
      <c r="FLL53" s="16"/>
      <c r="FLM53" s="16"/>
      <c r="FLN53" s="16"/>
      <c r="FLO53" s="16"/>
      <c r="FLP53" s="16"/>
      <c r="FLQ53" s="16"/>
      <c r="FLR53" s="16"/>
      <c r="FLS53" s="16"/>
      <c r="FLT53" s="16"/>
      <c r="FLU53" s="16"/>
      <c r="FLV53" s="16"/>
      <c r="FLW53" s="16"/>
      <c r="FLX53" s="16"/>
      <c r="FLY53" s="16"/>
      <c r="FLZ53" s="16"/>
      <c r="FMA53" s="16"/>
      <c r="FMB53" s="16"/>
      <c r="FMC53" s="16"/>
      <c r="FMD53" s="16"/>
      <c r="FME53" s="16"/>
      <c r="FMF53" s="16"/>
      <c r="FMG53" s="16"/>
      <c r="FMH53" s="16"/>
      <c r="FMI53" s="16"/>
      <c r="FMJ53" s="16"/>
      <c r="FMK53" s="16"/>
      <c r="FML53" s="16"/>
      <c r="FMM53" s="16"/>
      <c r="FMN53" s="16"/>
      <c r="FMO53" s="16"/>
      <c r="FMP53" s="16"/>
      <c r="FMQ53" s="16"/>
      <c r="FMR53" s="16"/>
      <c r="FMS53" s="16"/>
      <c r="FMT53" s="16"/>
      <c r="FMU53" s="16"/>
      <c r="FMV53" s="16"/>
      <c r="FMW53" s="16"/>
      <c r="FMX53" s="16"/>
      <c r="FMY53" s="16"/>
      <c r="FMZ53" s="16"/>
      <c r="FNA53" s="16"/>
      <c r="FNB53" s="16"/>
      <c r="FNC53" s="16"/>
      <c r="FND53" s="16"/>
      <c r="FNE53" s="16"/>
      <c r="FNF53" s="16"/>
      <c r="FNG53" s="16"/>
      <c r="FNH53" s="16"/>
      <c r="FNI53" s="16"/>
      <c r="FNJ53" s="16"/>
      <c r="FNK53" s="16"/>
      <c r="FNL53" s="16"/>
      <c r="FNM53" s="16"/>
      <c r="FNN53" s="16"/>
      <c r="FNO53" s="16"/>
      <c r="FNP53" s="16"/>
      <c r="FNQ53" s="16"/>
      <c r="FNR53" s="16"/>
      <c r="FNS53" s="16"/>
      <c r="FNT53" s="16"/>
      <c r="FNU53" s="16"/>
      <c r="FNV53" s="16"/>
      <c r="FNW53" s="16"/>
      <c r="FNX53" s="16"/>
      <c r="FNY53" s="16"/>
      <c r="FNZ53" s="16"/>
      <c r="FOA53" s="16"/>
      <c r="FOB53" s="16"/>
      <c r="FOC53" s="16"/>
      <c r="FOD53" s="16"/>
      <c r="FOE53" s="16"/>
      <c r="FOF53" s="16"/>
      <c r="FOG53" s="16"/>
      <c r="FOH53" s="16"/>
      <c r="FOI53" s="16"/>
      <c r="FOJ53" s="16"/>
      <c r="FOK53" s="16"/>
      <c r="FOL53" s="16"/>
      <c r="FOM53" s="16"/>
      <c r="FON53" s="16"/>
      <c r="FOO53" s="16"/>
      <c r="FOP53" s="16"/>
      <c r="FOQ53" s="16"/>
      <c r="FOR53" s="16"/>
      <c r="FOS53" s="16"/>
      <c r="FOT53" s="16"/>
      <c r="FOU53" s="16"/>
      <c r="FOV53" s="16"/>
      <c r="FOW53" s="16"/>
      <c r="FOX53" s="16"/>
      <c r="FOY53" s="16"/>
      <c r="FOZ53" s="16"/>
      <c r="FPA53" s="16"/>
      <c r="FPB53" s="16"/>
      <c r="FPC53" s="16"/>
      <c r="FPD53" s="16"/>
      <c r="FPE53" s="16"/>
      <c r="FPF53" s="16"/>
      <c r="FPG53" s="16"/>
      <c r="FPH53" s="16"/>
      <c r="FPI53" s="16"/>
      <c r="FPJ53" s="16"/>
      <c r="FPK53" s="16"/>
      <c r="FPL53" s="16"/>
      <c r="FPM53" s="16"/>
      <c r="FPN53" s="16"/>
      <c r="FPO53" s="16"/>
      <c r="FPP53" s="16"/>
      <c r="FPQ53" s="16"/>
      <c r="FPR53" s="16"/>
      <c r="FPS53" s="16"/>
      <c r="FPT53" s="16"/>
      <c r="FPU53" s="16"/>
      <c r="FPV53" s="16"/>
      <c r="FPW53" s="16"/>
      <c r="FPX53" s="16"/>
      <c r="FPY53" s="16"/>
      <c r="FPZ53" s="16"/>
      <c r="FQA53" s="16"/>
      <c r="FQB53" s="16"/>
      <c r="FQC53" s="16"/>
      <c r="FQD53" s="16"/>
      <c r="FQE53" s="16"/>
      <c r="FQF53" s="16"/>
      <c r="FQG53" s="16"/>
      <c r="FQH53" s="16"/>
      <c r="FQI53" s="16"/>
      <c r="FQJ53" s="16"/>
      <c r="FQK53" s="16"/>
      <c r="FQL53" s="16"/>
      <c r="FQM53" s="16"/>
      <c r="FQN53" s="16"/>
      <c r="FQO53" s="16"/>
      <c r="FQP53" s="16"/>
      <c r="FQQ53" s="16"/>
      <c r="FQR53" s="16"/>
      <c r="FQS53" s="16"/>
      <c r="FQT53" s="16"/>
      <c r="FQU53" s="16"/>
      <c r="FQV53" s="16"/>
      <c r="FQW53" s="16"/>
      <c r="FQX53" s="16"/>
      <c r="FQY53" s="16"/>
      <c r="FQZ53" s="16"/>
      <c r="FRA53" s="16"/>
      <c r="FRB53" s="16"/>
      <c r="FRC53" s="16"/>
      <c r="FRD53" s="16"/>
      <c r="FRE53" s="16"/>
      <c r="FRF53" s="16"/>
      <c r="FRG53" s="16"/>
      <c r="FRH53" s="16"/>
      <c r="FRI53" s="16"/>
      <c r="FRJ53" s="16"/>
      <c r="FRK53" s="16"/>
      <c r="FRL53" s="16"/>
      <c r="FRM53" s="16"/>
      <c r="FRN53" s="16"/>
      <c r="FRO53" s="16"/>
      <c r="FRP53" s="16"/>
      <c r="FRQ53" s="16"/>
      <c r="FRR53" s="16"/>
      <c r="FRS53" s="16"/>
      <c r="FRT53" s="16"/>
      <c r="FRU53" s="16"/>
      <c r="FRV53" s="16"/>
      <c r="FRW53" s="16"/>
      <c r="FRX53" s="16"/>
      <c r="FRY53" s="16"/>
      <c r="FRZ53" s="16"/>
      <c r="FSA53" s="16"/>
      <c r="FSB53" s="16"/>
      <c r="FSC53" s="16"/>
      <c r="FSD53" s="16"/>
      <c r="FSE53" s="16"/>
      <c r="FSF53" s="16"/>
      <c r="FSG53" s="16"/>
      <c r="FSH53" s="16"/>
      <c r="FSI53" s="16"/>
      <c r="FSJ53" s="16"/>
      <c r="FSK53" s="16"/>
      <c r="FSL53" s="16"/>
      <c r="FSM53" s="16"/>
      <c r="FSN53" s="16"/>
      <c r="FSO53" s="16"/>
      <c r="FSP53" s="16"/>
      <c r="FSQ53" s="16"/>
      <c r="FSR53" s="16"/>
      <c r="FSS53" s="16"/>
      <c r="FST53" s="16"/>
      <c r="FSU53" s="16"/>
      <c r="FSV53" s="16"/>
      <c r="FSW53" s="16"/>
      <c r="FSX53" s="16"/>
      <c r="FSY53" s="16"/>
      <c r="FSZ53" s="16"/>
      <c r="FTA53" s="16"/>
      <c r="FTB53" s="16"/>
      <c r="FTC53" s="16"/>
      <c r="FTD53" s="16"/>
      <c r="FTE53" s="16"/>
      <c r="FTF53" s="16"/>
      <c r="FTG53" s="16"/>
      <c r="FTH53" s="16"/>
      <c r="FTI53" s="16"/>
      <c r="FTJ53" s="16"/>
      <c r="FTK53" s="16"/>
      <c r="FTL53" s="16"/>
      <c r="FTM53" s="16"/>
      <c r="FTN53" s="16"/>
      <c r="FTO53" s="16"/>
      <c r="FTP53" s="16"/>
      <c r="FTQ53" s="16"/>
      <c r="FTR53" s="16"/>
      <c r="FTS53" s="16"/>
      <c r="FTT53" s="16"/>
      <c r="FTU53" s="16"/>
      <c r="FTV53" s="16"/>
      <c r="FTW53" s="16"/>
      <c r="FTX53" s="16"/>
      <c r="FTY53" s="16"/>
      <c r="FTZ53" s="16"/>
      <c r="FUA53" s="16"/>
      <c r="FUB53" s="16"/>
      <c r="FUC53" s="16"/>
      <c r="FUD53" s="16"/>
      <c r="FUE53" s="16"/>
      <c r="FUF53" s="16"/>
      <c r="FUG53" s="16"/>
      <c r="FUH53" s="16"/>
      <c r="FUI53" s="16"/>
      <c r="FUJ53" s="16"/>
      <c r="FUK53" s="16"/>
      <c r="FUL53" s="16"/>
      <c r="FUM53" s="16"/>
      <c r="FUN53" s="16"/>
      <c r="FUO53" s="16"/>
      <c r="FUP53" s="16"/>
      <c r="FUQ53" s="16"/>
      <c r="FUR53" s="16"/>
      <c r="FUS53" s="16"/>
      <c r="FUT53" s="16"/>
      <c r="FUU53" s="16"/>
      <c r="FUV53" s="16"/>
      <c r="FUW53" s="16"/>
      <c r="FUX53" s="16"/>
      <c r="FUY53" s="16"/>
      <c r="FUZ53" s="16"/>
      <c r="FVA53" s="16"/>
      <c r="FVB53" s="16"/>
      <c r="FVC53" s="16"/>
      <c r="FVD53" s="16"/>
      <c r="FVE53" s="16"/>
      <c r="FVF53" s="16"/>
      <c r="FVG53" s="16"/>
      <c r="FVH53" s="16"/>
      <c r="FVI53" s="16"/>
      <c r="FVJ53" s="16"/>
      <c r="FVK53" s="16"/>
      <c r="FVL53" s="16"/>
      <c r="FVM53" s="16"/>
      <c r="FVN53" s="16"/>
      <c r="FVO53" s="16"/>
      <c r="FVP53" s="16"/>
      <c r="FVQ53" s="16"/>
      <c r="FVR53" s="16"/>
      <c r="FVS53" s="16"/>
      <c r="FVT53" s="16"/>
      <c r="FVU53" s="16"/>
      <c r="FVV53" s="16"/>
      <c r="FVW53" s="16"/>
      <c r="FVX53" s="16"/>
      <c r="FVY53" s="16"/>
      <c r="FVZ53" s="16"/>
      <c r="FWA53" s="16"/>
      <c r="FWB53" s="16"/>
      <c r="FWC53" s="16"/>
      <c r="FWD53" s="16"/>
      <c r="FWE53" s="16"/>
      <c r="FWF53" s="16"/>
      <c r="FWG53" s="16"/>
      <c r="FWH53" s="16"/>
      <c r="FWI53" s="16"/>
      <c r="FWJ53" s="16"/>
      <c r="FWK53" s="16"/>
      <c r="FWL53" s="16"/>
      <c r="FWM53" s="16"/>
      <c r="FWN53" s="16"/>
      <c r="FWO53" s="16"/>
      <c r="FWP53" s="16"/>
      <c r="FWQ53" s="16"/>
      <c r="FWR53" s="16"/>
      <c r="FWS53" s="16"/>
      <c r="FWT53" s="16"/>
      <c r="FWU53" s="16"/>
      <c r="FWV53" s="16"/>
      <c r="FWW53" s="16"/>
      <c r="FWX53" s="16"/>
      <c r="FWY53" s="16"/>
      <c r="FWZ53" s="16"/>
      <c r="FXA53" s="16"/>
      <c r="FXB53" s="16"/>
      <c r="FXC53" s="16"/>
      <c r="FXD53" s="16"/>
      <c r="FXE53" s="16"/>
      <c r="FXF53" s="16"/>
      <c r="FXG53" s="16"/>
      <c r="FXH53" s="16"/>
      <c r="FXI53" s="16"/>
      <c r="FXJ53" s="16"/>
      <c r="FXK53" s="16"/>
      <c r="FXL53" s="16"/>
      <c r="FXM53" s="16"/>
      <c r="FXN53" s="16"/>
      <c r="FXO53" s="16"/>
      <c r="FXP53" s="16"/>
      <c r="FXQ53" s="16"/>
      <c r="FXR53" s="16"/>
      <c r="FXS53" s="16"/>
      <c r="FXT53" s="16"/>
      <c r="FXU53" s="16"/>
      <c r="FXV53" s="16"/>
      <c r="FXW53" s="16"/>
      <c r="FXX53" s="16"/>
      <c r="FXY53" s="16"/>
      <c r="FXZ53" s="16"/>
      <c r="FYA53" s="16"/>
      <c r="FYB53" s="16"/>
      <c r="FYC53" s="16"/>
      <c r="FYD53" s="16"/>
      <c r="FYE53" s="16"/>
      <c r="FYF53" s="16"/>
      <c r="FYG53" s="16"/>
      <c r="FYH53" s="16"/>
      <c r="FYI53" s="16"/>
      <c r="FYJ53" s="16"/>
      <c r="FYK53" s="16"/>
      <c r="FYL53" s="16"/>
      <c r="FYM53" s="16"/>
      <c r="FYN53" s="16"/>
      <c r="FYO53" s="16"/>
      <c r="FYP53" s="16"/>
      <c r="FYQ53" s="16"/>
      <c r="FYR53" s="16"/>
      <c r="FYS53" s="16"/>
      <c r="FYT53" s="16"/>
      <c r="FYU53" s="16"/>
      <c r="FYV53" s="16"/>
      <c r="FYW53" s="16"/>
      <c r="FYX53" s="16"/>
      <c r="FYY53" s="16"/>
      <c r="FYZ53" s="16"/>
      <c r="FZA53" s="16"/>
      <c r="FZB53" s="16"/>
      <c r="FZC53" s="16"/>
      <c r="FZD53" s="16"/>
      <c r="FZE53" s="16"/>
      <c r="FZF53" s="16"/>
      <c r="FZG53" s="16"/>
      <c r="FZH53" s="16"/>
      <c r="FZI53" s="16"/>
      <c r="FZJ53" s="16"/>
      <c r="FZK53" s="16"/>
      <c r="FZL53" s="16"/>
      <c r="FZM53" s="16"/>
      <c r="FZN53" s="16"/>
      <c r="FZO53" s="16"/>
      <c r="FZP53" s="16"/>
      <c r="FZQ53" s="16"/>
      <c r="FZR53" s="16"/>
      <c r="FZS53" s="16"/>
      <c r="FZT53" s="16"/>
      <c r="FZU53" s="16"/>
      <c r="FZV53" s="16"/>
      <c r="FZW53" s="16"/>
      <c r="FZX53" s="16"/>
      <c r="FZY53" s="16"/>
      <c r="FZZ53" s="16"/>
      <c r="GAA53" s="16"/>
      <c r="GAB53" s="16"/>
      <c r="GAC53" s="16"/>
      <c r="GAD53" s="16"/>
      <c r="GAE53" s="16"/>
      <c r="GAF53" s="16"/>
      <c r="GAG53" s="16"/>
      <c r="GAH53" s="16"/>
      <c r="GAI53" s="16"/>
      <c r="GAJ53" s="16"/>
      <c r="GAK53" s="16"/>
      <c r="GAL53" s="16"/>
      <c r="GAM53" s="16"/>
      <c r="GAN53" s="16"/>
      <c r="GAO53" s="16"/>
      <c r="GAP53" s="16"/>
      <c r="GAQ53" s="16"/>
      <c r="GAR53" s="16"/>
      <c r="GAS53" s="16"/>
      <c r="GAT53" s="16"/>
      <c r="GAU53" s="16"/>
      <c r="GAV53" s="16"/>
      <c r="GAW53" s="16"/>
      <c r="GAX53" s="16"/>
      <c r="GAY53" s="16"/>
      <c r="GAZ53" s="16"/>
      <c r="GBA53" s="16"/>
      <c r="GBB53" s="16"/>
      <c r="GBC53" s="16"/>
      <c r="GBD53" s="16"/>
      <c r="GBE53" s="16"/>
      <c r="GBF53" s="16"/>
      <c r="GBG53" s="16"/>
      <c r="GBH53" s="16"/>
      <c r="GBI53" s="16"/>
      <c r="GBJ53" s="16"/>
      <c r="GBK53" s="16"/>
      <c r="GBL53" s="16"/>
      <c r="GBM53" s="16"/>
      <c r="GBN53" s="16"/>
      <c r="GBO53" s="16"/>
      <c r="GBP53" s="16"/>
      <c r="GBQ53" s="16"/>
      <c r="GBR53" s="16"/>
      <c r="GBS53" s="16"/>
      <c r="GBT53" s="16"/>
      <c r="GBU53" s="16"/>
      <c r="GBV53" s="16"/>
      <c r="GBW53" s="16"/>
      <c r="GBX53" s="16"/>
      <c r="GBY53" s="16"/>
      <c r="GBZ53" s="16"/>
      <c r="GCA53" s="16"/>
      <c r="GCB53" s="16"/>
      <c r="GCC53" s="16"/>
      <c r="GCD53" s="16"/>
      <c r="GCE53" s="16"/>
      <c r="GCF53" s="16"/>
      <c r="GCG53" s="16"/>
      <c r="GCH53" s="16"/>
      <c r="GCI53" s="16"/>
      <c r="GCJ53" s="16"/>
      <c r="GCK53" s="16"/>
      <c r="GCL53" s="16"/>
      <c r="GCM53" s="16"/>
      <c r="GCN53" s="16"/>
      <c r="GCO53" s="16"/>
      <c r="GCP53" s="16"/>
      <c r="GCQ53" s="16"/>
      <c r="GCR53" s="16"/>
      <c r="GCS53" s="16"/>
      <c r="GCT53" s="16"/>
      <c r="GCU53" s="16"/>
      <c r="GCV53" s="16"/>
      <c r="GCW53" s="16"/>
      <c r="GCX53" s="16"/>
      <c r="GCY53" s="16"/>
      <c r="GCZ53" s="16"/>
      <c r="GDA53" s="16"/>
      <c r="GDB53" s="16"/>
      <c r="GDC53" s="16"/>
      <c r="GDD53" s="16"/>
      <c r="GDE53" s="16"/>
      <c r="GDF53" s="16"/>
      <c r="GDG53" s="16"/>
      <c r="GDH53" s="16"/>
      <c r="GDI53" s="16"/>
      <c r="GDJ53" s="16"/>
      <c r="GDK53" s="16"/>
      <c r="GDL53" s="16"/>
      <c r="GDM53" s="16"/>
      <c r="GDN53" s="16"/>
      <c r="GDO53" s="16"/>
      <c r="GDP53" s="16"/>
      <c r="GDQ53" s="16"/>
      <c r="GDR53" s="16"/>
      <c r="GDS53" s="16"/>
      <c r="GDT53" s="16"/>
      <c r="GDU53" s="16"/>
      <c r="GDV53" s="16"/>
      <c r="GDW53" s="16"/>
      <c r="GDX53" s="16"/>
      <c r="GDY53" s="16"/>
      <c r="GDZ53" s="16"/>
      <c r="GEA53" s="16"/>
      <c r="GEB53" s="16"/>
      <c r="GEC53" s="16"/>
      <c r="GED53" s="16"/>
      <c r="GEE53" s="16"/>
      <c r="GEF53" s="16"/>
      <c r="GEG53" s="16"/>
      <c r="GEH53" s="16"/>
      <c r="GEI53" s="16"/>
      <c r="GEJ53" s="16"/>
      <c r="GEK53" s="16"/>
      <c r="GEL53" s="16"/>
      <c r="GEM53" s="16"/>
      <c r="GEN53" s="16"/>
      <c r="GEO53" s="16"/>
      <c r="GEP53" s="16"/>
      <c r="GEQ53" s="16"/>
      <c r="GER53" s="16"/>
      <c r="GES53" s="16"/>
      <c r="GET53" s="16"/>
      <c r="GEU53" s="16"/>
      <c r="GEV53" s="16"/>
      <c r="GEW53" s="16"/>
      <c r="GEX53" s="16"/>
      <c r="GEY53" s="16"/>
      <c r="GEZ53" s="16"/>
      <c r="GFA53" s="16"/>
      <c r="GFB53" s="16"/>
      <c r="GFC53" s="16"/>
      <c r="GFD53" s="16"/>
      <c r="GFE53" s="16"/>
      <c r="GFF53" s="16"/>
      <c r="GFG53" s="16"/>
      <c r="GFH53" s="16"/>
      <c r="GFI53" s="16"/>
      <c r="GFJ53" s="16"/>
      <c r="GFK53" s="16"/>
      <c r="GFL53" s="16"/>
      <c r="GFM53" s="16"/>
      <c r="GFN53" s="16"/>
      <c r="GFO53" s="16"/>
      <c r="GFP53" s="16"/>
      <c r="GFQ53" s="16"/>
      <c r="GFR53" s="16"/>
      <c r="GFS53" s="16"/>
      <c r="GFT53" s="16"/>
      <c r="GFU53" s="16"/>
      <c r="GFV53" s="16"/>
      <c r="GFW53" s="16"/>
      <c r="GFX53" s="16"/>
      <c r="GFY53" s="16"/>
      <c r="GFZ53" s="16"/>
      <c r="GGA53" s="16"/>
      <c r="GGB53" s="16"/>
      <c r="GGC53" s="16"/>
      <c r="GGD53" s="16"/>
      <c r="GGE53" s="16"/>
      <c r="GGF53" s="16"/>
      <c r="GGG53" s="16"/>
      <c r="GGH53" s="16"/>
      <c r="GGI53" s="16"/>
      <c r="GGJ53" s="16"/>
      <c r="GGK53" s="16"/>
      <c r="GGL53" s="16"/>
      <c r="GGM53" s="16"/>
      <c r="GGN53" s="16"/>
      <c r="GGO53" s="16"/>
      <c r="GGP53" s="16"/>
      <c r="GGQ53" s="16"/>
      <c r="GGR53" s="16"/>
      <c r="GGS53" s="16"/>
      <c r="GGT53" s="16"/>
      <c r="GGU53" s="16"/>
      <c r="GGV53" s="16"/>
      <c r="GGW53" s="16"/>
      <c r="GGX53" s="16"/>
      <c r="GGY53" s="16"/>
      <c r="GGZ53" s="16"/>
      <c r="GHA53" s="16"/>
      <c r="GHB53" s="16"/>
      <c r="GHC53" s="16"/>
      <c r="GHD53" s="16"/>
      <c r="GHE53" s="16"/>
      <c r="GHF53" s="16"/>
      <c r="GHG53" s="16"/>
      <c r="GHH53" s="16"/>
      <c r="GHI53" s="16"/>
      <c r="GHJ53" s="16"/>
      <c r="GHK53" s="16"/>
      <c r="GHL53" s="16"/>
      <c r="GHM53" s="16"/>
      <c r="GHN53" s="16"/>
      <c r="GHO53" s="16"/>
      <c r="GHP53" s="16"/>
      <c r="GHQ53" s="16"/>
      <c r="GHR53" s="16"/>
      <c r="GHS53" s="16"/>
      <c r="GHT53" s="16"/>
      <c r="GHU53" s="16"/>
      <c r="GHV53" s="16"/>
      <c r="GHW53" s="16"/>
      <c r="GHX53" s="16"/>
      <c r="GHY53" s="16"/>
      <c r="GHZ53" s="16"/>
      <c r="GIA53" s="16"/>
      <c r="GIB53" s="16"/>
      <c r="GIC53" s="16"/>
      <c r="GID53" s="16"/>
      <c r="GIE53" s="16"/>
      <c r="GIF53" s="16"/>
      <c r="GIG53" s="16"/>
      <c r="GIH53" s="16"/>
      <c r="GII53" s="16"/>
      <c r="GIJ53" s="16"/>
      <c r="GIK53" s="16"/>
      <c r="GIL53" s="16"/>
      <c r="GIM53" s="16"/>
      <c r="GIN53" s="16"/>
      <c r="GIO53" s="16"/>
      <c r="GIP53" s="16"/>
      <c r="GIQ53" s="16"/>
      <c r="GIR53" s="16"/>
      <c r="GIS53" s="16"/>
      <c r="GIT53" s="16"/>
      <c r="GIU53" s="16"/>
      <c r="GIV53" s="16"/>
      <c r="GIW53" s="16"/>
      <c r="GIX53" s="16"/>
      <c r="GIY53" s="16"/>
      <c r="GIZ53" s="16"/>
      <c r="GJA53" s="16"/>
      <c r="GJB53" s="16"/>
      <c r="GJC53" s="16"/>
      <c r="GJD53" s="16"/>
      <c r="GJE53" s="16"/>
      <c r="GJF53" s="16"/>
      <c r="GJG53" s="16"/>
      <c r="GJH53" s="16"/>
      <c r="GJI53" s="16"/>
      <c r="GJJ53" s="16"/>
      <c r="GJK53" s="16"/>
      <c r="GJL53" s="16"/>
      <c r="GJM53" s="16"/>
      <c r="GJN53" s="16"/>
      <c r="GJO53" s="16"/>
      <c r="GJP53" s="16"/>
      <c r="GJQ53" s="16"/>
      <c r="GJR53" s="16"/>
      <c r="GJS53" s="16"/>
      <c r="GJT53" s="16"/>
      <c r="GJU53" s="16"/>
      <c r="GJV53" s="16"/>
      <c r="GJW53" s="16"/>
      <c r="GJX53" s="16"/>
      <c r="GJY53" s="16"/>
      <c r="GJZ53" s="16"/>
      <c r="GKA53" s="16"/>
      <c r="GKB53" s="16"/>
      <c r="GKC53" s="16"/>
      <c r="GKD53" s="16"/>
      <c r="GKE53" s="16"/>
      <c r="GKF53" s="16"/>
      <c r="GKG53" s="16"/>
      <c r="GKH53" s="16"/>
      <c r="GKI53" s="16"/>
      <c r="GKJ53" s="16"/>
      <c r="GKK53" s="16"/>
      <c r="GKL53" s="16"/>
      <c r="GKM53" s="16"/>
      <c r="GKN53" s="16"/>
      <c r="GKO53" s="16"/>
      <c r="GKP53" s="16"/>
      <c r="GKQ53" s="16"/>
      <c r="GKR53" s="16"/>
      <c r="GKS53" s="16"/>
      <c r="GKT53" s="16"/>
      <c r="GKU53" s="16"/>
      <c r="GKV53" s="16"/>
      <c r="GKW53" s="16"/>
      <c r="GKX53" s="16"/>
      <c r="GKY53" s="16"/>
      <c r="GKZ53" s="16"/>
      <c r="GLA53" s="16"/>
      <c r="GLB53" s="16"/>
      <c r="GLC53" s="16"/>
      <c r="GLD53" s="16"/>
      <c r="GLE53" s="16"/>
      <c r="GLF53" s="16"/>
      <c r="GLG53" s="16"/>
      <c r="GLH53" s="16"/>
      <c r="GLI53" s="16"/>
      <c r="GLJ53" s="16"/>
      <c r="GLK53" s="16"/>
      <c r="GLL53" s="16"/>
      <c r="GLM53" s="16"/>
      <c r="GLN53" s="16"/>
      <c r="GLO53" s="16"/>
      <c r="GLP53" s="16"/>
      <c r="GLQ53" s="16"/>
      <c r="GLR53" s="16"/>
      <c r="GLS53" s="16"/>
      <c r="GLT53" s="16"/>
      <c r="GLU53" s="16"/>
      <c r="GLV53" s="16"/>
      <c r="GLW53" s="16"/>
      <c r="GLX53" s="16"/>
      <c r="GLY53" s="16"/>
      <c r="GLZ53" s="16"/>
      <c r="GMA53" s="16"/>
      <c r="GMB53" s="16"/>
      <c r="GMC53" s="16"/>
      <c r="GMD53" s="16"/>
      <c r="GME53" s="16"/>
      <c r="GMF53" s="16"/>
      <c r="GMG53" s="16"/>
      <c r="GMH53" s="16"/>
      <c r="GMI53" s="16"/>
      <c r="GMJ53" s="16"/>
      <c r="GMK53" s="16"/>
      <c r="GML53" s="16"/>
      <c r="GMM53" s="16"/>
      <c r="GMN53" s="16"/>
      <c r="GMO53" s="16"/>
      <c r="GMP53" s="16"/>
      <c r="GMQ53" s="16"/>
      <c r="GMR53" s="16"/>
      <c r="GMS53" s="16"/>
      <c r="GMT53" s="16"/>
      <c r="GMU53" s="16"/>
      <c r="GMV53" s="16"/>
      <c r="GMW53" s="16"/>
      <c r="GMX53" s="16"/>
      <c r="GMY53" s="16"/>
      <c r="GMZ53" s="16"/>
      <c r="GNA53" s="16"/>
      <c r="GNB53" s="16"/>
      <c r="GNC53" s="16"/>
      <c r="GND53" s="16"/>
      <c r="GNE53" s="16"/>
      <c r="GNF53" s="16"/>
      <c r="GNG53" s="16"/>
      <c r="GNH53" s="16"/>
      <c r="GNI53" s="16"/>
      <c r="GNJ53" s="16"/>
      <c r="GNK53" s="16"/>
      <c r="GNL53" s="16"/>
      <c r="GNM53" s="16"/>
      <c r="GNN53" s="16"/>
      <c r="GNO53" s="16"/>
      <c r="GNP53" s="16"/>
      <c r="GNQ53" s="16"/>
      <c r="GNR53" s="16"/>
      <c r="GNS53" s="16"/>
      <c r="GNT53" s="16"/>
      <c r="GNU53" s="16"/>
      <c r="GNV53" s="16"/>
      <c r="GNW53" s="16"/>
      <c r="GNX53" s="16"/>
      <c r="GNY53" s="16"/>
      <c r="GNZ53" s="16"/>
      <c r="GOA53" s="16"/>
      <c r="GOB53" s="16"/>
      <c r="GOC53" s="16"/>
      <c r="GOD53" s="16"/>
      <c r="GOE53" s="16"/>
      <c r="GOF53" s="16"/>
      <c r="GOG53" s="16"/>
      <c r="GOH53" s="16"/>
      <c r="GOI53" s="16"/>
      <c r="GOJ53" s="16"/>
      <c r="GOK53" s="16"/>
      <c r="GOL53" s="16"/>
      <c r="GOM53" s="16"/>
      <c r="GON53" s="16"/>
      <c r="GOO53" s="16"/>
      <c r="GOP53" s="16"/>
      <c r="GOQ53" s="16"/>
      <c r="GOR53" s="16"/>
      <c r="GOS53" s="16"/>
      <c r="GOT53" s="16"/>
      <c r="GOU53" s="16"/>
      <c r="GOV53" s="16"/>
      <c r="GOW53" s="16"/>
      <c r="GOX53" s="16"/>
      <c r="GOY53" s="16"/>
      <c r="GOZ53" s="16"/>
      <c r="GPA53" s="16"/>
      <c r="GPB53" s="16"/>
      <c r="GPC53" s="16"/>
      <c r="GPD53" s="16"/>
      <c r="GPE53" s="16"/>
      <c r="GPF53" s="16"/>
      <c r="GPG53" s="16"/>
      <c r="GPH53" s="16"/>
      <c r="GPI53" s="16"/>
      <c r="GPJ53" s="16"/>
      <c r="GPK53" s="16"/>
      <c r="GPL53" s="16"/>
      <c r="GPM53" s="16"/>
      <c r="GPN53" s="16"/>
      <c r="GPO53" s="16"/>
      <c r="GPP53" s="16"/>
      <c r="GPQ53" s="16"/>
      <c r="GPR53" s="16"/>
      <c r="GPS53" s="16"/>
      <c r="GPT53" s="16"/>
      <c r="GPU53" s="16"/>
      <c r="GPV53" s="16"/>
      <c r="GPW53" s="16"/>
      <c r="GPX53" s="16"/>
      <c r="GPY53" s="16"/>
      <c r="GPZ53" s="16"/>
      <c r="GQA53" s="16"/>
      <c r="GQB53" s="16"/>
      <c r="GQC53" s="16"/>
      <c r="GQD53" s="16"/>
      <c r="GQE53" s="16"/>
      <c r="GQF53" s="16"/>
      <c r="GQG53" s="16"/>
      <c r="GQH53" s="16"/>
      <c r="GQI53" s="16"/>
      <c r="GQJ53" s="16"/>
      <c r="GQK53" s="16"/>
      <c r="GQL53" s="16"/>
      <c r="GQM53" s="16"/>
      <c r="GQN53" s="16"/>
      <c r="GQO53" s="16"/>
      <c r="GQP53" s="16"/>
      <c r="GQQ53" s="16"/>
      <c r="GQR53" s="16"/>
      <c r="GQS53" s="16"/>
      <c r="GQT53" s="16"/>
      <c r="GQU53" s="16"/>
      <c r="GQV53" s="16"/>
      <c r="GQW53" s="16"/>
      <c r="GQX53" s="16"/>
      <c r="GQY53" s="16"/>
      <c r="GQZ53" s="16"/>
      <c r="GRA53" s="16"/>
      <c r="GRB53" s="16"/>
      <c r="GRC53" s="16"/>
      <c r="GRD53" s="16"/>
      <c r="GRE53" s="16"/>
      <c r="GRF53" s="16"/>
      <c r="GRG53" s="16"/>
      <c r="GRH53" s="16"/>
      <c r="GRI53" s="16"/>
      <c r="GRJ53" s="16"/>
      <c r="GRK53" s="16"/>
      <c r="GRL53" s="16"/>
      <c r="GRM53" s="16"/>
      <c r="GRN53" s="16"/>
      <c r="GRO53" s="16"/>
      <c r="GRP53" s="16"/>
      <c r="GRQ53" s="16"/>
      <c r="GRR53" s="16"/>
      <c r="GRS53" s="16"/>
      <c r="GRT53" s="16"/>
      <c r="GRU53" s="16"/>
      <c r="GRV53" s="16"/>
      <c r="GRW53" s="16"/>
      <c r="GRX53" s="16"/>
      <c r="GRY53" s="16"/>
      <c r="GRZ53" s="16"/>
      <c r="GSA53" s="16"/>
      <c r="GSB53" s="16"/>
      <c r="GSC53" s="16"/>
      <c r="GSD53" s="16"/>
      <c r="GSE53" s="16"/>
      <c r="GSF53" s="16"/>
      <c r="GSG53" s="16"/>
      <c r="GSH53" s="16"/>
      <c r="GSI53" s="16"/>
      <c r="GSJ53" s="16"/>
      <c r="GSK53" s="16"/>
      <c r="GSL53" s="16"/>
      <c r="GSM53" s="16"/>
      <c r="GSN53" s="16"/>
      <c r="GSO53" s="16"/>
      <c r="GSP53" s="16"/>
      <c r="GSQ53" s="16"/>
      <c r="GSR53" s="16"/>
      <c r="GSS53" s="16"/>
      <c r="GST53" s="16"/>
      <c r="GSU53" s="16"/>
      <c r="GSV53" s="16"/>
      <c r="GSW53" s="16"/>
      <c r="GSX53" s="16"/>
      <c r="GSY53" s="16"/>
      <c r="GSZ53" s="16"/>
      <c r="GTA53" s="16"/>
      <c r="GTB53" s="16"/>
      <c r="GTC53" s="16"/>
      <c r="GTD53" s="16"/>
      <c r="GTE53" s="16"/>
      <c r="GTF53" s="16"/>
      <c r="GTG53" s="16"/>
      <c r="GTH53" s="16"/>
      <c r="GTI53" s="16"/>
      <c r="GTJ53" s="16"/>
      <c r="GTK53" s="16"/>
      <c r="GTL53" s="16"/>
      <c r="GTM53" s="16"/>
      <c r="GTN53" s="16"/>
      <c r="GTO53" s="16"/>
      <c r="GTP53" s="16"/>
      <c r="GTQ53" s="16"/>
      <c r="GTR53" s="16"/>
      <c r="GTS53" s="16"/>
      <c r="GTT53" s="16"/>
      <c r="GTU53" s="16"/>
      <c r="GTV53" s="16"/>
      <c r="GTW53" s="16"/>
      <c r="GTX53" s="16"/>
      <c r="GTY53" s="16"/>
      <c r="GTZ53" s="16"/>
      <c r="GUA53" s="16"/>
      <c r="GUB53" s="16"/>
      <c r="GUC53" s="16"/>
      <c r="GUD53" s="16"/>
      <c r="GUE53" s="16"/>
      <c r="GUF53" s="16"/>
      <c r="GUG53" s="16"/>
      <c r="GUH53" s="16"/>
      <c r="GUI53" s="16"/>
      <c r="GUJ53" s="16"/>
      <c r="GUK53" s="16"/>
      <c r="GUL53" s="16"/>
      <c r="GUM53" s="16"/>
      <c r="GUN53" s="16"/>
      <c r="GUO53" s="16"/>
      <c r="GUP53" s="16"/>
      <c r="GUQ53" s="16"/>
      <c r="GUR53" s="16"/>
      <c r="GUS53" s="16"/>
      <c r="GUT53" s="16"/>
      <c r="GUU53" s="16"/>
      <c r="GUV53" s="16"/>
      <c r="GUW53" s="16"/>
      <c r="GUX53" s="16"/>
      <c r="GUY53" s="16"/>
      <c r="GUZ53" s="16"/>
      <c r="GVA53" s="16"/>
      <c r="GVB53" s="16"/>
      <c r="GVC53" s="16"/>
      <c r="GVD53" s="16"/>
      <c r="GVE53" s="16"/>
      <c r="GVF53" s="16"/>
      <c r="GVG53" s="16"/>
      <c r="GVH53" s="16"/>
      <c r="GVI53" s="16"/>
      <c r="GVJ53" s="16"/>
      <c r="GVK53" s="16"/>
      <c r="GVL53" s="16"/>
      <c r="GVM53" s="16"/>
      <c r="GVN53" s="16"/>
      <c r="GVO53" s="16"/>
      <c r="GVP53" s="16"/>
      <c r="GVQ53" s="16"/>
      <c r="GVR53" s="16"/>
      <c r="GVS53" s="16"/>
      <c r="GVT53" s="16"/>
      <c r="GVU53" s="16"/>
      <c r="GVV53" s="16"/>
      <c r="GVW53" s="16"/>
      <c r="GVX53" s="16"/>
      <c r="GVY53" s="16"/>
      <c r="GVZ53" s="16"/>
      <c r="GWA53" s="16"/>
      <c r="GWB53" s="16"/>
      <c r="GWC53" s="16"/>
      <c r="GWD53" s="16"/>
      <c r="GWE53" s="16"/>
      <c r="GWF53" s="16"/>
      <c r="GWG53" s="16"/>
      <c r="GWH53" s="16"/>
      <c r="GWI53" s="16"/>
      <c r="GWJ53" s="16"/>
      <c r="GWK53" s="16"/>
      <c r="GWL53" s="16"/>
      <c r="GWM53" s="16"/>
      <c r="GWN53" s="16"/>
      <c r="GWO53" s="16"/>
      <c r="GWP53" s="16"/>
      <c r="GWQ53" s="16"/>
      <c r="GWR53" s="16"/>
      <c r="GWS53" s="16"/>
      <c r="GWT53" s="16"/>
      <c r="GWU53" s="16"/>
      <c r="GWV53" s="16"/>
      <c r="GWW53" s="16"/>
      <c r="GWX53" s="16"/>
      <c r="GWY53" s="16"/>
      <c r="GWZ53" s="16"/>
      <c r="GXA53" s="16"/>
      <c r="GXB53" s="16"/>
      <c r="GXC53" s="16"/>
      <c r="GXD53" s="16"/>
      <c r="GXE53" s="16"/>
      <c r="GXF53" s="16"/>
      <c r="GXG53" s="16"/>
      <c r="GXH53" s="16"/>
      <c r="GXI53" s="16"/>
      <c r="GXJ53" s="16"/>
      <c r="GXK53" s="16"/>
      <c r="GXL53" s="16"/>
      <c r="GXM53" s="16"/>
      <c r="GXN53" s="16"/>
      <c r="GXO53" s="16"/>
      <c r="GXP53" s="16"/>
      <c r="GXQ53" s="16"/>
      <c r="GXR53" s="16"/>
      <c r="GXS53" s="16"/>
      <c r="GXT53" s="16"/>
      <c r="GXU53" s="16"/>
      <c r="GXV53" s="16"/>
      <c r="GXW53" s="16"/>
      <c r="GXX53" s="16"/>
      <c r="GXY53" s="16"/>
      <c r="GXZ53" s="16"/>
      <c r="GYA53" s="16"/>
      <c r="GYB53" s="16"/>
      <c r="GYC53" s="16"/>
      <c r="GYD53" s="16"/>
      <c r="GYE53" s="16"/>
      <c r="GYF53" s="16"/>
      <c r="GYG53" s="16"/>
      <c r="GYH53" s="16"/>
      <c r="GYI53" s="16"/>
      <c r="GYJ53" s="16"/>
      <c r="GYK53" s="16"/>
      <c r="GYL53" s="16"/>
      <c r="GYM53" s="16"/>
      <c r="GYN53" s="16"/>
      <c r="GYO53" s="16"/>
      <c r="GYP53" s="16"/>
      <c r="GYQ53" s="16"/>
      <c r="GYR53" s="16"/>
      <c r="GYS53" s="16"/>
      <c r="GYT53" s="16"/>
      <c r="GYU53" s="16"/>
      <c r="GYV53" s="16"/>
      <c r="GYW53" s="16"/>
      <c r="GYX53" s="16"/>
      <c r="GYY53" s="16"/>
      <c r="GYZ53" s="16"/>
      <c r="GZA53" s="16"/>
      <c r="GZB53" s="16"/>
      <c r="GZC53" s="16"/>
      <c r="GZD53" s="16"/>
      <c r="GZE53" s="16"/>
      <c r="GZF53" s="16"/>
      <c r="GZG53" s="16"/>
      <c r="GZH53" s="16"/>
      <c r="GZI53" s="16"/>
      <c r="GZJ53" s="16"/>
      <c r="GZK53" s="16"/>
      <c r="GZL53" s="16"/>
      <c r="GZM53" s="16"/>
      <c r="GZN53" s="16"/>
      <c r="GZO53" s="16"/>
      <c r="GZP53" s="16"/>
      <c r="GZQ53" s="16"/>
      <c r="GZR53" s="16"/>
      <c r="GZS53" s="16"/>
      <c r="GZT53" s="16"/>
      <c r="GZU53" s="16"/>
      <c r="GZV53" s="16"/>
      <c r="GZW53" s="16"/>
      <c r="GZX53" s="16"/>
      <c r="GZY53" s="16"/>
      <c r="GZZ53" s="16"/>
      <c r="HAA53" s="16"/>
      <c r="HAB53" s="16"/>
      <c r="HAC53" s="16"/>
      <c r="HAD53" s="16"/>
      <c r="HAE53" s="16"/>
      <c r="HAF53" s="16"/>
      <c r="HAG53" s="16"/>
      <c r="HAH53" s="16"/>
      <c r="HAI53" s="16"/>
      <c r="HAJ53" s="16"/>
      <c r="HAK53" s="16"/>
      <c r="HAL53" s="16"/>
      <c r="HAM53" s="16"/>
      <c r="HAN53" s="16"/>
      <c r="HAO53" s="16"/>
      <c r="HAP53" s="16"/>
      <c r="HAQ53" s="16"/>
      <c r="HAR53" s="16"/>
      <c r="HAS53" s="16"/>
      <c r="HAT53" s="16"/>
      <c r="HAU53" s="16"/>
      <c r="HAV53" s="16"/>
      <c r="HAW53" s="16"/>
      <c r="HAX53" s="16"/>
      <c r="HAY53" s="16"/>
      <c r="HAZ53" s="16"/>
      <c r="HBA53" s="16"/>
      <c r="HBB53" s="16"/>
      <c r="HBC53" s="16"/>
      <c r="HBD53" s="16"/>
      <c r="HBE53" s="16"/>
      <c r="HBF53" s="16"/>
      <c r="HBG53" s="16"/>
      <c r="HBH53" s="16"/>
      <c r="HBI53" s="16"/>
      <c r="HBJ53" s="16"/>
      <c r="HBK53" s="16"/>
      <c r="HBL53" s="16"/>
      <c r="HBM53" s="16"/>
      <c r="HBN53" s="16"/>
      <c r="HBO53" s="16"/>
      <c r="HBP53" s="16"/>
      <c r="HBQ53" s="16"/>
      <c r="HBR53" s="16"/>
      <c r="HBS53" s="16"/>
      <c r="HBT53" s="16"/>
      <c r="HBU53" s="16"/>
      <c r="HBV53" s="16"/>
      <c r="HBW53" s="16"/>
      <c r="HBX53" s="16"/>
      <c r="HBY53" s="16"/>
      <c r="HBZ53" s="16"/>
      <c r="HCA53" s="16"/>
      <c r="HCB53" s="16"/>
      <c r="HCC53" s="16"/>
      <c r="HCD53" s="16"/>
      <c r="HCE53" s="16"/>
      <c r="HCF53" s="16"/>
      <c r="HCG53" s="16"/>
      <c r="HCH53" s="16"/>
      <c r="HCI53" s="16"/>
      <c r="HCJ53" s="16"/>
      <c r="HCK53" s="16"/>
      <c r="HCL53" s="16"/>
      <c r="HCM53" s="16"/>
      <c r="HCN53" s="16"/>
      <c r="HCO53" s="16"/>
      <c r="HCP53" s="16"/>
      <c r="HCQ53" s="16"/>
      <c r="HCR53" s="16"/>
      <c r="HCS53" s="16"/>
      <c r="HCT53" s="16"/>
      <c r="HCU53" s="16"/>
      <c r="HCV53" s="16"/>
      <c r="HCW53" s="16"/>
      <c r="HCX53" s="16"/>
      <c r="HCY53" s="16"/>
      <c r="HCZ53" s="16"/>
      <c r="HDA53" s="16"/>
      <c r="HDB53" s="16"/>
      <c r="HDC53" s="16"/>
      <c r="HDD53" s="16"/>
      <c r="HDE53" s="16"/>
      <c r="HDF53" s="16"/>
      <c r="HDG53" s="16"/>
      <c r="HDH53" s="16"/>
      <c r="HDI53" s="16"/>
      <c r="HDJ53" s="16"/>
      <c r="HDK53" s="16"/>
      <c r="HDL53" s="16"/>
      <c r="HDM53" s="16"/>
      <c r="HDN53" s="16"/>
      <c r="HDO53" s="16"/>
      <c r="HDP53" s="16"/>
      <c r="HDQ53" s="16"/>
      <c r="HDR53" s="16"/>
      <c r="HDS53" s="16"/>
      <c r="HDT53" s="16"/>
      <c r="HDU53" s="16"/>
      <c r="HDV53" s="16"/>
      <c r="HDW53" s="16"/>
      <c r="HDX53" s="16"/>
      <c r="HDY53" s="16"/>
      <c r="HDZ53" s="16"/>
      <c r="HEA53" s="16"/>
      <c r="HEB53" s="16"/>
      <c r="HEC53" s="16"/>
      <c r="HED53" s="16"/>
      <c r="HEE53" s="16"/>
      <c r="HEF53" s="16"/>
      <c r="HEG53" s="16"/>
      <c r="HEH53" s="16"/>
      <c r="HEI53" s="16"/>
      <c r="HEJ53" s="16"/>
      <c r="HEK53" s="16"/>
      <c r="HEL53" s="16"/>
      <c r="HEM53" s="16"/>
      <c r="HEN53" s="16"/>
      <c r="HEO53" s="16"/>
      <c r="HEP53" s="16"/>
      <c r="HEQ53" s="16"/>
      <c r="HER53" s="16"/>
      <c r="HES53" s="16"/>
      <c r="HET53" s="16"/>
      <c r="HEU53" s="16"/>
      <c r="HEV53" s="16"/>
      <c r="HEW53" s="16"/>
      <c r="HEX53" s="16"/>
      <c r="HEY53" s="16"/>
      <c r="HEZ53" s="16"/>
      <c r="HFA53" s="16"/>
      <c r="HFB53" s="16"/>
      <c r="HFC53" s="16"/>
      <c r="HFD53" s="16"/>
      <c r="HFE53" s="16"/>
      <c r="HFF53" s="16"/>
      <c r="HFG53" s="16"/>
      <c r="HFH53" s="16"/>
      <c r="HFI53" s="16"/>
      <c r="HFJ53" s="16"/>
      <c r="HFK53" s="16"/>
      <c r="HFL53" s="16"/>
      <c r="HFM53" s="16"/>
      <c r="HFN53" s="16"/>
      <c r="HFO53" s="16"/>
      <c r="HFP53" s="16"/>
      <c r="HFQ53" s="16"/>
      <c r="HFR53" s="16"/>
      <c r="HFS53" s="16"/>
      <c r="HFT53" s="16"/>
      <c r="HFU53" s="16"/>
      <c r="HFV53" s="16"/>
      <c r="HFW53" s="16"/>
      <c r="HFX53" s="16"/>
      <c r="HFY53" s="16"/>
      <c r="HFZ53" s="16"/>
      <c r="HGA53" s="16"/>
      <c r="HGB53" s="16"/>
      <c r="HGC53" s="16"/>
      <c r="HGD53" s="16"/>
      <c r="HGE53" s="16"/>
      <c r="HGF53" s="16"/>
      <c r="HGG53" s="16"/>
      <c r="HGH53" s="16"/>
      <c r="HGI53" s="16"/>
      <c r="HGJ53" s="16"/>
      <c r="HGK53" s="16"/>
      <c r="HGL53" s="16"/>
      <c r="HGM53" s="16"/>
      <c r="HGN53" s="16"/>
      <c r="HGO53" s="16"/>
      <c r="HGP53" s="16"/>
      <c r="HGQ53" s="16"/>
      <c r="HGR53" s="16"/>
      <c r="HGS53" s="16"/>
      <c r="HGT53" s="16"/>
      <c r="HGU53" s="16"/>
      <c r="HGV53" s="16"/>
      <c r="HGW53" s="16"/>
      <c r="HGX53" s="16"/>
      <c r="HGY53" s="16"/>
      <c r="HGZ53" s="16"/>
      <c r="HHA53" s="16"/>
      <c r="HHB53" s="16"/>
      <c r="HHC53" s="16"/>
      <c r="HHD53" s="16"/>
      <c r="HHE53" s="16"/>
      <c r="HHF53" s="16"/>
      <c r="HHG53" s="16"/>
      <c r="HHH53" s="16"/>
      <c r="HHI53" s="16"/>
      <c r="HHJ53" s="16"/>
      <c r="HHK53" s="16"/>
      <c r="HHL53" s="16"/>
      <c r="HHM53" s="16"/>
      <c r="HHN53" s="16"/>
      <c r="HHO53" s="16"/>
      <c r="HHP53" s="16"/>
      <c r="HHQ53" s="16"/>
      <c r="HHR53" s="16"/>
      <c r="HHS53" s="16"/>
      <c r="HHT53" s="16"/>
      <c r="HHU53" s="16"/>
      <c r="HHV53" s="16"/>
      <c r="HHW53" s="16"/>
      <c r="HHX53" s="16"/>
      <c r="HHY53" s="16"/>
      <c r="HHZ53" s="16"/>
      <c r="HIA53" s="16"/>
      <c r="HIB53" s="16"/>
      <c r="HIC53" s="16"/>
      <c r="HID53" s="16"/>
      <c r="HIE53" s="16"/>
      <c r="HIF53" s="16"/>
      <c r="HIG53" s="16"/>
      <c r="HIH53" s="16"/>
      <c r="HII53" s="16"/>
      <c r="HIJ53" s="16"/>
      <c r="HIK53" s="16"/>
      <c r="HIL53" s="16"/>
      <c r="HIM53" s="16"/>
      <c r="HIN53" s="16"/>
      <c r="HIO53" s="16"/>
      <c r="HIP53" s="16"/>
      <c r="HIQ53" s="16"/>
      <c r="HIR53" s="16"/>
      <c r="HIS53" s="16"/>
      <c r="HIT53" s="16"/>
      <c r="HIU53" s="16"/>
      <c r="HIV53" s="16"/>
      <c r="HIW53" s="16"/>
      <c r="HIX53" s="16"/>
      <c r="HIY53" s="16"/>
      <c r="HIZ53" s="16"/>
      <c r="HJA53" s="16"/>
      <c r="HJB53" s="16"/>
      <c r="HJC53" s="16"/>
      <c r="HJD53" s="16"/>
      <c r="HJE53" s="16"/>
      <c r="HJF53" s="16"/>
      <c r="HJG53" s="16"/>
      <c r="HJH53" s="16"/>
      <c r="HJI53" s="16"/>
      <c r="HJJ53" s="16"/>
      <c r="HJK53" s="16"/>
      <c r="HJL53" s="16"/>
      <c r="HJM53" s="16"/>
      <c r="HJN53" s="16"/>
      <c r="HJO53" s="16"/>
      <c r="HJP53" s="16"/>
      <c r="HJQ53" s="16"/>
      <c r="HJR53" s="16"/>
      <c r="HJS53" s="16"/>
      <c r="HJT53" s="16"/>
      <c r="HJU53" s="16"/>
      <c r="HJV53" s="16"/>
      <c r="HJW53" s="16"/>
      <c r="HJX53" s="16"/>
      <c r="HJY53" s="16"/>
      <c r="HJZ53" s="16"/>
      <c r="HKA53" s="16"/>
      <c r="HKB53" s="16"/>
      <c r="HKC53" s="16"/>
      <c r="HKD53" s="16"/>
      <c r="HKE53" s="16"/>
      <c r="HKF53" s="16"/>
      <c r="HKG53" s="16"/>
      <c r="HKH53" s="16"/>
      <c r="HKI53" s="16"/>
      <c r="HKJ53" s="16"/>
      <c r="HKK53" s="16"/>
      <c r="HKL53" s="16"/>
      <c r="HKM53" s="16"/>
      <c r="HKN53" s="16"/>
      <c r="HKO53" s="16"/>
      <c r="HKP53" s="16"/>
      <c r="HKQ53" s="16"/>
      <c r="HKR53" s="16"/>
      <c r="HKS53" s="16"/>
      <c r="HKT53" s="16"/>
      <c r="HKU53" s="16"/>
      <c r="HKV53" s="16"/>
      <c r="HKW53" s="16"/>
      <c r="HKX53" s="16"/>
      <c r="HKY53" s="16"/>
      <c r="HKZ53" s="16"/>
      <c r="HLA53" s="16"/>
      <c r="HLB53" s="16"/>
      <c r="HLC53" s="16"/>
      <c r="HLD53" s="16"/>
      <c r="HLE53" s="16"/>
      <c r="HLF53" s="16"/>
      <c r="HLG53" s="16"/>
      <c r="HLH53" s="16"/>
      <c r="HLI53" s="16"/>
      <c r="HLJ53" s="16"/>
      <c r="HLK53" s="16"/>
      <c r="HLL53" s="16"/>
      <c r="HLM53" s="16"/>
      <c r="HLN53" s="16"/>
      <c r="HLO53" s="16"/>
      <c r="HLP53" s="16"/>
      <c r="HLQ53" s="16"/>
      <c r="HLR53" s="16"/>
      <c r="HLS53" s="16"/>
      <c r="HLT53" s="16"/>
      <c r="HLU53" s="16"/>
      <c r="HLV53" s="16"/>
      <c r="HLW53" s="16"/>
      <c r="HLX53" s="16"/>
      <c r="HLY53" s="16"/>
      <c r="HLZ53" s="16"/>
      <c r="HMA53" s="16"/>
      <c r="HMB53" s="16"/>
      <c r="HMC53" s="16"/>
      <c r="HMD53" s="16"/>
      <c r="HME53" s="16"/>
      <c r="HMF53" s="16"/>
      <c r="HMG53" s="16"/>
      <c r="HMH53" s="16"/>
      <c r="HMI53" s="16"/>
      <c r="HMJ53" s="16"/>
      <c r="HMK53" s="16"/>
      <c r="HML53" s="16"/>
      <c r="HMM53" s="16"/>
      <c r="HMN53" s="16"/>
      <c r="HMO53" s="16"/>
      <c r="HMP53" s="16"/>
      <c r="HMQ53" s="16"/>
      <c r="HMR53" s="16"/>
      <c r="HMS53" s="16"/>
      <c r="HMT53" s="16"/>
      <c r="HMU53" s="16"/>
      <c r="HMV53" s="16"/>
      <c r="HMW53" s="16"/>
      <c r="HMX53" s="16"/>
      <c r="HMY53" s="16"/>
      <c r="HMZ53" s="16"/>
      <c r="HNA53" s="16"/>
      <c r="HNB53" s="16"/>
      <c r="HNC53" s="16"/>
      <c r="HND53" s="16"/>
      <c r="HNE53" s="16"/>
      <c r="HNF53" s="16"/>
      <c r="HNG53" s="16"/>
      <c r="HNH53" s="16"/>
      <c r="HNI53" s="16"/>
      <c r="HNJ53" s="16"/>
      <c r="HNK53" s="16"/>
      <c r="HNL53" s="16"/>
      <c r="HNM53" s="16"/>
      <c r="HNN53" s="16"/>
      <c r="HNO53" s="16"/>
      <c r="HNP53" s="16"/>
      <c r="HNQ53" s="16"/>
      <c r="HNR53" s="16"/>
      <c r="HNS53" s="16"/>
      <c r="HNT53" s="16"/>
      <c r="HNU53" s="16"/>
      <c r="HNV53" s="16"/>
      <c r="HNW53" s="16"/>
      <c r="HNX53" s="16"/>
      <c r="HNY53" s="16"/>
      <c r="HNZ53" s="16"/>
      <c r="HOA53" s="16"/>
      <c r="HOB53" s="16"/>
      <c r="HOC53" s="16"/>
      <c r="HOD53" s="16"/>
      <c r="HOE53" s="16"/>
      <c r="HOF53" s="16"/>
      <c r="HOG53" s="16"/>
      <c r="HOH53" s="16"/>
      <c r="HOI53" s="16"/>
      <c r="HOJ53" s="16"/>
      <c r="HOK53" s="16"/>
      <c r="HOL53" s="16"/>
      <c r="HOM53" s="16"/>
      <c r="HON53" s="16"/>
      <c r="HOO53" s="16"/>
      <c r="HOP53" s="16"/>
      <c r="HOQ53" s="16"/>
      <c r="HOR53" s="16"/>
      <c r="HOS53" s="16"/>
      <c r="HOT53" s="16"/>
      <c r="HOU53" s="16"/>
      <c r="HOV53" s="16"/>
      <c r="HOW53" s="16"/>
      <c r="HOX53" s="16"/>
      <c r="HOY53" s="16"/>
      <c r="HOZ53" s="16"/>
      <c r="HPA53" s="16"/>
      <c r="HPB53" s="16"/>
      <c r="HPC53" s="16"/>
      <c r="HPD53" s="16"/>
      <c r="HPE53" s="16"/>
      <c r="HPF53" s="16"/>
      <c r="HPG53" s="16"/>
      <c r="HPH53" s="16"/>
      <c r="HPI53" s="16"/>
      <c r="HPJ53" s="16"/>
      <c r="HPK53" s="16"/>
      <c r="HPL53" s="16"/>
      <c r="HPM53" s="16"/>
      <c r="HPN53" s="16"/>
      <c r="HPO53" s="16"/>
      <c r="HPP53" s="16"/>
      <c r="HPQ53" s="16"/>
      <c r="HPR53" s="16"/>
      <c r="HPS53" s="16"/>
      <c r="HPT53" s="16"/>
      <c r="HPU53" s="16"/>
      <c r="HPV53" s="16"/>
      <c r="HPW53" s="16"/>
      <c r="HPX53" s="16"/>
      <c r="HPY53" s="16"/>
      <c r="HPZ53" s="16"/>
      <c r="HQA53" s="16"/>
      <c r="HQB53" s="16"/>
      <c r="HQC53" s="16"/>
      <c r="HQD53" s="16"/>
      <c r="HQE53" s="16"/>
      <c r="HQF53" s="16"/>
      <c r="HQG53" s="16"/>
      <c r="HQH53" s="16"/>
      <c r="HQI53" s="16"/>
      <c r="HQJ53" s="16"/>
      <c r="HQK53" s="16"/>
      <c r="HQL53" s="16"/>
      <c r="HQM53" s="16"/>
      <c r="HQN53" s="16"/>
      <c r="HQO53" s="16"/>
      <c r="HQP53" s="16"/>
      <c r="HQQ53" s="16"/>
      <c r="HQR53" s="16"/>
      <c r="HQS53" s="16"/>
      <c r="HQT53" s="16"/>
      <c r="HQU53" s="16"/>
      <c r="HQV53" s="16"/>
      <c r="HQW53" s="16"/>
      <c r="HQX53" s="16"/>
      <c r="HQY53" s="16"/>
      <c r="HQZ53" s="16"/>
      <c r="HRA53" s="16"/>
      <c r="HRB53" s="16"/>
      <c r="HRC53" s="16"/>
      <c r="HRD53" s="16"/>
      <c r="HRE53" s="16"/>
      <c r="HRF53" s="16"/>
      <c r="HRG53" s="16"/>
      <c r="HRH53" s="16"/>
      <c r="HRI53" s="16"/>
      <c r="HRJ53" s="16"/>
      <c r="HRK53" s="16"/>
      <c r="HRL53" s="16"/>
      <c r="HRM53" s="16"/>
      <c r="HRN53" s="16"/>
      <c r="HRO53" s="16"/>
      <c r="HRP53" s="16"/>
      <c r="HRQ53" s="16"/>
      <c r="HRR53" s="16"/>
      <c r="HRS53" s="16"/>
      <c r="HRT53" s="16"/>
      <c r="HRU53" s="16"/>
      <c r="HRV53" s="16"/>
      <c r="HRW53" s="16"/>
      <c r="HRX53" s="16"/>
      <c r="HRY53" s="16"/>
      <c r="HRZ53" s="16"/>
      <c r="HSA53" s="16"/>
      <c r="HSB53" s="16"/>
      <c r="HSC53" s="16"/>
      <c r="HSD53" s="16"/>
      <c r="HSE53" s="16"/>
      <c r="HSF53" s="16"/>
      <c r="HSG53" s="16"/>
      <c r="HSH53" s="16"/>
      <c r="HSI53" s="16"/>
      <c r="HSJ53" s="16"/>
      <c r="HSK53" s="16"/>
      <c r="HSL53" s="16"/>
      <c r="HSM53" s="16"/>
      <c r="HSN53" s="16"/>
      <c r="HSO53" s="16"/>
      <c r="HSP53" s="16"/>
      <c r="HSQ53" s="16"/>
      <c r="HSR53" s="16"/>
      <c r="HSS53" s="16"/>
      <c r="HST53" s="16"/>
      <c r="HSU53" s="16"/>
      <c r="HSV53" s="16"/>
      <c r="HSW53" s="16"/>
      <c r="HSX53" s="16"/>
      <c r="HSY53" s="16"/>
      <c r="HSZ53" s="16"/>
      <c r="HTA53" s="16"/>
      <c r="HTB53" s="16"/>
      <c r="HTC53" s="16"/>
      <c r="HTD53" s="16"/>
      <c r="HTE53" s="16"/>
      <c r="HTF53" s="16"/>
      <c r="HTG53" s="16"/>
      <c r="HTH53" s="16"/>
      <c r="HTI53" s="16"/>
      <c r="HTJ53" s="16"/>
      <c r="HTK53" s="16"/>
      <c r="HTL53" s="16"/>
      <c r="HTM53" s="16"/>
      <c r="HTN53" s="16"/>
      <c r="HTO53" s="16"/>
      <c r="HTP53" s="16"/>
      <c r="HTQ53" s="16"/>
      <c r="HTR53" s="16"/>
      <c r="HTS53" s="16"/>
      <c r="HTT53" s="16"/>
      <c r="HTU53" s="16"/>
      <c r="HTV53" s="16"/>
      <c r="HTW53" s="16"/>
      <c r="HTX53" s="16"/>
      <c r="HTY53" s="16"/>
      <c r="HTZ53" s="16"/>
      <c r="HUA53" s="16"/>
      <c r="HUB53" s="16"/>
      <c r="HUC53" s="16"/>
      <c r="HUD53" s="16"/>
      <c r="HUE53" s="16"/>
      <c r="HUF53" s="16"/>
      <c r="HUG53" s="16"/>
      <c r="HUH53" s="16"/>
      <c r="HUI53" s="16"/>
      <c r="HUJ53" s="16"/>
      <c r="HUK53" s="16"/>
      <c r="HUL53" s="16"/>
      <c r="HUM53" s="16"/>
      <c r="HUN53" s="16"/>
      <c r="HUO53" s="16"/>
      <c r="HUP53" s="16"/>
      <c r="HUQ53" s="16"/>
      <c r="HUR53" s="16"/>
      <c r="HUS53" s="16"/>
      <c r="HUT53" s="16"/>
      <c r="HUU53" s="16"/>
      <c r="HUV53" s="16"/>
      <c r="HUW53" s="16"/>
      <c r="HUX53" s="16"/>
      <c r="HUY53" s="16"/>
      <c r="HUZ53" s="16"/>
      <c r="HVA53" s="16"/>
      <c r="HVB53" s="16"/>
      <c r="HVC53" s="16"/>
      <c r="HVD53" s="16"/>
      <c r="HVE53" s="16"/>
      <c r="HVF53" s="16"/>
      <c r="HVG53" s="16"/>
      <c r="HVH53" s="16"/>
      <c r="HVI53" s="16"/>
      <c r="HVJ53" s="16"/>
      <c r="HVK53" s="16"/>
      <c r="HVL53" s="16"/>
      <c r="HVM53" s="16"/>
      <c r="HVN53" s="16"/>
      <c r="HVO53" s="16"/>
      <c r="HVP53" s="16"/>
      <c r="HVQ53" s="16"/>
      <c r="HVR53" s="16"/>
      <c r="HVS53" s="16"/>
      <c r="HVT53" s="16"/>
      <c r="HVU53" s="16"/>
      <c r="HVV53" s="16"/>
      <c r="HVW53" s="16"/>
      <c r="HVX53" s="16"/>
      <c r="HVY53" s="16"/>
      <c r="HVZ53" s="16"/>
      <c r="HWA53" s="16"/>
      <c r="HWB53" s="16"/>
      <c r="HWC53" s="16"/>
      <c r="HWD53" s="16"/>
      <c r="HWE53" s="16"/>
      <c r="HWF53" s="16"/>
      <c r="HWG53" s="16"/>
      <c r="HWH53" s="16"/>
      <c r="HWI53" s="16"/>
      <c r="HWJ53" s="16"/>
      <c r="HWK53" s="16"/>
      <c r="HWL53" s="16"/>
      <c r="HWM53" s="16"/>
      <c r="HWN53" s="16"/>
      <c r="HWO53" s="16"/>
      <c r="HWP53" s="16"/>
      <c r="HWQ53" s="16"/>
      <c r="HWR53" s="16"/>
      <c r="HWS53" s="16"/>
      <c r="HWT53" s="16"/>
      <c r="HWU53" s="16"/>
      <c r="HWV53" s="16"/>
      <c r="HWW53" s="16"/>
      <c r="HWX53" s="16"/>
      <c r="HWY53" s="16"/>
      <c r="HWZ53" s="16"/>
      <c r="HXA53" s="16"/>
      <c r="HXB53" s="16"/>
      <c r="HXC53" s="16"/>
      <c r="HXD53" s="16"/>
      <c r="HXE53" s="16"/>
      <c r="HXF53" s="16"/>
      <c r="HXG53" s="16"/>
      <c r="HXH53" s="16"/>
      <c r="HXI53" s="16"/>
      <c r="HXJ53" s="16"/>
      <c r="HXK53" s="16"/>
      <c r="HXL53" s="16"/>
      <c r="HXM53" s="16"/>
      <c r="HXN53" s="16"/>
      <c r="HXO53" s="16"/>
      <c r="HXP53" s="16"/>
      <c r="HXQ53" s="16"/>
      <c r="HXR53" s="16"/>
      <c r="HXS53" s="16"/>
      <c r="HXT53" s="16"/>
      <c r="HXU53" s="16"/>
      <c r="HXV53" s="16"/>
      <c r="HXW53" s="16"/>
      <c r="HXX53" s="16"/>
      <c r="HXY53" s="16"/>
      <c r="HXZ53" s="16"/>
      <c r="HYA53" s="16"/>
      <c r="HYB53" s="16"/>
      <c r="HYC53" s="16"/>
      <c r="HYD53" s="16"/>
      <c r="HYE53" s="16"/>
      <c r="HYF53" s="16"/>
      <c r="HYG53" s="16"/>
      <c r="HYH53" s="16"/>
      <c r="HYI53" s="16"/>
      <c r="HYJ53" s="16"/>
      <c r="HYK53" s="16"/>
      <c r="HYL53" s="16"/>
      <c r="HYM53" s="16"/>
      <c r="HYN53" s="16"/>
      <c r="HYO53" s="16"/>
      <c r="HYP53" s="16"/>
      <c r="HYQ53" s="16"/>
      <c r="HYR53" s="16"/>
      <c r="HYS53" s="16"/>
      <c r="HYT53" s="16"/>
      <c r="HYU53" s="16"/>
      <c r="HYV53" s="16"/>
      <c r="HYW53" s="16"/>
      <c r="HYX53" s="16"/>
      <c r="HYY53" s="16"/>
      <c r="HYZ53" s="16"/>
      <c r="HZA53" s="16"/>
      <c r="HZB53" s="16"/>
      <c r="HZC53" s="16"/>
      <c r="HZD53" s="16"/>
      <c r="HZE53" s="16"/>
      <c r="HZF53" s="16"/>
      <c r="HZG53" s="16"/>
      <c r="HZH53" s="16"/>
      <c r="HZI53" s="16"/>
      <c r="HZJ53" s="16"/>
      <c r="HZK53" s="16"/>
      <c r="HZL53" s="16"/>
      <c r="HZM53" s="16"/>
      <c r="HZN53" s="16"/>
      <c r="HZO53" s="16"/>
      <c r="HZP53" s="16"/>
      <c r="HZQ53" s="16"/>
      <c r="HZR53" s="16"/>
      <c r="HZS53" s="16"/>
      <c r="HZT53" s="16"/>
      <c r="HZU53" s="16"/>
      <c r="HZV53" s="16"/>
      <c r="HZW53" s="16"/>
      <c r="HZX53" s="16"/>
      <c r="HZY53" s="16"/>
      <c r="HZZ53" s="16"/>
      <c r="IAA53" s="16"/>
      <c r="IAB53" s="16"/>
      <c r="IAC53" s="16"/>
      <c r="IAD53" s="16"/>
      <c r="IAE53" s="16"/>
      <c r="IAF53" s="16"/>
      <c r="IAG53" s="16"/>
      <c r="IAH53" s="16"/>
      <c r="IAI53" s="16"/>
      <c r="IAJ53" s="16"/>
      <c r="IAK53" s="16"/>
      <c r="IAL53" s="16"/>
      <c r="IAM53" s="16"/>
      <c r="IAN53" s="16"/>
      <c r="IAO53" s="16"/>
      <c r="IAP53" s="16"/>
      <c r="IAQ53" s="16"/>
      <c r="IAR53" s="16"/>
      <c r="IAS53" s="16"/>
      <c r="IAT53" s="16"/>
      <c r="IAU53" s="16"/>
      <c r="IAV53" s="16"/>
      <c r="IAW53" s="16"/>
      <c r="IAX53" s="16"/>
      <c r="IAY53" s="16"/>
      <c r="IAZ53" s="16"/>
      <c r="IBA53" s="16"/>
      <c r="IBB53" s="16"/>
      <c r="IBC53" s="16"/>
      <c r="IBD53" s="16"/>
      <c r="IBE53" s="16"/>
      <c r="IBF53" s="16"/>
      <c r="IBG53" s="16"/>
      <c r="IBH53" s="16"/>
      <c r="IBI53" s="16"/>
      <c r="IBJ53" s="16"/>
      <c r="IBK53" s="16"/>
      <c r="IBL53" s="16"/>
      <c r="IBM53" s="16"/>
      <c r="IBN53" s="16"/>
      <c r="IBO53" s="16"/>
      <c r="IBP53" s="16"/>
      <c r="IBQ53" s="16"/>
      <c r="IBR53" s="16"/>
      <c r="IBS53" s="16"/>
      <c r="IBT53" s="16"/>
      <c r="IBU53" s="16"/>
      <c r="IBV53" s="16"/>
      <c r="IBW53" s="16"/>
      <c r="IBX53" s="16"/>
      <c r="IBY53" s="16"/>
      <c r="IBZ53" s="16"/>
      <c r="ICA53" s="16"/>
      <c r="ICB53" s="16"/>
      <c r="ICC53" s="16"/>
      <c r="ICD53" s="16"/>
      <c r="ICE53" s="16"/>
      <c r="ICF53" s="16"/>
      <c r="ICG53" s="16"/>
      <c r="ICH53" s="16"/>
      <c r="ICI53" s="16"/>
      <c r="ICJ53" s="16"/>
      <c r="ICK53" s="16"/>
      <c r="ICL53" s="16"/>
      <c r="ICM53" s="16"/>
      <c r="ICN53" s="16"/>
      <c r="ICO53" s="16"/>
      <c r="ICP53" s="16"/>
      <c r="ICQ53" s="16"/>
      <c r="ICR53" s="16"/>
      <c r="ICS53" s="16"/>
      <c r="ICT53" s="16"/>
      <c r="ICU53" s="16"/>
      <c r="ICV53" s="16"/>
      <c r="ICW53" s="16"/>
      <c r="ICX53" s="16"/>
      <c r="ICY53" s="16"/>
      <c r="ICZ53" s="16"/>
      <c r="IDA53" s="16"/>
      <c r="IDB53" s="16"/>
      <c r="IDC53" s="16"/>
      <c r="IDD53" s="16"/>
      <c r="IDE53" s="16"/>
      <c r="IDF53" s="16"/>
      <c r="IDG53" s="16"/>
      <c r="IDH53" s="16"/>
      <c r="IDI53" s="16"/>
      <c r="IDJ53" s="16"/>
      <c r="IDK53" s="16"/>
      <c r="IDL53" s="16"/>
      <c r="IDM53" s="16"/>
      <c r="IDN53" s="16"/>
      <c r="IDO53" s="16"/>
      <c r="IDP53" s="16"/>
      <c r="IDQ53" s="16"/>
      <c r="IDR53" s="16"/>
      <c r="IDS53" s="16"/>
      <c r="IDT53" s="16"/>
      <c r="IDU53" s="16"/>
      <c r="IDV53" s="16"/>
      <c r="IDW53" s="16"/>
      <c r="IDX53" s="16"/>
      <c r="IDY53" s="16"/>
      <c r="IDZ53" s="16"/>
      <c r="IEA53" s="16"/>
      <c r="IEB53" s="16"/>
      <c r="IEC53" s="16"/>
      <c r="IED53" s="16"/>
      <c r="IEE53" s="16"/>
      <c r="IEF53" s="16"/>
      <c r="IEG53" s="16"/>
      <c r="IEH53" s="16"/>
      <c r="IEI53" s="16"/>
      <c r="IEJ53" s="16"/>
      <c r="IEK53" s="16"/>
      <c r="IEL53" s="16"/>
      <c r="IEM53" s="16"/>
      <c r="IEN53" s="16"/>
      <c r="IEO53" s="16"/>
      <c r="IEP53" s="16"/>
      <c r="IEQ53" s="16"/>
      <c r="IER53" s="16"/>
      <c r="IES53" s="16"/>
      <c r="IET53" s="16"/>
      <c r="IEU53" s="16"/>
      <c r="IEV53" s="16"/>
      <c r="IEW53" s="16"/>
      <c r="IEX53" s="16"/>
      <c r="IEY53" s="16"/>
      <c r="IEZ53" s="16"/>
      <c r="IFA53" s="16"/>
      <c r="IFB53" s="16"/>
      <c r="IFC53" s="16"/>
      <c r="IFD53" s="16"/>
      <c r="IFE53" s="16"/>
      <c r="IFF53" s="16"/>
      <c r="IFG53" s="16"/>
      <c r="IFH53" s="16"/>
      <c r="IFI53" s="16"/>
      <c r="IFJ53" s="16"/>
      <c r="IFK53" s="16"/>
      <c r="IFL53" s="16"/>
      <c r="IFM53" s="16"/>
      <c r="IFN53" s="16"/>
      <c r="IFO53" s="16"/>
      <c r="IFP53" s="16"/>
      <c r="IFQ53" s="16"/>
      <c r="IFR53" s="16"/>
      <c r="IFS53" s="16"/>
      <c r="IFT53" s="16"/>
      <c r="IFU53" s="16"/>
      <c r="IFV53" s="16"/>
      <c r="IFW53" s="16"/>
      <c r="IFX53" s="16"/>
      <c r="IFY53" s="16"/>
      <c r="IFZ53" s="16"/>
      <c r="IGA53" s="16"/>
      <c r="IGB53" s="16"/>
      <c r="IGC53" s="16"/>
      <c r="IGD53" s="16"/>
      <c r="IGE53" s="16"/>
      <c r="IGF53" s="16"/>
      <c r="IGG53" s="16"/>
      <c r="IGH53" s="16"/>
      <c r="IGI53" s="16"/>
      <c r="IGJ53" s="16"/>
      <c r="IGK53" s="16"/>
      <c r="IGL53" s="16"/>
      <c r="IGM53" s="16"/>
      <c r="IGN53" s="16"/>
      <c r="IGO53" s="16"/>
      <c r="IGP53" s="16"/>
      <c r="IGQ53" s="16"/>
      <c r="IGR53" s="16"/>
      <c r="IGS53" s="16"/>
      <c r="IGT53" s="16"/>
      <c r="IGU53" s="16"/>
      <c r="IGV53" s="16"/>
      <c r="IGW53" s="16"/>
      <c r="IGX53" s="16"/>
      <c r="IGY53" s="16"/>
      <c r="IGZ53" s="16"/>
      <c r="IHA53" s="16"/>
      <c r="IHB53" s="16"/>
      <c r="IHC53" s="16"/>
      <c r="IHD53" s="16"/>
      <c r="IHE53" s="16"/>
      <c r="IHF53" s="16"/>
      <c r="IHG53" s="16"/>
      <c r="IHH53" s="16"/>
      <c r="IHI53" s="16"/>
      <c r="IHJ53" s="16"/>
      <c r="IHK53" s="16"/>
      <c r="IHL53" s="16"/>
      <c r="IHM53" s="16"/>
      <c r="IHN53" s="16"/>
      <c r="IHO53" s="16"/>
      <c r="IHP53" s="16"/>
      <c r="IHQ53" s="16"/>
      <c r="IHR53" s="16"/>
      <c r="IHS53" s="16"/>
      <c r="IHT53" s="16"/>
      <c r="IHU53" s="16"/>
      <c r="IHV53" s="16"/>
      <c r="IHW53" s="16"/>
      <c r="IHX53" s="16"/>
      <c r="IHY53" s="16"/>
      <c r="IHZ53" s="16"/>
      <c r="IIA53" s="16"/>
      <c r="IIB53" s="16"/>
      <c r="IIC53" s="16"/>
      <c r="IID53" s="16"/>
      <c r="IIE53" s="16"/>
      <c r="IIF53" s="16"/>
      <c r="IIG53" s="16"/>
      <c r="IIH53" s="16"/>
      <c r="III53" s="16"/>
      <c r="IIJ53" s="16"/>
      <c r="IIK53" s="16"/>
      <c r="IIL53" s="16"/>
      <c r="IIM53" s="16"/>
      <c r="IIN53" s="16"/>
      <c r="IIO53" s="16"/>
      <c r="IIP53" s="16"/>
      <c r="IIQ53" s="16"/>
      <c r="IIR53" s="16"/>
      <c r="IIS53" s="16"/>
      <c r="IIT53" s="16"/>
      <c r="IIU53" s="16"/>
      <c r="IIV53" s="16"/>
      <c r="IIW53" s="16"/>
      <c r="IIX53" s="16"/>
      <c r="IIY53" s="16"/>
      <c r="IIZ53" s="16"/>
      <c r="IJA53" s="16"/>
      <c r="IJB53" s="16"/>
      <c r="IJC53" s="16"/>
      <c r="IJD53" s="16"/>
      <c r="IJE53" s="16"/>
      <c r="IJF53" s="16"/>
      <c r="IJG53" s="16"/>
      <c r="IJH53" s="16"/>
      <c r="IJI53" s="16"/>
      <c r="IJJ53" s="16"/>
      <c r="IJK53" s="16"/>
      <c r="IJL53" s="16"/>
      <c r="IJM53" s="16"/>
      <c r="IJN53" s="16"/>
      <c r="IJO53" s="16"/>
      <c r="IJP53" s="16"/>
      <c r="IJQ53" s="16"/>
      <c r="IJR53" s="16"/>
      <c r="IJS53" s="16"/>
      <c r="IJT53" s="16"/>
      <c r="IJU53" s="16"/>
      <c r="IJV53" s="16"/>
      <c r="IJW53" s="16"/>
      <c r="IJX53" s="16"/>
      <c r="IJY53" s="16"/>
      <c r="IJZ53" s="16"/>
      <c r="IKA53" s="16"/>
      <c r="IKB53" s="16"/>
      <c r="IKC53" s="16"/>
      <c r="IKD53" s="16"/>
      <c r="IKE53" s="16"/>
      <c r="IKF53" s="16"/>
      <c r="IKG53" s="16"/>
      <c r="IKH53" s="16"/>
      <c r="IKI53" s="16"/>
      <c r="IKJ53" s="16"/>
      <c r="IKK53" s="16"/>
      <c r="IKL53" s="16"/>
      <c r="IKM53" s="16"/>
      <c r="IKN53" s="16"/>
      <c r="IKO53" s="16"/>
      <c r="IKP53" s="16"/>
      <c r="IKQ53" s="16"/>
      <c r="IKR53" s="16"/>
      <c r="IKS53" s="16"/>
      <c r="IKT53" s="16"/>
      <c r="IKU53" s="16"/>
      <c r="IKV53" s="16"/>
      <c r="IKW53" s="16"/>
      <c r="IKX53" s="16"/>
      <c r="IKY53" s="16"/>
      <c r="IKZ53" s="16"/>
      <c r="ILA53" s="16"/>
      <c r="ILB53" s="16"/>
      <c r="ILC53" s="16"/>
      <c r="ILD53" s="16"/>
      <c r="ILE53" s="16"/>
      <c r="ILF53" s="16"/>
      <c r="ILG53" s="16"/>
      <c r="ILH53" s="16"/>
      <c r="ILI53" s="16"/>
      <c r="ILJ53" s="16"/>
      <c r="ILK53" s="16"/>
      <c r="ILL53" s="16"/>
      <c r="ILM53" s="16"/>
      <c r="ILN53" s="16"/>
      <c r="ILO53" s="16"/>
      <c r="ILP53" s="16"/>
      <c r="ILQ53" s="16"/>
      <c r="ILR53" s="16"/>
      <c r="ILS53" s="16"/>
      <c r="ILT53" s="16"/>
      <c r="ILU53" s="16"/>
      <c r="ILV53" s="16"/>
      <c r="ILW53" s="16"/>
      <c r="ILX53" s="16"/>
      <c r="ILY53" s="16"/>
      <c r="ILZ53" s="16"/>
      <c r="IMA53" s="16"/>
      <c r="IMB53" s="16"/>
      <c r="IMC53" s="16"/>
      <c r="IMD53" s="16"/>
      <c r="IME53" s="16"/>
      <c r="IMF53" s="16"/>
      <c r="IMG53" s="16"/>
      <c r="IMH53" s="16"/>
      <c r="IMI53" s="16"/>
      <c r="IMJ53" s="16"/>
      <c r="IMK53" s="16"/>
      <c r="IML53" s="16"/>
      <c r="IMM53" s="16"/>
      <c r="IMN53" s="16"/>
      <c r="IMO53" s="16"/>
      <c r="IMP53" s="16"/>
      <c r="IMQ53" s="16"/>
      <c r="IMR53" s="16"/>
      <c r="IMS53" s="16"/>
      <c r="IMT53" s="16"/>
      <c r="IMU53" s="16"/>
      <c r="IMV53" s="16"/>
      <c r="IMW53" s="16"/>
      <c r="IMX53" s="16"/>
      <c r="IMY53" s="16"/>
      <c r="IMZ53" s="16"/>
      <c r="INA53" s="16"/>
      <c r="INB53" s="16"/>
      <c r="INC53" s="16"/>
      <c r="IND53" s="16"/>
      <c r="INE53" s="16"/>
      <c r="INF53" s="16"/>
      <c r="ING53" s="16"/>
      <c r="INH53" s="16"/>
      <c r="INI53" s="16"/>
      <c r="INJ53" s="16"/>
      <c r="INK53" s="16"/>
      <c r="INL53" s="16"/>
      <c r="INM53" s="16"/>
      <c r="INN53" s="16"/>
      <c r="INO53" s="16"/>
      <c r="INP53" s="16"/>
      <c r="INQ53" s="16"/>
      <c r="INR53" s="16"/>
      <c r="INS53" s="16"/>
      <c r="INT53" s="16"/>
      <c r="INU53" s="16"/>
      <c r="INV53" s="16"/>
      <c r="INW53" s="16"/>
      <c r="INX53" s="16"/>
      <c r="INY53" s="16"/>
      <c r="INZ53" s="16"/>
      <c r="IOA53" s="16"/>
      <c r="IOB53" s="16"/>
      <c r="IOC53" s="16"/>
      <c r="IOD53" s="16"/>
      <c r="IOE53" s="16"/>
      <c r="IOF53" s="16"/>
      <c r="IOG53" s="16"/>
      <c r="IOH53" s="16"/>
      <c r="IOI53" s="16"/>
      <c r="IOJ53" s="16"/>
      <c r="IOK53" s="16"/>
      <c r="IOL53" s="16"/>
      <c r="IOM53" s="16"/>
      <c r="ION53" s="16"/>
      <c r="IOO53" s="16"/>
      <c r="IOP53" s="16"/>
      <c r="IOQ53" s="16"/>
      <c r="IOR53" s="16"/>
      <c r="IOS53" s="16"/>
      <c r="IOT53" s="16"/>
      <c r="IOU53" s="16"/>
      <c r="IOV53" s="16"/>
      <c r="IOW53" s="16"/>
      <c r="IOX53" s="16"/>
      <c r="IOY53" s="16"/>
      <c r="IOZ53" s="16"/>
      <c r="IPA53" s="16"/>
      <c r="IPB53" s="16"/>
      <c r="IPC53" s="16"/>
      <c r="IPD53" s="16"/>
      <c r="IPE53" s="16"/>
      <c r="IPF53" s="16"/>
      <c r="IPG53" s="16"/>
      <c r="IPH53" s="16"/>
      <c r="IPI53" s="16"/>
      <c r="IPJ53" s="16"/>
      <c r="IPK53" s="16"/>
      <c r="IPL53" s="16"/>
      <c r="IPM53" s="16"/>
      <c r="IPN53" s="16"/>
      <c r="IPO53" s="16"/>
      <c r="IPP53" s="16"/>
      <c r="IPQ53" s="16"/>
      <c r="IPR53" s="16"/>
      <c r="IPS53" s="16"/>
      <c r="IPT53" s="16"/>
      <c r="IPU53" s="16"/>
      <c r="IPV53" s="16"/>
      <c r="IPW53" s="16"/>
      <c r="IPX53" s="16"/>
      <c r="IPY53" s="16"/>
      <c r="IPZ53" s="16"/>
      <c r="IQA53" s="16"/>
      <c r="IQB53" s="16"/>
      <c r="IQC53" s="16"/>
      <c r="IQD53" s="16"/>
      <c r="IQE53" s="16"/>
      <c r="IQF53" s="16"/>
      <c r="IQG53" s="16"/>
      <c r="IQH53" s="16"/>
      <c r="IQI53" s="16"/>
      <c r="IQJ53" s="16"/>
      <c r="IQK53" s="16"/>
      <c r="IQL53" s="16"/>
      <c r="IQM53" s="16"/>
      <c r="IQN53" s="16"/>
      <c r="IQO53" s="16"/>
      <c r="IQP53" s="16"/>
      <c r="IQQ53" s="16"/>
      <c r="IQR53" s="16"/>
      <c r="IQS53" s="16"/>
      <c r="IQT53" s="16"/>
      <c r="IQU53" s="16"/>
      <c r="IQV53" s="16"/>
      <c r="IQW53" s="16"/>
      <c r="IQX53" s="16"/>
      <c r="IQY53" s="16"/>
      <c r="IQZ53" s="16"/>
      <c r="IRA53" s="16"/>
      <c r="IRB53" s="16"/>
      <c r="IRC53" s="16"/>
      <c r="IRD53" s="16"/>
      <c r="IRE53" s="16"/>
      <c r="IRF53" s="16"/>
      <c r="IRG53" s="16"/>
      <c r="IRH53" s="16"/>
      <c r="IRI53" s="16"/>
      <c r="IRJ53" s="16"/>
      <c r="IRK53" s="16"/>
      <c r="IRL53" s="16"/>
      <c r="IRM53" s="16"/>
      <c r="IRN53" s="16"/>
      <c r="IRO53" s="16"/>
      <c r="IRP53" s="16"/>
      <c r="IRQ53" s="16"/>
      <c r="IRR53" s="16"/>
      <c r="IRS53" s="16"/>
      <c r="IRT53" s="16"/>
      <c r="IRU53" s="16"/>
      <c r="IRV53" s="16"/>
      <c r="IRW53" s="16"/>
      <c r="IRX53" s="16"/>
      <c r="IRY53" s="16"/>
      <c r="IRZ53" s="16"/>
      <c r="ISA53" s="16"/>
      <c r="ISB53" s="16"/>
      <c r="ISC53" s="16"/>
      <c r="ISD53" s="16"/>
      <c r="ISE53" s="16"/>
      <c r="ISF53" s="16"/>
      <c r="ISG53" s="16"/>
      <c r="ISH53" s="16"/>
      <c r="ISI53" s="16"/>
      <c r="ISJ53" s="16"/>
      <c r="ISK53" s="16"/>
      <c r="ISL53" s="16"/>
      <c r="ISM53" s="16"/>
      <c r="ISN53" s="16"/>
      <c r="ISO53" s="16"/>
      <c r="ISP53" s="16"/>
      <c r="ISQ53" s="16"/>
      <c r="ISR53" s="16"/>
      <c r="ISS53" s="16"/>
      <c r="IST53" s="16"/>
      <c r="ISU53" s="16"/>
      <c r="ISV53" s="16"/>
      <c r="ISW53" s="16"/>
      <c r="ISX53" s="16"/>
      <c r="ISY53" s="16"/>
      <c r="ISZ53" s="16"/>
      <c r="ITA53" s="16"/>
      <c r="ITB53" s="16"/>
      <c r="ITC53" s="16"/>
      <c r="ITD53" s="16"/>
      <c r="ITE53" s="16"/>
      <c r="ITF53" s="16"/>
      <c r="ITG53" s="16"/>
      <c r="ITH53" s="16"/>
      <c r="ITI53" s="16"/>
      <c r="ITJ53" s="16"/>
      <c r="ITK53" s="16"/>
      <c r="ITL53" s="16"/>
      <c r="ITM53" s="16"/>
      <c r="ITN53" s="16"/>
      <c r="ITO53" s="16"/>
      <c r="ITP53" s="16"/>
      <c r="ITQ53" s="16"/>
      <c r="ITR53" s="16"/>
      <c r="ITS53" s="16"/>
      <c r="ITT53" s="16"/>
      <c r="ITU53" s="16"/>
      <c r="ITV53" s="16"/>
      <c r="ITW53" s="16"/>
      <c r="ITX53" s="16"/>
      <c r="ITY53" s="16"/>
      <c r="ITZ53" s="16"/>
      <c r="IUA53" s="16"/>
      <c r="IUB53" s="16"/>
      <c r="IUC53" s="16"/>
      <c r="IUD53" s="16"/>
      <c r="IUE53" s="16"/>
      <c r="IUF53" s="16"/>
      <c r="IUG53" s="16"/>
      <c r="IUH53" s="16"/>
      <c r="IUI53" s="16"/>
      <c r="IUJ53" s="16"/>
      <c r="IUK53" s="16"/>
      <c r="IUL53" s="16"/>
      <c r="IUM53" s="16"/>
      <c r="IUN53" s="16"/>
      <c r="IUO53" s="16"/>
      <c r="IUP53" s="16"/>
      <c r="IUQ53" s="16"/>
      <c r="IUR53" s="16"/>
      <c r="IUS53" s="16"/>
      <c r="IUT53" s="16"/>
      <c r="IUU53" s="16"/>
      <c r="IUV53" s="16"/>
      <c r="IUW53" s="16"/>
      <c r="IUX53" s="16"/>
      <c r="IUY53" s="16"/>
      <c r="IUZ53" s="16"/>
      <c r="IVA53" s="16"/>
      <c r="IVB53" s="16"/>
      <c r="IVC53" s="16"/>
      <c r="IVD53" s="16"/>
      <c r="IVE53" s="16"/>
      <c r="IVF53" s="16"/>
      <c r="IVG53" s="16"/>
      <c r="IVH53" s="16"/>
      <c r="IVI53" s="16"/>
      <c r="IVJ53" s="16"/>
      <c r="IVK53" s="16"/>
      <c r="IVL53" s="16"/>
      <c r="IVM53" s="16"/>
      <c r="IVN53" s="16"/>
      <c r="IVO53" s="16"/>
      <c r="IVP53" s="16"/>
      <c r="IVQ53" s="16"/>
      <c r="IVR53" s="16"/>
      <c r="IVS53" s="16"/>
      <c r="IVT53" s="16"/>
      <c r="IVU53" s="16"/>
      <c r="IVV53" s="16"/>
      <c r="IVW53" s="16"/>
      <c r="IVX53" s="16"/>
      <c r="IVY53" s="16"/>
      <c r="IVZ53" s="16"/>
      <c r="IWA53" s="16"/>
      <c r="IWB53" s="16"/>
      <c r="IWC53" s="16"/>
      <c r="IWD53" s="16"/>
      <c r="IWE53" s="16"/>
      <c r="IWF53" s="16"/>
      <c r="IWG53" s="16"/>
      <c r="IWH53" s="16"/>
      <c r="IWI53" s="16"/>
      <c r="IWJ53" s="16"/>
      <c r="IWK53" s="16"/>
      <c r="IWL53" s="16"/>
      <c r="IWM53" s="16"/>
      <c r="IWN53" s="16"/>
      <c r="IWO53" s="16"/>
      <c r="IWP53" s="16"/>
      <c r="IWQ53" s="16"/>
      <c r="IWR53" s="16"/>
      <c r="IWS53" s="16"/>
      <c r="IWT53" s="16"/>
      <c r="IWU53" s="16"/>
      <c r="IWV53" s="16"/>
      <c r="IWW53" s="16"/>
      <c r="IWX53" s="16"/>
      <c r="IWY53" s="16"/>
      <c r="IWZ53" s="16"/>
      <c r="IXA53" s="16"/>
      <c r="IXB53" s="16"/>
      <c r="IXC53" s="16"/>
      <c r="IXD53" s="16"/>
      <c r="IXE53" s="16"/>
      <c r="IXF53" s="16"/>
      <c r="IXG53" s="16"/>
      <c r="IXH53" s="16"/>
      <c r="IXI53" s="16"/>
      <c r="IXJ53" s="16"/>
      <c r="IXK53" s="16"/>
      <c r="IXL53" s="16"/>
      <c r="IXM53" s="16"/>
      <c r="IXN53" s="16"/>
      <c r="IXO53" s="16"/>
      <c r="IXP53" s="16"/>
      <c r="IXQ53" s="16"/>
      <c r="IXR53" s="16"/>
      <c r="IXS53" s="16"/>
      <c r="IXT53" s="16"/>
      <c r="IXU53" s="16"/>
      <c r="IXV53" s="16"/>
      <c r="IXW53" s="16"/>
      <c r="IXX53" s="16"/>
      <c r="IXY53" s="16"/>
      <c r="IXZ53" s="16"/>
      <c r="IYA53" s="16"/>
      <c r="IYB53" s="16"/>
      <c r="IYC53" s="16"/>
      <c r="IYD53" s="16"/>
      <c r="IYE53" s="16"/>
      <c r="IYF53" s="16"/>
      <c r="IYG53" s="16"/>
      <c r="IYH53" s="16"/>
      <c r="IYI53" s="16"/>
      <c r="IYJ53" s="16"/>
      <c r="IYK53" s="16"/>
      <c r="IYL53" s="16"/>
      <c r="IYM53" s="16"/>
      <c r="IYN53" s="16"/>
      <c r="IYO53" s="16"/>
      <c r="IYP53" s="16"/>
      <c r="IYQ53" s="16"/>
      <c r="IYR53" s="16"/>
      <c r="IYS53" s="16"/>
      <c r="IYT53" s="16"/>
      <c r="IYU53" s="16"/>
      <c r="IYV53" s="16"/>
      <c r="IYW53" s="16"/>
      <c r="IYX53" s="16"/>
      <c r="IYY53" s="16"/>
      <c r="IYZ53" s="16"/>
      <c r="IZA53" s="16"/>
      <c r="IZB53" s="16"/>
      <c r="IZC53" s="16"/>
      <c r="IZD53" s="16"/>
      <c r="IZE53" s="16"/>
      <c r="IZF53" s="16"/>
      <c r="IZG53" s="16"/>
      <c r="IZH53" s="16"/>
      <c r="IZI53" s="16"/>
      <c r="IZJ53" s="16"/>
      <c r="IZK53" s="16"/>
      <c r="IZL53" s="16"/>
      <c r="IZM53" s="16"/>
      <c r="IZN53" s="16"/>
      <c r="IZO53" s="16"/>
      <c r="IZP53" s="16"/>
      <c r="IZQ53" s="16"/>
      <c r="IZR53" s="16"/>
      <c r="IZS53" s="16"/>
      <c r="IZT53" s="16"/>
      <c r="IZU53" s="16"/>
      <c r="IZV53" s="16"/>
      <c r="IZW53" s="16"/>
      <c r="IZX53" s="16"/>
      <c r="IZY53" s="16"/>
      <c r="IZZ53" s="16"/>
      <c r="JAA53" s="16"/>
      <c r="JAB53" s="16"/>
      <c r="JAC53" s="16"/>
      <c r="JAD53" s="16"/>
      <c r="JAE53" s="16"/>
      <c r="JAF53" s="16"/>
      <c r="JAG53" s="16"/>
      <c r="JAH53" s="16"/>
      <c r="JAI53" s="16"/>
      <c r="JAJ53" s="16"/>
      <c r="JAK53" s="16"/>
      <c r="JAL53" s="16"/>
      <c r="JAM53" s="16"/>
      <c r="JAN53" s="16"/>
      <c r="JAO53" s="16"/>
      <c r="JAP53" s="16"/>
      <c r="JAQ53" s="16"/>
      <c r="JAR53" s="16"/>
      <c r="JAS53" s="16"/>
      <c r="JAT53" s="16"/>
      <c r="JAU53" s="16"/>
      <c r="JAV53" s="16"/>
      <c r="JAW53" s="16"/>
      <c r="JAX53" s="16"/>
      <c r="JAY53" s="16"/>
      <c r="JAZ53" s="16"/>
      <c r="JBA53" s="16"/>
      <c r="JBB53" s="16"/>
      <c r="JBC53" s="16"/>
      <c r="JBD53" s="16"/>
      <c r="JBE53" s="16"/>
      <c r="JBF53" s="16"/>
      <c r="JBG53" s="16"/>
      <c r="JBH53" s="16"/>
      <c r="JBI53" s="16"/>
      <c r="JBJ53" s="16"/>
      <c r="JBK53" s="16"/>
      <c r="JBL53" s="16"/>
      <c r="JBM53" s="16"/>
      <c r="JBN53" s="16"/>
      <c r="JBO53" s="16"/>
      <c r="JBP53" s="16"/>
      <c r="JBQ53" s="16"/>
      <c r="JBR53" s="16"/>
      <c r="JBS53" s="16"/>
      <c r="JBT53" s="16"/>
      <c r="JBU53" s="16"/>
      <c r="JBV53" s="16"/>
      <c r="JBW53" s="16"/>
      <c r="JBX53" s="16"/>
      <c r="JBY53" s="16"/>
      <c r="JBZ53" s="16"/>
      <c r="JCA53" s="16"/>
      <c r="JCB53" s="16"/>
      <c r="JCC53" s="16"/>
      <c r="JCD53" s="16"/>
      <c r="JCE53" s="16"/>
      <c r="JCF53" s="16"/>
      <c r="JCG53" s="16"/>
      <c r="JCH53" s="16"/>
      <c r="JCI53" s="16"/>
      <c r="JCJ53" s="16"/>
      <c r="JCK53" s="16"/>
      <c r="JCL53" s="16"/>
      <c r="JCM53" s="16"/>
      <c r="JCN53" s="16"/>
      <c r="JCO53" s="16"/>
      <c r="JCP53" s="16"/>
      <c r="JCQ53" s="16"/>
      <c r="JCR53" s="16"/>
      <c r="JCS53" s="16"/>
      <c r="JCT53" s="16"/>
      <c r="JCU53" s="16"/>
      <c r="JCV53" s="16"/>
      <c r="JCW53" s="16"/>
      <c r="JCX53" s="16"/>
      <c r="JCY53" s="16"/>
      <c r="JCZ53" s="16"/>
      <c r="JDA53" s="16"/>
      <c r="JDB53" s="16"/>
      <c r="JDC53" s="16"/>
      <c r="JDD53" s="16"/>
      <c r="JDE53" s="16"/>
      <c r="JDF53" s="16"/>
      <c r="JDG53" s="16"/>
      <c r="JDH53" s="16"/>
      <c r="JDI53" s="16"/>
      <c r="JDJ53" s="16"/>
      <c r="JDK53" s="16"/>
      <c r="JDL53" s="16"/>
      <c r="JDM53" s="16"/>
      <c r="JDN53" s="16"/>
      <c r="JDO53" s="16"/>
      <c r="JDP53" s="16"/>
      <c r="JDQ53" s="16"/>
      <c r="JDR53" s="16"/>
      <c r="JDS53" s="16"/>
      <c r="JDT53" s="16"/>
      <c r="JDU53" s="16"/>
      <c r="JDV53" s="16"/>
      <c r="JDW53" s="16"/>
      <c r="JDX53" s="16"/>
      <c r="JDY53" s="16"/>
      <c r="JDZ53" s="16"/>
      <c r="JEA53" s="16"/>
      <c r="JEB53" s="16"/>
      <c r="JEC53" s="16"/>
      <c r="JED53" s="16"/>
      <c r="JEE53" s="16"/>
      <c r="JEF53" s="16"/>
      <c r="JEG53" s="16"/>
      <c r="JEH53" s="16"/>
      <c r="JEI53" s="16"/>
      <c r="JEJ53" s="16"/>
      <c r="JEK53" s="16"/>
      <c r="JEL53" s="16"/>
      <c r="JEM53" s="16"/>
      <c r="JEN53" s="16"/>
      <c r="JEO53" s="16"/>
      <c r="JEP53" s="16"/>
      <c r="JEQ53" s="16"/>
      <c r="JER53" s="16"/>
      <c r="JES53" s="16"/>
      <c r="JET53" s="16"/>
      <c r="JEU53" s="16"/>
      <c r="JEV53" s="16"/>
      <c r="JEW53" s="16"/>
      <c r="JEX53" s="16"/>
      <c r="JEY53" s="16"/>
      <c r="JEZ53" s="16"/>
      <c r="JFA53" s="16"/>
      <c r="JFB53" s="16"/>
      <c r="JFC53" s="16"/>
      <c r="JFD53" s="16"/>
      <c r="JFE53" s="16"/>
      <c r="JFF53" s="16"/>
      <c r="JFG53" s="16"/>
      <c r="JFH53" s="16"/>
      <c r="JFI53" s="16"/>
      <c r="JFJ53" s="16"/>
      <c r="JFK53" s="16"/>
      <c r="JFL53" s="16"/>
      <c r="JFM53" s="16"/>
      <c r="JFN53" s="16"/>
      <c r="JFO53" s="16"/>
      <c r="JFP53" s="16"/>
      <c r="JFQ53" s="16"/>
      <c r="JFR53" s="16"/>
      <c r="JFS53" s="16"/>
      <c r="JFT53" s="16"/>
      <c r="JFU53" s="16"/>
      <c r="JFV53" s="16"/>
      <c r="JFW53" s="16"/>
      <c r="JFX53" s="16"/>
      <c r="JFY53" s="16"/>
      <c r="JFZ53" s="16"/>
      <c r="JGA53" s="16"/>
      <c r="JGB53" s="16"/>
      <c r="JGC53" s="16"/>
      <c r="JGD53" s="16"/>
      <c r="JGE53" s="16"/>
      <c r="JGF53" s="16"/>
      <c r="JGG53" s="16"/>
      <c r="JGH53" s="16"/>
      <c r="JGI53" s="16"/>
      <c r="JGJ53" s="16"/>
      <c r="JGK53" s="16"/>
      <c r="JGL53" s="16"/>
      <c r="JGM53" s="16"/>
      <c r="JGN53" s="16"/>
      <c r="JGO53" s="16"/>
      <c r="JGP53" s="16"/>
      <c r="JGQ53" s="16"/>
      <c r="JGR53" s="16"/>
      <c r="JGS53" s="16"/>
      <c r="JGT53" s="16"/>
      <c r="JGU53" s="16"/>
      <c r="JGV53" s="16"/>
      <c r="JGW53" s="16"/>
      <c r="JGX53" s="16"/>
      <c r="JGY53" s="16"/>
      <c r="JGZ53" s="16"/>
      <c r="JHA53" s="16"/>
      <c r="JHB53" s="16"/>
      <c r="JHC53" s="16"/>
      <c r="JHD53" s="16"/>
      <c r="JHE53" s="16"/>
      <c r="JHF53" s="16"/>
      <c r="JHG53" s="16"/>
      <c r="JHH53" s="16"/>
      <c r="JHI53" s="16"/>
      <c r="JHJ53" s="16"/>
      <c r="JHK53" s="16"/>
      <c r="JHL53" s="16"/>
      <c r="JHM53" s="16"/>
      <c r="JHN53" s="16"/>
      <c r="JHO53" s="16"/>
      <c r="JHP53" s="16"/>
      <c r="JHQ53" s="16"/>
      <c r="JHR53" s="16"/>
      <c r="JHS53" s="16"/>
      <c r="JHT53" s="16"/>
      <c r="JHU53" s="16"/>
      <c r="JHV53" s="16"/>
      <c r="JHW53" s="16"/>
      <c r="JHX53" s="16"/>
      <c r="JHY53" s="16"/>
      <c r="JHZ53" s="16"/>
      <c r="JIA53" s="16"/>
      <c r="JIB53" s="16"/>
      <c r="JIC53" s="16"/>
      <c r="JID53" s="16"/>
      <c r="JIE53" s="16"/>
      <c r="JIF53" s="16"/>
      <c r="JIG53" s="16"/>
      <c r="JIH53" s="16"/>
      <c r="JII53" s="16"/>
      <c r="JIJ53" s="16"/>
      <c r="JIK53" s="16"/>
      <c r="JIL53" s="16"/>
      <c r="JIM53" s="16"/>
      <c r="JIN53" s="16"/>
      <c r="JIO53" s="16"/>
      <c r="JIP53" s="16"/>
      <c r="JIQ53" s="16"/>
      <c r="JIR53" s="16"/>
      <c r="JIS53" s="16"/>
      <c r="JIT53" s="16"/>
      <c r="JIU53" s="16"/>
      <c r="JIV53" s="16"/>
      <c r="JIW53" s="16"/>
      <c r="JIX53" s="16"/>
      <c r="JIY53" s="16"/>
      <c r="JIZ53" s="16"/>
      <c r="JJA53" s="16"/>
      <c r="JJB53" s="16"/>
      <c r="JJC53" s="16"/>
      <c r="JJD53" s="16"/>
      <c r="JJE53" s="16"/>
      <c r="JJF53" s="16"/>
      <c r="JJG53" s="16"/>
      <c r="JJH53" s="16"/>
      <c r="JJI53" s="16"/>
      <c r="JJJ53" s="16"/>
      <c r="JJK53" s="16"/>
      <c r="JJL53" s="16"/>
      <c r="JJM53" s="16"/>
      <c r="JJN53" s="16"/>
      <c r="JJO53" s="16"/>
      <c r="JJP53" s="16"/>
      <c r="JJQ53" s="16"/>
      <c r="JJR53" s="16"/>
      <c r="JJS53" s="16"/>
      <c r="JJT53" s="16"/>
      <c r="JJU53" s="16"/>
      <c r="JJV53" s="16"/>
      <c r="JJW53" s="16"/>
      <c r="JJX53" s="16"/>
      <c r="JJY53" s="16"/>
      <c r="JJZ53" s="16"/>
      <c r="JKA53" s="16"/>
      <c r="JKB53" s="16"/>
      <c r="JKC53" s="16"/>
      <c r="JKD53" s="16"/>
      <c r="JKE53" s="16"/>
      <c r="JKF53" s="16"/>
      <c r="JKG53" s="16"/>
      <c r="JKH53" s="16"/>
      <c r="JKI53" s="16"/>
      <c r="JKJ53" s="16"/>
      <c r="JKK53" s="16"/>
      <c r="JKL53" s="16"/>
      <c r="JKM53" s="16"/>
      <c r="JKN53" s="16"/>
      <c r="JKO53" s="16"/>
      <c r="JKP53" s="16"/>
      <c r="JKQ53" s="16"/>
      <c r="JKR53" s="16"/>
      <c r="JKS53" s="16"/>
      <c r="JKT53" s="16"/>
      <c r="JKU53" s="16"/>
      <c r="JKV53" s="16"/>
      <c r="JKW53" s="16"/>
      <c r="JKX53" s="16"/>
      <c r="JKY53" s="16"/>
      <c r="JKZ53" s="16"/>
      <c r="JLA53" s="16"/>
      <c r="JLB53" s="16"/>
      <c r="JLC53" s="16"/>
      <c r="JLD53" s="16"/>
      <c r="JLE53" s="16"/>
      <c r="JLF53" s="16"/>
      <c r="JLG53" s="16"/>
      <c r="JLH53" s="16"/>
      <c r="JLI53" s="16"/>
      <c r="JLJ53" s="16"/>
      <c r="JLK53" s="16"/>
      <c r="JLL53" s="16"/>
      <c r="JLM53" s="16"/>
      <c r="JLN53" s="16"/>
      <c r="JLO53" s="16"/>
      <c r="JLP53" s="16"/>
      <c r="JLQ53" s="16"/>
      <c r="JLR53" s="16"/>
      <c r="JLS53" s="16"/>
      <c r="JLT53" s="16"/>
      <c r="JLU53" s="16"/>
      <c r="JLV53" s="16"/>
      <c r="JLW53" s="16"/>
      <c r="JLX53" s="16"/>
      <c r="JLY53" s="16"/>
      <c r="JLZ53" s="16"/>
      <c r="JMA53" s="16"/>
      <c r="JMB53" s="16"/>
      <c r="JMC53" s="16"/>
      <c r="JMD53" s="16"/>
      <c r="JME53" s="16"/>
      <c r="JMF53" s="16"/>
      <c r="JMG53" s="16"/>
      <c r="JMH53" s="16"/>
      <c r="JMI53" s="16"/>
      <c r="JMJ53" s="16"/>
      <c r="JMK53" s="16"/>
      <c r="JML53" s="16"/>
      <c r="JMM53" s="16"/>
      <c r="JMN53" s="16"/>
      <c r="JMO53" s="16"/>
      <c r="JMP53" s="16"/>
      <c r="JMQ53" s="16"/>
      <c r="JMR53" s="16"/>
      <c r="JMS53" s="16"/>
      <c r="JMT53" s="16"/>
      <c r="JMU53" s="16"/>
      <c r="JMV53" s="16"/>
      <c r="JMW53" s="16"/>
      <c r="JMX53" s="16"/>
      <c r="JMY53" s="16"/>
      <c r="JMZ53" s="16"/>
      <c r="JNA53" s="16"/>
      <c r="JNB53" s="16"/>
      <c r="JNC53" s="16"/>
      <c r="JND53" s="16"/>
      <c r="JNE53" s="16"/>
      <c r="JNF53" s="16"/>
      <c r="JNG53" s="16"/>
      <c r="JNH53" s="16"/>
      <c r="JNI53" s="16"/>
      <c r="JNJ53" s="16"/>
      <c r="JNK53" s="16"/>
      <c r="JNL53" s="16"/>
      <c r="JNM53" s="16"/>
      <c r="JNN53" s="16"/>
      <c r="JNO53" s="16"/>
      <c r="JNP53" s="16"/>
      <c r="JNQ53" s="16"/>
      <c r="JNR53" s="16"/>
      <c r="JNS53" s="16"/>
      <c r="JNT53" s="16"/>
      <c r="JNU53" s="16"/>
      <c r="JNV53" s="16"/>
      <c r="JNW53" s="16"/>
      <c r="JNX53" s="16"/>
      <c r="JNY53" s="16"/>
      <c r="JNZ53" s="16"/>
      <c r="JOA53" s="16"/>
      <c r="JOB53" s="16"/>
      <c r="JOC53" s="16"/>
      <c r="JOD53" s="16"/>
      <c r="JOE53" s="16"/>
      <c r="JOF53" s="16"/>
      <c r="JOG53" s="16"/>
      <c r="JOH53" s="16"/>
      <c r="JOI53" s="16"/>
      <c r="JOJ53" s="16"/>
      <c r="JOK53" s="16"/>
      <c r="JOL53" s="16"/>
      <c r="JOM53" s="16"/>
      <c r="JON53" s="16"/>
      <c r="JOO53" s="16"/>
      <c r="JOP53" s="16"/>
      <c r="JOQ53" s="16"/>
      <c r="JOR53" s="16"/>
      <c r="JOS53" s="16"/>
      <c r="JOT53" s="16"/>
      <c r="JOU53" s="16"/>
      <c r="JOV53" s="16"/>
      <c r="JOW53" s="16"/>
      <c r="JOX53" s="16"/>
      <c r="JOY53" s="16"/>
      <c r="JOZ53" s="16"/>
      <c r="JPA53" s="16"/>
      <c r="JPB53" s="16"/>
      <c r="JPC53" s="16"/>
      <c r="JPD53" s="16"/>
      <c r="JPE53" s="16"/>
      <c r="JPF53" s="16"/>
      <c r="JPG53" s="16"/>
      <c r="JPH53" s="16"/>
      <c r="JPI53" s="16"/>
      <c r="JPJ53" s="16"/>
      <c r="JPK53" s="16"/>
      <c r="JPL53" s="16"/>
      <c r="JPM53" s="16"/>
      <c r="JPN53" s="16"/>
      <c r="JPO53" s="16"/>
      <c r="JPP53" s="16"/>
      <c r="JPQ53" s="16"/>
      <c r="JPR53" s="16"/>
      <c r="JPS53" s="16"/>
      <c r="JPT53" s="16"/>
      <c r="JPU53" s="16"/>
      <c r="JPV53" s="16"/>
      <c r="JPW53" s="16"/>
      <c r="JPX53" s="16"/>
      <c r="JPY53" s="16"/>
      <c r="JPZ53" s="16"/>
      <c r="JQA53" s="16"/>
      <c r="JQB53" s="16"/>
      <c r="JQC53" s="16"/>
      <c r="JQD53" s="16"/>
      <c r="JQE53" s="16"/>
      <c r="JQF53" s="16"/>
      <c r="JQG53" s="16"/>
      <c r="JQH53" s="16"/>
      <c r="JQI53" s="16"/>
      <c r="JQJ53" s="16"/>
      <c r="JQK53" s="16"/>
      <c r="JQL53" s="16"/>
      <c r="JQM53" s="16"/>
      <c r="JQN53" s="16"/>
      <c r="JQO53" s="16"/>
      <c r="JQP53" s="16"/>
      <c r="JQQ53" s="16"/>
      <c r="JQR53" s="16"/>
      <c r="JQS53" s="16"/>
      <c r="JQT53" s="16"/>
      <c r="JQU53" s="16"/>
      <c r="JQV53" s="16"/>
      <c r="JQW53" s="16"/>
      <c r="JQX53" s="16"/>
      <c r="JQY53" s="16"/>
      <c r="JQZ53" s="16"/>
      <c r="JRA53" s="16"/>
      <c r="JRB53" s="16"/>
      <c r="JRC53" s="16"/>
      <c r="JRD53" s="16"/>
      <c r="JRE53" s="16"/>
      <c r="JRF53" s="16"/>
      <c r="JRG53" s="16"/>
      <c r="JRH53" s="16"/>
      <c r="JRI53" s="16"/>
      <c r="JRJ53" s="16"/>
      <c r="JRK53" s="16"/>
      <c r="JRL53" s="16"/>
      <c r="JRM53" s="16"/>
      <c r="JRN53" s="16"/>
      <c r="JRO53" s="16"/>
      <c r="JRP53" s="16"/>
      <c r="JRQ53" s="16"/>
      <c r="JRR53" s="16"/>
      <c r="JRS53" s="16"/>
      <c r="JRT53" s="16"/>
      <c r="JRU53" s="16"/>
      <c r="JRV53" s="16"/>
      <c r="JRW53" s="16"/>
      <c r="JRX53" s="16"/>
      <c r="JRY53" s="16"/>
      <c r="JRZ53" s="16"/>
      <c r="JSA53" s="16"/>
      <c r="JSB53" s="16"/>
      <c r="JSC53" s="16"/>
      <c r="JSD53" s="16"/>
      <c r="JSE53" s="16"/>
      <c r="JSF53" s="16"/>
      <c r="JSG53" s="16"/>
      <c r="JSH53" s="16"/>
      <c r="JSI53" s="16"/>
      <c r="JSJ53" s="16"/>
      <c r="JSK53" s="16"/>
      <c r="JSL53" s="16"/>
      <c r="JSM53" s="16"/>
      <c r="JSN53" s="16"/>
      <c r="JSO53" s="16"/>
      <c r="JSP53" s="16"/>
      <c r="JSQ53" s="16"/>
      <c r="JSR53" s="16"/>
      <c r="JSS53" s="16"/>
      <c r="JST53" s="16"/>
      <c r="JSU53" s="16"/>
      <c r="JSV53" s="16"/>
      <c r="JSW53" s="16"/>
      <c r="JSX53" s="16"/>
      <c r="JSY53" s="16"/>
      <c r="JSZ53" s="16"/>
      <c r="JTA53" s="16"/>
      <c r="JTB53" s="16"/>
      <c r="JTC53" s="16"/>
      <c r="JTD53" s="16"/>
      <c r="JTE53" s="16"/>
      <c r="JTF53" s="16"/>
      <c r="JTG53" s="16"/>
      <c r="JTH53" s="16"/>
      <c r="JTI53" s="16"/>
      <c r="JTJ53" s="16"/>
      <c r="JTK53" s="16"/>
      <c r="JTL53" s="16"/>
      <c r="JTM53" s="16"/>
      <c r="JTN53" s="16"/>
      <c r="JTO53" s="16"/>
      <c r="JTP53" s="16"/>
      <c r="JTQ53" s="16"/>
      <c r="JTR53" s="16"/>
      <c r="JTS53" s="16"/>
      <c r="JTT53" s="16"/>
      <c r="JTU53" s="16"/>
      <c r="JTV53" s="16"/>
      <c r="JTW53" s="16"/>
      <c r="JTX53" s="16"/>
      <c r="JTY53" s="16"/>
      <c r="JTZ53" s="16"/>
      <c r="JUA53" s="16"/>
      <c r="JUB53" s="16"/>
      <c r="JUC53" s="16"/>
      <c r="JUD53" s="16"/>
      <c r="JUE53" s="16"/>
      <c r="JUF53" s="16"/>
      <c r="JUG53" s="16"/>
      <c r="JUH53" s="16"/>
      <c r="JUI53" s="16"/>
      <c r="JUJ53" s="16"/>
      <c r="JUK53" s="16"/>
      <c r="JUL53" s="16"/>
      <c r="JUM53" s="16"/>
      <c r="JUN53" s="16"/>
      <c r="JUO53" s="16"/>
      <c r="JUP53" s="16"/>
      <c r="JUQ53" s="16"/>
      <c r="JUR53" s="16"/>
      <c r="JUS53" s="16"/>
      <c r="JUT53" s="16"/>
      <c r="JUU53" s="16"/>
      <c r="JUV53" s="16"/>
      <c r="JUW53" s="16"/>
      <c r="JUX53" s="16"/>
      <c r="JUY53" s="16"/>
      <c r="JUZ53" s="16"/>
      <c r="JVA53" s="16"/>
      <c r="JVB53" s="16"/>
      <c r="JVC53" s="16"/>
      <c r="JVD53" s="16"/>
      <c r="JVE53" s="16"/>
      <c r="JVF53" s="16"/>
      <c r="JVG53" s="16"/>
      <c r="JVH53" s="16"/>
      <c r="JVI53" s="16"/>
      <c r="JVJ53" s="16"/>
      <c r="JVK53" s="16"/>
      <c r="JVL53" s="16"/>
      <c r="JVM53" s="16"/>
      <c r="JVN53" s="16"/>
      <c r="JVO53" s="16"/>
      <c r="JVP53" s="16"/>
      <c r="JVQ53" s="16"/>
      <c r="JVR53" s="16"/>
      <c r="JVS53" s="16"/>
      <c r="JVT53" s="16"/>
      <c r="JVU53" s="16"/>
      <c r="JVV53" s="16"/>
      <c r="JVW53" s="16"/>
      <c r="JVX53" s="16"/>
      <c r="JVY53" s="16"/>
      <c r="JVZ53" s="16"/>
      <c r="JWA53" s="16"/>
      <c r="JWB53" s="16"/>
      <c r="JWC53" s="16"/>
      <c r="JWD53" s="16"/>
      <c r="JWE53" s="16"/>
      <c r="JWF53" s="16"/>
      <c r="JWG53" s="16"/>
      <c r="JWH53" s="16"/>
      <c r="JWI53" s="16"/>
      <c r="JWJ53" s="16"/>
      <c r="JWK53" s="16"/>
      <c r="JWL53" s="16"/>
      <c r="JWM53" s="16"/>
      <c r="JWN53" s="16"/>
      <c r="JWO53" s="16"/>
      <c r="JWP53" s="16"/>
      <c r="JWQ53" s="16"/>
      <c r="JWR53" s="16"/>
      <c r="JWS53" s="16"/>
      <c r="JWT53" s="16"/>
      <c r="JWU53" s="16"/>
      <c r="JWV53" s="16"/>
      <c r="JWW53" s="16"/>
      <c r="JWX53" s="16"/>
      <c r="JWY53" s="16"/>
      <c r="JWZ53" s="16"/>
      <c r="JXA53" s="16"/>
      <c r="JXB53" s="16"/>
      <c r="JXC53" s="16"/>
      <c r="JXD53" s="16"/>
      <c r="JXE53" s="16"/>
      <c r="JXF53" s="16"/>
      <c r="JXG53" s="16"/>
      <c r="JXH53" s="16"/>
      <c r="JXI53" s="16"/>
      <c r="JXJ53" s="16"/>
      <c r="JXK53" s="16"/>
      <c r="JXL53" s="16"/>
      <c r="JXM53" s="16"/>
      <c r="JXN53" s="16"/>
      <c r="JXO53" s="16"/>
      <c r="JXP53" s="16"/>
      <c r="JXQ53" s="16"/>
      <c r="JXR53" s="16"/>
      <c r="JXS53" s="16"/>
      <c r="JXT53" s="16"/>
      <c r="JXU53" s="16"/>
      <c r="JXV53" s="16"/>
      <c r="JXW53" s="16"/>
      <c r="JXX53" s="16"/>
      <c r="JXY53" s="16"/>
      <c r="JXZ53" s="16"/>
      <c r="JYA53" s="16"/>
      <c r="JYB53" s="16"/>
      <c r="JYC53" s="16"/>
      <c r="JYD53" s="16"/>
      <c r="JYE53" s="16"/>
      <c r="JYF53" s="16"/>
      <c r="JYG53" s="16"/>
      <c r="JYH53" s="16"/>
      <c r="JYI53" s="16"/>
      <c r="JYJ53" s="16"/>
      <c r="JYK53" s="16"/>
      <c r="JYL53" s="16"/>
      <c r="JYM53" s="16"/>
      <c r="JYN53" s="16"/>
      <c r="JYO53" s="16"/>
      <c r="JYP53" s="16"/>
      <c r="JYQ53" s="16"/>
      <c r="JYR53" s="16"/>
      <c r="JYS53" s="16"/>
      <c r="JYT53" s="16"/>
      <c r="JYU53" s="16"/>
      <c r="JYV53" s="16"/>
      <c r="JYW53" s="16"/>
      <c r="JYX53" s="16"/>
      <c r="JYY53" s="16"/>
      <c r="JYZ53" s="16"/>
      <c r="JZA53" s="16"/>
      <c r="JZB53" s="16"/>
      <c r="JZC53" s="16"/>
      <c r="JZD53" s="16"/>
      <c r="JZE53" s="16"/>
      <c r="JZF53" s="16"/>
      <c r="JZG53" s="16"/>
      <c r="JZH53" s="16"/>
      <c r="JZI53" s="16"/>
      <c r="JZJ53" s="16"/>
      <c r="JZK53" s="16"/>
      <c r="JZL53" s="16"/>
      <c r="JZM53" s="16"/>
      <c r="JZN53" s="16"/>
      <c r="JZO53" s="16"/>
      <c r="JZP53" s="16"/>
      <c r="JZQ53" s="16"/>
      <c r="JZR53" s="16"/>
      <c r="JZS53" s="16"/>
      <c r="JZT53" s="16"/>
      <c r="JZU53" s="16"/>
      <c r="JZV53" s="16"/>
      <c r="JZW53" s="16"/>
      <c r="JZX53" s="16"/>
      <c r="JZY53" s="16"/>
      <c r="JZZ53" s="16"/>
      <c r="KAA53" s="16"/>
      <c r="KAB53" s="16"/>
      <c r="KAC53" s="16"/>
      <c r="KAD53" s="16"/>
      <c r="KAE53" s="16"/>
      <c r="KAF53" s="16"/>
      <c r="KAG53" s="16"/>
      <c r="KAH53" s="16"/>
      <c r="KAI53" s="16"/>
      <c r="KAJ53" s="16"/>
      <c r="KAK53" s="16"/>
      <c r="KAL53" s="16"/>
      <c r="KAM53" s="16"/>
      <c r="KAN53" s="16"/>
      <c r="KAO53" s="16"/>
      <c r="KAP53" s="16"/>
      <c r="KAQ53" s="16"/>
      <c r="KAR53" s="16"/>
      <c r="KAS53" s="16"/>
      <c r="KAT53" s="16"/>
      <c r="KAU53" s="16"/>
      <c r="KAV53" s="16"/>
      <c r="KAW53" s="16"/>
      <c r="KAX53" s="16"/>
      <c r="KAY53" s="16"/>
      <c r="KAZ53" s="16"/>
      <c r="KBA53" s="16"/>
      <c r="KBB53" s="16"/>
      <c r="KBC53" s="16"/>
      <c r="KBD53" s="16"/>
      <c r="KBE53" s="16"/>
      <c r="KBF53" s="16"/>
      <c r="KBG53" s="16"/>
      <c r="KBH53" s="16"/>
      <c r="KBI53" s="16"/>
      <c r="KBJ53" s="16"/>
      <c r="KBK53" s="16"/>
      <c r="KBL53" s="16"/>
      <c r="KBM53" s="16"/>
      <c r="KBN53" s="16"/>
      <c r="KBO53" s="16"/>
      <c r="KBP53" s="16"/>
      <c r="KBQ53" s="16"/>
      <c r="KBR53" s="16"/>
      <c r="KBS53" s="16"/>
      <c r="KBT53" s="16"/>
      <c r="KBU53" s="16"/>
      <c r="KBV53" s="16"/>
      <c r="KBW53" s="16"/>
      <c r="KBX53" s="16"/>
      <c r="KBY53" s="16"/>
      <c r="KBZ53" s="16"/>
      <c r="KCA53" s="16"/>
      <c r="KCB53" s="16"/>
      <c r="KCC53" s="16"/>
      <c r="KCD53" s="16"/>
      <c r="KCE53" s="16"/>
      <c r="KCF53" s="16"/>
      <c r="KCG53" s="16"/>
      <c r="KCH53" s="16"/>
      <c r="KCI53" s="16"/>
      <c r="KCJ53" s="16"/>
      <c r="KCK53" s="16"/>
      <c r="KCL53" s="16"/>
      <c r="KCM53" s="16"/>
      <c r="KCN53" s="16"/>
      <c r="KCO53" s="16"/>
      <c r="KCP53" s="16"/>
      <c r="KCQ53" s="16"/>
      <c r="KCR53" s="16"/>
      <c r="KCS53" s="16"/>
      <c r="KCT53" s="16"/>
      <c r="KCU53" s="16"/>
      <c r="KCV53" s="16"/>
      <c r="KCW53" s="16"/>
      <c r="KCX53" s="16"/>
      <c r="KCY53" s="16"/>
      <c r="KCZ53" s="16"/>
      <c r="KDA53" s="16"/>
      <c r="KDB53" s="16"/>
      <c r="KDC53" s="16"/>
      <c r="KDD53" s="16"/>
      <c r="KDE53" s="16"/>
      <c r="KDF53" s="16"/>
      <c r="KDG53" s="16"/>
      <c r="KDH53" s="16"/>
      <c r="KDI53" s="16"/>
      <c r="KDJ53" s="16"/>
      <c r="KDK53" s="16"/>
      <c r="KDL53" s="16"/>
      <c r="KDM53" s="16"/>
      <c r="KDN53" s="16"/>
      <c r="KDO53" s="16"/>
      <c r="KDP53" s="16"/>
      <c r="KDQ53" s="16"/>
      <c r="KDR53" s="16"/>
      <c r="KDS53" s="16"/>
      <c r="KDT53" s="16"/>
      <c r="KDU53" s="16"/>
      <c r="KDV53" s="16"/>
      <c r="KDW53" s="16"/>
      <c r="KDX53" s="16"/>
      <c r="KDY53" s="16"/>
      <c r="KDZ53" s="16"/>
      <c r="KEA53" s="16"/>
      <c r="KEB53" s="16"/>
      <c r="KEC53" s="16"/>
      <c r="KED53" s="16"/>
      <c r="KEE53" s="16"/>
      <c r="KEF53" s="16"/>
      <c r="KEG53" s="16"/>
      <c r="KEH53" s="16"/>
      <c r="KEI53" s="16"/>
      <c r="KEJ53" s="16"/>
      <c r="KEK53" s="16"/>
      <c r="KEL53" s="16"/>
      <c r="KEM53" s="16"/>
      <c r="KEN53" s="16"/>
      <c r="KEO53" s="16"/>
      <c r="KEP53" s="16"/>
      <c r="KEQ53" s="16"/>
      <c r="KER53" s="16"/>
      <c r="KES53" s="16"/>
      <c r="KET53" s="16"/>
      <c r="KEU53" s="16"/>
      <c r="KEV53" s="16"/>
      <c r="KEW53" s="16"/>
      <c r="KEX53" s="16"/>
      <c r="KEY53" s="16"/>
      <c r="KEZ53" s="16"/>
      <c r="KFA53" s="16"/>
      <c r="KFB53" s="16"/>
      <c r="KFC53" s="16"/>
      <c r="KFD53" s="16"/>
      <c r="KFE53" s="16"/>
      <c r="KFF53" s="16"/>
      <c r="KFG53" s="16"/>
      <c r="KFH53" s="16"/>
      <c r="KFI53" s="16"/>
      <c r="KFJ53" s="16"/>
      <c r="KFK53" s="16"/>
      <c r="KFL53" s="16"/>
      <c r="KFM53" s="16"/>
      <c r="KFN53" s="16"/>
      <c r="KFO53" s="16"/>
      <c r="KFP53" s="16"/>
      <c r="KFQ53" s="16"/>
      <c r="KFR53" s="16"/>
      <c r="KFS53" s="16"/>
      <c r="KFT53" s="16"/>
      <c r="KFU53" s="16"/>
      <c r="KFV53" s="16"/>
      <c r="KFW53" s="16"/>
      <c r="KFX53" s="16"/>
      <c r="KFY53" s="16"/>
      <c r="KFZ53" s="16"/>
      <c r="KGA53" s="16"/>
      <c r="KGB53" s="16"/>
      <c r="KGC53" s="16"/>
      <c r="KGD53" s="16"/>
      <c r="KGE53" s="16"/>
      <c r="KGF53" s="16"/>
      <c r="KGG53" s="16"/>
      <c r="KGH53" s="16"/>
      <c r="KGI53" s="16"/>
      <c r="KGJ53" s="16"/>
      <c r="KGK53" s="16"/>
      <c r="KGL53" s="16"/>
      <c r="KGM53" s="16"/>
      <c r="KGN53" s="16"/>
      <c r="KGO53" s="16"/>
      <c r="KGP53" s="16"/>
      <c r="KGQ53" s="16"/>
      <c r="KGR53" s="16"/>
      <c r="KGS53" s="16"/>
      <c r="KGT53" s="16"/>
      <c r="KGU53" s="16"/>
      <c r="KGV53" s="16"/>
      <c r="KGW53" s="16"/>
      <c r="KGX53" s="16"/>
      <c r="KGY53" s="16"/>
      <c r="KGZ53" s="16"/>
      <c r="KHA53" s="16"/>
      <c r="KHB53" s="16"/>
      <c r="KHC53" s="16"/>
      <c r="KHD53" s="16"/>
      <c r="KHE53" s="16"/>
      <c r="KHF53" s="16"/>
      <c r="KHG53" s="16"/>
      <c r="KHH53" s="16"/>
      <c r="KHI53" s="16"/>
      <c r="KHJ53" s="16"/>
      <c r="KHK53" s="16"/>
      <c r="KHL53" s="16"/>
      <c r="KHM53" s="16"/>
      <c r="KHN53" s="16"/>
      <c r="KHO53" s="16"/>
      <c r="KHP53" s="16"/>
      <c r="KHQ53" s="16"/>
      <c r="KHR53" s="16"/>
      <c r="KHS53" s="16"/>
      <c r="KHT53" s="16"/>
      <c r="KHU53" s="16"/>
      <c r="KHV53" s="16"/>
      <c r="KHW53" s="16"/>
      <c r="KHX53" s="16"/>
      <c r="KHY53" s="16"/>
      <c r="KHZ53" s="16"/>
      <c r="KIA53" s="16"/>
      <c r="KIB53" s="16"/>
      <c r="KIC53" s="16"/>
      <c r="KID53" s="16"/>
      <c r="KIE53" s="16"/>
      <c r="KIF53" s="16"/>
      <c r="KIG53" s="16"/>
      <c r="KIH53" s="16"/>
      <c r="KII53" s="16"/>
      <c r="KIJ53" s="16"/>
      <c r="KIK53" s="16"/>
      <c r="KIL53" s="16"/>
      <c r="KIM53" s="16"/>
      <c r="KIN53" s="16"/>
      <c r="KIO53" s="16"/>
      <c r="KIP53" s="16"/>
      <c r="KIQ53" s="16"/>
      <c r="KIR53" s="16"/>
      <c r="KIS53" s="16"/>
      <c r="KIT53" s="16"/>
      <c r="KIU53" s="16"/>
      <c r="KIV53" s="16"/>
      <c r="KIW53" s="16"/>
      <c r="KIX53" s="16"/>
      <c r="KIY53" s="16"/>
      <c r="KIZ53" s="16"/>
      <c r="KJA53" s="16"/>
      <c r="KJB53" s="16"/>
      <c r="KJC53" s="16"/>
      <c r="KJD53" s="16"/>
      <c r="KJE53" s="16"/>
      <c r="KJF53" s="16"/>
      <c r="KJG53" s="16"/>
      <c r="KJH53" s="16"/>
      <c r="KJI53" s="16"/>
      <c r="KJJ53" s="16"/>
      <c r="KJK53" s="16"/>
      <c r="KJL53" s="16"/>
      <c r="KJM53" s="16"/>
      <c r="KJN53" s="16"/>
      <c r="KJO53" s="16"/>
      <c r="KJP53" s="16"/>
      <c r="KJQ53" s="16"/>
      <c r="KJR53" s="16"/>
      <c r="KJS53" s="16"/>
      <c r="KJT53" s="16"/>
      <c r="KJU53" s="16"/>
      <c r="KJV53" s="16"/>
      <c r="KJW53" s="16"/>
      <c r="KJX53" s="16"/>
      <c r="KJY53" s="16"/>
      <c r="KJZ53" s="16"/>
      <c r="KKA53" s="16"/>
      <c r="KKB53" s="16"/>
      <c r="KKC53" s="16"/>
      <c r="KKD53" s="16"/>
      <c r="KKE53" s="16"/>
      <c r="KKF53" s="16"/>
      <c r="KKG53" s="16"/>
      <c r="KKH53" s="16"/>
      <c r="KKI53" s="16"/>
      <c r="KKJ53" s="16"/>
      <c r="KKK53" s="16"/>
      <c r="KKL53" s="16"/>
      <c r="KKM53" s="16"/>
      <c r="KKN53" s="16"/>
      <c r="KKO53" s="16"/>
      <c r="KKP53" s="16"/>
      <c r="KKQ53" s="16"/>
      <c r="KKR53" s="16"/>
      <c r="KKS53" s="16"/>
      <c r="KKT53" s="16"/>
      <c r="KKU53" s="16"/>
      <c r="KKV53" s="16"/>
      <c r="KKW53" s="16"/>
      <c r="KKX53" s="16"/>
      <c r="KKY53" s="16"/>
      <c r="KKZ53" s="16"/>
      <c r="KLA53" s="16"/>
      <c r="KLB53" s="16"/>
      <c r="KLC53" s="16"/>
      <c r="KLD53" s="16"/>
      <c r="KLE53" s="16"/>
      <c r="KLF53" s="16"/>
      <c r="KLG53" s="16"/>
      <c r="KLH53" s="16"/>
      <c r="KLI53" s="16"/>
      <c r="KLJ53" s="16"/>
      <c r="KLK53" s="16"/>
      <c r="KLL53" s="16"/>
      <c r="KLM53" s="16"/>
      <c r="KLN53" s="16"/>
      <c r="KLO53" s="16"/>
      <c r="KLP53" s="16"/>
      <c r="KLQ53" s="16"/>
      <c r="KLR53" s="16"/>
      <c r="KLS53" s="16"/>
      <c r="KLT53" s="16"/>
      <c r="KLU53" s="16"/>
      <c r="KLV53" s="16"/>
      <c r="KLW53" s="16"/>
      <c r="KLX53" s="16"/>
      <c r="KLY53" s="16"/>
      <c r="KLZ53" s="16"/>
      <c r="KMA53" s="16"/>
      <c r="KMB53" s="16"/>
      <c r="KMC53" s="16"/>
      <c r="KMD53" s="16"/>
      <c r="KME53" s="16"/>
      <c r="KMF53" s="16"/>
      <c r="KMG53" s="16"/>
      <c r="KMH53" s="16"/>
      <c r="KMI53" s="16"/>
      <c r="KMJ53" s="16"/>
      <c r="KMK53" s="16"/>
      <c r="KML53" s="16"/>
      <c r="KMM53" s="16"/>
      <c r="KMN53" s="16"/>
      <c r="KMO53" s="16"/>
      <c r="KMP53" s="16"/>
      <c r="KMQ53" s="16"/>
      <c r="KMR53" s="16"/>
      <c r="KMS53" s="16"/>
      <c r="KMT53" s="16"/>
      <c r="KMU53" s="16"/>
      <c r="KMV53" s="16"/>
      <c r="KMW53" s="16"/>
      <c r="KMX53" s="16"/>
      <c r="KMY53" s="16"/>
      <c r="KMZ53" s="16"/>
      <c r="KNA53" s="16"/>
      <c r="KNB53" s="16"/>
      <c r="KNC53" s="16"/>
      <c r="KND53" s="16"/>
      <c r="KNE53" s="16"/>
      <c r="KNF53" s="16"/>
      <c r="KNG53" s="16"/>
      <c r="KNH53" s="16"/>
      <c r="KNI53" s="16"/>
      <c r="KNJ53" s="16"/>
      <c r="KNK53" s="16"/>
      <c r="KNL53" s="16"/>
      <c r="KNM53" s="16"/>
      <c r="KNN53" s="16"/>
      <c r="KNO53" s="16"/>
      <c r="KNP53" s="16"/>
      <c r="KNQ53" s="16"/>
      <c r="KNR53" s="16"/>
      <c r="KNS53" s="16"/>
      <c r="KNT53" s="16"/>
      <c r="KNU53" s="16"/>
      <c r="KNV53" s="16"/>
      <c r="KNW53" s="16"/>
      <c r="KNX53" s="16"/>
      <c r="KNY53" s="16"/>
      <c r="KNZ53" s="16"/>
      <c r="KOA53" s="16"/>
      <c r="KOB53" s="16"/>
      <c r="KOC53" s="16"/>
      <c r="KOD53" s="16"/>
      <c r="KOE53" s="16"/>
      <c r="KOF53" s="16"/>
      <c r="KOG53" s="16"/>
      <c r="KOH53" s="16"/>
      <c r="KOI53" s="16"/>
      <c r="KOJ53" s="16"/>
      <c r="KOK53" s="16"/>
      <c r="KOL53" s="16"/>
      <c r="KOM53" s="16"/>
      <c r="KON53" s="16"/>
      <c r="KOO53" s="16"/>
      <c r="KOP53" s="16"/>
      <c r="KOQ53" s="16"/>
      <c r="KOR53" s="16"/>
      <c r="KOS53" s="16"/>
      <c r="KOT53" s="16"/>
      <c r="KOU53" s="16"/>
      <c r="KOV53" s="16"/>
      <c r="KOW53" s="16"/>
      <c r="KOX53" s="16"/>
      <c r="KOY53" s="16"/>
      <c r="KOZ53" s="16"/>
      <c r="KPA53" s="16"/>
      <c r="KPB53" s="16"/>
      <c r="KPC53" s="16"/>
      <c r="KPD53" s="16"/>
      <c r="KPE53" s="16"/>
      <c r="KPF53" s="16"/>
      <c r="KPG53" s="16"/>
      <c r="KPH53" s="16"/>
      <c r="KPI53" s="16"/>
      <c r="KPJ53" s="16"/>
      <c r="KPK53" s="16"/>
      <c r="KPL53" s="16"/>
      <c r="KPM53" s="16"/>
      <c r="KPN53" s="16"/>
      <c r="KPO53" s="16"/>
      <c r="KPP53" s="16"/>
      <c r="KPQ53" s="16"/>
      <c r="KPR53" s="16"/>
      <c r="KPS53" s="16"/>
      <c r="KPT53" s="16"/>
      <c r="KPU53" s="16"/>
      <c r="KPV53" s="16"/>
      <c r="KPW53" s="16"/>
      <c r="KPX53" s="16"/>
      <c r="KPY53" s="16"/>
      <c r="KPZ53" s="16"/>
      <c r="KQA53" s="16"/>
      <c r="KQB53" s="16"/>
      <c r="KQC53" s="16"/>
      <c r="KQD53" s="16"/>
      <c r="KQE53" s="16"/>
      <c r="KQF53" s="16"/>
      <c r="KQG53" s="16"/>
      <c r="KQH53" s="16"/>
      <c r="KQI53" s="16"/>
      <c r="KQJ53" s="16"/>
      <c r="KQK53" s="16"/>
      <c r="KQL53" s="16"/>
      <c r="KQM53" s="16"/>
      <c r="KQN53" s="16"/>
      <c r="KQO53" s="16"/>
      <c r="KQP53" s="16"/>
      <c r="KQQ53" s="16"/>
      <c r="KQR53" s="16"/>
      <c r="KQS53" s="16"/>
      <c r="KQT53" s="16"/>
      <c r="KQU53" s="16"/>
      <c r="KQV53" s="16"/>
      <c r="KQW53" s="16"/>
      <c r="KQX53" s="16"/>
      <c r="KQY53" s="16"/>
      <c r="KQZ53" s="16"/>
      <c r="KRA53" s="16"/>
      <c r="KRB53" s="16"/>
      <c r="KRC53" s="16"/>
      <c r="KRD53" s="16"/>
      <c r="KRE53" s="16"/>
      <c r="KRF53" s="16"/>
      <c r="KRG53" s="16"/>
      <c r="KRH53" s="16"/>
      <c r="KRI53" s="16"/>
      <c r="KRJ53" s="16"/>
      <c r="KRK53" s="16"/>
      <c r="KRL53" s="16"/>
      <c r="KRM53" s="16"/>
      <c r="KRN53" s="16"/>
      <c r="KRO53" s="16"/>
      <c r="KRP53" s="16"/>
      <c r="KRQ53" s="16"/>
      <c r="KRR53" s="16"/>
      <c r="KRS53" s="16"/>
      <c r="KRT53" s="16"/>
      <c r="KRU53" s="16"/>
      <c r="KRV53" s="16"/>
      <c r="KRW53" s="16"/>
      <c r="KRX53" s="16"/>
      <c r="KRY53" s="16"/>
      <c r="KRZ53" s="16"/>
      <c r="KSA53" s="16"/>
      <c r="KSB53" s="16"/>
      <c r="KSC53" s="16"/>
      <c r="KSD53" s="16"/>
      <c r="KSE53" s="16"/>
      <c r="KSF53" s="16"/>
      <c r="KSG53" s="16"/>
      <c r="KSH53" s="16"/>
      <c r="KSI53" s="16"/>
      <c r="KSJ53" s="16"/>
      <c r="KSK53" s="16"/>
      <c r="KSL53" s="16"/>
      <c r="KSM53" s="16"/>
      <c r="KSN53" s="16"/>
      <c r="KSO53" s="16"/>
      <c r="KSP53" s="16"/>
      <c r="KSQ53" s="16"/>
      <c r="KSR53" s="16"/>
      <c r="KSS53" s="16"/>
      <c r="KST53" s="16"/>
      <c r="KSU53" s="16"/>
      <c r="KSV53" s="16"/>
      <c r="KSW53" s="16"/>
      <c r="KSX53" s="16"/>
      <c r="KSY53" s="16"/>
      <c r="KSZ53" s="16"/>
      <c r="KTA53" s="16"/>
      <c r="KTB53" s="16"/>
      <c r="KTC53" s="16"/>
      <c r="KTD53" s="16"/>
      <c r="KTE53" s="16"/>
      <c r="KTF53" s="16"/>
      <c r="KTG53" s="16"/>
      <c r="KTH53" s="16"/>
      <c r="KTI53" s="16"/>
      <c r="KTJ53" s="16"/>
      <c r="KTK53" s="16"/>
      <c r="KTL53" s="16"/>
      <c r="KTM53" s="16"/>
      <c r="KTN53" s="16"/>
      <c r="KTO53" s="16"/>
      <c r="KTP53" s="16"/>
      <c r="KTQ53" s="16"/>
      <c r="KTR53" s="16"/>
      <c r="KTS53" s="16"/>
      <c r="KTT53" s="16"/>
      <c r="KTU53" s="16"/>
      <c r="KTV53" s="16"/>
      <c r="KTW53" s="16"/>
      <c r="KTX53" s="16"/>
      <c r="KTY53" s="16"/>
      <c r="KTZ53" s="16"/>
      <c r="KUA53" s="16"/>
      <c r="KUB53" s="16"/>
      <c r="KUC53" s="16"/>
      <c r="KUD53" s="16"/>
      <c r="KUE53" s="16"/>
      <c r="KUF53" s="16"/>
      <c r="KUG53" s="16"/>
      <c r="KUH53" s="16"/>
      <c r="KUI53" s="16"/>
      <c r="KUJ53" s="16"/>
      <c r="KUK53" s="16"/>
      <c r="KUL53" s="16"/>
      <c r="KUM53" s="16"/>
      <c r="KUN53" s="16"/>
      <c r="KUO53" s="16"/>
      <c r="KUP53" s="16"/>
      <c r="KUQ53" s="16"/>
      <c r="KUR53" s="16"/>
      <c r="KUS53" s="16"/>
      <c r="KUT53" s="16"/>
      <c r="KUU53" s="16"/>
      <c r="KUV53" s="16"/>
      <c r="KUW53" s="16"/>
      <c r="KUX53" s="16"/>
      <c r="KUY53" s="16"/>
      <c r="KUZ53" s="16"/>
      <c r="KVA53" s="16"/>
      <c r="KVB53" s="16"/>
      <c r="KVC53" s="16"/>
      <c r="KVD53" s="16"/>
      <c r="KVE53" s="16"/>
      <c r="KVF53" s="16"/>
      <c r="KVG53" s="16"/>
      <c r="KVH53" s="16"/>
      <c r="KVI53" s="16"/>
      <c r="KVJ53" s="16"/>
      <c r="KVK53" s="16"/>
      <c r="KVL53" s="16"/>
      <c r="KVM53" s="16"/>
      <c r="KVN53" s="16"/>
      <c r="KVO53" s="16"/>
      <c r="KVP53" s="16"/>
      <c r="KVQ53" s="16"/>
      <c r="KVR53" s="16"/>
      <c r="KVS53" s="16"/>
      <c r="KVT53" s="16"/>
      <c r="KVU53" s="16"/>
      <c r="KVV53" s="16"/>
      <c r="KVW53" s="16"/>
      <c r="KVX53" s="16"/>
      <c r="KVY53" s="16"/>
      <c r="KVZ53" s="16"/>
      <c r="KWA53" s="16"/>
      <c r="KWB53" s="16"/>
      <c r="KWC53" s="16"/>
      <c r="KWD53" s="16"/>
      <c r="KWE53" s="16"/>
      <c r="KWF53" s="16"/>
      <c r="KWG53" s="16"/>
      <c r="KWH53" s="16"/>
      <c r="KWI53" s="16"/>
      <c r="KWJ53" s="16"/>
      <c r="KWK53" s="16"/>
      <c r="KWL53" s="16"/>
      <c r="KWM53" s="16"/>
      <c r="KWN53" s="16"/>
      <c r="KWO53" s="16"/>
      <c r="KWP53" s="16"/>
      <c r="KWQ53" s="16"/>
      <c r="KWR53" s="16"/>
      <c r="KWS53" s="16"/>
      <c r="KWT53" s="16"/>
      <c r="KWU53" s="16"/>
      <c r="KWV53" s="16"/>
      <c r="KWW53" s="16"/>
      <c r="KWX53" s="16"/>
      <c r="KWY53" s="16"/>
      <c r="KWZ53" s="16"/>
      <c r="KXA53" s="16"/>
      <c r="KXB53" s="16"/>
      <c r="KXC53" s="16"/>
      <c r="KXD53" s="16"/>
      <c r="KXE53" s="16"/>
      <c r="KXF53" s="16"/>
      <c r="KXG53" s="16"/>
      <c r="KXH53" s="16"/>
      <c r="KXI53" s="16"/>
      <c r="KXJ53" s="16"/>
      <c r="KXK53" s="16"/>
      <c r="KXL53" s="16"/>
      <c r="KXM53" s="16"/>
      <c r="KXN53" s="16"/>
      <c r="KXO53" s="16"/>
      <c r="KXP53" s="16"/>
      <c r="KXQ53" s="16"/>
      <c r="KXR53" s="16"/>
      <c r="KXS53" s="16"/>
      <c r="KXT53" s="16"/>
      <c r="KXU53" s="16"/>
      <c r="KXV53" s="16"/>
      <c r="KXW53" s="16"/>
      <c r="KXX53" s="16"/>
      <c r="KXY53" s="16"/>
      <c r="KXZ53" s="16"/>
      <c r="KYA53" s="16"/>
      <c r="KYB53" s="16"/>
      <c r="KYC53" s="16"/>
      <c r="KYD53" s="16"/>
      <c r="KYE53" s="16"/>
      <c r="KYF53" s="16"/>
      <c r="KYG53" s="16"/>
      <c r="KYH53" s="16"/>
      <c r="KYI53" s="16"/>
      <c r="KYJ53" s="16"/>
      <c r="KYK53" s="16"/>
      <c r="KYL53" s="16"/>
      <c r="KYM53" s="16"/>
      <c r="KYN53" s="16"/>
      <c r="KYO53" s="16"/>
      <c r="KYP53" s="16"/>
      <c r="KYQ53" s="16"/>
      <c r="KYR53" s="16"/>
      <c r="KYS53" s="16"/>
      <c r="KYT53" s="16"/>
      <c r="KYU53" s="16"/>
      <c r="KYV53" s="16"/>
      <c r="KYW53" s="16"/>
      <c r="KYX53" s="16"/>
      <c r="KYY53" s="16"/>
      <c r="KYZ53" s="16"/>
      <c r="KZA53" s="16"/>
      <c r="KZB53" s="16"/>
      <c r="KZC53" s="16"/>
      <c r="KZD53" s="16"/>
      <c r="KZE53" s="16"/>
      <c r="KZF53" s="16"/>
      <c r="KZG53" s="16"/>
      <c r="KZH53" s="16"/>
      <c r="KZI53" s="16"/>
      <c r="KZJ53" s="16"/>
      <c r="KZK53" s="16"/>
      <c r="KZL53" s="16"/>
      <c r="KZM53" s="16"/>
      <c r="KZN53" s="16"/>
      <c r="KZO53" s="16"/>
      <c r="KZP53" s="16"/>
      <c r="KZQ53" s="16"/>
      <c r="KZR53" s="16"/>
      <c r="KZS53" s="16"/>
      <c r="KZT53" s="16"/>
      <c r="KZU53" s="16"/>
      <c r="KZV53" s="16"/>
      <c r="KZW53" s="16"/>
      <c r="KZX53" s="16"/>
      <c r="KZY53" s="16"/>
      <c r="KZZ53" s="16"/>
      <c r="LAA53" s="16"/>
      <c r="LAB53" s="16"/>
      <c r="LAC53" s="16"/>
      <c r="LAD53" s="16"/>
      <c r="LAE53" s="16"/>
      <c r="LAF53" s="16"/>
      <c r="LAG53" s="16"/>
      <c r="LAH53" s="16"/>
      <c r="LAI53" s="16"/>
      <c r="LAJ53" s="16"/>
      <c r="LAK53" s="16"/>
      <c r="LAL53" s="16"/>
      <c r="LAM53" s="16"/>
      <c r="LAN53" s="16"/>
      <c r="LAO53" s="16"/>
      <c r="LAP53" s="16"/>
      <c r="LAQ53" s="16"/>
      <c r="LAR53" s="16"/>
      <c r="LAS53" s="16"/>
      <c r="LAT53" s="16"/>
      <c r="LAU53" s="16"/>
      <c r="LAV53" s="16"/>
      <c r="LAW53" s="16"/>
      <c r="LAX53" s="16"/>
      <c r="LAY53" s="16"/>
      <c r="LAZ53" s="16"/>
      <c r="LBA53" s="16"/>
      <c r="LBB53" s="16"/>
      <c r="LBC53" s="16"/>
      <c r="LBD53" s="16"/>
      <c r="LBE53" s="16"/>
      <c r="LBF53" s="16"/>
      <c r="LBG53" s="16"/>
      <c r="LBH53" s="16"/>
      <c r="LBI53" s="16"/>
      <c r="LBJ53" s="16"/>
      <c r="LBK53" s="16"/>
      <c r="LBL53" s="16"/>
      <c r="LBM53" s="16"/>
      <c r="LBN53" s="16"/>
      <c r="LBO53" s="16"/>
      <c r="LBP53" s="16"/>
      <c r="LBQ53" s="16"/>
      <c r="LBR53" s="16"/>
      <c r="LBS53" s="16"/>
      <c r="LBT53" s="16"/>
      <c r="LBU53" s="16"/>
      <c r="LBV53" s="16"/>
      <c r="LBW53" s="16"/>
      <c r="LBX53" s="16"/>
      <c r="LBY53" s="16"/>
      <c r="LBZ53" s="16"/>
      <c r="LCA53" s="16"/>
      <c r="LCB53" s="16"/>
      <c r="LCC53" s="16"/>
      <c r="LCD53" s="16"/>
      <c r="LCE53" s="16"/>
      <c r="LCF53" s="16"/>
      <c r="LCG53" s="16"/>
      <c r="LCH53" s="16"/>
      <c r="LCI53" s="16"/>
      <c r="LCJ53" s="16"/>
      <c r="LCK53" s="16"/>
      <c r="LCL53" s="16"/>
      <c r="LCM53" s="16"/>
      <c r="LCN53" s="16"/>
      <c r="LCO53" s="16"/>
      <c r="LCP53" s="16"/>
      <c r="LCQ53" s="16"/>
      <c r="LCR53" s="16"/>
      <c r="LCS53" s="16"/>
      <c r="LCT53" s="16"/>
      <c r="LCU53" s="16"/>
      <c r="LCV53" s="16"/>
      <c r="LCW53" s="16"/>
      <c r="LCX53" s="16"/>
      <c r="LCY53" s="16"/>
      <c r="LCZ53" s="16"/>
      <c r="LDA53" s="16"/>
      <c r="LDB53" s="16"/>
      <c r="LDC53" s="16"/>
      <c r="LDD53" s="16"/>
      <c r="LDE53" s="16"/>
      <c r="LDF53" s="16"/>
      <c r="LDG53" s="16"/>
      <c r="LDH53" s="16"/>
      <c r="LDI53" s="16"/>
      <c r="LDJ53" s="16"/>
      <c r="LDK53" s="16"/>
      <c r="LDL53" s="16"/>
      <c r="LDM53" s="16"/>
      <c r="LDN53" s="16"/>
      <c r="LDO53" s="16"/>
      <c r="LDP53" s="16"/>
      <c r="LDQ53" s="16"/>
      <c r="LDR53" s="16"/>
      <c r="LDS53" s="16"/>
      <c r="LDT53" s="16"/>
      <c r="LDU53" s="16"/>
      <c r="LDV53" s="16"/>
      <c r="LDW53" s="16"/>
      <c r="LDX53" s="16"/>
      <c r="LDY53" s="16"/>
      <c r="LDZ53" s="16"/>
      <c r="LEA53" s="16"/>
      <c r="LEB53" s="16"/>
      <c r="LEC53" s="16"/>
      <c r="LED53" s="16"/>
      <c r="LEE53" s="16"/>
      <c r="LEF53" s="16"/>
      <c r="LEG53" s="16"/>
      <c r="LEH53" s="16"/>
      <c r="LEI53" s="16"/>
      <c r="LEJ53" s="16"/>
      <c r="LEK53" s="16"/>
      <c r="LEL53" s="16"/>
      <c r="LEM53" s="16"/>
      <c r="LEN53" s="16"/>
      <c r="LEO53" s="16"/>
      <c r="LEP53" s="16"/>
      <c r="LEQ53" s="16"/>
      <c r="LER53" s="16"/>
      <c r="LES53" s="16"/>
      <c r="LET53" s="16"/>
      <c r="LEU53" s="16"/>
      <c r="LEV53" s="16"/>
      <c r="LEW53" s="16"/>
      <c r="LEX53" s="16"/>
      <c r="LEY53" s="16"/>
      <c r="LEZ53" s="16"/>
      <c r="LFA53" s="16"/>
      <c r="LFB53" s="16"/>
      <c r="LFC53" s="16"/>
      <c r="LFD53" s="16"/>
      <c r="LFE53" s="16"/>
      <c r="LFF53" s="16"/>
      <c r="LFG53" s="16"/>
      <c r="LFH53" s="16"/>
      <c r="LFI53" s="16"/>
      <c r="LFJ53" s="16"/>
      <c r="LFK53" s="16"/>
      <c r="LFL53" s="16"/>
      <c r="LFM53" s="16"/>
      <c r="LFN53" s="16"/>
      <c r="LFO53" s="16"/>
      <c r="LFP53" s="16"/>
      <c r="LFQ53" s="16"/>
      <c r="LFR53" s="16"/>
      <c r="LFS53" s="16"/>
      <c r="LFT53" s="16"/>
      <c r="LFU53" s="16"/>
      <c r="LFV53" s="16"/>
      <c r="LFW53" s="16"/>
      <c r="LFX53" s="16"/>
      <c r="LFY53" s="16"/>
      <c r="LFZ53" s="16"/>
      <c r="LGA53" s="16"/>
      <c r="LGB53" s="16"/>
      <c r="LGC53" s="16"/>
      <c r="LGD53" s="16"/>
      <c r="LGE53" s="16"/>
      <c r="LGF53" s="16"/>
      <c r="LGG53" s="16"/>
      <c r="LGH53" s="16"/>
      <c r="LGI53" s="16"/>
      <c r="LGJ53" s="16"/>
      <c r="LGK53" s="16"/>
      <c r="LGL53" s="16"/>
      <c r="LGM53" s="16"/>
      <c r="LGN53" s="16"/>
      <c r="LGO53" s="16"/>
      <c r="LGP53" s="16"/>
      <c r="LGQ53" s="16"/>
      <c r="LGR53" s="16"/>
      <c r="LGS53" s="16"/>
      <c r="LGT53" s="16"/>
      <c r="LGU53" s="16"/>
      <c r="LGV53" s="16"/>
      <c r="LGW53" s="16"/>
      <c r="LGX53" s="16"/>
      <c r="LGY53" s="16"/>
      <c r="LGZ53" s="16"/>
      <c r="LHA53" s="16"/>
      <c r="LHB53" s="16"/>
      <c r="LHC53" s="16"/>
      <c r="LHD53" s="16"/>
      <c r="LHE53" s="16"/>
      <c r="LHF53" s="16"/>
      <c r="LHG53" s="16"/>
      <c r="LHH53" s="16"/>
      <c r="LHI53" s="16"/>
      <c r="LHJ53" s="16"/>
      <c r="LHK53" s="16"/>
      <c r="LHL53" s="16"/>
      <c r="LHM53" s="16"/>
      <c r="LHN53" s="16"/>
      <c r="LHO53" s="16"/>
      <c r="LHP53" s="16"/>
      <c r="LHQ53" s="16"/>
      <c r="LHR53" s="16"/>
      <c r="LHS53" s="16"/>
      <c r="LHT53" s="16"/>
      <c r="LHU53" s="16"/>
      <c r="LHV53" s="16"/>
      <c r="LHW53" s="16"/>
      <c r="LHX53" s="16"/>
      <c r="LHY53" s="16"/>
      <c r="LHZ53" s="16"/>
      <c r="LIA53" s="16"/>
      <c r="LIB53" s="16"/>
      <c r="LIC53" s="16"/>
      <c r="LID53" s="16"/>
      <c r="LIE53" s="16"/>
      <c r="LIF53" s="16"/>
      <c r="LIG53" s="16"/>
      <c r="LIH53" s="16"/>
      <c r="LII53" s="16"/>
      <c r="LIJ53" s="16"/>
      <c r="LIK53" s="16"/>
      <c r="LIL53" s="16"/>
      <c r="LIM53" s="16"/>
      <c r="LIN53" s="16"/>
      <c r="LIO53" s="16"/>
      <c r="LIP53" s="16"/>
      <c r="LIQ53" s="16"/>
      <c r="LIR53" s="16"/>
      <c r="LIS53" s="16"/>
      <c r="LIT53" s="16"/>
      <c r="LIU53" s="16"/>
      <c r="LIV53" s="16"/>
      <c r="LIW53" s="16"/>
      <c r="LIX53" s="16"/>
      <c r="LIY53" s="16"/>
      <c r="LIZ53" s="16"/>
      <c r="LJA53" s="16"/>
      <c r="LJB53" s="16"/>
      <c r="LJC53" s="16"/>
      <c r="LJD53" s="16"/>
      <c r="LJE53" s="16"/>
      <c r="LJF53" s="16"/>
      <c r="LJG53" s="16"/>
      <c r="LJH53" s="16"/>
      <c r="LJI53" s="16"/>
      <c r="LJJ53" s="16"/>
      <c r="LJK53" s="16"/>
      <c r="LJL53" s="16"/>
      <c r="LJM53" s="16"/>
      <c r="LJN53" s="16"/>
      <c r="LJO53" s="16"/>
      <c r="LJP53" s="16"/>
      <c r="LJQ53" s="16"/>
      <c r="LJR53" s="16"/>
      <c r="LJS53" s="16"/>
      <c r="LJT53" s="16"/>
      <c r="LJU53" s="16"/>
      <c r="LJV53" s="16"/>
      <c r="LJW53" s="16"/>
      <c r="LJX53" s="16"/>
      <c r="LJY53" s="16"/>
      <c r="LJZ53" s="16"/>
      <c r="LKA53" s="16"/>
      <c r="LKB53" s="16"/>
      <c r="LKC53" s="16"/>
      <c r="LKD53" s="16"/>
      <c r="LKE53" s="16"/>
      <c r="LKF53" s="16"/>
      <c r="LKG53" s="16"/>
      <c r="LKH53" s="16"/>
      <c r="LKI53" s="16"/>
      <c r="LKJ53" s="16"/>
      <c r="LKK53" s="16"/>
      <c r="LKL53" s="16"/>
      <c r="LKM53" s="16"/>
      <c r="LKN53" s="16"/>
      <c r="LKO53" s="16"/>
      <c r="LKP53" s="16"/>
      <c r="LKQ53" s="16"/>
      <c r="LKR53" s="16"/>
      <c r="LKS53" s="16"/>
      <c r="LKT53" s="16"/>
      <c r="LKU53" s="16"/>
      <c r="LKV53" s="16"/>
      <c r="LKW53" s="16"/>
      <c r="LKX53" s="16"/>
      <c r="LKY53" s="16"/>
      <c r="LKZ53" s="16"/>
      <c r="LLA53" s="16"/>
      <c r="LLB53" s="16"/>
      <c r="LLC53" s="16"/>
      <c r="LLD53" s="16"/>
      <c r="LLE53" s="16"/>
      <c r="LLF53" s="16"/>
      <c r="LLG53" s="16"/>
      <c r="LLH53" s="16"/>
      <c r="LLI53" s="16"/>
      <c r="LLJ53" s="16"/>
      <c r="LLK53" s="16"/>
      <c r="LLL53" s="16"/>
      <c r="LLM53" s="16"/>
      <c r="LLN53" s="16"/>
      <c r="LLO53" s="16"/>
      <c r="LLP53" s="16"/>
      <c r="LLQ53" s="16"/>
      <c r="LLR53" s="16"/>
      <c r="LLS53" s="16"/>
      <c r="LLT53" s="16"/>
      <c r="LLU53" s="16"/>
      <c r="LLV53" s="16"/>
      <c r="LLW53" s="16"/>
      <c r="LLX53" s="16"/>
      <c r="LLY53" s="16"/>
      <c r="LLZ53" s="16"/>
      <c r="LMA53" s="16"/>
      <c r="LMB53" s="16"/>
      <c r="LMC53" s="16"/>
      <c r="LMD53" s="16"/>
      <c r="LME53" s="16"/>
      <c r="LMF53" s="16"/>
      <c r="LMG53" s="16"/>
      <c r="LMH53" s="16"/>
      <c r="LMI53" s="16"/>
      <c r="LMJ53" s="16"/>
      <c r="LMK53" s="16"/>
      <c r="LML53" s="16"/>
      <c r="LMM53" s="16"/>
      <c r="LMN53" s="16"/>
      <c r="LMO53" s="16"/>
      <c r="LMP53" s="16"/>
      <c r="LMQ53" s="16"/>
      <c r="LMR53" s="16"/>
      <c r="LMS53" s="16"/>
      <c r="LMT53" s="16"/>
      <c r="LMU53" s="16"/>
      <c r="LMV53" s="16"/>
      <c r="LMW53" s="16"/>
      <c r="LMX53" s="16"/>
      <c r="LMY53" s="16"/>
      <c r="LMZ53" s="16"/>
      <c r="LNA53" s="16"/>
      <c r="LNB53" s="16"/>
      <c r="LNC53" s="16"/>
      <c r="LND53" s="16"/>
      <c r="LNE53" s="16"/>
      <c r="LNF53" s="16"/>
      <c r="LNG53" s="16"/>
      <c r="LNH53" s="16"/>
      <c r="LNI53" s="16"/>
      <c r="LNJ53" s="16"/>
      <c r="LNK53" s="16"/>
      <c r="LNL53" s="16"/>
      <c r="LNM53" s="16"/>
      <c r="LNN53" s="16"/>
      <c r="LNO53" s="16"/>
      <c r="LNP53" s="16"/>
      <c r="LNQ53" s="16"/>
      <c r="LNR53" s="16"/>
      <c r="LNS53" s="16"/>
      <c r="LNT53" s="16"/>
      <c r="LNU53" s="16"/>
      <c r="LNV53" s="16"/>
      <c r="LNW53" s="16"/>
      <c r="LNX53" s="16"/>
      <c r="LNY53" s="16"/>
      <c r="LNZ53" s="16"/>
      <c r="LOA53" s="16"/>
      <c r="LOB53" s="16"/>
      <c r="LOC53" s="16"/>
      <c r="LOD53" s="16"/>
      <c r="LOE53" s="16"/>
      <c r="LOF53" s="16"/>
      <c r="LOG53" s="16"/>
      <c r="LOH53" s="16"/>
      <c r="LOI53" s="16"/>
      <c r="LOJ53" s="16"/>
      <c r="LOK53" s="16"/>
      <c r="LOL53" s="16"/>
      <c r="LOM53" s="16"/>
      <c r="LON53" s="16"/>
      <c r="LOO53" s="16"/>
      <c r="LOP53" s="16"/>
      <c r="LOQ53" s="16"/>
      <c r="LOR53" s="16"/>
      <c r="LOS53" s="16"/>
      <c r="LOT53" s="16"/>
      <c r="LOU53" s="16"/>
      <c r="LOV53" s="16"/>
      <c r="LOW53" s="16"/>
      <c r="LOX53" s="16"/>
      <c r="LOY53" s="16"/>
      <c r="LOZ53" s="16"/>
      <c r="LPA53" s="16"/>
      <c r="LPB53" s="16"/>
      <c r="LPC53" s="16"/>
      <c r="LPD53" s="16"/>
      <c r="LPE53" s="16"/>
      <c r="LPF53" s="16"/>
      <c r="LPG53" s="16"/>
      <c r="LPH53" s="16"/>
      <c r="LPI53" s="16"/>
      <c r="LPJ53" s="16"/>
      <c r="LPK53" s="16"/>
      <c r="LPL53" s="16"/>
      <c r="LPM53" s="16"/>
      <c r="LPN53" s="16"/>
      <c r="LPO53" s="16"/>
      <c r="LPP53" s="16"/>
      <c r="LPQ53" s="16"/>
      <c r="LPR53" s="16"/>
      <c r="LPS53" s="16"/>
      <c r="LPT53" s="16"/>
      <c r="LPU53" s="16"/>
      <c r="LPV53" s="16"/>
      <c r="LPW53" s="16"/>
      <c r="LPX53" s="16"/>
      <c r="LPY53" s="16"/>
      <c r="LPZ53" s="16"/>
      <c r="LQA53" s="16"/>
      <c r="LQB53" s="16"/>
      <c r="LQC53" s="16"/>
      <c r="LQD53" s="16"/>
      <c r="LQE53" s="16"/>
      <c r="LQF53" s="16"/>
      <c r="LQG53" s="16"/>
      <c r="LQH53" s="16"/>
      <c r="LQI53" s="16"/>
      <c r="LQJ53" s="16"/>
      <c r="LQK53" s="16"/>
      <c r="LQL53" s="16"/>
      <c r="LQM53" s="16"/>
      <c r="LQN53" s="16"/>
      <c r="LQO53" s="16"/>
      <c r="LQP53" s="16"/>
      <c r="LQQ53" s="16"/>
      <c r="LQR53" s="16"/>
      <c r="LQS53" s="16"/>
      <c r="LQT53" s="16"/>
      <c r="LQU53" s="16"/>
      <c r="LQV53" s="16"/>
      <c r="LQW53" s="16"/>
      <c r="LQX53" s="16"/>
      <c r="LQY53" s="16"/>
      <c r="LQZ53" s="16"/>
      <c r="LRA53" s="16"/>
      <c r="LRB53" s="16"/>
      <c r="LRC53" s="16"/>
      <c r="LRD53" s="16"/>
      <c r="LRE53" s="16"/>
      <c r="LRF53" s="16"/>
      <c r="LRG53" s="16"/>
      <c r="LRH53" s="16"/>
      <c r="LRI53" s="16"/>
      <c r="LRJ53" s="16"/>
      <c r="LRK53" s="16"/>
      <c r="LRL53" s="16"/>
      <c r="LRM53" s="16"/>
      <c r="LRN53" s="16"/>
      <c r="LRO53" s="16"/>
      <c r="LRP53" s="16"/>
      <c r="LRQ53" s="16"/>
      <c r="LRR53" s="16"/>
      <c r="LRS53" s="16"/>
      <c r="LRT53" s="16"/>
      <c r="LRU53" s="16"/>
      <c r="LRV53" s="16"/>
      <c r="LRW53" s="16"/>
      <c r="LRX53" s="16"/>
      <c r="LRY53" s="16"/>
      <c r="LRZ53" s="16"/>
      <c r="LSA53" s="16"/>
      <c r="LSB53" s="16"/>
      <c r="LSC53" s="16"/>
      <c r="LSD53" s="16"/>
      <c r="LSE53" s="16"/>
      <c r="LSF53" s="16"/>
      <c r="LSG53" s="16"/>
      <c r="LSH53" s="16"/>
      <c r="LSI53" s="16"/>
      <c r="LSJ53" s="16"/>
      <c r="LSK53" s="16"/>
      <c r="LSL53" s="16"/>
      <c r="LSM53" s="16"/>
      <c r="LSN53" s="16"/>
      <c r="LSO53" s="16"/>
      <c r="LSP53" s="16"/>
      <c r="LSQ53" s="16"/>
      <c r="LSR53" s="16"/>
      <c r="LSS53" s="16"/>
      <c r="LST53" s="16"/>
      <c r="LSU53" s="16"/>
      <c r="LSV53" s="16"/>
      <c r="LSW53" s="16"/>
      <c r="LSX53" s="16"/>
      <c r="LSY53" s="16"/>
      <c r="LSZ53" s="16"/>
      <c r="LTA53" s="16"/>
      <c r="LTB53" s="16"/>
      <c r="LTC53" s="16"/>
      <c r="LTD53" s="16"/>
      <c r="LTE53" s="16"/>
      <c r="LTF53" s="16"/>
      <c r="LTG53" s="16"/>
      <c r="LTH53" s="16"/>
      <c r="LTI53" s="16"/>
      <c r="LTJ53" s="16"/>
      <c r="LTK53" s="16"/>
      <c r="LTL53" s="16"/>
      <c r="LTM53" s="16"/>
      <c r="LTN53" s="16"/>
      <c r="LTO53" s="16"/>
      <c r="LTP53" s="16"/>
      <c r="LTQ53" s="16"/>
      <c r="LTR53" s="16"/>
      <c r="LTS53" s="16"/>
      <c r="LTT53" s="16"/>
      <c r="LTU53" s="16"/>
      <c r="LTV53" s="16"/>
      <c r="LTW53" s="16"/>
      <c r="LTX53" s="16"/>
      <c r="LTY53" s="16"/>
      <c r="LTZ53" s="16"/>
      <c r="LUA53" s="16"/>
      <c r="LUB53" s="16"/>
      <c r="LUC53" s="16"/>
      <c r="LUD53" s="16"/>
      <c r="LUE53" s="16"/>
      <c r="LUF53" s="16"/>
      <c r="LUG53" s="16"/>
      <c r="LUH53" s="16"/>
      <c r="LUI53" s="16"/>
      <c r="LUJ53" s="16"/>
      <c r="LUK53" s="16"/>
      <c r="LUL53" s="16"/>
      <c r="LUM53" s="16"/>
      <c r="LUN53" s="16"/>
      <c r="LUO53" s="16"/>
      <c r="LUP53" s="16"/>
      <c r="LUQ53" s="16"/>
      <c r="LUR53" s="16"/>
      <c r="LUS53" s="16"/>
      <c r="LUT53" s="16"/>
      <c r="LUU53" s="16"/>
      <c r="LUV53" s="16"/>
      <c r="LUW53" s="16"/>
      <c r="LUX53" s="16"/>
      <c r="LUY53" s="16"/>
      <c r="LUZ53" s="16"/>
      <c r="LVA53" s="16"/>
      <c r="LVB53" s="16"/>
      <c r="LVC53" s="16"/>
      <c r="LVD53" s="16"/>
      <c r="LVE53" s="16"/>
      <c r="LVF53" s="16"/>
      <c r="LVG53" s="16"/>
      <c r="LVH53" s="16"/>
      <c r="LVI53" s="16"/>
      <c r="LVJ53" s="16"/>
      <c r="LVK53" s="16"/>
      <c r="LVL53" s="16"/>
      <c r="LVM53" s="16"/>
      <c r="LVN53" s="16"/>
      <c r="LVO53" s="16"/>
      <c r="LVP53" s="16"/>
      <c r="LVQ53" s="16"/>
      <c r="LVR53" s="16"/>
      <c r="LVS53" s="16"/>
      <c r="LVT53" s="16"/>
      <c r="LVU53" s="16"/>
      <c r="LVV53" s="16"/>
      <c r="LVW53" s="16"/>
      <c r="LVX53" s="16"/>
      <c r="LVY53" s="16"/>
      <c r="LVZ53" s="16"/>
      <c r="LWA53" s="16"/>
      <c r="LWB53" s="16"/>
      <c r="LWC53" s="16"/>
      <c r="LWD53" s="16"/>
      <c r="LWE53" s="16"/>
      <c r="LWF53" s="16"/>
      <c r="LWG53" s="16"/>
      <c r="LWH53" s="16"/>
      <c r="LWI53" s="16"/>
      <c r="LWJ53" s="16"/>
      <c r="LWK53" s="16"/>
      <c r="LWL53" s="16"/>
      <c r="LWM53" s="16"/>
      <c r="LWN53" s="16"/>
      <c r="LWO53" s="16"/>
      <c r="LWP53" s="16"/>
      <c r="LWQ53" s="16"/>
      <c r="LWR53" s="16"/>
      <c r="LWS53" s="16"/>
      <c r="LWT53" s="16"/>
      <c r="LWU53" s="16"/>
      <c r="LWV53" s="16"/>
      <c r="LWW53" s="16"/>
      <c r="LWX53" s="16"/>
      <c r="LWY53" s="16"/>
      <c r="LWZ53" s="16"/>
      <c r="LXA53" s="16"/>
      <c r="LXB53" s="16"/>
      <c r="LXC53" s="16"/>
      <c r="LXD53" s="16"/>
      <c r="LXE53" s="16"/>
      <c r="LXF53" s="16"/>
      <c r="LXG53" s="16"/>
      <c r="LXH53" s="16"/>
      <c r="LXI53" s="16"/>
      <c r="LXJ53" s="16"/>
      <c r="LXK53" s="16"/>
      <c r="LXL53" s="16"/>
      <c r="LXM53" s="16"/>
      <c r="LXN53" s="16"/>
      <c r="LXO53" s="16"/>
      <c r="LXP53" s="16"/>
      <c r="LXQ53" s="16"/>
      <c r="LXR53" s="16"/>
      <c r="LXS53" s="16"/>
      <c r="LXT53" s="16"/>
      <c r="LXU53" s="16"/>
      <c r="LXV53" s="16"/>
      <c r="LXW53" s="16"/>
      <c r="LXX53" s="16"/>
      <c r="LXY53" s="16"/>
      <c r="LXZ53" s="16"/>
      <c r="LYA53" s="16"/>
      <c r="LYB53" s="16"/>
      <c r="LYC53" s="16"/>
      <c r="LYD53" s="16"/>
      <c r="LYE53" s="16"/>
      <c r="LYF53" s="16"/>
      <c r="LYG53" s="16"/>
      <c r="LYH53" s="16"/>
      <c r="LYI53" s="16"/>
      <c r="LYJ53" s="16"/>
      <c r="LYK53" s="16"/>
      <c r="LYL53" s="16"/>
      <c r="LYM53" s="16"/>
      <c r="LYN53" s="16"/>
      <c r="LYO53" s="16"/>
      <c r="LYP53" s="16"/>
      <c r="LYQ53" s="16"/>
      <c r="LYR53" s="16"/>
      <c r="LYS53" s="16"/>
      <c r="LYT53" s="16"/>
      <c r="LYU53" s="16"/>
      <c r="LYV53" s="16"/>
      <c r="LYW53" s="16"/>
      <c r="LYX53" s="16"/>
      <c r="LYY53" s="16"/>
      <c r="LYZ53" s="16"/>
      <c r="LZA53" s="16"/>
      <c r="LZB53" s="16"/>
      <c r="LZC53" s="16"/>
      <c r="LZD53" s="16"/>
      <c r="LZE53" s="16"/>
      <c r="LZF53" s="16"/>
      <c r="LZG53" s="16"/>
      <c r="LZH53" s="16"/>
      <c r="LZI53" s="16"/>
      <c r="LZJ53" s="16"/>
      <c r="LZK53" s="16"/>
      <c r="LZL53" s="16"/>
      <c r="LZM53" s="16"/>
      <c r="LZN53" s="16"/>
      <c r="LZO53" s="16"/>
      <c r="LZP53" s="16"/>
      <c r="LZQ53" s="16"/>
      <c r="LZR53" s="16"/>
      <c r="LZS53" s="16"/>
      <c r="LZT53" s="16"/>
      <c r="LZU53" s="16"/>
      <c r="LZV53" s="16"/>
      <c r="LZW53" s="16"/>
      <c r="LZX53" s="16"/>
      <c r="LZY53" s="16"/>
      <c r="LZZ53" s="16"/>
      <c r="MAA53" s="16"/>
      <c r="MAB53" s="16"/>
      <c r="MAC53" s="16"/>
      <c r="MAD53" s="16"/>
      <c r="MAE53" s="16"/>
      <c r="MAF53" s="16"/>
      <c r="MAG53" s="16"/>
      <c r="MAH53" s="16"/>
      <c r="MAI53" s="16"/>
      <c r="MAJ53" s="16"/>
      <c r="MAK53" s="16"/>
      <c r="MAL53" s="16"/>
      <c r="MAM53" s="16"/>
      <c r="MAN53" s="16"/>
      <c r="MAO53" s="16"/>
      <c r="MAP53" s="16"/>
      <c r="MAQ53" s="16"/>
      <c r="MAR53" s="16"/>
      <c r="MAS53" s="16"/>
      <c r="MAT53" s="16"/>
      <c r="MAU53" s="16"/>
      <c r="MAV53" s="16"/>
      <c r="MAW53" s="16"/>
      <c r="MAX53" s="16"/>
      <c r="MAY53" s="16"/>
      <c r="MAZ53" s="16"/>
      <c r="MBA53" s="16"/>
      <c r="MBB53" s="16"/>
      <c r="MBC53" s="16"/>
      <c r="MBD53" s="16"/>
      <c r="MBE53" s="16"/>
      <c r="MBF53" s="16"/>
      <c r="MBG53" s="16"/>
      <c r="MBH53" s="16"/>
      <c r="MBI53" s="16"/>
      <c r="MBJ53" s="16"/>
      <c r="MBK53" s="16"/>
      <c r="MBL53" s="16"/>
      <c r="MBM53" s="16"/>
      <c r="MBN53" s="16"/>
      <c r="MBO53" s="16"/>
      <c r="MBP53" s="16"/>
      <c r="MBQ53" s="16"/>
      <c r="MBR53" s="16"/>
      <c r="MBS53" s="16"/>
      <c r="MBT53" s="16"/>
      <c r="MBU53" s="16"/>
      <c r="MBV53" s="16"/>
      <c r="MBW53" s="16"/>
      <c r="MBX53" s="16"/>
      <c r="MBY53" s="16"/>
      <c r="MBZ53" s="16"/>
      <c r="MCA53" s="16"/>
      <c r="MCB53" s="16"/>
      <c r="MCC53" s="16"/>
      <c r="MCD53" s="16"/>
      <c r="MCE53" s="16"/>
      <c r="MCF53" s="16"/>
      <c r="MCG53" s="16"/>
      <c r="MCH53" s="16"/>
      <c r="MCI53" s="16"/>
      <c r="MCJ53" s="16"/>
      <c r="MCK53" s="16"/>
      <c r="MCL53" s="16"/>
      <c r="MCM53" s="16"/>
      <c r="MCN53" s="16"/>
      <c r="MCO53" s="16"/>
      <c r="MCP53" s="16"/>
      <c r="MCQ53" s="16"/>
      <c r="MCR53" s="16"/>
      <c r="MCS53" s="16"/>
      <c r="MCT53" s="16"/>
      <c r="MCU53" s="16"/>
      <c r="MCV53" s="16"/>
      <c r="MCW53" s="16"/>
      <c r="MCX53" s="16"/>
      <c r="MCY53" s="16"/>
      <c r="MCZ53" s="16"/>
      <c r="MDA53" s="16"/>
      <c r="MDB53" s="16"/>
      <c r="MDC53" s="16"/>
      <c r="MDD53" s="16"/>
      <c r="MDE53" s="16"/>
      <c r="MDF53" s="16"/>
      <c r="MDG53" s="16"/>
      <c r="MDH53" s="16"/>
      <c r="MDI53" s="16"/>
      <c r="MDJ53" s="16"/>
      <c r="MDK53" s="16"/>
      <c r="MDL53" s="16"/>
      <c r="MDM53" s="16"/>
      <c r="MDN53" s="16"/>
      <c r="MDO53" s="16"/>
      <c r="MDP53" s="16"/>
      <c r="MDQ53" s="16"/>
      <c r="MDR53" s="16"/>
      <c r="MDS53" s="16"/>
      <c r="MDT53" s="16"/>
      <c r="MDU53" s="16"/>
      <c r="MDV53" s="16"/>
      <c r="MDW53" s="16"/>
      <c r="MDX53" s="16"/>
      <c r="MDY53" s="16"/>
      <c r="MDZ53" s="16"/>
      <c r="MEA53" s="16"/>
      <c r="MEB53" s="16"/>
      <c r="MEC53" s="16"/>
      <c r="MED53" s="16"/>
      <c r="MEE53" s="16"/>
      <c r="MEF53" s="16"/>
      <c r="MEG53" s="16"/>
      <c r="MEH53" s="16"/>
      <c r="MEI53" s="16"/>
      <c r="MEJ53" s="16"/>
      <c r="MEK53" s="16"/>
      <c r="MEL53" s="16"/>
      <c r="MEM53" s="16"/>
      <c r="MEN53" s="16"/>
      <c r="MEO53" s="16"/>
      <c r="MEP53" s="16"/>
      <c r="MEQ53" s="16"/>
      <c r="MER53" s="16"/>
      <c r="MES53" s="16"/>
      <c r="MET53" s="16"/>
      <c r="MEU53" s="16"/>
      <c r="MEV53" s="16"/>
      <c r="MEW53" s="16"/>
      <c r="MEX53" s="16"/>
      <c r="MEY53" s="16"/>
      <c r="MEZ53" s="16"/>
      <c r="MFA53" s="16"/>
      <c r="MFB53" s="16"/>
      <c r="MFC53" s="16"/>
      <c r="MFD53" s="16"/>
      <c r="MFE53" s="16"/>
      <c r="MFF53" s="16"/>
      <c r="MFG53" s="16"/>
      <c r="MFH53" s="16"/>
      <c r="MFI53" s="16"/>
      <c r="MFJ53" s="16"/>
      <c r="MFK53" s="16"/>
      <c r="MFL53" s="16"/>
      <c r="MFM53" s="16"/>
      <c r="MFN53" s="16"/>
      <c r="MFO53" s="16"/>
      <c r="MFP53" s="16"/>
      <c r="MFQ53" s="16"/>
      <c r="MFR53" s="16"/>
      <c r="MFS53" s="16"/>
      <c r="MFT53" s="16"/>
      <c r="MFU53" s="16"/>
      <c r="MFV53" s="16"/>
      <c r="MFW53" s="16"/>
      <c r="MFX53" s="16"/>
      <c r="MFY53" s="16"/>
      <c r="MFZ53" s="16"/>
      <c r="MGA53" s="16"/>
      <c r="MGB53" s="16"/>
      <c r="MGC53" s="16"/>
      <c r="MGD53" s="16"/>
      <c r="MGE53" s="16"/>
      <c r="MGF53" s="16"/>
      <c r="MGG53" s="16"/>
      <c r="MGH53" s="16"/>
      <c r="MGI53" s="16"/>
      <c r="MGJ53" s="16"/>
      <c r="MGK53" s="16"/>
      <c r="MGL53" s="16"/>
      <c r="MGM53" s="16"/>
      <c r="MGN53" s="16"/>
      <c r="MGO53" s="16"/>
      <c r="MGP53" s="16"/>
      <c r="MGQ53" s="16"/>
      <c r="MGR53" s="16"/>
      <c r="MGS53" s="16"/>
      <c r="MGT53" s="16"/>
      <c r="MGU53" s="16"/>
      <c r="MGV53" s="16"/>
      <c r="MGW53" s="16"/>
      <c r="MGX53" s="16"/>
      <c r="MGY53" s="16"/>
      <c r="MGZ53" s="16"/>
      <c r="MHA53" s="16"/>
      <c r="MHB53" s="16"/>
      <c r="MHC53" s="16"/>
      <c r="MHD53" s="16"/>
      <c r="MHE53" s="16"/>
      <c r="MHF53" s="16"/>
      <c r="MHG53" s="16"/>
      <c r="MHH53" s="16"/>
      <c r="MHI53" s="16"/>
      <c r="MHJ53" s="16"/>
      <c r="MHK53" s="16"/>
      <c r="MHL53" s="16"/>
      <c r="MHM53" s="16"/>
      <c r="MHN53" s="16"/>
      <c r="MHO53" s="16"/>
      <c r="MHP53" s="16"/>
      <c r="MHQ53" s="16"/>
      <c r="MHR53" s="16"/>
      <c r="MHS53" s="16"/>
      <c r="MHT53" s="16"/>
      <c r="MHU53" s="16"/>
      <c r="MHV53" s="16"/>
      <c r="MHW53" s="16"/>
      <c r="MHX53" s="16"/>
      <c r="MHY53" s="16"/>
      <c r="MHZ53" s="16"/>
      <c r="MIA53" s="16"/>
      <c r="MIB53" s="16"/>
      <c r="MIC53" s="16"/>
      <c r="MID53" s="16"/>
      <c r="MIE53" s="16"/>
      <c r="MIF53" s="16"/>
      <c r="MIG53" s="16"/>
      <c r="MIH53" s="16"/>
      <c r="MII53" s="16"/>
      <c r="MIJ53" s="16"/>
      <c r="MIK53" s="16"/>
      <c r="MIL53" s="16"/>
      <c r="MIM53" s="16"/>
      <c r="MIN53" s="16"/>
      <c r="MIO53" s="16"/>
      <c r="MIP53" s="16"/>
      <c r="MIQ53" s="16"/>
      <c r="MIR53" s="16"/>
      <c r="MIS53" s="16"/>
      <c r="MIT53" s="16"/>
      <c r="MIU53" s="16"/>
      <c r="MIV53" s="16"/>
      <c r="MIW53" s="16"/>
      <c r="MIX53" s="16"/>
      <c r="MIY53" s="16"/>
      <c r="MIZ53" s="16"/>
      <c r="MJA53" s="16"/>
      <c r="MJB53" s="16"/>
      <c r="MJC53" s="16"/>
      <c r="MJD53" s="16"/>
      <c r="MJE53" s="16"/>
      <c r="MJF53" s="16"/>
      <c r="MJG53" s="16"/>
      <c r="MJH53" s="16"/>
      <c r="MJI53" s="16"/>
      <c r="MJJ53" s="16"/>
      <c r="MJK53" s="16"/>
      <c r="MJL53" s="16"/>
      <c r="MJM53" s="16"/>
      <c r="MJN53" s="16"/>
      <c r="MJO53" s="16"/>
      <c r="MJP53" s="16"/>
      <c r="MJQ53" s="16"/>
      <c r="MJR53" s="16"/>
      <c r="MJS53" s="16"/>
      <c r="MJT53" s="16"/>
      <c r="MJU53" s="16"/>
      <c r="MJV53" s="16"/>
      <c r="MJW53" s="16"/>
      <c r="MJX53" s="16"/>
      <c r="MJY53" s="16"/>
      <c r="MJZ53" s="16"/>
      <c r="MKA53" s="16"/>
      <c r="MKB53" s="16"/>
      <c r="MKC53" s="16"/>
      <c r="MKD53" s="16"/>
      <c r="MKE53" s="16"/>
      <c r="MKF53" s="16"/>
      <c r="MKG53" s="16"/>
      <c r="MKH53" s="16"/>
      <c r="MKI53" s="16"/>
      <c r="MKJ53" s="16"/>
      <c r="MKK53" s="16"/>
      <c r="MKL53" s="16"/>
      <c r="MKM53" s="16"/>
      <c r="MKN53" s="16"/>
      <c r="MKO53" s="16"/>
      <c r="MKP53" s="16"/>
      <c r="MKQ53" s="16"/>
      <c r="MKR53" s="16"/>
      <c r="MKS53" s="16"/>
      <c r="MKT53" s="16"/>
      <c r="MKU53" s="16"/>
      <c r="MKV53" s="16"/>
      <c r="MKW53" s="16"/>
      <c r="MKX53" s="16"/>
      <c r="MKY53" s="16"/>
      <c r="MKZ53" s="16"/>
      <c r="MLA53" s="16"/>
      <c r="MLB53" s="16"/>
      <c r="MLC53" s="16"/>
      <c r="MLD53" s="16"/>
      <c r="MLE53" s="16"/>
      <c r="MLF53" s="16"/>
      <c r="MLG53" s="16"/>
      <c r="MLH53" s="16"/>
      <c r="MLI53" s="16"/>
      <c r="MLJ53" s="16"/>
      <c r="MLK53" s="16"/>
      <c r="MLL53" s="16"/>
      <c r="MLM53" s="16"/>
      <c r="MLN53" s="16"/>
      <c r="MLO53" s="16"/>
      <c r="MLP53" s="16"/>
      <c r="MLQ53" s="16"/>
      <c r="MLR53" s="16"/>
      <c r="MLS53" s="16"/>
      <c r="MLT53" s="16"/>
      <c r="MLU53" s="16"/>
      <c r="MLV53" s="16"/>
      <c r="MLW53" s="16"/>
      <c r="MLX53" s="16"/>
      <c r="MLY53" s="16"/>
      <c r="MLZ53" s="16"/>
      <c r="MMA53" s="16"/>
      <c r="MMB53" s="16"/>
      <c r="MMC53" s="16"/>
      <c r="MMD53" s="16"/>
      <c r="MME53" s="16"/>
      <c r="MMF53" s="16"/>
      <c r="MMG53" s="16"/>
      <c r="MMH53" s="16"/>
      <c r="MMI53" s="16"/>
      <c r="MMJ53" s="16"/>
      <c r="MMK53" s="16"/>
      <c r="MML53" s="16"/>
      <c r="MMM53" s="16"/>
      <c r="MMN53" s="16"/>
      <c r="MMO53" s="16"/>
      <c r="MMP53" s="16"/>
      <c r="MMQ53" s="16"/>
      <c r="MMR53" s="16"/>
      <c r="MMS53" s="16"/>
      <c r="MMT53" s="16"/>
      <c r="MMU53" s="16"/>
      <c r="MMV53" s="16"/>
      <c r="MMW53" s="16"/>
      <c r="MMX53" s="16"/>
      <c r="MMY53" s="16"/>
      <c r="MMZ53" s="16"/>
      <c r="MNA53" s="16"/>
      <c r="MNB53" s="16"/>
      <c r="MNC53" s="16"/>
      <c r="MND53" s="16"/>
      <c r="MNE53" s="16"/>
      <c r="MNF53" s="16"/>
      <c r="MNG53" s="16"/>
      <c r="MNH53" s="16"/>
      <c r="MNI53" s="16"/>
      <c r="MNJ53" s="16"/>
      <c r="MNK53" s="16"/>
      <c r="MNL53" s="16"/>
      <c r="MNM53" s="16"/>
      <c r="MNN53" s="16"/>
      <c r="MNO53" s="16"/>
      <c r="MNP53" s="16"/>
      <c r="MNQ53" s="16"/>
      <c r="MNR53" s="16"/>
      <c r="MNS53" s="16"/>
      <c r="MNT53" s="16"/>
      <c r="MNU53" s="16"/>
      <c r="MNV53" s="16"/>
      <c r="MNW53" s="16"/>
      <c r="MNX53" s="16"/>
      <c r="MNY53" s="16"/>
      <c r="MNZ53" s="16"/>
      <c r="MOA53" s="16"/>
      <c r="MOB53" s="16"/>
      <c r="MOC53" s="16"/>
      <c r="MOD53" s="16"/>
      <c r="MOE53" s="16"/>
      <c r="MOF53" s="16"/>
      <c r="MOG53" s="16"/>
      <c r="MOH53" s="16"/>
      <c r="MOI53" s="16"/>
      <c r="MOJ53" s="16"/>
      <c r="MOK53" s="16"/>
      <c r="MOL53" s="16"/>
      <c r="MOM53" s="16"/>
      <c r="MON53" s="16"/>
      <c r="MOO53" s="16"/>
      <c r="MOP53" s="16"/>
      <c r="MOQ53" s="16"/>
      <c r="MOR53" s="16"/>
      <c r="MOS53" s="16"/>
      <c r="MOT53" s="16"/>
      <c r="MOU53" s="16"/>
      <c r="MOV53" s="16"/>
      <c r="MOW53" s="16"/>
      <c r="MOX53" s="16"/>
      <c r="MOY53" s="16"/>
      <c r="MOZ53" s="16"/>
      <c r="MPA53" s="16"/>
      <c r="MPB53" s="16"/>
      <c r="MPC53" s="16"/>
      <c r="MPD53" s="16"/>
      <c r="MPE53" s="16"/>
      <c r="MPF53" s="16"/>
      <c r="MPG53" s="16"/>
      <c r="MPH53" s="16"/>
      <c r="MPI53" s="16"/>
      <c r="MPJ53" s="16"/>
      <c r="MPK53" s="16"/>
      <c r="MPL53" s="16"/>
      <c r="MPM53" s="16"/>
      <c r="MPN53" s="16"/>
      <c r="MPO53" s="16"/>
      <c r="MPP53" s="16"/>
      <c r="MPQ53" s="16"/>
      <c r="MPR53" s="16"/>
      <c r="MPS53" s="16"/>
      <c r="MPT53" s="16"/>
      <c r="MPU53" s="16"/>
      <c r="MPV53" s="16"/>
      <c r="MPW53" s="16"/>
      <c r="MPX53" s="16"/>
      <c r="MPY53" s="16"/>
      <c r="MPZ53" s="16"/>
      <c r="MQA53" s="16"/>
      <c r="MQB53" s="16"/>
      <c r="MQC53" s="16"/>
      <c r="MQD53" s="16"/>
      <c r="MQE53" s="16"/>
      <c r="MQF53" s="16"/>
      <c r="MQG53" s="16"/>
      <c r="MQH53" s="16"/>
      <c r="MQI53" s="16"/>
      <c r="MQJ53" s="16"/>
      <c r="MQK53" s="16"/>
      <c r="MQL53" s="16"/>
      <c r="MQM53" s="16"/>
      <c r="MQN53" s="16"/>
      <c r="MQO53" s="16"/>
      <c r="MQP53" s="16"/>
      <c r="MQQ53" s="16"/>
      <c r="MQR53" s="16"/>
      <c r="MQS53" s="16"/>
      <c r="MQT53" s="16"/>
      <c r="MQU53" s="16"/>
      <c r="MQV53" s="16"/>
      <c r="MQW53" s="16"/>
      <c r="MQX53" s="16"/>
      <c r="MQY53" s="16"/>
      <c r="MQZ53" s="16"/>
      <c r="MRA53" s="16"/>
      <c r="MRB53" s="16"/>
      <c r="MRC53" s="16"/>
      <c r="MRD53" s="16"/>
      <c r="MRE53" s="16"/>
      <c r="MRF53" s="16"/>
      <c r="MRG53" s="16"/>
      <c r="MRH53" s="16"/>
      <c r="MRI53" s="16"/>
      <c r="MRJ53" s="16"/>
      <c r="MRK53" s="16"/>
      <c r="MRL53" s="16"/>
      <c r="MRM53" s="16"/>
      <c r="MRN53" s="16"/>
      <c r="MRO53" s="16"/>
      <c r="MRP53" s="16"/>
      <c r="MRQ53" s="16"/>
      <c r="MRR53" s="16"/>
      <c r="MRS53" s="16"/>
      <c r="MRT53" s="16"/>
      <c r="MRU53" s="16"/>
      <c r="MRV53" s="16"/>
      <c r="MRW53" s="16"/>
      <c r="MRX53" s="16"/>
      <c r="MRY53" s="16"/>
      <c r="MRZ53" s="16"/>
      <c r="MSA53" s="16"/>
      <c r="MSB53" s="16"/>
      <c r="MSC53" s="16"/>
      <c r="MSD53" s="16"/>
      <c r="MSE53" s="16"/>
      <c r="MSF53" s="16"/>
      <c r="MSG53" s="16"/>
      <c r="MSH53" s="16"/>
      <c r="MSI53" s="16"/>
      <c r="MSJ53" s="16"/>
      <c r="MSK53" s="16"/>
      <c r="MSL53" s="16"/>
      <c r="MSM53" s="16"/>
      <c r="MSN53" s="16"/>
      <c r="MSO53" s="16"/>
      <c r="MSP53" s="16"/>
      <c r="MSQ53" s="16"/>
      <c r="MSR53" s="16"/>
      <c r="MSS53" s="16"/>
      <c r="MST53" s="16"/>
      <c r="MSU53" s="16"/>
      <c r="MSV53" s="16"/>
      <c r="MSW53" s="16"/>
      <c r="MSX53" s="16"/>
      <c r="MSY53" s="16"/>
      <c r="MSZ53" s="16"/>
      <c r="MTA53" s="16"/>
      <c r="MTB53" s="16"/>
      <c r="MTC53" s="16"/>
      <c r="MTD53" s="16"/>
      <c r="MTE53" s="16"/>
      <c r="MTF53" s="16"/>
      <c r="MTG53" s="16"/>
      <c r="MTH53" s="16"/>
      <c r="MTI53" s="16"/>
      <c r="MTJ53" s="16"/>
      <c r="MTK53" s="16"/>
      <c r="MTL53" s="16"/>
      <c r="MTM53" s="16"/>
      <c r="MTN53" s="16"/>
      <c r="MTO53" s="16"/>
      <c r="MTP53" s="16"/>
      <c r="MTQ53" s="16"/>
      <c r="MTR53" s="16"/>
      <c r="MTS53" s="16"/>
      <c r="MTT53" s="16"/>
      <c r="MTU53" s="16"/>
      <c r="MTV53" s="16"/>
      <c r="MTW53" s="16"/>
      <c r="MTX53" s="16"/>
      <c r="MTY53" s="16"/>
      <c r="MTZ53" s="16"/>
      <c r="MUA53" s="16"/>
      <c r="MUB53" s="16"/>
      <c r="MUC53" s="16"/>
      <c r="MUD53" s="16"/>
      <c r="MUE53" s="16"/>
      <c r="MUF53" s="16"/>
      <c r="MUG53" s="16"/>
      <c r="MUH53" s="16"/>
      <c r="MUI53" s="16"/>
      <c r="MUJ53" s="16"/>
      <c r="MUK53" s="16"/>
      <c r="MUL53" s="16"/>
      <c r="MUM53" s="16"/>
      <c r="MUN53" s="16"/>
      <c r="MUO53" s="16"/>
      <c r="MUP53" s="16"/>
      <c r="MUQ53" s="16"/>
      <c r="MUR53" s="16"/>
      <c r="MUS53" s="16"/>
      <c r="MUT53" s="16"/>
      <c r="MUU53" s="16"/>
      <c r="MUV53" s="16"/>
      <c r="MUW53" s="16"/>
      <c r="MUX53" s="16"/>
      <c r="MUY53" s="16"/>
      <c r="MUZ53" s="16"/>
      <c r="MVA53" s="16"/>
      <c r="MVB53" s="16"/>
      <c r="MVC53" s="16"/>
      <c r="MVD53" s="16"/>
      <c r="MVE53" s="16"/>
      <c r="MVF53" s="16"/>
      <c r="MVG53" s="16"/>
      <c r="MVH53" s="16"/>
      <c r="MVI53" s="16"/>
      <c r="MVJ53" s="16"/>
      <c r="MVK53" s="16"/>
      <c r="MVL53" s="16"/>
      <c r="MVM53" s="16"/>
      <c r="MVN53" s="16"/>
      <c r="MVO53" s="16"/>
      <c r="MVP53" s="16"/>
      <c r="MVQ53" s="16"/>
      <c r="MVR53" s="16"/>
      <c r="MVS53" s="16"/>
      <c r="MVT53" s="16"/>
      <c r="MVU53" s="16"/>
      <c r="MVV53" s="16"/>
      <c r="MVW53" s="16"/>
      <c r="MVX53" s="16"/>
      <c r="MVY53" s="16"/>
      <c r="MVZ53" s="16"/>
      <c r="MWA53" s="16"/>
      <c r="MWB53" s="16"/>
      <c r="MWC53" s="16"/>
      <c r="MWD53" s="16"/>
      <c r="MWE53" s="16"/>
      <c r="MWF53" s="16"/>
      <c r="MWG53" s="16"/>
      <c r="MWH53" s="16"/>
      <c r="MWI53" s="16"/>
      <c r="MWJ53" s="16"/>
      <c r="MWK53" s="16"/>
      <c r="MWL53" s="16"/>
      <c r="MWM53" s="16"/>
      <c r="MWN53" s="16"/>
      <c r="MWO53" s="16"/>
      <c r="MWP53" s="16"/>
      <c r="MWQ53" s="16"/>
      <c r="MWR53" s="16"/>
      <c r="MWS53" s="16"/>
      <c r="MWT53" s="16"/>
      <c r="MWU53" s="16"/>
      <c r="MWV53" s="16"/>
      <c r="MWW53" s="16"/>
      <c r="MWX53" s="16"/>
      <c r="MWY53" s="16"/>
      <c r="MWZ53" s="16"/>
      <c r="MXA53" s="16"/>
      <c r="MXB53" s="16"/>
      <c r="MXC53" s="16"/>
      <c r="MXD53" s="16"/>
      <c r="MXE53" s="16"/>
      <c r="MXF53" s="16"/>
      <c r="MXG53" s="16"/>
      <c r="MXH53" s="16"/>
      <c r="MXI53" s="16"/>
      <c r="MXJ53" s="16"/>
      <c r="MXK53" s="16"/>
      <c r="MXL53" s="16"/>
      <c r="MXM53" s="16"/>
      <c r="MXN53" s="16"/>
      <c r="MXO53" s="16"/>
      <c r="MXP53" s="16"/>
      <c r="MXQ53" s="16"/>
      <c r="MXR53" s="16"/>
      <c r="MXS53" s="16"/>
      <c r="MXT53" s="16"/>
      <c r="MXU53" s="16"/>
      <c r="MXV53" s="16"/>
      <c r="MXW53" s="16"/>
      <c r="MXX53" s="16"/>
      <c r="MXY53" s="16"/>
      <c r="MXZ53" s="16"/>
      <c r="MYA53" s="16"/>
      <c r="MYB53" s="16"/>
      <c r="MYC53" s="16"/>
      <c r="MYD53" s="16"/>
      <c r="MYE53" s="16"/>
      <c r="MYF53" s="16"/>
      <c r="MYG53" s="16"/>
      <c r="MYH53" s="16"/>
      <c r="MYI53" s="16"/>
      <c r="MYJ53" s="16"/>
      <c r="MYK53" s="16"/>
      <c r="MYL53" s="16"/>
      <c r="MYM53" s="16"/>
      <c r="MYN53" s="16"/>
      <c r="MYO53" s="16"/>
      <c r="MYP53" s="16"/>
      <c r="MYQ53" s="16"/>
      <c r="MYR53" s="16"/>
      <c r="MYS53" s="16"/>
      <c r="MYT53" s="16"/>
      <c r="MYU53" s="16"/>
      <c r="MYV53" s="16"/>
      <c r="MYW53" s="16"/>
      <c r="MYX53" s="16"/>
      <c r="MYY53" s="16"/>
      <c r="MYZ53" s="16"/>
      <c r="MZA53" s="16"/>
      <c r="MZB53" s="16"/>
      <c r="MZC53" s="16"/>
      <c r="MZD53" s="16"/>
      <c r="MZE53" s="16"/>
      <c r="MZF53" s="16"/>
      <c r="MZG53" s="16"/>
      <c r="MZH53" s="16"/>
      <c r="MZI53" s="16"/>
      <c r="MZJ53" s="16"/>
      <c r="MZK53" s="16"/>
      <c r="MZL53" s="16"/>
      <c r="MZM53" s="16"/>
      <c r="MZN53" s="16"/>
      <c r="MZO53" s="16"/>
      <c r="MZP53" s="16"/>
      <c r="MZQ53" s="16"/>
      <c r="MZR53" s="16"/>
      <c r="MZS53" s="16"/>
      <c r="MZT53" s="16"/>
      <c r="MZU53" s="16"/>
      <c r="MZV53" s="16"/>
      <c r="MZW53" s="16"/>
      <c r="MZX53" s="16"/>
      <c r="MZY53" s="16"/>
      <c r="MZZ53" s="16"/>
      <c r="NAA53" s="16"/>
      <c r="NAB53" s="16"/>
      <c r="NAC53" s="16"/>
      <c r="NAD53" s="16"/>
      <c r="NAE53" s="16"/>
      <c r="NAF53" s="16"/>
      <c r="NAG53" s="16"/>
      <c r="NAH53" s="16"/>
      <c r="NAI53" s="16"/>
      <c r="NAJ53" s="16"/>
      <c r="NAK53" s="16"/>
      <c r="NAL53" s="16"/>
      <c r="NAM53" s="16"/>
      <c r="NAN53" s="16"/>
      <c r="NAO53" s="16"/>
      <c r="NAP53" s="16"/>
      <c r="NAQ53" s="16"/>
      <c r="NAR53" s="16"/>
      <c r="NAS53" s="16"/>
      <c r="NAT53" s="16"/>
      <c r="NAU53" s="16"/>
      <c r="NAV53" s="16"/>
      <c r="NAW53" s="16"/>
      <c r="NAX53" s="16"/>
      <c r="NAY53" s="16"/>
      <c r="NAZ53" s="16"/>
      <c r="NBA53" s="16"/>
      <c r="NBB53" s="16"/>
      <c r="NBC53" s="16"/>
      <c r="NBD53" s="16"/>
      <c r="NBE53" s="16"/>
      <c r="NBF53" s="16"/>
      <c r="NBG53" s="16"/>
      <c r="NBH53" s="16"/>
      <c r="NBI53" s="16"/>
      <c r="NBJ53" s="16"/>
      <c r="NBK53" s="16"/>
      <c r="NBL53" s="16"/>
      <c r="NBM53" s="16"/>
      <c r="NBN53" s="16"/>
      <c r="NBO53" s="16"/>
      <c r="NBP53" s="16"/>
      <c r="NBQ53" s="16"/>
      <c r="NBR53" s="16"/>
      <c r="NBS53" s="16"/>
      <c r="NBT53" s="16"/>
      <c r="NBU53" s="16"/>
      <c r="NBV53" s="16"/>
      <c r="NBW53" s="16"/>
      <c r="NBX53" s="16"/>
      <c r="NBY53" s="16"/>
      <c r="NBZ53" s="16"/>
      <c r="NCA53" s="16"/>
      <c r="NCB53" s="16"/>
      <c r="NCC53" s="16"/>
      <c r="NCD53" s="16"/>
      <c r="NCE53" s="16"/>
      <c r="NCF53" s="16"/>
      <c r="NCG53" s="16"/>
      <c r="NCH53" s="16"/>
      <c r="NCI53" s="16"/>
      <c r="NCJ53" s="16"/>
      <c r="NCK53" s="16"/>
      <c r="NCL53" s="16"/>
      <c r="NCM53" s="16"/>
      <c r="NCN53" s="16"/>
      <c r="NCO53" s="16"/>
      <c r="NCP53" s="16"/>
      <c r="NCQ53" s="16"/>
      <c r="NCR53" s="16"/>
      <c r="NCS53" s="16"/>
      <c r="NCT53" s="16"/>
      <c r="NCU53" s="16"/>
      <c r="NCV53" s="16"/>
      <c r="NCW53" s="16"/>
      <c r="NCX53" s="16"/>
      <c r="NCY53" s="16"/>
      <c r="NCZ53" s="16"/>
      <c r="NDA53" s="16"/>
      <c r="NDB53" s="16"/>
      <c r="NDC53" s="16"/>
      <c r="NDD53" s="16"/>
      <c r="NDE53" s="16"/>
      <c r="NDF53" s="16"/>
      <c r="NDG53" s="16"/>
      <c r="NDH53" s="16"/>
      <c r="NDI53" s="16"/>
      <c r="NDJ53" s="16"/>
      <c r="NDK53" s="16"/>
      <c r="NDL53" s="16"/>
      <c r="NDM53" s="16"/>
      <c r="NDN53" s="16"/>
      <c r="NDO53" s="16"/>
      <c r="NDP53" s="16"/>
      <c r="NDQ53" s="16"/>
      <c r="NDR53" s="16"/>
      <c r="NDS53" s="16"/>
      <c r="NDT53" s="16"/>
      <c r="NDU53" s="16"/>
      <c r="NDV53" s="16"/>
      <c r="NDW53" s="16"/>
      <c r="NDX53" s="16"/>
      <c r="NDY53" s="16"/>
      <c r="NDZ53" s="16"/>
      <c r="NEA53" s="16"/>
      <c r="NEB53" s="16"/>
      <c r="NEC53" s="16"/>
      <c r="NED53" s="16"/>
      <c r="NEE53" s="16"/>
      <c r="NEF53" s="16"/>
      <c r="NEG53" s="16"/>
      <c r="NEH53" s="16"/>
      <c r="NEI53" s="16"/>
      <c r="NEJ53" s="16"/>
      <c r="NEK53" s="16"/>
      <c r="NEL53" s="16"/>
      <c r="NEM53" s="16"/>
      <c r="NEN53" s="16"/>
      <c r="NEO53" s="16"/>
      <c r="NEP53" s="16"/>
      <c r="NEQ53" s="16"/>
      <c r="NER53" s="16"/>
      <c r="NES53" s="16"/>
      <c r="NET53" s="16"/>
      <c r="NEU53" s="16"/>
      <c r="NEV53" s="16"/>
      <c r="NEW53" s="16"/>
      <c r="NEX53" s="16"/>
      <c r="NEY53" s="16"/>
      <c r="NEZ53" s="16"/>
      <c r="NFA53" s="16"/>
      <c r="NFB53" s="16"/>
      <c r="NFC53" s="16"/>
      <c r="NFD53" s="16"/>
      <c r="NFE53" s="16"/>
      <c r="NFF53" s="16"/>
      <c r="NFG53" s="16"/>
      <c r="NFH53" s="16"/>
      <c r="NFI53" s="16"/>
      <c r="NFJ53" s="16"/>
      <c r="NFK53" s="16"/>
      <c r="NFL53" s="16"/>
      <c r="NFM53" s="16"/>
      <c r="NFN53" s="16"/>
      <c r="NFO53" s="16"/>
      <c r="NFP53" s="16"/>
      <c r="NFQ53" s="16"/>
      <c r="NFR53" s="16"/>
      <c r="NFS53" s="16"/>
      <c r="NFT53" s="16"/>
      <c r="NFU53" s="16"/>
      <c r="NFV53" s="16"/>
      <c r="NFW53" s="16"/>
      <c r="NFX53" s="16"/>
      <c r="NFY53" s="16"/>
      <c r="NFZ53" s="16"/>
      <c r="NGA53" s="16"/>
      <c r="NGB53" s="16"/>
      <c r="NGC53" s="16"/>
      <c r="NGD53" s="16"/>
      <c r="NGE53" s="16"/>
      <c r="NGF53" s="16"/>
      <c r="NGG53" s="16"/>
      <c r="NGH53" s="16"/>
      <c r="NGI53" s="16"/>
      <c r="NGJ53" s="16"/>
      <c r="NGK53" s="16"/>
      <c r="NGL53" s="16"/>
      <c r="NGM53" s="16"/>
      <c r="NGN53" s="16"/>
      <c r="NGO53" s="16"/>
      <c r="NGP53" s="16"/>
      <c r="NGQ53" s="16"/>
      <c r="NGR53" s="16"/>
      <c r="NGS53" s="16"/>
      <c r="NGT53" s="16"/>
      <c r="NGU53" s="16"/>
      <c r="NGV53" s="16"/>
      <c r="NGW53" s="16"/>
      <c r="NGX53" s="16"/>
      <c r="NGY53" s="16"/>
      <c r="NGZ53" s="16"/>
      <c r="NHA53" s="16"/>
      <c r="NHB53" s="16"/>
      <c r="NHC53" s="16"/>
      <c r="NHD53" s="16"/>
      <c r="NHE53" s="16"/>
      <c r="NHF53" s="16"/>
      <c r="NHG53" s="16"/>
      <c r="NHH53" s="16"/>
      <c r="NHI53" s="16"/>
      <c r="NHJ53" s="16"/>
      <c r="NHK53" s="16"/>
      <c r="NHL53" s="16"/>
      <c r="NHM53" s="16"/>
      <c r="NHN53" s="16"/>
      <c r="NHO53" s="16"/>
      <c r="NHP53" s="16"/>
      <c r="NHQ53" s="16"/>
      <c r="NHR53" s="16"/>
      <c r="NHS53" s="16"/>
      <c r="NHT53" s="16"/>
      <c r="NHU53" s="16"/>
      <c r="NHV53" s="16"/>
      <c r="NHW53" s="16"/>
      <c r="NHX53" s="16"/>
      <c r="NHY53" s="16"/>
      <c r="NHZ53" s="16"/>
      <c r="NIA53" s="16"/>
      <c r="NIB53" s="16"/>
      <c r="NIC53" s="16"/>
      <c r="NID53" s="16"/>
      <c r="NIE53" s="16"/>
      <c r="NIF53" s="16"/>
      <c r="NIG53" s="16"/>
      <c r="NIH53" s="16"/>
      <c r="NII53" s="16"/>
      <c r="NIJ53" s="16"/>
      <c r="NIK53" s="16"/>
      <c r="NIL53" s="16"/>
      <c r="NIM53" s="16"/>
      <c r="NIN53" s="16"/>
      <c r="NIO53" s="16"/>
      <c r="NIP53" s="16"/>
      <c r="NIQ53" s="16"/>
      <c r="NIR53" s="16"/>
      <c r="NIS53" s="16"/>
      <c r="NIT53" s="16"/>
      <c r="NIU53" s="16"/>
      <c r="NIV53" s="16"/>
      <c r="NIW53" s="16"/>
      <c r="NIX53" s="16"/>
      <c r="NIY53" s="16"/>
      <c r="NIZ53" s="16"/>
      <c r="NJA53" s="16"/>
      <c r="NJB53" s="16"/>
      <c r="NJC53" s="16"/>
      <c r="NJD53" s="16"/>
      <c r="NJE53" s="16"/>
      <c r="NJF53" s="16"/>
      <c r="NJG53" s="16"/>
      <c r="NJH53" s="16"/>
      <c r="NJI53" s="16"/>
      <c r="NJJ53" s="16"/>
      <c r="NJK53" s="16"/>
      <c r="NJL53" s="16"/>
      <c r="NJM53" s="16"/>
      <c r="NJN53" s="16"/>
      <c r="NJO53" s="16"/>
      <c r="NJP53" s="16"/>
      <c r="NJQ53" s="16"/>
      <c r="NJR53" s="16"/>
      <c r="NJS53" s="16"/>
      <c r="NJT53" s="16"/>
      <c r="NJU53" s="16"/>
      <c r="NJV53" s="16"/>
      <c r="NJW53" s="16"/>
      <c r="NJX53" s="16"/>
      <c r="NJY53" s="16"/>
      <c r="NJZ53" s="16"/>
      <c r="NKA53" s="16"/>
      <c r="NKB53" s="16"/>
      <c r="NKC53" s="16"/>
      <c r="NKD53" s="16"/>
      <c r="NKE53" s="16"/>
      <c r="NKF53" s="16"/>
      <c r="NKG53" s="16"/>
      <c r="NKH53" s="16"/>
      <c r="NKI53" s="16"/>
      <c r="NKJ53" s="16"/>
      <c r="NKK53" s="16"/>
      <c r="NKL53" s="16"/>
      <c r="NKM53" s="16"/>
      <c r="NKN53" s="16"/>
      <c r="NKO53" s="16"/>
      <c r="NKP53" s="16"/>
      <c r="NKQ53" s="16"/>
      <c r="NKR53" s="16"/>
      <c r="NKS53" s="16"/>
      <c r="NKT53" s="16"/>
      <c r="NKU53" s="16"/>
      <c r="NKV53" s="16"/>
      <c r="NKW53" s="16"/>
      <c r="NKX53" s="16"/>
      <c r="NKY53" s="16"/>
      <c r="NKZ53" s="16"/>
      <c r="NLA53" s="16"/>
      <c r="NLB53" s="16"/>
      <c r="NLC53" s="16"/>
      <c r="NLD53" s="16"/>
      <c r="NLE53" s="16"/>
      <c r="NLF53" s="16"/>
      <c r="NLG53" s="16"/>
      <c r="NLH53" s="16"/>
      <c r="NLI53" s="16"/>
      <c r="NLJ53" s="16"/>
      <c r="NLK53" s="16"/>
      <c r="NLL53" s="16"/>
      <c r="NLM53" s="16"/>
      <c r="NLN53" s="16"/>
      <c r="NLO53" s="16"/>
      <c r="NLP53" s="16"/>
      <c r="NLQ53" s="16"/>
      <c r="NLR53" s="16"/>
      <c r="NLS53" s="16"/>
      <c r="NLT53" s="16"/>
      <c r="NLU53" s="16"/>
      <c r="NLV53" s="16"/>
      <c r="NLW53" s="16"/>
      <c r="NLX53" s="16"/>
      <c r="NLY53" s="16"/>
      <c r="NLZ53" s="16"/>
      <c r="NMA53" s="16"/>
      <c r="NMB53" s="16"/>
      <c r="NMC53" s="16"/>
      <c r="NMD53" s="16"/>
      <c r="NME53" s="16"/>
      <c r="NMF53" s="16"/>
      <c r="NMG53" s="16"/>
      <c r="NMH53" s="16"/>
      <c r="NMI53" s="16"/>
      <c r="NMJ53" s="16"/>
      <c r="NMK53" s="16"/>
      <c r="NML53" s="16"/>
      <c r="NMM53" s="16"/>
      <c r="NMN53" s="16"/>
      <c r="NMO53" s="16"/>
      <c r="NMP53" s="16"/>
      <c r="NMQ53" s="16"/>
      <c r="NMR53" s="16"/>
      <c r="NMS53" s="16"/>
      <c r="NMT53" s="16"/>
      <c r="NMU53" s="16"/>
      <c r="NMV53" s="16"/>
      <c r="NMW53" s="16"/>
      <c r="NMX53" s="16"/>
      <c r="NMY53" s="16"/>
      <c r="NMZ53" s="16"/>
      <c r="NNA53" s="16"/>
      <c r="NNB53" s="16"/>
      <c r="NNC53" s="16"/>
      <c r="NND53" s="16"/>
      <c r="NNE53" s="16"/>
      <c r="NNF53" s="16"/>
      <c r="NNG53" s="16"/>
      <c r="NNH53" s="16"/>
      <c r="NNI53" s="16"/>
      <c r="NNJ53" s="16"/>
      <c r="NNK53" s="16"/>
      <c r="NNL53" s="16"/>
      <c r="NNM53" s="16"/>
      <c r="NNN53" s="16"/>
      <c r="NNO53" s="16"/>
      <c r="NNP53" s="16"/>
      <c r="NNQ53" s="16"/>
      <c r="NNR53" s="16"/>
      <c r="NNS53" s="16"/>
      <c r="NNT53" s="16"/>
      <c r="NNU53" s="16"/>
      <c r="NNV53" s="16"/>
      <c r="NNW53" s="16"/>
      <c r="NNX53" s="16"/>
      <c r="NNY53" s="16"/>
      <c r="NNZ53" s="16"/>
      <c r="NOA53" s="16"/>
      <c r="NOB53" s="16"/>
      <c r="NOC53" s="16"/>
      <c r="NOD53" s="16"/>
      <c r="NOE53" s="16"/>
      <c r="NOF53" s="16"/>
      <c r="NOG53" s="16"/>
      <c r="NOH53" s="16"/>
      <c r="NOI53" s="16"/>
      <c r="NOJ53" s="16"/>
      <c r="NOK53" s="16"/>
      <c r="NOL53" s="16"/>
      <c r="NOM53" s="16"/>
      <c r="NON53" s="16"/>
      <c r="NOO53" s="16"/>
      <c r="NOP53" s="16"/>
      <c r="NOQ53" s="16"/>
      <c r="NOR53" s="16"/>
      <c r="NOS53" s="16"/>
      <c r="NOT53" s="16"/>
      <c r="NOU53" s="16"/>
      <c r="NOV53" s="16"/>
      <c r="NOW53" s="16"/>
      <c r="NOX53" s="16"/>
      <c r="NOY53" s="16"/>
      <c r="NOZ53" s="16"/>
      <c r="NPA53" s="16"/>
      <c r="NPB53" s="16"/>
      <c r="NPC53" s="16"/>
      <c r="NPD53" s="16"/>
      <c r="NPE53" s="16"/>
      <c r="NPF53" s="16"/>
      <c r="NPG53" s="16"/>
      <c r="NPH53" s="16"/>
      <c r="NPI53" s="16"/>
      <c r="NPJ53" s="16"/>
      <c r="NPK53" s="16"/>
      <c r="NPL53" s="16"/>
      <c r="NPM53" s="16"/>
      <c r="NPN53" s="16"/>
      <c r="NPO53" s="16"/>
      <c r="NPP53" s="16"/>
      <c r="NPQ53" s="16"/>
      <c r="NPR53" s="16"/>
      <c r="NPS53" s="16"/>
      <c r="NPT53" s="16"/>
      <c r="NPU53" s="16"/>
      <c r="NPV53" s="16"/>
      <c r="NPW53" s="16"/>
      <c r="NPX53" s="16"/>
      <c r="NPY53" s="16"/>
      <c r="NPZ53" s="16"/>
      <c r="NQA53" s="16"/>
      <c r="NQB53" s="16"/>
      <c r="NQC53" s="16"/>
      <c r="NQD53" s="16"/>
      <c r="NQE53" s="16"/>
      <c r="NQF53" s="16"/>
      <c r="NQG53" s="16"/>
      <c r="NQH53" s="16"/>
      <c r="NQI53" s="16"/>
      <c r="NQJ53" s="16"/>
      <c r="NQK53" s="16"/>
      <c r="NQL53" s="16"/>
      <c r="NQM53" s="16"/>
      <c r="NQN53" s="16"/>
      <c r="NQO53" s="16"/>
      <c r="NQP53" s="16"/>
      <c r="NQQ53" s="16"/>
      <c r="NQR53" s="16"/>
      <c r="NQS53" s="16"/>
      <c r="NQT53" s="16"/>
      <c r="NQU53" s="16"/>
      <c r="NQV53" s="16"/>
      <c r="NQW53" s="16"/>
      <c r="NQX53" s="16"/>
      <c r="NQY53" s="16"/>
      <c r="NQZ53" s="16"/>
      <c r="NRA53" s="16"/>
      <c r="NRB53" s="16"/>
      <c r="NRC53" s="16"/>
      <c r="NRD53" s="16"/>
      <c r="NRE53" s="16"/>
      <c r="NRF53" s="16"/>
      <c r="NRG53" s="16"/>
      <c r="NRH53" s="16"/>
      <c r="NRI53" s="16"/>
      <c r="NRJ53" s="16"/>
      <c r="NRK53" s="16"/>
      <c r="NRL53" s="16"/>
      <c r="NRM53" s="16"/>
      <c r="NRN53" s="16"/>
      <c r="NRO53" s="16"/>
      <c r="NRP53" s="16"/>
      <c r="NRQ53" s="16"/>
      <c r="NRR53" s="16"/>
      <c r="NRS53" s="16"/>
      <c r="NRT53" s="16"/>
      <c r="NRU53" s="16"/>
      <c r="NRV53" s="16"/>
      <c r="NRW53" s="16"/>
      <c r="NRX53" s="16"/>
      <c r="NRY53" s="16"/>
      <c r="NRZ53" s="16"/>
      <c r="NSA53" s="16"/>
      <c r="NSB53" s="16"/>
      <c r="NSC53" s="16"/>
      <c r="NSD53" s="16"/>
      <c r="NSE53" s="16"/>
      <c r="NSF53" s="16"/>
      <c r="NSG53" s="16"/>
      <c r="NSH53" s="16"/>
      <c r="NSI53" s="16"/>
      <c r="NSJ53" s="16"/>
      <c r="NSK53" s="16"/>
      <c r="NSL53" s="16"/>
      <c r="NSM53" s="16"/>
      <c r="NSN53" s="16"/>
      <c r="NSO53" s="16"/>
      <c r="NSP53" s="16"/>
      <c r="NSQ53" s="16"/>
      <c r="NSR53" s="16"/>
      <c r="NSS53" s="16"/>
      <c r="NST53" s="16"/>
      <c r="NSU53" s="16"/>
      <c r="NSV53" s="16"/>
      <c r="NSW53" s="16"/>
      <c r="NSX53" s="16"/>
      <c r="NSY53" s="16"/>
      <c r="NSZ53" s="16"/>
      <c r="NTA53" s="16"/>
      <c r="NTB53" s="16"/>
      <c r="NTC53" s="16"/>
      <c r="NTD53" s="16"/>
      <c r="NTE53" s="16"/>
      <c r="NTF53" s="16"/>
      <c r="NTG53" s="16"/>
      <c r="NTH53" s="16"/>
      <c r="NTI53" s="16"/>
      <c r="NTJ53" s="16"/>
      <c r="NTK53" s="16"/>
      <c r="NTL53" s="16"/>
      <c r="NTM53" s="16"/>
      <c r="NTN53" s="16"/>
      <c r="NTO53" s="16"/>
      <c r="NTP53" s="16"/>
      <c r="NTQ53" s="16"/>
      <c r="NTR53" s="16"/>
      <c r="NTS53" s="16"/>
      <c r="NTT53" s="16"/>
      <c r="NTU53" s="16"/>
      <c r="NTV53" s="16"/>
      <c r="NTW53" s="16"/>
      <c r="NTX53" s="16"/>
      <c r="NTY53" s="16"/>
      <c r="NTZ53" s="16"/>
      <c r="NUA53" s="16"/>
      <c r="NUB53" s="16"/>
      <c r="NUC53" s="16"/>
      <c r="NUD53" s="16"/>
      <c r="NUE53" s="16"/>
      <c r="NUF53" s="16"/>
      <c r="NUG53" s="16"/>
      <c r="NUH53" s="16"/>
      <c r="NUI53" s="16"/>
      <c r="NUJ53" s="16"/>
      <c r="NUK53" s="16"/>
      <c r="NUL53" s="16"/>
      <c r="NUM53" s="16"/>
      <c r="NUN53" s="16"/>
      <c r="NUO53" s="16"/>
      <c r="NUP53" s="16"/>
      <c r="NUQ53" s="16"/>
      <c r="NUR53" s="16"/>
      <c r="NUS53" s="16"/>
      <c r="NUT53" s="16"/>
      <c r="NUU53" s="16"/>
      <c r="NUV53" s="16"/>
      <c r="NUW53" s="16"/>
      <c r="NUX53" s="16"/>
      <c r="NUY53" s="16"/>
      <c r="NUZ53" s="16"/>
      <c r="NVA53" s="16"/>
      <c r="NVB53" s="16"/>
      <c r="NVC53" s="16"/>
      <c r="NVD53" s="16"/>
      <c r="NVE53" s="16"/>
      <c r="NVF53" s="16"/>
      <c r="NVG53" s="16"/>
      <c r="NVH53" s="16"/>
      <c r="NVI53" s="16"/>
      <c r="NVJ53" s="16"/>
      <c r="NVK53" s="16"/>
      <c r="NVL53" s="16"/>
      <c r="NVM53" s="16"/>
      <c r="NVN53" s="16"/>
      <c r="NVO53" s="16"/>
      <c r="NVP53" s="16"/>
      <c r="NVQ53" s="16"/>
      <c r="NVR53" s="16"/>
      <c r="NVS53" s="16"/>
      <c r="NVT53" s="16"/>
      <c r="NVU53" s="16"/>
      <c r="NVV53" s="16"/>
      <c r="NVW53" s="16"/>
      <c r="NVX53" s="16"/>
      <c r="NVY53" s="16"/>
      <c r="NVZ53" s="16"/>
      <c r="NWA53" s="16"/>
      <c r="NWB53" s="16"/>
      <c r="NWC53" s="16"/>
      <c r="NWD53" s="16"/>
      <c r="NWE53" s="16"/>
      <c r="NWF53" s="16"/>
      <c r="NWG53" s="16"/>
      <c r="NWH53" s="16"/>
      <c r="NWI53" s="16"/>
      <c r="NWJ53" s="16"/>
      <c r="NWK53" s="16"/>
      <c r="NWL53" s="16"/>
      <c r="NWM53" s="16"/>
      <c r="NWN53" s="16"/>
      <c r="NWO53" s="16"/>
      <c r="NWP53" s="16"/>
      <c r="NWQ53" s="16"/>
      <c r="NWR53" s="16"/>
      <c r="NWS53" s="16"/>
      <c r="NWT53" s="16"/>
      <c r="NWU53" s="16"/>
      <c r="NWV53" s="16"/>
      <c r="NWW53" s="16"/>
      <c r="NWX53" s="16"/>
      <c r="NWY53" s="16"/>
      <c r="NWZ53" s="16"/>
      <c r="NXA53" s="16"/>
      <c r="NXB53" s="16"/>
      <c r="NXC53" s="16"/>
      <c r="NXD53" s="16"/>
      <c r="NXE53" s="16"/>
      <c r="NXF53" s="16"/>
      <c r="NXG53" s="16"/>
      <c r="NXH53" s="16"/>
      <c r="NXI53" s="16"/>
      <c r="NXJ53" s="16"/>
      <c r="NXK53" s="16"/>
      <c r="NXL53" s="16"/>
      <c r="NXM53" s="16"/>
      <c r="NXN53" s="16"/>
      <c r="NXO53" s="16"/>
      <c r="NXP53" s="16"/>
      <c r="NXQ53" s="16"/>
      <c r="NXR53" s="16"/>
      <c r="NXS53" s="16"/>
      <c r="NXT53" s="16"/>
      <c r="NXU53" s="16"/>
      <c r="NXV53" s="16"/>
      <c r="NXW53" s="16"/>
      <c r="NXX53" s="16"/>
      <c r="NXY53" s="16"/>
      <c r="NXZ53" s="16"/>
      <c r="NYA53" s="16"/>
      <c r="NYB53" s="16"/>
      <c r="NYC53" s="16"/>
      <c r="NYD53" s="16"/>
      <c r="NYE53" s="16"/>
      <c r="NYF53" s="16"/>
      <c r="NYG53" s="16"/>
      <c r="NYH53" s="16"/>
      <c r="NYI53" s="16"/>
      <c r="NYJ53" s="16"/>
      <c r="NYK53" s="16"/>
      <c r="NYL53" s="16"/>
      <c r="NYM53" s="16"/>
      <c r="NYN53" s="16"/>
      <c r="NYO53" s="16"/>
      <c r="NYP53" s="16"/>
      <c r="NYQ53" s="16"/>
      <c r="NYR53" s="16"/>
      <c r="NYS53" s="16"/>
      <c r="NYT53" s="16"/>
      <c r="NYU53" s="16"/>
      <c r="NYV53" s="16"/>
      <c r="NYW53" s="16"/>
      <c r="NYX53" s="16"/>
      <c r="NYY53" s="16"/>
      <c r="NYZ53" s="16"/>
      <c r="NZA53" s="16"/>
      <c r="NZB53" s="16"/>
      <c r="NZC53" s="16"/>
      <c r="NZD53" s="16"/>
      <c r="NZE53" s="16"/>
      <c r="NZF53" s="16"/>
      <c r="NZG53" s="16"/>
      <c r="NZH53" s="16"/>
      <c r="NZI53" s="16"/>
      <c r="NZJ53" s="16"/>
      <c r="NZK53" s="16"/>
      <c r="NZL53" s="16"/>
      <c r="NZM53" s="16"/>
      <c r="NZN53" s="16"/>
      <c r="NZO53" s="16"/>
      <c r="NZP53" s="16"/>
      <c r="NZQ53" s="16"/>
      <c r="NZR53" s="16"/>
      <c r="NZS53" s="16"/>
      <c r="NZT53" s="16"/>
      <c r="NZU53" s="16"/>
      <c r="NZV53" s="16"/>
      <c r="NZW53" s="16"/>
      <c r="NZX53" s="16"/>
      <c r="NZY53" s="16"/>
      <c r="NZZ53" s="16"/>
      <c r="OAA53" s="16"/>
      <c r="OAB53" s="16"/>
      <c r="OAC53" s="16"/>
      <c r="OAD53" s="16"/>
      <c r="OAE53" s="16"/>
      <c r="OAF53" s="16"/>
      <c r="OAG53" s="16"/>
      <c r="OAH53" s="16"/>
      <c r="OAI53" s="16"/>
      <c r="OAJ53" s="16"/>
      <c r="OAK53" s="16"/>
      <c r="OAL53" s="16"/>
      <c r="OAM53" s="16"/>
      <c r="OAN53" s="16"/>
      <c r="OAO53" s="16"/>
      <c r="OAP53" s="16"/>
      <c r="OAQ53" s="16"/>
      <c r="OAR53" s="16"/>
      <c r="OAS53" s="16"/>
      <c r="OAT53" s="16"/>
      <c r="OAU53" s="16"/>
      <c r="OAV53" s="16"/>
      <c r="OAW53" s="16"/>
      <c r="OAX53" s="16"/>
      <c r="OAY53" s="16"/>
      <c r="OAZ53" s="16"/>
      <c r="OBA53" s="16"/>
      <c r="OBB53" s="16"/>
      <c r="OBC53" s="16"/>
      <c r="OBD53" s="16"/>
      <c r="OBE53" s="16"/>
      <c r="OBF53" s="16"/>
      <c r="OBG53" s="16"/>
      <c r="OBH53" s="16"/>
      <c r="OBI53" s="16"/>
      <c r="OBJ53" s="16"/>
      <c r="OBK53" s="16"/>
      <c r="OBL53" s="16"/>
      <c r="OBM53" s="16"/>
      <c r="OBN53" s="16"/>
      <c r="OBO53" s="16"/>
      <c r="OBP53" s="16"/>
      <c r="OBQ53" s="16"/>
      <c r="OBR53" s="16"/>
      <c r="OBS53" s="16"/>
      <c r="OBT53" s="16"/>
      <c r="OBU53" s="16"/>
      <c r="OBV53" s="16"/>
      <c r="OBW53" s="16"/>
      <c r="OBX53" s="16"/>
      <c r="OBY53" s="16"/>
      <c r="OBZ53" s="16"/>
      <c r="OCA53" s="16"/>
      <c r="OCB53" s="16"/>
      <c r="OCC53" s="16"/>
      <c r="OCD53" s="16"/>
      <c r="OCE53" s="16"/>
      <c r="OCF53" s="16"/>
      <c r="OCG53" s="16"/>
      <c r="OCH53" s="16"/>
      <c r="OCI53" s="16"/>
      <c r="OCJ53" s="16"/>
      <c r="OCK53" s="16"/>
      <c r="OCL53" s="16"/>
      <c r="OCM53" s="16"/>
      <c r="OCN53" s="16"/>
      <c r="OCO53" s="16"/>
      <c r="OCP53" s="16"/>
      <c r="OCQ53" s="16"/>
      <c r="OCR53" s="16"/>
      <c r="OCS53" s="16"/>
      <c r="OCT53" s="16"/>
      <c r="OCU53" s="16"/>
      <c r="OCV53" s="16"/>
      <c r="OCW53" s="16"/>
      <c r="OCX53" s="16"/>
      <c r="OCY53" s="16"/>
      <c r="OCZ53" s="16"/>
      <c r="ODA53" s="16"/>
      <c r="ODB53" s="16"/>
      <c r="ODC53" s="16"/>
      <c r="ODD53" s="16"/>
      <c r="ODE53" s="16"/>
      <c r="ODF53" s="16"/>
      <c r="ODG53" s="16"/>
      <c r="ODH53" s="16"/>
      <c r="ODI53" s="16"/>
      <c r="ODJ53" s="16"/>
      <c r="ODK53" s="16"/>
      <c r="ODL53" s="16"/>
      <c r="ODM53" s="16"/>
      <c r="ODN53" s="16"/>
      <c r="ODO53" s="16"/>
      <c r="ODP53" s="16"/>
      <c r="ODQ53" s="16"/>
      <c r="ODR53" s="16"/>
      <c r="ODS53" s="16"/>
      <c r="ODT53" s="16"/>
      <c r="ODU53" s="16"/>
      <c r="ODV53" s="16"/>
      <c r="ODW53" s="16"/>
      <c r="ODX53" s="16"/>
      <c r="ODY53" s="16"/>
      <c r="ODZ53" s="16"/>
      <c r="OEA53" s="16"/>
      <c r="OEB53" s="16"/>
      <c r="OEC53" s="16"/>
      <c r="OED53" s="16"/>
      <c r="OEE53" s="16"/>
      <c r="OEF53" s="16"/>
      <c r="OEG53" s="16"/>
      <c r="OEH53" s="16"/>
      <c r="OEI53" s="16"/>
      <c r="OEJ53" s="16"/>
      <c r="OEK53" s="16"/>
      <c r="OEL53" s="16"/>
      <c r="OEM53" s="16"/>
      <c r="OEN53" s="16"/>
      <c r="OEO53" s="16"/>
      <c r="OEP53" s="16"/>
      <c r="OEQ53" s="16"/>
      <c r="OER53" s="16"/>
      <c r="OES53" s="16"/>
      <c r="OET53" s="16"/>
      <c r="OEU53" s="16"/>
      <c r="OEV53" s="16"/>
      <c r="OEW53" s="16"/>
      <c r="OEX53" s="16"/>
      <c r="OEY53" s="16"/>
      <c r="OEZ53" s="16"/>
      <c r="OFA53" s="16"/>
      <c r="OFB53" s="16"/>
      <c r="OFC53" s="16"/>
      <c r="OFD53" s="16"/>
      <c r="OFE53" s="16"/>
      <c r="OFF53" s="16"/>
      <c r="OFG53" s="16"/>
      <c r="OFH53" s="16"/>
      <c r="OFI53" s="16"/>
      <c r="OFJ53" s="16"/>
      <c r="OFK53" s="16"/>
      <c r="OFL53" s="16"/>
      <c r="OFM53" s="16"/>
      <c r="OFN53" s="16"/>
      <c r="OFO53" s="16"/>
      <c r="OFP53" s="16"/>
      <c r="OFQ53" s="16"/>
      <c r="OFR53" s="16"/>
      <c r="OFS53" s="16"/>
      <c r="OFT53" s="16"/>
      <c r="OFU53" s="16"/>
      <c r="OFV53" s="16"/>
      <c r="OFW53" s="16"/>
      <c r="OFX53" s="16"/>
      <c r="OFY53" s="16"/>
      <c r="OFZ53" s="16"/>
      <c r="OGA53" s="16"/>
      <c r="OGB53" s="16"/>
      <c r="OGC53" s="16"/>
      <c r="OGD53" s="16"/>
      <c r="OGE53" s="16"/>
      <c r="OGF53" s="16"/>
      <c r="OGG53" s="16"/>
      <c r="OGH53" s="16"/>
      <c r="OGI53" s="16"/>
      <c r="OGJ53" s="16"/>
      <c r="OGK53" s="16"/>
      <c r="OGL53" s="16"/>
      <c r="OGM53" s="16"/>
      <c r="OGN53" s="16"/>
      <c r="OGO53" s="16"/>
      <c r="OGP53" s="16"/>
      <c r="OGQ53" s="16"/>
      <c r="OGR53" s="16"/>
      <c r="OGS53" s="16"/>
      <c r="OGT53" s="16"/>
      <c r="OGU53" s="16"/>
      <c r="OGV53" s="16"/>
      <c r="OGW53" s="16"/>
      <c r="OGX53" s="16"/>
      <c r="OGY53" s="16"/>
      <c r="OGZ53" s="16"/>
      <c r="OHA53" s="16"/>
      <c r="OHB53" s="16"/>
      <c r="OHC53" s="16"/>
      <c r="OHD53" s="16"/>
      <c r="OHE53" s="16"/>
      <c r="OHF53" s="16"/>
      <c r="OHG53" s="16"/>
      <c r="OHH53" s="16"/>
      <c r="OHI53" s="16"/>
      <c r="OHJ53" s="16"/>
      <c r="OHK53" s="16"/>
      <c r="OHL53" s="16"/>
      <c r="OHM53" s="16"/>
      <c r="OHN53" s="16"/>
      <c r="OHO53" s="16"/>
      <c r="OHP53" s="16"/>
      <c r="OHQ53" s="16"/>
      <c r="OHR53" s="16"/>
      <c r="OHS53" s="16"/>
      <c r="OHT53" s="16"/>
      <c r="OHU53" s="16"/>
      <c r="OHV53" s="16"/>
      <c r="OHW53" s="16"/>
      <c r="OHX53" s="16"/>
      <c r="OHY53" s="16"/>
      <c r="OHZ53" s="16"/>
      <c r="OIA53" s="16"/>
      <c r="OIB53" s="16"/>
      <c r="OIC53" s="16"/>
      <c r="OID53" s="16"/>
      <c r="OIE53" s="16"/>
      <c r="OIF53" s="16"/>
      <c r="OIG53" s="16"/>
      <c r="OIH53" s="16"/>
      <c r="OII53" s="16"/>
      <c r="OIJ53" s="16"/>
      <c r="OIK53" s="16"/>
      <c r="OIL53" s="16"/>
      <c r="OIM53" s="16"/>
      <c r="OIN53" s="16"/>
      <c r="OIO53" s="16"/>
      <c r="OIP53" s="16"/>
      <c r="OIQ53" s="16"/>
      <c r="OIR53" s="16"/>
      <c r="OIS53" s="16"/>
      <c r="OIT53" s="16"/>
      <c r="OIU53" s="16"/>
      <c r="OIV53" s="16"/>
      <c r="OIW53" s="16"/>
      <c r="OIX53" s="16"/>
      <c r="OIY53" s="16"/>
      <c r="OIZ53" s="16"/>
      <c r="OJA53" s="16"/>
      <c r="OJB53" s="16"/>
      <c r="OJC53" s="16"/>
      <c r="OJD53" s="16"/>
      <c r="OJE53" s="16"/>
      <c r="OJF53" s="16"/>
      <c r="OJG53" s="16"/>
      <c r="OJH53" s="16"/>
      <c r="OJI53" s="16"/>
      <c r="OJJ53" s="16"/>
      <c r="OJK53" s="16"/>
      <c r="OJL53" s="16"/>
      <c r="OJM53" s="16"/>
      <c r="OJN53" s="16"/>
      <c r="OJO53" s="16"/>
      <c r="OJP53" s="16"/>
      <c r="OJQ53" s="16"/>
      <c r="OJR53" s="16"/>
      <c r="OJS53" s="16"/>
      <c r="OJT53" s="16"/>
      <c r="OJU53" s="16"/>
      <c r="OJV53" s="16"/>
      <c r="OJW53" s="16"/>
      <c r="OJX53" s="16"/>
      <c r="OJY53" s="16"/>
      <c r="OJZ53" s="16"/>
      <c r="OKA53" s="16"/>
      <c r="OKB53" s="16"/>
      <c r="OKC53" s="16"/>
      <c r="OKD53" s="16"/>
      <c r="OKE53" s="16"/>
      <c r="OKF53" s="16"/>
      <c r="OKG53" s="16"/>
      <c r="OKH53" s="16"/>
      <c r="OKI53" s="16"/>
      <c r="OKJ53" s="16"/>
      <c r="OKK53" s="16"/>
      <c r="OKL53" s="16"/>
      <c r="OKM53" s="16"/>
      <c r="OKN53" s="16"/>
      <c r="OKO53" s="16"/>
      <c r="OKP53" s="16"/>
      <c r="OKQ53" s="16"/>
      <c r="OKR53" s="16"/>
      <c r="OKS53" s="16"/>
      <c r="OKT53" s="16"/>
      <c r="OKU53" s="16"/>
      <c r="OKV53" s="16"/>
      <c r="OKW53" s="16"/>
      <c r="OKX53" s="16"/>
      <c r="OKY53" s="16"/>
      <c r="OKZ53" s="16"/>
      <c r="OLA53" s="16"/>
      <c r="OLB53" s="16"/>
      <c r="OLC53" s="16"/>
      <c r="OLD53" s="16"/>
      <c r="OLE53" s="16"/>
      <c r="OLF53" s="16"/>
      <c r="OLG53" s="16"/>
      <c r="OLH53" s="16"/>
      <c r="OLI53" s="16"/>
      <c r="OLJ53" s="16"/>
      <c r="OLK53" s="16"/>
      <c r="OLL53" s="16"/>
      <c r="OLM53" s="16"/>
      <c r="OLN53" s="16"/>
      <c r="OLO53" s="16"/>
      <c r="OLP53" s="16"/>
      <c r="OLQ53" s="16"/>
      <c r="OLR53" s="16"/>
      <c r="OLS53" s="16"/>
      <c r="OLT53" s="16"/>
      <c r="OLU53" s="16"/>
      <c r="OLV53" s="16"/>
      <c r="OLW53" s="16"/>
      <c r="OLX53" s="16"/>
      <c r="OLY53" s="16"/>
      <c r="OLZ53" s="16"/>
      <c r="OMA53" s="16"/>
      <c r="OMB53" s="16"/>
      <c r="OMC53" s="16"/>
      <c r="OMD53" s="16"/>
      <c r="OME53" s="16"/>
      <c r="OMF53" s="16"/>
      <c r="OMG53" s="16"/>
      <c r="OMH53" s="16"/>
      <c r="OMI53" s="16"/>
      <c r="OMJ53" s="16"/>
      <c r="OMK53" s="16"/>
      <c r="OML53" s="16"/>
      <c r="OMM53" s="16"/>
      <c r="OMN53" s="16"/>
      <c r="OMO53" s="16"/>
      <c r="OMP53" s="16"/>
      <c r="OMQ53" s="16"/>
      <c r="OMR53" s="16"/>
      <c r="OMS53" s="16"/>
      <c r="OMT53" s="16"/>
      <c r="OMU53" s="16"/>
      <c r="OMV53" s="16"/>
      <c r="OMW53" s="16"/>
      <c r="OMX53" s="16"/>
      <c r="OMY53" s="16"/>
      <c r="OMZ53" s="16"/>
      <c r="ONA53" s="16"/>
      <c r="ONB53" s="16"/>
      <c r="ONC53" s="16"/>
      <c r="OND53" s="16"/>
      <c r="ONE53" s="16"/>
      <c r="ONF53" s="16"/>
      <c r="ONG53" s="16"/>
      <c r="ONH53" s="16"/>
      <c r="ONI53" s="16"/>
      <c r="ONJ53" s="16"/>
      <c r="ONK53" s="16"/>
      <c r="ONL53" s="16"/>
      <c r="ONM53" s="16"/>
      <c r="ONN53" s="16"/>
      <c r="ONO53" s="16"/>
      <c r="ONP53" s="16"/>
      <c r="ONQ53" s="16"/>
      <c r="ONR53" s="16"/>
      <c r="ONS53" s="16"/>
      <c r="ONT53" s="16"/>
      <c r="ONU53" s="16"/>
      <c r="ONV53" s="16"/>
      <c r="ONW53" s="16"/>
      <c r="ONX53" s="16"/>
      <c r="ONY53" s="16"/>
      <c r="ONZ53" s="16"/>
      <c r="OOA53" s="16"/>
      <c r="OOB53" s="16"/>
      <c r="OOC53" s="16"/>
      <c r="OOD53" s="16"/>
      <c r="OOE53" s="16"/>
      <c r="OOF53" s="16"/>
      <c r="OOG53" s="16"/>
      <c r="OOH53" s="16"/>
      <c r="OOI53" s="16"/>
      <c r="OOJ53" s="16"/>
      <c r="OOK53" s="16"/>
      <c r="OOL53" s="16"/>
      <c r="OOM53" s="16"/>
      <c r="OON53" s="16"/>
      <c r="OOO53" s="16"/>
      <c r="OOP53" s="16"/>
      <c r="OOQ53" s="16"/>
      <c r="OOR53" s="16"/>
      <c r="OOS53" s="16"/>
      <c r="OOT53" s="16"/>
      <c r="OOU53" s="16"/>
      <c r="OOV53" s="16"/>
      <c r="OOW53" s="16"/>
      <c r="OOX53" s="16"/>
      <c r="OOY53" s="16"/>
      <c r="OOZ53" s="16"/>
      <c r="OPA53" s="16"/>
      <c r="OPB53" s="16"/>
      <c r="OPC53" s="16"/>
      <c r="OPD53" s="16"/>
      <c r="OPE53" s="16"/>
      <c r="OPF53" s="16"/>
      <c r="OPG53" s="16"/>
      <c r="OPH53" s="16"/>
      <c r="OPI53" s="16"/>
      <c r="OPJ53" s="16"/>
      <c r="OPK53" s="16"/>
      <c r="OPL53" s="16"/>
      <c r="OPM53" s="16"/>
      <c r="OPN53" s="16"/>
      <c r="OPO53" s="16"/>
      <c r="OPP53" s="16"/>
      <c r="OPQ53" s="16"/>
      <c r="OPR53" s="16"/>
      <c r="OPS53" s="16"/>
      <c r="OPT53" s="16"/>
      <c r="OPU53" s="16"/>
      <c r="OPV53" s="16"/>
      <c r="OPW53" s="16"/>
      <c r="OPX53" s="16"/>
      <c r="OPY53" s="16"/>
      <c r="OPZ53" s="16"/>
      <c r="OQA53" s="16"/>
      <c r="OQB53" s="16"/>
      <c r="OQC53" s="16"/>
      <c r="OQD53" s="16"/>
      <c r="OQE53" s="16"/>
      <c r="OQF53" s="16"/>
      <c r="OQG53" s="16"/>
      <c r="OQH53" s="16"/>
      <c r="OQI53" s="16"/>
      <c r="OQJ53" s="16"/>
      <c r="OQK53" s="16"/>
      <c r="OQL53" s="16"/>
      <c r="OQM53" s="16"/>
      <c r="OQN53" s="16"/>
      <c r="OQO53" s="16"/>
      <c r="OQP53" s="16"/>
      <c r="OQQ53" s="16"/>
      <c r="OQR53" s="16"/>
      <c r="OQS53" s="16"/>
      <c r="OQT53" s="16"/>
      <c r="OQU53" s="16"/>
      <c r="OQV53" s="16"/>
      <c r="OQW53" s="16"/>
      <c r="OQX53" s="16"/>
      <c r="OQY53" s="16"/>
      <c r="OQZ53" s="16"/>
      <c r="ORA53" s="16"/>
      <c r="ORB53" s="16"/>
      <c r="ORC53" s="16"/>
      <c r="ORD53" s="16"/>
      <c r="ORE53" s="16"/>
      <c r="ORF53" s="16"/>
      <c r="ORG53" s="16"/>
      <c r="ORH53" s="16"/>
      <c r="ORI53" s="16"/>
      <c r="ORJ53" s="16"/>
      <c r="ORK53" s="16"/>
      <c r="ORL53" s="16"/>
      <c r="ORM53" s="16"/>
      <c r="ORN53" s="16"/>
      <c r="ORO53" s="16"/>
      <c r="ORP53" s="16"/>
      <c r="ORQ53" s="16"/>
      <c r="ORR53" s="16"/>
      <c r="ORS53" s="16"/>
      <c r="ORT53" s="16"/>
      <c r="ORU53" s="16"/>
      <c r="ORV53" s="16"/>
      <c r="ORW53" s="16"/>
      <c r="ORX53" s="16"/>
      <c r="ORY53" s="16"/>
      <c r="ORZ53" s="16"/>
      <c r="OSA53" s="16"/>
      <c r="OSB53" s="16"/>
      <c r="OSC53" s="16"/>
      <c r="OSD53" s="16"/>
      <c r="OSE53" s="16"/>
      <c r="OSF53" s="16"/>
      <c r="OSG53" s="16"/>
      <c r="OSH53" s="16"/>
      <c r="OSI53" s="16"/>
      <c r="OSJ53" s="16"/>
      <c r="OSK53" s="16"/>
      <c r="OSL53" s="16"/>
      <c r="OSM53" s="16"/>
      <c r="OSN53" s="16"/>
      <c r="OSO53" s="16"/>
      <c r="OSP53" s="16"/>
      <c r="OSQ53" s="16"/>
      <c r="OSR53" s="16"/>
      <c r="OSS53" s="16"/>
      <c r="OST53" s="16"/>
      <c r="OSU53" s="16"/>
      <c r="OSV53" s="16"/>
      <c r="OSW53" s="16"/>
      <c r="OSX53" s="16"/>
      <c r="OSY53" s="16"/>
      <c r="OSZ53" s="16"/>
      <c r="OTA53" s="16"/>
      <c r="OTB53" s="16"/>
      <c r="OTC53" s="16"/>
      <c r="OTD53" s="16"/>
      <c r="OTE53" s="16"/>
      <c r="OTF53" s="16"/>
      <c r="OTG53" s="16"/>
      <c r="OTH53" s="16"/>
      <c r="OTI53" s="16"/>
      <c r="OTJ53" s="16"/>
      <c r="OTK53" s="16"/>
      <c r="OTL53" s="16"/>
      <c r="OTM53" s="16"/>
      <c r="OTN53" s="16"/>
      <c r="OTO53" s="16"/>
      <c r="OTP53" s="16"/>
      <c r="OTQ53" s="16"/>
      <c r="OTR53" s="16"/>
      <c r="OTS53" s="16"/>
      <c r="OTT53" s="16"/>
      <c r="OTU53" s="16"/>
      <c r="OTV53" s="16"/>
      <c r="OTW53" s="16"/>
      <c r="OTX53" s="16"/>
      <c r="OTY53" s="16"/>
      <c r="OTZ53" s="16"/>
      <c r="OUA53" s="16"/>
      <c r="OUB53" s="16"/>
      <c r="OUC53" s="16"/>
      <c r="OUD53" s="16"/>
      <c r="OUE53" s="16"/>
      <c r="OUF53" s="16"/>
      <c r="OUG53" s="16"/>
      <c r="OUH53" s="16"/>
      <c r="OUI53" s="16"/>
      <c r="OUJ53" s="16"/>
      <c r="OUK53" s="16"/>
      <c r="OUL53" s="16"/>
      <c r="OUM53" s="16"/>
      <c r="OUN53" s="16"/>
      <c r="OUO53" s="16"/>
      <c r="OUP53" s="16"/>
      <c r="OUQ53" s="16"/>
      <c r="OUR53" s="16"/>
      <c r="OUS53" s="16"/>
      <c r="OUT53" s="16"/>
      <c r="OUU53" s="16"/>
      <c r="OUV53" s="16"/>
      <c r="OUW53" s="16"/>
      <c r="OUX53" s="16"/>
      <c r="OUY53" s="16"/>
      <c r="OUZ53" s="16"/>
      <c r="OVA53" s="16"/>
      <c r="OVB53" s="16"/>
      <c r="OVC53" s="16"/>
      <c r="OVD53" s="16"/>
      <c r="OVE53" s="16"/>
      <c r="OVF53" s="16"/>
      <c r="OVG53" s="16"/>
      <c r="OVH53" s="16"/>
      <c r="OVI53" s="16"/>
      <c r="OVJ53" s="16"/>
      <c r="OVK53" s="16"/>
      <c r="OVL53" s="16"/>
      <c r="OVM53" s="16"/>
      <c r="OVN53" s="16"/>
      <c r="OVO53" s="16"/>
      <c r="OVP53" s="16"/>
      <c r="OVQ53" s="16"/>
      <c r="OVR53" s="16"/>
      <c r="OVS53" s="16"/>
      <c r="OVT53" s="16"/>
      <c r="OVU53" s="16"/>
      <c r="OVV53" s="16"/>
      <c r="OVW53" s="16"/>
      <c r="OVX53" s="16"/>
      <c r="OVY53" s="16"/>
      <c r="OVZ53" s="16"/>
      <c r="OWA53" s="16"/>
      <c r="OWB53" s="16"/>
      <c r="OWC53" s="16"/>
      <c r="OWD53" s="16"/>
      <c r="OWE53" s="16"/>
      <c r="OWF53" s="16"/>
      <c r="OWG53" s="16"/>
      <c r="OWH53" s="16"/>
      <c r="OWI53" s="16"/>
      <c r="OWJ53" s="16"/>
      <c r="OWK53" s="16"/>
      <c r="OWL53" s="16"/>
      <c r="OWM53" s="16"/>
      <c r="OWN53" s="16"/>
      <c r="OWO53" s="16"/>
      <c r="OWP53" s="16"/>
      <c r="OWQ53" s="16"/>
      <c r="OWR53" s="16"/>
      <c r="OWS53" s="16"/>
      <c r="OWT53" s="16"/>
      <c r="OWU53" s="16"/>
      <c r="OWV53" s="16"/>
      <c r="OWW53" s="16"/>
      <c r="OWX53" s="16"/>
      <c r="OWY53" s="16"/>
      <c r="OWZ53" s="16"/>
      <c r="OXA53" s="16"/>
      <c r="OXB53" s="16"/>
      <c r="OXC53" s="16"/>
      <c r="OXD53" s="16"/>
      <c r="OXE53" s="16"/>
      <c r="OXF53" s="16"/>
      <c r="OXG53" s="16"/>
      <c r="OXH53" s="16"/>
      <c r="OXI53" s="16"/>
      <c r="OXJ53" s="16"/>
      <c r="OXK53" s="16"/>
      <c r="OXL53" s="16"/>
      <c r="OXM53" s="16"/>
      <c r="OXN53" s="16"/>
      <c r="OXO53" s="16"/>
      <c r="OXP53" s="16"/>
      <c r="OXQ53" s="16"/>
      <c r="OXR53" s="16"/>
      <c r="OXS53" s="16"/>
      <c r="OXT53" s="16"/>
      <c r="OXU53" s="16"/>
      <c r="OXV53" s="16"/>
      <c r="OXW53" s="16"/>
      <c r="OXX53" s="16"/>
      <c r="OXY53" s="16"/>
      <c r="OXZ53" s="16"/>
      <c r="OYA53" s="16"/>
      <c r="OYB53" s="16"/>
      <c r="OYC53" s="16"/>
      <c r="OYD53" s="16"/>
      <c r="OYE53" s="16"/>
      <c r="OYF53" s="16"/>
      <c r="OYG53" s="16"/>
      <c r="OYH53" s="16"/>
      <c r="OYI53" s="16"/>
      <c r="OYJ53" s="16"/>
      <c r="OYK53" s="16"/>
      <c r="OYL53" s="16"/>
      <c r="OYM53" s="16"/>
      <c r="OYN53" s="16"/>
      <c r="OYO53" s="16"/>
      <c r="OYP53" s="16"/>
      <c r="OYQ53" s="16"/>
      <c r="OYR53" s="16"/>
      <c r="OYS53" s="16"/>
      <c r="OYT53" s="16"/>
      <c r="OYU53" s="16"/>
      <c r="OYV53" s="16"/>
      <c r="OYW53" s="16"/>
      <c r="OYX53" s="16"/>
      <c r="OYY53" s="16"/>
      <c r="OYZ53" s="16"/>
      <c r="OZA53" s="16"/>
      <c r="OZB53" s="16"/>
      <c r="OZC53" s="16"/>
      <c r="OZD53" s="16"/>
      <c r="OZE53" s="16"/>
      <c r="OZF53" s="16"/>
      <c r="OZG53" s="16"/>
      <c r="OZH53" s="16"/>
      <c r="OZI53" s="16"/>
      <c r="OZJ53" s="16"/>
      <c r="OZK53" s="16"/>
      <c r="OZL53" s="16"/>
      <c r="OZM53" s="16"/>
      <c r="OZN53" s="16"/>
      <c r="OZO53" s="16"/>
      <c r="OZP53" s="16"/>
      <c r="OZQ53" s="16"/>
      <c r="OZR53" s="16"/>
      <c r="OZS53" s="16"/>
      <c r="OZT53" s="16"/>
      <c r="OZU53" s="16"/>
      <c r="OZV53" s="16"/>
      <c r="OZW53" s="16"/>
      <c r="OZX53" s="16"/>
      <c r="OZY53" s="16"/>
      <c r="OZZ53" s="16"/>
      <c r="PAA53" s="16"/>
      <c r="PAB53" s="16"/>
      <c r="PAC53" s="16"/>
      <c r="PAD53" s="16"/>
      <c r="PAE53" s="16"/>
      <c r="PAF53" s="16"/>
      <c r="PAG53" s="16"/>
      <c r="PAH53" s="16"/>
      <c r="PAI53" s="16"/>
      <c r="PAJ53" s="16"/>
      <c r="PAK53" s="16"/>
      <c r="PAL53" s="16"/>
      <c r="PAM53" s="16"/>
      <c r="PAN53" s="16"/>
      <c r="PAO53" s="16"/>
      <c r="PAP53" s="16"/>
      <c r="PAQ53" s="16"/>
      <c r="PAR53" s="16"/>
      <c r="PAS53" s="16"/>
      <c r="PAT53" s="16"/>
      <c r="PAU53" s="16"/>
      <c r="PAV53" s="16"/>
      <c r="PAW53" s="16"/>
      <c r="PAX53" s="16"/>
      <c r="PAY53" s="16"/>
      <c r="PAZ53" s="16"/>
      <c r="PBA53" s="16"/>
      <c r="PBB53" s="16"/>
      <c r="PBC53" s="16"/>
      <c r="PBD53" s="16"/>
      <c r="PBE53" s="16"/>
      <c r="PBF53" s="16"/>
      <c r="PBG53" s="16"/>
      <c r="PBH53" s="16"/>
      <c r="PBI53" s="16"/>
      <c r="PBJ53" s="16"/>
      <c r="PBK53" s="16"/>
      <c r="PBL53" s="16"/>
      <c r="PBM53" s="16"/>
      <c r="PBN53" s="16"/>
      <c r="PBO53" s="16"/>
      <c r="PBP53" s="16"/>
      <c r="PBQ53" s="16"/>
      <c r="PBR53" s="16"/>
      <c r="PBS53" s="16"/>
      <c r="PBT53" s="16"/>
      <c r="PBU53" s="16"/>
      <c r="PBV53" s="16"/>
      <c r="PBW53" s="16"/>
      <c r="PBX53" s="16"/>
      <c r="PBY53" s="16"/>
      <c r="PBZ53" s="16"/>
      <c r="PCA53" s="16"/>
      <c r="PCB53" s="16"/>
      <c r="PCC53" s="16"/>
      <c r="PCD53" s="16"/>
      <c r="PCE53" s="16"/>
      <c r="PCF53" s="16"/>
      <c r="PCG53" s="16"/>
      <c r="PCH53" s="16"/>
      <c r="PCI53" s="16"/>
      <c r="PCJ53" s="16"/>
      <c r="PCK53" s="16"/>
      <c r="PCL53" s="16"/>
      <c r="PCM53" s="16"/>
      <c r="PCN53" s="16"/>
      <c r="PCO53" s="16"/>
      <c r="PCP53" s="16"/>
      <c r="PCQ53" s="16"/>
      <c r="PCR53" s="16"/>
      <c r="PCS53" s="16"/>
      <c r="PCT53" s="16"/>
      <c r="PCU53" s="16"/>
      <c r="PCV53" s="16"/>
      <c r="PCW53" s="16"/>
      <c r="PCX53" s="16"/>
      <c r="PCY53" s="16"/>
      <c r="PCZ53" s="16"/>
      <c r="PDA53" s="16"/>
      <c r="PDB53" s="16"/>
      <c r="PDC53" s="16"/>
      <c r="PDD53" s="16"/>
      <c r="PDE53" s="16"/>
      <c r="PDF53" s="16"/>
      <c r="PDG53" s="16"/>
      <c r="PDH53" s="16"/>
      <c r="PDI53" s="16"/>
      <c r="PDJ53" s="16"/>
      <c r="PDK53" s="16"/>
      <c r="PDL53" s="16"/>
      <c r="PDM53" s="16"/>
      <c r="PDN53" s="16"/>
      <c r="PDO53" s="16"/>
      <c r="PDP53" s="16"/>
      <c r="PDQ53" s="16"/>
      <c r="PDR53" s="16"/>
      <c r="PDS53" s="16"/>
      <c r="PDT53" s="16"/>
      <c r="PDU53" s="16"/>
      <c r="PDV53" s="16"/>
      <c r="PDW53" s="16"/>
      <c r="PDX53" s="16"/>
      <c r="PDY53" s="16"/>
      <c r="PDZ53" s="16"/>
      <c r="PEA53" s="16"/>
      <c r="PEB53" s="16"/>
      <c r="PEC53" s="16"/>
      <c r="PED53" s="16"/>
      <c r="PEE53" s="16"/>
      <c r="PEF53" s="16"/>
      <c r="PEG53" s="16"/>
      <c r="PEH53" s="16"/>
      <c r="PEI53" s="16"/>
      <c r="PEJ53" s="16"/>
      <c r="PEK53" s="16"/>
      <c r="PEL53" s="16"/>
      <c r="PEM53" s="16"/>
      <c r="PEN53" s="16"/>
      <c r="PEO53" s="16"/>
      <c r="PEP53" s="16"/>
      <c r="PEQ53" s="16"/>
      <c r="PER53" s="16"/>
      <c r="PES53" s="16"/>
      <c r="PET53" s="16"/>
      <c r="PEU53" s="16"/>
      <c r="PEV53" s="16"/>
      <c r="PEW53" s="16"/>
      <c r="PEX53" s="16"/>
      <c r="PEY53" s="16"/>
      <c r="PEZ53" s="16"/>
      <c r="PFA53" s="16"/>
      <c r="PFB53" s="16"/>
      <c r="PFC53" s="16"/>
      <c r="PFD53" s="16"/>
      <c r="PFE53" s="16"/>
      <c r="PFF53" s="16"/>
      <c r="PFG53" s="16"/>
      <c r="PFH53" s="16"/>
      <c r="PFI53" s="16"/>
      <c r="PFJ53" s="16"/>
      <c r="PFK53" s="16"/>
      <c r="PFL53" s="16"/>
      <c r="PFM53" s="16"/>
      <c r="PFN53" s="16"/>
      <c r="PFO53" s="16"/>
      <c r="PFP53" s="16"/>
      <c r="PFQ53" s="16"/>
      <c r="PFR53" s="16"/>
      <c r="PFS53" s="16"/>
      <c r="PFT53" s="16"/>
      <c r="PFU53" s="16"/>
      <c r="PFV53" s="16"/>
      <c r="PFW53" s="16"/>
      <c r="PFX53" s="16"/>
      <c r="PFY53" s="16"/>
      <c r="PFZ53" s="16"/>
      <c r="PGA53" s="16"/>
      <c r="PGB53" s="16"/>
      <c r="PGC53" s="16"/>
      <c r="PGD53" s="16"/>
      <c r="PGE53" s="16"/>
      <c r="PGF53" s="16"/>
      <c r="PGG53" s="16"/>
      <c r="PGH53" s="16"/>
      <c r="PGI53" s="16"/>
      <c r="PGJ53" s="16"/>
      <c r="PGK53" s="16"/>
      <c r="PGL53" s="16"/>
      <c r="PGM53" s="16"/>
      <c r="PGN53" s="16"/>
      <c r="PGO53" s="16"/>
      <c r="PGP53" s="16"/>
      <c r="PGQ53" s="16"/>
      <c r="PGR53" s="16"/>
      <c r="PGS53" s="16"/>
      <c r="PGT53" s="16"/>
      <c r="PGU53" s="16"/>
      <c r="PGV53" s="16"/>
      <c r="PGW53" s="16"/>
      <c r="PGX53" s="16"/>
      <c r="PGY53" s="16"/>
      <c r="PGZ53" s="16"/>
      <c r="PHA53" s="16"/>
      <c r="PHB53" s="16"/>
      <c r="PHC53" s="16"/>
      <c r="PHD53" s="16"/>
      <c r="PHE53" s="16"/>
      <c r="PHF53" s="16"/>
      <c r="PHG53" s="16"/>
      <c r="PHH53" s="16"/>
      <c r="PHI53" s="16"/>
      <c r="PHJ53" s="16"/>
      <c r="PHK53" s="16"/>
      <c r="PHL53" s="16"/>
      <c r="PHM53" s="16"/>
      <c r="PHN53" s="16"/>
      <c r="PHO53" s="16"/>
      <c r="PHP53" s="16"/>
      <c r="PHQ53" s="16"/>
      <c r="PHR53" s="16"/>
      <c r="PHS53" s="16"/>
      <c r="PHT53" s="16"/>
      <c r="PHU53" s="16"/>
      <c r="PHV53" s="16"/>
      <c r="PHW53" s="16"/>
      <c r="PHX53" s="16"/>
      <c r="PHY53" s="16"/>
      <c r="PHZ53" s="16"/>
      <c r="PIA53" s="16"/>
      <c r="PIB53" s="16"/>
      <c r="PIC53" s="16"/>
      <c r="PID53" s="16"/>
      <c r="PIE53" s="16"/>
      <c r="PIF53" s="16"/>
      <c r="PIG53" s="16"/>
      <c r="PIH53" s="16"/>
      <c r="PII53" s="16"/>
      <c r="PIJ53" s="16"/>
      <c r="PIK53" s="16"/>
      <c r="PIL53" s="16"/>
      <c r="PIM53" s="16"/>
      <c r="PIN53" s="16"/>
      <c r="PIO53" s="16"/>
      <c r="PIP53" s="16"/>
      <c r="PIQ53" s="16"/>
      <c r="PIR53" s="16"/>
      <c r="PIS53" s="16"/>
      <c r="PIT53" s="16"/>
      <c r="PIU53" s="16"/>
      <c r="PIV53" s="16"/>
      <c r="PIW53" s="16"/>
      <c r="PIX53" s="16"/>
      <c r="PIY53" s="16"/>
      <c r="PIZ53" s="16"/>
      <c r="PJA53" s="16"/>
      <c r="PJB53" s="16"/>
      <c r="PJC53" s="16"/>
      <c r="PJD53" s="16"/>
      <c r="PJE53" s="16"/>
      <c r="PJF53" s="16"/>
      <c r="PJG53" s="16"/>
      <c r="PJH53" s="16"/>
      <c r="PJI53" s="16"/>
      <c r="PJJ53" s="16"/>
      <c r="PJK53" s="16"/>
      <c r="PJL53" s="16"/>
      <c r="PJM53" s="16"/>
      <c r="PJN53" s="16"/>
      <c r="PJO53" s="16"/>
      <c r="PJP53" s="16"/>
      <c r="PJQ53" s="16"/>
      <c r="PJR53" s="16"/>
      <c r="PJS53" s="16"/>
      <c r="PJT53" s="16"/>
      <c r="PJU53" s="16"/>
      <c r="PJV53" s="16"/>
      <c r="PJW53" s="16"/>
      <c r="PJX53" s="16"/>
      <c r="PJY53" s="16"/>
      <c r="PJZ53" s="16"/>
      <c r="PKA53" s="16"/>
      <c r="PKB53" s="16"/>
      <c r="PKC53" s="16"/>
      <c r="PKD53" s="16"/>
      <c r="PKE53" s="16"/>
      <c r="PKF53" s="16"/>
      <c r="PKG53" s="16"/>
      <c r="PKH53" s="16"/>
      <c r="PKI53" s="16"/>
      <c r="PKJ53" s="16"/>
      <c r="PKK53" s="16"/>
      <c r="PKL53" s="16"/>
      <c r="PKM53" s="16"/>
      <c r="PKN53" s="16"/>
      <c r="PKO53" s="16"/>
      <c r="PKP53" s="16"/>
      <c r="PKQ53" s="16"/>
      <c r="PKR53" s="16"/>
      <c r="PKS53" s="16"/>
      <c r="PKT53" s="16"/>
      <c r="PKU53" s="16"/>
      <c r="PKV53" s="16"/>
      <c r="PKW53" s="16"/>
      <c r="PKX53" s="16"/>
      <c r="PKY53" s="16"/>
      <c r="PKZ53" s="16"/>
      <c r="PLA53" s="16"/>
      <c r="PLB53" s="16"/>
      <c r="PLC53" s="16"/>
      <c r="PLD53" s="16"/>
      <c r="PLE53" s="16"/>
      <c r="PLF53" s="16"/>
      <c r="PLG53" s="16"/>
      <c r="PLH53" s="16"/>
      <c r="PLI53" s="16"/>
      <c r="PLJ53" s="16"/>
      <c r="PLK53" s="16"/>
      <c r="PLL53" s="16"/>
      <c r="PLM53" s="16"/>
      <c r="PLN53" s="16"/>
      <c r="PLO53" s="16"/>
      <c r="PLP53" s="16"/>
      <c r="PLQ53" s="16"/>
      <c r="PLR53" s="16"/>
      <c r="PLS53" s="16"/>
      <c r="PLT53" s="16"/>
      <c r="PLU53" s="16"/>
      <c r="PLV53" s="16"/>
      <c r="PLW53" s="16"/>
      <c r="PLX53" s="16"/>
      <c r="PLY53" s="16"/>
      <c r="PLZ53" s="16"/>
      <c r="PMA53" s="16"/>
      <c r="PMB53" s="16"/>
      <c r="PMC53" s="16"/>
      <c r="PMD53" s="16"/>
      <c r="PME53" s="16"/>
      <c r="PMF53" s="16"/>
      <c r="PMG53" s="16"/>
      <c r="PMH53" s="16"/>
      <c r="PMI53" s="16"/>
      <c r="PMJ53" s="16"/>
      <c r="PMK53" s="16"/>
      <c r="PML53" s="16"/>
      <c r="PMM53" s="16"/>
      <c r="PMN53" s="16"/>
      <c r="PMO53" s="16"/>
      <c r="PMP53" s="16"/>
      <c r="PMQ53" s="16"/>
      <c r="PMR53" s="16"/>
      <c r="PMS53" s="16"/>
      <c r="PMT53" s="16"/>
      <c r="PMU53" s="16"/>
      <c r="PMV53" s="16"/>
      <c r="PMW53" s="16"/>
      <c r="PMX53" s="16"/>
      <c r="PMY53" s="16"/>
      <c r="PMZ53" s="16"/>
      <c r="PNA53" s="16"/>
      <c r="PNB53" s="16"/>
      <c r="PNC53" s="16"/>
      <c r="PND53" s="16"/>
      <c r="PNE53" s="16"/>
      <c r="PNF53" s="16"/>
      <c r="PNG53" s="16"/>
      <c r="PNH53" s="16"/>
      <c r="PNI53" s="16"/>
      <c r="PNJ53" s="16"/>
      <c r="PNK53" s="16"/>
      <c r="PNL53" s="16"/>
      <c r="PNM53" s="16"/>
      <c r="PNN53" s="16"/>
      <c r="PNO53" s="16"/>
      <c r="PNP53" s="16"/>
      <c r="PNQ53" s="16"/>
      <c r="PNR53" s="16"/>
      <c r="PNS53" s="16"/>
      <c r="PNT53" s="16"/>
      <c r="PNU53" s="16"/>
      <c r="PNV53" s="16"/>
      <c r="PNW53" s="16"/>
      <c r="PNX53" s="16"/>
      <c r="PNY53" s="16"/>
      <c r="PNZ53" s="16"/>
      <c r="POA53" s="16"/>
      <c r="POB53" s="16"/>
      <c r="POC53" s="16"/>
      <c r="POD53" s="16"/>
      <c r="POE53" s="16"/>
      <c r="POF53" s="16"/>
      <c r="POG53" s="16"/>
      <c r="POH53" s="16"/>
      <c r="POI53" s="16"/>
      <c r="POJ53" s="16"/>
      <c r="POK53" s="16"/>
      <c r="POL53" s="16"/>
      <c r="POM53" s="16"/>
      <c r="PON53" s="16"/>
      <c r="POO53" s="16"/>
      <c r="POP53" s="16"/>
      <c r="POQ53" s="16"/>
      <c r="POR53" s="16"/>
      <c r="POS53" s="16"/>
      <c r="POT53" s="16"/>
      <c r="POU53" s="16"/>
      <c r="POV53" s="16"/>
      <c r="POW53" s="16"/>
      <c r="POX53" s="16"/>
      <c r="POY53" s="16"/>
      <c r="POZ53" s="16"/>
      <c r="PPA53" s="16"/>
      <c r="PPB53" s="16"/>
      <c r="PPC53" s="16"/>
      <c r="PPD53" s="16"/>
      <c r="PPE53" s="16"/>
      <c r="PPF53" s="16"/>
      <c r="PPG53" s="16"/>
      <c r="PPH53" s="16"/>
      <c r="PPI53" s="16"/>
      <c r="PPJ53" s="16"/>
      <c r="PPK53" s="16"/>
      <c r="PPL53" s="16"/>
      <c r="PPM53" s="16"/>
      <c r="PPN53" s="16"/>
      <c r="PPO53" s="16"/>
      <c r="PPP53" s="16"/>
      <c r="PPQ53" s="16"/>
      <c r="PPR53" s="16"/>
      <c r="PPS53" s="16"/>
      <c r="PPT53" s="16"/>
      <c r="PPU53" s="16"/>
      <c r="PPV53" s="16"/>
      <c r="PPW53" s="16"/>
      <c r="PPX53" s="16"/>
      <c r="PPY53" s="16"/>
      <c r="PPZ53" s="16"/>
      <c r="PQA53" s="16"/>
      <c r="PQB53" s="16"/>
      <c r="PQC53" s="16"/>
      <c r="PQD53" s="16"/>
      <c r="PQE53" s="16"/>
      <c r="PQF53" s="16"/>
      <c r="PQG53" s="16"/>
      <c r="PQH53" s="16"/>
      <c r="PQI53" s="16"/>
      <c r="PQJ53" s="16"/>
      <c r="PQK53" s="16"/>
      <c r="PQL53" s="16"/>
      <c r="PQM53" s="16"/>
      <c r="PQN53" s="16"/>
      <c r="PQO53" s="16"/>
      <c r="PQP53" s="16"/>
      <c r="PQQ53" s="16"/>
      <c r="PQR53" s="16"/>
      <c r="PQS53" s="16"/>
      <c r="PQT53" s="16"/>
      <c r="PQU53" s="16"/>
      <c r="PQV53" s="16"/>
      <c r="PQW53" s="16"/>
      <c r="PQX53" s="16"/>
      <c r="PQY53" s="16"/>
      <c r="PQZ53" s="16"/>
      <c r="PRA53" s="16"/>
      <c r="PRB53" s="16"/>
      <c r="PRC53" s="16"/>
      <c r="PRD53" s="16"/>
      <c r="PRE53" s="16"/>
      <c r="PRF53" s="16"/>
      <c r="PRG53" s="16"/>
      <c r="PRH53" s="16"/>
      <c r="PRI53" s="16"/>
      <c r="PRJ53" s="16"/>
      <c r="PRK53" s="16"/>
      <c r="PRL53" s="16"/>
      <c r="PRM53" s="16"/>
      <c r="PRN53" s="16"/>
      <c r="PRO53" s="16"/>
      <c r="PRP53" s="16"/>
      <c r="PRQ53" s="16"/>
      <c r="PRR53" s="16"/>
      <c r="PRS53" s="16"/>
      <c r="PRT53" s="16"/>
      <c r="PRU53" s="16"/>
      <c r="PRV53" s="16"/>
      <c r="PRW53" s="16"/>
      <c r="PRX53" s="16"/>
      <c r="PRY53" s="16"/>
      <c r="PRZ53" s="16"/>
      <c r="PSA53" s="16"/>
      <c r="PSB53" s="16"/>
      <c r="PSC53" s="16"/>
      <c r="PSD53" s="16"/>
      <c r="PSE53" s="16"/>
      <c r="PSF53" s="16"/>
      <c r="PSG53" s="16"/>
      <c r="PSH53" s="16"/>
      <c r="PSI53" s="16"/>
      <c r="PSJ53" s="16"/>
      <c r="PSK53" s="16"/>
      <c r="PSL53" s="16"/>
      <c r="PSM53" s="16"/>
      <c r="PSN53" s="16"/>
      <c r="PSO53" s="16"/>
      <c r="PSP53" s="16"/>
      <c r="PSQ53" s="16"/>
      <c r="PSR53" s="16"/>
      <c r="PSS53" s="16"/>
      <c r="PST53" s="16"/>
      <c r="PSU53" s="16"/>
      <c r="PSV53" s="16"/>
      <c r="PSW53" s="16"/>
      <c r="PSX53" s="16"/>
      <c r="PSY53" s="16"/>
      <c r="PSZ53" s="16"/>
      <c r="PTA53" s="16"/>
      <c r="PTB53" s="16"/>
      <c r="PTC53" s="16"/>
      <c r="PTD53" s="16"/>
      <c r="PTE53" s="16"/>
      <c r="PTF53" s="16"/>
      <c r="PTG53" s="16"/>
      <c r="PTH53" s="16"/>
      <c r="PTI53" s="16"/>
      <c r="PTJ53" s="16"/>
      <c r="PTK53" s="16"/>
      <c r="PTL53" s="16"/>
      <c r="PTM53" s="16"/>
      <c r="PTN53" s="16"/>
      <c r="PTO53" s="16"/>
      <c r="PTP53" s="16"/>
      <c r="PTQ53" s="16"/>
      <c r="PTR53" s="16"/>
      <c r="PTS53" s="16"/>
      <c r="PTT53" s="16"/>
      <c r="PTU53" s="16"/>
      <c r="PTV53" s="16"/>
      <c r="PTW53" s="16"/>
      <c r="PTX53" s="16"/>
      <c r="PTY53" s="16"/>
      <c r="PTZ53" s="16"/>
      <c r="PUA53" s="16"/>
      <c r="PUB53" s="16"/>
      <c r="PUC53" s="16"/>
      <c r="PUD53" s="16"/>
      <c r="PUE53" s="16"/>
      <c r="PUF53" s="16"/>
      <c r="PUG53" s="16"/>
      <c r="PUH53" s="16"/>
      <c r="PUI53" s="16"/>
      <c r="PUJ53" s="16"/>
      <c r="PUK53" s="16"/>
      <c r="PUL53" s="16"/>
      <c r="PUM53" s="16"/>
      <c r="PUN53" s="16"/>
      <c r="PUO53" s="16"/>
      <c r="PUP53" s="16"/>
      <c r="PUQ53" s="16"/>
      <c r="PUR53" s="16"/>
      <c r="PUS53" s="16"/>
      <c r="PUT53" s="16"/>
      <c r="PUU53" s="16"/>
      <c r="PUV53" s="16"/>
      <c r="PUW53" s="16"/>
      <c r="PUX53" s="16"/>
      <c r="PUY53" s="16"/>
      <c r="PUZ53" s="16"/>
      <c r="PVA53" s="16"/>
      <c r="PVB53" s="16"/>
      <c r="PVC53" s="16"/>
      <c r="PVD53" s="16"/>
      <c r="PVE53" s="16"/>
      <c r="PVF53" s="16"/>
      <c r="PVG53" s="16"/>
      <c r="PVH53" s="16"/>
      <c r="PVI53" s="16"/>
      <c r="PVJ53" s="16"/>
      <c r="PVK53" s="16"/>
      <c r="PVL53" s="16"/>
      <c r="PVM53" s="16"/>
      <c r="PVN53" s="16"/>
      <c r="PVO53" s="16"/>
      <c r="PVP53" s="16"/>
      <c r="PVQ53" s="16"/>
      <c r="PVR53" s="16"/>
      <c r="PVS53" s="16"/>
      <c r="PVT53" s="16"/>
      <c r="PVU53" s="16"/>
      <c r="PVV53" s="16"/>
      <c r="PVW53" s="16"/>
      <c r="PVX53" s="16"/>
      <c r="PVY53" s="16"/>
      <c r="PVZ53" s="16"/>
      <c r="PWA53" s="16"/>
      <c r="PWB53" s="16"/>
      <c r="PWC53" s="16"/>
      <c r="PWD53" s="16"/>
      <c r="PWE53" s="16"/>
      <c r="PWF53" s="16"/>
      <c r="PWG53" s="16"/>
      <c r="PWH53" s="16"/>
      <c r="PWI53" s="16"/>
      <c r="PWJ53" s="16"/>
      <c r="PWK53" s="16"/>
      <c r="PWL53" s="16"/>
      <c r="PWM53" s="16"/>
      <c r="PWN53" s="16"/>
      <c r="PWO53" s="16"/>
      <c r="PWP53" s="16"/>
      <c r="PWQ53" s="16"/>
      <c r="PWR53" s="16"/>
      <c r="PWS53" s="16"/>
      <c r="PWT53" s="16"/>
      <c r="PWU53" s="16"/>
      <c r="PWV53" s="16"/>
      <c r="PWW53" s="16"/>
      <c r="PWX53" s="16"/>
      <c r="PWY53" s="16"/>
      <c r="PWZ53" s="16"/>
      <c r="PXA53" s="16"/>
      <c r="PXB53" s="16"/>
      <c r="PXC53" s="16"/>
      <c r="PXD53" s="16"/>
      <c r="PXE53" s="16"/>
      <c r="PXF53" s="16"/>
      <c r="PXG53" s="16"/>
      <c r="PXH53" s="16"/>
      <c r="PXI53" s="16"/>
      <c r="PXJ53" s="16"/>
      <c r="PXK53" s="16"/>
      <c r="PXL53" s="16"/>
      <c r="PXM53" s="16"/>
      <c r="PXN53" s="16"/>
      <c r="PXO53" s="16"/>
      <c r="PXP53" s="16"/>
      <c r="PXQ53" s="16"/>
      <c r="PXR53" s="16"/>
      <c r="PXS53" s="16"/>
      <c r="PXT53" s="16"/>
      <c r="PXU53" s="16"/>
      <c r="PXV53" s="16"/>
      <c r="PXW53" s="16"/>
      <c r="PXX53" s="16"/>
      <c r="PXY53" s="16"/>
      <c r="PXZ53" s="16"/>
      <c r="PYA53" s="16"/>
      <c r="PYB53" s="16"/>
      <c r="PYC53" s="16"/>
      <c r="PYD53" s="16"/>
      <c r="PYE53" s="16"/>
      <c r="PYF53" s="16"/>
      <c r="PYG53" s="16"/>
      <c r="PYH53" s="16"/>
      <c r="PYI53" s="16"/>
      <c r="PYJ53" s="16"/>
      <c r="PYK53" s="16"/>
      <c r="PYL53" s="16"/>
      <c r="PYM53" s="16"/>
      <c r="PYN53" s="16"/>
      <c r="PYO53" s="16"/>
      <c r="PYP53" s="16"/>
      <c r="PYQ53" s="16"/>
      <c r="PYR53" s="16"/>
      <c r="PYS53" s="16"/>
      <c r="PYT53" s="16"/>
      <c r="PYU53" s="16"/>
      <c r="PYV53" s="16"/>
      <c r="PYW53" s="16"/>
      <c r="PYX53" s="16"/>
      <c r="PYY53" s="16"/>
      <c r="PYZ53" s="16"/>
      <c r="PZA53" s="16"/>
      <c r="PZB53" s="16"/>
      <c r="PZC53" s="16"/>
      <c r="PZD53" s="16"/>
      <c r="PZE53" s="16"/>
      <c r="PZF53" s="16"/>
      <c r="PZG53" s="16"/>
      <c r="PZH53" s="16"/>
      <c r="PZI53" s="16"/>
      <c r="PZJ53" s="16"/>
      <c r="PZK53" s="16"/>
      <c r="PZL53" s="16"/>
      <c r="PZM53" s="16"/>
      <c r="PZN53" s="16"/>
      <c r="PZO53" s="16"/>
      <c r="PZP53" s="16"/>
      <c r="PZQ53" s="16"/>
      <c r="PZR53" s="16"/>
      <c r="PZS53" s="16"/>
      <c r="PZT53" s="16"/>
      <c r="PZU53" s="16"/>
      <c r="PZV53" s="16"/>
      <c r="PZW53" s="16"/>
      <c r="PZX53" s="16"/>
      <c r="PZY53" s="16"/>
      <c r="PZZ53" s="16"/>
      <c r="QAA53" s="16"/>
      <c r="QAB53" s="16"/>
      <c r="QAC53" s="16"/>
      <c r="QAD53" s="16"/>
      <c r="QAE53" s="16"/>
      <c r="QAF53" s="16"/>
      <c r="QAG53" s="16"/>
      <c r="QAH53" s="16"/>
      <c r="QAI53" s="16"/>
      <c r="QAJ53" s="16"/>
      <c r="QAK53" s="16"/>
      <c r="QAL53" s="16"/>
      <c r="QAM53" s="16"/>
      <c r="QAN53" s="16"/>
      <c r="QAO53" s="16"/>
      <c r="QAP53" s="16"/>
      <c r="QAQ53" s="16"/>
      <c r="QAR53" s="16"/>
      <c r="QAS53" s="16"/>
      <c r="QAT53" s="16"/>
      <c r="QAU53" s="16"/>
      <c r="QAV53" s="16"/>
      <c r="QAW53" s="16"/>
      <c r="QAX53" s="16"/>
      <c r="QAY53" s="16"/>
      <c r="QAZ53" s="16"/>
      <c r="QBA53" s="16"/>
      <c r="QBB53" s="16"/>
      <c r="QBC53" s="16"/>
      <c r="QBD53" s="16"/>
      <c r="QBE53" s="16"/>
      <c r="QBF53" s="16"/>
      <c r="QBG53" s="16"/>
      <c r="QBH53" s="16"/>
      <c r="QBI53" s="16"/>
      <c r="QBJ53" s="16"/>
      <c r="QBK53" s="16"/>
      <c r="QBL53" s="16"/>
      <c r="QBM53" s="16"/>
      <c r="QBN53" s="16"/>
      <c r="QBO53" s="16"/>
      <c r="QBP53" s="16"/>
      <c r="QBQ53" s="16"/>
      <c r="QBR53" s="16"/>
      <c r="QBS53" s="16"/>
      <c r="QBT53" s="16"/>
      <c r="QBU53" s="16"/>
      <c r="QBV53" s="16"/>
      <c r="QBW53" s="16"/>
      <c r="QBX53" s="16"/>
      <c r="QBY53" s="16"/>
      <c r="QBZ53" s="16"/>
      <c r="QCA53" s="16"/>
      <c r="QCB53" s="16"/>
      <c r="QCC53" s="16"/>
      <c r="QCD53" s="16"/>
      <c r="QCE53" s="16"/>
      <c r="QCF53" s="16"/>
      <c r="QCG53" s="16"/>
      <c r="QCH53" s="16"/>
      <c r="QCI53" s="16"/>
      <c r="QCJ53" s="16"/>
      <c r="QCK53" s="16"/>
      <c r="QCL53" s="16"/>
      <c r="QCM53" s="16"/>
      <c r="QCN53" s="16"/>
      <c r="QCO53" s="16"/>
      <c r="QCP53" s="16"/>
      <c r="QCQ53" s="16"/>
      <c r="QCR53" s="16"/>
      <c r="QCS53" s="16"/>
      <c r="QCT53" s="16"/>
      <c r="QCU53" s="16"/>
      <c r="QCV53" s="16"/>
      <c r="QCW53" s="16"/>
      <c r="QCX53" s="16"/>
      <c r="QCY53" s="16"/>
      <c r="QCZ53" s="16"/>
      <c r="QDA53" s="16"/>
      <c r="QDB53" s="16"/>
      <c r="QDC53" s="16"/>
      <c r="QDD53" s="16"/>
      <c r="QDE53" s="16"/>
      <c r="QDF53" s="16"/>
      <c r="QDG53" s="16"/>
      <c r="QDH53" s="16"/>
      <c r="QDI53" s="16"/>
      <c r="QDJ53" s="16"/>
      <c r="QDK53" s="16"/>
      <c r="QDL53" s="16"/>
      <c r="QDM53" s="16"/>
      <c r="QDN53" s="16"/>
      <c r="QDO53" s="16"/>
      <c r="QDP53" s="16"/>
      <c r="QDQ53" s="16"/>
      <c r="QDR53" s="16"/>
      <c r="QDS53" s="16"/>
      <c r="QDT53" s="16"/>
      <c r="QDU53" s="16"/>
      <c r="QDV53" s="16"/>
      <c r="QDW53" s="16"/>
      <c r="QDX53" s="16"/>
      <c r="QDY53" s="16"/>
      <c r="QDZ53" s="16"/>
      <c r="QEA53" s="16"/>
      <c r="QEB53" s="16"/>
      <c r="QEC53" s="16"/>
      <c r="QED53" s="16"/>
      <c r="QEE53" s="16"/>
      <c r="QEF53" s="16"/>
      <c r="QEG53" s="16"/>
      <c r="QEH53" s="16"/>
      <c r="QEI53" s="16"/>
      <c r="QEJ53" s="16"/>
      <c r="QEK53" s="16"/>
      <c r="QEL53" s="16"/>
      <c r="QEM53" s="16"/>
      <c r="QEN53" s="16"/>
      <c r="QEO53" s="16"/>
      <c r="QEP53" s="16"/>
      <c r="QEQ53" s="16"/>
      <c r="QER53" s="16"/>
      <c r="QES53" s="16"/>
      <c r="QET53" s="16"/>
      <c r="QEU53" s="16"/>
      <c r="QEV53" s="16"/>
      <c r="QEW53" s="16"/>
      <c r="QEX53" s="16"/>
      <c r="QEY53" s="16"/>
      <c r="QEZ53" s="16"/>
      <c r="QFA53" s="16"/>
      <c r="QFB53" s="16"/>
      <c r="QFC53" s="16"/>
      <c r="QFD53" s="16"/>
      <c r="QFE53" s="16"/>
      <c r="QFF53" s="16"/>
      <c r="QFG53" s="16"/>
      <c r="QFH53" s="16"/>
      <c r="QFI53" s="16"/>
      <c r="QFJ53" s="16"/>
      <c r="QFK53" s="16"/>
      <c r="QFL53" s="16"/>
      <c r="QFM53" s="16"/>
      <c r="QFN53" s="16"/>
      <c r="QFO53" s="16"/>
      <c r="QFP53" s="16"/>
      <c r="QFQ53" s="16"/>
      <c r="QFR53" s="16"/>
      <c r="QFS53" s="16"/>
      <c r="QFT53" s="16"/>
      <c r="QFU53" s="16"/>
      <c r="QFV53" s="16"/>
      <c r="QFW53" s="16"/>
      <c r="QFX53" s="16"/>
      <c r="QFY53" s="16"/>
      <c r="QFZ53" s="16"/>
      <c r="QGA53" s="16"/>
      <c r="QGB53" s="16"/>
      <c r="QGC53" s="16"/>
      <c r="QGD53" s="16"/>
      <c r="QGE53" s="16"/>
      <c r="QGF53" s="16"/>
      <c r="QGG53" s="16"/>
      <c r="QGH53" s="16"/>
      <c r="QGI53" s="16"/>
      <c r="QGJ53" s="16"/>
      <c r="QGK53" s="16"/>
      <c r="QGL53" s="16"/>
      <c r="QGM53" s="16"/>
      <c r="QGN53" s="16"/>
      <c r="QGO53" s="16"/>
      <c r="QGP53" s="16"/>
      <c r="QGQ53" s="16"/>
      <c r="QGR53" s="16"/>
      <c r="QGS53" s="16"/>
      <c r="QGT53" s="16"/>
      <c r="QGU53" s="16"/>
      <c r="QGV53" s="16"/>
      <c r="QGW53" s="16"/>
      <c r="QGX53" s="16"/>
      <c r="QGY53" s="16"/>
      <c r="QGZ53" s="16"/>
      <c r="QHA53" s="16"/>
      <c r="QHB53" s="16"/>
      <c r="QHC53" s="16"/>
      <c r="QHD53" s="16"/>
      <c r="QHE53" s="16"/>
      <c r="QHF53" s="16"/>
      <c r="QHG53" s="16"/>
      <c r="QHH53" s="16"/>
      <c r="QHI53" s="16"/>
      <c r="QHJ53" s="16"/>
      <c r="QHK53" s="16"/>
      <c r="QHL53" s="16"/>
      <c r="QHM53" s="16"/>
      <c r="QHN53" s="16"/>
      <c r="QHO53" s="16"/>
      <c r="QHP53" s="16"/>
      <c r="QHQ53" s="16"/>
      <c r="QHR53" s="16"/>
      <c r="QHS53" s="16"/>
      <c r="QHT53" s="16"/>
      <c r="QHU53" s="16"/>
      <c r="QHV53" s="16"/>
      <c r="QHW53" s="16"/>
      <c r="QHX53" s="16"/>
      <c r="QHY53" s="16"/>
      <c r="QHZ53" s="16"/>
      <c r="QIA53" s="16"/>
      <c r="QIB53" s="16"/>
      <c r="QIC53" s="16"/>
      <c r="QID53" s="16"/>
      <c r="QIE53" s="16"/>
      <c r="QIF53" s="16"/>
      <c r="QIG53" s="16"/>
      <c r="QIH53" s="16"/>
      <c r="QII53" s="16"/>
      <c r="QIJ53" s="16"/>
      <c r="QIK53" s="16"/>
      <c r="QIL53" s="16"/>
      <c r="QIM53" s="16"/>
      <c r="QIN53" s="16"/>
      <c r="QIO53" s="16"/>
      <c r="QIP53" s="16"/>
      <c r="QIQ53" s="16"/>
      <c r="QIR53" s="16"/>
      <c r="QIS53" s="16"/>
      <c r="QIT53" s="16"/>
      <c r="QIU53" s="16"/>
      <c r="QIV53" s="16"/>
      <c r="QIW53" s="16"/>
      <c r="QIX53" s="16"/>
      <c r="QIY53" s="16"/>
      <c r="QIZ53" s="16"/>
      <c r="QJA53" s="16"/>
      <c r="QJB53" s="16"/>
      <c r="QJC53" s="16"/>
      <c r="QJD53" s="16"/>
      <c r="QJE53" s="16"/>
      <c r="QJF53" s="16"/>
      <c r="QJG53" s="16"/>
      <c r="QJH53" s="16"/>
      <c r="QJI53" s="16"/>
      <c r="QJJ53" s="16"/>
      <c r="QJK53" s="16"/>
      <c r="QJL53" s="16"/>
      <c r="QJM53" s="16"/>
      <c r="QJN53" s="16"/>
      <c r="QJO53" s="16"/>
      <c r="QJP53" s="16"/>
      <c r="QJQ53" s="16"/>
      <c r="QJR53" s="16"/>
      <c r="QJS53" s="16"/>
      <c r="QJT53" s="16"/>
      <c r="QJU53" s="16"/>
      <c r="QJV53" s="16"/>
      <c r="QJW53" s="16"/>
      <c r="QJX53" s="16"/>
      <c r="QJY53" s="16"/>
      <c r="QJZ53" s="16"/>
      <c r="QKA53" s="16"/>
      <c r="QKB53" s="16"/>
      <c r="QKC53" s="16"/>
      <c r="QKD53" s="16"/>
      <c r="QKE53" s="16"/>
      <c r="QKF53" s="16"/>
      <c r="QKG53" s="16"/>
      <c r="QKH53" s="16"/>
      <c r="QKI53" s="16"/>
      <c r="QKJ53" s="16"/>
      <c r="QKK53" s="16"/>
      <c r="QKL53" s="16"/>
      <c r="QKM53" s="16"/>
      <c r="QKN53" s="16"/>
      <c r="QKO53" s="16"/>
      <c r="QKP53" s="16"/>
      <c r="QKQ53" s="16"/>
      <c r="QKR53" s="16"/>
      <c r="QKS53" s="16"/>
      <c r="QKT53" s="16"/>
      <c r="QKU53" s="16"/>
      <c r="QKV53" s="16"/>
      <c r="QKW53" s="16"/>
      <c r="QKX53" s="16"/>
      <c r="QKY53" s="16"/>
      <c r="QKZ53" s="16"/>
      <c r="QLA53" s="16"/>
      <c r="QLB53" s="16"/>
      <c r="QLC53" s="16"/>
      <c r="QLD53" s="16"/>
      <c r="QLE53" s="16"/>
      <c r="QLF53" s="16"/>
      <c r="QLG53" s="16"/>
      <c r="QLH53" s="16"/>
      <c r="QLI53" s="16"/>
      <c r="QLJ53" s="16"/>
      <c r="QLK53" s="16"/>
      <c r="QLL53" s="16"/>
      <c r="QLM53" s="16"/>
      <c r="QLN53" s="16"/>
      <c r="QLO53" s="16"/>
      <c r="QLP53" s="16"/>
      <c r="QLQ53" s="16"/>
      <c r="QLR53" s="16"/>
      <c r="QLS53" s="16"/>
      <c r="QLT53" s="16"/>
      <c r="QLU53" s="16"/>
      <c r="QLV53" s="16"/>
      <c r="QLW53" s="16"/>
      <c r="QLX53" s="16"/>
      <c r="QLY53" s="16"/>
      <c r="QLZ53" s="16"/>
      <c r="QMA53" s="16"/>
      <c r="QMB53" s="16"/>
      <c r="QMC53" s="16"/>
      <c r="QMD53" s="16"/>
      <c r="QME53" s="16"/>
      <c r="QMF53" s="16"/>
      <c r="QMG53" s="16"/>
      <c r="QMH53" s="16"/>
      <c r="QMI53" s="16"/>
      <c r="QMJ53" s="16"/>
      <c r="QMK53" s="16"/>
      <c r="QML53" s="16"/>
      <c r="QMM53" s="16"/>
      <c r="QMN53" s="16"/>
      <c r="QMO53" s="16"/>
      <c r="QMP53" s="16"/>
      <c r="QMQ53" s="16"/>
      <c r="QMR53" s="16"/>
      <c r="QMS53" s="16"/>
      <c r="QMT53" s="16"/>
      <c r="QMU53" s="16"/>
      <c r="QMV53" s="16"/>
      <c r="QMW53" s="16"/>
      <c r="QMX53" s="16"/>
      <c r="QMY53" s="16"/>
      <c r="QMZ53" s="16"/>
      <c r="QNA53" s="16"/>
      <c r="QNB53" s="16"/>
      <c r="QNC53" s="16"/>
      <c r="QND53" s="16"/>
      <c r="QNE53" s="16"/>
      <c r="QNF53" s="16"/>
      <c r="QNG53" s="16"/>
      <c r="QNH53" s="16"/>
      <c r="QNI53" s="16"/>
      <c r="QNJ53" s="16"/>
      <c r="QNK53" s="16"/>
      <c r="QNL53" s="16"/>
      <c r="QNM53" s="16"/>
      <c r="QNN53" s="16"/>
      <c r="QNO53" s="16"/>
      <c r="QNP53" s="16"/>
      <c r="QNQ53" s="16"/>
      <c r="QNR53" s="16"/>
      <c r="QNS53" s="16"/>
      <c r="QNT53" s="16"/>
      <c r="QNU53" s="16"/>
      <c r="QNV53" s="16"/>
      <c r="QNW53" s="16"/>
      <c r="QNX53" s="16"/>
      <c r="QNY53" s="16"/>
      <c r="QNZ53" s="16"/>
      <c r="QOA53" s="16"/>
      <c r="QOB53" s="16"/>
      <c r="QOC53" s="16"/>
      <c r="QOD53" s="16"/>
      <c r="QOE53" s="16"/>
      <c r="QOF53" s="16"/>
      <c r="QOG53" s="16"/>
      <c r="QOH53" s="16"/>
      <c r="QOI53" s="16"/>
      <c r="QOJ53" s="16"/>
      <c r="QOK53" s="16"/>
      <c r="QOL53" s="16"/>
      <c r="QOM53" s="16"/>
      <c r="QON53" s="16"/>
      <c r="QOO53" s="16"/>
      <c r="QOP53" s="16"/>
      <c r="QOQ53" s="16"/>
      <c r="QOR53" s="16"/>
      <c r="QOS53" s="16"/>
      <c r="QOT53" s="16"/>
      <c r="QOU53" s="16"/>
      <c r="QOV53" s="16"/>
      <c r="QOW53" s="16"/>
      <c r="QOX53" s="16"/>
      <c r="QOY53" s="16"/>
      <c r="QOZ53" s="16"/>
      <c r="QPA53" s="16"/>
      <c r="QPB53" s="16"/>
      <c r="QPC53" s="16"/>
      <c r="QPD53" s="16"/>
      <c r="QPE53" s="16"/>
      <c r="QPF53" s="16"/>
      <c r="QPG53" s="16"/>
      <c r="QPH53" s="16"/>
      <c r="QPI53" s="16"/>
      <c r="QPJ53" s="16"/>
      <c r="QPK53" s="16"/>
      <c r="QPL53" s="16"/>
      <c r="QPM53" s="16"/>
      <c r="QPN53" s="16"/>
      <c r="QPO53" s="16"/>
      <c r="QPP53" s="16"/>
      <c r="QPQ53" s="16"/>
      <c r="QPR53" s="16"/>
      <c r="QPS53" s="16"/>
      <c r="QPT53" s="16"/>
      <c r="QPU53" s="16"/>
      <c r="QPV53" s="16"/>
      <c r="QPW53" s="16"/>
      <c r="QPX53" s="16"/>
      <c r="QPY53" s="16"/>
      <c r="QPZ53" s="16"/>
      <c r="QQA53" s="16"/>
      <c r="QQB53" s="16"/>
      <c r="QQC53" s="16"/>
      <c r="QQD53" s="16"/>
      <c r="QQE53" s="16"/>
      <c r="QQF53" s="16"/>
      <c r="QQG53" s="16"/>
      <c r="QQH53" s="16"/>
      <c r="QQI53" s="16"/>
      <c r="QQJ53" s="16"/>
      <c r="QQK53" s="16"/>
      <c r="QQL53" s="16"/>
      <c r="QQM53" s="16"/>
      <c r="QQN53" s="16"/>
      <c r="QQO53" s="16"/>
      <c r="QQP53" s="16"/>
      <c r="QQQ53" s="16"/>
      <c r="QQR53" s="16"/>
      <c r="QQS53" s="16"/>
      <c r="QQT53" s="16"/>
      <c r="QQU53" s="16"/>
      <c r="QQV53" s="16"/>
      <c r="QQW53" s="16"/>
      <c r="QQX53" s="16"/>
      <c r="QQY53" s="16"/>
      <c r="QQZ53" s="16"/>
      <c r="QRA53" s="16"/>
      <c r="QRB53" s="16"/>
      <c r="QRC53" s="16"/>
      <c r="QRD53" s="16"/>
      <c r="QRE53" s="16"/>
      <c r="QRF53" s="16"/>
      <c r="QRG53" s="16"/>
      <c r="QRH53" s="16"/>
      <c r="QRI53" s="16"/>
      <c r="QRJ53" s="16"/>
      <c r="QRK53" s="16"/>
      <c r="QRL53" s="16"/>
      <c r="QRM53" s="16"/>
      <c r="QRN53" s="16"/>
      <c r="QRO53" s="16"/>
      <c r="QRP53" s="16"/>
      <c r="QRQ53" s="16"/>
      <c r="QRR53" s="16"/>
      <c r="QRS53" s="16"/>
      <c r="QRT53" s="16"/>
      <c r="QRU53" s="16"/>
      <c r="QRV53" s="16"/>
      <c r="QRW53" s="16"/>
      <c r="QRX53" s="16"/>
      <c r="QRY53" s="16"/>
      <c r="QRZ53" s="16"/>
      <c r="QSA53" s="16"/>
      <c r="QSB53" s="16"/>
      <c r="QSC53" s="16"/>
      <c r="QSD53" s="16"/>
      <c r="QSE53" s="16"/>
      <c r="QSF53" s="16"/>
      <c r="QSG53" s="16"/>
      <c r="QSH53" s="16"/>
      <c r="QSI53" s="16"/>
      <c r="QSJ53" s="16"/>
      <c r="QSK53" s="16"/>
      <c r="QSL53" s="16"/>
      <c r="QSM53" s="16"/>
      <c r="QSN53" s="16"/>
      <c r="QSO53" s="16"/>
      <c r="QSP53" s="16"/>
      <c r="QSQ53" s="16"/>
      <c r="QSR53" s="16"/>
      <c r="QSS53" s="16"/>
      <c r="QST53" s="16"/>
      <c r="QSU53" s="16"/>
      <c r="QSV53" s="16"/>
      <c r="QSW53" s="16"/>
      <c r="QSX53" s="16"/>
      <c r="QSY53" s="16"/>
      <c r="QSZ53" s="16"/>
      <c r="QTA53" s="16"/>
      <c r="QTB53" s="16"/>
      <c r="QTC53" s="16"/>
      <c r="QTD53" s="16"/>
      <c r="QTE53" s="16"/>
      <c r="QTF53" s="16"/>
      <c r="QTG53" s="16"/>
      <c r="QTH53" s="16"/>
      <c r="QTI53" s="16"/>
      <c r="QTJ53" s="16"/>
      <c r="QTK53" s="16"/>
      <c r="QTL53" s="16"/>
      <c r="QTM53" s="16"/>
      <c r="QTN53" s="16"/>
      <c r="QTO53" s="16"/>
      <c r="QTP53" s="16"/>
      <c r="QTQ53" s="16"/>
      <c r="QTR53" s="16"/>
      <c r="QTS53" s="16"/>
      <c r="QTT53" s="16"/>
      <c r="QTU53" s="16"/>
      <c r="QTV53" s="16"/>
      <c r="QTW53" s="16"/>
      <c r="QTX53" s="16"/>
      <c r="QTY53" s="16"/>
      <c r="QTZ53" s="16"/>
      <c r="QUA53" s="16"/>
      <c r="QUB53" s="16"/>
      <c r="QUC53" s="16"/>
      <c r="QUD53" s="16"/>
      <c r="QUE53" s="16"/>
      <c r="QUF53" s="16"/>
      <c r="QUG53" s="16"/>
      <c r="QUH53" s="16"/>
      <c r="QUI53" s="16"/>
      <c r="QUJ53" s="16"/>
      <c r="QUK53" s="16"/>
      <c r="QUL53" s="16"/>
      <c r="QUM53" s="16"/>
      <c r="QUN53" s="16"/>
      <c r="QUO53" s="16"/>
      <c r="QUP53" s="16"/>
      <c r="QUQ53" s="16"/>
      <c r="QUR53" s="16"/>
      <c r="QUS53" s="16"/>
      <c r="QUT53" s="16"/>
      <c r="QUU53" s="16"/>
      <c r="QUV53" s="16"/>
      <c r="QUW53" s="16"/>
      <c r="QUX53" s="16"/>
      <c r="QUY53" s="16"/>
      <c r="QUZ53" s="16"/>
      <c r="QVA53" s="16"/>
      <c r="QVB53" s="16"/>
      <c r="QVC53" s="16"/>
      <c r="QVD53" s="16"/>
      <c r="QVE53" s="16"/>
      <c r="QVF53" s="16"/>
      <c r="QVG53" s="16"/>
      <c r="QVH53" s="16"/>
      <c r="QVI53" s="16"/>
      <c r="QVJ53" s="16"/>
      <c r="QVK53" s="16"/>
      <c r="QVL53" s="16"/>
      <c r="QVM53" s="16"/>
      <c r="QVN53" s="16"/>
      <c r="QVO53" s="16"/>
      <c r="QVP53" s="16"/>
      <c r="QVQ53" s="16"/>
      <c r="QVR53" s="16"/>
      <c r="QVS53" s="16"/>
      <c r="QVT53" s="16"/>
      <c r="QVU53" s="16"/>
      <c r="QVV53" s="16"/>
      <c r="QVW53" s="16"/>
      <c r="QVX53" s="16"/>
      <c r="QVY53" s="16"/>
      <c r="QVZ53" s="16"/>
      <c r="QWA53" s="16"/>
      <c r="QWB53" s="16"/>
      <c r="QWC53" s="16"/>
      <c r="QWD53" s="16"/>
      <c r="QWE53" s="16"/>
      <c r="QWF53" s="16"/>
      <c r="QWG53" s="16"/>
      <c r="QWH53" s="16"/>
      <c r="QWI53" s="16"/>
      <c r="QWJ53" s="16"/>
      <c r="QWK53" s="16"/>
      <c r="QWL53" s="16"/>
      <c r="QWM53" s="16"/>
      <c r="QWN53" s="16"/>
      <c r="QWO53" s="16"/>
      <c r="QWP53" s="16"/>
      <c r="QWQ53" s="16"/>
      <c r="QWR53" s="16"/>
      <c r="QWS53" s="16"/>
      <c r="QWT53" s="16"/>
      <c r="QWU53" s="16"/>
      <c r="QWV53" s="16"/>
      <c r="QWW53" s="16"/>
      <c r="QWX53" s="16"/>
      <c r="QWY53" s="16"/>
      <c r="QWZ53" s="16"/>
      <c r="QXA53" s="16"/>
      <c r="QXB53" s="16"/>
      <c r="QXC53" s="16"/>
      <c r="QXD53" s="16"/>
      <c r="QXE53" s="16"/>
      <c r="QXF53" s="16"/>
      <c r="QXG53" s="16"/>
      <c r="QXH53" s="16"/>
      <c r="QXI53" s="16"/>
      <c r="QXJ53" s="16"/>
      <c r="QXK53" s="16"/>
      <c r="QXL53" s="16"/>
      <c r="QXM53" s="16"/>
      <c r="QXN53" s="16"/>
      <c r="QXO53" s="16"/>
      <c r="QXP53" s="16"/>
      <c r="QXQ53" s="16"/>
      <c r="QXR53" s="16"/>
      <c r="QXS53" s="16"/>
      <c r="QXT53" s="16"/>
      <c r="QXU53" s="16"/>
      <c r="QXV53" s="16"/>
      <c r="QXW53" s="16"/>
      <c r="QXX53" s="16"/>
      <c r="QXY53" s="16"/>
      <c r="QXZ53" s="16"/>
      <c r="QYA53" s="16"/>
      <c r="QYB53" s="16"/>
      <c r="QYC53" s="16"/>
      <c r="QYD53" s="16"/>
      <c r="QYE53" s="16"/>
      <c r="QYF53" s="16"/>
      <c r="QYG53" s="16"/>
      <c r="QYH53" s="16"/>
      <c r="QYI53" s="16"/>
      <c r="QYJ53" s="16"/>
      <c r="QYK53" s="16"/>
      <c r="QYL53" s="16"/>
      <c r="QYM53" s="16"/>
      <c r="QYN53" s="16"/>
      <c r="QYO53" s="16"/>
      <c r="QYP53" s="16"/>
      <c r="QYQ53" s="16"/>
      <c r="QYR53" s="16"/>
      <c r="QYS53" s="16"/>
      <c r="QYT53" s="16"/>
      <c r="QYU53" s="16"/>
      <c r="QYV53" s="16"/>
      <c r="QYW53" s="16"/>
      <c r="QYX53" s="16"/>
      <c r="QYY53" s="16"/>
      <c r="QYZ53" s="16"/>
      <c r="QZA53" s="16"/>
      <c r="QZB53" s="16"/>
      <c r="QZC53" s="16"/>
      <c r="QZD53" s="16"/>
      <c r="QZE53" s="16"/>
      <c r="QZF53" s="16"/>
      <c r="QZG53" s="16"/>
      <c r="QZH53" s="16"/>
      <c r="QZI53" s="16"/>
      <c r="QZJ53" s="16"/>
      <c r="QZK53" s="16"/>
      <c r="QZL53" s="16"/>
      <c r="QZM53" s="16"/>
      <c r="QZN53" s="16"/>
      <c r="QZO53" s="16"/>
      <c r="QZP53" s="16"/>
      <c r="QZQ53" s="16"/>
      <c r="QZR53" s="16"/>
      <c r="QZS53" s="16"/>
      <c r="QZT53" s="16"/>
      <c r="QZU53" s="16"/>
      <c r="QZV53" s="16"/>
      <c r="QZW53" s="16"/>
      <c r="QZX53" s="16"/>
      <c r="QZY53" s="16"/>
      <c r="QZZ53" s="16"/>
      <c r="RAA53" s="16"/>
      <c r="RAB53" s="16"/>
      <c r="RAC53" s="16"/>
      <c r="RAD53" s="16"/>
      <c r="RAE53" s="16"/>
      <c r="RAF53" s="16"/>
      <c r="RAG53" s="16"/>
      <c r="RAH53" s="16"/>
      <c r="RAI53" s="16"/>
      <c r="RAJ53" s="16"/>
      <c r="RAK53" s="16"/>
      <c r="RAL53" s="16"/>
      <c r="RAM53" s="16"/>
      <c r="RAN53" s="16"/>
      <c r="RAO53" s="16"/>
      <c r="RAP53" s="16"/>
      <c r="RAQ53" s="16"/>
      <c r="RAR53" s="16"/>
      <c r="RAS53" s="16"/>
      <c r="RAT53" s="16"/>
      <c r="RAU53" s="16"/>
      <c r="RAV53" s="16"/>
      <c r="RAW53" s="16"/>
      <c r="RAX53" s="16"/>
      <c r="RAY53" s="16"/>
      <c r="RAZ53" s="16"/>
      <c r="RBA53" s="16"/>
      <c r="RBB53" s="16"/>
      <c r="RBC53" s="16"/>
      <c r="RBD53" s="16"/>
      <c r="RBE53" s="16"/>
      <c r="RBF53" s="16"/>
      <c r="RBG53" s="16"/>
      <c r="RBH53" s="16"/>
      <c r="RBI53" s="16"/>
      <c r="RBJ53" s="16"/>
      <c r="RBK53" s="16"/>
      <c r="RBL53" s="16"/>
      <c r="RBM53" s="16"/>
      <c r="RBN53" s="16"/>
      <c r="RBO53" s="16"/>
      <c r="RBP53" s="16"/>
      <c r="RBQ53" s="16"/>
      <c r="RBR53" s="16"/>
      <c r="RBS53" s="16"/>
      <c r="RBT53" s="16"/>
      <c r="RBU53" s="16"/>
      <c r="RBV53" s="16"/>
      <c r="RBW53" s="16"/>
      <c r="RBX53" s="16"/>
      <c r="RBY53" s="16"/>
      <c r="RBZ53" s="16"/>
      <c r="RCA53" s="16"/>
      <c r="RCB53" s="16"/>
      <c r="RCC53" s="16"/>
      <c r="RCD53" s="16"/>
      <c r="RCE53" s="16"/>
      <c r="RCF53" s="16"/>
      <c r="RCG53" s="16"/>
      <c r="RCH53" s="16"/>
      <c r="RCI53" s="16"/>
      <c r="RCJ53" s="16"/>
      <c r="RCK53" s="16"/>
      <c r="RCL53" s="16"/>
      <c r="RCM53" s="16"/>
      <c r="RCN53" s="16"/>
      <c r="RCO53" s="16"/>
      <c r="RCP53" s="16"/>
      <c r="RCQ53" s="16"/>
      <c r="RCR53" s="16"/>
      <c r="RCS53" s="16"/>
      <c r="RCT53" s="16"/>
      <c r="RCU53" s="16"/>
      <c r="RCV53" s="16"/>
      <c r="RCW53" s="16"/>
      <c r="RCX53" s="16"/>
      <c r="RCY53" s="16"/>
      <c r="RCZ53" s="16"/>
      <c r="RDA53" s="16"/>
      <c r="RDB53" s="16"/>
      <c r="RDC53" s="16"/>
      <c r="RDD53" s="16"/>
      <c r="RDE53" s="16"/>
      <c r="RDF53" s="16"/>
      <c r="RDG53" s="16"/>
      <c r="RDH53" s="16"/>
      <c r="RDI53" s="16"/>
      <c r="RDJ53" s="16"/>
      <c r="RDK53" s="16"/>
      <c r="RDL53" s="16"/>
      <c r="RDM53" s="16"/>
      <c r="RDN53" s="16"/>
      <c r="RDO53" s="16"/>
      <c r="RDP53" s="16"/>
      <c r="RDQ53" s="16"/>
      <c r="RDR53" s="16"/>
      <c r="RDS53" s="16"/>
      <c r="RDT53" s="16"/>
      <c r="RDU53" s="16"/>
      <c r="RDV53" s="16"/>
      <c r="RDW53" s="16"/>
      <c r="RDX53" s="16"/>
      <c r="RDY53" s="16"/>
      <c r="RDZ53" s="16"/>
      <c r="REA53" s="16"/>
      <c r="REB53" s="16"/>
      <c r="REC53" s="16"/>
      <c r="RED53" s="16"/>
      <c r="REE53" s="16"/>
      <c r="REF53" s="16"/>
      <c r="REG53" s="16"/>
      <c r="REH53" s="16"/>
      <c r="REI53" s="16"/>
      <c r="REJ53" s="16"/>
      <c r="REK53" s="16"/>
      <c r="REL53" s="16"/>
      <c r="REM53" s="16"/>
      <c r="REN53" s="16"/>
      <c r="REO53" s="16"/>
      <c r="REP53" s="16"/>
      <c r="REQ53" s="16"/>
      <c r="RER53" s="16"/>
      <c r="RES53" s="16"/>
      <c r="RET53" s="16"/>
      <c r="REU53" s="16"/>
      <c r="REV53" s="16"/>
      <c r="REW53" s="16"/>
      <c r="REX53" s="16"/>
      <c r="REY53" s="16"/>
      <c r="REZ53" s="16"/>
      <c r="RFA53" s="16"/>
      <c r="RFB53" s="16"/>
      <c r="RFC53" s="16"/>
      <c r="RFD53" s="16"/>
      <c r="RFE53" s="16"/>
      <c r="RFF53" s="16"/>
      <c r="RFG53" s="16"/>
      <c r="RFH53" s="16"/>
      <c r="RFI53" s="16"/>
      <c r="RFJ53" s="16"/>
      <c r="RFK53" s="16"/>
      <c r="RFL53" s="16"/>
      <c r="RFM53" s="16"/>
      <c r="RFN53" s="16"/>
      <c r="RFO53" s="16"/>
      <c r="RFP53" s="16"/>
      <c r="RFQ53" s="16"/>
      <c r="RFR53" s="16"/>
      <c r="RFS53" s="16"/>
      <c r="RFT53" s="16"/>
      <c r="RFU53" s="16"/>
      <c r="RFV53" s="16"/>
      <c r="RFW53" s="16"/>
      <c r="RFX53" s="16"/>
      <c r="RFY53" s="16"/>
      <c r="RFZ53" s="16"/>
      <c r="RGA53" s="16"/>
      <c r="RGB53" s="16"/>
      <c r="RGC53" s="16"/>
      <c r="RGD53" s="16"/>
      <c r="RGE53" s="16"/>
      <c r="RGF53" s="16"/>
      <c r="RGG53" s="16"/>
      <c r="RGH53" s="16"/>
      <c r="RGI53" s="16"/>
      <c r="RGJ53" s="16"/>
      <c r="RGK53" s="16"/>
      <c r="RGL53" s="16"/>
      <c r="RGM53" s="16"/>
      <c r="RGN53" s="16"/>
      <c r="RGO53" s="16"/>
      <c r="RGP53" s="16"/>
      <c r="RGQ53" s="16"/>
      <c r="RGR53" s="16"/>
      <c r="RGS53" s="16"/>
      <c r="RGT53" s="16"/>
      <c r="RGU53" s="16"/>
      <c r="RGV53" s="16"/>
      <c r="RGW53" s="16"/>
      <c r="RGX53" s="16"/>
      <c r="RGY53" s="16"/>
      <c r="RGZ53" s="16"/>
      <c r="RHA53" s="16"/>
      <c r="RHB53" s="16"/>
      <c r="RHC53" s="16"/>
      <c r="RHD53" s="16"/>
      <c r="RHE53" s="16"/>
      <c r="RHF53" s="16"/>
      <c r="RHG53" s="16"/>
      <c r="RHH53" s="16"/>
      <c r="RHI53" s="16"/>
      <c r="RHJ53" s="16"/>
      <c r="RHK53" s="16"/>
      <c r="RHL53" s="16"/>
      <c r="RHM53" s="16"/>
      <c r="RHN53" s="16"/>
      <c r="RHO53" s="16"/>
      <c r="RHP53" s="16"/>
      <c r="RHQ53" s="16"/>
      <c r="RHR53" s="16"/>
      <c r="RHS53" s="16"/>
      <c r="RHT53" s="16"/>
      <c r="RHU53" s="16"/>
      <c r="RHV53" s="16"/>
      <c r="RHW53" s="16"/>
      <c r="RHX53" s="16"/>
      <c r="RHY53" s="16"/>
      <c r="RHZ53" s="16"/>
      <c r="RIA53" s="16"/>
      <c r="RIB53" s="16"/>
      <c r="RIC53" s="16"/>
      <c r="RID53" s="16"/>
      <c r="RIE53" s="16"/>
      <c r="RIF53" s="16"/>
      <c r="RIG53" s="16"/>
      <c r="RIH53" s="16"/>
      <c r="RII53" s="16"/>
      <c r="RIJ53" s="16"/>
      <c r="RIK53" s="16"/>
      <c r="RIL53" s="16"/>
      <c r="RIM53" s="16"/>
      <c r="RIN53" s="16"/>
      <c r="RIO53" s="16"/>
      <c r="RIP53" s="16"/>
      <c r="RIQ53" s="16"/>
      <c r="RIR53" s="16"/>
      <c r="RIS53" s="16"/>
      <c r="RIT53" s="16"/>
      <c r="RIU53" s="16"/>
      <c r="RIV53" s="16"/>
      <c r="RIW53" s="16"/>
      <c r="RIX53" s="16"/>
      <c r="RIY53" s="16"/>
      <c r="RIZ53" s="16"/>
      <c r="RJA53" s="16"/>
      <c r="RJB53" s="16"/>
      <c r="RJC53" s="16"/>
      <c r="RJD53" s="16"/>
      <c r="RJE53" s="16"/>
      <c r="RJF53" s="16"/>
      <c r="RJG53" s="16"/>
      <c r="RJH53" s="16"/>
      <c r="RJI53" s="16"/>
      <c r="RJJ53" s="16"/>
      <c r="RJK53" s="16"/>
      <c r="RJL53" s="16"/>
      <c r="RJM53" s="16"/>
      <c r="RJN53" s="16"/>
      <c r="RJO53" s="16"/>
      <c r="RJP53" s="16"/>
      <c r="RJQ53" s="16"/>
      <c r="RJR53" s="16"/>
      <c r="RJS53" s="16"/>
      <c r="RJT53" s="16"/>
      <c r="RJU53" s="16"/>
      <c r="RJV53" s="16"/>
      <c r="RJW53" s="16"/>
      <c r="RJX53" s="16"/>
      <c r="RJY53" s="16"/>
      <c r="RJZ53" s="16"/>
      <c r="RKA53" s="16"/>
      <c r="RKB53" s="16"/>
      <c r="RKC53" s="16"/>
      <c r="RKD53" s="16"/>
      <c r="RKE53" s="16"/>
      <c r="RKF53" s="16"/>
      <c r="RKG53" s="16"/>
      <c r="RKH53" s="16"/>
      <c r="RKI53" s="16"/>
      <c r="RKJ53" s="16"/>
      <c r="RKK53" s="16"/>
      <c r="RKL53" s="16"/>
      <c r="RKM53" s="16"/>
      <c r="RKN53" s="16"/>
      <c r="RKO53" s="16"/>
      <c r="RKP53" s="16"/>
      <c r="RKQ53" s="16"/>
      <c r="RKR53" s="16"/>
      <c r="RKS53" s="16"/>
      <c r="RKT53" s="16"/>
      <c r="RKU53" s="16"/>
      <c r="RKV53" s="16"/>
      <c r="RKW53" s="16"/>
      <c r="RKX53" s="16"/>
      <c r="RKY53" s="16"/>
      <c r="RKZ53" s="16"/>
      <c r="RLA53" s="16"/>
      <c r="RLB53" s="16"/>
      <c r="RLC53" s="16"/>
      <c r="RLD53" s="16"/>
      <c r="RLE53" s="16"/>
      <c r="RLF53" s="16"/>
      <c r="RLG53" s="16"/>
      <c r="RLH53" s="16"/>
      <c r="RLI53" s="16"/>
      <c r="RLJ53" s="16"/>
      <c r="RLK53" s="16"/>
      <c r="RLL53" s="16"/>
      <c r="RLM53" s="16"/>
      <c r="RLN53" s="16"/>
      <c r="RLO53" s="16"/>
      <c r="RLP53" s="16"/>
      <c r="RLQ53" s="16"/>
      <c r="RLR53" s="16"/>
      <c r="RLS53" s="16"/>
      <c r="RLT53" s="16"/>
      <c r="RLU53" s="16"/>
      <c r="RLV53" s="16"/>
      <c r="RLW53" s="16"/>
      <c r="RLX53" s="16"/>
      <c r="RLY53" s="16"/>
      <c r="RLZ53" s="16"/>
      <c r="RMA53" s="16"/>
      <c r="RMB53" s="16"/>
      <c r="RMC53" s="16"/>
      <c r="RMD53" s="16"/>
      <c r="RME53" s="16"/>
      <c r="RMF53" s="16"/>
      <c r="RMG53" s="16"/>
      <c r="RMH53" s="16"/>
      <c r="RMI53" s="16"/>
      <c r="RMJ53" s="16"/>
      <c r="RMK53" s="16"/>
      <c r="RML53" s="16"/>
      <c r="RMM53" s="16"/>
      <c r="RMN53" s="16"/>
      <c r="RMO53" s="16"/>
      <c r="RMP53" s="16"/>
      <c r="RMQ53" s="16"/>
      <c r="RMR53" s="16"/>
      <c r="RMS53" s="16"/>
      <c r="RMT53" s="16"/>
      <c r="RMU53" s="16"/>
      <c r="RMV53" s="16"/>
      <c r="RMW53" s="16"/>
      <c r="RMX53" s="16"/>
      <c r="RMY53" s="16"/>
      <c r="RMZ53" s="16"/>
      <c r="RNA53" s="16"/>
      <c r="RNB53" s="16"/>
      <c r="RNC53" s="16"/>
      <c r="RND53" s="16"/>
      <c r="RNE53" s="16"/>
      <c r="RNF53" s="16"/>
      <c r="RNG53" s="16"/>
      <c r="RNH53" s="16"/>
      <c r="RNI53" s="16"/>
      <c r="RNJ53" s="16"/>
      <c r="RNK53" s="16"/>
      <c r="RNL53" s="16"/>
      <c r="RNM53" s="16"/>
      <c r="RNN53" s="16"/>
      <c r="RNO53" s="16"/>
      <c r="RNP53" s="16"/>
      <c r="RNQ53" s="16"/>
      <c r="RNR53" s="16"/>
      <c r="RNS53" s="16"/>
      <c r="RNT53" s="16"/>
      <c r="RNU53" s="16"/>
      <c r="RNV53" s="16"/>
      <c r="RNW53" s="16"/>
      <c r="RNX53" s="16"/>
      <c r="RNY53" s="16"/>
      <c r="RNZ53" s="16"/>
      <c r="ROA53" s="16"/>
      <c r="ROB53" s="16"/>
      <c r="ROC53" s="16"/>
      <c r="ROD53" s="16"/>
      <c r="ROE53" s="16"/>
      <c r="ROF53" s="16"/>
      <c r="ROG53" s="16"/>
      <c r="ROH53" s="16"/>
      <c r="ROI53" s="16"/>
      <c r="ROJ53" s="16"/>
      <c r="ROK53" s="16"/>
      <c r="ROL53" s="16"/>
      <c r="ROM53" s="16"/>
      <c r="RON53" s="16"/>
      <c r="ROO53" s="16"/>
      <c r="ROP53" s="16"/>
      <c r="ROQ53" s="16"/>
      <c r="ROR53" s="16"/>
      <c r="ROS53" s="16"/>
      <c r="ROT53" s="16"/>
      <c r="ROU53" s="16"/>
      <c r="ROV53" s="16"/>
      <c r="ROW53" s="16"/>
      <c r="ROX53" s="16"/>
      <c r="ROY53" s="16"/>
      <c r="ROZ53" s="16"/>
      <c r="RPA53" s="16"/>
      <c r="RPB53" s="16"/>
      <c r="RPC53" s="16"/>
      <c r="RPD53" s="16"/>
      <c r="RPE53" s="16"/>
      <c r="RPF53" s="16"/>
      <c r="RPG53" s="16"/>
      <c r="RPH53" s="16"/>
      <c r="RPI53" s="16"/>
      <c r="RPJ53" s="16"/>
      <c r="RPK53" s="16"/>
      <c r="RPL53" s="16"/>
      <c r="RPM53" s="16"/>
      <c r="RPN53" s="16"/>
      <c r="RPO53" s="16"/>
      <c r="RPP53" s="16"/>
      <c r="RPQ53" s="16"/>
      <c r="RPR53" s="16"/>
      <c r="RPS53" s="16"/>
      <c r="RPT53" s="16"/>
      <c r="RPU53" s="16"/>
      <c r="RPV53" s="16"/>
      <c r="RPW53" s="16"/>
      <c r="RPX53" s="16"/>
      <c r="RPY53" s="16"/>
      <c r="RPZ53" s="16"/>
      <c r="RQA53" s="16"/>
      <c r="RQB53" s="16"/>
      <c r="RQC53" s="16"/>
      <c r="RQD53" s="16"/>
      <c r="RQE53" s="16"/>
      <c r="RQF53" s="16"/>
      <c r="RQG53" s="16"/>
      <c r="RQH53" s="16"/>
      <c r="RQI53" s="16"/>
      <c r="RQJ53" s="16"/>
      <c r="RQK53" s="16"/>
      <c r="RQL53" s="16"/>
      <c r="RQM53" s="16"/>
      <c r="RQN53" s="16"/>
      <c r="RQO53" s="16"/>
      <c r="RQP53" s="16"/>
      <c r="RQQ53" s="16"/>
      <c r="RQR53" s="16"/>
      <c r="RQS53" s="16"/>
      <c r="RQT53" s="16"/>
      <c r="RQU53" s="16"/>
      <c r="RQV53" s="16"/>
      <c r="RQW53" s="16"/>
      <c r="RQX53" s="16"/>
      <c r="RQY53" s="16"/>
      <c r="RQZ53" s="16"/>
      <c r="RRA53" s="16"/>
      <c r="RRB53" s="16"/>
      <c r="RRC53" s="16"/>
      <c r="RRD53" s="16"/>
      <c r="RRE53" s="16"/>
      <c r="RRF53" s="16"/>
      <c r="RRG53" s="16"/>
      <c r="RRH53" s="16"/>
      <c r="RRI53" s="16"/>
      <c r="RRJ53" s="16"/>
      <c r="RRK53" s="16"/>
      <c r="RRL53" s="16"/>
      <c r="RRM53" s="16"/>
      <c r="RRN53" s="16"/>
      <c r="RRO53" s="16"/>
      <c r="RRP53" s="16"/>
      <c r="RRQ53" s="16"/>
      <c r="RRR53" s="16"/>
      <c r="RRS53" s="16"/>
      <c r="RRT53" s="16"/>
      <c r="RRU53" s="16"/>
      <c r="RRV53" s="16"/>
      <c r="RRW53" s="16"/>
      <c r="RRX53" s="16"/>
      <c r="RRY53" s="16"/>
      <c r="RRZ53" s="16"/>
      <c r="RSA53" s="16"/>
      <c r="RSB53" s="16"/>
      <c r="RSC53" s="16"/>
      <c r="RSD53" s="16"/>
      <c r="RSE53" s="16"/>
      <c r="RSF53" s="16"/>
      <c r="RSG53" s="16"/>
      <c r="RSH53" s="16"/>
      <c r="RSI53" s="16"/>
      <c r="RSJ53" s="16"/>
      <c r="RSK53" s="16"/>
      <c r="RSL53" s="16"/>
      <c r="RSM53" s="16"/>
      <c r="RSN53" s="16"/>
      <c r="RSO53" s="16"/>
      <c r="RSP53" s="16"/>
      <c r="RSQ53" s="16"/>
      <c r="RSR53" s="16"/>
      <c r="RSS53" s="16"/>
      <c r="RST53" s="16"/>
      <c r="RSU53" s="16"/>
      <c r="RSV53" s="16"/>
      <c r="RSW53" s="16"/>
      <c r="RSX53" s="16"/>
      <c r="RSY53" s="16"/>
      <c r="RSZ53" s="16"/>
      <c r="RTA53" s="16"/>
      <c r="RTB53" s="16"/>
      <c r="RTC53" s="16"/>
      <c r="RTD53" s="16"/>
      <c r="RTE53" s="16"/>
      <c r="RTF53" s="16"/>
      <c r="RTG53" s="16"/>
      <c r="RTH53" s="16"/>
      <c r="RTI53" s="16"/>
      <c r="RTJ53" s="16"/>
      <c r="RTK53" s="16"/>
      <c r="RTL53" s="16"/>
      <c r="RTM53" s="16"/>
      <c r="RTN53" s="16"/>
      <c r="RTO53" s="16"/>
      <c r="RTP53" s="16"/>
      <c r="RTQ53" s="16"/>
      <c r="RTR53" s="16"/>
      <c r="RTS53" s="16"/>
      <c r="RTT53" s="16"/>
      <c r="RTU53" s="16"/>
      <c r="RTV53" s="16"/>
      <c r="RTW53" s="16"/>
      <c r="RTX53" s="16"/>
      <c r="RTY53" s="16"/>
      <c r="RTZ53" s="16"/>
      <c r="RUA53" s="16"/>
      <c r="RUB53" s="16"/>
      <c r="RUC53" s="16"/>
      <c r="RUD53" s="16"/>
      <c r="RUE53" s="16"/>
      <c r="RUF53" s="16"/>
      <c r="RUG53" s="16"/>
      <c r="RUH53" s="16"/>
      <c r="RUI53" s="16"/>
      <c r="RUJ53" s="16"/>
      <c r="RUK53" s="16"/>
      <c r="RUL53" s="16"/>
      <c r="RUM53" s="16"/>
      <c r="RUN53" s="16"/>
      <c r="RUO53" s="16"/>
      <c r="RUP53" s="16"/>
      <c r="RUQ53" s="16"/>
      <c r="RUR53" s="16"/>
      <c r="RUS53" s="16"/>
      <c r="RUT53" s="16"/>
      <c r="RUU53" s="16"/>
      <c r="RUV53" s="16"/>
      <c r="RUW53" s="16"/>
      <c r="RUX53" s="16"/>
      <c r="RUY53" s="16"/>
      <c r="RUZ53" s="16"/>
      <c r="RVA53" s="16"/>
      <c r="RVB53" s="16"/>
      <c r="RVC53" s="16"/>
      <c r="RVD53" s="16"/>
      <c r="RVE53" s="16"/>
      <c r="RVF53" s="16"/>
      <c r="RVG53" s="16"/>
      <c r="RVH53" s="16"/>
      <c r="RVI53" s="16"/>
      <c r="RVJ53" s="16"/>
      <c r="RVK53" s="16"/>
      <c r="RVL53" s="16"/>
      <c r="RVM53" s="16"/>
      <c r="RVN53" s="16"/>
      <c r="RVO53" s="16"/>
      <c r="RVP53" s="16"/>
      <c r="RVQ53" s="16"/>
      <c r="RVR53" s="16"/>
      <c r="RVS53" s="16"/>
      <c r="RVT53" s="16"/>
      <c r="RVU53" s="16"/>
      <c r="RVV53" s="16"/>
      <c r="RVW53" s="16"/>
      <c r="RVX53" s="16"/>
      <c r="RVY53" s="16"/>
      <c r="RVZ53" s="16"/>
      <c r="RWA53" s="16"/>
      <c r="RWB53" s="16"/>
      <c r="RWC53" s="16"/>
      <c r="RWD53" s="16"/>
      <c r="RWE53" s="16"/>
      <c r="RWF53" s="16"/>
      <c r="RWG53" s="16"/>
      <c r="RWH53" s="16"/>
      <c r="RWI53" s="16"/>
      <c r="RWJ53" s="16"/>
      <c r="RWK53" s="16"/>
      <c r="RWL53" s="16"/>
      <c r="RWM53" s="16"/>
      <c r="RWN53" s="16"/>
      <c r="RWO53" s="16"/>
      <c r="RWP53" s="16"/>
      <c r="RWQ53" s="16"/>
      <c r="RWR53" s="16"/>
      <c r="RWS53" s="16"/>
      <c r="RWT53" s="16"/>
      <c r="RWU53" s="16"/>
      <c r="RWV53" s="16"/>
      <c r="RWW53" s="16"/>
      <c r="RWX53" s="16"/>
      <c r="RWY53" s="16"/>
      <c r="RWZ53" s="16"/>
      <c r="RXA53" s="16"/>
      <c r="RXB53" s="16"/>
      <c r="RXC53" s="16"/>
      <c r="RXD53" s="16"/>
      <c r="RXE53" s="16"/>
      <c r="RXF53" s="16"/>
      <c r="RXG53" s="16"/>
      <c r="RXH53" s="16"/>
      <c r="RXI53" s="16"/>
      <c r="RXJ53" s="16"/>
      <c r="RXK53" s="16"/>
      <c r="RXL53" s="16"/>
      <c r="RXM53" s="16"/>
      <c r="RXN53" s="16"/>
      <c r="RXO53" s="16"/>
      <c r="RXP53" s="16"/>
      <c r="RXQ53" s="16"/>
      <c r="RXR53" s="16"/>
      <c r="RXS53" s="16"/>
      <c r="RXT53" s="16"/>
      <c r="RXU53" s="16"/>
      <c r="RXV53" s="16"/>
      <c r="RXW53" s="16"/>
      <c r="RXX53" s="16"/>
      <c r="RXY53" s="16"/>
      <c r="RXZ53" s="16"/>
      <c r="RYA53" s="16"/>
      <c r="RYB53" s="16"/>
      <c r="RYC53" s="16"/>
      <c r="RYD53" s="16"/>
      <c r="RYE53" s="16"/>
      <c r="RYF53" s="16"/>
      <c r="RYG53" s="16"/>
      <c r="RYH53" s="16"/>
      <c r="RYI53" s="16"/>
      <c r="RYJ53" s="16"/>
      <c r="RYK53" s="16"/>
      <c r="RYL53" s="16"/>
      <c r="RYM53" s="16"/>
      <c r="RYN53" s="16"/>
      <c r="RYO53" s="16"/>
      <c r="RYP53" s="16"/>
      <c r="RYQ53" s="16"/>
      <c r="RYR53" s="16"/>
      <c r="RYS53" s="16"/>
      <c r="RYT53" s="16"/>
      <c r="RYU53" s="16"/>
      <c r="RYV53" s="16"/>
      <c r="RYW53" s="16"/>
      <c r="RYX53" s="16"/>
      <c r="RYY53" s="16"/>
      <c r="RYZ53" s="16"/>
      <c r="RZA53" s="16"/>
      <c r="RZB53" s="16"/>
      <c r="RZC53" s="16"/>
      <c r="RZD53" s="16"/>
      <c r="RZE53" s="16"/>
      <c r="RZF53" s="16"/>
      <c r="RZG53" s="16"/>
      <c r="RZH53" s="16"/>
      <c r="RZI53" s="16"/>
      <c r="RZJ53" s="16"/>
      <c r="RZK53" s="16"/>
      <c r="RZL53" s="16"/>
      <c r="RZM53" s="16"/>
      <c r="RZN53" s="16"/>
      <c r="RZO53" s="16"/>
      <c r="RZP53" s="16"/>
      <c r="RZQ53" s="16"/>
      <c r="RZR53" s="16"/>
      <c r="RZS53" s="16"/>
      <c r="RZT53" s="16"/>
      <c r="RZU53" s="16"/>
      <c r="RZV53" s="16"/>
      <c r="RZW53" s="16"/>
      <c r="RZX53" s="16"/>
      <c r="RZY53" s="16"/>
      <c r="RZZ53" s="16"/>
      <c r="SAA53" s="16"/>
      <c r="SAB53" s="16"/>
      <c r="SAC53" s="16"/>
      <c r="SAD53" s="16"/>
      <c r="SAE53" s="16"/>
      <c r="SAF53" s="16"/>
      <c r="SAG53" s="16"/>
      <c r="SAH53" s="16"/>
      <c r="SAI53" s="16"/>
      <c r="SAJ53" s="16"/>
      <c r="SAK53" s="16"/>
      <c r="SAL53" s="16"/>
      <c r="SAM53" s="16"/>
      <c r="SAN53" s="16"/>
      <c r="SAO53" s="16"/>
      <c r="SAP53" s="16"/>
      <c r="SAQ53" s="16"/>
      <c r="SAR53" s="16"/>
      <c r="SAS53" s="16"/>
      <c r="SAT53" s="16"/>
      <c r="SAU53" s="16"/>
      <c r="SAV53" s="16"/>
      <c r="SAW53" s="16"/>
      <c r="SAX53" s="16"/>
      <c r="SAY53" s="16"/>
      <c r="SAZ53" s="16"/>
      <c r="SBA53" s="16"/>
      <c r="SBB53" s="16"/>
      <c r="SBC53" s="16"/>
      <c r="SBD53" s="16"/>
      <c r="SBE53" s="16"/>
      <c r="SBF53" s="16"/>
      <c r="SBG53" s="16"/>
      <c r="SBH53" s="16"/>
      <c r="SBI53" s="16"/>
      <c r="SBJ53" s="16"/>
      <c r="SBK53" s="16"/>
      <c r="SBL53" s="16"/>
      <c r="SBM53" s="16"/>
      <c r="SBN53" s="16"/>
      <c r="SBO53" s="16"/>
      <c r="SBP53" s="16"/>
      <c r="SBQ53" s="16"/>
      <c r="SBR53" s="16"/>
      <c r="SBS53" s="16"/>
      <c r="SBT53" s="16"/>
      <c r="SBU53" s="16"/>
      <c r="SBV53" s="16"/>
      <c r="SBW53" s="16"/>
      <c r="SBX53" s="16"/>
      <c r="SBY53" s="16"/>
      <c r="SBZ53" s="16"/>
      <c r="SCA53" s="16"/>
      <c r="SCB53" s="16"/>
      <c r="SCC53" s="16"/>
      <c r="SCD53" s="16"/>
      <c r="SCE53" s="16"/>
      <c r="SCF53" s="16"/>
      <c r="SCG53" s="16"/>
      <c r="SCH53" s="16"/>
      <c r="SCI53" s="16"/>
      <c r="SCJ53" s="16"/>
      <c r="SCK53" s="16"/>
      <c r="SCL53" s="16"/>
      <c r="SCM53" s="16"/>
      <c r="SCN53" s="16"/>
      <c r="SCO53" s="16"/>
      <c r="SCP53" s="16"/>
      <c r="SCQ53" s="16"/>
      <c r="SCR53" s="16"/>
      <c r="SCS53" s="16"/>
      <c r="SCT53" s="16"/>
      <c r="SCU53" s="16"/>
      <c r="SCV53" s="16"/>
      <c r="SCW53" s="16"/>
      <c r="SCX53" s="16"/>
      <c r="SCY53" s="16"/>
      <c r="SCZ53" s="16"/>
      <c r="SDA53" s="16"/>
      <c r="SDB53" s="16"/>
      <c r="SDC53" s="16"/>
      <c r="SDD53" s="16"/>
      <c r="SDE53" s="16"/>
      <c r="SDF53" s="16"/>
      <c r="SDG53" s="16"/>
      <c r="SDH53" s="16"/>
      <c r="SDI53" s="16"/>
      <c r="SDJ53" s="16"/>
      <c r="SDK53" s="16"/>
      <c r="SDL53" s="16"/>
      <c r="SDM53" s="16"/>
      <c r="SDN53" s="16"/>
      <c r="SDO53" s="16"/>
      <c r="SDP53" s="16"/>
      <c r="SDQ53" s="16"/>
      <c r="SDR53" s="16"/>
      <c r="SDS53" s="16"/>
      <c r="SDT53" s="16"/>
      <c r="SDU53" s="16"/>
      <c r="SDV53" s="16"/>
      <c r="SDW53" s="16"/>
      <c r="SDX53" s="16"/>
      <c r="SDY53" s="16"/>
      <c r="SDZ53" s="16"/>
      <c r="SEA53" s="16"/>
      <c r="SEB53" s="16"/>
      <c r="SEC53" s="16"/>
      <c r="SED53" s="16"/>
      <c r="SEE53" s="16"/>
      <c r="SEF53" s="16"/>
      <c r="SEG53" s="16"/>
      <c r="SEH53" s="16"/>
      <c r="SEI53" s="16"/>
      <c r="SEJ53" s="16"/>
      <c r="SEK53" s="16"/>
      <c r="SEL53" s="16"/>
      <c r="SEM53" s="16"/>
      <c r="SEN53" s="16"/>
      <c r="SEO53" s="16"/>
      <c r="SEP53" s="16"/>
      <c r="SEQ53" s="16"/>
      <c r="SER53" s="16"/>
      <c r="SES53" s="16"/>
      <c r="SET53" s="16"/>
      <c r="SEU53" s="16"/>
      <c r="SEV53" s="16"/>
      <c r="SEW53" s="16"/>
      <c r="SEX53" s="16"/>
      <c r="SEY53" s="16"/>
      <c r="SEZ53" s="16"/>
      <c r="SFA53" s="16"/>
      <c r="SFB53" s="16"/>
      <c r="SFC53" s="16"/>
      <c r="SFD53" s="16"/>
      <c r="SFE53" s="16"/>
      <c r="SFF53" s="16"/>
      <c r="SFG53" s="16"/>
      <c r="SFH53" s="16"/>
      <c r="SFI53" s="16"/>
      <c r="SFJ53" s="16"/>
      <c r="SFK53" s="16"/>
      <c r="SFL53" s="16"/>
      <c r="SFM53" s="16"/>
      <c r="SFN53" s="16"/>
      <c r="SFO53" s="16"/>
      <c r="SFP53" s="16"/>
      <c r="SFQ53" s="16"/>
      <c r="SFR53" s="16"/>
      <c r="SFS53" s="16"/>
      <c r="SFT53" s="16"/>
      <c r="SFU53" s="16"/>
      <c r="SFV53" s="16"/>
      <c r="SFW53" s="16"/>
      <c r="SFX53" s="16"/>
      <c r="SFY53" s="16"/>
      <c r="SFZ53" s="16"/>
      <c r="SGA53" s="16"/>
      <c r="SGB53" s="16"/>
      <c r="SGC53" s="16"/>
      <c r="SGD53" s="16"/>
      <c r="SGE53" s="16"/>
      <c r="SGF53" s="16"/>
      <c r="SGG53" s="16"/>
      <c r="SGH53" s="16"/>
      <c r="SGI53" s="16"/>
      <c r="SGJ53" s="16"/>
      <c r="SGK53" s="16"/>
      <c r="SGL53" s="16"/>
      <c r="SGM53" s="16"/>
      <c r="SGN53" s="16"/>
      <c r="SGO53" s="16"/>
      <c r="SGP53" s="16"/>
      <c r="SGQ53" s="16"/>
      <c r="SGR53" s="16"/>
      <c r="SGS53" s="16"/>
      <c r="SGT53" s="16"/>
      <c r="SGU53" s="16"/>
      <c r="SGV53" s="16"/>
      <c r="SGW53" s="16"/>
      <c r="SGX53" s="16"/>
      <c r="SGY53" s="16"/>
      <c r="SGZ53" s="16"/>
      <c r="SHA53" s="16"/>
      <c r="SHB53" s="16"/>
      <c r="SHC53" s="16"/>
      <c r="SHD53" s="16"/>
      <c r="SHE53" s="16"/>
      <c r="SHF53" s="16"/>
      <c r="SHG53" s="16"/>
      <c r="SHH53" s="16"/>
      <c r="SHI53" s="16"/>
      <c r="SHJ53" s="16"/>
      <c r="SHK53" s="16"/>
      <c r="SHL53" s="16"/>
      <c r="SHM53" s="16"/>
      <c r="SHN53" s="16"/>
      <c r="SHO53" s="16"/>
      <c r="SHP53" s="16"/>
      <c r="SHQ53" s="16"/>
      <c r="SHR53" s="16"/>
      <c r="SHS53" s="16"/>
      <c r="SHT53" s="16"/>
      <c r="SHU53" s="16"/>
      <c r="SHV53" s="16"/>
      <c r="SHW53" s="16"/>
      <c r="SHX53" s="16"/>
      <c r="SHY53" s="16"/>
      <c r="SHZ53" s="16"/>
      <c r="SIA53" s="16"/>
      <c r="SIB53" s="16"/>
      <c r="SIC53" s="16"/>
      <c r="SID53" s="16"/>
      <c r="SIE53" s="16"/>
      <c r="SIF53" s="16"/>
      <c r="SIG53" s="16"/>
      <c r="SIH53" s="16"/>
      <c r="SII53" s="16"/>
      <c r="SIJ53" s="16"/>
      <c r="SIK53" s="16"/>
      <c r="SIL53" s="16"/>
      <c r="SIM53" s="16"/>
      <c r="SIN53" s="16"/>
      <c r="SIO53" s="16"/>
      <c r="SIP53" s="16"/>
      <c r="SIQ53" s="16"/>
      <c r="SIR53" s="16"/>
      <c r="SIS53" s="16"/>
      <c r="SIT53" s="16"/>
      <c r="SIU53" s="16"/>
      <c r="SIV53" s="16"/>
      <c r="SIW53" s="16"/>
      <c r="SIX53" s="16"/>
      <c r="SIY53" s="16"/>
      <c r="SIZ53" s="16"/>
      <c r="SJA53" s="16"/>
      <c r="SJB53" s="16"/>
      <c r="SJC53" s="16"/>
      <c r="SJD53" s="16"/>
      <c r="SJE53" s="16"/>
      <c r="SJF53" s="16"/>
      <c r="SJG53" s="16"/>
      <c r="SJH53" s="16"/>
      <c r="SJI53" s="16"/>
      <c r="SJJ53" s="16"/>
      <c r="SJK53" s="16"/>
      <c r="SJL53" s="16"/>
      <c r="SJM53" s="16"/>
      <c r="SJN53" s="16"/>
      <c r="SJO53" s="16"/>
      <c r="SJP53" s="16"/>
      <c r="SJQ53" s="16"/>
      <c r="SJR53" s="16"/>
      <c r="SJS53" s="16"/>
      <c r="SJT53" s="16"/>
      <c r="SJU53" s="16"/>
      <c r="SJV53" s="16"/>
      <c r="SJW53" s="16"/>
      <c r="SJX53" s="16"/>
      <c r="SJY53" s="16"/>
      <c r="SJZ53" s="16"/>
      <c r="SKA53" s="16"/>
      <c r="SKB53" s="16"/>
      <c r="SKC53" s="16"/>
      <c r="SKD53" s="16"/>
      <c r="SKE53" s="16"/>
      <c r="SKF53" s="16"/>
      <c r="SKG53" s="16"/>
      <c r="SKH53" s="16"/>
      <c r="SKI53" s="16"/>
      <c r="SKJ53" s="16"/>
      <c r="SKK53" s="16"/>
      <c r="SKL53" s="16"/>
      <c r="SKM53" s="16"/>
      <c r="SKN53" s="16"/>
      <c r="SKO53" s="16"/>
      <c r="SKP53" s="16"/>
      <c r="SKQ53" s="16"/>
      <c r="SKR53" s="16"/>
      <c r="SKS53" s="16"/>
      <c r="SKT53" s="16"/>
      <c r="SKU53" s="16"/>
      <c r="SKV53" s="16"/>
      <c r="SKW53" s="16"/>
      <c r="SKX53" s="16"/>
      <c r="SKY53" s="16"/>
      <c r="SKZ53" s="16"/>
      <c r="SLA53" s="16"/>
      <c r="SLB53" s="16"/>
      <c r="SLC53" s="16"/>
      <c r="SLD53" s="16"/>
      <c r="SLE53" s="16"/>
      <c r="SLF53" s="16"/>
      <c r="SLG53" s="16"/>
      <c r="SLH53" s="16"/>
      <c r="SLI53" s="16"/>
      <c r="SLJ53" s="16"/>
      <c r="SLK53" s="16"/>
      <c r="SLL53" s="16"/>
      <c r="SLM53" s="16"/>
      <c r="SLN53" s="16"/>
      <c r="SLO53" s="16"/>
      <c r="SLP53" s="16"/>
      <c r="SLQ53" s="16"/>
      <c r="SLR53" s="16"/>
      <c r="SLS53" s="16"/>
      <c r="SLT53" s="16"/>
      <c r="SLU53" s="16"/>
      <c r="SLV53" s="16"/>
      <c r="SLW53" s="16"/>
      <c r="SLX53" s="16"/>
      <c r="SLY53" s="16"/>
      <c r="SLZ53" s="16"/>
      <c r="SMA53" s="16"/>
      <c r="SMB53" s="16"/>
      <c r="SMC53" s="16"/>
      <c r="SMD53" s="16"/>
      <c r="SME53" s="16"/>
      <c r="SMF53" s="16"/>
      <c r="SMG53" s="16"/>
      <c r="SMH53" s="16"/>
      <c r="SMI53" s="16"/>
      <c r="SMJ53" s="16"/>
      <c r="SMK53" s="16"/>
      <c r="SML53" s="16"/>
      <c r="SMM53" s="16"/>
      <c r="SMN53" s="16"/>
      <c r="SMO53" s="16"/>
      <c r="SMP53" s="16"/>
      <c r="SMQ53" s="16"/>
      <c r="SMR53" s="16"/>
      <c r="SMS53" s="16"/>
      <c r="SMT53" s="16"/>
      <c r="SMU53" s="16"/>
      <c r="SMV53" s="16"/>
      <c r="SMW53" s="16"/>
      <c r="SMX53" s="16"/>
      <c r="SMY53" s="16"/>
      <c r="SMZ53" s="16"/>
      <c r="SNA53" s="16"/>
      <c r="SNB53" s="16"/>
      <c r="SNC53" s="16"/>
      <c r="SND53" s="16"/>
      <c r="SNE53" s="16"/>
      <c r="SNF53" s="16"/>
      <c r="SNG53" s="16"/>
      <c r="SNH53" s="16"/>
      <c r="SNI53" s="16"/>
      <c r="SNJ53" s="16"/>
      <c r="SNK53" s="16"/>
      <c r="SNL53" s="16"/>
      <c r="SNM53" s="16"/>
      <c r="SNN53" s="16"/>
      <c r="SNO53" s="16"/>
      <c r="SNP53" s="16"/>
      <c r="SNQ53" s="16"/>
      <c r="SNR53" s="16"/>
      <c r="SNS53" s="16"/>
      <c r="SNT53" s="16"/>
      <c r="SNU53" s="16"/>
      <c r="SNV53" s="16"/>
      <c r="SNW53" s="16"/>
      <c r="SNX53" s="16"/>
      <c r="SNY53" s="16"/>
      <c r="SNZ53" s="16"/>
      <c r="SOA53" s="16"/>
      <c r="SOB53" s="16"/>
      <c r="SOC53" s="16"/>
      <c r="SOD53" s="16"/>
      <c r="SOE53" s="16"/>
      <c r="SOF53" s="16"/>
      <c r="SOG53" s="16"/>
      <c r="SOH53" s="16"/>
      <c r="SOI53" s="16"/>
      <c r="SOJ53" s="16"/>
      <c r="SOK53" s="16"/>
      <c r="SOL53" s="16"/>
      <c r="SOM53" s="16"/>
      <c r="SON53" s="16"/>
      <c r="SOO53" s="16"/>
      <c r="SOP53" s="16"/>
      <c r="SOQ53" s="16"/>
      <c r="SOR53" s="16"/>
      <c r="SOS53" s="16"/>
      <c r="SOT53" s="16"/>
      <c r="SOU53" s="16"/>
      <c r="SOV53" s="16"/>
      <c r="SOW53" s="16"/>
      <c r="SOX53" s="16"/>
      <c r="SOY53" s="16"/>
      <c r="SOZ53" s="16"/>
      <c r="SPA53" s="16"/>
      <c r="SPB53" s="16"/>
      <c r="SPC53" s="16"/>
      <c r="SPD53" s="16"/>
      <c r="SPE53" s="16"/>
      <c r="SPF53" s="16"/>
      <c r="SPG53" s="16"/>
      <c r="SPH53" s="16"/>
      <c r="SPI53" s="16"/>
      <c r="SPJ53" s="16"/>
      <c r="SPK53" s="16"/>
      <c r="SPL53" s="16"/>
      <c r="SPM53" s="16"/>
      <c r="SPN53" s="16"/>
      <c r="SPO53" s="16"/>
      <c r="SPP53" s="16"/>
      <c r="SPQ53" s="16"/>
      <c r="SPR53" s="16"/>
      <c r="SPS53" s="16"/>
      <c r="SPT53" s="16"/>
      <c r="SPU53" s="16"/>
      <c r="SPV53" s="16"/>
      <c r="SPW53" s="16"/>
      <c r="SPX53" s="16"/>
      <c r="SPY53" s="16"/>
      <c r="SPZ53" s="16"/>
      <c r="SQA53" s="16"/>
      <c r="SQB53" s="16"/>
      <c r="SQC53" s="16"/>
      <c r="SQD53" s="16"/>
      <c r="SQE53" s="16"/>
      <c r="SQF53" s="16"/>
      <c r="SQG53" s="16"/>
      <c r="SQH53" s="16"/>
      <c r="SQI53" s="16"/>
      <c r="SQJ53" s="16"/>
      <c r="SQK53" s="16"/>
      <c r="SQL53" s="16"/>
      <c r="SQM53" s="16"/>
      <c r="SQN53" s="16"/>
      <c r="SQO53" s="16"/>
      <c r="SQP53" s="16"/>
      <c r="SQQ53" s="16"/>
      <c r="SQR53" s="16"/>
      <c r="SQS53" s="16"/>
      <c r="SQT53" s="16"/>
      <c r="SQU53" s="16"/>
      <c r="SQV53" s="16"/>
      <c r="SQW53" s="16"/>
      <c r="SQX53" s="16"/>
      <c r="SQY53" s="16"/>
      <c r="SQZ53" s="16"/>
      <c r="SRA53" s="16"/>
      <c r="SRB53" s="16"/>
      <c r="SRC53" s="16"/>
      <c r="SRD53" s="16"/>
      <c r="SRE53" s="16"/>
      <c r="SRF53" s="16"/>
      <c r="SRG53" s="16"/>
      <c r="SRH53" s="16"/>
      <c r="SRI53" s="16"/>
      <c r="SRJ53" s="16"/>
      <c r="SRK53" s="16"/>
      <c r="SRL53" s="16"/>
      <c r="SRM53" s="16"/>
      <c r="SRN53" s="16"/>
      <c r="SRO53" s="16"/>
      <c r="SRP53" s="16"/>
      <c r="SRQ53" s="16"/>
      <c r="SRR53" s="16"/>
      <c r="SRS53" s="16"/>
      <c r="SRT53" s="16"/>
      <c r="SRU53" s="16"/>
      <c r="SRV53" s="16"/>
      <c r="SRW53" s="16"/>
      <c r="SRX53" s="16"/>
      <c r="SRY53" s="16"/>
      <c r="SRZ53" s="16"/>
      <c r="SSA53" s="16"/>
      <c r="SSB53" s="16"/>
      <c r="SSC53" s="16"/>
      <c r="SSD53" s="16"/>
      <c r="SSE53" s="16"/>
      <c r="SSF53" s="16"/>
      <c r="SSG53" s="16"/>
      <c r="SSH53" s="16"/>
      <c r="SSI53" s="16"/>
      <c r="SSJ53" s="16"/>
      <c r="SSK53" s="16"/>
      <c r="SSL53" s="16"/>
      <c r="SSM53" s="16"/>
      <c r="SSN53" s="16"/>
      <c r="SSO53" s="16"/>
      <c r="SSP53" s="16"/>
      <c r="SSQ53" s="16"/>
      <c r="SSR53" s="16"/>
      <c r="SSS53" s="16"/>
      <c r="SST53" s="16"/>
      <c r="SSU53" s="16"/>
      <c r="SSV53" s="16"/>
      <c r="SSW53" s="16"/>
      <c r="SSX53" s="16"/>
      <c r="SSY53" s="16"/>
      <c r="SSZ53" s="16"/>
      <c r="STA53" s="16"/>
      <c r="STB53" s="16"/>
      <c r="STC53" s="16"/>
      <c r="STD53" s="16"/>
      <c r="STE53" s="16"/>
      <c r="STF53" s="16"/>
      <c r="STG53" s="16"/>
      <c r="STH53" s="16"/>
      <c r="STI53" s="16"/>
      <c r="STJ53" s="16"/>
      <c r="STK53" s="16"/>
      <c r="STL53" s="16"/>
      <c r="STM53" s="16"/>
      <c r="STN53" s="16"/>
      <c r="STO53" s="16"/>
      <c r="STP53" s="16"/>
      <c r="STQ53" s="16"/>
      <c r="STR53" s="16"/>
      <c r="STS53" s="16"/>
      <c r="STT53" s="16"/>
      <c r="STU53" s="16"/>
      <c r="STV53" s="16"/>
      <c r="STW53" s="16"/>
      <c r="STX53" s="16"/>
      <c r="STY53" s="16"/>
      <c r="STZ53" s="16"/>
      <c r="SUA53" s="16"/>
      <c r="SUB53" s="16"/>
      <c r="SUC53" s="16"/>
      <c r="SUD53" s="16"/>
      <c r="SUE53" s="16"/>
      <c r="SUF53" s="16"/>
      <c r="SUG53" s="16"/>
      <c r="SUH53" s="16"/>
      <c r="SUI53" s="16"/>
      <c r="SUJ53" s="16"/>
      <c r="SUK53" s="16"/>
      <c r="SUL53" s="16"/>
      <c r="SUM53" s="16"/>
      <c r="SUN53" s="16"/>
      <c r="SUO53" s="16"/>
      <c r="SUP53" s="16"/>
      <c r="SUQ53" s="16"/>
      <c r="SUR53" s="16"/>
      <c r="SUS53" s="16"/>
      <c r="SUT53" s="16"/>
      <c r="SUU53" s="16"/>
      <c r="SUV53" s="16"/>
      <c r="SUW53" s="16"/>
      <c r="SUX53" s="16"/>
      <c r="SUY53" s="16"/>
      <c r="SUZ53" s="16"/>
      <c r="SVA53" s="16"/>
      <c r="SVB53" s="16"/>
      <c r="SVC53" s="16"/>
      <c r="SVD53" s="16"/>
      <c r="SVE53" s="16"/>
      <c r="SVF53" s="16"/>
      <c r="SVG53" s="16"/>
      <c r="SVH53" s="16"/>
      <c r="SVI53" s="16"/>
      <c r="SVJ53" s="16"/>
      <c r="SVK53" s="16"/>
      <c r="SVL53" s="16"/>
      <c r="SVM53" s="16"/>
      <c r="SVN53" s="16"/>
      <c r="SVO53" s="16"/>
      <c r="SVP53" s="16"/>
      <c r="SVQ53" s="16"/>
      <c r="SVR53" s="16"/>
      <c r="SVS53" s="16"/>
      <c r="SVT53" s="16"/>
      <c r="SVU53" s="16"/>
      <c r="SVV53" s="16"/>
      <c r="SVW53" s="16"/>
      <c r="SVX53" s="16"/>
      <c r="SVY53" s="16"/>
      <c r="SVZ53" s="16"/>
      <c r="SWA53" s="16"/>
      <c r="SWB53" s="16"/>
      <c r="SWC53" s="16"/>
      <c r="SWD53" s="16"/>
      <c r="SWE53" s="16"/>
      <c r="SWF53" s="16"/>
      <c r="SWG53" s="16"/>
      <c r="SWH53" s="16"/>
      <c r="SWI53" s="16"/>
      <c r="SWJ53" s="16"/>
      <c r="SWK53" s="16"/>
      <c r="SWL53" s="16"/>
      <c r="SWM53" s="16"/>
      <c r="SWN53" s="16"/>
      <c r="SWO53" s="16"/>
      <c r="SWP53" s="16"/>
      <c r="SWQ53" s="16"/>
      <c r="SWR53" s="16"/>
      <c r="SWS53" s="16"/>
      <c r="SWT53" s="16"/>
      <c r="SWU53" s="16"/>
      <c r="SWV53" s="16"/>
      <c r="SWW53" s="16"/>
      <c r="SWX53" s="16"/>
      <c r="SWY53" s="16"/>
      <c r="SWZ53" s="16"/>
      <c r="SXA53" s="16"/>
      <c r="SXB53" s="16"/>
      <c r="SXC53" s="16"/>
      <c r="SXD53" s="16"/>
      <c r="SXE53" s="16"/>
      <c r="SXF53" s="16"/>
      <c r="SXG53" s="16"/>
      <c r="SXH53" s="16"/>
      <c r="SXI53" s="16"/>
      <c r="SXJ53" s="16"/>
      <c r="SXK53" s="16"/>
      <c r="SXL53" s="16"/>
      <c r="SXM53" s="16"/>
      <c r="SXN53" s="16"/>
      <c r="SXO53" s="16"/>
      <c r="SXP53" s="16"/>
      <c r="SXQ53" s="16"/>
      <c r="SXR53" s="16"/>
      <c r="SXS53" s="16"/>
      <c r="SXT53" s="16"/>
      <c r="SXU53" s="16"/>
      <c r="SXV53" s="16"/>
      <c r="SXW53" s="16"/>
      <c r="SXX53" s="16"/>
      <c r="SXY53" s="16"/>
      <c r="SXZ53" s="16"/>
      <c r="SYA53" s="16"/>
      <c r="SYB53" s="16"/>
      <c r="SYC53" s="16"/>
      <c r="SYD53" s="16"/>
      <c r="SYE53" s="16"/>
      <c r="SYF53" s="16"/>
      <c r="SYG53" s="16"/>
      <c r="SYH53" s="16"/>
      <c r="SYI53" s="16"/>
      <c r="SYJ53" s="16"/>
      <c r="SYK53" s="16"/>
      <c r="SYL53" s="16"/>
      <c r="SYM53" s="16"/>
      <c r="SYN53" s="16"/>
      <c r="SYO53" s="16"/>
      <c r="SYP53" s="16"/>
      <c r="SYQ53" s="16"/>
      <c r="SYR53" s="16"/>
      <c r="SYS53" s="16"/>
      <c r="SYT53" s="16"/>
      <c r="SYU53" s="16"/>
      <c r="SYV53" s="16"/>
      <c r="SYW53" s="16"/>
      <c r="SYX53" s="16"/>
      <c r="SYY53" s="16"/>
      <c r="SYZ53" s="16"/>
      <c r="SZA53" s="16"/>
      <c r="SZB53" s="16"/>
      <c r="SZC53" s="16"/>
      <c r="SZD53" s="16"/>
      <c r="SZE53" s="16"/>
      <c r="SZF53" s="16"/>
      <c r="SZG53" s="16"/>
      <c r="SZH53" s="16"/>
      <c r="SZI53" s="16"/>
      <c r="SZJ53" s="16"/>
      <c r="SZK53" s="16"/>
      <c r="SZL53" s="16"/>
      <c r="SZM53" s="16"/>
      <c r="SZN53" s="16"/>
      <c r="SZO53" s="16"/>
      <c r="SZP53" s="16"/>
      <c r="SZQ53" s="16"/>
      <c r="SZR53" s="16"/>
      <c r="SZS53" s="16"/>
      <c r="SZT53" s="16"/>
      <c r="SZU53" s="16"/>
      <c r="SZV53" s="16"/>
      <c r="SZW53" s="16"/>
      <c r="SZX53" s="16"/>
      <c r="SZY53" s="16"/>
      <c r="SZZ53" s="16"/>
      <c r="TAA53" s="16"/>
      <c r="TAB53" s="16"/>
      <c r="TAC53" s="16"/>
      <c r="TAD53" s="16"/>
      <c r="TAE53" s="16"/>
      <c r="TAF53" s="16"/>
      <c r="TAG53" s="16"/>
      <c r="TAH53" s="16"/>
      <c r="TAI53" s="16"/>
      <c r="TAJ53" s="16"/>
      <c r="TAK53" s="16"/>
      <c r="TAL53" s="16"/>
      <c r="TAM53" s="16"/>
      <c r="TAN53" s="16"/>
      <c r="TAO53" s="16"/>
      <c r="TAP53" s="16"/>
      <c r="TAQ53" s="16"/>
      <c r="TAR53" s="16"/>
      <c r="TAS53" s="16"/>
      <c r="TAT53" s="16"/>
      <c r="TAU53" s="16"/>
      <c r="TAV53" s="16"/>
      <c r="TAW53" s="16"/>
      <c r="TAX53" s="16"/>
      <c r="TAY53" s="16"/>
      <c r="TAZ53" s="16"/>
      <c r="TBA53" s="16"/>
      <c r="TBB53" s="16"/>
      <c r="TBC53" s="16"/>
      <c r="TBD53" s="16"/>
      <c r="TBE53" s="16"/>
      <c r="TBF53" s="16"/>
      <c r="TBG53" s="16"/>
      <c r="TBH53" s="16"/>
      <c r="TBI53" s="16"/>
      <c r="TBJ53" s="16"/>
      <c r="TBK53" s="16"/>
      <c r="TBL53" s="16"/>
      <c r="TBM53" s="16"/>
      <c r="TBN53" s="16"/>
      <c r="TBO53" s="16"/>
      <c r="TBP53" s="16"/>
      <c r="TBQ53" s="16"/>
      <c r="TBR53" s="16"/>
      <c r="TBS53" s="16"/>
      <c r="TBT53" s="16"/>
      <c r="TBU53" s="16"/>
      <c r="TBV53" s="16"/>
      <c r="TBW53" s="16"/>
      <c r="TBX53" s="16"/>
      <c r="TBY53" s="16"/>
      <c r="TBZ53" s="16"/>
      <c r="TCA53" s="16"/>
      <c r="TCB53" s="16"/>
      <c r="TCC53" s="16"/>
      <c r="TCD53" s="16"/>
      <c r="TCE53" s="16"/>
      <c r="TCF53" s="16"/>
      <c r="TCG53" s="16"/>
      <c r="TCH53" s="16"/>
      <c r="TCI53" s="16"/>
      <c r="TCJ53" s="16"/>
      <c r="TCK53" s="16"/>
      <c r="TCL53" s="16"/>
      <c r="TCM53" s="16"/>
      <c r="TCN53" s="16"/>
      <c r="TCO53" s="16"/>
      <c r="TCP53" s="16"/>
      <c r="TCQ53" s="16"/>
      <c r="TCR53" s="16"/>
      <c r="TCS53" s="16"/>
      <c r="TCT53" s="16"/>
      <c r="TCU53" s="16"/>
      <c r="TCV53" s="16"/>
      <c r="TCW53" s="16"/>
      <c r="TCX53" s="16"/>
      <c r="TCY53" s="16"/>
      <c r="TCZ53" s="16"/>
      <c r="TDA53" s="16"/>
      <c r="TDB53" s="16"/>
      <c r="TDC53" s="16"/>
      <c r="TDD53" s="16"/>
      <c r="TDE53" s="16"/>
      <c r="TDF53" s="16"/>
      <c r="TDG53" s="16"/>
      <c r="TDH53" s="16"/>
      <c r="TDI53" s="16"/>
      <c r="TDJ53" s="16"/>
      <c r="TDK53" s="16"/>
      <c r="TDL53" s="16"/>
      <c r="TDM53" s="16"/>
      <c r="TDN53" s="16"/>
      <c r="TDO53" s="16"/>
      <c r="TDP53" s="16"/>
      <c r="TDQ53" s="16"/>
      <c r="TDR53" s="16"/>
      <c r="TDS53" s="16"/>
      <c r="TDT53" s="16"/>
      <c r="TDU53" s="16"/>
      <c r="TDV53" s="16"/>
      <c r="TDW53" s="16"/>
      <c r="TDX53" s="16"/>
      <c r="TDY53" s="16"/>
      <c r="TDZ53" s="16"/>
      <c r="TEA53" s="16"/>
      <c r="TEB53" s="16"/>
      <c r="TEC53" s="16"/>
      <c r="TED53" s="16"/>
      <c r="TEE53" s="16"/>
      <c r="TEF53" s="16"/>
      <c r="TEG53" s="16"/>
      <c r="TEH53" s="16"/>
      <c r="TEI53" s="16"/>
      <c r="TEJ53" s="16"/>
      <c r="TEK53" s="16"/>
      <c r="TEL53" s="16"/>
      <c r="TEM53" s="16"/>
      <c r="TEN53" s="16"/>
      <c r="TEO53" s="16"/>
      <c r="TEP53" s="16"/>
      <c r="TEQ53" s="16"/>
      <c r="TER53" s="16"/>
      <c r="TES53" s="16"/>
      <c r="TET53" s="16"/>
      <c r="TEU53" s="16"/>
      <c r="TEV53" s="16"/>
      <c r="TEW53" s="16"/>
      <c r="TEX53" s="16"/>
      <c r="TEY53" s="16"/>
      <c r="TEZ53" s="16"/>
      <c r="TFA53" s="16"/>
      <c r="TFB53" s="16"/>
      <c r="TFC53" s="16"/>
      <c r="TFD53" s="16"/>
      <c r="TFE53" s="16"/>
      <c r="TFF53" s="16"/>
      <c r="TFG53" s="16"/>
      <c r="TFH53" s="16"/>
      <c r="TFI53" s="16"/>
      <c r="TFJ53" s="16"/>
      <c r="TFK53" s="16"/>
      <c r="TFL53" s="16"/>
      <c r="TFM53" s="16"/>
      <c r="TFN53" s="16"/>
      <c r="TFO53" s="16"/>
      <c r="TFP53" s="16"/>
      <c r="TFQ53" s="16"/>
      <c r="TFR53" s="16"/>
      <c r="TFS53" s="16"/>
      <c r="TFT53" s="16"/>
      <c r="TFU53" s="16"/>
      <c r="TFV53" s="16"/>
      <c r="TFW53" s="16"/>
      <c r="TFX53" s="16"/>
      <c r="TFY53" s="16"/>
      <c r="TFZ53" s="16"/>
      <c r="TGA53" s="16"/>
      <c r="TGB53" s="16"/>
      <c r="TGC53" s="16"/>
      <c r="TGD53" s="16"/>
      <c r="TGE53" s="16"/>
      <c r="TGF53" s="16"/>
      <c r="TGG53" s="16"/>
      <c r="TGH53" s="16"/>
      <c r="TGI53" s="16"/>
      <c r="TGJ53" s="16"/>
      <c r="TGK53" s="16"/>
      <c r="TGL53" s="16"/>
      <c r="TGM53" s="16"/>
      <c r="TGN53" s="16"/>
      <c r="TGO53" s="16"/>
      <c r="TGP53" s="16"/>
      <c r="TGQ53" s="16"/>
      <c r="TGR53" s="16"/>
      <c r="TGS53" s="16"/>
      <c r="TGT53" s="16"/>
      <c r="TGU53" s="16"/>
      <c r="TGV53" s="16"/>
      <c r="TGW53" s="16"/>
      <c r="TGX53" s="16"/>
      <c r="TGY53" s="16"/>
      <c r="TGZ53" s="16"/>
      <c r="THA53" s="16"/>
      <c r="THB53" s="16"/>
      <c r="THC53" s="16"/>
      <c r="THD53" s="16"/>
      <c r="THE53" s="16"/>
      <c r="THF53" s="16"/>
      <c r="THG53" s="16"/>
      <c r="THH53" s="16"/>
      <c r="THI53" s="16"/>
      <c r="THJ53" s="16"/>
      <c r="THK53" s="16"/>
      <c r="THL53" s="16"/>
      <c r="THM53" s="16"/>
      <c r="THN53" s="16"/>
      <c r="THO53" s="16"/>
      <c r="THP53" s="16"/>
      <c r="THQ53" s="16"/>
      <c r="THR53" s="16"/>
      <c r="THS53" s="16"/>
      <c r="THT53" s="16"/>
      <c r="THU53" s="16"/>
      <c r="THV53" s="16"/>
      <c r="THW53" s="16"/>
      <c r="THX53" s="16"/>
      <c r="THY53" s="16"/>
      <c r="THZ53" s="16"/>
      <c r="TIA53" s="16"/>
      <c r="TIB53" s="16"/>
      <c r="TIC53" s="16"/>
      <c r="TID53" s="16"/>
      <c r="TIE53" s="16"/>
      <c r="TIF53" s="16"/>
      <c r="TIG53" s="16"/>
      <c r="TIH53" s="16"/>
      <c r="TII53" s="16"/>
      <c r="TIJ53" s="16"/>
      <c r="TIK53" s="16"/>
      <c r="TIL53" s="16"/>
      <c r="TIM53" s="16"/>
      <c r="TIN53" s="16"/>
      <c r="TIO53" s="16"/>
      <c r="TIP53" s="16"/>
      <c r="TIQ53" s="16"/>
      <c r="TIR53" s="16"/>
      <c r="TIS53" s="16"/>
      <c r="TIT53" s="16"/>
      <c r="TIU53" s="16"/>
      <c r="TIV53" s="16"/>
      <c r="TIW53" s="16"/>
      <c r="TIX53" s="16"/>
      <c r="TIY53" s="16"/>
      <c r="TIZ53" s="16"/>
      <c r="TJA53" s="16"/>
      <c r="TJB53" s="16"/>
      <c r="TJC53" s="16"/>
      <c r="TJD53" s="16"/>
      <c r="TJE53" s="16"/>
      <c r="TJF53" s="16"/>
      <c r="TJG53" s="16"/>
      <c r="TJH53" s="16"/>
      <c r="TJI53" s="16"/>
      <c r="TJJ53" s="16"/>
      <c r="TJK53" s="16"/>
      <c r="TJL53" s="16"/>
      <c r="TJM53" s="16"/>
      <c r="TJN53" s="16"/>
      <c r="TJO53" s="16"/>
      <c r="TJP53" s="16"/>
      <c r="TJQ53" s="16"/>
      <c r="TJR53" s="16"/>
      <c r="TJS53" s="16"/>
      <c r="TJT53" s="16"/>
      <c r="TJU53" s="16"/>
      <c r="TJV53" s="16"/>
      <c r="TJW53" s="16"/>
      <c r="TJX53" s="16"/>
      <c r="TJY53" s="16"/>
      <c r="TJZ53" s="16"/>
      <c r="TKA53" s="16"/>
      <c r="TKB53" s="16"/>
      <c r="TKC53" s="16"/>
      <c r="TKD53" s="16"/>
      <c r="TKE53" s="16"/>
      <c r="TKF53" s="16"/>
      <c r="TKG53" s="16"/>
      <c r="TKH53" s="16"/>
      <c r="TKI53" s="16"/>
      <c r="TKJ53" s="16"/>
      <c r="TKK53" s="16"/>
      <c r="TKL53" s="16"/>
      <c r="TKM53" s="16"/>
      <c r="TKN53" s="16"/>
      <c r="TKO53" s="16"/>
      <c r="TKP53" s="16"/>
      <c r="TKQ53" s="16"/>
      <c r="TKR53" s="16"/>
      <c r="TKS53" s="16"/>
      <c r="TKT53" s="16"/>
      <c r="TKU53" s="16"/>
      <c r="TKV53" s="16"/>
      <c r="TKW53" s="16"/>
      <c r="TKX53" s="16"/>
      <c r="TKY53" s="16"/>
      <c r="TKZ53" s="16"/>
      <c r="TLA53" s="16"/>
      <c r="TLB53" s="16"/>
      <c r="TLC53" s="16"/>
      <c r="TLD53" s="16"/>
      <c r="TLE53" s="16"/>
      <c r="TLF53" s="16"/>
      <c r="TLG53" s="16"/>
      <c r="TLH53" s="16"/>
      <c r="TLI53" s="16"/>
      <c r="TLJ53" s="16"/>
      <c r="TLK53" s="16"/>
      <c r="TLL53" s="16"/>
      <c r="TLM53" s="16"/>
      <c r="TLN53" s="16"/>
      <c r="TLO53" s="16"/>
      <c r="TLP53" s="16"/>
      <c r="TLQ53" s="16"/>
      <c r="TLR53" s="16"/>
      <c r="TLS53" s="16"/>
      <c r="TLT53" s="16"/>
      <c r="TLU53" s="16"/>
      <c r="TLV53" s="16"/>
      <c r="TLW53" s="16"/>
      <c r="TLX53" s="16"/>
      <c r="TLY53" s="16"/>
      <c r="TLZ53" s="16"/>
      <c r="TMA53" s="16"/>
      <c r="TMB53" s="16"/>
      <c r="TMC53" s="16"/>
      <c r="TMD53" s="16"/>
      <c r="TME53" s="16"/>
      <c r="TMF53" s="16"/>
      <c r="TMG53" s="16"/>
      <c r="TMH53" s="16"/>
      <c r="TMI53" s="16"/>
      <c r="TMJ53" s="16"/>
      <c r="TMK53" s="16"/>
      <c r="TML53" s="16"/>
      <c r="TMM53" s="16"/>
      <c r="TMN53" s="16"/>
      <c r="TMO53" s="16"/>
      <c r="TMP53" s="16"/>
      <c r="TMQ53" s="16"/>
      <c r="TMR53" s="16"/>
      <c r="TMS53" s="16"/>
      <c r="TMT53" s="16"/>
      <c r="TMU53" s="16"/>
      <c r="TMV53" s="16"/>
      <c r="TMW53" s="16"/>
      <c r="TMX53" s="16"/>
      <c r="TMY53" s="16"/>
      <c r="TMZ53" s="16"/>
      <c r="TNA53" s="16"/>
      <c r="TNB53" s="16"/>
      <c r="TNC53" s="16"/>
      <c r="TND53" s="16"/>
      <c r="TNE53" s="16"/>
      <c r="TNF53" s="16"/>
      <c r="TNG53" s="16"/>
      <c r="TNH53" s="16"/>
      <c r="TNI53" s="16"/>
      <c r="TNJ53" s="16"/>
      <c r="TNK53" s="16"/>
      <c r="TNL53" s="16"/>
      <c r="TNM53" s="16"/>
      <c r="TNN53" s="16"/>
      <c r="TNO53" s="16"/>
      <c r="TNP53" s="16"/>
      <c r="TNQ53" s="16"/>
      <c r="TNR53" s="16"/>
      <c r="TNS53" s="16"/>
      <c r="TNT53" s="16"/>
      <c r="TNU53" s="16"/>
      <c r="TNV53" s="16"/>
      <c r="TNW53" s="16"/>
      <c r="TNX53" s="16"/>
      <c r="TNY53" s="16"/>
      <c r="TNZ53" s="16"/>
      <c r="TOA53" s="16"/>
      <c r="TOB53" s="16"/>
      <c r="TOC53" s="16"/>
      <c r="TOD53" s="16"/>
      <c r="TOE53" s="16"/>
      <c r="TOF53" s="16"/>
      <c r="TOG53" s="16"/>
      <c r="TOH53" s="16"/>
      <c r="TOI53" s="16"/>
      <c r="TOJ53" s="16"/>
      <c r="TOK53" s="16"/>
      <c r="TOL53" s="16"/>
      <c r="TOM53" s="16"/>
      <c r="TON53" s="16"/>
      <c r="TOO53" s="16"/>
      <c r="TOP53" s="16"/>
      <c r="TOQ53" s="16"/>
      <c r="TOR53" s="16"/>
      <c r="TOS53" s="16"/>
      <c r="TOT53" s="16"/>
      <c r="TOU53" s="16"/>
      <c r="TOV53" s="16"/>
      <c r="TOW53" s="16"/>
      <c r="TOX53" s="16"/>
      <c r="TOY53" s="16"/>
      <c r="TOZ53" s="16"/>
      <c r="TPA53" s="16"/>
      <c r="TPB53" s="16"/>
      <c r="TPC53" s="16"/>
      <c r="TPD53" s="16"/>
      <c r="TPE53" s="16"/>
      <c r="TPF53" s="16"/>
      <c r="TPG53" s="16"/>
      <c r="TPH53" s="16"/>
      <c r="TPI53" s="16"/>
      <c r="TPJ53" s="16"/>
      <c r="TPK53" s="16"/>
      <c r="TPL53" s="16"/>
      <c r="TPM53" s="16"/>
      <c r="TPN53" s="16"/>
      <c r="TPO53" s="16"/>
      <c r="TPP53" s="16"/>
      <c r="TPQ53" s="16"/>
      <c r="TPR53" s="16"/>
      <c r="TPS53" s="16"/>
      <c r="TPT53" s="16"/>
      <c r="TPU53" s="16"/>
      <c r="TPV53" s="16"/>
      <c r="TPW53" s="16"/>
      <c r="TPX53" s="16"/>
      <c r="TPY53" s="16"/>
      <c r="TPZ53" s="16"/>
      <c r="TQA53" s="16"/>
      <c r="TQB53" s="16"/>
      <c r="TQC53" s="16"/>
      <c r="TQD53" s="16"/>
      <c r="TQE53" s="16"/>
      <c r="TQF53" s="16"/>
      <c r="TQG53" s="16"/>
      <c r="TQH53" s="16"/>
      <c r="TQI53" s="16"/>
      <c r="TQJ53" s="16"/>
      <c r="TQK53" s="16"/>
      <c r="TQL53" s="16"/>
      <c r="TQM53" s="16"/>
      <c r="TQN53" s="16"/>
      <c r="TQO53" s="16"/>
      <c r="TQP53" s="16"/>
      <c r="TQQ53" s="16"/>
      <c r="TQR53" s="16"/>
      <c r="TQS53" s="16"/>
      <c r="TQT53" s="16"/>
      <c r="TQU53" s="16"/>
      <c r="TQV53" s="16"/>
      <c r="TQW53" s="16"/>
      <c r="TQX53" s="16"/>
      <c r="TQY53" s="16"/>
      <c r="TQZ53" s="16"/>
      <c r="TRA53" s="16"/>
      <c r="TRB53" s="16"/>
      <c r="TRC53" s="16"/>
      <c r="TRD53" s="16"/>
      <c r="TRE53" s="16"/>
      <c r="TRF53" s="16"/>
      <c r="TRG53" s="16"/>
      <c r="TRH53" s="16"/>
      <c r="TRI53" s="16"/>
      <c r="TRJ53" s="16"/>
      <c r="TRK53" s="16"/>
      <c r="TRL53" s="16"/>
      <c r="TRM53" s="16"/>
      <c r="TRN53" s="16"/>
      <c r="TRO53" s="16"/>
      <c r="TRP53" s="16"/>
      <c r="TRQ53" s="16"/>
      <c r="TRR53" s="16"/>
      <c r="TRS53" s="16"/>
      <c r="TRT53" s="16"/>
      <c r="TRU53" s="16"/>
      <c r="TRV53" s="16"/>
      <c r="TRW53" s="16"/>
      <c r="TRX53" s="16"/>
      <c r="TRY53" s="16"/>
      <c r="TRZ53" s="16"/>
      <c r="TSA53" s="16"/>
      <c r="TSB53" s="16"/>
      <c r="TSC53" s="16"/>
      <c r="TSD53" s="16"/>
      <c r="TSE53" s="16"/>
      <c r="TSF53" s="16"/>
      <c r="TSG53" s="16"/>
      <c r="TSH53" s="16"/>
      <c r="TSI53" s="16"/>
      <c r="TSJ53" s="16"/>
      <c r="TSK53" s="16"/>
      <c r="TSL53" s="16"/>
      <c r="TSM53" s="16"/>
      <c r="TSN53" s="16"/>
      <c r="TSO53" s="16"/>
      <c r="TSP53" s="16"/>
      <c r="TSQ53" s="16"/>
      <c r="TSR53" s="16"/>
      <c r="TSS53" s="16"/>
      <c r="TST53" s="16"/>
      <c r="TSU53" s="16"/>
      <c r="TSV53" s="16"/>
      <c r="TSW53" s="16"/>
      <c r="TSX53" s="16"/>
      <c r="TSY53" s="16"/>
      <c r="TSZ53" s="16"/>
      <c r="TTA53" s="16"/>
      <c r="TTB53" s="16"/>
      <c r="TTC53" s="16"/>
      <c r="TTD53" s="16"/>
      <c r="TTE53" s="16"/>
      <c r="TTF53" s="16"/>
      <c r="TTG53" s="16"/>
      <c r="TTH53" s="16"/>
      <c r="TTI53" s="16"/>
      <c r="TTJ53" s="16"/>
      <c r="TTK53" s="16"/>
      <c r="TTL53" s="16"/>
      <c r="TTM53" s="16"/>
      <c r="TTN53" s="16"/>
      <c r="TTO53" s="16"/>
      <c r="TTP53" s="16"/>
      <c r="TTQ53" s="16"/>
      <c r="TTR53" s="16"/>
      <c r="TTS53" s="16"/>
      <c r="TTT53" s="16"/>
      <c r="TTU53" s="16"/>
      <c r="TTV53" s="16"/>
      <c r="TTW53" s="16"/>
      <c r="TTX53" s="16"/>
      <c r="TTY53" s="16"/>
      <c r="TTZ53" s="16"/>
      <c r="TUA53" s="16"/>
      <c r="TUB53" s="16"/>
      <c r="TUC53" s="16"/>
      <c r="TUD53" s="16"/>
      <c r="TUE53" s="16"/>
      <c r="TUF53" s="16"/>
      <c r="TUG53" s="16"/>
      <c r="TUH53" s="16"/>
      <c r="TUI53" s="16"/>
      <c r="TUJ53" s="16"/>
      <c r="TUK53" s="16"/>
      <c r="TUL53" s="16"/>
      <c r="TUM53" s="16"/>
      <c r="TUN53" s="16"/>
      <c r="TUO53" s="16"/>
      <c r="TUP53" s="16"/>
      <c r="TUQ53" s="16"/>
      <c r="TUR53" s="16"/>
      <c r="TUS53" s="16"/>
      <c r="TUT53" s="16"/>
      <c r="TUU53" s="16"/>
      <c r="TUV53" s="16"/>
      <c r="TUW53" s="16"/>
      <c r="TUX53" s="16"/>
      <c r="TUY53" s="16"/>
      <c r="TUZ53" s="16"/>
      <c r="TVA53" s="16"/>
      <c r="TVB53" s="16"/>
      <c r="TVC53" s="16"/>
      <c r="TVD53" s="16"/>
      <c r="TVE53" s="16"/>
      <c r="TVF53" s="16"/>
      <c r="TVG53" s="16"/>
      <c r="TVH53" s="16"/>
      <c r="TVI53" s="16"/>
      <c r="TVJ53" s="16"/>
      <c r="TVK53" s="16"/>
      <c r="TVL53" s="16"/>
      <c r="TVM53" s="16"/>
      <c r="TVN53" s="16"/>
      <c r="TVO53" s="16"/>
      <c r="TVP53" s="16"/>
      <c r="TVQ53" s="16"/>
      <c r="TVR53" s="16"/>
      <c r="TVS53" s="16"/>
      <c r="TVT53" s="16"/>
      <c r="TVU53" s="16"/>
      <c r="TVV53" s="16"/>
      <c r="TVW53" s="16"/>
      <c r="TVX53" s="16"/>
      <c r="TVY53" s="16"/>
      <c r="TVZ53" s="16"/>
      <c r="TWA53" s="16"/>
      <c r="TWB53" s="16"/>
      <c r="TWC53" s="16"/>
      <c r="TWD53" s="16"/>
      <c r="TWE53" s="16"/>
      <c r="TWF53" s="16"/>
      <c r="TWG53" s="16"/>
      <c r="TWH53" s="16"/>
      <c r="TWI53" s="16"/>
      <c r="TWJ53" s="16"/>
      <c r="TWK53" s="16"/>
      <c r="TWL53" s="16"/>
      <c r="TWM53" s="16"/>
      <c r="TWN53" s="16"/>
      <c r="TWO53" s="16"/>
      <c r="TWP53" s="16"/>
      <c r="TWQ53" s="16"/>
      <c r="TWR53" s="16"/>
      <c r="TWS53" s="16"/>
      <c r="TWT53" s="16"/>
      <c r="TWU53" s="16"/>
      <c r="TWV53" s="16"/>
      <c r="TWW53" s="16"/>
      <c r="TWX53" s="16"/>
      <c r="TWY53" s="16"/>
      <c r="TWZ53" s="16"/>
      <c r="TXA53" s="16"/>
      <c r="TXB53" s="16"/>
      <c r="TXC53" s="16"/>
      <c r="TXD53" s="16"/>
      <c r="TXE53" s="16"/>
      <c r="TXF53" s="16"/>
      <c r="TXG53" s="16"/>
      <c r="TXH53" s="16"/>
      <c r="TXI53" s="16"/>
      <c r="TXJ53" s="16"/>
      <c r="TXK53" s="16"/>
      <c r="TXL53" s="16"/>
      <c r="TXM53" s="16"/>
      <c r="TXN53" s="16"/>
      <c r="TXO53" s="16"/>
      <c r="TXP53" s="16"/>
      <c r="TXQ53" s="16"/>
      <c r="TXR53" s="16"/>
      <c r="TXS53" s="16"/>
      <c r="TXT53" s="16"/>
      <c r="TXU53" s="16"/>
      <c r="TXV53" s="16"/>
      <c r="TXW53" s="16"/>
      <c r="TXX53" s="16"/>
      <c r="TXY53" s="16"/>
      <c r="TXZ53" s="16"/>
      <c r="TYA53" s="16"/>
      <c r="TYB53" s="16"/>
      <c r="TYC53" s="16"/>
      <c r="TYD53" s="16"/>
      <c r="TYE53" s="16"/>
      <c r="TYF53" s="16"/>
      <c r="TYG53" s="16"/>
      <c r="TYH53" s="16"/>
      <c r="TYI53" s="16"/>
      <c r="TYJ53" s="16"/>
      <c r="TYK53" s="16"/>
      <c r="TYL53" s="16"/>
      <c r="TYM53" s="16"/>
      <c r="TYN53" s="16"/>
      <c r="TYO53" s="16"/>
      <c r="TYP53" s="16"/>
      <c r="TYQ53" s="16"/>
      <c r="TYR53" s="16"/>
      <c r="TYS53" s="16"/>
      <c r="TYT53" s="16"/>
      <c r="TYU53" s="16"/>
      <c r="TYV53" s="16"/>
      <c r="TYW53" s="16"/>
      <c r="TYX53" s="16"/>
      <c r="TYY53" s="16"/>
      <c r="TYZ53" s="16"/>
      <c r="TZA53" s="16"/>
      <c r="TZB53" s="16"/>
      <c r="TZC53" s="16"/>
      <c r="TZD53" s="16"/>
      <c r="TZE53" s="16"/>
      <c r="TZF53" s="16"/>
      <c r="TZG53" s="16"/>
      <c r="TZH53" s="16"/>
      <c r="TZI53" s="16"/>
      <c r="TZJ53" s="16"/>
      <c r="TZK53" s="16"/>
      <c r="TZL53" s="16"/>
      <c r="TZM53" s="16"/>
      <c r="TZN53" s="16"/>
      <c r="TZO53" s="16"/>
      <c r="TZP53" s="16"/>
      <c r="TZQ53" s="16"/>
      <c r="TZR53" s="16"/>
      <c r="TZS53" s="16"/>
      <c r="TZT53" s="16"/>
      <c r="TZU53" s="16"/>
      <c r="TZV53" s="16"/>
      <c r="TZW53" s="16"/>
      <c r="TZX53" s="16"/>
      <c r="TZY53" s="16"/>
      <c r="TZZ53" s="16"/>
      <c r="UAA53" s="16"/>
      <c r="UAB53" s="16"/>
      <c r="UAC53" s="16"/>
      <c r="UAD53" s="16"/>
      <c r="UAE53" s="16"/>
      <c r="UAF53" s="16"/>
      <c r="UAG53" s="16"/>
      <c r="UAH53" s="16"/>
      <c r="UAI53" s="16"/>
      <c r="UAJ53" s="16"/>
      <c r="UAK53" s="16"/>
      <c r="UAL53" s="16"/>
      <c r="UAM53" s="16"/>
      <c r="UAN53" s="16"/>
      <c r="UAO53" s="16"/>
      <c r="UAP53" s="16"/>
      <c r="UAQ53" s="16"/>
      <c r="UAR53" s="16"/>
      <c r="UAS53" s="16"/>
      <c r="UAT53" s="16"/>
      <c r="UAU53" s="16"/>
      <c r="UAV53" s="16"/>
      <c r="UAW53" s="16"/>
      <c r="UAX53" s="16"/>
      <c r="UAY53" s="16"/>
      <c r="UAZ53" s="16"/>
      <c r="UBA53" s="16"/>
      <c r="UBB53" s="16"/>
      <c r="UBC53" s="16"/>
      <c r="UBD53" s="16"/>
      <c r="UBE53" s="16"/>
      <c r="UBF53" s="16"/>
      <c r="UBG53" s="16"/>
      <c r="UBH53" s="16"/>
      <c r="UBI53" s="16"/>
      <c r="UBJ53" s="16"/>
      <c r="UBK53" s="16"/>
      <c r="UBL53" s="16"/>
      <c r="UBM53" s="16"/>
      <c r="UBN53" s="16"/>
      <c r="UBO53" s="16"/>
      <c r="UBP53" s="16"/>
      <c r="UBQ53" s="16"/>
      <c r="UBR53" s="16"/>
      <c r="UBS53" s="16"/>
      <c r="UBT53" s="16"/>
      <c r="UBU53" s="16"/>
      <c r="UBV53" s="16"/>
      <c r="UBW53" s="16"/>
      <c r="UBX53" s="16"/>
      <c r="UBY53" s="16"/>
      <c r="UBZ53" s="16"/>
      <c r="UCA53" s="16"/>
      <c r="UCB53" s="16"/>
      <c r="UCC53" s="16"/>
      <c r="UCD53" s="16"/>
      <c r="UCE53" s="16"/>
      <c r="UCF53" s="16"/>
      <c r="UCG53" s="16"/>
      <c r="UCH53" s="16"/>
      <c r="UCI53" s="16"/>
      <c r="UCJ53" s="16"/>
      <c r="UCK53" s="16"/>
      <c r="UCL53" s="16"/>
      <c r="UCM53" s="16"/>
      <c r="UCN53" s="16"/>
      <c r="UCO53" s="16"/>
      <c r="UCP53" s="16"/>
      <c r="UCQ53" s="16"/>
      <c r="UCR53" s="16"/>
      <c r="UCS53" s="16"/>
      <c r="UCT53" s="16"/>
      <c r="UCU53" s="16"/>
      <c r="UCV53" s="16"/>
      <c r="UCW53" s="16"/>
      <c r="UCX53" s="16"/>
      <c r="UCY53" s="16"/>
      <c r="UCZ53" s="16"/>
      <c r="UDA53" s="16"/>
      <c r="UDB53" s="16"/>
      <c r="UDC53" s="16"/>
      <c r="UDD53" s="16"/>
      <c r="UDE53" s="16"/>
      <c r="UDF53" s="16"/>
      <c r="UDG53" s="16"/>
      <c r="UDH53" s="16"/>
      <c r="UDI53" s="16"/>
      <c r="UDJ53" s="16"/>
      <c r="UDK53" s="16"/>
      <c r="UDL53" s="16"/>
      <c r="UDM53" s="16"/>
      <c r="UDN53" s="16"/>
      <c r="UDO53" s="16"/>
      <c r="UDP53" s="16"/>
      <c r="UDQ53" s="16"/>
      <c r="UDR53" s="16"/>
      <c r="UDS53" s="16"/>
      <c r="UDT53" s="16"/>
      <c r="UDU53" s="16"/>
      <c r="UDV53" s="16"/>
      <c r="UDW53" s="16"/>
      <c r="UDX53" s="16"/>
      <c r="UDY53" s="16"/>
      <c r="UDZ53" s="16"/>
      <c r="UEA53" s="16"/>
      <c r="UEB53" s="16"/>
      <c r="UEC53" s="16"/>
      <c r="UED53" s="16"/>
      <c r="UEE53" s="16"/>
      <c r="UEF53" s="16"/>
      <c r="UEG53" s="16"/>
      <c r="UEH53" s="16"/>
      <c r="UEI53" s="16"/>
      <c r="UEJ53" s="16"/>
      <c r="UEK53" s="16"/>
      <c r="UEL53" s="16"/>
      <c r="UEM53" s="16"/>
      <c r="UEN53" s="16"/>
      <c r="UEO53" s="16"/>
      <c r="UEP53" s="16"/>
      <c r="UEQ53" s="16"/>
      <c r="UER53" s="16"/>
      <c r="UES53" s="16"/>
      <c r="UET53" s="16"/>
      <c r="UEU53" s="16"/>
      <c r="UEV53" s="16"/>
      <c r="UEW53" s="16"/>
      <c r="UEX53" s="16"/>
      <c r="UEY53" s="16"/>
      <c r="UEZ53" s="16"/>
      <c r="UFA53" s="16"/>
      <c r="UFB53" s="16"/>
      <c r="UFC53" s="16"/>
      <c r="UFD53" s="16"/>
      <c r="UFE53" s="16"/>
      <c r="UFF53" s="16"/>
      <c r="UFG53" s="16"/>
      <c r="UFH53" s="16"/>
      <c r="UFI53" s="16"/>
      <c r="UFJ53" s="16"/>
      <c r="UFK53" s="16"/>
      <c r="UFL53" s="16"/>
      <c r="UFM53" s="16"/>
      <c r="UFN53" s="16"/>
      <c r="UFO53" s="16"/>
      <c r="UFP53" s="16"/>
      <c r="UFQ53" s="16"/>
      <c r="UFR53" s="16"/>
      <c r="UFS53" s="16"/>
      <c r="UFT53" s="16"/>
      <c r="UFU53" s="16"/>
      <c r="UFV53" s="16"/>
      <c r="UFW53" s="16"/>
      <c r="UFX53" s="16"/>
      <c r="UFY53" s="16"/>
      <c r="UFZ53" s="16"/>
      <c r="UGA53" s="16"/>
      <c r="UGB53" s="16"/>
      <c r="UGC53" s="16"/>
      <c r="UGD53" s="16"/>
      <c r="UGE53" s="16"/>
      <c r="UGF53" s="16"/>
      <c r="UGG53" s="16"/>
      <c r="UGH53" s="16"/>
      <c r="UGI53" s="16"/>
      <c r="UGJ53" s="16"/>
      <c r="UGK53" s="16"/>
      <c r="UGL53" s="16"/>
      <c r="UGM53" s="16"/>
      <c r="UGN53" s="16"/>
      <c r="UGO53" s="16"/>
      <c r="UGP53" s="16"/>
      <c r="UGQ53" s="16"/>
      <c r="UGR53" s="16"/>
      <c r="UGS53" s="16"/>
      <c r="UGT53" s="16"/>
      <c r="UGU53" s="16"/>
      <c r="UGV53" s="16"/>
      <c r="UGW53" s="16"/>
      <c r="UGX53" s="16"/>
      <c r="UGY53" s="16"/>
      <c r="UGZ53" s="16"/>
      <c r="UHA53" s="16"/>
      <c r="UHB53" s="16"/>
      <c r="UHC53" s="16"/>
      <c r="UHD53" s="16"/>
      <c r="UHE53" s="16"/>
      <c r="UHF53" s="16"/>
      <c r="UHG53" s="16"/>
      <c r="UHH53" s="16"/>
      <c r="UHI53" s="16"/>
      <c r="UHJ53" s="16"/>
      <c r="UHK53" s="16"/>
      <c r="UHL53" s="16"/>
      <c r="UHM53" s="16"/>
      <c r="UHN53" s="16"/>
      <c r="UHO53" s="16"/>
      <c r="UHP53" s="16"/>
      <c r="UHQ53" s="16"/>
      <c r="UHR53" s="16"/>
      <c r="UHS53" s="16"/>
      <c r="UHT53" s="16"/>
      <c r="UHU53" s="16"/>
      <c r="UHV53" s="16"/>
      <c r="UHW53" s="16"/>
      <c r="UHX53" s="16"/>
      <c r="UHY53" s="16"/>
      <c r="UHZ53" s="16"/>
      <c r="UIA53" s="16"/>
      <c r="UIB53" s="16"/>
      <c r="UIC53" s="16"/>
      <c r="UID53" s="16"/>
      <c r="UIE53" s="16"/>
      <c r="UIF53" s="16"/>
      <c r="UIG53" s="16"/>
      <c r="UIH53" s="16"/>
      <c r="UII53" s="16"/>
      <c r="UIJ53" s="16"/>
      <c r="UIK53" s="16"/>
      <c r="UIL53" s="16"/>
      <c r="UIM53" s="16"/>
      <c r="UIN53" s="16"/>
      <c r="UIO53" s="16"/>
      <c r="UIP53" s="16"/>
      <c r="UIQ53" s="16"/>
      <c r="UIR53" s="16"/>
      <c r="UIS53" s="16"/>
      <c r="UIT53" s="16"/>
      <c r="UIU53" s="16"/>
      <c r="UIV53" s="16"/>
      <c r="UIW53" s="16"/>
      <c r="UIX53" s="16"/>
      <c r="UIY53" s="16"/>
      <c r="UIZ53" s="16"/>
      <c r="UJA53" s="16"/>
      <c r="UJB53" s="16"/>
      <c r="UJC53" s="16"/>
      <c r="UJD53" s="16"/>
      <c r="UJE53" s="16"/>
      <c r="UJF53" s="16"/>
      <c r="UJG53" s="16"/>
      <c r="UJH53" s="16"/>
      <c r="UJI53" s="16"/>
      <c r="UJJ53" s="16"/>
      <c r="UJK53" s="16"/>
      <c r="UJL53" s="16"/>
      <c r="UJM53" s="16"/>
      <c r="UJN53" s="16"/>
      <c r="UJO53" s="16"/>
      <c r="UJP53" s="16"/>
      <c r="UJQ53" s="16"/>
      <c r="UJR53" s="16"/>
      <c r="UJS53" s="16"/>
      <c r="UJT53" s="16"/>
      <c r="UJU53" s="16"/>
      <c r="UJV53" s="16"/>
      <c r="UJW53" s="16"/>
      <c r="UJX53" s="16"/>
      <c r="UJY53" s="16"/>
      <c r="UJZ53" s="16"/>
      <c r="UKA53" s="16"/>
      <c r="UKB53" s="16"/>
      <c r="UKC53" s="16"/>
      <c r="UKD53" s="16"/>
      <c r="UKE53" s="16"/>
      <c r="UKF53" s="16"/>
      <c r="UKG53" s="16"/>
      <c r="UKH53" s="16"/>
      <c r="UKI53" s="16"/>
      <c r="UKJ53" s="16"/>
      <c r="UKK53" s="16"/>
      <c r="UKL53" s="16"/>
      <c r="UKM53" s="16"/>
      <c r="UKN53" s="16"/>
      <c r="UKO53" s="16"/>
      <c r="UKP53" s="16"/>
      <c r="UKQ53" s="16"/>
      <c r="UKR53" s="16"/>
      <c r="UKS53" s="16"/>
      <c r="UKT53" s="16"/>
      <c r="UKU53" s="16"/>
      <c r="UKV53" s="16"/>
      <c r="UKW53" s="16"/>
      <c r="UKX53" s="16"/>
      <c r="UKY53" s="16"/>
      <c r="UKZ53" s="16"/>
      <c r="ULA53" s="16"/>
      <c r="ULB53" s="16"/>
      <c r="ULC53" s="16"/>
      <c r="ULD53" s="16"/>
      <c r="ULE53" s="16"/>
      <c r="ULF53" s="16"/>
      <c r="ULG53" s="16"/>
      <c r="ULH53" s="16"/>
      <c r="ULI53" s="16"/>
      <c r="ULJ53" s="16"/>
      <c r="ULK53" s="16"/>
      <c r="ULL53" s="16"/>
      <c r="ULM53" s="16"/>
      <c r="ULN53" s="16"/>
      <c r="ULO53" s="16"/>
      <c r="ULP53" s="16"/>
      <c r="ULQ53" s="16"/>
      <c r="ULR53" s="16"/>
      <c r="ULS53" s="16"/>
      <c r="ULT53" s="16"/>
      <c r="ULU53" s="16"/>
      <c r="ULV53" s="16"/>
      <c r="ULW53" s="16"/>
      <c r="ULX53" s="16"/>
      <c r="ULY53" s="16"/>
      <c r="ULZ53" s="16"/>
      <c r="UMA53" s="16"/>
      <c r="UMB53" s="16"/>
      <c r="UMC53" s="16"/>
      <c r="UMD53" s="16"/>
      <c r="UME53" s="16"/>
      <c r="UMF53" s="16"/>
      <c r="UMG53" s="16"/>
      <c r="UMH53" s="16"/>
      <c r="UMI53" s="16"/>
      <c r="UMJ53" s="16"/>
      <c r="UMK53" s="16"/>
      <c r="UML53" s="16"/>
      <c r="UMM53" s="16"/>
      <c r="UMN53" s="16"/>
      <c r="UMO53" s="16"/>
      <c r="UMP53" s="16"/>
      <c r="UMQ53" s="16"/>
      <c r="UMR53" s="16"/>
      <c r="UMS53" s="16"/>
      <c r="UMT53" s="16"/>
      <c r="UMU53" s="16"/>
      <c r="UMV53" s="16"/>
      <c r="UMW53" s="16"/>
      <c r="UMX53" s="16"/>
      <c r="UMY53" s="16"/>
      <c r="UMZ53" s="16"/>
      <c r="UNA53" s="16"/>
      <c r="UNB53" s="16"/>
      <c r="UNC53" s="16"/>
      <c r="UND53" s="16"/>
      <c r="UNE53" s="16"/>
      <c r="UNF53" s="16"/>
      <c r="UNG53" s="16"/>
      <c r="UNH53" s="16"/>
      <c r="UNI53" s="16"/>
      <c r="UNJ53" s="16"/>
      <c r="UNK53" s="16"/>
      <c r="UNL53" s="16"/>
      <c r="UNM53" s="16"/>
      <c r="UNN53" s="16"/>
      <c r="UNO53" s="16"/>
      <c r="UNP53" s="16"/>
      <c r="UNQ53" s="16"/>
      <c r="UNR53" s="16"/>
      <c r="UNS53" s="16"/>
      <c r="UNT53" s="16"/>
      <c r="UNU53" s="16"/>
      <c r="UNV53" s="16"/>
      <c r="UNW53" s="16"/>
      <c r="UNX53" s="16"/>
      <c r="UNY53" s="16"/>
      <c r="UNZ53" s="16"/>
      <c r="UOA53" s="16"/>
      <c r="UOB53" s="16"/>
      <c r="UOC53" s="16"/>
      <c r="UOD53" s="16"/>
      <c r="UOE53" s="16"/>
      <c r="UOF53" s="16"/>
      <c r="UOG53" s="16"/>
      <c r="UOH53" s="16"/>
      <c r="UOI53" s="16"/>
      <c r="UOJ53" s="16"/>
      <c r="UOK53" s="16"/>
      <c r="UOL53" s="16"/>
      <c r="UOM53" s="16"/>
      <c r="UON53" s="16"/>
      <c r="UOO53" s="16"/>
      <c r="UOP53" s="16"/>
      <c r="UOQ53" s="16"/>
      <c r="UOR53" s="16"/>
      <c r="UOS53" s="16"/>
      <c r="UOT53" s="16"/>
      <c r="UOU53" s="16"/>
      <c r="UOV53" s="16"/>
      <c r="UOW53" s="16"/>
      <c r="UOX53" s="16"/>
      <c r="UOY53" s="16"/>
      <c r="UOZ53" s="16"/>
      <c r="UPA53" s="16"/>
      <c r="UPB53" s="16"/>
      <c r="UPC53" s="16"/>
      <c r="UPD53" s="16"/>
      <c r="UPE53" s="16"/>
      <c r="UPF53" s="16"/>
      <c r="UPG53" s="16"/>
      <c r="UPH53" s="16"/>
      <c r="UPI53" s="16"/>
      <c r="UPJ53" s="16"/>
      <c r="UPK53" s="16"/>
      <c r="UPL53" s="16"/>
      <c r="UPM53" s="16"/>
      <c r="UPN53" s="16"/>
      <c r="UPO53" s="16"/>
      <c r="UPP53" s="16"/>
      <c r="UPQ53" s="16"/>
      <c r="UPR53" s="16"/>
      <c r="UPS53" s="16"/>
      <c r="UPT53" s="16"/>
      <c r="UPU53" s="16"/>
      <c r="UPV53" s="16"/>
      <c r="UPW53" s="16"/>
      <c r="UPX53" s="16"/>
      <c r="UPY53" s="16"/>
      <c r="UPZ53" s="16"/>
      <c r="UQA53" s="16"/>
      <c r="UQB53" s="16"/>
      <c r="UQC53" s="16"/>
      <c r="UQD53" s="16"/>
      <c r="UQE53" s="16"/>
      <c r="UQF53" s="16"/>
      <c r="UQG53" s="16"/>
      <c r="UQH53" s="16"/>
      <c r="UQI53" s="16"/>
      <c r="UQJ53" s="16"/>
      <c r="UQK53" s="16"/>
      <c r="UQL53" s="16"/>
      <c r="UQM53" s="16"/>
      <c r="UQN53" s="16"/>
      <c r="UQO53" s="16"/>
      <c r="UQP53" s="16"/>
      <c r="UQQ53" s="16"/>
      <c r="UQR53" s="16"/>
      <c r="UQS53" s="16"/>
      <c r="UQT53" s="16"/>
      <c r="UQU53" s="16"/>
      <c r="UQV53" s="16"/>
      <c r="UQW53" s="16"/>
      <c r="UQX53" s="16"/>
      <c r="UQY53" s="16"/>
      <c r="UQZ53" s="16"/>
      <c r="URA53" s="16"/>
      <c r="URB53" s="16"/>
      <c r="URC53" s="16"/>
      <c r="URD53" s="16"/>
      <c r="URE53" s="16"/>
      <c r="URF53" s="16"/>
      <c r="URG53" s="16"/>
      <c r="URH53" s="16"/>
      <c r="URI53" s="16"/>
      <c r="URJ53" s="16"/>
      <c r="URK53" s="16"/>
      <c r="URL53" s="16"/>
      <c r="URM53" s="16"/>
      <c r="URN53" s="16"/>
      <c r="URO53" s="16"/>
      <c r="URP53" s="16"/>
      <c r="URQ53" s="16"/>
      <c r="URR53" s="16"/>
      <c r="URS53" s="16"/>
      <c r="URT53" s="16"/>
      <c r="URU53" s="16"/>
      <c r="URV53" s="16"/>
      <c r="URW53" s="16"/>
      <c r="URX53" s="16"/>
      <c r="URY53" s="16"/>
      <c r="URZ53" s="16"/>
      <c r="USA53" s="16"/>
      <c r="USB53" s="16"/>
      <c r="USC53" s="16"/>
      <c r="USD53" s="16"/>
      <c r="USE53" s="16"/>
      <c r="USF53" s="16"/>
      <c r="USG53" s="16"/>
      <c r="USH53" s="16"/>
      <c r="USI53" s="16"/>
      <c r="USJ53" s="16"/>
      <c r="USK53" s="16"/>
      <c r="USL53" s="16"/>
      <c r="USM53" s="16"/>
      <c r="USN53" s="16"/>
      <c r="USO53" s="16"/>
      <c r="USP53" s="16"/>
      <c r="USQ53" s="16"/>
      <c r="USR53" s="16"/>
      <c r="USS53" s="16"/>
      <c r="UST53" s="16"/>
      <c r="USU53" s="16"/>
      <c r="USV53" s="16"/>
      <c r="USW53" s="16"/>
      <c r="USX53" s="16"/>
      <c r="USY53" s="16"/>
      <c r="USZ53" s="16"/>
      <c r="UTA53" s="16"/>
      <c r="UTB53" s="16"/>
      <c r="UTC53" s="16"/>
      <c r="UTD53" s="16"/>
      <c r="UTE53" s="16"/>
      <c r="UTF53" s="16"/>
      <c r="UTG53" s="16"/>
      <c r="UTH53" s="16"/>
      <c r="UTI53" s="16"/>
      <c r="UTJ53" s="16"/>
      <c r="UTK53" s="16"/>
      <c r="UTL53" s="16"/>
      <c r="UTM53" s="16"/>
      <c r="UTN53" s="16"/>
      <c r="UTO53" s="16"/>
      <c r="UTP53" s="16"/>
      <c r="UTQ53" s="16"/>
      <c r="UTR53" s="16"/>
      <c r="UTS53" s="16"/>
      <c r="UTT53" s="16"/>
      <c r="UTU53" s="16"/>
      <c r="UTV53" s="16"/>
      <c r="UTW53" s="16"/>
      <c r="UTX53" s="16"/>
      <c r="UTY53" s="16"/>
      <c r="UTZ53" s="16"/>
      <c r="UUA53" s="16"/>
      <c r="UUB53" s="16"/>
      <c r="UUC53" s="16"/>
      <c r="UUD53" s="16"/>
      <c r="UUE53" s="16"/>
      <c r="UUF53" s="16"/>
      <c r="UUG53" s="16"/>
      <c r="UUH53" s="16"/>
      <c r="UUI53" s="16"/>
      <c r="UUJ53" s="16"/>
      <c r="UUK53" s="16"/>
      <c r="UUL53" s="16"/>
      <c r="UUM53" s="16"/>
      <c r="UUN53" s="16"/>
      <c r="UUO53" s="16"/>
      <c r="UUP53" s="16"/>
      <c r="UUQ53" s="16"/>
      <c r="UUR53" s="16"/>
      <c r="UUS53" s="16"/>
      <c r="UUT53" s="16"/>
      <c r="UUU53" s="16"/>
      <c r="UUV53" s="16"/>
      <c r="UUW53" s="16"/>
      <c r="UUX53" s="16"/>
      <c r="UUY53" s="16"/>
      <c r="UUZ53" s="16"/>
      <c r="UVA53" s="16"/>
      <c r="UVB53" s="16"/>
      <c r="UVC53" s="16"/>
      <c r="UVD53" s="16"/>
      <c r="UVE53" s="16"/>
      <c r="UVF53" s="16"/>
      <c r="UVG53" s="16"/>
      <c r="UVH53" s="16"/>
      <c r="UVI53" s="16"/>
      <c r="UVJ53" s="16"/>
      <c r="UVK53" s="16"/>
      <c r="UVL53" s="16"/>
      <c r="UVM53" s="16"/>
      <c r="UVN53" s="16"/>
      <c r="UVO53" s="16"/>
      <c r="UVP53" s="16"/>
      <c r="UVQ53" s="16"/>
      <c r="UVR53" s="16"/>
      <c r="UVS53" s="16"/>
      <c r="UVT53" s="16"/>
      <c r="UVU53" s="16"/>
      <c r="UVV53" s="16"/>
      <c r="UVW53" s="16"/>
      <c r="UVX53" s="16"/>
      <c r="UVY53" s="16"/>
      <c r="UVZ53" s="16"/>
      <c r="UWA53" s="16"/>
      <c r="UWB53" s="16"/>
      <c r="UWC53" s="16"/>
      <c r="UWD53" s="16"/>
      <c r="UWE53" s="16"/>
      <c r="UWF53" s="16"/>
      <c r="UWG53" s="16"/>
      <c r="UWH53" s="16"/>
      <c r="UWI53" s="16"/>
      <c r="UWJ53" s="16"/>
      <c r="UWK53" s="16"/>
      <c r="UWL53" s="16"/>
      <c r="UWM53" s="16"/>
      <c r="UWN53" s="16"/>
      <c r="UWO53" s="16"/>
      <c r="UWP53" s="16"/>
      <c r="UWQ53" s="16"/>
      <c r="UWR53" s="16"/>
      <c r="UWS53" s="16"/>
      <c r="UWT53" s="16"/>
      <c r="UWU53" s="16"/>
      <c r="UWV53" s="16"/>
      <c r="UWW53" s="16"/>
      <c r="UWX53" s="16"/>
      <c r="UWY53" s="16"/>
      <c r="UWZ53" s="16"/>
      <c r="UXA53" s="16"/>
      <c r="UXB53" s="16"/>
      <c r="UXC53" s="16"/>
      <c r="UXD53" s="16"/>
      <c r="UXE53" s="16"/>
      <c r="UXF53" s="16"/>
      <c r="UXG53" s="16"/>
      <c r="UXH53" s="16"/>
      <c r="UXI53" s="16"/>
      <c r="UXJ53" s="16"/>
      <c r="UXK53" s="16"/>
      <c r="UXL53" s="16"/>
      <c r="UXM53" s="16"/>
      <c r="UXN53" s="16"/>
      <c r="UXO53" s="16"/>
      <c r="UXP53" s="16"/>
      <c r="UXQ53" s="16"/>
      <c r="UXR53" s="16"/>
      <c r="UXS53" s="16"/>
      <c r="UXT53" s="16"/>
      <c r="UXU53" s="16"/>
      <c r="UXV53" s="16"/>
      <c r="UXW53" s="16"/>
      <c r="UXX53" s="16"/>
      <c r="UXY53" s="16"/>
      <c r="UXZ53" s="16"/>
      <c r="UYA53" s="16"/>
      <c r="UYB53" s="16"/>
      <c r="UYC53" s="16"/>
      <c r="UYD53" s="16"/>
      <c r="UYE53" s="16"/>
      <c r="UYF53" s="16"/>
      <c r="UYG53" s="16"/>
      <c r="UYH53" s="16"/>
      <c r="UYI53" s="16"/>
      <c r="UYJ53" s="16"/>
      <c r="UYK53" s="16"/>
      <c r="UYL53" s="16"/>
      <c r="UYM53" s="16"/>
      <c r="UYN53" s="16"/>
      <c r="UYO53" s="16"/>
      <c r="UYP53" s="16"/>
      <c r="UYQ53" s="16"/>
      <c r="UYR53" s="16"/>
      <c r="UYS53" s="16"/>
      <c r="UYT53" s="16"/>
      <c r="UYU53" s="16"/>
      <c r="UYV53" s="16"/>
      <c r="UYW53" s="16"/>
      <c r="UYX53" s="16"/>
      <c r="UYY53" s="16"/>
      <c r="UYZ53" s="16"/>
      <c r="UZA53" s="16"/>
      <c r="UZB53" s="16"/>
      <c r="UZC53" s="16"/>
      <c r="UZD53" s="16"/>
      <c r="UZE53" s="16"/>
      <c r="UZF53" s="16"/>
      <c r="UZG53" s="16"/>
      <c r="UZH53" s="16"/>
      <c r="UZI53" s="16"/>
      <c r="UZJ53" s="16"/>
      <c r="UZK53" s="16"/>
      <c r="UZL53" s="16"/>
      <c r="UZM53" s="16"/>
      <c r="UZN53" s="16"/>
      <c r="UZO53" s="16"/>
      <c r="UZP53" s="16"/>
      <c r="UZQ53" s="16"/>
      <c r="UZR53" s="16"/>
      <c r="UZS53" s="16"/>
      <c r="UZT53" s="16"/>
      <c r="UZU53" s="16"/>
      <c r="UZV53" s="16"/>
      <c r="UZW53" s="16"/>
      <c r="UZX53" s="16"/>
      <c r="UZY53" s="16"/>
      <c r="UZZ53" s="16"/>
      <c r="VAA53" s="16"/>
      <c r="VAB53" s="16"/>
      <c r="VAC53" s="16"/>
      <c r="VAD53" s="16"/>
      <c r="VAE53" s="16"/>
      <c r="VAF53" s="16"/>
      <c r="VAG53" s="16"/>
      <c r="VAH53" s="16"/>
      <c r="VAI53" s="16"/>
      <c r="VAJ53" s="16"/>
      <c r="VAK53" s="16"/>
      <c r="VAL53" s="16"/>
      <c r="VAM53" s="16"/>
      <c r="VAN53" s="16"/>
      <c r="VAO53" s="16"/>
      <c r="VAP53" s="16"/>
      <c r="VAQ53" s="16"/>
      <c r="VAR53" s="16"/>
      <c r="VAS53" s="16"/>
      <c r="VAT53" s="16"/>
      <c r="VAU53" s="16"/>
      <c r="VAV53" s="16"/>
      <c r="VAW53" s="16"/>
      <c r="VAX53" s="16"/>
      <c r="VAY53" s="16"/>
      <c r="VAZ53" s="16"/>
      <c r="VBA53" s="16"/>
      <c r="VBB53" s="16"/>
      <c r="VBC53" s="16"/>
      <c r="VBD53" s="16"/>
      <c r="VBE53" s="16"/>
      <c r="VBF53" s="16"/>
      <c r="VBG53" s="16"/>
      <c r="VBH53" s="16"/>
      <c r="VBI53" s="16"/>
      <c r="VBJ53" s="16"/>
      <c r="VBK53" s="16"/>
      <c r="VBL53" s="16"/>
      <c r="VBM53" s="16"/>
      <c r="VBN53" s="16"/>
      <c r="VBO53" s="16"/>
      <c r="VBP53" s="16"/>
      <c r="VBQ53" s="16"/>
      <c r="VBR53" s="16"/>
      <c r="VBS53" s="16"/>
      <c r="VBT53" s="16"/>
      <c r="VBU53" s="16"/>
      <c r="VBV53" s="16"/>
      <c r="VBW53" s="16"/>
      <c r="VBX53" s="16"/>
      <c r="VBY53" s="16"/>
      <c r="VBZ53" s="16"/>
      <c r="VCA53" s="16"/>
      <c r="VCB53" s="16"/>
      <c r="VCC53" s="16"/>
      <c r="VCD53" s="16"/>
      <c r="VCE53" s="16"/>
      <c r="VCF53" s="16"/>
      <c r="VCG53" s="16"/>
      <c r="VCH53" s="16"/>
      <c r="VCI53" s="16"/>
      <c r="VCJ53" s="16"/>
      <c r="VCK53" s="16"/>
      <c r="VCL53" s="16"/>
      <c r="VCM53" s="16"/>
      <c r="VCN53" s="16"/>
      <c r="VCO53" s="16"/>
      <c r="VCP53" s="16"/>
      <c r="VCQ53" s="16"/>
      <c r="VCR53" s="16"/>
      <c r="VCS53" s="16"/>
      <c r="VCT53" s="16"/>
      <c r="VCU53" s="16"/>
      <c r="VCV53" s="16"/>
      <c r="VCW53" s="16"/>
      <c r="VCX53" s="16"/>
      <c r="VCY53" s="16"/>
      <c r="VCZ53" s="16"/>
      <c r="VDA53" s="16"/>
      <c r="VDB53" s="16"/>
      <c r="VDC53" s="16"/>
      <c r="VDD53" s="16"/>
      <c r="VDE53" s="16"/>
      <c r="VDF53" s="16"/>
      <c r="VDG53" s="16"/>
      <c r="VDH53" s="16"/>
      <c r="VDI53" s="16"/>
      <c r="VDJ53" s="16"/>
      <c r="VDK53" s="16"/>
      <c r="VDL53" s="16"/>
      <c r="VDM53" s="16"/>
      <c r="VDN53" s="16"/>
      <c r="VDO53" s="16"/>
      <c r="VDP53" s="16"/>
      <c r="VDQ53" s="16"/>
      <c r="VDR53" s="16"/>
      <c r="VDS53" s="16"/>
      <c r="VDT53" s="16"/>
      <c r="VDU53" s="16"/>
      <c r="VDV53" s="16"/>
      <c r="VDW53" s="16"/>
      <c r="VDX53" s="16"/>
      <c r="VDY53" s="16"/>
      <c r="VDZ53" s="16"/>
      <c r="VEA53" s="16"/>
      <c r="VEB53" s="16"/>
      <c r="VEC53" s="16"/>
      <c r="VED53" s="16"/>
      <c r="VEE53" s="16"/>
      <c r="VEF53" s="16"/>
      <c r="VEG53" s="16"/>
      <c r="VEH53" s="16"/>
      <c r="VEI53" s="16"/>
      <c r="VEJ53" s="16"/>
      <c r="VEK53" s="16"/>
      <c r="VEL53" s="16"/>
      <c r="VEM53" s="16"/>
      <c r="VEN53" s="16"/>
      <c r="VEO53" s="16"/>
      <c r="VEP53" s="16"/>
      <c r="VEQ53" s="16"/>
      <c r="VER53" s="16"/>
      <c r="VES53" s="16"/>
      <c r="VET53" s="16"/>
      <c r="VEU53" s="16"/>
      <c r="VEV53" s="16"/>
      <c r="VEW53" s="16"/>
      <c r="VEX53" s="16"/>
    </row>
    <row r="54" spans="1:15026" s="1" customFormat="1" ht="13.8">
      <c r="C54" s="15"/>
      <c r="D54" s="14" t="s">
        <v>70</v>
      </c>
      <c r="E54" s="256">
        <v>2083</v>
      </c>
      <c r="F54" s="20" t="s">
        <v>14</v>
      </c>
      <c r="G54" s="33">
        <f>G55+G56</f>
        <v>0</v>
      </c>
      <c r="H54" s="33">
        <f>H55+H56</f>
        <v>0</v>
      </c>
      <c r="I54" s="33">
        <f>I55+I56</f>
        <v>0</v>
      </c>
      <c r="J54" s="33">
        <f t="shared" ref="J54:AK54" si="11">J55+J56</f>
        <v>0</v>
      </c>
      <c r="K54" s="33">
        <v>0</v>
      </c>
      <c r="L54" s="33">
        <v>0</v>
      </c>
      <c r="M54" s="33">
        <f t="shared" si="11"/>
        <v>0</v>
      </c>
      <c r="N54" s="33">
        <f t="shared" si="11"/>
        <v>0</v>
      </c>
      <c r="O54" s="33">
        <f t="shared" si="11"/>
        <v>0</v>
      </c>
      <c r="P54" s="33">
        <f t="shared" si="11"/>
        <v>0</v>
      </c>
      <c r="Q54" s="33">
        <f t="shared" si="11"/>
        <v>0</v>
      </c>
      <c r="R54" s="33"/>
      <c r="S54" s="1965"/>
      <c r="T54" s="33"/>
      <c r="U54" s="33"/>
      <c r="V54" s="33">
        <f t="shared" si="11"/>
        <v>0</v>
      </c>
      <c r="W54" s="33">
        <f t="shared" si="11"/>
        <v>0</v>
      </c>
      <c r="X54" s="33"/>
      <c r="Y54" s="33"/>
      <c r="Z54" s="33"/>
      <c r="AA54" s="33"/>
      <c r="AB54" s="33"/>
      <c r="AC54" s="33"/>
      <c r="AD54" s="33"/>
      <c r="AE54" s="33"/>
      <c r="AF54" s="33"/>
      <c r="AG54" s="33">
        <f t="shared" si="11"/>
        <v>0</v>
      </c>
      <c r="AH54" s="33">
        <f t="shared" si="11"/>
        <v>0</v>
      </c>
      <c r="AI54" s="33"/>
      <c r="AJ54" s="33"/>
      <c r="AK54" s="33">
        <f t="shared" si="11"/>
        <v>0</v>
      </c>
      <c r="AM54" s="55">
        <f>SUM(G54:AK54)</f>
        <v>0</v>
      </c>
      <c r="BI54" s="143"/>
    </row>
    <row r="55" spans="1:15026" s="1" customFormat="1" ht="13.8">
      <c r="C55" s="15"/>
      <c r="D55" s="65" t="s">
        <v>68</v>
      </c>
      <c r="E55" s="256">
        <v>1250</v>
      </c>
      <c r="F55" s="66" t="s">
        <v>14</v>
      </c>
      <c r="G55" s="271">
        <v>0</v>
      </c>
      <c r="H55" s="271">
        <v>0</v>
      </c>
      <c r="I55" s="271">
        <v>0</v>
      </c>
      <c r="J55" s="271">
        <v>0</v>
      </c>
      <c r="K55" s="271">
        <v>0</v>
      </c>
      <c r="L55" s="271">
        <v>0</v>
      </c>
      <c r="M55" s="271">
        <v>0</v>
      </c>
      <c r="N55" s="271">
        <v>0</v>
      </c>
      <c r="O55" s="271">
        <v>0</v>
      </c>
      <c r="P55" s="271">
        <v>0</v>
      </c>
      <c r="Q55" s="271">
        <v>0</v>
      </c>
      <c r="R55" s="271">
        <v>0</v>
      </c>
      <c r="S55" s="1971"/>
      <c r="T55" s="271"/>
      <c r="U55" s="271"/>
      <c r="V55" s="271">
        <v>0</v>
      </c>
      <c r="W55" s="271">
        <v>0</v>
      </c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>
        <v>0</v>
      </c>
      <c r="AI55" s="271"/>
      <c r="AJ55" s="271"/>
      <c r="AK55" s="271"/>
      <c r="AM55" s="58">
        <f>SUM(G55:AK55)</f>
        <v>0</v>
      </c>
      <c r="AP55" s="3"/>
      <c r="BI55" s="143"/>
    </row>
    <row r="56" spans="1:15026" s="1" customFormat="1" ht="13.8">
      <c r="C56" s="15"/>
      <c r="D56" s="65" t="s">
        <v>67</v>
      </c>
      <c r="E56" s="256">
        <v>833</v>
      </c>
      <c r="F56" s="66" t="s">
        <v>14</v>
      </c>
      <c r="G56" s="271">
        <v>0</v>
      </c>
      <c r="H56" s="271">
        <v>0</v>
      </c>
      <c r="I56" s="271">
        <v>0</v>
      </c>
      <c r="J56" s="271">
        <v>0</v>
      </c>
      <c r="K56" s="271">
        <v>0</v>
      </c>
      <c r="L56" s="271">
        <v>0</v>
      </c>
      <c r="M56" s="271">
        <v>0</v>
      </c>
      <c r="N56" s="271">
        <v>0</v>
      </c>
      <c r="O56" s="271">
        <v>0</v>
      </c>
      <c r="P56" s="271">
        <v>0</v>
      </c>
      <c r="Q56" s="271">
        <v>0</v>
      </c>
      <c r="R56" s="271">
        <v>0</v>
      </c>
      <c r="S56" s="1971"/>
      <c r="T56" s="271"/>
      <c r="U56" s="271"/>
      <c r="V56" s="271">
        <v>0</v>
      </c>
      <c r="W56" s="271">
        <v>0</v>
      </c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>
        <v>0</v>
      </c>
      <c r="AI56" s="271"/>
      <c r="AJ56" s="271"/>
      <c r="AK56" s="271"/>
      <c r="AM56" s="58">
        <f>SUM(G56:AK56)</f>
        <v>0</v>
      </c>
      <c r="AP56" s="3">
        <f>AM56+AM33+AM46</f>
        <v>0</v>
      </c>
      <c r="BI56" s="143"/>
    </row>
    <row r="57" spans="1:15026" s="1" customFormat="1" ht="13.8">
      <c r="C57" s="15"/>
      <c r="D57" s="75" t="s">
        <v>113</v>
      </c>
      <c r="E57" s="256"/>
      <c r="F57" s="13" t="s">
        <v>25</v>
      </c>
      <c r="G57" s="274">
        <v>0</v>
      </c>
      <c r="H57" s="274">
        <v>0</v>
      </c>
      <c r="I57" s="274">
        <v>0</v>
      </c>
      <c r="J57" s="274">
        <v>0</v>
      </c>
      <c r="K57" s="274">
        <v>0</v>
      </c>
      <c r="L57" s="274">
        <v>0</v>
      </c>
      <c r="M57" s="274">
        <v>0</v>
      </c>
      <c r="N57" s="274">
        <v>0</v>
      </c>
      <c r="O57" s="274">
        <v>0</v>
      </c>
      <c r="P57" s="274">
        <v>0</v>
      </c>
      <c r="Q57" s="274">
        <v>0</v>
      </c>
      <c r="R57" s="274">
        <v>0</v>
      </c>
      <c r="S57" s="1974">
        <v>0</v>
      </c>
      <c r="T57" s="274">
        <v>0</v>
      </c>
      <c r="U57" s="274">
        <v>0</v>
      </c>
      <c r="V57" s="274">
        <v>0</v>
      </c>
      <c r="W57" s="274">
        <v>0</v>
      </c>
      <c r="X57" s="274"/>
      <c r="Y57" s="274"/>
      <c r="Z57" s="274"/>
      <c r="AA57" s="274"/>
      <c r="AB57" s="274"/>
      <c r="AC57" s="274"/>
      <c r="AD57" s="274"/>
      <c r="AE57" s="274"/>
      <c r="AF57" s="274"/>
      <c r="AG57" s="274">
        <v>0</v>
      </c>
      <c r="AH57" s="274">
        <v>0</v>
      </c>
      <c r="AI57" s="274"/>
      <c r="AJ57" s="274"/>
      <c r="AK57" s="274">
        <v>0</v>
      </c>
      <c r="AL57" s="63"/>
      <c r="AM57" s="58">
        <f>SUM(G57:AK57)</f>
        <v>0</v>
      </c>
      <c r="AP57" s="3"/>
      <c r="BI57" s="143"/>
    </row>
    <row r="58" spans="1:15026">
      <c r="C58" s="8"/>
      <c r="D58" s="76" t="s">
        <v>66</v>
      </c>
      <c r="E58" s="77"/>
      <c r="F58" s="78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1968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M58" s="79" t="s">
        <v>128</v>
      </c>
    </row>
    <row r="59" spans="1:15026">
      <c r="C59" s="15"/>
      <c r="D59" s="75" t="s">
        <v>65</v>
      </c>
      <c r="E59" s="1570">
        <v>94.2</v>
      </c>
      <c r="F59" s="70" t="s">
        <v>25</v>
      </c>
      <c r="G59" s="275" t="e">
        <f t="shared" ref="G59:AK59" si="12">(G19/(G9))*100</f>
        <v>#DIV/0!</v>
      </c>
      <c r="H59" s="275" t="e">
        <f t="shared" si="12"/>
        <v>#DIV/0!</v>
      </c>
      <c r="I59" s="275" t="e">
        <f t="shared" si="12"/>
        <v>#DIV/0!</v>
      </c>
      <c r="J59" s="275" t="e">
        <f t="shared" si="12"/>
        <v>#DIV/0!</v>
      </c>
      <c r="K59" s="275" t="e">
        <f t="shared" si="12"/>
        <v>#DIV/0!</v>
      </c>
      <c r="L59" s="275" t="e">
        <f t="shared" si="12"/>
        <v>#DIV/0!</v>
      </c>
      <c r="M59" s="275" t="e">
        <f t="shared" si="12"/>
        <v>#DIV/0!</v>
      </c>
      <c r="N59" s="275" t="e">
        <f t="shared" si="12"/>
        <v>#DIV/0!</v>
      </c>
      <c r="O59" s="275" t="e">
        <f t="shared" si="12"/>
        <v>#DIV/0!</v>
      </c>
      <c r="P59" s="275" t="e">
        <f t="shared" si="12"/>
        <v>#DIV/0!</v>
      </c>
      <c r="Q59" s="275" t="e">
        <f t="shared" si="12"/>
        <v>#DIV/0!</v>
      </c>
      <c r="R59" s="275" t="e">
        <f t="shared" si="12"/>
        <v>#DIV/0!</v>
      </c>
      <c r="S59" s="275" t="e">
        <f t="shared" ref="S59" si="13">(S19/(S9))*100</f>
        <v>#DIV/0!</v>
      </c>
      <c r="T59" s="275" t="e">
        <f t="shared" si="12"/>
        <v>#DIV/0!</v>
      </c>
      <c r="U59" s="275" t="e">
        <f t="shared" si="12"/>
        <v>#DIV/0!</v>
      </c>
      <c r="V59" s="275" t="e">
        <f t="shared" si="12"/>
        <v>#DIV/0!</v>
      </c>
      <c r="W59" s="275" t="e">
        <f t="shared" si="12"/>
        <v>#DIV/0!</v>
      </c>
      <c r="X59" s="275" t="e">
        <f t="shared" si="12"/>
        <v>#DIV/0!</v>
      </c>
      <c r="Y59" s="275" t="e">
        <f t="shared" si="12"/>
        <v>#DIV/0!</v>
      </c>
      <c r="Z59" s="275" t="e">
        <f t="shared" si="12"/>
        <v>#DIV/0!</v>
      </c>
      <c r="AA59" s="275" t="e">
        <f t="shared" si="12"/>
        <v>#DIV/0!</v>
      </c>
      <c r="AB59" s="275" t="e">
        <f t="shared" si="12"/>
        <v>#DIV/0!</v>
      </c>
      <c r="AC59" s="275" t="e">
        <f t="shared" ref="AC59" si="14">(AC19/(AC9))*100</f>
        <v>#DIV/0!</v>
      </c>
      <c r="AD59" s="275" t="e">
        <f t="shared" si="12"/>
        <v>#DIV/0!</v>
      </c>
      <c r="AE59" s="275" t="e">
        <f>(AE19/(AE9))*100</f>
        <v>#DIV/0!</v>
      </c>
      <c r="AF59" s="275" t="e">
        <f t="shared" si="12"/>
        <v>#DIV/0!</v>
      </c>
      <c r="AG59" s="275" t="e">
        <f t="shared" si="12"/>
        <v>#DIV/0!</v>
      </c>
      <c r="AH59" s="275" t="e">
        <f t="shared" si="12"/>
        <v>#DIV/0!</v>
      </c>
      <c r="AI59" s="275" t="e">
        <f t="shared" ref="AI59:AJ59" si="15">(AI19/(AI9))*100</f>
        <v>#DIV/0!</v>
      </c>
      <c r="AJ59" s="275" t="e">
        <f t="shared" si="15"/>
        <v>#DIV/0!</v>
      </c>
      <c r="AK59" s="275" t="e">
        <f t="shared" si="12"/>
        <v>#DIV/0!</v>
      </c>
      <c r="AL59" s="63"/>
      <c r="AM59" s="302" t="e">
        <f>(AM19/(AM9))*100</f>
        <v>#DIV/0!</v>
      </c>
    </row>
    <row r="60" spans="1:15026">
      <c r="C60" s="15"/>
      <c r="D60" s="75" t="s">
        <v>64</v>
      </c>
      <c r="E60" s="127">
        <v>5</v>
      </c>
      <c r="F60" s="70" t="s">
        <v>25</v>
      </c>
      <c r="G60" s="275" t="e">
        <f>(G20/(G9))*100</f>
        <v>#DIV/0!</v>
      </c>
      <c r="H60" s="275" t="e">
        <f>(H20/(H9))*100</f>
        <v>#DIV/0!</v>
      </c>
      <c r="I60" s="275" t="e">
        <f>(I20/(I9))*100</f>
        <v>#DIV/0!</v>
      </c>
      <c r="J60" s="275" t="e">
        <f>(J20/(J9))*100</f>
        <v>#DIV/0!</v>
      </c>
      <c r="K60" s="275" t="e">
        <f>(K20/(K9))*100</f>
        <v>#DIV/0!</v>
      </c>
      <c r="L60" s="275" t="e">
        <f t="shared" ref="L60:AK60" si="16">(L20/(L9))*100</f>
        <v>#DIV/0!</v>
      </c>
      <c r="M60" s="275" t="e">
        <f t="shared" si="16"/>
        <v>#DIV/0!</v>
      </c>
      <c r="N60" s="275" t="e">
        <f t="shared" si="16"/>
        <v>#DIV/0!</v>
      </c>
      <c r="O60" s="275" t="e">
        <f t="shared" si="16"/>
        <v>#DIV/0!</v>
      </c>
      <c r="P60" s="275" t="e">
        <f t="shared" si="16"/>
        <v>#DIV/0!</v>
      </c>
      <c r="Q60" s="275" t="e">
        <f t="shared" si="16"/>
        <v>#DIV/0!</v>
      </c>
      <c r="R60" s="275" t="e">
        <f>(R20/(R9))*100</f>
        <v>#DIV/0!</v>
      </c>
      <c r="S60" s="275" t="e">
        <f>(S20/(S9))*100</f>
        <v>#DIV/0!</v>
      </c>
      <c r="T60" s="275" t="e">
        <f t="shared" si="16"/>
        <v>#DIV/0!</v>
      </c>
      <c r="U60" s="275" t="e">
        <f t="shared" si="16"/>
        <v>#DIV/0!</v>
      </c>
      <c r="V60" s="275" t="e">
        <f t="shared" si="16"/>
        <v>#DIV/0!</v>
      </c>
      <c r="W60" s="275" t="e">
        <f t="shared" si="16"/>
        <v>#DIV/0!</v>
      </c>
      <c r="X60" s="275" t="e">
        <f t="shared" si="16"/>
        <v>#DIV/0!</v>
      </c>
      <c r="Y60" s="275" t="e">
        <f t="shared" si="16"/>
        <v>#DIV/0!</v>
      </c>
      <c r="Z60" s="275" t="e">
        <f t="shared" si="16"/>
        <v>#DIV/0!</v>
      </c>
      <c r="AA60" s="275" t="e">
        <f t="shared" si="16"/>
        <v>#DIV/0!</v>
      </c>
      <c r="AB60" s="275" t="e">
        <f t="shared" si="16"/>
        <v>#DIV/0!</v>
      </c>
      <c r="AC60" s="275" t="e">
        <f t="shared" ref="AC60" si="17">(AC20/(AC9))*100</f>
        <v>#DIV/0!</v>
      </c>
      <c r="AD60" s="275" t="e">
        <f t="shared" si="16"/>
        <v>#DIV/0!</v>
      </c>
      <c r="AE60" s="275" t="e">
        <f t="shared" si="16"/>
        <v>#DIV/0!</v>
      </c>
      <c r="AF60" s="275" t="e">
        <f t="shared" si="16"/>
        <v>#DIV/0!</v>
      </c>
      <c r="AG60" s="275" t="e">
        <f t="shared" si="16"/>
        <v>#DIV/0!</v>
      </c>
      <c r="AH60" s="275" t="e">
        <f t="shared" si="16"/>
        <v>#DIV/0!</v>
      </c>
      <c r="AI60" s="275" t="e">
        <f t="shared" ref="AI60:AJ60" si="18">(AI20/(AI9))*100</f>
        <v>#DIV/0!</v>
      </c>
      <c r="AJ60" s="275" t="e">
        <f t="shared" si="18"/>
        <v>#DIV/0!</v>
      </c>
      <c r="AK60" s="275" t="e">
        <f t="shared" si="16"/>
        <v>#DIV/0!</v>
      </c>
      <c r="AL60" s="63"/>
      <c r="AM60" s="302" t="e">
        <f>(AM20/(AM9))*100</f>
        <v>#DIV/0!</v>
      </c>
    </row>
    <row r="61" spans="1:15026">
      <c r="C61" s="15"/>
      <c r="D61" s="75" t="s">
        <v>63</v>
      </c>
      <c r="E61" s="127">
        <v>82</v>
      </c>
      <c r="F61" s="70" t="s">
        <v>25</v>
      </c>
      <c r="G61" s="275" t="e">
        <f>G32/(G32+G33)*100</f>
        <v>#DIV/0!</v>
      </c>
      <c r="H61" s="275" t="e">
        <f>H32/(H32+H33)*100</f>
        <v>#DIV/0!</v>
      </c>
      <c r="I61" s="275" t="e">
        <f>I32/(I32+I33)*100</f>
        <v>#DIV/0!</v>
      </c>
      <c r="J61" s="275" t="e">
        <f>J32/(J32+J33)*100</f>
        <v>#DIV/0!</v>
      </c>
      <c r="K61" s="275" t="e">
        <v>#DIV/0!</v>
      </c>
      <c r="L61" s="275" t="e">
        <f t="shared" ref="L61:AK61" si="19">L32/(L32+L33)*100</f>
        <v>#DIV/0!</v>
      </c>
      <c r="M61" s="275" t="e">
        <f t="shared" si="19"/>
        <v>#DIV/0!</v>
      </c>
      <c r="N61" s="275" t="e">
        <f t="shared" si="19"/>
        <v>#DIV/0!</v>
      </c>
      <c r="O61" s="275" t="e">
        <f t="shared" si="19"/>
        <v>#DIV/0!</v>
      </c>
      <c r="P61" s="275" t="e">
        <f t="shared" si="19"/>
        <v>#DIV/0!</v>
      </c>
      <c r="Q61" s="275" t="e">
        <f t="shared" si="19"/>
        <v>#DIV/0!</v>
      </c>
      <c r="R61" s="275" t="e">
        <f t="shared" si="19"/>
        <v>#DIV/0!</v>
      </c>
      <c r="S61" s="275" t="e">
        <f t="shared" ref="S61" si="20">S32/(S32+S33)*100</f>
        <v>#DIV/0!</v>
      </c>
      <c r="T61" s="275" t="e">
        <f t="shared" si="19"/>
        <v>#DIV/0!</v>
      </c>
      <c r="U61" s="275" t="e">
        <f t="shared" si="19"/>
        <v>#DIV/0!</v>
      </c>
      <c r="V61" s="275" t="e">
        <f t="shared" si="19"/>
        <v>#DIV/0!</v>
      </c>
      <c r="W61" s="275" t="e">
        <f t="shared" si="19"/>
        <v>#DIV/0!</v>
      </c>
      <c r="X61" s="275" t="e">
        <f t="shared" si="19"/>
        <v>#DIV/0!</v>
      </c>
      <c r="Y61" s="275" t="e">
        <f t="shared" si="19"/>
        <v>#DIV/0!</v>
      </c>
      <c r="Z61" s="275" t="e">
        <f t="shared" si="19"/>
        <v>#DIV/0!</v>
      </c>
      <c r="AA61" s="275" t="e">
        <f t="shared" si="19"/>
        <v>#DIV/0!</v>
      </c>
      <c r="AB61" s="275" t="e">
        <f t="shared" si="19"/>
        <v>#DIV/0!</v>
      </c>
      <c r="AC61" s="275" t="e">
        <f t="shared" ref="AC61" si="21">AC32/(AC32+AC33)*100</f>
        <v>#DIV/0!</v>
      </c>
      <c r="AD61" s="275" t="e">
        <f t="shared" si="19"/>
        <v>#DIV/0!</v>
      </c>
      <c r="AE61" s="275" t="e">
        <f t="shared" si="19"/>
        <v>#DIV/0!</v>
      </c>
      <c r="AF61" s="275" t="e">
        <f t="shared" si="19"/>
        <v>#DIV/0!</v>
      </c>
      <c r="AG61" s="275" t="e">
        <f t="shared" si="19"/>
        <v>#DIV/0!</v>
      </c>
      <c r="AH61" s="275" t="e">
        <f t="shared" si="19"/>
        <v>#DIV/0!</v>
      </c>
      <c r="AI61" s="275" t="e">
        <f t="shared" ref="AI61:AJ61" si="22">AI32/(AI32+AI33)*100</f>
        <v>#DIV/0!</v>
      </c>
      <c r="AJ61" s="275" t="e">
        <f t="shared" si="22"/>
        <v>#DIV/0!</v>
      </c>
      <c r="AK61" s="275" t="e">
        <f t="shared" si="19"/>
        <v>#DIV/0!</v>
      </c>
      <c r="AL61" s="63"/>
      <c r="AM61" s="302" t="e">
        <f>AM32/(AM32+AM33)*100</f>
        <v>#DIV/0!</v>
      </c>
    </row>
    <row r="62" spans="1:15026">
      <c r="C62" s="15"/>
      <c r="D62" s="75" t="s">
        <v>62</v>
      </c>
      <c r="E62" s="127">
        <v>18</v>
      </c>
      <c r="F62" s="70" t="s">
        <v>25</v>
      </c>
      <c r="G62" s="275" t="e">
        <f>(G33/G31)*100</f>
        <v>#DIV/0!</v>
      </c>
      <c r="H62" s="275" t="e">
        <f>(H33/H31)*100</f>
        <v>#DIV/0!</v>
      </c>
      <c r="I62" s="275" t="e">
        <f>(I33/I31)*100</f>
        <v>#DIV/0!</v>
      </c>
      <c r="J62" s="275" t="e">
        <f>(J33/J31)*100</f>
        <v>#DIV/0!</v>
      </c>
      <c r="K62" s="275" t="e">
        <v>#DIV/0!</v>
      </c>
      <c r="L62" s="275" t="e">
        <f t="shared" ref="L62:U62" si="23">(L33/L31)*100</f>
        <v>#DIV/0!</v>
      </c>
      <c r="M62" s="275" t="e">
        <f t="shared" si="23"/>
        <v>#DIV/0!</v>
      </c>
      <c r="N62" s="275" t="e">
        <f t="shared" si="23"/>
        <v>#DIV/0!</v>
      </c>
      <c r="O62" s="275" t="e">
        <f t="shared" si="23"/>
        <v>#DIV/0!</v>
      </c>
      <c r="P62" s="275" t="e">
        <f t="shared" si="23"/>
        <v>#DIV/0!</v>
      </c>
      <c r="Q62" s="275" t="e">
        <f t="shared" si="23"/>
        <v>#DIV/0!</v>
      </c>
      <c r="R62" s="275" t="e">
        <f t="shared" si="23"/>
        <v>#DIV/0!</v>
      </c>
      <c r="S62" s="275" t="e">
        <f t="shared" ref="S62" si="24">(S33/S31)*100</f>
        <v>#DIV/0!</v>
      </c>
      <c r="T62" s="275" t="e">
        <f t="shared" si="23"/>
        <v>#DIV/0!</v>
      </c>
      <c r="U62" s="275" t="e">
        <f t="shared" si="23"/>
        <v>#DIV/0!</v>
      </c>
      <c r="V62" s="275" t="e">
        <f>V33/(V33+V32)*100</f>
        <v>#DIV/0!</v>
      </c>
      <c r="W62" s="275" t="e">
        <f>W33/(W33+W32)*100</f>
        <v>#DIV/0!</v>
      </c>
      <c r="X62" s="275" t="e">
        <f t="shared" ref="X62:AK62" si="25">(X33/X31)*100</f>
        <v>#DIV/0!</v>
      </c>
      <c r="Y62" s="275" t="e">
        <f t="shared" si="25"/>
        <v>#DIV/0!</v>
      </c>
      <c r="Z62" s="275" t="e">
        <f t="shared" si="25"/>
        <v>#DIV/0!</v>
      </c>
      <c r="AA62" s="275" t="e">
        <f t="shared" si="25"/>
        <v>#DIV/0!</v>
      </c>
      <c r="AB62" s="275" t="e">
        <f t="shared" si="25"/>
        <v>#DIV/0!</v>
      </c>
      <c r="AC62" s="275" t="e">
        <f t="shared" ref="AC62" si="26">(AC33/AC31)*100</f>
        <v>#DIV/0!</v>
      </c>
      <c r="AD62" s="275" t="e">
        <f t="shared" si="25"/>
        <v>#DIV/0!</v>
      </c>
      <c r="AE62" s="275" t="e">
        <f t="shared" si="25"/>
        <v>#DIV/0!</v>
      </c>
      <c r="AF62" s="275" t="e">
        <f t="shared" si="25"/>
        <v>#DIV/0!</v>
      </c>
      <c r="AG62" s="275" t="e">
        <f t="shared" si="25"/>
        <v>#DIV/0!</v>
      </c>
      <c r="AH62" s="275" t="e">
        <f t="shared" si="25"/>
        <v>#DIV/0!</v>
      </c>
      <c r="AI62" s="275" t="e">
        <f t="shared" ref="AI62:AJ62" si="27">(AI33/AI31)*100</f>
        <v>#DIV/0!</v>
      </c>
      <c r="AJ62" s="275" t="e">
        <f t="shared" si="27"/>
        <v>#DIV/0!</v>
      </c>
      <c r="AK62" s="275" t="e">
        <f t="shared" si="25"/>
        <v>#DIV/0!</v>
      </c>
      <c r="AL62" s="63"/>
      <c r="AM62" s="1522" t="e">
        <f>AM33/(AM32+AM33)*100</f>
        <v>#DIV/0!</v>
      </c>
    </row>
    <row r="63" spans="1:15026" ht="15" hidden="1" customHeight="1">
      <c r="C63" s="15"/>
      <c r="D63" s="75" t="s">
        <v>106</v>
      </c>
      <c r="E63" s="127">
        <v>75</v>
      </c>
      <c r="F63" s="80"/>
      <c r="G63" s="275" t="e">
        <f>(G36/G35)*100</f>
        <v>#DIV/0!</v>
      </c>
      <c r="H63" s="275" t="e">
        <f>(H36/H35)*100</f>
        <v>#DIV/0!</v>
      </c>
      <c r="I63" s="275" t="e">
        <f>(I36/I35)*100</f>
        <v>#DIV/0!</v>
      </c>
      <c r="J63" s="275" t="e">
        <f>(J36/J35)*100</f>
        <v>#DIV/0!</v>
      </c>
      <c r="K63" s="275" t="e">
        <v>#DIV/0!</v>
      </c>
      <c r="L63" s="275" t="e">
        <f t="shared" ref="L63:AK63" si="28">(L36/L35)*100</f>
        <v>#DIV/0!</v>
      </c>
      <c r="M63" s="275" t="e">
        <f t="shared" si="28"/>
        <v>#DIV/0!</v>
      </c>
      <c r="N63" s="275" t="e">
        <f t="shared" si="28"/>
        <v>#DIV/0!</v>
      </c>
      <c r="O63" s="275" t="e">
        <f t="shared" si="28"/>
        <v>#DIV/0!</v>
      </c>
      <c r="P63" s="275" t="e">
        <f t="shared" si="28"/>
        <v>#DIV/0!</v>
      </c>
      <c r="Q63" s="275" t="e">
        <f t="shared" si="28"/>
        <v>#DIV/0!</v>
      </c>
      <c r="R63" s="275" t="e">
        <f t="shared" si="28"/>
        <v>#DIV/0!</v>
      </c>
      <c r="S63" s="275" t="e">
        <f t="shared" ref="S63" si="29">(S36/S35)*100</f>
        <v>#DIV/0!</v>
      </c>
      <c r="T63" s="275" t="e">
        <f t="shared" si="28"/>
        <v>#DIV/0!</v>
      </c>
      <c r="U63" s="275" t="e">
        <f t="shared" si="28"/>
        <v>#DIV/0!</v>
      </c>
      <c r="V63" s="275" t="e">
        <f t="shared" si="28"/>
        <v>#DIV/0!</v>
      </c>
      <c r="W63" s="275" t="e">
        <f t="shared" si="28"/>
        <v>#DIV/0!</v>
      </c>
      <c r="X63" s="275" t="e">
        <f t="shared" si="28"/>
        <v>#DIV/0!</v>
      </c>
      <c r="Y63" s="275" t="e">
        <f t="shared" si="28"/>
        <v>#DIV/0!</v>
      </c>
      <c r="Z63" s="275" t="e">
        <f t="shared" si="28"/>
        <v>#DIV/0!</v>
      </c>
      <c r="AA63" s="275" t="e">
        <f t="shared" si="28"/>
        <v>#DIV/0!</v>
      </c>
      <c r="AB63" s="275" t="e">
        <f t="shared" si="28"/>
        <v>#DIV/0!</v>
      </c>
      <c r="AC63" s="275" t="e">
        <f t="shared" ref="AC63" si="30">(AC36/AC35)*100</f>
        <v>#DIV/0!</v>
      </c>
      <c r="AD63" s="275" t="e">
        <f t="shared" si="28"/>
        <v>#DIV/0!</v>
      </c>
      <c r="AE63" s="275" t="e">
        <f t="shared" si="28"/>
        <v>#DIV/0!</v>
      </c>
      <c r="AF63" s="275" t="e">
        <f t="shared" si="28"/>
        <v>#DIV/0!</v>
      </c>
      <c r="AG63" s="275" t="e">
        <f t="shared" si="28"/>
        <v>#DIV/0!</v>
      </c>
      <c r="AH63" s="275" t="e">
        <f t="shared" si="28"/>
        <v>#DIV/0!</v>
      </c>
      <c r="AI63" s="275" t="e">
        <f t="shared" ref="AI63:AJ63" si="31">(AI36/AI35)*100</f>
        <v>#DIV/0!</v>
      </c>
      <c r="AJ63" s="275" t="e">
        <f t="shared" si="31"/>
        <v>#DIV/0!</v>
      </c>
      <c r="AK63" s="275" t="e">
        <f t="shared" si="28"/>
        <v>#DIV/0!</v>
      </c>
      <c r="AL63" s="63"/>
      <c r="AM63" s="302" t="e">
        <f>(AM41/AM40)*100</f>
        <v>#DIV/0!</v>
      </c>
    </row>
    <row r="64" spans="1:15026" ht="15" hidden="1" customHeight="1">
      <c r="C64" s="15"/>
      <c r="D64" s="75" t="s">
        <v>62</v>
      </c>
      <c r="E64" s="127">
        <v>25</v>
      </c>
      <c r="F64" s="80"/>
      <c r="G64" s="275" t="e">
        <f>(G37/G35)*100</f>
        <v>#DIV/0!</v>
      </c>
      <c r="H64" s="275" t="e">
        <f>(H37/H35)*100</f>
        <v>#DIV/0!</v>
      </c>
      <c r="I64" s="275" t="e">
        <f>(I37/I35)*100</f>
        <v>#DIV/0!</v>
      </c>
      <c r="J64" s="275" t="e">
        <f>(J37/J35)*100</f>
        <v>#DIV/0!</v>
      </c>
      <c r="K64" s="275" t="e">
        <v>#DIV/0!</v>
      </c>
      <c r="L64" s="275" t="e">
        <f t="shared" ref="L64:AK64" si="32">(L37/L35)*100</f>
        <v>#DIV/0!</v>
      </c>
      <c r="M64" s="275" t="e">
        <f t="shared" si="32"/>
        <v>#DIV/0!</v>
      </c>
      <c r="N64" s="275" t="e">
        <f t="shared" si="32"/>
        <v>#DIV/0!</v>
      </c>
      <c r="O64" s="275" t="e">
        <f t="shared" si="32"/>
        <v>#DIV/0!</v>
      </c>
      <c r="P64" s="275" t="e">
        <f t="shared" si="32"/>
        <v>#DIV/0!</v>
      </c>
      <c r="Q64" s="275" t="e">
        <f t="shared" si="32"/>
        <v>#DIV/0!</v>
      </c>
      <c r="R64" s="275" t="e">
        <f t="shared" si="32"/>
        <v>#DIV/0!</v>
      </c>
      <c r="S64" s="275" t="e">
        <f t="shared" ref="S64" si="33">(S37/S35)*100</f>
        <v>#DIV/0!</v>
      </c>
      <c r="T64" s="275" t="e">
        <f t="shared" si="32"/>
        <v>#DIV/0!</v>
      </c>
      <c r="U64" s="275" t="e">
        <f t="shared" si="32"/>
        <v>#DIV/0!</v>
      </c>
      <c r="V64" s="275" t="e">
        <f t="shared" si="32"/>
        <v>#DIV/0!</v>
      </c>
      <c r="W64" s="275" t="e">
        <f t="shared" si="32"/>
        <v>#DIV/0!</v>
      </c>
      <c r="X64" s="275" t="e">
        <f t="shared" si="32"/>
        <v>#DIV/0!</v>
      </c>
      <c r="Y64" s="275" t="e">
        <f t="shared" si="32"/>
        <v>#DIV/0!</v>
      </c>
      <c r="Z64" s="275" t="e">
        <f t="shared" si="32"/>
        <v>#DIV/0!</v>
      </c>
      <c r="AA64" s="275" t="e">
        <f t="shared" si="32"/>
        <v>#DIV/0!</v>
      </c>
      <c r="AB64" s="275" t="e">
        <f t="shared" si="32"/>
        <v>#DIV/0!</v>
      </c>
      <c r="AC64" s="275" t="e">
        <f t="shared" ref="AC64" si="34">(AC37/AC35)*100</f>
        <v>#DIV/0!</v>
      </c>
      <c r="AD64" s="275" t="e">
        <f t="shared" si="32"/>
        <v>#DIV/0!</v>
      </c>
      <c r="AE64" s="275" t="e">
        <f t="shared" si="32"/>
        <v>#DIV/0!</v>
      </c>
      <c r="AF64" s="275" t="e">
        <f t="shared" si="32"/>
        <v>#DIV/0!</v>
      </c>
      <c r="AG64" s="275" t="e">
        <f t="shared" si="32"/>
        <v>#DIV/0!</v>
      </c>
      <c r="AH64" s="275" t="e">
        <f t="shared" si="32"/>
        <v>#DIV/0!</v>
      </c>
      <c r="AI64" s="275" t="e">
        <f t="shared" ref="AI64:AJ64" si="35">(AI37/AI35)*100</f>
        <v>#DIV/0!</v>
      </c>
      <c r="AJ64" s="275" t="e">
        <f t="shared" si="35"/>
        <v>#DIV/0!</v>
      </c>
      <c r="AK64" s="275" t="e">
        <f t="shared" si="32"/>
        <v>#DIV/0!</v>
      </c>
      <c r="AL64" s="63"/>
      <c r="AM64" s="302" t="e">
        <f>(AM42/AM40)*100</f>
        <v>#DIV/0!</v>
      </c>
    </row>
    <row r="65" spans="3:61 15027:15040" ht="15" hidden="1" customHeight="1">
      <c r="C65" s="15"/>
      <c r="D65" s="75" t="s">
        <v>108</v>
      </c>
      <c r="E65" s="127">
        <v>75</v>
      </c>
      <c r="F65" s="70" t="s">
        <v>25</v>
      </c>
      <c r="G65" s="275" t="e">
        <f>G41/G40*100</f>
        <v>#DIV/0!</v>
      </c>
      <c r="H65" s="275" t="e">
        <f>H41/H40*100</f>
        <v>#DIV/0!</v>
      </c>
      <c r="I65" s="275" t="e">
        <f>I41/I40*100</f>
        <v>#DIV/0!</v>
      </c>
      <c r="J65" s="275" t="e">
        <f>J41/J40*100</f>
        <v>#DIV/0!</v>
      </c>
      <c r="K65" s="275" t="e">
        <v>#DIV/0!</v>
      </c>
      <c r="L65" s="275" t="e">
        <f t="shared" ref="L65:AK65" si="36">L41/L40*100</f>
        <v>#DIV/0!</v>
      </c>
      <c r="M65" s="275" t="e">
        <f t="shared" si="36"/>
        <v>#DIV/0!</v>
      </c>
      <c r="N65" s="275" t="e">
        <f t="shared" si="36"/>
        <v>#DIV/0!</v>
      </c>
      <c r="O65" s="275" t="e">
        <f t="shared" si="36"/>
        <v>#DIV/0!</v>
      </c>
      <c r="P65" s="275" t="e">
        <f t="shared" si="36"/>
        <v>#DIV/0!</v>
      </c>
      <c r="Q65" s="275" t="e">
        <f t="shared" si="36"/>
        <v>#DIV/0!</v>
      </c>
      <c r="R65" s="275" t="e">
        <f t="shared" si="36"/>
        <v>#DIV/0!</v>
      </c>
      <c r="S65" s="275" t="e">
        <f t="shared" ref="S65" si="37">S41/S40*100</f>
        <v>#DIV/0!</v>
      </c>
      <c r="T65" s="275" t="e">
        <f t="shared" si="36"/>
        <v>#DIV/0!</v>
      </c>
      <c r="U65" s="275" t="e">
        <f t="shared" si="36"/>
        <v>#DIV/0!</v>
      </c>
      <c r="V65" s="275" t="e">
        <f t="shared" si="36"/>
        <v>#DIV/0!</v>
      </c>
      <c r="W65" s="275" t="e">
        <f t="shared" si="36"/>
        <v>#DIV/0!</v>
      </c>
      <c r="X65" s="275" t="e">
        <f t="shared" si="36"/>
        <v>#DIV/0!</v>
      </c>
      <c r="Y65" s="275" t="e">
        <f t="shared" si="36"/>
        <v>#DIV/0!</v>
      </c>
      <c r="Z65" s="275" t="e">
        <f t="shared" si="36"/>
        <v>#DIV/0!</v>
      </c>
      <c r="AA65" s="275" t="e">
        <f t="shared" si="36"/>
        <v>#DIV/0!</v>
      </c>
      <c r="AB65" s="275" t="e">
        <f t="shared" si="36"/>
        <v>#DIV/0!</v>
      </c>
      <c r="AC65" s="275" t="e">
        <f t="shared" ref="AC65" si="38">AC41/AC40*100</f>
        <v>#DIV/0!</v>
      </c>
      <c r="AD65" s="275" t="e">
        <f t="shared" si="36"/>
        <v>#DIV/0!</v>
      </c>
      <c r="AE65" s="275" t="e">
        <f t="shared" si="36"/>
        <v>#DIV/0!</v>
      </c>
      <c r="AF65" s="275" t="e">
        <f t="shared" si="36"/>
        <v>#DIV/0!</v>
      </c>
      <c r="AG65" s="275" t="e">
        <f t="shared" si="36"/>
        <v>#DIV/0!</v>
      </c>
      <c r="AH65" s="275" t="e">
        <f t="shared" si="36"/>
        <v>#DIV/0!</v>
      </c>
      <c r="AI65" s="275" t="e">
        <f t="shared" ref="AI65:AJ65" si="39">AI41/AI40*100</f>
        <v>#DIV/0!</v>
      </c>
      <c r="AJ65" s="275" t="e">
        <f t="shared" si="39"/>
        <v>#DIV/0!</v>
      </c>
      <c r="AK65" s="275" t="e">
        <f t="shared" si="36"/>
        <v>#DIV/0!</v>
      </c>
      <c r="AL65" s="63"/>
      <c r="AM65" s="302" t="e">
        <f>AM41/AM40*100</f>
        <v>#DIV/0!</v>
      </c>
    </row>
    <row r="66" spans="3:61 15027:15040" ht="15" hidden="1" customHeight="1">
      <c r="C66" s="15"/>
      <c r="D66" s="75" t="s">
        <v>62</v>
      </c>
      <c r="E66" s="127">
        <v>25</v>
      </c>
      <c r="F66" s="70" t="s">
        <v>25</v>
      </c>
      <c r="G66" s="275" t="e">
        <f>G42/G40*100</f>
        <v>#DIV/0!</v>
      </c>
      <c r="H66" s="275" t="e">
        <f>H42/H40*100</f>
        <v>#DIV/0!</v>
      </c>
      <c r="I66" s="275" t="e">
        <f>I42/I40*100</f>
        <v>#DIV/0!</v>
      </c>
      <c r="J66" s="275" t="e">
        <f>J42/J40*100</f>
        <v>#DIV/0!</v>
      </c>
      <c r="K66" s="275" t="e">
        <v>#DIV/0!</v>
      </c>
      <c r="L66" s="275" t="e">
        <f t="shared" ref="L66:AK66" si="40">L42/L40*100</f>
        <v>#DIV/0!</v>
      </c>
      <c r="M66" s="275" t="e">
        <f t="shared" si="40"/>
        <v>#DIV/0!</v>
      </c>
      <c r="N66" s="275" t="e">
        <f t="shared" si="40"/>
        <v>#DIV/0!</v>
      </c>
      <c r="O66" s="275" t="e">
        <f t="shared" si="40"/>
        <v>#DIV/0!</v>
      </c>
      <c r="P66" s="275" t="e">
        <f t="shared" si="40"/>
        <v>#DIV/0!</v>
      </c>
      <c r="Q66" s="275" t="e">
        <f t="shared" si="40"/>
        <v>#DIV/0!</v>
      </c>
      <c r="R66" s="275" t="e">
        <f t="shared" si="40"/>
        <v>#DIV/0!</v>
      </c>
      <c r="S66" s="275" t="e">
        <f t="shared" ref="S66" si="41">S42/S40*100</f>
        <v>#DIV/0!</v>
      </c>
      <c r="T66" s="275" t="e">
        <f t="shared" si="40"/>
        <v>#DIV/0!</v>
      </c>
      <c r="U66" s="275" t="e">
        <f t="shared" si="40"/>
        <v>#DIV/0!</v>
      </c>
      <c r="V66" s="275" t="e">
        <f t="shared" si="40"/>
        <v>#DIV/0!</v>
      </c>
      <c r="W66" s="275" t="e">
        <f t="shared" si="40"/>
        <v>#DIV/0!</v>
      </c>
      <c r="X66" s="275" t="e">
        <f t="shared" si="40"/>
        <v>#DIV/0!</v>
      </c>
      <c r="Y66" s="275" t="e">
        <f t="shared" si="40"/>
        <v>#DIV/0!</v>
      </c>
      <c r="Z66" s="275" t="e">
        <f t="shared" si="40"/>
        <v>#DIV/0!</v>
      </c>
      <c r="AA66" s="275" t="e">
        <f t="shared" si="40"/>
        <v>#DIV/0!</v>
      </c>
      <c r="AB66" s="275" t="e">
        <f t="shared" si="40"/>
        <v>#DIV/0!</v>
      </c>
      <c r="AC66" s="275" t="e">
        <f t="shared" ref="AC66" si="42">AC42/AC40*100</f>
        <v>#DIV/0!</v>
      </c>
      <c r="AD66" s="275" t="e">
        <f t="shared" si="40"/>
        <v>#DIV/0!</v>
      </c>
      <c r="AE66" s="275" t="e">
        <f t="shared" si="40"/>
        <v>#DIV/0!</v>
      </c>
      <c r="AF66" s="275" t="e">
        <f t="shared" si="40"/>
        <v>#DIV/0!</v>
      </c>
      <c r="AG66" s="275" t="e">
        <f t="shared" si="40"/>
        <v>#DIV/0!</v>
      </c>
      <c r="AH66" s="275" t="e">
        <f t="shared" si="40"/>
        <v>#DIV/0!</v>
      </c>
      <c r="AI66" s="275" t="e">
        <f t="shared" ref="AI66:AJ66" si="43">AI42/AI40*100</f>
        <v>#DIV/0!</v>
      </c>
      <c r="AJ66" s="275" t="e">
        <f t="shared" si="43"/>
        <v>#DIV/0!</v>
      </c>
      <c r="AK66" s="275" t="e">
        <f t="shared" si="40"/>
        <v>#DIV/0!</v>
      </c>
      <c r="AL66" s="18"/>
      <c r="AM66" s="302" t="e">
        <f>AM42/AM40*100</f>
        <v>#DIV/0!</v>
      </c>
    </row>
    <row r="67" spans="3:61 15027:15040">
      <c r="C67" s="15"/>
      <c r="D67" s="75" t="s">
        <v>111</v>
      </c>
      <c r="E67" s="127">
        <v>70</v>
      </c>
      <c r="F67" s="70" t="s">
        <v>25</v>
      </c>
      <c r="G67" s="275" t="e">
        <f>G45/(G45+G46)*100</f>
        <v>#DIV/0!</v>
      </c>
      <c r="H67" s="275" t="e">
        <f>H45/(H45+H46)*100</f>
        <v>#DIV/0!</v>
      </c>
      <c r="I67" s="275" t="e">
        <f>I45/(I45+I46)*100</f>
        <v>#DIV/0!</v>
      </c>
      <c r="J67" s="275" t="e">
        <f>J45/(J45+J46)*100</f>
        <v>#DIV/0!</v>
      </c>
      <c r="K67" s="275" t="e">
        <f>K45/(K45+K46)*100</f>
        <v>#DIV/0!</v>
      </c>
      <c r="L67" s="275" t="e">
        <f t="shared" ref="L67:AK67" si="44">L45/(L45+L46)*100</f>
        <v>#DIV/0!</v>
      </c>
      <c r="M67" s="275" t="e">
        <f t="shared" si="44"/>
        <v>#DIV/0!</v>
      </c>
      <c r="N67" s="275" t="e">
        <f t="shared" si="44"/>
        <v>#DIV/0!</v>
      </c>
      <c r="O67" s="275" t="e">
        <f t="shared" si="44"/>
        <v>#DIV/0!</v>
      </c>
      <c r="P67" s="275" t="e">
        <f t="shared" si="44"/>
        <v>#DIV/0!</v>
      </c>
      <c r="Q67" s="275" t="e">
        <f t="shared" si="44"/>
        <v>#DIV/0!</v>
      </c>
      <c r="R67" s="275" t="e">
        <f t="shared" si="44"/>
        <v>#DIV/0!</v>
      </c>
      <c r="S67" s="275" t="e">
        <f t="shared" ref="S67" si="45">S45/(S45+S46)*100</f>
        <v>#DIV/0!</v>
      </c>
      <c r="T67" s="275" t="e">
        <f t="shared" si="44"/>
        <v>#DIV/0!</v>
      </c>
      <c r="U67" s="275" t="e">
        <f t="shared" si="44"/>
        <v>#DIV/0!</v>
      </c>
      <c r="V67" s="275" t="e">
        <f t="shared" si="44"/>
        <v>#DIV/0!</v>
      </c>
      <c r="W67" s="275" t="e">
        <f t="shared" si="44"/>
        <v>#DIV/0!</v>
      </c>
      <c r="X67" s="275" t="e">
        <f t="shared" si="44"/>
        <v>#DIV/0!</v>
      </c>
      <c r="Y67" s="275" t="e">
        <f t="shared" si="44"/>
        <v>#DIV/0!</v>
      </c>
      <c r="Z67" s="275" t="e">
        <f t="shared" si="44"/>
        <v>#DIV/0!</v>
      </c>
      <c r="AA67" s="275" t="e">
        <f t="shared" si="44"/>
        <v>#DIV/0!</v>
      </c>
      <c r="AB67" s="275" t="e">
        <f t="shared" si="44"/>
        <v>#DIV/0!</v>
      </c>
      <c r="AC67" s="275" t="e">
        <f t="shared" ref="AC67" si="46">AC45/(AC45+AC46)*100</f>
        <v>#DIV/0!</v>
      </c>
      <c r="AD67" s="275" t="e">
        <f t="shared" si="44"/>
        <v>#DIV/0!</v>
      </c>
      <c r="AE67" s="275" t="e">
        <f t="shared" si="44"/>
        <v>#DIV/0!</v>
      </c>
      <c r="AF67" s="275" t="e">
        <f t="shared" si="44"/>
        <v>#DIV/0!</v>
      </c>
      <c r="AG67" s="275" t="e">
        <f t="shared" si="44"/>
        <v>#DIV/0!</v>
      </c>
      <c r="AH67" s="275" t="e">
        <f t="shared" si="44"/>
        <v>#DIV/0!</v>
      </c>
      <c r="AI67" s="275" t="e">
        <f t="shared" ref="AI67:AJ67" si="47">AI45/(AI45+AI46)*100</f>
        <v>#DIV/0!</v>
      </c>
      <c r="AJ67" s="275" t="e">
        <f t="shared" si="47"/>
        <v>#DIV/0!</v>
      </c>
      <c r="AK67" s="275" t="e">
        <f t="shared" si="44"/>
        <v>#DIV/0!</v>
      </c>
      <c r="AL67" s="18"/>
      <c r="AM67" s="1522" t="e">
        <f>AM45/(AM45+AM46)*100</f>
        <v>#DIV/0!</v>
      </c>
    </row>
    <row r="68" spans="3:61 15027:15040">
      <c r="C68" s="15"/>
      <c r="D68" s="75" t="s">
        <v>62</v>
      </c>
      <c r="E68" s="127">
        <v>30</v>
      </c>
      <c r="F68" s="70" t="s">
        <v>25</v>
      </c>
      <c r="G68" s="275" t="e">
        <f>G46/(G46+G45)*100</f>
        <v>#DIV/0!</v>
      </c>
      <c r="H68" s="275" t="e">
        <f>H46/(H46+H45)*100</f>
        <v>#DIV/0!</v>
      </c>
      <c r="I68" s="275" t="e">
        <f>I46/(I46+I45)*100</f>
        <v>#DIV/0!</v>
      </c>
      <c r="J68" s="275" t="e">
        <f>J46/(J46+J45)*100</f>
        <v>#DIV/0!</v>
      </c>
      <c r="K68" s="275" t="e">
        <f>K46/(K46+K45)*100</f>
        <v>#DIV/0!</v>
      </c>
      <c r="L68" s="275" t="e">
        <f t="shared" ref="L68:AK68" si="48">L46/(L46+L45)*100</f>
        <v>#DIV/0!</v>
      </c>
      <c r="M68" s="275" t="e">
        <f t="shared" si="48"/>
        <v>#DIV/0!</v>
      </c>
      <c r="N68" s="275" t="e">
        <f t="shared" si="48"/>
        <v>#DIV/0!</v>
      </c>
      <c r="O68" s="275" t="e">
        <f t="shared" si="48"/>
        <v>#DIV/0!</v>
      </c>
      <c r="P68" s="275" t="e">
        <f t="shared" si="48"/>
        <v>#DIV/0!</v>
      </c>
      <c r="Q68" s="275" t="e">
        <f t="shared" si="48"/>
        <v>#DIV/0!</v>
      </c>
      <c r="R68" s="275" t="e">
        <f t="shared" si="48"/>
        <v>#DIV/0!</v>
      </c>
      <c r="S68" s="275" t="e">
        <f t="shared" ref="S68" si="49">S46/(S46+S45)*100</f>
        <v>#DIV/0!</v>
      </c>
      <c r="T68" s="275" t="e">
        <f t="shared" si="48"/>
        <v>#DIV/0!</v>
      </c>
      <c r="U68" s="275" t="e">
        <f t="shared" si="48"/>
        <v>#DIV/0!</v>
      </c>
      <c r="V68" s="275" t="e">
        <f t="shared" si="48"/>
        <v>#DIV/0!</v>
      </c>
      <c r="W68" s="275" t="e">
        <f t="shared" si="48"/>
        <v>#DIV/0!</v>
      </c>
      <c r="X68" s="275" t="e">
        <f t="shared" si="48"/>
        <v>#DIV/0!</v>
      </c>
      <c r="Y68" s="275" t="e">
        <f t="shared" si="48"/>
        <v>#DIV/0!</v>
      </c>
      <c r="Z68" s="275" t="e">
        <f t="shared" si="48"/>
        <v>#DIV/0!</v>
      </c>
      <c r="AA68" s="275" t="e">
        <f t="shared" si="48"/>
        <v>#DIV/0!</v>
      </c>
      <c r="AB68" s="275" t="e">
        <f t="shared" si="48"/>
        <v>#DIV/0!</v>
      </c>
      <c r="AC68" s="275" t="e">
        <f t="shared" ref="AC68" si="50">AC46/(AC46+AC45)*100</f>
        <v>#DIV/0!</v>
      </c>
      <c r="AD68" s="275" t="e">
        <f t="shared" si="48"/>
        <v>#DIV/0!</v>
      </c>
      <c r="AE68" s="275" t="e">
        <f t="shared" si="48"/>
        <v>#DIV/0!</v>
      </c>
      <c r="AF68" s="275" t="e">
        <f t="shared" si="48"/>
        <v>#DIV/0!</v>
      </c>
      <c r="AG68" s="275" t="e">
        <f t="shared" si="48"/>
        <v>#DIV/0!</v>
      </c>
      <c r="AH68" s="275" t="e">
        <f t="shared" si="48"/>
        <v>#DIV/0!</v>
      </c>
      <c r="AI68" s="275" t="e">
        <f t="shared" ref="AI68:AJ68" si="51">AI46/(AI46+AI45)*100</f>
        <v>#DIV/0!</v>
      </c>
      <c r="AJ68" s="275" t="e">
        <f t="shared" si="51"/>
        <v>#DIV/0!</v>
      </c>
      <c r="AK68" s="275" t="e">
        <f t="shared" si="48"/>
        <v>#DIV/0!</v>
      </c>
      <c r="AL68" s="18"/>
      <c r="AM68" s="302" t="e">
        <f>AM46/AM44*100</f>
        <v>#DIV/0!</v>
      </c>
    </row>
    <row r="69" spans="3:61 15027:15040">
      <c r="C69" s="15"/>
      <c r="D69" s="75" t="s">
        <v>817</v>
      </c>
      <c r="E69" s="127">
        <v>70</v>
      </c>
      <c r="F69" s="70" t="s">
        <v>25</v>
      </c>
      <c r="G69" s="275" t="e">
        <f>G50/(G50+G51)*100</f>
        <v>#DIV/0!</v>
      </c>
      <c r="H69" s="275" t="e">
        <f>H50/(H50+H51)*100</f>
        <v>#DIV/0!</v>
      </c>
      <c r="I69" s="275" t="e">
        <f>I50/(I50+I51)*100</f>
        <v>#DIV/0!</v>
      </c>
      <c r="J69" s="275" t="e">
        <f>J50/(J50+J51)*100</f>
        <v>#DIV/0!</v>
      </c>
      <c r="K69" s="275" t="e">
        <v>#DIV/0!</v>
      </c>
      <c r="L69" s="275" t="e">
        <f t="shared" ref="L69:AK69" si="52">L50/(L50+L51)*100</f>
        <v>#DIV/0!</v>
      </c>
      <c r="M69" s="275" t="e">
        <f t="shared" si="52"/>
        <v>#DIV/0!</v>
      </c>
      <c r="N69" s="275" t="e">
        <f t="shared" si="52"/>
        <v>#DIV/0!</v>
      </c>
      <c r="O69" s="275" t="e">
        <f t="shared" si="52"/>
        <v>#DIV/0!</v>
      </c>
      <c r="P69" s="275" t="e">
        <f t="shared" si="52"/>
        <v>#DIV/0!</v>
      </c>
      <c r="Q69" s="275" t="e">
        <f t="shared" si="52"/>
        <v>#DIV/0!</v>
      </c>
      <c r="R69" s="275" t="e">
        <f t="shared" si="52"/>
        <v>#DIV/0!</v>
      </c>
      <c r="S69" s="275" t="e">
        <f t="shared" ref="S69" si="53">S50/(S50+S51)*100</f>
        <v>#DIV/0!</v>
      </c>
      <c r="T69" s="275" t="e">
        <f t="shared" si="52"/>
        <v>#DIV/0!</v>
      </c>
      <c r="U69" s="275" t="e">
        <f t="shared" si="52"/>
        <v>#DIV/0!</v>
      </c>
      <c r="V69" s="275" t="e">
        <f t="shared" si="52"/>
        <v>#DIV/0!</v>
      </c>
      <c r="W69" s="275" t="e">
        <f t="shared" si="52"/>
        <v>#DIV/0!</v>
      </c>
      <c r="X69" s="275" t="e">
        <f t="shared" si="52"/>
        <v>#DIV/0!</v>
      </c>
      <c r="Y69" s="275" t="e">
        <f t="shared" si="52"/>
        <v>#DIV/0!</v>
      </c>
      <c r="Z69" s="275" t="e">
        <f t="shared" si="52"/>
        <v>#DIV/0!</v>
      </c>
      <c r="AA69" s="275" t="e">
        <f t="shared" si="52"/>
        <v>#DIV/0!</v>
      </c>
      <c r="AB69" s="275" t="e">
        <f t="shared" si="52"/>
        <v>#DIV/0!</v>
      </c>
      <c r="AC69" s="275" t="e">
        <f t="shared" ref="AC69" si="54">AC50/(AC50+AC51)*100</f>
        <v>#DIV/0!</v>
      </c>
      <c r="AD69" s="275" t="e">
        <f t="shared" si="52"/>
        <v>#DIV/0!</v>
      </c>
      <c r="AE69" s="275" t="e">
        <f t="shared" si="52"/>
        <v>#DIV/0!</v>
      </c>
      <c r="AF69" s="275" t="e">
        <f t="shared" si="52"/>
        <v>#DIV/0!</v>
      </c>
      <c r="AG69" s="275" t="e">
        <f t="shared" si="52"/>
        <v>#DIV/0!</v>
      </c>
      <c r="AH69" s="275" t="e">
        <f t="shared" si="52"/>
        <v>#DIV/0!</v>
      </c>
      <c r="AI69" s="275" t="e">
        <f t="shared" ref="AI69:AJ69" si="55">AI50/(AI50+AI51)*100</f>
        <v>#DIV/0!</v>
      </c>
      <c r="AJ69" s="275" t="e">
        <f t="shared" si="55"/>
        <v>#DIV/0!</v>
      </c>
      <c r="AK69" s="275" t="e">
        <f t="shared" si="52"/>
        <v>#DIV/0!</v>
      </c>
      <c r="AL69" s="18"/>
      <c r="AM69" s="1522" t="e">
        <f>AM50/(AM50+AM51)*100</f>
        <v>#DIV/0!</v>
      </c>
    </row>
    <row r="70" spans="3:61 15027:15040">
      <c r="C70" s="15"/>
      <c r="D70" s="75" t="s">
        <v>62</v>
      </c>
      <c r="E70" s="127">
        <v>30</v>
      </c>
      <c r="F70" s="70" t="s">
        <v>25</v>
      </c>
      <c r="G70" s="275" t="e">
        <f>G51/(G50+G51)*100</f>
        <v>#DIV/0!</v>
      </c>
      <c r="H70" s="275" t="e">
        <f>H51/(H50+H51)*100</f>
        <v>#DIV/0!</v>
      </c>
      <c r="I70" s="275" t="e">
        <f>I51/(I50+I51)*100</f>
        <v>#DIV/0!</v>
      </c>
      <c r="J70" s="275" t="e">
        <f>J51/(J50+J51)*100</f>
        <v>#DIV/0!</v>
      </c>
      <c r="K70" s="275" t="e">
        <v>#DIV/0!</v>
      </c>
      <c r="L70" s="275" t="e">
        <f t="shared" ref="L70:AK70" si="56">L51/(L50+L51)*100</f>
        <v>#DIV/0!</v>
      </c>
      <c r="M70" s="275" t="e">
        <f t="shared" si="56"/>
        <v>#DIV/0!</v>
      </c>
      <c r="N70" s="275" t="e">
        <f t="shared" si="56"/>
        <v>#DIV/0!</v>
      </c>
      <c r="O70" s="275" t="e">
        <f t="shared" si="56"/>
        <v>#DIV/0!</v>
      </c>
      <c r="P70" s="275" t="e">
        <f t="shared" si="56"/>
        <v>#DIV/0!</v>
      </c>
      <c r="Q70" s="275" t="e">
        <f t="shared" si="56"/>
        <v>#DIV/0!</v>
      </c>
      <c r="R70" s="275" t="e">
        <f t="shared" si="56"/>
        <v>#DIV/0!</v>
      </c>
      <c r="S70" s="275" t="e">
        <f t="shared" ref="S70" si="57">S51/(S50+S51)*100</f>
        <v>#DIV/0!</v>
      </c>
      <c r="T70" s="275" t="e">
        <f t="shared" si="56"/>
        <v>#DIV/0!</v>
      </c>
      <c r="U70" s="275" t="e">
        <f t="shared" si="56"/>
        <v>#DIV/0!</v>
      </c>
      <c r="V70" s="275" t="e">
        <f t="shared" si="56"/>
        <v>#DIV/0!</v>
      </c>
      <c r="W70" s="275" t="e">
        <f t="shared" si="56"/>
        <v>#DIV/0!</v>
      </c>
      <c r="X70" s="275" t="e">
        <f t="shared" si="56"/>
        <v>#DIV/0!</v>
      </c>
      <c r="Y70" s="275" t="e">
        <f t="shared" si="56"/>
        <v>#DIV/0!</v>
      </c>
      <c r="Z70" s="275" t="e">
        <f t="shared" si="56"/>
        <v>#DIV/0!</v>
      </c>
      <c r="AA70" s="275" t="e">
        <f t="shared" si="56"/>
        <v>#DIV/0!</v>
      </c>
      <c r="AB70" s="275" t="e">
        <f t="shared" si="56"/>
        <v>#DIV/0!</v>
      </c>
      <c r="AC70" s="275" t="e">
        <f t="shared" ref="AC70" si="58">AC51/(AC50+AC51)*100</f>
        <v>#DIV/0!</v>
      </c>
      <c r="AD70" s="275" t="e">
        <f t="shared" si="56"/>
        <v>#DIV/0!</v>
      </c>
      <c r="AE70" s="275" t="e">
        <f t="shared" si="56"/>
        <v>#DIV/0!</v>
      </c>
      <c r="AF70" s="275" t="e">
        <f t="shared" si="56"/>
        <v>#DIV/0!</v>
      </c>
      <c r="AG70" s="275" t="e">
        <f t="shared" si="56"/>
        <v>#DIV/0!</v>
      </c>
      <c r="AH70" s="275" t="e">
        <f>AH51/(AH50+AH51)*100</f>
        <v>#DIV/0!</v>
      </c>
      <c r="AI70" s="275" t="e">
        <f t="shared" ref="AI70:AJ70" si="59">AI51/(AI50+AI51)*100</f>
        <v>#DIV/0!</v>
      </c>
      <c r="AJ70" s="275" t="e">
        <f t="shared" si="59"/>
        <v>#DIV/0!</v>
      </c>
      <c r="AK70" s="275" t="e">
        <f t="shared" si="56"/>
        <v>#DIV/0!</v>
      </c>
      <c r="AL70" s="18"/>
      <c r="AM70" s="1522" t="e">
        <f>AM51/(AM50+AM51)*100</f>
        <v>#DIV/0!</v>
      </c>
    </row>
    <row r="71" spans="3:61 15027:15040">
      <c r="C71" s="15"/>
      <c r="D71" s="75" t="s">
        <v>61</v>
      </c>
      <c r="E71" s="127">
        <v>60</v>
      </c>
      <c r="F71" s="70" t="s">
        <v>25</v>
      </c>
      <c r="G71" s="275" t="e">
        <f t="shared" ref="G71:AF71" si="60">G55/(G55+G56)*100</f>
        <v>#DIV/0!</v>
      </c>
      <c r="H71" s="275" t="e">
        <f t="shared" si="60"/>
        <v>#DIV/0!</v>
      </c>
      <c r="I71" s="275" t="e">
        <f t="shared" si="60"/>
        <v>#DIV/0!</v>
      </c>
      <c r="J71" s="275" t="e">
        <f t="shared" si="60"/>
        <v>#DIV/0!</v>
      </c>
      <c r="K71" s="275" t="e">
        <f t="shared" si="60"/>
        <v>#DIV/0!</v>
      </c>
      <c r="L71" s="275" t="e">
        <f t="shared" si="60"/>
        <v>#DIV/0!</v>
      </c>
      <c r="M71" s="275" t="e">
        <f t="shared" si="60"/>
        <v>#DIV/0!</v>
      </c>
      <c r="N71" s="275" t="e">
        <f t="shared" si="60"/>
        <v>#DIV/0!</v>
      </c>
      <c r="O71" s="275" t="e">
        <f t="shared" si="60"/>
        <v>#DIV/0!</v>
      </c>
      <c r="P71" s="275" t="e">
        <f t="shared" si="60"/>
        <v>#DIV/0!</v>
      </c>
      <c r="Q71" s="275" t="e">
        <f t="shared" si="60"/>
        <v>#DIV/0!</v>
      </c>
      <c r="R71" s="275" t="e">
        <f t="shared" si="60"/>
        <v>#DIV/0!</v>
      </c>
      <c r="S71" s="275" t="e">
        <f t="shared" ref="S71" si="61">S55/(S55+S56)*100</f>
        <v>#DIV/0!</v>
      </c>
      <c r="T71" s="275" t="e">
        <f t="shared" si="60"/>
        <v>#DIV/0!</v>
      </c>
      <c r="U71" s="275" t="e">
        <f t="shared" si="60"/>
        <v>#DIV/0!</v>
      </c>
      <c r="V71" s="275" t="e">
        <f t="shared" si="60"/>
        <v>#DIV/0!</v>
      </c>
      <c r="W71" s="275" t="e">
        <f t="shared" si="60"/>
        <v>#DIV/0!</v>
      </c>
      <c r="X71" s="275" t="e">
        <f t="shared" si="60"/>
        <v>#DIV/0!</v>
      </c>
      <c r="Y71" s="275" t="e">
        <f t="shared" si="60"/>
        <v>#DIV/0!</v>
      </c>
      <c r="Z71" s="275" t="e">
        <f t="shared" si="60"/>
        <v>#DIV/0!</v>
      </c>
      <c r="AA71" s="275" t="e">
        <f t="shared" si="60"/>
        <v>#DIV/0!</v>
      </c>
      <c r="AB71" s="275" t="e">
        <f t="shared" si="60"/>
        <v>#DIV/0!</v>
      </c>
      <c r="AC71" s="275" t="e">
        <f t="shared" ref="AC71" si="62">AC55/(AC55+AC56)*100</f>
        <v>#DIV/0!</v>
      </c>
      <c r="AD71" s="275" t="e">
        <f t="shared" si="60"/>
        <v>#DIV/0!</v>
      </c>
      <c r="AE71" s="275" t="e">
        <f t="shared" si="60"/>
        <v>#DIV/0!</v>
      </c>
      <c r="AF71" s="275" t="e">
        <f t="shared" si="60"/>
        <v>#DIV/0!</v>
      </c>
      <c r="AG71" s="275" t="e">
        <f>AG55/(AG55+AG56)*100</f>
        <v>#DIV/0!</v>
      </c>
      <c r="AH71" s="275" t="e">
        <f>AH55/(AH55+AH56)*100</f>
        <v>#DIV/0!</v>
      </c>
      <c r="AI71" s="275" t="e">
        <f t="shared" ref="AI71:AJ71" si="63">AI55/(AI55+AI56)*100</f>
        <v>#DIV/0!</v>
      </c>
      <c r="AJ71" s="275" t="e">
        <f t="shared" si="63"/>
        <v>#DIV/0!</v>
      </c>
      <c r="AK71" s="275" t="e">
        <f>#REF!/AK54*100</f>
        <v>#REF!</v>
      </c>
      <c r="AL71" s="63"/>
      <c r="AM71" s="1522" t="e">
        <f>AM55/(AM54+AM50)*100</f>
        <v>#DIV/0!</v>
      </c>
    </row>
    <row r="72" spans="3:61 15027:15040" ht="15" thickBot="1">
      <c r="C72" s="19"/>
      <c r="D72" s="75" t="s">
        <v>60</v>
      </c>
      <c r="E72" s="127">
        <v>40</v>
      </c>
      <c r="F72" s="70" t="s">
        <v>25</v>
      </c>
      <c r="G72" s="275" t="e">
        <f>G56/G54*100</f>
        <v>#DIV/0!</v>
      </c>
      <c r="H72" s="275" t="e">
        <f>H56/H54*100</f>
        <v>#DIV/0!</v>
      </c>
      <c r="I72" s="275" t="e">
        <f>I56/I54*100</f>
        <v>#DIV/0!</v>
      </c>
      <c r="J72" s="275" t="e">
        <f>J56/J54*100</f>
        <v>#DIV/0!</v>
      </c>
      <c r="K72" s="275" t="e">
        <v>#DIV/0!</v>
      </c>
      <c r="L72" s="275" t="e">
        <f t="shared" ref="L72:AG72" si="64">L56/L54*100</f>
        <v>#DIV/0!</v>
      </c>
      <c r="M72" s="275" t="e">
        <f t="shared" si="64"/>
        <v>#DIV/0!</v>
      </c>
      <c r="N72" s="275" t="e">
        <f t="shared" si="64"/>
        <v>#DIV/0!</v>
      </c>
      <c r="O72" s="275" t="e">
        <f t="shared" si="64"/>
        <v>#DIV/0!</v>
      </c>
      <c r="P72" s="275" t="e">
        <f t="shared" si="64"/>
        <v>#DIV/0!</v>
      </c>
      <c r="Q72" s="275" t="e">
        <f t="shared" si="64"/>
        <v>#DIV/0!</v>
      </c>
      <c r="R72" s="275" t="e">
        <f t="shared" si="64"/>
        <v>#DIV/0!</v>
      </c>
      <c r="S72" s="275" t="e">
        <f t="shared" ref="S72" si="65">S56/S54*100</f>
        <v>#DIV/0!</v>
      </c>
      <c r="T72" s="275" t="e">
        <f t="shared" si="64"/>
        <v>#DIV/0!</v>
      </c>
      <c r="U72" s="275" t="e">
        <f t="shared" si="64"/>
        <v>#DIV/0!</v>
      </c>
      <c r="V72" s="275" t="e">
        <f t="shared" si="64"/>
        <v>#DIV/0!</v>
      </c>
      <c r="W72" s="275" t="e">
        <f t="shared" si="64"/>
        <v>#DIV/0!</v>
      </c>
      <c r="X72" s="275" t="e">
        <f t="shared" si="64"/>
        <v>#DIV/0!</v>
      </c>
      <c r="Y72" s="275" t="e">
        <f t="shared" si="64"/>
        <v>#DIV/0!</v>
      </c>
      <c r="Z72" s="275" t="e">
        <f t="shared" si="64"/>
        <v>#DIV/0!</v>
      </c>
      <c r="AA72" s="275" t="e">
        <f t="shared" si="64"/>
        <v>#DIV/0!</v>
      </c>
      <c r="AB72" s="275" t="e">
        <f t="shared" si="64"/>
        <v>#DIV/0!</v>
      </c>
      <c r="AC72" s="275" t="e">
        <f t="shared" ref="AC72" si="66">AC56/AC54*100</f>
        <v>#DIV/0!</v>
      </c>
      <c r="AD72" s="275" t="e">
        <f t="shared" si="64"/>
        <v>#DIV/0!</v>
      </c>
      <c r="AE72" s="275" t="e">
        <f t="shared" si="64"/>
        <v>#DIV/0!</v>
      </c>
      <c r="AF72" s="275" t="e">
        <f t="shared" si="64"/>
        <v>#DIV/0!</v>
      </c>
      <c r="AG72" s="275" t="e">
        <f t="shared" si="64"/>
        <v>#DIV/0!</v>
      </c>
      <c r="AH72" s="275" t="e">
        <f>AH56/(AH56+AH55)*100</f>
        <v>#DIV/0!</v>
      </c>
      <c r="AI72" s="275" t="e">
        <f t="shared" ref="AI72:AJ72" si="67">AI56/(AI56+AI55)*100</f>
        <v>#DIV/0!</v>
      </c>
      <c r="AJ72" s="275" t="e">
        <f t="shared" si="67"/>
        <v>#DIV/0!</v>
      </c>
      <c r="AK72" s="275" t="e">
        <f>AK56/AK54*100</f>
        <v>#DIV/0!</v>
      </c>
      <c r="AL72" s="18"/>
      <c r="AM72" s="302" t="e">
        <f>AM56/AM54*100</f>
        <v>#DIV/0!</v>
      </c>
    </row>
    <row r="73" spans="3:61 15027:15040">
      <c r="C73" s="8">
        <v>2</v>
      </c>
      <c r="D73" s="81" t="s">
        <v>59</v>
      </c>
      <c r="E73" s="77"/>
      <c r="F73" s="78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1968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M73" s="82" t="s">
        <v>129</v>
      </c>
    </row>
    <row r="74" spans="3:61 15027:15040">
      <c r="C74" s="8"/>
      <c r="D74" s="236" t="s">
        <v>58</v>
      </c>
      <c r="E74" s="253">
        <v>9</v>
      </c>
      <c r="F74" s="237" t="s">
        <v>56</v>
      </c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1975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  <c r="AD74" s="276"/>
      <c r="AE74" s="276"/>
      <c r="AF74" s="276"/>
      <c r="AG74" s="276"/>
      <c r="AH74" s="276"/>
      <c r="AI74" s="276"/>
      <c r="AJ74" s="276"/>
      <c r="AK74" s="276"/>
      <c r="AM74" s="83">
        <f>SUM(G74:AK74)</f>
        <v>0</v>
      </c>
      <c r="AP74" s="3"/>
    </row>
    <row r="75" spans="3:61 15027:15040">
      <c r="C75" s="15"/>
      <c r="D75" s="21"/>
      <c r="E75" s="255"/>
      <c r="F75" s="20" t="s">
        <v>25</v>
      </c>
      <c r="G75" s="277" t="e">
        <f>G74/(G11)*100</f>
        <v>#DIV/0!</v>
      </c>
      <c r="H75" s="277" t="e">
        <f>H74/(H11)*100</f>
        <v>#DIV/0!</v>
      </c>
      <c r="I75" s="277" t="e">
        <f>I74/(I11)*100</f>
        <v>#DIV/0!</v>
      </c>
      <c r="J75" s="277" t="e">
        <f>J74/(J11)*100</f>
        <v>#DIV/0!</v>
      </c>
      <c r="K75" s="277" t="e">
        <f>K74/(K11)*100</f>
        <v>#DIV/0!</v>
      </c>
      <c r="L75" s="277" t="e">
        <f t="shared" ref="L75:AK75" si="68">L74/(L11)*100</f>
        <v>#DIV/0!</v>
      </c>
      <c r="M75" s="277" t="e">
        <f t="shared" si="68"/>
        <v>#DIV/0!</v>
      </c>
      <c r="N75" s="277" t="e">
        <f t="shared" si="68"/>
        <v>#DIV/0!</v>
      </c>
      <c r="O75" s="277" t="e">
        <f t="shared" si="68"/>
        <v>#DIV/0!</v>
      </c>
      <c r="P75" s="277" t="e">
        <f t="shared" si="68"/>
        <v>#DIV/0!</v>
      </c>
      <c r="Q75" s="277" t="e">
        <f>Q74/(Q11)*100</f>
        <v>#DIV/0!</v>
      </c>
      <c r="R75" s="277" t="e">
        <f t="shared" ref="R75:S75" si="69">R74/(R11)*100</f>
        <v>#DIV/0!</v>
      </c>
      <c r="S75" s="277" t="e">
        <f t="shared" si="69"/>
        <v>#DIV/0!</v>
      </c>
      <c r="T75" s="277" t="e">
        <f t="shared" si="68"/>
        <v>#DIV/0!</v>
      </c>
      <c r="U75" s="277" t="e">
        <f t="shared" si="68"/>
        <v>#DIV/0!</v>
      </c>
      <c r="V75" s="277" t="e">
        <f t="shared" si="68"/>
        <v>#DIV/0!</v>
      </c>
      <c r="W75" s="277" t="e">
        <f t="shared" si="68"/>
        <v>#DIV/0!</v>
      </c>
      <c r="X75" s="277" t="e">
        <f t="shared" si="68"/>
        <v>#DIV/0!</v>
      </c>
      <c r="Y75" s="277" t="e">
        <f t="shared" si="68"/>
        <v>#DIV/0!</v>
      </c>
      <c r="Z75" s="277" t="e">
        <f t="shared" si="68"/>
        <v>#DIV/0!</v>
      </c>
      <c r="AA75" s="277" t="e">
        <f t="shared" si="68"/>
        <v>#DIV/0!</v>
      </c>
      <c r="AB75" s="277" t="e">
        <f t="shared" si="68"/>
        <v>#DIV/0!</v>
      </c>
      <c r="AC75" s="277">
        <v>0.69045975095831047</v>
      </c>
      <c r="AD75" s="277" t="e">
        <f t="shared" si="68"/>
        <v>#DIV/0!</v>
      </c>
      <c r="AE75" s="277" t="e">
        <f t="shared" si="68"/>
        <v>#DIV/0!</v>
      </c>
      <c r="AF75" s="277" t="e">
        <f t="shared" si="68"/>
        <v>#DIV/0!</v>
      </c>
      <c r="AG75" s="277" t="e">
        <f t="shared" si="68"/>
        <v>#DIV/0!</v>
      </c>
      <c r="AH75" s="277" t="e">
        <f t="shared" si="68"/>
        <v>#DIV/0!</v>
      </c>
      <c r="AI75" s="277"/>
      <c r="AJ75" s="277"/>
      <c r="AK75" s="277" t="e">
        <f t="shared" si="68"/>
        <v>#DIV/0!</v>
      </c>
      <c r="AM75" s="303" t="e">
        <f>AM74/(AM11)*100</f>
        <v>#DIV/0!</v>
      </c>
    </row>
    <row r="76" spans="3:61 15027:15040">
      <c r="C76" s="15"/>
      <c r="D76" s="236" t="s">
        <v>1063</v>
      </c>
      <c r="E76" s="1783">
        <v>40000</v>
      </c>
      <c r="F76" s="237" t="s">
        <v>56</v>
      </c>
      <c r="G76" s="1922"/>
      <c r="H76" s="1922"/>
      <c r="I76" s="1922"/>
      <c r="J76" s="1922"/>
      <c r="K76" s="1922"/>
      <c r="L76" s="1922"/>
      <c r="M76" s="1922"/>
      <c r="N76" s="1922"/>
      <c r="O76" s="1922"/>
      <c r="P76" s="1922"/>
      <c r="Q76" s="1922"/>
      <c r="R76" s="1922"/>
      <c r="S76" s="1979"/>
      <c r="T76" s="1922"/>
      <c r="U76" s="1922"/>
      <c r="V76" s="1923">
        <v>0</v>
      </c>
      <c r="W76" s="1923">
        <v>0</v>
      </c>
      <c r="X76" s="1923">
        <v>0</v>
      </c>
      <c r="Y76" s="1923"/>
      <c r="Z76" s="1923"/>
      <c r="AA76" s="1923">
        <v>0</v>
      </c>
      <c r="AB76" s="1923">
        <v>0</v>
      </c>
      <c r="AC76" s="1923">
        <v>0</v>
      </c>
      <c r="AD76" s="1923">
        <v>0</v>
      </c>
      <c r="AE76" s="1923">
        <v>0</v>
      </c>
      <c r="AF76" s="1923">
        <v>0</v>
      </c>
      <c r="AG76" s="1923">
        <v>0</v>
      </c>
      <c r="AH76" s="1923"/>
      <c r="AI76" s="1923"/>
      <c r="AJ76" s="1923"/>
      <c r="AK76" s="277"/>
      <c r="AM76" s="83">
        <f>SUM(G76:AK76)</f>
        <v>0</v>
      </c>
    </row>
    <row r="77" spans="3:61 15027:15040">
      <c r="C77" s="15"/>
      <c r="D77" s="21"/>
      <c r="E77" s="255"/>
      <c r="F77" s="20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1976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J77" s="277"/>
      <c r="AK77" s="277"/>
      <c r="AM77" s="1921"/>
    </row>
    <row r="78" spans="3:61 15027:15040">
      <c r="C78" s="15"/>
      <c r="D78" s="236" t="s">
        <v>1064</v>
      </c>
      <c r="E78" s="1783">
        <v>40000</v>
      </c>
      <c r="F78" s="237" t="s">
        <v>56</v>
      </c>
      <c r="G78" s="1922"/>
      <c r="H78" s="1922"/>
      <c r="I78" s="1922"/>
      <c r="J78" s="1922"/>
      <c r="K78" s="1922"/>
      <c r="L78" s="1922"/>
      <c r="M78" s="1922"/>
      <c r="N78" s="1922"/>
      <c r="O78" s="1922"/>
      <c r="P78" s="1922"/>
      <c r="Q78" s="1922"/>
      <c r="R78" s="1922"/>
      <c r="S78" s="1979"/>
      <c r="T78" s="1922"/>
      <c r="U78" s="1922"/>
      <c r="V78" s="1922">
        <v>0</v>
      </c>
      <c r="W78" s="1923">
        <v>0</v>
      </c>
      <c r="X78" s="1923">
        <v>0</v>
      </c>
      <c r="Y78" s="1923">
        <v>0</v>
      </c>
      <c r="Z78" s="1923">
        <v>0</v>
      </c>
      <c r="AA78" s="1923">
        <v>0</v>
      </c>
      <c r="AB78" s="1923">
        <v>0</v>
      </c>
      <c r="AC78" s="1923">
        <v>0</v>
      </c>
      <c r="AD78" s="1923">
        <v>0</v>
      </c>
      <c r="AE78" s="1923">
        <v>0</v>
      </c>
      <c r="AF78" s="1923">
        <v>0</v>
      </c>
      <c r="AG78" s="1923">
        <v>0</v>
      </c>
      <c r="AH78" s="1923"/>
      <c r="AI78" s="1923"/>
      <c r="AJ78" s="1923"/>
      <c r="AK78" s="277"/>
      <c r="AM78" s="83">
        <f>SUM(G78:AK78)</f>
        <v>0</v>
      </c>
    </row>
    <row r="79" spans="3:61 15027:15040">
      <c r="C79" s="15"/>
      <c r="D79" s="21"/>
      <c r="E79" s="255"/>
      <c r="F79" s="20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1976"/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7"/>
      <c r="AG79" s="277"/>
      <c r="AH79" s="277"/>
      <c r="AI79" s="277"/>
      <c r="AJ79" s="277"/>
      <c r="AK79" s="277"/>
      <c r="AM79" s="1921"/>
    </row>
    <row r="80" spans="3:61 15027:15040" s="1" customFormat="1">
      <c r="C80" s="8"/>
      <c r="D80" s="238" t="s">
        <v>57</v>
      </c>
      <c r="E80" s="258">
        <v>18</v>
      </c>
      <c r="F80" s="239" t="s">
        <v>56</v>
      </c>
      <c r="G80" s="278">
        <v>0</v>
      </c>
      <c r="H80" s="278">
        <v>0</v>
      </c>
      <c r="I80" s="278">
        <v>0</v>
      </c>
      <c r="J80" s="278">
        <v>0</v>
      </c>
      <c r="K80" s="278">
        <v>0</v>
      </c>
      <c r="L80" s="278">
        <v>0</v>
      </c>
      <c r="M80" s="278">
        <v>0</v>
      </c>
      <c r="N80" s="278">
        <v>0</v>
      </c>
      <c r="O80" s="278">
        <v>0</v>
      </c>
      <c r="P80" s="278">
        <v>0</v>
      </c>
      <c r="Q80" s="278">
        <v>0</v>
      </c>
      <c r="R80" s="278">
        <v>0</v>
      </c>
      <c r="S80" s="1977">
        <v>0</v>
      </c>
      <c r="T80" s="278">
        <v>0</v>
      </c>
      <c r="U80" s="278">
        <v>0</v>
      </c>
      <c r="V80" s="278">
        <v>0</v>
      </c>
      <c r="W80" s="278">
        <v>0</v>
      </c>
      <c r="X80" s="278">
        <v>0</v>
      </c>
      <c r="Y80" s="278">
        <v>0</v>
      </c>
      <c r="Z80" s="278">
        <v>0</v>
      </c>
      <c r="AA80" s="278">
        <v>0</v>
      </c>
      <c r="AB80" s="278">
        <v>0</v>
      </c>
      <c r="AC80" s="278">
        <v>0</v>
      </c>
      <c r="AD80" s="278">
        <v>0</v>
      </c>
      <c r="AE80" s="278">
        <v>0</v>
      </c>
      <c r="AF80" s="278">
        <v>0</v>
      </c>
      <c r="AG80" s="278">
        <v>0</v>
      </c>
      <c r="AH80" s="278">
        <v>0</v>
      </c>
      <c r="AI80" s="278"/>
      <c r="AJ80" s="278"/>
      <c r="AK80" s="278">
        <v>0</v>
      </c>
      <c r="AM80" s="83">
        <f>SUM(G80:AK80)</f>
        <v>0</v>
      </c>
      <c r="BI80" s="142"/>
      <c r="VEY80" s="46"/>
      <c r="VEZ80" s="46"/>
      <c r="VFA80" s="46"/>
      <c r="VFB80" s="46"/>
      <c r="VFC80" s="46"/>
      <c r="VFD80" s="46"/>
      <c r="VFE80" s="46"/>
      <c r="VFF80" s="46"/>
      <c r="VFG80" s="46"/>
      <c r="VFH80" s="46"/>
      <c r="VFI80" s="46"/>
      <c r="VFJ80" s="46"/>
      <c r="VFK80" s="46"/>
      <c r="VFL80" s="46"/>
    </row>
    <row r="81" spans="3:61 15027:15040" s="1" customFormat="1">
      <c r="C81" s="15"/>
      <c r="D81" s="22"/>
      <c r="E81" s="259"/>
      <c r="F81" s="23" t="s">
        <v>25</v>
      </c>
      <c r="G81" s="279" t="e">
        <f>G80/(G12)*100</f>
        <v>#DIV/0!</v>
      </c>
      <c r="H81" s="279" t="e">
        <f>H80/(H12)*100</f>
        <v>#DIV/0!</v>
      </c>
      <c r="I81" s="279" t="e">
        <f>I80/(I12)*100</f>
        <v>#DIV/0!</v>
      </c>
      <c r="J81" s="279" t="e">
        <f>J80/(J12)*100</f>
        <v>#DIV/0!</v>
      </c>
      <c r="K81" s="279" t="e">
        <v>#DIV/0!</v>
      </c>
      <c r="L81" s="279" t="e">
        <f t="shared" ref="L81:AK81" si="70">L80/(L12)*100</f>
        <v>#DIV/0!</v>
      </c>
      <c r="M81" s="279" t="e">
        <f t="shared" si="70"/>
        <v>#DIV/0!</v>
      </c>
      <c r="N81" s="279" t="e">
        <f t="shared" si="70"/>
        <v>#DIV/0!</v>
      </c>
      <c r="O81" s="279" t="e">
        <f t="shared" si="70"/>
        <v>#DIV/0!</v>
      </c>
      <c r="P81" s="279" t="e">
        <f t="shared" si="70"/>
        <v>#DIV/0!</v>
      </c>
      <c r="Q81" s="279" t="e">
        <f t="shared" si="70"/>
        <v>#DIV/0!</v>
      </c>
      <c r="R81" s="279" t="e">
        <f t="shared" si="70"/>
        <v>#DIV/0!</v>
      </c>
      <c r="S81" s="1978" t="e">
        <v>#DIV/0!</v>
      </c>
      <c r="T81" s="279" t="e">
        <f t="shared" si="70"/>
        <v>#DIV/0!</v>
      </c>
      <c r="U81" s="279" t="e">
        <f t="shared" si="70"/>
        <v>#DIV/0!</v>
      </c>
      <c r="V81" s="279" t="e">
        <f t="shared" si="70"/>
        <v>#DIV/0!</v>
      </c>
      <c r="W81" s="279" t="e">
        <f t="shared" si="70"/>
        <v>#DIV/0!</v>
      </c>
      <c r="X81" s="279" t="e">
        <f t="shared" si="70"/>
        <v>#DIV/0!</v>
      </c>
      <c r="Y81" s="279" t="e">
        <f t="shared" si="70"/>
        <v>#DIV/0!</v>
      </c>
      <c r="Z81" s="279" t="e">
        <f t="shared" si="70"/>
        <v>#DIV/0!</v>
      </c>
      <c r="AA81" s="279" t="e">
        <f t="shared" si="70"/>
        <v>#DIV/0!</v>
      </c>
      <c r="AB81" s="279" t="e">
        <f t="shared" si="70"/>
        <v>#DIV/0!</v>
      </c>
      <c r="AC81" s="277" t="e">
        <f>AC80/(AC17)*100</f>
        <v>#DIV/0!</v>
      </c>
      <c r="AD81" s="279" t="e">
        <f t="shared" si="70"/>
        <v>#DIV/0!</v>
      </c>
      <c r="AE81" s="279" t="e">
        <f t="shared" si="70"/>
        <v>#DIV/0!</v>
      </c>
      <c r="AF81" s="279" t="e">
        <f t="shared" si="70"/>
        <v>#DIV/0!</v>
      </c>
      <c r="AG81" s="279" t="e">
        <f t="shared" si="70"/>
        <v>#DIV/0!</v>
      </c>
      <c r="AH81" s="279" t="e">
        <f t="shared" si="70"/>
        <v>#DIV/0!</v>
      </c>
      <c r="AI81" s="279"/>
      <c r="AJ81" s="279"/>
      <c r="AK81" s="279" t="e">
        <f t="shared" si="70"/>
        <v>#DIV/0!</v>
      </c>
      <c r="AM81" s="303" t="e">
        <f>AM80/(AM12)*100</f>
        <v>#DIV/0!</v>
      </c>
      <c r="BI81" s="142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</row>
    <row r="82" spans="3:61 15027:15040">
      <c r="C82" s="15"/>
      <c r="D82" s="236" t="s">
        <v>55</v>
      </c>
      <c r="E82" s="253">
        <v>0.6</v>
      </c>
      <c r="F82" s="237" t="s">
        <v>14</v>
      </c>
      <c r="G82" s="276"/>
      <c r="H82" s="276"/>
      <c r="I82" s="276"/>
      <c r="J82" s="1524"/>
      <c r="K82" s="1524"/>
      <c r="L82" s="1524"/>
      <c r="M82" s="1524"/>
      <c r="N82" s="1524"/>
      <c r="O82" s="1524"/>
      <c r="P82" s="1524"/>
      <c r="Q82" s="1524"/>
      <c r="R82" s="246"/>
      <c r="S82" s="1996"/>
      <c r="T82" s="1524"/>
      <c r="U82" s="1524"/>
      <c r="V82" s="246"/>
      <c r="W82" s="1524"/>
      <c r="X82" s="1524"/>
      <c r="Y82" s="1524"/>
      <c r="Z82" s="1524"/>
      <c r="AA82" s="1524"/>
      <c r="AB82" s="1524"/>
      <c r="AC82" s="1962"/>
      <c r="AD82" s="1962"/>
      <c r="AE82" s="278"/>
      <c r="AF82" s="278">
        <v>0</v>
      </c>
      <c r="AG82" s="278">
        <v>0</v>
      </c>
      <c r="AH82" s="278"/>
      <c r="AI82" s="276"/>
      <c r="AJ82" s="276"/>
      <c r="AK82" s="1524"/>
      <c r="AL82" s="307"/>
      <c r="AM82" s="964">
        <f>SUM(G82:AK82)</f>
        <v>0</v>
      </c>
      <c r="AN82" s="307"/>
      <c r="AO82" s="307"/>
      <c r="AP82" s="307"/>
    </row>
    <row r="83" spans="3:61 15027:15040" ht="15" thickBot="1">
      <c r="C83" s="19"/>
      <c r="D83" s="24"/>
      <c r="E83" s="255"/>
      <c r="F83" s="25" t="s">
        <v>25</v>
      </c>
      <c r="G83" s="280" t="e">
        <f>G82/(G9)*100</f>
        <v>#DIV/0!</v>
      </c>
      <c r="H83" s="280" t="e">
        <f>H82/(H9)*100</f>
        <v>#DIV/0!</v>
      </c>
      <c r="I83" s="1634" t="e">
        <f>I82/(I9)*1000</f>
        <v>#DIV/0!</v>
      </c>
      <c r="J83" s="1634" t="e">
        <f>J82/(J9)*1000</f>
        <v>#DIV/0!</v>
      </c>
      <c r="K83" s="1634" t="e">
        <f>K82/(K9)*1000</f>
        <v>#DIV/0!</v>
      </c>
      <c r="L83" s="280" t="e">
        <f t="shared" ref="L83:P83" si="71">L82/(L9)*100</f>
        <v>#DIV/0!</v>
      </c>
      <c r="M83" s="280" t="e">
        <f t="shared" si="71"/>
        <v>#DIV/0!</v>
      </c>
      <c r="N83" s="280" t="e">
        <f t="shared" si="71"/>
        <v>#DIV/0!</v>
      </c>
      <c r="O83" s="280" t="e">
        <f t="shared" si="71"/>
        <v>#DIV/0!</v>
      </c>
      <c r="P83" s="280" t="e">
        <f t="shared" si="71"/>
        <v>#DIV/0!</v>
      </c>
      <c r="Q83" s="34" t="e">
        <f>Q82/(Q9)*1000</f>
        <v>#DIV/0!</v>
      </c>
      <c r="R83" s="34" t="e">
        <f>R82/(R9)*1000</f>
        <v>#DIV/0!</v>
      </c>
      <c r="S83" s="34" t="e">
        <f>S82/(S9)*1000</f>
        <v>#DIV/0!</v>
      </c>
      <c r="T83" s="34">
        <v>0</v>
      </c>
      <c r="U83" s="34">
        <v>0</v>
      </c>
      <c r="V83" s="34">
        <v>0</v>
      </c>
      <c r="W83" s="34" t="e">
        <f>W82/(W9)*1000</f>
        <v>#DIV/0!</v>
      </c>
      <c r="X83" s="34" t="e">
        <f t="shared" ref="X83:AE83" si="72">X82/(X9)*1000</f>
        <v>#DIV/0!</v>
      </c>
      <c r="Y83" s="34" t="e">
        <f t="shared" si="72"/>
        <v>#DIV/0!</v>
      </c>
      <c r="Z83" s="34" t="e">
        <f t="shared" si="72"/>
        <v>#DIV/0!</v>
      </c>
      <c r="AA83" s="34" t="e">
        <f t="shared" si="72"/>
        <v>#DIV/0!</v>
      </c>
      <c r="AB83" s="34" t="e">
        <f t="shared" si="72"/>
        <v>#DIV/0!</v>
      </c>
      <c r="AC83" s="34" t="e">
        <f t="shared" si="72"/>
        <v>#DIV/0!</v>
      </c>
      <c r="AD83" s="34" t="e">
        <f t="shared" si="72"/>
        <v>#DIV/0!</v>
      </c>
      <c r="AE83" s="34" t="e">
        <f t="shared" si="72"/>
        <v>#DIV/0!</v>
      </c>
      <c r="AF83" s="34">
        <v>0</v>
      </c>
      <c r="AG83" s="280" t="e">
        <f t="shared" ref="AG83:AK83" si="73">AG82/(AG9)*100</f>
        <v>#DIV/0!</v>
      </c>
      <c r="AH83" s="280" t="e">
        <f t="shared" si="73"/>
        <v>#DIV/0!</v>
      </c>
      <c r="AI83" s="280"/>
      <c r="AJ83" s="280"/>
      <c r="AK83" s="280" t="e">
        <f t="shared" si="73"/>
        <v>#DIV/0!</v>
      </c>
      <c r="AM83" s="1949" t="e">
        <f>AM82/AM9*1000</f>
        <v>#DIV/0!</v>
      </c>
    </row>
    <row r="84" spans="3:61 15027:15040" s="138" customFormat="1" ht="13.8">
      <c r="C84" s="139">
        <v>3</v>
      </c>
      <c r="D84" s="240" t="s">
        <v>168</v>
      </c>
      <c r="E84" s="241">
        <v>0.7</v>
      </c>
      <c r="F84" s="242" t="s">
        <v>25</v>
      </c>
      <c r="G84" s="281" t="e">
        <f t="shared" ref="G84:AK84" si="74">((SUM(G19:G20))-(SUM(G9)))/(SUM(G9))*100</f>
        <v>#DIV/0!</v>
      </c>
      <c r="H84" s="281" t="e">
        <f t="shared" si="74"/>
        <v>#DIV/0!</v>
      </c>
      <c r="I84" s="281" t="e">
        <f t="shared" si="74"/>
        <v>#DIV/0!</v>
      </c>
      <c r="J84" s="281" t="e">
        <f t="shared" si="74"/>
        <v>#DIV/0!</v>
      </c>
      <c r="K84" s="281" t="e">
        <f t="shared" si="74"/>
        <v>#DIV/0!</v>
      </c>
      <c r="L84" s="281" t="e">
        <f t="shared" si="74"/>
        <v>#DIV/0!</v>
      </c>
      <c r="M84" s="281" t="e">
        <f t="shared" si="74"/>
        <v>#DIV/0!</v>
      </c>
      <c r="N84" s="281" t="e">
        <f t="shared" si="74"/>
        <v>#DIV/0!</v>
      </c>
      <c r="O84" s="281" t="e">
        <f t="shared" si="74"/>
        <v>#DIV/0!</v>
      </c>
      <c r="P84" s="281" t="e">
        <f t="shared" si="74"/>
        <v>#DIV/0!</v>
      </c>
      <c r="Q84" s="281" t="e">
        <f t="shared" si="74"/>
        <v>#DIV/0!</v>
      </c>
      <c r="R84" s="281" t="e">
        <f>((SUM(R19:R20))-(SUM(R9)))/(SUM(R9))*100</f>
        <v>#DIV/0!</v>
      </c>
      <c r="S84" s="281" t="e">
        <f>((SUM(S19:S20))-(SUM(S9)))/(SUM(S9))*100</f>
        <v>#DIV/0!</v>
      </c>
      <c r="T84" s="281" t="e">
        <f t="shared" ref="T84:V84" si="75">((SUM(T19:T20))-(SUM(T9)))/(SUM(T9))*100</f>
        <v>#DIV/0!</v>
      </c>
      <c r="U84" s="281" t="e">
        <f t="shared" si="75"/>
        <v>#DIV/0!</v>
      </c>
      <c r="V84" s="281" t="e">
        <f t="shared" si="75"/>
        <v>#DIV/0!</v>
      </c>
      <c r="W84" s="281" t="e">
        <f t="shared" si="74"/>
        <v>#DIV/0!</v>
      </c>
      <c r="X84" s="281" t="e">
        <f t="shared" si="74"/>
        <v>#DIV/0!</v>
      </c>
      <c r="Y84" s="281" t="e">
        <f t="shared" si="74"/>
        <v>#DIV/0!</v>
      </c>
      <c r="Z84" s="281" t="e">
        <f t="shared" si="74"/>
        <v>#DIV/0!</v>
      </c>
      <c r="AA84" s="281" t="e">
        <f t="shared" si="74"/>
        <v>#DIV/0!</v>
      </c>
      <c r="AB84" s="281" t="e">
        <f t="shared" si="74"/>
        <v>#DIV/0!</v>
      </c>
      <c r="AC84" s="281">
        <v>-1.9507630770695936</v>
      </c>
      <c r="AD84" s="281" t="e">
        <f t="shared" si="74"/>
        <v>#DIV/0!</v>
      </c>
      <c r="AE84" s="281" t="e">
        <f>((SUM(AE19:AE20))-(SUM(AE9)))/(SUM(AE9))*100</f>
        <v>#DIV/0!</v>
      </c>
      <c r="AF84" s="281" t="e">
        <f t="shared" si="74"/>
        <v>#DIV/0!</v>
      </c>
      <c r="AG84" s="281" t="e">
        <f t="shared" si="74"/>
        <v>#DIV/0!</v>
      </c>
      <c r="AH84" s="281" t="e">
        <f t="shared" si="74"/>
        <v>#DIV/0!</v>
      </c>
      <c r="AI84" s="281"/>
      <c r="AJ84" s="281"/>
      <c r="AK84" s="281" t="e">
        <f t="shared" si="74"/>
        <v>#DIV/0!</v>
      </c>
      <c r="AM84" s="305" t="e">
        <f>((SUM(AM19:AM20))-(SUM(AM9)))/(SUM(AM9))*100</f>
        <v>#DIV/0!</v>
      </c>
      <c r="BI84" s="148"/>
    </row>
    <row r="85" spans="3:61 15027:15040" s="138" customFormat="1" ht="13.8">
      <c r="C85" s="139"/>
      <c r="D85" s="310"/>
      <c r="E85" s="311"/>
      <c r="F85" s="312" t="s">
        <v>14</v>
      </c>
      <c r="G85" s="313" t="e">
        <f t="shared" ref="G85:AK85" si="76">G84%*G9</f>
        <v>#DIV/0!</v>
      </c>
      <c r="H85" s="313" t="e">
        <f t="shared" si="76"/>
        <v>#DIV/0!</v>
      </c>
      <c r="I85" s="313" t="e">
        <f t="shared" si="76"/>
        <v>#DIV/0!</v>
      </c>
      <c r="J85" s="313" t="e">
        <f t="shared" si="76"/>
        <v>#DIV/0!</v>
      </c>
      <c r="K85" s="313" t="e">
        <f t="shared" si="76"/>
        <v>#DIV/0!</v>
      </c>
      <c r="L85" s="313" t="e">
        <f t="shared" si="76"/>
        <v>#DIV/0!</v>
      </c>
      <c r="M85" s="313" t="e">
        <f t="shared" si="76"/>
        <v>#DIV/0!</v>
      </c>
      <c r="N85" s="313" t="e">
        <f t="shared" si="76"/>
        <v>#DIV/0!</v>
      </c>
      <c r="O85" s="313" t="e">
        <f t="shared" si="76"/>
        <v>#DIV/0!</v>
      </c>
      <c r="P85" s="313" t="e">
        <f t="shared" si="76"/>
        <v>#DIV/0!</v>
      </c>
      <c r="Q85" s="313" t="e">
        <f t="shared" si="76"/>
        <v>#DIV/0!</v>
      </c>
      <c r="R85" s="313" t="e">
        <f t="shared" si="76"/>
        <v>#DIV/0!</v>
      </c>
      <c r="S85" s="313" t="e">
        <f t="shared" si="76"/>
        <v>#DIV/0!</v>
      </c>
      <c r="T85" s="313" t="e">
        <f t="shared" si="76"/>
        <v>#DIV/0!</v>
      </c>
      <c r="U85" s="313" t="e">
        <f t="shared" si="76"/>
        <v>#DIV/0!</v>
      </c>
      <c r="V85" s="313" t="e">
        <f t="shared" si="76"/>
        <v>#DIV/0!</v>
      </c>
      <c r="W85" s="313" t="e">
        <f t="shared" si="76"/>
        <v>#DIV/0!</v>
      </c>
      <c r="X85" s="313" t="e">
        <f t="shared" si="76"/>
        <v>#DIV/0!</v>
      </c>
      <c r="Y85" s="313" t="e">
        <f t="shared" si="76"/>
        <v>#DIV/0!</v>
      </c>
      <c r="Z85" s="313" t="e">
        <f t="shared" si="76"/>
        <v>#DIV/0!</v>
      </c>
      <c r="AA85" s="313" t="e">
        <f t="shared" si="76"/>
        <v>#DIV/0!</v>
      </c>
      <c r="AB85" s="313" t="e">
        <f t="shared" si="76"/>
        <v>#DIV/0!</v>
      </c>
      <c r="AC85" s="313">
        <v>-40967</v>
      </c>
      <c r="AD85" s="313" t="e">
        <f t="shared" si="76"/>
        <v>#DIV/0!</v>
      </c>
      <c r="AE85" s="313" t="e">
        <f t="shared" si="76"/>
        <v>#DIV/0!</v>
      </c>
      <c r="AF85" s="313" t="e">
        <f t="shared" si="76"/>
        <v>#DIV/0!</v>
      </c>
      <c r="AG85" s="313" t="e">
        <f t="shared" si="76"/>
        <v>#DIV/0!</v>
      </c>
      <c r="AH85" s="313" t="e">
        <f t="shared" si="76"/>
        <v>#DIV/0!</v>
      </c>
      <c r="AI85" s="313"/>
      <c r="AJ85" s="313"/>
      <c r="AK85" s="313" t="e">
        <f t="shared" si="76"/>
        <v>#DIV/0!</v>
      </c>
      <c r="AM85" s="314" t="e">
        <f>AM84%*AM9</f>
        <v>#DIV/0!</v>
      </c>
      <c r="BI85" s="148"/>
    </row>
    <row r="86" spans="3:61 15027:15040" s="63" customFormat="1" ht="13.8">
      <c r="C86" s="69"/>
      <c r="D86" s="236" t="s">
        <v>54</v>
      </c>
      <c r="E86" s="260">
        <v>22</v>
      </c>
      <c r="F86" s="237" t="s">
        <v>25</v>
      </c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1979"/>
      <c r="T86" s="282"/>
      <c r="U86" s="282"/>
      <c r="V86" s="282"/>
      <c r="W86" s="282"/>
      <c r="X86" s="282"/>
      <c r="Y86" s="282"/>
      <c r="Z86" s="282"/>
      <c r="AA86" s="282"/>
      <c r="AB86" s="282"/>
      <c r="AC86" s="246"/>
      <c r="AD86" s="246"/>
      <c r="AE86" s="276">
        <v>0</v>
      </c>
      <c r="AF86" s="276">
        <v>0</v>
      </c>
      <c r="AG86" s="276"/>
      <c r="AH86" s="276"/>
      <c r="AI86" s="276"/>
      <c r="AJ86" s="276"/>
      <c r="AK86" s="282"/>
      <c r="AM86" s="308">
        <f>AVERAGE(G86:AK86)</f>
        <v>0</v>
      </c>
      <c r="BI86" s="144"/>
    </row>
    <row r="87" spans="3:61 15027:15040" s="63" customFormat="1" thickBot="1">
      <c r="C87" s="86"/>
      <c r="D87" s="87" t="s">
        <v>53</v>
      </c>
      <c r="E87" s="255"/>
      <c r="F87" s="88" t="s">
        <v>14</v>
      </c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>
        <f>SUM(Q74,Q80)+(Q86%*SUM(Q74,Q80))</f>
        <v>0</v>
      </c>
      <c r="R87" s="277">
        <f t="shared" ref="R87:S87" si="77">SUM(R74,R80)+(R86%*SUM(R74,R80))</f>
        <v>0</v>
      </c>
      <c r="S87" s="277">
        <f t="shared" si="77"/>
        <v>0</v>
      </c>
      <c r="T87" s="277"/>
      <c r="U87" s="277"/>
      <c r="V87" s="277"/>
      <c r="W87" s="277">
        <f t="shared" ref="W87:AK87" si="78">SUM(W74,W80)+(W86%*SUM(W74,W80))</f>
        <v>0</v>
      </c>
      <c r="X87" s="277">
        <f t="shared" si="78"/>
        <v>0</v>
      </c>
      <c r="Y87" s="277">
        <f t="shared" si="78"/>
        <v>0</v>
      </c>
      <c r="Z87" s="277">
        <f t="shared" si="78"/>
        <v>0</v>
      </c>
      <c r="AA87" s="277">
        <f t="shared" si="78"/>
        <v>0</v>
      </c>
      <c r="AB87" s="277">
        <f t="shared" si="78"/>
        <v>0</v>
      </c>
      <c r="AC87" s="277">
        <v>17491.349999999999</v>
      </c>
      <c r="AD87" s="277">
        <f t="shared" si="78"/>
        <v>0</v>
      </c>
      <c r="AE87" s="277">
        <f t="shared" si="78"/>
        <v>0</v>
      </c>
      <c r="AF87" s="277">
        <f t="shared" si="78"/>
        <v>0</v>
      </c>
      <c r="AG87" s="277"/>
      <c r="AH87" s="277"/>
      <c r="AI87" s="277"/>
      <c r="AJ87" s="277"/>
      <c r="AK87" s="277">
        <f t="shared" si="78"/>
        <v>0</v>
      </c>
      <c r="AM87" s="963" t="e">
        <f>SUM(AM74,AM80)+(AM86%*SUM(AM74,AM80))/AM6</f>
        <v>#DIV/0!</v>
      </c>
      <c r="BI87" s="144"/>
    </row>
    <row r="88" spans="3:61 15027:15040" ht="15" hidden="1" customHeight="1">
      <c r="C88" s="8">
        <v>4</v>
      </c>
      <c r="D88" s="47" t="s">
        <v>52</v>
      </c>
      <c r="E88" s="48"/>
      <c r="F88" s="49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1968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3"/>
      <c r="AM88" s="79" t="s">
        <v>130</v>
      </c>
    </row>
    <row r="89" spans="3:61 15027:15040" s="2" customFormat="1" ht="15" hidden="1" customHeight="1">
      <c r="C89" s="8"/>
      <c r="D89" s="26" t="s">
        <v>51</v>
      </c>
      <c r="E89" s="89"/>
      <c r="F89" s="12" t="s">
        <v>14</v>
      </c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1980"/>
      <c r="T89" s="283"/>
      <c r="U89" s="283"/>
      <c r="V89" s="283"/>
      <c r="W89" s="28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83"/>
      <c r="AK89" s="283"/>
      <c r="AL89" s="27"/>
      <c r="AM89" s="90">
        <v>0</v>
      </c>
      <c r="BI89" s="147"/>
    </row>
    <row r="90" spans="3:61 15027:15040" s="1" customFormat="1" ht="15" hidden="1" customHeight="1">
      <c r="C90" s="15"/>
      <c r="D90" s="28" t="s">
        <v>46</v>
      </c>
      <c r="E90" s="91"/>
      <c r="F90" s="20" t="s">
        <v>14</v>
      </c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1981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  <c r="AI90" s="284"/>
      <c r="AJ90" s="284"/>
      <c r="AK90" s="284"/>
      <c r="AL90" s="2"/>
      <c r="AM90" s="90">
        <v>0</v>
      </c>
      <c r="BI90" s="143"/>
    </row>
    <row r="91" spans="3:61 15027:15040" s="1" customFormat="1" ht="15" hidden="1" customHeight="1">
      <c r="C91" s="15"/>
      <c r="D91" s="30" t="s">
        <v>39</v>
      </c>
      <c r="E91" s="61"/>
      <c r="F91" s="20" t="s">
        <v>14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1966">
        <v>0</v>
      </c>
      <c r="T91" s="34">
        <v>0</v>
      </c>
      <c r="U91" s="34">
        <v>0</v>
      </c>
      <c r="V91" s="34">
        <v>0</v>
      </c>
      <c r="W91" s="34">
        <v>0</v>
      </c>
      <c r="X91" s="34">
        <v>0</v>
      </c>
      <c r="Y91" s="34">
        <v>0</v>
      </c>
      <c r="Z91" s="34">
        <v>0</v>
      </c>
      <c r="AA91" s="34">
        <v>0</v>
      </c>
      <c r="AB91" s="34">
        <v>0</v>
      </c>
      <c r="AC91" s="34">
        <v>0</v>
      </c>
      <c r="AD91" s="34">
        <v>0</v>
      </c>
      <c r="AE91" s="34">
        <v>0</v>
      </c>
      <c r="AF91" s="34">
        <v>0</v>
      </c>
      <c r="AG91" s="34">
        <v>0</v>
      </c>
      <c r="AH91" s="34">
        <v>0</v>
      </c>
      <c r="AI91" s="34"/>
      <c r="AJ91" s="34"/>
      <c r="AK91" s="34">
        <v>0</v>
      </c>
      <c r="AM91" s="59">
        <v>0</v>
      </c>
      <c r="BI91" s="143"/>
    </row>
    <row r="92" spans="3:61 15027:15040" s="1" customFormat="1" ht="15" hidden="1" customHeight="1">
      <c r="C92" s="15"/>
      <c r="D92" s="30" t="s">
        <v>38</v>
      </c>
      <c r="E92" s="61"/>
      <c r="F92" s="20" t="s">
        <v>14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1966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/>
      <c r="AJ92" s="34"/>
      <c r="AK92" s="34">
        <v>0</v>
      </c>
      <c r="AM92" s="59">
        <v>0</v>
      </c>
      <c r="BI92" s="143"/>
    </row>
    <row r="93" spans="3:61 15027:15040" s="1" customFormat="1" ht="15" hidden="1" customHeight="1">
      <c r="C93" s="15"/>
      <c r="D93" s="30" t="s">
        <v>50</v>
      </c>
      <c r="E93" s="61"/>
      <c r="F93" s="13" t="s">
        <v>14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1966">
        <v>0</v>
      </c>
      <c r="T93" s="34">
        <v>0</v>
      </c>
      <c r="U93" s="34">
        <v>0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/>
      <c r="AJ93" s="34"/>
      <c r="AK93" s="34">
        <v>0</v>
      </c>
      <c r="AM93" s="59">
        <v>0</v>
      </c>
      <c r="BI93" s="143"/>
    </row>
    <row r="94" spans="3:61 15027:15040" s="1" customFormat="1" ht="15" hidden="1" customHeight="1">
      <c r="C94" s="15"/>
      <c r="D94" s="30" t="s">
        <v>29</v>
      </c>
      <c r="E94" s="61"/>
      <c r="F94" s="1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1965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M94" s="64" t="s">
        <v>29</v>
      </c>
      <c r="BI94" s="143"/>
    </row>
    <row r="95" spans="3:61 15027:15040" s="16" customFormat="1" ht="15" hidden="1" customHeight="1">
      <c r="C95" s="17"/>
      <c r="D95" s="31" t="s">
        <v>49</v>
      </c>
      <c r="E95" s="54"/>
      <c r="F95" s="32" t="s">
        <v>31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1965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M95" s="55">
        <v>0</v>
      </c>
      <c r="BI95" s="149"/>
    </row>
    <row r="96" spans="3:61 15027:15040" s="16" customFormat="1" ht="15" hidden="1" customHeight="1">
      <c r="C96" s="17"/>
      <c r="D96" s="31" t="s">
        <v>48</v>
      </c>
      <c r="E96" s="54"/>
      <c r="F96" s="32" t="s">
        <v>31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1965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M96" s="55">
        <v>0</v>
      </c>
      <c r="BI96" s="149"/>
    </row>
    <row r="97" spans="3:61 15027:15419" s="1" customFormat="1" ht="15" hidden="1" customHeight="1">
      <c r="C97" s="15"/>
      <c r="D97" s="30" t="s">
        <v>28</v>
      </c>
      <c r="E97" s="61"/>
      <c r="F97" s="1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1965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M97" s="64" t="s">
        <v>28</v>
      </c>
      <c r="BI97" s="143"/>
    </row>
    <row r="98" spans="3:61 15027:15419" s="1" customFormat="1" ht="15" hidden="1" customHeight="1">
      <c r="C98" s="15"/>
      <c r="D98" s="14" t="s">
        <v>49</v>
      </c>
      <c r="E98" s="61"/>
      <c r="F98" s="20" t="s">
        <v>28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1965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  <c r="AC98" s="33">
        <v>0</v>
      </c>
      <c r="AD98" s="33">
        <v>0</v>
      </c>
      <c r="AE98" s="33">
        <v>0</v>
      </c>
      <c r="AF98" s="33">
        <v>0</v>
      </c>
      <c r="AG98" s="33">
        <v>0</v>
      </c>
      <c r="AH98" s="33">
        <v>0</v>
      </c>
      <c r="AI98" s="33"/>
      <c r="AJ98" s="33"/>
      <c r="AK98" s="33">
        <v>0</v>
      </c>
      <c r="AM98" s="55">
        <v>0</v>
      </c>
      <c r="BI98" s="143"/>
    </row>
    <row r="99" spans="3:61 15027:15419" s="1" customFormat="1" ht="15" hidden="1" customHeight="1">
      <c r="C99" s="15"/>
      <c r="D99" s="14" t="s">
        <v>48</v>
      </c>
      <c r="E99" s="61"/>
      <c r="F99" s="20" t="s">
        <v>28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1965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3">
        <v>0</v>
      </c>
      <c r="AG99" s="33">
        <v>0</v>
      </c>
      <c r="AH99" s="33">
        <v>0</v>
      </c>
      <c r="AI99" s="33"/>
      <c r="AJ99" s="33"/>
      <c r="AK99" s="33">
        <v>0</v>
      </c>
      <c r="AM99" s="55">
        <v>0</v>
      </c>
      <c r="BI99" s="143"/>
    </row>
    <row r="100" spans="3:61 15027:15419" s="1" customFormat="1" ht="15" hidden="1" customHeight="1">
      <c r="C100" s="15"/>
      <c r="D100" s="30" t="s">
        <v>36</v>
      </c>
      <c r="E100" s="61"/>
      <c r="F100" s="20" t="s">
        <v>35</v>
      </c>
      <c r="G100" s="285">
        <v>0</v>
      </c>
      <c r="H100" s="285">
        <v>0</v>
      </c>
      <c r="I100" s="285">
        <v>0</v>
      </c>
      <c r="J100" s="285">
        <v>0</v>
      </c>
      <c r="K100" s="285">
        <v>0</v>
      </c>
      <c r="L100" s="285">
        <v>0</v>
      </c>
      <c r="M100" s="285">
        <v>0</v>
      </c>
      <c r="N100" s="285">
        <v>0</v>
      </c>
      <c r="O100" s="285">
        <v>0</v>
      </c>
      <c r="P100" s="285">
        <v>0</v>
      </c>
      <c r="Q100" s="285">
        <v>0</v>
      </c>
      <c r="R100" s="285">
        <v>0</v>
      </c>
      <c r="S100" s="1982">
        <v>0</v>
      </c>
      <c r="T100" s="285">
        <v>0</v>
      </c>
      <c r="U100" s="285">
        <v>0</v>
      </c>
      <c r="V100" s="285">
        <v>0</v>
      </c>
      <c r="W100" s="285">
        <v>0</v>
      </c>
      <c r="X100" s="285">
        <v>0</v>
      </c>
      <c r="Y100" s="285">
        <v>0</v>
      </c>
      <c r="Z100" s="285">
        <v>0</v>
      </c>
      <c r="AA100" s="285">
        <v>0</v>
      </c>
      <c r="AB100" s="285">
        <v>0</v>
      </c>
      <c r="AC100" s="285">
        <v>0</v>
      </c>
      <c r="AD100" s="285">
        <v>0</v>
      </c>
      <c r="AE100" s="285">
        <v>0</v>
      </c>
      <c r="AF100" s="285">
        <v>0</v>
      </c>
      <c r="AG100" s="285">
        <v>0</v>
      </c>
      <c r="AH100" s="285">
        <v>0</v>
      </c>
      <c r="AI100" s="285"/>
      <c r="AJ100" s="285"/>
      <c r="AK100" s="285">
        <v>0</v>
      </c>
      <c r="AM100" s="55">
        <v>0</v>
      </c>
      <c r="BI100" s="143"/>
    </row>
    <row r="101" spans="3:61 15027:15419" s="1" customFormat="1" ht="15" hidden="1" customHeight="1">
      <c r="C101" s="15"/>
      <c r="D101" s="30" t="s">
        <v>34</v>
      </c>
      <c r="E101" s="61"/>
      <c r="F101" s="20" t="s">
        <v>33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1965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0</v>
      </c>
      <c r="AG101" s="33">
        <v>0</v>
      </c>
      <c r="AH101" s="33">
        <v>0</v>
      </c>
      <c r="AI101" s="33"/>
      <c r="AJ101" s="33"/>
      <c r="AK101" s="33">
        <v>0</v>
      </c>
      <c r="AM101" s="55">
        <v>0</v>
      </c>
      <c r="BI101" s="143"/>
    </row>
    <row r="102" spans="3:61 15027:15419" s="1" customFormat="1" ht="15" hidden="1" customHeight="1">
      <c r="C102" s="8"/>
      <c r="D102" s="47" t="s">
        <v>32</v>
      </c>
      <c r="E102" s="48"/>
      <c r="F102" s="49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1968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3"/>
      <c r="AM102" s="79" t="s">
        <v>131</v>
      </c>
      <c r="BI102" s="142"/>
      <c r="VEY102" s="46"/>
      <c r="VEZ102" s="46"/>
      <c r="VFA102" s="46"/>
      <c r="VFB102" s="46"/>
      <c r="VFC102" s="46"/>
      <c r="VFD102" s="46"/>
      <c r="VFE102" s="46"/>
      <c r="VFF102" s="46"/>
      <c r="VFG102" s="46"/>
      <c r="VFH102" s="46"/>
      <c r="VFI102" s="46"/>
      <c r="VFJ102" s="46"/>
      <c r="VFK102" s="46"/>
      <c r="VFL102" s="46"/>
      <c r="VFM102" s="46"/>
      <c r="VFN102" s="46"/>
      <c r="VFO102" s="46"/>
      <c r="VFP102" s="46"/>
      <c r="VFQ102" s="46"/>
      <c r="VFR102" s="46"/>
      <c r="VFS102" s="46"/>
      <c r="VFT102" s="46"/>
      <c r="VFU102" s="46"/>
      <c r="VFV102" s="46"/>
      <c r="VFW102" s="46"/>
      <c r="VFX102" s="46"/>
      <c r="VFY102" s="46"/>
      <c r="VFZ102" s="46"/>
      <c r="VGA102" s="46"/>
      <c r="VGB102" s="46"/>
      <c r="VGC102" s="46"/>
      <c r="VGD102" s="46"/>
      <c r="VGE102" s="46"/>
      <c r="VGF102" s="46"/>
      <c r="VGG102" s="46"/>
      <c r="VGH102" s="46"/>
      <c r="VGI102" s="46"/>
      <c r="VGJ102" s="46"/>
      <c r="VGK102" s="46"/>
      <c r="VGL102" s="46"/>
      <c r="VGM102" s="46"/>
      <c r="VGN102" s="46"/>
      <c r="VGO102" s="46"/>
      <c r="VGP102" s="46"/>
      <c r="VGQ102" s="46"/>
      <c r="VGR102" s="46"/>
      <c r="VGS102" s="46"/>
      <c r="VGT102" s="46"/>
      <c r="VGU102" s="46"/>
      <c r="VGV102" s="46"/>
      <c r="VGW102" s="46"/>
      <c r="VGX102" s="46"/>
      <c r="VGY102" s="46"/>
      <c r="VGZ102" s="46"/>
      <c r="VHA102" s="46"/>
      <c r="VHB102" s="46"/>
      <c r="VHC102" s="46"/>
      <c r="VHD102" s="46"/>
      <c r="VHE102" s="46"/>
      <c r="VHF102" s="46"/>
      <c r="VHG102" s="46"/>
      <c r="VHH102" s="46"/>
      <c r="VHI102" s="46"/>
      <c r="VHJ102" s="46"/>
      <c r="VHK102" s="46"/>
      <c r="VHL102" s="46"/>
      <c r="VHM102" s="46"/>
      <c r="VHN102" s="46"/>
      <c r="VHO102" s="46"/>
      <c r="VHP102" s="46"/>
      <c r="VHQ102" s="46"/>
      <c r="VHR102" s="46"/>
      <c r="VHS102" s="46"/>
      <c r="VHT102" s="46"/>
      <c r="VHU102" s="46"/>
      <c r="VHV102" s="46"/>
      <c r="VHW102" s="46"/>
      <c r="VHX102" s="46"/>
      <c r="VHY102" s="46"/>
      <c r="VHZ102" s="46"/>
      <c r="VIA102" s="46"/>
      <c r="VIB102" s="46"/>
      <c r="VIC102" s="46"/>
      <c r="VID102" s="46"/>
      <c r="VIE102" s="46"/>
      <c r="VIF102" s="46"/>
      <c r="VIG102" s="46"/>
      <c r="VIH102" s="46"/>
      <c r="VII102" s="46"/>
      <c r="VIJ102" s="46"/>
      <c r="VIK102" s="46"/>
      <c r="VIL102" s="46"/>
      <c r="VIM102" s="46"/>
      <c r="VIN102" s="46"/>
      <c r="VIO102" s="46"/>
      <c r="VIP102" s="46"/>
      <c r="VIQ102" s="46"/>
      <c r="VIR102" s="46"/>
      <c r="VIS102" s="46"/>
      <c r="VIT102" s="46"/>
      <c r="VIU102" s="46"/>
      <c r="VIV102" s="46"/>
      <c r="VIW102" s="46"/>
      <c r="VIX102" s="46"/>
      <c r="VIY102" s="46"/>
      <c r="VIZ102" s="46"/>
      <c r="VJA102" s="46"/>
      <c r="VJB102" s="46"/>
      <c r="VJC102" s="46"/>
      <c r="VJD102" s="46"/>
      <c r="VJE102" s="46"/>
      <c r="VJF102" s="46"/>
      <c r="VJG102" s="46"/>
      <c r="VJH102" s="46"/>
      <c r="VJI102" s="46"/>
      <c r="VJJ102" s="46"/>
      <c r="VJK102" s="46"/>
      <c r="VJL102" s="46"/>
      <c r="VJM102" s="46"/>
      <c r="VJN102" s="46"/>
      <c r="VJO102" s="46"/>
      <c r="VJP102" s="46"/>
      <c r="VJQ102" s="46"/>
      <c r="VJR102" s="46"/>
      <c r="VJS102" s="46"/>
      <c r="VJT102" s="46"/>
      <c r="VJU102" s="46"/>
      <c r="VJV102" s="46"/>
      <c r="VJW102" s="46"/>
      <c r="VJX102" s="46"/>
      <c r="VJY102" s="46"/>
      <c r="VJZ102" s="46"/>
      <c r="VKA102" s="46"/>
      <c r="VKB102" s="46"/>
      <c r="VKC102" s="46"/>
      <c r="VKD102" s="46"/>
      <c r="VKE102" s="46"/>
      <c r="VKF102" s="46"/>
      <c r="VKG102" s="46"/>
      <c r="VKH102" s="46"/>
      <c r="VKI102" s="46"/>
      <c r="VKJ102" s="46"/>
      <c r="VKK102" s="46"/>
      <c r="VKL102" s="46"/>
      <c r="VKM102" s="46"/>
      <c r="VKN102" s="46"/>
      <c r="VKO102" s="46"/>
      <c r="VKP102" s="46"/>
      <c r="VKQ102" s="46"/>
      <c r="VKR102" s="46"/>
      <c r="VKS102" s="46"/>
      <c r="VKT102" s="46"/>
      <c r="VKU102" s="46"/>
      <c r="VKV102" s="46"/>
      <c r="VKW102" s="46"/>
      <c r="VKX102" s="46"/>
      <c r="VKY102" s="46"/>
      <c r="VKZ102" s="46"/>
      <c r="VLA102" s="46"/>
      <c r="VLB102" s="46"/>
      <c r="VLC102" s="46"/>
      <c r="VLD102" s="46"/>
      <c r="VLE102" s="46"/>
      <c r="VLF102" s="46"/>
      <c r="VLG102" s="46"/>
      <c r="VLH102" s="46"/>
      <c r="VLI102" s="46"/>
      <c r="VLJ102" s="46"/>
      <c r="VLK102" s="46"/>
      <c r="VLL102" s="46"/>
      <c r="VLM102" s="46"/>
      <c r="VLN102" s="46"/>
      <c r="VLO102" s="46"/>
      <c r="VLP102" s="46"/>
      <c r="VLQ102" s="46"/>
      <c r="VLR102" s="46"/>
      <c r="VLS102" s="46"/>
      <c r="VLT102" s="46"/>
      <c r="VLU102" s="46"/>
      <c r="VLV102" s="46"/>
      <c r="VLW102" s="46"/>
      <c r="VLX102" s="46"/>
      <c r="VLY102" s="46"/>
      <c r="VLZ102" s="46"/>
      <c r="VMA102" s="46"/>
      <c r="VMB102" s="46"/>
      <c r="VMC102" s="46"/>
      <c r="VMD102" s="46"/>
      <c r="VME102" s="46"/>
      <c r="VMF102" s="46"/>
      <c r="VMG102" s="46"/>
      <c r="VMH102" s="46"/>
      <c r="VMI102" s="46"/>
      <c r="VMJ102" s="46"/>
      <c r="VMK102" s="46"/>
      <c r="VML102" s="46"/>
      <c r="VMM102" s="46"/>
      <c r="VMN102" s="46"/>
      <c r="VMO102" s="46"/>
      <c r="VMP102" s="46"/>
      <c r="VMQ102" s="46"/>
      <c r="VMR102" s="46"/>
      <c r="VMS102" s="46"/>
      <c r="VMT102" s="46"/>
      <c r="VMU102" s="46"/>
      <c r="VMV102" s="46"/>
      <c r="VMW102" s="46"/>
      <c r="VMX102" s="46"/>
      <c r="VMY102" s="46"/>
      <c r="VMZ102" s="46"/>
      <c r="VNA102" s="46"/>
      <c r="VNB102" s="46"/>
      <c r="VNC102" s="46"/>
      <c r="VND102" s="46"/>
      <c r="VNE102" s="46"/>
      <c r="VNF102" s="46"/>
      <c r="VNG102" s="46"/>
      <c r="VNH102" s="46"/>
      <c r="VNI102" s="46"/>
      <c r="VNJ102" s="46"/>
      <c r="VNK102" s="46"/>
      <c r="VNL102" s="46"/>
      <c r="VNM102" s="46"/>
      <c r="VNN102" s="46"/>
      <c r="VNO102" s="46"/>
      <c r="VNP102" s="46"/>
      <c r="VNQ102" s="46"/>
      <c r="VNR102" s="46"/>
      <c r="VNS102" s="46"/>
      <c r="VNT102" s="46"/>
      <c r="VNU102" s="46"/>
      <c r="VNV102" s="46"/>
      <c r="VNW102" s="46"/>
      <c r="VNX102" s="46"/>
      <c r="VNY102" s="46"/>
      <c r="VNZ102" s="46"/>
      <c r="VOA102" s="46"/>
      <c r="VOB102" s="46"/>
      <c r="VOC102" s="46"/>
      <c r="VOD102" s="46"/>
      <c r="VOE102" s="46"/>
      <c r="VOF102" s="46"/>
      <c r="VOG102" s="46"/>
      <c r="VOH102" s="46"/>
      <c r="VOI102" s="46"/>
      <c r="VOJ102" s="46"/>
      <c r="VOK102" s="46"/>
      <c r="VOL102" s="46"/>
      <c r="VOM102" s="46"/>
      <c r="VON102" s="46"/>
      <c r="VOO102" s="46"/>
      <c r="VOP102" s="46"/>
      <c r="VOQ102" s="46"/>
      <c r="VOR102" s="46"/>
      <c r="VOS102" s="46"/>
      <c r="VOT102" s="46"/>
      <c r="VOU102" s="46"/>
      <c r="VOV102" s="46"/>
      <c r="VOW102" s="46"/>
      <c r="VOX102" s="46"/>
      <c r="VOY102" s="46"/>
      <c r="VOZ102" s="46"/>
      <c r="VPA102" s="46"/>
      <c r="VPB102" s="46"/>
      <c r="VPC102" s="46"/>
      <c r="VPD102" s="46"/>
      <c r="VPE102" s="46"/>
      <c r="VPF102" s="46"/>
      <c r="VPG102" s="46"/>
      <c r="VPH102" s="46"/>
      <c r="VPI102" s="46"/>
      <c r="VPJ102" s="46"/>
      <c r="VPK102" s="46"/>
      <c r="VPL102" s="46"/>
      <c r="VPM102" s="46"/>
      <c r="VPN102" s="46"/>
      <c r="VPO102" s="46"/>
      <c r="VPP102" s="46"/>
      <c r="VPQ102" s="46"/>
      <c r="VPR102" s="46"/>
      <c r="VPS102" s="46"/>
      <c r="VPT102" s="46"/>
      <c r="VPU102" s="46"/>
      <c r="VPV102" s="46"/>
      <c r="VPW102" s="46"/>
      <c r="VPX102" s="46"/>
      <c r="VPY102" s="46"/>
      <c r="VPZ102" s="46"/>
      <c r="VQA102" s="46"/>
      <c r="VQB102" s="46"/>
      <c r="VQC102" s="46"/>
      <c r="VQD102" s="46"/>
      <c r="VQE102" s="46"/>
      <c r="VQF102" s="46"/>
      <c r="VQG102" s="46"/>
      <c r="VQH102" s="46"/>
      <c r="VQI102" s="46"/>
      <c r="VQJ102" s="46"/>
      <c r="VQK102" s="46"/>
      <c r="VQL102" s="46"/>
      <c r="VQM102" s="46"/>
      <c r="VQN102" s="46"/>
      <c r="VQO102" s="46"/>
      <c r="VQP102" s="46"/>
      <c r="VQQ102" s="46"/>
      <c r="VQR102" s="46"/>
      <c r="VQS102" s="46"/>
      <c r="VQT102" s="46"/>
      <c r="VQU102" s="46"/>
      <c r="VQV102" s="46"/>
      <c r="VQW102" s="46"/>
      <c r="VQX102" s="46"/>
      <c r="VQY102" s="46"/>
      <c r="VQZ102" s="46"/>
      <c r="VRA102" s="46"/>
      <c r="VRB102" s="46"/>
      <c r="VRC102" s="46"/>
      <c r="VRD102" s="46"/>
      <c r="VRE102" s="46"/>
      <c r="VRF102" s="46"/>
      <c r="VRG102" s="46"/>
      <c r="VRH102" s="46"/>
      <c r="VRI102" s="46"/>
      <c r="VRJ102" s="46"/>
      <c r="VRK102" s="46"/>
      <c r="VRL102" s="46"/>
      <c r="VRM102" s="46"/>
      <c r="VRN102" s="46"/>
      <c r="VRO102" s="46"/>
      <c r="VRP102" s="46"/>
      <c r="VRQ102" s="46"/>
      <c r="VRR102" s="46"/>
      <c r="VRS102" s="46"/>
      <c r="VRT102" s="46"/>
      <c r="VRU102" s="46"/>
      <c r="VRV102" s="46"/>
      <c r="VRW102" s="46"/>
      <c r="VRX102" s="46"/>
      <c r="VRY102" s="46"/>
      <c r="VRZ102" s="46"/>
      <c r="VSA102" s="46"/>
      <c r="VSB102" s="46"/>
      <c r="VSC102" s="46"/>
      <c r="VSD102" s="46"/>
      <c r="VSE102" s="46"/>
      <c r="VSF102" s="46"/>
      <c r="VSG102" s="46"/>
      <c r="VSH102" s="46"/>
      <c r="VSI102" s="46"/>
      <c r="VSJ102" s="46"/>
      <c r="VSK102" s="46"/>
      <c r="VSL102" s="46"/>
      <c r="VSM102" s="46"/>
      <c r="VSN102" s="46"/>
      <c r="VSO102" s="46"/>
      <c r="VSP102" s="46"/>
      <c r="VSQ102" s="46"/>
      <c r="VSR102" s="46"/>
      <c r="VSS102" s="46"/>
      <c r="VST102" s="46"/>
      <c r="VSU102" s="46"/>
      <c r="VSV102" s="46"/>
      <c r="VSW102" s="46"/>
      <c r="VSX102" s="46"/>
      <c r="VSY102" s="46"/>
      <c r="VSZ102" s="46"/>
      <c r="VTA102" s="46"/>
      <c r="VTB102" s="46"/>
      <c r="VTC102" s="46"/>
      <c r="VTD102" s="46"/>
      <c r="VTE102" s="46"/>
      <c r="VTF102" s="46"/>
      <c r="VTG102" s="46"/>
      <c r="VTH102" s="46"/>
      <c r="VTI102" s="46"/>
      <c r="VTJ102" s="46"/>
      <c r="VTK102" s="46"/>
      <c r="VTL102" s="46"/>
      <c r="VTM102" s="46"/>
      <c r="VTN102" s="46"/>
      <c r="VTO102" s="46"/>
      <c r="VTP102" s="46"/>
      <c r="VTQ102" s="46"/>
      <c r="VTR102" s="46"/>
      <c r="VTS102" s="46"/>
      <c r="VTT102" s="46"/>
      <c r="VTU102" s="46"/>
      <c r="VTV102" s="46"/>
      <c r="VTW102" s="46"/>
      <c r="VTX102" s="46"/>
      <c r="VTY102" s="46"/>
      <c r="VTZ102" s="46"/>
      <c r="VUA102" s="46"/>
    </row>
    <row r="103" spans="3:61 15027:15419" s="1" customFormat="1" ht="15" hidden="1" customHeight="1">
      <c r="C103" s="15"/>
      <c r="D103" s="30" t="s">
        <v>29</v>
      </c>
      <c r="E103" s="61"/>
      <c r="F103" s="1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1965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M103" s="64" t="s">
        <v>29</v>
      </c>
      <c r="BI103" s="143"/>
    </row>
    <row r="104" spans="3:61 15027:15419" s="1" customFormat="1" ht="15" hidden="1" customHeight="1">
      <c r="C104" s="15"/>
      <c r="D104" s="14" t="s">
        <v>49</v>
      </c>
      <c r="E104" s="61"/>
      <c r="F104" s="20" t="s">
        <v>31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1965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M104" s="55">
        <v>0</v>
      </c>
      <c r="BI104" s="143"/>
    </row>
    <row r="105" spans="3:61 15027:15419" s="1" customFormat="1" ht="15" hidden="1" customHeight="1">
      <c r="C105" s="15"/>
      <c r="D105" s="14" t="s">
        <v>48</v>
      </c>
      <c r="E105" s="61"/>
      <c r="F105" s="20" t="s">
        <v>31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65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M105" s="55">
        <v>0</v>
      </c>
      <c r="BI105" s="143"/>
    </row>
    <row r="106" spans="3:61 15027:15419" s="1" customFormat="1" ht="15" hidden="1" customHeight="1">
      <c r="C106" s="15"/>
      <c r="D106" s="30" t="s">
        <v>28</v>
      </c>
      <c r="E106" s="61"/>
      <c r="F106" s="1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1965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M106" s="64" t="s">
        <v>28</v>
      </c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I106" s="143"/>
    </row>
    <row r="107" spans="3:61 15027:15419" s="1" customFormat="1" ht="15" hidden="1" customHeight="1">
      <c r="C107" s="15"/>
      <c r="D107" s="14" t="s">
        <v>49</v>
      </c>
      <c r="E107" s="61"/>
      <c r="F107" s="20" t="s">
        <v>28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3">
        <v>0</v>
      </c>
      <c r="Q107" s="33">
        <v>0</v>
      </c>
      <c r="R107" s="33">
        <v>0</v>
      </c>
      <c r="S107" s="1965">
        <v>0</v>
      </c>
      <c r="T107" s="33">
        <v>0</v>
      </c>
      <c r="U107" s="33">
        <v>0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33">
        <v>0</v>
      </c>
      <c r="AC107" s="33">
        <v>0</v>
      </c>
      <c r="AD107" s="33">
        <v>0</v>
      </c>
      <c r="AE107" s="33">
        <v>0</v>
      </c>
      <c r="AF107" s="33">
        <v>0</v>
      </c>
      <c r="AG107" s="33">
        <v>0</v>
      </c>
      <c r="AH107" s="33">
        <v>0</v>
      </c>
      <c r="AI107" s="33"/>
      <c r="AJ107" s="33"/>
      <c r="AK107" s="33">
        <v>0</v>
      </c>
      <c r="AM107" s="55">
        <v>0</v>
      </c>
      <c r="AQ107" s="147"/>
      <c r="AR107" s="143"/>
      <c r="AS107" s="143"/>
      <c r="AT107" s="143"/>
      <c r="AU107" s="150"/>
      <c r="AV107" s="143"/>
      <c r="AW107" s="143"/>
      <c r="AX107" s="143"/>
      <c r="AY107" s="143"/>
      <c r="AZ107" s="143"/>
      <c r="BI107" s="143"/>
    </row>
    <row r="108" spans="3:61 15027:15419" s="1" customFormat="1" ht="15" hidden="1" customHeight="1">
      <c r="C108" s="15"/>
      <c r="D108" s="14" t="s">
        <v>48</v>
      </c>
      <c r="E108" s="61"/>
      <c r="F108" s="20" t="s">
        <v>28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1965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/>
      <c r="AJ108" s="33"/>
      <c r="AK108" s="33">
        <v>0</v>
      </c>
      <c r="AM108" s="55">
        <v>0</v>
      </c>
      <c r="AQ108" s="142"/>
      <c r="AR108" s="143"/>
      <c r="AS108" s="143"/>
      <c r="AT108" s="143"/>
      <c r="AU108" s="143"/>
      <c r="AV108" s="143"/>
      <c r="AW108" s="143"/>
      <c r="AX108" s="143"/>
      <c r="AY108" s="143"/>
      <c r="AZ108" s="143"/>
      <c r="BI108" s="143"/>
    </row>
    <row r="109" spans="3:61 15027:15419" ht="15" hidden="1" customHeight="1">
      <c r="C109" s="8"/>
      <c r="D109" s="47" t="s">
        <v>30</v>
      </c>
      <c r="E109" s="48"/>
      <c r="F109" s="49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1968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3"/>
      <c r="AM109" s="79" t="s">
        <v>131</v>
      </c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</row>
    <row r="110" spans="3:61 15027:15419" s="1" customFormat="1" ht="15" hidden="1" customHeight="1">
      <c r="C110" s="15"/>
      <c r="D110" s="30" t="s">
        <v>29</v>
      </c>
      <c r="E110" s="61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65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64" t="s">
        <v>29</v>
      </c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I110" s="143"/>
    </row>
    <row r="111" spans="3:61 15027:15419" s="1" customFormat="1" ht="15" hidden="1" customHeight="1">
      <c r="C111" s="15"/>
      <c r="D111" s="14" t="s">
        <v>49</v>
      </c>
      <c r="E111" s="127">
        <v>0.3</v>
      </c>
      <c r="F111" s="20" t="s">
        <v>25</v>
      </c>
      <c r="G111" s="34" t="e">
        <v>#DIV/0!</v>
      </c>
      <c r="H111" s="34" t="e">
        <v>#DIV/0!</v>
      </c>
      <c r="I111" s="34" t="e">
        <v>#DIV/0!</v>
      </c>
      <c r="J111" s="34" t="e">
        <v>#DIV/0!</v>
      </c>
      <c r="K111" s="34" t="e">
        <v>#DIV/0!</v>
      </c>
      <c r="L111" s="34" t="e">
        <v>#DIV/0!</v>
      </c>
      <c r="M111" s="34" t="e">
        <v>#DIV/0!</v>
      </c>
      <c r="N111" s="34" t="e">
        <v>#DIV/0!</v>
      </c>
      <c r="O111" s="34" t="e">
        <v>#DIV/0!</v>
      </c>
      <c r="P111" s="34" t="e">
        <v>#DIV/0!</v>
      </c>
      <c r="Q111" s="34" t="e">
        <v>#DIV/0!</v>
      </c>
      <c r="R111" s="34" t="e">
        <v>#DIV/0!</v>
      </c>
      <c r="S111" s="1966" t="e">
        <v>#DIV/0!</v>
      </c>
      <c r="T111" s="34" t="e">
        <v>#DIV/0!</v>
      </c>
      <c r="U111" s="34" t="e">
        <v>#DIV/0!</v>
      </c>
      <c r="V111" s="34" t="e">
        <v>#DIV/0!</v>
      </c>
      <c r="W111" s="34" t="e">
        <v>#DIV/0!</v>
      </c>
      <c r="X111" s="34" t="e">
        <v>#DIV/0!</v>
      </c>
      <c r="Y111" s="34" t="e">
        <v>#DIV/0!</v>
      </c>
      <c r="Z111" s="34" t="e">
        <v>#DIV/0!</v>
      </c>
      <c r="AA111" s="34" t="e">
        <v>#DIV/0!</v>
      </c>
      <c r="AB111" s="34" t="e">
        <v>#DIV/0!</v>
      </c>
      <c r="AC111" s="34" t="e">
        <v>#DIV/0!</v>
      </c>
      <c r="AD111" s="34" t="e">
        <v>#DIV/0!</v>
      </c>
      <c r="AE111" s="34" t="e">
        <v>#DIV/0!</v>
      </c>
      <c r="AF111" s="34" t="e">
        <v>#DIV/0!</v>
      </c>
      <c r="AG111" s="34" t="e">
        <v>#DIV/0!</v>
      </c>
      <c r="AH111" s="34" t="e">
        <v>#DIV/0!</v>
      </c>
      <c r="AI111" s="34"/>
      <c r="AJ111" s="34"/>
      <c r="AK111" s="34" t="e">
        <v>#DIV/0!</v>
      </c>
      <c r="AM111" s="59" t="e">
        <v>#DIV/0!</v>
      </c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I111" s="143"/>
    </row>
    <row r="112" spans="3:61 15027:15419" s="1" customFormat="1" ht="15" hidden="1" customHeight="1">
      <c r="C112" s="15"/>
      <c r="D112" s="14" t="s">
        <v>48</v>
      </c>
      <c r="E112" s="127">
        <v>0.3</v>
      </c>
      <c r="F112" s="20" t="s">
        <v>25</v>
      </c>
      <c r="G112" s="34" t="e">
        <v>#DIV/0!</v>
      </c>
      <c r="H112" s="34" t="e">
        <v>#DIV/0!</v>
      </c>
      <c r="I112" s="34" t="e">
        <v>#DIV/0!</v>
      </c>
      <c r="J112" s="34" t="e">
        <v>#DIV/0!</v>
      </c>
      <c r="K112" s="34" t="e">
        <v>#DIV/0!</v>
      </c>
      <c r="L112" s="34" t="e">
        <v>#DIV/0!</v>
      </c>
      <c r="M112" s="34" t="e">
        <v>#DIV/0!</v>
      </c>
      <c r="N112" s="34" t="e">
        <v>#DIV/0!</v>
      </c>
      <c r="O112" s="34" t="e">
        <v>#DIV/0!</v>
      </c>
      <c r="P112" s="34" t="e">
        <v>#DIV/0!</v>
      </c>
      <c r="Q112" s="34" t="e">
        <v>#DIV/0!</v>
      </c>
      <c r="R112" s="34" t="e">
        <v>#DIV/0!</v>
      </c>
      <c r="S112" s="1966" t="e">
        <v>#DIV/0!</v>
      </c>
      <c r="T112" s="34" t="e">
        <v>#DIV/0!</v>
      </c>
      <c r="U112" s="34" t="e">
        <v>#DIV/0!</v>
      </c>
      <c r="V112" s="34" t="e">
        <v>#DIV/0!</v>
      </c>
      <c r="W112" s="34" t="e">
        <v>#DIV/0!</v>
      </c>
      <c r="X112" s="34" t="e">
        <v>#DIV/0!</v>
      </c>
      <c r="Y112" s="34" t="e">
        <v>#DIV/0!</v>
      </c>
      <c r="Z112" s="34" t="e">
        <v>#DIV/0!</v>
      </c>
      <c r="AA112" s="34" t="e">
        <v>#DIV/0!</v>
      </c>
      <c r="AB112" s="34" t="e">
        <v>#DIV/0!</v>
      </c>
      <c r="AC112" s="34" t="e">
        <v>#DIV/0!</v>
      </c>
      <c r="AD112" s="34" t="e">
        <v>#DIV/0!</v>
      </c>
      <c r="AE112" s="34" t="e">
        <v>#DIV/0!</v>
      </c>
      <c r="AF112" s="34" t="e">
        <v>#DIV/0!</v>
      </c>
      <c r="AG112" s="34" t="e">
        <v>#DIV/0!</v>
      </c>
      <c r="AH112" s="34" t="e">
        <v>#DIV/0!</v>
      </c>
      <c r="AI112" s="34"/>
      <c r="AJ112" s="34"/>
      <c r="AK112" s="34" t="e">
        <v>#DIV/0!</v>
      </c>
      <c r="AM112" s="59" t="e">
        <v>#DIV/0!</v>
      </c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I112" s="143"/>
    </row>
    <row r="113" spans="3:61 15027:15419" s="1" customFormat="1" ht="15" hidden="1" customHeight="1">
      <c r="C113" s="15"/>
      <c r="D113" s="30" t="s">
        <v>28</v>
      </c>
      <c r="E113" s="127"/>
      <c r="F113" s="13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1966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M113" s="64" t="s">
        <v>28</v>
      </c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I113" s="143"/>
    </row>
    <row r="114" spans="3:61 15027:15419" s="1" customFormat="1" ht="15" hidden="1" customHeight="1">
      <c r="C114" s="15"/>
      <c r="D114" s="14" t="s">
        <v>49</v>
      </c>
      <c r="E114" s="127">
        <v>0.5</v>
      </c>
      <c r="F114" s="20" t="s">
        <v>25</v>
      </c>
      <c r="G114" s="34" t="e">
        <v>#DIV/0!</v>
      </c>
      <c r="H114" s="34" t="e">
        <v>#DIV/0!</v>
      </c>
      <c r="I114" s="34" t="e">
        <v>#DIV/0!</v>
      </c>
      <c r="J114" s="34" t="e">
        <v>#DIV/0!</v>
      </c>
      <c r="K114" s="34" t="e">
        <v>#DIV/0!</v>
      </c>
      <c r="L114" s="34" t="e">
        <v>#DIV/0!</v>
      </c>
      <c r="M114" s="34" t="e">
        <v>#DIV/0!</v>
      </c>
      <c r="N114" s="34" t="e">
        <v>#DIV/0!</v>
      </c>
      <c r="O114" s="34" t="e">
        <v>#DIV/0!</v>
      </c>
      <c r="P114" s="34" t="e">
        <v>#DIV/0!</v>
      </c>
      <c r="Q114" s="34" t="e">
        <v>#DIV/0!</v>
      </c>
      <c r="R114" s="34" t="e">
        <v>#DIV/0!</v>
      </c>
      <c r="S114" s="1966" t="e">
        <v>#DIV/0!</v>
      </c>
      <c r="T114" s="34" t="e">
        <v>#DIV/0!</v>
      </c>
      <c r="U114" s="34" t="e">
        <v>#DIV/0!</v>
      </c>
      <c r="V114" s="34" t="e">
        <v>#DIV/0!</v>
      </c>
      <c r="W114" s="34" t="e">
        <v>#DIV/0!</v>
      </c>
      <c r="X114" s="34" t="e">
        <v>#DIV/0!</v>
      </c>
      <c r="Y114" s="34" t="e">
        <v>#DIV/0!</v>
      </c>
      <c r="Z114" s="34" t="e">
        <v>#DIV/0!</v>
      </c>
      <c r="AA114" s="34" t="e">
        <v>#DIV/0!</v>
      </c>
      <c r="AB114" s="34" t="e">
        <v>#DIV/0!</v>
      </c>
      <c r="AC114" s="34" t="e">
        <v>#DIV/0!</v>
      </c>
      <c r="AD114" s="34" t="e">
        <v>#DIV/0!</v>
      </c>
      <c r="AE114" s="34" t="e">
        <v>#DIV/0!</v>
      </c>
      <c r="AF114" s="34" t="e">
        <v>#DIV/0!</v>
      </c>
      <c r="AG114" s="34" t="e">
        <v>#DIV/0!</v>
      </c>
      <c r="AH114" s="34" t="e">
        <v>#DIV/0!</v>
      </c>
      <c r="AI114" s="34"/>
      <c r="AJ114" s="34"/>
      <c r="AK114" s="34" t="e">
        <v>#DIV/0!</v>
      </c>
      <c r="AM114" s="59" t="e">
        <v>#DIV/0!</v>
      </c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I114" s="143"/>
    </row>
    <row r="115" spans="3:61 15027:15419" s="1" customFormat="1" ht="15.75" hidden="1" customHeight="1" thickBot="1">
      <c r="C115" s="19"/>
      <c r="D115" s="14" t="s">
        <v>48</v>
      </c>
      <c r="E115" s="127">
        <v>0.5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66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/>
      <c r="AJ115" s="34"/>
      <c r="AK115" s="34" t="e">
        <v>#DIV/0!</v>
      </c>
      <c r="AM115" s="59" t="e">
        <v>#DIV/0!</v>
      </c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I115" s="143"/>
    </row>
    <row r="116" spans="3:61 15027:15419" s="1" customFormat="1" ht="15" hidden="1" customHeight="1">
      <c r="C116" s="8">
        <v>5</v>
      </c>
      <c r="D116" s="47" t="s">
        <v>47</v>
      </c>
      <c r="E116" s="48"/>
      <c r="F116" s="49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1968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3"/>
      <c r="AM116" s="79" t="s">
        <v>130</v>
      </c>
      <c r="AQ116" s="142"/>
      <c r="AR116" s="142"/>
      <c r="AS116" s="143"/>
      <c r="AT116" s="143"/>
      <c r="AU116" s="142"/>
      <c r="AV116" s="143"/>
      <c r="AW116" s="142"/>
      <c r="AX116" s="142"/>
      <c r="AY116" s="142"/>
      <c r="AZ116" s="142"/>
      <c r="BI116" s="142"/>
      <c r="VEY116" s="46"/>
      <c r="VEZ116" s="46"/>
      <c r="VFA116" s="46"/>
      <c r="VFB116" s="46"/>
      <c r="VFC116" s="46"/>
      <c r="VFD116" s="46"/>
      <c r="VFE116" s="46"/>
      <c r="VFF116" s="46"/>
      <c r="VFG116" s="46"/>
      <c r="VFH116" s="46"/>
      <c r="VFI116" s="46"/>
      <c r="VFJ116" s="46"/>
      <c r="VFK116" s="46"/>
      <c r="VFL116" s="46"/>
      <c r="VFM116" s="46"/>
      <c r="VFN116" s="46"/>
      <c r="VFO116" s="46"/>
      <c r="VFP116" s="46"/>
      <c r="VFQ116" s="46"/>
      <c r="VFR116" s="46"/>
      <c r="VFS116" s="46"/>
      <c r="VFT116" s="46"/>
      <c r="VFU116" s="46"/>
      <c r="VFV116" s="46"/>
      <c r="VFW116" s="46"/>
      <c r="VFX116" s="46"/>
      <c r="VFY116" s="46"/>
      <c r="VFZ116" s="46"/>
      <c r="VGA116" s="46"/>
      <c r="VGB116" s="46"/>
      <c r="VGC116" s="46"/>
      <c r="VGD116" s="46"/>
      <c r="VGE116" s="46"/>
      <c r="VGF116" s="46"/>
      <c r="VGG116" s="46"/>
      <c r="VGH116" s="46"/>
      <c r="VGI116" s="46"/>
      <c r="VGJ116" s="46"/>
      <c r="VGK116" s="46"/>
      <c r="VGL116" s="46"/>
      <c r="VGM116" s="46"/>
      <c r="VGN116" s="46"/>
      <c r="VGO116" s="46"/>
      <c r="VGP116" s="46"/>
      <c r="VGQ116" s="46"/>
      <c r="VGR116" s="46"/>
      <c r="VGS116" s="46"/>
      <c r="VGT116" s="46"/>
      <c r="VGU116" s="46"/>
      <c r="VGV116" s="46"/>
      <c r="VGW116" s="46"/>
      <c r="VGX116" s="46"/>
      <c r="VGY116" s="46"/>
      <c r="VGZ116" s="46"/>
      <c r="VHA116" s="46"/>
      <c r="VHB116" s="46"/>
      <c r="VHC116" s="46"/>
      <c r="VHD116" s="46"/>
      <c r="VHE116" s="46"/>
      <c r="VHF116" s="46"/>
      <c r="VHG116" s="46"/>
      <c r="VHH116" s="46"/>
      <c r="VHI116" s="46"/>
      <c r="VHJ116" s="46"/>
      <c r="VHK116" s="46"/>
      <c r="VHL116" s="46"/>
      <c r="VHM116" s="46"/>
      <c r="VHN116" s="46"/>
      <c r="VHO116" s="46"/>
      <c r="VHP116" s="46"/>
      <c r="VHQ116" s="46"/>
      <c r="VHR116" s="46"/>
      <c r="VHS116" s="46"/>
      <c r="VHT116" s="46"/>
      <c r="VHU116" s="46"/>
      <c r="VHV116" s="46"/>
      <c r="VHW116" s="46"/>
      <c r="VHX116" s="46"/>
      <c r="VHY116" s="46"/>
      <c r="VHZ116" s="46"/>
      <c r="VIA116" s="46"/>
      <c r="VIB116" s="46"/>
      <c r="VIC116" s="46"/>
      <c r="VID116" s="46"/>
      <c r="VIE116" s="46"/>
      <c r="VIF116" s="46"/>
      <c r="VIG116" s="46"/>
      <c r="VIH116" s="46"/>
      <c r="VII116" s="46"/>
      <c r="VIJ116" s="46"/>
      <c r="VIK116" s="46"/>
      <c r="VIL116" s="46"/>
      <c r="VIM116" s="46"/>
      <c r="VIN116" s="46"/>
      <c r="VIO116" s="46"/>
      <c r="VIP116" s="46"/>
      <c r="VIQ116" s="46"/>
      <c r="VIR116" s="46"/>
      <c r="VIS116" s="46"/>
      <c r="VIT116" s="46"/>
      <c r="VIU116" s="46"/>
      <c r="VIV116" s="46"/>
      <c r="VIW116" s="46"/>
      <c r="VIX116" s="46"/>
      <c r="VIY116" s="46"/>
      <c r="VIZ116" s="46"/>
      <c r="VJA116" s="46"/>
      <c r="VJB116" s="46"/>
      <c r="VJC116" s="46"/>
      <c r="VJD116" s="46"/>
      <c r="VJE116" s="46"/>
      <c r="VJF116" s="46"/>
      <c r="VJG116" s="46"/>
      <c r="VJH116" s="46"/>
      <c r="VJI116" s="46"/>
      <c r="VJJ116" s="46"/>
      <c r="VJK116" s="46"/>
      <c r="VJL116" s="46"/>
      <c r="VJM116" s="46"/>
      <c r="VJN116" s="46"/>
      <c r="VJO116" s="46"/>
      <c r="VJP116" s="46"/>
      <c r="VJQ116" s="46"/>
      <c r="VJR116" s="46"/>
      <c r="VJS116" s="46"/>
      <c r="VJT116" s="46"/>
      <c r="VJU116" s="46"/>
      <c r="VJV116" s="46"/>
      <c r="VJW116" s="46"/>
      <c r="VJX116" s="46"/>
      <c r="VJY116" s="46"/>
      <c r="VJZ116" s="46"/>
      <c r="VKA116" s="46"/>
      <c r="VKB116" s="46"/>
      <c r="VKC116" s="46"/>
      <c r="VKD116" s="46"/>
      <c r="VKE116" s="46"/>
      <c r="VKF116" s="46"/>
      <c r="VKG116" s="46"/>
      <c r="VKH116" s="46"/>
      <c r="VKI116" s="46"/>
      <c r="VKJ116" s="46"/>
      <c r="VKK116" s="46"/>
      <c r="VKL116" s="46"/>
      <c r="VKM116" s="46"/>
      <c r="VKN116" s="46"/>
      <c r="VKO116" s="46"/>
      <c r="VKP116" s="46"/>
      <c r="VKQ116" s="46"/>
      <c r="VKR116" s="46"/>
      <c r="VKS116" s="46"/>
      <c r="VKT116" s="46"/>
      <c r="VKU116" s="46"/>
      <c r="VKV116" s="46"/>
      <c r="VKW116" s="46"/>
      <c r="VKX116" s="46"/>
      <c r="VKY116" s="46"/>
      <c r="VKZ116" s="46"/>
      <c r="VLA116" s="46"/>
      <c r="VLB116" s="46"/>
      <c r="VLC116" s="46"/>
      <c r="VLD116" s="46"/>
      <c r="VLE116" s="46"/>
      <c r="VLF116" s="46"/>
      <c r="VLG116" s="46"/>
      <c r="VLH116" s="46"/>
      <c r="VLI116" s="46"/>
      <c r="VLJ116" s="46"/>
      <c r="VLK116" s="46"/>
      <c r="VLL116" s="46"/>
      <c r="VLM116" s="46"/>
      <c r="VLN116" s="46"/>
      <c r="VLO116" s="46"/>
      <c r="VLP116" s="46"/>
      <c r="VLQ116" s="46"/>
      <c r="VLR116" s="46"/>
      <c r="VLS116" s="46"/>
      <c r="VLT116" s="46"/>
      <c r="VLU116" s="46"/>
      <c r="VLV116" s="46"/>
      <c r="VLW116" s="46"/>
      <c r="VLX116" s="46"/>
      <c r="VLY116" s="46"/>
      <c r="VLZ116" s="46"/>
      <c r="VMA116" s="46"/>
      <c r="VMB116" s="46"/>
      <c r="VMC116" s="46"/>
      <c r="VMD116" s="46"/>
      <c r="VME116" s="46"/>
      <c r="VMF116" s="46"/>
      <c r="VMG116" s="46"/>
      <c r="VMH116" s="46"/>
      <c r="VMI116" s="46"/>
      <c r="VMJ116" s="46"/>
      <c r="VMK116" s="46"/>
      <c r="VML116" s="46"/>
      <c r="VMM116" s="46"/>
      <c r="VMN116" s="46"/>
      <c r="VMO116" s="46"/>
      <c r="VMP116" s="46"/>
      <c r="VMQ116" s="46"/>
      <c r="VMR116" s="46"/>
      <c r="VMS116" s="46"/>
      <c r="VMT116" s="46"/>
      <c r="VMU116" s="46"/>
      <c r="VMV116" s="46"/>
      <c r="VMW116" s="46"/>
      <c r="VMX116" s="46"/>
      <c r="VMY116" s="46"/>
      <c r="VMZ116" s="46"/>
      <c r="VNA116" s="46"/>
      <c r="VNB116" s="46"/>
      <c r="VNC116" s="46"/>
      <c r="VND116" s="46"/>
      <c r="VNE116" s="46"/>
      <c r="VNF116" s="46"/>
      <c r="VNG116" s="46"/>
      <c r="VNH116" s="46"/>
      <c r="VNI116" s="46"/>
      <c r="VNJ116" s="46"/>
      <c r="VNK116" s="46"/>
      <c r="VNL116" s="46"/>
      <c r="VNM116" s="46"/>
      <c r="VNN116" s="46"/>
      <c r="VNO116" s="46"/>
      <c r="VNP116" s="46"/>
      <c r="VNQ116" s="46"/>
      <c r="VNR116" s="46"/>
      <c r="VNS116" s="46"/>
      <c r="VNT116" s="46"/>
      <c r="VNU116" s="46"/>
      <c r="VNV116" s="46"/>
      <c r="VNW116" s="46"/>
      <c r="VNX116" s="46"/>
      <c r="VNY116" s="46"/>
      <c r="VNZ116" s="46"/>
      <c r="VOA116" s="46"/>
      <c r="VOB116" s="46"/>
      <c r="VOC116" s="46"/>
      <c r="VOD116" s="46"/>
      <c r="VOE116" s="46"/>
      <c r="VOF116" s="46"/>
      <c r="VOG116" s="46"/>
      <c r="VOH116" s="46"/>
      <c r="VOI116" s="46"/>
      <c r="VOJ116" s="46"/>
      <c r="VOK116" s="46"/>
      <c r="VOL116" s="46"/>
      <c r="VOM116" s="46"/>
      <c r="VON116" s="46"/>
      <c r="VOO116" s="46"/>
      <c r="VOP116" s="46"/>
      <c r="VOQ116" s="46"/>
      <c r="VOR116" s="46"/>
      <c r="VOS116" s="46"/>
      <c r="VOT116" s="46"/>
      <c r="VOU116" s="46"/>
      <c r="VOV116" s="46"/>
      <c r="VOW116" s="46"/>
      <c r="VOX116" s="46"/>
      <c r="VOY116" s="46"/>
      <c r="VOZ116" s="46"/>
      <c r="VPA116" s="46"/>
      <c r="VPB116" s="46"/>
      <c r="VPC116" s="46"/>
      <c r="VPD116" s="46"/>
      <c r="VPE116" s="46"/>
      <c r="VPF116" s="46"/>
      <c r="VPG116" s="46"/>
      <c r="VPH116" s="46"/>
      <c r="VPI116" s="46"/>
      <c r="VPJ116" s="46"/>
      <c r="VPK116" s="46"/>
      <c r="VPL116" s="46"/>
      <c r="VPM116" s="46"/>
      <c r="VPN116" s="46"/>
      <c r="VPO116" s="46"/>
      <c r="VPP116" s="46"/>
      <c r="VPQ116" s="46"/>
      <c r="VPR116" s="46"/>
      <c r="VPS116" s="46"/>
      <c r="VPT116" s="46"/>
      <c r="VPU116" s="46"/>
      <c r="VPV116" s="46"/>
      <c r="VPW116" s="46"/>
      <c r="VPX116" s="46"/>
      <c r="VPY116" s="46"/>
      <c r="VPZ116" s="46"/>
      <c r="VQA116" s="46"/>
      <c r="VQB116" s="46"/>
      <c r="VQC116" s="46"/>
      <c r="VQD116" s="46"/>
      <c r="VQE116" s="46"/>
      <c r="VQF116" s="46"/>
      <c r="VQG116" s="46"/>
      <c r="VQH116" s="46"/>
      <c r="VQI116" s="46"/>
      <c r="VQJ116" s="46"/>
      <c r="VQK116" s="46"/>
      <c r="VQL116" s="46"/>
      <c r="VQM116" s="46"/>
      <c r="VQN116" s="46"/>
      <c r="VQO116" s="46"/>
      <c r="VQP116" s="46"/>
      <c r="VQQ116" s="46"/>
      <c r="VQR116" s="46"/>
      <c r="VQS116" s="46"/>
      <c r="VQT116" s="46"/>
      <c r="VQU116" s="46"/>
      <c r="VQV116" s="46"/>
      <c r="VQW116" s="46"/>
      <c r="VQX116" s="46"/>
      <c r="VQY116" s="46"/>
      <c r="VQZ116" s="46"/>
      <c r="VRA116" s="46"/>
      <c r="VRB116" s="46"/>
      <c r="VRC116" s="46"/>
      <c r="VRD116" s="46"/>
      <c r="VRE116" s="46"/>
      <c r="VRF116" s="46"/>
      <c r="VRG116" s="46"/>
      <c r="VRH116" s="46"/>
      <c r="VRI116" s="46"/>
      <c r="VRJ116" s="46"/>
      <c r="VRK116" s="46"/>
      <c r="VRL116" s="46"/>
      <c r="VRM116" s="46"/>
      <c r="VRN116" s="46"/>
      <c r="VRO116" s="46"/>
      <c r="VRP116" s="46"/>
      <c r="VRQ116" s="46"/>
      <c r="VRR116" s="46"/>
      <c r="VRS116" s="46"/>
      <c r="VRT116" s="46"/>
      <c r="VRU116" s="46"/>
      <c r="VRV116" s="46"/>
      <c r="VRW116" s="46"/>
      <c r="VRX116" s="46"/>
      <c r="VRY116" s="46"/>
      <c r="VRZ116" s="46"/>
      <c r="VSA116" s="46"/>
      <c r="VSB116" s="46"/>
      <c r="VSC116" s="46"/>
      <c r="VSD116" s="46"/>
      <c r="VSE116" s="46"/>
      <c r="VSF116" s="46"/>
      <c r="VSG116" s="46"/>
      <c r="VSH116" s="46"/>
      <c r="VSI116" s="46"/>
      <c r="VSJ116" s="46"/>
      <c r="VSK116" s="46"/>
      <c r="VSL116" s="46"/>
      <c r="VSM116" s="46"/>
      <c r="VSN116" s="46"/>
      <c r="VSO116" s="46"/>
      <c r="VSP116" s="46"/>
      <c r="VSQ116" s="46"/>
      <c r="VSR116" s="46"/>
      <c r="VSS116" s="46"/>
      <c r="VST116" s="46"/>
      <c r="VSU116" s="46"/>
      <c r="VSV116" s="46"/>
      <c r="VSW116" s="46"/>
      <c r="VSX116" s="46"/>
      <c r="VSY116" s="46"/>
      <c r="VSZ116" s="46"/>
      <c r="VTA116" s="46"/>
      <c r="VTB116" s="46"/>
      <c r="VTC116" s="46"/>
      <c r="VTD116" s="46"/>
      <c r="VTE116" s="46"/>
      <c r="VTF116" s="46"/>
      <c r="VTG116" s="46"/>
      <c r="VTH116" s="46"/>
      <c r="VTI116" s="46"/>
      <c r="VTJ116" s="46"/>
      <c r="VTK116" s="46"/>
      <c r="VTL116" s="46"/>
      <c r="VTM116" s="46"/>
      <c r="VTN116" s="46"/>
      <c r="VTO116" s="46"/>
      <c r="VTP116" s="46"/>
      <c r="VTQ116" s="46"/>
      <c r="VTR116" s="46"/>
      <c r="VTS116" s="46"/>
      <c r="VTT116" s="46"/>
      <c r="VTU116" s="46"/>
      <c r="VTV116" s="46"/>
      <c r="VTW116" s="46"/>
      <c r="VTX116" s="46"/>
      <c r="VTY116" s="46"/>
      <c r="VTZ116" s="46"/>
      <c r="VUA116" s="46"/>
    </row>
    <row r="117" spans="3:61 15027:15419" s="1" customFormat="1" ht="15" hidden="1" customHeight="1">
      <c r="C117" s="15"/>
      <c r="D117" s="28" t="s">
        <v>46</v>
      </c>
      <c r="E117" s="91"/>
      <c r="F117" s="20" t="s">
        <v>14</v>
      </c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66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"/>
      <c r="AM117" s="90">
        <v>0</v>
      </c>
      <c r="AQ117" s="142"/>
      <c r="AR117" s="143"/>
      <c r="AS117" s="143"/>
      <c r="AT117" s="143"/>
      <c r="AU117" s="142"/>
      <c r="AV117" s="143"/>
      <c r="AW117" s="143"/>
      <c r="AX117" s="143"/>
      <c r="AY117" s="143"/>
      <c r="AZ117" s="143"/>
      <c r="BI117" s="143"/>
    </row>
    <row r="118" spans="3:61 15027:15419" s="1" customFormat="1" ht="15" hidden="1" customHeight="1">
      <c r="C118" s="15"/>
      <c r="D118" s="30" t="s">
        <v>39</v>
      </c>
      <c r="E118" s="61"/>
      <c r="F118" s="20" t="s">
        <v>14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0</v>
      </c>
      <c r="Q118" s="34">
        <v>0</v>
      </c>
      <c r="R118" s="34">
        <v>0</v>
      </c>
      <c r="S118" s="1966">
        <v>0</v>
      </c>
      <c r="T118" s="34">
        <v>0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>
        <v>0</v>
      </c>
      <c r="AA118" s="34">
        <v>0</v>
      </c>
      <c r="AB118" s="34">
        <v>0</v>
      </c>
      <c r="AC118" s="34">
        <v>0</v>
      </c>
      <c r="AD118" s="34">
        <v>0</v>
      </c>
      <c r="AE118" s="34">
        <v>0</v>
      </c>
      <c r="AF118" s="34">
        <v>0</v>
      </c>
      <c r="AG118" s="34">
        <v>0</v>
      </c>
      <c r="AH118" s="34">
        <v>0</v>
      </c>
      <c r="AI118" s="34"/>
      <c r="AJ118" s="34"/>
      <c r="AK118" s="34">
        <v>0</v>
      </c>
      <c r="AM118" s="59">
        <v>0</v>
      </c>
      <c r="AQ118" s="151"/>
      <c r="AR118" s="147"/>
      <c r="AS118" s="147"/>
      <c r="AT118" s="147"/>
      <c r="AU118" s="147"/>
      <c r="AV118" s="147"/>
      <c r="AW118" s="143"/>
      <c r="AX118" s="143"/>
      <c r="AY118" s="143"/>
      <c r="AZ118" s="143"/>
      <c r="BI118" s="143"/>
    </row>
    <row r="119" spans="3:61 15027:15419" s="1" customFormat="1" ht="15" hidden="1" customHeight="1">
      <c r="C119" s="15"/>
      <c r="D119" s="30" t="s">
        <v>38</v>
      </c>
      <c r="E119" s="61"/>
      <c r="F119" s="20" t="s">
        <v>14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1966">
        <v>0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/>
      <c r="AJ119" s="34"/>
      <c r="AK119" s="34">
        <v>0</v>
      </c>
      <c r="AM119" s="59">
        <v>0</v>
      </c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I119" s="143"/>
    </row>
    <row r="120" spans="3:61 15027:15419" s="1" customFormat="1" ht="15" hidden="1" customHeight="1">
      <c r="C120" s="15"/>
      <c r="D120" s="30" t="s">
        <v>50</v>
      </c>
      <c r="E120" s="61"/>
      <c r="F120" s="13" t="s">
        <v>14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1966">
        <v>0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/>
      <c r="AJ120" s="34"/>
      <c r="AK120" s="34">
        <v>0</v>
      </c>
      <c r="AM120" s="59">
        <v>0</v>
      </c>
      <c r="BI120" s="143"/>
    </row>
    <row r="121" spans="3:61 15027:15419" s="1" customFormat="1" ht="15" hidden="1" customHeight="1">
      <c r="C121" s="15"/>
      <c r="D121" s="30" t="s">
        <v>29</v>
      </c>
      <c r="E121" s="61"/>
      <c r="F121" s="1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1965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M121" s="64" t="s">
        <v>29</v>
      </c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I121" s="143"/>
    </row>
    <row r="122" spans="3:61 15027:15419" s="16" customFormat="1" ht="15" hidden="1" customHeight="1">
      <c r="C122" s="17"/>
      <c r="D122" s="11" t="s">
        <v>45</v>
      </c>
      <c r="E122" s="54"/>
      <c r="F122" s="32" t="s">
        <v>31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1965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M122" s="92">
        <v>0</v>
      </c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I122" s="149"/>
    </row>
    <row r="123" spans="3:61 15027:15419" s="16" customFormat="1" ht="15" hidden="1" customHeight="1">
      <c r="C123" s="17"/>
      <c r="D123" s="11" t="s">
        <v>44</v>
      </c>
      <c r="E123" s="54"/>
      <c r="F123" s="32" t="s">
        <v>31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1965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M123" s="92">
        <v>0</v>
      </c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I123" s="149"/>
    </row>
    <row r="124" spans="3:61 15027:15419" s="1" customFormat="1" ht="15" hidden="1" customHeight="1">
      <c r="C124" s="15"/>
      <c r="D124" s="30" t="s">
        <v>28</v>
      </c>
      <c r="E124" s="61"/>
      <c r="F124" s="1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1965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M124" s="64" t="s">
        <v>28</v>
      </c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I124" s="143"/>
    </row>
    <row r="125" spans="3:61 15027:15419" s="1" customFormat="1" ht="15" hidden="1" customHeight="1">
      <c r="C125" s="15"/>
      <c r="D125" s="11" t="s">
        <v>45</v>
      </c>
      <c r="E125" s="61"/>
      <c r="F125" s="20" t="s">
        <v>28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1965">
        <v>0</v>
      </c>
      <c r="T125" s="33">
        <v>0</v>
      </c>
      <c r="U125" s="33">
        <v>0</v>
      </c>
      <c r="V125" s="33">
        <v>0</v>
      </c>
      <c r="W125" s="33">
        <v>0</v>
      </c>
      <c r="X125" s="33">
        <v>0</v>
      </c>
      <c r="Y125" s="33">
        <v>0</v>
      </c>
      <c r="Z125" s="33">
        <v>0</v>
      </c>
      <c r="AA125" s="33">
        <v>0</v>
      </c>
      <c r="AB125" s="33">
        <v>0</v>
      </c>
      <c r="AC125" s="33">
        <v>0</v>
      </c>
      <c r="AD125" s="33">
        <v>0</v>
      </c>
      <c r="AE125" s="33">
        <v>0</v>
      </c>
      <c r="AF125" s="33">
        <v>0</v>
      </c>
      <c r="AG125" s="33">
        <v>0</v>
      </c>
      <c r="AH125" s="33">
        <v>0</v>
      </c>
      <c r="AI125" s="33"/>
      <c r="AJ125" s="33"/>
      <c r="AK125" s="33">
        <v>0</v>
      </c>
      <c r="AM125" s="55">
        <v>0</v>
      </c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I125" s="143"/>
    </row>
    <row r="126" spans="3:61 15027:15419" s="1" customFormat="1" ht="15" hidden="1" customHeight="1">
      <c r="C126" s="15"/>
      <c r="D126" s="11" t="s">
        <v>44</v>
      </c>
      <c r="E126" s="61"/>
      <c r="F126" s="20" t="s">
        <v>28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1965">
        <v>0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33">
        <v>0</v>
      </c>
      <c r="AG126" s="33">
        <v>0</v>
      </c>
      <c r="AH126" s="33">
        <v>0</v>
      </c>
      <c r="AI126" s="33"/>
      <c r="AJ126" s="33"/>
      <c r="AK126" s="33">
        <v>0</v>
      </c>
      <c r="AM126" s="55">
        <v>0</v>
      </c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I126" s="143"/>
    </row>
    <row r="127" spans="3:61 15027:15419" s="1" customFormat="1" ht="15" hidden="1" customHeight="1">
      <c r="C127" s="15"/>
      <c r="D127" s="30" t="s">
        <v>36</v>
      </c>
      <c r="E127" s="61"/>
      <c r="F127" s="20" t="s">
        <v>35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1965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  <c r="AI127" s="33"/>
      <c r="AJ127" s="33"/>
      <c r="AK127" s="33">
        <v>0</v>
      </c>
      <c r="AM127" s="55">
        <v>0</v>
      </c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I127" s="143"/>
    </row>
    <row r="128" spans="3:61 15027:15419" s="1" customFormat="1" ht="15" hidden="1" customHeight="1">
      <c r="C128" s="15"/>
      <c r="D128" s="30" t="s">
        <v>34</v>
      </c>
      <c r="E128" s="61"/>
      <c r="F128" s="20" t="s">
        <v>33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1965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3"/>
      <c r="AJ128" s="33"/>
      <c r="AK128" s="33">
        <v>0</v>
      </c>
      <c r="AM128" s="55">
        <v>0</v>
      </c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I128" s="143"/>
    </row>
    <row r="129" spans="3:61 15027:15419" s="1" customFormat="1" ht="15" hidden="1" customHeight="1">
      <c r="C129" s="8"/>
      <c r="D129" s="47" t="s">
        <v>32</v>
      </c>
      <c r="E129" s="48"/>
      <c r="F129" s="49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1968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3"/>
      <c r="AM129" s="79" t="s">
        <v>131</v>
      </c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I129" s="142"/>
      <c r="VEY129" s="46"/>
      <c r="VEZ129" s="46"/>
      <c r="VFA129" s="46"/>
      <c r="VFB129" s="46"/>
      <c r="VFC129" s="46"/>
      <c r="VFD129" s="46"/>
      <c r="VFE129" s="46"/>
      <c r="VFF129" s="46"/>
      <c r="VFG129" s="46"/>
      <c r="VFH129" s="46"/>
      <c r="VFI129" s="46"/>
      <c r="VFJ129" s="46"/>
      <c r="VFK129" s="46"/>
      <c r="VFL129" s="46"/>
      <c r="VFM129" s="46"/>
      <c r="VFN129" s="46"/>
      <c r="VFO129" s="46"/>
      <c r="VFP129" s="46"/>
      <c r="VFQ129" s="46"/>
      <c r="VFR129" s="46"/>
      <c r="VFS129" s="46"/>
      <c r="VFT129" s="46"/>
      <c r="VFU129" s="46"/>
      <c r="VFV129" s="46"/>
      <c r="VFW129" s="46"/>
      <c r="VFX129" s="46"/>
      <c r="VFY129" s="46"/>
      <c r="VFZ129" s="46"/>
      <c r="VGA129" s="46"/>
      <c r="VGB129" s="46"/>
      <c r="VGC129" s="46"/>
      <c r="VGD129" s="46"/>
      <c r="VGE129" s="46"/>
      <c r="VGF129" s="46"/>
      <c r="VGG129" s="46"/>
      <c r="VGH129" s="46"/>
      <c r="VGI129" s="46"/>
      <c r="VGJ129" s="46"/>
      <c r="VGK129" s="46"/>
      <c r="VGL129" s="46"/>
      <c r="VGM129" s="46"/>
      <c r="VGN129" s="46"/>
      <c r="VGO129" s="46"/>
      <c r="VGP129" s="46"/>
      <c r="VGQ129" s="46"/>
      <c r="VGR129" s="46"/>
      <c r="VGS129" s="46"/>
      <c r="VGT129" s="46"/>
      <c r="VGU129" s="46"/>
      <c r="VGV129" s="46"/>
      <c r="VGW129" s="46"/>
      <c r="VGX129" s="46"/>
      <c r="VGY129" s="46"/>
      <c r="VGZ129" s="46"/>
      <c r="VHA129" s="46"/>
      <c r="VHB129" s="46"/>
      <c r="VHC129" s="46"/>
      <c r="VHD129" s="46"/>
      <c r="VHE129" s="46"/>
      <c r="VHF129" s="46"/>
      <c r="VHG129" s="46"/>
      <c r="VHH129" s="46"/>
      <c r="VHI129" s="46"/>
      <c r="VHJ129" s="46"/>
      <c r="VHK129" s="46"/>
      <c r="VHL129" s="46"/>
      <c r="VHM129" s="46"/>
      <c r="VHN129" s="46"/>
      <c r="VHO129" s="46"/>
      <c r="VHP129" s="46"/>
      <c r="VHQ129" s="46"/>
      <c r="VHR129" s="46"/>
      <c r="VHS129" s="46"/>
      <c r="VHT129" s="46"/>
      <c r="VHU129" s="46"/>
      <c r="VHV129" s="46"/>
      <c r="VHW129" s="46"/>
      <c r="VHX129" s="46"/>
      <c r="VHY129" s="46"/>
      <c r="VHZ129" s="46"/>
      <c r="VIA129" s="46"/>
      <c r="VIB129" s="46"/>
      <c r="VIC129" s="46"/>
      <c r="VID129" s="46"/>
      <c r="VIE129" s="46"/>
      <c r="VIF129" s="46"/>
      <c r="VIG129" s="46"/>
      <c r="VIH129" s="46"/>
      <c r="VII129" s="46"/>
      <c r="VIJ129" s="46"/>
      <c r="VIK129" s="46"/>
      <c r="VIL129" s="46"/>
      <c r="VIM129" s="46"/>
      <c r="VIN129" s="46"/>
      <c r="VIO129" s="46"/>
      <c r="VIP129" s="46"/>
      <c r="VIQ129" s="46"/>
      <c r="VIR129" s="46"/>
      <c r="VIS129" s="46"/>
      <c r="VIT129" s="46"/>
      <c r="VIU129" s="46"/>
      <c r="VIV129" s="46"/>
      <c r="VIW129" s="46"/>
      <c r="VIX129" s="46"/>
      <c r="VIY129" s="46"/>
      <c r="VIZ129" s="46"/>
      <c r="VJA129" s="46"/>
      <c r="VJB129" s="46"/>
      <c r="VJC129" s="46"/>
      <c r="VJD129" s="46"/>
      <c r="VJE129" s="46"/>
      <c r="VJF129" s="46"/>
      <c r="VJG129" s="46"/>
      <c r="VJH129" s="46"/>
      <c r="VJI129" s="46"/>
      <c r="VJJ129" s="46"/>
      <c r="VJK129" s="46"/>
      <c r="VJL129" s="46"/>
      <c r="VJM129" s="46"/>
      <c r="VJN129" s="46"/>
      <c r="VJO129" s="46"/>
      <c r="VJP129" s="46"/>
      <c r="VJQ129" s="46"/>
      <c r="VJR129" s="46"/>
      <c r="VJS129" s="46"/>
      <c r="VJT129" s="46"/>
      <c r="VJU129" s="46"/>
      <c r="VJV129" s="46"/>
      <c r="VJW129" s="46"/>
      <c r="VJX129" s="46"/>
      <c r="VJY129" s="46"/>
      <c r="VJZ129" s="46"/>
      <c r="VKA129" s="46"/>
      <c r="VKB129" s="46"/>
      <c r="VKC129" s="46"/>
      <c r="VKD129" s="46"/>
      <c r="VKE129" s="46"/>
      <c r="VKF129" s="46"/>
      <c r="VKG129" s="46"/>
      <c r="VKH129" s="46"/>
      <c r="VKI129" s="46"/>
      <c r="VKJ129" s="46"/>
      <c r="VKK129" s="46"/>
      <c r="VKL129" s="46"/>
      <c r="VKM129" s="46"/>
      <c r="VKN129" s="46"/>
      <c r="VKO129" s="46"/>
      <c r="VKP129" s="46"/>
      <c r="VKQ129" s="46"/>
      <c r="VKR129" s="46"/>
      <c r="VKS129" s="46"/>
      <c r="VKT129" s="46"/>
      <c r="VKU129" s="46"/>
      <c r="VKV129" s="46"/>
      <c r="VKW129" s="46"/>
      <c r="VKX129" s="46"/>
      <c r="VKY129" s="46"/>
      <c r="VKZ129" s="46"/>
      <c r="VLA129" s="46"/>
      <c r="VLB129" s="46"/>
      <c r="VLC129" s="46"/>
      <c r="VLD129" s="46"/>
      <c r="VLE129" s="46"/>
      <c r="VLF129" s="46"/>
      <c r="VLG129" s="46"/>
      <c r="VLH129" s="46"/>
      <c r="VLI129" s="46"/>
      <c r="VLJ129" s="46"/>
      <c r="VLK129" s="46"/>
      <c r="VLL129" s="46"/>
      <c r="VLM129" s="46"/>
      <c r="VLN129" s="46"/>
      <c r="VLO129" s="46"/>
      <c r="VLP129" s="46"/>
      <c r="VLQ129" s="46"/>
      <c r="VLR129" s="46"/>
      <c r="VLS129" s="46"/>
      <c r="VLT129" s="46"/>
      <c r="VLU129" s="46"/>
      <c r="VLV129" s="46"/>
      <c r="VLW129" s="46"/>
      <c r="VLX129" s="46"/>
      <c r="VLY129" s="46"/>
      <c r="VLZ129" s="46"/>
      <c r="VMA129" s="46"/>
      <c r="VMB129" s="46"/>
      <c r="VMC129" s="46"/>
      <c r="VMD129" s="46"/>
      <c r="VME129" s="46"/>
      <c r="VMF129" s="46"/>
      <c r="VMG129" s="46"/>
      <c r="VMH129" s="46"/>
      <c r="VMI129" s="46"/>
      <c r="VMJ129" s="46"/>
      <c r="VMK129" s="46"/>
      <c r="VML129" s="46"/>
      <c r="VMM129" s="46"/>
      <c r="VMN129" s="46"/>
      <c r="VMO129" s="46"/>
      <c r="VMP129" s="46"/>
      <c r="VMQ129" s="46"/>
      <c r="VMR129" s="46"/>
      <c r="VMS129" s="46"/>
      <c r="VMT129" s="46"/>
      <c r="VMU129" s="46"/>
      <c r="VMV129" s="46"/>
      <c r="VMW129" s="46"/>
      <c r="VMX129" s="46"/>
      <c r="VMY129" s="46"/>
      <c r="VMZ129" s="46"/>
      <c r="VNA129" s="46"/>
      <c r="VNB129" s="46"/>
      <c r="VNC129" s="46"/>
      <c r="VND129" s="46"/>
      <c r="VNE129" s="46"/>
      <c r="VNF129" s="46"/>
      <c r="VNG129" s="46"/>
      <c r="VNH129" s="46"/>
      <c r="VNI129" s="46"/>
      <c r="VNJ129" s="46"/>
      <c r="VNK129" s="46"/>
      <c r="VNL129" s="46"/>
      <c r="VNM129" s="46"/>
      <c r="VNN129" s="46"/>
      <c r="VNO129" s="46"/>
      <c r="VNP129" s="46"/>
      <c r="VNQ129" s="46"/>
      <c r="VNR129" s="46"/>
      <c r="VNS129" s="46"/>
      <c r="VNT129" s="46"/>
      <c r="VNU129" s="46"/>
      <c r="VNV129" s="46"/>
      <c r="VNW129" s="46"/>
      <c r="VNX129" s="46"/>
      <c r="VNY129" s="46"/>
      <c r="VNZ129" s="46"/>
      <c r="VOA129" s="46"/>
      <c r="VOB129" s="46"/>
      <c r="VOC129" s="46"/>
      <c r="VOD129" s="46"/>
      <c r="VOE129" s="46"/>
      <c r="VOF129" s="46"/>
      <c r="VOG129" s="46"/>
      <c r="VOH129" s="46"/>
      <c r="VOI129" s="46"/>
      <c r="VOJ129" s="46"/>
      <c r="VOK129" s="46"/>
      <c r="VOL129" s="46"/>
      <c r="VOM129" s="46"/>
      <c r="VON129" s="46"/>
      <c r="VOO129" s="46"/>
      <c r="VOP129" s="46"/>
      <c r="VOQ129" s="46"/>
      <c r="VOR129" s="46"/>
      <c r="VOS129" s="46"/>
      <c r="VOT129" s="46"/>
      <c r="VOU129" s="46"/>
      <c r="VOV129" s="46"/>
      <c r="VOW129" s="46"/>
      <c r="VOX129" s="46"/>
      <c r="VOY129" s="46"/>
      <c r="VOZ129" s="46"/>
      <c r="VPA129" s="46"/>
      <c r="VPB129" s="46"/>
      <c r="VPC129" s="46"/>
      <c r="VPD129" s="46"/>
      <c r="VPE129" s="46"/>
      <c r="VPF129" s="46"/>
      <c r="VPG129" s="46"/>
      <c r="VPH129" s="46"/>
      <c r="VPI129" s="46"/>
      <c r="VPJ129" s="46"/>
      <c r="VPK129" s="46"/>
      <c r="VPL129" s="46"/>
      <c r="VPM129" s="46"/>
      <c r="VPN129" s="46"/>
      <c r="VPO129" s="46"/>
      <c r="VPP129" s="46"/>
      <c r="VPQ129" s="46"/>
      <c r="VPR129" s="46"/>
      <c r="VPS129" s="46"/>
      <c r="VPT129" s="46"/>
      <c r="VPU129" s="46"/>
      <c r="VPV129" s="46"/>
      <c r="VPW129" s="46"/>
      <c r="VPX129" s="46"/>
      <c r="VPY129" s="46"/>
      <c r="VPZ129" s="46"/>
      <c r="VQA129" s="46"/>
      <c r="VQB129" s="46"/>
      <c r="VQC129" s="46"/>
      <c r="VQD129" s="46"/>
      <c r="VQE129" s="46"/>
      <c r="VQF129" s="46"/>
      <c r="VQG129" s="46"/>
      <c r="VQH129" s="46"/>
      <c r="VQI129" s="46"/>
      <c r="VQJ129" s="46"/>
      <c r="VQK129" s="46"/>
      <c r="VQL129" s="46"/>
      <c r="VQM129" s="46"/>
      <c r="VQN129" s="46"/>
      <c r="VQO129" s="46"/>
      <c r="VQP129" s="46"/>
      <c r="VQQ129" s="46"/>
      <c r="VQR129" s="46"/>
      <c r="VQS129" s="46"/>
      <c r="VQT129" s="46"/>
      <c r="VQU129" s="46"/>
      <c r="VQV129" s="46"/>
      <c r="VQW129" s="46"/>
      <c r="VQX129" s="46"/>
      <c r="VQY129" s="46"/>
      <c r="VQZ129" s="46"/>
      <c r="VRA129" s="46"/>
      <c r="VRB129" s="46"/>
      <c r="VRC129" s="46"/>
      <c r="VRD129" s="46"/>
      <c r="VRE129" s="46"/>
      <c r="VRF129" s="46"/>
      <c r="VRG129" s="46"/>
      <c r="VRH129" s="46"/>
      <c r="VRI129" s="46"/>
      <c r="VRJ129" s="46"/>
      <c r="VRK129" s="46"/>
      <c r="VRL129" s="46"/>
      <c r="VRM129" s="46"/>
      <c r="VRN129" s="46"/>
      <c r="VRO129" s="46"/>
      <c r="VRP129" s="46"/>
      <c r="VRQ129" s="46"/>
      <c r="VRR129" s="46"/>
      <c r="VRS129" s="46"/>
      <c r="VRT129" s="46"/>
      <c r="VRU129" s="46"/>
      <c r="VRV129" s="46"/>
      <c r="VRW129" s="46"/>
      <c r="VRX129" s="46"/>
      <c r="VRY129" s="46"/>
      <c r="VRZ129" s="46"/>
      <c r="VSA129" s="46"/>
      <c r="VSB129" s="46"/>
      <c r="VSC129" s="46"/>
      <c r="VSD129" s="46"/>
      <c r="VSE129" s="46"/>
      <c r="VSF129" s="46"/>
      <c r="VSG129" s="46"/>
      <c r="VSH129" s="46"/>
      <c r="VSI129" s="46"/>
      <c r="VSJ129" s="46"/>
      <c r="VSK129" s="46"/>
      <c r="VSL129" s="46"/>
      <c r="VSM129" s="46"/>
      <c r="VSN129" s="46"/>
      <c r="VSO129" s="46"/>
      <c r="VSP129" s="46"/>
      <c r="VSQ129" s="46"/>
      <c r="VSR129" s="46"/>
      <c r="VSS129" s="46"/>
      <c r="VST129" s="46"/>
      <c r="VSU129" s="46"/>
      <c r="VSV129" s="46"/>
      <c r="VSW129" s="46"/>
      <c r="VSX129" s="46"/>
      <c r="VSY129" s="46"/>
      <c r="VSZ129" s="46"/>
      <c r="VTA129" s="46"/>
      <c r="VTB129" s="46"/>
      <c r="VTC129" s="46"/>
      <c r="VTD129" s="46"/>
      <c r="VTE129" s="46"/>
      <c r="VTF129" s="46"/>
      <c r="VTG129" s="46"/>
      <c r="VTH129" s="46"/>
      <c r="VTI129" s="46"/>
      <c r="VTJ129" s="46"/>
      <c r="VTK129" s="46"/>
      <c r="VTL129" s="46"/>
      <c r="VTM129" s="46"/>
      <c r="VTN129" s="46"/>
      <c r="VTO129" s="46"/>
      <c r="VTP129" s="46"/>
      <c r="VTQ129" s="46"/>
      <c r="VTR129" s="46"/>
      <c r="VTS129" s="46"/>
      <c r="VTT129" s="46"/>
      <c r="VTU129" s="46"/>
      <c r="VTV129" s="46"/>
      <c r="VTW129" s="46"/>
      <c r="VTX129" s="46"/>
      <c r="VTY129" s="46"/>
      <c r="VTZ129" s="46"/>
      <c r="VUA129" s="46"/>
    </row>
    <row r="130" spans="3:61 15027:15419" s="1" customFormat="1" ht="15" hidden="1" customHeight="1">
      <c r="C130" s="15"/>
      <c r="D130" s="30" t="s">
        <v>29</v>
      </c>
      <c r="E130" s="61"/>
      <c r="F130" s="1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1965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M130" s="64" t="s">
        <v>29</v>
      </c>
      <c r="BI130" s="143"/>
    </row>
    <row r="131" spans="3:61 15027:15419" s="1" customFormat="1" ht="15" hidden="1" customHeight="1">
      <c r="C131" s="15"/>
      <c r="D131" s="11" t="s">
        <v>45</v>
      </c>
      <c r="E131" s="61"/>
      <c r="F131" s="20" t="s">
        <v>31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65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M131" s="55">
        <v>0</v>
      </c>
      <c r="BI131" s="143"/>
    </row>
    <row r="132" spans="3:61 15027:15419" s="1" customFormat="1" ht="15" hidden="1" customHeight="1">
      <c r="C132" s="15"/>
      <c r="D132" s="11" t="s">
        <v>44</v>
      </c>
      <c r="E132" s="61"/>
      <c r="F132" s="20" t="s">
        <v>31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65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M132" s="55">
        <v>0</v>
      </c>
      <c r="BI132" s="143"/>
    </row>
    <row r="133" spans="3:61 15027:15419" s="1" customFormat="1" ht="15" hidden="1" customHeight="1">
      <c r="C133" s="15"/>
      <c r="D133" s="30" t="s">
        <v>28</v>
      </c>
      <c r="E133" s="61"/>
      <c r="F133" s="1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1965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M133" s="64" t="s">
        <v>28</v>
      </c>
      <c r="BI133" s="143"/>
    </row>
    <row r="134" spans="3:61 15027:15419" s="1" customFormat="1" ht="15" hidden="1" customHeight="1">
      <c r="C134" s="15"/>
      <c r="D134" s="11" t="s">
        <v>45</v>
      </c>
      <c r="E134" s="61"/>
      <c r="F134" s="20" t="s">
        <v>28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1965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0</v>
      </c>
      <c r="AF134" s="33">
        <v>0</v>
      </c>
      <c r="AG134" s="33">
        <v>0</v>
      </c>
      <c r="AH134" s="33">
        <v>0</v>
      </c>
      <c r="AI134" s="33"/>
      <c r="AJ134" s="33"/>
      <c r="AK134" s="33">
        <v>0</v>
      </c>
      <c r="AM134" s="55">
        <v>0</v>
      </c>
      <c r="BI134" s="143"/>
    </row>
    <row r="135" spans="3:61 15027:15419" s="1" customFormat="1" ht="15" hidden="1" customHeight="1">
      <c r="C135" s="15"/>
      <c r="D135" s="11" t="s">
        <v>44</v>
      </c>
      <c r="E135" s="61"/>
      <c r="F135" s="20" t="s">
        <v>28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1965">
        <v>0</v>
      </c>
      <c r="T135" s="33">
        <v>0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0</v>
      </c>
      <c r="AB135" s="33">
        <v>0</v>
      </c>
      <c r="AC135" s="33">
        <v>0</v>
      </c>
      <c r="AD135" s="33">
        <v>0</v>
      </c>
      <c r="AE135" s="33">
        <v>0</v>
      </c>
      <c r="AF135" s="33">
        <v>0</v>
      </c>
      <c r="AG135" s="33">
        <v>0</v>
      </c>
      <c r="AH135" s="33">
        <v>0</v>
      </c>
      <c r="AI135" s="33"/>
      <c r="AJ135" s="33"/>
      <c r="AK135" s="33">
        <v>0</v>
      </c>
      <c r="AM135" s="55">
        <v>0</v>
      </c>
      <c r="BI135" s="143"/>
    </row>
    <row r="136" spans="3:61 15027:15419" s="1" customFormat="1" ht="15" hidden="1" customHeight="1">
      <c r="C136" s="8"/>
      <c r="D136" s="47" t="s">
        <v>30</v>
      </c>
      <c r="E136" s="48"/>
      <c r="F136" s="49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1968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3"/>
      <c r="AM136" s="79" t="s">
        <v>131</v>
      </c>
      <c r="BI136" s="142"/>
      <c r="VEY136" s="46"/>
      <c r="VEZ136" s="46"/>
      <c r="VFA136" s="46"/>
      <c r="VFB136" s="46"/>
      <c r="VFC136" s="46"/>
      <c r="VFD136" s="46"/>
      <c r="VFE136" s="46"/>
      <c r="VFF136" s="46"/>
      <c r="VFG136" s="46"/>
      <c r="VFH136" s="46"/>
      <c r="VFI136" s="46"/>
      <c r="VFJ136" s="46"/>
      <c r="VFK136" s="46"/>
      <c r="VFL136" s="46"/>
      <c r="VFM136" s="46"/>
      <c r="VFN136" s="46"/>
      <c r="VFO136" s="46"/>
      <c r="VFP136" s="46"/>
      <c r="VFQ136" s="46"/>
      <c r="VFR136" s="46"/>
      <c r="VFS136" s="46"/>
      <c r="VFT136" s="46"/>
      <c r="VFU136" s="46"/>
      <c r="VFV136" s="46"/>
      <c r="VFW136" s="46"/>
      <c r="VFX136" s="46"/>
      <c r="VFY136" s="46"/>
      <c r="VFZ136" s="46"/>
      <c r="VGA136" s="46"/>
      <c r="VGB136" s="46"/>
      <c r="VGC136" s="46"/>
      <c r="VGD136" s="46"/>
      <c r="VGE136" s="46"/>
      <c r="VGF136" s="46"/>
      <c r="VGG136" s="46"/>
      <c r="VGH136" s="46"/>
      <c r="VGI136" s="46"/>
      <c r="VGJ136" s="46"/>
      <c r="VGK136" s="46"/>
      <c r="VGL136" s="46"/>
      <c r="VGM136" s="46"/>
      <c r="VGN136" s="46"/>
      <c r="VGO136" s="46"/>
      <c r="VGP136" s="46"/>
      <c r="VGQ136" s="46"/>
      <c r="VGR136" s="46"/>
      <c r="VGS136" s="46"/>
      <c r="VGT136" s="46"/>
      <c r="VGU136" s="46"/>
      <c r="VGV136" s="46"/>
      <c r="VGW136" s="46"/>
      <c r="VGX136" s="46"/>
      <c r="VGY136" s="46"/>
      <c r="VGZ136" s="46"/>
      <c r="VHA136" s="46"/>
      <c r="VHB136" s="46"/>
      <c r="VHC136" s="46"/>
      <c r="VHD136" s="46"/>
      <c r="VHE136" s="46"/>
      <c r="VHF136" s="46"/>
      <c r="VHG136" s="46"/>
      <c r="VHH136" s="46"/>
      <c r="VHI136" s="46"/>
      <c r="VHJ136" s="46"/>
      <c r="VHK136" s="46"/>
      <c r="VHL136" s="46"/>
      <c r="VHM136" s="46"/>
      <c r="VHN136" s="46"/>
      <c r="VHO136" s="46"/>
      <c r="VHP136" s="46"/>
      <c r="VHQ136" s="46"/>
      <c r="VHR136" s="46"/>
      <c r="VHS136" s="46"/>
      <c r="VHT136" s="46"/>
      <c r="VHU136" s="46"/>
      <c r="VHV136" s="46"/>
      <c r="VHW136" s="46"/>
      <c r="VHX136" s="46"/>
      <c r="VHY136" s="46"/>
      <c r="VHZ136" s="46"/>
      <c r="VIA136" s="46"/>
      <c r="VIB136" s="46"/>
      <c r="VIC136" s="46"/>
      <c r="VID136" s="46"/>
      <c r="VIE136" s="46"/>
      <c r="VIF136" s="46"/>
      <c r="VIG136" s="46"/>
      <c r="VIH136" s="46"/>
      <c r="VII136" s="46"/>
      <c r="VIJ136" s="46"/>
      <c r="VIK136" s="46"/>
      <c r="VIL136" s="46"/>
      <c r="VIM136" s="46"/>
      <c r="VIN136" s="46"/>
      <c r="VIO136" s="46"/>
      <c r="VIP136" s="46"/>
      <c r="VIQ136" s="46"/>
      <c r="VIR136" s="46"/>
      <c r="VIS136" s="46"/>
      <c r="VIT136" s="46"/>
      <c r="VIU136" s="46"/>
      <c r="VIV136" s="46"/>
      <c r="VIW136" s="46"/>
      <c r="VIX136" s="46"/>
      <c r="VIY136" s="46"/>
      <c r="VIZ136" s="46"/>
      <c r="VJA136" s="46"/>
      <c r="VJB136" s="46"/>
      <c r="VJC136" s="46"/>
      <c r="VJD136" s="46"/>
      <c r="VJE136" s="46"/>
      <c r="VJF136" s="46"/>
      <c r="VJG136" s="46"/>
      <c r="VJH136" s="46"/>
      <c r="VJI136" s="46"/>
      <c r="VJJ136" s="46"/>
      <c r="VJK136" s="46"/>
      <c r="VJL136" s="46"/>
      <c r="VJM136" s="46"/>
      <c r="VJN136" s="46"/>
      <c r="VJO136" s="46"/>
      <c r="VJP136" s="46"/>
      <c r="VJQ136" s="46"/>
      <c r="VJR136" s="46"/>
      <c r="VJS136" s="46"/>
      <c r="VJT136" s="46"/>
      <c r="VJU136" s="46"/>
      <c r="VJV136" s="46"/>
      <c r="VJW136" s="46"/>
      <c r="VJX136" s="46"/>
      <c r="VJY136" s="46"/>
      <c r="VJZ136" s="46"/>
      <c r="VKA136" s="46"/>
      <c r="VKB136" s="46"/>
      <c r="VKC136" s="46"/>
      <c r="VKD136" s="46"/>
      <c r="VKE136" s="46"/>
      <c r="VKF136" s="46"/>
      <c r="VKG136" s="46"/>
      <c r="VKH136" s="46"/>
      <c r="VKI136" s="46"/>
      <c r="VKJ136" s="46"/>
      <c r="VKK136" s="46"/>
      <c r="VKL136" s="46"/>
      <c r="VKM136" s="46"/>
      <c r="VKN136" s="46"/>
      <c r="VKO136" s="46"/>
      <c r="VKP136" s="46"/>
      <c r="VKQ136" s="46"/>
      <c r="VKR136" s="46"/>
      <c r="VKS136" s="46"/>
      <c r="VKT136" s="46"/>
      <c r="VKU136" s="46"/>
      <c r="VKV136" s="46"/>
      <c r="VKW136" s="46"/>
      <c r="VKX136" s="46"/>
      <c r="VKY136" s="46"/>
      <c r="VKZ136" s="46"/>
      <c r="VLA136" s="46"/>
      <c r="VLB136" s="46"/>
      <c r="VLC136" s="46"/>
      <c r="VLD136" s="46"/>
      <c r="VLE136" s="46"/>
      <c r="VLF136" s="46"/>
      <c r="VLG136" s="46"/>
      <c r="VLH136" s="46"/>
      <c r="VLI136" s="46"/>
      <c r="VLJ136" s="46"/>
      <c r="VLK136" s="46"/>
      <c r="VLL136" s="46"/>
      <c r="VLM136" s="46"/>
      <c r="VLN136" s="46"/>
      <c r="VLO136" s="46"/>
      <c r="VLP136" s="46"/>
      <c r="VLQ136" s="46"/>
      <c r="VLR136" s="46"/>
      <c r="VLS136" s="46"/>
      <c r="VLT136" s="46"/>
      <c r="VLU136" s="46"/>
      <c r="VLV136" s="46"/>
      <c r="VLW136" s="46"/>
      <c r="VLX136" s="46"/>
      <c r="VLY136" s="46"/>
      <c r="VLZ136" s="46"/>
      <c r="VMA136" s="46"/>
      <c r="VMB136" s="46"/>
      <c r="VMC136" s="46"/>
      <c r="VMD136" s="46"/>
      <c r="VME136" s="46"/>
      <c r="VMF136" s="46"/>
      <c r="VMG136" s="46"/>
      <c r="VMH136" s="46"/>
      <c r="VMI136" s="46"/>
      <c r="VMJ136" s="46"/>
      <c r="VMK136" s="46"/>
      <c r="VML136" s="46"/>
      <c r="VMM136" s="46"/>
      <c r="VMN136" s="46"/>
      <c r="VMO136" s="46"/>
      <c r="VMP136" s="46"/>
      <c r="VMQ136" s="46"/>
      <c r="VMR136" s="46"/>
      <c r="VMS136" s="46"/>
      <c r="VMT136" s="46"/>
      <c r="VMU136" s="46"/>
      <c r="VMV136" s="46"/>
      <c r="VMW136" s="46"/>
      <c r="VMX136" s="46"/>
      <c r="VMY136" s="46"/>
      <c r="VMZ136" s="46"/>
      <c r="VNA136" s="46"/>
      <c r="VNB136" s="46"/>
      <c r="VNC136" s="46"/>
      <c r="VND136" s="46"/>
      <c r="VNE136" s="46"/>
      <c r="VNF136" s="46"/>
      <c r="VNG136" s="46"/>
      <c r="VNH136" s="46"/>
      <c r="VNI136" s="46"/>
      <c r="VNJ136" s="46"/>
      <c r="VNK136" s="46"/>
      <c r="VNL136" s="46"/>
      <c r="VNM136" s="46"/>
      <c r="VNN136" s="46"/>
      <c r="VNO136" s="46"/>
      <c r="VNP136" s="46"/>
      <c r="VNQ136" s="46"/>
      <c r="VNR136" s="46"/>
      <c r="VNS136" s="46"/>
      <c r="VNT136" s="46"/>
      <c r="VNU136" s="46"/>
      <c r="VNV136" s="46"/>
      <c r="VNW136" s="46"/>
      <c r="VNX136" s="46"/>
      <c r="VNY136" s="46"/>
      <c r="VNZ136" s="46"/>
      <c r="VOA136" s="46"/>
      <c r="VOB136" s="46"/>
      <c r="VOC136" s="46"/>
      <c r="VOD136" s="46"/>
      <c r="VOE136" s="46"/>
      <c r="VOF136" s="46"/>
      <c r="VOG136" s="46"/>
      <c r="VOH136" s="46"/>
      <c r="VOI136" s="46"/>
      <c r="VOJ136" s="46"/>
      <c r="VOK136" s="46"/>
      <c r="VOL136" s="46"/>
      <c r="VOM136" s="46"/>
      <c r="VON136" s="46"/>
      <c r="VOO136" s="46"/>
      <c r="VOP136" s="46"/>
      <c r="VOQ136" s="46"/>
      <c r="VOR136" s="46"/>
      <c r="VOS136" s="46"/>
      <c r="VOT136" s="46"/>
      <c r="VOU136" s="46"/>
      <c r="VOV136" s="46"/>
      <c r="VOW136" s="46"/>
      <c r="VOX136" s="46"/>
      <c r="VOY136" s="46"/>
      <c r="VOZ136" s="46"/>
      <c r="VPA136" s="46"/>
      <c r="VPB136" s="46"/>
      <c r="VPC136" s="46"/>
      <c r="VPD136" s="46"/>
      <c r="VPE136" s="46"/>
      <c r="VPF136" s="46"/>
      <c r="VPG136" s="46"/>
      <c r="VPH136" s="46"/>
      <c r="VPI136" s="46"/>
      <c r="VPJ136" s="46"/>
      <c r="VPK136" s="46"/>
      <c r="VPL136" s="46"/>
      <c r="VPM136" s="46"/>
      <c r="VPN136" s="46"/>
      <c r="VPO136" s="46"/>
      <c r="VPP136" s="46"/>
      <c r="VPQ136" s="46"/>
      <c r="VPR136" s="46"/>
      <c r="VPS136" s="46"/>
      <c r="VPT136" s="46"/>
      <c r="VPU136" s="46"/>
      <c r="VPV136" s="46"/>
      <c r="VPW136" s="46"/>
      <c r="VPX136" s="46"/>
      <c r="VPY136" s="46"/>
      <c r="VPZ136" s="46"/>
      <c r="VQA136" s="46"/>
      <c r="VQB136" s="46"/>
      <c r="VQC136" s="46"/>
      <c r="VQD136" s="46"/>
      <c r="VQE136" s="46"/>
      <c r="VQF136" s="46"/>
      <c r="VQG136" s="46"/>
      <c r="VQH136" s="46"/>
      <c r="VQI136" s="46"/>
      <c r="VQJ136" s="46"/>
      <c r="VQK136" s="46"/>
      <c r="VQL136" s="46"/>
      <c r="VQM136" s="46"/>
      <c r="VQN136" s="46"/>
      <c r="VQO136" s="46"/>
      <c r="VQP136" s="46"/>
      <c r="VQQ136" s="46"/>
      <c r="VQR136" s="46"/>
      <c r="VQS136" s="46"/>
      <c r="VQT136" s="46"/>
      <c r="VQU136" s="46"/>
      <c r="VQV136" s="46"/>
      <c r="VQW136" s="46"/>
      <c r="VQX136" s="46"/>
      <c r="VQY136" s="46"/>
      <c r="VQZ136" s="46"/>
      <c r="VRA136" s="46"/>
      <c r="VRB136" s="46"/>
      <c r="VRC136" s="46"/>
      <c r="VRD136" s="46"/>
      <c r="VRE136" s="46"/>
      <c r="VRF136" s="46"/>
      <c r="VRG136" s="46"/>
      <c r="VRH136" s="46"/>
      <c r="VRI136" s="46"/>
      <c r="VRJ136" s="46"/>
      <c r="VRK136" s="46"/>
      <c r="VRL136" s="46"/>
      <c r="VRM136" s="46"/>
      <c r="VRN136" s="46"/>
      <c r="VRO136" s="46"/>
      <c r="VRP136" s="46"/>
      <c r="VRQ136" s="46"/>
      <c r="VRR136" s="46"/>
      <c r="VRS136" s="46"/>
      <c r="VRT136" s="46"/>
      <c r="VRU136" s="46"/>
      <c r="VRV136" s="46"/>
      <c r="VRW136" s="46"/>
      <c r="VRX136" s="46"/>
      <c r="VRY136" s="46"/>
      <c r="VRZ136" s="46"/>
      <c r="VSA136" s="46"/>
      <c r="VSB136" s="46"/>
      <c r="VSC136" s="46"/>
      <c r="VSD136" s="46"/>
      <c r="VSE136" s="46"/>
      <c r="VSF136" s="46"/>
      <c r="VSG136" s="46"/>
      <c r="VSH136" s="46"/>
      <c r="VSI136" s="46"/>
      <c r="VSJ136" s="46"/>
      <c r="VSK136" s="46"/>
      <c r="VSL136" s="46"/>
      <c r="VSM136" s="46"/>
      <c r="VSN136" s="46"/>
      <c r="VSO136" s="46"/>
      <c r="VSP136" s="46"/>
      <c r="VSQ136" s="46"/>
      <c r="VSR136" s="46"/>
      <c r="VSS136" s="46"/>
      <c r="VST136" s="46"/>
      <c r="VSU136" s="46"/>
      <c r="VSV136" s="46"/>
      <c r="VSW136" s="46"/>
      <c r="VSX136" s="46"/>
      <c r="VSY136" s="46"/>
      <c r="VSZ136" s="46"/>
      <c r="VTA136" s="46"/>
      <c r="VTB136" s="46"/>
      <c r="VTC136" s="46"/>
      <c r="VTD136" s="46"/>
      <c r="VTE136" s="46"/>
      <c r="VTF136" s="46"/>
      <c r="VTG136" s="46"/>
      <c r="VTH136" s="46"/>
      <c r="VTI136" s="46"/>
      <c r="VTJ136" s="46"/>
      <c r="VTK136" s="46"/>
      <c r="VTL136" s="46"/>
      <c r="VTM136" s="46"/>
      <c r="VTN136" s="46"/>
      <c r="VTO136" s="46"/>
      <c r="VTP136" s="46"/>
      <c r="VTQ136" s="46"/>
      <c r="VTR136" s="46"/>
      <c r="VTS136" s="46"/>
      <c r="VTT136" s="46"/>
      <c r="VTU136" s="46"/>
      <c r="VTV136" s="46"/>
      <c r="VTW136" s="46"/>
      <c r="VTX136" s="46"/>
      <c r="VTY136" s="46"/>
      <c r="VTZ136" s="46"/>
      <c r="VUA136" s="46"/>
    </row>
    <row r="137" spans="3:61 15027:15419" s="1" customFormat="1" ht="15" hidden="1" customHeight="1">
      <c r="C137" s="15"/>
      <c r="D137" s="30" t="s">
        <v>29</v>
      </c>
      <c r="E137" s="61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65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M137" s="64" t="s">
        <v>29</v>
      </c>
      <c r="BI137" s="143"/>
    </row>
    <row r="138" spans="3:61 15027:15419" s="1" customFormat="1" ht="15" hidden="1" customHeight="1">
      <c r="C138" s="15"/>
      <c r="D138" s="11" t="s">
        <v>45</v>
      </c>
      <c r="E138" s="127">
        <v>0.3</v>
      </c>
      <c r="F138" s="20" t="s">
        <v>25</v>
      </c>
      <c r="G138" s="34" t="e">
        <v>#DIV/0!</v>
      </c>
      <c r="H138" s="34" t="e">
        <v>#DIV/0!</v>
      </c>
      <c r="I138" s="34" t="e">
        <v>#DIV/0!</v>
      </c>
      <c r="J138" s="34" t="e">
        <v>#DIV/0!</v>
      </c>
      <c r="K138" s="34" t="e">
        <v>#DIV/0!</v>
      </c>
      <c r="L138" s="34" t="e">
        <v>#DIV/0!</v>
      </c>
      <c r="M138" s="34" t="e">
        <v>#DIV/0!</v>
      </c>
      <c r="N138" s="34" t="e">
        <v>#DIV/0!</v>
      </c>
      <c r="O138" s="34" t="e">
        <v>#DIV/0!</v>
      </c>
      <c r="P138" s="34" t="e">
        <v>#DIV/0!</v>
      </c>
      <c r="Q138" s="34" t="e">
        <v>#DIV/0!</v>
      </c>
      <c r="R138" s="34" t="e">
        <v>#DIV/0!</v>
      </c>
      <c r="S138" s="1966" t="e">
        <v>#DIV/0!</v>
      </c>
      <c r="T138" s="34" t="e">
        <v>#DIV/0!</v>
      </c>
      <c r="U138" s="34" t="e">
        <v>#DIV/0!</v>
      </c>
      <c r="V138" s="34" t="e">
        <v>#DIV/0!</v>
      </c>
      <c r="W138" s="34" t="e">
        <v>#DIV/0!</v>
      </c>
      <c r="X138" s="34" t="e">
        <v>#DIV/0!</v>
      </c>
      <c r="Y138" s="34" t="e">
        <v>#DIV/0!</v>
      </c>
      <c r="Z138" s="34" t="e">
        <v>#DIV/0!</v>
      </c>
      <c r="AA138" s="34" t="e">
        <v>#DIV/0!</v>
      </c>
      <c r="AB138" s="34" t="e">
        <v>#DIV/0!</v>
      </c>
      <c r="AC138" s="34" t="e">
        <v>#DIV/0!</v>
      </c>
      <c r="AD138" s="34" t="e">
        <v>#DIV/0!</v>
      </c>
      <c r="AE138" s="34" t="e">
        <v>#DIV/0!</v>
      </c>
      <c r="AF138" s="34" t="e">
        <v>#DIV/0!</v>
      </c>
      <c r="AG138" s="34" t="e">
        <v>#DIV/0!</v>
      </c>
      <c r="AH138" s="34" t="e">
        <v>#DIV/0!</v>
      </c>
      <c r="AI138" s="34"/>
      <c r="AJ138" s="34"/>
      <c r="AK138" s="34" t="e">
        <v>#DIV/0!</v>
      </c>
      <c r="AM138" s="59" t="e">
        <v>#DIV/0!</v>
      </c>
      <c r="BI138" s="143"/>
    </row>
    <row r="139" spans="3:61 15027:15419" s="1" customFormat="1" ht="15" hidden="1" customHeight="1">
      <c r="C139" s="15"/>
      <c r="D139" s="11" t="s">
        <v>44</v>
      </c>
      <c r="E139" s="127">
        <v>0.3</v>
      </c>
      <c r="F139" s="20" t="s">
        <v>25</v>
      </c>
      <c r="G139" s="34" t="e">
        <v>#DIV/0!</v>
      </c>
      <c r="H139" s="34" t="e">
        <v>#DIV/0!</v>
      </c>
      <c r="I139" s="34" t="e">
        <v>#DIV/0!</v>
      </c>
      <c r="J139" s="34" t="e">
        <v>#DIV/0!</v>
      </c>
      <c r="K139" s="34" t="e">
        <v>#DIV/0!</v>
      </c>
      <c r="L139" s="34" t="e">
        <v>#DIV/0!</v>
      </c>
      <c r="M139" s="34" t="e">
        <v>#DIV/0!</v>
      </c>
      <c r="N139" s="34" t="e">
        <v>#DIV/0!</v>
      </c>
      <c r="O139" s="34" t="e">
        <v>#DIV/0!</v>
      </c>
      <c r="P139" s="34" t="e">
        <v>#DIV/0!</v>
      </c>
      <c r="Q139" s="34" t="e">
        <v>#DIV/0!</v>
      </c>
      <c r="R139" s="34" t="e">
        <v>#DIV/0!</v>
      </c>
      <c r="S139" s="1966" t="e">
        <v>#DIV/0!</v>
      </c>
      <c r="T139" s="34" t="e">
        <v>#DIV/0!</v>
      </c>
      <c r="U139" s="34" t="e">
        <v>#DIV/0!</v>
      </c>
      <c r="V139" s="34" t="e">
        <v>#DIV/0!</v>
      </c>
      <c r="W139" s="34" t="e">
        <v>#DIV/0!</v>
      </c>
      <c r="X139" s="34" t="e">
        <v>#DIV/0!</v>
      </c>
      <c r="Y139" s="34" t="e">
        <v>#DIV/0!</v>
      </c>
      <c r="Z139" s="34" t="e">
        <v>#DIV/0!</v>
      </c>
      <c r="AA139" s="34" t="e">
        <v>#DIV/0!</v>
      </c>
      <c r="AB139" s="34" t="e">
        <v>#DIV/0!</v>
      </c>
      <c r="AC139" s="34" t="e">
        <v>#DIV/0!</v>
      </c>
      <c r="AD139" s="34" t="e">
        <v>#DIV/0!</v>
      </c>
      <c r="AE139" s="34" t="e">
        <v>#DIV/0!</v>
      </c>
      <c r="AF139" s="34" t="e">
        <v>#DIV/0!</v>
      </c>
      <c r="AG139" s="34" t="e">
        <v>#DIV/0!</v>
      </c>
      <c r="AH139" s="34" t="e">
        <v>#DIV/0!</v>
      </c>
      <c r="AI139" s="34"/>
      <c r="AJ139" s="34"/>
      <c r="AK139" s="34" t="e">
        <v>#DIV/0!</v>
      </c>
      <c r="AM139" s="59" t="e">
        <v>#DIV/0!</v>
      </c>
      <c r="BI139" s="143"/>
    </row>
    <row r="140" spans="3:61 15027:15419" s="1" customFormat="1" ht="15" hidden="1" customHeight="1">
      <c r="C140" s="15"/>
      <c r="D140" s="30" t="s">
        <v>28</v>
      </c>
      <c r="E140" s="127"/>
      <c r="F140" s="13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1966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M140" s="64" t="s">
        <v>28</v>
      </c>
      <c r="BI140" s="143"/>
    </row>
    <row r="141" spans="3:61 15027:15419" s="1" customFormat="1" ht="15" hidden="1" customHeight="1">
      <c r="C141" s="15"/>
      <c r="D141" s="11" t="s">
        <v>45</v>
      </c>
      <c r="E141" s="127">
        <v>0.5</v>
      </c>
      <c r="F141" s="20" t="s">
        <v>25</v>
      </c>
      <c r="G141" s="34" t="e">
        <v>#DIV/0!</v>
      </c>
      <c r="H141" s="34" t="e">
        <v>#DIV/0!</v>
      </c>
      <c r="I141" s="34" t="e">
        <v>#DIV/0!</v>
      </c>
      <c r="J141" s="34" t="e">
        <v>#DIV/0!</v>
      </c>
      <c r="K141" s="34" t="e">
        <v>#DIV/0!</v>
      </c>
      <c r="L141" s="34" t="e">
        <v>#DIV/0!</v>
      </c>
      <c r="M141" s="34" t="e">
        <v>#DIV/0!</v>
      </c>
      <c r="N141" s="34" t="e">
        <v>#DIV/0!</v>
      </c>
      <c r="O141" s="34" t="e">
        <v>#DIV/0!</v>
      </c>
      <c r="P141" s="34" t="e">
        <v>#DIV/0!</v>
      </c>
      <c r="Q141" s="34" t="e">
        <v>#DIV/0!</v>
      </c>
      <c r="R141" s="34" t="e">
        <v>#DIV/0!</v>
      </c>
      <c r="S141" s="1966" t="e">
        <v>#DIV/0!</v>
      </c>
      <c r="T141" s="34" t="e">
        <v>#DIV/0!</v>
      </c>
      <c r="U141" s="34" t="e">
        <v>#DIV/0!</v>
      </c>
      <c r="V141" s="34" t="e">
        <v>#DIV/0!</v>
      </c>
      <c r="W141" s="34" t="e">
        <v>#DIV/0!</v>
      </c>
      <c r="X141" s="34" t="e">
        <v>#DIV/0!</v>
      </c>
      <c r="Y141" s="34" t="e">
        <v>#DIV/0!</v>
      </c>
      <c r="Z141" s="34" t="e">
        <v>#DIV/0!</v>
      </c>
      <c r="AA141" s="34" t="e">
        <v>#DIV/0!</v>
      </c>
      <c r="AB141" s="34" t="e">
        <v>#DIV/0!</v>
      </c>
      <c r="AC141" s="34" t="e">
        <v>#DIV/0!</v>
      </c>
      <c r="AD141" s="34" t="e">
        <v>#DIV/0!</v>
      </c>
      <c r="AE141" s="34" t="e">
        <v>#DIV/0!</v>
      </c>
      <c r="AF141" s="34" t="e">
        <v>#DIV/0!</v>
      </c>
      <c r="AG141" s="34" t="e">
        <v>#DIV/0!</v>
      </c>
      <c r="AH141" s="34" t="e">
        <v>#DIV/0!</v>
      </c>
      <c r="AI141" s="34"/>
      <c r="AJ141" s="34"/>
      <c r="AK141" s="34" t="e">
        <v>#DIV/0!</v>
      </c>
      <c r="AM141" s="59" t="e">
        <v>#DIV/0!</v>
      </c>
      <c r="BI141" s="143"/>
    </row>
    <row r="142" spans="3:61 15027:15419" s="1" customFormat="1" ht="15" hidden="1" customHeight="1">
      <c r="C142" s="15"/>
      <c r="D142" s="11" t="s">
        <v>44</v>
      </c>
      <c r="E142" s="127">
        <v>0.5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66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/>
      <c r="AJ142" s="34"/>
      <c r="AK142" s="34" t="e">
        <v>#DIV/0!</v>
      </c>
      <c r="AM142" s="59" t="e">
        <v>#DIV/0!</v>
      </c>
      <c r="BI142" s="143"/>
    </row>
    <row r="143" spans="3:61 15027:15419" s="1" customFormat="1" ht="15" hidden="1" customHeight="1">
      <c r="C143" s="15"/>
      <c r="D143" s="47" t="s">
        <v>43</v>
      </c>
      <c r="E143" s="128"/>
      <c r="F143" s="93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1983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  <c r="AG143" s="286"/>
      <c r="AH143" s="286"/>
      <c r="AI143" s="286"/>
      <c r="AJ143" s="286"/>
      <c r="AK143" s="286"/>
      <c r="AL143" s="18"/>
      <c r="AM143" s="79" t="s">
        <v>130</v>
      </c>
    </row>
    <row r="144" spans="3:61 15027:15419" s="1" customFormat="1" ht="15" hidden="1" customHeight="1">
      <c r="C144" s="15"/>
      <c r="D144" s="28" t="s">
        <v>114</v>
      </c>
      <c r="E144" s="127"/>
      <c r="F144" s="20" t="s">
        <v>14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1967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35"/>
      <c r="AM144" s="90">
        <v>0</v>
      </c>
    </row>
    <row r="145" spans="3:39" s="1" customFormat="1" ht="15" hidden="1" customHeight="1">
      <c r="C145" s="15"/>
      <c r="D145" s="28" t="s">
        <v>115</v>
      </c>
      <c r="E145" s="127"/>
      <c r="F145" s="20" t="s">
        <v>14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1966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94">
        <v>0</v>
      </c>
    </row>
    <row r="146" spans="3:39" s="1" customFormat="1" ht="15" hidden="1" customHeight="1">
      <c r="C146" s="15"/>
      <c r="D146" s="30" t="s">
        <v>39</v>
      </c>
      <c r="E146" s="127"/>
      <c r="F146" s="20" t="s">
        <v>14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1966">
        <v>0</v>
      </c>
      <c r="T146" s="34">
        <v>0</v>
      </c>
      <c r="U146" s="34">
        <v>0</v>
      </c>
      <c r="V146" s="34">
        <v>0</v>
      </c>
      <c r="W146" s="34">
        <v>0</v>
      </c>
      <c r="X146" s="34">
        <v>0</v>
      </c>
      <c r="Y146" s="34">
        <v>0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v>0</v>
      </c>
      <c r="AF146" s="34">
        <v>0</v>
      </c>
      <c r="AG146" s="34">
        <v>0</v>
      </c>
      <c r="AH146" s="34">
        <v>0</v>
      </c>
      <c r="AI146" s="34"/>
      <c r="AJ146" s="34"/>
      <c r="AK146" s="34">
        <v>0</v>
      </c>
      <c r="AL146" s="18"/>
      <c r="AM146" s="59">
        <v>0</v>
      </c>
    </row>
    <row r="147" spans="3:39" s="1" customFormat="1" ht="15" hidden="1" customHeight="1">
      <c r="C147" s="15"/>
      <c r="D147" s="30" t="s">
        <v>38</v>
      </c>
      <c r="E147" s="127"/>
      <c r="F147" s="20" t="s">
        <v>14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1966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/>
      <c r="AJ147" s="34"/>
      <c r="AK147" s="34">
        <v>0</v>
      </c>
      <c r="AL147" s="18"/>
      <c r="AM147" s="59">
        <v>0</v>
      </c>
    </row>
    <row r="148" spans="3:39" s="1" customFormat="1" ht="15" hidden="1" customHeight="1">
      <c r="C148" s="15"/>
      <c r="D148" s="30" t="s">
        <v>29</v>
      </c>
      <c r="E148" s="127"/>
      <c r="F148" s="1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1965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6"/>
      <c r="AM148" s="64" t="s">
        <v>29</v>
      </c>
    </row>
    <row r="149" spans="3:39" s="1" customFormat="1" ht="15" hidden="1" customHeight="1">
      <c r="C149" s="15"/>
      <c r="D149" s="11" t="s">
        <v>42</v>
      </c>
      <c r="E149" s="127"/>
      <c r="F149" s="32" t="s">
        <v>31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1965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7"/>
      <c r="AM149" s="92">
        <v>0</v>
      </c>
    </row>
    <row r="150" spans="3:39" s="1" customFormat="1" ht="15" hidden="1" customHeight="1">
      <c r="C150" s="15"/>
      <c r="D150" s="11" t="s">
        <v>41</v>
      </c>
      <c r="E150" s="127"/>
      <c r="F150" s="32" t="s">
        <v>31</v>
      </c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1965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7"/>
      <c r="AM150" s="92">
        <v>0</v>
      </c>
    </row>
    <row r="151" spans="3:39" s="1" customFormat="1" ht="15" hidden="1" customHeight="1">
      <c r="C151" s="15"/>
      <c r="D151" s="30" t="s">
        <v>28</v>
      </c>
      <c r="E151" s="127"/>
      <c r="F151" s="1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1965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6"/>
      <c r="AM151" s="64" t="s">
        <v>28</v>
      </c>
    </row>
    <row r="152" spans="3:39" s="1" customFormat="1" ht="15" hidden="1" customHeight="1">
      <c r="C152" s="15"/>
      <c r="D152" s="11" t="s">
        <v>42</v>
      </c>
      <c r="E152" s="127"/>
      <c r="F152" s="20" t="s">
        <v>28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1965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0</v>
      </c>
      <c r="Z152" s="33">
        <v>0</v>
      </c>
      <c r="AA152" s="33">
        <v>0</v>
      </c>
      <c r="AB152" s="33">
        <v>0</v>
      </c>
      <c r="AC152" s="33">
        <v>0</v>
      </c>
      <c r="AD152" s="33">
        <v>0</v>
      </c>
      <c r="AE152" s="33">
        <v>0</v>
      </c>
      <c r="AF152" s="33">
        <v>0</v>
      </c>
      <c r="AG152" s="33">
        <v>0</v>
      </c>
      <c r="AH152" s="33">
        <v>0</v>
      </c>
      <c r="AI152" s="33"/>
      <c r="AJ152" s="33"/>
      <c r="AK152" s="33">
        <v>0</v>
      </c>
      <c r="AL152" s="6"/>
      <c r="AM152" s="55">
        <v>0</v>
      </c>
    </row>
    <row r="153" spans="3:39" s="1" customFormat="1" ht="15" hidden="1" customHeight="1">
      <c r="C153" s="15"/>
      <c r="D153" s="11" t="s">
        <v>41</v>
      </c>
      <c r="E153" s="127"/>
      <c r="F153" s="20" t="s">
        <v>28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1965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33">
        <v>0</v>
      </c>
      <c r="AG153" s="33">
        <v>0</v>
      </c>
      <c r="AH153" s="33">
        <v>0</v>
      </c>
      <c r="AI153" s="33"/>
      <c r="AJ153" s="33"/>
      <c r="AK153" s="33">
        <v>0</v>
      </c>
      <c r="AL153" s="6"/>
      <c r="AM153" s="55">
        <v>0</v>
      </c>
    </row>
    <row r="154" spans="3:39" s="1" customFormat="1" ht="15" hidden="1" customHeight="1">
      <c r="C154" s="15"/>
      <c r="D154" s="30" t="s">
        <v>36</v>
      </c>
      <c r="E154" s="127"/>
      <c r="F154" s="20" t="s">
        <v>35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1965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33">
        <v>0</v>
      </c>
      <c r="AG154" s="33">
        <v>0</v>
      </c>
      <c r="AH154" s="33">
        <v>0</v>
      </c>
      <c r="AI154" s="33"/>
      <c r="AJ154" s="33"/>
      <c r="AK154" s="33">
        <v>0</v>
      </c>
      <c r="AL154" s="6"/>
      <c r="AM154" s="55">
        <v>0</v>
      </c>
    </row>
    <row r="155" spans="3:39" s="1" customFormat="1" ht="15" hidden="1" customHeight="1">
      <c r="C155" s="15"/>
      <c r="D155" s="30" t="s">
        <v>34</v>
      </c>
      <c r="E155" s="127"/>
      <c r="F155" s="20" t="s">
        <v>33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1965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  <c r="AG155" s="33">
        <v>0</v>
      </c>
      <c r="AH155" s="33">
        <v>0</v>
      </c>
      <c r="AI155" s="33"/>
      <c r="AJ155" s="33"/>
      <c r="AK155" s="33">
        <v>0</v>
      </c>
      <c r="AL155" s="6"/>
      <c r="AM155" s="55">
        <v>0</v>
      </c>
    </row>
    <row r="156" spans="3:39" s="1" customFormat="1" ht="15" hidden="1" customHeight="1">
      <c r="C156" s="15"/>
      <c r="D156" s="47" t="s">
        <v>32</v>
      </c>
      <c r="E156" s="128"/>
      <c r="F156" s="49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1968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18"/>
      <c r="AM156" s="79" t="s">
        <v>131</v>
      </c>
    </row>
    <row r="157" spans="3:39" s="1" customFormat="1" ht="15" hidden="1" customHeight="1">
      <c r="C157" s="15"/>
      <c r="D157" s="30" t="s">
        <v>29</v>
      </c>
      <c r="E157" s="127"/>
      <c r="F157" s="1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1965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18"/>
      <c r="AM157" s="64" t="s">
        <v>29</v>
      </c>
    </row>
    <row r="158" spans="3:39" s="1" customFormat="1" ht="15" hidden="1" customHeight="1">
      <c r="C158" s="15"/>
      <c r="D158" s="11" t="s">
        <v>42</v>
      </c>
      <c r="E158" s="127"/>
      <c r="F158" s="20" t="s">
        <v>31</v>
      </c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65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18"/>
      <c r="AM158" s="55">
        <v>0</v>
      </c>
    </row>
    <row r="159" spans="3:39" s="1" customFormat="1" ht="15" hidden="1" customHeight="1">
      <c r="C159" s="15"/>
      <c r="D159" s="11" t="s">
        <v>41</v>
      </c>
      <c r="E159" s="127"/>
      <c r="F159" s="20" t="s">
        <v>31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65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18"/>
      <c r="AM159" s="55">
        <v>0</v>
      </c>
    </row>
    <row r="160" spans="3:39" s="1" customFormat="1" ht="15" hidden="1" customHeight="1">
      <c r="C160" s="15"/>
      <c r="D160" s="30" t="s">
        <v>28</v>
      </c>
      <c r="E160" s="127"/>
      <c r="F160" s="1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1965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18"/>
      <c r="AM160" s="64" t="s">
        <v>28</v>
      </c>
    </row>
    <row r="161" spans="3:61 15027:15419" s="1" customFormat="1" ht="15" hidden="1" customHeight="1">
      <c r="C161" s="15"/>
      <c r="D161" s="11" t="s">
        <v>42</v>
      </c>
      <c r="E161" s="127"/>
      <c r="F161" s="20" t="s">
        <v>28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1965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  <c r="AC161" s="33">
        <v>0</v>
      </c>
      <c r="AD161" s="33">
        <v>0</v>
      </c>
      <c r="AE161" s="33">
        <v>0</v>
      </c>
      <c r="AF161" s="33">
        <v>0</v>
      </c>
      <c r="AG161" s="33">
        <v>0</v>
      </c>
      <c r="AH161" s="33">
        <v>0</v>
      </c>
      <c r="AI161" s="33"/>
      <c r="AJ161" s="33"/>
      <c r="AK161" s="33">
        <v>0</v>
      </c>
      <c r="AL161" s="18"/>
      <c r="AM161" s="55">
        <v>0</v>
      </c>
    </row>
    <row r="162" spans="3:61 15027:15419" s="1" customFormat="1" ht="15" hidden="1" customHeight="1">
      <c r="C162" s="15"/>
      <c r="D162" s="11" t="s">
        <v>41</v>
      </c>
      <c r="E162" s="127"/>
      <c r="F162" s="20" t="s">
        <v>28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1965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/>
      <c r="AJ162" s="33"/>
      <c r="AK162" s="33">
        <v>0</v>
      </c>
      <c r="AL162" s="18"/>
      <c r="AM162" s="55">
        <v>0</v>
      </c>
    </row>
    <row r="163" spans="3:61 15027:15419" s="1" customFormat="1" ht="15" hidden="1" customHeight="1">
      <c r="C163" s="15"/>
      <c r="D163" s="47" t="s">
        <v>30</v>
      </c>
      <c r="E163" s="128"/>
      <c r="F163" s="9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1968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18"/>
      <c r="AM163" s="96"/>
    </row>
    <row r="164" spans="3:61 15027:15419" s="1" customFormat="1" ht="15" hidden="1" customHeight="1">
      <c r="C164" s="15"/>
      <c r="D164" s="30" t="s">
        <v>29</v>
      </c>
      <c r="E164" s="127"/>
      <c r="F164" s="20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65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18"/>
      <c r="AM164" s="55"/>
    </row>
    <row r="165" spans="3:61 15027:15419" s="1" customFormat="1" ht="15" hidden="1" customHeight="1">
      <c r="C165" s="15"/>
      <c r="D165" s="11" t="s">
        <v>42</v>
      </c>
      <c r="E165" s="127"/>
      <c r="F165" s="20" t="s">
        <v>25</v>
      </c>
      <c r="G165" s="33" t="e">
        <v>#DIV/0!</v>
      </c>
      <c r="H165" s="33" t="e">
        <v>#DIV/0!</v>
      </c>
      <c r="I165" s="33" t="e">
        <v>#DIV/0!</v>
      </c>
      <c r="J165" s="33" t="e">
        <v>#DIV/0!</v>
      </c>
      <c r="K165" s="33" t="e">
        <v>#DIV/0!</v>
      </c>
      <c r="L165" s="33" t="e">
        <v>#DIV/0!</v>
      </c>
      <c r="M165" s="33" t="e">
        <v>#DIV/0!</v>
      </c>
      <c r="N165" s="33" t="e">
        <v>#DIV/0!</v>
      </c>
      <c r="O165" s="33" t="e">
        <v>#DIV/0!</v>
      </c>
      <c r="P165" s="33" t="e">
        <v>#DIV/0!</v>
      </c>
      <c r="Q165" s="33" t="e">
        <v>#DIV/0!</v>
      </c>
      <c r="R165" s="33" t="e">
        <v>#DIV/0!</v>
      </c>
      <c r="S165" s="1965" t="e">
        <v>#DIV/0!</v>
      </c>
      <c r="T165" s="33" t="e">
        <v>#DIV/0!</v>
      </c>
      <c r="U165" s="33" t="e">
        <v>#DIV/0!</v>
      </c>
      <c r="V165" s="33" t="e">
        <v>#DIV/0!</v>
      </c>
      <c r="W165" s="33" t="e">
        <v>#DIV/0!</v>
      </c>
      <c r="X165" s="33" t="e">
        <v>#DIV/0!</v>
      </c>
      <c r="Y165" s="33" t="e">
        <v>#DIV/0!</v>
      </c>
      <c r="Z165" s="33" t="e">
        <v>#DIV/0!</v>
      </c>
      <c r="AA165" s="33" t="e">
        <v>#DIV/0!</v>
      </c>
      <c r="AB165" s="33" t="e">
        <v>#DIV/0!</v>
      </c>
      <c r="AC165" s="33" t="e">
        <v>#DIV/0!</v>
      </c>
      <c r="AD165" s="33" t="e">
        <v>#DIV/0!</v>
      </c>
      <c r="AE165" s="33" t="e">
        <v>#DIV/0!</v>
      </c>
      <c r="AF165" s="33" t="e">
        <v>#DIV/0!</v>
      </c>
      <c r="AG165" s="33" t="e">
        <v>#DIV/0!</v>
      </c>
      <c r="AH165" s="33" t="e">
        <v>#DIV/0!</v>
      </c>
      <c r="AI165" s="33"/>
      <c r="AJ165" s="33"/>
      <c r="AK165" s="33" t="e">
        <v>#DIV/0!</v>
      </c>
      <c r="AL165" s="37"/>
      <c r="AM165" s="55" t="e">
        <v>#DIV/0!</v>
      </c>
    </row>
    <row r="166" spans="3:61 15027:15419" s="1" customFormat="1" ht="15" hidden="1" customHeight="1">
      <c r="C166" s="15"/>
      <c r="D166" s="11" t="s">
        <v>91</v>
      </c>
      <c r="E166" s="127"/>
      <c r="F166" s="20" t="s">
        <v>25</v>
      </c>
      <c r="G166" s="33" t="e">
        <v>#DIV/0!</v>
      </c>
      <c r="H166" s="33" t="e">
        <v>#DIV/0!</v>
      </c>
      <c r="I166" s="33" t="e">
        <v>#DIV/0!</v>
      </c>
      <c r="J166" s="33" t="e">
        <v>#DIV/0!</v>
      </c>
      <c r="K166" s="33" t="e">
        <v>#DIV/0!</v>
      </c>
      <c r="L166" s="33" t="e">
        <v>#DIV/0!</v>
      </c>
      <c r="M166" s="33" t="e">
        <v>#DIV/0!</v>
      </c>
      <c r="N166" s="33" t="e">
        <v>#DIV/0!</v>
      </c>
      <c r="O166" s="33" t="e">
        <v>#DIV/0!</v>
      </c>
      <c r="P166" s="33" t="e">
        <v>#DIV/0!</v>
      </c>
      <c r="Q166" s="33" t="e">
        <v>#DIV/0!</v>
      </c>
      <c r="R166" s="33" t="e">
        <v>#DIV/0!</v>
      </c>
      <c r="S166" s="1965" t="e">
        <v>#DIV/0!</v>
      </c>
      <c r="T166" s="33" t="e">
        <v>#DIV/0!</v>
      </c>
      <c r="U166" s="33" t="e">
        <v>#DIV/0!</v>
      </c>
      <c r="V166" s="33" t="e">
        <v>#DIV/0!</v>
      </c>
      <c r="W166" s="33" t="e">
        <v>#DIV/0!</v>
      </c>
      <c r="X166" s="33" t="e">
        <v>#DIV/0!</v>
      </c>
      <c r="Y166" s="33" t="e">
        <v>#DIV/0!</v>
      </c>
      <c r="Z166" s="33" t="e">
        <v>#DIV/0!</v>
      </c>
      <c r="AA166" s="33" t="e">
        <v>#DIV/0!</v>
      </c>
      <c r="AB166" s="33" t="e">
        <v>#DIV/0!</v>
      </c>
      <c r="AC166" s="33" t="e">
        <v>#DIV/0!</v>
      </c>
      <c r="AD166" s="33" t="e">
        <v>#DIV/0!</v>
      </c>
      <c r="AE166" s="33" t="e">
        <v>#DIV/0!</v>
      </c>
      <c r="AF166" s="33" t="e">
        <v>#DIV/0!</v>
      </c>
      <c r="AG166" s="33" t="e">
        <v>#DIV/0!</v>
      </c>
      <c r="AH166" s="33" t="e">
        <v>#DIV/0!</v>
      </c>
      <c r="AI166" s="33"/>
      <c r="AJ166" s="33"/>
      <c r="AK166" s="33" t="e">
        <v>#DIV/0!</v>
      </c>
      <c r="AL166" s="37"/>
      <c r="AM166" s="55" t="e">
        <v>#DIV/0!</v>
      </c>
    </row>
    <row r="167" spans="3:61 15027:15419" s="1" customFormat="1" ht="15" hidden="1" customHeight="1">
      <c r="C167" s="15"/>
      <c r="D167" s="30" t="s">
        <v>28</v>
      </c>
      <c r="E167" s="127"/>
      <c r="F167" s="1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1965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7"/>
      <c r="AM167" s="55"/>
    </row>
    <row r="168" spans="3:61 15027:15419" s="1" customFormat="1" ht="15" hidden="1" customHeight="1">
      <c r="C168" s="15"/>
      <c r="D168" s="11" t="s">
        <v>42</v>
      </c>
      <c r="E168" s="127"/>
      <c r="F168" s="20" t="s">
        <v>25</v>
      </c>
      <c r="G168" s="33" t="e">
        <v>#DIV/0!</v>
      </c>
      <c r="H168" s="33" t="e">
        <v>#DIV/0!</v>
      </c>
      <c r="I168" s="33" t="e">
        <v>#DIV/0!</v>
      </c>
      <c r="J168" s="33" t="e">
        <v>#DIV/0!</v>
      </c>
      <c r="K168" s="33" t="e">
        <v>#DIV/0!</v>
      </c>
      <c r="L168" s="33" t="e">
        <v>#DIV/0!</v>
      </c>
      <c r="M168" s="33" t="e">
        <v>#DIV/0!</v>
      </c>
      <c r="N168" s="33" t="e">
        <v>#DIV/0!</v>
      </c>
      <c r="O168" s="33" t="e">
        <v>#DIV/0!</v>
      </c>
      <c r="P168" s="33" t="e">
        <v>#DIV/0!</v>
      </c>
      <c r="Q168" s="33" t="e">
        <v>#DIV/0!</v>
      </c>
      <c r="R168" s="33" t="e">
        <v>#DIV/0!</v>
      </c>
      <c r="S168" s="1965" t="e">
        <v>#DIV/0!</v>
      </c>
      <c r="T168" s="33" t="e">
        <v>#DIV/0!</v>
      </c>
      <c r="U168" s="33" t="e">
        <v>#DIV/0!</v>
      </c>
      <c r="V168" s="33" t="e">
        <v>#DIV/0!</v>
      </c>
      <c r="W168" s="33" t="e">
        <v>#DIV/0!</v>
      </c>
      <c r="X168" s="33" t="e">
        <v>#DIV/0!</v>
      </c>
      <c r="Y168" s="33" t="e">
        <v>#DIV/0!</v>
      </c>
      <c r="Z168" s="33" t="e">
        <v>#DIV/0!</v>
      </c>
      <c r="AA168" s="33" t="e">
        <v>#DIV/0!</v>
      </c>
      <c r="AB168" s="33" t="e">
        <v>#DIV/0!</v>
      </c>
      <c r="AC168" s="33" t="e">
        <v>#DIV/0!</v>
      </c>
      <c r="AD168" s="33" t="e">
        <v>#DIV/0!</v>
      </c>
      <c r="AE168" s="33" t="e">
        <v>#DIV/0!</v>
      </c>
      <c r="AF168" s="33" t="e">
        <v>#DIV/0!</v>
      </c>
      <c r="AG168" s="33" t="e">
        <v>#DIV/0!</v>
      </c>
      <c r="AH168" s="33" t="e">
        <v>#DIV/0!</v>
      </c>
      <c r="AI168" s="33"/>
      <c r="AJ168" s="33"/>
      <c r="AK168" s="33" t="e">
        <v>#DIV/0!</v>
      </c>
      <c r="AL168" s="37"/>
      <c r="AM168" s="55" t="e">
        <v>#DIV/0!</v>
      </c>
    </row>
    <row r="169" spans="3:61 15027:15419" s="1" customFormat="1" ht="15.75" hidden="1" customHeight="1" thickBot="1">
      <c r="C169" s="19"/>
      <c r="D169" s="11" t="s">
        <v>91</v>
      </c>
      <c r="E169" s="127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65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/>
      <c r="AJ169" s="33"/>
      <c r="AK169" s="33" t="e">
        <v>#DIV/0!</v>
      </c>
      <c r="AL169" s="37"/>
      <c r="AM169" s="55" t="e">
        <v>#DIV/0!</v>
      </c>
    </row>
    <row r="170" spans="3:61 15027:15419" s="1" customFormat="1" ht="15" hidden="1" customHeight="1">
      <c r="C170" s="8">
        <v>6</v>
      </c>
      <c r="D170" s="47" t="s">
        <v>40</v>
      </c>
      <c r="E170" s="48"/>
      <c r="F170" s="49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1968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3"/>
      <c r="AM170" s="79" t="s">
        <v>130</v>
      </c>
      <c r="BI170" s="142"/>
      <c r="VEY170" s="46"/>
      <c r="VEZ170" s="46"/>
      <c r="VFA170" s="46"/>
      <c r="VFB170" s="46"/>
      <c r="VFC170" s="46"/>
      <c r="VFD170" s="46"/>
      <c r="VFE170" s="46"/>
      <c r="VFF170" s="46"/>
      <c r="VFG170" s="46"/>
      <c r="VFH170" s="46"/>
      <c r="VFI170" s="46"/>
      <c r="VFJ170" s="46"/>
      <c r="VFK170" s="46"/>
      <c r="VFL170" s="46"/>
      <c r="VFM170" s="46"/>
      <c r="VFN170" s="46"/>
      <c r="VFO170" s="46"/>
      <c r="VFP170" s="46"/>
      <c r="VFQ170" s="46"/>
      <c r="VFR170" s="46"/>
      <c r="VFS170" s="46"/>
      <c r="VFT170" s="46"/>
      <c r="VFU170" s="46"/>
      <c r="VFV170" s="46"/>
      <c r="VFW170" s="46"/>
      <c r="VFX170" s="46"/>
      <c r="VFY170" s="46"/>
      <c r="VFZ170" s="46"/>
      <c r="VGA170" s="46"/>
      <c r="VGB170" s="46"/>
      <c r="VGC170" s="46"/>
      <c r="VGD170" s="46"/>
      <c r="VGE170" s="46"/>
      <c r="VGF170" s="46"/>
      <c r="VGG170" s="46"/>
      <c r="VGH170" s="46"/>
      <c r="VGI170" s="46"/>
      <c r="VGJ170" s="46"/>
      <c r="VGK170" s="46"/>
      <c r="VGL170" s="46"/>
      <c r="VGM170" s="46"/>
      <c r="VGN170" s="46"/>
      <c r="VGO170" s="46"/>
      <c r="VGP170" s="46"/>
      <c r="VGQ170" s="46"/>
      <c r="VGR170" s="46"/>
      <c r="VGS170" s="46"/>
      <c r="VGT170" s="46"/>
      <c r="VGU170" s="46"/>
      <c r="VGV170" s="46"/>
      <c r="VGW170" s="46"/>
      <c r="VGX170" s="46"/>
      <c r="VGY170" s="46"/>
      <c r="VGZ170" s="46"/>
      <c r="VHA170" s="46"/>
      <c r="VHB170" s="46"/>
      <c r="VHC170" s="46"/>
      <c r="VHD170" s="46"/>
      <c r="VHE170" s="46"/>
      <c r="VHF170" s="46"/>
      <c r="VHG170" s="46"/>
      <c r="VHH170" s="46"/>
      <c r="VHI170" s="46"/>
      <c r="VHJ170" s="46"/>
      <c r="VHK170" s="46"/>
      <c r="VHL170" s="46"/>
      <c r="VHM170" s="46"/>
      <c r="VHN170" s="46"/>
      <c r="VHO170" s="46"/>
      <c r="VHP170" s="46"/>
      <c r="VHQ170" s="46"/>
      <c r="VHR170" s="46"/>
      <c r="VHS170" s="46"/>
      <c r="VHT170" s="46"/>
      <c r="VHU170" s="46"/>
      <c r="VHV170" s="46"/>
      <c r="VHW170" s="46"/>
      <c r="VHX170" s="46"/>
      <c r="VHY170" s="46"/>
      <c r="VHZ170" s="46"/>
      <c r="VIA170" s="46"/>
      <c r="VIB170" s="46"/>
      <c r="VIC170" s="46"/>
      <c r="VID170" s="46"/>
      <c r="VIE170" s="46"/>
      <c r="VIF170" s="46"/>
      <c r="VIG170" s="46"/>
      <c r="VIH170" s="46"/>
      <c r="VII170" s="46"/>
      <c r="VIJ170" s="46"/>
      <c r="VIK170" s="46"/>
      <c r="VIL170" s="46"/>
      <c r="VIM170" s="46"/>
      <c r="VIN170" s="46"/>
      <c r="VIO170" s="46"/>
      <c r="VIP170" s="46"/>
      <c r="VIQ170" s="46"/>
      <c r="VIR170" s="46"/>
      <c r="VIS170" s="46"/>
      <c r="VIT170" s="46"/>
      <c r="VIU170" s="46"/>
      <c r="VIV170" s="46"/>
      <c r="VIW170" s="46"/>
      <c r="VIX170" s="46"/>
      <c r="VIY170" s="46"/>
      <c r="VIZ170" s="46"/>
      <c r="VJA170" s="46"/>
      <c r="VJB170" s="46"/>
      <c r="VJC170" s="46"/>
      <c r="VJD170" s="46"/>
      <c r="VJE170" s="46"/>
      <c r="VJF170" s="46"/>
      <c r="VJG170" s="46"/>
      <c r="VJH170" s="46"/>
      <c r="VJI170" s="46"/>
      <c r="VJJ170" s="46"/>
      <c r="VJK170" s="46"/>
      <c r="VJL170" s="46"/>
      <c r="VJM170" s="46"/>
      <c r="VJN170" s="46"/>
      <c r="VJO170" s="46"/>
      <c r="VJP170" s="46"/>
      <c r="VJQ170" s="46"/>
      <c r="VJR170" s="46"/>
      <c r="VJS170" s="46"/>
      <c r="VJT170" s="46"/>
      <c r="VJU170" s="46"/>
      <c r="VJV170" s="46"/>
      <c r="VJW170" s="46"/>
      <c r="VJX170" s="46"/>
      <c r="VJY170" s="46"/>
      <c r="VJZ170" s="46"/>
      <c r="VKA170" s="46"/>
      <c r="VKB170" s="46"/>
      <c r="VKC170" s="46"/>
      <c r="VKD170" s="46"/>
      <c r="VKE170" s="46"/>
      <c r="VKF170" s="46"/>
      <c r="VKG170" s="46"/>
      <c r="VKH170" s="46"/>
      <c r="VKI170" s="46"/>
      <c r="VKJ170" s="46"/>
      <c r="VKK170" s="46"/>
      <c r="VKL170" s="46"/>
      <c r="VKM170" s="46"/>
      <c r="VKN170" s="46"/>
      <c r="VKO170" s="46"/>
      <c r="VKP170" s="46"/>
      <c r="VKQ170" s="46"/>
      <c r="VKR170" s="46"/>
      <c r="VKS170" s="46"/>
      <c r="VKT170" s="46"/>
      <c r="VKU170" s="46"/>
      <c r="VKV170" s="46"/>
      <c r="VKW170" s="46"/>
      <c r="VKX170" s="46"/>
      <c r="VKY170" s="46"/>
      <c r="VKZ170" s="46"/>
      <c r="VLA170" s="46"/>
      <c r="VLB170" s="46"/>
      <c r="VLC170" s="46"/>
      <c r="VLD170" s="46"/>
      <c r="VLE170" s="46"/>
      <c r="VLF170" s="46"/>
      <c r="VLG170" s="46"/>
      <c r="VLH170" s="46"/>
      <c r="VLI170" s="46"/>
      <c r="VLJ170" s="46"/>
      <c r="VLK170" s="46"/>
      <c r="VLL170" s="46"/>
      <c r="VLM170" s="46"/>
      <c r="VLN170" s="46"/>
      <c r="VLO170" s="46"/>
      <c r="VLP170" s="46"/>
      <c r="VLQ170" s="46"/>
      <c r="VLR170" s="46"/>
      <c r="VLS170" s="46"/>
      <c r="VLT170" s="46"/>
      <c r="VLU170" s="46"/>
      <c r="VLV170" s="46"/>
      <c r="VLW170" s="46"/>
      <c r="VLX170" s="46"/>
      <c r="VLY170" s="46"/>
      <c r="VLZ170" s="46"/>
      <c r="VMA170" s="46"/>
      <c r="VMB170" s="46"/>
      <c r="VMC170" s="46"/>
      <c r="VMD170" s="46"/>
      <c r="VME170" s="46"/>
      <c r="VMF170" s="46"/>
      <c r="VMG170" s="46"/>
      <c r="VMH170" s="46"/>
      <c r="VMI170" s="46"/>
      <c r="VMJ170" s="46"/>
      <c r="VMK170" s="46"/>
      <c r="VML170" s="46"/>
      <c r="VMM170" s="46"/>
      <c r="VMN170" s="46"/>
      <c r="VMO170" s="46"/>
      <c r="VMP170" s="46"/>
      <c r="VMQ170" s="46"/>
      <c r="VMR170" s="46"/>
      <c r="VMS170" s="46"/>
      <c r="VMT170" s="46"/>
      <c r="VMU170" s="46"/>
      <c r="VMV170" s="46"/>
      <c r="VMW170" s="46"/>
      <c r="VMX170" s="46"/>
      <c r="VMY170" s="46"/>
      <c r="VMZ170" s="46"/>
      <c r="VNA170" s="46"/>
      <c r="VNB170" s="46"/>
      <c r="VNC170" s="46"/>
      <c r="VND170" s="46"/>
      <c r="VNE170" s="46"/>
      <c r="VNF170" s="46"/>
      <c r="VNG170" s="46"/>
      <c r="VNH170" s="46"/>
      <c r="VNI170" s="46"/>
      <c r="VNJ170" s="46"/>
      <c r="VNK170" s="46"/>
      <c r="VNL170" s="46"/>
      <c r="VNM170" s="46"/>
      <c r="VNN170" s="46"/>
      <c r="VNO170" s="46"/>
      <c r="VNP170" s="46"/>
      <c r="VNQ170" s="46"/>
      <c r="VNR170" s="46"/>
      <c r="VNS170" s="46"/>
      <c r="VNT170" s="46"/>
      <c r="VNU170" s="46"/>
      <c r="VNV170" s="46"/>
      <c r="VNW170" s="46"/>
      <c r="VNX170" s="46"/>
      <c r="VNY170" s="46"/>
      <c r="VNZ170" s="46"/>
      <c r="VOA170" s="46"/>
      <c r="VOB170" s="46"/>
      <c r="VOC170" s="46"/>
      <c r="VOD170" s="46"/>
      <c r="VOE170" s="46"/>
      <c r="VOF170" s="46"/>
      <c r="VOG170" s="46"/>
      <c r="VOH170" s="46"/>
      <c r="VOI170" s="46"/>
      <c r="VOJ170" s="46"/>
      <c r="VOK170" s="46"/>
      <c r="VOL170" s="46"/>
      <c r="VOM170" s="46"/>
      <c r="VON170" s="46"/>
      <c r="VOO170" s="46"/>
      <c r="VOP170" s="46"/>
      <c r="VOQ170" s="46"/>
      <c r="VOR170" s="46"/>
      <c r="VOS170" s="46"/>
      <c r="VOT170" s="46"/>
      <c r="VOU170" s="46"/>
      <c r="VOV170" s="46"/>
      <c r="VOW170" s="46"/>
      <c r="VOX170" s="46"/>
      <c r="VOY170" s="46"/>
      <c r="VOZ170" s="46"/>
      <c r="VPA170" s="46"/>
      <c r="VPB170" s="46"/>
      <c r="VPC170" s="46"/>
      <c r="VPD170" s="46"/>
      <c r="VPE170" s="46"/>
      <c r="VPF170" s="46"/>
      <c r="VPG170" s="46"/>
      <c r="VPH170" s="46"/>
      <c r="VPI170" s="46"/>
      <c r="VPJ170" s="46"/>
      <c r="VPK170" s="46"/>
      <c r="VPL170" s="46"/>
      <c r="VPM170" s="46"/>
      <c r="VPN170" s="46"/>
      <c r="VPO170" s="46"/>
      <c r="VPP170" s="46"/>
      <c r="VPQ170" s="46"/>
      <c r="VPR170" s="46"/>
      <c r="VPS170" s="46"/>
      <c r="VPT170" s="46"/>
      <c r="VPU170" s="46"/>
      <c r="VPV170" s="46"/>
      <c r="VPW170" s="46"/>
      <c r="VPX170" s="46"/>
      <c r="VPY170" s="46"/>
      <c r="VPZ170" s="46"/>
      <c r="VQA170" s="46"/>
      <c r="VQB170" s="46"/>
      <c r="VQC170" s="46"/>
      <c r="VQD170" s="46"/>
      <c r="VQE170" s="46"/>
      <c r="VQF170" s="46"/>
      <c r="VQG170" s="46"/>
      <c r="VQH170" s="46"/>
      <c r="VQI170" s="46"/>
      <c r="VQJ170" s="46"/>
      <c r="VQK170" s="46"/>
      <c r="VQL170" s="46"/>
      <c r="VQM170" s="46"/>
      <c r="VQN170" s="46"/>
      <c r="VQO170" s="46"/>
      <c r="VQP170" s="46"/>
      <c r="VQQ170" s="46"/>
      <c r="VQR170" s="46"/>
      <c r="VQS170" s="46"/>
      <c r="VQT170" s="46"/>
      <c r="VQU170" s="46"/>
      <c r="VQV170" s="46"/>
      <c r="VQW170" s="46"/>
      <c r="VQX170" s="46"/>
      <c r="VQY170" s="46"/>
      <c r="VQZ170" s="46"/>
      <c r="VRA170" s="46"/>
      <c r="VRB170" s="46"/>
      <c r="VRC170" s="46"/>
      <c r="VRD170" s="46"/>
      <c r="VRE170" s="46"/>
      <c r="VRF170" s="46"/>
      <c r="VRG170" s="46"/>
      <c r="VRH170" s="46"/>
      <c r="VRI170" s="46"/>
      <c r="VRJ170" s="46"/>
      <c r="VRK170" s="46"/>
      <c r="VRL170" s="46"/>
      <c r="VRM170" s="46"/>
      <c r="VRN170" s="46"/>
      <c r="VRO170" s="46"/>
      <c r="VRP170" s="46"/>
      <c r="VRQ170" s="46"/>
      <c r="VRR170" s="46"/>
      <c r="VRS170" s="46"/>
      <c r="VRT170" s="46"/>
      <c r="VRU170" s="46"/>
      <c r="VRV170" s="46"/>
      <c r="VRW170" s="46"/>
      <c r="VRX170" s="46"/>
      <c r="VRY170" s="46"/>
      <c r="VRZ170" s="46"/>
      <c r="VSA170" s="46"/>
      <c r="VSB170" s="46"/>
      <c r="VSC170" s="46"/>
      <c r="VSD170" s="46"/>
      <c r="VSE170" s="46"/>
      <c r="VSF170" s="46"/>
      <c r="VSG170" s="46"/>
      <c r="VSH170" s="46"/>
      <c r="VSI170" s="46"/>
      <c r="VSJ170" s="46"/>
      <c r="VSK170" s="46"/>
      <c r="VSL170" s="46"/>
      <c r="VSM170" s="46"/>
      <c r="VSN170" s="46"/>
      <c r="VSO170" s="46"/>
      <c r="VSP170" s="46"/>
      <c r="VSQ170" s="46"/>
      <c r="VSR170" s="46"/>
      <c r="VSS170" s="46"/>
      <c r="VST170" s="46"/>
      <c r="VSU170" s="46"/>
      <c r="VSV170" s="46"/>
      <c r="VSW170" s="46"/>
      <c r="VSX170" s="46"/>
      <c r="VSY170" s="46"/>
      <c r="VSZ170" s="46"/>
      <c r="VTA170" s="46"/>
      <c r="VTB170" s="46"/>
      <c r="VTC170" s="46"/>
      <c r="VTD170" s="46"/>
      <c r="VTE170" s="46"/>
      <c r="VTF170" s="46"/>
      <c r="VTG170" s="46"/>
      <c r="VTH170" s="46"/>
      <c r="VTI170" s="46"/>
      <c r="VTJ170" s="46"/>
      <c r="VTK170" s="46"/>
      <c r="VTL170" s="46"/>
      <c r="VTM170" s="46"/>
      <c r="VTN170" s="46"/>
      <c r="VTO170" s="46"/>
      <c r="VTP170" s="46"/>
      <c r="VTQ170" s="46"/>
      <c r="VTR170" s="46"/>
      <c r="VTS170" s="46"/>
      <c r="VTT170" s="46"/>
      <c r="VTU170" s="46"/>
      <c r="VTV170" s="46"/>
      <c r="VTW170" s="46"/>
      <c r="VTX170" s="46"/>
      <c r="VTY170" s="46"/>
      <c r="VTZ170" s="46"/>
      <c r="VUA170" s="46"/>
    </row>
    <row r="171" spans="3:61 15027:15419" s="1" customFormat="1" ht="15" hidden="1" customHeight="1">
      <c r="C171" s="15"/>
      <c r="D171" s="28" t="s">
        <v>115</v>
      </c>
      <c r="E171" s="91"/>
      <c r="F171" s="20" t="s">
        <v>14</v>
      </c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1967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2"/>
      <c r="AM171" s="90">
        <v>0</v>
      </c>
      <c r="BI171" s="143"/>
    </row>
    <row r="172" spans="3:61 15027:15419" s="1" customFormat="1" ht="15" hidden="1" customHeight="1">
      <c r="C172" s="15"/>
      <c r="D172" s="30" t="s">
        <v>39</v>
      </c>
      <c r="E172" s="61"/>
      <c r="F172" s="20" t="s">
        <v>14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1966">
        <v>0</v>
      </c>
      <c r="T172" s="34">
        <v>0</v>
      </c>
      <c r="U172" s="34">
        <v>0</v>
      </c>
      <c r="V172" s="34">
        <v>0</v>
      </c>
      <c r="W172" s="34">
        <v>0</v>
      </c>
      <c r="X172" s="34">
        <v>0</v>
      </c>
      <c r="Y172" s="34">
        <v>0</v>
      </c>
      <c r="Z172" s="34">
        <v>0</v>
      </c>
      <c r="AA172" s="34">
        <v>0</v>
      </c>
      <c r="AB172" s="34">
        <v>0</v>
      </c>
      <c r="AC172" s="34">
        <v>0</v>
      </c>
      <c r="AD172" s="34">
        <v>0</v>
      </c>
      <c r="AE172" s="34">
        <v>0</v>
      </c>
      <c r="AF172" s="34">
        <v>0</v>
      </c>
      <c r="AG172" s="34">
        <v>0</v>
      </c>
      <c r="AH172" s="34">
        <v>0</v>
      </c>
      <c r="AI172" s="34"/>
      <c r="AJ172" s="34"/>
      <c r="AK172" s="34">
        <v>0</v>
      </c>
      <c r="AM172" s="59">
        <v>0</v>
      </c>
      <c r="BI172" s="143"/>
    </row>
    <row r="173" spans="3:61 15027:15419" s="1" customFormat="1" ht="15" hidden="1" customHeight="1">
      <c r="C173" s="15"/>
      <c r="D173" s="30" t="s">
        <v>38</v>
      </c>
      <c r="E173" s="61"/>
      <c r="F173" s="20" t="s">
        <v>14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1966">
        <v>0</v>
      </c>
      <c r="T173" s="34">
        <v>0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/>
      <c r="AJ173" s="34"/>
      <c r="AK173" s="34">
        <v>0</v>
      </c>
      <c r="AM173" s="59">
        <v>0</v>
      </c>
      <c r="BI173" s="143"/>
    </row>
    <row r="174" spans="3:61 15027:15419" s="1" customFormat="1" ht="15" hidden="1" customHeight="1">
      <c r="C174" s="15"/>
      <c r="D174" s="30" t="s">
        <v>29</v>
      </c>
      <c r="E174" s="61"/>
      <c r="F174" s="1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1965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M174" s="64" t="s">
        <v>29</v>
      </c>
      <c r="BI174" s="143"/>
    </row>
    <row r="175" spans="3:61 15027:15419" s="1" customFormat="1" ht="15" hidden="1" customHeight="1">
      <c r="C175" s="15"/>
      <c r="D175" s="11" t="s">
        <v>116</v>
      </c>
      <c r="E175" s="61"/>
      <c r="F175" s="32" t="s">
        <v>31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1965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M175" s="92">
        <v>0</v>
      </c>
      <c r="BI175" s="143"/>
    </row>
    <row r="176" spans="3:61 15027:15419" s="16" customFormat="1" ht="15" hidden="1" customHeight="1">
      <c r="C176" s="17"/>
      <c r="D176" s="11" t="s">
        <v>27</v>
      </c>
      <c r="E176" s="54"/>
      <c r="F176" s="32" t="s">
        <v>31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1965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M176" s="92">
        <v>0</v>
      </c>
      <c r="BI176" s="149"/>
    </row>
    <row r="177" spans="3:61 15027:15419" s="16" customFormat="1" ht="15" hidden="1" customHeight="1">
      <c r="C177" s="17"/>
      <c r="D177" s="11" t="s">
        <v>26</v>
      </c>
      <c r="E177" s="54"/>
      <c r="F177" s="32" t="s">
        <v>31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1965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M177" s="92">
        <v>0</v>
      </c>
      <c r="BI177" s="149"/>
    </row>
    <row r="178" spans="3:61 15027:15419" s="16" customFormat="1" ht="15" hidden="1" customHeight="1">
      <c r="C178" s="17"/>
      <c r="D178" s="11" t="s">
        <v>37</v>
      </c>
      <c r="E178" s="54"/>
      <c r="F178" s="32" t="s">
        <v>31</v>
      </c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65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92">
        <v>0</v>
      </c>
      <c r="BI178" s="149"/>
    </row>
    <row r="179" spans="3:61 15027:15419" s="1" customFormat="1" ht="15" hidden="1" customHeight="1">
      <c r="C179" s="15"/>
      <c r="D179" s="30" t="s">
        <v>28</v>
      </c>
      <c r="E179" s="61"/>
      <c r="F179" s="1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65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64" t="s">
        <v>28</v>
      </c>
      <c r="BI179" s="143"/>
    </row>
    <row r="180" spans="3:61 15027:15419" s="1" customFormat="1" ht="15" hidden="1" customHeight="1">
      <c r="C180" s="15"/>
      <c r="D180" s="11" t="s">
        <v>116</v>
      </c>
      <c r="E180" s="61"/>
      <c r="F180" s="20" t="s">
        <v>28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3">
        <v>0</v>
      </c>
      <c r="S180" s="1965">
        <v>0</v>
      </c>
      <c r="T180" s="33">
        <v>0</v>
      </c>
      <c r="U180" s="33">
        <v>0</v>
      </c>
      <c r="V180" s="33">
        <v>0</v>
      </c>
      <c r="W180" s="33">
        <v>0</v>
      </c>
      <c r="X180" s="33">
        <v>0</v>
      </c>
      <c r="Y180" s="33">
        <v>0</v>
      </c>
      <c r="Z180" s="33">
        <v>0</v>
      </c>
      <c r="AA180" s="33">
        <v>0</v>
      </c>
      <c r="AB180" s="33">
        <v>0</v>
      </c>
      <c r="AC180" s="33">
        <v>0</v>
      </c>
      <c r="AD180" s="33">
        <v>0</v>
      </c>
      <c r="AE180" s="33">
        <v>0</v>
      </c>
      <c r="AF180" s="33">
        <v>0</v>
      </c>
      <c r="AG180" s="33">
        <v>0</v>
      </c>
      <c r="AH180" s="33">
        <v>0</v>
      </c>
      <c r="AI180" s="33"/>
      <c r="AJ180" s="33"/>
      <c r="AK180" s="33">
        <v>0</v>
      </c>
      <c r="AM180" s="64"/>
      <c r="BI180" s="143"/>
    </row>
    <row r="181" spans="3:61 15027:15419" s="1" customFormat="1" ht="15" hidden="1" customHeight="1">
      <c r="C181" s="15"/>
      <c r="D181" s="11" t="s">
        <v>27</v>
      </c>
      <c r="E181" s="61"/>
      <c r="F181" s="20" t="s">
        <v>28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1965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0</v>
      </c>
      <c r="AF181" s="33">
        <v>0</v>
      </c>
      <c r="AG181" s="33">
        <v>0</v>
      </c>
      <c r="AH181" s="33">
        <v>0</v>
      </c>
      <c r="AI181" s="33"/>
      <c r="AJ181" s="33"/>
      <c r="AK181" s="33">
        <v>0</v>
      </c>
      <c r="AM181" s="55">
        <v>0</v>
      </c>
      <c r="BI181" s="143"/>
    </row>
    <row r="182" spans="3:61 15027:15419" s="1" customFormat="1" ht="15" hidden="1" customHeight="1">
      <c r="C182" s="15"/>
      <c r="D182" s="11" t="s">
        <v>26</v>
      </c>
      <c r="E182" s="61"/>
      <c r="F182" s="20" t="s">
        <v>28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1965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3">
        <v>0</v>
      </c>
      <c r="AH182" s="33">
        <v>0</v>
      </c>
      <c r="AI182" s="33"/>
      <c r="AJ182" s="33"/>
      <c r="AK182" s="33">
        <v>0</v>
      </c>
      <c r="AM182" s="55">
        <v>0</v>
      </c>
      <c r="BI182" s="143"/>
    </row>
    <row r="183" spans="3:61 15027:15419" s="1" customFormat="1" ht="15" hidden="1" customHeight="1">
      <c r="C183" s="15"/>
      <c r="D183" s="11" t="s">
        <v>37</v>
      </c>
      <c r="E183" s="61"/>
      <c r="F183" s="20" t="s">
        <v>28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1965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3">
        <v>0</v>
      </c>
      <c r="AH183" s="33">
        <v>0</v>
      </c>
      <c r="AI183" s="33"/>
      <c r="AJ183" s="33"/>
      <c r="AK183" s="33">
        <v>0</v>
      </c>
      <c r="AM183" s="55">
        <v>0</v>
      </c>
      <c r="BI183" s="143"/>
    </row>
    <row r="184" spans="3:61 15027:15419" s="1" customFormat="1" ht="15" hidden="1" customHeight="1">
      <c r="C184" s="15"/>
      <c r="D184" s="30" t="s">
        <v>36</v>
      </c>
      <c r="E184" s="61"/>
      <c r="F184" s="20" t="s">
        <v>35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65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/>
      <c r="AJ184" s="33"/>
      <c r="AK184" s="33">
        <v>0</v>
      </c>
      <c r="AM184" s="55">
        <v>0</v>
      </c>
      <c r="BI184" s="143"/>
    </row>
    <row r="185" spans="3:61 15027:15419" s="1" customFormat="1" ht="15" hidden="1" customHeight="1">
      <c r="C185" s="15"/>
      <c r="D185" s="30" t="s">
        <v>34</v>
      </c>
      <c r="E185" s="61"/>
      <c r="F185" s="20" t="s">
        <v>33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65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/>
      <c r="AJ185" s="33"/>
      <c r="AK185" s="33">
        <v>0</v>
      </c>
      <c r="AM185" s="55">
        <v>0</v>
      </c>
      <c r="BI185" s="143"/>
    </row>
    <row r="186" spans="3:61 15027:15419" s="1" customFormat="1" ht="15" hidden="1" customHeight="1">
      <c r="C186" s="8"/>
      <c r="D186" s="47" t="s">
        <v>32</v>
      </c>
      <c r="E186" s="48"/>
      <c r="F186" s="49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1968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3"/>
      <c r="AM186" s="79" t="s">
        <v>131</v>
      </c>
      <c r="BI186" s="142"/>
      <c r="VEY186" s="46"/>
      <c r="VEZ186" s="46"/>
      <c r="VFA186" s="46"/>
      <c r="VFB186" s="46"/>
      <c r="VFC186" s="46"/>
      <c r="VFD186" s="46"/>
      <c r="VFE186" s="46"/>
      <c r="VFF186" s="46"/>
      <c r="VFG186" s="46"/>
      <c r="VFH186" s="46"/>
      <c r="VFI186" s="46"/>
      <c r="VFJ186" s="46"/>
      <c r="VFK186" s="46"/>
      <c r="VFL186" s="46"/>
      <c r="VFM186" s="46"/>
      <c r="VFN186" s="46"/>
      <c r="VFO186" s="46"/>
      <c r="VFP186" s="46"/>
      <c r="VFQ186" s="46"/>
      <c r="VFR186" s="46"/>
      <c r="VFS186" s="46"/>
      <c r="VFT186" s="46"/>
      <c r="VFU186" s="46"/>
      <c r="VFV186" s="46"/>
      <c r="VFW186" s="46"/>
      <c r="VFX186" s="46"/>
      <c r="VFY186" s="46"/>
      <c r="VFZ186" s="46"/>
      <c r="VGA186" s="46"/>
      <c r="VGB186" s="46"/>
      <c r="VGC186" s="46"/>
      <c r="VGD186" s="46"/>
      <c r="VGE186" s="46"/>
      <c r="VGF186" s="46"/>
      <c r="VGG186" s="46"/>
      <c r="VGH186" s="46"/>
      <c r="VGI186" s="46"/>
      <c r="VGJ186" s="46"/>
      <c r="VGK186" s="46"/>
      <c r="VGL186" s="46"/>
      <c r="VGM186" s="46"/>
      <c r="VGN186" s="46"/>
      <c r="VGO186" s="46"/>
      <c r="VGP186" s="46"/>
      <c r="VGQ186" s="46"/>
      <c r="VGR186" s="46"/>
      <c r="VGS186" s="46"/>
      <c r="VGT186" s="46"/>
      <c r="VGU186" s="46"/>
      <c r="VGV186" s="46"/>
      <c r="VGW186" s="46"/>
      <c r="VGX186" s="46"/>
      <c r="VGY186" s="46"/>
      <c r="VGZ186" s="46"/>
      <c r="VHA186" s="46"/>
      <c r="VHB186" s="46"/>
      <c r="VHC186" s="46"/>
      <c r="VHD186" s="46"/>
      <c r="VHE186" s="46"/>
      <c r="VHF186" s="46"/>
      <c r="VHG186" s="46"/>
      <c r="VHH186" s="46"/>
      <c r="VHI186" s="46"/>
      <c r="VHJ186" s="46"/>
      <c r="VHK186" s="46"/>
      <c r="VHL186" s="46"/>
      <c r="VHM186" s="46"/>
      <c r="VHN186" s="46"/>
      <c r="VHO186" s="46"/>
      <c r="VHP186" s="46"/>
      <c r="VHQ186" s="46"/>
      <c r="VHR186" s="46"/>
      <c r="VHS186" s="46"/>
      <c r="VHT186" s="46"/>
      <c r="VHU186" s="46"/>
      <c r="VHV186" s="46"/>
      <c r="VHW186" s="46"/>
      <c r="VHX186" s="46"/>
      <c r="VHY186" s="46"/>
      <c r="VHZ186" s="46"/>
      <c r="VIA186" s="46"/>
      <c r="VIB186" s="46"/>
      <c r="VIC186" s="46"/>
      <c r="VID186" s="46"/>
      <c r="VIE186" s="46"/>
      <c r="VIF186" s="46"/>
      <c r="VIG186" s="46"/>
      <c r="VIH186" s="46"/>
      <c r="VII186" s="46"/>
      <c r="VIJ186" s="46"/>
      <c r="VIK186" s="46"/>
      <c r="VIL186" s="46"/>
      <c r="VIM186" s="46"/>
      <c r="VIN186" s="46"/>
      <c r="VIO186" s="46"/>
      <c r="VIP186" s="46"/>
      <c r="VIQ186" s="46"/>
      <c r="VIR186" s="46"/>
      <c r="VIS186" s="46"/>
      <c r="VIT186" s="46"/>
      <c r="VIU186" s="46"/>
      <c r="VIV186" s="46"/>
      <c r="VIW186" s="46"/>
      <c r="VIX186" s="46"/>
      <c r="VIY186" s="46"/>
      <c r="VIZ186" s="46"/>
      <c r="VJA186" s="46"/>
      <c r="VJB186" s="46"/>
      <c r="VJC186" s="46"/>
      <c r="VJD186" s="46"/>
      <c r="VJE186" s="46"/>
      <c r="VJF186" s="46"/>
      <c r="VJG186" s="46"/>
      <c r="VJH186" s="46"/>
      <c r="VJI186" s="46"/>
      <c r="VJJ186" s="46"/>
      <c r="VJK186" s="46"/>
      <c r="VJL186" s="46"/>
      <c r="VJM186" s="46"/>
      <c r="VJN186" s="46"/>
      <c r="VJO186" s="46"/>
      <c r="VJP186" s="46"/>
      <c r="VJQ186" s="46"/>
      <c r="VJR186" s="46"/>
      <c r="VJS186" s="46"/>
      <c r="VJT186" s="46"/>
      <c r="VJU186" s="46"/>
      <c r="VJV186" s="46"/>
      <c r="VJW186" s="46"/>
      <c r="VJX186" s="46"/>
      <c r="VJY186" s="46"/>
      <c r="VJZ186" s="46"/>
      <c r="VKA186" s="46"/>
      <c r="VKB186" s="46"/>
      <c r="VKC186" s="46"/>
      <c r="VKD186" s="46"/>
      <c r="VKE186" s="46"/>
      <c r="VKF186" s="46"/>
      <c r="VKG186" s="46"/>
      <c r="VKH186" s="46"/>
      <c r="VKI186" s="46"/>
      <c r="VKJ186" s="46"/>
      <c r="VKK186" s="46"/>
      <c r="VKL186" s="46"/>
      <c r="VKM186" s="46"/>
      <c r="VKN186" s="46"/>
      <c r="VKO186" s="46"/>
      <c r="VKP186" s="46"/>
      <c r="VKQ186" s="46"/>
      <c r="VKR186" s="46"/>
      <c r="VKS186" s="46"/>
      <c r="VKT186" s="46"/>
      <c r="VKU186" s="46"/>
      <c r="VKV186" s="46"/>
      <c r="VKW186" s="46"/>
      <c r="VKX186" s="46"/>
      <c r="VKY186" s="46"/>
      <c r="VKZ186" s="46"/>
      <c r="VLA186" s="46"/>
      <c r="VLB186" s="46"/>
      <c r="VLC186" s="46"/>
      <c r="VLD186" s="46"/>
      <c r="VLE186" s="46"/>
      <c r="VLF186" s="46"/>
      <c r="VLG186" s="46"/>
      <c r="VLH186" s="46"/>
      <c r="VLI186" s="46"/>
      <c r="VLJ186" s="46"/>
      <c r="VLK186" s="46"/>
      <c r="VLL186" s="46"/>
      <c r="VLM186" s="46"/>
      <c r="VLN186" s="46"/>
      <c r="VLO186" s="46"/>
      <c r="VLP186" s="46"/>
      <c r="VLQ186" s="46"/>
      <c r="VLR186" s="46"/>
      <c r="VLS186" s="46"/>
      <c r="VLT186" s="46"/>
      <c r="VLU186" s="46"/>
      <c r="VLV186" s="46"/>
      <c r="VLW186" s="46"/>
      <c r="VLX186" s="46"/>
      <c r="VLY186" s="46"/>
      <c r="VLZ186" s="46"/>
      <c r="VMA186" s="46"/>
      <c r="VMB186" s="46"/>
      <c r="VMC186" s="46"/>
      <c r="VMD186" s="46"/>
      <c r="VME186" s="46"/>
      <c r="VMF186" s="46"/>
      <c r="VMG186" s="46"/>
      <c r="VMH186" s="46"/>
      <c r="VMI186" s="46"/>
      <c r="VMJ186" s="46"/>
      <c r="VMK186" s="46"/>
      <c r="VML186" s="46"/>
      <c r="VMM186" s="46"/>
      <c r="VMN186" s="46"/>
      <c r="VMO186" s="46"/>
      <c r="VMP186" s="46"/>
      <c r="VMQ186" s="46"/>
      <c r="VMR186" s="46"/>
      <c r="VMS186" s="46"/>
      <c r="VMT186" s="46"/>
      <c r="VMU186" s="46"/>
      <c r="VMV186" s="46"/>
      <c r="VMW186" s="46"/>
      <c r="VMX186" s="46"/>
      <c r="VMY186" s="46"/>
      <c r="VMZ186" s="46"/>
      <c r="VNA186" s="46"/>
      <c r="VNB186" s="46"/>
      <c r="VNC186" s="46"/>
      <c r="VND186" s="46"/>
      <c r="VNE186" s="46"/>
      <c r="VNF186" s="46"/>
      <c r="VNG186" s="46"/>
      <c r="VNH186" s="46"/>
      <c r="VNI186" s="46"/>
      <c r="VNJ186" s="46"/>
      <c r="VNK186" s="46"/>
      <c r="VNL186" s="46"/>
      <c r="VNM186" s="46"/>
      <c r="VNN186" s="46"/>
      <c r="VNO186" s="46"/>
      <c r="VNP186" s="46"/>
      <c r="VNQ186" s="46"/>
      <c r="VNR186" s="46"/>
      <c r="VNS186" s="46"/>
      <c r="VNT186" s="46"/>
      <c r="VNU186" s="46"/>
      <c r="VNV186" s="46"/>
      <c r="VNW186" s="46"/>
      <c r="VNX186" s="46"/>
      <c r="VNY186" s="46"/>
      <c r="VNZ186" s="46"/>
      <c r="VOA186" s="46"/>
      <c r="VOB186" s="46"/>
      <c r="VOC186" s="46"/>
      <c r="VOD186" s="46"/>
      <c r="VOE186" s="46"/>
      <c r="VOF186" s="46"/>
      <c r="VOG186" s="46"/>
      <c r="VOH186" s="46"/>
      <c r="VOI186" s="46"/>
      <c r="VOJ186" s="46"/>
      <c r="VOK186" s="46"/>
      <c r="VOL186" s="46"/>
      <c r="VOM186" s="46"/>
      <c r="VON186" s="46"/>
      <c r="VOO186" s="46"/>
      <c r="VOP186" s="46"/>
      <c r="VOQ186" s="46"/>
      <c r="VOR186" s="46"/>
      <c r="VOS186" s="46"/>
      <c r="VOT186" s="46"/>
      <c r="VOU186" s="46"/>
      <c r="VOV186" s="46"/>
      <c r="VOW186" s="46"/>
      <c r="VOX186" s="46"/>
      <c r="VOY186" s="46"/>
      <c r="VOZ186" s="46"/>
      <c r="VPA186" s="46"/>
      <c r="VPB186" s="46"/>
      <c r="VPC186" s="46"/>
      <c r="VPD186" s="46"/>
      <c r="VPE186" s="46"/>
      <c r="VPF186" s="46"/>
      <c r="VPG186" s="46"/>
      <c r="VPH186" s="46"/>
      <c r="VPI186" s="46"/>
      <c r="VPJ186" s="46"/>
      <c r="VPK186" s="46"/>
      <c r="VPL186" s="46"/>
      <c r="VPM186" s="46"/>
      <c r="VPN186" s="46"/>
      <c r="VPO186" s="46"/>
      <c r="VPP186" s="46"/>
      <c r="VPQ186" s="46"/>
      <c r="VPR186" s="46"/>
      <c r="VPS186" s="46"/>
      <c r="VPT186" s="46"/>
      <c r="VPU186" s="46"/>
      <c r="VPV186" s="46"/>
      <c r="VPW186" s="46"/>
      <c r="VPX186" s="46"/>
      <c r="VPY186" s="46"/>
      <c r="VPZ186" s="46"/>
      <c r="VQA186" s="46"/>
      <c r="VQB186" s="46"/>
      <c r="VQC186" s="46"/>
      <c r="VQD186" s="46"/>
      <c r="VQE186" s="46"/>
      <c r="VQF186" s="46"/>
      <c r="VQG186" s="46"/>
      <c r="VQH186" s="46"/>
      <c r="VQI186" s="46"/>
      <c r="VQJ186" s="46"/>
      <c r="VQK186" s="46"/>
      <c r="VQL186" s="46"/>
      <c r="VQM186" s="46"/>
      <c r="VQN186" s="46"/>
      <c r="VQO186" s="46"/>
      <c r="VQP186" s="46"/>
      <c r="VQQ186" s="46"/>
      <c r="VQR186" s="46"/>
      <c r="VQS186" s="46"/>
      <c r="VQT186" s="46"/>
      <c r="VQU186" s="46"/>
      <c r="VQV186" s="46"/>
      <c r="VQW186" s="46"/>
      <c r="VQX186" s="46"/>
      <c r="VQY186" s="46"/>
      <c r="VQZ186" s="46"/>
      <c r="VRA186" s="46"/>
      <c r="VRB186" s="46"/>
      <c r="VRC186" s="46"/>
      <c r="VRD186" s="46"/>
      <c r="VRE186" s="46"/>
      <c r="VRF186" s="46"/>
      <c r="VRG186" s="46"/>
      <c r="VRH186" s="46"/>
      <c r="VRI186" s="46"/>
      <c r="VRJ186" s="46"/>
      <c r="VRK186" s="46"/>
      <c r="VRL186" s="46"/>
      <c r="VRM186" s="46"/>
      <c r="VRN186" s="46"/>
      <c r="VRO186" s="46"/>
      <c r="VRP186" s="46"/>
      <c r="VRQ186" s="46"/>
      <c r="VRR186" s="46"/>
      <c r="VRS186" s="46"/>
      <c r="VRT186" s="46"/>
      <c r="VRU186" s="46"/>
      <c r="VRV186" s="46"/>
      <c r="VRW186" s="46"/>
      <c r="VRX186" s="46"/>
      <c r="VRY186" s="46"/>
      <c r="VRZ186" s="46"/>
      <c r="VSA186" s="46"/>
      <c r="VSB186" s="46"/>
      <c r="VSC186" s="46"/>
      <c r="VSD186" s="46"/>
      <c r="VSE186" s="46"/>
      <c r="VSF186" s="46"/>
      <c r="VSG186" s="46"/>
      <c r="VSH186" s="46"/>
      <c r="VSI186" s="46"/>
      <c r="VSJ186" s="46"/>
      <c r="VSK186" s="46"/>
      <c r="VSL186" s="46"/>
      <c r="VSM186" s="46"/>
      <c r="VSN186" s="46"/>
      <c r="VSO186" s="46"/>
      <c r="VSP186" s="46"/>
      <c r="VSQ186" s="46"/>
      <c r="VSR186" s="46"/>
      <c r="VSS186" s="46"/>
      <c r="VST186" s="46"/>
      <c r="VSU186" s="46"/>
      <c r="VSV186" s="46"/>
      <c r="VSW186" s="46"/>
      <c r="VSX186" s="46"/>
      <c r="VSY186" s="46"/>
      <c r="VSZ186" s="46"/>
      <c r="VTA186" s="46"/>
      <c r="VTB186" s="46"/>
      <c r="VTC186" s="46"/>
      <c r="VTD186" s="46"/>
      <c r="VTE186" s="46"/>
      <c r="VTF186" s="46"/>
      <c r="VTG186" s="46"/>
      <c r="VTH186" s="46"/>
      <c r="VTI186" s="46"/>
      <c r="VTJ186" s="46"/>
      <c r="VTK186" s="46"/>
      <c r="VTL186" s="46"/>
      <c r="VTM186" s="46"/>
      <c r="VTN186" s="46"/>
      <c r="VTO186" s="46"/>
      <c r="VTP186" s="46"/>
      <c r="VTQ186" s="46"/>
      <c r="VTR186" s="46"/>
      <c r="VTS186" s="46"/>
      <c r="VTT186" s="46"/>
      <c r="VTU186" s="46"/>
      <c r="VTV186" s="46"/>
      <c r="VTW186" s="46"/>
      <c r="VTX186" s="46"/>
      <c r="VTY186" s="46"/>
      <c r="VTZ186" s="46"/>
      <c r="VUA186" s="46"/>
    </row>
    <row r="187" spans="3:61 15027:15419" s="1" customFormat="1" ht="15" hidden="1" customHeight="1">
      <c r="C187" s="15"/>
      <c r="D187" s="30" t="s">
        <v>29</v>
      </c>
      <c r="E187" s="61"/>
      <c r="F187" s="1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1965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M187" s="64" t="s">
        <v>29</v>
      </c>
      <c r="BI187" s="143"/>
    </row>
    <row r="188" spans="3:61 15027:15419" s="1" customFormat="1" ht="15" hidden="1" customHeight="1">
      <c r="C188" s="15"/>
      <c r="D188" s="11" t="s">
        <v>116</v>
      </c>
      <c r="E188" s="61"/>
      <c r="F188" s="20" t="s">
        <v>31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1965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/>
      <c r="AJ188" s="33"/>
      <c r="AK188" s="33">
        <v>0</v>
      </c>
      <c r="AM188" s="64"/>
      <c r="BI188" s="143"/>
    </row>
    <row r="189" spans="3:61 15027:15419" s="1" customFormat="1" ht="15" hidden="1" customHeight="1">
      <c r="C189" s="15"/>
      <c r="D189" s="11" t="s">
        <v>27</v>
      </c>
      <c r="E189" s="61"/>
      <c r="F189" s="20" t="s">
        <v>31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65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/>
      <c r="AJ189" s="33"/>
      <c r="AK189" s="33">
        <v>0</v>
      </c>
      <c r="AM189" s="55">
        <v>0</v>
      </c>
      <c r="BI189" s="143"/>
    </row>
    <row r="190" spans="3:61 15027:15419" s="1" customFormat="1" ht="15" hidden="1" customHeight="1">
      <c r="C190" s="15"/>
      <c r="D190" s="11" t="s">
        <v>26</v>
      </c>
      <c r="E190" s="61"/>
      <c r="F190" s="20" t="s">
        <v>31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1965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3">
        <v>0</v>
      </c>
      <c r="AH190" s="33">
        <v>0</v>
      </c>
      <c r="AI190" s="33"/>
      <c r="AJ190" s="33"/>
      <c r="AK190" s="33">
        <v>0</v>
      </c>
      <c r="AM190" s="55">
        <v>0</v>
      </c>
      <c r="BI190" s="143"/>
    </row>
    <row r="191" spans="3:61 15027:15419" s="1" customFormat="1" ht="15" hidden="1" customHeight="1">
      <c r="C191" s="15"/>
      <c r="D191" s="30" t="s">
        <v>28</v>
      </c>
      <c r="E191" s="61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65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M191" s="64" t="s">
        <v>28</v>
      </c>
      <c r="BI191" s="143"/>
    </row>
    <row r="192" spans="3:61 15027:15419" s="1" customFormat="1" ht="15" hidden="1" customHeight="1">
      <c r="C192" s="15"/>
      <c r="D192" s="11" t="s">
        <v>116</v>
      </c>
      <c r="E192" s="61"/>
      <c r="F192" s="20" t="s">
        <v>28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1965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/>
      <c r="AJ192" s="33"/>
      <c r="AK192" s="33">
        <v>0</v>
      </c>
      <c r="AM192" s="64"/>
      <c r="BI192" s="143"/>
    </row>
    <row r="193" spans="3:61 15027:15419" s="1" customFormat="1" ht="15" hidden="1" customHeight="1">
      <c r="C193" s="15"/>
      <c r="D193" s="11" t="s">
        <v>27</v>
      </c>
      <c r="E193" s="61"/>
      <c r="F193" s="20" t="s">
        <v>28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65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/>
      <c r="AJ193" s="33"/>
      <c r="AK193" s="33">
        <v>0</v>
      </c>
      <c r="AM193" s="55">
        <v>0</v>
      </c>
      <c r="BI193" s="143"/>
    </row>
    <row r="194" spans="3:61 15027:15419" s="1" customFormat="1" ht="15" hidden="1" customHeight="1">
      <c r="C194" s="15"/>
      <c r="D194" s="11" t="s">
        <v>26</v>
      </c>
      <c r="E194" s="61"/>
      <c r="F194" s="20" t="s">
        <v>28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65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/>
      <c r="AK194" s="33">
        <v>0</v>
      </c>
      <c r="AM194" s="55">
        <v>0</v>
      </c>
      <c r="BI194" s="143"/>
    </row>
    <row r="195" spans="3:61 15027:15419" s="1" customFormat="1" ht="15" hidden="1" customHeight="1">
      <c r="C195" s="8"/>
      <c r="D195" s="47" t="s">
        <v>30</v>
      </c>
      <c r="E195" s="48"/>
      <c r="F195" s="49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1968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3"/>
      <c r="AM195" s="79" t="s">
        <v>131</v>
      </c>
      <c r="BI195" s="142"/>
      <c r="VEY195" s="46"/>
      <c r="VEZ195" s="46"/>
      <c r="VFA195" s="46"/>
      <c r="VFB195" s="46"/>
      <c r="VFC195" s="46"/>
      <c r="VFD195" s="46"/>
      <c r="VFE195" s="46"/>
      <c r="VFF195" s="46"/>
      <c r="VFG195" s="46"/>
      <c r="VFH195" s="46"/>
      <c r="VFI195" s="46"/>
      <c r="VFJ195" s="46"/>
      <c r="VFK195" s="46"/>
      <c r="VFL195" s="46"/>
      <c r="VFM195" s="46"/>
      <c r="VFN195" s="46"/>
      <c r="VFO195" s="46"/>
      <c r="VFP195" s="46"/>
      <c r="VFQ195" s="46"/>
      <c r="VFR195" s="46"/>
      <c r="VFS195" s="46"/>
      <c r="VFT195" s="46"/>
      <c r="VFU195" s="46"/>
      <c r="VFV195" s="46"/>
      <c r="VFW195" s="46"/>
      <c r="VFX195" s="46"/>
      <c r="VFY195" s="46"/>
      <c r="VFZ195" s="46"/>
      <c r="VGA195" s="46"/>
      <c r="VGB195" s="46"/>
      <c r="VGC195" s="46"/>
      <c r="VGD195" s="46"/>
      <c r="VGE195" s="46"/>
      <c r="VGF195" s="46"/>
      <c r="VGG195" s="46"/>
      <c r="VGH195" s="46"/>
      <c r="VGI195" s="46"/>
      <c r="VGJ195" s="46"/>
      <c r="VGK195" s="46"/>
      <c r="VGL195" s="46"/>
      <c r="VGM195" s="46"/>
      <c r="VGN195" s="46"/>
      <c r="VGO195" s="46"/>
      <c r="VGP195" s="46"/>
      <c r="VGQ195" s="46"/>
      <c r="VGR195" s="46"/>
      <c r="VGS195" s="46"/>
      <c r="VGT195" s="46"/>
      <c r="VGU195" s="46"/>
      <c r="VGV195" s="46"/>
      <c r="VGW195" s="46"/>
      <c r="VGX195" s="46"/>
      <c r="VGY195" s="46"/>
      <c r="VGZ195" s="46"/>
      <c r="VHA195" s="46"/>
      <c r="VHB195" s="46"/>
      <c r="VHC195" s="46"/>
      <c r="VHD195" s="46"/>
      <c r="VHE195" s="46"/>
      <c r="VHF195" s="46"/>
      <c r="VHG195" s="46"/>
      <c r="VHH195" s="46"/>
      <c r="VHI195" s="46"/>
      <c r="VHJ195" s="46"/>
      <c r="VHK195" s="46"/>
      <c r="VHL195" s="46"/>
      <c r="VHM195" s="46"/>
      <c r="VHN195" s="46"/>
      <c r="VHO195" s="46"/>
      <c r="VHP195" s="46"/>
      <c r="VHQ195" s="46"/>
      <c r="VHR195" s="46"/>
      <c r="VHS195" s="46"/>
      <c r="VHT195" s="46"/>
      <c r="VHU195" s="46"/>
      <c r="VHV195" s="46"/>
      <c r="VHW195" s="46"/>
      <c r="VHX195" s="46"/>
      <c r="VHY195" s="46"/>
      <c r="VHZ195" s="46"/>
      <c r="VIA195" s="46"/>
      <c r="VIB195" s="46"/>
      <c r="VIC195" s="46"/>
      <c r="VID195" s="46"/>
      <c r="VIE195" s="46"/>
      <c r="VIF195" s="46"/>
      <c r="VIG195" s="46"/>
      <c r="VIH195" s="46"/>
      <c r="VII195" s="46"/>
      <c r="VIJ195" s="46"/>
      <c r="VIK195" s="46"/>
      <c r="VIL195" s="46"/>
      <c r="VIM195" s="46"/>
      <c r="VIN195" s="46"/>
      <c r="VIO195" s="46"/>
      <c r="VIP195" s="46"/>
      <c r="VIQ195" s="46"/>
      <c r="VIR195" s="46"/>
      <c r="VIS195" s="46"/>
      <c r="VIT195" s="46"/>
      <c r="VIU195" s="46"/>
      <c r="VIV195" s="46"/>
      <c r="VIW195" s="46"/>
      <c r="VIX195" s="46"/>
      <c r="VIY195" s="46"/>
      <c r="VIZ195" s="46"/>
      <c r="VJA195" s="46"/>
      <c r="VJB195" s="46"/>
      <c r="VJC195" s="46"/>
      <c r="VJD195" s="46"/>
      <c r="VJE195" s="46"/>
      <c r="VJF195" s="46"/>
      <c r="VJG195" s="46"/>
      <c r="VJH195" s="46"/>
      <c r="VJI195" s="46"/>
      <c r="VJJ195" s="46"/>
      <c r="VJK195" s="46"/>
      <c r="VJL195" s="46"/>
      <c r="VJM195" s="46"/>
      <c r="VJN195" s="46"/>
      <c r="VJO195" s="46"/>
      <c r="VJP195" s="46"/>
      <c r="VJQ195" s="46"/>
      <c r="VJR195" s="46"/>
      <c r="VJS195" s="46"/>
      <c r="VJT195" s="46"/>
      <c r="VJU195" s="46"/>
      <c r="VJV195" s="46"/>
      <c r="VJW195" s="46"/>
      <c r="VJX195" s="46"/>
      <c r="VJY195" s="46"/>
      <c r="VJZ195" s="46"/>
      <c r="VKA195" s="46"/>
      <c r="VKB195" s="46"/>
      <c r="VKC195" s="46"/>
      <c r="VKD195" s="46"/>
      <c r="VKE195" s="46"/>
      <c r="VKF195" s="46"/>
      <c r="VKG195" s="46"/>
      <c r="VKH195" s="46"/>
      <c r="VKI195" s="46"/>
      <c r="VKJ195" s="46"/>
      <c r="VKK195" s="46"/>
      <c r="VKL195" s="46"/>
      <c r="VKM195" s="46"/>
      <c r="VKN195" s="46"/>
      <c r="VKO195" s="46"/>
      <c r="VKP195" s="46"/>
      <c r="VKQ195" s="46"/>
      <c r="VKR195" s="46"/>
      <c r="VKS195" s="46"/>
      <c r="VKT195" s="46"/>
      <c r="VKU195" s="46"/>
      <c r="VKV195" s="46"/>
      <c r="VKW195" s="46"/>
      <c r="VKX195" s="46"/>
      <c r="VKY195" s="46"/>
      <c r="VKZ195" s="46"/>
      <c r="VLA195" s="46"/>
      <c r="VLB195" s="46"/>
      <c r="VLC195" s="46"/>
      <c r="VLD195" s="46"/>
      <c r="VLE195" s="46"/>
      <c r="VLF195" s="46"/>
      <c r="VLG195" s="46"/>
      <c r="VLH195" s="46"/>
      <c r="VLI195" s="46"/>
      <c r="VLJ195" s="46"/>
      <c r="VLK195" s="46"/>
      <c r="VLL195" s="46"/>
      <c r="VLM195" s="46"/>
      <c r="VLN195" s="46"/>
      <c r="VLO195" s="46"/>
      <c r="VLP195" s="46"/>
      <c r="VLQ195" s="46"/>
      <c r="VLR195" s="46"/>
      <c r="VLS195" s="46"/>
      <c r="VLT195" s="46"/>
      <c r="VLU195" s="46"/>
      <c r="VLV195" s="46"/>
      <c r="VLW195" s="46"/>
      <c r="VLX195" s="46"/>
      <c r="VLY195" s="46"/>
      <c r="VLZ195" s="46"/>
      <c r="VMA195" s="46"/>
      <c r="VMB195" s="46"/>
      <c r="VMC195" s="46"/>
      <c r="VMD195" s="46"/>
      <c r="VME195" s="46"/>
      <c r="VMF195" s="46"/>
      <c r="VMG195" s="46"/>
      <c r="VMH195" s="46"/>
      <c r="VMI195" s="46"/>
      <c r="VMJ195" s="46"/>
      <c r="VMK195" s="46"/>
      <c r="VML195" s="46"/>
      <c r="VMM195" s="46"/>
      <c r="VMN195" s="46"/>
      <c r="VMO195" s="46"/>
      <c r="VMP195" s="46"/>
      <c r="VMQ195" s="46"/>
      <c r="VMR195" s="46"/>
      <c r="VMS195" s="46"/>
      <c r="VMT195" s="46"/>
      <c r="VMU195" s="46"/>
      <c r="VMV195" s="46"/>
      <c r="VMW195" s="46"/>
      <c r="VMX195" s="46"/>
      <c r="VMY195" s="46"/>
      <c r="VMZ195" s="46"/>
      <c r="VNA195" s="46"/>
      <c r="VNB195" s="46"/>
      <c r="VNC195" s="46"/>
      <c r="VND195" s="46"/>
      <c r="VNE195" s="46"/>
      <c r="VNF195" s="46"/>
      <c r="VNG195" s="46"/>
      <c r="VNH195" s="46"/>
      <c r="VNI195" s="46"/>
      <c r="VNJ195" s="46"/>
      <c r="VNK195" s="46"/>
      <c r="VNL195" s="46"/>
      <c r="VNM195" s="46"/>
      <c r="VNN195" s="46"/>
      <c r="VNO195" s="46"/>
      <c r="VNP195" s="46"/>
      <c r="VNQ195" s="46"/>
      <c r="VNR195" s="46"/>
      <c r="VNS195" s="46"/>
      <c r="VNT195" s="46"/>
      <c r="VNU195" s="46"/>
      <c r="VNV195" s="46"/>
      <c r="VNW195" s="46"/>
      <c r="VNX195" s="46"/>
      <c r="VNY195" s="46"/>
      <c r="VNZ195" s="46"/>
      <c r="VOA195" s="46"/>
      <c r="VOB195" s="46"/>
      <c r="VOC195" s="46"/>
      <c r="VOD195" s="46"/>
      <c r="VOE195" s="46"/>
      <c r="VOF195" s="46"/>
      <c r="VOG195" s="46"/>
      <c r="VOH195" s="46"/>
      <c r="VOI195" s="46"/>
      <c r="VOJ195" s="46"/>
      <c r="VOK195" s="46"/>
      <c r="VOL195" s="46"/>
      <c r="VOM195" s="46"/>
      <c r="VON195" s="46"/>
      <c r="VOO195" s="46"/>
      <c r="VOP195" s="46"/>
      <c r="VOQ195" s="46"/>
      <c r="VOR195" s="46"/>
      <c r="VOS195" s="46"/>
      <c r="VOT195" s="46"/>
      <c r="VOU195" s="46"/>
      <c r="VOV195" s="46"/>
      <c r="VOW195" s="46"/>
      <c r="VOX195" s="46"/>
      <c r="VOY195" s="46"/>
      <c r="VOZ195" s="46"/>
      <c r="VPA195" s="46"/>
      <c r="VPB195" s="46"/>
      <c r="VPC195" s="46"/>
      <c r="VPD195" s="46"/>
      <c r="VPE195" s="46"/>
      <c r="VPF195" s="46"/>
      <c r="VPG195" s="46"/>
      <c r="VPH195" s="46"/>
      <c r="VPI195" s="46"/>
      <c r="VPJ195" s="46"/>
      <c r="VPK195" s="46"/>
      <c r="VPL195" s="46"/>
      <c r="VPM195" s="46"/>
      <c r="VPN195" s="46"/>
      <c r="VPO195" s="46"/>
      <c r="VPP195" s="46"/>
      <c r="VPQ195" s="46"/>
      <c r="VPR195" s="46"/>
      <c r="VPS195" s="46"/>
      <c r="VPT195" s="46"/>
      <c r="VPU195" s="46"/>
      <c r="VPV195" s="46"/>
      <c r="VPW195" s="46"/>
      <c r="VPX195" s="46"/>
      <c r="VPY195" s="46"/>
      <c r="VPZ195" s="46"/>
      <c r="VQA195" s="46"/>
      <c r="VQB195" s="46"/>
      <c r="VQC195" s="46"/>
      <c r="VQD195" s="46"/>
      <c r="VQE195" s="46"/>
      <c r="VQF195" s="46"/>
      <c r="VQG195" s="46"/>
      <c r="VQH195" s="46"/>
      <c r="VQI195" s="46"/>
      <c r="VQJ195" s="46"/>
      <c r="VQK195" s="46"/>
      <c r="VQL195" s="46"/>
      <c r="VQM195" s="46"/>
      <c r="VQN195" s="46"/>
      <c r="VQO195" s="46"/>
      <c r="VQP195" s="46"/>
      <c r="VQQ195" s="46"/>
      <c r="VQR195" s="46"/>
      <c r="VQS195" s="46"/>
      <c r="VQT195" s="46"/>
      <c r="VQU195" s="46"/>
      <c r="VQV195" s="46"/>
      <c r="VQW195" s="46"/>
      <c r="VQX195" s="46"/>
      <c r="VQY195" s="46"/>
      <c r="VQZ195" s="46"/>
      <c r="VRA195" s="46"/>
      <c r="VRB195" s="46"/>
      <c r="VRC195" s="46"/>
      <c r="VRD195" s="46"/>
      <c r="VRE195" s="46"/>
      <c r="VRF195" s="46"/>
      <c r="VRG195" s="46"/>
      <c r="VRH195" s="46"/>
      <c r="VRI195" s="46"/>
      <c r="VRJ195" s="46"/>
      <c r="VRK195" s="46"/>
      <c r="VRL195" s="46"/>
      <c r="VRM195" s="46"/>
      <c r="VRN195" s="46"/>
      <c r="VRO195" s="46"/>
      <c r="VRP195" s="46"/>
      <c r="VRQ195" s="46"/>
      <c r="VRR195" s="46"/>
      <c r="VRS195" s="46"/>
      <c r="VRT195" s="46"/>
      <c r="VRU195" s="46"/>
      <c r="VRV195" s="46"/>
      <c r="VRW195" s="46"/>
      <c r="VRX195" s="46"/>
      <c r="VRY195" s="46"/>
      <c r="VRZ195" s="46"/>
      <c r="VSA195" s="46"/>
      <c r="VSB195" s="46"/>
      <c r="VSC195" s="46"/>
      <c r="VSD195" s="46"/>
      <c r="VSE195" s="46"/>
      <c r="VSF195" s="46"/>
      <c r="VSG195" s="46"/>
      <c r="VSH195" s="46"/>
      <c r="VSI195" s="46"/>
      <c r="VSJ195" s="46"/>
      <c r="VSK195" s="46"/>
      <c r="VSL195" s="46"/>
      <c r="VSM195" s="46"/>
      <c r="VSN195" s="46"/>
      <c r="VSO195" s="46"/>
      <c r="VSP195" s="46"/>
      <c r="VSQ195" s="46"/>
      <c r="VSR195" s="46"/>
      <c r="VSS195" s="46"/>
      <c r="VST195" s="46"/>
      <c r="VSU195" s="46"/>
      <c r="VSV195" s="46"/>
      <c r="VSW195" s="46"/>
      <c r="VSX195" s="46"/>
      <c r="VSY195" s="46"/>
      <c r="VSZ195" s="46"/>
      <c r="VTA195" s="46"/>
      <c r="VTB195" s="46"/>
      <c r="VTC195" s="46"/>
      <c r="VTD195" s="46"/>
      <c r="VTE195" s="46"/>
      <c r="VTF195" s="46"/>
      <c r="VTG195" s="46"/>
      <c r="VTH195" s="46"/>
      <c r="VTI195" s="46"/>
      <c r="VTJ195" s="46"/>
      <c r="VTK195" s="46"/>
      <c r="VTL195" s="46"/>
      <c r="VTM195" s="46"/>
      <c r="VTN195" s="46"/>
      <c r="VTO195" s="46"/>
      <c r="VTP195" s="46"/>
      <c r="VTQ195" s="46"/>
      <c r="VTR195" s="46"/>
      <c r="VTS195" s="46"/>
      <c r="VTT195" s="46"/>
      <c r="VTU195" s="46"/>
      <c r="VTV195" s="46"/>
      <c r="VTW195" s="46"/>
      <c r="VTX195" s="46"/>
      <c r="VTY195" s="46"/>
      <c r="VTZ195" s="46"/>
      <c r="VUA195" s="46"/>
    </row>
    <row r="196" spans="3:61 15027:15419" s="1" customFormat="1" ht="15" hidden="1" customHeight="1">
      <c r="C196" s="15"/>
      <c r="D196" s="30" t="s">
        <v>29</v>
      </c>
      <c r="E196" s="61"/>
      <c r="F196" s="1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1965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M196" s="64" t="s">
        <v>29</v>
      </c>
      <c r="BI196" s="143"/>
    </row>
    <row r="197" spans="3:61 15027:15419" s="1" customFormat="1" ht="15" hidden="1" customHeight="1">
      <c r="C197" s="15"/>
      <c r="D197" s="11" t="s">
        <v>116</v>
      </c>
      <c r="E197" s="127">
        <v>0.3</v>
      </c>
      <c r="F197" s="20" t="s">
        <v>25</v>
      </c>
      <c r="G197" s="34" t="e">
        <v>#DIV/0!</v>
      </c>
      <c r="H197" s="34" t="e">
        <v>#DIV/0!</v>
      </c>
      <c r="I197" s="34" t="e">
        <v>#DIV/0!</v>
      </c>
      <c r="J197" s="34" t="e">
        <v>#DIV/0!</v>
      </c>
      <c r="K197" s="34" t="e">
        <v>#DIV/0!</v>
      </c>
      <c r="L197" s="34" t="e">
        <v>#DIV/0!</v>
      </c>
      <c r="M197" s="34" t="e">
        <v>#DIV/0!</v>
      </c>
      <c r="N197" s="34" t="e">
        <v>#DIV/0!</v>
      </c>
      <c r="O197" s="34" t="e">
        <v>#DIV/0!</v>
      </c>
      <c r="P197" s="34" t="e">
        <v>#DIV/0!</v>
      </c>
      <c r="Q197" s="34" t="e">
        <v>#DIV/0!</v>
      </c>
      <c r="R197" s="34" t="e">
        <v>#DIV/0!</v>
      </c>
      <c r="S197" s="1966" t="e">
        <v>#DIV/0!</v>
      </c>
      <c r="T197" s="34" t="e">
        <v>#DIV/0!</v>
      </c>
      <c r="U197" s="34" t="e">
        <v>#DIV/0!</v>
      </c>
      <c r="V197" s="34" t="e">
        <v>#DIV/0!</v>
      </c>
      <c r="W197" s="34" t="e">
        <v>#DIV/0!</v>
      </c>
      <c r="X197" s="34" t="e">
        <v>#DIV/0!</v>
      </c>
      <c r="Y197" s="34" t="e">
        <v>#DIV/0!</v>
      </c>
      <c r="Z197" s="34" t="e">
        <v>#DIV/0!</v>
      </c>
      <c r="AA197" s="34" t="e">
        <v>#DIV/0!</v>
      </c>
      <c r="AB197" s="34" t="e">
        <v>#DIV/0!</v>
      </c>
      <c r="AC197" s="34" t="e">
        <v>#DIV/0!</v>
      </c>
      <c r="AD197" s="34" t="e">
        <v>#DIV/0!</v>
      </c>
      <c r="AE197" s="34" t="e">
        <v>#DIV/0!</v>
      </c>
      <c r="AF197" s="34" t="e">
        <v>#DIV/0!</v>
      </c>
      <c r="AG197" s="34" t="e">
        <v>#DIV/0!</v>
      </c>
      <c r="AH197" s="34" t="e">
        <v>#DIV/0!</v>
      </c>
      <c r="AI197" s="34"/>
      <c r="AJ197" s="34"/>
      <c r="AK197" s="34" t="e">
        <v>#DIV/0!</v>
      </c>
      <c r="AM197" s="64"/>
      <c r="BI197" s="143"/>
    </row>
    <row r="198" spans="3:61 15027:15419" s="1" customFormat="1" ht="15" hidden="1" customHeight="1">
      <c r="C198" s="15"/>
      <c r="D198" s="11" t="s">
        <v>27</v>
      </c>
      <c r="E198" s="127">
        <v>0.3</v>
      </c>
      <c r="F198" s="20" t="s">
        <v>25</v>
      </c>
      <c r="G198" s="34" t="e">
        <v>#DIV/0!</v>
      </c>
      <c r="H198" s="34" t="e">
        <v>#DIV/0!</v>
      </c>
      <c r="I198" s="34" t="e">
        <v>#DIV/0!</v>
      </c>
      <c r="J198" s="34" t="e">
        <v>#DIV/0!</v>
      </c>
      <c r="K198" s="34" t="e">
        <v>#DIV/0!</v>
      </c>
      <c r="L198" s="34" t="e">
        <v>#DIV/0!</v>
      </c>
      <c r="M198" s="34" t="e">
        <v>#DIV/0!</v>
      </c>
      <c r="N198" s="34" t="e">
        <v>#DIV/0!</v>
      </c>
      <c r="O198" s="34" t="e">
        <v>#DIV/0!</v>
      </c>
      <c r="P198" s="34" t="e">
        <v>#DIV/0!</v>
      </c>
      <c r="Q198" s="34" t="e">
        <v>#DIV/0!</v>
      </c>
      <c r="R198" s="34" t="e">
        <v>#DIV/0!</v>
      </c>
      <c r="S198" s="1966" t="e">
        <v>#DIV/0!</v>
      </c>
      <c r="T198" s="34" t="e">
        <v>#DIV/0!</v>
      </c>
      <c r="U198" s="34" t="e">
        <v>#DIV/0!</v>
      </c>
      <c r="V198" s="34" t="e">
        <v>#DIV/0!</v>
      </c>
      <c r="W198" s="34" t="e">
        <v>#DIV/0!</v>
      </c>
      <c r="X198" s="34" t="e">
        <v>#DIV/0!</v>
      </c>
      <c r="Y198" s="34" t="e">
        <v>#DIV/0!</v>
      </c>
      <c r="Z198" s="34" t="e">
        <v>#DIV/0!</v>
      </c>
      <c r="AA198" s="34" t="e">
        <v>#DIV/0!</v>
      </c>
      <c r="AB198" s="34" t="e">
        <v>#DIV/0!</v>
      </c>
      <c r="AC198" s="34" t="e">
        <v>#DIV/0!</v>
      </c>
      <c r="AD198" s="34" t="e">
        <v>#DIV/0!</v>
      </c>
      <c r="AE198" s="34" t="e">
        <v>#DIV/0!</v>
      </c>
      <c r="AF198" s="34" t="e">
        <v>#DIV/0!</v>
      </c>
      <c r="AG198" s="34" t="e">
        <v>#DIV/0!</v>
      </c>
      <c r="AH198" s="34" t="e">
        <v>#DIV/0!</v>
      </c>
      <c r="AI198" s="34"/>
      <c r="AJ198" s="34"/>
      <c r="AK198" s="34" t="e">
        <v>#DIV/0!</v>
      </c>
      <c r="AM198" s="59" t="e">
        <v>#DIV/0!</v>
      </c>
      <c r="BI198" s="143"/>
    </row>
    <row r="199" spans="3:61 15027:15419" s="1" customFormat="1" ht="15" hidden="1" customHeight="1">
      <c r="C199" s="15"/>
      <c r="D199" s="11" t="s">
        <v>26</v>
      </c>
      <c r="E199" s="127">
        <v>0.3</v>
      </c>
      <c r="F199" s="20" t="s">
        <v>25</v>
      </c>
      <c r="G199" s="34" t="e">
        <v>#DIV/0!</v>
      </c>
      <c r="H199" s="34" t="e">
        <v>#DIV/0!</v>
      </c>
      <c r="I199" s="34" t="e">
        <v>#DIV/0!</v>
      </c>
      <c r="J199" s="34" t="e">
        <v>#DIV/0!</v>
      </c>
      <c r="K199" s="34" t="e">
        <v>#DIV/0!</v>
      </c>
      <c r="L199" s="34" t="e">
        <v>#DIV/0!</v>
      </c>
      <c r="M199" s="34" t="e">
        <v>#DIV/0!</v>
      </c>
      <c r="N199" s="34" t="e">
        <v>#DIV/0!</v>
      </c>
      <c r="O199" s="34" t="e">
        <v>#DIV/0!</v>
      </c>
      <c r="P199" s="34" t="e">
        <v>#DIV/0!</v>
      </c>
      <c r="Q199" s="34" t="e">
        <v>#DIV/0!</v>
      </c>
      <c r="R199" s="34" t="e">
        <v>#DIV/0!</v>
      </c>
      <c r="S199" s="1966" t="e">
        <v>#DIV/0!</v>
      </c>
      <c r="T199" s="34" t="e">
        <v>#DIV/0!</v>
      </c>
      <c r="U199" s="34" t="e">
        <v>#DIV/0!</v>
      </c>
      <c r="V199" s="34" t="e">
        <v>#DIV/0!</v>
      </c>
      <c r="W199" s="34" t="e">
        <v>#DIV/0!</v>
      </c>
      <c r="X199" s="34" t="e">
        <v>#DIV/0!</v>
      </c>
      <c r="Y199" s="34" t="e">
        <v>#DIV/0!</v>
      </c>
      <c r="Z199" s="34" t="e">
        <v>#DIV/0!</v>
      </c>
      <c r="AA199" s="34" t="e">
        <v>#DIV/0!</v>
      </c>
      <c r="AB199" s="34" t="e">
        <v>#DIV/0!</v>
      </c>
      <c r="AC199" s="34" t="e">
        <v>#DIV/0!</v>
      </c>
      <c r="AD199" s="34" t="e">
        <v>#DIV/0!</v>
      </c>
      <c r="AE199" s="34" t="e">
        <v>#DIV/0!</v>
      </c>
      <c r="AF199" s="34" t="e">
        <v>#DIV/0!</v>
      </c>
      <c r="AG199" s="34" t="e">
        <v>#DIV/0!</v>
      </c>
      <c r="AH199" s="34" t="e">
        <v>#DIV/0!</v>
      </c>
      <c r="AI199" s="34"/>
      <c r="AJ199" s="34"/>
      <c r="AK199" s="34" t="e">
        <v>#DIV/0!</v>
      </c>
      <c r="AM199" s="59" t="e">
        <v>#DIV/0!</v>
      </c>
      <c r="BI199" s="143"/>
    </row>
    <row r="200" spans="3:61 15027:15419" s="1" customFormat="1" ht="15" hidden="1" customHeight="1">
      <c r="C200" s="15"/>
      <c r="D200" s="30" t="s">
        <v>28</v>
      </c>
      <c r="E200" s="127"/>
      <c r="F200" s="13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1966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M200" s="64" t="s">
        <v>28</v>
      </c>
      <c r="BI200" s="143"/>
    </row>
    <row r="201" spans="3:61 15027:15419" s="1" customFormat="1" ht="15" hidden="1" customHeight="1">
      <c r="C201" s="15"/>
      <c r="D201" s="11" t="s">
        <v>116</v>
      </c>
      <c r="E201" s="127">
        <v>0.5</v>
      </c>
      <c r="F201" s="20" t="s">
        <v>25</v>
      </c>
      <c r="G201" s="34" t="e">
        <v>#DIV/0!</v>
      </c>
      <c r="H201" s="34" t="e">
        <v>#DIV/0!</v>
      </c>
      <c r="I201" s="34" t="e">
        <v>#DIV/0!</v>
      </c>
      <c r="J201" s="34" t="e">
        <v>#DIV/0!</v>
      </c>
      <c r="K201" s="34" t="e">
        <v>#DIV/0!</v>
      </c>
      <c r="L201" s="34" t="e">
        <v>#DIV/0!</v>
      </c>
      <c r="M201" s="34" t="e">
        <v>#DIV/0!</v>
      </c>
      <c r="N201" s="34" t="e">
        <v>#DIV/0!</v>
      </c>
      <c r="O201" s="34" t="e">
        <v>#DIV/0!</v>
      </c>
      <c r="P201" s="34" t="e">
        <v>#DIV/0!</v>
      </c>
      <c r="Q201" s="34" t="e">
        <v>#DIV/0!</v>
      </c>
      <c r="R201" s="34" t="e">
        <v>#DIV/0!</v>
      </c>
      <c r="S201" s="1966" t="e">
        <v>#DIV/0!</v>
      </c>
      <c r="T201" s="34" t="e">
        <v>#DIV/0!</v>
      </c>
      <c r="U201" s="34" t="e">
        <v>#DIV/0!</v>
      </c>
      <c r="V201" s="34" t="e">
        <v>#DIV/0!</v>
      </c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 t="e">
        <v>#DIV/0!</v>
      </c>
      <c r="AH201" s="34" t="e">
        <v>#DIV/0!</v>
      </c>
      <c r="AI201" s="34"/>
      <c r="AJ201" s="34"/>
      <c r="AK201" s="34" t="e">
        <v>#DIV/0!</v>
      </c>
      <c r="AM201" s="64"/>
      <c r="BI201" s="143"/>
    </row>
    <row r="202" spans="3:61 15027:15419" s="1" customFormat="1" ht="15" hidden="1" customHeight="1">
      <c r="C202" s="15"/>
      <c r="D202" s="11" t="s">
        <v>27</v>
      </c>
      <c r="E202" s="127">
        <v>0.5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66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/>
      <c r="AJ202" s="34"/>
      <c r="AK202" s="34" t="e">
        <v>#DIV/0!</v>
      </c>
      <c r="AM202" s="59" t="e">
        <v>#DIV/0!</v>
      </c>
      <c r="BI202" s="143"/>
    </row>
    <row r="203" spans="3:61 15027:15419" s="1" customFormat="1" ht="15.75" hidden="1" customHeight="1" thickBot="1">
      <c r="C203" s="19"/>
      <c r="D203" s="11" t="s">
        <v>26</v>
      </c>
      <c r="E203" s="127">
        <v>0.5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66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/>
      <c r="AJ203" s="34"/>
      <c r="AK203" s="34" t="e">
        <v>#DIV/0!</v>
      </c>
      <c r="AM203" s="59" t="e">
        <v>#DIV/0!</v>
      </c>
      <c r="BI203" s="143"/>
    </row>
    <row r="204" spans="3:61 15027:15419" s="1" customFormat="1" ht="15" hidden="1" customHeight="1">
      <c r="C204" s="8">
        <v>7</v>
      </c>
      <c r="D204" s="47" t="s">
        <v>87</v>
      </c>
      <c r="E204" s="128"/>
      <c r="F204" s="129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1984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  <c r="AG204" s="287"/>
      <c r="AH204" s="287"/>
      <c r="AI204" s="287"/>
      <c r="AJ204" s="287"/>
      <c r="AK204" s="287"/>
      <c r="AL204" s="130"/>
      <c r="AM204" s="79" t="s">
        <v>130</v>
      </c>
    </row>
    <row r="205" spans="3:61 15027:15419" s="1" customFormat="1" ht="15" hidden="1" customHeight="1">
      <c r="C205" s="15"/>
      <c r="D205" s="26" t="s">
        <v>92</v>
      </c>
      <c r="E205" s="127"/>
      <c r="F205" s="20" t="s">
        <v>14</v>
      </c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1967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18"/>
      <c r="AM205" s="90">
        <v>0</v>
      </c>
    </row>
    <row r="206" spans="3:61 15027:15419" s="1" customFormat="1" ht="15" hidden="1" customHeight="1">
      <c r="C206" s="15"/>
      <c r="D206" s="11" t="s">
        <v>93</v>
      </c>
      <c r="E206" s="127"/>
      <c r="F206" s="20" t="s">
        <v>14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1966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18"/>
      <c r="AM206" s="90">
        <v>0</v>
      </c>
    </row>
    <row r="207" spans="3:61 15027:15419" s="1" customFormat="1" ht="15" hidden="1" customHeight="1">
      <c r="C207" s="15"/>
      <c r="D207" s="11" t="s">
        <v>39</v>
      </c>
      <c r="E207" s="127"/>
      <c r="F207" s="20" t="s">
        <v>14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1966">
        <v>0</v>
      </c>
      <c r="T207" s="34">
        <v>0</v>
      </c>
      <c r="U207" s="34">
        <v>0</v>
      </c>
      <c r="V207" s="34">
        <v>0</v>
      </c>
      <c r="W207" s="34">
        <v>0</v>
      </c>
      <c r="X207" s="34">
        <v>0</v>
      </c>
      <c r="Y207" s="34">
        <v>0</v>
      </c>
      <c r="Z207" s="34">
        <v>0</v>
      </c>
      <c r="AA207" s="34">
        <v>0</v>
      </c>
      <c r="AB207" s="34">
        <v>0</v>
      </c>
      <c r="AC207" s="34">
        <v>0</v>
      </c>
      <c r="AD207" s="34">
        <v>0</v>
      </c>
      <c r="AE207" s="34">
        <v>0</v>
      </c>
      <c r="AF207" s="34">
        <v>0</v>
      </c>
      <c r="AG207" s="34">
        <v>0</v>
      </c>
      <c r="AH207" s="34">
        <v>0</v>
      </c>
      <c r="AI207" s="34"/>
      <c r="AJ207" s="34"/>
      <c r="AK207" s="34">
        <v>0</v>
      </c>
      <c r="AL207" s="18"/>
      <c r="AM207" s="90">
        <v>0</v>
      </c>
    </row>
    <row r="208" spans="3:61 15027:15419" s="1" customFormat="1" ht="15" hidden="1" customHeight="1">
      <c r="C208" s="15"/>
      <c r="D208" s="11" t="s">
        <v>38</v>
      </c>
      <c r="E208" s="127"/>
      <c r="F208" s="20" t="s">
        <v>14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1966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v>0</v>
      </c>
      <c r="AH208" s="34">
        <v>0</v>
      </c>
      <c r="AI208" s="34"/>
      <c r="AJ208" s="34"/>
      <c r="AK208" s="34">
        <v>0</v>
      </c>
      <c r="AL208" s="18"/>
      <c r="AM208" s="90">
        <v>0</v>
      </c>
    </row>
    <row r="209" spans="3:39" s="1" customFormat="1" ht="15" hidden="1" customHeight="1">
      <c r="C209" s="15"/>
      <c r="D209" s="30" t="s">
        <v>50</v>
      </c>
      <c r="E209" s="127"/>
      <c r="F209" s="13" t="s">
        <v>14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1966">
        <v>0</v>
      </c>
      <c r="T209" s="34"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v>0</v>
      </c>
      <c r="AH209" s="34">
        <v>0</v>
      </c>
      <c r="AI209" s="34"/>
      <c r="AJ209" s="34"/>
      <c r="AK209" s="34">
        <v>0</v>
      </c>
      <c r="AL209" s="18"/>
      <c r="AM209" s="59">
        <v>0</v>
      </c>
    </row>
    <row r="210" spans="3:39" s="1" customFormat="1" ht="15" hidden="1" customHeight="1">
      <c r="C210" s="15"/>
      <c r="D210" s="11" t="s">
        <v>29</v>
      </c>
      <c r="E210" s="127"/>
      <c r="F210" s="20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66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18"/>
      <c r="AM210" s="59" t="s">
        <v>29</v>
      </c>
    </row>
    <row r="211" spans="3:39" s="1" customFormat="1" ht="15" hidden="1" customHeight="1">
      <c r="C211" s="15"/>
      <c r="D211" s="11" t="s">
        <v>88</v>
      </c>
      <c r="E211" s="127"/>
      <c r="F211" s="20" t="s">
        <v>31</v>
      </c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1965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18"/>
      <c r="AM211" s="92">
        <v>0</v>
      </c>
    </row>
    <row r="212" spans="3:39" s="1" customFormat="1" ht="15" hidden="1" customHeight="1">
      <c r="C212" s="15"/>
      <c r="D212" s="11" t="s">
        <v>117</v>
      </c>
      <c r="E212" s="127"/>
      <c r="F212" s="20" t="s">
        <v>31</v>
      </c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1965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18"/>
      <c r="AM212" s="92">
        <v>0</v>
      </c>
    </row>
    <row r="213" spans="3:39" s="1" customFormat="1" ht="15" hidden="1" customHeight="1">
      <c r="C213" s="15"/>
      <c r="D213" s="38" t="s">
        <v>28</v>
      </c>
      <c r="E213" s="127"/>
      <c r="F213" s="20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1966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18"/>
      <c r="AM213" s="59" t="s">
        <v>28</v>
      </c>
    </row>
    <row r="214" spans="3:39" s="1" customFormat="1" ht="15" hidden="1" customHeight="1">
      <c r="C214" s="15"/>
      <c r="D214" s="11" t="s">
        <v>88</v>
      </c>
      <c r="E214" s="127"/>
      <c r="F214" s="20" t="s">
        <v>28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1965">
        <v>0</v>
      </c>
      <c r="T214" s="33">
        <v>0</v>
      </c>
      <c r="U214" s="33">
        <v>0</v>
      </c>
      <c r="V214" s="33">
        <v>0</v>
      </c>
      <c r="W214" s="33">
        <v>0</v>
      </c>
      <c r="X214" s="33">
        <v>0</v>
      </c>
      <c r="Y214" s="33">
        <v>0</v>
      </c>
      <c r="Z214" s="33">
        <v>0</v>
      </c>
      <c r="AA214" s="33">
        <v>0</v>
      </c>
      <c r="AB214" s="33">
        <v>0</v>
      </c>
      <c r="AC214" s="33">
        <v>0</v>
      </c>
      <c r="AD214" s="33">
        <v>0</v>
      </c>
      <c r="AE214" s="33">
        <v>0</v>
      </c>
      <c r="AF214" s="33">
        <v>0</v>
      </c>
      <c r="AG214" s="33">
        <v>0</v>
      </c>
      <c r="AH214" s="33">
        <v>0</v>
      </c>
      <c r="AI214" s="33"/>
      <c r="AJ214" s="33"/>
      <c r="AK214" s="33">
        <v>0</v>
      </c>
      <c r="AL214" s="6"/>
      <c r="AM214" s="55">
        <v>0</v>
      </c>
    </row>
    <row r="215" spans="3:39" s="1" customFormat="1" ht="15" hidden="1" customHeight="1">
      <c r="C215" s="15"/>
      <c r="D215" s="11" t="s">
        <v>117</v>
      </c>
      <c r="E215" s="127"/>
      <c r="F215" s="20" t="s">
        <v>28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1965">
        <v>0</v>
      </c>
      <c r="T215" s="33">
        <v>0</v>
      </c>
      <c r="U215" s="33">
        <v>0</v>
      </c>
      <c r="V215" s="33">
        <v>0</v>
      </c>
      <c r="W215" s="33">
        <v>0</v>
      </c>
      <c r="X215" s="33">
        <v>0</v>
      </c>
      <c r="Y215" s="33">
        <v>0</v>
      </c>
      <c r="Z215" s="33">
        <v>0</v>
      </c>
      <c r="AA215" s="33">
        <v>0</v>
      </c>
      <c r="AB215" s="33">
        <v>0</v>
      </c>
      <c r="AC215" s="33">
        <v>0</v>
      </c>
      <c r="AD215" s="33">
        <v>0</v>
      </c>
      <c r="AE215" s="33">
        <v>0</v>
      </c>
      <c r="AF215" s="33">
        <v>0</v>
      </c>
      <c r="AG215" s="33">
        <v>0</v>
      </c>
      <c r="AH215" s="33">
        <v>0</v>
      </c>
      <c r="AI215" s="33"/>
      <c r="AJ215" s="33"/>
      <c r="AK215" s="33">
        <v>0</v>
      </c>
      <c r="AL215" s="6"/>
      <c r="AM215" s="55"/>
    </row>
    <row r="216" spans="3:39" s="1" customFormat="1" ht="15" hidden="1" customHeight="1">
      <c r="C216" s="15"/>
      <c r="D216" s="11" t="s">
        <v>36</v>
      </c>
      <c r="E216" s="127"/>
      <c r="F216" s="20" t="s">
        <v>35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1965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0</v>
      </c>
      <c r="AG216" s="33">
        <v>0</v>
      </c>
      <c r="AH216" s="33">
        <v>0</v>
      </c>
      <c r="AI216" s="33"/>
      <c r="AJ216" s="33"/>
      <c r="AK216" s="33">
        <v>0</v>
      </c>
      <c r="AL216" s="6"/>
      <c r="AM216" s="55">
        <v>0</v>
      </c>
    </row>
    <row r="217" spans="3:39" s="1" customFormat="1" ht="15" hidden="1" customHeight="1">
      <c r="C217" s="15"/>
      <c r="D217" s="11" t="s">
        <v>34</v>
      </c>
      <c r="E217" s="127"/>
      <c r="F217" s="20" t="s">
        <v>33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1965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  <c r="AH217" s="33">
        <v>0</v>
      </c>
      <c r="AI217" s="33"/>
      <c r="AJ217" s="33"/>
      <c r="AK217" s="33">
        <v>0</v>
      </c>
      <c r="AL217" s="6"/>
      <c r="AM217" s="97">
        <v>0</v>
      </c>
    </row>
    <row r="218" spans="3:39" s="1" customFormat="1" ht="15" hidden="1" customHeight="1">
      <c r="C218" s="15"/>
      <c r="D218" s="47" t="s">
        <v>32</v>
      </c>
      <c r="E218" s="128"/>
      <c r="F218" s="93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88"/>
      <c r="AB218" s="288"/>
      <c r="AC218" s="288"/>
      <c r="AD218" s="288"/>
      <c r="AE218" s="288"/>
      <c r="AF218" s="288"/>
      <c r="AG218" s="288"/>
      <c r="AH218" s="288"/>
      <c r="AI218" s="288"/>
      <c r="AJ218" s="288"/>
      <c r="AK218" s="288"/>
      <c r="AL218" s="98"/>
      <c r="AM218" s="99" t="s">
        <v>131</v>
      </c>
    </row>
    <row r="219" spans="3:39" s="1" customFormat="1" ht="15" hidden="1" customHeight="1">
      <c r="C219" s="15"/>
      <c r="D219" s="11" t="s">
        <v>29</v>
      </c>
      <c r="E219" s="127"/>
      <c r="F219" s="20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1966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18"/>
      <c r="AM219" s="59"/>
    </row>
    <row r="220" spans="3:39" s="1" customFormat="1" ht="15" hidden="1" customHeight="1">
      <c r="C220" s="15"/>
      <c r="D220" s="11" t="s">
        <v>88</v>
      </c>
      <c r="E220" s="127"/>
      <c r="F220" s="20" t="s">
        <v>31</v>
      </c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1965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18"/>
      <c r="AM220" s="92">
        <v>0</v>
      </c>
    </row>
    <row r="221" spans="3:39" s="1" customFormat="1" ht="15" hidden="1" customHeight="1">
      <c r="C221" s="15"/>
      <c r="D221" s="11" t="s">
        <v>117</v>
      </c>
      <c r="E221" s="127"/>
      <c r="F221" s="20" t="s">
        <v>31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65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18"/>
      <c r="AM221" s="92">
        <v>0</v>
      </c>
    </row>
    <row r="222" spans="3:39" s="1" customFormat="1" ht="15" hidden="1" customHeight="1">
      <c r="C222" s="15"/>
      <c r="D222" s="11" t="s">
        <v>28</v>
      </c>
      <c r="E222" s="127"/>
      <c r="F222" s="20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1966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18"/>
      <c r="AM222" s="59"/>
    </row>
    <row r="223" spans="3:39" s="1" customFormat="1" ht="15" hidden="1" customHeight="1">
      <c r="C223" s="15"/>
      <c r="D223" s="11" t="s">
        <v>88</v>
      </c>
      <c r="E223" s="127"/>
      <c r="F223" s="20" t="s">
        <v>28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1965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0</v>
      </c>
      <c r="AC223" s="33">
        <v>0</v>
      </c>
      <c r="AD223" s="33">
        <v>0</v>
      </c>
      <c r="AE223" s="33">
        <v>0</v>
      </c>
      <c r="AF223" s="33">
        <v>0</v>
      </c>
      <c r="AG223" s="33">
        <v>0</v>
      </c>
      <c r="AH223" s="33">
        <v>0</v>
      </c>
      <c r="AI223" s="33"/>
      <c r="AJ223" s="33"/>
      <c r="AK223" s="33">
        <v>0</v>
      </c>
      <c r="AL223" s="18"/>
      <c r="AM223" s="92">
        <v>0</v>
      </c>
    </row>
    <row r="224" spans="3:39" s="1" customFormat="1" ht="15" hidden="1" customHeight="1">
      <c r="C224" s="15"/>
      <c r="D224" s="11" t="s">
        <v>117</v>
      </c>
      <c r="E224" s="127"/>
      <c r="F224" s="20" t="s">
        <v>28</v>
      </c>
      <c r="G224" s="33">
        <v>0</v>
      </c>
      <c r="H224" s="33">
        <v>0</v>
      </c>
      <c r="I224" s="33">
        <v>0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1965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0</v>
      </c>
      <c r="AC224" s="33">
        <v>0</v>
      </c>
      <c r="AD224" s="33">
        <v>0</v>
      </c>
      <c r="AE224" s="33">
        <v>0</v>
      </c>
      <c r="AF224" s="33">
        <v>0</v>
      </c>
      <c r="AG224" s="33">
        <v>0</v>
      </c>
      <c r="AH224" s="33">
        <v>0</v>
      </c>
      <c r="AI224" s="33"/>
      <c r="AJ224" s="33"/>
      <c r="AK224" s="33">
        <v>0</v>
      </c>
      <c r="AL224" s="18"/>
      <c r="AM224" s="92">
        <v>0</v>
      </c>
    </row>
    <row r="225" spans="3:61 15027:15419" s="1" customFormat="1" ht="15" hidden="1" customHeight="1">
      <c r="C225" s="15"/>
      <c r="D225" s="47" t="s">
        <v>30</v>
      </c>
      <c r="E225" s="131"/>
      <c r="F225" s="100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1973"/>
      <c r="T225" s="273"/>
      <c r="U225" s="273"/>
      <c r="V225" s="273"/>
      <c r="W225" s="273"/>
      <c r="X225" s="273"/>
      <c r="Y225" s="273"/>
      <c r="Z225" s="273"/>
      <c r="AA225" s="273"/>
      <c r="AB225" s="273"/>
      <c r="AC225" s="273"/>
      <c r="AD225" s="273"/>
      <c r="AE225" s="273"/>
      <c r="AF225" s="273"/>
      <c r="AG225" s="273"/>
      <c r="AH225" s="273"/>
      <c r="AI225" s="273"/>
      <c r="AJ225" s="273"/>
      <c r="AK225" s="273"/>
      <c r="AL225" s="18"/>
      <c r="AM225" s="79" t="s">
        <v>131</v>
      </c>
    </row>
    <row r="226" spans="3:61 15027:15419" s="1" customFormat="1" ht="15" hidden="1" customHeight="1">
      <c r="C226" s="15"/>
      <c r="D226" s="30" t="s">
        <v>29</v>
      </c>
      <c r="E226" s="127"/>
      <c r="F226" s="20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1965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18"/>
      <c r="AM226" s="92"/>
    </row>
    <row r="227" spans="3:61 15027:15419" s="1" customFormat="1" ht="15" hidden="1" customHeight="1">
      <c r="C227" s="15"/>
      <c r="D227" s="11" t="s">
        <v>88</v>
      </c>
      <c r="E227" s="127">
        <v>0.3</v>
      </c>
      <c r="F227" s="20" t="s">
        <v>25</v>
      </c>
      <c r="G227" s="33" t="e">
        <v>#DIV/0!</v>
      </c>
      <c r="H227" s="33" t="e">
        <v>#DIV/0!</v>
      </c>
      <c r="I227" s="33" t="e">
        <v>#DIV/0!</v>
      </c>
      <c r="J227" s="33" t="e">
        <v>#DIV/0!</v>
      </c>
      <c r="K227" s="33" t="e">
        <v>#DIV/0!</v>
      </c>
      <c r="L227" s="33" t="e">
        <v>#DIV/0!</v>
      </c>
      <c r="M227" s="33" t="e">
        <v>#DIV/0!</v>
      </c>
      <c r="N227" s="33" t="e">
        <v>#DIV/0!</v>
      </c>
      <c r="O227" s="33" t="e">
        <v>#DIV/0!</v>
      </c>
      <c r="P227" s="33" t="e">
        <v>#DIV/0!</v>
      </c>
      <c r="Q227" s="33" t="e">
        <v>#DIV/0!</v>
      </c>
      <c r="R227" s="33" t="e">
        <v>#DIV/0!</v>
      </c>
      <c r="S227" s="1965" t="e">
        <v>#DIV/0!</v>
      </c>
      <c r="T227" s="33" t="e">
        <v>#DIV/0!</v>
      </c>
      <c r="U227" s="33" t="e">
        <v>#DIV/0!</v>
      </c>
      <c r="V227" s="33" t="e">
        <v>#DIV/0!</v>
      </c>
      <c r="W227" s="33" t="e">
        <v>#DIV/0!</v>
      </c>
      <c r="X227" s="33" t="e">
        <v>#DIV/0!</v>
      </c>
      <c r="Y227" s="33" t="e">
        <v>#DIV/0!</v>
      </c>
      <c r="Z227" s="33" t="e">
        <v>#DIV/0!</v>
      </c>
      <c r="AA227" s="33" t="e">
        <v>#DIV/0!</v>
      </c>
      <c r="AB227" s="33" t="e">
        <v>#DIV/0!</v>
      </c>
      <c r="AC227" s="33" t="e">
        <v>#DIV/0!</v>
      </c>
      <c r="AD227" s="33" t="e">
        <v>#DIV/0!</v>
      </c>
      <c r="AE227" s="33" t="e">
        <v>#DIV/0!</v>
      </c>
      <c r="AF227" s="33" t="e">
        <v>#DIV/0!</v>
      </c>
      <c r="AG227" s="33" t="e">
        <v>#DIV/0!</v>
      </c>
      <c r="AH227" s="33" t="e">
        <v>#DIV/0!</v>
      </c>
      <c r="AI227" s="33"/>
      <c r="AJ227" s="33"/>
      <c r="AK227" s="33" t="e">
        <v>#DIV/0!</v>
      </c>
      <c r="AL227" s="18"/>
      <c r="AM227" s="101" t="e">
        <v>#DIV/0!</v>
      </c>
    </row>
    <row r="228" spans="3:61 15027:15419" s="1" customFormat="1" ht="15" hidden="1" customHeight="1">
      <c r="C228" s="15"/>
      <c r="D228" s="11" t="s">
        <v>117</v>
      </c>
      <c r="E228" s="127">
        <v>0.3</v>
      </c>
      <c r="F228" s="20" t="s">
        <v>25</v>
      </c>
      <c r="G228" s="33" t="e">
        <v>#DIV/0!</v>
      </c>
      <c r="H228" s="33" t="e">
        <v>#DIV/0!</v>
      </c>
      <c r="I228" s="33" t="e">
        <v>#DIV/0!</v>
      </c>
      <c r="J228" s="33" t="e">
        <v>#DIV/0!</v>
      </c>
      <c r="K228" s="33" t="e">
        <v>#DIV/0!</v>
      </c>
      <c r="L228" s="33" t="e">
        <v>#DIV/0!</v>
      </c>
      <c r="M228" s="33" t="e">
        <v>#DIV/0!</v>
      </c>
      <c r="N228" s="33" t="e">
        <v>#DIV/0!</v>
      </c>
      <c r="O228" s="33" t="e">
        <v>#DIV/0!</v>
      </c>
      <c r="P228" s="33" t="e">
        <v>#DIV/0!</v>
      </c>
      <c r="Q228" s="33" t="e">
        <v>#DIV/0!</v>
      </c>
      <c r="R228" s="33" t="e">
        <v>#DIV/0!</v>
      </c>
      <c r="S228" s="1965" t="e">
        <v>#DIV/0!</v>
      </c>
      <c r="T228" s="33" t="e">
        <v>#DIV/0!</v>
      </c>
      <c r="U228" s="33" t="e">
        <v>#DIV/0!</v>
      </c>
      <c r="V228" s="33" t="e">
        <v>#DIV/0!</v>
      </c>
      <c r="W228" s="33" t="e">
        <v>#DIV/0!</v>
      </c>
      <c r="X228" s="33" t="e">
        <v>#DIV/0!</v>
      </c>
      <c r="Y228" s="33" t="e">
        <v>#DIV/0!</v>
      </c>
      <c r="Z228" s="33" t="e">
        <v>#DIV/0!</v>
      </c>
      <c r="AA228" s="33" t="e">
        <v>#DIV/0!</v>
      </c>
      <c r="AB228" s="33" t="e">
        <v>#DIV/0!</v>
      </c>
      <c r="AC228" s="33" t="e">
        <v>#DIV/0!</v>
      </c>
      <c r="AD228" s="33" t="e">
        <v>#DIV/0!</v>
      </c>
      <c r="AE228" s="33" t="e">
        <v>#DIV/0!</v>
      </c>
      <c r="AF228" s="33" t="e">
        <v>#DIV/0!</v>
      </c>
      <c r="AG228" s="33" t="e">
        <v>#DIV/0!</v>
      </c>
      <c r="AH228" s="33" t="e">
        <v>#DIV/0!</v>
      </c>
      <c r="AI228" s="33"/>
      <c r="AJ228" s="33"/>
      <c r="AK228" s="33" t="e">
        <v>#DIV/0!</v>
      </c>
      <c r="AL228" s="18"/>
      <c r="AM228" s="101" t="e">
        <v>#DIV/0!</v>
      </c>
    </row>
    <row r="229" spans="3:61 15027:15419" s="1" customFormat="1" ht="15" hidden="1" customHeight="1">
      <c r="C229" s="15"/>
      <c r="D229" s="30" t="s">
        <v>28</v>
      </c>
      <c r="E229" s="127"/>
      <c r="F229" s="20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1965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18"/>
      <c r="AM229" s="92"/>
    </row>
    <row r="230" spans="3:61 15027:15419" s="1" customFormat="1" ht="15" hidden="1" customHeight="1">
      <c r="C230" s="15"/>
      <c r="D230" s="11" t="s">
        <v>88</v>
      </c>
      <c r="E230" s="127">
        <v>0.5</v>
      </c>
      <c r="F230" s="20" t="s">
        <v>25</v>
      </c>
      <c r="G230" s="33" t="e">
        <v>#DIV/0!</v>
      </c>
      <c r="H230" s="33" t="e">
        <v>#DIV/0!</v>
      </c>
      <c r="I230" s="33" t="e">
        <v>#DIV/0!</v>
      </c>
      <c r="J230" s="33" t="e">
        <v>#DIV/0!</v>
      </c>
      <c r="K230" s="33" t="e">
        <v>#DIV/0!</v>
      </c>
      <c r="L230" s="33" t="e">
        <v>#DIV/0!</v>
      </c>
      <c r="M230" s="33" t="e">
        <v>#DIV/0!</v>
      </c>
      <c r="N230" s="33" t="e">
        <v>#DIV/0!</v>
      </c>
      <c r="O230" s="33" t="e">
        <v>#DIV/0!</v>
      </c>
      <c r="P230" s="33" t="e">
        <v>#DIV/0!</v>
      </c>
      <c r="Q230" s="33" t="e">
        <v>#DIV/0!</v>
      </c>
      <c r="R230" s="33" t="e">
        <v>#DIV/0!</v>
      </c>
      <c r="S230" s="1965" t="e">
        <v>#DIV/0!</v>
      </c>
      <c r="T230" s="33" t="e">
        <v>#DIV/0!</v>
      </c>
      <c r="U230" s="33" t="e">
        <v>#DIV/0!</v>
      </c>
      <c r="V230" s="33" t="e">
        <v>#DIV/0!</v>
      </c>
      <c r="W230" s="33" t="e">
        <v>#DIV/0!</v>
      </c>
      <c r="X230" s="33" t="e">
        <v>#DIV/0!</v>
      </c>
      <c r="Y230" s="33" t="e">
        <v>#DIV/0!</v>
      </c>
      <c r="Z230" s="33" t="e">
        <v>#DIV/0!</v>
      </c>
      <c r="AA230" s="33" t="e">
        <v>#DIV/0!</v>
      </c>
      <c r="AB230" s="33" t="e">
        <v>#DIV/0!</v>
      </c>
      <c r="AC230" s="33" t="e">
        <v>#DIV/0!</v>
      </c>
      <c r="AD230" s="33" t="e">
        <v>#DIV/0!</v>
      </c>
      <c r="AE230" s="33" t="e">
        <v>#DIV/0!</v>
      </c>
      <c r="AF230" s="33" t="e">
        <v>#DIV/0!</v>
      </c>
      <c r="AG230" s="33" t="e">
        <v>#DIV/0!</v>
      </c>
      <c r="AH230" s="33" t="e">
        <v>#DIV/0!</v>
      </c>
      <c r="AI230" s="33"/>
      <c r="AJ230" s="33"/>
      <c r="AK230" s="33" t="e">
        <v>#DIV/0!</v>
      </c>
      <c r="AL230" s="18"/>
      <c r="AM230" s="59" t="e">
        <v>#DIV/0!</v>
      </c>
    </row>
    <row r="231" spans="3:61 15027:15419" s="1" customFormat="1" ht="15" hidden="1" customHeight="1">
      <c r="C231" s="15"/>
      <c r="D231" s="11" t="s">
        <v>117</v>
      </c>
      <c r="E231" s="127">
        <v>0.5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65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/>
      <c r="AJ231" s="33"/>
      <c r="AK231" s="33" t="e">
        <v>#DIV/0!</v>
      </c>
      <c r="AL231" s="18"/>
      <c r="AM231" s="59" t="e">
        <v>#DIV/0!</v>
      </c>
    </row>
    <row r="232" spans="3:61 15027:15419" s="1" customFormat="1" ht="15" hidden="1" customHeight="1">
      <c r="C232" s="15"/>
      <c r="D232" s="102" t="s">
        <v>94</v>
      </c>
      <c r="E232" s="132"/>
      <c r="F232" s="103" t="s">
        <v>14</v>
      </c>
      <c r="G232" s="289">
        <v>0</v>
      </c>
      <c r="H232" s="289">
        <v>0</v>
      </c>
      <c r="I232" s="289">
        <v>0</v>
      </c>
      <c r="J232" s="289">
        <v>0</v>
      </c>
      <c r="K232" s="289">
        <v>0</v>
      </c>
      <c r="L232" s="289">
        <v>0</v>
      </c>
      <c r="M232" s="289">
        <v>0</v>
      </c>
      <c r="N232" s="289">
        <v>0</v>
      </c>
      <c r="O232" s="289">
        <v>0</v>
      </c>
      <c r="P232" s="289">
        <v>0</v>
      </c>
      <c r="Q232" s="289">
        <v>0</v>
      </c>
      <c r="R232" s="289">
        <v>0</v>
      </c>
      <c r="S232" s="1985">
        <v>0</v>
      </c>
      <c r="T232" s="289">
        <v>0</v>
      </c>
      <c r="U232" s="289">
        <v>0</v>
      </c>
      <c r="V232" s="289">
        <v>0</v>
      </c>
      <c r="W232" s="289">
        <v>0</v>
      </c>
      <c r="X232" s="289">
        <v>0</v>
      </c>
      <c r="Y232" s="289">
        <v>0</v>
      </c>
      <c r="Z232" s="289">
        <v>0</v>
      </c>
      <c r="AA232" s="289">
        <v>0</v>
      </c>
      <c r="AB232" s="289">
        <v>0</v>
      </c>
      <c r="AC232" s="289">
        <v>0</v>
      </c>
      <c r="AD232" s="289">
        <v>0</v>
      </c>
      <c r="AE232" s="289">
        <v>0</v>
      </c>
      <c r="AF232" s="289">
        <v>0</v>
      </c>
      <c r="AG232" s="289">
        <v>0</v>
      </c>
      <c r="AH232" s="289">
        <v>0</v>
      </c>
      <c r="AI232" s="289"/>
      <c r="AJ232" s="289"/>
      <c r="AK232" s="289">
        <v>0</v>
      </c>
      <c r="AL232" s="133"/>
      <c r="AM232" s="104">
        <v>0</v>
      </c>
    </row>
    <row r="233" spans="3:61 15027:15419" s="1" customFormat="1" ht="15" hidden="1" customHeight="1">
      <c r="C233" s="15"/>
      <c r="D233" s="72" t="s">
        <v>118</v>
      </c>
      <c r="E233" s="134"/>
      <c r="F233" s="66" t="s">
        <v>14</v>
      </c>
      <c r="G233" s="290">
        <v>0</v>
      </c>
      <c r="H233" s="290">
        <v>0</v>
      </c>
      <c r="I233" s="290">
        <v>0</v>
      </c>
      <c r="J233" s="290">
        <v>0</v>
      </c>
      <c r="K233" s="290">
        <v>0</v>
      </c>
      <c r="L233" s="290">
        <v>0</v>
      </c>
      <c r="M233" s="290">
        <v>0</v>
      </c>
      <c r="N233" s="290">
        <v>0</v>
      </c>
      <c r="O233" s="290">
        <v>0</v>
      </c>
      <c r="P233" s="290">
        <v>0</v>
      </c>
      <c r="Q233" s="290">
        <v>0</v>
      </c>
      <c r="R233" s="290">
        <v>0</v>
      </c>
      <c r="S233" s="1986">
        <v>0</v>
      </c>
      <c r="T233" s="290">
        <v>0</v>
      </c>
      <c r="U233" s="290">
        <v>0</v>
      </c>
      <c r="V233" s="290">
        <v>0</v>
      </c>
      <c r="W233" s="290">
        <v>0</v>
      </c>
      <c r="X233" s="290">
        <v>0</v>
      </c>
      <c r="Y233" s="290">
        <v>0</v>
      </c>
      <c r="Z233" s="290">
        <v>0</v>
      </c>
      <c r="AA233" s="290">
        <v>0</v>
      </c>
      <c r="AB233" s="290">
        <v>0</v>
      </c>
      <c r="AC233" s="290">
        <v>0</v>
      </c>
      <c r="AD233" s="290">
        <v>0</v>
      </c>
      <c r="AE233" s="290">
        <v>0</v>
      </c>
      <c r="AF233" s="290">
        <v>0</v>
      </c>
      <c r="AG233" s="290">
        <v>0</v>
      </c>
      <c r="AH233" s="290">
        <v>0</v>
      </c>
      <c r="AI233" s="290"/>
      <c r="AJ233" s="290"/>
      <c r="AK233" s="290">
        <v>0</v>
      </c>
      <c r="AL233" s="133"/>
      <c r="AM233" s="58">
        <v>0</v>
      </c>
    </row>
    <row r="234" spans="3:61 15027:15419" s="1" customFormat="1" ht="15" hidden="1" customHeight="1">
      <c r="C234" s="15"/>
      <c r="D234" s="105" t="s">
        <v>89</v>
      </c>
      <c r="E234" s="135"/>
      <c r="F234" s="106" t="s">
        <v>14</v>
      </c>
      <c r="G234" s="291">
        <v>0</v>
      </c>
      <c r="H234" s="291">
        <v>0</v>
      </c>
      <c r="I234" s="291">
        <v>0</v>
      </c>
      <c r="J234" s="291">
        <v>0</v>
      </c>
      <c r="K234" s="291">
        <v>0</v>
      </c>
      <c r="L234" s="291">
        <v>0</v>
      </c>
      <c r="M234" s="291">
        <v>0</v>
      </c>
      <c r="N234" s="291">
        <v>0</v>
      </c>
      <c r="O234" s="291">
        <v>0</v>
      </c>
      <c r="P234" s="291">
        <v>0</v>
      </c>
      <c r="Q234" s="291">
        <v>0</v>
      </c>
      <c r="R234" s="291">
        <v>0</v>
      </c>
      <c r="S234" s="1987">
        <v>0</v>
      </c>
      <c r="T234" s="291">
        <v>0</v>
      </c>
      <c r="U234" s="291">
        <v>0</v>
      </c>
      <c r="V234" s="291">
        <v>0</v>
      </c>
      <c r="W234" s="291">
        <v>0</v>
      </c>
      <c r="X234" s="291">
        <v>0</v>
      </c>
      <c r="Y234" s="291">
        <v>0</v>
      </c>
      <c r="Z234" s="291">
        <v>0</v>
      </c>
      <c r="AA234" s="291">
        <v>0</v>
      </c>
      <c r="AB234" s="291">
        <v>0</v>
      </c>
      <c r="AC234" s="291">
        <v>0</v>
      </c>
      <c r="AD234" s="291">
        <v>0</v>
      </c>
      <c r="AE234" s="291">
        <v>0</v>
      </c>
      <c r="AF234" s="291">
        <v>0</v>
      </c>
      <c r="AG234" s="291">
        <v>0</v>
      </c>
      <c r="AH234" s="291">
        <v>0</v>
      </c>
      <c r="AI234" s="291"/>
      <c r="AJ234" s="291"/>
      <c r="AK234" s="291">
        <v>0</v>
      </c>
      <c r="AL234" s="133"/>
      <c r="AM234" s="107">
        <v>0</v>
      </c>
    </row>
    <row r="235" spans="3:61 15027:15419" s="1" customFormat="1" ht="15" hidden="1" customHeight="1">
      <c r="C235" s="15"/>
      <c r="D235" s="108" t="s">
        <v>90</v>
      </c>
      <c r="E235" s="136"/>
      <c r="F235" s="109" t="s">
        <v>86</v>
      </c>
      <c r="G235" s="292">
        <v>0</v>
      </c>
      <c r="H235" s="292">
        <v>0</v>
      </c>
      <c r="I235" s="292">
        <v>0</v>
      </c>
      <c r="J235" s="292">
        <v>0</v>
      </c>
      <c r="K235" s="292">
        <v>0</v>
      </c>
      <c r="L235" s="292">
        <v>0</v>
      </c>
      <c r="M235" s="292">
        <v>0</v>
      </c>
      <c r="N235" s="292">
        <v>0</v>
      </c>
      <c r="O235" s="292">
        <v>0</v>
      </c>
      <c r="P235" s="292">
        <v>0</v>
      </c>
      <c r="Q235" s="292">
        <v>0</v>
      </c>
      <c r="R235" s="292">
        <v>0</v>
      </c>
      <c r="S235" s="1988">
        <v>0</v>
      </c>
      <c r="T235" s="292">
        <v>0</v>
      </c>
      <c r="U235" s="292">
        <v>0</v>
      </c>
      <c r="V235" s="292">
        <v>0</v>
      </c>
      <c r="W235" s="292">
        <v>0</v>
      </c>
      <c r="X235" s="292">
        <v>0</v>
      </c>
      <c r="Y235" s="292">
        <v>0</v>
      </c>
      <c r="Z235" s="292">
        <v>0</v>
      </c>
      <c r="AA235" s="292">
        <v>0</v>
      </c>
      <c r="AB235" s="292">
        <v>0</v>
      </c>
      <c r="AC235" s="292">
        <v>0</v>
      </c>
      <c r="AD235" s="292">
        <v>0</v>
      </c>
      <c r="AE235" s="292">
        <v>0</v>
      </c>
      <c r="AF235" s="292">
        <v>0</v>
      </c>
      <c r="AG235" s="292">
        <v>0</v>
      </c>
      <c r="AH235" s="292">
        <v>0</v>
      </c>
      <c r="AI235" s="292"/>
      <c r="AJ235" s="292"/>
      <c r="AK235" s="292">
        <v>0</v>
      </c>
      <c r="AL235" s="133"/>
      <c r="AM235" s="110">
        <v>0</v>
      </c>
    </row>
    <row r="236" spans="3:61 15027:15419" s="1" customFormat="1" ht="15" hidden="1" customHeight="1">
      <c r="C236" s="15"/>
      <c r="D236" s="111" t="s">
        <v>95</v>
      </c>
      <c r="E236" s="136"/>
      <c r="F236" s="112" t="s">
        <v>14</v>
      </c>
      <c r="G236" s="293">
        <v>0</v>
      </c>
      <c r="H236" s="293">
        <v>0</v>
      </c>
      <c r="I236" s="293">
        <v>0</v>
      </c>
      <c r="J236" s="293">
        <v>0</v>
      </c>
      <c r="K236" s="293">
        <v>0</v>
      </c>
      <c r="L236" s="293">
        <v>0</v>
      </c>
      <c r="M236" s="293">
        <v>0</v>
      </c>
      <c r="N236" s="293">
        <v>0</v>
      </c>
      <c r="O236" s="293">
        <v>0</v>
      </c>
      <c r="P236" s="293">
        <v>0</v>
      </c>
      <c r="Q236" s="293">
        <v>0</v>
      </c>
      <c r="R236" s="293">
        <v>0</v>
      </c>
      <c r="S236" s="1989">
        <v>0</v>
      </c>
      <c r="T236" s="293">
        <v>0</v>
      </c>
      <c r="U236" s="293">
        <v>0</v>
      </c>
      <c r="V236" s="293">
        <v>0</v>
      </c>
      <c r="W236" s="293">
        <v>0</v>
      </c>
      <c r="X236" s="293">
        <v>0</v>
      </c>
      <c r="Y236" s="293">
        <v>0</v>
      </c>
      <c r="Z236" s="293">
        <v>0</v>
      </c>
      <c r="AA236" s="293">
        <v>0</v>
      </c>
      <c r="AB236" s="293">
        <v>0</v>
      </c>
      <c r="AC236" s="293">
        <v>0</v>
      </c>
      <c r="AD236" s="293">
        <v>0</v>
      </c>
      <c r="AE236" s="293">
        <v>0</v>
      </c>
      <c r="AF236" s="293">
        <v>0</v>
      </c>
      <c r="AG236" s="293">
        <v>0</v>
      </c>
      <c r="AH236" s="293">
        <v>0</v>
      </c>
      <c r="AI236" s="293"/>
      <c r="AJ236" s="293"/>
      <c r="AK236" s="293">
        <v>0</v>
      </c>
      <c r="AL236" s="114"/>
      <c r="AM236" s="115">
        <v>0</v>
      </c>
    </row>
    <row r="237" spans="3:61 15027:15419" s="1" customFormat="1">
      <c r="C237" s="8">
        <v>4</v>
      </c>
      <c r="D237" s="76" t="s">
        <v>24</v>
      </c>
      <c r="E237" s="48"/>
      <c r="F237" s="78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1968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M237" s="82" t="s">
        <v>132</v>
      </c>
      <c r="BI237" s="142"/>
      <c r="VEY237" s="46"/>
      <c r="VEZ237" s="46"/>
      <c r="VFA237" s="46"/>
      <c r="VFB237" s="46"/>
      <c r="VFC237" s="46"/>
      <c r="VFD237" s="46"/>
      <c r="VFE237" s="46"/>
      <c r="VFF237" s="46"/>
      <c r="VFG237" s="46"/>
      <c r="VFH237" s="46"/>
      <c r="VFI237" s="46"/>
      <c r="VFJ237" s="46"/>
      <c r="VFK237" s="46"/>
      <c r="VFL237" s="46"/>
      <c r="VFM237" s="46"/>
      <c r="VFN237" s="46"/>
      <c r="VFO237" s="46"/>
      <c r="VFP237" s="46"/>
      <c r="VFQ237" s="46"/>
      <c r="VFR237" s="46"/>
      <c r="VFS237" s="46"/>
      <c r="VFT237" s="46"/>
      <c r="VFU237" s="46"/>
      <c r="VFV237" s="46"/>
      <c r="VFW237" s="46"/>
      <c r="VFX237" s="46"/>
      <c r="VFY237" s="46"/>
      <c r="VFZ237" s="46"/>
      <c r="VGA237" s="46"/>
      <c r="VGB237" s="46"/>
      <c r="VGC237" s="46"/>
      <c r="VGD237" s="46"/>
      <c r="VGE237" s="46"/>
      <c r="VGF237" s="46"/>
      <c r="VGG237" s="46"/>
      <c r="VGH237" s="46"/>
      <c r="VGI237" s="46"/>
      <c r="VGJ237" s="46"/>
      <c r="VGK237" s="46"/>
      <c r="VGL237" s="46"/>
      <c r="VGM237" s="46"/>
      <c r="VGN237" s="46"/>
      <c r="VGO237" s="46"/>
      <c r="VGP237" s="46"/>
      <c r="VGQ237" s="46"/>
      <c r="VGR237" s="46"/>
      <c r="VGS237" s="46"/>
      <c r="VGT237" s="46"/>
      <c r="VGU237" s="46"/>
      <c r="VGV237" s="46"/>
      <c r="VGW237" s="46"/>
      <c r="VGX237" s="46"/>
      <c r="VGY237" s="46"/>
      <c r="VGZ237" s="46"/>
      <c r="VHA237" s="46"/>
      <c r="VHB237" s="46"/>
      <c r="VHC237" s="46"/>
      <c r="VHD237" s="46"/>
      <c r="VHE237" s="46"/>
      <c r="VHF237" s="46"/>
      <c r="VHG237" s="46"/>
      <c r="VHH237" s="46"/>
      <c r="VHI237" s="46"/>
      <c r="VHJ237" s="46"/>
      <c r="VHK237" s="46"/>
      <c r="VHL237" s="46"/>
      <c r="VHM237" s="46"/>
      <c r="VHN237" s="46"/>
      <c r="VHO237" s="46"/>
      <c r="VHP237" s="46"/>
      <c r="VHQ237" s="46"/>
      <c r="VHR237" s="46"/>
      <c r="VHS237" s="46"/>
      <c r="VHT237" s="46"/>
      <c r="VHU237" s="46"/>
      <c r="VHV237" s="46"/>
      <c r="VHW237" s="46"/>
      <c r="VHX237" s="46"/>
      <c r="VHY237" s="46"/>
      <c r="VHZ237" s="46"/>
      <c r="VIA237" s="46"/>
      <c r="VIB237" s="46"/>
      <c r="VIC237" s="46"/>
      <c r="VID237" s="46"/>
      <c r="VIE237" s="46"/>
      <c r="VIF237" s="46"/>
      <c r="VIG237" s="46"/>
      <c r="VIH237" s="46"/>
      <c r="VII237" s="46"/>
      <c r="VIJ237" s="46"/>
      <c r="VIK237" s="46"/>
      <c r="VIL237" s="46"/>
      <c r="VIM237" s="46"/>
      <c r="VIN237" s="46"/>
      <c r="VIO237" s="46"/>
      <c r="VIP237" s="46"/>
      <c r="VIQ237" s="46"/>
      <c r="VIR237" s="46"/>
      <c r="VIS237" s="46"/>
      <c r="VIT237" s="46"/>
      <c r="VIU237" s="46"/>
      <c r="VIV237" s="46"/>
      <c r="VIW237" s="46"/>
      <c r="VIX237" s="46"/>
      <c r="VIY237" s="46"/>
      <c r="VIZ237" s="46"/>
      <c r="VJA237" s="46"/>
      <c r="VJB237" s="46"/>
      <c r="VJC237" s="46"/>
      <c r="VJD237" s="46"/>
      <c r="VJE237" s="46"/>
      <c r="VJF237" s="46"/>
      <c r="VJG237" s="46"/>
      <c r="VJH237" s="46"/>
      <c r="VJI237" s="46"/>
      <c r="VJJ237" s="46"/>
      <c r="VJK237" s="46"/>
      <c r="VJL237" s="46"/>
      <c r="VJM237" s="46"/>
      <c r="VJN237" s="46"/>
      <c r="VJO237" s="46"/>
      <c r="VJP237" s="46"/>
      <c r="VJQ237" s="46"/>
      <c r="VJR237" s="46"/>
      <c r="VJS237" s="46"/>
      <c r="VJT237" s="46"/>
      <c r="VJU237" s="46"/>
      <c r="VJV237" s="46"/>
      <c r="VJW237" s="46"/>
      <c r="VJX237" s="46"/>
      <c r="VJY237" s="46"/>
      <c r="VJZ237" s="46"/>
      <c r="VKA237" s="46"/>
      <c r="VKB237" s="46"/>
      <c r="VKC237" s="46"/>
      <c r="VKD237" s="46"/>
      <c r="VKE237" s="46"/>
      <c r="VKF237" s="46"/>
      <c r="VKG237" s="46"/>
      <c r="VKH237" s="46"/>
      <c r="VKI237" s="46"/>
      <c r="VKJ237" s="46"/>
      <c r="VKK237" s="46"/>
      <c r="VKL237" s="46"/>
      <c r="VKM237" s="46"/>
      <c r="VKN237" s="46"/>
      <c r="VKO237" s="46"/>
      <c r="VKP237" s="46"/>
      <c r="VKQ237" s="46"/>
      <c r="VKR237" s="46"/>
      <c r="VKS237" s="46"/>
      <c r="VKT237" s="46"/>
      <c r="VKU237" s="46"/>
      <c r="VKV237" s="46"/>
      <c r="VKW237" s="46"/>
      <c r="VKX237" s="46"/>
      <c r="VKY237" s="46"/>
      <c r="VKZ237" s="46"/>
      <c r="VLA237" s="46"/>
      <c r="VLB237" s="46"/>
      <c r="VLC237" s="46"/>
      <c r="VLD237" s="46"/>
      <c r="VLE237" s="46"/>
      <c r="VLF237" s="46"/>
      <c r="VLG237" s="46"/>
      <c r="VLH237" s="46"/>
      <c r="VLI237" s="46"/>
      <c r="VLJ237" s="46"/>
      <c r="VLK237" s="46"/>
      <c r="VLL237" s="46"/>
      <c r="VLM237" s="46"/>
      <c r="VLN237" s="46"/>
      <c r="VLO237" s="46"/>
      <c r="VLP237" s="46"/>
      <c r="VLQ237" s="46"/>
      <c r="VLR237" s="46"/>
      <c r="VLS237" s="46"/>
      <c r="VLT237" s="46"/>
      <c r="VLU237" s="46"/>
      <c r="VLV237" s="46"/>
      <c r="VLW237" s="46"/>
      <c r="VLX237" s="46"/>
      <c r="VLY237" s="46"/>
      <c r="VLZ237" s="46"/>
      <c r="VMA237" s="46"/>
      <c r="VMB237" s="46"/>
      <c r="VMC237" s="46"/>
      <c r="VMD237" s="46"/>
      <c r="VME237" s="46"/>
      <c r="VMF237" s="46"/>
      <c r="VMG237" s="46"/>
      <c r="VMH237" s="46"/>
      <c r="VMI237" s="46"/>
      <c r="VMJ237" s="46"/>
      <c r="VMK237" s="46"/>
      <c r="VML237" s="46"/>
      <c r="VMM237" s="46"/>
      <c r="VMN237" s="46"/>
      <c r="VMO237" s="46"/>
      <c r="VMP237" s="46"/>
      <c r="VMQ237" s="46"/>
      <c r="VMR237" s="46"/>
      <c r="VMS237" s="46"/>
      <c r="VMT237" s="46"/>
      <c r="VMU237" s="46"/>
      <c r="VMV237" s="46"/>
      <c r="VMW237" s="46"/>
      <c r="VMX237" s="46"/>
      <c r="VMY237" s="46"/>
      <c r="VMZ237" s="46"/>
      <c r="VNA237" s="46"/>
      <c r="VNB237" s="46"/>
      <c r="VNC237" s="46"/>
      <c r="VND237" s="46"/>
      <c r="VNE237" s="46"/>
      <c r="VNF237" s="46"/>
      <c r="VNG237" s="46"/>
      <c r="VNH237" s="46"/>
      <c r="VNI237" s="46"/>
      <c r="VNJ237" s="46"/>
      <c r="VNK237" s="46"/>
      <c r="VNL237" s="46"/>
      <c r="VNM237" s="46"/>
      <c r="VNN237" s="46"/>
      <c r="VNO237" s="46"/>
      <c r="VNP237" s="46"/>
      <c r="VNQ237" s="46"/>
      <c r="VNR237" s="46"/>
      <c r="VNS237" s="46"/>
      <c r="VNT237" s="46"/>
      <c r="VNU237" s="46"/>
      <c r="VNV237" s="46"/>
      <c r="VNW237" s="46"/>
      <c r="VNX237" s="46"/>
      <c r="VNY237" s="46"/>
      <c r="VNZ237" s="46"/>
      <c r="VOA237" s="46"/>
      <c r="VOB237" s="46"/>
      <c r="VOC237" s="46"/>
      <c r="VOD237" s="46"/>
      <c r="VOE237" s="46"/>
      <c r="VOF237" s="46"/>
      <c r="VOG237" s="46"/>
      <c r="VOH237" s="46"/>
      <c r="VOI237" s="46"/>
      <c r="VOJ237" s="46"/>
      <c r="VOK237" s="46"/>
      <c r="VOL237" s="46"/>
      <c r="VOM237" s="46"/>
      <c r="VON237" s="46"/>
      <c r="VOO237" s="46"/>
      <c r="VOP237" s="46"/>
      <c r="VOQ237" s="46"/>
      <c r="VOR237" s="46"/>
      <c r="VOS237" s="46"/>
      <c r="VOT237" s="46"/>
      <c r="VOU237" s="46"/>
      <c r="VOV237" s="46"/>
      <c r="VOW237" s="46"/>
      <c r="VOX237" s="46"/>
      <c r="VOY237" s="46"/>
      <c r="VOZ237" s="46"/>
      <c r="VPA237" s="46"/>
      <c r="VPB237" s="46"/>
      <c r="VPC237" s="46"/>
      <c r="VPD237" s="46"/>
      <c r="VPE237" s="46"/>
      <c r="VPF237" s="46"/>
      <c r="VPG237" s="46"/>
      <c r="VPH237" s="46"/>
      <c r="VPI237" s="46"/>
      <c r="VPJ237" s="46"/>
      <c r="VPK237" s="46"/>
      <c r="VPL237" s="46"/>
      <c r="VPM237" s="46"/>
      <c r="VPN237" s="46"/>
      <c r="VPO237" s="46"/>
      <c r="VPP237" s="46"/>
      <c r="VPQ237" s="46"/>
      <c r="VPR237" s="46"/>
      <c r="VPS237" s="46"/>
      <c r="VPT237" s="46"/>
      <c r="VPU237" s="46"/>
      <c r="VPV237" s="46"/>
      <c r="VPW237" s="46"/>
      <c r="VPX237" s="46"/>
      <c r="VPY237" s="46"/>
      <c r="VPZ237" s="46"/>
      <c r="VQA237" s="46"/>
      <c r="VQB237" s="46"/>
      <c r="VQC237" s="46"/>
      <c r="VQD237" s="46"/>
      <c r="VQE237" s="46"/>
      <c r="VQF237" s="46"/>
      <c r="VQG237" s="46"/>
      <c r="VQH237" s="46"/>
      <c r="VQI237" s="46"/>
      <c r="VQJ237" s="46"/>
      <c r="VQK237" s="46"/>
      <c r="VQL237" s="46"/>
      <c r="VQM237" s="46"/>
      <c r="VQN237" s="46"/>
      <c r="VQO237" s="46"/>
      <c r="VQP237" s="46"/>
      <c r="VQQ237" s="46"/>
      <c r="VQR237" s="46"/>
      <c r="VQS237" s="46"/>
      <c r="VQT237" s="46"/>
      <c r="VQU237" s="46"/>
      <c r="VQV237" s="46"/>
      <c r="VQW237" s="46"/>
      <c r="VQX237" s="46"/>
      <c r="VQY237" s="46"/>
      <c r="VQZ237" s="46"/>
      <c r="VRA237" s="46"/>
      <c r="VRB237" s="46"/>
      <c r="VRC237" s="46"/>
      <c r="VRD237" s="46"/>
      <c r="VRE237" s="46"/>
      <c r="VRF237" s="46"/>
      <c r="VRG237" s="46"/>
      <c r="VRH237" s="46"/>
      <c r="VRI237" s="46"/>
      <c r="VRJ237" s="46"/>
      <c r="VRK237" s="46"/>
      <c r="VRL237" s="46"/>
      <c r="VRM237" s="46"/>
      <c r="VRN237" s="46"/>
      <c r="VRO237" s="46"/>
      <c r="VRP237" s="46"/>
      <c r="VRQ237" s="46"/>
      <c r="VRR237" s="46"/>
      <c r="VRS237" s="46"/>
      <c r="VRT237" s="46"/>
      <c r="VRU237" s="46"/>
      <c r="VRV237" s="46"/>
      <c r="VRW237" s="46"/>
      <c r="VRX237" s="46"/>
      <c r="VRY237" s="46"/>
      <c r="VRZ237" s="46"/>
      <c r="VSA237" s="46"/>
      <c r="VSB237" s="46"/>
      <c r="VSC237" s="46"/>
      <c r="VSD237" s="46"/>
      <c r="VSE237" s="46"/>
      <c r="VSF237" s="46"/>
      <c r="VSG237" s="46"/>
      <c r="VSH237" s="46"/>
      <c r="VSI237" s="46"/>
      <c r="VSJ237" s="46"/>
      <c r="VSK237" s="46"/>
      <c r="VSL237" s="46"/>
      <c r="VSM237" s="46"/>
      <c r="VSN237" s="46"/>
      <c r="VSO237" s="46"/>
      <c r="VSP237" s="46"/>
      <c r="VSQ237" s="46"/>
      <c r="VSR237" s="46"/>
      <c r="VSS237" s="46"/>
      <c r="VST237" s="46"/>
      <c r="VSU237" s="46"/>
      <c r="VSV237" s="46"/>
      <c r="VSW237" s="46"/>
      <c r="VSX237" s="46"/>
      <c r="VSY237" s="46"/>
      <c r="VSZ237" s="46"/>
      <c r="VTA237" s="46"/>
      <c r="VTB237" s="46"/>
      <c r="VTC237" s="46"/>
      <c r="VTD237" s="46"/>
      <c r="VTE237" s="46"/>
      <c r="VTF237" s="46"/>
      <c r="VTG237" s="46"/>
      <c r="VTH237" s="46"/>
      <c r="VTI237" s="46"/>
      <c r="VTJ237" s="46"/>
      <c r="VTK237" s="46"/>
      <c r="VTL237" s="46"/>
      <c r="VTM237" s="46"/>
      <c r="VTN237" s="46"/>
      <c r="VTO237" s="46"/>
      <c r="VTP237" s="46"/>
      <c r="VTQ237" s="46"/>
      <c r="VTR237" s="46"/>
      <c r="VTS237" s="46"/>
      <c r="VTT237" s="46"/>
      <c r="VTU237" s="46"/>
      <c r="VTV237" s="46"/>
      <c r="VTW237" s="46"/>
      <c r="VTX237" s="46"/>
      <c r="VTY237" s="46"/>
      <c r="VTZ237" s="46"/>
      <c r="VUA237" s="46"/>
    </row>
    <row r="238" spans="3:61 15027:15419" s="63" customFormat="1" ht="13.8">
      <c r="C238" s="69"/>
      <c r="D238" s="236" t="s">
        <v>22</v>
      </c>
      <c r="E238" s="261">
        <v>1460.001</v>
      </c>
      <c r="F238" s="237" t="s">
        <v>19</v>
      </c>
      <c r="G238" s="294">
        <v>0</v>
      </c>
      <c r="H238" s="294">
        <v>0</v>
      </c>
      <c r="I238" s="294">
        <v>0</v>
      </c>
      <c r="J238" s="294">
        <v>0</v>
      </c>
      <c r="K238" s="294">
        <v>0</v>
      </c>
      <c r="L238" s="294">
        <v>0</v>
      </c>
      <c r="M238" s="294">
        <v>0</v>
      </c>
      <c r="N238" s="294">
        <v>0</v>
      </c>
      <c r="O238" s="294">
        <v>0</v>
      </c>
      <c r="P238" s="294">
        <v>0</v>
      </c>
      <c r="Q238" s="1875"/>
      <c r="R238" s="294"/>
      <c r="S238" s="1990"/>
      <c r="T238" s="294"/>
      <c r="U238" s="294"/>
      <c r="V238" s="294"/>
      <c r="W238" s="294"/>
      <c r="X238" s="294"/>
      <c r="Y238" s="294"/>
      <c r="Z238" s="294"/>
      <c r="AA238" s="294"/>
      <c r="AB238" s="294"/>
      <c r="AC238" s="294"/>
      <c r="AD238" s="294"/>
      <c r="AE238" s="294"/>
      <c r="AF238" s="294"/>
      <c r="AG238" s="294">
        <v>0</v>
      </c>
      <c r="AH238" s="294">
        <v>0</v>
      </c>
      <c r="AI238" s="294"/>
      <c r="AJ238" s="294"/>
      <c r="AK238" s="294"/>
      <c r="AM238" s="116">
        <f>SUM(G238:AK238)</f>
        <v>0</v>
      </c>
      <c r="BI238" s="144"/>
    </row>
    <row r="239" spans="3:61 15027:15419" s="63" customFormat="1" ht="13.8">
      <c r="C239" s="69"/>
      <c r="D239" s="236"/>
      <c r="E239" s="261"/>
      <c r="F239" s="237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1990"/>
      <c r="T239" s="294"/>
      <c r="U239" s="294"/>
      <c r="V239" s="294"/>
      <c r="W239" s="294"/>
      <c r="X239" s="294"/>
      <c r="Y239" s="294"/>
      <c r="Z239" s="294"/>
      <c r="AA239" s="294"/>
      <c r="AB239" s="294"/>
      <c r="AC239" s="294"/>
      <c r="AD239" s="294"/>
      <c r="AE239" s="294"/>
      <c r="AF239" s="294"/>
      <c r="AG239" s="294"/>
      <c r="AH239" s="294"/>
      <c r="AI239" s="294"/>
      <c r="AJ239" s="294"/>
      <c r="AK239" s="294"/>
      <c r="AM239" s="55" t="e">
        <f>AM238/AM6</f>
        <v>#DIV/0!</v>
      </c>
      <c r="BI239" s="144"/>
    </row>
    <row r="240" spans="3:61 15027:15419" s="1" customFormat="1" ht="13.8">
      <c r="C240" s="8"/>
      <c r="D240" s="236" t="s">
        <v>23</v>
      </c>
      <c r="E240" s="255"/>
      <c r="F240" s="237" t="s">
        <v>19</v>
      </c>
      <c r="G240" s="294">
        <v>0</v>
      </c>
      <c r="H240" s="294">
        <v>0</v>
      </c>
      <c r="I240" s="294">
        <v>0</v>
      </c>
      <c r="J240" s="294">
        <v>0</v>
      </c>
      <c r="K240" s="294">
        <v>0</v>
      </c>
      <c r="L240" s="294">
        <v>0</v>
      </c>
      <c r="M240" s="294">
        <v>0</v>
      </c>
      <c r="N240" s="294">
        <v>0</v>
      </c>
      <c r="O240" s="294">
        <v>0</v>
      </c>
      <c r="P240" s="294">
        <v>0</v>
      </c>
      <c r="Q240" s="294"/>
      <c r="R240" s="294"/>
      <c r="S240" s="1990"/>
      <c r="T240" s="294"/>
      <c r="U240" s="294"/>
      <c r="V240" s="294"/>
      <c r="W240" s="294"/>
      <c r="X240" s="294"/>
      <c r="Y240" s="294"/>
      <c r="Z240" s="294"/>
      <c r="AA240" s="294"/>
      <c r="AB240" s="294"/>
      <c r="AC240" s="294"/>
      <c r="AD240" s="294"/>
      <c r="AE240" s="294"/>
      <c r="AF240" s="294"/>
      <c r="AG240" s="294">
        <v>0</v>
      </c>
      <c r="AH240" s="294">
        <v>0</v>
      </c>
      <c r="AI240" s="294"/>
      <c r="AJ240" s="294"/>
      <c r="AK240" s="294"/>
      <c r="AM240" s="116">
        <f>SUM(G240:AK240)</f>
        <v>0</v>
      </c>
      <c r="BI240" s="143"/>
    </row>
    <row r="241" spans="3:61 15027:15419" s="1" customFormat="1">
      <c r="C241" s="15"/>
      <c r="D241" s="28" t="s">
        <v>11</v>
      </c>
      <c r="E241" s="2010"/>
      <c r="F241" s="13"/>
      <c r="G241" s="296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1991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M241" s="117" t="s">
        <v>11</v>
      </c>
      <c r="BI241" s="142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  <c r="VUA241" s="46"/>
    </row>
    <row r="242" spans="3:61 15027:15419" s="1" customFormat="1">
      <c r="C242" s="15"/>
      <c r="D242" s="236" t="s">
        <v>21</v>
      </c>
      <c r="E242" s="253">
        <f>298</f>
        <v>298</v>
      </c>
      <c r="F242" s="237" t="s">
        <v>19</v>
      </c>
      <c r="G242" s="295">
        <v>0</v>
      </c>
      <c r="H242" s="295">
        <v>0</v>
      </c>
      <c r="I242" s="295">
        <v>0</v>
      </c>
      <c r="J242" s="295">
        <v>0</v>
      </c>
      <c r="K242" s="295">
        <v>0</v>
      </c>
      <c r="L242" s="295">
        <v>0</v>
      </c>
      <c r="M242" s="295">
        <v>0</v>
      </c>
      <c r="N242" s="295">
        <v>0</v>
      </c>
      <c r="O242" s="295">
        <v>0</v>
      </c>
      <c r="P242" s="295">
        <v>0</v>
      </c>
      <c r="Q242" s="276"/>
      <c r="R242" s="246"/>
      <c r="S242" s="246"/>
      <c r="T242" s="295"/>
      <c r="U242" s="1632"/>
      <c r="V242" s="276"/>
      <c r="W242" s="276"/>
      <c r="X242" s="276"/>
      <c r="Y242" s="276"/>
      <c r="Z242" s="276"/>
      <c r="AA242" s="276"/>
      <c r="AB242" s="276"/>
      <c r="AC242" s="276"/>
      <c r="AD242" s="276"/>
      <c r="AE242" s="276"/>
      <c r="AF242" s="1632"/>
      <c r="AG242" s="295"/>
      <c r="AH242" s="295"/>
      <c r="AI242" s="295"/>
      <c r="AJ242" s="295"/>
      <c r="AK242" s="295"/>
      <c r="AM242" s="1188">
        <f>SUM(G242:AK242)</f>
        <v>0</v>
      </c>
      <c r="BH242" s="39"/>
      <c r="BI242" s="142"/>
      <c r="VEY242" s="46"/>
      <c r="VEZ242" s="46"/>
      <c r="VFA242" s="46"/>
      <c r="VFB242" s="46"/>
      <c r="VFC242" s="46"/>
      <c r="VFD242" s="46"/>
      <c r="VFE242" s="46"/>
      <c r="VFF242" s="46"/>
      <c r="VFG242" s="46"/>
      <c r="VFH242" s="46"/>
      <c r="VFI242" s="46"/>
      <c r="VFJ242" s="46"/>
      <c r="VFK242" s="46"/>
      <c r="VFL242" s="46"/>
      <c r="VFM242" s="46"/>
      <c r="VFN242" s="46"/>
      <c r="VFO242" s="46"/>
      <c r="VFP242" s="46"/>
      <c r="VFQ242" s="46"/>
      <c r="VFR242" s="46"/>
      <c r="VFS242" s="46"/>
      <c r="VFT242" s="46"/>
      <c r="VFU242" s="46"/>
      <c r="VFV242" s="46"/>
      <c r="VFW242" s="46"/>
      <c r="VFX242" s="46"/>
      <c r="VFY242" s="46"/>
      <c r="VFZ242" s="46"/>
      <c r="VGA242" s="46"/>
      <c r="VGB242" s="46"/>
      <c r="VGC242" s="46"/>
      <c r="VGD242" s="46"/>
      <c r="VGE242" s="46"/>
      <c r="VGF242" s="46"/>
      <c r="VGG242" s="46"/>
      <c r="VGH242" s="46"/>
      <c r="VGI242" s="46"/>
      <c r="VGJ242" s="46"/>
      <c r="VGK242" s="46"/>
      <c r="VGL242" s="46"/>
      <c r="VGM242" s="46"/>
      <c r="VGN242" s="46"/>
      <c r="VGO242" s="46"/>
      <c r="VGP242" s="46"/>
      <c r="VGQ242" s="46"/>
      <c r="VGR242" s="46"/>
      <c r="VGS242" s="46"/>
      <c r="VGT242" s="46"/>
      <c r="VGU242" s="46"/>
      <c r="VGV242" s="46"/>
      <c r="VGW242" s="46"/>
      <c r="VGX242" s="46"/>
      <c r="VGY242" s="46"/>
      <c r="VGZ242" s="46"/>
      <c r="VHA242" s="46"/>
      <c r="VHB242" s="46"/>
      <c r="VHC242" s="46"/>
      <c r="VHD242" s="46"/>
      <c r="VHE242" s="46"/>
      <c r="VHF242" s="46"/>
      <c r="VHG242" s="46"/>
      <c r="VHH242" s="46"/>
      <c r="VHI242" s="46"/>
      <c r="VHJ242" s="46"/>
      <c r="VHK242" s="46"/>
      <c r="VHL242" s="46"/>
      <c r="VHM242" s="46"/>
      <c r="VHN242" s="46"/>
      <c r="VHO242" s="46"/>
      <c r="VHP242" s="46"/>
      <c r="VHQ242" s="46"/>
      <c r="VHR242" s="46"/>
      <c r="VHS242" s="46"/>
      <c r="VHT242" s="46"/>
      <c r="VHU242" s="46"/>
      <c r="VHV242" s="46"/>
      <c r="VHW242" s="46"/>
      <c r="VHX242" s="46"/>
      <c r="VHY242" s="46"/>
      <c r="VHZ242" s="46"/>
      <c r="VIA242" s="46"/>
      <c r="VIB242" s="46"/>
      <c r="VIC242" s="46"/>
      <c r="VID242" s="46"/>
      <c r="VIE242" s="46"/>
      <c r="VIF242" s="46"/>
      <c r="VIG242" s="46"/>
      <c r="VIH242" s="46"/>
      <c r="VII242" s="46"/>
      <c r="VIJ242" s="46"/>
      <c r="VIK242" s="46"/>
      <c r="VIL242" s="46"/>
      <c r="VIM242" s="46"/>
      <c r="VIN242" s="46"/>
      <c r="VIO242" s="46"/>
      <c r="VIP242" s="46"/>
      <c r="VIQ242" s="46"/>
      <c r="VIR242" s="46"/>
      <c r="VIS242" s="46"/>
      <c r="VIT242" s="46"/>
      <c r="VIU242" s="46"/>
      <c r="VIV242" s="46"/>
      <c r="VIW242" s="46"/>
      <c r="VIX242" s="46"/>
      <c r="VIY242" s="46"/>
      <c r="VIZ242" s="46"/>
      <c r="VJA242" s="46"/>
      <c r="VJB242" s="46"/>
      <c r="VJC242" s="46"/>
      <c r="VJD242" s="46"/>
      <c r="VJE242" s="46"/>
      <c r="VJF242" s="46"/>
      <c r="VJG242" s="46"/>
      <c r="VJH242" s="46"/>
      <c r="VJI242" s="46"/>
      <c r="VJJ242" s="46"/>
      <c r="VJK242" s="46"/>
      <c r="VJL242" s="46"/>
      <c r="VJM242" s="46"/>
      <c r="VJN242" s="46"/>
      <c r="VJO242" s="46"/>
      <c r="VJP242" s="46"/>
      <c r="VJQ242" s="46"/>
      <c r="VJR242" s="46"/>
      <c r="VJS242" s="46"/>
      <c r="VJT242" s="46"/>
      <c r="VJU242" s="46"/>
      <c r="VJV242" s="46"/>
      <c r="VJW242" s="46"/>
      <c r="VJX242" s="46"/>
      <c r="VJY242" s="46"/>
      <c r="VJZ242" s="46"/>
      <c r="VKA242" s="46"/>
      <c r="VKB242" s="46"/>
      <c r="VKC242" s="46"/>
      <c r="VKD242" s="46"/>
      <c r="VKE242" s="46"/>
      <c r="VKF242" s="46"/>
      <c r="VKG242" s="46"/>
      <c r="VKH242" s="46"/>
      <c r="VKI242" s="46"/>
      <c r="VKJ242" s="46"/>
      <c r="VKK242" s="46"/>
      <c r="VKL242" s="46"/>
      <c r="VKM242" s="46"/>
      <c r="VKN242" s="46"/>
      <c r="VKO242" s="46"/>
      <c r="VKP242" s="46"/>
      <c r="VKQ242" s="46"/>
      <c r="VKR242" s="46"/>
      <c r="VKS242" s="46"/>
      <c r="VKT242" s="46"/>
      <c r="VKU242" s="46"/>
      <c r="VKV242" s="46"/>
      <c r="VKW242" s="46"/>
      <c r="VKX242" s="46"/>
      <c r="VKY242" s="46"/>
      <c r="VKZ242" s="46"/>
      <c r="VLA242" s="46"/>
      <c r="VLB242" s="46"/>
      <c r="VLC242" s="46"/>
      <c r="VLD242" s="46"/>
      <c r="VLE242" s="46"/>
      <c r="VLF242" s="46"/>
      <c r="VLG242" s="46"/>
      <c r="VLH242" s="46"/>
      <c r="VLI242" s="46"/>
      <c r="VLJ242" s="46"/>
      <c r="VLK242" s="46"/>
      <c r="VLL242" s="46"/>
      <c r="VLM242" s="46"/>
      <c r="VLN242" s="46"/>
      <c r="VLO242" s="46"/>
      <c r="VLP242" s="46"/>
      <c r="VLQ242" s="46"/>
      <c r="VLR242" s="46"/>
      <c r="VLS242" s="46"/>
      <c r="VLT242" s="46"/>
      <c r="VLU242" s="46"/>
      <c r="VLV242" s="46"/>
      <c r="VLW242" s="46"/>
      <c r="VLX242" s="46"/>
      <c r="VLY242" s="46"/>
      <c r="VLZ242" s="46"/>
      <c r="VMA242" s="46"/>
      <c r="VMB242" s="46"/>
      <c r="VMC242" s="46"/>
      <c r="VMD242" s="46"/>
      <c r="VME242" s="46"/>
      <c r="VMF242" s="46"/>
      <c r="VMG242" s="46"/>
      <c r="VMH242" s="46"/>
      <c r="VMI242" s="46"/>
      <c r="VMJ242" s="46"/>
      <c r="VMK242" s="46"/>
      <c r="VML242" s="46"/>
      <c r="VMM242" s="46"/>
      <c r="VMN242" s="46"/>
      <c r="VMO242" s="46"/>
      <c r="VMP242" s="46"/>
      <c r="VMQ242" s="46"/>
      <c r="VMR242" s="46"/>
      <c r="VMS242" s="46"/>
      <c r="VMT242" s="46"/>
      <c r="VMU242" s="46"/>
      <c r="VMV242" s="46"/>
      <c r="VMW242" s="46"/>
      <c r="VMX242" s="46"/>
      <c r="VMY242" s="46"/>
      <c r="VMZ242" s="46"/>
      <c r="VNA242" s="46"/>
      <c r="VNB242" s="46"/>
      <c r="VNC242" s="46"/>
      <c r="VND242" s="46"/>
      <c r="VNE242" s="46"/>
      <c r="VNF242" s="46"/>
      <c r="VNG242" s="46"/>
      <c r="VNH242" s="46"/>
      <c r="VNI242" s="46"/>
      <c r="VNJ242" s="46"/>
      <c r="VNK242" s="46"/>
      <c r="VNL242" s="46"/>
      <c r="VNM242" s="46"/>
      <c r="VNN242" s="46"/>
      <c r="VNO242" s="46"/>
      <c r="VNP242" s="46"/>
      <c r="VNQ242" s="46"/>
      <c r="VNR242" s="46"/>
      <c r="VNS242" s="46"/>
      <c r="VNT242" s="46"/>
      <c r="VNU242" s="46"/>
      <c r="VNV242" s="46"/>
      <c r="VNW242" s="46"/>
      <c r="VNX242" s="46"/>
      <c r="VNY242" s="46"/>
      <c r="VNZ242" s="46"/>
      <c r="VOA242" s="46"/>
      <c r="VOB242" s="46"/>
      <c r="VOC242" s="46"/>
      <c r="VOD242" s="46"/>
      <c r="VOE242" s="46"/>
      <c r="VOF242" s="46"/>
      <c r="VOG242" s="46"/>
      <c r="VOH242" s="46"/>
      <c r="VOI242" s="46"/>
      <c r="VOJ242" s="46"/>
      <c r="VOK242" s="46"/>
      <c r="VOL242" s="46"/>
      <c r="VOM242" s="46"/>
      <c r="VON242" s="46"/>
      <c r="VOO242" s="46"/>
      <c r="VOP242" s="46"/>
      <c r="VOQ242" s="46"/>
      <c r="VOR242" s="46"/>
      <c r="VOS242" s="46"/>
      <c r="VOT242" s="46"/>
      <c r="VOU242" s="46"/>
      <c r="VOV242" s="46"/>
      <c r="VOW242" s="46"/>
      <c r="VOX242" s="46"/>
      <c r="VOY242" s="46"/>
      <c r="VOZ242" s="46"/>
      <c r="VPA242" s="46"/>
      <c r="VPB242" s="46"/>
      <c r="VPC242" s="46"/>
      <c r="VPD242" s="46"/>
      <c r="VPE242" s="46"/>
      <c r="VPF242" s="46"/>
      <c r="VPG242" s="46"/>
      <c r="VPH242" s="46"/>
      <c r="VPI242" s="46"/>
      <c r="VPJ242" s="46"/>
      <c r="VPK242" s="46"/>
      <c r="VPL242" s="46"/>
      <c r="VPM242" s="46"/>
      <c r="VPN242" s="46"/>
      <c r="VPO242" s="46"/>
      <c r="VPP242" s="46"/>
      <c r="VPQ242" s="46"/>
      <c r="VPR242" s="46"/>
      <c r="VPS242" s="46"/>
      <c r="VPT242" s="46"/>
      <c r="VPU242" s="46"/>
      <c r="VPV242" s="46"/>
      <c r="VPW242" s="46"/>
      <c r="VPX242" s="46"/>
      <c r="VPY242" s="46"/>
      <c r="VPZ242" s="46"/>
      <c r="VQA242" s="46"/>
      <c r="VQB242" s="46"/>
      <c r="VQC242" s="46"/>
      <c r="VQD242" s="46"/>
      <c r="VQE242" s="46"/>
      <c r="VQF242" s="46"/>
      <c r="VQG242" s="46"/>
      <c r="VQH242" s="46"/>
      <c r="VQI242" s="46"/>
      <c r="VQJ242" s="46"/>
      <c r="VQK242" s="46"/>
      <c r="VQL242" s="46"/>
      <c r="VQM242" s="46"/>
      <c r="VQN242" s="46"/>
      <c r="VQO242" s="46"/>
      <c r="VQP242" s="46"/>
      <c r="VQQ242" s="46"/>
      <c r="VQR242" s="46"/>
      <c r="VQS242" s="46"/>
      <c r="VQT242" s="46"/>
      <c r="VQU242" s="46"/>
      <c r="VQV242" s="46"/>
      <c r="VQW242" s="46"/>
      <c r="VQX242" s="46"/>
      <c r="VQY242" s="46"/>
      <c r="VQZ242" s="46"/>
      <c r="VRA242" s="46"/>
      <c r="VRB242" s="46"/>
      <c r="VRC242" s="46"/>
      <c r="VRD242" s="46"/>
      <c r="VRE242" s="46"/>
      <c r="VRF242" s="46"/>
      <c r="VRG242" s="46"/>
      <c r="VRH242" s="46"/>
      <c r="VRI242" s="46"/>
      <c r="VRJ242" s="46"/>
      <c r="VRK242" s="46"/>
      <c r="VRL242" s="46"/>
      <c r="VRM242" s="46"/>
      <c r="VRN242" s="46"/>
      <c r="VRO242" s="46"/>
      <c r="VRP242" s="46"/>
      <c r="VRQ242" s="46"/>
      <c r="VRR242" s="46"/>
      <c r="VRS242" s="46"/>
      <c r="VRT242" s="46"/>
      <c r="VRU242" s="46"/>
      <c r="VRV242" s="46"/>
      <c r="VRW242" s="46"/>
      <c r="VRX242" s="46"/>
      <c r="VRY242" s="46"/>
      <c r="VRZ242" s="46"/>
      <c r="VSA242" s="46"/>
      <c r="VSB242" s="46"/>
      <c r="VSC242" s="46"/>
      <c r="VSD242" s="46"/>
      <c r="VSE242" s="46"/>
      <c r="VSF242" s="46"/>
      <c r="VSG242" s="46"/>
      <c r="VSH242" s="46"/>
      <c r="VSI242" s="46"/>
      <c r="VSJ242" s="46"/>
      <c r="VSK242" s="46"/>
      <c r="VSL242" s="46"/>
      <c r="VSM242" s="46"/>
      <c r="VSN242" s="46"/>
      <c r="VSO242" s="46"/>
      <c r="VSP242" s="46"/>
      <c r="VSQ242" s="46"/>
      <c r="VSR242" s="46"/>
      <c r="VSS242" s="46"/>
      <c r="VST242" s="46"/>
      <c r="VSU242" s="46"/>
      <c r="VSV242" s="46"/>
      <c r="VSW242" s="46"/>
      <c r="VSX242" s="46"/>
      <c r="VSY242" s="46"/>
      <c r="VSZ242" s="46"/>
      <c r="VTA242" s="46"/>
      <c r="VTB242" s="46"/>
      <c r="VTC242" s="46"/>
      <c r="VTD242" s="46"/>
      <c r="VTE242" s="46"/>
      <c r="VTF242" s="46"/>
      <c r="VTG242" s="46"/>
      <c r="VTH242" s="46"/>
      <c r="VTI242" s="46"/>
      <c r="VTJ242" s="46"/>
      <c r="VTK242" s="46"/>
      <c r="VTL242" s="46"/>
      <c r="VTM242" s="46"/>
      <c r="VTN242" s="46"/>
      <c r="VTO242" s="46"/>
      <c r="VTP242" s="46"/>
      <c r="VTQ242" s="46"/>
      <c r="VTR242" s="46"/>
      <c r="VTS242" s="46"/>
      <c r="VTT242" s="46"/>
      <c r="VTU242" s="46"/>
      <c r="VTV242" s="46"/>
      <c r="VTW242" s="46"/>
      <c r="VTX242" s="46"/>
      <c r="VTY242" s="46"/>
      <c r="VTZ242" s="46"/>
      <c r="VUA242" s="46"/>
    </row>
    <row r="243" spans="3:61 15027:15419" s="1" customFormat="1">
      <c r="C243" s="15"/>
      <c r="D243" s="75" t="s">
        <v>378</v>
      </c>
      <c r="E243" s="951"/>
      <c r="F243" s="70"/>
      <c r="G243" s="274" t="e">
        <f>G242/G9*1000</f>
        <v>#DIV/0!</v>
      </c>
      <c r="H243" s="274" t="e">
        <f>H242/H9*1000</f>
        <v>#DIV/0!</v>
      </c>
      <c r="I243" s="274" t="e">
        <f>I242/I9*1000</f>
        <v>#DIV/0!</v>
      </c>
      <c r="J243" s="274" t="e">
        <f>J242/J9*1000</f>
        <v>#DIV/0!</v>
      </c>
      <c r="K243" s="952" t="e">
        <f>K242/K9*10000</f>
        <v>#DIV/0!</v>
      </c>
      <c r="L243" s="952" t="e">
        <f>L242/L9*10000</f>
        <v>#DIV/0!</v>
      </c>
      <c r="M243" s="274" t="e">
        <f>M242/M9*1000</f>
        <v>#DIV/0!</v>
      </c>
      <c r="N243" s="274" t="e">
        <f>N242/N9*10000</f>
        <v>#DIV/0!</v>
      </c>
      <c r="O243" s="274" t="e">
        <f>O242/O9*1000</f>
        <v>#DIV/0!</v>
      </c>
      <c r="P243" s="274" t="e">
        <f>P242/P9*1000</f>
        <v>#DIV/0!</v>
      </c>
      <c r="Q243" s="1791" t="e">
        <f>Q242/Q9*10000</f>
        <v>#DIV/0!</v>
      </c>
      <c r="R243" s="1791" t="e">
        <f>R242/R9*10000</f>
        <v>#DIV/0!</v>
      </c>
      <c r="S243" s="1791" t="e">
        <f>S242/S9*10000</f>
        <v>#DIV/0!</v>
      </c>
      <c r="T243" s="1791" t="e">
        <f t="shared" ref="T243:AE243" si="79">T242/T9*10000</f>
        <v>#DIV/0!</v>
      </c>
      <c r="U243" s="1791" t="e">
        <f t="shared" si="79"/>
        <v>#DIV/0!</v>
      </c>
      <c r="V243" s="1791" t="e">
        <f t="shared" si="79"/>
        <v>#DIV/0!</v>
      </c>
      <c r="W243" s="1791" t="e">
        <f t="shared" si="79"/>
        <v>#DIV/0!</v>
      </c>
      <c r="X243" s="1791" t="e">
        <f t="shared" si="79"/>
        <v>#DIV/0!</v>
      </c>
      <c r="Y243" s="1791" t="e">
        <f t="shared" si="79"/>
        <v>#DIV/0!</v>
      </c>
      <c r="Z243" s="1791" t="e">
        <f t="shared" si="79"/>
        <v>#DIV/0!</v>
      </c>
      <c r="AA243" s="1791" t="e">
        <f t="shared" si="79"/>
        <v>#DIV/0!</v>
      </c>
      <c r="AB243" s="1791" t="e">
        <f t="shared" si="79"/>
        <v>#DIV/0!</v>
      </c>
      <c r="AC243" s="1791" t="e">
        <f t="shared" si="79"/>
        <v>#DIV/0!</v>
      </c>
      <c r="AD243" s="1791" t="e">
        <f>AD242/AD9*10000</f>
        <v>#DIV/0!</v>
      </c>
      <c r="AE243" s="949" t="e">
        <f t="shared" si="79"/>
        <v>#DIV/0!</v>
      </c>
      <c r="AF243" s="952"/>
      <c r="AG243" s="952"/>
      <c r="AH243" s="952"/>
      <c r="AI243" s="952"/>
      <c r="AJ243" s="952"/>
      <c r="AK243" s="952"/>
      <c r="AL243" s="63"/>
      <c r="AM243" s="85" t="e">
        <f>(AM242/AM9)*1000</f>
        <v>#DIV/0!</v>
      </c>
      <c r="BH243" s="39"/>
      <c r="BI243" s="142"/>
      <c r="VEY243" s="46"/>
      <c r="VEZ243" s="46"/>
      <c r="VFA243" s="46"/>
      <c r="VFB243" s="46"/>
      <c r="VFC243" s="46"/>
      <c r="VFD243" s="46"/>
      <c r="VFE243" s="46"/>
      <c r="VFF243" s="46"/>
      <c r="VFG243" s="46"/>
      <c r="VFH243" s="46"/>
      <c r="VFI243" s="46"/>
      <c r="VFJ243" s="46"/>
      <c r="VFK243" s="46"/>
      <c r="VFL243" s="46"/>
      <c r="VFM243" s="46"/>
      <c r="VFN243" s="46"/>
      <c r="VFO243" s="46"/>
      <c r="VFP243" s="46"/>
      <c r="VFQ243" s="46"/>
      <c r="VFR243" s="46"/>
      <c r="VFS243" s="46"/>
      <c r="VFT243" s="46"/>
      <c r="VFU243" s="46"/>
      <c r="VFV243" s="46"/>
      <c r="VFW243" s="46"/>
      <c r="VFX243" s="46"/>
      <c r="VFY243" s="46"/>
      <c r="VFZ243" s="46"/>
      <c r="VGA243" s="46"/>
      <c r="VGB243" s="46"/>
      <c r="VGC243" s="46"/>
      <c r="VGD243" s="46"/>
      <c r="VGE243" s="46"/>
      <c r="VGF243" s="46"/>
      <c r="VGG243" s="46"/>
      <c r="VGH243" s="46"/>
      <c r="VGI243" s="46"/>
      <c r="VGJ243" s="46"/>
      <c r="VGK243" s="46"/>
      <c r="VGL243" s="46"/>
      <c r="VGM243" s="46"/>
      <c r="VGN243" s="46"/>
      <c r="VGO243" s="46"/>
      <c r="VGP243" s="46"/>
      <c r="VGQ243" s="46"/>
      <c r="VGR243" s="46"/>
      <c r="VGS243" s="46"/>
      <c r="VGT243" s="46"/>
      <c r="VGU243" s="46"/>
      <c r="VGV243" s="46"/>
      <c r="VGW243" s="46"/>
      <c r="VGX243" s="46"/>
      <c r="VGY243" s="46"/>
      <c r="VGZ243" s="46"/>
      <c r="VHA243" s="46"/>
      <c r="VHB243" s="46"/>
      <c r="VHC243" s="46"/>
      <c r="VHD243" s="46"/>
      <c r="VHE243" s="46"/>
      <c r="VHF243" s="46"/>
      <c r="VHG243" s="46"/>
      <c r="VHH243" s="46"/>
      <c r="VHI243" s="46"/>
      <c r="VHJ243" s="46"/>
      <c r="VHK243" s="46"/>
      <c r="VHL243" s="46"/>
      <c r="VHM243" s="46"/>
      <c r="VHN243" s="46"/>
      <c r="VHO243" s="46"/>
      <c r="VHP243" s="46"/>
      <c r="VHQ243" s="46"/>
      <c r="VHR243" s="46"/>
      <c r="VHS243" s="46"/>
      <c r="VHT243" s="46"/>
      <c r="VHU243" s="46"/>
      <c r="VHV243" s="46"/>
      <c r="VHW243" s="46"/>
      <c r="VHX243" s="46"/>
      <c r="VHY243" s="46"/>
      <c r="VHZ243" s="46"/>
      <c r="VIA243" s="46"/>
      <c r="VIB243" s="46"/>
      <c r="VIC243" s="46"/>
      <c r="VID243" s="46"/>
      <c r="VIE243" s="46"/>
      <c r="VIF243" s="46"/>
      <c r="VIG243" s="46"/>
      <c r="VIH243" s="46"/>
      <c r="VII243" s="46"/>
      <c r="VIJ243" s="46"/>
      <c r="VIK243" s="46"/>
      <c r="VIL243" s="46"/>
      <c r="VIM243" s="46"/>
      <c r="VIN243" s="46"/>
      <c r="VIO243" s="46"/>
      <c r="VIP243" s="46"/>
      <c r="VIQ243" s="46"/>
      <c r="VIR243" s="46"/>
      <c r="VIS243" s="46"/>
      <c r="VIT243" s="46"/>
      <c r="VIU243" s="46"/>
      <c r="VIV243" s="46"/>
      <c r="VIW243" s="46"/>
      <c r="VIX243" s="46"/>
      <c r="VIY243" s="46"/>
      <c r="VIZ243" s="46"/>
      <c r="VJA243" s="46"/>
      <c r="VJB243" s="46"/>
      <c r="VJC243" s="46"/>
      <c r="VJD243" s="46"/>
      <c r="VJE243" s="46"/>
      <c r="VJF243" s="46"/>
      <c r="VJG243" s="46"/>
      <c r="VJH243" s="46"/>
      <c r="VJI243" s="46"/>
      <c r="VJJ243" s="46"/>
      <c r="VJK243" s="46"/>
      <c r="VJL243" s="46"/>
      <c r="VJM243" s="46"/>
      <c r="VJN243" s="46"/>
      <c r="VJO243" s="46"/>
      <c r="VJP243" s="46"/>
      <c r="VJQ243" s="46"/>
      <c r="VJR243" s="46"/>
      <c r="VJS243" s="46"/>
      <c r="VJT243" s="46"/>
      <c r="VJU243" s="46"/>
      <c r="VJV243" s="46"/>
      <c r="VJW243" s="46"/>
      <c r="VJX243" s="46"/>
      <c r="VJY243" s="46"/>
      <c r="VJZ243" s="46"/>
      <c r="VKA243" s="46"/>
      <c r="VKB243" s="46"/>
      <c r="VKC243" s="46"/>
      <c r="VKD243" s="46"/>
      <c r="VKE243" s="46"/>
      <c r="VKF243" s="46"/>
      <c r="VKG243" s="46"/>
      <c r="VKH243" s="46"/>
      <c r="VKI243" s="46"/>
      <c r="VKJ243" s="46"/>
      <c r="VKK243" s="46"/>
      <c r="VKL243" s="46"/>
      <c r="VKM243" s="46"/>
      <c r="VKN243" s="46"/>
      <c r="VKO243" s="46"/>
      <c r="VKP243" s="46"/>
      <c r="VKQ243" s="46"/>
      <c r="VKR243" s="46"/>
      <c r="VKS243" s="46"/>
      <c r="VKT243" s="46"/>
      <c r="VKU243" s="46"/>
      <c r="VKV243" s="46"/>
      <c r="VKW243" s="46"/>
      <c r="VKX243" s="46"/>
      <c r="VKY243" s="46"/>
      <c r="VKZ243" s="46"/>
      <c r="VLA243" s="46"/>
      <c r="VLB243" s="46"/>
      <c r="VLC243" s="46"/>
      <c r="VLD243" s="46"/>
      <c r="VLE243" s="46"/>
      <c r="VLF243" s="46"/>
      <c r="VLG243" s="46"/>
      <c r="VLH243" s="46"/>
      <c r="VLI243" s="46"/>
      <c r="VLJ243" s="46"/>
      <c r="VLK243" s="46"/>
      <c r="VLL243" s="46"/>
      <c r="VLM243" s="46"/>
      <c r="VLN243" s="46"/>
      <c r="VLO243" s="46"/>
      <c r="VLP243" s="46"/>
      <c r="VLQ243" s="46"/>
      <c r="VLR243" s="46"/>
      <c r="VLS243" s="46"/>
      <c r="VLT243" s="46"/>
      <c r="VLU243" s="46"/>
      <c r="VLV243" s="46"/>
      <c r="VLW243" s="46"/>
      <c r="VLX243" s="46"/>
      <c r="VLY243" s="46"/>
      <c r="VLZ243" s="46"/>
      <c r="VMA243" s="46"/>
      <c r="VMB243" s="46"/>
      <c r="VMC243" s="46"/>
      <c r="VMD243" s="46"/>
      <c r="VME243" s="46"/>
      <c r="VMF243" s="46"/>
      <c r="VMG243" s="46"/>
      <c r="VMH243" s="46"/>
      <c r="VMI243" s="46"/>
      <c r="VMJ243" s="46"/>
      <c r="VMK243" s="46"/>
      <c r="VML243" s="46"/>
      <c r="VMM243" s="46"/>
      <c r="VMN243" s="46"/>
      <c r="VMO243" s="46"/>
      <c r="VMP243" s="46"/>
      <c r="VMQ243" s="46"/>
      <c r="VMR243" s="46"/>
      <c r="VMS243" s="46"/>
      <c r="VMT243" s="46"/>
      <c r="VMU243" s="46"/>
      <c r="VMV243" s="46"/>
      <c r="VMW243" s="46"/>
      <c r="VMX243" s="46"/>
      <c r="VMY243" s="46"/>
      <c r="VMZ243" s="46"/>
      <c r="VNA243" s="46"/>
      <c r="VNB243" s="46"/>
      <c r="VNC243" s="46"/>
      <c r="VND243" s="46"/>
      <c r="VNE243" s="46"/>
      <c r="VNF243" s="46"/>
      <c r="VNG243" s="46"/>
      <c r="VNH243" s="46"/>
      <c r="VNI243" s="46"/>
      <c r="VNJ243" s="46"/>
      <c r="VNK243" s="46"/>
      <c r="VNL243" s="46"/>
      <c r="VNM243" s="46"/>
      <c r="VNN243" s="46"/>
      <c r="VNO243" s="46"/>
      <c r="VNP243" s="46"/>
      <c r="VNQ243" s="46"/>
      <c r="VNR243" s="46"/>
      <c r="VNS243" s="46"/>
      <c r="VNT243" s="46"/>
      <c r="VNU243" s="46"/>
      <c r="VNV243" s="46"/>
      <c r="VNW243" s="46"/>
      <c r="VNX243" s="46"/>
      <c r="VNY243" s="46"/>
      <c r="VNZ243" s="46"/>
      <c r="VOA243" s="46"/>
      <c r="VOB243" s="46"/>
      <c r="VOC243" s="46"/>
      <c r="VOD243" s="46"/>
      <c r="VOE243" s="46"/>
      <c r="VOF243" s="46"/>
      <c r="VOG243" s="46"/>
      <c r="VOH243" s="46"/>
      <c r="VOI243" s="46"/>
      <c r="VOJ243" s="46"/>
      <c r="VOK243" s="46"/>
      <c r="VOL243" s="46"/>
      <c r="VOM243" s="46"/>
      <c r="VON243" s="46"/>
      <c r="VOO243" s="46"/>
      <c r="VOP243" s="46"/>
      <c r="VOQ243" s="46"/>
      <c r="VOR243" s="46"/>
      <c r="VOS243" s="46"/>
      <c r="VOT243" s="46"/>
      <c r="VOU243" s="46"/>
      <c r="VOV243" s="46"/>
      <c r="VOW243" s="46"/>
      <c r="VOX243" s="46"/>
      <c r="VOY243" s="46"/>
      <c r="VOZ243" s="46"/>
      <c r="VPA243" s="46"/>
      <c r="VPB243" s="46"/>
      <c r="VPC243" s="46"/>
      <c r="VPD243" s="46"/>
      <c r="VPE243" s="46"/>
      <c r="VPF243" s="46"/>
      <c r="VPG243" s="46"/>
      <c r="VPH243" s="46"/>
      <c r="VPI243" s="46"/>
      <c r="VPJ243" s="46"/>
      <c r="VPK243" s="46"/>
      <c r="VPL243" s="46"/>
      <c r="VPM243" s="46"/>
      <c r="VPN243" s="46"/>
      <c r="VPO243" s="46"/>
      <c r="VPP243" s="46"/>
      <c r="VPQ243" s="46"/>
      <c r="VPR243" s="46"/>
      <c r="VPS243" s="46"/>
      <c r="VPT243" s="46"/>
      <c r="VPU243" s="46"/>
      <c r="VPV243" s="46"/>
      <c r="VPW243" s="46"/>
      <c r="VPX243" s="46"/>
      <c r="VPY243" s="46"/>
      <c r="VPZ243" s="46"/>
      <c r="VQA243" s="46"/>
      <c r="VQB243" s="46"/>
      <c r="VQC243" s="46"/>
      <c r="VQD243" s="46"/>
      <c r="VQE243" s="46"/>
      <c r="VQF243" s="46"/>
      <c r="VQG243" s="46"/>
      <c r="VQH243" s="46"/>
      <c r="VQI243" s="46"/>
      <c r="VQJ243" s="46"/>
      <c r="VQK243" s="46"/>
      <c r="VQL243" s="46"/>
      <c r="VQM243" s="46"/>
      <c r="VQN243" s="46"/>
      <c r="VQO243" s="46"/>
      <c r="VQP243" s="46"/>
      <c r="VQQ243" s="46"/>
      <c r="VQR243" s="46"/>
      <c r="VQS243" s="46"/>
      <c r="VQT243" s="46"/>
      <c r="VQU243" s="46"/>
      <c r="VQV243" s="46"/>
      <c r="VQW243" s="46"/>
      <c r="VQX243" s="46"/>
      <c r="VQY243" s="46"/>
      <c r="VQZ243" s="46"/>
      <c r="VRA243" s="46"/>
      <c r="VRB243" s="46"/>
      <c r="VRC243" s="46"/>
      <c r="VRD243" s="46"/>
      <c r="VRE243" s="46"/>
      <c r="VRF243" s="46"/>
      <c r="VRG243" s="46"/>
      <c r="VRH243" s="46"/>
      <c r="VRI243" s="46"/>
      <c r="VRJ243" s="46"/>
      <c r="VRK243" s="46"/>
      <c r="VRL243" s="46"/>
      <c r="VRM243" s="46"/>
      <c r="VRN243" s="46"/>
      <c r="VRO243" s="46"/>
      <c r="VRP243" s="46"/>
      <c r="VRQ243" s="46"/>
      <c r="VRR243" s="46"/>
      <c r="VRS243" s="46"/>
      <c r="VRT243" s="46"/>
      <c r="VRU243" s="46"/>
      <c r="VRV243" s="46"/>
      <c r="VRW243" s="46"/>
      <c r="VRX243" s="46"/>
      <c r="VRY243" s="46"/>
      <c r="VRZ243" s="46"/>
      <c r="VSA243" s="46"/>
      <c r="VSB243" s="46"/>
      <c r="VSC243" s="46"/>
      <c r="VSD243" s="46"/>
      <c r="VSE243" s="46"/>
      <c r="VSF243" s="46"/>
      <c r="VSG243" s="46"/>
      <c r="VSH243" s="46"/>
      <c r="VSI243" s="46"/>
      <c r="VSJ243" s="46"/>
      <c r="VSK243" s="46"/>
      <c r="VSL243" s="46"/>
      <c r="VSM243" s="46"/>
      <c r="VSN243" s="46"/>
      <c r="VSO243" s="46"/>
      <c r="VSP243" s="46"/>
      <c r="VSQ243" s="46"/>
      <c r="VSR243" s="46"/>
      <c r="VSS243" s="46"/>
      <c r="VST243" s="46"/>
      <c r="VSU243" s="46"/>
      <c r="VSV243" s="46"/>
      <c r="VSW243" s="46"/>
      <c r="VSX243" s="46"/>
      <c r="VSY243" s="46"/>
      <c r="VSZ243" s="46"/>
      <c r="VTA243" s="46"/>
      <c r="VTB243" s="46"/>
      <c r="VTC243" s="46"/>
      <c r="VTD243" s="46"/>
      <c r="VTE243" s="46"/>
      <c r="VTF243" s="46"/>
      <c r="VTG243" s="46"/>
      <c r="VTH243" s="46"/>
      <c r="VTI243" s="46"/>
      <c r="VTJ243" s="46"/>
      <c r="VTK243" s="46"/>
      <c r="VTL243" s="46"/>
      <c r="VTM243" s="46"/>
      <c r="VTN243" s="46"/>
      <c r="VTO243" s="46"/>
      <c r="VTP243" s="46"/>
      <c r="VTQ243" s="46"/>
      <c r="VTR243" s="46"/>
      <c r="VTS243" s="46"/>
      <c r="VTT243" s="46"/>
      <c r="VTU243" s="46"/>
      <c r="VTV243" s="46"/>
      <c r="VTW243" s="46"/>
      <c r="VTX243" s="46"/>
      <c r="VTY243" s="46"/>
      <c r="VTZ243" s="46"/>
      <c r="VUA243" s="46"/>
    </row>
    <row r="244" spans="3:61 15027:15419" s="1" customFormat="1" ht="15" customHeight="1">
      <c r="C244" s="15"/>
      <c r="D244" s="14" t="s">
        <v>20</v>
      </c>
      <c r="E244" s="253">
        <v>1168.001</v>
      </c>
      <c r="F244" s="20" t="s">
        <v>19</v>
      </c>
      <c r="G244" s="296">
        <f>G238-G242</f>
        <v>0</v>
      </c>
      <c r="H244" s="296">
        <f>H238-H242</f>
        <v>0</v>
      </c>
      <c r="I244" s="296">
        <f>I238-(I242)</f>
        <v>0</v>
      </c>
      <c r="J244" s="296">
        <f>J238-(J242)</f>
        <v>0</v>
      </c>
      <c r="K244" s="296">
        <f>K238-(K242)</f>
        <v>0</v>
      </c>
      <c r="L244" s="296">
        <f t="shared" ref="L244:AC244" si="80">L238-(L242)</f>
        <v>0</v>
      </c>
      <c r="M244" s="296">
        <f t="shared" si="80"/>
        <v>0</v>
      </c>
      <c r="N244" s="296">
        <f t="shared" si="80"/>
        <v>0</v>
      </c>
      <c r="O244" s="296">
        <f t="shared" si="80"/>
        <v>0</v>
      </c>
      <c r="P244" s="296">
        <f t="shared" si="80"/>
        <v>0</v>
      </c>
      <c r="Q244" s="33">
        <f>Q238-(Q242)</f>
        <v>0</v>
      </c>
      <c r="R244" s="1711">
        <f>R238-(R242)</f>
        <v>0</v>
      </c>
      <c r="S244" s="1965"/>
      <c r="T244" s="296">
        <f t="shared" si="80"/>
        <v>0</v>
      </c>
      <c r="U244" s="296">
        <f t="shared" si="80"/>
        <v>0</v>
      </c>
      <c r="V244" s="296">
        <f t="shared" si="80"/>
        <v>0</v>
      </c>
      <c r="W244" s="296">
        <f t="shared" si="80"/>
        <v>0</v>
      </c>
      <c r="X244" s="296">
        <f>X238-(X242)</f>
        <v>0</v>
      </c>
      <c r="Y244" s="296">
        <f>Y238-(Y242)</f>
        <v>0</v>
      </c>
      <c r="Z244" s="296">
        <f>Z238-(Z242)</f>
        <v>0</v>
      </c>
      <c r="AA244" s="296">
        <f t="shared" si="80"/>
        <v>0</v>
      </c>
      <c r="AB244" s="296">
        <f t="shared" si="80"/>
        <v>0</v>
      </c>
      <c r="AC244" s="296">
        <f t="shared" si="80"/>
        <v>0</v>
      </c>
      <c r="AD244" s="296">
        <f t="shared" ref="AD244:AK244" si="81">AD238-AD242</f>
        <v>0</v>
      </c>
      <c r="AE244" s="296">
        <f t="shared" si="81"/>
        <v>0</v>
      </c>
      <c r="AF244" s="296">
        <f t="shared" si="81"/>
        <v>0</v>
      </c>
      <c r="AG244" s="296">
        <f t="shared" si="81"/>
        <v>0</v>
      </c>
      <c r="AH244" s="296">
        <f t="shared" si="81"/>
        <v>0</v>
      </c>
      <c r="AI244" s="296"/>
      <c r="AJ244" s="296"/>
      <c r="AK244" s="296">
        <f t="shared" si="81"/>
        <v>0</v>
      </c>
      <c r="AM244" s="116">
        <f>SUM(G244:AK244)</f>
        <v>0</v>
      </c>
      <c r="BI244" s="142"/>
      <c r="VEY244" s="46"/>
      <c r="VEZ244" s="46"/>
      <c r="VFA244" s="46"/>
      <c r="VFB244" s="46"/>
      <c r="VFC244" s="46"/>
      <c r="VFD244" s="46"/>
      <c r="VFE244" s="46"/>
      <c r="VFF244" s="46"/>
      <c r="VFG244" s="46"/>
      <c r="VFH244" s="46"/>
      <c r="VFI244" s="46"/>
      <c r="VFJ244" s="46"/>
      <c r="VFK244" s="46"/>
      <c r="VFL244" s="46"/>
      <c r="VFM244" s="46"/>
      <c r="VFN244" s="46"/>
      <c r="VFO244" s="46"/>
      <c r="VFP244" s="46"/>
      <c r="VFQ244" s="46"/>
      <c r="VFR244" s="46"/>
      <c r="VFS244" s="46"/>
      <c r="VFT244" s="46"/>
      <c r="VFU244" s="46"/>
      <c r="VFV244" s="46"/>
      <c r="VFW244" s="46"/>
      <c r="VFX244" s="46"/>
      <c r="VFY244" s="46"/>
      <c r="VFZ244" s="46"/>
      <c r="VGA244" s="46"/>
      <c r="VGB244" s="46"/>
      <c r="VGC244" s="46"/>
      <c r="VGD244" s="46"/>
      <c r="VGE244" s="46"/>
      <c r="VGF244" s="46"/>
      <c r="VGG244" s="46"/>
      <c r="VGH244" s="46"/>
      <c r="VGI244" s="46"/>
      <c r="VGJ244" s="46"/>
      <c r="VGK244" s="46"/>
      <c r="VGL244" s="46"/>
      <c r="VGM244" s="46"/>
      <c r="VGN244" s="46"/>
      <c r="VGO244" s="46"/>
      <c r="VGP244" s="46"/>
      <c r="VGQ244" s="46"/>
      <c r="VGR244" s="46"/>
      <c r="VGS244" s="46"/>
      <c r="VGT244" s="46"/>
      <c r="VGU244" s="46"/>
      <c r="VGV244" s="46"/>
      <c r="VGW244" s="46"/>
      <c r="VGX244" s="46"/>
      <c r="VGY244" s="46"/>
      <c r="VGZ244" s="46"/>
      <c r="VHA244" s="46"/>
      <c r="VHB244" s="46"/>
      <c r="VHC244" s="46"/>
      <c r="VHD244" s="46"/>
      <c r="VHE244" s="46"/>
      <c r="VHF244" s="46"/>
      <c r="VHG244" s="46"/>
      <c r="VHH244" s="46"/>
      <c r="VHI244" s="46"/>
      <c r="VHJ244" s="46"/>
      <c r="VHK244" s="46"/>
      <c r="VHL244" s="46"/>
      <c r="VHM244" s="46"/>
      <c r="VHN244" s="46"/>
      <c r="VHO244" s="46"/>
      <c r="VHP244" s="46"/>
      <c r="VHQ244" s="46"/>
      <c r="VHR244" s="46"/>
      <c r="VHS244" s="46"/>
      <c r="VHT244" s="46"/>
      <c r="VHU244" s="46"/>
      <c r="VHV244" s="46"/>
      <c r="VHW244" s="46"/>
      <c r="VHX244" s="46"/>
      <c r="VHY244" s="46"/>
      <c r="VHZ244" s="46"/>
      <c r="VIA244" s="46"/>
      <c r="VIB244" s="46"/>
      <c r="VIC244" s="46"/>
      <c r="VID244" s="46"/>
      <c r="VIE244" s="46"/>
      <c r="VIF244" s="46"/>
      <c r="VIG244" s="46"/>
      <c r="VIH244" s="46"/>
      <c r="VII244" s="46"/>
      <c r="VIJ244" s="46"/>
      <c r="VIK244" s="46"/>
      <c r="VIL244" s="46"/>
      <c r="VIM244" s="46"/>
      <c r="VIN244" s="46"/>
      <c r="VIO244" s="46"/>
      <c r="VIP244" s="46"/>
      <c r="VIQ244" s="46"/>
      <c r="VIR244" s="46"/>
      <c r="VIS244" s="46"/>
      <c r="VIT244" s="46"/>
      <c r="VIU244" s="46"/>
      <c r="VIV244" s="46"/>
      <c r="VIW244" s="46"/>
      <c r="VIX244" s="46"/>
      <c r="VIY244" s="46"/>
      <c r="VIZ244" s="46"/>
      <c r="VJA244" s="46"/>
      <c r="VJB244" s="46"/>
      <c r="VJC244" s="46"/>
      <c r="VJD244" s="46"/>
      <c r="VJE244" s="46"/>
      <c r="VJF244" s="46"/>
      <c r="VJG244" s="46"/>
      <c r="VJH244" s="46"/>
      <c r="VJI244" s="46"/>
      <c r="VJJ244" s="46"/>
      <c r="VJK244" s="46"/>
      <c r="VJL244" s="46"/>
      <c r="VJM244" s="46"/>
      <c r="VJN244" s="46"/>
      <c r="VJO244" s="46"/>
      <c r="VJP244" s="46"/>
      <c r="VJQ244" s="46"/>
      <c r="VJR244" s="46"/>
      <c r="VJS244" s="46"/>
      <c r="VJT244" s="46"/>
      <c r="VJU244" s="46"/>
      <c r="VJV244" s="46"/>
      <c r="VJW244" s="46"/>
      <c r="VJX244" s="46"/>
      <c r="VJY244" s="46"/>
      <c r="VJZ244" s="46"/>
      <c r="VKA244" s="46"/>
      <c r="VKB244" s="46"/>
      <c r="VKC244" s="46"/>
      <c r="VKD244" s="46"/>
      <c r="VKE244" s="46"/>
      <c r="VKF244" s="46"/>
      <c r="VKG244" s="46"/>
      <c r="VKH244" s="46"/>
      <c r="VKI244" s="46"/>
      <c r="VKJ244" s="46"/>
      <c r="VKK244" s="46"/>
      <c r="VKL244" s="46"/>
      <c r="VKM244" s="46"/>
      <c r="VKN244" s="46"/>
      <c r="VKO244" s="46"/>
      <c r="VKP244" s="46"/>
      <c r="VKQ244" s="46"/>
      <c r="VKR244" s="46"/>
      <c r="VKS244" s="46"/>
      <c r="VKT244" s="46"/>
      <c r="VKU244" s="46"/>
      <c r="VKV244" s="46"/>
      <c r="VKW244" s="46"/>
      <c r="VKX244" s="46"/>
      <c r="VKY244" s="46"/>
      <c r="VKZ244" s="46"/>
      <c r="VLA244" s="46"/>
      <c r="VLB244" s="46"/>
      <c r="VLC244" s="46"/>
      <c r="VLD244" s="46"/>
      <c r="VLE244" s="46"/>
      <c r="VLF244" s="46"/>
      <c r="VLG244" s="46"/>
      <c r="VLH244" s="46"/>
      <c r="VLI244" s="46"/>
      <c r="VLJ244" s="46"/>
      <c r="VLK244" s="46"/>
      <c r="VLL244" s="46"/>
      <c r="VLM244" s="46"/>
      <c r="VLN244" s="46"/>
      <c r="VLO244" s="46"/>
      <c r="VLP244" s="46"/>
      <c r="VLQ244" s="46"/>
      <c r="VLR244" s="46"/>
      <c r="VLS244" s="46"/>
      <c r="VLT244" s="46"/>
      <c r="VLU244" s="46"/>
      <c r="VLV244" s="46"/>
      <c r="VLW244" s="46"/>
      <c r="VLX244" s="46"/>
      <c r="VLY244" s="46"/>
      <c r="VLZ244" s="46"/>
      <c r="VMA244" s="46"/>
      <c r="VMB244" s="46"/>
      <c r="VMC244" s="46"/>
      <c r="VMD244" s="46"/>
      <c r="VME244" s="46"/>
      <c r="VMF244" s="46"/>
      <c r="VMG244" s="46"/>
      <c r="VMH244" s="46"/>
      <c r="VMI244" s="46"/>
      <c r="VMJ244" s="46"/>
      <c r="VMK244" s="46"/>
      <c r="VML244" s="46"/>
      <c r="VMM244" s="46"/>
      <c r="VMN244" s="46"/>
      <c r="VMO244" s="46"/>
      <c r="VMP244" s="46"/>
      <c r="VMQ244" s="46"/>
      <c r="VMR244" s="46"/>
      <c r="VMS244" s="46"/>
      <c r="VMT244" s="46"/>
      <c r="VMU244" s="46"/>
      <c r="VMV244" s="46"/>
      <c r="VMW244" s="46"/>
      <c r="VMX244" s="46"/>
      <c r="VMY244" s="46"/>
      <c r="VMZ244" s="46"/>
      <c r="VNA244" s="46"/>
      <c r="VNB244" s="46"/>
      <c r="VNC244" s="46"/>
      <c r="VND244" s="46"/>
      <c r="VNE244" s="46"/>
      <c r="VNF244" s="46"/>
      <c r="VNG244" s="46"/>
      <c r="VNH244" s="46"/>
      <c r="VNI244" s="46"/>
      <c r="VNJ244" s="46"/>
      <c r="VNK244" s="46"/>
      <c r="VNL244" s="46"/>
      <c r="VNM244" s="46"/>
      <c r="VNN244" s="46"/>
      <c r="VNO244" s="46"/>
      <c r="VNP244" s="46"/>
      <c r="VNQ244" s="46"/>
      <c r="VNR244" s="46"/>
      <c r="VNS244" s="46"/>
      <c r="VNT244" s="46"/>
      <c r="VNU244" s="46"/>
      <c r="VNV244" s="46"/>
      <c r="VNW244" s="46"/>
      <c r="VNX244" s="46"/>
      <c r="VNY244" s="46"/>
      <c r="VNZ244" s="46"/>
      <c r="VOA244" s="46"/>
      <c r="VOB244" s="46"/>
      <c r="VOC244" s="46"/>
      <c r="VOD244" s="46"/>
      <c r="VOE244" s="46"/>
      <c r="VOF244" s="46"/>
      <c r="VOG244" s="46"/>
      <c r="VOH244" s="46"/>
      <c r="VOI244" s="46"/>
      <c r="VOJ244" s="46"/>
      <c r="VOK244" s="46"/>
      <c r="VOL244" s="46"/>
      <c r="VOM244" s="46"/>
      <c r="VON244" s="46"/>
      <c r="VOO244" s="46"/>
      <c r="VOP244" s="46"/>
      <c r="VOQ244" s="46"/>
      <c r="VOR244" s="46"/>
      <c r="VOS244" s="46"/>
      <c r="VOT244" s="46"/>
      <c r="VOU244" s="46"/>
      <c r="VOV244" s="46"/>
      <c r="VOW244" s="46"/>
      <c r="VOX244" s="46"/>
      <c r="VOY244" s="46"/>
      <c r="VOZ244" s="46"/>
      <c r="VPA244" s="46"/>
      <c r="VPB244" s="46"/>
      <c r="VPC244" s="46"/>
      <c r="VPD244" s="46"/>
      <c r="VPE244" s="46"/>
      <c r="VPF244" s="46"/>
      <c r="VPG244" s="46"/>
      <c r="VPH244" s="46"/>
      <c r="VPI244" s="46"/>
      <c r="VPJ244" s="46"/>
      <c r="VPK244" s="46"/>
      <c r="VPL244" s="46"/>
      <c r="VPM244" s="46"/>
      <c r="VPN244" s="46"/>
      <c r="VPO244" s="46"/>
      <c r="VPP244" s="46"/>
      <c r="VPQ244" s="46"/>
      <c r="VPR244" s="46"/>
      <c r="VPS244" s="46"/>
      <c r="VPT244" s="46"/>
      <c r="VPU244" s="46"/>
      <c r="VPV244" s="46"/>
      <c r="VPW244" s="46"/>
      <c r="VPX244" s="46"/>
      <c r="VPY244" s="46"/>
      <c r="VPZ244" s="46"/>
      <c r="VQA244" s="46"/>
      <c r="VQB244" s="46"/>
      <c r="VQC244" s="46"/>
      <c r="VQD244" s="46"/>
      <c r="VQE244" s="46"/>
      <c r="VQF244" s="46"/>
      <c r="VQG244" s="46"/>
      <c r="VQH244" s="46"/>
      <c r="VQI244" s="46"/>
      <c r="VQJ244" s="46"/>
      <c r="VQK244" s="46"/>
      <c r="VQL244" s="46"/>
      <c r="VQM244" s="46"/>
      <c r="VQN244" s="46"/>
      <c r="VQO244" s="46"/>
      <c r="VQP244" s="46"/>
      <c r="VQQ244" s="46"/>
      <c r="VQR244" s="46"/>
      <c r="VQS244" s="46"/>
      <c r="VQT244" s="46"/>
      <c r="VQU244" s="46"/>
      <c r="VQV244" s="46"/>
      <c r="VQW244" s="46"/>
      <c r="VQX244" s="46"/>
      <c r="VQY244" s="46"/>
      <c r="VQZ244" s="46"/>
      <c r="VRA244" s="46"/>
      <c r="VRB244" s="46"/>
      <c r="VRC244" s="46"/>
      <c r="VRD244" s="46"/>
      <c r="VRE244" s="46"/>
      <c r="VRF244" s="46"/>
      <c r="VRG244" s="46"/>
      <c r="VRH244" s="46"/>
      <c r="VRI244" s="46"/>
      <c r="VRJ244" s="46"/>
      <c r="VRK244" s="46"/>
      <c r="VRL244" s="46"/>
      <c r="VRM244" s="46"/>
      <c r="VRN244" s="46"/>
      <c r="VRO244" s="46"/>
      <c r="VRP244" s="46"/>
      <c r="VRQ244" s="46"/>
      <c r="VRR244" s="46"/>
      <c r="VRS244" s="46"/>
      <c r="VRT244" s="46"/>
      <c r="VRU244" s="46"/>
      <c r="VRV244" s="46"/>
      <c r="VRW244" s="46"/>
      <c r="VRX244" s="46"/>
      <c r="VRY244" s="46"/>
      <c r="VRZ244" s="46"/>
      <c r="VSA244" s="46"/>
      <c r="VSB244" s="46"/>
      <c r="VSC244" s="46"/>
      <c r="VSD244" s="46"/>
      <c r="VSE244" s="46"/>
      <c r="VSF244" s="46"/>
      <c r="VSG244" s="46"/>
      <c r="VSH244" s="46"/>
      <c r="VSI244" s="46"/>
      <c r="VSJ244" s="46"/>
      <c r="VSK244" s="46"/>
      <c r="VSL244" s="46"/>
      <c r="VSM244" s="46"/>
      <c r="VSN244" s="46"/>
      <c r="VSO244" s="46"/>
      <c r="VSP244" s="46"/>
      <c r="VSQ244" s="46"/>
      <c r="VSR244" s="46"/>
      <c r="VSS244" s="46"/>
      <c r="VST244" s="46"/>
      <c r="VSU244" s="46"/>
      <c r="VSV244" s="46"/>
      <c r="VSW244" s="46"/>
      <c r="VSX244" s="46"/>
      <c r="VSY244" s="46"/>
      <c r="VSZ244" s="46"/>
      <c r="VTA244" s="46"/>
      <c r="VTB244" s="46"/>
      <c r="VTC244" s="46"/>
      <c r="VTD244" s="46"/>
      <c r="VTE244" s="46"/>
      <c r="VTF244" s="46"/>
      <c r="VTG244" s="46"/>
      <c r="VTH244" s="46"/>
      <c r="VTI244" s="46"/>
      <c r="VTJ244" s="46"/>
      <c r="VTK244" s="46"/>
      <c r="VTL244" s="46"/>
      <c r="VTM244" s="46"/>
      <c r="VTN244" s="46"/>
      <c r="VTO244" s="46"/>
      <c r="VTP244" s="46"/>
      <c r="VTQ244" s="46"/>
      <c r="VTR244" s="46"/>
      <c r="VTS244" s="46"/>
      <c r="VTT244" s="46"/>
      <c r="VTU244" s="46"/>
      <c r="VTV244" s="46"/>
      <c r="VTW244" s="46"/>
      <c r="VTX244" s="46"/>
      <c r="VTY244" s="46"/>
      <c r="VTZ244" s="46"/>
      <c r="VUA244" s="46"/>
    </row>
    <row r="245" spans="3:61 15027:15419" s="2" customFormat="1" thickBot="1">
      <c r="C245" s="40"/>
      <c r="D245" s="41" t="s">
        <v>1</v>
      </c>
      <c r="E245" s="262">
        <v>1460.001</v>
      </c>
      <c r="F245" s="25" t="s">
        <v>19</v>
      </c>
      <c r="G245" s="297">
        <f>G242+G244</f>
        <v>0</v>
      </c>
      <c r="H245" s="297">
        <f>H242+H244</f>
        <v>0</v>
      </c>
      <c r="I245" s="297">
        <f t="shared" ref="I245:AK245" si="82">I242+I244</f>
        <v>0</v>
      </c>
      <c r="J245" s="297">
        <f t="shared" si="82"/>
        <v>0</v>
      </c>
      <c r="K245" s="297">
        <f t="shared" si="82"/>
        <v>0</v>
      </c>
      <c r="L245" s="297">
        <f t="shared" si="82"/>
        <v>0</v>
      </c>
      <c r="M245" s="297">
        <f t="shared" si="82"/>
        <v>0</v>
      </c>
      <c r="N245" s="297">
        <f t="shared" si="82"/>
        <v>0</v>
      </c>
      <c r="O245" s="297">
        <f t="shared" si="82"/>
        <v>0</v>
      </c>
      <c r="P245" s="297">
        <f>P242+P244</f>
        <v>0</v>
      </c>
      <c r="Q245" s="297">
        <f>Q242+Q244</f>
        <v>0</v>
      </c>
      <c r="R245" s="297">
        <f t="shared" ref="R245" si="83">R242+R244</f>
        <v>0</v>
      </c>
      <c r="S245" s="297"/>
      <c r="T245" s="297">
        <f t="shared" si="82"/>
        <v>0</v>
      </c>
      <c r="U245" s="297">
        <f t="shared" si="82"/>
        <v>0</v>
      </c>
      <c r="V245" s="297">
        <f t="shared" si="82"/>
        <v>0</v>
      </c>
      <c r="W245" s="297">
        <f t="shared" si="82"/>
        <v>0</v>
      </c>
      <c r="X245" s="297">
        <f t="shared" si="82"/>
        <v>0</v>
      </c>
      <c r="Y245" s="297">
        <f t="shared" si="82"/>
        <v>0</v>
      </c>
      <c r="Z245" s="297">
        <f t="shared" si="82"/>
        <v>0</v>
      </c>
      <c r="AA245" s="297">
        <f t="shared" si="82"/>
        <v>0</v>
      </c>
      <c r="AB245" s="297">
        <f>AB242+AB244</f>
        <v>0</v>
      </c>
      <c r="AC245" s="297"/>
      <c r="AD245" s="297">
        <f t="shared" si="82"/>
        <v>0</v>
      </c>
      <c r="AE245" s="297">
        <f t="shared" si="82"/>
        <v>0</v>
      </c>
      <c r="AF245" s="297">
        <f t="shared" si="82"/>
        <v>0</v>
      </c>
      <c r="AG245" s="297">
        <f t="shared" si="82"/>
        <v>0</v>
      </c>
      <c r="AH245" s="297">
        <f t="shared" si="82"/>
        <v>0</v>
      </c>
      <c r="AI245" s="297"/>
      <c r="AJ245" s="297"/>
      <c r="AK245" s="297">
        <f t="shared" si="82"/>
        <v>0</v>
      </c>
      <c r="AM245" s="118">
        <f>SUM(G245:AK245)</f>
        <v>0</v>
      </c>
      <c r="BI245" s="152"/>
    </row>
    <row r="246" spans="3:61 15027:15419" s="2" customFormat="1" ht="13.8">
      <c r="C246" s="8">
        <v>5</v>
      </c>
      <c r="D246" s="119" t="s">
        <v>18</v>
      </c>
      <c r="E246" s="120"/>
      <c r="F246" s="120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1992"/>
      <c r="T246" s="298"/>
      <c r="U246" s="298"/>
      <c r="V246" s="298"/>
      <c r="W246" s="298"/>
      <c r="X246" s="298"/>
      <c r="Y246" s="298"/>
      <c r="Z246" s="298"/>
      <c r="AA246" s="298"/>
      <c r="AB246" s="298"/>
      <c r="AC246" s="298"/>
      <c r="AD246" s="298"/>
      <c r="AE246" s="298"/>
      <c r="AF246" s="298"/>
      <c r="AG246" s="298"/>
      <c r="AH246" s="298"/>
      <c r="AI246" s="298"/>
      <c r="AJ246" s="298"/>
      <c r="AK246" s="298"/>
      <c r="AM246" s="137" t="s">
        <v>133</v>
      </c>
      <c r="BI246" s="152"/>
    </row>
    <row r="247" spans="3:61 15027:15419" s="2" customFormat="1" ht="13.8">
      <c r="C247" s="8"/>
      <c r="D247" s="236" t="s">
        <v>4</v>
      </c>
      <c r="E247" s="1705">
        <v>408000</v>
      </c>
      <c r="F247" s="237" t="s">
        <v>14</v>
      </c>
      <c r="G247" s="1633">
        <v>0</v>
      </c>
      <c r="H247" s="1633">
        <v>0</v>
      </c>
      <c r="I247" s="1633">
        <v>0</v>
      </c>
      <c r="J247" s="1633">
        <v>0</v>
      </c>
      <c r="K247" s="1633">
        <v>0</v>
      </c>
      <c r="L247" s="1633">
        <v>0</v>
      </c>
      <c r="M247" s="1648">
        <v>0</v>
      </c>
      <c r="N247" s="1648">
        <v>0</v>
      </c>
      <c r="O247" s="1633">
        <v>0</v>
      </c>
      <c r="P247" s="1633">
        <v>0</v>
      </c>
      <c r="Q247" s="1732"/>
      <c r="R247" s="1732"/>
      <c r="S247" s="1998"/>
      <c r="T247" s="1633"/>
      <c r="U247" s="1633"/>
      <c r="V247" s="299"/>
      <c r="W247" s="299"/>
      <c r="X247" s="299"/>
      <c r="Y247" s="299"/>
      <c r="Z247" s="299"/>
      <c r="AA247" s="299"/>
      <c r="AB247" s="299"/>
      <c r="AC247" s="299"/>
      <c r="AD247" s="299"/>
      <c r="AE247" s="299"/>
      <c r="AF247" s="299"/>
      <c r="AG247" s="299">
        <v>0</v>
      </c>
      <c r="AH247" s="299">
        <v>0</v>
      </c>
      <c r="AI247" s="299"/>
      <c r="AJ247" s="299"/>
      <c r="AK247" s="299"/>
      <c r="AM247" s="824">
        <f>SUM(G247:AK247)</f>
        <v>0</v>
      </c>
      <c r="BI247" s="152"/>
    </row>
    <row r="248" spans="3:61 15027:15419" s="2" customFormat="1">
      <c r="C248" s="8"/>
      <c r="D248" s="30" t="s">
        <v>17</v>
      </c>
      <c r="E248" s="263"/>
      <c r="F248" s="1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1980"/>
      <c r="T248" s="283"/>
      <c r="U248" s="283"/>
      <c r="V248" s="283"/>
      <c r="W248" s="283"/>
      <c r="X248" s="283"/>
      <c r="Y248" s="283"/>
      <c r="Z248" s="283"/>
      <c r="AA248" s="283"/>
      <c r="AB248" s="283"/>
      <c r="AC248" s="283"/>
      <c r="AD248" s="283"/>
      <c r="AE248" s="283"/>
      <c r="AF248" s="283"/>
      <c r="AG248" s="283"/>
      <c r="AH248" s="283"/>
      <c r="AI248" s="283"/>
      <c r="AJ248" s="283"/>
      <c r="AK248" s="283"/>
      <c r="AM248" s="64" t="e">
        <f>(AM250+AM252+AM254)</f>
        <v>#DIV/0!</v>
      </c>
      <c r="AO248" s="27"/>
      <c r="BI248" s="152"/>
    </row>
    <row r="249" spans="3:61 15027:15419" s="1" customFormat="1">
      <c r="C249" s="15"/>
      <c r="D249" s="236" t="s">
        <v>16</v>
      </c>
      <c r="E249" s="1920">
        <v>70000</v>
      </c>
      <c r="F249" s="237" t="s">
        <v>1002</v>
      </c>
      <c r="G249" s="276">
        <v>0</v>
      </c>
      <c r="H249" s="276">
        <v>0</v>
      </c>
      <c r="I249" s="276">
        <v>0</v>
      </c>
      <c r="J249" s="246">
        <v>0</v>
      </c>
      <c r="K249" s="246">
        <v>0</v>
      </c>
      <c r="L249" s="246">
        <v>0</v>
      </c>
      <c r="M249" s="246">
        <v>0</v>
      </c>
      <c r="N249" s="1524">
        <v>0</v>
      </c>
      <c r="O249" s="1524">
        <v>0</v>
      </c>
      <c r="P249" s="1524">
        <v>0</v>
      </c>
      <c r="Q249" s="276"/>
      <c r="R249" s="1632"/>
      <c r="S249" s="1970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246"/>
      <c r="AF249" s="246"/>
      <c r="AG249" s="276"/>
      <c r="AH249" s="276"/>
      <c r="AI249" s="276"/>
      <c r="AJ249" s="276"/>
      <c r="AK249" s="276"/>
      <c r="AM249" s="824">
        <f>SUM(G249:AK249)</f>
        <v>0</v>
      </c>
      <c r="BI249" s="142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  <c r="VUA249" s="46"/>
    </row>
    <row r="250" spans="3:61 15027:15419" s="1" customFormat="1">
      <c r="C250" s="15"/>
      <c r="D250" s="14"/>
      <c r="E250" s="235">
        <f>E249/2500</f>
        <v>28</v>
      </c>
      <c r="F250" s="20" t="s">
        <v>356</v>
      </c>
      <c r="G250" s="33" t="e">
        <f>G249/G9*1000</f>
        <v>#DIV/0!</v>
      </c>
      <c r="H250" s="33" t="e">
        <f>H249/H9*1000</f>
        <v>#DIV/0!</v>
      </c>
      <c r="I250" s="33" t="e">
        <f>I249/I9*1000</f>
        <v>#DIV/0!</v>
      </c>
      <c r="J250" s="33" t="e">
        <f>J249/J9*1000000</f>
        <v>#DIV/0!</v>
      </c>
      <c r="K250" s="33" t="e">
        <f>K249/K9*1000000</f>
        <v>#DIV/0!</v>
      </c>
      <c r="L250" s="33" t="e">
        <f>L249/L9*1000</f>
        <v>#DIV/0!</v>
      </c>
      <c r="M250" s="33" t="e">
        <f>M249/M9*100000</f>
        <v>#DIV/0!</v>
      </c>
      <c r="N250" s="33" t="e">
        <f t="shared" ref="N250:V250" si="84">N249/N9*1000000</f>
        <v>#DIV/0!</v>
      </c>
      <c r="O250" s="33" t="e">
        <f t="shared" si="84"/>
        <v>#DIV/0!</v>
      </c>
      <c r="P250" s="33" t="e">
        <f t="shared" si="84"/>
        <v>#DIV/0!</v>
      </c>
      <c r="Q250" s="33" t="e">
        <f t="shared" si="84"/>
        <v>#DIV/0!</v>
      </c>
      <c r="R250" s="33" t="e">
        <f t="shared" si="84"/>
        <v>#DIV/0!</v>
      </c>
      <c r="S250" s="33" t="e">
        <f t="shared" si="84"/>
        <v>#DIV/0!</v>
      </c>
      <c r="T250" s="33" t="e">
        <f t="shared" si="84"/>
        <v>#DIV/0!</v>
      </c>
      <c r="U250" s="33" t="e">
        <f t="shared" si="84"/>
        <v>#DIV/0!</v>
      </c>
      <c r="V250" s="33" t="e">
        <f t="shared" si="84"/>
        <v>#DIV/0!</v>
      </c>
      <c r="W250" s="33" t="e">
        <f t="shared" ref="W250:AK250" si="85">W249/W9*1000000</f>
        <v>#DIV/0!</v>
      </c>
      <c r="X250" s="33" t="e">
        <f>X249/X9*1000000</f>
        <v>#DIV/0!</v>
      </c>
      <c r="Y250" s="33" t="e">
        <f t="shared" si="85"/>
        <v>#DIV/0!</v>
      </c>
      <c r="Z250" s="33" t="e">
        <f t="shared" si="85"/>
        <v>#DIV/0!</v>
      </c>
      <c r="AA250" s="33" t="e">
        <f t="shared" si="85"/>
        <v>#DIV/0!</v>
      </c>
      <c r="AB250" s="33" t="e">
        <f t="shared" si="85"/>
        <v>#DIV/0!</v>
      </c>
      <c r="AC250" s="33" t="e">
        <f t="shared" si="85"/>
        <v>#DIV/0!</v>
      </c>
      <c r="AD250" s="33" t="e">
        <f t="shared" si="85"/>
        <v>#DIV/0!</v>
      </c>
      <c r="AE250" s="33" t="e">
        <f t="shared" si="85"/>
        <v>#DIV/0!</v>
      </c>
      <c r="AF250" s="33" t="e">
        <f t="shared" si="85"/>
        <v>#DIV/0!</v>
      </c>
      <c r="AG250" s="33" t="e">
        <f t="shared" si="85"/>
        <v>#DIV/0!</v>
      </c>
      <c r="AH250" s="33" t="e">
        <f t="shared" si="85"/>
        <v>#DIV/0!</v>
      </c>
      <c r="AI250" s="33" t="e">
        <f t="shared" si="85"/>
        <v>#DIV/0!</v>
      </c>
      <c r="AJ250" s="33" t="e">
        <f t="shared" si="85"/>
        <v>#DIV/0!</v>
      </c>
      <c r="AK250" s="33" t="e">
        <f t="shared" si="85"/>
        <v>#DIV/0!</v>
      </c>
      <c r="AM250" s="1523" t="e">
        <f>AM249/AM9*1000000</f>
        <v>#DIV/0!</v>
      </c>
      <c r="BI250" s="142"/>
      <c r="VEY250" s="46"/>
      <c r="VEZ250" s="46"/>
      <c r="VFA250" s="46"/>
      <c r="VFB250" s="46"/>
      <c r="VFC250" s="46"/>
      <c r="VFD250" s="46"/>
      <c r="VFE250" s="46"/>
      <c r="VFF250" s="46"/>
      <c r="VFG250" s="46"/>
      <c r="VFH250" s="46"/>
      <c r="VFI250" s="46"/>
      <c r="VFJ250" s="46"/>
      <c r="VFK250" s="46"/>
      <c r="VFL250" s="46"/>
      <c r="VFM250" s="46"/>
      <c r="VFN250" s="46"/>
      <c r="VFO250" s="46"/>
      <c r="VFP250" s="46"/>
      <c r="VFQ250" s="46"/>
      <c r="VFR250" s="46"/>
      <c r="VFS250" s="46"/>
      <c r="VFT250" s="46"/>
      <c r="VFU250" s="46"/>
      <c r="VFV250" s="46"/>
      <c r="VFW250" s="46"/>
      <c r="VFX250" s="46"/>
      <c r="VFY250" s="46"/>
      <c r="VFZ250" s="46"/>
      <c r="VGA250" s="46"/>
      <c r="VGB250" s="46"/>
      <c r="VGC250" s="46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</row>
    <row r="251" spans="3:61 15027:15419" s="1" customFormat="1">
      <c r="C251" s="15"/>
      <c r="D251" s="236" t="s">
        <v>15</v>
      </c>
      <c r="E251" s="1793">
        <v>112.8</v>
      </c>
      <c r="F251" s="237" t="s">
        <v>1002</v>
      </c>
      <c r="G251" s="276"/>
      <c r="H251" s="276"/>
      <c r="I251" s="276"/>
      <c r="J251" s="276"/>
      <c r="K251" s="276"/>
      <c r="L251" s="276"/>
      <c r="M251" s="276"/>
      <c r="N251" s="276"/>
      <c r="O251" s="276">
        <v>0</v>
      </c>
      <c r="P251" s="276">
        <v>0</v>
      </c>
      <c r="Q251" s="276">
        <v>0</v>
      </c>
      <c r="R251" s="246"/>
      <c r="S251" s="1970"/>
      <c r="T251" s="246"/>
      <c r="U251" s="246"/>
      <c r="V251" s="276">
        <v>0</v>
      </c>
      <c r="W251" s="246"/>
      <c r="X251" s="246"/>
      <c r="Y251" s="246"/>
      <c r="Z251" s="246"/>
      <c r="AA251" s="246"/>
      <c r="AB251" s="246"/>
      <c r="AC251" s="246"/>
      <c r="AD251" s="246"/>
      <c r="AE251" s="246"/>
      <c r="AF251" s="276"/>
      <c r="AG251" s="276"/>
      <c r="AH251" s="276">
        <v>0</v>
      </c>
      <c r="AI251" s="276"/>
      <c r="AJ251" s="276"/>
      <c r="AK251" s="276"/>
      <c r="AM251" s="824">
        <f>SUM(G251:AK251)</f>
        <v>0</v>
      </c>
      <c r="BI251" s="142"/>
      <c r="VEY251" s="46"/>
      <c r="VEZ251" s="46"/>
      <c r="VFA251" s="46"/>
      <c r="VFB251" s="46"/>
      <c r="VFC251" s="46"/>
      <c r="VFD251" s="46"/>
      <c r="VFE251" s="46"/>
      <c r="VFF251" s="46"/>
      <c r="VFG251" s="46"/>
      <c r="VFH251" s="46"/>
      <c r="VFI251" s="46"/>
      <c r="VFJ251" s="46"/>
      <c r="VFK251" s="46"/>
      <c r="VFL251" s="46"/>
      <c r="VFM251" s="46"/>
      <c r="VFN251" s="46"/>
      <c r="VFO251" s="46"/>
      <c r="VFP251" s="46"/>
      <c r="VFQ251" s="46"/>
      <c r="VFR251" s="46"/>
      <c r="VFS251" s="46"/>
      <c r="VFT251" s="46"/>
      <c r="VFU251" s="46"/>
      <c r="VFV251" s="46"/>
      <c r="VFW251" s="46"/>
      <c r="VFX251" s="46"/>
      <c r="VFY251" s="46"/>
      <c r="VFZ251" s="46"/>
      <c r="VGA251" s="46"/>
      <c r="VGB251" s="46"/>
      <c r="VGC251" s="46"/>
      <c r="VGD251" s="46"/>
      <c r="VGE251" s="46"/>
      <c r="VGF251" s="46"/>
      <c r="VGG251" s="46"/>
      <c r="VGH251" s="46"/>
      <c r="VGI251" s="46"/>
      <c r="VGJ251" s="46"/>
      <c r="VGK251" s="46"/>
      <c r="VGL251" s="46"/>
      <c r="VGM251" s="46"/>
      <c r="VGN251" s="46"/>
      <c r="VGO251" s="46"/>
      <c r="VGP251" s="46"/>
      <c r="VGQ251" s="46"/>
      <c r="VGR251" s="46"/>
      <c r="VGS251" s="46"/>
      <c r="VGT251" s="46"/>
      <c r="VGU251" s="46"/>
      <c r="VGV251" s="46"/>
      <c r="VGW251" s="46"/>
      <c r="VGX251" s="46"/>
      <c r="VGY251" s="46"/>
      <c r="VGZ251" s="46"/>
      <c r="VHA251" s="46"/>
      <c r="VHB251" s="46"/>
      <c r="VHC251" s="46"/>
      <c r="VHD251" s="46"/>
      <c r="VHE251" s="46"/>
      <c r="VHF251" s="46"/>
      <c r="VHG251" s="46"/>
      <c r="VHH251" s="46"/>
      <c r="VHI251" s="46"/>
      <c r="VHJ251" s="46"/>
      <c r="VHK251" s="46"/>
      <c r="VHL251" s="46"/>
      <c r="VHM251" s="46"/>
      <c r="VHN251" s="46"/>
      <c r="VHO251" s="46"/>
      <c r="VHP251" s="46"/>
      <c r="VHQ251" s="46"/>
      <c r="VHR251" s="46"/>
      <c r="VHS251" s="46"/>
      <c r="VHT251" s="46"/>
      <c r="VHU251" s="46"/>
      <c r="VHV251" s="46"/>
      <c r="VHW251" s="46"/>
      <c r="VHX251" s="46"/>
      <c r="VHY251" s="46"/>
      <c r="VHZ251" s="46"/>
      <c r="VIA251" s="46"/>
      <c r="VIB251" s="46"/>
      <c r="VIC251" s="46"/>
      <c r="VID251" s="46"/>
      <c r="VIE251" s="46"/>
      <c r="VIF251" s="46"/>
      <c r="VIG251" s="46"/>
      <c r="VIH251" s="46"/>
      <c r="VII251" s="46"/>
      <c r="VIJ251" s="46"/>
      <c r="VIK251" s="46"/>
      <c r="VIL251" s="46"/>
      <c r="VIM251" s="46"/>
      <c r="VIN251" s="46"/>
      <c r="VIO251" s="46"/>
      <c r="VIP251" s="46"/>
      <c r="VIQ251" s="46"/>
      <c r="VIR251" s="46"/>
      <c r="VIS251" s="46"/>
      <c r="VIT251" s="46"/>
      <c r="VIU251" s="46"/>
      <c r="VIV251" s="46"/>
      <c r="VIW251" s="46"/>
      <c r="VIX251" s="46"/>
      <c r="VIY251" s="46"/>
      <c r="VIZ251" s="46"/>
      <c r="VJA251" s="46"/>
      <c r="VJB251" s="46"/>
      <c r="VJC251" s="46"/>
      <c r="VJD251" s="46"/>
      <c r="VJE251" s="46"/>
      <c r="VJF251" s="46"/>
      <c r="VJG251" s="46"/>
      <c r="VJH251" s="46"/>
      <c r="VJI251" s="46"/>
      <c r="VJJ251" s="46"/>
      <c r="VJK251" s="46"/>
      <c r="VJL251" s="46"/>
      <c r="VJM251" s="46"/>
      <c r="VJN251" s="46"/>
      <c r="VJO251" s="46"/>
      <c r="VJP251" s="46"/>
      <c r="VJQ251" s="46"/>
      <c r="VJR251" s="46"/>
      <c r="VJS251" s="46"/>
      <c r="VJT251" s="46"/>
      <c r="VJU251" s="46"/>
      <c r="VJV251" s="46"/>
      <c r="VJW251" s="46"/>
      <c r="VJX251" s="46"/>
      <c r="VJY251" s="46"/>
      <c r="VJZ251" s="46"/>
      <c r="VKA251" s="46"/>
      <c r="VKB251" s="46"/>
      <c r="VKC251" s="46"/>
      <c r="VKD251" s="46"/>
      <c r="VKE251" s="46"/>
      <c r="VKF251" s="46"/>
      <c r="VKG251" s="46"/>
      <c r="VKH251" s="46"/>
      <c r="VKI251" s="46"/>
      <c r="VKJ251" s="46"/>
      <c r="VKK251" s="46"/>
      <c r="VKL251" s="46"/>
      <c r="VKM251" s="46"/>
      <c r="VKN251" s="46"/>
      <c r="VKO251" s="46"/>
      <c r="VKP251" s="46"/>
      <c r="VKQ251" s="46"/>
      <c r="VKR251" s="46"/>
      <c r="VKS251" s="46"/>
      <c r="VKT251" s="46"/>
      <c r="VKU251" s="46"/>
      <c r="VKV251" s="46"/>
      <c r="VKW251" s="46"/>
      <c r="VKX251" s="46"/>
      <c r="VKY251" s="46"/>
      <c r="VKZ251" s="46"/>
      <c r="VLA251" s="46"/>
      <c r="VLB251" s="46"/>
      <c r="VLC251" s="46"/>
      <c r="VLD251" s="46"/>
      <c r="VLE251" s="46"/>
      <c r="VLF251" s="46"/>
      <c r="VLG251" s="46"/>
      <c r="VLH251" s="46"/>
      <c r="VLI251" s="46"/>
      <c r="VLJ251" s="46"/>
      <c r="VLK251" s="46"/>
      <c r="VLL251" s="46"/>
      <c r="VLM251" s="46"/>
      <c r="VLN251" s="46"/>
      <c r="VLO251" s="46"/>
      <c r="VLP251" s="46"/>
      <c r="VLQ251" s="46"/>
      <c r="VLR251" s="46"/>
      <c r="VLS251" s="46"/>
      <c r="VLT251" s="46"/>
      <c r="VLU251" s="46"/>
      <c r="VLV251" s="46"/>
      <c r="VLW251" s="46"/>
      <c r="VLX251" s="46"/>
      <c r="VLY251" s="46"/>
      <c r="VLZ251" s="46"/>
      <c r="VMA251" s="46"/>
      <c r="VMB251" s="46"/>
      <c r="VMC251" s="46"/>
      <c r="VMD251" s="46"/>
      <c r="VME251" s="46"/>
      <c r="VMF251" s="46"/>
      <c r="VMG251" s="46"/>
      <c r="VMH251" s="46"/>
      <c r="VMI251" s="46"/>
      <c r="VMJ251" s="46"/>
      <c r="VMK251" s="46"/>
      <c r="VML251" s="46"/>
      <c r="VMM251" s="46"/>
      <c r="VMN251" s="46"/>
      <c r="VMO251" s="46"/>
      <c r="VMP251" s="46"/>
      <c r="VMQ251" s="46"/>
      <c r="VMR251" s="46"/>
      <c r="VMS251" s="46"/>
      <c r="VMT251" s="46"/>
      <c r="VMU251" s="46"/>
      <c r="VMV251" s="46"/>
      <c r="VMW251" s="46"/>
      <c r="VMX251" s="46"/>
      <c r="VMY251" s="46"/>
      <c r="VMZ251" s="46"/>
      <c r="VNA251" s="46"/>
      <c r="VNB251" s="46"/>
      <c r="VNC251" s="46"/>
      <c r="VND251" s="46"/>
      <c r="VNE251" s="46"/>
      <c r="VNF251" s="46"/>
      <c r="VNG251" s="46"/>
      <c r="VNH251" s="46"/>
      <c r="VNI251" s="46"/>
      <c r="VNJ251" s="46"/>
      <c r="VNK251" s="46"/>
      <c r="VNL251" s="46"/>
      <c r="VNM251" s="46"/>
      <c r="VNN251" s="46"/>
      <c r="VNO251" s="46"/>
      <c r="VNP251" s="46"/>
      <c r="VNQ251" s="46"/>
      <c r="VNR251" s="46"/>
      <c r="VNS251" s="46"/>
      <c r="VNT251" s="46"/>
      <c r="VNU251" s="46"/>
      <c r="VNV251" s="46"/>
      <c r="VNW251" s="46"/>
      <c r="VNX251" s="46"/>
      <c r="VNY251" s="46"/>
      <c r="VNZ251" s="46"/>
      <c r="VOA251" s="46"/>
      <c r="VOB251" s="46"/>
      <c r="VOC251" s="46"/>
      <c r="VOD251" s="46"/>
      <c r="VOE251" s="46"/>
      <c r="VOF251" s="46"/>
      <c r="VOG251" s="46"/>
      <c r="VOH251" s="46"/>
      <c r="VOI251" s="46"/>
      <c r="VOJ251" s="46"/>
      <c r="VOK251" s="46"/>
      <c r="VOL251" s="46"/>
      <c r="VOM251" s="46"/>
      <c r="VON251" s="46"/>
      <c r="VOO251" s="46"/>
      <c r="VOP251" s="46"/>
      <c r="VOQ251" s="46"/>
      <c r="VOR251" s="46"/>
      <c r="VOS251" s="46"/>
      <c r="VOT251" s="46"/>
      <c r="VOU251" s="46"/>
      <c r="VOV251" s="46"/>
      <c r="VOW251" s="46"/>
      <c r="VOX251" s="46"/>
      <c r="VOY251" s="46"/>
      <c r="VOZ251" s="46"/>
      <c r="VPA251" s="46"/>
      <c r="VPB251" s="46"/>
      <c r="VPC251" s="46"/>
      <c r="VPD251" s="46"/>
      <c r="VPE251" s="46"/>
      <c r="VPF251" s="46"/>
      <c r="VPG251" s="46"/>
      <c r="VPH251" s="46"/>
      <c r="VPI251" s="46"/>
      <c r="VPJ251" s="46"/>
      <c r="VPK251" s="46"/>
      <c r="VPL251" s="46"/>
      <c r="VPM251" s="46"/>
      <c r="VPN251" s="46"/>
      <c r="VPO251" s="46"/>
      <c r="VPP251" s="46"/>
      <c r="VPQ251" s="46"/>
      <c r="VPR251" s="46"/>
      <c r="VPS251" s="46"/>
      <c r="VPT251" s="46"/>
      <c r="VPU251" s="46"/>
      <c r="VPV251" s="46"/>
      <c r="VPW251" s="46"/>
      <c r="VPX251" s="46"/>
      <c r="VPY251" s="46"/>
      <c r="VPZ251" s="46"/>
      <c r="VQA251" s="46"/>
      <c r="VQB251" s="46"/>
      <c r="VQC251" s="46"/>
      <c r="VQD251" s="46"/>
      <c r="VQE251" s="46"/>
      <c r="VQF251" s="46"/>
      <c r="VQG251" s="46"/>
      <c r="VQH251" s="46"/>
      <c r="VQI251" s="46"/>
      <c r="VQJ251" s="46"/>
      <c r="VQK251" s="46"/>
      <c r="VQL251" s="46"/>
      <c r="VQM251" s="46"/>
      <c r="VQN251" s="46"/>
      <c r="VQO251" s="46"/>
      <c r="VQP251" s="46"/>
      <c r="VQQ251" s="46"/>
      <c r="VQR251" s="46"/>
      <c r="VQS251" s="46"/>
      <c r="VQT251" s="46"/>
      <c r="VQU251" s="46"/>
      <c r="VQV251" s="46"/>
      <c r="VQW251" s="46"/>
      <c r="VQX251" s="46"/>
      <c r="VQY251" s="46"/>
      <c r="VQZ251" s="46"/>
      <c r="VRA251" s="46"/>
      <c r="VRB251" s="46"/>
      <c r="VRC251" s="46"/>
      <c r="VRD251" s="46"/>
      <c r="VRE251" s="46"/>
      <c r="VRF251" s="46"/>
      <c r="VRG251" s="46"/>
      <c r="VRH251" s="46"/>
      <c r="VRI251" s="46"/>
      <c r="VRJ251" s="46"/>
      <c r="VRK251" s="46"/>
      <c r="VRL251" s="46"/>
      <c r="VRM251" s="46"/>
      <c r="VRN251" s="46"/>
      <c r="VRO251" s="46"/>
      <c r="VRP251" s="46"/>
      <c r="VRQ251" s="46"/>
      <c r="VRR251" s="46"/>
      <c r="VRS251" s="46"/>
      <c r="VRT251" s="46"/>
      <c r="VRU251" s="46"/>
      <c r="VRV251" s="46"/>
      <c r="VRW251" s="46"/>
      <c r="VRX251" s="46"/>
      <c r="VRY251" s="46"/>
      <c r="VRZ251" s="46"/>
      <c r="VSA251" s="46"/>
      <c r="VSB251" s="46"/>
      <c r="VSC251" s="46"/>
      <c r="VSD251" s="46"/>
      <c r="VSE251" s="46"/>
      <c r="VSF251" s="46"/>
      <c r="VSG251" s="46"/>
      <c r="VSH251" s="46"/>
      <c r="VSI251" s="46"/>
      <c r="VSJ251" s="46"/>
      <c r="VSK251" s="46"/>
      <c r="VSL251" s="46"/>
      <c r="VSM251" s="46"/>
      <c r="VSN251" s="46"/>
      <c r="VSO251" s="46"/>
      <c r="VSP251" s="46"/>
      <c r="VSQ251" s="46"/>
      <c r="VSR251" s="46"/>
      <c r="VSS251" s="46"/>
      <c r="VST251" s="46"/>
      <c r="VSU251" s="46"/>
      <c r="VSV251" s="46"/>
      <c r="VSW251" s="46"/>
      <c r="VSX251" s="46"/>
      <c r="VSY251" s="46"/>
      <c r="VSZ251" s="46"/>
      <c r="VTA251" s="46"/>
      <c r="VTB251" s="46"/>
      <c r="VTC251" s="46"/>
      <c r="VTD251" s="46"/>
      <c r="VTE251" s="46"/>
      <c r="VTF251" s="46"/>
      <c r="VTG251" s="46"/>
      <c r="VTH251" s="46"/>
      <c r="VTI251" s="46"/>
      <c r="VTJ251" s="46"/>
      <c r="VTK251" s="46"/>
      <c r="VTL251" s="46"/>
      <c r="VTM251" s="46"/>
      <c r="VTN251" s="46"/>
      <c r="VTO251" s="46"/>
      <c r="VTP251" s="46"/>
      <c r="VTQ251" s="46"/>
      <c r="VTR251" s="46"/>
      <c r="VTS251" s="46"/>
      <c r="VTT251" s="46"/>
      <c r="VTU251" s="46"/>
      <c r="VTV251" s="46"/>
      <c r="VTW251" s="46"/>
      <c r="VTX251" s="46"/>
      <c r="VTY251" s="46"/>
      <c r="VTZ251" s="46"/>
      <c r="VUA251" s="46"/>
    </row>
    <row r="252" spans="3:61 15027:15419" s="1" customFormat="1">
      <c r="C252" s="15"/>
      <c r="D252" s="14"/>
      <c r="E252" s="235">
        <f>E251/2.5</f>
        <v>45.12</v>
      </c>
      <c r="F252" s="20" t="s">
        <v>356</v>
      </c>
      <c r="G252" s="33" t="e">
        <f t="shared" ref="G252:M252" si="86">G251/G24*1000</f>
        <v>#DIV/0!</v>
      </c>
      <c r="H252" s="33" t="e">
        <f t="shared" si="86"/>
        <v>#DIV/0!</v>
      </c>
      <c r="I252" s="33" t="e">
        <f t="shared" si="86"/>
        <v>#DIV/0!</v>
      </c>
      <c r="J252" s="33" t="e">
        <f t="shared" si="86"/>
        <v>#DIV/0!</v>
      </c>
      <c r="K252" s="33" t="e">
        <f t="shared" si="86"/>
        <v>#DIV/0!</v>
      </c>
      <c r="L252" s="33" t="e">
        <f t="shared" si="86"/>
        <v>#DIV/0!</v>
      </c>
      <c r="M252" s="33" t="e">
        <f t="shared" si="86"/>
        <v>#DIV/0!</v>
      </c>
      <c r="N252" s="33" t="e">
        <f>N251/N24*100000</f>
        <v>#DIV/0!</v>
      </c>
      <c r="O252" s="33" t="e">
        <f>O251/O24*100000</f>
        <v>#DIV/0!</v>
      </c>
      <c r="P252" s="1711" t="e">
        <f t="shared" ref="P252:AK252" si="87">P251/P24*1000</f>
        <v>#DIV/0!</v>
      </c>
      <c r="Q252" s="33" t="e">
        <f t="shared" si="87"/>
        <v>#DIV/0!</v>
      </c>
      <c r="R252" s="33" t="e">
        <f>R251/R24*1000000</f>
        <v>#DIV/0!</v>
      </c>
      <c r="S252" s="33" t="e">
        <f>S251/S28*1000000</f>
        <v>#DIV/0!</v>
      </c>
      <c r="T252" s="33" t="e">
        <f>T251/T28*1000000</f>
        <v>#DIV/0!</v>
      </c>
      <c r="U252" s="33" t="e">
        <f t="shared" ref="U252:V252" si="88">U251/U28*1000000</f>
        <v>#DIV/0!</v>
      </c>
      <c r="V252" s="33" t="e">
        <f t="shared" si="88"/>
        <v>#DIV/0!</v>
      </c>
      <c r="W252" s="33" t="e">
        <f t="shared" ref="W252" si="89">W251/W24*1000000</f>
        <v>#DIV/0!</v>
      </c>
      <c r="X252" s="33" t="e">
        <f t="shared" ref="X252:AE252" si="90">X251/X28*1000000</f>
        <v>#DIV/0!</v>
      </c>
      <c r="Y252" s="33" t="e">
        <f t="shared" si="90"/>
        <v>#DIV/0!</v>
      </c>
      <c r="Z252" s="33" t="e">
        <f t="shared" si="90"/>
        <v>#DIV/0!</v>
      </c>
      <c r="AA252" s="33" t="e">
        <f t="shared" si="90"/>
        <v>#DIV/0!</v>
      </c>
      <c r="AB252" s="33" t="e">
        <f t="shared" si="90"/>
        <v>#DIV/0!</v>
      </c>
      <c r="AC252" s="33" t="e">
        <f t="shared" si="90"/>
        <v>#DIV/0!</v>
      </c>
      <c r="AD252" s="33" t="e">
        <f t="shared" si="90"/>
        <v>#DIV/0!</v>
      </c>
      <c r="AE252" s="33" t="e">
        <f t="shared" si="90"/>
        <v>#DIV/0!</v>
      </c>
      <c r="AF252" s="33" t="e">
        <f t="shared" si="87"/>
        <v>#DIV/0!</v>
      </c>
      <c r="AG252" s="33" t="e">
        <f t="shared" si="87"/>
        <v>#DIV/0!</v>
      </c>
      <c r="AH252" s="33" t="e">
        <f t="shared" si="87"/>
        <v>#DIV/0!</v>
      </c>
      <c r="AI252" s="33" t="e">
        <f t="shared" si="87"/>
        <v>#DIV/0!</v>
      </c>
      <c r="AJ252" s="33" t="e">
        <f t="shared" si="87"/>
        <v>#DIV/0!</v>
      </c>
      <c r="AK252" s="33" t="e">
        <f t="shared" si="87"/>
        <v>#DIV/0!</v>
      </c>
      <c r="AM252" s="1523" t="e">
        <f>AM251/AM24*1000000</f>
        <v>#DIV/0!</v>
      </c>
      <c r="BI252" s="142"/>
      <c r="VEY252" s="46"/>
      <c r="VEZ252" s="46"/>
      <c r="VFA252" s="46"/>
      <c r="VFB252" s="46"/>
      <c r="VFC252" s="46"/>
      <c r="VFD252" s="46"/>
      <c r="VFE252" s="46"/>
      <c r="VFF252" s="46"/>
      <c r="VFG252" s="46"/>
      <c r="VFH252" s="46"/>
      <c r="VFI252" s="46"/>
      <c r="VFJ252" s="46"/>
      <c r="VFK252" s="46"/>
      <c r="VFL252" s="46"/>
      <c r="VFM252" s="46"/>
      <c r="VFN252" s="46"/>
      <c r="VFO252" s="46"/>
      <c r="VFP252" s="46"/>
      <c r="VFQ252" s="46"/>
      <c r="VFR252" s="46"/>
      <c r="VFS252" s="46"/>
      <c r="VFT252" s="46"/>
      <c r="VFU252" s="46"/>
      <c r="VFV252" s="46"/>
      <c r="VFW252" s="46"/>
      <c r="VFX252" s="46"/>
      <c r="VFY252" s="46"/>
      <c r="VFZ252" s="46"/>
      <c r="VGA252" s="46"/>
      <c r="VGB252" s="46"/>
      <c r="VGC252" s="46"/>
      <c r="VGD252" s="46"/>
      <c r="VGE252" s="46"/>
      <c r="VGF252" s="46"/>
      <c r="VGG252" s="46"/>
      <c r="VGH252" s="46"/>
      <c r="VGI252" s="46"/>
      <c r="VGJ252" s="46"/>
      <c r="VGK252" s="46"/>
      <c r="VGL252" s="46"/>
      <c r="VGM252" s="46"/>
      <c r="VGN252" s="46"/>
      <c r="VGO252" s="46"/>
      <c r="VGP252" s="46"/>
      <c r="VGQ252" s="46"/>
      <c r="VGR252" s="46"/>
      <c r="VGS252" s="46"/>
      <c r="VGT252" s="46"/>
      <c r="VGU252" s="46"/>
      <c r="VGV252" s="46"/>
      <c r="VGW252" s="46"/>
      <c r="VGX252" s="46"/>
      <c r="VGY252" s="46"/>
      <c r="VGZ252" s="46"/>
      <c r="VHA252" s="46"/>
      <c r="VHB252" s="46"/>
      <c r="VHC252" s="46"/>
      <c r="VHD252" s="46"/>
      <c r="VHE252" s="46"/>
      <c r="VHF252" s="46"/>
      <c r="VHG252" s="46"/>
      <c r="VHH252" s="46"/>
      <c r="VHI252" s="46"/>
      <c r="VHJ252" s="46"/>
      <c r="VHK252" s="46"/>
      <c r="VHL252" s="46"/>
      <c r="VHM252" s="46"/>
      <c r="VHN252" s="46"/>
      <c r="VHO252" s="46"/>
      <c r="VHP252" s="46"/>
      <c r="VHQ252" s="46"/>
      <c r="VHR252" s="46"/>
      <c r="VHS252" s="46"/>
      <c r="VHT252" s="46"/>
      <c r="VHU252" s="46"/>
      <c r="VHV252" s="46"/>
      <c r="VHW252" s="46"/>
      <c r="VHX252" s="46"/>
      <c r="VHY252" s="46"/>
      <c r="VHZ252" s="46"/>
      <c r="VIA252" s="46"/>
      <c r="VIB252" s="46"/>
      <c r="VIC252" s="46"/>
      <c r="VID252" s="46"/>
      <c r="VIE252" s="46"/>
      <c r="VIF252" s="46"/>
      <c r="VIG252" s="46"/>
      <c r="VIH252" s="46"/>
      <c r="VII252" s="46"/>
      <c r="VIJ252" s="46"/>
      <c r="VIK252" s="46"/>
      <c r="VIL252" s="46"/>
      <c r="VIM252" s="46"/>
      <c r="VIN252" s="46"/>
      <c r="VIO252" s="46"/>
      <c r="VIP252" s="46"/>
      <c r="VIQ252" s="46"/>
      <c r="VIR252" s="46"/>
      <c r="VIS252" s="46"/>
      <c r="VIT252" s="46"/>
      <c r="VIU252" s="46"/>
      <c r="VIV252" s="46"/>
      <c r="VIW252" s="46"/>
      <c r="VIX252" s="46"/>
      <c r="VIY252" s="46"/>
      <c r="VIZ252" s="46"/>
      <c r="VJA252" s="46"/>
      <c r="VJB252" s="46"/>
      <c r="VJC252" s="46"/>
      <c r="VJD252" s="46"/>
      <c r="VJE252" s="46"/>
      <c r="VJF252" s="46"/>
      <c r="VJG252" s="46"/>
      <c r="VJH252" s="46"/>
      <c r="VJI252" s="46"/>
      <c r="VJJ252" s="46"/>
      <c r="VJK252" s="46"/>
      <c r="VJL252" s="46"/>
      <c r="VJM252" s="46"/>
      <c r="VJN252" s="46"/>
      <c r="VJO252" s="46"/>
      <c r="VJP252" s="46"/>
      <c r="VJQ252" s="46"/>
      <c r="VJR252" s="46"/>
      <c r="VJS252" s="46"/>
      <c r="VJT252" s="46"/>
      <c r="VJU252" s="46"/>
      <c r="VJV252" s="46"/>
      <c r="VJW252" s="46"/>
      <c r="VJX252" s="46"/>
      <c r="VJY252" s="46"/>
      <c r="VJZ252" s="46"/>
      <c r="VKA252" s="46"/>
      <c r="VKB252" s="46"/>
      <c r="VKC252" s="46"/>
      <c r="VKD252" s="46"/>
      <c r="VKE252" s="46"/>
      <c r="VKF252" s="46"/>
      <c r="VKG252" s="46"/>
      <c r="VKH252" s="46"/>
      <c r="VKI252" s="46"/>
      <c r="VKJ252" s="46"/>
      <c r="VKK252" s="46"/>
      <c r="VKL252" s="46"/>
      <c r="VKM252" s="46"/>
      <c r="VKN252" s="46"/>
      <c r="VKO252" s="46"/>
      <c r="VKP252" s="46"/>
      <c r="VKQ252" s="46"/>
      <c r="VKR252" s="46"/>
      <c r="VKS252" s="46"/>
      <c r="VKT252" s="46"/>
      <c r="VKU252" s="46"/>
      <c r="VKV252" s="46"/>
      <c r="VKW252" s="46"/>
      <c r="VKX252" s="46"/>
      <c r="VKY252" s="46"/>
      <c r="VKZ252" s="46"/>
      <c r="VLA252" s="46"/>
      <c r="VLB252" s="46"/>
      <c r="VLC252" s="46"/>
      <c r="VLD252" s="46"/>
      <c r="VLE252" s="46"/>
      <c r="VLF252" s="46"/>
      <c r="VLG252" s="46"/>
      <c r="VLH252" s="46"/>
      <c r="VLI252" s="46"/>
      <c r="VLJ252" s="46"/>
      <c r="VLK252" s="46"/>
      <c r="VLL252" s="46"/>
      <c r="VLM252" s="46"/>
      <c r="VLN252" s="46"/>
      <c r="VLO252" s="46"/>
      <c r="VLP252" s="46"/>
      <c r="VLQ252" s="46"/>
      <c r="VLR252" s="46"/>
      <c r="VLS252" s="46"/>
      <c r="VLT252" s="46"/>
      <c r="VLU252" s="46"/>
      <c r="VLV252" s="46"/>
      <c r="VLW252" s="46"/>
      <c r="VLX252" s="46"/>
      <c r="VLY252" s="46"/>
      <c r="VLZ252" s="46"/>
      <c r="VMA252" s="46"/>
      <c r="VMB252" s="46"/>
      <c r="VMC252" s="46"/>
      <c r="VMD252" s="46"/>
      <c r="VME252" s="46"/>
      <c r="VMF252" s="46"/>
      <c r="VMG252" s="46"/>
      <c r="VMH252" s="46"/>
      <c r="VMI252" s="46"/>
      <c r="VMJ252" s="46"/>
      <c r="VMK252" s="46"/>
      <c r="VML252" s="46"/>
      <c r="VMM252" s="46"/>
      <c r="VMN252" s="46"/>
      <c r="VMO252" s="46"/>
      <c r="VMP252" s="46"/>
      <c r="VMQ252" s="46"/>
      <c r="VMR252" s="46"/>
      <c r="VMS252" s="46"/>
      <c r="VMT252" s="46"/>
      <c r="VMU252" s="46"/>
      <c r="VMV252" s="46"/>
      <c r="VMW252" s="46"/>
      <c r="VMX252" s="46"/>
      <c r="VMY252" s="46"/>
      <c r="VMZ252" s="46"/>
      <c r="VNA252" s="46"/>
      <c r="VNB252" s="46"/>
      <c r="VNC252" s="46"/>
      <c r="VND252" s="46"/>
      <c r="VNE252" s="46"/>
      <c r="VNF252" s="46"/>
      <c r="VNG252" s="46"/>
      <c r="VNH252" s="46"/>
      <c r="VNI252" s="46"/>
      <c r="VNJ252" s="46"/>
      <c r="VNK252" s="46"/>
      <c r="VNL252" s="46"/>
      <c r="VNM252" s="46"/>
      <c r="VNN252" s="46"/>
      <c r="VNO252" s="46"/>
      <c r="VNP252" s="46"/>
      <c r="VNQ252" s="46"/>
      <c r="VNR252" s="46"/>
      <c r="VNS252" s="46"/>
      <c r="VNT252" s="46"/>
      <c r="VNU252" s="46"/>
      <c r="VNV252" s="46"/>
      <c r="VNW252" s="46"/>
      <c r="VNX252" s="46"/>
      <c r="VNY252" s="46"/>
      <c r="VNZ252" s="46"/>
      <c r="VOA252" s="46"/>
      <c r="VOB252" s="46"/>
      <c r="VOC252" s="46"/>
      <c r="VOD252" s="46"/>
      <c r="VOE252" s="46"/>
      <c r="VOF252" s="46"/>
      <c r="VOG252" s="46"/>
      <c r="VOH252" s="46"/>
      <c r="VOI252" s="46"/>
      <c r="VOJ252" s="46"/>
      <c r="VOK252" s="46"/>
      <c r="VOL252" s="46"/>
      <c r="VOM252" s="46"/>
      <c r="VON252" s="46"/>
      <c r="VOO252" s="46"/>
      <c r="VOP252" s="46"/>
      <c r="VOQ252" s="46"/>
      <c r="VOR252" s="46"/>
      <c r="VOS252" s="46"/>
      <c r="VOT252" s="46"/>
      <c r="VOU252" s="46"/>
      <c r="VOV252" s="46"/>
      <c r="VOW252" s="46"/>
      <c r="VOX252" s="46"/>
      <c r="VOY252" s="46"/>
      <c r="VOZ252" s="46"/>
      <c r="VPA252" s="46"/>
      <c r="VPB252" s="46"/>
      <c r="VPC252" s="46"/>
      <c r="VPD252" s="46"/>
      <c r="VPE252" s="46"/>
      <c r="VPF252" s="46"/>
      <c r="VPG252" s="46"/>
      <c r="VPH252" s="46"/>
      <c r="VPI252" s="46"/>
      <c r="VPJ252" s="46"/>
      <c r="VPK252" s="46"/>
      <c r="VPL252" s="46"/>
      <c r="VPM252" s="46"/>
      <c r="VPN252" s="46"/>
      <c r="VPO252" s="46"/>
      <c r="VPP252" s="46"/>
      <c r="VPQ252" s="46"/>
      <c r="VPR252" s="46"/>
      <c r="VPS252" s="46"/>
      <c r="VPT252" s="46"/>
      <c r="VPU252" s="46"/>
      <c r="VPV252" s="46"/>
      <c r="VPW252" s="46"/>
      <c r="VPX252" s="46"/>
      <c r="VPY252" s="46"/>
      <c r="VPZ252" s="46"/>
      <c r="VQA252" s="46"/>
      <c r="VQB252" s="46"/>
      <c r="VQC252" s="46"/>
      <c r="VQD252" s="46"/>
      <c r="VQE252" s="46"/>
      <c r="VQF252" s="46"/>
      <c r="VQG252" s="46"/>
      <c r="VQH252" s="46"/>
      <c r="VQI252" s="46"/>
      <c r="VQJ252" s="46"/>
      <c r="VQK252" s="46"/>
      <c r="VQL252" s="46"/>
      <c r="VQM252" s="46"/>
      <c r="VQN252" s="46"/>
      <c r="VQO252" s="46"/>
      <c r="VQP252" s="46"/>
      <c r="VQQ252" s="46"/>
      <c r="VQR252" s="46"/>
      <c r="VQS252" s="46"/>
      <c r="VQT252" s="46"/>
      <c r="VQU252" s="46"/>
      <c r="VQV252" s="46"/>
      <c r="VQW252" s="46"/>
      <c r="VQX252" s="46"/>
      <c r="VQY252" s="46"/>
      <c r="VQZ252" s="46"/>
      <c r="VRA252" s="46"/>
      <c r="VRB252" s="46"/>
      <c r="VRC252" s="46"/>
      <c r="VRD252" s="46"/>
      <c r="VRE252" s="46"/>
      <c r="VRF252" s="46"/>
      <c r="VRG252" s="46"/>
      <c r="VRH252" s="46"/>
      <c r="VRI252" s="46"/>
      <c r="VRJ252" s="46"/>
      <c r="VRK252" s="46"/>
      <c r="VRL252" s="46"/>
      <c r="VRM252" s="46"/>
      <c r="VRN252" s="46"/>
      <c r="VRO252" s="46"/>
      <c r="VRP252" s="46"/>
      <c r="VRQ252" s="46"/>
      <c r="VRR252" s="46"/>
      <c r="VRS252" s="46"/>
      <c r="VRT252" s="46"/>
      <c r="VRU252" s="46"/>
      <c r="VRV252" s="46"/>
      <c r="VRW252" s="46"/>
      <c r="VRX252" s="46"/>
      <c r="VRY252" s="46"/>
      <c r="VRZ252" s="46"/>
      <c r="VSA252" s="46"/>
      <c r="VSB252" s="46"/>
      <c r="VSC252" s="46"/>
      <c r="VSD252" s="46"/>
      <c r="VSE252" s="46"/>
      <c r="VSF252" s="46"/>
      <c r="VSG252" s="46"/>
      <c r="VSH252" s="46"/>
      <c r="VSI252" s="46"/>
      <c r="VSJ252" s="46"/>
      <c r="VSK252" s="46"/>
      <c r="VSL252" s="46"/>
      <c r="VSM252" s="46"/>
      <c r="VSN252" s="46"/>
      <c r="VSO252" s="46"/>
      <c r="VSP252" s="46"/>
      <c r="VSQ252" s="46"/>
      <c r="VSR252" s="46"/>
      <c r="VSS252" s="46"/>
      <c r="VST252" s="46"/>
      <c r="VSU252" s="46"/>
      <c r="VSV252" s="46"/>
      <c r="VSW252" s="46"/>
      <c r="VSX252" s="46"/>
      <c r="VSY252" s="46"/>
      <c r="VSZ252" s="46"/>
      <c r="VTA252" s="46"/>
      <c r="VTB252" s="46"/>
      <c r="VTC252" s="46"/>
      <c r="VTD252" s="46"/>
      <c r="VTE252" s="46"/>
      <c r="VTF252" s="46"/>
      <c r="VTG252" s="46"/>
      <c r="VTH252" s="46"/>
      <c r="VTI252" s="46"/>
      <c r="VTJ252" s="46"/>
      <c r="VTK252" s="46"/>
      <c r="VTL252" s="46"/>
      <c r="VTM252" s="46"/>
      <c r="VTN252" s="46"/>
      <c r="VTO252" s="46"/>
      <c r="VTP252" s="46"/>
      <c r="VTQ252" s="46"/>
      <c r="VTR252" s="46"/>
      <c r="VTS252" s="46"/>
      <c r="VTT252" s="46"/>
      <c r="VTU252" s="46"/>
      <c r="VTV252" s="46"/>
      <c r="VTW252" s="46"/>
      <c r="VTX252" s="46"/>
      <c r="VTY252" s="46"/>
      <c r="VTZ252" s="46"/>
      <c r="VUA252" s="46"/>
    </row>
    <row r="253" spans="3:61 15027:15419" s="1" customFormat="1">
      <c r="C253" s="15"/>
      <c r="D253" s="14" t="s">
        <v>7</v>
      </c>
      <c r="E253" s="235">
        <v>106000</v>
      </c>
      <c r="F253" s="20" t="s">
        <v>14</v>
      </c>
      <c r="G253" s="273">
        <f>G247-G249-G251</f>
        <v>0</v>
      </c>
      <c r="H253" s="273">
        <f>H247-H249-H251</f>
        <v>0</v>
      </c>
      <c r="I253" s="273">
        <v>0</v>
      </c>
      <c r="J253" s="1700">
        <v>0</v>
      </c>
      <c r="K253" s="273">
        <v>0</v>
      </c>
      <c r="L253" s="273">
        <v>0</v>
      </c>
      <c r="M253" s="273">
        <v>0</v>
      </c>
      <c r="N253" s="273">
        <f>N247-N249-N251</f>
        <v>0</v>
      </c>
      <c r="O253" s="273">
        <v>0</v>
      </c>
      <c r="P253" s="273">
        <v>0</v>
      </c>
      <c r="Q253" s="273">
        <f t="shared" ref="Q253:V253" si="91">Q247-Q249-Q251</f>
        <v>0</v>
      </c>
      <c r="R253" s="273">
        <f t="shared" si="91"/>
        <v>0</v>
      </c>
      <c r="S253" s="1973"/>
      <c r="T253" s="273">
        <f t="shared" si="91"/>
        <v>0</v>
      </c>
      <c r="U253" s="273">
        <f t="shared" si="91"/>
        <v>0</v>
      </c>
      <c r="V253" s="273">
        <f t="shared" si="91"/>
        <v>0</v>
      </c>
      <c r="W253" s="273">
        <f>W247-W249-W251</f>
        <v>0</v>
      </c>
      <c r="X253" s="273">
        <f t="shared" ref="X253:AK253" si="92">X247-X249-X251</f>
        <v>0</v>
      </c>
      <c r="Y253" s="273"/>
      <c r="Z253" s="273"/>
      <c r="AA253" s="273"/>
      <c r="AB253" s="273"/>
      <c r="AC253" s="273"/>
      <c r="AD253" s="273"/>
      <c r="AE253" s="273"/>
      <c r="AF253" s="273">
        <f t="shared" si="92"/>
        <v>0</v>
      </c>
      <c r="AG253" s="273">
        <f t="shared" si="92"/>
        <v>0</v>
      </c>
      <c r="AH253" s="273">
        <f t="shared" si="92"/>
        <v>0</v>
      </c>
      <c r="AI253" s="273"/>
      <c r="AJ253" s="273"/>
      <c r="AK253" s="273">
        <f t="shared" si="92"/>
        <v>0</v>
      </c>
      <c r="AM253" s="1188">
        <f>SUM(G253:AK253)</f>
        <v>0</v>
      </c>
      <c r="AO253" s="3"/>
      <c r="BI253" s="142"/>
      <c r="VEY253" s="46"/>
      <c r="VEZ253" s="46"/>
      <c r="VFA253" s="46"/>
      <c r="VFB253" s="46"/>
      <c r="VFC253" s="46"/>
      <c r="VFD253" s="46"/>
      <c r="VFE253" s="46"/>
      <c r="VFF253" s="46"/>
      <c r="VFG253" s="46"/>
      <c r="VFH253" s="46"/>
      <c r="VFI253" s="46"/>
      <c r="VFJ253" s="46"/>
      <c r="VFK253" s="46"/>
      <c r="VFL253" s="46"/>
      <c r="VFM253" s="46"/>
      <c r="VFN253" s="46"/>
      <c r="VFO253" s="46"/>
      <c r="VFP253" s="46"/>
      <c r="VFQ253" s="46"/>
      <c r="VFR253" s="46"/>
      <c r="VFS253" s="46"/>
      <c r="VFT253" s="46"/>
      <c r="VFU253" s="46"/>
      <c r="VFV253" s="46"/>
      <c r="VFW253" s="46"/>
      <c r="VFX253" s="46"/>
      <c r="VFY253" s="46"/>
      <c r="VFZ253" s="46"/>
      <c r="VGA253" s="46"/>
      <c r="VGB253" s="46"/>
      <c r="VGC253" s="46"/>
      <c r="VGD253" s="46"/>
      <c r="VGE253" s="46"/>
      <c r="VGF253" s="46"/>
      <c r="VGG253" s="46"/>
      <c r="VGH253" s="46"/>
      <c r="VGI253" s="46"/>
      <c r="VGJ253" s="46"/>
      <c r="VGK253" s="46"/>
      <c r="VGL253" s="46"/>
      <c r="VGM253" s="46"/>
      <c r="VGN253" s="46"/>
      <c r="VGO253" s="46"/>
      <c r="VGP253" s="46"/>
      <c r="VGQ253" s="46"/>
      <c r="VGR253" s="46"/>
      <c r="VGS253" s="46"/>
      <c r="VGT253" s="46"/>
      <c r="VGU253" s="46"/>
      <c r="VGV253" s="46"/>
      <c r="VGW253" s="46"/>
      <c r="VGX253" s="46"/>
      <c r="VGY253" s="46"/>
      <c r="VGZ253" s="46"/>
      <c r="VHA253" s="46"/>
      <c r="VHB253" s="46"/>
      <c r="VHC253" s="46"/>
      <c r="VHD253" s="46"/>
      <c r="VHE253" s="46"/>
      <c r="VHF253" s="46"/>
      <c r="VHG253" s="46"/>
      <c r="VHH253" s="46"/>
      <c r="VHI253" s="46"/>
      <c r="VHJ253" s="46"/>
      <c r="VHK253" s="46"/>
      <c r="VHL253" s="46"/>
      <c r="VHM253" s="46"/>
      <c r="VHN253" s="46"/>
      <c r="VHO253" s="46"/>
      <c r="VHP253" s="46"/>
      <c r="VHQ253" s="46"/>
      <c r="VHR253" s="46"/>
      <c r="VHS253" s="46"/>
      <c r="VHT253" s="46"/>
      <c r="VHU253" s="46"/>
      <c r="VHV253" s="46"/>
      <c r="VHW253" s="46"/>
      <c r="VHX253" s="46"/>
      <c r="VHY253" s="46"/>
      <c r="VHZ253" s="46"/>
      <c r="VIA253" s="46"/>
      <c r="VIB253" s="46"/>
      <c r="VIC253" s="46"/>
      <c r="VID253" s="46"/>
      <c r="VIE253" s="46"/>
      <c r="VIF253" s="46"/>
      <c r="VIG253" s="46"/>
      <c r="VIH253" s="46"/>
      <c r="VII253" s="46"/>
      <c r="VIJ253" s="46"/>
      <c r="VIK253" s="46"/>
      <c r="VIL253" s="46"/>
      <c r="VIM253" s="46"/>
      <c r="VIN253" s="46"/>
      <c r="VIO253" s="46"/>
      <c r="VIP253" s="46"/>
      <c r="VIQ253" s="46"/>
      <c r="VIR253" s="46"/>
      <c r="VIS253" s="46"/>
      <c r="VIT253" s="46"/>
      <c r="VIU253" s="46"/>
      <c r="VIV253" s="46"/>
      <c r="VIW253" s="46"/>
      <c r="VIX253" s="46"/>
      <c r="VIY253" s="46"/>
      <c r="VIZ253" s="46"/>
      <c r="VJA253" s="46"/>
      <c r="VJB253" s="46"/>
      <c r="VJC253" s="46"/>
      <c r="VJD253" s="46"/>
      <c r="VJE253" s="46"/>
      <c r="VJF253" s="46"/>
      <c r="VJG253" s="46"/>
      <c r="VJH253" s="46"/>
      <c r="VJI253" s="46"/>
      <c r="VJJ253" s="46"/>
      <c r="VJK253" s="46"/>
      <c r="VJL253" s="46"/>
      <c r="VJM253" s="46"/>
      <c r="VJN253" s="46"/>
      <c r="VJO253" s="46"/>
      <c r="VJP253" s="46"/>
      <c r="VJQ253" s="46"/>
      <c r="VJR253" s="46"/>
      <c r="VJS253" s="46"/>
      <c r="VJT253" s="46"/>
      <c r="VJU253" s="46"/>
      <c r="VJV253" s="46"/>
      <c r="VJW253" s="46"/>
      <c r="VJX253" s="46"/>
      <c r="VJY253" s="46"/>
      <c r="VJZ253" s="46"/>
      <c r="VKA253" s="46"/>
      <c r="VKB253" s="46"/>
      <c r="VKC253" s="46"/>
      <c r="VKD253" s="46"/>
      <c r="VKE253" s="46"/>
      <c r="VKF253" s="46"/>
      <c r="VKG253" s="46"/>
      <c r="VKH253" s="46"/>
      <c r="VKI253" s="46"/>
      <c r="VKJ253" s="46"/>
      <c r="VKK253" s="46"/>
      <c r="VKL253" s="46"/>
      <c r="VKM253" s="46"/>
      <c r="VKN253" s="46"/>
      <c r="VKO253" s="46"/>
      <c r="VKP253" s="46"/>
      <c r="VKQ253" s="46"/>
      <c r="VKR253" s="46"/>
      <c r="VKS253" s="46"/>
      <c r="VKT253" s="46"/>
      <c r="VKU253" s="46"/>
      <c r="VKV253" s="46"/>
      <c r="VKW253" s="46"/>
      <c r="VKX253" s="46"/>
      <c r="VKY253" s="46"/>
      <c r="VKZ253" s="46"/>
      <c r="VLA253" s="46"/>
      <c r="VLB253" s="46"/>
      <c r="VLC253" s="46"/>
      <c r="VLD253" s="46"/>
      <c r="VLE253" s="46"/>
      <c r="VLF253" s="46"/>
      <c r="VLG253" s="46"/>
      <c r="VLH253" s="46"/>
      <c r="VLI253" s="46"/>
      <c r="VLJ253" s="46"/>
      <c r="VLK253" s="46"/>
      <c r="VLL253" s="46"/>
      <c r="VLM253" s="46"/>
      <c r="VLN253" s="46"/>
      <c r="VLO253" s="46"/>
      <c r="VLP253" s="46"/>
      <c r="VLQ253" s="46"/>
      <c r="VLR253" s="46"/>
      <c r="VLS253" s="46"/>
      <c r="VLT253" s="46"/>
      <c r="VLU253" s="46"/>
      <c r="VLV253" s="46"/>
      <c r="VLW253" s="46"/>
      <c r="VLX253" s="46"/>
      <c r="VLY253" s="46"/>
      <c r="VLZ253" s="46"/>
      <c r="VMA253" s="46"/>
      <c r="VMB253" s="46"/>
      <c r="VMC253" s="46"/>
      <c r="VMD253" s="46"/>
      <c r="VME253" s="46"/>
      <c r="VMF253" s="46"/>
      <c r="VMG253" s="46"/>
      <c r="VMH253" s="46"/>
      <c r="VMI253" s="46"/>
      <c r="VMJ253" s="46"/>
      <c r="VMK253" s="46"/>
      <c r="VML253" s="46"/>
      <c r="VMM253" s="46"/>
      <c r="VMN253" s="46"/>
      <c r="VMO253" s="46"/>
      <c r="VMP253" s="46"/>
      <c r="VMQ253" s="46"/>
      <c r="VMR253" s="46"/>
      <c r="VMS253" s="46"/>
      <c r="VMT253" s="46"/>
      <c r="VMU253" s="46"/>
      <c r="VMV253" s="46"/>
      <c r="VMW253" s="46"/>
      <c r="VMX253" s="46"/>
      <c r="VMY253" s="46"/>
      <c r="VMZ253" s="46"/>
      <c r="VNA253" s="46"/>
      <c r="VNB253" s="46"/>
      <c r="VNC253" s="46"/>
      <c r="VND253" s="46"/>
      <c r="VNE253" s="46"/>
      <c r="VNF253" s="46"/>
      <c r="VNG253" s="46"/>
      <c r="VNH253" s="46"/>
      <c r="VNI253" s="46"/>
      <c r="VNJ253" s="46"/>
      <c r="VNK253" s="46"/>
      <c r="VNL253" s="46"/>
      <c r="VNM253" s="46"/>
      <c r="VNN253" s="46"/>
      <c r="VNO253" s="46"/>
      <c r="VNP253" s="46"/>
      <c r="VNQ253" s="46"/>
      <c r="VNR253" s="46"/>
      <c r="VNS253" s="46"/>
      <c r="VNT253" s="46"/>
      <c r="VNU253" s="46"/>
      <c r="VNV253" s="46"/>
      <c r="VNW253" s="46"/>
      <c r="VNX253" s="46"/>
      <c r="VNY253" s="46"/>
      <c r="VNZ253" s="46"/>
      <c r="VOA253" s="46"/>
      <c r="VOB253" s="46"/>
      <c r="VOC253" s="46"/>
      <c r="VOD253" s="46"/>
      <c r="VOE253" s="46"/>
      <c r="VOF253" s="46"/>
      <c r="VOG253" s="46"/>
      <c r="VOH253" s="46"/>
      <c r="VOI253" s="46"/>
      <c r="VOJ253" s="46"/>
      <c r="VOK253" s="46"/>
      <c r="VOL253" s="46"/>
      <c r="VOM253" s="46"/>
      <c r="VON253" s="46"/>
      <c r="VOO253" s="46"/>
      <c r="VOP253" s="46"/>
      <c r="VOQ253" s="46"/>
      <c r="VOR253" s="46"/>
      <c r="VOS253" s="46"/>
      <c r="VOT253" s="46"/>
      <c r="VOU253" s="46"/>
      <c r="VOV253" s="46"/>
      <c r="VOW253" s="46"/>
      <c r="VOX253" s="46"/>
      <c r="VOY253" s="46"/>
      <c r="VOZ253" s="46"/>
      <c r="VPA253" s="46"/>
      <c r="VPB253" s="46"/>
      <c r="VPC253" s="46"/>
      <c r="VPD253" s="46"/>
      <c r="VPE253" s="46"/>
      <c r="VPF253" s="46"/>
      <c r="VPG253" s="46"/>
      <c r="VPH253" s="46"/>
      <c r="VPI253" s="46"/>
      <c r="VPJ253" s="46"/>
      <c r="VPK253" s="46"/>
      <c r="VPL253" s="46"/>
      <c r="VPM253" s="46"/>
      <c r="VPN253" s="46"/>
      <c r="VPO253" s="46"/>
      <c r="VPP253" s="46"/>
      <c r="VPQ253" s="46"/>
      <c r="VPR253" s="46"/>
      <c r="VPS253" s="46"/>
      <c r="VPT253" s="46"/>
      <c r="VPU253" s="46"/>
      <c r="VPV253" s="46"/>
      <c r="VPW253" s="46"/>
      <c r="VPX253" s="46"/>
      <c r="VPY253" s="46"/>
      <c r="VPZ253" s="46"/>
      <c r="VQA253" s="46"/>
      <c r="VQB253" s="46"/>
      <c r="VQC253" s="46"/>
      <c r="VQD253" s="46"/>
      <c r="VQE253" s="46"/>
      <c r="VQF253" s="46"/>
      <c r="VQG253" s="46"/>
      <c r="VQH253" s="46"/>
      <c r="VQI253" s="46"/>
      <c r="VQJ253" s="46"/>
      <c r="VQK253" s="46"/>
      <c r="VQL253" s="46"/>
      <c r="VQM253" s="46"/>
      <c r="VQN253" s="46"/>
      <c r="VQO253" s="46"/>
      <c r="VQP253" s="46"/>
      <c r="VQQ253" s="46"/>
      <c r="VQR253" s="46"/>
      <c r="VQS253" s="46"/>
      <c r="VQT253" s="46"/>
      <c r="VQU253" s="46"/>
      <c r="VQV253" s="46"/>
      <c r="VQW253" s="46"/>
      <c r="VQX253" s="46"/>
      <c r="VQY253" s="46"/>
      <c r="VQZ253" s="46"/>
      <c r="VRA253" s="46"/>
      <c r="VRB253" s="46"/>
      <c r="VRC253" s="46"/>
      <c r="VRD253" s="46"/>
      <c r="VRE253" s="46"/>
      <c r="VRF253" s="46"/>
      <c r="VRG253" s="46"/>
      <c r="VRH253" s="46"/>
      <c r="VRI253" s="46"/>
      <c r="VRJ253" s="46"/>
      <c r="VRK253" s="46"/>
      <c r="VRL253" s="46"/>
      <c r="VRM253" s="46"/>
      <c r="VRN253" s="46"/>
      <c r="VRO253" s="46"/>
      <c r="VRP253" s="46"/>
      <c r="VRQ253" s="46"/>
      <c r="VRR253" s="46"/>
      <c r="VRS253" s="46"/>
      <c r="VRT253" s="46"/>
      <c r="VRU253" s="46"/>
      <c r="VRV253" s="46"/>
      <c r="VRW253" s="46"/>
      <c r="VRX253" s="46"/>
      <c r="VRY253" s="46"/>
      <c r="VRZ253" s="46"/>
      <c r="VSA253" s="46"/>
      <c r="VSB253" s="46"/>
      <c r="VSC253" s="46"/>
      <c r="VSD253" s="46"/>
      <c r="VSE253" s="46"/>
      <c r="VSF253" s="46"/>
      <c r="VSG253" s="46"/>
      <c r="VSH253" s="46"/>
      <c r="VSI253" s="46"/>
      <c r="VSJ253" s="46"/>
      <c r="VSK253" s="46"/>
      <c r="VSL253" s="46"/>
      <c r="VSM253" s="46"/>
      <c r="VSN253" s="46"/>
      <c r="VSO253" s="46"/>
      <c r="VSP253" s="46"/>
      <c r="VSQ253" s="46"/>
      <c r="VSR253" s="46"/>
      <c r="VSS253" s="46"/>
      <c r="VST253" s="46"/>
      <c r="VSU253" s="46"/>
      <c r="VSV253" s="46"/>
      <c r="VSW253" s="46"/>
      <c r="VSX253" s="46"/>
      <c r="VSY253" s="46"/>
      <c r="VSZ253" s="46"/>
      <c r="VTA253" s="46"/>
      <c r="VTB253" s="46"/>
      <c r="VTC253" s="46"/>
      <c r="VTD253" s="46"/>
      <c r="VTE253" s="46"/>
      <c r="VTF253" s="46"/>
      <c r="VTG253" s="46"/>
      <c r="VTH253" s="46"/>
      <c r="VTI253" s="46"/>
      <c r="VTJ253" s="46"/>
      <c r="VTK253" s="46"/>
      <c r="VTL253" s="46"/>
      <c r="VTM253" s="46"/>
      <c r="VTN253" s="46"/>
      <c r="VTO253" s="46"/>
      <c r="VTP253" s="46"/>
      <c r="VTQ253" s="46"/>
      <c r="VTR253" s="46"/>
      <c r="VTS253" s="46"/>
      <c r="VTT253" s="46"/>
      <c r="VTU253" s="46"/>
      <c r="VTV253" s="46"/>
      <c r="VTW253" s="46"/>
      <c r="VTX253" s="46"/>
      <c r="VTY253" s="46"/>
      <c r="VTZ253" s="46"/>
      <c r="VUA253" s="46"/>
    </row>
    <row r="254" spans="3:61 15027:15419" s="1" customFormat="1">
      <c r="C254" s="15"/>
      <c r="D254" s="14"/>
      <c r="E254" s="235"/>
      <c r="F254" s="2011"/>
      <c r="G254" s="33"/>
      <c r="H254" s="33"/>
      <c r="I254" s="33"/>
      <c r="J254" s="33"/>
      <c r="K254" s="33">
        <v>0</v>
      </c>
      <c r="L254" s="33">
        <v>0</v>
      </c>
      <c r="M254" s="33"/>
      <c r="N254" s="33"/>
      <c r="O254" s="33"/>
      <c r="P254" s="33"/>
      <c r="Q254" s="33"/>
      <c r="R254" s="33"/>
      <c r="S254" s="1965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M254" s="55" t="e">
        <f>AM253/AM9*1000</f>
        <v>#DIV/0!</v>
      </c>
      <c r="AO254" s="3"/>
      <c r="BI254" s="142"/>
      <c r="VEY254" s="46"/>
      <c r="VEZ254" s="46"/>
      <c r="VFA254" s="46"/>
      <c r="VFB254" s="46"/>
      <c r="VFC254" s="46"/>
      <c r="VFD254" s="46"/>
      <c r="VFE254" s="46"/>
      <c r="VFF254" s="46"/>
      <c r="VFG254" s="46"/>
      <c r="VFH254" s="46"/>
      <c r="VFI254" s="46"/>
      <c r="VFJ254" s="46"/>
      <c r="VFK254" s="46"/>
      <c r="VFL254" s="46"/>
      <c r="VFM254" s="46"/>
      <c r="VFN254" s="46"/>
      <c r="VFO254" s="46"/>
      <c r="VFP254" s="46"/>
      <c r="VFQ254" s="46"/>
      <c r="VFR254" s="46"/>
      <c r="VFS254" s="46"/>
      <c r="VFT254" s="46"/>
      <c r="VFU254" s="46"/>
      <c r="VFV254" s="46"/>
      <c r="VFW254" s="46"/>
      <c r="VFX254" s="46"/>
      <c r="VFY254" s="46"/>
      <c r="VFZ254" s="46"/>
      <c r="VGA254" s="46"/>
      <c r="VGB254" s="46"/>
      <c r="VGC254" s="46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  <c r="VTZ254" s="46"/>
      <c r="VUA254" s="46"/>
    </row>
    <row r="255" spans="3:61 15027:15419" s="2" customFormat="1" thickBot="1">
      <c r="C255" s="40"/>
      <c r="D255" s="28" t="s">
        <v>1</v>
      </c>
      <c r="E255" s="264">
        <v>408000</v>
      </c>
      <c r="F255" s="20" t="s">
        <v>14</v>
      </c>
      <c r="G255" s="283">
        <f t="shared" ref="G255:AK255" si="93">SUM(G249,G251,G253)</f>
        <v>0</v>
      </c>
      <c r="H255" s="283">
        <f t="shared" si="93"/>
        <v>0</v>
      </c>
      <c r="I255" s="283">
        <f t="shared" si="93"/>
        <v>0</v>
      </c>
      <c r="J255" s="1649">
        <f t="shared" si="93"/>
        <v>0</v>
      </c>
      <c r="K255" s="283">
        <f t="shared" si="93"/>
        <v>0</v>
      </c>
      <c r="L255" s="283">
        <f t="shared" si="93"/>
        <v>0</v>
      </c>
      <c r="M255" s="42">
        <f t="shared" si="93"/>
        <v>0</v>
      </c>
      <c r="N255" s="42">
        <f t="shared" si="93"/>
        <v>0</v>
      </c>
      <c r="O255" s="1649">
        <f>SUM(O249,O251,O253)</f>
        <v>0</v>
      </c>
      <c r="P255" s="1649">
        <f>SUM(P249,P251,P253)</f>
        <v>0</v>
      </c>
      <c r="Q255" s="1794">
        <f t="shared" si="93"/>
        <v>0</v>
      </c>
      <c r="R255" s="283">
        <f>SUM(R249,R251,R253)</f>
        <v>0</v>
      </c>
      <c r="S255" s="1980"/>
      <c r="T255" s="283">
        <f t="shared" ref="T255:V255" si="94">SUM(T249,T251,T253)</f>
        <v>0</v>
      </c>
      <c r="U255" s="283">
        <f t="shared" si="94"/>
        <v>0</v>
      </c>
      <c r="V255" s="283">
        <f t="shared" si="94"/>
        <v>0</v>
      </c>
      <c r="W255" s="283">
        <f>SUM(W249,W251,W253)</f>
        <v>0</v>
      </c>
      <c r="X255" s="283">
        <f t="shared" si="93"/>
        <v>0</v>
      </c>
      <c r="Y255" s="283">
        <f t="shared" si="93"/>
        <v>0</v>
      </c>
      <c r="Z255" s="283">
        <f t="shared" si="93"/>
        <v>0</v>
      </c>
      <c r="AA255" s="283">
        <f t="shared" si="93"/>
        <v>0</v>
      </c>
      <c r="AB255" s="283">
        <f t="shared" si="93"/>
        <v>0</v>
      </c>
      <c r="AC255" s="283"/>
      <c r="AD255" s="283">
        <f t="shared" si="93"/>
        <v>0</v>
      </c>
      <c r="AE255" s="283">
        <f t="shared" si="93"/>
        <v>0</v>
      </c>
      <c r="AF255" s="283">
        <f t="shared" si="93"/>
        <v>0</v>
      </c>
      <c r="AG255" s="283">
        <f t="shared" si="93"/>
        <v>0</v>
      </c>
      <c r="AH255" s="283">
        <f t="shared" si="93"/>
        <v>0</v>
      </c>
      <c r="AI255" s="283"/>
      <c r="AJ255" s="283"/>
      <c r="AK255" s="283">
        <f t="shared" si="93"/>
        <v>0</v>
      </c>
      <c r="AM255" s="55">
        <f>SUM(G255:AK255)</f>
        <v>0</v>
      </c>
      <c r="BI255" s="152"/>
    </row>
    <row r="256" spans="3:61 15027:15419" s="1" customFormat="1">
      <c r="C256" s="8">
        <v>6</v>
      </c>
      <c r="D256" s="76" t="s">
        <v>13</v>
      </c>
      <c r="E256" s="77"/>
      <c r="F256" s="78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1968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M256" s="137" t="s">
        <v>134</v>
      </c>
      <c r="BI256" s="142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</row>
    <row r="257" spans="3:61 15027:15419" s="16" customFormat="1" ht="13.8">
      <c r="C257" s="17"/>
      <c r="D257" s="243" t="s">
        <v>12</v>
      </c>
      <c r="E257" s="265">
        <v>1100</v>
      </c>
      <c r="F257" s="244" t="s">
        <v>124</v>
      </c>
      <c r="G257" s="245">
        <v>0</v>
      </c>
      <c r="H257" s="245">
        <v>0</v>
      </c>
      <c r="I257" s="245">
        <v>0</v>
      </c>
      <c r="J257" s="245">
        <v>0</v>
      </c>
      <c r="K257" s="245">
        <v>0</v>
      </c>
      <c r="L257" s="245">
        <v>0</v>
      </c>
      <c r="M257" s="245">
        <v>0</v>
      </c>
      <c r="N257" s="245">
        <v>0</v>
      </c>
      <c r="O257" s="245">
        <v>0</v>
      </c>
      <c r="P257" s="245">
        <v>0</v>
      </c>
      <c r="Q257" s="245"/>
      <c r="R257" s="245"/>
      <c r="S257" s="1969"/>
      <c r="T257" s="245"/>
      <c r="U257" s="245"/>
      <c r="V257" s="245"/>
      <c r="W257" s="245"/>
      <c r="X257" s="245"/>
      <c r="Y257" s="245"/>
      <c r="Z257" s="245"/>
      <c r="AA257" s="245"/>
      <c r="AB257" s="245"/>
      <c r="AC257" s="245"/>
      <c r="AD257" s="245"/>
      <c r="AE257" s="245"/>
      <c r="AF257" s="245"/>
      <c r="AG257" s="245">
        <v>0</v>
      </c>
      <c r="AH257" s="245">
        <v>0</v>
      </c>
      <c r="AI257" s="245"/>
      <c r="AJ257" s="245"/>
      <c r="AK257" s="245"/>
      <c r="AL257" s="758"/>
      <c r="AM257" s="824">
        <f>SUM(G257:AK257)</f>
        <v>0</v>
      </c>
      <c r="AP257" s="1567"/>
      <c r="BI257" s="145"/>
    </row>
    <row r="258" spans="3:61 15027:15419" s="16" customFormat="1">
      <c r="C258" s="17"/>
      <c r="D258" s="43" t="s">
        <v>11</v>
      </c>
      <c r="E258" s="252"/>
      <c r="F258" s="12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1966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M258" s="121">
        <f>AM259+AM261+AM263</f>
        <v>0</v>
      </c>
      <c r="AO258" s="140" t="e">
        <f>AM258-AM260-AM262</f>
        <v>#DIV/0!</v>
      </c>
      <c r="BI258" s="145"/>
    </row>
    <row r="259" spans="3:61 15027:15419" s="16" customFormat="1" ht="13.8">
      <c r="C259" s="17"/>
      <c r="D259" s="243" t="s">
        <v>10</v>
      </c>
      <c r="E259" s="266">
        <v>93.6</v>
      </c>
      <c r="F259" s="244" t="s">
        <v>998</v>
      </c>
      <c r="G259" s="245">
        <v>0</v>
      </c>
      <c r="H259" s="245">
        <v>0</v>
      </c>
      <c r="I259" s="245">
        <v>0</v>
      </c>
      <c r="J259" s="245">
        <v>0</v>
      </c>
      <c r="K259" s="245">
        <v>0</v>
      </c>
      <c r="L259" s="245">
        <v>0</v>
      </c>
      <c r="M259" s="245">
        <v>0</v>
      </c>
      <c r="N259" s="245">
        <v>0</v>
      </c>
      <c r="O259" s="245">
        <v>0</v>
      </c>
      <c r="P259" s="245">
        <v>0</v>
      </c>
      <c r="Q259" s="276"/>
      <c r="R259" s="276"/>
      <c r="S259" s="1975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  <c r="AD259" s="246"/>
      <c r="AE259" s="246"/>
      <c r="AF259" s="246"/>
      <c r="AG259" s="246">
        <v>0</v>
      </c>
      <c r="AH259" s="246"/>
      <c r="AI259" s="246"/>
      <c r="AJ259" s="246"/>
      <c r="AK259" s="246"/>
      <c r="AM259" s="824">
        <f>SUM(G259:AK259)</f>
        <v>0</v>
      </c>
      <c r="BI259" s="145"/>
    </row>
    <row r="260" spans="3:61 15027:15419" s="16" customFormat="1" ht="13.8">
      <c r="C260" s="17"/>
      <c r="D260" s="31"/>
      <c r="E260" s="266">
        <f>E259/2500</f>
        <v>3.7440000000000001E-2</v>
      </c>
      <c r="F260" s="32" t="s">
        <v>357</v>
      </c>
      <c r="G260" s="34" t="e">
        <f>G259/(G9/1000)</f>
        <v>#DIV/0!</v>
      </c>
      <c r="H260" s="34" t="e">
        <f>H259/(H9/1000)</f>
        <v>#DIV/0!</v>
      </c>
      <c r="I260" s="34" t="e">
        <f>I259/(I9/1000)</f>
        <v>#DIV/0!</v>
      </c>
      <c r="J260" s="34" t="e">
        <f>J259/(J9/1000)</f>
        <v>#DIV/0!</v>
      </c>
      <c r="K260" s="34" t="e">
        <f t="shared" ref="K260:AK260" si="95">K259/(K9/1000)</f>
        <v>#DIV/0!</v>
      </c>
      <c r="L260" s="34" t="e">
        <f t="shared" si="95"/>
        <v>#DIV/0!</v>
      </c>
      <c r="M260" s="34" t="e">
        <f t="shared" si="95"/>
        <v>#DIV/0!</v>
      </c>
      <c r="N260" s="34" t="e">
        <f t="shared" si="95"/>
        <v>#DIV/0!</v>
      </c>
      <c r="O260" s="34" t="e">
        <f t="shared" si="95"/>
        <v>#DIV/0!</v>
      </c>
      <c r="P260" s="34" t="e">
        <f t="shared" si="95"/>
        <v>#DIV/0!</v>
      </c>
      <c r="Q260" s="34" t="e">
        <f>Q259/(Q9/1000)</f>
        <v>#DIV/0!</v>
      </c>
      <c r="R260" s="34" t="e">
        <f t="shared" si="95"/>
        <v>#DIV/0!</v>
      </c>
      <c r="S260" s="34" t="e">
        <f t="shared" si="95"/>
        <v>#DIV/0!</v>
      </c>
      <c r="T260" s="34" t="e">
        <f t="shared" si="95"/>
        <v>#DIV/0!</v>
      </c>
      <c r="U260" s="34" t="e">
        <f t="shared" si="95"/>
        <v>#DIV/0!</v>
      </c>
      <c r="V260" s="34" t="e">
        <f t="shared" si="95"/>
        <v>#DIV/0!</v>
      </c>
      <c r="W260" s="34" t="e">
        <f t="shared" ref="W260:AE260" si="96">W259/(W9/1000)</f>
        <v>#DIV/0!</v>
      </c>
      <c r="X260" s="34" t="e">
        <f t="shared" si="96"/>
        <v>#DIV/0!</v>
      </c>
      <c r="Y260" s="34" t="e">
        <f t="shared" si="96"/>
        <v>#DIV/0!</v>
      </c>
      <c r="Z260" s="34" t="e">
        <f t="shared" si="96"/>
        <v>#DIV/0!</v>
      </c>
      <c r="AA260" s="34" t="e">
        <f t="shared" si="96"/>
        <v>#DIV/0!</v>
      </c>
      <c r="AB260" s="34" t="e">
        <f t="shared" si="96"/>
        <v>#DIV/0!</v>
      </c>
      <c r="AC260" s="34" t="e">
        <f t="shared" si="96"/>
        <v>#DIV/0!</v>
      </c>
      <c r="AD260" s="34" t="e">
        <f t="shared" si="96"/>
        <v>#DIV/0!</v>
      </c>
      <c r="AE260" s="34" t="e">
        <f t="shared" si="96"/>
        <v>#DIV/0!</v>
      </c>
      <c r="AF260" s="34" t="e">
        <f t="shared" si="95"/>
        <v>#DIV/0!</v>
      </c>
      <c r="AG260" s="34" t="e">
        <f t="shared" si="95"/>
        <v>#DIV/0!</v>
      </c>
      <c r="AH260" s="34" t="e">
        <f t="shared" si="95"/>
        <v>#DIV/0!</v>
      </c>
      <c r="AI260" s="34" t="e">
        <f t="shared" si="95"/>
        <v>#DIV/0!</v>
      </c>
      <c r="AJ260" s="34" t="e">
        <f t="shared" si="95"/>
        <v>#DIV/0!</v>
      </c>
      <c r="AK260" s="34" t="e">
        <f t="shared" si="95"/>
        <v>#DIV/0!</v>
      </c>
      <c r="AM260" s="1523" t="e">
        <f>AM259/AM9*1000000</f>
        <v>#DIV/0!</v>
      </c>
      <c r="BI260" s="145"/>
    </row>
    <row r="261" spans="3:61 15027:15419" s="16" customFormat="1" ht="13.8">
      <c r="C261" s="17"/>
      <c r="D261" s="243" t="s">
        <v>9</v>
      </c>
      <c r="E261" s="1795">
        <v>326</v>
      </c>
      <c r="F261" s="244" t="s">
        <v>998</v>
      </c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76"/>
      <c r="S261" s="1975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6">
        <v>0</v>
      </c>
      <c r="AG261" s="246">
        <v>0</v>
      </c>
      <c r="AH261" s="246"/>
      <c r="AI261" s="246"/>
      <c r="AJ261" s="246"/>
      <c r="AK261" s="246"/>
      <c r="AM261" s="824">
        <f>SUM(G261:AK261)</f>
        <v>0</v>
      </c>
      <c r="BI261" s="145"/>
    </row>
    <row r="262" spans="3:61 15027:15419" s="16" customFormat="1" ht="13.8">
      <c r="C262" s="17"/>
      <c r="D262" s="31"/>
      <c r="E262" s="266">
        <f>E261/2500</f>
        <v>0.13039999999999999</v>
      </c>
      <c r="F262" s="32" t="s">
        <v>357</v>
      </c>
      <c r="G262" s="34" t="e">
        <f>G261/(G24/1000)</f>
        <v>#DIV/0!</v>
      </c>
      <c r="H262" s="34" t="e">
        <f>H261/(H24/1000)</f>
        <v>#DIV/0!</v>
      </c>
      <c r="I262" s="34" t="e">
        <f t="shared" ref="I262:P262" si="97">I261/(I24/1000)</f>
        <v>#DIV/0!</v>
      </c>
      <c r="J262" s="34" t="e">
        <f t="shared" si="97"/>
        <v>#DIV/0!</v>
      </c>
      <c r="K262" s="34" t="e">
        <f t="shared" si="97"/>
        <v>#DIV/0!</v>
      </c>
      <c r="L262" s="34" t="e">
        <f t="shared" si="97"/>
        <v>#DIV/0!</v>
      </c>
      <c r="M262" s="34" t="e">
        <f t="shared" si="97"/>
        <v>#DIV/0!</v>
      </c>
      <c r="N262" s="34" t="e">
        <f t="shared" si="97"/>
        <v>#DIV/0!</v>
      </c>
      <c r="O262" s="34" t="e">
        <f t="shared" si="97"/>
        <v>#DIV/0!</v>
      </c>
      <c r="P262" s="34" t="e">
        <f t="shared" si="97"/>
        <v>#DIV/0!</v>
      </c>
      <c r="Q262" s="34" t="e">
        <f>Q261/(Q24/1000)</f>
        <v>#DIV/0!</v>
      </c>
      <c r="R262" s="34" t="e">
        <f>R261/(R24/1000)</f>
        <v>#DIV/0!</v>
      </c>
      <c r="S262" s="34" t="e">
        <f>S261/(S24/1000)</f>
        <v>#DIV/0!</v>
      </c>
      <c r="T262" s="34" t="e">
        <f>T261/(T24/1000)</f>
        <v>#DIV/0!</v>
      </c>
      <c r="U262" s="34" t="e">
        <f>U261/(U24/1000)</f>
        <v>#DIV/0!</v>
      </c>
      <c r="V262" s="34" t="e">
        <f>V261/(V28/1000)</f>
        <v>#DIV/0!</v>
      </c>
      <c r="W262" s="34" t="e">
        <f t="shared" ref="W262:AK262" si="98">W261/(W24/1000)</f>
        <v>#DIV/0!</v>
      </c>
      <c r="X262" s="34" t="e">
        <f t="shared" si="98"/>
        <v>#DIV/0!</v>
      </c>
      <c r="Y262" s="34" t="e">
        <f t="shared" si="98"/>
        <v>#DIV/0!</v>
      </c>
      <c r="Z262" s="34" t="e">
        <f t="shared" si="98"/>
        <v>#DIV/0!</v>
      </c>
      <c r="AA262" s="34" t="e">
        <f t="shared" si="98"/>
        <v>#DIV/0!</v>
      </c>
      <c r="AB262" s="34" t="e">
        <f t="shared" si="98"/>
        <v>#DIV/0!</v>
      </c>
      <c r="AC262" s="34" t="e">
        <f t="shared" si="98"/>
        <v>#DIV/0!</v>
      </c>
      <c r="AD262" s="34" t="e">
        <f t="shared" si="98"/>
        <v>#DIV/0!</v>
      </c>
      <c r="AE262" s="34" t="e">
        <f t="shared" si="98"/>
        <v>#DIV/0!</v>
      </c>
      <c r="AF262" s="34" t="e">
        <f t="shared" si="98"/>
        <v>#DIV/0!</v>
      </c>
      <c r="AG262" s="34" t="e">
        <f t="shared" si="98"/>
        <v>#DIV/0!</v>
      </c>
      <c r="AH262" s="34" t="e">
        <f t="shared" si="98"/>
        <v>#DIV/0!</v>
      </c>
      <c r="AI262" s="34" t="e">
        <f t="shared" si="98"/>
        <v>#DIV/0!</v>
      </c>
      <c r="AJ262" s="34" t="e">
        <f t="shared" si="98"/>
        <v>#DIV/0!</v>
      </c>
      <c r="AK262" s="34" t="e">
        <f t="shared" si="98"/>
        <v>#DIV/0!</v>
      </c>
      <c r="AL262" s="1521"/>
      <c r="AM262" s="1523" t="e">
        <f>(AM261/AM28)*1000000</f>
        <v>#DIV/0!</v>
      </c>
      <c r="BI262" s="145"/>
    </row>
    <row r="263" spans="3:61 15027:15419" s="16" customFormat="1" ht="13.8">
      <c r="C263" s="17"/>
      <c r="D263" s="243" t="s">
        <v>8</v>
      </c>
      <c r="E263" s="265">
        <v>491.59</v>
      </c>
      <c r="F263" s="244" t="s">
        <v>124</v>
      </c>
      <c r="G263" s="246">
        <v>0</v>
      </c>
      <c r="H263" s="246">
        <v>0</v>
      </c>
      <c r="I263" s="246">
        <v>0</v>
      </c>
      <c r="J263" s="246">
        <v>0</v>
      </c>
      <c r="K263" s="246">
        <v>0</v>
      </c>
      <c r="L263" s="246">
        <v>0</v>
      </c>
      <c r="M263" s="246">
        <v>0</v>
      </c>
      <c r="N263" s="246">
        <v>0</v>
      </c>
      <c r="O263" s="246">
        <v>0</v>
      </c>
      <c r="P263" s="246">
        <v>0</v>
      </c>
      <c r="Q263" s="246"/>
      <c r="R263" s="246"/>
      <c r="S263" s="1970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6"/>
      <c r="AG263" s="246"/>
      <c r="AH263" s="246">
        <v>0</v>
      </c>
      <c r="AI263" s="246"/>
      <c r="AJ263" s="246"/>
      <c r="AK263" s="246"/>
      <c r="AM263" s="824">
        <f>SUM(G263:AK263)</f>
        <v>0</v>
      </c>
      <c r="BI263" s="145"/>
    </row>
    <row r="264" spans="3:61 15027:15419" s="16" customFormat="1" ht="13.8">
      <c r="C264" s="17"/>
      <c r="D264" s="31" t="s">
        <v>7</v>
      </c>
      <c r="E264" s="265">
        <v>337.28</v>
      </c>
      <c r="F264" s="32" t="s">
        <v>124</v>
      </c>
      <c r="G264" s="34">
        <f>G257-G259-G261-G263</f>
        <v>0</v>
      </c>
      <c r="H264" s="34">
        <f>H257-H259-H261-H263</f>
        <v>0</v>
      </c>
      <c r="I264" s="34">
        <f t="shared" ref="I264:AK264" si="99">I257-I259-I261-I263</f>
        <v>0</v>
      </c>
      <c r="J264" s="34">
        <f t="shared" si="99"/>
        <v>0</v>
      </c>
      <c r="K264" s="34">
        <v>0</v>
      </c>
      <c r="L264" s="34">
        <f t="shared" si="99"/>
        <v>0</v>
      </c>
      <c r="M264" s="34">
        <f t="shared" si="99"/>
        <v>0</v>
      </c>
      <c r="N264" s="34">
        <f t="shared" si="99"/>
        <v>0</v>
      </c>
      <c r="O264" s="34">
        <f t="shared" si="99"/>
        <v>0</v>
      </c>
      <c r="P264" s="34">
        <f t="shared" si="99"/>
        <v>0</v>
      </c>
      <c r="Q264" s="34">
        <f t="shared" si="99"/>
        <v>0</v>
      </c>
      <c r="R264" s="34">
        <f t="shared" si="99"/>
        <v>0</v>
      </c>
      <c r="S264" s="34">
        <f t="shared" si="99"/>
        <v>0</v>
      </c>
      <c r="T264" s="34">
        <f t="shared" si="99"/>
        <v>0</v>
      </c>
      <c r="U264" s="34">
        <f t="shared" si="99"/>
        <v>0</v>
      </c>
      <c r="V264" s="34">
        <f t="shared" si="99"/>
        <v>0</v>
      </c>
      <c r="W264" s="34">
        <f t="shared" si="99"/>
        <v>0</v>
      </c>
      <c r="X264" s="34">
        <f t="shared" si="99"/>
        <v>0</v>
      </c>
      <c r="Y264" s="34">
        <f t="shared" si="99"/>
        <v>0</v>
      </c>
      <c r="Z264" s="34">
        <f t="shared" si="99"/>
        <v>0</v>
      </c>
      <c r="AA264" s="34">
        <f t="shared" si="99"/>
        <v>0</v>
      </c>
      <c r="AB264" s="34">
        <f t="shared" si="99"/>
        <v>0</v>
      </c>
      <c r="AC264" s="34">
        <f t="shared" si="99"/>
        <v>0</v>
      </c>
      <c r="AD264" s="34">
        <f t="shared" si="99"/>
        <v>0</v>
      </c>
      <c r="AE264" s="34">
        <f t="shared" si="99"/>
        <v>0</v>
      </c>
      <c r="AF264" s="34">
        <f t="shared" si="99"/>
        <v>0</v>
      </c>
      <c r="AG264" s="34">
        <f t="shared" si="99"/>
        <v>0</v>
      </c>
      <c r="AH264" s="34">
        <f t="shared" si="99"/>
        <v>0</v>
      </c>
      <c r="AI264" s="34"/>
      <c r="AJ264" s="34"/>
      <c r="AK264" s="34">
        <f t="shared" si="99"/>
        <v>0</v>
      </c>
      <c r="AM264" s="55">
        <f>SUM(G264:AK264)</f>
        <v>0</v>
      </c>
      <c r="BI264" s="145"/>
    </row>
    <row r="265" spans="3:61 15027:15419" s="16" customFormat="1" ht="13.8">
      <c r="C265" s="17"/>
      <c r="D265" s="243" t="s">
        <v>6</v>
      </c>
      <c r="E265" s="265">
        <v>330</v>
      </c>
      <c r="F265" s="244" t="s">
        <v>124</v>
      </c>
      <c r="G265" s="246">
        <v>0</v>
      </c>
      <c r="H265" s="246">
        <v>0</v>
      </c>
      <c r="I265" s="246">
        <v>0</v>
      </c>
      <c r="J265" s="246">
        <v>0</v>
      </c>
      <c r="K265" s="246">
        <v>0</v>
      </c>
      <c r="L265" s="246">
        <v>0</v>
      </c>
      <c r="M265" s="246">
        <v>0</v>
      </c>
      <c r="N265" s="246">
        <v>0</v>
      </c>
      <c r="O265" s="246">
        <v>0</v>
      </c>
      <c r="P265" s="246">
        <v>0</v>
      </c>
      <c r="Q265" s="246"/>
      <c r="R265" s="246"/>
      <c r="S265" s="1970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  <c r="AD265" s="246"/>
      <c r="AE265" s="246"/>
      <c r="AF265" s="246"/>
      <c r="AG265" s="246">
        <v>0</v>
      </c>
      <c r="AH265" s="246">
        <v>0</v>
      </c>
      <c r="AI265" s="246"/>
      <c r="AJ265" s="246"/>
      <c r="AK265" s="246"/>
      <c r="AM265" s="961">
        <f>SUM(G265:AK265)</f>
        <v>0</v>
      </c>
      <c r="BI265" s="145"/>
    </row>
    <row r="266" spans="3:61 15027:15419" s="16" customFormat="1" ht="13.8">
      <c r="C266" s="956"/>
      <c r="D266" s="957"/>
      <c r="E266" s="958"/>
      <c r="F266" s="959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1974"/>
      <c r="T266" s="274"/>
      <c r="U266" s="274"/>
      <c r="V266" s="274"/>
      <c r="W266" s="274"/>
      <c r="X266" s="274"/>
      <c r="Y266" s="274"/>
      <c r="Z266" s="274"/>
      <c r="AA266" s="274"/>
      <c r="AB266" s="274"/>
      <c r="AC266" s="274"/>
      <c r="AD266" s="274"/>
      <c r="AE266" s="274"/>
      <c r="AF266" s="274"/>
      <c r="AG266" s="274"/>
      <c r="AH266" s="274"/>
      <c r="AI266" s="274"/>
      <c r="AJ266" s="274"/>
      <c r="AK266" s="274"/>
      <c r="AL266" s="809"/>
      <c r="AM266" s="960" t="e">
        <f>AM265/AM6</f>
        <v>#DIV/0!</v>
      </c>
      <c r="BI266" s="145"/>
    </row>
    <row r="267" spans="3:61 15027:15419" s="1" customFormat="1">
      <c r="C267" s="84">
        <v>7</v>
      </c>
      <c r="D267" s="76" t="s">
        <v>5</v>
      </c>
      <c r="E267" s="77"/>
      <c r="F267" s="78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1968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M267" s="122" t="s">
        <v>135</v>
      </c>
      <c r="BI267" s="142"/>
      <c r="VEY267" s="46"/>
      <c r="VEZ267" s="46"/>
      <c r="VFA267" s="46"/>
      <c r="VFB267" s="46"/>
      <c r="VFC267" s="46"/>
      <c r="VFD267" s="46"/>
      <c r="VFE267" s="46"/>
      <c r="VFF267" s="46"/>
      <c r="VFG267" s="46"/>
      <c r="VFH267" s="46"/>
      <c r="VFI267" s="46"/>
      <c r="VFJ267" s="46"/>
      <c r="VFK267" s="46"/>
      <c r="VFL267" s="46"/>
      <c r="VFM267" s="46"/>
      <c r="VFN267" s="46"/>
      <c r="VFO267" s="46"/>
      <c r="VFP267" s="46"/>
      <c r="VFQ267" s="46"/>
      <c r="VFR267" s="46"/>
      <c r="VFS267" s="46"/>
      <c r="VFT267" s="46"/>
      <c r="VFU267" s="46"/>
      <c r="VFV267" s="46"/>
      <c r="VFW267" s="46"/>
      <c r="VFX267" s="46"/>
      <c r="VFY267" s="46"/>
      <c r="VFZ267" s="46"/>
      <c r="VGA267" s="46"/>
      <c r="VGB267" s="46"/>
      <c r="VGC267" s="46"/>
      <c r="VGD267" s="46"/>
      <c r="VGE267" s="46"/>
      <c r="VGF267" s="46"/>
      <c r="VGG267" s="46"/>
      <c r="VGH267" s="46"/>
      <c r="VGI267" s="46"/>
      <c r="VGJ267" s="46"/>
      <c r="VGK267" s="46"/>
      <c r="VGL267" s="46"/>
      <c r="VGM267" s="46"/>
      <c r="VGN267" s="46"/>
      <c r="VGO267" s="46"/>
      <c r="VGP267" s="46"/>
      <c r="VGQ267" s="46"/>
      <c r="VGR267" s="46"/>
      <c r="VGS267" s="46"/>
      <c r="VGT267" s="46"/>
      <c r="VGU267" s="46"/>
      <c r="VGV267" s="46"/>
      <c r="VGW267" s="46"/>
      <c r="VGX267" s="46"/>
      <c r="VGY267" s="46"/>
      <c r="VGZ267" s="46"/>
      <c r="VHA267" s="46"/>
      <c r="VHB267" s="46"/>
      <c r="VHC267" s="46"/>
      <c r="VHD267" s="46"/>
      <c r="VHE267" s="46"/>
      <c r="VHF267" s="46"/>
      <c r="VHG267" s="46"/>
      <c r="VHH267" s="46"/>
      <c r="VHI267" s="46"/>
      <c r="VHJ267" s="46"/>
      <c r="VHK267" s="46"/>
      <c r="VHL267" s="46"/>
      <c r="VHM267" s="46"/>
      <c r="VHN267" s="46"/>
      <c r="VHO267" s="46"/>
      <c r="VHP267" s="46"/>
      <c r="VHQ267" s="46"/>
      <c r="VHR267" s="46"/>
      <c r="VHS267" s="46"/>
      <c r="VHT267" s="46"/>
      <c r="VHU267" s="46"/>
      <c r="VHV267" s="46"/>
      <c r="VHW267" s="46"/>
      <c r="VHX267" s="46"/>
      <c r="VHY267" s="46"/>
      <c r="VHZ267" s="46"/>
      <c r="VIA267" s="46"/>
      <c r="VIB267" s="46"/>
      <c r="VIC267" s="46"/>
      <c r="VID267" s="46"/>
      <c r="VIE267" s="46"/>
      <c r="VIF267" s="46"/>
      <c r="VIG267" s="46"/>
      <c r="VIH267" s="46"/>
      <c r="VII267" s="46"/>
      <c r="VIJ267" s="46"/>
      <c r="VIK267" s="46"/>
      <c r="VIL267" s="46"/>
      <c r="VIM267" s="46"/>
      <c r="VIN267" s="46"/>
      <c r="VIO267" s="46"/>
      <c r="VIP267" s="46"/>
      <c r="VIQ267" s="46"/>
      <c r="VIR267" s="46"/>
      <c r="VIS267" s="46"/>
      <c r="VIT267" s="46"/>
      <c r="VIU267" s="46"/>
      <c r="VIV267" s="46"/>
      <c r="VIW267" s="46"/>
      <c r="VIX267" s="46"/>
      <c r="VIY267" s="46"/>
      <c r="VIZ267" s="46"/>
      <c r="VJA267" s="46"/>
      <c r="VJB267" s="46"/>
      <c r="VJC267" s="46"/>
      <c r="VJD267" s="46"/>
      <c r="VJE267" s="46"/>
      <c r="VJF267" s="46"/>
      <c r="VJG267" s="46"/>
      <c r="VJH267" s="46"/>
      <c r="VJI267" s="46"/>
      <c r="VJJ267" s="46"/>
      <c r="VJK267" s="46"/>
      <c r="VJL267" s="46"/>
      <c r="VJM267" s="46"/>
      <c r="VJN267" s="46"/>
      <c r="VJO267" s="46"/>
      <c r="VJP267" s="46"/>
      <c r="VJQ267" s="46"/>
      <c r="VJR267" s="46"/>
      <c r="VJS267" s="46"/>
      <c r="VJT267" s="46"/>
      <c r="VJU267" s="46"/>
      <c r="VJV267" s="46"/>
      <c r="VJW267" s="46"/>
      <c r="VJX267" s="46"/>
      <c r="VJY267" s="46"/>
      <c r="VJZ267" s="46"/>
      <c r="VKA267" s="46"/>
      <c r="VKB267" s="46"/>
      <c r="VKC267" s="46"/>
      <c r="VKD267" s="46"/>
      <c r="VKE267" s="46"/>
      <c r="VKF267" s="46"/>
      <c r="VKG267" s="46"/>
      <c r="VKH267" s="46"/>
      <c r="VKI267" s="46"/>
      <c r="VKJ267" s="46"/>
      <c r="VKK267" s="46"/>
      <c r="VKL267" s="46"/>
      <c r="VKM267" s="46"/>
      <c r="VKN267" s="46"/>
      <c r="VKO267" s="46"/>
      <c r="VKP267" s="46"/>
      <c r="VKQ267" s="46"/>
      <c r="VKR267" s="46"/>
      <c r="VKS267" s="46"/>
      <c r="VKT267" s="46"/>
      <c r="VKU267" s="46"/>
      <c r="VKV267" s="46"/>
      <c r="VKW267" s="46"/>
      <c r="VKX267" s="46"/>
      <c r="VKY267" s="46"/>
      <c r="VKZ267" s="46"/>
      <c r="VLA267" s="46"/>
      <c r="VLB267" s="46"/>
      <c r="VLC267" s="46"/>
      <c r="VLD267" s="46"/>
      <c r="VLE267" s="46"/>
      <c r="VLF267" s="46"/>
      <c r="VLG267" s="46"/>
      <c r="VLH267" s="46"/>
      <c r="VLI267" s="46"/>
      <c r="VLJ267" s="46"/>
      <c r="VLK267" s="46"/>
      <c r="VLL267" s="46"/>
      <c r="VLM267" s="46"/>
      <c r="VLN267" s="46"/>
      <c r="VLO267" s="46"/>
      <c r="VLP267" s="46"/>
      <c r="VLQ267" s="46"/>
      <c r="VLR267" s="46"/>
      <c r="VLS267" s="46"/>
      <c r="VLT267" s="46"/>
      <c r="VLU267" s="46"/>
      <c r="VLV267" s="46"/>
      <c r="VLW267" s="46"/>
      <c r="VLX267" s="46"/>
      <c r="VLY267" s="46"/>
      <c r="VLZ267" s="46"/>
      <c r="VMA267" s="46"/>
      <c r="VMB267" s="46"/>
      <c r="VMC267" s="46"/>
      <c r="VMD267" s="46"/>
      <c r="VME267" s="46"/>
      <c r="VMF267" s="46"/>
      <c r="VMG267" s="46"/>
      <c r="VMH267" s="46"/>
      <c r="VMI267" s="46"/>
      <c r="VMJ267" s="46"/>
      <c r="VMK267" s="46"/>
      <c r="VML267" s="46"/>
      <c r="VMM267" s="46"/>
      <c r="VMN267" s="46"/>
      <c r="VMO267" s="46"/>
      <c r="VMP267" s="46"/>
      <c r="VMQ267" s="46"/>
      <c r="VMR267" s="46"/>
      <c r="VMS267" s="46"/>
      <c r="VMT267" s="46"/>
      <c r="VMU267" s="46"/>
      <c r="VMV267" s="46"/>
      <c r="VMW267" s="46"/>
      <c r="VMX267" s="46"/>
      <c r="VMY267" s="46"/>
      <c r="VMZ267" s="46"/>
      <c r="VNA267" s="46"/>
      <c r="VNB267" s="46"/>
      <c r="VNC267" s="46"/>
      <c r="VND267" s="46"/>
      <c r="VNE267" s="46"/>
      <c r="VNF267" s="46"/>
      <c r="VNG267" s="46"/>
      <c r="VNH267" s="46"/>
      <c r="VNI267" s="46"/>
      <c r="VNJ267" s="46"/>
      <c r="VNK267" s="46"/>
      <c r="VNL267" s="46"/>
      <c r="VNM267" s="46"/>
      <c r="VNN267" s="46"/>
      <c r="VNO267" s="46"/>
      <c r="VNP267" s="46"/>
      <c r="VNQ267" s="46"/>
      <c r="VNR267" s="46"/>
      <c r="VNS267" s="46"/>
      <c r="VNT267" s="46"/>
      <c r="VNU267" s="46"/>
      <c r="VNV267" s="46"/>
      <c r="VNW267" s="46"/>
      <c r="VNX267" s="46"/>
      <c r="VNY267" s="46"/>
      <c r="VNZ267" s="46"/>
      <c r="VOA267" s="46"/>
      <c r="VOB267" s="46"/>
      <c r="VOC267" s="46"/>
      <c r="VOD267" s="46"/>
      <c r="VOE267" s="46"/>
      <c r="VOF267" s="46"/>
      <c r="VOG267" s="46"/>
      <c r="VOH267" s="46"/>
      <c r="VOI267" s="46"/>
      <c r="VOJ267" s="46"/>
      <c r="VOK267" s="46"/>
      <c r="VOL267" s="46"/>
      <c r="VOM267" s="46"/>
      <c r="VON267" s="46"/>
      <c r="VOO267" s="46"/>
      <c r="VOP267" s="46"/>
      <c r="VOQ267" s="46"/>
      <c r="VOR267" s="46"/>
      <c r="VOS267" s="46"/>
      <c r="VOT267" s="46"/>
      <c r="VOU267" s="46"/>
      <c r="VOV267" s="46"/>
      <c r="VOW267" s="46"/>
      <c r="VOX267" s="46"/>
      <c r="VOY267" s="46"/>
      <c r="VOZ267" s="46"/>
      <c r="VPA267" s="46"/>
      <c r="VPB267" s="46"/>
      <c r="VPC267" s="46"/>
      <c r="VPD267" s="46"/>
      <c r="VPE267" s="46"/>
      <c r="VPF267" s="46"/>
      <c r="VPG267" s="46"/>
      <c r="VPH267" s="46"/>
      <c r="VPI267" s="46"/>
      <c r="VPJ267" s="46"/>
      <c r="VPK267" s="46"/>
      <c r="VPL267" s="46"/>
      <c r="VPM267" s="46"/>
      <c r="VPN267" s="46"/>
      <c r="VPO267" s="46"/>
      <c r="VPP267" s="46"/>
      <c r="VPQ267" s="46"/>
      <c r="VPR267" s="46"/>
      <c r="VPS267" s="46"/>
      <c r="VPT267" s="46"/>
      <c r="VPU267" s="46"/>
      <c r="VPV267" s="46"/>
      <c r="VPW267" s="46"/>
      <c r="VPX267" s="46"/>
      <c r="VPY267" s="46"/>
      <c r="VPZ267" s="46"/>
      <c r="VQA267" s="46"/>
      <c r="VQB267" s="46"/>
      <c r="VQC267" s="46"/>
      <c r="VQD267" s="46"/>
      <c r="VQE267" s="46"/>
      <c r="VQF267" s="46"/>
      <c r="VQG267" s="46"/>
      <c r="VQH267" s="46"/>
      <c r="VQI267" s="46"/>
      <c r="VQJ267" s="46"/>
      <c r="VQK267" s="46"/>
      <c r="VQL267" s="46"/>
      <c r="VQM267" s="46"/>
      <c r="VQN267" s="46"/>
      <c r="VQO267" s="46"/>
      <c r="VQP267" s="46"/>
      <c r="VQQ267" s="46"/>
      <c r="VQR267" s="46"/>
      <c r="VQS267" s="46"/>
      <c r="VQT267" s="46"/>
      <c r="VQU267" s="46"/>
      <c r="VQV267" s="46"/>
      <c r="VQW267" s="46"/>
      <c r="VQX267" s="46"/>
      <c r="VQY267" s="46"/>
      <c r="VQZ267" s="46"/>
      <c r="VRA267" s="46"/>
      <c r="VRB267" s="46"/>
      <c r="VRC267" s="46"/>
      <c r="VRD267" s="46"/>
      <c r="VRE267" s="46"/>
      <c r="VRF267" s="46"/>
      <c r="VRG267" s="46"/>
      <c r="VRH267" s="46"/>
      <c r="VRI267" s="46"/>
      <c r="VRJ267" s="46"/>
      <c r="VRK267" s="46"/>
      <c r="VRL267" s="46"/>
      <c r="VRM267" s="46"/>
      <c r="VRN267" s="46"/>
      <c r="VRO267" s="46"/>
      <c r="VRP267" s="46"/>
      <c r="VRQ267" s="46"/>
      <c r="VRR267" s="46"/>
      <c r="VRS267" s="46"/>
      <c r="VRT267" s="46"/>
      <c r="VRU267" s="46"/>
      <c r="VRV267" s="46"/>
      <c r="VRW267" s="46"/>
      <c r="VRX267" s="46"/>
      <c r="VRY267" s="46"/>
      <c r="VRZ267" s="46"/>
      <c r="VSA267" s="46"/>
      <c r="VSB267" s="46"/>
      <c r="VSC267" s="46"/>
      <c r="VSD267" s="46"/>
      <c r="VSE267" s="46"/>
      <c r="VSF267" s="46"/>
      <c r="VSG267" s="46"/>
      <c r="VSH267" s="46"/>
      <c r="VSI267" s="46"/>
      <c r="VSJ267" s="46"/>
      <c r="VSK267" s="46"/>
      <c r="VSL267" s="46"/>
      <c r="VSM267" s="46"/>
      <c r="VSN267" s="46"/>
      <c r="VSO267" s="46"/>
      <c r="VSP267" s="46"/>
      <c r="VSQ267" s="46"/>
      <c r="VSR267" s="46"/>
      <c r="VSS267" s="46"/>
      <c r="VST267" s="46"/>
      <c r="VSU267" s="46"/>
      <c r="VSV267" s="46"/>
      <c r="VSW267" s="46"/>
      <c r="VSX267" s="46"/>
      <c r="VSY267" s="46"/>
      <c r="VSZ267" s="46"/>
      <c r="VTA267" s="46"/>
      <c r="VTB267" s="46"/>
      <c r="VTC267" s="46"/>
      <c r="VTD267" s="46"/>
      <c r="VTE267" s="46"/>
      <c r="VTF267" s="46"/>
      <c r="VTG267" s="46"/>
      <c r="VTH267" s="46"/>
      <c r="VTI267" s="46"/>
      <c r="VTJ267" s="46"/>
      <c r="VTK267" s="46"/>
      <c r="VTL267" s="46"/>
      <c r="VTM267" s="46"/>
      <c r="VTN267" s="46"/>
      <c r="VTO267" s="46"/>
      <c r="VTP267" s="46"/>
      <c r="VTQ267" s="46"/>
      <c r="VTR267" s="46"/>
      <c r="VTS267" s="46"/>
      <c r="VTT267" s="46"/>
      <c r="VTU267" s="46"/>
      <c r="VTV267" s="46"/>
      <c r="VTW267" s="46"/>
      <c r="VTX267" s="46"/>
      <c r="VTY267" s="46"/>
      <c r="VTZ267" s="46"/>
      <c r="VUA267" s="46"/>
    </row>
    <row r="268" spans="3:61 15027:15419" s="1" customFormat="1">
      <c r="C268" s="84"/>
      <c r="D268" s="123" t="s">
        <v>4</v>
      </c>
      <c r="E268" s="1067"/>
      <c r="F268" s="124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1965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M268" s="53" t="s">
        <v>4</v>
      </c>
      <c r="BI268" s="142"/>
      <c r="VEY268" s="46"/>
      <c r="VEZ268" s="46"/>
      <c r="VFA268" s="46"/>
      <c r="VFB268" s="46"/>
      <c r="VFC268" s="46"/>
      <c r="VFD268" s="46"/>
      <c r="VFE268" s="46"/>
      <c r="VFF268" s="46"/>
      <c r="VFG268" s="46"/>
      <c r="VFH268" s="46"/>
      <c r="VFI268" s="46"/>
      <c r="VFJ268" s="46"/>
      <c r="VFK268" s="46"/>
      <c r="VFL268" s="46"/>
      <c r="VFM268" s="46"/>
      <c r="VFN268" s="46"/>
      <c r="VFO268" s="46"/>
      <c r="VFP268" s="46"/>
      <c r="VFQ268" s="46"/>
      <c r="VFR268" s="46"/>
      <c r="VFS268" s="46"/>
      <c r="VFT268" s="46"/>
      <c r="VFU268" s="46"/>
      <c r="VFV268" s="46"/>
      <c r="VFW268" s="46"/>
      <c r="VFX268" s="46"/>
      <c r="VFY268" s="46"/>
      <c r="VFZ268" s="46"/>
      <c r="VGA268" s="46"/>
      <c r="VGB268" s="46"/>
      <c r="VGC268" s="46"/>
      <c r="VGD268" s="46"/>
      <c r="VGE268" s="46"/>
      <c r="VGF268" s="46"/>
      <c r="VGG268" s="46"/>
      <c r="VGH268" s="46"/>
      <c r="VGI268" s="46"/>
      <c r="VGJ268" s="46"/>
      <c r="VGK268" s="46"/>
      <c r="VGL268" s="46"/>
      <c r="VGM268" s="46"/>
      <c r="VGN268" s="46"/>
      <c r="VGO268" s="46"/>
      <c r="VGP268" s="46"/>
      <c r="VGQ268" s="46"/>
      <c r="VGR268" s="46"/>
      <c r="VGS268" s="46"/>
      <c r="VGT268" s="46"/>
      <c r="VGU268" s="46"/>
      <c r="VGV268" s="46"/>
      <c r="VGW268" s="46"/>
      <c r="VGX268" s="46"/>
      <c r="VGY268" s="46"/>
      <c r="VGZ268" s="46"/>
      <c r="VHA268" s="46"/>
      <c r="VHB268" s="46"/>
      <c r="VHC268" s="46"/>
      <c r="VHD268" s="46"/>
      <c r="VHE268" s="46"/>
      <c r="VHF268" s="46"/>
      <c r="VHG268" s="46"/>
      <c r="VHH268" s="46"/>
      <c r="VHI268" s="46"/>
      <c r="VHJ268" s="46"/>
      <c r="VHK268" s="46"/>
      <c r="VHL268" s="46"/>
      <c r="VHM268" s="46"/>
      <c r="VHN268" s="46"/>
      <c r="VHO268" s="46"/>
      <c r="VHP268" s="46"/>
      <c r="VHQ268" s="46"/>
      <c r="VHR268" s="46"/>
      <c r="VHS268" s="46"/>
      <c r="VHT268" s="46"/>
      <c r="VHU268" s="46"/>
      <c r="VHV268" s="46"/>
      <c r="VHW268" s="46"/>
      <c r="VHX268" s="46"/>
      <c r="VHY268" s="46"/>
      <c r="VHZ268" s="46"/>
      <c r="VIA268" s="46"/>
      <c r="VIB268" s="46"/>
      <c r="VIC268" s="46"/>
      <c r="VID268" s="46"/>
      <c r="VIE268" s="46"/>
      <c r="VIF268" s="46"/>
      <c r="VIG268" s="46"/>
      <c r="VIH268" s="46"/>
      <c r="VII268" s="46"/>
      <c r="VIJ268" s="46"/>
      <c r="VIK268" s="46"/>
      <c r="VIL268" s="46"/>
      <c r="VIM268" s="46"/>
      <c r="VIN268" s="46"/>
      <c r="VIO268" s="46"/>
      <c r="VIP268" s="46"/>
      <c r="VIQ268" s="46"/>
      <c r="VIR268" s="46"/>
      <c r="VIS268" s="46"/>
      <c r="VIT268" s="46"/>
      <c r="VIU268" s="46"/>
      <c r="VIV268" s="46"/>
      <c r="VIW268" s="46"/>
      <c r="VIX268" s="46"/>
      <c r="VIY268" s="46"/>
      <c r="VIZ268" s="46"/>
      <c r="VJA268" s="46"/>
      <c r="VJB268" s="46"/>
      <c r="VJC268" s="46"/>
      <c r="VJD268" s="46"/>
      <c r="VJE268" s="46"/>
      <c r="VJF268" s="46"/>
      <c r="VJG268" s="46"/>
      <c r="VJH268" s="46"/>
      <c r="VJI268" s="46"/>
      <c r="VJJ268" s="46"/>
      <c r="VJK268" s="46"/>
      <c r="VJL268" s="46"/>
      <c r="VJM268" s="46"/>
      <c r="VJN268" s="46"/>
      <c r="VJO268" s="46"/>
      <c r="VJP268" s="46"/>
      <c r="VJQ268" s="46"/>
      <c r="VJR268" s="46"/>
      <c r="VJS268" s="46"/>
      <c r="VJT268" s="46"/>
      <c r="VJU268" s="46"/>
      <c r="VJV268" s="46"/>
      <c r="VJW268" s="46"/>
      <c r="VJX268" s="46"/>
      <c r="VJY268" s="46"/>
      <c r="VJZ268" s="46"/>
      <c r="VKA268" s="46"/>
      <c r="VKB268" s="46"/>
      <c r="VKC268" s="46"/>
      <c r="VKD268" s="46"/>
      <c r="VKE268" s="46"/>
      <c r="VKF268" s="46"/>
      <c r="VKG268" s="46"/>
      <c r="VKH268" s="46"/>
      <c r="VKI268" s="46"/>
      <c r="VKJ268" s="46"/>
      <c r="VKK268" s="46"/>
      <c r="VKL268" s="46"/>
      <c r="VKM268" s="46"/>
      <c r="VKN268" s="46"/>
      <c r="VKO268" s="46"/>
      <c r="VKP268" s="46"/>
      <c r="VKQ268" s="46"/>
      <c r="VKR268" s="46"/>
      <c r="VKS268" s="46"/>
      <c r="VKT268" s="46"/>
      <c r="VKU268" s="46"/>
      <c r="VKV268" s="46"/>
      <c r="VKW268" s="46"/>
      <c r="VKX268" s="46"/>
      <c r="VKY268" s="46"/>
      <c r="VKZ268" s="46"/>
      <c r="VLA268" s="46"/>
      <c r="VLB268" s="46"/>
      <c r="VLC268" s="46"/>
      <c r="VLD268" s="46"/>
      <c r="VLE268" s="46"/>
      <c r="VLF268" s="46"/>
      <c r="VLG268" s="46"/>
      <c r="VLH268" s="46"/>
      <c r="VLI268" s="46"/>
      <c r="VLJ268" s="46"/>
      <c r="VLK268" s="46"/>
      <c r="VLL268" s="46"/>
      <c r="VLM268" s="46"/>
      <c r="VLN268" s="46"/>
      <c r="VLO268" s="46"/>
      <c r="VLP268" s="46"/>
      <c r="VLQ268" s="46"/>
      <c r="VLR268" s="46"/>
      <c r="VLS268" s="46"/>
      <c r="VLT268" s="46"/>
      <c r="VLU268" s="46"/>
      <c r="VLV268" s="46"/>
      <c r="VLW268" s="46"/>
      <c r="VLX268" s="46"/>
      <c r="VLY268" s="46"/>
      <c r="VLZ268" s="46"/>
      <c r="VMA268" s="46"/>
      <c r="VMB268" s="46"/>
      <c r="VMC268" s="46"/>
      <c r="VMD268" s="46"/>
      <c r="VME268" s="46"/>
      <c r="VMF268" s="46"/>
      <c r="VMG268" s="46"/>
      <c r="VMH268" s="46"/>
      <c r="VMI268" s="46"/>
      <c r="VMJ268" s="46"/>
      <c r="VMK268" s="46"/>
      <c r="VML268" s="46"/>
      <c r="VMM268" s="46"/>
      <c r="VMN268" s="46"/>
      <c r="VMO268" s="46"/>
      <c r="VMP268" s="46"/>
      <c r="VMQ268" s="46"/>
      <c r="VMR268" s="46"/>
      <c r="VMS268" s="46"/>
      <c r="VMT268" s="46"/>
      <c r="VMU268" s="46"/>
      <c r="VMV268" s="46"/>
      <c r="VMW268" s="46"/>
      <c r="VMX268" s="46"/>
      <c r="VMY268" s="46"/>
      <c r="VMZ268" s="46"/>
      <c r="VNA268" s="46"/>
      <c r="VNB268" s="46"/>
      <c r="VNC268" s="46"/>
      <c r="VND268" s="46"/>
      <c r="VNE268" s="46"/>
      <c r="VNF268" s="46"/>
      <c r="VNG268" s="46"/>
      <c r="VNH268" s="46"/>
      <c r="VNI268" s="46"/>
      <c r="VNJ268" s="46"/>
      <c r="VNK268" s="46"/>
      <c r="VNL268" s="46"/>
      <c r="VNM268" s="46"/>
      <c r="VNN268" s="46"/>
      <c r="VNO268" s="46"/>
      <c r="VNP268" s="46"/>
      <c r="VNQ268" s="46"/>
      <c r="VNR268" s="46"/>
      <c r="VNS268" s="46"/>
      <c r="VNT268" s="46"/>
      <c r="VNU268" s="46"/>
      <c r="VNV268" s="46"/>
      <c r="VNW268" s="46"/>
      <c r="VNX268" s="46"/>
      <c r="VNY268" s="46"/>
      <c r="VNZ268" s="46"/>
      <c r="VOA268" s="46"/>
      <c r="VOB268" s="46"/>
      <c r="VOC268" s="46"/>
      <c r="VOD268" s="46"/>
      <c r="VOE268" s="46"/>
      <c r="VOF268" s="46"/>
      <c r="VOG268" s="46"/>
      <c r="VOH268" s="46"/>
      <c r="VOI268" s="46"/>
      <c r="VOJ268" s="46"/>
      <c r="VOK268" s="46"/>
      <c r="VOL268" s="46"/>
      <c r="VOM268" s="46"/>
      <c r="VON268" s="46"/>
      <c r="VOO268" s="46"/>
      <c r="VOP268" s="46"/>
      <c r="VOQ268" s="46"/>
      <c r="VOR268" s="46"/>
      <c r="VOS268" s="46"/>
      <c r="VOT268" s="46"/>
      <c r="VOU268" s="46"/>
      <c r="VOV268" s="46"/>
      <c r="VOW268" s="46"/>
      <c r="VOX268" s="46"/>
      <c r="VOY268" s="46"/>
      <c r="VOZ268" s="46"/>
      <c r="VPA268" s="46"/>
      <c r="VPB268" s="46"/>
      <c r="VPC268" s="46"/>
      <c r="VPD268" s="46"/>
      <c r="VPE268" s="46"/>
      <c r="VPF268" s="46"/>
      <c r="VPG268" s="46"/>
      <c r="VPH268" s="46"/>
      <c r="VPI268" s="46"/>
      <c r="VPJ268" s="46"/>
      <c r="VPK268" s="46"/>
      <c r="VPL268" s="46"/>
      <c r="VPM268" s="46"/>
      <c r="VPN268" s="46"/>
      <c r="VPO268" s="46"/>
      <c r="VPP268" s="46"/>
      <c r="VPQ268" s="46"/>
      <c r="VPR268" s="46"/>
      <c r="VPS268" s="46"/>
      <c r="VPT268" s="46"/>
      <c r="VPU268" s="46"/>
      <c r="VPV268" s="46"/>
      <c r="VPW268" s="46"/>
      <c r="VPX268" s="46"/>
      <c r="VPY268" s="46"/>
      <c r="VPZ268" s="46"/>
      <c r="VQA268" s="46"/>
      <c r="VQB268" s="46"/>
      <c r="VQC268" s="46"/>
      <c r="VQD268" s="46"/>
      <c r="VQE268" s="46"/>
      <c r="VQF268" s="46"/>
      <c r="VQG268" s="46"/>
      <c r="VQH268" s="46"/>
      <c r="VQI268" s="46"/>
      <c r="VQJ268" s="46"/>
      <c r="VQK268" s="46"/>
      <c r="VQL268" s="46"/>
      <c r="VQM268" s="46"/>
      <c r="VQN268" s="46"/>
      <c r="VQO268" s="46"/>
      <c r="VQP268" s="46"/>
      <c r="VQQ268" s="46"/>
      <c r="VQR268" s="46"/>
      <c r="VQS268" s="46"/>
      <c r="VQT268" s="46"/>
      <c r="VQU268" s="46"/>
      <c r="VQV268" s="46"/>
      <c r="VQW268" s="46"/>
      <c r="VQX268" s="46"/>
      <c r="VQY268" s="46"/>
      <c r="VQZ268" s="46"/>
      <c r="VRA268" s="46"/>
      <c r="VRB268" s="46"/>
      <c r="VRC268" s="46"/>
      <c r="VRD268" s="46"/>
      <c r="VRE268" s="46"/>
      <c r="VRF268" s="46"/>
      <c r="VRG268" s="46"/>
      <c r="VRH268" s="46"/>
      <c r="VRI268" s="46"/>
      <c r="VRJ268" s="46"/>
      <c r="VRK268" s="46"/>
      <c r="VRL268" s="46"/>
      <c r="VRM268" s="46"/>
      <c r="VRN268" s="46"/>
      <c r="VRO268" s="46"/>
      <c r="VRP268" s="46"/>
      <c r="VRQ268" s="46"/>
      <c r="VRR268" s="46"/>
      <c r="VRS268" s="46"/>
      <c r="VRT268" s="46"/>
      <c r="VRU268" s="46"/>
      <c r="VRV268" s="46"/>
      <c r="VRW268" s="46"/>
      <c r="VRX268" s="46"/>
      <c r="VRY268" s="46"/>
      <c r="VRZ268" s="46"/>
      <c r="VSA268" s="46"/>
      <c r="VSB268" s="46"/>
      <c r="VSC268" s="46"/>
      <c r="VSD268" s="46"/>
      <c r="VSE268" s="46"/>
      <c r="VSF268" s="46"/>
      <c r="VSG268" s="46"/>
      <c r="VSH268" s="46"/>
      <c r="VSI268" s="46"/>
      <c r="VSJ268" s="46"/>
      <c r="VSK268" s="46"/>
      <c r="VSL268" s="46"/>
      <c r="VSM268" s="46"/>
      <c r="VSN268" s="46"/>
      <c r="VSO268" s="46"/>
      <c r="VSP268" s="46"/>
      <c r="VSQ268" s="46"/>
      <c r="VSR268" s="46"/>
      <c r="VSS268" s="46"/>
      <c r="VST268" s="46"/>
      <c r="VSU268" s="46"/>
      <c r="VSV268" s="46"/>
      <c r="VSW268" s="46"/>
      <c r="VSX268" s="46"/>
      <c r="VSY268" s="46"/>
      <c r="VSZ268" s="46"/>
      <c r="VTA268" s="46"/>
      <c r="VTB268" s="46"/>
      <c r="VTC268" s="46"/>
      <c r="VTD268" s="46"/>
      <c r="VTE268" s="46"/>
      <c r="VTF268" s="46"/>
      <c r="VTG268" s="46"/>
      <c r="VTH268" s="46"/>
      <c r="VTI268" s="46"/>
      <c r="VTJ268" s="46"/>
      <c r="VTK268" s="46"/>
      <c r="VTL268" s="46"/>
      <c r="VTM268" s="46"/>
      <c r="VTN268" s="46"/>
      <c r="VTO268" s="46"/>
      <c r="VTP268" s="46"/>
      <c r="VTQ268" s="46"/>
      <c r="VTR268" s="46"/>
      <c r="VTS268" s="46"/>
      <c r="VTT268" s="46"/>
      <c r="VTU268" s="46"/>
      <c r="VTV268" s="46"/>
      <c r="VTW268" s="46"/>
      <c r="VTX268" s="46"/>
      <c r="VTY268" s="46"/>
      <c r="VTZ268" s="46"/>
      <c r="VUA268" s="46"/>
    </row>
    <row r="269" spans="3:61 15027:15419" s="1" customFormat="1">
      <c r="C269" s="84"/>
      <c r="D269" s="236" t="s">
        <v>3</v>
      </c>
      <c r="E269" s="235">
        <v>28770</v>
      </c>
      <c r="F269" s="247" t="s">
        <v>916</v>
      </c>
      <c r="G269" s="276">
        <v>0</v>
      </c>
      <c r="H269" s="1632">
        <v>0</v>
      </c>
      <c r="I269" s="246">
        <v>0</v>
      </c>
      <c r="J269" s="246">
        <v>0</v>
      </c>
      <c r="K269" s="246">
        <v>0</v>
      </c>
      <c r="L269" s="246">
        <v>0</v>
      </c>
      <c r="M269" s="246">
        <v>0</v>
      </c>
      <c r="N269" s="246">
        <v>0</v>
      </c>
      <c r="O269" s="246">
        <v>0</v>
      </c>
      <c r="P269" s="246">
        <v>0</v>
      </c>
      <c r="Q269" s="246"/>
      <c r="R269" s="1524"/>
      <c r="S269" s="1995"/>
      <c r="T269" s="1524"/>
      <c r="U269" s="1524"/>
      <c r="V269" s="246"/>
      <c r="W269" s="246"/>
      <c r="X269" s="246"/>
      <c r="Y269" s="246"/>
      <c r="Z269" s="246"/>
      <c r="AA269" s="246"/>
      <c r="AB269" s="246"/>
      <c r="AC269" s="246"/>
      <c r="AD269" s="246"/>
      <c r="AE269" s="246"/>
      <c r="AF269" s="246"/>
      <c r="AG269" s="246"/>
      <c r="AH269" s="246"/>
      <c r="AI269" s="246"/>
      <c r="AJ269" s="246"/>
      <c r="AK269" s="276"/>
      <c r="AM269" s="1751">
        <f>SUM(G269:AK269)</f>
        <v>0</v>
      </c>
      <c r="BI269" s="142"/>
      <c r="VEY269" s="46"/>
      <c r="VEZ269" s="46"/>
      <c r="VFA269" s="46"/>
      <c r="VFB269" s="46"/>
      <c r="VFC269" s="46"/>
      <c r="VFD269" s="46"/>
      <c r="VFE269" s="46"/>
      <c r="VFF269" s="46"/>
      <c r="VFG269" s="46"/>
      <c r="VFH269" s="46"/>
      <c r="VFI269" s="46"/>
      <c r="VFJ269" s="46"/>
      <c r="VFK269" s="46"/>
      <c r="VFL269" s="46"/>
      <c r="VFM269" s="46"/>
      <c r="VFN269" s="46"/>
      <c r="VFO269" s="46"/>
      <c r="VFP269" s="46"/>
      <c r="VFQ269" s="46"/>
      <c r="VFR269" s="46"/>
      <c r="VFS269" s="46"/>
      <c r="VFT269" s="46"/>
      <c r="VFU269" s="46"/>
      <c r="VFV269" s="46"/>
      <c r="VFW269" s="46"/>
      <c r="VFX269" s="46"/>
      <c r="VFY269" s="46"/>
      <c r="VFZ269" s="46"/>
      <c r="VGA269" s="46"/>
      <c r="VGB269" s="46"/>
      <c r="VGC269" s="46"/>
      <c r="VGD269" s="46"/>
      <c r="VGE269" s="46"/>
      <c r="VGF269" s="46"/>
      <c r="VGG269" s="46"/>
      <c r="VGH269" s="46"/>
      <c r="VGI269" s="46"/>
      <c r="VGJ269" s="46"/>
      <c r="VGK269" s="46"/>
      <c r="VGL269" s="46"/>
      <c r="VGM269" s="46"/>
      <c r="VGN269" s="46"/>
      <c r="VGO269" s="46"/>
      <c r="VGP269" s="46"/>
      <c r="VGQ269" s="46"/>
      <c r="VGR269" s="46"/>
      <c r="VGS269" s="46"/>
      <c r="VGT269" s="46"/>
      <c r="VGU269" s="46"/>
      <c r="VGV269" s="46"/>
      <c r="VGW269" s="46"/>
      <c r="VGX269" s="46"/>
      <c r="VGY269" s="46"/>
      <c r="VGZ269" s="46"/>
      <c r="VHA269" s="46"/>
      <c r="VHB269" s="46"/>
      <c r="VHC269" s="46"/>
      <c r="VHD269" s="46"/>
      <c r="VHE269" s="46"/>
      <c r="VHF269" s="46"/>
      <c r="VHG269" s="46"/>
      <c r="VHH269" s="46"/>
      <c r="VHI269" s="46"/>
      <c r="VHJ269" s="46"/>
      <c r="VHK269" s="46"/>
      <c r="VHL269" s="46"/>
      <c r="VHM269" s="46"/>
      <c r="VHN269" s="46"/>
      <c r="VHO269" s="46"/>
      <c r="VHP269" s="46"/>
      <c r="VHQ269" s="46"/>
      <c r="VHR269" s="46"/>
      <c r="VHS269" s="46"/>
      <c r="VHT269" s="46"/>
      <c r="VHU269" s="46"/>
      <c r="VHV269" s="46"/>
      <c r="VHW269" s="46"/>
      <c r="VHX269" s="46"/>
      <c r="VHY269" s="46"/>
      <c r="VHZ269" s="46"/>
      <c r="VIA269" s="46"/>
      <c r="VIB269" s="46"/>
      <c r="VIC269" s="46"/>
      <c r="VID269" s="46"/>
      <c r="VIE269" s="46"/>
      <c r="VIF269" s="46"/>
      <c r="VIG269" s="46"/>
      <c r="VIH269" s="46"/>
      <c r="VII269" s="46"/>
      <c r="VIJ269" s="46"/>
      <c r="VIK269" s="46"/>
      <c r="VIL269" s="46"/>
      <c r="VIM269" s="46"/>
      <c r="VIN269" s="46"/>
      <c r="VIO269" s="46"/>
      <c r="VIP269" s="46"/>
      <c r="VIQ269" s="46"/>
      <c r="VIR269" s="46"/>
      <c r="VIS269" s="46"/>
      <c r="VIT269" s="46"/>
      <c r="VIU269" s="46"/>
      <c r="VIV269" s="46"/>
      <c r="VIW269" s="46"/>
      <c r="VIX269" s="46"/>
      <c r="VIY269" s="46"/>
      <c r="VIZ269" s="46"/>
      <c r="VJA269" s="46"/>
      <c r="VJB269" s="46"/>
      <c r="VJC269" s="46"/>
      <c r="VJD269" s="46"/>
      <c r="VJE269" s="46"/>
      <c r="VJF269" s="46"/>
      <c r="VJG269" s="46"/>
      <c r="VJH269" s="46"/>
      <c r="VJI269" s="46"/>
      <c r="VJJ269" s="46"/>
      <c r="VJK269" s="46"/>
      <c r="VJL269" s="46"/>
      <c r="VJM269" s="46"/>
      <c r="VJN269" s="46"/>
      <c r="VJO269" s="46"/>
      <c r="VJP269" s="46"/>
      <c r="VJQ269" s="46"/>
      <c r="VJR269" s="46"/>
      <c r="VJS269" s="46"/>
      <c r="VJT269" s="46"/>
      <c r="VJU269" s="46"/>
      <c r="VJV269" s="46"/>
      <c r="VJW269" s="46"/>
      <c r="VJX269" s="46"/>
      <c r="VJY269" s="46"/>
      <c r="VJZ269" s="46"/>
      <c r="VKA269" s="46"/>
      <c r="VKB269" s="46"/>
      <c r="VKC269" s="46"/>
      <c r="VKD269" s="46"/>
      <c r="VKE269" s="46"/>
      <c r="VKF269" s="46"/>
      <c r="VKG269" s="46"/>
      <c r="VKH269" s="46"/>
      <c r="VKI269" s="46"/>
      <c r="VKJ269" s="46"/>
      <c r="VKK269" s="46"/>
      <c r="VKL269" s="46"/>
      <c r="VKM269" s="46"/>
      <c r="VKN269" s="46"/>
      <c r="VKO269" s="46"/>
      <c r="VKP269" s="46"/>
      <c r="VKQ269" s="46"/>
      <c r="VKR269" s="46"/>
      <c r="VKS269" s="46"/>
      <c r="VKT269" s="46"/>
      <c r="VKU269" s="46"/>
      <c r="VKV269" s="46"/>
      <c r="VKW269" s="46"/>
      <c r="VKX269" s="46"/>
      <c r="VKY269" s="46"/>
      <c r="VKZ269" s="46"/>
      <c r="VLA269" s="46"/>
      <c r="VLB269" s="46"/>
      <c r="VLC269" s="46"/>
      <c r="VLD269" s="46"/>
      <c r="VLE269" s="46"/>
      <c r="VLF269" s="46"/>
      <c r="VLG269" s="46"/>
      <c r="VLH269" s="46"/>
      <c r="VLI269" s="46"/>
      <c r="VLJ269" s="46"/>
      <c r="VLK269" s="46"/>
      <c r="VLL269" s="46"/>
      <c r="VLM269" s="46"/>
      <c r="VLN269" s="46"/>
      <c r="VLO269" s="46"/>
      <c r="VLP269" s="46"/>
      <c r="VLQ269" s="46"/>
      <c r="VLR269" s="46"/>
      <c r="VLS269" s="46"/>
      <c r="VLT269" s="46"/>
      <c r="VLU269" s="46"/>
      <c r="VLV269" s="46"/>
      <c r="VLW269" s="46"/>
      <c r="VLX269" s="46"/>
      <c r="VLY269" s="46"/>
      <c r="VLZ269" s="46"/>
      <c r="VMA269" s="46"/>
      <c r="VMB269" s="46"/>
      <c r="VMC269" s="46"/>
      <c r="VMD269" s="46"/>
      <c r="VME269" s="46"/>
      <c r="VMF269" s="46"/>
      <c r="VMG269" s="46"/>
      <c r="VMH269" s="46"/>
      <c r="VMI269" s="46"/>
      <c r="VMJ269" s="46"/>
      <c r="VMK269" s="46"/>
      <c r="VML269" s="46"/>
      <c r="VMM269" s="46"/>
      <c r="VMN269" s="46"/>
      <c r="VMO269" s="46"/>
      <c r="VMP269" s="46"/>
      <c r="VMQ269" s="46"/>
      <c r="VMR269" s="46"/>
      <c r="VMS269" s="46"/>
      <c r="VMT269" s="46"/>
      <c r="VMU269" s="46"/>
      <c r="VMV269" s="46"/>
      <c r="VMW269" s="46"/>
      <c r="VMX269" s="46"/>
      <c r="VMY269" s="46"/>
      <c r="VMZ269" s="46"/>
      <c r="VNA269" s="46"/>
      <c r="VNB269" s="46"/>
      <c r="VNC269" s="46"/>
      <c r="VND269" s="46"/>
      <c r="VNE269" s="46"/>
      <c r="VNF269" s="46"/>
      <c r="VNG269" s="46"/>
      <c r="VNH269" s="46"/>
      <c r="VNI269" s="46"/>
      <c r="VNJ269" s="46"/>
      <c r="VNK269" s="46"/>
      <c r="VNL269" s="46"/>
      <c r="VNM269" s="46"/>
      <c r="VNN269" s="46"/>
      <c r="VNO269" s="46"/>
      <c r="VNP269" s="46"/>
      <c r="VNQ269" s="46"/>
      <c r="VNR269" s="46"/>
      <c r="VNS269" s="46"/>
      <c r="VNT269" s="46"/>
      <c r="VNU269" s="46"/>
      <c r="VNV269" s="46"/>
      <c r="VNW269" s="46"/>
      <c r="VNX269" s="46"/>
      <c r="VNY269" s="46"/>
      <c r="VNZ269" s="46"/>
      <c r="VOA269" s="46"/>
      <c r="VOB269" s="46"/>
      <c r="VOC269" s="46"/>
      <c r="VOD269" s="46"/>
      <c r="VOE269" s="46"/>
      <c r="VOF269" s="46"/>
      <c r="VOG269" s="46"/>
      <c r="VOH269" s="46"/>
      <c r="VOI269" s="46"/>
      <c r="VOJ269" s="46"/>
      <c r="VOK269" s="46"/>
      <c r="VOL269" s="46"/>
      <c r="VOM269" s="46"/>
      <c r="VON269" s="46"/>
      <c r="VOO269" s="46"/>
      <c r="VOP269" s="46"/>
      <c r="VOQ269" s="46"/>
      <c r="VOR269" s="46"/>
      <c r="VOS269" s="46"/>
      <c r="VOT269" s="46"/>
      <c r="VOU269" s="46"/>
      <c r="VOV269" s="46"/>
      <c r="VOW269" s="46"/>
      <c r="VOX269" s="46"/>
      <c r="VOY269" s="46"/>
      <c r="VOZ269" s="46"/>
      <c r="VPA269" s="46"/>
      <c r="VPB269" s="46"/>
      <c r="VPC269" s="46"/>
      <c r="VPD269" s="46"/>
      <c r="VPE269" s="46"/>
      <c r="VPF269" s="46"/>
      <c r="VPG269" s="46"/>
      <c r="VPH269" s="46"/>
      <c r="VPI269" s="46"/>
      <c r="VPJ269" s="46"/>
      <c r="VPK269" s="46"/>
      <c r="VPL269" s="46"/>
      <c r="VPM269" s="46"/>
      <c r="VPN269" s="46"/>
      <c r="VPO269" s="46"/>
      <c r="VPP269" s="46"/>
      <c r="VPQ269" s="46"/>
      <c r="VPR269" s="46"/>
      <c r="VPS269" s="46"/>
      <c r="VPT269" s="46"/>
      <c r="VPU269" s="46"/>
      <c r="VPV269" s="46"/>
      <c r="VPW269" s="46"/>
      <c r="VPX269" s="46"/>
      <c r="VPY269" s="46"/>
      <c r="VPZ269" s="46"/>
      <c r="VQA269" s="46"/>
      <c r="VQB269" s="46"/>
      <c r="VQC269" s="46"/>
      <c r="VQD269" s="46"/>
      <c r="VQE269" s="46"/>
      <c r="VQF269" s="46"/>
      <c r="VQG269" s="46"/>
      <c r="VQH269" s="46"/>
      <c r="VQI269" s="46"/>
      <c r="VQJ269" s="46"/>
      <c r="VQK269" s="46"/>
      <c r="VQL269" s="46"/>
      <c r="VQM269" s="46"/>
      <c r="VQN269" s="46"/>
      <c r="VQO269" s="46"/>
      <c r="VQP269" s="46"/>
      <c r="VQQ269" s="46"/>
      <c r="VQR269" s="46"/>
      <c r="VQS269" s="46"/>
      <c r="VQT269" s="46"/>
      <c r="VQU269" s="46"/>
      <c r="VQV269" s="46"/>
      <c r="VQW269" s="46"/>
      <c r="VQX269" s="46"/>
      <c r="VQY269" s="46"/>
      <c r="VQZ269" s="46"/>
      <c r="VRA269" s="46"/>
      <c r="VRB269" s="46"/>
      <c r="VRC269" s="46"/>
      <c r="VRD269" s="46"/>
      <c r="VRE269" s="46"/>
      <c r="VRF269" s="46"/>
      <c r="VRG269" s="46"/>
      <c r="VRH269" s="46"/>
      <c r="VRI269" s="46"/>
      <c r="VRJ269" s="46"/>
      <c r="VRK269" s="46"/>
      <c r="VRL269" s="46"/>
      <c r="VRM269" s="46"/>
      <c r="VRN269" s="46"/>
      <c r="VRO269" s="46"/>
      <c r="VRP269" s="46"/>
      <c r="VRQ269" s="46"/>
      <c r="VRR269" s="46"/>
      <c r="VRS269" s="46"/>
      <c r="VRT269" s="46"/>
      <c r="VRU269" s="46"/>
      <c r="VRV269" s="46"/>
      <c r="VRW269" s="46"/>
      <c r="VRX269" s="46"/>
      <c r="VRY269" s="46"/>
      <c r="VRZ269" s="46"/>
      <c r="VSA269" s="46"/>
      <c r="VSB269" s="46"/>
      <c r="VSC269" s="46"/>
      <c r="VSD269" s="46"/>
      <c r="VSE269" s="46"/>
      <c r="VSF269" s="46"/>
      <c r="VSG269" s="46"/>
      <c r="VSH269" s="46"/>
      <c r="VSI269" s="46"/>
      <c r="VSJ269" s="46"/>
      <c r="VSK269" s="46"/>
      <c r="VSL269" s="46"/>
      <c r="VSM269" s="46"/>
      <c r="VSN269" s="46"/>
      <c r="VSO269" s="46"/>
      <c r="VSP269" s="46"/>
      <c r="VSQ269" s="46"/>
      <c r="VSR269" s="46"/>
      <c r="VSS269" s="46"/>
      <c r="VST269" s="46"/>
      <c r="VSU269" s="46"/>
      <c r="VSV269" s="46"/>
      <c r="VSW269" s="46"/>
      <c r="VSX269" s="46"/>
      <c r="VSY269" s="46"/>
      <c r="VSZ269" s="46"/>
      <c r="VTA269" s="46"/>
      <c r="VTB269" s="46"/>
      <c r="VTC269" s="46"/>
      <c r="VTD269" s="46"/>
      <c r="VTE269" s="46"/>
      <c r="VTF269" s="46"/>
      <c r="VTG269" s="46"/>
      <c r="VTH269" s="46"/>
      <c r="VTI269" s="46"/>
      <c r="VTJ269" s="46"/>
      <c r="VTK269" s="46"/>
      <c r="VTL269" s="46"/>
      <c r="VTM269" s="46"/>
      <c r="VTN269" s="46"/>
      <c r="VTO269" s="46"/>
      <c r="VTP269" s="46"/>
      <c r="VTQ269" s="46"/>
      <c r="VTR269" s="46"/>
      <c r="VTS269" s="46"/>
      <c r="VTT269" s="46"/>
      <c r="VTU269" s="46"/>
      <c r="VTV269" s="46"/>
      <c r="VTW269" s="46"/>
      <c r="VTX269" s="46"/>
      <c r="VTY269" s="46"/>
      <c r="VTZ269" s="46"/>
      <c r="VUA269" s="46"/>
    </row>
    <row r="270" spans="3:61 15027:15419" s="1" customFormat="1">
      <c r="C270" s="84"/>
      <c r="D270" s="123" t="s">
        <v>1</v>
      </c>
      <c r="E270" s="13"/>
      <c r="F270" s="70" t="s">
        <v>0</v>
      </c>
      <c r="G270" s="283">
        <f>G269</f>
        <v>0</v>
      </c>
      <c r="H270" s="283">
        <f>H269</f>
        <v>0</v>
      </c>
      <c r="I270" s="283">
        <f t="shared" ref="I270:P270" si="100">I269*1000</f>
        <v>0</v>
      </c>
      <c r="J270" s="283">
        <f t="shared" si="100"/>
        <v>0</v>
      </c>
      <c r="K270" s="283">
        <f t="shared" si="100"/>
        <v>0</v>
      </c>
      <c r="L270" s="283">
        <f t="shared" si="100"/>
        <v>0</v>
      </c>
      <c r="M270" s="283">
        <f t="shared" si="100"/>
        <v>0</v>
      </c>
      <c r="N270" s="283">
        <f t="shared" si="100"/>
        <v>0</v>
      </c>
      <c r="O270" s="283">
        <f t="shared" si="100"/>
        <v>0</v>
      </c>
      <c r="P270" s="283">
        <f t="shared" si="100"/>
        <v>0</v>
      </c>
      <c r="Q270" s="283"/>
      <c r="R270" s="283"/>
      <c r="S270" s="1980"/>
      <c r="T270" s="283"/>
      <c r="U270" s="283"/>
      <c r="V270" s="283"/>
      <c r="W270" s="283"/>
      <c r="X270" s="283"/>
      <c r="Y270" s="283"/>
      <c r="Z270" s="283"/>
      <c r="AA270" s="283"/>
      <c r="AB270" s="283"/>
      <c r="AC270" s="283"/>
      <c r="AD270" s="283"/>
      <c r="AE270" s="283"/>
      <c r="AF270" s="283"/>
      <c r="AG270" s="283"/>
      <c r="AH270" s="283"/>
      <c r="AI270" s="283"/>
      <c r="AJ270" s="283"/>
      <c r="AK270" s="283">
        <f t="shared" ref="AK270" si="101">AK269*1000</f>
        <v>0</v>
      </c>
      <c r="AL270" s="63"/>
      <c r="AM270" s="83">
        <f>SUM(G270:AK270)</f>
        <v>0</v>
      </c>
      <c r="BI270" s="142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</row>
    <row r="271" spans="3:61 15027:15419" s="1" customFormat="1">
      <c r="C271" s="84"/>
      <c r="D271" s="123" t="s">
        <v>16</v>
      </c>
      <c r="E271" s="13"/>
      <c r="F271" s="70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1980"/>
      <c r="T271" s="283"/>
      <c r="U271" s="283"/>
      <c r="V271" s="283"/>
      <c r="W271" s="283"/>
      <c r="X271" s="283"/>
      <c r="Y271" s="283"/>
      <c r="Z271" s="283"/>
      <c r="AA271" s="283"/>
      <c r="AB271" s="283"/>
      <c r="AC271" s="283"/>
      <c r="AD271" s="283"/>
      <c r="AE271" s="283"/>
      <c r="AF271" s="283"/>
      <c r="AG271" s="283"/>
      <c r="AH271" s="283"/>
      <c r="AI271" s="283"/>
      <c r="AJ271" s="283"/>
      <c r="AK271" s="283"/>
      <c r="AL271" s="63"/>
      <c r="AM271" s="125" t="s">
        <v>16</v>
      </c>
      <c r="BI271" s="142"/>
      <c r="VEY271" s="46"/>
      <c r="VEZ271" s="46"/>
      <c r="VFA271" s="46"/>
      <c r="VFB271" s="46"/>
      <c r="VFC271" s="46"/>
      <c r="VFD271" s="46"/>
      <c r="VFE271" s="46"/>
      <c r="VFF271" s="46"/>
      <c r="VFG271" s="46"/>
      <c r="VFH271" s="46"/>
      <c r="VFI271" s="46"/>
      <c r="VFJ271" s="46"/>
      <c r="VFK271" s="46"/>
      <c r="VFL271" s="46"/>
      <c r="VFM271" s="46"/>
      <c r="VFN271" s="46"/>
      <c r="VFO271" s="46"/>
      <c r="VFP271" s="46"/>
      <c r="VFQ271" s="46"/>
      <c r="VFR271" s="46"/>
      <c r="VFS271" s="46"/>
      <c r="VFT271" s="46"/>
      <c r="VFU271" s="46"/>
      <c r="VFV271" s="46"/>
      <c r="VFW271" s="46"/>
      <c r="VFX271" s="46"/>
      <c r="VFY271" s="46"/>
      <c r="VFZ271" s="46"/>
      <c r="VGA271" s="46"/>
      <c r="VGB271" s="46"/>
      <c r="VGC271" s="46"/>
      <c r="VGD271" s="46"/>
      <c r="VGE271" s="46"/>
      <c r="VGF271" s="46"/>
      <c r="VGG271" s="46"/>
      <c r="VGH271" s="46"/>
      <c r="VGI271" s="46"/>
      <c r="VGJ271" s="46"/>
      <c r="VGK271" s="46"/>
      <c r="VGL271" s="46"/>
      <c r="VGM271" s="46"/>
      <c r="VGN271" s="46"/>
      <c r="VGO271" s="46"/>
      <c r="VGP271" s="46"/>
      <c r="VGQ271" s="46"/>
      <c r="VGR271" s="46"/>
      <c r="VGS271" s="46"/>
      <c r="VGT271" s="46"/>
      <c r="VGU271" s="46"/>
      <c r="VGV271" s="46"/>
      <c r="VGW271" s="46"/>
      <c r="VGX271" s="46"/>
      <c r="VGY271" s="46"/>
      <c r="VGZ271" s="46"/>
      <c r="VHA271" s="46"/>
      <c r="VHB271" s="46"/>
      <c r="VHC271" s="46"/>
      <c r="VHD271" s="46"/>
      <c r="VHE271" s="46"/>
      <c r="VHF271" s="46"/>
      <c r="VHG271" s="46"/>
      <c r="VHH271" s="46"/>
      <c r="VHI271" s="46"/>
      <c r="VHJ271" s="46"/>
      <c r="VHK271" s="46"/>
      <c r="VHL271" s="46"/>
      <c r="VHM271" s="46"/>
      <c r="VHN271" s="46"/>
      <c r="VHO271" s="46"/>
      <c r="VHP271" s="46"/>
      <c r="VHQ271" s="46"/>
      <c r="VHR271" s="46"/>
      <c r="VHS271" s="46"/>
      <c r="VHT271" s="46"/>
      <c r="VHU271" s="46"/>
      <c r="VHV271" s="46"/>
      <c r="VHW271" s="46"/>
      <c r="VHX271" s="46"/>
      <c r="VHY271" s="46"/>
      <c r="VHZ271" s="46"/>
      <c r="VIA271" s="46"/>
      <c r="VIB271" s="46"/>
      <c r="VIC271" s="46"/>
      <c r="VID271" s="46"/>
      <c r="VIE271" s="46"/>
      <c r="VIF271" s="46"/>
      <c r="VIG271" s="46"/>
      <c r="VIH271" s="46"/>
      <c r="VII271" s="46"/>
      <c r="VIJ271" s="46"/>
      <c r="VIK271" s="46"/>
      <c r="VIL271" s="46"/>
      <c r="VIM271" s="46"/>
      <c r="VIN271" s="46"/>
      <c r="VIO271" s="46"/>
      <c r="VIP271" s="46"/>
      <c r="VIQ271" s="46"/>
      <c r="VIR271" s="46"/>
      <c r="VIS271" s="46"/>
      <c r="VIT271" s="46"/>
      <c r="VIU271" s="46"/>
      <c r="VIV271" s="46"/>
      <c r="VIW271" s="46"/>
      <c r="VIX271" s="46"/>
      <c r="VIY271" s="46"/>
      <c r="VIZ271" s="46"/>
      <c r="VJA271" s="46"/>
      <c r="VJB271" s="46"/>
      <c r="VJC271" s="46"/>
      <c r="VJD271" s="46"/>
      <c r="VJE271" s="46"/>
      <c r="VJF271" s="46"/>
      <c r="VJG271" s="46"/>
      <c r="VJH271" s="46"/>
      <c r="VJI271" s="46"/>
      <c r="VJJ271" s="46"/>
      <c r="VJK271" s="46"/>
      <c r="VJL271" s="46"/>
      <c r="VJM271" s="46"/>
      <c r="VJN271" s="46"/>
      <c r="VJO271" s="46"/>
      <c r="VJP271" s="46"/>
      <c r="VJQ271" s="46"/>
      <c r="VJR271" s="46"/>
      <c r="VJS271" s="46"/>
      <c r="VJT271" s="46"/>
      <c r="VJU271" s="46"/>
      <c r="VJV271" s="46"/>
      <c r="VJW271" s="46"/>
      <c r="VJX271" s="46"/>
      <c r="VJY271" s="46"/>
      <c r="VJZ271" s="46"/>
      <c r="VKA271" s="46"/>
      <c r="VKB271" s="46"/>
      <c r="VKC271" s="46"/>
      <c r="VKD271" s="46"/>
      <c r="VKE271" s="46"/>
      <c r="VKF271" s="46"/>
      <c r="VKG271" s="46"/>
      <c r="VKH271" s="46"/>
      <c r="VKI271" s="46"/>
      <c r="VKJ271" s="46"/>
      <c r="VKK271" s="46"/>
      <c r="VKL271" s="46"/>
      <c r="VKM271" s="46"/>
      <c r="VKN271" s="46"/>
      <c r="VKO271" s="46"/>
      <c r="VKP271" s="46"/>
      <c r="VKQ271" s="46"/>
      <c r="VKR271" s="46"/>
      <c r="VKS271" s="46"/>
      <c r="VKT271" s="46"/>
      <c r="VKU271" s="46"/>
      <c r="VKV271" s="46"/>
      <c r="VKW271" s="46"/>
      <c r="VKX271" s="46"/>
      <c r="VKY271" s="46"/>
      <c r="VKZ271" s="46"/>
      <c r="VLA271" s="46"/>
      <c r="VLB271" s="46"/>
      <c r="VLC271" s="46"/>
      <c r="VLD271" s="46"/>
      <c r="VLE271" s="46"/>
      <c r="VLF271" s="46"/>
      <c r="VLG271" s="46"/>
      <c r="VLH271" s="46"/>
      <c r="VLI271" s="46"/>
      <c r="VLJ271" s="46"/>
      <c r="VLK271" s="46"/>
      <c r="VLL271" s="46"/>
      <c r="VLM271" s="46"/>
      <c r="VLN271" s="46"/>
      <c r="VLO271" s="46"/>
      <c r="VLP271" s="46"/>
      <c r="VLQ271" s="46"/>
      <c r="VLR271" s="46"/>
      <c r="VLS271" s="46"/>
      <c r="VLT271" s="46"/>
      <c r="VLU271" s="46"/>
      <c r="VLV271" s="46"/>
      <c r="VLW271" s="46"/>
      <c r="VLX271" s="46"/>
      <c r="VLY271" s="46"/>
      <c r="VLZ271" s="46"/>
      <c r="VMA271" s="46"/>
      <c r="VMB271" s="46"/>
      <c r="VMC271" s="46"/>
      <c r="VMD271" s="46"/>
      <c r="VME271" s="46"/>
      <c r="VMF271" s="46"/>
      <c r="VMG271" s="46"/>
      <c r="VMH271" s="46"/>
      <c r="VMI271" s="46"/>
      <c r="VMJ271" s="46"/>
      <c r="VMK271" s="46"/>
      <c r="VML271" s="46"/>
      <c r="VMM271" s="46"/>
      <c r="VMN271" s="46"/>
      <c r="VMO271" s="46"/>
      <c r="VMP271" s="46"/>
      <c r="VMQ271" s="46"/>
      <c r="VMR271" s="46"/>
      <c r="VMS271" s="46"/>
      <c r="VMT271" s="46"/>
      <c r="VMU271" s="46"/>
      <c r="VMV271" s="46"/>
      <c r="VMW271" s="46"/>
      <c r="VMX271" s="46"/>
      <c r="VMY271" s="46"/>
      <c r="VMZ271" s="46"/>
      <c r="VNA271" s="46"/>
      <c r="VNB271" s="46"/>
      <c r="VNC271" s="46"/>
      <c r="VND271" s="46"/>
      <c r="VNE271" s="46"/>
      <c r="VNF271" s="46"/>
      <c r="VNG271" s="46"/>
      <c r="VNH271" s="46"/>
      <c r="VNI271" s="46"/>
      <c r="VNJ271" s="46"/>
      <c r="VNK271" s="46"/>
      <c r="VNL271" s="46"/>
      <c r="VNM271" s="46"/>
      <c r="VNN271" s="46"/>
      <c r="VNO271" s="46"/>
      <c r="VNP271" s="46"/>
      <c r="VNQ271" s="46"/>
      <c r="VNR271" s="46"/>
      <c r="VNS271" s="46"/>
      <c r="VNT271" s="46"/>
      <c r="VNU271" s="46"/>
      <c r="VNV271" s="46"/>
      <c r="VNW271" s="46"/>
      <c r="VNX271" s="46"/>
      <c r="VNY271" s="46"/>
      <c r="VNZ271" s="46"/>
      <c r="VOA271" s="46"/>
      <c r="VOB271" s="46"/>
      <c r="VOC271" s="46"/>
      <c r="VOD271" s="46"/>
      <c r="VOE271" s="46"/>
      <c r="VOF271" s="46"/>
      <c r="VOG271" s="46"/>
      <c r="VOH271" s="46"/>
      <c r="VOI271" s="46"/>
      <c r="VOJ271" s="46"/>
      <c r="VOK271" s="46"/>
      <c r="VOL271" s="46"/>
      <c r="VOM271" s="46"/>
      <c r="VON271" s="46"/>
      <c r="VOO271" s="46"/>
      <c r="VOP271" s="46"/>
      <c r="VOQ271" s="46"/>
      <c r="VOR271" s="46"/>
      <c r="VOS271" s="46"/>
      <c r="VOT271" s="46"/>
      <c r="VOU271" s="46"/>
      <c r="VOV271" s="46"/>
      <c r="VOW271" s="46"/>
      <c r="VOX271" s="46"/>
      <c r="VOY271" s="46"/>
      <c r="VOZ271" s="46"/>
      <c r="VPA271" s="46"/>
      <c r="VPB271" s="46"/>
      <c r="VPC271" s="46"/>
      <c r="VPD271" s="46"/>
      <c r="VPE271" s="46"/>
      <c r="VPF271" s="46"/>
      <c r="VPG271" s="46"/>
      <c r="VPH271" s="46"/>
      <c r="VPI271" s="46"/>
      <c r="VPJ271" s="46"/>
      <c r="VPK271" s="46"/>
      <c r="VPL271" s="46"/>
      <c r="VPM271" s="46"/>
      <c r="VPN271" s="46"/>
      <c r="VPO271" s="46"/>
      <c r="VPP271" s="46"/>
      <c r="VPQ271" s="46"/>
      <c r="VPR271" s="46"/>
      <c r="VPS271" s="46"/>
      <c r="VPT271" s="46"/>
      <c r="VPU271" s="46"/>
      <c r="VPV271" s="46"/>
      <c r="VPW271" s="46"/>
      <c r="VPX271" s="46"/>
      <c r="VPY271" s="46"/>
      <c r="VPZ271" s="46"/>
      <c r="VQA271" s="46"/>
      <c r="VQB271" s="46"/>
      <c r="VQC271" s="46"/>
      <c r="VQD271" s="46"/>
      <c r="VQE271" s="46"/>
      <c r="VQF271" s="46"/>
      <c r="VQG271" s="46"/>
      <c r="VQH271" s="46"/>
      <c r="VQI271" s="46"/>
      <c r="VQJ271" s="46"/>
      <c r="VQK271" s="46"/>
      <c r="VQL271" s="46"/>
      <c r="VQM271" s="46"/>
      <c r="VQN271" s="46"/>
      <c r="VQO271" s="46"/>
      <c r="VQP271" s="46"/>
      <c r="VQQ271" s="46"/>
      <c r="VQR271" s="46"/>
      <c r="VQS271" s="46"/>
      <c r="VQT271" s="46"/>
      <c r="VQU271" s="46"/>
      <c r="VQV271" s="46"/>
      <c r="VQW271" s="46"/>
      <c r="VQX271" s="46"/>
      <c r="VQY271" s="46"/>
      <c r="VQZ271" s="46"/>
      <c r="VRA271" s="46"/>
      <c r="VRB271" s="46"/>
      <c r="VRC271" s="46"/>
      <c r="VRD271" s="46"/>
      <c r="VRE271" s="46"/>
      <c r="VRF271" s="46"/>
      <c r="VRG271" s="46"/>
      <c r="VRH271" s="46"/>
      <c r="VRI271" s="46"/>
      <c r="VRJ271" s="46"/>
      <c r="VRK271" s="46"/>
      <c r="VRL271" s="46"/>
      <c r="VRM271" s="46"/>
      <c r="VRN271" s="46"/>
      <c r="VRO271" s="46"/>
      <c r="VRP271" s="46"/>
      <c r="VRQ271" s="46"/>
      <c r="VRR271" s="46"/>
      <c r="VRS271" s="46"/>
      <c r="VRT271" s="46"/>
      <c r="VRU271" s="46"/>
      <c r="VRV271" s="46"/>
      <c r="VRW271" s="46"/>
      <c r="VRX271" s="46"/>
      <c r="VRY271" s="46"/>
      <c r="VRZ271" s="46"/>
      <c r="VSA271" s="46"/>
      <c r="VSB271" s="46"/>
      <c r="VSC271" s="46"/>
      <c r="VSD271" s="46"/>
      <c r="VSE271" s="46"/>
      <c r="VSF271" s="46"/>
      <c r="VSG271" s="46"/>
      <c r="VSH271" s="46"/>
      <c r="VSI271" s="46"/>
      <c r="VSJ271" s="46"/>
      <c r="VSK271" s="46"/>
      <c r="VSL271" s="46"/>
      <c r="VSM271" s="46"/>
      <c r="VSN271" s="46"/>
      <c r="VSO271" s="46"/>
      <c r="VSP271" s="46"/>
      <c r="VSQ271" s="46"/>
      <c r="VSR271" s="46"/>
      <c r="VSS271" s="46"/>
      <c r="VST271" s="46"/>
      <c r="VSU271" s="46"/>
      <c r="VSV271" s="46"/>
      <c r="VSW271" s="46"/>
      <c r="VSX271" s="46"/>
      <c r="VSY271" s="46"/>
      <c r="VSZ271" s="46"/>
      <c r="VTA271" s="46"/>
      <c r="VTB271" s="46"/>
      <c r="VTC271" s="46"/>
      <c r="VTD271" s="46"/>
      <c r="VTE271" s="46"/>
      <c r="VTF271" s="46"/>
      <c r="VTG271" s="46"/>
      <c r="VTH271" s="46"/>
      <c r="VTI271" s="46"/>
      <c r="VTJ271" s="46"/>
      <c r="VTK271" s="46"/>
      <c r="VTL271" s="46"/>
      <c r="VTM271" s="46"/>
      <c r="VTN271" s="46"/>
      <c r="VTO271" s="46"/>
      <c r="VTP271" s="46"/>
      <c r="VTQ271" s="46"/>
      <c r="VTR271" s="46"/>
      <c r="VTS271" s="46"/>
      <c r="VTT271" s="46"/>
      <c r="VTU271" s="46"/>
      <c r="VTV271" s="46"/>
      <c r="VTW271" s="46"/>
      <c r="VTX271" s="46"/>
      <c r="VTY271" s="46"/>
      <c r="VTZ271" s="46"/>
      <c r="VUA271" s="46"/>
    </row>
    <row r="272" spans="3:61 15027:15419">
      <c r="C272" s="15"/>
      <c r="D272" s="248" t="s">
        <v>913</v>
      </c>
      <c r="E272" s="267">
        <v>18374.400000000001</v>
      </c>
      <c r="F272" s="247" t="s">
        <v>999</v>
      </c>
      <c r="G272" s="276"/>
      <c r="H272" s="276"/>
      <c r="I272" s="276"/>
      <c r="J272" s="276">
        <v>0</v>
      </c>
      <c r="K272" s="276">
        <v>0</v>
      </c>
      <c r="L272" s="276">
        <v>0</v>
      </c>
      <c r="M272" s="276">
        <v>0</v>
      </c>
      <c r="N272" s="276">
        <v>0</v>
      </c>
      <c r="O272" s="276">
        <v>0</v>
      </c>
      <c r="P272" s="276">
        <v>0</v>
      </c>
      <c r="Q272" s="276"/>
      <c r="R272" s="276"/>
      <c r="S272" s="1975"/>
      <c r="T272" s="1632"/>
      <c r="U272" s="1632"/>
      <c r="V272" s="276"/>
      <c r="W272" s="276"/>
      <c r="X272" s="276"/>
      <c r="Y272" s="276"/>
      <c r="Z272" s="276"/>
      <c r="AA272" s="276"/>
      <c r="AB272" s="276"/>
      <c r="AC272" s="276"/>
      <c r="AD272" s="276"/>
      <c r="AE272" s="276"/>
      <c r="AF272" s="276"/>
      <c r="AG272" s="276"/>
      <c r="AH272" s="276"/>
      <c r="AI272" s="276"/>
      <c r="AJ272" s="276"/>
      <c r="AK272" s="276"/>
      <c r="AM272" s="83">
        <f>SUM(G272:AK272)</f>
        <v>0</v>
      </c>
    </row>
    <row r="273" spans="3:39">
      <c r="C273" s="15"/>
      <c r="D273" s="954"/>
      <c r="E273" s="1702">
        <f>E272/2500</f>
        <v>7.3497600000000007</v>
      </c>
      <c r="F273" s="62" t="s">
        <v>990</v>
      </c>
      <c r="G273" s="949" t="e">
        <f>G272/G9*1000000</f>
        <v>#DIV/0!</v>
      </c>
      <c r="H273" s="949" t="e">
        <f>H272/H9*1000000</f>
        <v>#DIV/0!</v>
      </c>
      <c r="I273" s="949" t="e">
        <f>I272/I9*1000000</f>
        <v>#DIV/0!</v>
      </c>
      <c r="J273" s="1791" t="e">
        <f>J272/J7*1000</f>
        <v>#DIV/0!</v>
      </c>
      <c r="K273" s="949" t="e">
        <f>K272/K9*100000</f>
        <v>#DIV/0!</v>
      </c>
      <c r="L273" s="949" t="e">
        <f>L272/L9*1000000</f>
        <v>#DIV/0!</v>
      </c>
      <c r="M273" s="1791" t="e">
        <f>M272/M7*1000</f>
        <v>#DIV/0!</v>
      </c>
      <c r="N273" s="1791" t="e">
        <f t="shared" ref="N273:V273" si="102">(N272/N9)*1000</f>
        <v>#DIV/0!</v>
      </c>
      <c r="O273" s="1791" t="e">
        <f t="shared" si="102"/>
        <v>#DIV/0!</v>
      </c>
      <c r="P273" s="1791" t="e">
        <f t="shared" si="102"/>
        <v>#DIV/0!</v>
      </c>
      <c r="Q273" s="1791" t="e">
        <f t="shared" si="102"/>
        <v>#DIV/0!</v>
      </c>
      <c r="R273" s="274" t="e">
        <f t="shared" si="102"/>
        <v>#DIV/0!</v>
      </c>
      <c r="S273" s="274" t="e">
        <f t="shared" si="102"/>
        <v>#DIV/0!</v>
      </c>
      <c r="T273" s="274" t="e">
        <f t="shared" si="102"/>
        <v>#DIV/0!</v>
      </c>
      <c r="U273" s="274" t="e">
        <f t="shared" si="102"/>
        <v>#DIV/0!</v>
      </c>
      <c r="V273" s="274" t="e">
        <f t="shared" si="102"/>
        <v>#DIV/0!</v>
      </c>
      <c r="W273" s="1791" t="e">
        <f t="shared" ref="W273:AF273" si="103">(W272/W9)*1000</f>
        <v>#DIV/0!</v>
      </c>
      <c r="X273" s="1791" t="e">
        <f t="shared" si="103"/>
        <v>#DIV/0!</v>
      </c>
      <c r="Y273" s="1791" t="e">
        <f t="shared" si="103"/>
        <v>#DIV/0!</v>
      </c>
      <c r="Z273" s="1791" t="e">
        <f t="shared" si="103"/>
        <v>#DIV/0!</v>
      </c>
      <c r="AA273" s="1791" t="e">
        <f t="shared" si="103"/>
        <v>#DIV/0!</v>
      </c>
      <c r="AB273" s="1791" t="e">
        <f t="shared" si="103"/>
        <v>#DIV/0!</v>
      </c>
      <c r="AC273" s="1791" t="e">
        <f t="shared" si="103"/>
        <v>#DIV/0!</v>
      </c>
      <c r="AD273" s="1791" t="e">
        <f t="shared" si="103"/>
        <v>#DIV/0!</v>
      </c>
      <c r="AE273" s="949" t="e">
        <f t="shared" si="103"/>
        <v>#DIV/0!</v>
      </c>
      <c r="AF273" s="949" t="e">
        <f t="shared" si="103"/>
        <v>#DIV/0!</v>
      </c>
      <c r="AG273" s="949" t="e">
        <f t="shared" ref="AG273:AK273" si="104">AG272/AG9*1000000</f>
        <v>#DIV/0!</v>
      </c>
      <c r="AH273" s="949" t="e">
        <f t="shared" si="104"/>
        <v>#DIV/0!</v>
      </c>
      <c r="AI273" s="949" t="e">
        <f t="shared" si="104"/>
        <v>#DIV/0!</v>
      </c>
      <c r="AJ273" s="949" t="e">
        <f t="shared" si="104"/>
        <v>#DIV/0!</v>
      </c>
      <c r="AK273" s="949" t="e">
        <f t="shared" si="104"/>
        <v>#DIV/0!</v>
      </c>
      <c r="AL273" s="63"/>
      <c r="AM273" s="2003" t="e">
        <f>(AM272/AM9)*1000</f>
        <v>#DIV/0!</v>
      </c>
    </row>
    <row r="274" spans="3:39">
      <c r="C274" s="15"/>
      <c r="D274" s="248" t="s">
        <v>119</v>
      </c>
      <c r="E274" s="267">
        <v>10946.28</v>
      </c>
      <c r="F274" s="247" t="s">
        <v>999</v>
      </c>
      <c r="G274" s="276"/>
      <c r="H274" s="276"/>
      <c r="I274" s="276"/>
      <c r="J274" s="1524">
        <v>0</v>
      </c>
      <c r="K274" s="276">
        <v>0</v>
      </c>
      <c r="L274" s="276">
        <v>0</v>
      </c>
      <c r="M274" s="276">
        <v>0</v>
      </c>
      <c r="N274" s="276">
        <v>0</v>
      </c>
      <c r="O274" s="276">
        <v>0</v>
      </c>
      <c r="P274" s="276">
        <v>0</v>
      </c>
      <c r="Q274" s="276"/>
      <c r="R274" s="276"/>
      <c r="S274" s="1975"/>
      <c r="T274" s="276"/>
      <c r="U274" s="276"/>
      <c r="V274" s="276"/>
      <c r="W274" s="276"/>
      <c r="X274" s="276"/>
      <c r="Y274" s="276"/>
      <c r="Z274" s="276"/>
      <c r="AA274" s="276"/>
      <c r="AB274" s="276"/>
      <c r="AC274" s="276"/>
      <c r="AD274" s="276"/>
      <c r="AE274" s="276"/>
      <c r="AF274" s="276"/>
      <c r="AG274" s="276"/>
      <c r="AH274" s="276"/>
      <c r="AI274" s="276"/>
      <c r="AJ274" s="276"/>
      <c r="AK274" s="276"/>
      <c r="AM274" s="83">
        <f>SUM(G274:AK274)</f>
        <v>0</v>
      </c>
    </row>
    <row r="275" spans="3:39">
      <c r="C275" s="15"/>
      <c r="D275" s="954"/>
      <c r="E275" s="1702">
        <f>E274/2500</f>
        <v>4.3785120000000006</v>
      </c>
      <c r="F275" s="62" t="s">
        <v>990</v>
      </c>
      <c r="G275" s="949" t="e">
        <f>G274/G9*1000000</f>
        <v>#DIV/0!</v>
      </c>
      <c r="H275" s="949" t="e">
        <f>H274/H9*1000000</f>
        <v>#DIV/0!</v>
      </c>
      <c r="I275" s="949" t="e">
        <f>I274/I9*1000000</f>
        <v>#DIV/0!</v>
      </c>
      <c r="J275" s="1791" t="e">
        <f>J274/J9*1000</f>
        <v>#DIV/0!</v>
      </c>
      <c r="K275" s="949" t="e">
        <f>K274/K9*1000000</f>
        <v>#DIV/0!</v>
      </c>
      <c r="L275" s="949" t="e">
        <f>L274/L9*1000000</f>
        <v>#DIV/0!</v>
      </c>
      <c r="M275" s="1791" t="e">
        <f>M274/M9*1000</f>
        <v>#DIV/0!</v>
      </c>
      <c r="N275" s="1791" t="e">
        <f>N274/N9*1000</f>
        <v>#DIV/0!</v>
      </c>
      <c r="O275" s="1791" t="e">
        <f>O274/O9*1000</f>
        <v>#DIV/0!</v>
      </c>
      <c r="P275" s="1791" t="e">
        <f>P274/P9*1000</f>
        <v>#DIV/0!</v>
      </c>
      <c r="Q275" s="1791" t="e">
        <f>(Q274/Q9)*1000</f>
        <v>#DIV/0!</v>
      </c>
      <c r="R275" s="1791" t="e">
        <f>(R274/R9)*1000</f>
        <v>#DIV/0!</v>
      </c>
      <c r="S275" s="1791" t="e">
        <f>(S274/S9)*1000</f>
        <v>#DIV/0!</v>
      </c>
      <c r="T275" s="1791" t="e">
        <f t="shared" ref="T275:V275" si="105">(T274/T9)*1000</f>
        <v>#DIV/0!</v>
      </c>
      <c r="U275" s="1791" t="e">
        <f t="shared" si="105"/>
        <v>#DIV/0!</v>
      </c>
      <c r="V275" s="1791" t="e">
        <f t="shared" si="105"/>
        <v>#DIV/0!</v>
      </c>
      <c r="W275" s="1791" t="e">
        <f>(W274/W9)*1000</f>
        <v>#DIV/0!</v>
      </c>
      <c r="X275" s="1791" t="e">
        <f t="shared" ref="X275:AF275" si="106">(X274/X9)*1000</f>
        <v>#DIV/0!</v>
      </c>
      <c r="Y275" s="1791" t="e">
        <f t="shared" si="106"/>
        <v>#DIV/0!</v>
      </c>
      <c r="Z275" s="1791" t="e">
        <f t="shared" si="106"/>
        <v>#DIV/0!</v>
      </c>
      <c r="AA275" s="1791" t="e">
        <f t="shared" si="106"/>
        <v>#DIV/0!</v>
      </c>
      <c r="AB275" s="1791" t="e">
        <f t="shared" si="106"/>
        <v>#DIV/0!</v>
      </c>
      <c r="AC275" s="1791" t="e">
        <f t="shared" si="106"/>
        <v>#DIV/0!</v>
      </c>
      <c r="AD275" s="1791" t="e">
        <f t="shared" si="106"/>
        <v>#DIV/0!</v>
      </c>
      <c r="AE275" s="949" t="e">
        <f t="shared" si="106"/>
        <v>#DIV/0!</v>
      </c>
      <c r="AF275" s="949" t="e">
        <f t="shared" si="106"/>
        <v>#DIV/0!</v>
      </c>
      <c r="AG275" s="949" t="e">
        <f t="shared" ref="AG275:AK275" si="107">AG274/AG9*1000000</f>
        <v>#DIV/0!</v>
      </c>
      <c r="AH275" s="949" t="e">
        <f t="shared" si="107"/>
        <v>#DIV/0!</v>
      </c>
      <c r="AI275" s="949" t="e">
        <f t="shared" si="107"/>
        <v>#DIV/0!</v>
      </c>
      <c r="AJ275" s="949" t="e">
        <f t="shared" si="107"/>
        <v>#DIV/0!</v>
      </c>
      <c r="AK275" s="949" t="e">
        <f t="shared" si="107"/>
        <v>#DIV/0!</v>
      </c>
      <c r="AL275" s="63"/>
      <c r="AM275" s="2003" t="e">
        <f>AM274/AM9*1000</f>
        <v>#DIV/0!</v>
      </c>
    </row>
    <row r="276" spans="3:39">
      <c r="C276" s="15"/>
      <c r="D276" s="44" t="s">
        <v>15</v>
      </c>
      <c r="E276" s="534"/>
      <c r="F276" s="45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1993"/>
      <c r="T276" s="300"/>
      <c r="U276" s="300"/>
      <c r="V276" s="300"/>
      <c r="W276" s="300"/>
      <c r="X276" s="300"/>
      <c r="Y276" s="300"/>
      <c r="Z276" s="300"/>
      <c r="AA276" s="300"/>
      <c r="AB276" s="300"/>
      <c r="AC276" s="300"/>
      <c r="AD276" s="300"/>
      <c r="AE276" s="300"/>
      <c r="AF276" s="300"/>
      <c r="AG276" s="300"/>
      <c r="AH276" s="300"/>
      <c r="AI276" s="300"/>
      <c r="AJ276" s="300"/>
      <c r="AK276" s="300"/>
      <c r="AM276" s="126" t="s">
        <v>15</v>
      </c>
    </row>
    <row r="277" spans="3:39">
      <c r="C277" s="15"/>
      <c r="D277" s="248" t="s">
        <v>924</v>
      </c>
      <c r="E277" s="267">
        <v>10272</v>
      </c>
      <c r="F277" s="247" t="s">
        <v>999</v>
      </c>
      <c r="G277" s="276"/>
      <c r="H277" s="276"/>
      <c r="I277" s="276"/>
      <c r="J277" s="276"/>
      <c r="K277" s="276"/>
      <c r="L277" s="276"/>
      <c r="M277" s="276"/>
      <c r="N277" s="276"/>
      <c r="O277" s="276"/>
      <c r="P277" s="276"/>
      <c r="Q277" s="276"/>
      <c r="R277" s="276"/>
      <c r="S277" s="1975"/>
      <c r="T277" s="276"/>
      <c r="U277" s="276"/>
      <c r="V277" s="276"/>
      <c r="W277" s="276"/>
      <c r="X277" s="276"/>
      <c r="Y277" s="276"/>
      <c r="Z277" s="276"/>
      <c r="AA277" s="276"/>
      <c r="AB277" s="276"/>
      <c r="AC277" s="276"/>
      <c r="AD277" s="276"/>
      <c r="AE277" s="276"/>
      <c r="AF277" s="276"/>
      <c r="AG277" s="276"/>
      <c r="AH277" s="276"/>
      <c r="AI277" s="276"/>
      <c r="AJ277" s="276"/>
      <c r="AK277" s="276"/>
      <c r="AM277" s="83">
        <f>SUM(G277:AK277)</f>
        <v>0</v>
      </c>
    </row>
    <row r="278" spans="3:39">
      <c r="C278" s="15"/>
      <c r="D278" s="954"/>
      <c r="E278" s="1702">
        <f>E277/2500</f>
        <v>4.1087999999999996</v>
      </c>
      <c r="F278" s="62" t="s">
        <v>990</v>
      </c>
      <c r="G278" s="34" t="e">
        <f t="shared" ref="G278:Q278" si="108">(G277/G24)*1000</f>
        <v>#DIV/0!</v>
      </c>
      <c r="H278" s="34" t="e">
        <f t="shared" si="108"/>
        <v>#DIV/0!</v>
      </c>
      <c r="I278" s="34" t="e">
        <f t="shared" si="108"/>
        <v>#DIV/0!</v>
      </c>
      <c r="J278" s="34" t="e">
        <f t="shared" si="108"/>
        <v>#DIV/0!</v>
      </c>
      <c r="K278" s="34" t="e">
        <f t="shared" si="108"/>
        <v>#DIV/0!</v>
      </c>
      <c r="L278" s="34" t="e">
        <f t="shared" si="108"/>
        <v>#DIV/0!</v>
      </c>
      <c r="M278" s="34" t="e">
        <f t="shared" si="108"/>
        <v>#DIV/0!</v>
      </c>
      <c r="N278" s="34" t="e">
        <f t="shared" si="108"/>
        <v>#DIV/0!</v>
      </c>
      <c r="O278" s="34" t="e">
        <f t="shared" si="108"/>
        <v>#DIV/0!</v>
      </c>
      <c r="P278" s="34" t="e">
        <f t="shared" si="108"/>
        <v>#DIV/0!</v>
      </c>
      <c r="Q278" s="34" t="e">
        <f t="shared" si="108"/>
        <v>#DIV/0!</v>
      </c>
      <c r="R278" s="34" t="e">
        <f>(R277/R24)*1000</f>
        <v>#DIV/0!</v>
      </c>
      <c r="S278" s="34" t="e">
        <f>(S277/S28)*1000</f>
        <v>#DIV/0!</v>
      </c>
      <c r="T278" s="34" t="e">
        <f>(T277/T28)*1000</f>
        <v>#DIV/0!</v>
      </c>
      <c r="U278" s="34" t="e">
        <f>(U277/U28)*1000</f>
        <v>#DIV/0!</v>
      </c>
      <c r="V278" s="34" t="e">
        <f t="shared" ref="V278:W278" si="109">(V277/V28)*1000</f>
        <v>#DIV/0!</v>
      </c>
      <c r="W278" s="34" t="e">
        <f t="shared" si="109"/>
        <v>#DIV/0!</v>
      </c>
      <c r="X278" s="34" t="e">
        <f t="shared" ref="X278:AF278" si="110">(X277/X28)*1000</f>
        <v>#DIV/0!</v>
      </c>
      <c r="Y278" s="34" t="e">
        <f t="shared" si="110"/>
        <v>#DIV/0!</v>
      </c>
      <c r="Z278" s="34" t="e">
        <f t="shared" si="110"/>
        <v>#DIV/0!</v>
      </c>
      <c r="AA278" s="34" t="e">
        <f t="shared" si="110"/>
        <v>#DIV/0!</v>
      </c>
      <c r="AB278" s="34" t="e">
        <f t="shared" si="110"/>
        <v>#DIV/0!</v>
      </c>
      <c r="AC278" s="34" t="e">
        <f t="shared" si="110"/>
        <v>#DIV/0!</v>
      </c>
      <c r="AD278" s="34" t="e">
        <f t="shared" si="110"/>
        <v>#DIV/0!</v>
      </c>
      <c r="AE278" s="34" t="e">
        <f t="shared" si="110"/>
        <v>#DIV/0!</v>
      </c>
      <c r="AF278" s="34" t="e">
        <f t="shared" si="110"/>
        <v>#DIV/0!</v>
      </c>
      <c r="AG278" s="34" t="e">
        <f t="shared" ref="AG278:AK278" si="111">(AG277/AG28)*1000</f>
        <v>#DIV/0!</v>
      </c>
      <c r="AH278" s="34" t="e">
        <f t="shared" si="111"/>
        <v>#DIV/0!</v>
      </c>
      <c r="AI278" s="34" t="e">
        <f t="shared" si="111"/>
        <v>#DIV/0!</v>
      </c>
      <c r="AJ278" s="34" t="e">
        <f t="shared" si="111"/>
        <v>#DIV/0!</v>
      </c>
      <c r="AK278" s="34" t="e">
        <f t="shared" si="111"/>
        <v>#DIV/0!</v>
      </c>
      <c r="AM278" s="2002" t="e">
        <f>AM277/AM24*1000</f>
        <v>#DIV/0!</v>
      </c>
    </row>
    <row r="279" spans="3:39">
      <c r="C279" s="15"/>
      <c r="D279" s="248" t="s">
        <v>121</v>
      </c>
      <c r="E279" s="267">
        <v>11201.3</v>
      </c>
      <c r="F279" s="247" t="s">
        <v>999</v>
      </c>
      <c r="G279" s="276"/>
      <c r="H279" s="276"/>
      <c r="I279" s="276"/>
      <c r="J279" s="276"/>
      <c r="K279" s="276"/>
      <c r="L279" s="276"/>
      <c r="M279" s="276"/>
      <c r="N279" s="276">
        <v>0</v>
      </c>
      <c r="O279" s="276">
        <v>0</v>
      </c>
      <c r="P279" s="276">
        <v>0</v>
      </c>
      <c r="Q279" s="276">
        <v>0</v>
      </c>
      <c r="R279" s="276"/>
      <c r="S279" s="1975"/>
      <c r="T279" s="276"/>
      <c r="U279" s="276"/>
      <c r="V279" s="1632"/>
      <c r="W279" s="276"/>
      <c r="X279" s="276"/>
      <c r="Y279" s="276"/>
      <c r="Z279" s="276"/>
      <c r="AA279" s="276"/>
      <c r="AB279" s="276"/>
      <c r="AC279" s="276"/>
      <c r="AD279" s="276"/>
      <c r="AE279" s="276"/>
      <c r="AF279" s="1632"/>
      <c r="AG279" s="276">
        <v>0</v>
      </c>
      <c r="AH279" s="276">
        <v>0</v>
      </c>
      <c r="AI279" s="276"/>
      <c r="AJ279" s="276"/>
      <c r="AK279" s="276"/>
      <c r="AM279" s="83">
        <f>SUM(G279:AK279)</f>
        <v>0</v>
      </c>
    </row>
    <row r="280" spans="3:39">
      <c r="C280" s="15"/>
      <c r="D280" s="954"/>
      <c r="E280" s="1702">
        <f>E279/2500</f>
        <v>4.4805199999999994</v>
      </c>
      <c r="F280" s="62" t="s">
        <v>990</v>
      </c>
      <c r="G280" s="949" t="e">
        <f t="shared" ref="G280:M280" si="112">G279/G28*1000000</f>
        <v>#DIV/0!</v>
      </c>
      <c r="H280" s="949" t="e">
        <f t="shared" si="112"/>
        <v>#DIV/0!</v>
      </c>
      <c r="I280" s="949" t="e">
        <f t="shared" si="112"/>
        <v>#DIV/0!</v>
      </c>
      <c r="J280" s="949" t="e">
        <f t="shared" si="112"/>
        <v>#DIV/0!</v>
      </c>
      <c r="K280" s="949" t="e">
        <f t="shared" si="112"/>
        <v>#DIV/0!</v>
      </c>
      <c r="L280" s="949" t="e">
        <f t="shared" si="112"/>
        <v>#DIV/0!</v>
      </c>
      <c r="M280" s="949" t="e">
        <f t="shared" si="112"/>
        <v>#DIV/0!</v>
      </c>
      <c r="N280" s="949" t="e">
        <f>N279/N28*1000000</f>
        <v>#DIV/0!</v>
      </c>
      <c r="O280" s="949" t="e">
        <f>O279/O28*1000000</f>
        <v>#DIV/0!</v>
      </c>
      <c r="P280" s="1791" t="e">
        <f>(P279/P28)*1000</f>
        <v>#DIV/0!</v>
      </c>
      <c r="Q280" s="1791" t="e">
        <f>(Q279/Q28)*1000</f>
        <v>#DIV/0!</v>
      </c>
      <c r="R280" s="1791" t="e">
        <f>(R279/R24)*1000</f>
        <v>#DIV/0!</v>
      </c>
      <c r="S280" s="1791" t="e">
        <f>(S279/S28)*1000</f>
        <v>#DIV/0!</v>
      </c>
      <c r="T280" s="1791" t="e">
        <f>(T279/T28)*1000</f>
        <v>#DIV/0!</v>
      </c>
      <c r="U280" s="1791" t="e">
        <f>(U279/U28)*1000</f>
        <v>#DIV/0!</v>
      </c>
      <c r="V280" s="1791" t="e">
        <f t="shared" ref="V280:W280" si="113">(V279/V28)*1000</f>
        <v>#DIV/0!</v>
      </c>
      <c r="W280" s="1791" t="e">
        <f t="shared" si="113"/>
        <v>#DIV/0!</v>
      </c>
      <c r="X280" s="1791" t="e">
        <f>(X279/X28)*1000</f>
        <v>#DIV/0!</v>
      </c>
      <c r="Y280" s="1791" t="e">
        <f t="shared" ref="Y280:AF280" si="114">(Y279/Y28)*1000</f>
        <v>#DIV/0!</v>
      </c>
      <c r="Z280" s="1791" t="e">
        <f t="shared" si="114"/>
        <v>#DIV/0!</v>
      </c>
      <c r="AA280" s="1791" t="e">
        <f t="shared" si="114"/>
        <v>#DIV/0!</v>
      </c>
      <c r="AB280" s="1791" t="e">
        <f t="shared" si="114"/>
        <v>#DIV/0!</v>
      </c>
      <c r="AC280" s="1791" t="e">
        <f t="shared" si="114"/>
        <v>#DIV/0!</v>
      </c>
      <c r="AD280" s="1791" t="e">
        <f t="shared" si="114"/>
        <v>#DIV/0!</v>
      </c>
      <c r="AE280" s="1791" t="e">
        <f t="shared" si="114"/>
        <v>#DIV/0!</v>
      </c>
      <c r="AF280" s="1791" t="e">
        <f t="shared" si="114"/>
        <v>#DIV/0!</v>
      </c>
      <c r="AG280" s="1791" t="e">
        <f t="shared" ref="AG280:AJ280" si="115">(AG279/AG28)*1000</f>
        <v>#DIV/0!</v>
      </c>
      <c r="AH280" s="1791" t="e">
        <f t="shared" si="115"/>
        <v>#DIV/0!</v>
      </c>
      <c r="AI280" s="1791" t="e">
        <f t="shared" si="115"/>
        <v>#DIV/0!</v>
      </c>
      <c r="AJ280" s="1791" t="e">
        <f t="shared" si="115"/>
        <v>#DIV/0!</v>
      </c>
      <c r="AK280" s="949" t="e">
        <f>AK279/AK28*100000</f>
        <v>#DIV/0!</v>
      </c>
      <c r="AL280" s="63"/>
      <c r="AM280" s="2002" t="e">
        <f>AM279/AM24*1000</f>
        <v>#DIV/0!</v>
      </c>
    </row>
    <row r="281" spans="3:39">
      <c r="C281" s="1932"/>
      <c r="D281" s="1933" t="s">
        <v>7</v>
      </c>
      <c r="E281" s="549"/>
      <c r="F281" s="1934"/>
      <c r="G281" s="1935"/>
      <c r="H281" s="1935"/>
      <c r="I281" s="1935"/>
      <c r="J281" s="1935"/>
      <c r="K281" s="1935"/>
      <c r="L281" s="1935"/>
      <c r="M281" s="1935"/>
      <c r="N281" s="1935"/>
      <c r="O281" s="1935"/>
      <c r="P281" s="1935"/>
      <c r="Q281" s="1935"/>
      <c r="R281" s="1935"/>
      <c r="S281" s="2000"/>
      <c r="T281" s="1935"/>
      <c r="U281" s="1935"/>
      <c r="V281" s="1935"/>
      <c r="W281" s="1935"/>
      <c r="X281" s="1935"/>
      <c r="Y281" s="1935"/>
      <c r="Z281" s="1935"/>
      <c r="AA281" s="1935"/>
      <c r="AB281" s="1935"/>
      <c r="AC281" s="1935"/>
      <c r="AD281" s="1935"/>
      <c r="AE281" s="1935"/>
      <c r="AF281" s="1935"/>
      <c r="AG281" s="1935"/>
      <c r="AH281" s="1935"/>
      <c r="AI281" s="1935"/>
      <c r="AJ281" s="1935"/>
      <c r="AK281" s="1935"/>
      <c r="AL281" s="1936"/>
      <c r="AM281" s="1937" t="s">
        <v>7</v>
      </c>
    </row>
    <row r="282" spans="3:39" hidden="1">
      <c r="C282" s="15"/>
      <c r="D282" s="248" t="s">
        <v>122</v>
      </c>
      <c r="E282" s="267">
        <v>11.81</v>
      </c>
      <c r="F282" s="247" t="s">
        <v>2</v>
      </c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6"/>
      <c r="S282" s="246"/>
      <c r="T282" s="246"/>
      <c r="U282" s="246"/>
      <c r="V282" s="246"/>
      <c r="W282" s="246"/>
      <c r="X282" s="246"/>
      <c r="Y282" s="246"/>
      <c r="Z282" s="246"/>
      <c r="AA282" s="246"/>
      <c r="AB282" s="246"/>
      <c r="AC282" s="246"/>
      <c r="AD282" s="246"/>
      <c r="AE282" s="246"/>
      <c r="AF282" s="246"/>
      <c r="AG282" s="246"/>
      <c r="AH282" s="246"/>
      <c r="AI282" s="246"/>
      <c r="AJ282" s="246"/>
      <c r="AK282" s="246"/>
      <c r="AM282" s="83">
        <f>SUM(G282:AK282)</f>
        <v>0</v>
      </c>
    </row>
    <row r="283" spans="3:39" ht="15" hidden="1" thickBot="1">
      <c r="C283" s="19"/>
      <c r="D283" s="249" t="s">
        <v>123</v>
      </c>
      <c r="E283" s="268">
        <v>241.12</v>
      </c>
      <c r="F283" s="250" t="s">
        <v>2</v>
      </c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  <c r="AB283" s="301"/>
      <c r="AC283" s="301"/>
      <c r="AD283" s="301"/>
      <c r="AE283" s="301"/>
      <c r="AF283" s="301"/>
      <c r="AG283" s="301"/>
      <c r="AH283" s="301"/>
      <c r="AI283" s="301"/>
      <c r="AJ283" s="301"/>
      <c r="AK283" s="301"/>
      <c r="AM283" s="269">
        <f>SUM(G283:AK283)</f>
        <v>0</v>
      </c>
    </row>
    <row r="285" spans="3:39">
      <c r="E285" s="1916"/>
    </row>
    <row r="288" spans="3:39">
      <c r="E288" s="2001"/>
    </row>
    <row r="289" spans="5:25">
      <c r="E289" s="2001"/>
    </row>
    <row r="290" spans="5:25">
      <c r="E290" s="2001"/>
    </row>
    <row r="291" spans="5:25">
      <c r="E291" s="2001"/>
    </row>
    <row r="292" spans="5:25">
      <c r="E292" s="2001"/>
    </row>
    <row r="300" spans="5:25">
      <c r="U300" s="2001">
        <v>31437</v>
      </c>
    </row>
    <row r="301" spans="5:25">
      <c r="U301" s="2001">
        <v>47156</v>
      </c>
      <c r="V301" s="2001">
        <f>U301+U300</f>
        <v>78593</v>
      </c>
      <c r="W301" s="3">
        <f>S54</f>
        <v>0</v>
      </c>
      <c r="X301" s="3">
        <f>W301-V301</f>
        <v>-78593</v>
      </c>
      <c r="Y301" s="2001">
        <v>330482</v>
      </c>
    </row>
    <row r="302" spans="5:25">
      <c r="U302" s="2001">
        <v>283072</v>
      </c>
      <c r="Y302" s="2001">
        <v>490703</v>
      </c>
    </row>
    <row r="303" spans="5:25">
      <c r="U303" s="2001">
        <v>660500</v>
      </c>
      <c r="Y303" s="2001">
        <v>16008</v>
      </c>
    </row>
    <row r="304" spans="5:25">
      <c r="Y304" s="2001">
        <v>146060</v>
      </c>
    </row>
    <row r="305" spans="3:61 15027:15419">
      <c r="Y305" s="2001">
        <v>9572</v>
      </c>
    </row>
    <row r="306" spans="3:61 15027:15419" s="1" customFormat="1">
      <c r="C306" s="5"/>
      <c r="F306" s="2"/>
      <c r="Y306" s="2001">
        <v>20000</v>
      </c>
      <c r="BI306" s="142"/>
      <c r="VEY306" s="46"/>
      <c r="VEZ306" s="46"/>
      <c r="VFA306" s="46"/>
      <c r="VFB306" s="46"/>
      <c r="VFC306" s="46"/>
      <c r="VFD306" s="46"/>
      <c r="VFE306" s="46"/>
      <c r="VFF306" s="46"/>
      <c r="VFG306" s="46"/>
      <c r="VFH306" s="46"/>
      <c r="VFI306" s="46"/>
      <c r="VFJ306" s="46"/>
      <c r="VFK306" s="46"/>
      <c r="VFL306" s="46"/>
      <c r="VFM306" s="46"/>
      <c r="VFN306" s="46"/>
      <c r="VFO306" s="46"/>
      <c r="VFP306" s="46"/>
      <c r="VFQ306" s="46"/>
      <c r="VFR306" s="46"/>
      <c r="VFS306" s="46"/>
      <c r="VFT306" s="46"/>
      <c r="VFU306" s="46"/>
      <c r="VFV306" s="46"/>
      <c r="VFW306" s="46"/>
      <c r="VFX306" s="46"/>
      <c r="VFY306" s="46"/>
      <c r="VFZ306" s="46"/>
      <c r="VGA306" s="46"/>
      <c r="VGB306" s="46"/>
      <c r="VGC306" s="46"/>
      <c r="VGD306" s="46"/>
      <c r="VGE306" s="46"/>
      <c r="VGF306" s="46"/>
      <c r="VGG306" s="46"/>
      <c r="VGH306" s="46"/>
      <c r="VGI306" s="46"/>
      <c r="VGJ306" s="46"/>
      <c r="VGK306" s="46"/>
      <c r="VGL306" s="46"/>
      <c r="VGM306" s="46"/>
      <c r="VGN306" s="46"/>
      <c r="VGO306" s="46"/>
      <c r="VGP306" s="46"/>
      <c r="VGQ306" s="46"/>
      <c r="VGR306" s="46"/>
      <c r="VGS306" s="46"/>
      <c r="VGT306" s="46"/>
      <c r="VGU306" s="46"/>
      <c r="VGV306" s="46"/>
      <c r="VGW306" s="46"/>
      <c r="VGX306" s="46"/>
      <c r="VGY306" s="46"/>
      <c r="VGZ306" s="46"/>
      <c r="VHA306" s="46"/>
      <c r="VHB306" s="46"/>
      <c r="VHC306" s="46"/>
      <c r="VHD306" s="46"/>
      <c r="VHE306" s="46"/>
      <c r="VHF306" s="46"/>
      <c r="VHG306" s="46"/>
      <c r="VHH306" s="46"/>
      <c r="VHI306" s="46"/>
      <c r="VHJ306" s="46"/>
      <c r="VHK306" s="46"/>
      <c r="VHL306" s="46"/>
      <c r="VHM306" s="46"/>
      <c r="VHN306" s="46"/>
      <c r="VHO306" s="46"/>
      <c r="VHP306" s="46"/>
      <c r="VHQ306" s="46"/>
      <c r="VHR306" s="46"/>
      <c r="VHS306" s="46"/>
      <c r="VHT306" s="46"/>
      <c r="VHU306" s="46"/>
      <c r="VHV306" s="46"/>
      <c r="VHW306" s="46"/>
      <c r="VHX306" s="46"/>
      <c r="VHY306" s="46"/>
      <c r="VHZ306" s="46"/>
      <c r="VIA306" s="46"/>
      <c r="VIB306" s="46"/>
      <c r="VIC306" s="46"/>
      <c r="VID306" s="46"/>
      <c r="VIE306" s="46"/>
      <c r="VIF306" s="46"/>
      <c r="VIG306" s="46"/>
      <c r="VIH306" s="46"/>
      <c r="VII306" s="46"/>
      <c r="VIJ306" s="46"/>
      <c r="VIK306" s="46"/>
      <c r="VIL306" s="46"/>
      <c r="VIM306" s="46"/>
      <c r="VIN306" s="46"/>
      <c r="VIO306" s="46"/>
      <c r="VIP306" s="46"/>
      <c r="VIQ306" s="46"/>
      <c r="VIR306" s="46"/>
      <c r="VIS306" s="46"/>
      <c r="VIT306" s="46"/>
      <c r="VIU306" s="46"/>
      <c r="VIV306" s="46"/>
      <c r="VIW306" s="46"/>
      <c r="VIX306" s="46"/>
      <c r="VIY306" s="46"/>
      <c r="VIZ306" s="46"/>
      <c r="VJA306" s="46"/>
      <c r="VJB306" s="46"/>
      <c r="VJC306" s="46"/>
      <c r="VJD306" s="46"/>
      <c r="VJE306" s="46"/>
      <c r="VJF306" s="46"/>
      <c r="VJG306" s="46"/>
      <c r="VJH306" s="46"/>
      <c r="VJI306" s="46"/>
      <c r="VJJ306" s="46"/>
      <c r="VJK306" s="46"/>
      <c r="VJL306" s="46"/>
      <c r="VJM306" s="46"/>
      <c r="VJN306" s="46"/>
      <c r="VJO306" s="46"/>
      <c r="VJP306" s="46"/>
      <c r="VJQ306" s="46"/>
      <c r="VJR306" s="46"/>
      <c r="VJS306" s="46"/>
      <c r="VJT306" s="46"/>
      <c r="VJU306" s="46"/>
      <c r="VJV306" s="46"/>
      <c r="VJW306" s="46"/>
      <c r="VJX306" s="46"/>
      <c r="VJY306" s="46"/>
      <c r="VJZ306" s="46"/>
      <c r="VKA306" s="46"/>
      <c r="VKB306" s="46"/>
      <c r="VKC306" s="46"/>
      <c r="VKD306" s="46"/>
      <c r="VKE306" s="46"/>
      <c r="VKF306" s="46"/>
      <c r="VKG306" s="46"/>
      <c r="VKH306" s="46"/>
      <c r="VKI306" s="46"/>
      <c r="VKJ306" s="46"/>
      <c r="VKK306" s="46"/>
      <c r="VKL306" s="46"/>
      <c r="VKM306" s="46"/>
      <c r="VKN306" s="46"/>
      <c r="VKO306" s="46"/>
      <c r="VKP306" s="46"/>
      <c r="VKQ306" s="46"/>
      <c r="VKR306" s="46"/>
      <c r="VKS306" s="46"/>
      <c r="VKT306" s="46"/>
      <c r="VKU306" s="46"/>
      <c r="VKV306" s="46"/>
      <c r="VKW306" s="46"/>
      <c r="VKX306" s="46"/>
      <c r="VKY306" s="46"/>
      <c r="VKZ306" s="46"/>
      <c r="VLA306" s="46"/>
      <c r="VLB306" s="46"/>
      <c r="VLC306" s="46"/>
      <c r="VLD306" s="46"/>
      <c r="VLE306" s="46"/>
      <c r="VLF306" s="46"/>
      <c r="VLG306" s="46"/>
      <c r="VLH306" s="46"/>
      <c r="VLI306" s="46"/>
      <c r="VLJ306" s="46"/>
      <c r="VLK306" s="46"/>
      <c r="VLL306" s="46"/>
      <c r="VLM306" s="46"/>
      <c r="VLN306" s="46"/>
      <c r="VLO306" s="46"/>
      <c r="VLP306" s="46"/>
      <c r="VLQ306" s="46"/>
      <c r="VLR306" s="46"/>
      <c r="VLS306" s="46"/>
      <c r="VLT306" s="46"/>
      <c r="VLU306" s="46"/>
      <c r="VLV306" s="46"/>
      <c r="VLW306" s="46"/>
      <c r="VLX306" s="46"/>
      <c r="VLY306" s="46"/>
      <c r="VLZ306" s="46"/>
      <c r="VMA306" s="46"/>
      <c r="VMB306" s="46"/>
      <c r="VMC306" s="46"/>
      <c r="VMD306" s="46"/>
      <c r="VME306" s="46"/>
      <c r="VMF306" s="46"/>
      <c r="VMG306" s="46"/>
      <c r="VMH306" s="46"/>
      <c r="VMI306" s="46"/>
      <c r="VMJ306" s="46"/>
      <c r="VMK306" s="46"/>
      <c r="VML306" s="46"/>
      <c r="VMM306" s="46"/>
      <c r="VMN306" s="46"/>
      <c r="VMO306" s="46"/>
      <c r="VMP306" s="46"/>
      <c r="VMQ306" s="46"/>
      <c r="VMR306" s="46"/>
      <c r="VMS306" s="46"/>
      <c r="VMT306" s="46"/>
      <c r="VMU306" s="46"/>
      <c r="VMV306" s="46"/>
      <c r="VMW306" s="46"/>
      <c r="VMX306" s="46"/>
      <c r="VMY306" s="46"/>
      <c r="VMZ306" s="46"/>
      <c r="VNA306" s="46"/>
      <c r="VNB306" s="46"/>
      <c r="VNC306" s="46"/>
      <c r="VND306" s="46"/>
      <c r="VNE306" s="46"/>
      <c r="VNF306" s="46"/>
      <c r="VNG306" s="46"/>
      <c r="VNH306" s="46"/>
      <c r="VNI306" s="46"/>
      <c r="VNJ306" s="46"/>
      <c r="VNK306" s="46"/>
      <c r="VNL306" s="46"/>
      <c r="VNM306" s="46"/>
      <c r="VNN306" s="46"/>
      <c r="VNO306" s="46"/>
      <c r="VNP306" s="46"/>
      <c r="VNQ306" s="46"/>
      <c r="VNR306" s="46"/>
      <c r="VNS306" s="46"/>
      <c r="VNT306" s="46"/>
      <c r="VNU306" s="46"/>
      <c r="VNV306" s="46"/>
      <c r="VNW306" s="46"/>
      <c r="VNX306" s="46"/>
      <c r="VNY306" s="46"/>
      <c r="VNZ306" s="46"/>
      <c r="VOA306" s="46"/>
      <c r="VOB306" s="46"/>
      <c r="VOC306" s="46"/>
      <c r="VOD306" s="46"/>
      <c r="VOE306" s="46"/>
      <c r="VOF306" s="46"/>
      <c r="VOG306" s="46"/>
      <c r="VOH306" s="46"/>
      <c r="VOI306" s="46"/>
      <c r="VOJ306" s="46"/>
      <c r="VOK306" s="46"/>
      <c r="VOL306" s="46"/>
      <c r="VOM306" s="46"/>
      <c r="VON306" s="46"/>
      <c r="VOO306" s="46"/>
      <c r="VOP306" s="46"/>
      <c r="VOQ306" s="46"/>
      <c r="VOR306" s="46"/>
      <c r="VOS306" s="46"/>
      <c r="VOT306" s="46"/>
      <c r="VOU306" s="46"/>
      <c r="VOV306" s="46"/>
      <c r="VOW306" s="46"/>
      <c r="VOX306" s="46"/>
      <c r="VOY306" s="46"/>
      <c r="VOZ306" s="46"/>
      <c r="VPA306" s="46"/>
      <c r="VPB306" s="46"/>
      <c r="VPC306" s="46"/>
      <c r="VPD306" s="46"/>
      <c r="VPE306" s="46"/>
      <c r="VPF306" s="46"/>
      <c r="VPG306" s="46"/>
      <c r="VPH306" s="46"/>
      <c r="VPI306" s="46"/>
      <c r="VPJ306" s="46"/>
      <c r="VPK306" s="46"/>
      <c r="VPL306" s="46"/>
      <c r="VPM306" s="46"/>
      <c r="VPN306" s="46"/>
      <c r="VPO306" s="46"/>
      <c r="VPP306" s="46"/>
      <c r="VPQ306" s="46"/>
      <c r="VPR306" s="46"/>
      <c r="VPS306" s="46"/>
      <c r="VPT306" s="46"/>
      <c r="VPU306" s="46"/>
      <c r="VPV306" s="46"/>
      <c r="VPW306" s="46"/>
      <c r="VPX306" s="46"/>
      <c r="VPY306" s="46"/>
      <c r="VPZ306" s="46"/>
      <c r="VQA306" s="46"/>
      <c r="VQB306" s="46"/>
      <c r="VQC306" s="46"/>
      <c r="VQD306" s="46"/>
      <c r="VQE306" s="46"/>
      <c r="VQF306" s="46"/>
      <c r="VQG306" s="46"/>
      <c r="VQH306" s="46"/>
      <c r="VQI306" s="46"/>
      <c r="VQJ306" s="46"/>
      <c r="VQK306" s="46"/>
      <c r="VQL306" s="46"/>
      <c r="VQM306" s="46"/>
      <c r="VQN306" s="46"/>
      <c r="VQO306" s="46"/>
      <c r="VQP306" s="46"/>
      <c r="VQQ306" s="46"/>
      <c r="VQR306" s="46"/>
      <c r="VQS306" s="46"/>
      <c r="VQT306" s="46"/>
      <c r="VQU306" s="46"/>
      <c r="VQV306" s="46"/>
      <c r="VQW306" s="46"/>
      <c r="VQX306" s="46"/>
      <c r="VQY306" s="46"/>
      <c r="VQZ306" s="46"/>
      <c r="VRA306" s="46"/>
      <c r="VRB306" s="46"/>
      <c r="VRC306" s="46"/>
      <c r="VRD306" s="46"/>
      <c r="VRE306" s="46"/>
      <c r="VRF306" s="46"/>
      <c r="VRG306" s="46"/>
      <c r="VRH306" s="46"/>
      <c r="VRI306" s="46"/>
      <c r="VRJ306" s="46"/>
      <c r="VRK306" s="46"/>
      <c r="VRL306" s="46"/>
      <c r="VRM306" s="46"/>
      <c r="VRN306" s="46"/>
      <c r="VRO306" s="46"/>
      <c r="VRP306" s="46"/>
      <c r="VRQ306" s="46"/>
      <c r="VRR306" s="46"/>
      <c r="VRS306" s="46"/>
      <c r="VRT306" s="46"/>
      <c r="VRU306" s="46"/>
      <c r="VRV306" s="46"/>
      <c r="VRW306" s="46"/>
      <c r="VRX306" s="46"/>
      <c r="VRY306" s="46"/>
      <c r="VRZ306" s="46"/>
      <c r="VSA306" s="46"/>
      <c r="VSB306" s="46"/>
      <c r="VSC306" s="46"/>
      <c r="VSD306" s="46"/>
      <c r="VSE306" s="46"/>
      <c r="VSF306" s="46"/>
      <c r="VSG306" s="46"/>
      <c r="VSH306" s="46"/>
      <c r="VSI306" s="46"/>
      <c r="VSJ306" s="46"/>
      <c r="VSK306" s="46"/>
      <c r="VSL306" s="46"/>
      <c r="VSM306" s="46"/>
      <c r="VSN306" s="46"/>
      <c r="VSO306" s="46"/>
      <c r="VSP306" s="46"/>
      <c r="VSQ306" s="46"/>
      <c r="VSR306" s="46"/>
      <c r="VSS306" s="46"/>
      <c r="VST306" s="46"/>
      <c r="VSU306" s="46"/>
      <c r="VSV306" s="46"/>
      <c r="VSW306" s="46"/>
      <c r="VSX306" s="46"/>
      <c r="VSY306" s="46"/>
      <c r="VSZ306" s="46"/>
      <c r="VTA306" s="46"/>
      <c r="VTB306" s="46"/>
      <c r="VTC306" s="46"/>
      <c r="VTD306" s="46"/>
      <c r="VTE306" s="46"/>
      <c r="VTF306" s="46"/>
      <c r="VTG306" s="46"/>
      <c r="VTH306" s="46"/>
      <c r="VTI306" s="46"/>
      <c r="VTJ306" s="46"/>
      <c r="VTK306" s="46"/>
      <c r="VTL306" s="46"/>
      <c r="VTM306" s="46"/>
      <c r="VTN306" s="46"/>
      <c r="VTO306" s="46"/>
      <c r="VTP306" s="46"/>
      <c r="VTQ306" s="46"/>
      <c r="VTR306" s="46"/>
      <c r="VTS306" s="46"/>
      <c r="VTT306" s="46"/>
      <c r="VTU306" s="46"/>
      <c r="VTV306" s="46"/>
      <c r="VTW306" s="46"/>
      <c r="VTX306" s="46"/>
      <c r="VTY306" s="46"/>
      <c r="VTZ306" s="46"/>
      <c r="VUA306" s="46"/>
    </row>
    <row r="307" spans="3:61 15027:15419">
      <c r="Y307" s="2001">
        <v>88783</v>
      </c>
    </row>
    <row r="308" spans="3:61 15027:15419">
      <c r="Y308" s="2001">
        <v>37983</v>
      </c>
    </row>
  </sheetData>
  <mergeCells count="7">
    <mergeCell ref="AM2:AM3"/>
    <mergeCell ref="C1:U1"/>
    <mergeCell ref="C2:C3"/>
    <mergeCell ref="D2:D3"/>
    <mergeCell ref="E2:E3"/>
    <mergeCell ref="F2:F3"/>
    <mergeCell ref="G2:U2"/>
  </mergeCells>
  <printOptions horizontalCentered="1"/>
  <pageMargins left="0.19685039370078741" right="0.19685039370078741" top="0.39370078740157483" bottom="0" header="0.31496062992125984" footer="0.31496062992125984"/>
  <pageSetup paperSize="9" scale="27" orientation="landscape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44"/>
  <sheetViews>
    <sheetView zoomScale="80" zoomScaleNormal="80" workbookViewId="0">
      <selection activeCell="U18" sqref="U18"/>
    </sheetView>
  </sheetViews>
  <sheetFormatPr defaultColWidth="9.33203125" defaultRowHeight="14.4"/>
  <cols>
    <col min="1" max="1" width="9.33203125" style="1572"/>
    <col min="2" max="2" width="23.5546875" style="1572" customWidth="1"/>
    <col min="3" max="3" width="13.6640625" style="1572" customWidth="1"/>
    <col min="4" max="4" width="13.33203125" style="1572" customWidth="1"/>
    <col min="5" max="5" width="13" style="1572" customWidth="1"/>
    <col min="6" max="6" width="12.44140625" style="1572" customWidth="1"/>
    <col min="7" max="7" width="14.44140625" style="1572" bestFit="1" customWidth="1"/>
    <col min="8" max="8" width="12.6640625" style="1572" customWidth="1"/>
    <col min="9" max="9" width="18.6640625" style="1572" bestFit="1" customWidth="1"/>
    <col min="10" max="10" width="9.5546875" style="1572" customWidth="1"/>
    <col min="11" max="11" width="9.5546875" style="1572" bestFit="1" customWidth="1"/>
    <col min="12" max="12" width="9.33203125" style="1572" customWidth="1"/>
    <col min="13" max="13" width="8.6640625" style="1572" hidden="1" customWidth="1"/>
    <col min="14" max="14" width="9" style="1572" hidden="1" customWidth="1"/>
    <col min="15" max="15" width="10.33203125" style="1572" hidden="1" customWidth="1"/>
    <col min="16" max="16" width="9" style="1572" hidden="1" customWidth="1"/>
    <col min="17" max="17" width="8.5546875" style="1572" hidden="1" customWidth="1"/>
    <col min="18" max="18" width="9.6640625" style="1572" hidden="1" customWidth="1"/>
    <col min="19" max="19" width="0" style="1572" hidden="1" customWidth="1"/>
    <col min="20" max="20" width="18.6640625" style="1572" hidden="1" customWidth="1"/>
    <col min="21" max="16384" width="9.33203125" style="1572"/>
  </cols>
  <sheetData>
    <row r="4" spans="2:20" ht="15.6">
      <c r="B4" s="1636" t="s">
        <v>1065</v>
      </c>
      <c r="I4" s="1594" t="s">
        <v>1068</v>
      </c>
      <c r="J4" s="2054" t="s">
        <v>944</v>
      </c>
      <c r="K4" s="2055"/>
      <c r="L4" s="2056"/>
      <c r="M4" s="2057" t="s">
        <v>947</v>
      </c>
      <c r="N4" s="2058"/>
      <c r="O4" s="2059"/>
      <c r="P4" s="2057" t="s">
        <v>948</v>
      </c>
      <c r="Q4" s="2058"/>
      <c r="R4" s="2059"/>
      <c r="S4" s="2060" t="s">
        <v>950</v>
      </c>
      <c r="T4" s="2061"/>
    </row>
    <row r="5" spans="2:20" ht="28.8">
      <c r="B5" s="1573" t="s">
        <v>846</v>
      </c>
      <c r="C5" s="1573" t="s">
        <v>847</v>
      </c>
      <c r="D5" s="1573" t="s">
        <v>848</v>
      </c>
      <c r="E5" s="1573" t="s">
        <v>849</v>
      </c>
      <c r="F5" s="1574" t="s">
        <v>850</v>
      </c>
      <c r="G5" s="1573" t="s">
        <v>851</v>
      </c>
      <c r="I5" s="309" t="s">
        <v>169</v>
      </c>
      <c r="J5" s="317" t="s">
        <v>170</v>
      </c>
      <c r="K5" s="317" t="s">
        <v>945</v>
      </c>
      <c r="L5" s="317" t="s">
        <v>946</v>
      </c>
      <c r="M5" s="317" t="s">
        <v>170</v>
      </c>
      <c r="N5" s="317" t="s">
        <v>945</v>
      </c>
      <c r="O5" s="317" t="s">
        <v>949</v>
      </c>
      <c r="P5" s="317" t="s">
        <v>170</v>
      </c>
      <c r="Q5" s="317" t="s">
        <v>945</v>
      </c>
      <c r="R5" s="317" t="s">
        <v>949</v>
      </c>
      <c r="S5" s="2062"/>
      <c r="T5" s="2063"/>
    </row>
    <row r="6" spans="2:20">
      <c r="B6" s="1576" t="s">
        <v>852</v>
      </c>
      <c r="C6" s="1578">
        <v>5.67</v>
      </c>
      <c r="D6" s="1577">
        <v>850</v>
      </c>
      <c r="E6" s="1578">
        <f>C6*D6/1000</f>
        <v>4.8194999999999997</v>
      </c>
      <c r="F6" s="1951">
        <v>0</v>
      </c>
      <c r="G6" s="1580">
        <f>(F6*E6/100)*1000</f>
        <v>0</v>
      </c>
      <c r="H6" s="1581"/>
      <c r="I6" s="825">
        <v>45689</v>
      </c>
      <c r="J6" s="1706"/>
      <c r="K6" s="1706"/>
      <c r="L6" s="1721"/>
      <c r="M6" s="1706"/>
      <c r="N6" s="1706"/>
      <c r="O6" s="1724"/>
      <c r="P6" s="1706"/>
      <c r="Q6" s="1706"/>
      <c r="R6" s="1576"/>
      <c r="S6" s="2064"/>
      <c r="T6" s="2065"/>
    </row>
    <row r="7" spans="2:20">
      <c r="B7" s="1576" t="s">
        <v>853</v>
      </c>
      <c r="C7" s="1635">
        <v>47.22</v>
      </c>
      <c r="D7" s="1577">
        <v>850</v>
      </c>
      <c r="E7" s="1578">
        <f>C7*D7/1000</f>
        <v>40.137</v>
      </c>
      <c r="F7" s="1951">
        <v>0</v>
      </c>
      <c r="G7" s="1580">
        <f>(F7*E7/100)*1000</f>
        <v>0</v>
      </c>
      <c r="H7" s="1636"/>
      <c r="I7" s="825">
        <v>45690</v>
      </c>
      <c r="J7" s="1706"/>
      <c r="K7" s="1706"/>
      <c r="L7" s="1721"/>
      <c r="M7" s="1706"/>
      <c r="N7" s="1706"/>
      <c r="O7" s="1724"/>
      <c r="P7" s="1706"/>
      <c r="Q7" s="1706"/>
      <c r="R7" s="1576"/>
      <c r="S7" s="2064"/>
      <c r="T7" s="2065"/>
    </row>
    <row r="8" spans="2:20">
      <c r="B8" s="1576" t="s">
        <v>854</v>
      </c>
      <c r="C8" s="1635">
        <v>47.22</v>
      </c>
      <c r="D8" s="1577">
        <v>850</v>
      </c>
      <c r="E8" s="1578">
        <f t="shared" ref="E8:E21" si="0">C8*D8/1000</f>
        <v>40.137</v>
      </c>
      <c r="F8" s="1951">
        <v>0</v>
      </c>
      <c r="G8" s="1580">
        <f>(F8*E8/100)*1000</f>
        <v>0</v>
      </c>
      <c r="H8" s="1636"/>
      <c r="I8" s="825">
        <v>45691</v>
      </c>
      <c r="J8" s="1706"/>
      <c r="K8" s="1706"/>
      <c r="L8" s="1721"/>
      <c r="M8" s="1706"/>
      <c r="N8" s="1706"/>
      <c r="O8" s="1724"/>
      <c r="P8" s="1706"/>
      <c r="Q8" s="1706"/>
      <c r="R8" s="1576"/>
      <c r="S8" s="2064"/>
      <c r="T8" s="2065"/>
    </row>
    <row r="9" spans="2:20">
      <c r="B9" s="1576" t="s">
        <v>855</v>
      </c>
      <c r="C9" s="1635">
        <v>35.68</v>
      </c>
      <c r="D9" s="1577">
        <v>850</v>
      </c>
      <c r="E9" s="1578">
        <f t="shared" si="0"/>
        <v>30.327999999999999</v>
      </c>
      <c r="F9" s="1951">
        <v>0</v>
      </c>
      <c r="G9" s="1580">
        <f>(F9*E9/100)*1000</f>
        <v>0</v>
      </c>
      <c r="H9" s="1636"/>
      <c r="I9" s="825">
        <v>45692</v>
      </c>
      <c r="J9" s="1706"/>
      <c r="K9" s="1707"/>
      <c r="L9" s="1722"/>
      <c r="M9" s="1707"/>
      <c r="N9" s="1707"/>
      <c r="O9" s="1725"/>
      <c r="P9" s="1707"/>
      <c r="Q9" s="1706"/>
      <c r="R9" s="1576"/>
      <c r="S9" s="2064"/>
      <c r="T9" s="2065"/>
    </row>
    <row r="10" spans="2:20">
      <c r="B10" s="1576" t="s">
        <v>856</v>
      </c>
      <c r="C10" s="1582">
        <v>10.8</v>
      </c>
      <c r="D10" s="1582">
        <v>850</v>
      </c>
      <c r="E10" s="1583">
        <f t="shared" si="0"/>
        <v>9.18</v>
      </c>
      <c r="F10" s="1951">
        <v>0</v>
      </c>
      <c r="G10" s="1580">
        <f t="shared" ref="G10:G15" si="1">(F10*E10/100)*1000</f>
        <v>0</v>
      </c>
      <c r="H10" s="1636"/>
      <c r="I10" s="825">
        <v>45693</v>
      </c>
      <c r="J10" s="1708"/>
      <c r="K10" s="1706"/>
      <c r="L10" s="1721"/>
      <c r="M10" s="1706"/>
      <c r="N10" s="1706"/>
      <c r="O10" s="1724"/>
      <c r="P10" s="1706"/>
      <c r="Q10" s="1706"/>
      <c r="R10" s="1576"/>
      <c r="S10" s="2064"/>
      <c r="T10" s="2065"/>
    </row>
    <row r="11" spans="2:20">
      <c r="B11" s="1576" t="s">
        <v>857</v>
      </c>
      <c r="C11" s="1582">
        <v>10.1</v>
      </c>
      <c r="D11" s="1582">
        <v>850</v>
      </c>
      <c r="E11" s="1583">
        <f t="shared" si="0"/>
        <v>8.5850000000000009</v>
      </c>
      <c r="F11" s="1951">
        <v>0</v>
      </c>
      <c r="G11" s="1580">
        <f t="shared" si="1"/>
        <v>0</v>
      </c>
      <c r="H11" s="1636"/>
      <c r="I11" s="825">
        <v>45694</v>
      </c>
      <c r="J11" s="1708"/>
      <c r="K11" s="1708"/>
      <c r="L11" s="1723">
        <f>J11-K11</f>
        <v>0</v>
      </c>
      <c r="M11" s="1708"/>
      <c r="N11" s="1708"/>
      <c r="O11" s="1726"/>
      <c r="P11" s="1708"/>
      <c r="Q11" s="1706"/>
      <c r="R11" s="1576"/>
      <c r="S11" s="2064"/>
      <c r="T11" s="2065"/>
    </row>
    <row r="12" spans="2:20">
      <c r="B12" s="1576" t="s">
        <v>858</v>
      </c>
      <c r="C12" s="1582">
        <v>10.1</v>
      </c>
      <c r="D12" s="1582">
        <v>850</v>
      </c>
      <c r="E12" s="1583">
        <f t="shared" si="0"/>
        <v>8.5850000000000009</v>
      </c>
      <c r="F12" s="1951">
        <v>0</v>
      </c>
      <c r="G12" s="1580">
        <f t="shared" si="1"/>
        <v>0</v>
      </c>
      <c r="H12" s="1636"/>
      <c r="I12" s="825">
        <v>45695</v>
      </c>
      <c r="J12" s="1709"/>
      <c r="K12" s="1709"/>
      <c r="L12" s="1723">
        <f>J12-K12</f>
        <v>0</v>
      </c>
      <c r="M12" s="1709"/>
      <c r="N12" s="1709"/>
      <c r="O12" s="1727"/>
      <c r="P12" s="1709"/>
      <c r="Q12" s="1706"/>
      <c r="R12" s="1576"/>
      <c r="S12" s="2064"/>
      <c r="T12" s="2065"/>
    </row>
    <row r="13" spans="2:20">
      <c r="B13" s="1576" t="s">
        <v>859</v>
      </c>
      <c r="C13" s="1582">
        <v>10.1</v>
      </c>
      <c r="D13" s="1582">
        <v>850</v>
      </c>
      <c r="E13" s="1583">
        <f t="shared" si="0"/>
        <v>8.5850000000000009</v>
      </c>
      <c r="F13" s="1951">
        <v>0</v>
      </c>
      <c r="G13" s="1580">
        <f t="shared" si="1"/>
        <v>0</v>
      </c>
      <c r="H13" s="1636"/>
      <c r="I13" s="825">
        <v>45696</v>
      </c>
      <c r="J13" s="1709"/>
      <c r="K13" s="1709"/>
      <c r="L13" s="1723">
        <f t="shared" ref="L13:L14" si="2">J13-K13</f>
        <v>0</v>
      </c>
      <c r="M13" s="1709"/>
      <c r="N13" s="1709">
        <v>0</v>
      </c>
      <c r="O13" s="1727"/>
      <c r="P13" s="1709"/>
      <c r="Q13" s="1709">
        <v>174609</v>
      </c>
      <c r="R13" s="1576"/>
      <c r="S13" s="2064"/>
      <c r="T13" s="2065"/>
    </row>
    <row r="14" spans="2:20">
      <c r="B14" s="1576" t="s">
        <v>860</v>
      </c>
      <c r="C14" s="1582">
        <v>10.1</v>
      </c>
      <c r="D14" s="1582">
        <v>850</v>
      </c>
      <c r="E14" s="1583">
        <f t="shared" si="0"/>
        <v>8.5850000000000009</v>
      </c>
      <c r="F14" s="1951">
        <v>0</v>
      </c>
      <c r="G14" s="1580">
        <f t="shared" si="1"/>
        <v>0</v>
      </c>
      <c r="H14" s="1636"/>
      <c r="I14" s="825">
        <v>45697</v>
      </c>
      <c r="J14" s="1709"/>
      <c r="K14" s="1709"/>
      <c r="L14" s="1723">
        <f t="shared" si="2"/>
        <v>0</v>
      </c>
      <c r="M14" s="1709"/>
      <c r="N14" s="1710">
        <v>44191</v>
      </c>
      <c r="O14" s="1728"/>
      <c r="P14" s="1709">
        <v>174609</v>
      </c>
      <c r="Q14" s="1710">
        <v>38852</v>
      </c>
      <c r="R14" s="1718">
        <f>P14-Q14</f>
        <v>135757</v>
      </c>
      <c r="S14" s="2066">
        <f>R14+O14+L14</f>
        <v>135757</v>
      </c>
      <c r="T14" s="2065"/>
    </row>
    <row r="15" spans="2:20">
      <c r="B15" s="1576" t="s">
        <v>861</v>
      </c>
      <c r="C15" s="1582">
        <v>10.1</v>
      </c>
      <c r="D15" s="1582">
        <v>850</v>
      </c>
      <c r="E15" s="1583">
        <f t="shared" si="0"/>
        <v>8.5850000000000009</v>
      </c>
      <c r="F15" s="1951">
        <v>0</v>
      </c>
      <c r="G15" s="1580">
        <f t="shared" si="1"/>
        <v>0</v>
      </c>
      <c r="H15" s="1636"/>
      <c r="I15" s="825">
        <v>45698</v>
      </c>
      <c r="J15" s="1709"/>
      <c r="K15" s="1709"/>
      <c r="L15" s="1723">
        <f>J15-K15</f>
        <v>0</v>
      </c>
      <c r="M15" s="1710">
        <v>44191</v>
      </c>
      <c r="N15" s="1709">
        <v>405272</v>
      </c>
      <c r="O15" s="1726">
        <f>M15-N15</f>
        <v>-361081</v>
      </c>
      <c r="P15" s="1710">
        <v>38852</v>
      </c>
      <c r="Q15" s="1710">
        <v>38852</v>
      </c>
      <c r="R15" s="1718">
        <f>P15-Q15</f>
        <v>0</v>
      </c>
      <c r="S15" s="2066">
        <f>R15+O15+L15</f>
        <v>-361081</v>
      </c>
      <c r="T15" s="2065"/>
    </row>
    <row r="16" spans="2:20">
      <c r="B16" s="1576" t="s">
        <v>862</v>
      </c>
      <c r="C16" s="1577">
        <v>72.13</v>
      </c>
      <c r="D16" s="1577">
        <v>850</v>
      </c>
      <c r="E16" s="1578">
        <f t="shared" si="0"/>
        <v>61.31049999999999</v>
      </c>
      <c r="F16" s="1951">
        <v>0</v>
      </c>
      <c r="G16" s="1580">
        <f>(F16*E16/100)*1000</f>
        <v>0</v>
      </c>
      <c r="H16" s="1636"/>
      <c r="I16" s="825">
        <v>45699</v>
      </c>
      <c r="J16" s="1709"/>
      <c r="K16" s="1709"/>
      <c r="L16" s="1723">
        <v>0</v>
      </c>
      <c r="M16" s="1706"/>
      <c r="N16" s="1706"/>
      <c r="O16" s="1724"/>
      <c r="P16" s="1706"/>
      <c r="Q16" s="1706"/>
      <c r="R16" s="1576"/>
      <c r="S16" s="2064"/>
      <c r="T16" s="2065"/>
    </row>
    <row r="17" spans="2:22">
      <c r="B17" s="1576" t="s">
        <v>863</v>
      </c>
      <c r="C17" s="1577">
        <v>4.28</v>
      </c>
      <c r="D17" s="1577">
        <v>860</v>
      </c>
      <c r="E17" s="1578">
        <f t="shared" si="0"/>
        <v>3.6808000000000001</v>
      </c>
      <c r="F17" s="1951">
        <v>0</v>
      </c>
      <c r="G17" s="1580">
        <f t="shared" ref="G17:G23" si="3">(F17*E17/100)*1000</f>
        <v>0</v>
      </c>
      <c r="H17" s="1636"/>
      <c r="I17" s="825">
        <v>45700</v>
      </c>
      <c r="J17" s="1709"/>
      <c r="K17" s="1709"/>
      <c r="L17" s="1723">
        <f t="shared" ref="L17:L29" si="4">J17-K17</f>
        <v>0</v>
      </c>
      <c r="M17" s="1706"/>
      <c r="N17" s="1706"/>
      <c r="O17" s="1724"/>
      <c r="P17" s="1706"/>
      <c r="Q17" s="1706"/>
      <c r="R17" s="1576"/>
      <c r="S17" s="2064"/>
      <c r="T17" s="2065"/>
    </row>
    <row r="18" spans="2:22">
      <c r="B18" s="1576" t="s">
        <v>864</v>
      </c>
      <c r="C18" s="1577">
        <v>10</v>
      </c>
      <c r="D18" s="1577">
        <v>810</v>
      </c>
      <c r="E18" s="1578">
        <f t="shared" si="0"/>
        <v>8.1</v>
      </c>
      <c r="F18" s="1951">
        <v>0</v>
      </c>
      <c r="G18" s="1580">
        <f t="shared" si="3"/>
        <v>0</v>
      </c>
      <c r="H18" s="1636"/>
      <c r="I18" s="825">
        <v>45701</v>
      </c>
      <c r="J18" s="1709"/>
      <c r="K18" s="1709"/>
      <c r="L18" s="1723">
        <f t="shared" si="4"/>
        <v>0</v>
      </c>
      <c r="M18" s="1706"/>
      <c r="N18" s="1706"/>
      <c r="O18" s="1724"/>
      <c r="P18" s="1706"/>
      <c r="Q18" s="1706"/>
      <c r="R18" s="1576"/>
      <c r="S18" s="2064"/>
      <c r="T18" s="2065"/>
      <c r="U18" s="1636"/>
    </row>
    <row r="19" spans="2:22">
      <c r="B19" s="1576" t="s">
        <v>865</v>
      </c>
      <c r="C19" s="1635">
        <v>21.8</v>
      </c>
      <c r="D19" s="1577">
        <v>800</v>
      </c>
      <c r="E19" s="1578">
        <f t="shared" si="0"/>
        <v>17.440000000000001</v>
      </c>
      <c r="F19" s="1951">
        <v>0</v>
      </c>
      <c r="G19" s="1580">
        <f t="shared" si="3"/>
        <v>0</v>
      </c>
      <c r="H19" s="1636"/>
      <c r="I19" s="825">
        <v>45702</v>
      </c>
      <c r="J19" s="1709"/>
      <c r="K19" s="1709"/>
      <c r="L19" s="1950">
        <f>J19-K19</f>
        <v>0</v>
      </c>
      <c r="M19" s="1706"/>
      <c r="N19" s="1706"/>
      <c r="O19" s="1724"/>
      <c r="P19" s="1706"/>
      <c r="Q19" s="1706"/>
      <c r="R19" s="1576"/>
      <c r="S19" s="2064"/>
      <c r="T19" s="2065"/>
    </row>
    <row r="20" spans="2:22">
      <c r="B20" s="1576" t="s">
        <v>866</v>
      </c>
      <c r="C20" s="1577">
        <v>10</v>
      </c>
      <c r="D20" s="1577">
        <v>810</v>
      </c>
      <c r="E20" s="1578">
        <f t="shared" si="0"/>
        <v>8.1</v>
      </c>
      <c r="F20" s="1951">
        <v>0</v>
      </c>
      <c r="G20" s="1580">
        <f t="shared" si="3"/>
        <v>0</v>
      </c>
      <c r="H20" s="1636"/>
      <c r="I20" s="825">
        <v>45703</v>
      </c>
      <c r="J20" s="1709"/>
      <c r="K20" s="1709"/>
      <c r="L20" s="1950">
        <f>J20-K20</f>
        <v>0</v>
      </c>
      <c r="M20" s="1706"/>
      <c r="N20" s="1706"/>
      <c r="O20" s="1724"/>
      <c r="P20" s="1706"/>
      <c r="Q20" s="1706"/>
      <c r="R20" s="1576"/>
      <c r="S20" s="2064"/>
      <c r="T20" s="2065"/>
    </row>
    <row r="21" spans="2:22">
      <c r="B21" s="1576" t="s">
        <v>867</v>
      </c>
      <c r="C21" s="1635">
        <v>11.4</v>
      </c>
      <c r="D21" s="1577">
        <v>790</v>
      </c>
      <c r="E21" s="1578">
        <f t="shared" si="0"/>
        <v>9.0060000000000002</v>
      </c>
      <c r="F21" s="1951">
        <v>0</v>
      </c>
      <c r="G21" s="1580">
        <f t="shared" si="3"/>
        <v>0</v>
      </c>
      <c r="H21" s="1636"/>
      <c r="I21" s="825">
        <v>45704</v>
      </c>
      <c r="J21" s="1709"/>
      <c r="K21" s="1709"/>
      <c r="L21" s="1950">
        <f>J21-K21</f>
        <v>0</v>
      </c>
      <c r="M21" s="1706"/>
      <c r="N21" s="1706"/>
      <c r="O21" s="1724"/>
      <c r="P21" s="1706"/>
      <c r="Q21" s="1706"/>
      <c r="R21" s="1576"/>
      <c r="S21" s="2064"/>
      <c r="T21" s="2065"/>
    </row>
    <row r="22" spans="2:22">
      <c r="B22" s="1576" t="s">
        <v>868</v>
      </c>
      <c r="C22" s="1577">
        <v>14</v>
      </c>
      <c r="D22" s="1577">
        <v>790</v>
      </c>
      <c r="E22" s="1578">
        <f>C22*D22/1000</f>
        <v>11.06</v>
      </c>
      <c r="F22" s="1951">
        <v>0</v>
      </c>
      <c r="G22" s="1580">
        <f t="shared" si="3"/>
        <v>0</v>
      </c>
      <c r="H22" s="1584"/>
      <c r="I22" s="825">
        <v>45705</v>
      </c>
      <c r="J22" s="1709"/>
      <c r="K22" s="1709"/>
      <c r="L22" s="1723">
        <f>J22-K22</f>
        <v>0</v>
      </c>
      <c r="M22" s="1706"/>
      <c r="N22" s="1706"/>
      <c r="O22" s="1724"/>
      <c r="P22" s="1706"/>
      <c r="Q22" s="1706"/>
      <c r="R22" s="1576"/>
      <c r="S22" s="2064"/>
      <c r="T22" s="2065"/>
    </row>
    <row r="23" spans="2:22">
      <c r="B23" s="1576" t="s">
        <v>869</v>
      </c>
      <c r="C23" s="1635">
        <v>149.76</v>
      </c>
      <c r="D23" s="1577">
        <v>790</v>
      </c>
      <c r="E23" s="1578">
        <f>C23*D23/1000</f>
        <v>118.31039999999999</v>
      </c>
      <c r="F23" s="1951">
        <v>0</v>
      </c>
      <c r="G23" s="1580">
        <f t="shared" si="3"/>
        <v>0</v>
      </c>
      <c r="H23" s="1585"/>
      <c r="I23" s="825">
        <v>45706</v>
      </c>
      <c r="J23" s="1709"/>
      <c r="K23" s="1709"/>
      <c r="L23" s="1723">
        <f t="shared" si="4"/>
        <v>0</v>
      </c>
      <c r="M23" s="1706"/>
      <c r="N23" s="1706"/>
      <c r="O23" s="1724"/>
      <c r="P23" s="1706"/>
      <c r="Q23" s="1706"/>
      <c r="R23" s="1576"/>
      <c r="S23" s="2064"/>
      <c r="T23" s="2065"/>
    </row>
    <row r="24" spans="2:22">
      <c r="B24" s="1577"/>
      <c r="C24" s="1578">
        <f>SUM(C6:C23)</f>
        <v>490.45999999999992</v>
      </c>
      <c r="D24" s="1577"/>
      <c r="E24" s="1578">
        <f>SUM(E6:E23)</f>
        <v>404.53420000000006</v>
      </c>
      <c r="F24" s="1951"/>
      <c r="G24" s="1586"/>
      <c r="H24" s="1592"/>
      <c r="I24" s="825">
        <v>45707</v>
      </c>
      <c r="J24" s="1709"/>
      <c r="K24" s="1709"/>
      <c r="L24" s="1723">
        <f t="shared" si="4"/>
        <v>0</v>
      </c>
      <c r="M24" s="1706"/>
      <c r="N24" s="1706"/>
      <c r="O24" s="1724"/>
      <c r="P24" s="1706"/>
      <c r="Q24" s="1706"/>
      <c r="R24" s="1576"/>
      <c r="S24" s="2064"/>
      <c r="T24" s="2065"/>
    </row>
    <row r="25" spans="2:22" ht="15.6">
      <c r="E25" s="1585"/>
      <c r="F25" s="1587" t="s">
        <v>870</v>
      </c>
      <c r="G25" s="1593">
        <f>SUM(G6:G24)</f>
        <v>0</v>
      </c>
      <c r="H25" s="1592"/>
      <c r="I25" s="825">
        <v>45708</v>
      </c>
      <c r="J25" s="1709"/>
      <c r="K25" s="1709"/>
      <c r="L25" s="1723">
        <f t="shared" si="4"/>
        <v>0</v>
      </c>
      <c r="M25" s="1706"/>
      <c r="N25" s="1706"/>
      <c r="O25" s="1724"/>
      <c r="P25" s="1706"/>
      <c r="Q25" s="1706"/>
      <c r="R25" s="1576"/>
      <c r="S25" s="2064"/>
      <c r="T25" s="2065"/>
    </row>
    <row r="26" spans="2:22" ht="15.6">
      <c r="B26" s="1636"/>
      <c r="C26" s="1942"/>
      <c r="D26" s="1942"/>
      <c r="E26" s="1942"/>
      <c r="F26" s="1943"/>
      <c r="G26" s="1593"/>
      <c r="H26" s="1592"/>
      <c r="I26" s="825">
        <v>45709</v>
      </c>
      <c r="J26" s="1709"/>
      <c r="K26" s="1928"/>
      <c r="L26" s="1929">
        <f t="shared" si="4"/>
        <v>0</v>
      </c>
      <c r="M26" s="1706"/>
      <c r="N26" s="1706"/>
      <c r="O26" s="1724"/>
      <c r="P26" s="1706"/>
      <c r="Q26" s="1706"/>
      <c r="R26" s="1576"/>
      <c r="S26" s="2064"/>
      <c r="T26" s="2065"/>
    </row>
    <row r="27" spans="2:22">
      <c r="B27" s="1636"/>
      <c r="E27" s="1585"/>
      <c r="F27" s="1592"/>
      <c r="G27" s="1944"/>
      <c r="H27" s="1592"/>
      <c r="I27" s="825">
        <v>45710</v>
      </c>
      <c r="J27" s="1928"/>
      <c r="K27" s="1928"/>
      <c r="L27" s="1929">
        <f t="shared" si="4"/>
        <v>0</v>
      </c>
      <c r="M27" s="1706"/>
      <c r="N27" s="1706"/>
      <c r="O27" s="1724"/>
      <c r="P27" s="1706"/>
      <c r="Q27" s="1706"/>
      <c r="R27" s="1576"/>
      <c r="S27" s="2064"/>
      <c r="T27" s="2065"/>
    </row>
    <row r="28" spans="2:22" ht="15.6">
      <c r="B28" s="1636"/>
      <c r="E28" s="1585"/>
      <c r="F28" s="1592"/>
      <c r="G28" s="1593"/>
      <c r="H28" s="1592"/>
      <c r="I28" s="825">
        <v>45711</v>
      </c>
      <c r="J28" s="1928"/>
      <c r="K28" s="1928"/>
      <c r="L28" s="1929">
        <f t="shared" si="4"/>
        <v>0</v>
      </c>
      <c r="M28" s="1706"/>
      <c r="N28" s="1706"/>
      <c r="O28" s="1724"/>
      <c r="P28" s="1706"/>
      <c r="Q28" s="1706"/>
      <c r="R28" s="1576"/>
      <c r="S28" s="2064"/>
      <c r="T28" s="2065"/>
    </row>
    <row r="29" spans="2:22" ht="15.6">
      <c r="B29" s="1636"/>
      <c r="E29" s="1585"/>
      <c r="F29" s="1592"/>
      <c r="G29" s="1593"/>
      <c r="H29" s="1592"/>
      <c r="I29" s="825">
        <v>45712</v>
      </c>
      <c r="J29" s="1928"/>
      <c r="K29" s="1928"/>
      <c r="L29" s="1929">
        <f t="shared" si="4"/>
        <v>0</v>
      </c>
      <c r="M29" s="1706"/>
      <c r="N29" s="1706"/>
      <c r="O29" s="1724"/>
      <c r="P29" s="1706"/>
      <c r="Q29" s="1706"/>
      <c r="R29" s="1576"/>
      <c r="S29" s="2064"/>
      <c r="T29" s="2065"/>
      <c r="V29" s="1575"/>
    </row>
    <row r="30" spans="2:22">
      <c r="B30" s="1572" t="s">
        <v>871</v>
      </c>
      <c r="H30" s="1585"/>
      <c r="I30" s="825">
        <v>45713</v>
      </c>
      <c r="J30" s="1928"/>
      <c r="K30" s="1928"/>
      <c r="L30" s="1929">
        <f>J30-K30</f>
        <v>0</v>
      </c>
      <c r="M30" s="1706"/>
      <c r="N30" s="1706"/>
      <c r="O30" s="1724"/>
      <c r="P30" s="1706"/>
      <c r="Q30" s="1706"/>
      <c r="R30" s="1576"/>
      <c r="S30" s="2064"/>
      <c r="T30" s="2065"/>
    </row>
    <row r="31" spans="2:22">
      <c r="B31" s="1576" t="s">
        <v>872</v>
      </c>
      <c r="C31" s="1577">
        <f>5.3+0.78</f>
        <v>6.08</v>
      </c>
      <c r="D31" s="1577">
        <v>840</v>
      </c>
      <c r="E31" s="1578">
        <f>C31*D31/1000</f>
        <v>5.1071999999999997</v>
      </c>
      <c r="F31" s="1579">
        <v>0</v>
      </c>
      <c r="G31" s="1589">
        <f>F31*E31/100*1000</f>
        <v>0</v>
      </c>
      <c r="H31" s="1588">
        <v>0</v>
      </c>
      <c r="I31" s="825">
        <v>45714</v>
      </c>
      <c r="J31" s="1928"/>
      <c r="K31" s="1928"/>
      <c r="L31" s="1929"/>
      <c r="M31" s="1706"/>
      <c r="N31" s="1706"/>
      <c r="O31" s="1724"/>
      <c r="P31" s="1706"/>
      <c r="Q31" s="1706"/>
      <c r="R31" s="1576"/>
      <c r="S31" s="2064"/>
      <c r="T31" s="2065"/>
    </row>
    <row r="32" spans="2:22">
      <c r="B32" s="1612"/>
      <c r="C32" s="1612"/>
      <c r="D32" s="1612"/>
      <c r="E32" s="1644"/>
      <c r="F32" s="1644"/>
      <c r="G32" s="1643"/>
      <c r="H32" s="1588"/>
      <c r="I32" s="825">
        <v>45715</v>
      </c>
      <c r="J32" s="1938"/>
      <c r="K32" s="1706"/>
      <c r="L32" s="1939"/>
      <c r="M32" s="1706"/>
      <c r="N32" s="1706"/>
      <c r="O32" s="1724"/>
      <c r="P32" s="1706"/>
      <c r="Q32" s="1706"/>
      <c r="R32" s="1576"/>
      <c r="S32" s="2064"/>
      <c r="T32" s="2065"/>
    </row>
    <row r="33" spans="2:20">
      <c r="B33" s="1572" t="s">
        <v>873</v>
      </c>
      <c r="F33" s="1644"/>
      <c r="G33" s="1643"/>
      <c r="H33" s="1588"/>
      <c r="I33" s="825">
        <v>45716</v>
      </c>
      <c r="J33" s="1938"/>
      <c r="K33" s="1706"/>
      <c r="L33" s="1939"/>
      <c r="M33" s="1706"/>
      <c r="N33" s="1706"/>
      <c r="O33" s="1724"/>
      <c r="P33" s="1706"/>
      <c r="Q33" s="1706"/>
      <c r="R33" s="1576"/>
      <c r="S33" s="2064"/>
      <c r="T33" s="2065"/>
    </row>
    <row r="34" spans="2:20">
      <c r="B34" s="1577"/>
      <c r="C34" s="1590" t="s">
        <v>874</v>
      </c>
      <c r="D34" s="1590" t="s">
        <v>875</v>
      </c>
      <c r="E34" s="1577" t="s">
        <v>795</v>
      </c>
      <c r="F34" s="1644"/>
      <c r="G34" s="1643"/>
      <c r="H34" s="1588"/>
      <c r="I34" s="825"/>
      <c r="J34" s="1938"/>
      <c r="K34" s="1706"/>
      <c r="L34" s="1939"/>
      <c r="M34" s="1706"/>
      <c r="N34" s="1706"/>
      <c r="O34" s="1724"/>
      <c r="P34" s="1706"/>
      <c r="Q34" s="1706"/>
      <c r="R34" s="1576"/>
      <c r="S34" s="2064"/>
      <c r="T34" s="2065"/>
    </row>
    <row r="35" spans="2:20">
      <c r="B35" s="1577" t="s">
        <v>876</v>
      </c>
      <c r="C35" s="1591"/>
      <c r="D35" s="1591"/>
      <c r="E35" s="1591"/>
      <c r="F35" s="1612"/>
      <c r="I35" s="825"/>
      <c r="J35" s="1938"/>
      <c r="K35" s="1706"/>
      <c r="L35" s="1939"/>
      <c r="M35" s="1706"/>
      <c r="N35" s="1706"/>
      <c r="O35" s="1724"/>
      <c r="P35" s="1706"/>
      <c r="Q35" s="1706"/>
      <c r="R35" s="1576"/>
      <c r="S35" s="2064"/>
      <c r="T35" s="2065"/>
    </row>
    <row r="36" spans="2:20">
      <c r="B36" s="1645" t="s">
        <v>962</v>
      </c>
      <c r="C36" s="1591"/>
      <c r="D36" s="1591"/>
      <c r="E36" s="1591"/>
      <c r="F36" s="1612"/>
      <c r="I36" s="825"/>
      <c r="J36" s="1938"/>
      <c r="K36" s="1706"/>
      <c r="L36" s="1939"/>
      <c r="M36" s="1753"/>
      <c r="N36" s="1753"/>
      <c r="O36" s="1754"/>
      <c r="P36" s="1753"/>
      <c r="Q36" s="1753"/>
      <c r="R36" s="1755"/>
      <c r="S36" s="1752"/>
      <c r="T36" s="1752"/>
    </row>
    <row r="37" spans="2:20">
      <c r="B37" s="1645" t="s">
        <v>963</v>
      </c>
      <c r="C37" s="1591"/>
      <c r="D37" s="1591"/>
      <c r="E37" s="1591"/>
      <c r="F37" s="1612"/>
      <c r="I37" s="1646"/>
      <c r="J37" s="1867"/>
      <c r="K37" s="1867"/>
      <c r="M37" s="1753"/>
      <c r="N37" s="1753"/>
      <c r="O37" s="1754"/>
      <c r="P37" s="1753"/>
      <c r="Q37" s="1753"/>
      <c r="R37" s="1755"/>
      <c r="S37" s="1752"/>
      <c r="T37" s="1752"/>
    </row>
    <row r="38" spans="2:20">
      <c r="B38" s="1577" t="s">
        <v>877</v>
      </c>
      <c r="C38" s="1591"/>
      <c r="D38" s="1591"/>
      <c r="E38" s="1591"/>
      <c r="I38" s="1647"/>
    </row>
    <row r="39" spans="2:20">
      <c r="B39" s="1577" t="s">
        <v>599</v>
      </c>
      <c r="C39" s="1577"/>
      <c r="D39" s="1577"/>
      <c r="E39" s="1577"/>
      <c r="I39" s="1647"/>
    </row>
    <row r="40" spans="2:20">
      <c r="B40" s="1577" t="s">
        <v>878</v>
      </c>
      <c r="C40" s="1577"/>
      <c r="D40" s="1577"/>
      <c r="E40" s="1577"/>
      <c r="I40" s="1647"/>
    </row>
    <row r="41" spans="2:20">
      <c r="B41" s="1577"/>
      <c r="C41" s="1591"/>
      <c r="D41" s="1591"/>
      <c r="E41" s="1591"/>
      <c r="I41" s="1647"/>
    </row>
    <row r="42" spans="2:20">
      <c r="B42" s="1577"/>
      <c r="C42" s="1577"/>
      <c r="D42" s="1577"/>
      <c r="E42" s="1577"/>
      <c r="I42" s="1647"/>
    </row>
    <row r="43" spans="2:20">
      <c r="B43" s="1577"/>
      <c r="C43" s="1577"/>
      <c r="D43" s="1577"/>
      <c r="E43" s="1577"/>
      <c r="I43" s="1647"/>
    </row>
    <row r="44" spans="2:20">
      <c r="I44" s="1647"/>
    </row>
  </sheetData>
  <mergeCells count="34">
    <mergeCell ref="S31:T31"/>
    <mergeCell ref="S32:T32"/>
    <mergeCell ref="S33:T33"/>
    <mergeCell ref="S34:T34"/>
    <mergeCell ref="S35:T35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J4:L4"/>
    <mergeCell ref="M4:O4"/>
    <mergeCell ref="P4:R4"/>
    <mergeCell ref="S4:T5"/>
    <mergeCell ref="S6:T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W44"/>
  <sheetViews>
    <sheetView zoomScale="80" zoomScaleNormal="80" workbookViewId="0">
      <selection activeCell="H19" sqref="H19"/>
    </sheetView>
  </sheetViews>
  <sheetFormatPr defaultColWidth="12.5546875" defaultRowHeight="14.4"/>
  <cols>
    <col min="1" max="1" width="16.6640625" style="1572" customWidth="1"/>
    <col min="2" max="2" width="16.44140625" style="1572" customWidth="1"/>
    <col min="3" max="4" width="12.5546875" style="1572"/>
    <col min="5" max="5" width="14.44140625" style="1572" customWidth="1"/>
    <col min="6" max="6" width="15.33203125" style="1572" customWidth="1"/>
    <col min="7" max="7" width="15.33203125" style="1572" bestFit="1" customWidth="1"/>
    <col min="8" max="8" width="26" style="1572" customWidth="1"/>
    <col min="9" max="9" width="18.88671875" style="1572" bestFit="1" customWidth="1"/>
    <col min="10" max="10" width="9.44140625" style="1572" customWidth="1"/>
    <col min="11" max="11" width="9.6640625" style="1572" customWidth="1"/>
    <col min="12" max="12" width="11.5546875" style="1572" hidden="1" customWidth="1"/>
    <col min="13" max="13" width="10.5546875" style="1572" customWidth="1"/>
    <col min="14" max="14" width="8.5546875" style="1572" customWidth="1"/>
    <col min="15" max="15" width="11" style="1572" hidden="1" customWidth="1"/>
    <col min="16" max="16" width="9.33203125" style="1572" customWidth="1"/>
    <col min="17" max="17" width="8.44140625" style="1572" customWidth="1"/>
    <col min="18" max="18" width="9.33203125" style="1572" hidden="1" customWidth="1"/>
    <col min="19" max="20" width="9.33203125" style="1572" customWidth="1"/>
    <col min="21" max="21" width="9.6640625" style="1572" customWidth="1"/>
    <col min="22" max="22" width="8.6640625" style="1572" bestFit="1" customWidth="1"/>
    <col min="23" max="16384" width="12.5546875" style="1572"/>
  </cols>
  <sheetData>
    <row r="1" spans="1:22" ht="15" customHeight="1">
      <c r="E1" s="2067"/>
      <c r="F1" s="2067"/>
      <c r="G1" s="2067"/>
    </row>
    <row r="2" spans="1:22" ht="15" customHeight="1">
      <c r="E2" s="2067"/>
      <c r="F2" s="2067"/>
      <c r="G2" s="2067"/>
    </row>
    <row r="4" spans="1:22" ht="18">
      <c r="A4" s="1572" t="s">
        <v>879</v>
      </c>
      <c r="I4" s="2068" t="s">
        <v>957</v>
      </c>
      <c r="J4" s="2069"/>
      <c r="K4" s="2069"/>
      <c r="L4" s="2069"/>
      <c r="M4" s="2069"/>
      <c r="N4" s="2069"/>
      <c r="O4" s="2069"/>
      <c r="P4" s="2069"/>
      <c r="Q4" s="2069"/>
      <c r="R4" s="2070"/>
      <c r="S4" s="2071" t="s">
        <v>958</v>
      </c>
      <c r="T4" s="2072"/>
      <c r="U4" s="2072"/>
      <c r="V4" s="2072"/>
    </row>
    <row r="5" spans="1:22" ht="15.6">
      <c r="A5" s="1636" t="s">
        <v>1066</v>
      </c>
      <c r="I5" s="2074" t="s">
        <v>956</v>
      </c>
      <c r="J5" s="2075"/>
      <c r="K5" s="2075"/>
      <c r="L5" s="2076"/>
      <c r="M5" s="2077" t="s">
        <v>943</v>
      </c>
      <c r="N5" s="2078"/>
      <c r="O5" s="2079"/>
      <c r="P5" s="2080" t="s">
        <v>73</v>
      </c>
      <c r="Q5" s="2080"/>
      <c r="R5" s="2080"/>
      <c r="S5" s="2057" t="s">
        <v>947</v>
      </c>
      <c r="T5" s="2058"/>
      <c r="U5" s="2057" t="s">
        <v>948</v>
      </c>
      <c r="V5" s="2058"/>
    </row>
    <row r="6" spans="1:22" ht="41.4">
      <c r="A6" s="1596" t="s">
        <v>846</v>
      </c>
      <c r="B6" s="1595" t="s">
        <v>847</v>
      </c>
      <c r="C6" s="1595" t="s">
        <v>848</v>
      </c>
      <c r="D6" s="1596" t="s">
        <v>849</v>
      </c>
      <c r="E6" s="1595" t="s">
        <v>880</v>
      </c>
      <c r="F6" s="1597" t="s">
        <v>881</v>
      </c>
      <c r="G6" s="1596" t="s">
        <v>14</v>
      </c>
      <c r="I6" s="1712" t="s">
        <v>169</v>
      </c>
      <c r="J6" s="1713" t="s">
        <v>170</v>
      </c>
      <c r="K6" s="1713" t="s">
        <v>171</v>
      </c>
      <c r="L6" s="1713" t="s">
        <v>946</v>
      </c>
      <c r="M6" s="1714" t="s">
        <v>170</v>
      </c>
      <c r="N6" s="1714" t="s">
        <v>171</v>
      </c>
      <c r="O6" s="1714" t="s">
        <v>946</v>
      </c>
      <c r="P6" s="1715" t="s">
        <v>170</v>
      </c>
      <c r="Q6" s="1715" t="s">
        <v>171</v>
      </c>
      <c r="R6" s="1731" t="s">
        <v>946</v>
      </c>
      <c r="S6" s="1945" t="s">
        <v>170</v>
      </c>
      <c r="T6" s="1945" t="s">
        <v>945</v>
      </c>
      <c r="U6" s="1946" t="s">
        <v>170</v>
      </c>
      <c r="V6" s="1946" t="s">
        <v>945</v>
      </c>
    </row>
    <row r="7" spans="1:22">
      <c r="A7" s="1576" t="s">
        <v>882</v>
      </c>
      <c r="B7" s="1578">
        <v>70.510000000000005</v>
      </c>
      <c r="C7" s="1598">
        <v>890</v>
      </c>
      <c r="D7" s="1578">
        <v>60</v>
      </c>
      <c r="E7" s="1599">
        <f>D7/100</f>
        <v>0.6</v>
      </c>
      <c r="F7" s="1600">
        <v>0</v>
      </c>
      <c r="G7" s="1601">
        <f>E7*F7*1000</f>
        <v>0</v>
      </c>
      <c r="H7" s="1572" t="s">
        <v>216</v>
      </c>
      <c r="I7" s="825">
        <v>45658</v>
      </c>
      <c r="J7" s="1577"/>
      <c r="K7" s="1577"/>
      <c r="L7" s="1719"/>
      <c r="M7" s="1577"/>
      <c r="N7" s="1577"/>
      <c r="O7" s="1576"/>
      <c r="P7" s="1577"/>
      <c r="Q7" s="1577"/>
      <c r="R7" s="1716"/>
      <c r="S7" s="1706"/>
      <c r="T7" s="1706"/>
      <c r="U7" s="1706"/>
      <c r="V7" s="1706"/>
    </row>
    <row r="8" spans="1:22">
      <c r="A8" s="1576" t="s">
        <v>883</v>
      </c>
      <c r="B8" s="1578">
        <v>70.510000000000005</v>
      </c>
      <c r="C8" s="1598">
        <v>890</v>
      </c>
      <c r="D8" s="1578">
        <v>60</v>
      </c>
      <c r="E8" s="1599">
        <f t="shared" ref="E8:E21" si="0">D8/100</f>
        <v>0.6</v>
      </c>
      <c r="F8" s="1600">
        <v>0</v>
      </c>
      <c r="G8" s="1601">
        <f t="shared" ref="G8:G21" si="1">E8*F8*1000</f>
        <v>0</v>
      </c>
      <c r="H8" s="1602"/>
      <c r="I8" s="825">
        <v>45659</v>
      </c>
      <c r="J8" s="1577"/>
      <c r="K8" s="1577"/>
      <c r="L8" s="1719"/>
      <c r="M8" s="1577"/>
      <c r="N8" s="1577"/>
      <c r="O8" s="1576"/>
      <c r="P8" s="1577"/>
      <c r="Q8" s="1577"/>
      <c r="R8" s="1716"/>
      <c r="S8" s="1706"/>
      <c r="T8" s="1706"/>
      <c r="U8" s="1706"/>
      <c r="V8" s="1706"/>
    </row>
    <row r="9" spans="1:22">
      <c r="A9" s="1576" t="s">
        <v>884</v>
      </c>
      <c r="B9" s="1578">
        <v>70.510000000000005</v>
      </c>
      <c r="C9" s="1598">
        <v>890</v>
      </c>
      <c r="D9" s="1578">
        <v>60</v>
      </c>
      <c r="E9" s="1599">
        <f t="shared" si="0"/>
        <v>0.6</v>
      </c>
      <c r="F9" s="1600">
        <v>0</v>
      </c>
      <c r="G9" s="1601">
        <f t="shared" si="1"/>
        <v>0</v>
      </c>
      <c r="I9" s="825">
        <v>45660</v>
      </c>
      <c r="J9" s="1577"/>
      <c r="K9" s="1577"/>
      <c r="L9" s="1719"/>
      <c r="M9" s="1577"/>
      <c r="N9" s="1577"/>
      <c r="O9" s="1576"/>
      <c r="P9" s="1577"/>
      <c r="Q9" s="1577"/>
      <c r="R9" s="1716"/>
      <c r="S9" s="1706"/>
      <c r="T9" s="1706"/>
      <c r="U9" s="1706"/>
      <c r="V9" s="1706"/>
    </row>
    <row r="10" spans="1:22">
      <c r="A10" s="1576" t="s">
        <v>885</v>
      </c>
      <c r="B10" s="1578">
        <v>70.510000000000005</v>
      </c>
      <c r="C10" s="1598">
        <v>890</v>
      </c>
      <c r="D10" s="1578">
        <v>60</v>
      </c>
      <c r="E10" s="1599">
        <f t="shared" si="0"/>
        <v>0.6</v>
      </c>
      <c r="F10" s="1600">
        <v>0</v>
      </c>
      <c r="G10" s="1601">
        <f t="shared" si="1"/>
        <v>0</v>
      </c>
      <c r="I10" s="825">
        <v>45661</v>
      </c>
      <c r="J10" s="1577"/>
      <c r="K10" s="1577"/>
      <c r="L10" s="1719"/>
      <c r="M10" s="1577"/>
      <c r="N10" s="1577"/>
      <c r="O10" s="1576"/>
      <c r="P10" s="1577"/>
      <c r="Q10" s="1577"/>
      <c r="R10" s="1716"/>
      <c r="S10" s="1707"/>
      <c r="T10" s="1707"/>
      <c r="U10" s="1707"/>
      <c r="V10" s="1706"/>
    </row>
    <row r="11" spans="1:22">
      <c r="A11" s="1576" t="s">
        <v>886</v>
      </c>
      <c r="B11" s="1578">
        <v>70.510000000000005</v>
      </c>
      <c r="C11" s="1598">
        <v>890</v>
      </c>
      <c r="D11" s="1578">
        <v>60</v>
      </c>
      <c r="E11" s="1599">
        <f t="shared" si="0"/>
        <v>0.6</v>
      </c>
      <c r="F11" s="1600">
        <v>0</v>
      </c>
      <c r="G11" s="1601">
        <f t="shared" si="1"/>
        <v>0</v>
      </c>
      <c r="I11" s="825">
        <v>45662</v>
      </c>
      <c r="J11" s="1577"/>
      <c r="K11" s="1577"/>
      <c r="L11" s="1719"/>
      <c r="M11" s="1577"/>
      <c r="N11" s="1577"/>
      <c r="O11" s="1576"/>
      <c r="P11" s="1577"/>
      <c r="Q11" s="1577"/>
      <c r="R11" s="1716"/>
      <c r="S11" s="1706"/>
      <c r="T11" s="1706"/>
      <c r="U11" s="1706"/>
      <c r="V11" s="1706"/>
    </row>
    <row r="12" spans="1:22">
      <c r="A12" s="1576" t="s">
        <v>887</v>
      </c>
      <c r="B12" s="1578">
        <v>70.510000000000005</v>
      </c>
      <c r="C12" s="1598">
        <v>890</v>
      </c>
      <c r="D12" s="1578">
        <v>60</v>
      </c>
      <c r="E12" s="1599">
        <f t="shared" si="0"/>
        <v>0.6</v>
      </c>
      <c r="F12" s="1600">
        <v>0</v>
      </c>
      <c r="G12" s="1601">
        <f>E12*F12*1000</f>
        <v>0</v>
      </c>
      <c r="I12" s="825">
        <v>45663</v>
      </c>
      <c r="J12" s="1577"/>
      <c r="K12" s="1577"/>
      <c r="L12" s="1719"/>
      <c r="M12" s="1577"/>
      <c r="N12" s="1577"/>
      <c r="O12" s="1576"/>
      <c r="P12" s="1577"/>
      <c r="Q12" s="1577"/>
      <c r="R12" s="1716"/>
      <c r="S12" s="1708"/>
      <c r="T12" s="1708"/>
      <c r="U12" s="1708"/>
      <c r="V12" s="1706"/>
    </row>
    <row r="13" spans="1:22">
      <c r="A13" s="1576" t="s">
        <v>888</v>
      </c>
      <c r="B13" s="1578">
        <v>70.510000000000005</v>
      </c>
      <c r="C13" s="1598">
        <v>890</v>
      </c>
      <c r="D13" s="1578">
        <v>60</v>
      </c>
      <c r="E13" s="1599">
        <f t="shared" si="0"/>
        <v>0.6</v>
      </c>
      <c r="F13" s="1600">
        <v>0</v>
      </c>
      <c r="G13" s="1601">
        <f t="shared" si="1"/>
        <v>0</v>
      </c>
      <c r="H13" s="1603"/>
      <c r="I13" s="825">
        <v>45664</v>
      </c>
      <c r="J13" s="1577"/>
      <c r="K13" s="1577"/>
      <c r="L13" s="1719"/>
      <c r="M13" s="1577"/>
      <c r="N13" s="1577"/>
      <c r="O13" s="1576"/>
      <c r="P13" s="1577"/>
      <c r="Q13" s="1577"/>
      <c r="R13" s="1716"/>
      <c r="S13" s="1709"/>
      <c r="T13" s="1709"/>
      <c r="U13" s="1709"/>
      <c r="V13" s="1706"/>
    </row>
    <row r="14" spans="1:22">
      <c r="A14" s="1576" t="s">
        <v>889</v>
      </c>
      <c r="B14" s="1578">
        <v>70.510000000000005</v>
      </c>
      <c r="C14" s="1598">
        <v>890</v>
      </c>
      <c r="D14" s="1578">
        <v>60</v>
      </c>
      <c r="E14" s="1599">
        <f t="shared" si="0"/>
        <v>0.6</v>
      </c>
      <c r="F14" s="1600">
        <v>0</v>
      </c>
      <c r="G14" s="1601">
        <f t="shared" si="1"/>
        <v>0</v>
      </c>
      <c r="I14" s="825">
        <v>45665</v>
      </c>
      <c r="J14" s="1577"/>
      <c r="K14" s="1637"/>
      <c r="L14" s="1720">
        <f t="shared" ref="L14:L16" si="2">J14-K14</f>
        <v>0</v>
      </c>
      <c r="M14" s="1577"/>
      <c r="N14" s="1637"/>
      <c r="O14" s="1718"/>
      <c r="P14" s="1577"/>
      <c r="Q14" s="1577"/>
      <c r="R14" s="1716"/>
      <c r="S14" s="1709"/>
      <c r="T14" s="1709"/>
      <c r="U14" s="1709"/>
      <c r="V14" s="1709"/>
    </row>
    <row r="15" spans="1:22" ht="14.7" customHeight="1">
      <c r="A15" s="1576" t="s">
        <v>890</v>
      </c>
      <c r="B15" s="1578">
        <v>70.510000000000005</v>
      </c>
      <c r="C15" s="1598">
        <v>890</v>
      </c>
      <c r="D15" s="1578">
        <v>60</v>
      </c>
      <c r="E15" s="1599">
        <f t="shared" si="0"/>
        <v>0.6</v>
      </c>
      <c r="F15" s="1600">
        <v>0</v>
      </c>
      <c r="G15" s="1601">
        <f t="shared" si="1"/>
        <v>0</v>
      </c>
      <c r="I15" s="825">
        <v>45666</v>
      </c>
      <c r="J15" s="1637"/>
      <c r="K15" s="1637"/>
      <c r="L15" s="1720">
        <f t="shared" si="2"/>
        <v>0</v>
      </c>
      <c r="M15" s="1637"/>
      <c r="N15" s="1637"/>
      <c r="O15" s="1718"/>
      <c r="P15" s="1577"/>
      <c r="Q15" s="1637"/>
      <c r="R15" s="1716"/>
      <c r="S15" s="1709"/>
      <c r="T15" s="1710"/>
      <c r="U15" s="1709"/>
      <c r="V15" s="1710"/>
    </row>
    <row r="16" spans="1:22" ht="14.7" customHeight="1">
      <c r="A16" s="1576" t="s">
        <v>891</v>
      </c>
      <c r="B16" s="1578">
        <v>70.510000000000005</v>
      </c>
      <c r="C16" s="1598">
        <v>890</v>
      </c>
      <c r="D16" s="1578">
        <v>60</v>
      </c>
      <c r="E16" s="1599">
        <f t="shared" si="0"/>
        <v>0.6</v>
      </c>
      <c r="F16" s="1600">
        <v>0</v>
      </c>
      <c r="G16" s="1601">
        <f t="shared" si="1"/>
        <v>0</v>
      </c>
      <c r="H16" s="1575"/>
      <c r="I16" s="825">
        <v>45667</v>
      </c>
      <c r="J16" s="1637"/>
      <c r="K16" s="1637"/>
      <c r="L16" s="1720">
        <f t="shared" si="2"/>
        <v>0</v>
      </c>
      <c r="M16" s="1637"/>
      <c r="N16" s="1637"/>
      <c r="O16" s="1718">
        <f t="shared" ref="O16" si="3">M16-N16</f>
        <v>0</v>
      </c>
      <c r="P16" s="1637"/>
      <c r="Q16" s="1637"/>
      <c r="R16" s="1717">
        <f t="shared" ref="R16" si="4">P16-Q16</f>
        <v>0</v>
      </c>
      <c r="S16" s="1710"/>
      <c r="T16" s="1709"/>
      <c r="U16" s="1710"/>
      <c r="V16" s="1710"/>
    </row>
    <row r="17" spans="1:23">
      <c r="A17" s="1576" t="s">
        <v>892</v>
      </c>
      <c r="B17" s="1578">
        <v>70.510000000000005</v>
      </c>
      <c r="C17" s="1598">
        <v>890</v>
      </c>
      <c r="D17" s="1578">
        <v>60</v>
      </c>
      <c r="E17" s="1599">
        <f t="shared" si="0"/>
        <v>0.6</v>
      </c>
      <c r="F17" s="1600">
        <v>0</v>
      </c>
      <c r="G17" s="1601">
        <f t="shared" si="1"/>
        <v>0</v>
      </c>
      <c r="I17" s="825">
        <v>45668</v>
      </c>
      <c r="J17" s="1637"/>
      <c r="K17" s="1637"/>
      <c r="L17" s="1720"/>
      <c r="M17" s="1637"/>
      <c r="N17" s="1637"/>
      <c r="O17" s="1718"/>
      <c r="P17" s="1637"/>
      <c r="Q17" s="1637"/>
      <c r="R17" s="1717"/>
      <c r="S17" s="1709"/>
      <c r="T17" s="1709"/>
      <c r="U17" s="1710"/>
      <c r="V17" s="1710"/>
      <c r="W17" s="1575">
        <f>S17+U17</f>
        <v>0</v>
      </c>
    </row>
    <row r="18" spans="1:23">
      <c r="A18" s="1576" t="s">
        <v>893</v>
      </c>
      <c r="B18" s="1578">
        <v>70.510000000000005</v>
      </c>
      <c r="C18" s="1598">
        <v>890</v>
      </c>
      <c r="D18" s="1578">
        <v>60</v>
      </c>
      <c r="E18" s="1599">
        <f t="shared" si="0"/>
        <v>0.6</v>
      </c>
      <c r="F18" s="1600">
        <v>0</v>
      </c>
      <c r="G18" s="1601">
        <f t="shared" si="1"/>
        <v>0</v>
      </c>
      <c r="H18" s="1575"/>
      <c r="I18" s="825">
        <v>45669</v>
      </c>
      <c r="J18" s="1637"/>
      <c r="K18" s="1637"/>
      <c r="L18" s="1720"/>
      <c r="M18" s="1637"/>
      <c r="N18" s="1637"/>
      <c r="O18" s="1718"/>
      <c r="P18" s="1637"/>
      <c r="Q18" s="1637"/>
      <c r="R18" s="1717"/>
      <c r="S18" s="1709"/>
      <c r="T18" s="1709"/>
      <c r="U18" s="1710"/>
      <c r="V18" s="1709"/>
    </row>
    <row r="19" spans="1:23">
      <c r="A19" s="1576" t="s">
        <v>894</v>
      </c>
      <c r="B19" s="1578">
        <v>70.510000000000005</v>
      </c>
      <c r="C19" s="1598">
        <v>890</v>
      </c>
      <c r="D19" s="1578">
        <v>60</v>
      </c>
      <c r="E19" s="1599">
        <f t="shared" si="0"/>
        <v>0.6</v>
      </c>
      <c r="F19" s="1600">
        <v>0</v>
      </c>
      <c r="G19" s="1601">
        <f t="shared" si="1"/>
        <v>0</v>
      </c>
      <c r="I19" s="825">
        <v>45670</v>
      </c>
      <c r="J19" s="1637"/>
      <c r="K19" s="1637"/>
      <c r="L19" s="1720"/>
      <c r="M19" s="1637"/>
      <c r="N19" s="1637"/>
      <c r="O19" s="1718"/>
      <c r="P19" s="1637"/>
      <c r="Q19" s="1637"/>
      <c r="R19" s="1717"/>
      <c r="S19" s="1709"/>
      <c r="T19" s="1709"/>
      <c r="U19" s="1709"/>
      <c r="V19" s="1709"/>
    </row>
    <row r="20" spans="1:23">
      <c r="A20" s="1576" t="s">
        <v>895</v>
      </c>
      <c r="B20" s="1578">
        <v>70.510000000000005</v>
      </c>
      <c r="C20" s="1598">
        <v>890</v>
      </c>
      <c r="D20" s="1578">
        <v>60</v>
      </c>
      <c r="E20" s="1599">
        <f t="shared" si="0"/>
        <v>0.6</v>
      </c>
      <c r="F20" s="1600">
        <v>0</v>
      </c>
      <c r="G20" s="1601">
        <f t="shared" si="1"/>
        <v>0</v>
      </c>
      <c r="I20" s="825">
        <v>45671</v>
      </c>
      <c r="J20" s="1953"/>
      <c r="K20" s="1953"/>
      <c r="L20" s="1954"/>
      <c r="M20" s="1953"/>
      <c r="N20" s="1953"/>
      <c r="O20" s="1955"/>
      <c r="P20" s="1953"/>
      <c r="Q20" s="1953"/>
      <c r="R20" s="1956"/>
      <c r="S20" s="1709"/>
      <c r="T20" s="1709"/>
      <c r="U20" s="1709"/>
      <c r="V20" s="1709"/>
    </row>
    <row r="21" spans="1:23">
      <c r="A21" s="1576" t="s">
        <v>896</v>
      </c>
      <c r="B21" s="1578">
        <v>70.510000000000005</v>
      </c>
      <c r="C21" s="1598">
        <v>890</v>
      </c>
      <c r="D21" s="1578">
        <v>60</v>
      </c>
      <c r="E21" s="1599">
        <f t="shared" si="0"/>
        <v>0.6</v>
      </c>
      <c r="F21" s="1600">
        <v>0</v>
      </c>
      <c r="G21" s="1601">
        <f t="shared" si="1"/>
        <v>0</v>
      </c>
      <c r="I21" s="825">
        <v>45672</v>
      </c>
      <c r="J21" s="1953"/>
      <c r="K21" s="1953"/>
      <c r="L21" s="1950"/>
      <c r="M21" s="1953"/>
      <c r="N21" s="1953"/>
      <c r="O21" s="1955"/>
      <c r="P21" s="1953"/>
      <c r="Q21" s="1953"/>
      <c r="R21" s="1956"/>
      <c r="S21" s="1709"/>
      <c r="T21" s="1709"/>
      <c r="U21" s="1709"/>
      <c r="V21" s="1709"/>
    </row>
    <row r="22" spans="1:23">
      <c r="A22" s="1604"/>
      <c r="B22" s="1605"/>
      <c r="C22" s="1606"/>
      <c r="D22" s="1607"/>
      <c r="E22" s="1608"/>
      <c r="F22" s="1609"/>
      <c r="G22" s="1610"/>
      <c r="H22" s="1630"/>
      <c r="I22" s="825">
        <v>45673</v>
      </c>
      <c r="J22" s="1953"/>
      <c r="K22" s="1953"/>
      <c r="L22" s="1950"/>
      <c r="M22" s="1953"/>
      <c r="N22" s="1953"/>
      <c r="O22" s="1955"/>
      <c r="P22" s="1953"/>
      <c r="Q22" s="1957"/>
      <c r="R22" s="1958"/>
      <c r="S22" s="1709"/>
      <c r="T22" s="1709"/>
      <c r="U22" s="1709"/>
      <c r="V22" s="1709"/>
    </row>
    <row r="23" spans="1:23">
      <c r="A23" s="1612"/>
      <c r="B23" s="1612"/>
      <c r="C23" s="1612"/>
      <c r="D23" s="1585"/>
      <c r="E23" s="1584"/>
      <c r="F23" s="1611" t="s">
        <v>897</v>
      </c>
      <c r="G23" s="1631">
        <f>SUM(G7:G21)</f>
        <v>0</v>
      </c>
      <c r="H23" s="1575"/>
      <c r="I23" s="825">
        <v>45674</v>
      </c>
      <c r="J23" s="1953"/>
      <c r="K23" s="1637"/>
      <c r="L23" s="1719"/>
      <c r="M23" s="1953"/>
      <c r="N23" s="1637"/>
      <c r="O23" s="1576"/>
      <c r="P23" s="1637"/>
      <c r="Q23" s="1637"/>
      <c r="R23" s="1716"/>
      <c r="S23" s="1709"/>
      <c r="T23" s="1709"/>
      <c r="U23" s="1709"/>
      <c r="V23" s="1709"/>
    </row>
    <row r="24" spans="1:23">
      <c r="A24" s="1612"/>
      <c r="B24" s="1612"/>
      <c r="C24" s="1612"/>
      <c r="D24" s="1585"/>
      <c r="E24" s="1584"/>
      <c r="G24" s="1613"/>
      <c r="H24" s="1575"/>
      <c r="I24" s="825">
        <v>45675</v>
      </c>
      <c r="J24" s="1637"/>
      <c r="K24" s="1637"/>
      <c r="L24" s="1719"/>
      <c r="M24" s="1637"/>
      <c r="N24" s="1637"/>
      <c r="O24" s="1576"/>
      <c r="P24" s="1637"/>
      <c r="Q24" s="1953"/>
      <c r="R24" s="1716"/>
      <c r="S24" s="1709"/>
      <c r="T24" s="1709"/>
      <c r="U24" s="1709"/>
      <c r="V24" s="1709"/>
    </row>
    <row r="25" spans="1:23">
      <c r="A25" s="1572" t="s">
        <v>898</v>
      </c>
      <c r="D25" s="1585"/>
      <c r="E25" s="1584"/>
      <c r="G25" s="1613"/>
      <c r="I25" s="825">
        <v>45676</v>
      </c>
      <c r="J25" s="1637"/>
      <c r="K25" s="1637"/>
      <c r="L25" s="1719"/>
      <c r="M25" s="1637"/>
      <c r="N25" s="1637"/>
      <c r="O25" s="1576"/>
      <c r="P25" s="1953"/>
      <c r="Q25" s="1953"/>
      <c r="R25" s="1716"/>
      <c r="S25" s="1709"/>
      <c r="T25" s="1709"/>
      <c r="U25" s="1709"/>
      <c r="V25" s="1709"/>
    </row>
    <row r="26" spans="1:23" ht="41.4">
      <c r="A26" s="1596" t="s">
        <v>846</v>
      </c>
      <c r="B26" s="1595" t="s">
        <v>847</v>
      </c>
      <c r="C26" s="1595" t="s">
        <v>848</v>
      </c>
      <c r="D26" s="1596" t="s">
        <v>849</v>
      </c>
      <c r="E26" s="1595" t="s">
        <v>880</v>
      </c>
      <c r="F26" s="1614" t="s">
        <v>881</v>
      </c>
      <c r="G26" s="1596" t="s">
        <v>14</v>
      </c>
      <c r="I26" s="825">
        <v>45677</v>
      </c>
      <c r="J26" s="1637"/>
      <c r="K26" s="1960"/>
      <c r="L26" s="1924"/>
      <c r="M26" s="1637"/>
      <c r="N26" s="1637"/>
      <c r="O26" s="1925"/>
      <c r="P26" s="1953"/>
      <c r="Q26" s="1953"/>
      <c r="R26" s="1926"/>
      <c r="S26" s="1709"/>
      <c r="T26" s="1959"/>
      <c r="U26" s="1709"/>
      <c r="V26" s="1709"/>
    </row>
    <row r="27" spans="1:23">
      <c r="A27" s="1638" t="s">
        <v>917</v>
      </c>
      <c r="B27" s="1577">
        <v>15.95</v>
      </c>
      <c r="C27" s="1577">
        <v>885</v>
      </c>
      <c r="D27" s="1578">
        <f>B27*C27/1000</f>
        <v>14.11575</v>
      </c>
      <c r="E27" s="1599">
        <f>D27/100</f>
        <v>0.14115749999999999</v>
      </c>
      <c r="F27" s="1952"/>
      <c r="G27" s="1601">
        <f>E27*F27*1000</f>
        <v>0</v>
      </c>
      <c r="I27" s="825">
        <v>45678</v>
      </c>
      <c r="J27" s="1960"/>
      <c r="K27" s="1930"/>
      <c r="L27" s="1719"/>
      <c r="M27" s="1637"/>
      <c r="N27" s="1637"/>
      <c r="O27" s="1576"/>
      <c r="P27" s="1953"/>
      <c r="Q27" s="1953"/>
      <c r="R27" s="1716"/>
      <c r="S27" s="1959"/>
      <c r="T27" s="1927"/>
      <c r="U27" s="1709"/>
      <c r="V27" s="1709"/>
    </row>
    <row r="28" spans="1:23">
      <c r="A28" s="1638" t="s">
        <v>912</v>
      </c>
      <c r="B28" s="1577">
        <v>3.02</v>
      </c>
      <c r="C28" s="1577">
        <v>885</v>
      </c>
      <c r="D28" s="1578">
        <f>B28*C28/1000</f>
        <v>2.6726999999999999</v>
      </c>
      <c r="E28" s="1599">
        <f>D28/100</f>
        <v>2.6726999999999997E-2</v>
      </c>
      <c r="F28" s="1952"/>
      <c r="G28" s="1601">
        <f>E28*F28*1000</f>
        <v>0</v>
      </c>
      <c r="I28" s="825">
        <v>45679</v>
      </c>
      <c r="J28" s="1930"/>
      <c r="K28" s="1930"/>
      <c r="L28" s="1719"/>
      <c r="M28" s="1637"/>
      <c r="N28" s="1637"/>
      <c r="O28" s="1576"/>
      <c r="P28" s="309"/>
      <c r="Q28" s="1637"/>
      <c r="R28" s="1716"/>
      <c r="S28" s="1927"/>
      <c r="T28" s="1927"/>
      <c r="U28" s="1709"/>
      <c r="V28" s="1709"/>
    </row>
    <row r="29" spans="1:23">
      <c r="A29" s="1576" t="s">
        <v>899</v>
      </c>
      <c r="B29" s="1577">
        <v>82.48</v>
      </c>
      <c r="C29" s="1577">
        <v>885</v>
      </c>
      <c r="D29" s="1578">
        <f>B29*C29/1000</f>
        <v>72.994799999999998</v>
      </c>
      <c r="E29" s="1599">
        <f>D29/100</f>
        <v>0.72994799999999993</v>
      </c>
      <c r="F29" s="1952"/>
      <c r="G29" s="1601">
        <f>E29*F29*1000</f>
        <v>0</v>
      </c>
      <c r="I29" s="825">
        <v>45680</v>
      </c>
      <c r="J29" s="1930"/>
      <c r="K29" s="1930"/>
      <c r="L29" s="1719"/>
      <c r="M29" s="1637"/>
      <c r="N29" s="1637"/>
      <c r="O29" s="1576"/>
      <c r="P29" s="309"/>
      <c r="Q29" s="1637"/>
      <c r="R29" s="1716"/>
      <c r="S29" s="1927"/>
      <c r="T29" s="1927"/>
      <c r="U29" s="1709"/>
      <c r="V29" s="1709"/>
    </row>
    <row r="30" spans="1:23">
      <c r="A30" s="1576" t="s">
        <v>900</v>
      </c>
      <c r="B30" s="1577">
        <v>16.95</v>
      </c>
      <c r="C30" s="1577">
        <v>885</v>
      </c>
      <c r="D30" s="1578">
        <f>B30*C30/1000</f>
        <v>15.00075</v>
      </c>
      <c r="E30" s="1599">
        <f>D30/100</f>
        <v>0.15000749999999999</v>
      </c>
      <c r="F30" s="1952"/>
      <c r="G30" s="1601">
        <f>E30*F30*1000</f>
        <v>0</v>
      </c>
      <c r="I30" s="825">
        <v>45681</v>
      </c>
      <c r="J30" s="1930"/>
      <c r="K30" s="1930"/>
      <c r="L30" s="1719"/>
      <c r="M30" s="1637"/>
      <c r="N30" s="1637"/>
      <c r="O30" s="1576"/>
      <c r="P30" s="1637"/>
      <c r="Q30" s="1637"/>
      <c r="R30" s="1716"/>
      <c r="S30" s="1927"/>
      <c r="T30" s="1927"/>
      <c r="U30" s="1709"/>
      <c r="V30" s="1709"/>
    </row>
    <row r="31" spans="1:23">
      <c r="F31" s="1611" t="s">
        <v>910</v>
      </c>
      <c r="G31" s="1631">
        <f>SUM(G27:G30)</f>
        <v>0</v>
      </c>
      <c r="I31" s="825">
        <v>45682</v>
      </c>
      <c r="J31" s="1930"/>
      <c r="K31" s="1930"/>
      <c r="L31" s="1719"/>
      <c r="M31" s="1637"/>
      <c r="N31" s="1637"/>
      <c r="O31" s="1576"/>
      <c r="P31" s="1637"/>
      <c r="Q31" s="1637"/>
      <c r="R31" s="1716"/>
      <c r="S31" s="1927"/>
      <c r="T31" s="1927"/>
      <c r="U31" s="1709"/>
      <c r="V31" s="1927"/>
    </row>
    <row r="32" spans="1:23">
      <c r="A32" s="1617" t="s">
        <v>901</v>
      </c>
      <c r="B32" s="1618"/>
      <c r="C32" s="1618"/>
      <c r="D32" s="1619"/>
      <c r="E32" s="1620"/>
      <c r="F32" s="1621"/>
      <c r="G32" s="1622"/>
      <c r="H32" s="1623"/>
      <c r="I32" s="825">
        <v>45683</v>
      </c>
      <c r="J32" s="1930"/>
      <c r="K32" s="1930"/>
      <c r="L32" s="1719"/>
      <c r="M32" s="1637"/>
      <c r="N32" s="1637"/>
      <c r="O32" s="1576"/>
      <c r="P32" s="309"/>
      <c r="Q32" s="1637"/>
      <c r="R32" s="1716"/>
      <c r="S32" s="1927"/>
      <c r="T32" s="1927"/>
      <c r="U32" s="1927"/>
      <c r="V32" s="1927"/>
      <c r="W32" s="1927"/>
    </row>
    <row r="33" spans="1:22" ht="22.95" customHeight="1">
      <c r="A33" s="1624" t="s">
        <v>902</v>
      </c>
      <c r="B33" s="1573" t="s">
        <v>903</v>
      </c>
      <c r="C33" s="1573" t="s">
        <v>904</v>
      </c>
      <c r="D33" s="1624" t="s">
        <v>905</v>
      </c>
      <c r="E33" s="1625" t="s">
        <v>906</v>
      </c>
      <c r="F33" s="1626" t="s">
        <v>907</v>
      </c>
      <c r="G33" s="1624" t="s">
        <v>14</v>
      </c>
      <c r="I33" s="825">
        <v>45684</v>
      </c>
      <c r="J33" s="1931"/>
      <c r="K33" s="1930"/>
      <c r="L33" s="1719"/>
      <c r="M33" s="1930"/>
      <c r="N33" s="1637"/>
      <c r="O33" s="1576"/>
      <c r="P33" s="1941"/>
      <c r="Q33" s="1637"/>
      <c r="R33" s="1716"/>
      <c r="S33" s="1708"/>
      <c r="T33" s="1927"/>
      <c r="U33" s="1708"/>
      <c r="V33" s="1927"/>
    </row>
    <row r="34" spans="1:22" ht="15" customHeight="1">
      <c r="A34" s="1628" t="s">
        <v>908</v>
      </c>
      <c r="B34" s="1616">
        <v>12.2</v>
      </c>
      <c r="C34" s="1616">
        <v>1.75</v>
      </c>
      <c r="D34" s="1616">
        <v>1.52</v>
      </c>
      <c r="E34" s="1616">
        <v>0.88</v>
      </c>
      <c r="F34" s="1615">
        <v>0</v>
      </c>
      <c r="G34" s="1629">
        <f>B34*C34*D34*E34*F34/100</f>
        <v>0</v>
      </c>
      <c r="H34" s="2073"/>
      <c r="I34" s="825">
        <v>45685</v>
      </c>
      <c r="J34" s="1931"/>
      <c r="K34" s="1577"/>
      <c r="L34" s="1719"/>
      <c r="M34" s="1930"/>
      <c r="N34" s="1577"/>
      <c r="O34" s="1576"/>
      <c r="P34" s="309"/>
      <c r="Q34" s="1577"/>
      <c r="R34" s="1716"/>
      <c r="S34" s="1708"/>
      <c r="T34" s="1706"/>
      <c r="U34" s="1708"/>
      <c r="V34" s="1706"/>
    </row>
    <row r="35" spans="1:22" ht="15" customHeight="1">
      <c r="A35" s="1628" t="s">
        <v>909</v>
      </c>
      <c r="B35" s="1616">
        <v>12.2</v>
      </c>
      <c r="C35" s="1616">
        <v>1.75</v>
      </c>
      <c r="D35" s="1616">
        <v>1.52</v>
      </c>
      <c r="E35" s="1616">
        <v>0.88</v>
      </c>
      <c r="F35" s="1615">
        <v>0</v>
      </c>
      <c r="G35" s="1629">
        <f>B35*C35*D35*E35*F35/100</f>
        <v>0</v>
      </c>
      <c r="H35" s="2073"/>
      <c r="I35" s="825">
        <v>45686</v>
      </c>
      <c r="J35" s="1931"/>
      <c r="K35" s="1577"/>
      <c r="L35" s="1719"/>
      <c r="M35" s="1930"/>
      <c r="N35" s="1577"/>
      <c r="O35" s="1576"/>
      <c r="P35" s="309"/>
      <c r="Q35" s="1577"/>
      <c r="R35" s="1716"/>
      <c r="S35" s="1708"/>
      <c r="T35" s="1706"/>
      <c r="U35" s="1708"/>
      <c r="V35" s="1706"/>
    </row>
    <row r="36" spans="1:22" ht="27.6">
      <c r="F36" s="1611" t="s">
        <v>911</v>
      </c>
      <c r="G36" s="1627">
        <f>SUM(G34:G35)</f>
        <v>0</v>
      </c>
      <c r="I36" s="825">
        <v>45687</v>
      </c>
      <c r="J36" s="1931"/>
      <c r="K36" s="1577"/>
      <c r="L36" s="1719"/>
      <c r="M36" s="1930"/>
      <c r="N36" s="1577"/>
      <c r="O36" s="1576"/>
      <c r="P36" s="309"/>
      <c r="Q36" s="1577"/>
      <c r="R36" s="1716"/>
      <c r="S36" s="1708"/>
      <c r="T36" s="1706"/>
      <c r="U36" s="1708"/>
      <c r="V36" s="1706"/>
    </row>
    <row r="37" spans="1:22">
      <c r="I37" s="825">
        <v>45688</v>
      </c>
      <c r="J37" s="1931"/>
      <c r="K37" s="1577"/>
      <c r="L37" s="1719"/>
      <c r="M37" s="1930"/>
      <c r="N37" s="1577"/>
      <c r="O37" s="1576"/>
      <c r="P37" s="309"/>
      <c r="Q37" s="1577"/>
      <c r="R37" s="1716"/>
      <c r="S37" s="1708"/>
      <c r="T37" s="1706"/>
      <c r="U37" s="1708"/>
      <c r="V37" s="1706"/>
    </row>
    <row r="38" spans="1:22">
      <c r="G38" s="1575"/>
      <c r="I38"/>
      <c r="J38"/>
      <c r="K38"/>
      <c r="T38" s="1575">
        <f>S34+U34</f>
        <v>0</v>
      </c>
    </row>
    <row r="39" spans="1:22">
      <c r="I39"/>
      <c r="J39"/>
      <c r="K39"/>
    </row>
    <row r="40" spans="1:22">
      <c r="I40"/>
      <c r="J40"/>
      <c r="K40"/>
    </row>
    <row r="41" spans="1:22">
      <c r="I41"/>
      <c r="J41"/>
      <c r="K41"/>
      <c r="V41" s="2004"/>
    </row>
    <row r="42" spans="1:22">
      <c r="I42"/>
      <c r="J42"/>
      <c r="K42"/>
      <c r="V42" s="2004"/>
    </row>
    <row r="43" spans="1:22">
      <c r="I43"/>
      <c r="J43"/>
      <c r="K43"/>
    </row>
    <row r="44" spans="1:22">
      <c r="I44"/>
      <c r="J44"/>
      <c r="K44"/>
    </row>
  </sheetData>
  <mergeCells count="10">
    <mergeCell ref="E1:G1"/>
    <mergeCell ref="E2:G2"/>
    <mergeCell ref="I4:R4"/>
    <mergeCell ref="S4:V4"/>
    <mergeCell ref="H34:H35"/>
    <mergeCell ref="I5:L5"/>
    <mergeCell ref="M5:O5"/>
    <mergeCell ref="P5:R5"/>
    <mergeCell ref="S5:T5"/>
    <mergeCell ref="U5:V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791E-CDA9-4AE8-AF50-69D6DAB904D9}">
  <dimension ref="C3:K67"/>
  <sheetViews>
    <sheetView view="pageBreakPreview" zoomScale="80" zoomScaleNormal="100" zoomScaleSheetLayoutView="80" workbookViewId="0">
      <selection activeCell="I26" sqref="I26"/>
    </sheetView>
  </sheetViews>
  <sheetFormatPr defaultRowHeight="14.4"/>
  <cols>
    <col min="4" max="4" width="11.5546875" customWidth="1"/>
    <col min="5" max="5" width="16.44140625" customWidth="1"/>
    <col min="6" max="6" width="48.109375" customWidth="1"/>
    <col min="7" max="11" width="9.44140625" customWidth="1"/>
  </cols>
  <sheetData>
    <row r="3" spans="4:11">
      <c r="D3" s="2085" t="s">
        <v>820</v>
      </c>
      <c r="E3" s="2085"/>
      <c r="F3" s="2085"/>
      <c r="G3" s="2085"/>
      <c r="H3" s="2085"/>
      <c r="I3" s="1548"/>
      <c r="J3" s="1548"/>
      <c r="K3" s="1548"/>
    </row>
    <row r="4" spans="4:11">
      <c r="D4" s="1549"/>
      <c r="E4" s="1550"/>
      <c r="F4" s="1551"/>
      <c r="G4" s="16"/>
      <c r="H4" s="16"/>
      <c r="I4" s="16"/>
      <c r="J4" s="16"/>
      <c r="K4" s="16"/>
    </row>
    <row r="5" spans="4:11" ht="15" thickBot="1">
      <c r="D5" s="1552" t="s">
        <v>1085</v>
      </c>
      <c r="E5" s="1550"/>
      <c r="F5" s="1551"/>
      <c r="G5" s="16"/>
      <c r="H5" s="16"/>
      <c r="I5" s="16"/>
      <c r="J5" s="16"/>
      <c r="K5" s="16"/>
    </row>
    <row r="6" spans="4:11" ht="15.6" thickTop="1" thickBot="1">
      <c r="D6" s="2086" t="s">
        <v>174</v>
      </c>
      <c r="E6" s="2088" t="s">
        <v>821</v>
      </c>
      <c r="F6" s="2090" t="s">
        <v>822</v>
      </c>
      <c r="G6" s="2092" t="s">
        <v>823</v>
      </c>
      <c r="H6" s="2093"/>
      <c r="I6" s="2094"/>
      <c r="J6" s="1554"/>
      <c r="K6" s="518" t="s">
        <v>824</v>
      </c>
    </row>
    <row r="7" spans="4:11" ht="15.6" thickTop="1" thickBot="1">
      <c r="D7" s="2087"/>
      <c r="E7" s="2089"/>
      <c r="F7" s="2091"/>
      <c r="G7" s="1555" t="s">
        <v>825</v>
      </c>
      <c r="H7" s="1556" t="s">
        <v>826</v>
      </c>
      <c r="I7" s="1555" t="s">
        <v>25</v>
      </c>
      <c r="J7" s="1554"/>
      <c r="K7" s="1554"/>
    </row>
    <row r="8" spans="4:11" ht="15.6" thickTop="1" thickBot="1">
      <c r="D8" s="1557">
        <v>1</v>
      </c>
      <c r="E8" s="2034">
        <v>0</v>
      </c>
      <c r="F8" s="2009" t="s">
        <v>1071</v>
      </c>
      <c r="G8" s="2014"/>
      <c r="H8" s="2014">
        <f>(2500-(E8/1000))/105</f>
        <v>23.80952380952381</v>
      </c>
      <c r="I8" s="2015">
        <f>E8/2500/1000</f>
        <v>0</v>
      </c>
      <c r="J8" s="2016"/>
      <c r="K8" s="2017">
        <f>(E8/1000)/24</f>
        <v>0</v>
      </c>
    </row>
    <row r="9" spans="4:11" ht="15.6" thickTop="1" thickBot="1">
      <c r="D9" s="1558">
        <v>2</v>
      </c>
      <c r="E9" s="2035">
        <v>0</v>
      </c>
      <c r="F9" s="2009" t="s">
        <v>1071</v>
      </c>
      <c r="G9" s="2018"/>
      <c r="H9" s="2014">
        <f t="shared" ref="H9:H38" si="0">(2500-(E9/1000))/105</f>
        <v>23.80952380952381</v>
      </c>
      <c r="I9" s="2015">
        <f t="shared" ref="I9:I38" si="1">E9/2500/1000</f>
        <v>0</v>
      </c>
      <c r="J9" s="2016"/>
      <c r="K9" s="2017">
        <f t="shared" ref="K9:K38" si="2">(E9/1000)/24</f>
        <v>0</v>
      </c>
    </row>
    <row r="10" spans="4:11" ht="15.6" thickTop="1" thickBot="1">
      <c r="D10" s="1559">
        <v>3</v>
      </c>
      <c r="E10" s="2035">
        <v>0</v>
      </c>
      <c r="F10" s="2009" t="s">
        <v>1071</v>
      </c>
      <c r="G10" s="2018"/>
      <c r="H10" s="2014">
        <f t="shared" si="0"/>
        <v>23.80952380952381</v>
      </c>
      <c r="I10" s="2015">
        <f t="shared" si="1"/>
        <v>0</v>
      </c>
      <c r="J10" s="2016"/>
      <c r="K10" s="2017">
        <f t="shared" si="2"/>
        <v>0</v>
      </c>
    </row>
    <row r="11" spans="4:11" ht="15.6" thickTop="1" thickBot="1">
      <c r="D11" s="1559">
        <v>4</v>
      </c>
      <c r="E11" s="2035">
        <v>0</v>
      </c>
      <c r="F11" s="2009" t="s">
        <v>1071</v>
      </c>
      <c r="G11" s="2018"/>
      <c r="H11" s="2014">
        <f t="shared" si="0"/>
        <v>23.80952380952381</v>
      </c>
      <c r="I11" s="2015">
        <f t="shared" si="1"/>
        <v>0</v>
      </c>
      <c r="J11" s="2016"/>
      <c r="K11" s="2017">
        <f t="shared" si="2"/>
        <v>0</v>
      </c>
    </row>
    <row r="12" spans="4:11" ht="15.6" thickTop="1" thickBot="1">
      <c r="D12" s="1559">
        <v>5</v>
      </c>
      <c r="E12" s="2035">
        <v>0</v>
      </c>
      <c r="F12" s="2009" t="s">
        <v>1071</v>
      </c>
      <c r="G12" s="2018"/>
      <c r="H12" s="2014">
        <f t="shared" si="0"/>
        <v>23.80952380952381</v>
      </c>
      <c r="I12" s="2015">
        <f t="shared" si="1"/>
        <v>0</v>
      </c>
      <c r="J12" s="2016"/>
      <c r="K12" s="2017">
        <f t="shared" si="2"/>
        <v>0</v>
      </c>
    </row>
    <row r="13" spans="4:11" ht="15.6" thickTop="1" thickBot="1">
      <c r="D13" s="1559">
        <v>6</v>
      </c>
      <c r="E13" s="2035">
        <v>0</v>
      </c>
      <c r="F13" s="2009" t="s">
        <v>1071</v>
      </c>
      <c r="G13" s="2018"/>
      <c r="H13" s="2014">
        <f t="shared" si="0"/>
        <v>23.80952380952381</v>
      </c>
      <c r="I13" s="2015">
        <f t="shared" si="1"/>
        <v>0</v>
      </c>
      <c r="J13" s="2016"/>
      <c r="K13" s="2017">
        <f t="shared" si="2"/>
        <v>0</v>
      </c>
    </row>
    <row r="14" spans="4:11" ht="15.6" thickTop="1" thickBot="1">
      <c r="D14" s="1559">
        <v>7</v>
      </c>
      <c r="E14" s="2035">
        <v>0</v>
      </c>
      <c r="F14" s="2009" t="s">
        <v>1071</v>
      </c>
      <c r="G14" s="2018"/>
      <c r="H14" s="2014">
        <f t="shared" si="0"/>
        <v>23.80952380952381</v>
      </c>
      <c r="I14" s="2015">
        <f t="shared" si="1"/>
        <v>0</v>
      </c>
      <c r="J14" s="2016"/>
      <c r="K14" s="2017">
        <f t="shared" si="2"/>
        <v>0</v>
      </c>
    </row>
    <row r="15" spans="4:11" ht="15.6" thickTop="1" thickBot="1">
      <c r="D15" s="1559">
        <v>8</v>
      </c>
      <c r="E15" s="2035">
        <v>0</v>
      </c>
      <c r="F15" s="2009" t="s">
        <v>1071</v>
      </c>
      <c r="G15" s="2018"/>
      <c r="H15" s="2014">
        <f t="shared" si="0"/>
        <v>23.80952380952381</v>
      </c>
      <c r="I15" s="2015">
        <f t="shared" si="1"/>
        <v>0</v>
      </c>
      <c r="J15" s="2016"/>
      <c r="K15" s="2017">
        <f t="shared" si="2"/>
        <v>0</v>
      </c>
    </row>
    <row r="16" spans="4:11" ht="15.6" thickTop="1" thickBot="1">
      <c r="D16" s="1559">
        <v>9</v>
      </c>
      <c r="E16" s="2035">
        <v>0</v>
      </c>
      <c r="F16" s="2009" t="s">
        <v>1071</v>
      </c>
      <c r="G16" s="2018"/>
      <c r="H16" s="2014">
        <f t="shared" si="0"/>
        <v>23.80952380952381</v>
      </c>
      <c r="I16" s="2015">
        <f t="shared" si="1"/>
        <v>0</v>
      </c>
      <c r="J16" s="2016"/>
      <c r="K16" s="2017">
        <f t="shared" si="2"/>
        <v>0</v>
      </c>
    </row>
    <row r="17" spans="4:11" ht="15.6" thickTop="1" thickBot="1">
      <c r="D17" s="1559">
        <v>10</v>
      </c>
      <c r="E17" s="2035">
        <v>0</v>
      </c>
      <c r="F17" s="2009" t="s">
        <v>1071</v>
      </c>
      <c r="G17" s="2018"/>
      <c r="H17" s="2014">
        <f t="shared" si="0"/>
        <v>23.80952380952381</v>
      </c>
      <c r="I17" s="2015">
        <f t="shared" si="1"/>
        <v>0</v>
      </c>
      <c r="J17" s="2016"/>
      <c r="K17" s="2017">
        <f t="shared" si="2"/>
        <v>0</v>
      </c>
    </row>
    <row r="18" spans="4:11" ht="15.6" thickTop="1" thickBot="1">
      <c r="D18" s="1559">
        <v>11</v>
      </c>
      <c r="E18" s="2035">
        <v>0</v>
      </c>
      <c r="F18" s="2009" t="s">
        <v>1071</v>
      </c>
      <c r="G18" s="2018"/>
      <c r="H18" s="2014">
        <f t="shared" si="0"/>
        <v>23.80952380952381</v>
      </c>
      <c r="I18" s="2015">
        <f t="shared" si="1"/>
        <v>0</v>
      </c>
      <c r="J18" s="2016"/>
      <c r="K18" s="2017">
        <f t="shared" si="2"/>
        <v>0</v>
      </c>
    </row>
    <row r="19" spans="4:11" ht="15.6" thickTop="1" thickBot="1">
      <c r="D19" s="1559">
        <v>12</v>
      </c>
      <c r="E19" s="2035">
        <v>0</v>
      </c>
      <c r="F19" s="2009" t="s">
        <v>1071</v>
      </c>
      <c r="G19" s="2018"/>
      <c r="H19" s="2014">
        <f t="shared" si="0"/>
        <v>23.80952380952381</v>
      </c>
      <c r="I19" s="2015">
        <f t="shared" si="1"/>
        <v>0</v>
      </c>
      <c r="J19" s="2016"/>
      <c r="K19" s="2017">
        <f t="shared" si="2"/>
        <v>0</v>
      </c>
    </row>
    <row r="20" spans="4:11" ht="15.6" thickTop="1" thickBot="1">
      <c r="D20" s="1559">
        <v>13</v>
      </c>
      <c r="E20" s="2035">
        <v>0</v>
      </c>
      <c r="F20" s="2009" t="s">
        <v>1071</v>
      </c>
      <c r="G20" s="2018"/>
      <c r="H20" s="2014">
        <f t="shared" si="0"/>
        <v>23.80952380952381</v>
      </c>
      <c r="I20" s="2015">
        <f t="shared" si="1"/>
        <v>0</v>
      </c>
      <c r="J20" s="2016"/>
      <c r="K20" s="2017">
        <f t="shared" si="2"/>
        <v>0</v>
      </c>
    </row>
    <row r="21" spans="4:11" ht="15.6" thickTop="1" thickBot="1">
      <c r="D21" s="1559">
        <v>14</v>
      </c>
      <c r="E21" s="2035">
        <v>0</v>
      </c>
      <c r="F21" s="2009" t="s">
        <v>1071</v>
      </c>
      <c r="G21" s="2018"/>
      <c r="H21" s="2014">
        <f t="shared" si="0"/>
        <v>23.80952380952381</v>
      </c>
      <c r="I21" s="2015">
        <f t="shared" si="1"/>
        <v>0</v>
      </c>
      <c r="J21" s="2016"/>
      <c r="K21" s="2017">
        <f t="shared" si="2"/>
        <v>0</v>
      </c>
    </row>
    <row r="22" spans="4:11" ht="15.6" thickTop="1" thickBot="1">
      <c r="D22" s="1559">
        <v>15</v>
      </c>
      <c r="E22" s="2035">
        <v>0</v>
      </c>
      <c r="F22" s="2009" t="s">
        <v>1071</v>
      </c>
      <c r="G22" s="2018"/>
      <c r="H22" s="2014">
        <f t="shared" si="0"/>
        <v>23.80952380952381</v>
      </c>
      <c r="I22" s="2015">
        <f t="shared" si="1"/>
        <v>0</v>
      </c>
      <c r="J22" s="2016"/>
      <c r="K22" s="2017">
        <f t="shared" si="2"/>
        <v>0</v>
      </c>
    </row>
    <row r="23" spans="4:11" ht="15.6" thickTop="1" thickBot="1">
      <c r="D23" s="1559">
        <v>16</v>
      </c>
      <c r="E23" s="2035">
        <v>0</v>
      </c>
      <c r="F23" s="2009" t="s">
        <v>1071</v>
      </c>
      <c r="G23" s="2018"/>
      <c r="H23" s="2014">
        <f t="shared" si="0"/>
        <v>23.80952380952381</v>
      </c>
      <c r="I23" s="2015">
        <f t="shared" si="1"/>
        <v>0</v>
      </c>
      <c r="J23" s="2016"/>
      <c r="K23" s="2017">
        <f t="shared" si="2"/>
        <v>0</v>
      </c>
    </row>
    <row r="24" spans="4:11" ht="15.6" thickTop="1" thickBot="1">
      <c r="D24" s="1559">
        <v>17</v>
      </c>
      <c r="E24" s="2035">
        <v>0</v>
      </c>
      <c r="F24" s="2009" t="s">
        <v>1071</v>
      </c>
      <c r="G24" s="2018"/>
      <c r="H24" s="2014">
        <f t="shared" si="0"/>
        <v>23.80952380952381</v>
      </c>
      <c r="I24" s="2015">
        <f t="shared" si="1"/>
        <v>0</v>
      </c>
      <c r="J24" s="2016"/>
      <c r="K24" s="2017">
        <f t="shared" si="2"/>
        <v>0</v>
      </c>
    </row>
    <row r="25" spans="4:11" ht="15.6" thickTop="1" thickBot="1">
      <c r="D25" s="1560">
        <v>18</v>
      </c>
      <c r="E25" s="2035">
        <v>0</v>
      </c>
      <c r="F25" s="2009" t="s">
        <v>1071</v>
      </c>
      <c r="G25" s="2018"/>
      <c r="H25" s="2014">
        <f t="shared" si="0"/>
        <v>23.80952380952381</v>
      </c>
      <c r="I25" s="2015">
        <f t="shared" si="1"/>
        <v>0</v>
      </c>
      <c r="J25" s="2016"/>
      <c r="K25" s="2017">
        <f t="shared" si="2"/>
        <v>0</v>
      </c>
    </row>
    <row r="26" spans="4:11" ht="15.6" thickTop="1" thickBot="1">
      <c r="D26" s="1560">
        <v>19</v>
      </c>
      <c r="E26" s="2035">
        <v>0</v>
      </c>
      <c r="F26" s="2009" t="s">
        <v>1071</v>
      </c>
      <c r="G26" s="2018"/>
      <c r="H26" s="2014">
        <f t="shared" si="0"/>
        <v>23.80952380952381</v>
      </c>
      <c r="I26" s="2015">
        <f t="shared" si="1"/>
        <v>0</v>
      </c>
      <c r="J26" s="2016"/>
      <c r="K26" s="2017">
        <f t="shared" si="2"/>
        <v>0</v>
      </c>
    </row>
    <row r="27" spans="4:11" ht="15.6" thickTop="1" thickBot="1">
      <c r="D27" s="1560">
        <v>20</v>
      </c>
      <c r="E27" s="2035">
        <v>0</v>
      </c>
      <c r="F27" s="2009" t="s">
        <v>1071</v>
      </c>
      <c r="G27" s="2018"/>
      <c r="H27" s="2014">
        <f t="shared" si="0"/>
        <v>23.80952380952381</v>
      </c>
      <c r="I27" s="2015">
        <f t="shared" si="1"/>
        <v>0</v>
      </c>
      <c r="J27" s="2016"/>
      <c r="K27" s="2017">
        <f t="shared" si="2"/>
        <v>0</v>
      </c>
    </row>
    <row r="28" spans="4:11" ht="15.6" thickTop="1" thickBot="1">
      <c r="D28" s="1560">
        <v>21</v>
      </c>
      <c r="E28" s="2035">
        <v>0</v>
      </c>
      <c r="F28" s="2009" t="s">
        <v>1071</v>
      </c>
      <c r="G28" s="2018"/>
      <c r="H28" s="2014">
        <f t="shared" si="0"/>
        <v>23.80952380952381</v>
      </c>
      <c r="I28" s="2015">
        <f t="shared" si="1"/>
        <v>0</v>
      </c>
      <c r="J28" s="2016"/>
      <c r="K28" s="2017">
        <f t="shared" si="2"/>
        <v>0</v>
      </c>
    </row>
    <row r="29" spans="4:11" ht="15.6" thickTop="1" thickBot="1">
      <c r="D29" s="1560">
        <v>22</v>
      </c>
      <c r="E29" s="2035">
        <v>0</v>
      </c>
      <c r="F29" s="2009" t="s">
        <v>1071</v>
      </c>
      <c r="G29" s="2018"/>
      <c r="H29" s="2014">
        <f t="shared" si="0"/>
        <v>23.80952380952381</v>
      </c>
      <c r="I29" s="2015">
        <f t="shared" si="1"/>
        <v>0</v>
      </c>
      <c r="J29" s="2016"/>
      <c r="K29" s="2017">
        <f t="shared" si="2"/>
        <v>0</v>
      </c>
    </row>
    <row r="30" spans="4:11" ht="15.6" thickTop="1" thickBot="1">
      <c r="D30" s="1560">
        <v>23</v>
      </c>
      <c r="E30" s="2035">
        <v>0</v>
      </c>
      <c r="F30" s="2009" t="s">
        <v>1071</v>
      </c>
      <c r="G30" s="2018"/>
      <c r="H30" s="2014">
        <f t="shared" si="0"/>
        <v>23.80952380952381</v>
      </c>
      <c r="I30" s="2015">
        <f t="shared" si="1"/>
        <v>0</v>
      </c>
      <c r="J30" s="2016"/>
      <c r="K30" s="2017">
        <f t="shared" si="2"/>
        <v>0</v>
      </c>
    </row>
    <row r="31" spans="4:11" ht="15.6" thickTop="1" thickBot="1">
      <c r="D31" s="1560">
        <v>24</v>
      </c>
      <c r="E31" s="2035">
        <v>0</v>
      </c>
      <c r="F31" s="2009" t="s">
        <v>1071</v>
      </c>
      <c r="G31" s="2018"/>
      <c r="H31" s="2014">
        <f t="shared" si="0"/>
        <v>23.80952380952381</v>
      </c>
      <c r="I31" s="2015">
        <f t="shared" si="1"/>
        <v>0</v>
      </c>
      <c r="J31" s="2016"/>
      <c r="K31" s="2017">
        <f t="shared" si="2"/>
        <v>0</v>
      </c>
    </row>
    <row r="32" spans="4:11" ht="15.6" thickTop="1" thickBot="1">
      <c r="D32" s="1560">
        <v>25</v>
      </c>
      <c r="E32" s="2035">
        <v>0</v>
      </c>
      <c r="F32" s="2009" t="s">
        <v>1071</v>
      </c>
      <c r="G32" s="2018"/>
      <c r="H32" s="2014">
        <f t="shared" si="0"/>
        <v>23.80952380952381</v>
      </c>
      <c r="I32" s="2015">
        <f t="shared" si="1"/>
        <v>0</v>
      </c>
      <c r="J32" s="2016"/>
      <c r="K32" s="2017">
        <f t="shared" si="2"/>
        <v>0</v>
      </c>
    </row>
    <row r="33" spans="4:11" ht="15.6" thickTop="1" thickBot="1">
      <c r="D33" s="1560">
        <v>26</v>
      </c>
      <c r="E33" s="2035">
        <v>0</v>
      </c>
      <c r="F33" s="2009" t="s">
        <v>1071</v>
      </c>
      <c r="G33" s="2018"/>
      <c r="H33" s="2014">
        <f t="shared" si="0"/>
        <v>23.80952380952381</v>
      </c>
      <c r="I33" s="2015">
        <f t="shared" si="1"/>
        <v>0</v>
      </c>
      <c r="J33" s="2016"/>
      <c r="K33" s="2017">
        <f t="shared" si="2"/>
        <v>0</v>
      </c>
    </row>
    <row r="34" spans="4:11" ht="15.6" thickTop="1" thickBot="1">
      <c r="D34" s="1560">
        <v>27</v>
      </c>
      <c r="E34" s="2035">
        <v>0</v>
      </c>
      <c r="F34" s="2009" t="s">
        <v>1071</v>
      </c>
      <c r="G34" s="2018"/>
      <c r="H34" s="2014">
        <f t="shared" si="0"/>
        <v>23.80952380952381</v>
      </c>
      <c r="I34" s="2015">
        <f t="shared" si="1"/>
        <v>0</v>
      </c>
      <c r="J34" s="2016"/>
      <c r="K34" s="2017">
        <f t="shared" si="2"/>
        <v>0</v>
      </c>
    </row>
    <row r="35" spans="4:11" ht="15.6" thickTop="1" thickBot="1">
      <c r="D35" s="1560">
        <v>28</v>
      </c>
      <c r="E35" s="2035">
        <v>0</v>
      </c>
      <c r="F35" s="2009" t="s">
        <v>1071</v>
      </c>
      <c r="G35" s="2018"/>
      <c r="H35" s="2014">
        <f t="shared" si="0"/>
        <v>23.80952380952381</v>
      </c>
      <c r="I35" s="2015">
        <f t="shared" si="1"/>
        <v>0</v>
      </c>
      <c r="J35" s="2016"/>
      <c r="K35" s="2017">
        <f t="shared" si="2"/>
        <v>0</v>
      </c>
    </row>
    <row r="36" spans="4:11" ht="15.6" customHeight="1" thickTop="1" thickBot="1">
      <c r="D36" s="1560">
        <v>29</v>
      </c>
      <c r="E36" s="2035">
        <v>0</v>
      </c>
      <c r="F36" s="2009" t="s">
        <v>1071</v>
      </c>
      <c r="G36" s="2018"/>
      <c r="H36" s="2014">
        <f t="shared" si="0"/>
        <v>23.80952380952381</v>
      </c>
      <c r="I36" s="2015">
        <f t="shared" si="1"/>
        <v>0</v>
      </c>
      <c r="J36" s="2016"/>
      <c r="K36" s="2017">
        <f t="shared" si="2"/>
        <v>0</v>
      </c>
    </row>
    <row r="37" spans="4:11" ht="15.6" customHeight="1" thickTop="1" thickBot="1">
      <c r="D37" s="1561">
        <v>30</v>
      </c>
      <c r="E37" s="2035">
        <v>0</v>
      </c>
      <c r="F37" s="2009" t="s">
        <v>1071</v>
      </c>
      <c r="G37" s="2036"/>
      <c r="H37" s="2014">
        <f t="shared" si="0"/>
        <v>23.80952380952381</v>
      </c>
      <c r="I37" s="2015">
        <f t="shared" si="1"/>
        <v>0</v>
      </c>
      <c r="J37" s="2016"/>
      <c r="K37" s="2017">
        <f t="shared" si="2"/>
        <v>0</v>
      </c>
    </row>
    <row r="38" spans="4:11" ht="15.6" hidden="1" customHeight="1" thickTop="1" thickBot="1">
      <c r="D38" s="1561">
        <v>31</v>
      </c>
      <c r="E38" s="2035">
        <v>0</v>
      </c>
      <c r="F38" s="2009" t="s">
        <v>1071</v>
      </c>
      <c r="G38" s="2036"/>
      <c r="H38" s="2014">
        <f t="shared" si="0"/>
        <v>23.80952380952381</v>
      </c>
      <c r="I38" s="2015">
        <f t="shared" si="1"/>
        <v>0</v>
      </c>
      <c r="J38" s="2016"/>
      <c r="K38" s="2017">
        <f t="shared" si="2"/>
        <v>0</v>
      </c>
    </row>
    <row r="39" spans="4:11" ht="16.8" thickTop="1" thickBot="1">
      <c r="D39" s="1553" t="s">
        <v>158</v>
      </c>
      <c r="E39" s="2037">
        <f>SUM(E8:E37)</f>
        <v>0</v>
      </c>
      <c r="F39" s="1563"/>
      <c r="G39" s="2028">
        <f>SUM(G8:G37)</f>
        <v>0</v>
      </c>
      <c r="H39" s="2029">
        <v>0</v>
      </c>
      <c r="I39" s="2028"/>
      <c r="J39" s="2030"/>
      <c r="K39" s="2031">
        <f>AVERAGE(K8:K37)</f>
        <v>0</v>
      </c>
    </row>
    <row r="40" spans="4:11" ht="15" thickTop="1">
      <c r="D40" s="1564"/>
      <c r="E40" s="2032"/>
      <c r="F40" s="1565"/>
      <c r="G40" s="1"/>
      <c r="H40" s="1"/>
      <c r="I40" s="1"/>
      <c r="J40" s="1"/>
      <c r="K40" s="1"/>
    </row>
    <row r="41" spans="4:11">
      <c r="D41" s="16"/>
      <c r="E41" s="1566" t="s">
        <v>827</v>
      </c>
      <c r="F41" s="16"/>
      <c r="G41" s="16"/>
      <c r="H41" s="16"/>
      <c r="I41" s="16"/>
      <c r="J41" s="16"/>
      <c r="K41" s="16"/>
    </row>
    <row r="42" spans="4:11">
      <c r="D42" s="16"/>
      <c r="E42" s="16" t="s">
        <v>828</v>
      </c>
      <c r="F42" s="16"/>
      <c r="G42" s="2017">
        <v>0</v>
      </c>
      <c r="H42" s="16" t="s">
        <v>829</v>
      </c>
      <c r="I42" s="16"/>
      <c r="J42" s="16"/>
      <c r="K42" s="16"/>
    </row>
    <row r="43" spans="4:11">
      <c r="D43" s="16"/>
      <c r="E43" s="16" t="s">
        <v>830</v>
      </c>
      <c r="F43" s="16"/>
      <c r="G43" s="2017">
        <v>0</v>
      </c>
      <c r="H43" s="16" t="s">
        <v>829</v>
      </c>
      <c r="I43" s="16"/>
      <c r="J43" s="16"/>
      <c r="K43" s="16"/>
    </row>
    <row r="44" spans="4:11">
      <c r="D44" s="16"/>
      <c r="E44" s="16" t="s">
        <v>1077</v>
      </c>
      <c r="F44" s="16"/>
      <c r="G44" s="2017">
        <v>0</v>
      </c>
      <c r="H44" s="16" t="s">
        <v>829</v>
      </c>
      <c r="I44" s="16"/>
      <c r="J44" s="16"/>
      <c r="K44" s="16"/>
    </row>
    <row r="45" spans="4:11">
      <c r="D45" s="16"/>
      <c r="E45" s="16" t="s">
        <v>831</v>
      </c>
      <c r="F45" s="16"/>
      <c r="G45" s="2017">
        <v>0</v>
      </c>
      <c r="H45" s="16" t="s">
        <v>829</v>
      </c>
      <c r="I45" s="16"/>
      <c r="J45" s="16"/>
      <c r="K45" s="16"/>
    </row>
    <row r="46" spans="4:11">
      <c r="D46" s="16"/>
      <c r="E46" s="16" t="s">
        <v>832</v>
      </c>
      <c r="F46" s="16"/>
      <c r="G46" s="2033">
        <v>0</v>
      </c>
      <c r="H46" s="16" t="s">
        <v>829</v>
      </c>
      <c r="I46" s="16"/>
      <c r="J46" s="16"/>
      <c r="K46" s="16"/>
    </row>
    <row r="47" spans="4:11">
      <c r="D47" s="16"/>
      <c r="E47" s="16" t="s">
        <v>833</v>
      </c>
      <c r="F47" s="16"/>
      <c r="G47" s="2033">
        <v>0</v>
      </c>
      <c r="H47" s="16" t="s">
        <v>829</v>
      </c>
      <c r="I47" s="16"/>
      <c r="J47" s="16"/>
      <c r="K47" s="16"/>
    </row>
    <row r="48" spans="4:11">
      <c r="D48" s="16"/>
      <c r="E48" s="16" t="s">
        <v>834</v>
      </c>
      <c r="F48" s="16"/>
      <c r="G48" s="2033">
        <v>0</v>
      </c>
      <c r="H48" s="16" t="s">
        <v>829</v>
      </c>
      <c r="I48" s="16"/>
      <c r="J48" s="16"/>
      <c r="K48" s="16"/>
    </row>
    <row r="49" spans="3:11">
      <c r="D49" s="16"/>
      <c r="E49" s="16" t="s">
        <v>835</v>
      </c>
      <c r="F49" s="16"/>
      <c r="G49" s="2033">
        <v>0</v>
      </c>
      <c r="H49" s="16" t="s">
        <v>829</v>
      </c>
      <c r="I49" s="16"/>
      <c r="J49" s="16"/>
      <c r="K49" s="16"/>
    </row>
    <row r="50" spans="3:11">
      <c r="D50" s="16"/>
      <c r="E50" s="16" t="s">
        <v>836</v>
      </c>
      <c r="F50" s="16"/>
      <c r="G50" s="2033">
        <v>0</v>
      </c>
      <c r="H50" s="16" t="s">
        <v>829</v>
      </c>
      <c r="I50" s="16"/>
      <c r="J50" s="16"/>
      <c r="K50" s="16"/>
    </row>
    <row r="51" spans="3:11">
      <c r="D51" s="16"/>
      <c r="E51" s="16" t="s">
        <v>837</v>
      </c>
      <c r="F51" s="16"/>
      <c r="G51" s="2033">
        <v>0</v>
      </c>
      <c r="H51" s="16" t="s">
        <v>829</v>
      </c>
      <c r="I51" s="16"/>
      <c r="J51" s="16"/>
      <c r="K51" s="16"/>
    </row>
    <row r="52" spans="3:11">
      <c r="D52" s="16"/>
      <c r="E52" s="16" t="s">
        <v>838</v>
      </c>
      <c r="F52" s="16"/>
      <c r="G52" s="2017">
        <v>0</v>
      </c>
      <c r="H52" s="16" t="s">
        <v>829</v>
      </c>
      <c r="I52" s="16"/>
      <c r="J52" s="16"/>
      <c r="K52" s="16"/>
    </row>
    <row r="53" spans="3:11">
      <c r="D53" s="1"/>
      <c r="E53" s="2095" t="s">
        <v>1</v>
      </c>
      <c r="F53" s="2095"/>
      <c r="G53" s="2033">
        <v>0</v>
      </c>
      <c r="H53" s="2" t="s">
        <v>829</v>
      </c>
      <c r="I53" s="2"/>
      <c r="J53" s="2"/>
      <c r="K53" s="2"/>
    </row>
    <row r="54" spans="3:11">
      <c r="D54" s="1"/>
      <c r="E54" s="2081" t="s">
        <v>1072</v>
      </c>
      <c r="F54" s="2081"/>
      <c r="G54" s="1"/>
      <c r="H54" s="1"/>
      <c r="I54" s="1"/>
      <c r="J54" s="1"/>
      <c r="K54" s="1"/>
    </row>
    <row r="62" spans="3:11">
      <c r="C62" s="2082" t="s">
        <v>765</v>
      </c>
      <c r="D62" s="2082"/>
      <c r="E62" s="2082"/>
      <c r="F62" s="1194" t="s">
        <v>766</v>
      </c>
      <c r="G62" s="1307"/>
      <c r="H62" s="1194" t="s">
        <v>767</v>
      </c>
      <c r="I62" s="1307"/>
    </row>
    <row r="63" spans="3:11">
      <c r="C63" s="1191"/>
      <c r="D63" s="1309"/>
      <c r="E63" s="1309"/>
      <c r="F63" s="1309"/>
      <c r="G63" s="1309"/>
      <c r="H63" s="1191"/>
      <c r="I63" s="1309"/>
    </row>
    <row r="64" spans="3:11">
      <c r="C64" s="1191"/>
      <c r="D64" s="1309"/>
      <c r="E64" s="1309"/>
      <c r="F64" s="1309"/>
      <c r="G64" s="1309"/>
      <c r="H64" s="1191"/>
      <c r="I64" s="1309"/>
    </row>
    <row r="65" spans="3:9">
      <c r="C65" s="1191"/>
      <c r="D65" s="1309"/>
      <c r="E65" s="1309"/>
      <c r="F65" s="1309"/>
      <c r="G65" s="1309"/>
      <c r="H65" s="1191"/>
      <c r="I65" s="1309"/>
    </row>
    <row r="66" spans="3:9">
      <c r="C66" s="2083" t="s">
        <v>1074</v>
      </c>
      <c r="D66" s="2083"/>
      <c r="E66" s="2083"/>
      <c r="F66" s="1311" t="s">
        <v>768</v>
      </c>
      <c r="G66" s="1312"/>
      <c r="H66" s="1311" t="s">
        <v>769</v>
      </c>
      <c r="I66" s="1312"/>
    </row>
    <row r="67" spans="3:9">
      <c r="C67" s="2084" t="s">
        <v>771</v>
      </c>
      <c r="D67" s="2084"/>
      <c r="E67" s="2084"/>
      <c r="F67" s="1309" t="s">
        <v>772</v>
      </c>
      <c r="G67" s="1314"/>
      <c r="H67" s="1309" t="s">
        <v>773</v>
      </c>
      <c r="I67" s="1314"/>
    </row>
  </sheetData>
  <mergeCells count="10">
    <mergeCell ref="E54:F54"/>
    <mergeCell ref="C62:E62"/>
    <mergeCell ref="C66:E66"/>
    <mergeCell ref="C67:E67"/>
    <mergeCell ref="D3:H3"/>
    <mergeCell ref="D6:D7"/>
    <mergeCell ref="E6:E7"/>
    <mergeCell ref="F6:F7"/>
    <mergeCell ref="G6:I6"/>
    <mergeCell ref="E53:F5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r:id="rId1"/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555-B74B-4DFE-B515-AF812DA17786}">
  <dimension ref="B2:K69"/>
  <sheetViews>
    <sheetView view="pageBreakPreview" topLeftCell="A16" zoomScale="80" zoomScaleNormal="100" zoomScaleSheetLayoutView="80" workbookViewId="0">
      <selection activeCell="E25" sqref="E25"/>
    </sheetView>
  </sheetViews>
  <sheetFormatPr defaultRowHeight="14.4"/>
  <cols>
    <col min="2" max="2" width="6.5546875" customWidth="1"/>
    <col min="3" max="3" width="11.5546875" customWidth="1"/>
    <col min="4" max="4" width="16.44140625" customWidth="1"/>
    <col min="5" max="5" width="59.88671875" customWidth="1"/>
    <col min="6" max="10" width="9.44140625" customWidth="1"/>
  </cols>
  <sheetData>
    <row r="2" spans="2:10">
      <c r="B2" s="1"/>
      <c r="C2" s="2085" t="s">
        <v>839</v>
      </c>
      <c r="D2" s="2085"/>
      <c r="E2" s="2085"/>
      <c r="F2" s="2085"/>
      <c r="G2" s="2085"/>
      <c r="H2" s="1548"/>
      <c r="I2" s="1548"/>
      <c r="J2" s="1548"/>
    </row>
    <row r="3" spans="2:10">
      <c r="B3" s="16"/>
      <c r="C3" s="1549"/>
      <c r="D3" s="1550"/>
      <c r="E3" s="1551"/>
      <c r="F3" s="16"/>
      <c r="G3" s="16"/>
      <c r="H3" s="16"/>
      <c r="I3" s="16"/>
      <c r="J3" s="16"/>
    </row>
    <row r="4" spans="2:10" ht="15" thickBot="1">
      <c r="B4" s="16"/>
      <c r="C4" s="1552" t="s">
        <v>1085</v>
      </c>
      <c r="D4" s="1550"/>
      <c r="E4" s="1551"/>
      <c r="F4" s="16"/>
      <c r="G4" s="16"/>
      <c r="H4" s="16"/>
      <c r="I4" s="16"/>
      <c r="J4" s="16"/>
    </row>
    <row r="5" spans="2:10" ht="15.6" thickTop="1" thickBot="1">
      <c r="B5" s="16"/>
      <c r="C5" s="2086" t="s">
        <v>174</v>
      </c>
      <c r="D5" s="2088" t="s">
        <v>821</v>
      </c>
      <c r="E5" s="2090" t="s">
        <v>822</v>
      </c>
      <c r="F5" s="2092" t="s">
        <v>823</v>
      </c>
      <c r="G5" s="2093"/>
      <c r="H5" s="2094"/>
      <c r="I5" s="1554"/>
      <c r="J5" s="518" t="s">
        <v>824</v>
      </c>
    </row>
    <row r="6" spans="2:10" ht="15.6" thickTop="1" thickBot="1">
      <c r="B6" s="16"/>
      <c r="C6" s="2087"/>
      <c r="D6" s="2089"/>
      <c r="E6" s="2091"/>
      <c r="F6" s="1555" t="s">
        <v>825</v>
      </c>
      <c r="G6" s="1556" t="s">
        <v>826</v>
      </c>
      <c r="H6" s="1555" t="s">
        <v>25</v>
      </c>
      <c r="I6" s="1554"/>
      <c r="J6" s="1554"/>
    </row>
    <row r="7" spans="2:10" ht="15.6" thickTop="1" thickBot="1">
      <c r="B7" s="16"/>
      <c r="C7" s="1557">
        <v>1</v>
      </c>
      <c r="D7" s="33">
        <v>0</v>
      </c>
      <c r="E7" s="2009" t="s">
        <v>1071</v>
      </c>
      <c r="F7" s="2014"/>
      <c r="G7" s="2014">
        <f t="shared" ref="G7:G37" si="0">(2500-(D7/1000))/105</f>
        <v>23.80952380952381</v>
      </c>
      <c r="H7" s="2015">
        <f>D7/2500/1000</f>
        <v>0</v>
      </c>
      <c r="I7" s="2016"/>
      <c r="J7" s="2017">
        <f>(D7/1000)/24</f>
        <v>0</v>
      </c>
    </row>
    <row r="8" spans="2:10" ht="15.6" thickTop="1" thickBot="1">
      <c r="B8" s="16"/>
      <c r="C8" s="1558">
        <v>2</v>
      </c>
      <c r="D8" s="33">
        <v>0</v>
      </c>
      <c r="E8" s="2009" t="s">
        <v>1071</v>
      </c>
      <c r="F8" s="2018"/>
      <c r="G8" s="2018">
        <f t="shared" si="0"/>
        <v>23.80952380952381</v>
      </c>
      <c r="H8" s="2015">
        <f t="shared" ref="H8:H34" si="1">D8/2500/1000</f>
        <v>0</v>
      </c>
      <c r="I8" s="2016"/>
      <c r="J8" s="2017">
        <f t="shared" ref="J8:J37" si="2">(D8/1000)/24</f>
        <v>0</v>
      </c>
    </row>
    <row r="9" spans="2:10" ht="15.6" thickTop="1" thickBot="1">
      <c r="B9" s="16"/>
      <c r="C9" s="1559">
        <v>3</v>
      </c>
      <c r="D9" s="33">
        <v>0</v>
      </c>
      <c r="E9" s="2009" t="s">
        <v>1071</v>
      </c>
      <c r="F9" s="2018"/>
      <c r="G9" s="2018">
        <f t="shared" si="0"/>
        <v>23.80952380952381</v>
      </c>
      <c r="H9" s="2015">
        <f t="shared" si="1"/>
        <v>0</v>
      </c>
      <c r="I9" s="2016"/>
      <c r="J9" s="2017">
        <f t="shared" si="2"/>
        <v>0</v>
      </c>
    </row>
    <row r="10" spans="2:10" ht="15.6" thickTop="1" thickBot="1">
      <c r="B10" s="809"/>
      <c r="C10" s="1568">
        <v>4</v>
      </c>
      <c r="D10" s="33">
        <v>0</v>
      </c>
      <c r="E10" s="2009" t="s">
        <v>1071</v>
      </c>
      <c r="F10" s="2020"/>
      <c r="G10" s="2020">
        <f t="shared" si="0"/>
        <v>23.80952380952381</v>
      </c>
      <c r="H10" s="2015">
        <f t="shared" si="1"/>
        <v>0</v>
      </c>
      <c r="I10" s="2021"/>
      <c r="J10" s="2022">
        <f t="shared" si="2"/>
        <v>0</v>
      </c>
    </row>
    <row r="11" spans="2:10" ht="15.6" thickTop="1" thickBot="1">
      <c r="B11" s="16"/>
      <c r="C11" s="1559">
        <v>5</v>
      </c>
      <c r="D11" s="33">
        <v>0</v>
      </c>
      <c r="E11" s="2009" t="s">
        <v>1071</v>
      </c>
      <c r="F11" s="2018"/>
      <c r="G11" s="2018">
        <f t="shared" si="0"/>
        <v>23.80952380952381</v>
      </c>
      <c r="H11" s="2015">
        <f t="shared" si="1"/>
        <v>0</v>
      </c>
      <c r="I11" s="2016"/>
      <c r="J11" s="2017">
        <f t="shared" si="2"/>
        <v>0</v>
      </c>
    </row>
    <row r="12" spans="2:10" ht="15.6" thickTop="1" thickBot="1">
      <c r="B12" s="16"/>
      <c r="C12" s="1559">
        <v>6</v>
      </c>
      <c r="D12" s="33">
        <v>0</v>
      </c>
      <c r="E12" s="2009" t="s">
        <v>1071</v>
      </c>
      <c r="F12" s="2018"/>
      <c r="G12" s="2018">
        <f t="shared" si="0"/>
        <v>23.80952380952381</v>
      </c>
      <c r="H12" s="2015">
        <f t="shared" si="1"/>
        <v>0</v>
      </c>
      <c r="I12" s="2016"/>
      <c r="J12" s="2017">
        <f t="shared" si="2"/>
        <v>0</v>
      </c>
    </row>
    <row r="13" spans="2:10" ht="15.6" thickTop="1" thickBot="1">
      <c r="B13" s="16"/>
      <c r="C13" s="1559">
        <v>7</v>
      </c>
      <c r="D13" s="33">
        <v>0</v>
      </c>
      <c r="E13" s="2009" t="s">
        <v>1071</v>
      </c>
      <c r="F13" s="2018"/>
      <c r="G13" s="2018">
        <f t="shared" si="0"/>
        <v>23.80952380952381</v>
      </c>
      <c r="H13" s="2015">
        <f t="shared" si="1"/>
        <v>0</v>
      </c>
      <c r="I13" s="2016"/>
      <c r="J13" s="2017">
        <f t="shared" si="2"/>
        <v>0</v>
      </c>
    </row>
    <row r="14" spans="2:10" ht="15.6" thickTop="1" thickBot="1">
      <c r="B14" s="16"/>
      <c r="C14" s="1559">
        <v>8</v>
      </c>
      <c r="D14" s="33">
        <v>0</v>
      </c>
      <c r="E14" s="2009" t="s">
        <v>1071</v>
      </c>
      <c r="F14" s="2018"/>
      <c r="G14" s="2018">
        <f t="shared" si="0"/>
        <v>23.80952380952381</v>
      </c>
      <c r="H14" s="2015">
        <f t="shared" si="1"/>
        <v>0</v>
      </c>
      <c r="I14" s="2016"/>
      <c r="J14" s="2017">
        <f t="shared" si="2"/>
        <v>0</v>
      </c>
    </row>
    <row r="15" spans="2:10" ht="15.6" thickTop="1" thickBot="1">
      <c r="B15" s="16"/>
      <c r="C15" s="1559">
        <v>9</v>
      </c>
      <c r="D15" s="33">
        <v>0</v>
      </c>
      <c r="E15" s="2009" t="s">
        <v>1071</v>
      </c>
      <c r="F15" s="2018"/>
      <c r="G15" s="2018">
        <f t="shared" si="0"/>
        <v>23.80952380952381</v>
      </c>
      <c r="H15" s="2015">
        <f t="shared" si="1"/>
        <v>0</v>
      </c>
      <c r="I15" s="2016"/>
      <c r="J15" s="2017">
        <f t="shared" si="2"/>
        <v>0</v>
      </c>
    </row>
    <row r="16" spans="2:10" ht="15.6" thickTop="1" thickBot="1">
      <c r="B16" s="16"/>
      <c r="C16" s="1559">
        <v>10</v>
      </c>
      <c r="D16" s="33">
        <v>0</v>
      </c>
      <c r="E16" s="2009" t="s">
        <v>1071</v>
      </c>
      <c r="F16" s="2018"/>
      <c r="G16" s="2018">
        <f t="shared" si="0"/>
        <v>23.80952380952381</v>
      </c>
      <c r="H16" s="2015">
        <f t="shared" si="1"/>
        <v>0</v>
      </c>
      <c r="I16" s="2016"/>
      <c r="J16" s="2017">
        <f t="shared" si="2"/>
        <v>0</v>
      </c>
    </row>
    <row r="17" spans="2:10" ht="15.6" thickTop="1" thickBot="1">
      <c r="B17" s="16"/>
      <c r="C17" s="1559">
        <v>11</v>
      </c>
      <c r="D17" s="33">
        <v>0</v>
      </c>
      <c r="E17" s="2009" t="s">
        <v>1071</v>
      </c>
      <c r="F17" s="2018"/>
      <c r="G17" s="2018">
        <f t="shared" si="0"/>
        <v>23.80952380952381</v>
      </c>
      <c r="H17" s="2015">
        <f t="shared" si="1"/>
        <v>0</v>
      </c>
      <c r="I17" s="2016"/>
      <c r="J17" s="2017">
        <f t="shared" si="2"/>
        <v>0</v>
      </c>
    </row>
    <row r="18" spans="2:10" ht="15.6" thickTop="1" thickBot="1">
      <c r="B18" s="16"/>
      <c r="C18" s="1559">
        <v>12</v>
      </c>
      <c r="D18" s="33">
        <v>0</v>
      </c>
      <c r="E18" s="2009" t="s">
        <v>1071</v>
      </c>
      <c r="F18" s="2018"/>
      <c r="G18" s="2018">
        <f t="shared" si="0"/>
        <v>23.80952380952381</v>
      </c>
      <c r="H18" s="2015">
        <f t="shared" si="1"/>
        <v>0</v>
      </c>
      <c r="I18" s="2016"/>
      <c r="J18" s="2017">
        <f t="shared" si="2"/>
        <v>0</v>
      </c>
    </row>
    <row r="19" spans="2:10" ht="15.6" thickTop="1" thickBot="1">
      <c r="B19" s="16"/>
      <c r="C19" s="1559">
        <v>13</v>
      </c>
      <c r="D19" s="33">
        <v>0</v>
      </c>
      <c r="E19" s="2009" t="s">
        <v>1071</v>
      </c>
      <c r="F19" s="2018"/>
      <c r="G19" s="2018">
        <f t="shared" si="0"/>
        <v>23.80952380952381</v>
      </c>
      <c r="H19" s="2015">
        <f t="shared" si="1"/>
        <v>0</v>
      </c>
      <c r="I19" s="2016"/>
      <c r="J19" s="2017">
        <f t="shared" si="2"/>
        <v>0</v>
      </c>
    </row>
    <row r="20" spans="2:10" ht="15.6" thickTop="1" thickBot="1">
      <c r="B20" s="16"/>
      <c r="C20" s="1559">
        <v>14</v>
      </c>
      <c r="D20" s="33">
        <v>0</v>
      </c>
      <c r="E20" s="2009" t="s">
        <v>1071</v>
      </c>
      <c r="F20" s="2018"/>
      <c r="G20" s="2018">
        <f t="shared" si="0"/>
        <v>23.80952380952381</v>
      </c>
      <c r="H20" s="2015">
        <f t="shared" si="1"/>
        <v>0</v>
      </c>
      <c r="I20" s="2016"/>
      <c r="J20" s="2017">
        <f t="shared" si="2"/>
        <v>0</v>
      </c>
    </row>
    <row r="21" spans="2:10" ht="15.6" thickTop="1" thickBot="1">
      <c r="B21" s="16"/>
      <c r="C21" s="1559">
        <v>15</v>
      </c>
      <c r="D21" s="33">
        <v>0</v>
      </c>
      <c r="E21" s="2009" t="s">
        <v>1071</v>
      </c>
      <c r="F21" s="2018"/>
      <c r="G21" s="2018">
        <f t="shared" si="0"/>
        <v>23.80952380952381</v>
      </c>
      <c r="H21" s="2015">
        <f t="shared" si="1"/>
        <v>0</v>
      </c>
      <c r="I21" s="2016"/>
      <c r="J21" s="2017">
        <f t="shared" si="2"/>
        <v>0</v>
      </c>
    </row>
    <row r="22" spans="2:10" ht="15.6" thickTop="1" thickBot="1">
      <c r="B22" s="16"/>
      <c r="C22" s="1559">
        <v>16</v>
      </c>
      <c r="D22" s="33">
        <v>0</v>
      </c>
      <c r="E22" s="2009" t="s">
        <v>1071</v>
      </c>
      <c r="F22" s="2018"/>
      <c r="G22" s="2018">
        <f t="shared" si="0"/>
        <v>23.80952380952381</v>
      </c>
      <c r="H22" s="2015">
        <f t="shared" si="1"/>
        <v>0</v>
      </c>
      <c r="I22" s="2016"/>
      <c r="J22" s="2017">
        <f t="shared" si="2"/>
        <v>0</v>
      </c>
    </row>
    <row r="23" spans="2:10" ht="15.6" thickTop="1" thickBot="1">
      <c r="B23" s="16"/>
      <c r="C23" s="1559">
        <v>17</v>
      </c>
      <c r="D23" s="33">
        <v>0</v>
      </c>
      <c r="E23" s="2009" t="s">
        <v>1071</v>
      </c>
      <c r="F23" s="2018"/>
      <c r="G23" s="2018">
        <f t="shared" si="0"/>
        <v>23.80952380952381</v>
      </c>
      <c r="H23" s="2015">
        <f t="shared" si="1"/>
        <v>0</v>
      </c>
      <c r="I23" s="2016"/>
      <c r="J23" s="2017">
        <f t="shared" si="2"/>
        <v>0</v>
      </c>
    </row>
    <row r="24" spans="2:10" ht="15.6" thickTop="1" thickBot="1">
      <c r="B24" s="16"/>
      <c r="C24" s="1560">
        <v>18</v>
      </c>
      <c r="D24" s="33">
        <v>0</v>
      </c>
      <c r="E24" s="2009" t="s">
        <v>1071</v>
      </c>
      <c r="F24" s="2018"/>
      <c r="G24" s="2018">
        <f t="shared" si="0"/>
        <v>23.80952380952381</v>
      </c>
      <c r="H24" s="2015">
        <f t="shared" si="1"/>
        <v>0</v>
      </c>
      <c r="I24" s="2016"/>
      <c r="J24" s="2017">
        <f t="shared" si="2"/>
        <v>0</v>
      </c>
    </row>
    <row r="25" spans="2:10" ht="15.6" thickTop="1" thickBot="1">
      <c r="B25" s="16"/>
      <c r="C25" s="1560">
        <v>19</v>
      </c>
      <c r="D25" s="33">
        <v>0</v>
      </c>
      <c r="E25" s="2009" t="s">
        <v>1071</v>
      </c>
      <c r="F25" s="2018"/>
      <c r="G25" s="2018">
        <f t="shared" si="0"/>
        <v>23.80952380952381</v>
      </c>
      <c r="H25" s="2015">
        <f t="shared" si="1"/>
        <v>0</v>
      </c>
      <c r="I25" s="2016"/>
      <c r="J25" s="2017">
        <f t="shared" si="2"/>
        <v>0</v>
      </c>
    </row>
    <row r="26" spans="2:10" ht="15.6" thickTop="1" thickBot="1">
      <c r="B26" s="16"/>
      <c r="C26" s="1560">
        <v>20</v>
      </c>
      <c r="D26" s="33">
        <v>0</v>
      </c>
      <c r="E26" s="2009" t="s">
        <v>1071</v>
      </c>
      <c r="F26" s="2018"/>
      <c r="G26" s="2018">
        <f t="shared" si="0"/>
        <v>23.80952380952381</v>
      </c>
      <c r="H26" s="2015">
        <f t="shared" si="1"/>
        <v>0</v>
      </c>
      <c r="I26" s="2016"/>
      <c r="J26" s="2017">
        <f t="shared" si="2"/>
        <v>0</v>
      </c>
    </row>
    <row r="27" spans="2:10" ht="15.6" thickTop="1" thickBot="1">
      <c r="B27" s="16"/>
      <c r="C27" s="1560">
        <v>21</v>
      </c>
      <c r="D27" s="33">
        <v>0</v>
      </c>
      <c r="E27" s="2009" t="s">
        <v>1071</v>
      </c>
      <c r="F27" s="2018"/>
      <c r="G27" s="2018">
        <f t="shared" si="0"/>
        <v>23.80952380952381</v>
      </c>
      <c r="H27" s="2015">
        <f t="shared" si="1"/>
        <v>0</v>
      </c>
      <c r="I27" s="2016"/>
      <c r="J27" s="2017">
        <f t="shared" si="2"/>
        <v>0</v>
      </c>
    </row>
    <row r="28" spans="2:10" ht="15.6" thickTop="1" thickBot="1">
      <c r="B28" s="16"/>
      <c r="C28" s="1560">
        <v>22</v>
      </c>
      <c r="D28" s="33">
        <v>0</v>
      </c>
      <c r="E28" s="2009" t="s">
        <v>1071</v>
      </c>
      <c r="F28" s="2018"/>
      <c r="G28" s="2018">
        <f t="shared" si="0"/>
        <v>23.80952380952381</v>
      </c>
      <c r="H28" s="2015">
        <f t="shared" si="1"/>
        <v>0</v>
      </c>
      <c r="I28" s="2016"/>
      <c r="J28" s="2017">
        <f t="shared" si="2"/>
        <v>0</v>
      </c>
    </row>
    <row r="29" spans="2:10" ht="15.6" thickTop="1" thickBot="1">
      <c r="B29" s="16"/>
      <c r="C29" s="1560">
        <v>23</v>
      </c>
      <c r="D29" s="33">
        <v>0</v>
      </c>
      <c r="E29" s="2009" t="s">
        <v>1071</v>
      </c>
      <c r="F29" s="2018"/>
      <c r="G29" s="2018">
        <f t="shared" si="0"/>
        <v>23.80952380952381</v>
      </c>
      <c r="H29" s="2015">
        <f t="shared" si="1"/>
        <v>0</v>
      </c>
      <c r="I29" s="2016"/>
      <c r="J29" s="2017">
        <f t="shared" si="2"/>
        <v>0</v>
      </c>
    </row>
    <row r="30" spans="2:10" ht="15.6" thickTop="1" thickBot="1">
      <c r="B30" s="16"/>
      <c r="C30" s="1560">
        <v>24</v>
      </c>
      <c r="D30" s="33">
        <v>0</v>
      </c>
      <c r="E30" s="2009" t="s">
        <v>1071</v>
      </c>
      <c r="F30" s="2018"/>
      <c r="G30" s="2018">
        <f t="shared" si="0"/>
        <v>23.80952380952381</v>
      </c>
      <c r="H30" s="2015">
        <f t="shared" si="1"/>
        <v>0</v>
      </c>
      <c r="I30" s="2016"/>
      <c r="J30" s="2017">
        <f t="shared" si="2"/>
        <v>0</v>
      </c>
    </row>
    <row r="31" spans="2:10" ht="15.6" thickTop="1" thickBot="1">
      <c r="B31" s="16"/>
      <c r="C31" s="1560">
        <v>25</v>
      </c>
      <c r="D31" s="33">
        <v>0</v>
      </c>
      <c r="E31" s="2009" t="s">
        <v>1071</v>
      </c>
      <c r="F31" s="2018"/>
      <c r="G31" s="2018">
        <f t="shared" si="0"/>
        <v>23.80952380952381</v>
      </c>
      <c r="H31" s="2015">
        <f t="shared" si="1"/>
        <v>0</v>
      </c>
      <c r="I31" s="2016"/>
      <c r="J31" s="2017">
        <f t="shared" si="2"/>
        <v>0</v>
      </c>
    </row>
    <row r="32" spans="2:10" ht="15.6" thickTop="1" thickBot="1">
      <c r="B32" s="16"/>
      <c r="C32" s="1560">
        <v>26</v>
      </c>
      <c r="D32" s="33">
        <v>0</v>
      </c>
      <c r="E32" s="2009" t="s">
        <v>1071</v>
      </c>
      <c r="F32" s="2018"/>
      <c r="G32" s="2018">
        <f t="shared" si="0"/>
        <v>23.80952380952381</v>
      </c>
      <c r="H32" s="2015">
        <f t="shared" si="1"/>
        <v>0</v>
      </c>
      <c r="I32" s="2016"/>
      <c r="J32" s="2017">
        <f t="shared" si="2"/>
        <v>0</v>
      </c>
    </row>
    <row r="33" spans="2:10" ht="15.6" thickTop="1" thickBot="1">
      <c r="B33" s="16"/>
      <c r="C33" s="1560">
        <v>27</v>
      </c>
      <c r="D33" s="33">
        <v>0</v>
      </c>
      <c r="E33" s="2009" t="s">
        <v>1071</v>
      </c>
      <c r="F33" s="2018"/>
      <c r="G33" s="2018">
        <f t="shared" si="0"/>
        <v>23.80952380952381</v>
      </c>
      <c r="H33" s="2015">
        <f t="shared" si="1"/>
        <v>0</v>
      </c>
      <c r="I33" s="2016"/>
      <c r="J33" s="2017">
        <f t="shared" si="2"/>
        <v>0</v>
      </c>
    </row>
    <row r="34" spans="2:10" ht="15" thickTop="1">
      <c r="B34" s="16"/>
      <c r="C34" s="1560">
        <v>28</v>
      </c>
      <c r="D34" s="33">
        <v>0</v>
      </c>
      <c r="E34" s="2009" t="s">
        <v>1071</v>
      </c>
      <c r="F34" s="2018"/>
      <c r="G34" s="2018">
        <f t="shared" si="0"/>
        <v>23.80952380952381</v>
      </c>
      <c r="H34" s="2015">
        <f t="shared" si="1"/>
        <v>0</v>
      </c>
      <c r="I34" s="2016"/>
      <c r="J34" s="2017">
        <f t="shared" si="2"/>
        <v>0</v>
      </c>
    </row>
    <row r="35" spans="2:10" ht="15.6" customHeight="1">
      <c r="B35" s="16"/>
      <c r="C35" s="1560">
        <v>29</v>
      </c>
      <c r="D35" s="33">
        <v>0</v>
      </c>
      <c r="E35" s="2009" t="s">
        <v>1071</v>
      </c>
      <c r="F35" s="2023"/>
      <c r="G35" s="2018">
        <f t="shared" si="0"/>
        <v>23.80952380952381</v>
      </c>
      <c r="H35" s="2019">
        <f t="shared" ref="H35:H37" si="3">D35/2000/1000</f>
        <v>0</v>
      </c>
      <c r="I35" s="2016"/>
      <c r="J35" s="2017">
        <f t="shared" si="2"/>
        <v>0</v>
      </c>
    </row>
    <row r="36" spans="2:10" ht="15.6" customHeight="1" thickBot="1">
      <c r="B36" s="16"/>
      <c r="C36" s="1561">
        <v>30</v>
      </c>
      <c r="D36" s="33">
        <v>0</v>
      </c>
      <c r="E36" s="2009" t="s">
        <v>1071</v>
      </c>
      <c r="F36" s="2024"/>
      <c r="G36" s="2018">
        <f t="shared" si="0"/>
        <v>23.80952380952381</v>
      </c>
      <c r="H36" s="2019">
        <f t="shared" si="3"/>
        <v>0</v>
      </c>
      <c r="I36" s="2016"/>
      <c r="J36" s="2017">
        <f t="shared" si="2"/>
        <v>0</v>
      </c>
    </row>
    <row r="37" spans="2:10" ht="15.6" hidden="1" customHeight="1" thickBot="1">
      <c r="B37" s="16"/>
      <c r="C37" s="1562">
        <v>31</v>
      </c>
      <c r="D37" s="33">
        <v>0</v>
      </c>
      <c r="E37" s="2009" t="s">
        <v>1071</v>
      </c>
      <c r="F37" s="2025"/>
      <c r="G37" s="2026">
        <f t="shared" si="0"/>
        <v>23.80952380952381</v>
      </c>
      <c r="H37" s="2019">
        <f t="shared" si="3"/>
        <v>0</v>
      </c>
      <c r="I37" s="2016"/>
      <c r="J37" s="2017">
        <f t="shared" si="2"/>
        <v>0</v>
      </c>
    </row>
    <row r="38" spans="2:10" ht="16.8" thickTop="1" thickBot="1">
      <c r="B38" s="16"/>
      <c r="C38" s="1553" t="s">
        <v>158</v>
      </c>
      <c r="D38" s="2027">
        <f>SUM(D7:D37)</f>
        <v>0</v>
      </c>
      <c r="E38" s="1569"/>
      <c r="F38" s="2028">
        <f>SUM(F7:F36)</f>
        <v>0</v>
      </c>
      <c r="G38" s="2029">
        <v>0</v>
      </c>
      <c r="H38" s="2028"/>
      <c r="I38" s="2030"/>
      <c r="J38" s="2031">
        <f>AVERAGE(J7:J37)</f>
        <v>0</v>
      </c>
    </row>
    <row r="39" spans="2:10" ht="15" thickTop="1">
      <c r="C39" s="1564"/>
      <c r="D39" s="2032"/>
      <c r="E39" s="1565"/>
      <c r="F39" s="1"/>
      <c r="G39" s="1"/>
      <c r="H39" s="1"/>
      <c r="I39" s="1"/>
      <c r="J39" s="1"/>
    </row>
    <row r="40" spans="2:10">
      <c r="B40" s="16"/>
      <c r="C40" s="16"/>
      <c r="D40" s="1566" t="s">
        <v>827</v>
      </c>
      <c r="E40" s="16"/>
      <c r="F40" s="16"/>
      <c r="G40" s="16"/>
      <c r="H40" s="16"/>
      <c r="I40" s="16"/>
      <c r="J40" s="16"/>
    </row>
    <row r="41" spans="2:10">
      <c r="B41" s="16"/>
      <c r="C41" s="16"/>
      <c r="D41" s="16" t="s">
        <v>828</v>
      </c>
      <c r="E41" s="16"/>
      <c r="F41" s="2017">
        <v>0</v>
      </c>
      <c r="G41" s="16" t="s">
        <v>829</v>
      </c>
      <c r="H41" s="16"/>
      <c r="I41" s="16"/>
      <c r="J41" s="16"/>
    </row>
    <row r="42" spans="2:10">
      <c r="B42" s="16"/>
      <c r="C42" s="16"/>
      <c r="D42" s="16" t="s">
        <v>830</v>
      </c>
      <c r="E42" s="16"/>
      <c r="F42" s="2017">
        <v>0</v>
      </c>
      <c r="G42" s="16" t="s">
        <v>829</v>
      </c>
      <c r="H42" s="16"/>
      <c r="I42" s="16"/>
      <c r="J42" s="16"/>
    </row>
    <row r="43" spans="2:10">
      <c r="B43" s="16"/>
      <c r="C43" s="16"/>
      <c r="D43" s="16" t="s">
        <v>1075</v>
      </c>
      <c r="E43" s="16"/>
      <c r="F43" s="2017">
        <v>0</v>
      </c>
      <c r="G43" s="16" t="s">
        <v>829</v>
      </c>
      <c r="H43" s="16"/>
      <c r="I43" s="16"/>
      <c r="J43" s="16"/>
    </row>
    <row r="44" spans="2:10">
      <c r="B44" s="16"/>
      <c r="C44" s="16"/>
      <c r="D44" s="16" t="s">
        <v>840</v>
      </c>
      <c r="E44" s="16"/>
      <c r="F44" s="2033">
        <v>0</v>
      </c>
      <c r="G44" s="16" t="s">
        <v>829</v>
      </c>
      <c r="H44" s="16"/>
      <c r="I44" s="16"/>
      <c r="J44" s="16"/>
    </row>
    <row r="45" spans="2:10">
      <c r="B45" s="16"/>
      <c r="C45" s="16"/>
      <c r="D45" s="16" t="s">
        <v>841</v>
      </c>
      <c r="E45" s="16"/>
      <c r="F45" s="2033">
        <v>0</v>
      </c>
      <c r="G45" s="16" t="s">
        <v>829</v>
      </c>
      <c r="H45" s="16"/>
      <c r="I45" s="16"/>
      <c r="J45" s="16"/>
    </row>
    <row r="46" spans="2:10">
      <c r="B46" s="16"/>
      <c r="C46" s="16"/>
      <c r="D46" s="16" t="s">
        <v>833</v>
      </c>
      <c r="E46" s="16"/>
      <c r="F46" s="2033">
        <v>0</v>
      </c>
      <c r="G46" s="16" t="s">
        <v>829</v>
      </c>
      <c r="H46" s="16"/>
      <c r="I46" s="16"/>
      <c r="J46" s="16"/>
    </row>
    <row r="47" spans="2:10">
      <c r="B47" s="16"/>
      <c r="C47" s="16"/>
      <c r="D47" s="16" t="s">
        <v>834</v>
      </c>
      <c r="E47" s="16"/>
      <c r="F47" s="2033">
        <v>0</v>
      </c>
      <c r="G47" s="16" t="s">
        <v>829</v>
      </c>
      <c r="H47" s="16"/>
      <c r="I47" s="16"/>
      <c r="J47" s="16"/>
    </row>
    <row r="48" spans="2:10">
      <c r="B48" s="16"/>
      <c r="C48" s="16"/>
      <c r="D48" s="16" t="s">
        <v>835</v>
      </c>
      <c r="E48" s="16"/>
      <c r="F48" s="2033">
        <v>0</v>
      </c>
      <c r="G48" s="16" t="s">
        <v>829</v>
      </c>
      <c r="H48" s="16"/>
      <c r="I48" s="16"/>
      <c r="J48" s="16"/>
    </row>
    <row r="49" spans="2:11">
      <c r="B49" s="16"/>
      <c r="C49" s="16"/>
      <c r="D49" s="16" t="s">
        <v>836</v>
      </c>
      <c r="E49" s="16"/>
      <c r="F49" s="2033">
        <v>0</v>
      </c>
      <c r="G49" s="16" t="s">
        <v>829</v>
      </c>
      <c r="H49" s="16"/>
      <c r="I49" s="16"/>
      <c r="J49" s="16"/>
    </row>
    <row r="50" spans="2:11">
      <c r="B50" s="16"/>
      <c r="C50" s="16"/>
      <c r="D50" s="1551" t="s">
        <v>842</v>
      </c>
      <c r="E50" s="16"/>
      <c r="F50" s="2033">
        <v>0</v>
      </c>
      <c r="G50" s="16" t="s">
        <v>829</v>
      </c>
      <c r="H50" s="16"/>
      <c r="I50" s="16"/>
      <c r="J50" s="16"/>
      <c r="K50" s="655">
        <f>G38-F55</f>
        <v>0</v>
      </c>
    </row>
    <row r="51" spans="2:11">
      <c r="B51" s="16"/>
      <c r="C51" s="16"/>
      <c r="D51" s="1551" t="s">
        <v>843</v>
      </c>
      <c r="E51" s="16"/>
      <c r="F51" s="2033">
        <v>0</v>
      </c>
      <c r="G51" s="16" t="s">
        <v>829</v>
      </c>
      <c r="H51" s="16"/>
      <c r="I51" s="16"/>
      <c r="J51" s="16"/>
    </row>
    <row r="52" spans="2:11" ht="14.4" hidden="1" customHeight="1">
      <c r="B52" s="16"/>
      <c r="C52" s="16"/>
      <c r="D52" s="1551" t="s">
        <v>844</v>
      </c>
      <c r="E52" s="16"/>
      <c r="F52" s="2033">
        <v>0</v>
      </c>
      <c r="G52" s="16" t="s">
        <v>829</v>
      </c>
      <c r="H52" s="16"/>
      <c r="I52" s="16"/>
      <c r="J52" s="16"/>
    </row>
    <row r="53" spans="2:11">
      <c r="B53" s="16"/>
      <c r="C53" s="16"/>
      <c r="D53" s="1551" t="s">
        <v>1076</v>
      </c>
      <c r="E53" s="16"/>
      <c r="F53" s="2033">
        <v>0</v>
      </c>
      <c r="G53" s="16" t="s">
        <v>829</v>
      </c>
      <c r="H53" s="16"/>
      <c r="I53" s="16"/>
      <c r="J53" s="16"/>
    </row>
    <row r="54" spans="2:11">
      <c r="B54" s="16"/>
      <c r="C54" s="16"/>
      <c r="D54" s="1551" t="s">
        <v>845</v>
      </c>
      <c r="E54" s="16"/>
      <c r="F54" s="2033">
        <v>0</v>
      </c>
      <c r="G54" s="16" t="s">
        <v>829</v>
      </c>
      <c r="H54" s="16"/>
      <c r="I54" s="16"/>
      <c r="J54" s="16"/>
      <c r="K54" s="1919"/>
    </row>
    <row r="55" spans="2:11">
      <c r="B55" s="1"/>
      <c r="C55" s="1"/>
      <c r="D55" s="2095" t="s">
        <v>1</v>
      </c>
      <c r="E55" s="2095"/>
      <c r="F55" s="2033">
        <v>0</v>
      </c>
      <c r="G55" s="2" t="s">
        <v>829</v>
      </c>
      <c r="H55" s="2"/>
      <c r="I55" s="2"/>
      <c r="J55" s="2"/>
    </row>
    <row r="56" spans="2:11">
      <c r="B56" s="1"/>
      <c r="C56" s="1"/>
      <c r="D56" s="2081" t="s">
        <v>1073</v>
      </c>
      <c r="E56" s="2081"/>
      <c r="F56" s="1"/>
      <c r="G56" s="1"/>
      <c r="H56" s="1"/>
      <c r="I56" s="1"/>
      <c r="J56" s="1"/>
    </row>
    <row r="64" spans="2:11">
      <c r="B64" s="2082" t="s">
        <v>765</v>
      </c>
      <c r="C64" s="2082"/>
      <c r="D64" s="2082"/>
      <c r="E64" s="1194" t="s">
        <v>766</v>
      </c>
      <c r="F64" s="1307"/>
      <c r="G64" s="1194" t="s">
        <v>767</v>
      </c>
      <c r="H64" s="1307"/>
    </row>
    <row r="65" spans="2:8">
      <c r="B65" s="1191"/>
      <c r="C65" s="1309"/>
      <c r="D65" s="1309"/>
      <c r="E65" s="1309"/>
      <c r="F65" s="1309"/>
      <c r="G65" s="1191"/>
      <c r="H65" s="1309"/>
    </row>
    <row r="66" spans="2:8">
      <c r="B66" s="1191"/>
      <c r="C66" s="1309"/>
      <c r="D66" s="1309"/>
      <c r="E66" s="1309"/>
      <c r="F66" s="1309"/>
      <c r="G66" s="1191"/>
      <c r="H66" s="1309"/>
    </row>
    <row r="67" spans="2:8">
      <c r="B67" s="1191"/>
      <c r="C67" s="1309"/>
      <c r="D67" s="1309"/>
      <c r="E67" s="1309"/>
      <c r="F67" s="1309"/>
      <c r="G67" s="1191"/>
      <c r="H67" s="1309"/>
    </row>
    <row r="68" spans="2:8">
      <c r="B68" s="2083" t="s">
        <v>1074</v>
      </c>
      <c r="C68" s="2083"/>
      <c r="D68" s="2083"/>
      <c r="E68" s="1311" t="s">
        <v>768</v>
      </c>
      <c r="F68" s="1312"/>
      <c r="G68" s="1311" t="s">
        <v>769</v>
      </c>
      <c r="H68" s="1312"/>
    </row>
    <row r="69" spans="2:8">
      <c r="B69" s="2084" t="s">
        <v>771</v>
      </c>
      <c r="C69" s="2084"/>
      <c r="D69" s="2084"/>
      <c r="E69" s="1309" t="s">
        <v>772</v>
      </c>
      <c r="F69" s="1314"/>
      <c r="G69" s="1309" t="s">
        <v>773</v>
      </c>
      <c r="H69" s="1314"/>
    </row>
  </sheetData>
  <mergeCells count="10">
    <mergeCell ref="D56:E56"/>
    <mergeCell ref="B64:D64"/>
    <mergeCell ref="B68:D68"/>
    <mergeCell ref="B69:D69"/>
    <mergeCell ref="C2:G2"/>
    <mergeCell ref="C5:C6"/>
    <mergeCell ref="D5:D6"/>
    <mergeCell ref="E5:E6"/>
    <mergeCell ref="F5:H5"/>
    <mergeCell ref="D55:E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r:id="rId1"/>
  <colBreaks count="1" manualBreakCount="1">
    <brk id="8" max="6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4.4"/>
  <cols>
    <col min="1" max="1" width="4.5546875" style="5" customWidth="1"/>
    <col min="2" max="2" width="34.6640625" style="1" customWidth="1"/>
    <col min="3" max="3" width="11.44140625" style="1" customWidth="1"/>
    <col min="4" max="4" width="8.6640625" style="1" customWidth="1"/>
    <col min="5" max="5" width="14" style="1" customWidth="1"/>
    <col min="6" max="6" width="13.6640625" customWidth="1"/>
    <col min="7" max="7" width="12.6640625" customWidth="1"/>
    <col min="8" max="8" width="16.6640625" customWidth="1"/>
    <col min="9" max="9" width="19.5546875" customWidth="1"/>
  </cols>
  <sheetData>
    <row r="1" spans="1:9" ht="15" customHeight="1" thickTop="1">
      <c r="A1" s="2096"/>
      <c r="B1" s="1858"/>
      <c r="C1" s="2099" t="s">
        <v>1024</v>
      </c>
      <c r="D1" s="2100"/>
      <c r="E1" s="2100"/>
      <c r="F1" s="2100"/>
      <c r="G1" s="2100"/>
      <c r="H1" s="2100"/>
      <c r="I1" s="2101"/>
    </row>
    <row r="2" spans="1:9" ht="14.7" customHeight="1">
      <c r="A2" s="2097"/>
      <c r="B2" s="1859"/>
      <c r="C2" s="2102" t="s">
        <v>1025</v>
      </c>
      <c r="D2" s="2103"/>
      <c r="E2" s="2103"/>
      <c r="F2" s="2103"/>
      <c r="G2" s="2103"/>
      <c r="H2" s="2103"/>
      <c r="I2" s="2104"/>
    </row>
    <row r="3" spans="1:9" ht="14.7" customHeight="1">
      <c r="A3" s="2097"/>
      <c r="B3" s="1860"/>
      <c r="C3" s="2105" t="s">
        <v>1026</v>
      </c>
      <c r="D3" s="2106"/>
      <c r="E3" s="2106"/>
      <c r="F3" s="2106"/>
      <c r="G3" s="2106"/>
      <c r="H3" s="2106"/>
      <c r="I3" s="2107"/>
    </row>
    <row r="4" spans="1:9" ht="14.7" customHeight="1">
      <c r="A4" s="2097"/>
      <c r="B4" s="1860"/>
      <c r="C4" s="2108" t="s">
        <v>1027</v>
      </c>
      <c r="D4" s="2109"/>
      <c r="E4" s="2109"/>
      <c r="F4" s="2109"/>
      <c r="G4" s="2109"/>
      <c r="H4" s="1848" t="s">
        <v>1031</v>
      </c>
      <c r="I4" s="1862">
        <v>1</v>
      </c>
    </row>
    <row r="5" spans="1:9" ht="14.7" customHeight="1">
      <c r="A5" s="2097"/>
      <c r="B5" s="1860"/>
      <c r="C5" s="2110"/>
      <c r="D5" s="2111"/>
      <c r="E5" s="2111"/>
      <c r="F5" s="2111"/>
      <c r="G5" s="2111"/>
      <c r="H5" s="1863" t="s">
        <v>1028</v>
      </c>
      <c r="I5" s="1864" t="s">
        <v>1030</v>
      </c>
    </row>
    <row r="6" spans="1:9" ht="15" customHeight="1" thickBot="1">
      <c r="A6" s="2098"/>
      <c r="B6" s="1861"/>
      <c r="C6" s="2112"/>
      <c r="D6" s="2113"/>
      <c r="E6" s="2113"/>
      <c r="F6" s="2113"/>
      <c r="G6" s="2113"/>
      <c r="H6" s="1849" t="s">
        <v>1029</v>
      </c>
      <c r="I6" s="1865" t="s">
        <v>1030</v>
      </c>
    </row>
    <row r="7" spans="1:9" ht="21" customHeight="1" thickTop="1" thickBot="1">
      <c r="A7" s="1839"/>
      <c r="B7" s="1839"/>
      <c r="C7" s="1839"/>
      <c r="D7" s="1839"/>
      <c r="E7" s="1840"/>
      <c r="F7" s="1840"/>
      <c r="G7" s="1840"/>
      <c r="H7" s="1840"/>
    </row>
    <row r="8" spans="1:9" ht="14.7" customHeight="1">
      <c r="A8" s="2046" t="s">
        <v>99</v>
      </c>
      <c r="B8" s="2050" t="s">
        <v>100</v>
      </c>
      <c r="C8" s="2048" t="s">
        <v>1021</v>
      </c>
      <c r="D8" s="2117" t="s">
        <v>1008</v>
      </c>
      <c r="E8" s="2119" t="s">
        <v>1023</v>
      </c>
      <c r="F8" s="2120"/>
      <c r="G8" s="2120"/>
      <c r="H8" s="2120"/>
      <c r="I8" s="2121"/>
    </row>
    <row r="9" spans="1:9" ht="15" thickBot="1">
      <c r="A9" s="2115"/>
      <c r="B9" s="2116"/>
      <c r="C9" s="2114"/>
      <c r="D9" s="2118"/>
      <c r="E9" s="2122"/>
      <c r="F9" s="2123"/>
      <c r="G9" s="2123"/>
      <c r="H9" s="2123"/>
      <c r="I9" s="2124"/>
    </row>
    <row r="10" spans="1:9" ht="15" thickBot="1">
      <c r="A10" s="1806">
        <v>1</v>
      </c>
      <c r="B10" s="1665" t="s">
        <v>85</v>
      </c>
      <c r="C10" s="1764" t="s">
        <v>966</v>
      </c>
      <c r="D10" s="1764" t="s">
        <v>1019</v>
      </c>
      <c r="E10" s="1850" t="s">
        <v>918</v>
      </c>
      <c r="F10" s="1850" t="s">
        <v>919</v>
      </c>
      <c r="G10" s="1765" t="s">
        <v>188</v>
      </c>
      <c r="H10" s="1766" t="s">
        <v>972</v>
      </c>
      <c r="I10" s="1856" t="s">
        <v>1022</v>
      </c>
    </row>
    <row r="11" spans="1:9" ht="15.6">
      <c r="A11" s="8"/>
      <c r="B11" s="1776" t="s">
        <v>556</v>
      </c>
      <c r="C11" s="252"/>
      <c r="D11" s="252"/>
      <c r="E11" s="33"/>
      <c r="F11" s="1807"/>
      <c r="G11" s="1807"/>
      <c r="H11" s="1841"/>
      <c r="I11" s="1851"/>
    </row>
    <row r="12" spans="1:9" hidden="1">
      <c r="A12" s="8"/>
      <c r="B12" s="11" t="s">
        <v>84</v>
      </c>
      <c r="C12" s="252"/>
      <c r="D12" s="252"/>
      <c r="E12" s="33"/>
      <c r="I12" s="1852"/>
    </row>
    <row r="13" spans="1:9" hidden="1">
      <c r="A13" s="8"/>
      <c r="B13" s="72" t="s">
        <v>125</v>
      </c>
      <c r="C13" s="252"/>
      <c r="D13" s="252"/>
      <c r="E13" s="271"/>
      <c r="I13" s="1852"/>
    </row>
    <row r="14" spans="1:9" hidden="1">
      <c r="A14" s="8"/>
      <c r="B14" s="11" t="s">
        <v>103</v>
      </c>
      <c r="C14" s="252"/>
      <c r="D14" s="252"/>
      <c r="E14" s="34"/>
      <c r="I14" s="1852"/>
    </row>
    <row r="15" spans="1:9">
      <c r="A15" s="8"/>
      <c r="B15" s="1662" t="s">
        <v>965</v>
      </c>
      <c r="C15" s="1781">
        <v>2500</v>
      </c>
      <c r="D15" s="1782" t="s">
        <v>379</v>
      </c>
      <c r="E15" s="1524">
        <v>8982.7999999999993</v>
      </c>
      <c r="F15" s="1524">
        <v>11717.8</v>
      </c>
      <c r="G15" s="246">
        <f>F15-E15</f>
        <v>2735</v>
      </c>
      <c r="H15" s="1842">
        <f>G15/25000*10</f>
        <v>1.0939999999999999</v>
      </c>
      <c r="I15" s="1855" t="s">
        <v>819</v>
      </c>
    </row>
    <row r="16" spans="1:9" hidden="1">
      <c r="A16" s="8"/>
      <c r="B16" s="947" t="s">
        <v>377</v>
      </c>
      <c r="C16" s="948"/>
      <c r="D16" s="1813"/>
      <c r="E16" s="949"/>
      <c r="I16" s="1852"/>
    </row>
    <row r="17" spans="1:9" hidden="1">
      <c r="A17" s="8"/>
      <c r="B17" s="21" t="s">
        <v>97</v>
      </c>
      <c r="C17" s="235">
        <v>29045000</v>
      </c>
      <c r="D17" s="1810"/>
      <c r="E17" s="33"/>
      <c r="I17" s="1852"/>
    </row>
    <row r="18" spans="1:9" hidden="1">
      <c r="A18" s="8"/>
      <c r="B18" s="21" t="s">
        <v>98</v>
      </c>
      <c r="C18" s="235">
        <v>7314000</v>
      </c>
      <c r="D18" s="1810"/>
      <c r="E18" s="33">
        <f>E49+E58+E63</f>
        <v>0</v>
      </c>
      <c r="I18" s="1852"/>
    </row>
    <row r="19" spans="1:9">
      <c r="A19" s="8"/>
      <c r="B19" s="1767" t="s">
        <v>970</v>
      </c>
      <c r="C19" s="1773"/>
      <c r="D19" s="1814"/>
      <c r="E19" s="33"/>
      <c r="F19" s="753"/>
      <c r="G19" s="753"/>
      <c r="I19" s="1852"/>
    </row>
    <row r="20" spans="1:9">
      <c r="A20" s="8"/>
      <c r="B20" s="14" t="s">
        <v>82</v>
      </c>
      <c r="C20" s="1836">
        <v>0.1</v>
      </c>
      <c r="D20" s="265" t="s">
        <v>1009</v>
      </c>
      <c r="E20" s="1670"/>
      <c r="F20" s="1655"/>
      <c r="G20" s="1654"/>
      <c r="H20" s="1654">
        <v>6.3E-2</v>
      </c>
      <c r="I20" s="1852"/>
    </row>
    <row r="21" spans="1:9">
      <c r="A21" s="8"/>
      <c r="B21" s="14" t="s">
        <v>81</v>
      </c>
      <c r="C21" s="1836">
        <v>0.1</v>
      </c>
      <c r="D21" s="265" t="s">
        <v>1009</v>
      </c>
      <c r="E21" s="1670"/>
      <c r="F21" s="1655"/>
      <c r="G21" s="1654"/>
      <c r="H21" s="1654">
        <v>0.05</v>
      </c>
      <c r="I21" s="1852"/>
    </row>
    <row r="22" spans="1:9">
      <c r="A22" s="8"/>
      <c r="B22" s="14" t="s">
        <v>967</v>
      </c>
      <c r="C22" s="254" t="s">
        <v>968</v>
      </c>
      <c r="D22" s="1812"/>
      <c r="E22" s="1670"/>
      <c r="F22" s="1655"/>
      <c r="G22" s="1654"/>
      <c r="H22" s="1654">
        <v>51.8</v>
      </c>
      <c r="I22" s="1852"/>
    </row>
    <row r="23" spans="1:9">
      <c r="A23" s="8"/>
      <c r="B23" s="14" t="s">
        <v>923</v>
      </c>
      <c r="C23" s="1768"/>
      <c r="D23" s="1812"/>
      <c r="E23" s="1670"/>
      <c r="F23" s="1655"/>
      <c r="G23" s="1654"/>
      <c r="H23" s="1654" t="s">
        <v>979</v>
      </c>
      <c r="I23" s="1852"/>
    </row>
    <row r="24" spans="1:9">
      <c r="A24" s="8"/>
      <c r="B24" s="14" t="s">
        <v>969</v>
      </c>
      <c r="C24" s="1705">
        <v>68</v>
      </c>
      <c r="D24" s="265" t="s">
        <v>1011</v>
      </c>
      <c r="E24" s="1670"/>
      <c r="F24" s="1655"/>
      <c r="G24" s="1654"/>
      <c r="H24" s="1654">
        <v>65</v>
      </c>
      <c r="I24" s="1852"/>
    </row>
    <row r="25" spans="1:9">
      <c r="A25" s="8"/>
      <c r="B25" s="236" t="s">
        <v>914</v>
      </c>
      <c r="C25" s="1659"/>
      <c r="D25" s="1815"/>
      <c r="E25" s="1671"/>
      <c r="F25" s="1660"/>
      <c r="G25" s="1661"/>
      <c r="H25" s="1661" t="s">
        <v>978</v>
      </c>
      <c r="I25" s="1852"/>
    </row>
    <row r="26" spans="1:9" ht="15.6">
      <c r="A26" s="8"/>
      <c r="B26" s="1775" t="s">
        <v>78</v>
      </c>
      <c r="C26" s="1652"/>
      <c r="D26" s="1801"/>
      <c r="E26" s="273"/>
      <c r="F26" s="1672"/>
      <c r="G26" s="1653"/>
      <c r="H26" s="1843"/>
      <c r="I26" s="1852"/>
    </row>
    <row r="27" spans="1:9">
      <c r="A27" s="8"/>
      <c r="B27" s="1774" t="s">
        <v>74</v>
      </c>
      <c r="C27" s="1663">
        <f>C15*84%</f>
        <v>2100</v>
      </c>
      <c r="D27" s="1816" t="s">
        <v>379</v>
      </c>
      <c r="E27" s="1524">
        <v>6537.1</v>
      </c>
      <c r="F27" s="1524">
        <v>8213</v>
      </c>
      <c r="G27" s="1524">
        <f>F27-E27</f>
        <v>1675.8999999999996</v>
      </c>
      <c r="H27" s="1844">
        <f>G27/(G27+G32)</f>
        <v>0.82838218575453493</v>
      </c>
      <c r="I27" s="1855" t="s">
        <v>819</v>
      </c>
    </row>
    <row r="28" spans="1:9">
      <c r="A28" s="8"/>
      <c r="B28" s="1767" t="s">
        <v>970</v>
      </c>
      <c r="C28" s="1772"/>
      <c r="D28" s="1817"/>
      <c r="E28" s="1670"/>
      <c r="F28" s="1655"/>
      <c r="G28" s="1769"/>
      <c r="H28" s="752"/>
      <c r="I28" s="1852"/>
    </row>
    <row r="29" spans="1:9">
      <c r="A29" s="8"/>
      <c r="B29" s="14" t="s">
        <v>967</v>
      </c>
      <c r="C29" s="1705">
        <v>56</v>
      </c>
      <c r="D29" s="265" t="s">
        <v>982</v>
      </c>
      <c r="E29" s="1670"/>
      <c r="F29" s="1655"/>
      <c r="G29" s="1771"/>
      <c r="H29" s="752"/>
      <c r="I29" s="1852"/>
    </row>
    <row r="30" spans="1:9">
      <c r="A30" s="8"/>
      <c r="B30" s="14" t="s">
        <v>923</v>
      </c>
      <c r="C30" s="253"/>
      <c r="D30" s="265"/>
      <c r="E30" s="1670"/>
      <c r="F30" s="1655"/>
      <c r="G30" s="1770"/>
      <c r="H30" s="752"/>
      <c r="I30" s="1852"/>
    </row>
    <row r="31" spans="1:9">
      <c r="A31" s="8"/>
      <c r="B31" s="14" t="s">
        <v>971</v>
      </c>
      <c r="C31" s="254">
        <v>10</v>
      </c>
      <c r="D31" s="265" t="s">
        <v>1012</v>
      </c>
      <c r="E31" s="1670"/>
      <c r="F31" s="1655"/>
      <c r="G31" s="1697"/>
      <c r="I31" s="1852"/>
    </row>
    <row r="32" spans="1:9">
      <c r="A32" s="15"/>
      <c r="B32" s="1777" t="s">
        <v>73</v>
      </c>
      <c r="C32" s="1782">
        <f>C15*16%</f>
        <v>400</v>
      </c>
      <c r="D32" s="1782"/>
      <c r="E32" s="1524">
        <v>2268.1</v>
      </c>
      <c r="F32" s="1524">
        <v>2615.3000000000002</v>
      </c>
      <c r="G32" s="1524">
        <f>F32-E32</f>
        <v>347.20000000000027</v>
      </c>
      <c r="H32" s="1845">
        <f>G32/(G32+G27)</f>
        <v>0.17161781424546502</v>
      </c>
      <c r="I32" s="1855" t="s">
        <v>819</v>
      </c>
    </row>
    <row r="33" spans="1:9" hidden="1">
      <c r="A33" s="15"/>
      <c r="B33" s="718" t="s">
        <v>351</v>
      </c>
      <c r="C33" s="743"/>
      <c r="D33" s="1810"/>
      <c r="E33" s="33"/>
      <c r="I33" s="1852"/>
    </row>
    <row r="34" spans="1:9" hidden="1">
      <c r="A34" s="8"/>
      <c r="B34" s="11" t="s">
        <v>84</v>
      </c>
      <c r="C34" s="252"/>
      <c r="D34" s="252"/>
      <c r="E34" s="33"/>
      <c r="I34" s="1852"/>
    </row>
    <row r="35" spans="1:9" hidden="1">
      <c r="A35" s="8"/>
      <c r="B35" s="11" t="s">
        <v>355</v>
      </c>
      <c r="C35" s="252"/>
      <c r="D35" s="252"/>
      <c r="E35" s="33">
        <v>0</v>
      </c>
      <c r="I35" s="1852"/>
    </row>
    <row r="36" spans="1:9" hidden="1">
      <c r="A36" s="15"/>
      <c r="B36" s="65" t="s">
        <v>354</v>
      </c>
      <c r="C36" s="235"/>
      <c r="D36" s="1810"/>
      <c r="E36" s="271">
        <v>392100</v>
      </c>
      <c r="I36" s="1852"/>
    </row>
    <row r="37" spans="1:9" hidden="1">
      <c r="A37" s="15"/>
      <c r="B37" s="947" t="s">
        <v>376</v>
      </c>
      <c r="C37" s="948"/>
      <c r="D37" s="1813"/>
      <c r="E37" s="949"/>
      <c r="I37" s="1852"/>
    </row>
    <row r="38" spans="1:9" hidden="1">
      <c r="A38" s="15"/>
      <c r="B38" s="14" t="s">
        <v>353</v>
      </c>
      <c r="C38" s="742"/>
      <c r="D38" s="1818"/>
      <c r="E38" s="33">
        <f>SUM(E41,E45,E50,E54,E64)</f>
        <v>0</v>
      </c>
      <c r="I38" s="1852"/>
    </row>
    <row r="39" spans="1:9" hidden="1">
      <c r="A39" s="15"/>
      <c r="B39" s="14" t="s">
        <v>352</v>
      </c>
      <c r="C39" s="744"/>
      <c r="D39" s="1818"/>
      <c r="E39" s="33">
        <f>E36-E38</f>
        <v>392100</v>
      </c>
      <c r="I39" s="1852"/>
    </row>
    <row r="40" spans="1:9" hidden="1">
      <c r="A40" s="15"/>
      <c r="B40" s="231" t="s">
        <v>76</v>
      </c>
      <c r="C40" s="232"/>
      <c r="D40" s="1819"/>
      <c r="E40" s="95"/>
      <c r="I40" s="1852"/>
    </row>
    <row r="41" spans="1:9" hidden="1">
      <c r="A41" s="15"/>
      <c r="B41" s="14" t="s">
        <v>75</v>
      </c>
      <c r="C41" s="256"/>
      <c r="D41" s="1820"/>
      <c r="E41" s="33">
        <f>E42+E43</f>
        <v>0</v>
      </c>
      <c r="I41" s="1852"/>
    </row>
    <row r="42" spans="1:9" hidden="1">
      <c r="A42" s="15"/>
      <c r="B42" s="65" t="s">
        <v>74</v>
      </c>
      <c r="C42" s="256"/>
      <c r="D42" s="1820"/>
      <c r="E42" s="271">
        <v>0</v>
      </c>
      <c r="I42" s="1852"/>
    </row>
    <row r="43" spans="1:9" hidden="1">
      <c r="A43" s="15"/>
      <c r="B43" s="65" t="s">
        <v>73</v>
      </c>
      <c r="C43" s="256"/>
      <c r="D43" s="1820"/>
      <c r="E43" s="272">
        <v>0</v>
      </c>
      <c r="I43" s="1852"/>
    </row>
    <row r="44" spans="1:9" hidden="1">
      <c r="A44" s="69"/>
      <c r="B44" s="231" t="s">
        <v>104</v>
      </c>
      <c r="C44" s="306"/>
      <c r="D44" s="1821"/>
      <c r="E44" s="273"/>
      <c r="I44" s="1852"/>
    </row>
    <row r="45" spans="1:9" hidden="1">
      <c r="A45" s="15"/>
      <c r="B45" s="14" t="s">
        <v>75</v>
      </c>
      <c r="C45" s="256"/>
      <c r="D45" s="1820"/>
      <c r="E45" s="33">
        <f>E46+E47</f>
        <v>0</v>
      </c>
      <c r="I45" s="1852"/>
    </row>
    <row r="46" spans="1:9" hidden="1">
      <c r="A46" s="15"/>
      <c r="B46" s="65" t="s">
        <v>105</v>
      </c>
      <c r="C46" s="256"/>
      <c r="D46" s="1820"/>
      <c r="E46" s="271">
        <v>0</v>
      </c>
      <c r="I46" s="1852"/>
    </row>
    <row r="47" spans="1:9" hidden="1">
      <c r="A47" s="15"/>
      <c r="B47" s="65" t="s">
        <v>73</v>
      </c>
      <c r="C47" s="256"/>
      <c r="D47" s="1820"/>
      <c r="E47" s="271">
        <v>0</v>
      </c>
      <c r="I47" s="1852"/>
    </row>
    <row r="48" spans="1:9" hidden="1">
      <c r="A48" s="15"/>
      <c r="B48" s="231" t="s">
        <v>107</v>
      </c>
      <c r="C48" s="234"/>
      <c r="D48" s="1822"/>
      <c r="E48" s="95"/>
      <c r="I48" s="1852"/>
    </row>
    <row r="49" spans="1:9" hidden="1">
      <c r="A49" s="17"/>
      <c r="B49" s="11" t="s">
        <v>71</v>
      </c>
      <c r="C49" s="257"/>
      <c r="D49" s="257"/>
      <c r="E49" s="33"/>
      <c r="I49" s="1852"/>
    </row>
    <row r="50" spans="1:9" hidden="1">
      <c r="A50" s="15"/>
      <c r="B50" s="14" t="s">
        <v>70</v>
      </c>
      <c r="C50" s="256"/>
      <c r="D50" s="1820"/>
      <c r="E50" s="33">
        <f>E51+E52</f>
        <v>0</v>
      </c>
      <c r="I50" s="1852"/>
    </row>
    <row r="51" spans="1:9" hidden="1">
      <c r="A51" s="15"/>
      <c r="B51" s="65" t="s">
        <v>109</v>
      </c>
      <c r="C51" s="256"/>
      <c r="D51" s="1820"/>
      <c r="E51" s="271">
        <v>0</v>
      </c>
      <c r="I51" s="1852"/>
    </row>
    <row r="52" spans="1:9" hidden="1">
      <c r="A52" s="15"/>
      <c r="B52" s="56" t="s">
        <v>73</v>
      </c>
      <c r="C52" s="256"/>
      <c r="D52" s="1820"/>
      <c r="E52" s="272">
        <v>0</v>
      </c>
      <c r="I52" s="1852"/>
    </row>
    <row r="53" spans="1:9" hidden="1">
      <c r="A53" s="69"/>
      <c r="B53" s="231" t="s">
        <v>110</v>
      </c>
      <c r="C53" s="306"/>
      <c r="D53" s="1823"/>
      <c r="E53" s="95"/>
      <c r="I53" s="1852"/>
    </row>
    <row r="54" spans="1:9" hidden="1">
      <c r="A54" s="15"/>
      <c r="B54" s="14" t="s">
        <v>75</v>
      </c>
      <c r="C54" s="230">
        <f>C55+C56</f>
        <v>21429000</v>
      </c>
      <c r="D54" s="1824"/>
      <c r="E54" s="33">
        <f>E55+E56</f>
        <v>0</v>
      </c>
      <c r="I54" s="1852"/>
    </row>
    <row r="55" spans="1:9" hidden="1">
      <c r="A55" s="15"/>
      <c r="B55" s="65" t="s">
        <v>112</v>
      </c>
      <c r="C55" s="68">
        <v>15000000</v>
      </c>
      <c r="D55" s="1825"/>
      <c r="E55" s="271"/>
      <c r="I55" s="1852"/>
    </row>
    <row r="56" spans="1:9" hidden="1">
      <c r="A56" s="15"/>
      <c r="B56" s="65" t="s">
        <v>73</v>
      </c>
      <c r="C56" s="68">
        <v>6429000</v>
      </c>
      <c r="D56" s="1825"/>
      <c r="E56" s="272"/>
      <c r="I56" s="1852"/>
    </row>
    <row r="57" spans="1:9" hidden="1">
      <c r="A57" s="69"/>
      <c r="B57" s="231" t="s">
        <v>816</v>
      </c>
      <c r="C57" s="306"/>
      <c r="D57" s="1821"/>
      <c r="E57" s="273"/>
      <c r="I57" s="1852"/>
    </row>
    <row r="58" spans="1:9" hidden="1">
      <c r="A58" s="17"/>
      <c r="B58" s="11" t="s">
        <v>71</v>
      </c>
      <c r="C58" s="257"/>
      <c r="D58" s="257"/>
      <c r="E58" s="33"/>
      <c r="I58" s="1852"/>
    </row>
    <row r="59" spans="1:9" hidden="1">
      <c r="A59" s="15"/>
      <c r="B59" s="14" t="s">
        <v>75</v>
      </c>
      <c r="C59" s="230">
        <f>C60+C61</f>
        <v>21429000</v>
      </c>
      <c r="D59" s="1824"/>
      <c r="E59" s="33">
        <f>E60+E61</f>
        <v>0</v>
      </c>
      <c r="I59" s="1852"/>
    </row>
    <row r="60" spans="1:9" hidden="1">
      <c r="A60" s="15"/>
      <c r="B60" s="65" t="s">
        <v>112</v>
      </c>
      <c r="C60" s="68">
        <v>15000000</v>
      </c>
      <c r="D60" s="1825"/>
      <c r="E60" s="271">
        <v>0</v>
      </c>
      <c r="I60" s="1852"/>
    </row>
    <row r="61" spans="1:9" hidden="1">
      <c r="A61" s="15"/>
      <c r="B61" s="65" t="s">
        <v>73</v>
      </c>
      <c r="C61" s="68">
        <v>6429000</v>
      </c>
      <c r="D61" s="1825"/>
      <c r="E61" s="271">
        <v>0</v>
      </c>
      <c r="I61" s="1852"/>
    </row>
    <row r="62" spans="1:9" hidden="1">
      <c r="A62" s="15"/>
      <c r="B62" s="231" t="s">
        <v>72</v>
      </c>
      <c r="C62" s="234"/>
      <c r="D62" s="1822"/>
      <c r="E62" s="95"/>
      <c r="I62" s="1852"/>
    </row>
    <row r="63" spans="1:9" hidden="1">
      <c r="A63" s="17"/>
      <c r="B63" s="11" t="s">
        <v>71</v>
      </c>
      <c r="C63" s="257"/>
      <c r="D63" s="257"/>
      <c r="E63" s="33"/>
      <c r="I63" s="1852"/>
    </row>
    <row r="64" spans="1:9" hidden="1">
      <c r="A64" s="15"/>
      <c r="B64" s="14" t="s">
        <v>70</v>
      </c>
      <c r="C64" s="256"/>
      <c r="D64" s="1820"/>
      <c r="E64" s="33">
        <f>E66+E67</f>
        <v>0</v>
      </c>
      <c r="I64" s="1852"/>
    </row>
    <row r="65" spans="1:9" hidden="1">
      <c r="A65" s="15"/>
      <c r="B65" s="65" t="s">
        <v>69</v>
      </c>
      <c r="C65" s="256"/>
      <c r="D65" s="1820"/>
      <c r="E65" s="271">
        <v>0</v>
      </c>
      <c r="I65" s="1852"/>
    </row>
    <row r="66" spans="1:9" hidden="1">
      <c r="A66" s="15"/>
      <c r="B66" s="65" t="s">
        <v>68</v>
      </c>
      <c r="C66" s="256"/>
      <c r="D66" s="1820"/>
      <c r="E66" s="271">
        <v>0</v>
      </c>
      <c r="I66" s="1852"/>
    </row>
    <row r="67" spans="1:9" hidden="1">
      <c r="A67" s="15"/>
      <c r="B67" s="65" t="s">
        <v>67</v>
      </c>
      <c r="C67" s="256"/>
      <c r="D67" s="1820"/>
      <c r="E67" s="271">
        <v>0</v>
      </c>
      <c r="I67" s="1852"/>
    </row>
    <row r="68" spans="1:9" hidden="1">
      <c r="A68" s="15"/>
      <c r="B68" s="75" t="s">
        <v>113</v>
      </c>
      <c r="C68" s="256"/>
      <c r="D68" s="1820"/>
      <c r="E68" s="274">
        <v>0</v>
      </c>
      <c r="I68" s="1852"/>
    </row>
    <row r="69" spans="1:9" hidden="1">
      <c r="A69" s="8"/>
      <c r="B69" s="76" t="s">
        <v>66</v>
      </c>
      <c r="C69" s="77"/>
      <c r="D69" s="48"/>
      <c r="E69" s="95"/>
      <c r="I69" s="1852"/>
    </row>
    <row r="70" spans="1:9" hidden="1">
      <c r="A70" s="15"/>
      <c r="B70" s="75" t="s">
        <v>65</v>
      </c>
      <c r="C70" s="1570">
        <v>94.2</v>
      </c>
      <c r="D70" s="1826"/>
      <c r="E70" s="275" t="e">
        <f>(#REF!/(E15))*100</f>
        <v>#REF!</v>
      </c>
      <c r="I70" s="1852"/>
    </row>
    <row r="71" spans="1:9" hidden="1">
      <c r="A71" s="15"/>
      <c r="B71" s="75" t="s">
        <v>64</v>
      </c>
      <c r="C71" s="127">
        <v>5</v>
      </c>
      <c r="D71" s="1827"/>
      <c r="E71" s="275">
        <f>(E32/(E15))*100</f>
        <v>25.249365453978719</v>
      </c>
      <c r="I71" s="1852"/>
    </row>
    <row r="72" spans="1:9" hidden="1">
      <c r="A72" s="15"/>
      <c r="B72" s="75" t="s">
        <v>63</v>
      </c>
      <c r="C72" s="127">
        <v>82</v>
      </c>
      <c r="D72" s="1827"/>
      <c r="E72" s="275" t="e">
        <f>E42/(E42+E43)*100</f>
        <v>#DIV/0!</v>
      </c>
      <c r="I72" s="1852"/>
    </row>
    <row r="73" spans="1:9" hidden="1">
      <c r="A73" s="15"/>
      <c r="B73" s="75" t="s">
        <v>62</v>
      </c>
      <c r="C73" s="127">
        <v>18</v>
      </c>
      <c r="D73" s="1827"/>
      <c r="E73" s="275" t="e">
        <f>(E43/E41)*100</f>
        <v>#DIV/0!</v>
      </c>
      <c r="I73" s="1852"/>
    </row>
    <row r="74" spans="1:9" hidden="1">
      <c r="A74" s="15"/>
      <c r="B74" s="75" t="s">
        <v>106</v>
      </c>
      <c r="C74" s="127">
        <v>75</v>
      </c>
      <c r="D74" s="1827"/>
      <c r="E74" s="275" t="e">
        <f>(E46/E45)*100</f>
        <v>#DIV/0!</v>
      </c>
      <c r="I74" s="1852"/>
    </row>
    <row r="75" spans="1:9" hidden="1">
      <c r="A75" s="15"/>
      <c r="B75" s="75" t="s">
        <v>62</v>
      </c>
      <c r="C75" s="127">
        <v>25</v>
      </c>
      <c r="D75" s="1827"/>
      <c r="E75" s="275" t="e">
        <f>(E47/E45)*100</f>
        <v>#DIV/0!</v>
      </c>
      <c r="I75" s="1852"/>
    </row>
    <row r="76" spans="1:9" hidden="1">
      <c r="A76" s="15"/>
      <c r="B76" s="75" t="s">
        <v>108</v>
      </c>
      <c r="C76" s="127">
        <v>75</v>
      </c>
      <c r="D76" s="1827"/>
      <c r="E76" s="275" t="e">
        <f>E51/E50*100</f>
        <v>#DIV/0!</v>
      </c>
      <c r="I76" s="1852"/>
    </row>
    <row r="77" spans="1:9" hidden="1">
      <c r="A77" s="15"/>
      <c r="B77" s="75" t="s">
        <v>62</v>
      </c>
      <c r="C77" s="127">
        <v>25</v>
      </c>
      <c r="D77" s="1827"/>
      <c r="E77" s="275" t="e">
        <f>E52/E50*100</f>
        <v>#DIV/0!</v>
      </c>
      <c r="I77" s="1852"/>
    </row>
    <row r="78" spans="1:9" hidden="1">
      <c r="A78" s="15"/>
      <c r="B78" s="75" t="s">
        <v>111</v>
      </c>
      <c r="C78" s="127">
        <v>70</v>
      </c>
      <c r="D78" s="1827"/>
      <c r="E78" s="275" t="e">
        <f>E55/(E55+E56)*100</f>
        <v>#DIV/0!</v>
      </c>
      <c r="I78" s="1852"/>
    </row>
    <row r="79" spans="1:9" hidden="1">
      <c r="A79" s="15"/>
      <c r="B79" s="75" t="s">
        <v>62</v>
      </c>
      <c r="C79" s="127">
        <v>30</v>
      </c>
      <c r="D79" s="1827"/>
      <c r="E79" s="275" t="e">
        <f>E56/(E56+E55)*100</f>
        <v>#DIV/0!</v>
      </c>
      <c r="I79" s="1852"/>
    </row>
    <row r="80" spans="1:9" hidden="1">
      <c r="A80" s="15"/>
      <c r="B80" s="75" t="s">
        <v>817</v>
      </c>
      <c r="C80" s="127">
        <v>70</v>
      </c>
      <c r="D80" s="1827"/>
      <c r="E80" s="275" t="e">
        <f>E60/(E60+E61)*100</f>
        <v>#DIV/0!</v>
      </c>
      <c r="I80" s="1852"/>
    </row>
    <row r="81" spans="1:9" hidden="1">
      <c r="A81" s="15"/>
      <c r="B81" s="75" t="s">
        <v>62</v>
      </c>
      <c r="C81" s="127">
        <v>30</v>
      </c>
      <c r="D81" s="1827"/>
      <c r="E81" s="275" t="e">
        <f>E61/(E60+E61)*100</f>
        <v>#DIV/0!</v>
      </c>
      <c r="I81" s="1852"/>
    </row>
    <row r="82" spans="1:9" hidden="1">
      <c r="A82" s="15"/>
      <c r="B82" s="75" t="s">
        <v>61</v>
      </c>
      <c r="C82" s="127">
        <v>60</v>
      </c>
      <c r="D82" s="1827"/>
      <c r="E82" s="275" t="e">
        <f>E65/E64*100</f>
        <v>#DIV/0!</v>
      </c>
      <c r="I82" s="1852"/>
    </row>
    <row r="83" spans="1:9" ht="15" hidden="1" thickBot="1">
      <c r="A83" s="19"/>
      <c r="B83" s="75" t="s">
        <v>60</v>
      </c>
      <c r="C83" s="127">
        <v>40</v>
      </c>
      <c r="D83" s="1827"/>
      <c r="E83" s="275" t="e">
        <f>E67/E64*100</f>
        <v>#DIV/0!</v>
      </c>
      <c r="I83" s="1852"/>
    </row>
    <row r="84" spans="1:9">
      <c r="A84" s="15"/>
      <c r="B84" s="1767" t="s">
        <v>970</v>
      </c>
      <c r="C84" s="1772"/>
      <c r="D84" s="1817"/>
      <c r="E84" s="275"/>
      <c r="F84" s="753"/>
      <c r="G84" s="753"/>
      <c r="I84" s="1852"/>
    </row>
    <row r="85" spans="1:9">
      <c r="A85" s="8"/>
      <c r="B85" s="14" t="s">
        <v>973</v>
      </c>
      <c r="C85" s="1705">
        <v>32</v>
      </c>
      <c r="D85" s="265" t="s">
        <v>1010</v>
      </c>
      <c r="E85" s="1670"/>
      <c r="F85" s="1655"/>
      <c r="G85" s="1654"/>
      <c r="H85" s="752"/>
      <c r="I85" s="1852"/>
    </row>
    <row r="86" spans="1:9" ht="15" thickBot="1">
      <c r="A86" s="8"/>
      <c r="B86" s="14" t="s">
        <v>974</v>
      </c>
      <c r="C86" s="1705" t="s">
        <v>1020</v>
      </c>
      <c r="D86" s="265" t="s">
        <v>1011</v>
      </c>
      <c r="E86" s="1670"/>
      <c r="F86" s="1655"/>
      <c r="G86" s="1654"/>
      <c r="H86" s="752"/>
      <c r="I86" s="1852"/>
    </row>
    <row r="87" spans="1:9" ht="15" thickBot="1">
      <c r="A87" s="1806">
        <v>2</v>
      </c>
      <c r="B87" s="1779" t="s">
        <v>18</v>
      </c>
      <c r="C87" s="1765"/>
      <c r="D87" s="1828"/>
      <c r="E87" s="1780" t="s">
        <v>918</v>
      </c>
      <c r="F87" s="1778" t="s">
        <v>919</v>
      </c>
      <c r="G87" s="1765" t="s">
        <v>188</v>
      </c>
      <c r="H87" s="1811" t="s">
        <v>1014</v>
      </c>
      <c r="I87" s="1852"/>
    </row>
    <row r="88" spans="1:9">
      <c r="A88" s="8"/>
      <c r="B88" s="236" t="s">
        <v>4</v>
      </c>
      <c r="C88" s="1663">
        <v>408000</v>
      </c>
      <c r="D88" s="1816" t="s">
        <v>1002</v>
      </c>
      <c r="E88" s="1633"/>
      <c r="F88" s="1657"/>
      <c r="G88" s="299">
        <v>183211</v>
      </c>
      <c r="H88" s="1657"/>
      <c r="I88" s="1852"/>
    </row>
    <row r="89" spans="1:9">
      <c r="A89" s="8"/>
      <c r="B89" s="30" t="s">
        <v>17</v>
      </c>
      <c r="C89" s="62"/>
      <c r="D89" s="1838"/>
      <c r="E89" s="283"/>
      <c r="G89" s="753"/>
      <c r="I89" s="1852"/>
    </row>
    <row r="90" spans="1:9">
      <c r="A90" s="15"/>
      <c r="B90" s="236" t="s">
        <v>975</v>
      </c>
      <c r="C90" s="1837">
        <v>87.5</v>
      </c>
      <c r="D90" s="1816" t="s">
        <v>1002</v>
      </c>
      <c r="E90" s="1524">
        <v>308052</v>
      </c>
      <c r="F90" s="1683">
        <v>366933</v>
      </c>
      <c r="G90" s="1784">
        <f>F90-E90</f>
        <v>58881</v>
      </c>
      <c r="H90" s="1846">
        <f>G90/G15</f>
        <v>21.528702010968921</v>
      </c>
      <c r="I90" s="1855" t="s">
        <v>819</v>
      </c>
    </row>
    <row r="91" spans="1:9" hidden="1">
      <c r="A91" s="15"/>
      <c r="B91" s="14"/>
      <c r="C91" s="235">
        <f>C90/2000</f>
        <v>4.3749999999999997E-2</v>
      </c>
      <c r="D91" s="1810"/>
      <c r="E91" s="33"/>
      <c r="G91" s="753"/>
      <c r="I91" s="1852"/>
    </row>
    <row r="92" spans="1:9">
      <c r="A92" s="15"/>
      <c r="B92" s="14"/>
      <c r="C92" s="1799">
        <f>C90/2.5</f>
        <v>35</v>
      </c>
      <c r="D92" s="1829" t="s">
        <v>1013</v>
      </c>
      <c r="E92" s="33"/>
      <c r="G92" s="753"/>
      <c r="I92" s="1852"/>
    </row>
    <row r="93" spans="1:9" hidden="1">
      <c r="A93" s="15"/>
      <c r="B93" s="236" t="s">
        <v>15</v>
      </c>
      <c r="C93" s="235">
        <v>122000</v>
      </c>
      <c r="D93" s="1810"/>
      <c r="E93" s="276"/>
      <c r="F93" s="1657"/>
      <c r="G93" s="1674"/>
      <c r="H93" s="1657"/>
      <c r="I93" s="1852"/>
    </row>
    <row r="94" spans="1:9">
      <c r="A94" s="15"/>
      <c r="B94" s="14" t="s">
        <v>921</v>
      </c>
      <c r="C94" s="235">
        <v>106000</v>
      </c>
      <c r="D94" s="1810" t="s">
        <v>1002</v>
      </c>
      <c r="E94" s="949"/>
      <c r="F94" s="513"/>
      <c r="G94" s="1686"/>
      <c r="H94" s="513"/>
      <c r="I94" s="1852"/>
    </row>
    <row r="95" spans="1:9" ht="15" thickBot="1">
      <c r="A95" s="8"/>
      <c r="B95" s="28" t="s">
        <v>1</v>
      </c>
      <c r="C95" s="264">
        <v>408000</v>
      </c>
      <c r="D95" s="1830" t="s">
        <v>1002</v>
      </c>
      <c r="E95" s="283"/>
      <c r="G95" s="42">
        <f>SUM(G90,G93,G94)</f>
        <v>58881</v>
      </c>
      <c r="I95" s="1852"/>
    </row>
    <row r="96" spans="1:9" ht="15" thickBot="1">
      <c r="A96" s="1806">
        <v>3</v>
      </c>
      <c r="B96" s="1809" t="s">
        <v>13</v>
      </c>
      <c r="C96" s="1668"/>
      <c r="D96" s="1666"/>
      <c r="E96" s="1780" t="s">
        <v>918</v>
      </c>
      <c r="F96" s="1778" t="s">
        <v>919</v>
      </c>
      <c r="G96" s="1765" t="s">
        <v>188</v>
      </c>
      <c r="H96" s="1811" t="s">
        <v>1015</v>
      </c>
      <c r="I96" s="1852"/>
    </row>
    <row r="97" spans="1:11" hidden="1">
      <c r="A97" s="17"/>
      <c r="B97" s="243" t="s">
        <v>12</v>
      </c>
      <c r="C97" s="265">
        <v>1100</v>
      </c>
      <c r="D97" s="265" t="s">
        <v>1005</v>
      </c>
      <c r="E97" s="245"/>
      <c r="F97" s="1657"/>
      <c r="G97" s="245">
        <v>818</v>
      </c>
      <c r="H97" s="1657"/>
      <c r="I97" s="1852"/>
    </row>
    <row r="98" spans="1:11">
      <c r="A98" s="17"/>
      <c r="B98" s="43" t="s">
        <v>11</v>
      </c>
      <c r="C98" s="252"/>
      <c r="D98" s="252"/>
      <c r="E98" s="34"/>
      <c r="G98" s="753"/>
      <c r="I98" s="1852"/>
      <c r="K98" s="1919"/>
    </row>
    <row r="99" spans="1:11" ht="15" thickBot="1">
      <c r="A99" s="17"/>
      <c r="B99" s="243" t="s">
        <v>976</v>
      </c>
      <c r="C99" s="1812">
        <v>0.13</v>
      </c>
      <c r="D99" s="265" t="s">
        <v>1005</v>
      </c>
      <c r="E99" s="246">
        <v>58</v>
      </c>
      <c r="F99" s="1785">
        <v>106</v>
      </c>
      <c r="G99" s="1786">
        <f>F99-E99</f>
        <v>48</v>
      </c>
      <c r="H99" s="1846">
        <f>G99/G15</f>
        <v>1.7550274223034734E-2</v>
      </c>
      <c r="I99" s="1852"/>
    </row>
    <row r="100" spans="1:11" hidden="1">
      <c r="A100" s="17"/>
      <c r="B100" s="243" t="s">
        <v>9</v>
      </c>
      <c r="C100" s="266">
        <v>179.63</v>
      </c>
      <c r="D100" s="266"/>
      <c r="E100" s="246"/>
      <c r="F100" s="1657"/>
      <c r="G100" s="1674"/>
      <c r="H100" s="1657"/>
      <c r="I100" s="1852"/>
    </row>
    <row r="101" spans="1:11" hidden="1">
      <c r="A101" s="17"/>
      <c r="B101" s="243"/>
      <c r="C101" s="266">
        <f>C99/2500</f>
        <v>5.2000000000000004E-5</v>
      </c>
      <c r="D101" s="265" t="s">
        <v>1016</v>
      </c>
      <c r="E101" s="246"/>
      <c r="F101" s="1657"/>
      <c r="G101" s="1674"/>
      <c r="H101" s="1657"/>
      <c r="I101" s="1852"/>
    </row>
    <row r="102" spans="1:11" hidden="1">
      <c r="A102" s="17"/>
      <c r="B102" s="243" t="s">
        <v>8</v>
      </c>
      <c r="C102" s="265">
        <v>491.59</v>
      </c>
      <c r="D102" s="265" t="s">
        <v>1005</v>
      </c>
      <c r="E102" s="246"/>
      <c r="F102" s="1657"/>
      <c r="G102" s="246">
        <v>304</v>
      </c>
      <c r="H102" s="1657"/>
      <c r="I102" s="1852"/>
    </row>
    <row r="103" spans="1:11" hidden="1">
      <c r="A103" s="17"/>
      <c r="B103" s="31" t="s">
        <v>7</v>
      </c>
      <c r="C103" s="958">
        <v>337.28</v>
      </c>
      <c r="D103" s="958" t="s">
        <v>1005</v>
      </c>
      <c r="E103" s="34"/>
      <c r="G103" s="34">
        <f>G97-G99-G100-G102</f>
        <v>466</v>
      </c>
      <c r="I103" s="1852"/>
    </row>
    <row r="104" spans="1:11" ht="15" hidden="1" thickBot="1">
      <c r="A104" s="17"/>
      <c r="B104" s="243" t="s">
        <v>6</v>
      </c>
      <c r="C104" s="265">
        <v>330</v>
      </c>
      <c r="D104" s="265" t="s">
        <v>1005</v>
      </c>
      <c r="E104" s="246"/>
      <c r="F104" s="1657"/>
      <c r="G104" s="246">
        <v>164</v>
      </c>
      <c r="H104" s="1657"/>
      <c r="I104" s="1852"/>
    </row>
    <row r="105" spans="1:11" ht="15" thickBot="1">
      <c r="A105" s="1808">
        <v>4</v>
      </c>
      <c r="B105" s="1809" t="s">
        <v>5</v>
      </c>
      <c r="C105" s="1668"/>
      <c r="D105" s="1666"/>
      <c r="E105" s="1780" t="s">
        <v>918</v>
      </c>
      <c r="F105" s="1778" t="s">
        <v>919</v>
      </c>
      <c r="G105" s="1765" t="s">
        <v>188</v>
      </c>
      <c r="H105" s="1811" t="s">
        <v>1017</v>
      </c>
      <c r="I105" s="1852"/>
    </row>
    <row r="106" spans="1:11">
      <c r="A106" s="84"/>
      <c r="B106" s="123" t="s">
        <v>4</v>
      </c>
      <c r="C106" s="1067"/>
      <c r="D106" s="1831"/>
      <c r="E106" s="33"/>
      <c r="G106" s="753"/>
      <c r="I106" s="1852"/>
    </row>
    <row r="107" spans="1:11" hidden="1">
      <c r="A107" s="84"/>
      <c r="B107" s="236" t="s">
        <v>3</v>
      </c>
      <c r="C107" s="235">
        <v>28770</v>
      </c>
      <c r="D107" s="1810" t="s">
        <v>2</v>
      </c>
      <c r="E107" s="246"/>
      <c r="F107" s="1657"/>
      <c r="G107" s="246">
        <v>5.3</v>
      </c>
      <c r="H107" s="1657"/>
      <c r="I107" s="1853"/>
    </row>
    <row r="108" spans="1:11">
      <c r="A108" s="84"/>
      <c r="B108" s="123" t="s">
        <v>1</v>
      </c>
      <c r="C108" s="13"/>
      <c r="D108" s="12"/>
      <c r="E108" s="1649"/>
      <c r="G108" s="1649">
        <f>G107</f>
        <v>5.3</v>
      </c>
      <c r="I108" s="1852"/>
    </row>
    <row r="109" spans="1:11">
      <c r="A109" s="84"/>
      <c r="B109" s="123" t="s">
        <v>15</v>
      </c>
      <c r="C109" s="13"/>
      <c r="D109" s="12"/>
      <c r="E109" s="283"/>
      <c r="G109" s="753"/>
      <c r="I109" s="1852"/>
    </row>
    <row r="110" spans="1:11">
      <c r="A110" s="15"/>
      <c r="B110" s="248" t="s">
        <v>913</v>
      </c>
      <c r="C110" s="1783">
        <v>10632</v>
      </c>
      <c r="D110" s="1832" t="s">
        <v>1018</v>
      </c>
      <c r="E110" s="276"/>
      <c r="F110" s="1684"/>
      <c r="G110" s="1524">
        <f>F110-E110</f>
        <v>0</v>
      </c>
      <c r="H110" s="1846">
        <f>G110/G15</f>
        <v>0</v>
      </c>
      <c r="I110" s="1852"/>
    </row>
    <row r="111" spans="1:11">
      <c r="A111" s="15"/>
      <c r="B111" s="248"/>
      <c r="C111" s="1783">
        <v>4.3</v>
      </c>
      <c r="D111" s="252" t="s">
        <v>1007</v>
      </c>
      <c r="E111" s="276"/>
      <c r="F111" s="1684"/>
      <c r="G111" s="1524"/>
      <c r="H111" s="1847"/>
      <c r="I111" s="1852"/>
    </row>
    <row r="112" spans="1:11">
      <c r="A112" s="15"/>
      <c r="B112" s="248" t="s">
        <v>977</v>
      </c>
      <c r="C112" s="267">
        <v>10503.3</v>
      </c>
      <c r="D112" s="1832" t="s">
        <v>1018</v>
      </c>
      <c r="E112" s="276">
        <v>65910.899999999994</v>
      </c>
      <c r="F112" s="1684">
        <v>75191.7</v>
      </c>
      <c r="G112" s="276">
        <f>F112-E112</f>
        <v>9280.8000000000029</v>
      </c>
      <c r="H112" s="1846">
        <f>G112/G15</f>
        <v>3.3933455210237669</v>
      </c>
      <c r="I112" s="1855" t="s">
        <v>819</v>
      </c>
    </row>
    <row r="113" spans="1:9" hidden="1">
      <c r="A113" s="15"/>
      <c r="B113" s="954"/>
      <c r="C113" s="955"/>
      <c r="D113" s="1833"/>
      <c r="E113" s="949"/>
      <c r="G113" s="753"/>
      <c r="I113" s="1852"/>
    </row>
    <row r="114" spans="1:9" hidden="1">
      <c r="A114" s="15"/>
      <c r="B114" s="44" t="s">
        <v>15</v>
      </c>
      <c r="C114" s="534"/>
      <c r="D114" s="437"/>
      <c r="E114" s="300"/>
      <c r="G114" s="753"/>
      <c r="I114" s="1852"/>
    </row>
    <row r="115" spans="1:9" hidden="1">
      <c r="A115" s="15"/>
      <c r="B115" s="248" t="s">
        <v>120</v>
      </c>
      <c r="C115" s="267">
        <v>1308.96</v>
      </c>
      <c r="D115" s="1834"/>
      <c r="E115" s="276"/>
      <c r="G115" s="753"/>
      <c r="I115" s="1852"/>
    </row>
    <row r="116" spans="1:9" hidden="1">
      <c r="A116" s="15"/>
      <c r="B116" s="954"/>
      <c r="C116" s="955"/>
      <c r="D116" s="1833"/>
      <c r="E116" s="33"/>
      <c r="G116" s="753"/>
      <c r="I116" s="1852"/>
    </row>
    <row r="117" spans="1:9" hidden="1">
      <c r="A117" s="15"/>
      <c r="B117" s="248" t="s">
        <v>121</v>
      </c>
      <c r="C117" s="267">
        <v>5759.67</v>
      </c>
      <c r="D117" s="1834"/>
      <c r="E117" s="276">
        <v>792.3</v>
      </c>
      <c r="G117" s="753"/>
      <c r="I117" s="1852"/>
    </row>
    <row r="118" spans="1:9" hidden="1">
      <c r="A118" s="15"/>
      <c r="B118" s="954"/>
      <c r="C118" s="955"/>
      <c r="D118" s="1833"/>
      <c r="E118" s="949"/>
      <c r="G118" s="753"/>
      <c r="I118" s="1852"/>
    </row>
    <row r="119" spans="1:9" hidden="1">
      <c r="A119" s="15"/>
      <c r="B119" s="44" t="s">
        <v>7</v>
      </c>
      <c r="C119" s="534"/>
      <c r="D119" s="437"/>
      <c r="E119" s="300"/>
      <c r="G119" s="753"/>
      <c r="I119" s="1852"/>
    </row>
    <row r="120" spans="1:9" ht="15" thickBot="1">
      <c r="A120" s="15"/>
      <c r="B120" s="1758"/>
      <c r="C120" s="1857">
        <v>4.2</v>
      </c>
      <c r="D120" s="1835" t="s">
        <v>1007</v>
      </c>
      <c r="E120" s="1760"/>
      <c r="F120" s="1761"/>
      <c r="G120" s="1762"/>
      <c r="H120" s="1761"/>
      <c r="I120" s="1854"/>
    </row>
    <row r="121" spans="1:9" ht="15" hidden="1" thickBot="1">
      <c r="A121" s="19"/>
      <c r="B121" s="249" t="s">
        <v>123</v>
      </c>
      <c r="C121" s="268">
        <v>241.12</v>
      </c>
      <c r="D121" s="268"/>
      <c r="E121" s="1692"/>
      <c r="F121" s="1693"/>
      <c r="G121" s="1694"/>
      <c r="H121" s="1695"/>
    </row>
  </sheetData>
  <mergeCells count="10">
    <mergeCell ref="C8:C9"/>
    <mergeCell ref="A8:A9"/>
    <mergeCell ref="B8:B9"/>
    <mergeCell ref="D8:D9"/>
    <mergeCell ref="E8:I9"/>
    <mergeCell ref="A1:A6"/>
    <mergeCell ref="C1:I1"/>
    <mergeCell ref="C2:I2"/>
    <mergeCell ref="C3:I3"/>
    <mergeCell ref="C4:G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88" zoomScale="90" zoomScaleNormal="90" workbookViewId="0">
      <selection activeCell="K267" sqref="K267"/>
    </sheetView>
  </sheetViews>
  <sheetFormatPr defaultRowHeight="14.4"/>
  <cols>
    <col min="1" max="1" width="4.5546875" style="5" customWidth="1"/>
    <col min="2" max="2" width="27.6640625" style="1" customWidth="1"/>
    <col min="3" max="3" width="15" style="1" customWidth="1"/>
    <col min="4" max="4" width="10" style="1" customWidth="1"/>
    <col min="5" max="5" width="14" style="1" customWidth="1"/>
    <col min="6" max="6" width="16.33203125" customWidth="1"/>
    <col min="7" max="7" width="15.33203125" customWidth="1"/>
    <col min="8" max="8" width="18" customWidth="1"/>
    <col min="9" max="9" width="21.33203125" customWidth="1"/>
    <col min="11" max="11" width="11.33203125" bestFit="1" customWidth="1"/>
  </cols>
  <sheetData>
    <row r="1" spans="1:9" ht="15" customHeight="1" thickTop="1">
      <c r="A1" s="2096"/>
      <c r="B1" s="1858"/>
      <c r="C1" s="2099" t="s">
        <v>1024</v>
      </c>
      <c r="D1" s="2100"/>
      <c r="E1" s="2100"/>
      <c r="F1" s="2100"/>
      <c r="G1" s="2100"/>
      <c r="H1" s="2100"/>
      <c r="I1" s="2101"/>
    </row>
    <row r="2" spans="1:9" ht="14.7" customHeight="1">
      <c r="A2" s="2097"/>
      <c r="B2" s="1859"/>
      <c r="C2" s="2102" t="s">
        <v>1025</v>
      </c>
      <c r="D2" s="2103"/>
      <c r="E2" s="2103"/>
      <c r="F2" s="2103"/>
      <c r="G2" s="2103"/>
      <c r="H2" s="2103"/>
      <c r="I2" s="2104"/>
    </row>
    <row r="3" spans="1:9" ht="14.7" customHeight="1">
      <c r="A3" s="2097"/>
      <c r="B3" s="1860"/>
      <c r="C3" s="2128" t="s">
        <v>1026</v>
      </c>
      <c r="D3" s="2129"/>
      <c r="E3" s="2129"/>
      <c r="F3" s="2129"/>
      <c r="G3" s="2129"/>
      <c r="H3" s="2129"/>
      <c r="I3" s="2130"/>
    </row>
    <row r="4" spans="1:9" ht="14.7" customHeight="1">
      <c r="A4" s="2097"/>
      <c r="B4" s="1860"/>
      <c r="C4" s="2108" t="s">
        <v>1032</v>
      </c>
      <c r="D4" s="2109"/>
      <c r="E4" s="2109"/>
      <c r="F4" s="2109"/>
      <c r="G4" s="2109"/>
      <c r="H4" s="1868" t="s">
        <v>1033</v>
      </c>
      <c r="I4" s="1869">
        <v>1</v>
      </c>
    </row>
    <row r="5" spans="1:9" ht="14.7" customHeight="1">
      <c r="A5" s="2097"/>
      <c r="B5" s="1860"/>
      <c r="C5" s="2110"/>
      <c r="D5" s="2111"/>
      <c r="E5" s="2111"/>
      <c r="F5" s="2111"/>
      <c r="G5" s="2111"/>
      <c r="H5" s="1870" t="s">
        <v>1028</v>
      </c>
      <c r="I5" s="1871" t="s">
        <v>1034</v>
      </c>
    </row>
    <row r="6" spans="1:9" ht="15" customHeight="1" thickBot="1">
      <c r="A6" s="2098"/>
      <c r="B6" s="1861"/>
      <c r="C6" s="2112"/>
      <c r="D6" s="2113"/>
      <c r="E6" s="2113"/>
      <c r="F6" s="2113"/>
      <c r="G6" s="2113"/>
      <c r="H6" s="1872" t="s">
        <v>1029</v>
      </c>
      <c r="I6" s="1873" t="s">
        <v>1035</v>
      </c>
    </row>
    <row r="7" spans="1:9" ht="14.7" customHeight="1" thickTop="1">
      <c r="A7" s="2046" t="s">
        <v>99</v>
      </c>
      <c r="B7" s="2050" t="s">
        <v>100</v>
      </c>
      <c r="C7" s="2048" t="s">
        <v>1021</v>
      </c>
      <c r="D7" s="2048" t="s">
        <v>981</v>
      </c>
      <c r="E7" s="2119" t="s">
        <v>1023</v>
      </c>
      <c r="F7" s="2120"/>
      <c r="G7" s="2120"/>
      <c r="H7" s="2120"/>
      <c r="I7" s="2121"/>
    </row>
    <row r="8" spans="1:9" ht="15" thickBot="1">
      <c r="A8" s="2115"/>
      <c r="B8" s="2116"/>
      <c r="C8" s="2114"/>
      <c r="D8" s="2114"/>
      <c r="E8" s="2122"/>
      <c r="F8" s="2123"/>
      <c r="G8" s="2123"/>
      <c r="H8" s="2123"/>
      <c r="I8" s="2124"/>
    </row>
    <row r="9" spans="1:9" ht="15" thickBot="1">
      <c r="A9" s="1806">
        <v>1</v>
      </c>
      <c r="B9" s="1665" t="s">
        <v>85</v>
      </c>
      <c r="C9" s="1666"/>
      <c r="D9" s="1666"/>
      <c r="E9" s="1667" t="s">
        <v>918</v>
      </c>
      <c r="F9" s="1667" t="s">
        <v>919</v>
      </c>
      <c r="G9" s="1668" t="s">
        <v>188</v>
      </c>
      <c r="H9" s="1669" t="s">
        <v>989</v>
      </c>
      <c r="I9" s="1856" t="s">
        <v>1022</v>
      </c>
    </row>
    <row r="10" spans="1:9">
      <c r="A10" s="8"/>
      <c r="B10" s="1664" t="s">
        <v>16</v>
      </c>
      <c r="C10" s="252"/>
      <c r="D10" s="252"/>
      <c r="E10" s="33"/>
      <c r="F10" s="1696"/>
      <c r="G10" s="1696"/>
      <c r="H10" s="1696"/>
      <c r="I10" s="1851"/>
    </row>
    <row r="11" spans="1:9" ht="14.7" hidden="1" customHeight="1">
      <c r="A11" s="8"/>
      <c r="B11" s="11" t="s">
        <v>84</v>
      </c>
      <c r="C11" s="252"/>
      <c r="D11" s="252"/>
      <c r="E11" s="33"/>
      <c r="I11" s="1852"/>
    </row>
    <row r="12" spans="1:9" ht="14.7" hidden="1" customHeight="1">
      <c r="A12" s="8"/>
      <c r="B12" s="72" t="s">
        <v>125</v>
      </c>
      <c r="C12" s="252"/>
      <c r="D12" s="252"/>
      <c r="E12" s="271"/>
      <c r="I12" s="1852"/>
    </row>
    <row r="13" spans="1:9" ht="14.7" hidden="1" customHeight="1">
      <c r="A13" s="8"/>
      <c r="B13" s="11" t="s">
        <v>103</v>
      </c>
      <c r="C13" s="252"/>
      <c r="D13" s="252"/>
      <c r="E13" s="34"/>
      <c r="I13" s="1852"/>
    </row>
    <row r="14" spans="1:9">
      <c r="A14" s="8"/>
      <c r="B14" s="1662" t="s">
        <v>96</v>
      </c>
      <c r="C14" s="1663">
        <v>2500</v>
      </c>
      <c r="D14" s="1663" t="s">
        <v>379</v>
      </c>
      <c r="E14" s="1524">
        <v>13533.82</v>
      </c>
      <c r="F14" s="1524">
        <v>16053.42</v>
      </c>
      <c r="G14" s="246">
        <f>F14-E14</f>
        <v>2519.6000000000004</v>
      </c>
      <c r="H14" s="246"/>
      <c r="I14" s="1855" t="s">
        <v>819</v>
      </c>
    </row>
    <row r="15" spans="1:9" ht="14.7" hidden="1" customHeight="1">
      <c r="A15" s="8"/>
      <c r="B15" s="947" t="s">
        <v>377</v>
      </c>
      <c r="C15" s="948"/>
      <c r="D15" s="948"/>
      <c r="E15" s="949"/>
      <c r="H15" s="1673"/>
      <c r="I15" s="1852"/>
    </row>
    <row r="16" spans="1:9" ht="14.7" hidden="1" customHeight="1">
      <c r="A16" s="8"/>
      <c r="B16" s="21" t="s">
        <v>97</v>
      </c>
      <c r="C16" s="235">
        <v>29045000</v>
      </c>
      <c r="D16" s="235"/>
      <c r="E16" s="33"/>
      <c r="H16" s="1673"/>
      <c r="I16" s="1852"/>
    </row>
    <row r="17" spans="1:9" ht="14.7" hidden="1" customHeight="1">
      <c r="A17" s="8"/>
      <c r="B17" s="21" t="s">
        <v>98</v>
      </c>
      <c r="C17" s="235">
        <v>7314000</v>
      </c>
      <c r="D17" s="235"/>
      <c r="E17" s="33">
        <f>E53+E62+E67</f>
        <v>0</v>
      </c>
      <c r="H17" s="1673"/>
      <c r="I17" s="1852"/>
    </row>
    <row r="18" spans="1:9">
      <c r="A18" s="8"/>
      <c r="B18" s="14" t="s">
        <v>82</v>
      </c>
      <c r="C18" s="253">
        <v>5</v>
      </c>
      <c r="D18" s="253" t="s">
        <v>25</v>
      </c>
      <c r="E18" s="1670"/>
      <c r="F18" s="1655"/>
      <c r="G18" s="1874">
        <v>4</v>
      </c>
      <c r="H18" s="753"/>
      <c r="I18" s="1852"/>
    </row>
    <row r="19" spans="1:9">
      <c r="A19" s="8"/>
      <c r="B19" s="14" t="s">
        <v>81</v>
      </c>
      <c r="C19" s="253">
        <v>0.5</v>
      </c>
      <c r="D19" s="253" t="s">
        <v>25</v>
      </c>
      <c r="E19" s="1670"/>
      <c r="F19" s="1655"/>
      <c r="G19" s="1654">
        <v>0.41</v>
      </c>
      <c r="H19" s="753"/>
      <c r="I19" s="1852"/>
    </row>
    <row r="20" spans="1:9">
      <c r="A20" s="8"/>
      <c r="B20" s="14" t="s">
        <v>80</v>
      </c>
      <c r="C20" s="254">
        <v>2.2000000000000002</v>
      </c>
      <c r="D20" s="253" t="s">
        <v>982</v>
      </c>
      <c r="E20" s="1670"/>
      <c r="F20" s="1655"/>
      <c r="G20" s="1654">
        <v>2.42</v>
      </c>
      <c r="H20" s="753"/>
      <c r="I20" s="1852"/>
    </row>
    <row r="21" spans="1:9">
      <c r="A21" s="8"/>
      <c r="B21" s="14" t="s">
        <v>1036</v>
      </c>
      <c r="C21" s="1705">
        <v>12</v>
      </c>
      <c r="D21" s="253" t="s">
        <v>1010</v>
      </c>
      <c r="E21" s="1670"/>
      <c r="F21" s="1655"/>
      <c r="G21" s="1757" t="s">
        <v>1037</v>
      </c>
      <c r="H21" s="753"/>
      <c r="I21" s="1852"/>
    </row>
    <row r="22" spans="1:9">
      <c r="A22" s="8"/>
      <c r="B22" s="14" t="s">
        <v>1038</v>
      </c>
      <c r="C22" s="1705" t="s">
        <v>1039</v>
      </c>
      <c r="D22" s="253" t="s">
        <v>1040</v>
      </c>
      <c r="E22" s="1670"/>
      <c r="F22" s="1655"/>
      <c r="G22" s="1757" t="s">
        <v>1037</v>
      </c>
      <c r="H22" s="753"/>
      <c r="I22" s="1852"/>
    </row>
    <row r="23" spans="1:9">
      <c r="A23" s="8"/>
      <c r="B23" s="14" t="s">
        <v>1041</v>
      </c>
      <c r="C23" s="1705" t="s">
        <v>1042</v>
      </c>
      <c r="D23" s="253" t="s">
        <v>1043</v>
      </c>
      <c r="E23" s="1670"/>
      <c r="F23" s="1655"/>
      <c r="G23" s="1757" t="s">
        <v>1037</v>
      </c>
      <c r="H23" s="753"/>
      <c r="I23" s="1852"/>
    </row>
    <row r="24" spans="1:9">
      <c r="A24" s="8"/>
      <c r="B24" s="14" t="s">
        <v>1044</v>
      </c>
      <c r="C24" s="1705">
        <v>25</v>
      </c>
      <c r="D24" s="253" t="s">
        <v>1040</v>
      </c>
      <c r="E24" s="1670"/>
      <c r="F24" s="1655"/>
      <c r="G24" s="1757" t="s">
        <v>1037</v>
      </c>
      <c r="H24" s="753"/>
      <c r="I24" s="1852"/>
    </row>
    <row r="25" spans="1:9">
      <c r="A25" s="8"/>
      <c r="B25" s="236" t="s">
        <v>1045</v>
      </c>
      <c r="C25" s="1663">
        <v>50</v>
      </c>
      <c r="D25" s="1663" t="s">
        <v>1046</v>
      </c>
      <c r="E25" s="1671"/>
      <c r="F25" s="1660"/>
      <c r="G25" s="1661">
        <v>50</v>
      </c>
      <c r="H25" s="1674"/>
      <c r="I25" s="1852"/>
    </row>
    <row r="26" spans="1:9">
      <c r="A26" s="8"/>
      <c r="B26" s="1651" t="s">
        <v>78</v>
      </c>
      <c r="C26" s="1652"/>
      <c r="D26" s="1652"/>
      <c r="E26" s="273"/>
      <c r="F26" s="1672"/>
      <c r="G26" s="1653"/>
      <c r="H26" s="1672"/>
      <c r="I26" s="1852"/>
    </row>
    <row r="27" spans="1:9">
      <c r="A27" s="15"/>
      <c r="B27" s="236" t="s">
        <v>193</v>
      </c>
      <c r="C27" s="1663">
        <f>C14*94.2%</f>
        <v>2355</v>
      </c>
      <c r="D27" s="1663" t="s">
        <v>379</v>
      </c>
      <c r="E27" s="1524">
        <v>12357.54</v>
      </c>
      <c r="F27" s="1524">
        <v>14705.95</v>
      </c>
      <c r="G27" s="1875">
        <f>F27-E27</f>
        <v>2348.41</v>
      </c>
      <c r="H27" s="1876">
        <f>G27/G14</f>
        <v>0.93205667566280348</v>
      </c>
      <c r="I27" s="1852"/>
    </row>
    <row r="28" spans="1:9">
      <c r="A28" s="8"/>
      <c r="B28" s="14" t="s">
        <v>82</v>
      </c>
      <c r="C28" s="253">
        <v>0.05</v>
      </c>
      <c r="D28" s="253" t="s">
        <v>25</v>
      </c>
      <c r="E28" s="1670"/>
      <c r="F28" s="1877"/>
      <c r="G28" s="1878">
        <v>0.06</v>
      </c>
      <c r="H28" s="1879"/>
      <c r="I28" s="1852"/>
    </row>
    <row r="29" spans="1:9">
      <c r="A29" s="8"/>
      <c r="B29" s="14" t="s">
        <v>81</v>
      </c>
      <c r="C29" s="253">
        <v>0.03</v>
      </c>
      <c r="D29" s="253" t="s">
        <v>25</v>
      </c>
      <c r="E29" s="1670"/>
      <c r="F29" s="1880"/>
      <c r="G29" s="1881">
        <v>0.05</v>
      </c>
      <c r="H29" s="1882"/>
      <c r="I29" s="1855"/>
    </row>
    <row r="30" spans="1:9">
      <c r="A30" s="8"/>
      <c r="B30" s="14" t="s">
        <v>1047</v>
      </c>
      <c r="C30" s="253"/>
      <c r="D30" s="253" t="s">
        <v>1048</v>
      </c>
      <c r="E30" s="1670"/>
      <c r="F30" s="1880"/>
      <c r="G30" s="1881" t="s">
        <v>1049</v>
      </c>
      <c r="H30" s="1882"/>
      <c r="I30" s="1855"/>
    </row>
    <row r="31" spans="1:9">
      <c r="A31" s="8"/>
      <c r="B31" s="14" t="s">
        <v>1050</v>
      </c>
      <c r="C31" s="235">
        <v>2</v>
      </c>
      <c r="D31" s="253" t="s">
        <v>1040</v>
      </c>
      <c r="E31" s="1670"/>
      <c r="F31" s="1880"/>
      <c r="G31" s="1881" t="s">
        <v>1037</v>
      </c>
      <c r="H31" s="1882"/>
      <c r="I31" s="1855"/>
    </row>
    <row r="32" spans="1:9">
      <c r="A32" s="8"/>
      <c r="B32" s="14" t="s">
        <v>923</v>
      </c>
      <c r="C32" s="254">
        <v>2.5</v>
      </c>
      <c r="D32" s="253" t="s">
        <v>25</v>
      </c>
      <c r="E32" s="1670"/>
      <c r="F32" s="1880"/>
      <c r="G32" s="1881">
        <v>2.5</v>
      </c>
      <c r="H32" s="1882"/>
      <c r="I32" s="1852"/>
    </row>
    <row r="33" spans="1:9">
      <c r="A33" s="8"/>
      <c r="B33" s="14" t="s">
        <v>929</v>
      </c>
      <c r="C33" s="1705">
        <v>60</v>
      </c>
      <c r="D33" s="235" t="s">
        <v>983</v>
      </c>
      <c r="E33" s="1670"/>
      <c r="F33" s="1880"/>
      <c r="G33" s="1771" t="s">
        <v>1037</v>
      </c>
      <c r="H33" s="1883"/>
      <c r="I33" s="1852"/>
    </row>
    <row r="34" spans="1:9">
      <c r="A34" s="8"/>
      <c r="B34" s="14" t="s">
        <v>930</v>
      </c>
      <c r="C34" s="254" t="s">
        <v>931</v>
      </c>
      <c r="D34" s="254"/>
      <c r="E34" s="1670"/>
      <c r="F34" s="1880"/>
      <c r="G34" s="1771" t="s">
        <v>1037</v>
      </c>
      <c r="H34" s="1883"/>
      <c r="I34" s="1852"/>
    </row>
    <row r="35" spans="1:9">
      <c r="A35" s="8"/>
      <c r="B35" s="14" t="s">
        <v>932</v>
      </c>
      <c r="C35" s="1705">
        <v>50</v>
      </c>
      <c r="D35" s="1705" t="s">
        <v>1003</v>
      </c>
      <c r="E35" s="1670"/>
      <c r="F35" s="1884"/>
      <c r="G35" s="1885">
        <v>50</v>
      </c>
      <c r="H35" s="1886"/>
      <c r="I35" s="1852"/>
    </row>
    <row r="36" spans="1:9">
      <c r="A36" s="15"/>
      <c r="B36" s="65" t="s">
        <v>64</v>
      </c>
      <c r="C36" s="1663">
        <f>C14*5%</f>
        <v>125</v>
      </c>
      <c r="D36" s="1663" t="s">
        <v>379</v>
      </c>
      <c r="E36" s="1650">
        <v>572.71</v>
      </c>
      <c r="F36" s="1650">
        <v>675.39</v>
      </c>
      <c r="G36" s="1887">
        <f>F36-E36</f>
        <v>102.67999999999995</v>
      </c>
      <c r="H36" s="1888">
        <f>G36/G14</f>
        <v>4.0752500396888366E-2</v>
      </c>
      <c r="I36" s="1855"/>
    </row>
    <row r="37" spans="1:9" ht="14.7" hidden="1" customHeight="1">
      <c r="A37" s="15"/>
      <c r="B37" s="718" t="s">
        <v>351</v>
      </c>
      <c r="C37" s="743"/>
      <c r="D37" s="235"/>
      <c r="E37" s="33"/>
      <c r="H37" s="1673"/>
      <c r="I37" s="1852"/>
    </row>
    <row r="38" spans="1:9" ht="14.7" hidden="1" customHeight="1">
      <c r="A38" s="8"/>
      <c r="B38" s="11" t="s">
        <v>84</v>
      </c>
      <c r="C38" s="252"/>
      <c r="D38" s="252"/>
      <c r="E38" s="33"/>
      <c r="H38" s="1673"/>
      <c r="I38" s="1852"/>
    </row>
    <row r="39" spans="1:9" ht="14.7" hidden="1" customHeight="1">
      <c r="A39" s="8"/>
      <c r="B39" s="11" t="s">
        <v>355</v>
      </c>
      <c r="C39" s="252"/>
      <c r="D39" s="252"/>
      <c r="E39" s="33">
        <v>0</v>
      </c>
      <c r="H39" s="1673"/>
      <c r="I39" s="1852"/>
    </row>
    <row r="40" spans="1:9" ht="14.7" hidden="1" customHeight="1">
      <c r="A40" s="15"/>
      <c r="B40" s="65" t="s">
        <v>354</v>
      </c>
      <c r="C40" s="235"/>
      <c r="D40" s="235"/>
      <c r="E40" s="271">
        <v>392100</v>
      </c>
      <c r="H40" s="1673"/>
      <c r="I40" s="1852"/>
    </row>
    <row r="41" spans="1:9" ht="14.7" hidden="1" customHeight="1">
      <c r="A41" s="15"/>
      <c r="B41" s="947" t="s">
        <v>376</v>
      </c>
      <c r="C41" s="948"/>
      <c r="D41" s="948"/>
      <c r="E41" s="949"/>
      <c r="H41" s="1673"/>
      <c r="I41" s="1852"/>
    </row>
    <row r="42" spans="1:9" ht="14.7" hidden="1" customHeight="1">
      <c r="A42" s="15"/>
      <c r="B42" s="14" t="s">
        <v>353</v>
      </c>
      <c r="C42" s="742"/>
      <c r="D42" s="742"/>
      <c r="E42" s="33">
        <f>SUM(E45,E49,E54,E58,E68)</f>
        <v>0</v>
      </c>
      <c r="H42" s="1673"/>
      <c r="I42" s="1852"/>
    </row>
    <row r="43" spans="1:9" ht="14.7" hidden="1" customHeight="1">
      <c r="A43" s="15"/>
      <c r="B43" s="14" t="s">
        <v>352</v>
      </c>
      <c r="C43" s="744"/>
      <c r="D43" s="742"/>
      <c r="E43" s="33">
        <f>E40-E42</f>
        <v>392100</v>
      </c>
      <c r="H43" s="1673"/>
      <c r="I43" s="1852"/>
    </row>
    <row r="44" spans="1:9" ht="14.7" hidden="1" customHeight="1">
      <c r="A44" s="15"/>
      <c r="B44" s="231" t="s">
        <v>76</v>
      </c>
      <c r="C44" s="232"/>
      <c r="D44" s="232"/>
      <c r="E44" s="95"/>
      <c r="H44" s="1673"/>
      <c r="I44" s="1852"/>
    </row>
    <row r="45" spans="1:9" ht="14.7" hidden="1" customHeight="1">
      <c r="A45" s="15"/>
      <c r="B45" s="14" t="s">
        <v>75</v>
      </c>
      <c r="C45" s="256"/>
      <c r="D45" s="256"/>
      <c r="E45" s="33">
        <f>E46+E47</f>
        <v>0</v>
      </c>
      <c r="H45" s="1673"/>
      <c r="I45" s="1852"/>
    </row>
    <row r="46" spans="1:9" ht="14.7" hidden="1" customHeight="1">
      <c r="A46" s="15"/>
      <c r="B46" s="65" t="s">
        <v>74</v>
      </c>
      <c r="C46" s="256"/>
      <c r="D46" s="256"/>
      <c r="E46" s="271">
        <v>0</v>
      </c>
      <c r="H46" s="1673"/>
      <c r="I46" s="1852"/>
    </row>
    <row r="47" spans="1:9" ht="14.7" hidden="1" customHeight="1">
      <c r="A47" s="15"/>
      <c r="B47" s="65" t="s">
        <v>73</v>
      </c>
      <c r="C47" s="256"/>
      <c r="D47" s="256"/>
      <c r="E47" s="272">
        <v>0</v>
      </c>
      <c r="H47" s="1673"/>
      <c r="I47" s="1852"/>
    </row>
    <row r="48" spans="1:9" ht="14.7" hidden="1" customHeight="1">
      <c r="A48" s="69"/>
      <c r="B48" s="231" t="s">
        <v>104</v>
      </c>
      <c r="C48" s="306"/>
      <c r="D48" s="1800"/>
      <c r="E48" s="273"/>
      <c r="H48" s="1673"/>
      <c r="I48" s="1852"/>
    </row>
    <row r="49" spans="1:9" ht="14.7" hidden="1" customHeight="1">
      <c r="A49" s="15"/>
      <c r="B49" s="14" t="s">
        <v>75</v>
      </c>
      <c r="C49" s="256"/>
      <c r="D49" s="256"/>
      <c r="E49" s="33">
        <f>E50+E51</f>
        <v>0</v>
      </c>
      <c r="H49" s="1673"/>
      <c r="I49" s="1852"/>
    </row>
    <row r="50" spans="1:9" ht="14.7" hidden="1" customHeight="1">
      <c r="A50" s="15"/>
      <c r="B50" s="65" t="s">
        <v>105</v>
      </c>
      <c r="C50" s="256"/>
      <c r="D50" s="256"/>
      <c r="E50" s="271">
        <v>0</v>
      </c>
      <c r="H50" s="1673"/>
      <c r="I50" s="1852"/>
    </row>
    <row r="51" spans="1:9" ht="14.7" hidden="1" customHeight="1">
      <c r="A51" s="15"/>
      <c r="B51" s="65" t="s">
        <v>73</v>
      </c>
      <c r="C51" s="256"/>
      <c r="D51" s="256"/>
      <c r="E51" s="271">
        <v>0</v>
      </c>
      <c r="H51" s="1673"/>
      <c r="I51" s="1852"/>
    </row>
    <row r="52" spans="1:9" ht="14.7" hidden="1" customHeight="1">
      <c r="A52" s="15"/>
      <c r="B52" s="231" t="s">
        <v>107</v>
      </c>
      <c r="C52" s="234"/>
      <c r="D52" s="234"/>
      <c r="E52" s="95"/>
      <c r="H52" s="1673"/>
      <c r="I52" s="1852"/>
    </row>
    <row r="53" spans="1:9" ht="14.7" hidden="1" customHeight="1">
      <c r="A53" s="17"/>
      <c r="B53" s="11" t="s">
        <v>71</v>
      </c>
      <c r="C53" s="257"/>
      <c r="D53" s="257"/>
      <c r="E53" s="33"/>
      <c r="H53" s="1673"/>
      <c r="I53" s="1852"/>
    </row>
    <row r="54" spans="1:9" ht="14.7" hidden="1" customHeight="1">
      <c r="A54" s="15"/>
      <c r="B54" s="14" t="s">
        <v>70</v>
      </c>
      <c r="C54" s="256"/>
      <c r="D54" s="256"/>
      <c r="E54" s="33">
        <f>E55+E56</f>
        <v>0</v>
      </c>
      <c r="H54" s="1673"/>
      <c r="I54" s="1852"/>
    </row>
    <row r="55" spans="1:9" ht="14.7" hidden="1" customHeight="1">
      <c r="A55" s="15"/>
      <c r="B55" s="65" t="s">
        <v>109</v>
      </c>
      <c r="C55" s="256"/>
      <c r="D55" s="256"/>
      <c r="E55" s="271">
        <v>0</v>
      </c>
      <c r="H55" s="1673"/>
      <c r="I55" s="1852"/>
    </row>
    <row r="56" spans="1:9" ht="14.7" hidden="1" customHeight="1">
      <c r="A56" s="15"/>
      <c r="B56" s="56" t="s">
        <v>73</v>
      </c>
      <c r="C56" s="256"/>
      <c r="D56" s="256"/>
      <c r="E56" s="272">
        <v>0</v>
      </c>
      <c r="H56" s="1673"/>
      <c r="I56" s="1852"/>
    </row>
    <row r="57" spans="1:9" ht="14.7" hidden="1" customHeight="1">
      <c r="A57" s="69"/>
      <c r="B57" s="231" t="s">
        <v>110</v>
      </c>
      <c r="C57" s="306"/>
      <c r="D57" s="306"/>
      <c r="E57" s="95"/>
      <c r="H57" s="1673"/>
      <c r="I57" s="1852"/>
    </row>
    <row r="58" spans="1:9" ht="14.7" hidden="1" customHeight="1">
      <c r="A58" s="15"/>
      <c r="B58" s="14" t="s">
        <v>75</v>
      </c>
      <c r="C58" s="230">
        <f>C59+C60</f>
        <v>21429000</v>
      </c>
      <c r="D58" s="230"/>
      <c r="E58" s="33">
        <f>E59+E60</f>
        <v>0</v>
      </c>
      <c r="H58" s="1673"/>
      <c r="I58" s="1852"/>
    </row>
    <row r="59" spans="1:9" ht="14.7" hidden="1" customHeight="1">
      <c r="A59" s="15"/>
      <c r="B59" s="65" t="s">
        <v>112</v>
      </c>
      <c r="C59" s="68">
        <v>15000000</v>
      </c>
      <c r="D59" s="68"/>
      <c r="E59" s="271"/>
      <c r="H59" s="1673"/>
      <c r="I59" s="1852"/>
    </row>
    <row r="60" spans="1:9" ht="14.7" hidden="1" customHeight="1">
      <c r="A60" s="15"/>
      <c r="B60" s="65" t="s">
        <v>73</v>
      </c>
      <c r="C60" s="68">
        <v>6429000</v>
      </c>
      <c r="D60" s="68"/>
      <c r="E60" s="272"/>
      <c r="H60" s="1673"/>
      <c r="I60" s="1852"/>
    </row>
    <row r="61" spans="1:9" ht="14.7" hidden="1" customHeight="1">
      <c r="A61" s="69"/>
      <c r="B61" s="231" t="s">
        <v>816</v>
      </c>
      <c r="C61" s="306"/>
      <c r="D61" s="1800"/>
      <c r="E61" s="273"/>
      <c r="H61" s="1673"/>
      <c r="I61" s="1852"/>
    </row>
    <row r="62" spans="1:9" ht="14.7" hidden="1" customHeight="1">
      <c r="A62" s="17"/>
      <c r="B62" s="11" t="s">
        <v>71</v>
      </c>
      <c r="C62" s="257"/>
      <c r="D62" s="257"/>
      <c r="E62" s="33"/>
      <c r="H62" s="1673"/>
      <c r="I62" s="1852"/>
    </row>
    <row r="63" spans="1:9" ht="14.7" hidden="1" customHeight="1">
      <c r="A63" s="15"/>
      <c r="B63" s="14" t="s">
        <v>75</v>
      </c>
      <c r="C63" s="230">
        <f>C64+C65</f>
        <v>21429000</v>
      </c>
      <c r="D63" s="230"/>
      <c r="E63" s="33">
        <f>E64+E65</f>
        <v>0</v>
      </c>
      <c r="H63" s="1673"/>
      <c r="I63" s="1852"/>
    </row>
    <row r="64" spans="1:9" ht="14.7" hidden="1" customHeight="1">
      <c r="A64" s="15"/>
      <c r="B64" s="65" t="s">
        <v>112</v>
      </c>
      <c r="C64" s="68">
        <v>15000000</v>
      </c>
      <c r="D64" s="68"/>
      <c r="E64" s="271">
        <v>0</v>
      </c>
      <c r="H64" s="1673"/>
      <c r="I64" s="1852"/>
    </row>
    <row r="65" spans="1:9" ht="14.7" hidden="1" customHeight="1">
      <c r="A65" s="15"/>
      <c r="B65" s="65" t="s">
        <v>73</v>
      </c>
      <c r="C65" s="68">
        <v>6429000</v>
      </c>
      <c r="D65" s="68"/>
      <c r="E65" s="271">
        <v>0</v>
      </c>
      <c r="H65" s="1673"/>
      <c r="I65" s="1852"/>
    </row>
    <row r="66" spans="1:9" ht="14.7" hidden="1" customHeight="1">
      <c r="A66" s="15"/>
      <c r="B66" s="231" t="s">
        <v>72</v>
      </c>
      <c r="C66" s="234"/>
      <c r="D66" s="234"/>
      <c r="E66" s="95"/>
      <c r="H66" s="1673"/>
      <c r="I66" s="1852"/>
    </row>
    <row r="67" spans="1:9" ht="14.7" hidden="1" customHeight="1">
      <c r="A67" s="17"/>
      <c r="B67" s="11" t="s">
        <v>71</v>
      </c>
      <c r="C67" s="257"/>
      <c r="D67" s="257"/>
      <c r="E67" s="33"/>
      <c r="H67" s="1673"/>
      <c r="I67" s="1852"/>
    </row>
    <row r="68" spans="1:9" ht="14.7" hidden="1" customHeight="1">
      <c r="A68" s="15"/>
      <c r="B68" s="14" t="s">
        <v>70</v>
      </c>
      <c r="C68" s="256"/>
      <c r="D68" s="256"/>
      <c r="E68" s="33">
        <f>E70+E71</f>
        <v>0</v>
      </c>
      <c r="H68" s="1673"/>
      <c r="I68" s="1852"/>
    </row>
    <row r="69" spans="1:9" ht="14.7" hidden="1" customHeight="1">
      <c r="A69" s="15"/>
      <c r="B69" s="65" t="s">
        <v>69</v>
      </c>
      <c r="C69" s="256"/>
      <c r="D69" s="256"/>
      <c r="E69" s="271">
        <v>0</v>
      </c>
      <c r="H69" s="1673"/>
      <c r="I69" s="1852"/>
    </row>
    <row r="70" spans="1:9" ht="14.7" hidden="1" customHeight="1">
      <c r="A70" s="15"/>
      <c r="B70" s="65" t="s">
        <v>68</v>
      </c>
      <c r="C70" s="256"/>
      <c r="D70" s="256"/>
      <c r="E70" s="271">
        <v>0</v>
      </c>
      <c r="H70" s="1673"/>
      <c r="I70" s="1852"/>
    </row>
    <row r="71" spans="1:9" ht="14.7" hidden="1" customHeight="1">
      <c r="A71" s="15"/>
      <c r="B71" s="65" t="s">
        <v>67</v>
      </c>
      <c r="C71" s="256"/>
      <c r="D71" s="256"/>
      <c r="E71" s="271">
        <v>0</v>
      </c>
      <c r="H71" s="1673"/>
      <c r="I71" s="1852"/>
    </row>
    <row r="72" spans="1:9" ht="14.7" hidden="1" customHeight="1">
      <c r="A72" s="15"/>
      <c r="B72" s="75" t="s">
        <v>113</v>
      </c>
      <c r="C72" s="256"/>
      <c r="D72" s="256"/>
      <c r="E72" s="274">
        <v>0</v>
      </c>
      <c r="H72" s="1673"/>
      <c r="I72" s="1852"/>
    </row>
    <row r="73" spans="1:9" ht="14.7" hidden="1" customHeight="1">
      <c r="A73" s="8"/>
      <c r="B73" s="76" t="s">
        <v>66</v>
      </c>
      <c r="C73" s="77"/>
      <c r="D73" s="77"/>
      <c r="E73" s="95"/>
      <c r="H73" s="1673"/>
      <c r="I73" s="1852"/>
    </row>
    <row r="74" spans="1:9" ht="14.7" hidden="1" customHeight="1">
      <c r="A74" s="15"/>
      <c r="B74" s="75" t="s">
        <v>65</v>
      </c>
      <c r="C74" s="1570">
        <v>94.2</v>
      </c>
      <c r="D74" s="1570"/>
      <c r="E74" s="275">
        <f>(E27/(E14))*100</f>
        <v>91.30858841036752</v>
      </c>
      <c r="H74" s="1673"/>
      <c r="I74" s="1852"/>
    </row>
    <row r="75" spans="1:9" ht="14.7" hidden="1" customHeight="1">
      <c r="A75" s="15"/>
      <c r="B75" s="75" t="s">
        <v>64</v>
      </c>
      <c r="C75" s="127">
        <v>5</v>
      </c>
      <c r="D75" s="127"/>
      <c r="E75" s="275">
        <f>(E36/(E14))*100</f>
        <v>4.2316951163825145</v>
      </c>
      <c r="H75" s="1673"/>
      <c r="I75" s="1852"/>
    </row>
    <row r="76" spans="1:9" ht="14.7" hidden="1" customHeight="1">
      <c r="A76" s="15"/>
      <c r="B76" s="75" t="s">
        <v>63</v>
      </c>
      <c r="C76" s="127">
        <v>82</v>
      </c>
      <c r="D76" s="127"/>
      <c r="E76" s="275" t="e">
        <f>E46/(E46+E47)*100</f>
        <v>#DIV/0!</v>
      </c>
      <c r="H76" s="1673"/>
      <c r="I76" s="1852"/>
    </row>
    <row r="77" spans="1:9" ht="14.7" hidden="1" customHeight="1">
      <c r="A77" s="15"/>
      <c r="B77" s="75" t="s">
        <v>62</v>
      </c>
      <c r="C77" s="127">
        <v>18</v>
      </c>
      <c r="D77" s="127"/>
      <c r="E77" s="275" t="e">
        <f>(E47/E45)*100</f>
        <v>#DIV/0!</v>
      </c>
      <c r="H77" s="1673"/>
      <c r="I77" s="1852"/>
    </row>
    <row r="78" spans="1:9" ht="14.7" hidden="1" customHeight="1">
      <c r="A78" s="15"/>
      <c r="B78" s="75" t="s">
        <v>106</v>
      </c>
      <c r="C78" s="127">
        <v>75</v>
      </c>
      <c r="D78" s="127"/>
      <c r="E78" s="275" t="e">
        <f>(E50/E49)*100</f>
        <v>#DIV/0!</v>
      </c>
      <c r="H78" s="1673"/>
      <c r="I78" s="1852"/>
    </row>
    <row r="79" spans="1:9" ht="14.7" hidden="1" customHeight="1">
      <c r="A79" s="15"/>
      <c r="B79" s="75" t="s">
        <v>62</v>
      </c>
      <c r="C79" s="127">
        <v>25</v>
      </c>
      <c r="D79" s="127"/>
      <c r="E79" s="275" t="e">
        <f>(E51/E49)*100</f>
        <v>#DIV/0!</v>
      </c>
      <c r="H79" s="1673"/>
      <c r="I79" s="1852"/>
    </row>
    <row r="80" spans="1:9" ht="14.7" hidden="1" customHeight="1">
      <c r="A80" s="15"/>
      <c r="B80" s="75" t="s">
        <v>108</v>
      </c>
      <c r="C80" s="127">
        <v>75</v>
      </c>
      <c r="D80" s="127"/>
      <c r="E80" s="275" t="e">
        <f>E55/E54*100</f>
        <v>#DIV/0!</v>
      </c>
      <c r="H80" s="1673"/>
      <c r="I80" s="1852"/>
    </row>
    <row r="81" spans="1:9" ht="14.7" hidden="1" customHeight="1">
      <c r="A81" s="15"/>
      <c r="B81" s="75" t="s">
        <v>62</v>
      </c>
      <c r="C81" s="127">
        <v>25</v>
      </c>
      <c r="D81" s="127"/>
      <c r="E81" s="275" t="e">
        <f>E56/E54*100</f>
        <v>#DIV/0!</v>
      </c>
      <c r="H81" s="1673"/>
      <c r="I81" s="1852"/>
    </row>
    <row r="82" spans="1:9" ht="14.7" hidden="1" customHeight="1">
      <c r="A82" s="15"/>
      <c r="B82" s="75" t="s">
        <v>111</v>
      </c>
      <c r="C82" s="127">
        <v>70</v>
      </c>
      <c r="D82" s="127"/>
      <c r="E82" s="275" t="e">
        <f>E59/(E59+E60)*100</f>
        <v>#DIV/0!</v>
      </c>
      <c r="H82" s="1673"/>
      <c r="I82" s="1852"/>
    </row>
    <row r="83" spans="1:9" ht="14.7" hidden="1" customHeight="1">
      <c r="A83" s="15"/>
      <c r="B83" s="75" t="s">
        <v>62</v>
      </c>
      <c r="C83" s="127">
        <v>30</v>
      </c>
      <c r="D83" s="127"/>
      <c r="E83" s="275" t="e">
        <f>E60/(E60+E59)*100</f>
        <v>#DIV/0!</v>
      </c>
      <c r="H83" s="1673"/>
      <c r="I83" s="1852"/>
    </row>
    <row r="84" spans="1:9" ht="14.7" hidden="1" customHeight="1">
      <c r="A84" s="15"/>
      <c r="B84" s="75" t="s">
        <v>817</v>
      </c>
      <c r="C84" s="127">
        <v>70</v>
      </c>
      <c r="D84" s="127"/>
      <c r="E84" s="275" t="e">
        <f>E64/(E64+E65)*100</f>
        <v>#DIV/0!</v>
      </c>
      <c r="H84" s="1673"/>
      <c r="I84" s="1852"/>
    </row>
    <row r="85" spans="1:9" ht="14.7" hidden="1" customHeight="1">
      <c r="A85" s="15"/>
      <c r="B85" s="75" t="s">
        <v>62</v>
      </c>
      <c r="C85" s="127">
        <v>30</v>
      </c>
      <c r="D85" s="127"/>
      <c r="E85" s="275" t="e">
        <f>E65/(E64+E65)*100</f>
        <v>#DIV/0!</v>
      </c>
      <c r="H85" s="1673"/>
      <c r="I85" s="1852"/>
    </row>
    <row r="86" spans="1:9" ht="14.7" hidden="1" customHeight="1">
      <c r="A86" s="15"/>
      <c r="B86" s="75" t="s">
        <v>61</v>
      </c>
      <c r="C86" s="127">
        <v>60</v>
      </c>
      <c r="D86" s="127"/>
      <c r="E86" s="275" t="e">
        <f>E69/E68*100</f>
        <v>#DIV/0!</v>
      </c>
      <c r="H86" s="1673"/>
      <c r="I86" s="1852"/>
    </row>
    <row r="87" spans="1:9" ht="15" hidden="1" customHeight="1">
      <c r="A87" s="19"/>
      <c r="B87" s="75" t="s">
        <v>60</v>
      </c>
      <c r="C87" s="127">
        <v>40</v>
      </c>
      <c r="D87" s="127"/>
      <c r="E87" s="275" t="e">
        <f>E71/E68*100</f>
        <v>#DIV/0!</v>
      </c>
      <c r="H87" s="1673"/>
      <c r="I87" s="1852"/>
    </row>
    <row r="88" spans="1:9">
      <c r="A88" s="8"/>
      <c r="B88" s="14" t="s">
        <v>82</v>
      </c>
      <c r="C88" s="254" t="s">
        <v>984</v>
      </c>
      <c r="D88" s="253" t="s">
        <v>25</v>
      </c>
      <c r="E88" s="1670"/>
      <c r="F88" s="1655"/>
      <c r="G88" s="1654">
        <v>90.21</v>
      </c>
      <c r="H88" s="753"/>
      <c r="I88" s="1852"/>
    </row>
    <row r="89" spans="1:9" ht="15" thickBot="1">
      <c r="A89" s="8"/>
      <c r="B89" s="14" t="s">
        <v>81</v>
      </c>
      <c r="C89" s="254">
        <v>0.5</v>
      </c>
      <c r="D89" s="253" t="s">
        <v>25</v>
      </c>
      <c r="E89" s="1670"/>
      <c r="F89" s="1655"/>
      <c r="G89" s="1654">
        <v>0.33</v>
      </c>
      <c r="H89" s="753"/>
      <c r="I89" s="1852"/>
    </row>
    <row r="90" spans="1:9" ht="15" thickBot="1">
      <c r="A90" s="1806">
        <v>2</v>
      </c>
      <c r="B90" s="1804" t="s">
        <v>59</v>
      </c>
      <c r="C90" s="1668"/>
      <c r="D90" s="1668"/>
      <c r="E90" s="1889" t="s">
        <v>918</v>
      </c>
      <c r="F90" s="1889" t="s">
        <v>919</v>
      </c>
      <c r="G90" s="1668" t="s">
        <v>188</v>
      </c>
      <c r="H90" s="1669" t="s">
        <v>991</v>
      </c>
      <c r="I90" s="1852"/>
    </row>
    <row r="91" spans="1:9">
      <c r="A91" s="8"/>
      <c r="B91" s="236" t="s">
        <v>58</v>
      </c>
      <c r="C91" s="253">
        <v>9</v>
      </c>
      <c r="D91" s="253" t="s">
        <v>86</v>
      </c>
      <c r="E91" s="271">
        <v>122737</v>
      </c>
      <c r="F91" s="271">
        <v>143761</v>
      </c>
      <c r="G91" s="271">
        <f>F91-E91</f>
        <v>21024</v>
      </c>
      <c r="H91" s="1890">
        <f>G91/G14/10</f>
        <v>0.83441816161295423</v>
      </c>
      <c r="I91" s="1855" t="s">
        <v>819</v>
      </c>
    </row>
    <row r="92" spans="1:9" ht="14.7" hidden="1" customHeight="1">
      <c r="A92" s="15"/>
      <c r="B92" s="21"/>
      <c r="C92" s="255"/>
      <c r="D92" s="255"/>
      <c r="E92" s="277" t="e">
        <f>E91/(E16)*100</f>
        <v>#DIV/0!</v>
      </c>
      <c r="H92" s="1891"/>
      <c r="I92" s="1852"/>
    </row>
    <row r="93" spans="1:9" ht="14.7" hidden="1" customHeight="1">
      <c r="A93" s="8"/>
      <c r="B93" s="238" t="s">
        <v>57</v>
      </c>
      <c r="C93" s="258">
        <v>18</v>
      </c>
      <c r="D93" s="258"/>
      <c r="E93" s="278">
        <v>0</v>
      </c>
      <c r="H93" s="1891"/>
      <c r="I93" s="1852"/>
    </row>
    <row r="94" spans="1:9" ht="14.7" hidden="1" customHeight="1">
      <c r="A94" s="15"/>
      <c r="B94" s="22"/>
      <c r="C94" s="259"/>
      <c r="D94" s="259"/>
      <c r="E94" s="279" t="e">
        <f>E93/(E17)*100</f>
        <v>#DIV/0!</v>
      </c>
      <c r="H94" s="1891"/>
      <c r="I94" s="1855" t="s">
        <v>819</v>
      </c>
    </row>
    <row r="95" spans="1:9">
      <c r="A95" s="15"/>
      <c r="B95" s="236" t="s">
        <v>55</v>
      </c>
      <c r="C95" s="254" t="s">
        <v>985</v>
      </c>
      <c r="D95" s="253" t="s">
        <v>86</v>
      </c>
      <c r="E95" s="272">
        <v>1970.8</v>
      </c>
      <c r="F95" s="291">
        <v>867.36</v>
      </c>
      <c r="G95" s="1679">
        <f>E95-F95</f>
        <v>1103.44</v>
      </c>
      <c r="H95" s="1892">
        <f>G95/G14/10</f>
        <v>4.3794253056040636E-2</v>
      </c>
      <c r="I95" s="1855" t="s">
        <v>819</v>
      </c>
    </row>
    <row r="96" spans="1:9" ht="15" hidden="1" customHeight="1">
      <c r="A96" s="19"/>
      <c r="B96" s="24"/>
      <c r="C96" s="255"/>
      <c r="D96" s="255"/>
      <c r="E96" s="280"/>
      <c r="H96" s="1673"/>
      <c r="I96" s="1852"/>
    </row>
    <row r="97" spans="1:9">
      <c r="A97" s="139">
        <v>3</v>
      </c>
      <c r="B97" s="240" t="s">
        <v>168</v>
      </c>
      <c r="C97" s="1802" t="s">
        <v>987</v>
      </c>
      <c r="D97" s="241" t="s">
        <v>25</v>
      </c>
      <c r="E97" s="281"/>
      <c r="F97" s="1653"/>
      <c r="G97" s="281"/>
      <c r="H97" s="1893">
        <f>((SUM(G27+G36))-(SUM(G14)))/(SUM(G14))*100</f>
        <v>-2.7190823940308246</v>
      </c>
      <c r="I97" s="1852"/>
    </row>
    <row r="98" spans="1:9">
      <c r="A98" s="139"/>
      <c r="B98" s="310"/>
      <c r="C98" s="311"/>
      <c r="D98" s="311"/>
      <c r="E98" s="313"/>
      <c r="G98" s="313"/>
      <c r="H98" s="1894">
        <f>H97%*G14</f>
        <v>-68.510000000000673</v>
      </c>
      <c r="I98" s="1852"/>
    </row>
    <row r="99" spans="1:9">
      <c r="A99" s="69"/>
      <c r="B99" s="236" t="s">
        <v>54</v>
      </c>
      <c r="C99" s="1803" t="s">
        <v>986</v>
      </c>
      <c r="D99" s="1656" t="s">
        <v>25</v>
      </c>
      <c r="E99" s="282"/>
      <c r="F99" s="1657"/>
      <c r="G99" s="282"/>
      <c r="H99" s="1676"/>
      <c r="I99" s="1852"/>
    </row>
    <row r="100" spans="1:9" ht="15" thickBot="1">
      <c r="A100" s="86"/>
      <c r="B100" s="87" t="s">
        <v>53</v>
      </c>
      <c r="C100" s="255"/>
      <c r="D100" s="255"/>
      <c r="E100" s="1680"/>
      <c r="F100" s="1681"/>
      <c r="G100" s="1680"/>
      <c r="H100" s="1680">
        <f>SUM(G91,G93)+(H99%*SUM(G91,G93))</f>
        <v>21024</v>
      </c>
      <c r="I100" s="1852"/>
    </row>
    <row r="101" spans="1:9" ht="15" hidden="1" customHeight="1">
      <c r="A101" s="8">
        <v>4</v>
      </c>
      <c r="B101" s="47" t="s">
        <v>52</v>
      </c>
      <c r="C101" s="48"/>
      <c r="D101" s="1801"/>
      <c r="E101" s="273"/>
      <c r="H101" s="1673"/>
      <c r="I101" s="1852"/>
    </row>
    <row r="102" spans="1:9" ht="15" hidden="1" customHeight="1">
      <c r="A102" s="8"/>
      <c r="B102" s="26" t="s">
        <v>51</v>
      </c>
      <c r="C102" s="89"/>
      <c r="D102" s="89"/>
      <c r="E102" s="283"/>
      <c r="H102" s="1673"/>
      <c r="I102" s="1852"/>
    </row>
    <row r="103" spans="1:9" ht="15" hidden="1" customHeight="1">
      <c r="A103" s="15"/>
      <c r="B103" s="28" t="s">
        <v>46</v>
      </c>
      <c r="C103" s="91"/>
      <c r="D103" s="91"/>
      <c r="E103" s="284"/>
      <c r="H103" s="1673"/>
      <c r="I103" s="1852"/>
    </row>
    <row r="104" spans="1:9" ht="15" hidden="1" customHeight="1">
      <c r="A104" s="15"/>
      <c r="B104" s="30" t="s">
        <v>39</v>
      </c>
      <c r="C104" s="61"/>
      <c r="D104" s="61"/>
      <c r="E104" s="34">
        <v>0</v>
      </c>
      <c r="H104" s="1673"/>
      <c r="I104" s="1852"/>
    </row>
    <row r="105" spans="1:9" ht="15" hidden="1" customHeight="1">
      <c r="A105" s="15"/>
      <c r="B105" s="30" t="s">
        <v>38</v>
      </c>
      <c r="C105" s="61"/>
      <c r="D105" s="61"/>
      <c r="E105" s="34">
        <v>0</v>
      </c>
      <c r="H105" s="1673"/>
      <c r="I105" s="1852"/>
    </row>
    <row r="106" spans="1:9" ht="15" hidden="1" customHeight="1">
      <c r="A106" s="15"/>
      <c r="B106" s="30" t="s">
        <v>50</v>
      </c>
      <c r="C106" s="61"/>
      <c r="D106" s="61"/>
      <c r="E106" s="34">
        <v>0</v>
      </c>
      <c r="H106" s="1673"/>
      <c r="I106" s="1852"/>
    </row>
    <row r="107" spans="1:9" ht="15" hidden="1" customHeight="1">
      <c r="A107" s="15"/>
      <c r="B107" s="30" t="s">
        <v>29</v>
      </c>
      <c r="C107" s="61"/>
      <c r="D107" s="61"/>
      <c r="E107" s="33"/>
      <c r="H107" s="1673"/>
      <c r="I107" s="1852"/>
    </row>
    <row r="108" spans="1:9" ht="15" hidden="1" customHeight="1">
      <c r="A108" s="17"/>
      <c r="B108" s="31" t="s">
        <v>49</v>
      </c>
      <c r="C108" s="54"/>
      <c r="D108" s="54"/>
      <c r="E108" s="33"/>
      <c r="H108" s="1673"/>
      <c r="I108" s="1852"/>
    </row>
    <row r="109" spans="1:9" ht="15" hidden="1" customHeight="1">
      <c r="A109" s="17"/>
      <c r="B109" s="31" t="s">
        <v>48</v>
      </c>
      <c r="C109" s="54"/>
      <c r="D109" s="54"/>
      <c r="E109" s="33"/>
      <c r="H109" s="1673"/>
      <c r="I109" s="1852"/>
    </row>
    <row r="110" spans="1:9" ht="15" hidden="1" customHeight="1">
      <c r="A110" s="15"/>
      <c r="B110" s="30" t="s">
        <v>28</v>
      </c>
      <c r="C110" s="61"/>
      <c r="D110" s="61"/>
      <c r="E110" s="33"/>
      <c r="H110" s="1673"/>
      <c r="I110" s="1852"/>
    </row>
    <row r="111" spans="1:9" ht="15" hidden="1" customHeight="1">
      <c r="A111" s="15"/>
      <c r="B111" s="14" t="s">
        <v>49</v>
      </c>
      <c r="C111" s="61"/>
      <c r="D111" s="61"/>
      <c r="E111" s="33">
        <v>0</v>
      </c>
      <c r="H111" s="1673"/>
      <c r="I111" s="1852"/>
    </row>
    <row r="112" spans="1:9" ht="15" hidden="1" customHeight="1">
      <c r="A112" s="15"/>
      <c r="B112" s="14" t="s">
        <v>48</v>
      </c>
      <c r="C112" s="61"/>
      <c r="D112" s="61"/>
      <c r="E112" s="33">
        <v>0</v>
      </c>
      <c r="H112" s="1673"/>
      <c r="I112" s="1852"/>
    </row>
    <row r="113" spans="1:9" ht="15" hidden="1" customHeight="1">
      <c r="A113" s="15"/>
      <c r="B113" s="30" t="s">
        <v>36</v>
      </c>
      <c r="C113" s="61"/>
      <c r="D113" s="61"/>
      <c r="E113" s="285">
        <v>0</v>
      </c>
      <c r="H113" s="1673"/>
      <c r="I113" s="1852"/>
    </row>
    <row r="114" spans="1:9" ht="15" hidden="1" customHeight="1">
      <c r="A114" s="15"/>
      <c r="B114" s="30" t="s">
        <v>34</v>
      </c>
      <c r="C114" s="61"/>
      <c r="D114" s="61"/>
      <c r="E114" s="33">
        <v>0</v>
      </c>
      <c r="H114" s="1673"/>
      <c r="I114" s="1852"/>
    </row>
    <row r="115" spans="1:9" ht="15" hidden="1" customHeight="1">
      <c r="A115" s="8"/>
      <c r="B115" s="47" t="s">
        <v>32</v>
      </c>
      <c r="C115" s="48"/>
      <c r="D115" s="48"/>
      <c r="E115" s="95"/>
      <c r="H115" s="1673"/>
      <c r="I115" s="1852"/>
    </row>
    <row r="116" spans="1:9" ht="15" hidden="1" customHeight="1">
      <c r="A116" s="15"/>
      <c r="B116" s="30" t="s">
        <v>29</v>
      </c>
      <c r="C116" s="61"/>
      <c r="D116" s="61"/>
      <c r="E116" s="33"/>
      <c r="H116" s="1673"/>
      <c r="I116" s="1852"/>
    </row>
    <row r="117" spans="1:9" ht="15" hidden="1" customHeight="1">
      <c r="A117" s="15"/>
      <c r="B117" s="14" t="s">
        <v>49</v>
      </c>
      <c r="C117" s="61"/>
      <c r="D117" s="61"/>
      <c r="E117" s="33"/>
      <c r="H117" s="1673"/>
      <c r="I117" s="1852"/>
    </row>
    <row r="118" spans="1:9" ht="15" hidden="1" customHeight="1">
      <c r="A118" s="15"/>
      <c r="B118" s="14" t="s">
        <v>48</v>
      </c>
      <c r="C118" s="61"/>
      <c r="D118" s="61"/>
      <c r="E118" s="33"/>
      <c r="H118" s="1673"/>
      <c r="I118" s="1852"/>
    </row>
    <row r="119" spans="1:9" ht="15" hidden="1" customHeight="1">
      <c r="A119" s="15"/>
      <c r="B119" s="30" t="s">
        <v>28</v>
      </c>
      <c r="C119" s="61"/>
      <c r="D119" s="61"/>
      <c r="E119" s="33"/>
      <c r="H119" s="1673"/>
      <c r="I119" s="1852"/>
    </row>
    <row r="120" spans="1:9" ht="15" hidden="1" customHeight="1">
      <c r="A120" s="15"/>
      <c r="B120" s="14" t="s">
        <v>49</v>
      </c>
      <c r="C120" s="61"/>
      <c r="D120" s="61"/>
      <c r="E120" s="33">
        <v>0</v>
      </c>
      <c r="H120" s="1673"/>
      <c r="I120" s="1852"/>
    </row>
    <row r="121" spans="1:9" ht="15" hidden="1" customHeight="1">
      <c r="A121" s="15"/>
      <c r="B121" s="14" t="s">
        <v>48</v>
      </c>
      <c r="C121" s="61"/>
      <c r="D121" s="61"/>
      <c r="E121" s="33">
        <v>0</v>
      </c>
      <c r="H121" s="1673"/>
      <c r="I121" s="1852"/>
    </row>
    <row r="122" spans="1:9" ht="15" hidden="1" customHeight="1">
      <c r="A122" s="8"/>
      <c r="B122" s="47" t="s">
        <v>30</v>
      </c>
      <c r="C122" s="48"/>
      <c r="D122" s="48"/>
      <c r="E122" s="95"/>
      <c r="H122" s="1673"/>
      <c r="I122" s="1852"/>
    </row>
    <row r="123" spans="1:9" ht="15" hidden="1" customHeight="1">
      <c r="A123" s="15"/>
      <c r="B123" s="30" t="s">
        <v>29</v>
      </c>
      <c r="C123" s="61"/>
      <c r="D123" s="61"/>
      <c r="E123" s="33"/>
      <c r="H123" s="1673"/>
      <c r="I123" s="1852"/>
    </row>
    <row r="124" spans="1:9" ht="15" hidden="1" customHeight="1">
      <c r="A124" s="15"/>
      <c r="B124" s="14" t="s">
        <v>49</v>
      </c>
      <c r="C124" s="127">
        <v>0.3</v>
      </c>
      <c r="D124" s="127"/>
      <c r="E124" s="34" t="e">
        <v>#DIV/0!</v>
      </c>
      <c r="H124" s="1673"/>
      <c r="I124" s="1852"/>
    </row>
    <row r="125" spans="1:9" ht="15" hidden="1" customHeight="1">
      <c r="A125" s="15"/>
      <c r="B125" s="14" t="s">
        <v>48</v>
      </c>
      <c r="C125" s="127">
        <v>0.3</v>
      </c>
      <c r="D125" s="127"/>
      <c r="E125" s="34" t="e">
        <v>#DIV/0!</v>
      </c>
      <c r="H125" s="1673"/>
      <c r="I125" s="1852"/>
    </row>
    <row r="126" spans="1:9" ht="15" hidden="1" customHeight="1">
      <c r="A126" s="15"/>
      <c r="B126" s="30" t="s">
        <v>28</v>
      </c>
      <c r="C126" s="127"/>
      <c r="D126" s="127"/>
      <c r="E126" s="34"/>
      <c r="H126" s="1673"/>
      <c r="I126" s="1852"/>
    </row>
    <row r="127" spans="1:9" ht="15" hidden="1" customHeight="1">
      <c r="A127" s="15"/>
      <c r="B127" s="14" t="s">
        <v>49</v>
      </c>
      <c r="C127" s="127">
        <v>0.5</v>
      </c>
      <c r="D127" s="127"/>
      <c r="E127" s="34" t="e">
        <v>#DIV/0!</v>
      </c>
      <c r="H127" s="1673"/>
      <c r="I127" s="1852"/>
    </row>
    <row r="128" spans="1:9" ht="15" hidden="1" customHeight="1">
      <c r="A128" s="19"/>
      <c r="B128" s="14" t="s">
        <v>48</v>
      </c>
      <c r="C128" s="127">
        <v>0.5</v>
      </c>
      <c r="D128" s="127"/>
      <c r="E128" s="34" t="e">
        <v>#DIV/0!</v>
      </c>
      <c r="H128" s="1673"/>
      <c r="I128" s="1852"/>
    </row>
    <row r="129" spans="1:9" ht="15" hidden="1" customHeight="1">
      <c r="A129" s="8">
        <v>5</v>
      </c>
      <c r="B129" s="47" t="s">
        <v>47</v>
      </c>
      <c r="C129" s="48"/>
      <c r="D129" s="48"/>
      <c r="E129" s="95"/>
      <c r="H129" s="1673"/>
      <c r="I129" s="1852"/>
    </row>
    <row r="130" spans="1:9" ht="15" hidden="1" customHeight="1">
      <c r="A130" s="15"/>
      <c r="B130" s="28" t="s">
        <v>46</v>
      </c>
      <c r="C130" s="91"/>
      <c r="D130" s="91"/>
      <c r="E130" s="34"/>
      <c r="H130" s="1673"/>
      <c r="I130" s="1852"/>
    </row>
    <row r="131" spans="1:9" ht="15" hidden="1" customHeight="1">
      <c r="A131" s="15"/>
      <c r="B131" s="30" t="s">
        <v>39</v>
      </c>
      <c r="C131" s="61"/>
      <c r="D131" s="61"/>
      <c r="E131" s="34">
        <v>0</v>
      </c>
      <c r="H131" s="1673"/>
      <c r="I131" s="1852"/>
    </row>
    <row r="132" spans="1:9" ht="15" hidden="1" customHeight="1">
      <c r="A132" s="15"/>
      <c r="B132" s="30" t="s">
        <v>38</v>
      </c>
      <c r="C132" s="61"/>
      <c r="D132" s="61"/>
      <c r="E132" s="34">
        <v>0</v>
      </c>
      <c r="H132" s="1673"/>
      <c r="I132" s="1852"/>
    </row>
    <row r="133" spans="1:9" ht="15" hidden="1" customHeight="1">
      <c r="A133" s="15"/>
      <c r="B133" s="30" t="s">
        <v>50</v>
      </c>
      <c r="C133" s="61"/>
      <c r="D133" s="61"/>
      <c r="E133" s="34">
        <v>0</v>
      </c>
      <c r="H133" s="1673"/>
      <c r="I133" s="1852"/>
    </row>
    <row r="134" spans="1:9" ht="15" hidden="1" customHeight="1">
      <c r="A134" s="15"/>
      <c r="B134" s="30" t="s">
        <v>29</v>
      </c>
      <c r="C134" s="61"/>
      <c r="D134" s="61"/>
      <c r="E134" s="33"/>
      <c r="H134" s="1673"/>
      <c r="I134" s="1852"/>
    </row>
    <row r="135" spans="1:9" ht="15" hidden="1" customHeight="1">
      <c r="A135" s="17"/>
      <c r="B135" s="11" t="s">
        <v>45</v>
      </c>
      <c r="C135" s="54"/>
      <c r="D135" s="54"/>
      <c r="E135" s="33"/>
      <c r="H135" s="1673"/>
      <c r="I135" s="1852"/>
    </row>
    <row r="136" spans="1:9" ht="15" hidden="1" customHeight="1">
      <c r="A136" s="17"/>
      <c r="B136" s="11" t="s">
        <v>44</v>
      </c>
      <c r="C136" s="54"/>
      <c r="D136" s="54"/>
      <c r="E136" s="33"/>
      <c r="H136" s="1673"/>
      <c r="I136" s="1852"/>
    </row>
    <row r="137" spans="1:9" ht="15" hidden="1" customHeight="1">
      <c r="A137" s="15"/>
      <c r="B137" s="30" t="s">
        <v>28</v>
      </c>
      <c r="C137" s="61"/>
      <c r="D137" s="61"/>
      <c r="E137" s="33"/>
      <c r="H137" s="1673"/>
      <c r="I137" s="1852"/>
    </row>
    <row r="138" spans="1:9" ht="15" hidden="1" customHeight="1">
      <c r="A138" s="15"/>
      <c r="B138" s="11" t="s">
        <v>45</v>
      </c>
      <c r="C138" s="61"/>
      <c r="D138" s="61"/>
      <c r="E138" s="33">
        <v>0</v>
      </c>
      <c r="H138" s="1673"/>
      <c r="I138" s="1852"/>
    </row>
    <row r="139" spans="1:9" ht="15" hidden="1" customHeight="1">
      <c r="A139" s="15"/>
      <c r="B139" s="11" t="s">
        <v>44</v>
      </c>
      <c r="C139" s="61"/>
      <c r="D139" s="61"/>
      <c r="E139" s="33">
        <v>0</v>
      </c>
      <c r="H139" s="1673"/>
      <c r="I139" s="1852"/>
    </row>
    <row r="140" spans="1:9" ht="15" hidden="1" customHeight="1">
      <c r="A140" s="15"/>
      <c r="B140" s="30" t="s">
        <v>36</v>
      </c>
      <c r="C140" s="61"/>
      <c r="D140" s="61"/>
      <c r="E140" s="33">
        <v>0</v>
      </c>
      <c r="H140" s="1673"/>
      <c r="I140" s="1852"/>
    </row>
    <row r="141" spans="1:9" ht="15" hidden="1" customHeight="1">
      <c r="A141" s="15"/>
      <c r="B141" s="30" t="s">
        <v>34</v>
      </c>
      <c r="C141" s="61"/>
      <c r="D141" s="61"/>
      <c r="E141" s="33">
        <v>0</v>
      </c>
      <c r="H141" s="1673"/>
      <c r="I141" s="1852"/>
    </row>
    <row r="142" spans="1:9" ht="15" hidden="1" customHeight="1">
      <c r="A142" s="8"/>
      <c r="B142" s="47" t="s">
        <v>32</v>
      </c>
      <c r="C142" s="48"/>
      <c r="D142" s="48"/>
      <c r="E142" s="95"/>
      <c r="H142" s="1673"/>
      <c r="I142" s="1852"/>
    </row>
    <row r="143" spans="1:9" ht="15" hidden="1" customHeight="1">
      <c r="A143" s="15"/>
      <c r="B143" s="30" t="s">
        <v>29</v>
      </c>
      <c r="C143" s="61"/>
      <c r="D143" s="61"/>
      <c r="E143" s="33"/>
      <c r="H143" s="1673"/>
      <c r="I143" s="1852"/>
    </row>
    <row r="144" spans="1:9" ht="15" hidden="1" customHeight="1">
      <c r="A144" s="15"/>
      <c r="B144" s="11" t="s">
        <v>45</v>
      </c>
      <c r="C144" s="61"/>
      <c r="D144" s="61"/>
      <c r="E144" s="33"/>
      <c r="H144" s="1673"/>
      <c r="I144" s="1852"/>
    </row>
    <row r="145" spans="1:9" ht="15" hidden="1" customHeight="1">
      <c r="A145" s="15"/>
      <c r="B145" s="11" t="s">
        <v>44</v>
      </c>
      <c r="C145" s="61"/>
      <c r="D145" s="61"/>
      <c r="E145" s="33"/>
      <c r="H145" s="1673"/>
      <c r="I145" s="1852"/>
    </row>
    <row r="146" spans="1:9" ht="15" hidden="1" customHeight="1">
      <c r="A146" s="15"/>
      <c r="B146" s="30" t="s">
        <v>28</v>
      </c>
      <c r="C146" s="61"/>
      <c r="D146" s="61"/>
      <c r="E146" s="33"/>
      <c r="H146" s="1673"/>
      <c r="I146" s="1852"/>
    </row>
    <row r="147" spans="1:9" ht="15" hidden="1" customHeight="1">
      <c r="A147" s="15"/>
      <c r="B147" s="11" t="s">
        <v>45</v>
      </c>
      <c r="C147" s="61"/>
      <c r="D147" s="61"/>
      <c r="E147" s="33">
        <v>0</v>
      </c>
      <c r="H147" s="1673"/>
      <c r="I147" s="1852"/>
    </row>
    <row r="148" spans="1:9" ht="15" hidden="1" customHeight="1">
      <c r="A148" s="15"/>
      <c r="B148" s="11" t="s">
        <v>44</v>
      </c>
      <c r="C148" s="61"/>
      <c r="D148" s="61"/>
      <c r="E148" s="33">
        <v>0</v>
      </c>
      <c r="H148" s="1673"/>
      <c r="I148" s="1852"/>
    </row>
    <row r="149" spans="1:9" ht="15" hidden="1" customHeight="1">
      <c r="A149" s="8"/>
      <c r="B149" s="47" t="s">
        <v>30</v>
      </c>
      <c r="C149" s="48"/>
      <c r="D149" s="48"/>
      <c r="E149" s="95"/>
      <c r="H149" s="1673"/>
      <c r="I149" s="1852"/>
    </row>
    <row r="150" spans="1:9" ht="15" hidden="1" customHeight="1">
      <c r="A150" s="15"/>
      <c r="B150" s="30" t="s">
        <v>29</v>
      </c>
      <c r="C150" s="61"/>
      <c r="D150" s="61"/>
      <c r="E150" s="33"/>
      <c r="H150" s="1673"/>
      <c r="I150" s="1852"/>
    </row>
    <row r="151" spans="1:9" ht="15" hidden="1" customHeight="1">
      <c r="A151" s="15"/>
      <c r="B151" s="11" t="s">
        <v>45</v>
      </c>
      <c r="C151" s="127">
        <v>0.3</v>
      </c>
      <c r="D151" s="127"/>
      <c r="E151" s="34" t="e">
        <v>#DIV/0!</v>
      </c>
      <c r="H151" s="1673"/>
      <c r="I151" s="1852"/>
    </row>
    <row r="152" spans="1:9" ht="15" hidden="1" customHeight="1">
      <c r="A152" s="15"/>
      <c r="B152" s="11" t="s">
        <v>44</v>
      </c>
      <c r="C152" s="127">
        <v>0.3</v>
      </c>
      <c r="D152" s="127"/>
      <c r="E152" s="34" t="e">
        <v>#DIV/0!</v>
      </c>
      <c r="H152" s="1673"/>
      <c r="I152" s="1852"/>
    </row>
    <row r="153" spans="1:9" ht="15" hidden="1" customHeight="1">
      <c r="A153" s="15"/>
      <c r="B153" s="30" t="s">
        <v>28</v>
      </c>
      <c r="C153" s="127"/>
      <c r="D153" s="127"/>
      <c r="E153" s="34"/>
      <c r="H153" s="1673"/>
      <c r="I153" s="1852"/>
    </row>
    <row r="154" spans="1:9" ht="15" hidden="1" customHeight="1">
      <c r="A154" s="15"/>
      <c r="B154" s="11" t="s">
        <v>45</v>
      </c>
      <c r="C154" s="127">
        <v>0.5</v>
      </c>
      <c r="D154" s="127"/>
      <c r="E154" s="34" t="e">
        <v>#DIV/0!</v>
      </c>
      <c r="H154" s="1673"/>
      <c r="I154" s="1852"/>
    </row>
    <row r="155" spans="1:9" ht="15" hidden="1" customHeight="1">
      <c r="A155" s="15"/>
      <c r="B155" s="11" t="s">
        <v>44</v>
      </c>
      <c r="C155" s="127">
        <v>0.5</v>
      </c>
      <c r="D155" s="127"/>
      <c r="E155" s="34" t="e">
        <v>#DIV/0!</v>
      </c>
      <c r="H155" s="1673"/>
      <c r="I155" s="1852"/>
    </row>
    <row r="156" spans="1:9" ht="15" hidden="1" customHeight="1">
      <c r="A156" s="15"/>
      <c r="B156" s="47" t="s">
        <v>43</v>
      </c>
      <c r="C156" s="128"/>
      <c r="D156" s="128"/>
      <c r="E156" s="286"/>
      <c r="H156" s="1673"/>
      <c r="I156" s="1852"/>
    </row>
    <row r="157" spans="1:9" ht="15" hidden="1" customHeight="1">
      <c r="A157" s="15"/>
      <c r="B157" s="28" t="s">
        <v>114</v>
      </c>
      <c r="C157" s="127"/>
      <c r="D157" s="127"/>
      <c r="E157" s="42"/>
      <c r="H157" s="1673"/>
      <c r="I157" s="1852"/>
    </row>
    <row r="158" spans="1:9" ht="15" hidden="1" customHeight="1">
      <c r="A158" s="15"/>
      <c r="B158" s="28" t="s">
        <v>115</v>
      </c>
      <c r="C158" s="127"/>
      <c r="D158" s="127"/>
      <c r="E158" s="34"/>
      <c r="H158" s="1673"/>
      <c r="I158" s="1852"/>
    </row>
    <row r="159" spans="1:9" ht="15" hidden="1" customHeight="1">
      <c r="A159" s="15"/>
      <c r="B159" s="30" t="s">
        <v>39</v>
      </c>
      <c r="C159" s="127"/>
      <c r="D159" s="127"/>
      <c r="E159" s="34">
        <v>0</v>
      </c>
      <c r="H159" s="1673"/>
      <c r="I159" s="1852"/>
    </row>
    <row r="160" spans="1:9" ht="15" hidden="1" customHeight="1">
      <c r="A160" s="15"/>
      <c r="B160" s="30" t="s">
        <v>38</v>
      </c>
      <c r="C160" s="127"/>
      <c r="D160" s="127"/>
      <c r="E160" s="34">
        <v>0</v>
      </c>
      <c r="H160" s="1673"/>
      <c r="I160" s="1852"/>
    </row>
    <row r="161" spans="1:9" ht="15" hidden="1" customHeight="1">
      <c r="A161" s="15"/>
      <c r="B161" s="30" t="s">
        <v>29</v>
      </c>
      <c r="C161" s="127"/>
      <c r="D161" s="127"/>
      <c r="E161" s="33"/>
      <c r="H161" s="1673"/>
      <c r="I161" s="1852"/>
    </row>
    <row r="162" spans="1:9" ht="15" hidden="1" customHeight="1">
      <c r="A162" s="15"/>
      <c r="B162" s="11" t="s">
        <v>42</v>
      </c>
      <c r="C162" s="127"/>
      <c r="D162" s="127"/>
      <c r="E162" s="33"/>
      <c r="H162" s="1673"/>
      <c r="I162" s="1852"/>
    </row>
    <row r="163" spans="1:9" ht="15" hidden="1" customHeight="1">
      <c r="A163" s="15"/>
      <c r="B163" s="11" t="s">
        <v>41</v>
      </c>
      <c r="C163" s="127"/>
      <c r="D163" s="127"/>
      <c r="E163" s="33"/>
      <c r="H163" s="1673"/>
      <c r="I163" s="1852"/>
    </row>
    <row r="164" spans="1:9" ht="15" hidden="1" customHeight="1">
      <c r="A164" s="15"/>
      <c r="B164" s="30" t="s">
        <v>28</v>
      </c>
      <c r="C164" s="127"/>
      <c r="D164" s="127"/>
      <c r="E164" s="33"/>
      <c r="H164" s="1673"/>
      <c r="I164" s="1852"/>
    </row>
    <row r="165" spans="1:9" ht="15" hidden="1" customHeight="1">
      <c r="A165" s="15"/>
      <c r="B165" s="11" t="s">
        <v>42</v>
      </c>
      <c r="C165" s="127"/>
      <c r="D165" s="127"/>
      <c r="E165" s="33">
        <v>0</v>
      </c>
      <c r="H165" s="1673"/>
      <c r="I165" s="1852"/>
    </row>
    <row r="166" spans="1:9" ht="15" hidden="1" customHeight="1">
      <c r="A166" s="15"/>
      <c r="B166" s="11" t="s">
        <v>41</v>
      </c>
      <c r="C166" s="127"/>
      <c r="D166" s="127"/>
      <c r="E166" s="33">
        <v>0</v>
      </c>
      <c r="H166" s="1673"/>
      <c r="I166" s="1852"/>
    </row>
    <row r="167" spans="1:9" ht="15" hidden="1" customHeight="1">
      <c r="A167" s="15"/>
      <c r="B167" s="30" t="s">
        <v>36</v>
      </c>
      <c r="C167" s="127"/>
      <c r="D167" s="127"/>
      <c r="E167" s="33">
        <v>0</v>
      </c>
      <c r="H167" s="1673"/>
      <c r="I167" s="1852"/>
    </row>
    <row r="168" spans="1:9" ht="15" hidden="1" customHeight="1">
      <c r="A168" s="15"/>
      <c r="B168" s="30" t="s">
        <v>34</v>
      </c>
      <c r="C168" s="127"/>
      <c r="D168" s="127"/>
      <c r="E168" s="33">
        <v>0</v>
      </c>
      <c r="H168" s="1673"/>
      <c r="I168" s="1852"/>
    </row>
    <row r="169" spans="1:9" ht="15" hidden="1" customHeight="1">
      <c r="A169" s="15"/>
      <c r="B169" s="47" t="s">
        <v>32</v>
      </c>
      <c r="C169" s="128"/>
      <c r="D169" s="128"/>
      <c r="E169" s="95"/>
      <c r="H169" s="1673"/>
      <c r="I169" s="1852"/>
    </row>
    <row r="170" spans="1:9" ht="15" hidden="1" customHeight="1">
      <c r="A170" s="15"/>
      <c r="B170" s="30" t="s">
        <v>29</v>
      </c>
      <c r="C170" s="127"/>
      <c r="D170" s="127"/>
      <c r="E170" s="33"/>
      <c r="H170" s="1673"/>
      <c r="I170" s="1852"/>
    </row>
    <row r="171" spans="1:9" ht="15" hidden="1" customHeight="1">
      <c r="A171" s="15"/>
      <c r="B171" s="11" t="s">
        <v>42</v>
      </c>
      <c r="C171" s="127"/>
      <c r="D171" s="127"/>
      <c r="E171" s="33"/>
      <c r="H171" s="1673"/>
      <c r="I171" s="1852"/>
    </row>
    <row r="172" spans="1:9" ht="15" hidden="1" customHeight="1">
      <c r="A172" s="15"/>
      <c r="B172" s="11" t="s">
        <v>41</v>
      </c>
      <c r="C172" s="127"/>
      <c r="D172" s="127"/>
      <c r="E172" s="33"/>
      <c r="H172" s="1673"/>
      <c r="I172" s="1852"/>
    </row>
    <row r="173" spans="1:9" ht="15" hidden="1" customHeight="1">
      <c r="A173" s="15"/>
      <c r="B173" s="30" t="s">
        <v>28</v>
      </c>
      <c r="C173" s="127"/>
      <c r="D173" s="127"/>
      <c r="E173" s="33"/>
      <c r="H173" s="1673"/>
      <c r="I173" s="1852"/>
    </row>
    <row r="174" spans="1:9" ht="15" hidden="1" customHeight="1">
      <c r="A174" s="15"/>
      <c r="B174" s="11" t="s">
        <v>42</v>
      </c>
      <c r="C174" s="127"/>
      <c r="D174" s="127"/>
      <c r="E174" s="33">
        <v>0</v>
      </c>
      <c r="H174" s="1673"/>
      <c r="I174" s="1852"/>
    </row>
    <row r="175" spans="1:9" ht="15" hidden="1" customHeight="1">
      <c r="A175" s="15"/>
      <c r="B175" s="11" t="s">
        <v>41</v>
      </c>
      <c r="C175" s="127"/>
      <c r="D175" s="127"/>
      <c r="E175" s="33">
        <v>0</v>
      </c>
      <c r="H175" s="1673"/>
      <c r="I175" s="1852"/>
    </row>
    <row r="176" spans="1:9" ht="15" hidden="1" customHeight="1">
      <c r="A176" s="15"/>
      <c r="B176" s="47" t="s">
        <v>30</v>
      </c>
      <c r="C176" s="128"/>
      <c r="D176" s="128"/>
      <c r="E176" s="95"/>
      <c r="H176" s="1673"/>
      <c r="I176" s="1852"/>
    </row>
    <row r="177" spans="1:9" ht="15" hidden="1" customHeight="1">
      <c r="A177" s="15"/>
      <c r="B177" s="30" t="s">
        <v>29</v>
      </c>
      <c r="C177" s="127"/>
      <c r="D177" s="127"/>
      <c r="E177" s="33"/>
      <c r="H177" s="1673"/>
      <c r="I177" s="1852"/>
    </row>
    <row r="178" spans="1:9" ht="15" hidden="1" customHeight="1">
      <c r="A178" s="15"/>
      <c r="B178" s="11" t="s">
        <v>42</v>
      </c>
      <c r="C178" s="127"/>
      <c r="D178" s="127"/>
      <c r="E178" s="33" t="e">
        <v>#DIV/0!</v>
      </c>
      <c r="H178" s="1673"/>
      <c r="I178" s="1852"/>
    </row>
    <row r="179" spans="1:9" ht="15" hidden="1" customHeight="1">
      <c r="A179" s="15"/>
      <c r="B179" s="11" t="s">
        <v>91</v>
      </c>
      <c r="C179" s="127"/>
      <c r="D179" s="127"/>
      <c r="E179" s="33" t="e">
        <v>#DIV/0!</v>
      </c>
      <c r="H179" s="1673"/>
      <c r="I179" s="1852"/>
    </row>
    <row r="180" spans="1:9" ht="15" hidden="1" customHeight="1">
      <c r="A180" s="15"/>
      <c r="B180" s="30" t="s">
        <v>28</v>
      </c>
      <c r="C180" s="127"/>
      <c r="D180" s="127"/>
      <c r="E180" s="33"/>
      <c r="H180" s="1673"/>
      <c r="I180" s="1852"/>
    </row>
    <row r="181" spans="1:9" ht="15" hidden="1" customHeight="1">
      <c r="A181" s="15"/>
      <c r="B181" s="11" t="s">
        <v>42</v>
      </c>
      <c r="C181" s="127"/>
      <c r="D181" s="127"/>
      <c r="E181" s="33" t="e">
        <v>#DIV/0!</v>
      </c>
      <c r="H181" s="1673"/>
      <c r="I181" s="1852"/>
    </row>
    <row r="182" spans="1:9" ht="15" hidden="1" customHeight="1">
      <c r="A182" s="19"/>
      <c r="B182" s="11" t="s">
        <v>91</v>
      </c>
      <c r="C182" s="127"/>
      <c r="D182" s="127"/>
      <c r="E182" s="33" t="e">
        <v>#DIV/0!</v>
      </c>
      <c r="H182" s="1673"/>
      <c r="I182" s="1852"/>
    </row>
    <row r="183" spans="1:9" ht="15" hidden="1" customHeight="1">
      <c r="A183" s="8">
        <v>6</v>
      </c>
      <c r="B183" s="47" t="s">
        <v>40</v>
      </c>
      <c r="C183" s="48"/>
      <c r="D183" s="48"/>
      <c r="E183" s="95"/>
      <c r="H183" s="1673"/>
      <c r="I183" s="1852"/>
    </row>
    <row r="184" spans="1:9" ht="15" hidden="1" customHeight="1">
      <c r="A184" s="15"/>
      <c r="B184" s="28" t="s">
        <v>115</v>
      </c>
      <c r="C184" s="91"/>
      <c r="D184" s="91"/>
      <c r="E184" s="42"/>
      <c r="H184" s="1673"/>
      <c r="I184" s="1852"/>
    </row>
    <row r="185" spans="1:9" ht="15" hidden="1" customHeight="1">
      <c r="A185" s="15"/>
      <c r="B185" s="30" t="s">
        <v>39</v>
      </c>
      <c r="C185" s="61"/>
      <c r="D185" s="61"/>
      <c r="E185" s="34">
        <v>0</v>
      </c>
      <c r="H185" s="1673"/>
      <c r="I185" s="1852"/>
    </row>
    <row r="186" spans="1:9" ht="15" hidden="1" customHeight="1">
      <c r="A186" s="15"/>
      <c r="B186" s="30" t="s">
        <v>38</v>
      </c>
      <c r="C186" s="61"/>
      <c r="D186" s="61"/>
      <c r="E186" s="34">
        <v>0</v>
      </c>
      <c r="H186" s="1673"/>
      <c r="I186" s="1852"/>
    </row>
    <row r="187" spans="1:9" ht="15" hidden="1" customHeight="1">
      <c r="A187" s="15"/>
      <c r="B187" s="30" t="s">
        <v>29</v>
      </c>
      <c r="C187" s="61"/>
      <c r="D187" s="61"/>
      <c r="E187" s="33"/>
      <c r="H187" s="1673"/>
      <c r="I187" s="1852"/>
    </row>
    <row r="188" spans="1:9" ht="15" hidden="1" customHeight="1">
      <c r="A188" s="15"/>
      <c r="B188" s="11" t="s">
        <v>116</v>
      </c>
      <c r="C188" s="61"/>
      <c r="D188" s="61"/>
      <c r="E188" s="33"/>
      <c r="H188" s="1673"/>
      <c r="I188" s="1852"/>
    </row>
    <row r="189" spans="1:9" ht="15" hidden="1" customHeight="1">
      <c r="A189" s="17"/>
      <c r="B189" s="11" t="s">
        <v>27</v>
      </c>
      <c r="C189" s="54"/>
      <c r="D189" s="54"/>
      <c r="E189" s="33"/>
      <c r="H189" s="1673"/>
      <c r="I189" s="1852"/>
    </row>
    <row r="190" spans="1:9" ht="15" hidden="1" customHeight="1">
      <c r="A190" s="17"/>
      <c r="B190" s="11" t="s">
        <v>26</v>
      </c>
      <c r="C190" s="54"/>
      <c r="D190" s="54"/>
      <c r="E190" s="33"/>
      <c r="H190" s="1673"/>
      <c r="I190" s="1852"/>
    </row>
    <row r="191" spans="1:9" ht="15" hidden="1" customHeight="1">
      <c r="A191" s="17"/>
      <c r="B191" s="11" t="s">
        <v>37</v>
      </c>
      <c r="C191" s="54"/>
      <c r="D191" s="54"/>
      <c r="E191" s="33"/>
      <c r="H191" s="1673"/>
      <c r="I191" s="1852"/>
    </row>
    <row r="192" spans="1:9" ht="15" hidden="1" customHeight="1">
      <c r="A192" s="15"/>
      <c r="B192" s="30" t="s">
        <v>28</v>
      </c>
      <c r="C192" s="61"/>
      <c r="D192" s="61"/>
      <c r="E192" s="33"/>
      <c r="H192" s="1673"/>
      <c r="I192" s="1852"/>
    </row>
    <row r="193" spans="1:9" ht="15" hidden="1" customHeight="1">
      <c r="A193" s="15"/>
      <c r="B193" s="11" t="s">
        <v>116</v>
      </c>
      <c r="C193" s="61"/>
      <c r="D193" s="61"/>
      <c r="E193" s="33">
        <v>0</v>
      </c>
      <c r="H193" s="1673"/>
      <c r="I193" s="1852"/>
    </row>
    <row r="194" spans="1:9" ht="15" hidden="1" customHeight="1">
      <c r="A194" s="15"/>
      <c r="B194" s="11" t="s">
        <v>27</v>
      </c>
      <c r="C194" s="61"/>
      <c r="D194" s="61"/>
      <c r="E194" s="33">
        <v>0</v>
      </c>
      <c r="H194" s="1673"/>
      <c r="I194" s="1852"/>
    </row>
    <row r="195" spans="1:9" ht="15" hidden="1" customHeight="1">
      <c r="A195" s="15"/>
      <c r="B195" s="11" t="s">
        <v>26</v>
      </c>
      <c r="C195" s="61"/>
      <c r="D195" s="61"/>
      <c r="E195" s="33">
        <v>0</v>
      </c>
      <c r="H195" s="1673"/>
      <c r="I195" s="1852"/>
    </row>
    <row r="196" spans="1:9" ht="15" hidden="1" customHeight="1">
      <c r="A196" s="15"/>
      <c r="B196" s="11" t="s">
        <v>37</v>
      </c>
      <c r="C196" s="61"/>
      <c r="D196" s="61"/>
      <c r="E196" s="33">
        <v>0</v>
      </c>
      <c r="H196" s="1673"/>
      <c r="I196" s="1852"/>
    </row>
    <row r="197" spans="1:9" ht="15" hidden="1" customHeight="1">
      <c r="A197" s="15"/>
      <c r="B197" s="30" t="s">
        <v>36</v>
      </c>
      <c r="C197" s="61"/>
      <c r="D197" s="61"/>
      <c r="E197" s="33">
        <v>0</v>
      </c>
      <c r="H197" s="1673"/>
      <c r="I197" s="1852"/>
    </row>
    <row r="198" spans="1:9" ht="15" hidden="1" customHeight="1">
      <c r="A198" s="15"/>
      <c r="B198" s="30" t="s">
        <v>34</v>
      </c>
      <c r="C198" s="61"/>
      <c r="D198" s="61"/>
      <c r="E198" s="33">
        <v>0</v>
      </c>
      <c r="H198" s="1673"/>
      <c r="I198" s="1852"/>
    </row>
    <row r="199" spans="1:9" ht="15" hidden="1" customHeight="1">
      <c r="A199" s="8"/>
      <c r="B199" s="47" t="s">
        <v>32</v>
      </c>
      <c r="C199" s="48"/>
      <c r="D199" s="48"/>
      <c r="E199" s="95"/>
      <c r="H199" s="1673"/>
      <c r="I199" s="1852"/>
    </row>
    <row r="200" spans="1:9" ht="15" hidden="1" customHeight="1">
      <c r="A200" s="15"/>
      <c r="B200" s="30" t="s">
        <v>29</v>
      </c>
      <c r="C200" s="61"/>
      <c r="D200" s="61"/>
      <c r="E200" s="33"/>
      <c r="H200" s="1673"/>
      <c r="I200" s="1852"/>
    </row>
    <row r="201" spans="1:9" ht="15" hidden="1" customHeight="1">
      <c r="A201" s="15"/>
      <c r="B201" s="11" t="s">
        <v>116</v>
      </c>
      <c r="C201" s="61"/>
      <c r="D201" s="61"/>
      <c r="E201" s="33">
        <v>0</v>
      </c>
      <c r="H201" s="1673"/>
      <c r="I201" s="1852"/>
    </row>
    <row r="202" spans="1:9" ht="15" hidden="1" customHeight="1">
      <c r="A202" s="15"/>
      <c r="B202" s="11" t="s">
        <v>27</v>
      </c>
      <c r="C202" s="61"/>
      <c r="D202" s="61"/>
      <c r="E202" s="33">
        <v>0</v>
      </c>
      <c r="H202" s="1673"/>
      <c r="I202" s="1852"/>
    </row>
    <row r="203" spans="1:9" ht="15" hidden="1" customHeight="1">
      <c r="A203" s="15"/>
      <c r="B203" s="11" t="s">
        <v>26</v>
      </c>
      <c r="C203" s="61"/>
      <c r="D203" s="61"/>
      <c r="E203" s="33">
        <v>0</v>
      </c>
      <c r="H203" s="1673"/>
      <c r="I203" s="1852"/>
    </row>
    <row r="204" spans="1:9" ht="15" hidden="1" customHeight="1">
      <c r="A204" s="15"/>
      <c r="B204" s="30" t="s">
        <v>28</v>
      </c>
      <c r="C204" s="61"/>
      <c r="D204" s="61"/>
      <c r="E204" s="33"/>
      <c r="H204" s="1673"/>
      <c r="I204" s="1852"/>
    </row>
    <row r="205" spans="1:9" ht="15" hidden="1" customHeight="1">
      <c r="A205" s="15"/>
      <c r="B205" s="11" t="s">
        <v>116</v>
      </c>
      <c r="C205" s="61"/>
      <c r="D205" s="61"/>
      <c r="E205" s="33">
        <v>0</v>
      </c>
      <c r="H205" s="1673"/>
      <c r="I205" s="1852"/>
    </row>
    <row r="206" spans="1:9" ht="15" hidden="1" customHeight="1">
      <c r="A206" s="15"/>
      <c r="B206" s="11" t="s">
        <v>27</v>
      </c>
      <c r="C206" s="61"/>
      <c r="D206" s="61"/>
      <c r="E206" s="33">
        <v>0</v>
      </c>
      <c r="H206" s="1673"/>
      <c r="I206" s="1852"/>
    </row>
    <row r="207" spans="1:9" ht="15" hidden="1" customHeight="1">
      <c r="A207" s="15"/>
      <c r="B207" s="11" t="s">
        <v>26</v>
      </c>
      <c r="C207" s="61"/>
      <c r="D207" s="61"/>
      <c r="E207" s="33">
        <v>0</v>
      </c>
      <c r="H207" s="1673"/>
      <c r="I207" s="1852"/>
    </row>
    <row r="208" spans="1:9" ht="15" hidden="1" customHeight="1">
      <c r="A208" s="8"/>
      <c r="B208" s="47" t="s">
        <v>30</v>
      </c>
      <c r="C208" s="48"/>
      <c r="D208" s="48"/>
      <c r="E208" s="95"/>
      <c r="H208" s="1673"/>
      <c r="I208" s="1852"/>
    </row>
    <row r="209" spans="1:9" ht="15" hidden="1" customHeight="1">
      <c r="A209" s="15"/>
      <c r="B209" s="30" t="s">
        <v>29</v>
      </c>
      <c r="C209" s="61"/>
      <c r="D209" s="61"/>
      <c r="E209" s="33"/>
      <c r="H209" s="1673"/>
      <c r="I209" s="1852"/>
    </row>
    <row r="210" spans="1:9" ht="15" hidden="1" customHeight="1">
      <c r="A210" s="15"/>
      <c r="B210" s="11" t="s">
        <v>116</v>
      </c>
      <c r="C210" s="127">
        <v>0.3</v>
      </c>
      <c r="D210" s="127"/>
      <c r="E210" s="34" t="e">
        <v>#DIV/0!</v>
      </c>
      <c r="H210" s="1673"/>
      <c r="I210" s="1852"/>
    </row>
    <row r="211" spans="1:9" ht="15" hidden="1" customHeight="1">
      <c r="A211" s="15"/>
      <c r="B211" s="11" t="s">
        <v>27</v>
      </c>
      <c r="C211" s="127">
        <v>0.3</v>
      </c>
      <c r="D211" s="127"/>
      <c r="E211" s="34" t="e">
        <v>#DIV/0!</v>
      </c>
      <c r="H211" s="1673"/>
      <c r="I211" s="1852"/>
    </row>
    <row r="212" spans="1:9" ht="15" hidden="1" customHeight="1">
      <c r="A212" s="15"/>
      <c r="B212" s="11" t="s">
        <v>26</v>
      </c>
      <c r="C212" s="127">
        <v>0.3</v>
      </c>
      <c r="D212" s="127"/>
      <c r="E212" s="34" t="e">
        <v>#DIV/0!</v>
      </c>
      <c r="H212" s="1673"/>
      <c r="I212" s="1852"/>
    </row>
    <row r="213" spans="1:9" ht="15" hidden="1" customHeight="1">
      <c r="A213" s="15"/>
      <c r="B213" s="30" t="s">
        <v>28</v>
      </c>
      <c r="C213" s="127"/>
      <c r="D213" s="127"/>
      <c r="E213" s="34"/>
      <c r="H213" s="1673"/>
      <c r="I213" s="1852"/>
    </row>
    <row r="214" spans="1:9" ht="15" hidden="1" customHeight="1">
      <c r="A214" s="15"/>
      <c r="B214" s="11" t="s">
        <v>116</v>
      </c>
      <c r="C214" s="127">
        <v>0.5</v>
      </c>
      <c r="D214" s="127"/>
      <c r="E214" s="34" t="e">
        <v>#DIV/0!</v>
      </c>
      <c r="H214" s="1673"/>
      <c r="I214" s="1852"/>
    </row>
    <row r="215" spans="1:9" ht="15" hidden="1" customHeight="1">
      <c r="A215" s="15"/>
      <c r="B215" s="11" t="s">
        <v>27</v>
      </c>
      <c r="C215" s="127">
        <v>0.5</v>
      </c>
      <c r="D215" s="127"/>
      <c r="E215" s="34" t="e">
        <v>#DIV/0!</v>
      </c>
      <c r="H215" s="1673"/>
      <c r="I215" s="1852"/>
    </row>
    <row r="216" spans="1:9" ht="15" hidden="1" customHeight="1">
      <c r="A216" s="19"/>
      <c r="B216" s="11" t="s">
        <v>26</v>
      </c>
      <c r="C216" s="127">
        <v>0.5</v>
      </c>
      <c r="D216" s="127"/>
      <c r="E216" s="34" t="e">
        <v>#DIV/0!</v>
      </c>
      <c r="H216" s="1673"/>
      <c r="I216" s="1852"/>
    </row>
    <row r="217" spans="1:9" ht="15" hidden="1" customHeight="1">
      <c r="A217" s="8">
        <v>7</v>
      </c>
      <c r="B217" s="47" t="s">
        <v>87</v>
      </c>
      <c r="C217" s="128"/>
      <c r="D217" s="128"/>
      <c r="E217" s="287"/>
      <c r="H217" s="1673"/>
      <c r="I217" s="1852"/>
    </row>
    <row r="218" spans="1:9" ht="15" hidden="1" customHeight="1">
      <c r="A218" s="15"/>
      <c r="B218" s="26" t="s">
        <v>92</v>
      </c>
      <c r="C218" s="127"/>
      <c r="D218" s="127"/>
      <c r="E218" s="42"/>
      <c r="H218" s="1673"/>
      <c r="I218" s="1852"/>
    </row>
    <row r="219" spans="1:9" ht="15" hidden="1" customHeight="1">
      <c r="A219" s="15"/>
      <c r="B219" s="11" t="s">
        <v>93</v>
      </c>
      <c r="C219" s="127"/>
      <c r="D219" s="127"/>
      <c r="E219" s="34"/>
      <c r="H219" s="1673"/>
      <c r="I219" s="1852"/>
    </row>
    <row r="220" spans="1:9" ht="15" hidden="1" customHeight="1">
      <c r="A220" s="15"/>
      <c r="B220" s="11" t="s">
        <v>39</v>
      </c>
      <c r="C220" s="127"/>
      <c r="D220" s="127"/>
      <c r="E220" s="34">
        <v>0</v>
      </c>
      <c r="H220" s="1673"/>
      <c r="I220" s="1852"/>
    </row>
    <row r="221" spans="1:9" ht="15" hidden="1" customHeight="1">
      <c r="A221" s="15"/>
      <c r="B221" s="11" t="s">
        <v>38</v>
      </c>
      <c r="C221" s="127"/>
      <c r="D221" s="127"/>
      <c r="E221" s="34">
        <v>0</v>
      </c>
      <c r="H221" s="1673"/>
      <c r="I221" s="1852"/>
    </row>
    <row r="222" spans="1:9" ht="15" hidden="1" customHeight="1">
      <c r="A222" s="15"/>
      <c r="B222" s="30" t="s">
        <v>50</v>
      </c>
      <c r="C222" s="127"/>
      <c r="D222" s="127"/>
      <c r="E222" s="34">
        <v>0</v>
      </c>
      <c r="H222" s="1673"/>
      <c r="I222" s="1852"/>
    </row>
    <row r="223" spans="1:9" ht="15" hidden="1" customHeight="1">
      <c r="A223" s="15"/>
      <c r="B223" s="11" t="s">
        <v>29</v>
      </c>
      <c r="C223" s="127"/>
      <c r="D223" s="127"/>
      <c r="E223" s="34"/>
      <c r="H223" s="1673"/>
      <c r="I223" s="1852"/>
    </row>
    <row r="224" spans="1:9" ht="15" hidden="1" customHeight="1">
      <c r="A224" s="15"/>
      <c r="B224" s="11" t="s">
        <v>88</v>
      </c>
      <c r="C224" s="127"/>
      <c r="D224" s="127"/>
      <c r="E224" s="33"/>
      <c r="H224" s="1673"/>
      <c r="I224" s="1852"/>
    </row>
    <row r="225" spans="1:9" ht="15" hidden="1" customHeight="1">
      <c r="A225" s="15"/>
      <c r="B225" s="11" t="s">
        <v>117</v>
      </c>
      <c r="C225" s="127"/>
      <c r="D225" s="127"/>
      <c r="E225" s="33"/>
      <c r="H225" s="1673"/>
      <c r="I225" s="1852"/>
    </row>
    <row r="226" spans="1:9" ht="15" hidden="1" customHeight="1">
      <c r="A226" s="15"/>
      <c r="B226" s="38" t="s">
        <v>28</v>
      </c>
      <c r="C226" s="127"/>
      <c r="D226" s="127"/>
      <c r="E226" s="34"/>
      <c r="H226" s="1673"/>
      <c r="I226" s="1852"/>
    </row>
    <row r="227" spans="1:9" ht="15" hidden="1" customHeight="1">
      <c r="A227" s="15"/>
      <c r="B227" s="11" t="s">
        <v>88</v>
      </c>
      <c r="C227" s="127"/>
      <c r="D227" s="127"/>
      <c r="E227" s="33">
        <v>0</v>
      </c>
      <c r="H227" s="1673"/>
      <c r="I227" s="1852"/>
    </row>
    <row r="228" spans="1:9" ht="15" hidden="1" customHeight="1">
      <c r="A228" s="15"/>
      <c r="B228" s="11" t="s">
        <v>117</v>
      </c>
      <c r="C228" s="127"/>
      <c r="D228" s="127"/>
      <c r="E228" s="33">
        <v>0</v>
      </c>
      <c r="H228" s="1673"/>
      <c r="I228" s="1852"/>
    </row>
    <row r="229" spans="1:9" ht="15" hidden="1" customHeight="1">
      <c r="A229" s="15"/>
      <c r="B229" s="11" t="s">
        <v>36</v>
      </c>
      <c r="C229" s="127"/>
      <c r="D229" s="127"/>
      <c r="E229" s="33">
        <v>0</v>
      </c>
      <c r="H229" s="1673"/>
      <c r="I229" s="1852"/>
    </row>
    <row r="230" spans="1:9" ht="15" hidden="1" customHeight="1">
      <c r="A230" s="15"/>
      <c r="B230" s="11" t="s">
        <v>34</v>
      </c>
      <c r="C230" s="127"/>
      <c r="D230" s="127"/>
      <c r="E230" s="33">
        <v>0</v>
      </c>
      <c r="H230" s="1673"/>
      <c r="I230" s="1852"/>
    </row>
    <row r="231" spans="1:9" ht="15" hidden="1" customHeight="1">
      <c r="A231" s="15"/>
      <c r="B231" s="47" t="s">
        <v>32</v>
      </c>
      <c r="C231" s="128"/>
      <c r="D231" s="128"/>
      <c r="E231" s="288"/>
      <c r="H231" s="1673"/>
      <c r="I231" s="1852"/>
    </row>
    <row r="232" spans="1:9" ht="15" hidden="1" customHeight="1">
      <c r="A232" s="15"/>
      <c r="B232" s="11" t="s">
        <v>29</v>
      </c>
      <c r="C232" s="127"/>
      <c r="D232" s="127"/>
      <c r="E232" s="34"/>
      <c r="H232" s="1673"/>
      <c r="I232" s="1852"/>
    </row>
    <row r="233" spans="1:9" ht="15" hidden="1" customHeight="1">
      <c r="A233" s="15"/>
      <c r="B233" s="11" t="s">
        <v>88</v>
      </c>
      <c r="C233" s="127"/>
      <c r="D233" s="127"/>
      <c r="E233" s="33"/>
      <c r="H233" s="1673"/>
      <c r="I233" s="1852"/>
    </row>
    <row r="234" spans="1:9" ht="15" hidden="1" customHeight="1">
      <c r="A234" s="15"/>
      <c r="B234" s="11" t="s">
        <v>117</v>
      </c>
      <c r="C234" s="127"/>
      <c r="D234" s="127"/>
      <c r="E234" s="33"/>
      <c r="H234" s="1673"/>
      <c r="I234" s="1852"/>
    </row>
    <row r="235" spans="1:9" ht="15" hidden="1" customHeight="1">
      <c r="A235" s="15"/>
      <c r="B235" s="11" t="s">
        <v>28</v>
      </c>
      <c r="C235" s="127"/>
      <c r="D235" s="127"/>
      <c r="E235" s="34"/>
      <c r="H235" s="1673"/>
      <c r="I235" s="1852"/>
    </row>
    <row r="236" spans="1:9" ht="15" hidden="1" customHeight="1">
      <c r="A236" s="15"/>
      <c r="B236" s="11" t="s">
        <v>88</v>
      </c>
      <c r="C236" s="127"/>
      <c r="D236" s="127"/>
      <c r="E236" s="33">
        <v>0</v>
      </c>
      <c r="H236" s="1673"/>
      <c r="I236" s="1852"/>
    </row>
    <row r="237" spans="1:9" ht="15" hidden="1" customHeight="1">
      <c r="A237" s="15"/>
      <c r="B237" s="11" t="s">
        <v>117</v>
      </c>
      <c r="C237" s="127"/>
      <c r="D237" s="127"/>
      <c r="E237" s="33">
        <v>0</v>
      </c>
      <c r="H237" s="1673"/>
      <c r="I237" s="1852"/>
    </row>
    <row r="238" spans="1:9" ht="15" hidden="1" customHeight="1">
      <c r="A238" s="15"/>
      <c r="B238" s="47" t="s">
        <v>30</v>
      </c>
      <c r="C238" s="131"/>
      <c r="D238" s="131"/>
      <c r="E238" s="273"/>
      <c r="H238" s="1673"/>
      <c r="I238" s="1852"/>
    </row>
    <row r="239" spans="1:9" ht="15" hidden="1" customHeight="1">
      <c r="A239" s="15"/>
      <c r="B239" s="30" t="s">
        <v>29</v>
      </c>
      <c r="C239" s="127"/>
      <c r="D239" s="127"/>
      <c r="E239" s="33"/>
      <c r="H239" s="1673"/>
      <c r="I239" s="1852"/>
    </row>
    <row r="240" spans="1:9" ht="15" hidden="1" customHeight="1">
      <c r="A240" s="15"/>
      <c r="B240" s="11" t="s">
        <v>88</v>
      </c>
      <c r="C240" s="127">
        <v>0.3</v>
      </c>
      <c r="D240" s="127"/>
      <c r="E240" s="33" t="e">
        <v>#DIV/0!</v>
      </c>
      <c r="H240" s="1673"/>
      <c r="I240" s="1852"/>
    </row>
    <row r="241" spans="1:9" ht="15" hidden="1" customHeight="1">
      <c r="A241" s="15"/>
      <c r="B241" s="11" t="s">
        <v>117</v>
      </c>
      <c r="C241" s="127">
        <v>0.3</v>
      </c>
      <c r="D241" s="127"/>
      <c r="E241" s="33" t="e">
        <v>#DIV/0!</v>
      </c>
      <c r="H241" s="1673"/>
      <c r="I241" s="1852"/>
    </row>
    <row r="242" spans="1:9" ht="15" hidden="1" customHeight="1">
      <c r="A242" s="15"/>
      <c r="B242" s="30" t="s">
        <v>28</v>
      </c>
      <c r="C242" s="127"/>
      <c r="D242" s="127"/>
      <c r="E242" s="33"/>
      <c r="H242" s="1673"/>
      <c r="I242" s="1852"/>
    </row>
    <row r="243" spans="1:9" ht="15" hidden="1" customHeight="1">
      <c r="A243" s="15"/>
      <c r="B243" s="11" t="s">
        <v>88</v>
      </c>
      <c r="C243" s="127">
        <v>0.5</v>
      </c>
      <c r="D243" s="127"/>
      <c r="E243" s="33" t="e">
        <v>#DIV/0!</v>
      </c>
      <c r="H243" s="1673"/>
      <c r="I243" s="1852"/>
    </row>
    <row r="244" spans="1:9" ht="15" hidden="1" customHeight="1">
      <c r="A244" s="15"/>
      <c r="B244" s="11" t="s">
        <v>117</v>
      </c>
      <c r="C244" s="127">
        <v>0.5</v>
      </c>
      <c r="D244" s="127"/>
      <c r="E244" s="33" t="e">
        <v>#DIV/0!</v>
      </c>
      <c r="H244" s="1673"/>
      <c r="I244" s="1852"/>
    </row>
    <row r="245" spans="1:9" ht="15" hidden="1" customHeight="1">
      <c r="A245" s="15"/>
      <c r="B245" s="102" t="s">
        <v>94</v>
      </c>
      <c r="C245" s="132"/>
      <c r="D245" s="132"/>
      <c r="E245" s="289">
        <v>0</v>
      </c>
      <c r="H245" s="1673"/>
      <c r="I245" s="1852"/>
    </row>
    <row r="246" spans="1:9" ht="15" hidden="1" customHeight="1">
      <c r="A246" s="15"/>
      <c r="B246" s="72" t="s">
        <v>118</v>
      </c>
      <c r="C246" s="134"/>
      <c r="D246" s="134"/>
      <c r="E246" s="290">
        <v>0</v>
      </c>
      <c r="H246" s="1673"/>
      <c r="I246" s="1852"/>
    </row>
    <row r="247" spans="1:9" ht="15" hidden="1" customHeight="1">
      <c r="A247" s="15"/>
      <c r="B247" s="105" t="s">
        <v>89</v>
      </c>
      <c r="C247" s="135"/>
      <c r="D247" s="135"/>
      <c r="E247" s="291">
        <v>0</v>
      </c>
      <c r="H247" s="1673"/>
      <c r="I247" s="1852"/>
    </row>
    <row r="248" spans="1:9" ht="15" hidden="1" customHeight="1">
      <c r="A248" s="15"/>
      <c r="B248" s="108" t="s">
        <v>90</v>
      </c>
      <c r="C248" s="136"/>
      <c r="D248" s="136"/>
      <c r="E248" s="292">
        <v>0</v>
      </c>
      <c r="H248" s="1673"/>
      <c r="I248" s="1852"/>
    </row>
    <row r="249" spans="1:9" ht="15" hidden="1" customHeight="1">
      <c r="A249" s="15"/>
      <c r="B249" s="111" t="s">
        <v>95</v>
      </c>
      <c r="C249" s="132"/>
      <c r="D249" s="132"/>
      <c r="E249" s="293">
        <v>0</v>
      </c>
      <c r="H249" s="1673"/>
      <c r="I249" s="1852"/>
    </row>
    <row r="250" spans="1:9" ht="15" thickBot="1">
      <c r="A250" s="1806">
        <v>4</v>
      </c>
      <c r="B250" s="1779" t="s">
        <v>24</v>
      </c>
      <c r="C250" s="1666"/>
      <c r="D250" s="1666"/>
      <c r="E250" s="1889" t="s">
        <v>918</v>
      </c>
      <c r="F250" s="1889" t="s">
        <v>919</v>
      </c>
      <c r="G250" s="1668" t="s">
        <v>188</v>
      </c>
      <c r="H250" s="1669" t="s">
        <v>993</v>
      </c>
      <c r="I250" s="1852"/>
    </row>
    <row r="251" spans="1:9" hidden="1">
      <c r="A251" s="69"/>
      <c r="B251" s="236" t="s">
        <v>22</v>
      </c>
      <c r="C251" s="261">
        <v>1460.001</v>
      </c>
      <c r="D251" s="261" t="s">
        <v>988</v>
      </c>
      <c r="E251" s="294"/>
      <c r="F251" s="1657"/>
      <c r="G251" s="294">
        <v>1236.1327000000001</v>
      </c>
      <c r="H251" s="1676"/>
      <c r="I251" s="1852"/>
    </row>
    <row r="252" spans="1:9" hidden="1">
      <c r="A252" s="8"/>
      <c r="B252" s="236" t="s">
        <v>23</v>
      </c>
      <c r="C252" s="255"/>
      <c r="D252" s="255"/>
      <c r="E252" s="294"/>
      <c r="F252" s="1657"/>
      <c r="G252" s="294">
        <v>949.19</v>
      </c>
      <c r="H252" s="1676"/>
      <c r="I252" s="1852"/>
    </row>
    <row r="253" spans="1:9">
      <c r="A253" s="15"/>
      <c r="B253" s="28" t="s">
        <v>11</v>
      </c>
      <c r="C253" s="478"/>
      <c r="D253" s="478"/>
      <c r="E253" s="296"/>
      <c r="G253" s="753"/>
      <c r="H253" s="1673"/>
      <c r="I253" s="1852"/>
    </row>
    <row r="254" spans="1:9" ht="15" thickBot="1">
      <c r="A254" s="15"/>
      <c r="B254" s="236" t="s">
        <v>21</v>
      </c>
      <c r="C254" s="253">
        <v>4.3</v>
      </c>
      <c r="D254" s="253" t="s">
        <v>1051</v>
      </c>
      <c r="E254" s="246">
        <v>50922.43</v>
      </c>
      <c r="F254" s="246">
        <v>58347.35</v>
      </c>
      <c r="G254" s="1524">
        <f>F254-E254</f>
        <v>7424.9199999999983</v>
      </c>
      <c r="H254" s="1798">
        <f>G254/G14</f>
        <v>2.9468645816796304</v>
      </c>
      <c r="I254" s="1855" t="s">
        <v>819</v>
      </c>
    </row>
    <row r="255" spans="1:9" ht="15" hidden="1" thickBot="1">
      <c r="A255" s="15"/>
      <c r="B255" s="75" t="s">
        <v>378</v>
      </c>
      <c r="C255" s="951">
        <v>4.3</v>
      </c>
      <c r="D255" s="951" t="s">
        <v>992</v>
      </c>
      <c r="E255" s="952"/>
      <c r="G255" s="753"/>
      <c r="H255" s="1673"/>
      <c r="I255" s="1852"/>
    </row>
    <row r="256" spans="1:9" ht="15" hidden="1" thickBot="1">
      <c r="A256" s="15"/>
      <c r="B256" s="14" t="s">
        <v>20</v>
      </c>
      <c r="C256" s="253">
        <v>1168.001</v>
      </c>
      <c r="D256" s="253" t="s">
        <v>988</v>
      </c>
      <c r="E256" s="295"/>
      <c r="F256" s="1657"/>
      <c r="G256" s="295">
        <f>G251-G254</f>
        <v>-6188.7872999999981</v>
      </c>
      <c r="H256" s="1676"/>
      <c r="I256" s="1852"/>
    </row>
    <row r="257" spans="1:18" ht="15" hidden="1" thickBot="1">
      <c r="A257" s="40"/>
      <c r="B257" s="41" t="s">
        <v>1</v>
      </c>
      <c r="C257" s="1805">
        <v>1460.001</v>
      </c>
      <c r="D257" s="1805" t="s">
        <v>988</v>
      </c>
      <c r="E257" s="1658"/>
      <c r="F257" s="1687"/>
      <c r="G257" s="1658">
        <f>G254+G256</f>
        <v>1236.1327000000001</v>
      </c>
      <c r="H257" s="1688"/>
      <c r="I257" s="1852"/>
    </row>
    <row r="258" spans="1:18" ht="15" thickBot="1">
      <c r="A258" s="1806">
        <v>5</v>
      </c>
      <c r="B258" s="1779" t="s">
        <v>18</v>
      </c>
      <c r="C258" s="1765"/>
      <c r="D258" s="1765"/>
      <c r="E258" s="1889" t="s">
        <v>918</v>
      </c>
      <c r="F258" s="1889" t="s">
        <v>919</v>
      </c>
      <c r="G258" s="1668" t="s">
        <v>188</v>
      </c>
      <c r="H258" s="1669" t="s">
        <v>994</v>
      </c>
      <c r="I258" s="1852"/>
    </row>
    <row r="259" spans="1:18" hidden="1">
      <c r="A259" s="8"/>
      <c r="B259" s="236" t="s">
        <v>4</v>
      </c>
      <c r="C259" s="235">
        <v>408000</v>
      </c>
      <c r="D259" s="235" t="s">
        <v>1001</v>
      </c>
      <c r="E259" s="1633"/>
      <c r="F259" s="1657"/>
      <c r="G259" s="299">
        <v>186740</v>
      </c>
      <c r="H259" s="1676"/>
      <c r="I259" s="1852"/>
    </row>
    <row r="260" spans="1:18" hidden="1">
      <c r="A260" s="8"/>
      <c r="B260" s="30" t="s">
        <v>17</v>
      </c>
      <c r="C260" s="263"/>
      <c r="D260" s="263"/>
      <c r="E260" s="283"/>
      <c r="G260" s="753"/>
      <c r="H260" s="1673"/>
      <c r="I260" s="1852"/>
      <c r="R260">
        <v>1.8</v>
      </c>
    </row>
    <row r="261" spans="1:18">
      <c r="A261" s="8"/>
      <c r="B261" s="30"/>
      <c r="C261" s="62"/>
      <c r="D261" s="62"/>
      <c r="E261" s="283"/>
      <c r="G261" s="753"/>
      <c r="H261" s="1673"/>
      <c r="I261" s="1852"/>
    </row>
    <row r="262" spans="1:18" ht="15" thickBot="1">
      <c r="A262" s="15"/>
      <c r="B262" s="236" t="s">
        <v>16</v>
      </c>
      <c r="C262" s="253">
        <v>28</v>
      </c>
      <c r="D262" s="1698" t="s">
        <v>86</v>
      </c>
      <c r="E262" s="1875">
        <v>797.79</v>
      </c>
      <c r="F262" s="1895">
        <v>878.49</v>
      </c>
      <c r="G262" s="1685">
        <f>F262-E262</f>
        <v>80.700000000000045</v>
      </c>
      <c r="H262" s="1798">
        <f>G262/G14*1000</f>
        <v>32.028893475154803</v>
      </c>
      <c r="I262" s="1852"/>
      <c r="R262">
        <v>1.9</v>
      </c>
    </row>
    <row r="263" spans="1:18" ht="14.7" hidden="1" customHeight="1">
      <c r="A263" s="15"/>
      <c r="B263" s="14"/>
      <c r="C263" s="235">
        <f>C262/2000</f>
        <v>1.4E-2</v>
      </c>
      <c r="D263" s="235"/>
      <c r="E263" s="33"/>
      <c r="G263" s="753"/>
      <c r="H263" s="1673"/>
      <c r="I263" s="1852"/>
    </row>
    <row r="264" spans="1:18" ht="14.7" hidden="1" customHeight="1">
      <c r="A264" s="15"/>
      <c r="B264" s="236" t="s">
        <v>15</v>
      </c>
      <c r="C264" s="235">
        <v>122000</v>
      </c>
      <c r="D264" s="235"/>
      <c r="E264" s="276"/>
      <c r="F264" s="1657"/>
      <c r="G264" s="1674"/>
      <c r="H264" s="1676"/>
      <c r="I264" s="1852"/>
    </row>
    <row r="265" spans="1:18" ht="15" hidden="1" thickBot="1">
      <c r="A265" s="15"/>
      <c r="B265" s="14" t="s">
        <v>921</v>
      </c>
      <c r="C265" s="235">
        <v>106000</v>
      </c>
      <c r="D265" s="235"/>
      <c r="E265" s="949"/>
      <c r="F265" s="513"/>
      <c r="G265" s="1686"/>
      <c r="H265" s="1678"/>
      <c r="I265" s="1852"/>
      <c r="R265">
        <v>2.2999999999999998</v>
      </c>
    </row>
    <row r="266" spans="1:18" ht="15" hidden="1" thickBot="1">
      <c r="A266" s="40"/>
      <c r="B266" s="28" t="s">
        <v>1</v>
      </c>
      <c r="C266" s="264">
        <v>408000</v>
      </c>
      <c r="D266" s="264"/>
      <c r="E266" s="1689"/>
      <c r="F266" s="1681"/>
      <c r="G266" s="1690">
        <f>SUM(G262,G264,G265)</f>
        <v>80.700000000000045</v>
      </c>
      <c r="H266" s="1682"/>
      <c r="I266" s="1852"/>
      <c r="R266" s="1796">
        <f>SUM(R260:R265)</f>
        <v>6</v>
      </c>
    </row>
    <row r="267" spans="1:18" ht="15" thickBot="1">
      <c r="A267" s="1806">
        <v>6</v>
      </c>
      <c r="B267" s="1779" t="s">
        <v>13</v>
      </c>
      <c r="C267" s="1668"/>
      <c r="D267" s="1668"/>
      <c r="E267" s="1889" t="s">
        <v>918</v>
      </c>
      <c r="F267" s="1889" t="s">
        <v>919</v>
      </c>
      <c r="G267" s="1668" t="s">
        <v>188</v>
      </c>
      <c r="H267" s="1669" t="s">
        <v>995</v>
      </c>
      <c r="I267" s="1852"/>
      <c r="K267" s="1919">
        <f>C262*2500</f>
        <v>70000</v>
      </c>
      <c r="R267">
        <f>R266/2500*1000</f>
        <v>2.4</v>
      </c>
    </row>
    <row r="268" spans="1:18" hidden="1">
      <c r="A268" s="17"/>
      <c r="B268" s="243" t="s">
        <v>12</v>
      </c>
      <c r="C268" s="265">
        <v>1100</v>
      </c>
      <c r="D268" s="265" t="s">
        <v>1005</v>
      </c>
      <c r="E268" s="245"/>
      <c r="F268" s="1657"/>
      <c r="G268" s="245">
        <v>572</v>
      </c>
      <c r="H268" s="1676"/>
      <c r="I268" s="1852"/>
    </row>
    <row r="269" spans="1:18">
      <c r="A269" s="17"/>
      <c r="B269" s="43" t="s">
        <v>11</v>
      </c>
      <c r="C269" s="1896"/>
      <c r="D269" s="1896"/>
      <c r="E269" s="34"/>
      <c r="G269" s="753"/>
      <c r="H269" s="1673"/>
      <c r="I269" s="1852"/>
    </row>
    <row r="270" spans="1:18" ht="15" thickBot="1">
      <c r="A270" s="17"/>
      <c r="B270" s="243" t="s">
        <v>10</v>
      </c>
      <c r="C270" s="1795">
        <v>3.9</v>
      </c>
      <c r="D270" s="1810" t="s">
        <v>1052</v>
      </c>
      <c r="E270" s="246">
        <v>107</v>
      </c>
      <c r="F270" s="246">
        <v>272</v>
      </c>
      <c r="G270" s="246">
        <f>F270-E270</f>
        <v>165</v>
      </c>
      <c r="H270" s="1897">
        <f>G270/G14*10</f>
        <v>0.65486585172249545</v>
      </c>
      <c r="I270" s="1855" t="s">
        <v>819</v>
      </c>
      <c r="K270" s="1917">
        <f>C270*24</f>
        <v>93.6</v>
      </c>
      <c r="L270" s="1918">
        <f>K270/2500</f>
        <v>3.7440000000000001E-2</v>
      </c>
    </row>
    <row r="271" spans="1:18" ht="15" hidden="1" thickBot="1">
      <c r="A271" s="17"/>
      <c r="B271" s="243"/>
      <c r="C271" s="1700">
        <f>C270/C14</f>
        <v>1.56E-3</v>
      </c>
      <c r="D271" s="1810" t="s">
        <v>1006</v>
      </c>
      <c r="E271" s="246"/>
      <c r="F271" s="1657"/>
      <c r="G271" s="1674"/>
      <c r="H271" s="1676"/>
      <c r="I271" s="1852"/>
    </row>
    <row r="272" spans="1:18" ht="14.7" hidden="1" customHeight="1">
      <c r="A272" s="17"/>
      <c r="B272" s="243" t="s">
        <v>9</v>
      </c>
      <c r="C272" s="266">
        <v>179.63</v>
      </c>
      <c r="D272" s="266"/>
      <c r="E272" s="246"/>
      <c r="F272" s="1657"/>
      <c r="G272" s="1674"/>
      <c r="H272" s="1676"/>
      <c r="I272" s="1852"/>
    </row>
    <row r="273" spans="1:9" ht="15" hidden="1" thickBot="1">
      <c r="A273" s="17"/>
      <c r="B273" s="243" t="s">
        <v>8</v>
      </c>
      <c r="C273" s="265">
        <v>491.59</v>
      </c>
      <c r="D273" s="265" t="s">
        <v>1005</v>
      </c>
      <c r="E273" s="246"/>
      <c r="F273" s="1657"/>
      <c r="G273" s="246">
        <v>368</v>
      </c>
      <c r="H273" s="1676"/>
      <c r="I273" s="1852"/>
    </row>
    <row r="274" spans="1:9" ht="15" hidden="1" thickBot="1">
      <c r="A274" s="17"/>
      <c r="B274" s="31" t="s">
        <v>7</v>
      </c>
      <c r="C274" s="265">
        <v>337.28</v>
      </c>
      <c r="D274" s="265" t="s">
        <v>1005</v>
      </c>
      <c r="E274" s="34"/>
      <c r="G274" s="34">
        <f>G268-G270-G272-G273</f>
        <v>39</v>
      </c>
      <c r="H274" s="1673"/>
      <c r="I274" s="1852"/>
    </row>
    <row r="275" spans="1:9" ht="15" hidden="1" thickBot="1">
      <c r="A275" s="17"/>
      <c r="B275" s="243" t="s">
        <v>6</v>
      </c>
      <c r="C275" s="265">
        <v>330</v>
      </c>
      <c r="D275" s="265" t="s">
        <v>1005</v>
      </c>
      <c r="E275" s="1691"/>
      <c r="F275" s="1687"/>
      <c r="G275" s="246">
        <v>298</v>
      </c>
      <c r="H275" s="1688"/>
      <c r="I275" s="1852"/>
    </row>
    <row r="276" spans="1:9" ht="15" thickBot="1">
      <c r="A276" s="1808">
        <v>7</v>
      </c>
      <c r="B276" s="1809" t="s">
        <v>5</v>
      </c>
      <c r="C276" s="1668"/>
      <c r="D276" s="1668"/>
      <c r="E276" s="1889" t="s">
        <v>918</v>
      </c>
      <c r="F276" s="1889" t="s">
        <v>919</v>
      </c>
      <c r="G276" s="1668" t="s">
        <v>188</v>
      </c>
      <c r="H276" s="1669" t="s">
        <v>996</v>
      </c>
      <c r="I276" s="1852"/>
    </row>
    <row r="277" spans="1:9" hidden="1">
      <c r="A277" s="84"/>
      <c r="B277" s="123" t="s">
        <v>4</v>
      </c>
      <c r="C277" s="1067"/>
      <c r="D277" s="1067"/>
      <c r="E277" s="33"/>
      <c r="G277" s="753"/>
      <c r="H277" s="1673"/>
      <c r="I277" s="1852"/>
    </row>
    <row r="278" spans="1:9" hidden="1">
      <c r="A278" s="84"/>
      <c r="B278" s="236" t="s">
        <v>3</v>
      </c>
      <c r="C278" s="235">
        <v>28770</v>
      </c>
      <c r="D278" s="235" t="s">
        <v>922</v>
      </c>
      <c r="E278" s="246"/>
      <c r="F278" s="1657"/>
      <c r="G278" s="246">
        <v>5.9</v>
      </c>
      <c r="H278" s="1676"/>
      <c r="I278" s="1852"/>
    </row>
    <row r="279" spans="1:9">
      <c r="A279" s="84"/>
      <c r="B279" s="123" t="s">
        <v>1</v>
      </c>
      <c r="C279" s="13"/>
      <c r="D279" s="13"/>
      <c r="E279" s="1649"/>
      <c r="G279" s="1649"/>
      <c r="H279" s="1673"/>
      <c r="I279" s="1852"/>
    </row>
    <row r="280" spans="1:9">
      <c r="A280" s="84"/>
      <c r="B280" s="123" t="s">
        <v>16</v>
      </c>
      <c r="C280" s="13"/>
      <c r="D280" s="13"/>
      <c r="E280" s="283"/>
      <c r="G280" s="753"/>
      <c r="H280" s="1673"/>
      <c r="I280" s="1852"/>
    </row>
    <row r="281" spans="1:9">
      <c r="A281" s="15"/>
      <c r="B281" s="248" t="s">
        <v>913</v>
      </c>
      <c r="C281" s="267">
        <v>18374.400000000001</v>
      </c>
      <c r="D281" s="255" t="s">
        <v>999</v>
      </c>
      <c r="E281" s="276">
        <v>147816.79999999999</v>
      </c>
      <c r="F281" s="1684">
        <v>162684.79999999999</v>
      </c>
      <c r="G281" s="1650">
        <f>F281-E281</f>
        <v>14868</v>
      </c>
      <c r="H281" s="1890">
        <f>G281/G14</f>
        <v>5.9009366566121599</v>
      </c>
      <c r="I281" s="1852"/>
    </row>
    <row r="282" spans="1:9">
      <c r="A282" s="15"/>
      <c r="B282" s="248" t="s">
        <v>119</v>
      </c>
      <c r="C282" s="267">
        <v>10946.28</v>
      </c>
      <c r="D282" s="255" t="s">
        <v>1000</v>
      </c>
      <c r="E282" s="276">
        <v>126048.5</v>
      </c>
      <c r="F282" s="1684">
        <v>137097</v>
      </c>
      <c r="G282" s="1650">
        <f>F282-E282</f>
        <v>11048.5</v>
      </c>
      <c r="H282" s="1890">
        <f>G282/G14</f>
        <v>4.3850214319733283</v>
      </c>
      <c r="I282" s="1852"/>
    </row>
    <row r="283" spans="1:9" ht="14.7" hidden="1" customHeight="1">
      <c r="A283" s="15"/>
      <c r="B283" s="954"/>
      <c r="C283" s="955"/>
      <c r="D283" s="955"/>
      <c r="E283" s="949"/>
      <c r="G283" s="753"/>
      <c r="H283" s="1673"/>
      <c r="I283" s="1852"/>
    </row>
    <row r="284" spans="1:9" ht="14.7" hidden="1" customHeight="1">
      <c r="A284" s="15"/>
      <c r="B284" s="44" t="s">
        <v>15</v>
      </c>
      <c r="C284" s="534"/>
      <c r="D284" s="534"/>
      <c r="E284" s="300"/>
      <c r="G284" s="753"/>
      <c r="H284" s="1673"/>
      <c r="I284" s="1852"/>
    </row>
    <row r="285" spans="1:9" ht="14.7" hidden="1" customHeight="1">
      <c r="A285" s="15"/>
      <c r="B285" s="248" t="s">
        <v>120</v>
      </c>
      <c r="C285" s="267">
        <v>1308.96</v>
      </c>
      <c r="D285" s="267"/>
      <c r="E285" s="276"/>
      <c r="G285" s="753"/>
      <c r="H285" s="1673"/>
      <c r="I285" s="1852"/>
    </row>
    <row r="286" spans="1:9" ht="14.7" hidden="1" customHeight="1">
      <c r="A286" s="15"/>
      <c r="B286" s="954"/>
      <c r="C286" s="955"/>
      <c r="D286" s="955"/>
      <c r="E286" s="33"/>
      <c r="G286" s="753"/>
      <c r="H286" s="1673"/>
      <c r="I286" s="1852"/>
    </row>
    <row r="287" spans="1:9" ht="14.7" hidden="1" customHeight="1">
      <c r="A287" s="15"/>
      <c r="B287" s="248" t="s">
        <v>121</v>
      </c>
      <c r="C287" s="267">
        <v>5759.67</v>
      </c>
      <c r="D287" s="267"/>
      <c r="E287" s="276">
        <v>792.3</v>
      </c>
      <c r="G287" s="753"/>
      <c r="H287" s="1673"/>
      <c r="I287" s="1852"/>
    </row>
    <row r="288" spans="1:9" ht="14.7" hidden="1" customHeight="1">
      <c r="A288" s="15"/>
      <c r="B288" s="954"/>
      <c r="C288" s="955"/>
      <c r="D288" s="955"/>
      <c r="E288" s="949"/>
      <c r="G288" s="753"/>
      <c r="H288" s="1673"/>
      <c r="I288" s="1852"/>
    </row>
    <row r="289" spans="1:9" ht="14.7" hidden="1" customHeight="1">
      <c r="A289" s="15"/>
      <c r="B289" s="44" t="s">
        <v>7</v>
      </c>
      <c r="C289" s="534"/>
      <c r="D289" s="534"/>
      <c r="E289" s="300"/>
      <c r="G289" s="753"/>
      <c r="H289" s="1673"/>
      <c r="I289" s="1852"/>
    </row>
    <row r="290" spans="1:9" ht="15" thickBot="1">
      <c r="A290" s="15"/>
      <c r="B290" s="1758"/>
      <c r="C290" s="1759">
        <v>11.7</v>
      </c>
      <c r="D290" s="1759" t="s">
        <v>1007</v>
      </c>
      <c r="E290" s="1760"/>
      <c r="F290" s="1761"/>
      <c r="G290" s="1898" t="s">
        <v>158</v>
      </c>
      <c r="H290" s="1899">
        <f>H281+H282</f>
        <v>10.285958088585488</v>
      </c>
      <c r="I290" s="1855" t="s">
        <v>819</v>
      </c>
    </row>
    <row r="291" spans="1:9" ht="15" hidden="1" customHeight="1">
      <c r="A291" s="19"/>
      <c r="B291" s="249" t="s">
        <v>123</v>
      </c>
      <c r="C291" s="268">
        <v>241.12</v>
      </c>
      <c r="D291" s="268"/>
      <c r="E291" s="1692"/>
      <c r="F291" s="1693"/>
      <c r="G291" s="1694"/>
      <c r="H291" s="1695"/>
      <c r="I291" s="1900"/>
    </row>
    <row r="292" spans="1:9" ht="15" thickBot="1">
      <c r="A292" s="1901"/>
    </row>
    <row r="293" spans="1:9" ht="15" thickBot="1">
      <c r="A293" s="1902"/>
      <c r="B293" s="1903" t="s">
        <v>1053</v>
      </c>
      <c r="C293" s="2125" t="s">
        <v>1054</v>
      </c>
      <c r="D293" s="2126"/>
      <c r="E293" s="2125" t="s">
        <v>1055</v>
      </c>
      <c r="F293" s="2127"/>
      <c r="G293" s="2127"/>
      <c r="H293" s="2127"/>
      <c r="I293" s="2126"/>
    </row>
    <row r="294" spans="1:9">
      <c r="A294" s="1902"/>
      <c r="B294" s="1905"/>
      <c r="C294" s="1906"/>
      <c r="D294" s="1907"/>
      <c r="E294" s="1908"/>
      <c r="F294" s="1909"/>
      <c r="G294" s="1908"/>
      <c r="H294" s="1905"/>
      <c r="I294" s="1905"/>
    </row>
    <row r="295" spans="1:9">
      <c r="A295" s="1902"/>
      <c r="B295" s="1909"/>
      <c r="C295" s="1910"/>
      <c r="D295" s="1908"/>
      <c r="E295" s="1908"/>
      <c r="F295" s="1909"/>
      <c r="G295" s="1908"/>
      <c r="H295" s="1909"/>
      <c r="I295" s="1909"/>
    </row>
    <row r="296" spans="1:9">
      <c r="A296" s="1902"/>
      <c r="B296" s="1909"/>
      <c r="C296" s="1910"/>
      <c r="D296" s="1908"/>
      <c r="E296" s="1908"/>
      <c r="F296" s="1909"/>
      <c r="G296" s="1908"/>
      <c r="H296" s="1909"/>
      <c r="I296" s="1909"/>
    </row>
    <row r="297" spans="1:9">
      <c r="A297" s="1902"/>
      <c r="B297" s="1909"/>
      <c r="C297" s="1910"/>
      <c r="D297" s="1908"/>
      <c r="E297" s="1908"/>
      <c r="F297" s="1909"/>
      <c r="G297" s="1908"/>
      <c r="H297" s="1909"/>
      <c r="I297" s="1909"/>
    </row>
    <row r="298" spans="1:9" ht="15" thickBot="1">
      <c r="A298" s="1902"/>
      <c r="B298" s="1911"/>
      <c r="C298" s="1912"/>
      <c r="D298" s="1913"/>
      <c r="E298" s="1913"/>
      <c r="F298" s="1911"/>
      <c r="G298" s="1913"/>
      <c r="H298" s="1909"/>
      <c r="I298" s="1909"/>
    </row>
    <row r="299" spans="1:9" ht="15" thickBot="1">
      <c r="A299" s="1902"/>
      <c r="B299" s="1903" t="s">
        <v>1056</v>
      </c>
      <c r="C299" s="2125" t="s">
        <v>1057</v>
      </c>
      <c r="D299" s="2126"/>
      <c r="E299" s="1914" t="s">
        <v>1058</v>
      </c>
      <c r="F299" s="1915" t="s">
        <v>1059</v>
      </c>
      <c r="G299" s="1904" t="s">
        <v>1060</v>
      </c>
      <c r="H299" s="1903" t="s">
        <v>1061</v>
      </c>
      <c r="I299" s="1903" t="s">
        <v>1062</v>
      </c>
    </row>
  </sheetData>
  <mergeCells count="13">
    <mergeCell ref="A7:A8"/>
    <mergeCell ref="A1:A6"/>
    <mergeCell ref="C1:I1"/>
    <mergeCell ref="C2:I2"/>
    <mergeCell ref="C3:I3"/>
    <mergeCell ref="C4:G6"/>
    <mergeCell ref="C299:D299"/>
    <mergeCell ref="B7:B8"/>
    <mergeCell ref="C7:C8"/>
    <mergeCell ref="D7:D8"/>
    <mergeCell ref="E7:I8"/>
    <mergeCell ref="C293:D293"/>
    <mergeCell ref="E293:I293"/>
  </mergeCells>
  <pageMargins left="0" right="0" top="0" bottom="0" header="0.31496062992125984" footer="0.31496062992125984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4.4"/>
  <cols>
    <col min="1" max="1" width="4.5546875" style="5" customWidth="1"/>
    <col min="2" max="2" width="37.5546875" style="1" customWidth="1"/>
    <col min="3" max="3" width="14.6640625" style="1" customWidth="1"/>
    <col min="4" max="4" width="10" style="1" customWidth="1"/>
    <col min="5" max="5" width="14" style="1" customWidth="1"/>
    <col min="6" max="6" width="12.6640625" customWidth="1"/>
    <col min="7" max="7" width="15.33203125" customWidth="1"/>
    <col min="8" max="8" width="14.33203125" customWidth="1"/>
    <col min="9" max="9" width="13" customWidth="1"/>
  </cols>
  <sheetData>
    <row r="1" spans="1:8" ht="21" customHeight="1" thickBot="1">
      <c r="A1" s="2138" t="s">
        <v>920</v>
      </c>
      <c r="B1" s="2138"/>
      <c r="C1" s="2138"/>
      <c r="D1" s="2138"/>
      <c r="E1" s="2138"/>
      <c r="F1" s="2138"/>
      <c r="G1" s="2138"/>
      <c r="H1" s="2138"/>
    </row>
    <row r="2" spans="1:8" ht="14.7" customHeight="1">
      <c r="A2" s="2046" t="s">
        <v>99</v>
      </c>
      <c r="B2" s="2050" t="s">
        <v>100</v>
      </c>
      <c r="C2" s="2048" t="s">
        <v>997</v>
      </c>
      <c r="D2" s="2048" t="s">
        <v>981</v>
      </c>
      <c r="E2" s="2139" t="s">
        <v>961</v>
      </c>
      <c r="F2" s="2139"/>
      <c r="G2" s="2139"/>
      <c r="H2" s="2140"/>
    </row>
    <row r="3" spans="1:8" ht="15" thickBot="1">
      <c r="A3" s="2115"/>
      <c r="B3" s="2116"/>
      <c r="C3" s="2114"/>
      <c r="D3" s="2114"/>
      <c r="E3" s="2141"/>
      <c r="F3" s="2141"/>
      <c r="G3" s="2141"/>
      <c r="H3" s="2142"/>
    </row>
    <row r="4" spans="1:8" ht="15" thickBot="1">
      <c r="A4" s="1806">
        <v>1</v>
      </c>
      <c r="B4" s="1665" t="s">
        <v>85</v>
      </c>
      <c r="C4" s="1666"/>
      <c r="D4" s="1666"/>
      <c r="E4" s="1667" t="s">
        <v>918</v>
      </c>
      <c r="F4" s="1667" t="s">
        <v>919</v>
      </c>
      <c r="G4" s="1668" t="s">
        <v>188</v>
      </c>
      <c r="H4" s="1669" t="s">
        <v>989</v>
      </c>
    </row>
    <row r="5" spans="1:8">
      <c r="A5" s="8"/>
      <c r="B5" s="1664" t="s">
        <v>16</v>
      </c>
      <c r="C5" s="252"/>
      <c r="D5" s="252"/>
      <c r="E5" s="33"/>
      <c r="F5" s="1696"/>
      <c r="G5" s="1696"/>
      <c r="H5" s="1696"/>
    </row>
    <row r="6" spans="1:8" ht="14.7" hidden="1" customHeight="1">
      <c r="A6" s="8"/>
      <c r="B6" s="11" t="s">
        <v>84</v>
      </c>
      <c r="C6" s="252"/>
      <c r="D6" s="252"/>
      <c r="E6" s="33"/>
    </row>
    <row r="7" spans="1:8" ht="14.7" hidden="1" customHeight="1">
      <c r="A7" s="8"/>
      <c r="B7" s="72" t="s">
        <v>125</v>
      </c>
      <c r="C7" s="252"/>
      <c r="D7" s="252"/>
      <c r="E7" s="271"/>
    </row>
    <row r="8" spans="1:8" ht="14.7" hidden="1" customHeight="1">
      <c r="A8" s="8"/>
      <c r="B8" s="11" t="s">
        <v>103</v>
      </c>
      <c r="C8" s="252"/>
      <c r="D8" s="252"/>
      <c r="E8" s="34"/>
    </row>
    <row r="9" spans="1:8">
      <c r="A9" s="8"/>
      <c r="B9" s="1662" t="s">
        <v>96</v>
      </c>
      <c r="C9" s="1663">
        <v>2500</v>
      </c>
      <c r="D9" s="1663" t="s">
        <v>379</v>
      </c>
      <c r="E9" s="1524">
        <v>5880.74</v>
      </c>
      <c r="F9" s="1524">
        <v>8383.74</v>
      </c>
      <c r="G9" s="246">
        <f>F9-E9</f>
        <v>2503</v>
      </c>
      <c r="H9" s="1866">
        <f>G9/2500000*100000</f>
        <v>100.12</v>
      </c>
    </row>
    <row r="10" spans="1:8" ht="14.7" hidden="1" customHeight="1">
      <c r="A10" s="8"/>
      <c r="B10" s="947" t="s">
        <v>377</v>
      </c>
      <c r="C10" s="948"/>
      <c r="D10" s="948"/>
      <c r="E10" s="949"/>
      <c r="H10" s="1673"/>
    </row>
    <row r="11" spans="1:8" ht="14.7" hidden="1" customHeight="1">
      <c r="A11" s="8"/>
      <c r="B11" s="21" t="s">
        <v>97</v>
      </c>
      <c r="C11" s="235">
        <v>29045000</v>
      </c>
      <c r="D11" s="235"/>
      <c r="E11" s="33"/>
      <c r="H11" s="1673"/>
    </row>
    <row r="12" spans="1:8" ht="14.7" hidden="1" customHeight="1">
      <c r="A12" s="8"/>
      <c r="B12" s="21" t="s">
        <v>98</v>
      </c>
      <c r="C12" s="235">
        <v>7314000</v>
      </c>
      <c r="D12" s="235"/>
      <c r="E12" s="33">
        <f>E43+E52+E57</f>
        <v>0</v>
      </c>
      <c r="H12" s="1673"/>
    </row>
    <row r="13" spans="1:8">
      <c r="A13" s="8"/>
      <c r="B13" s="14" t="s">
        <v>82</v>
      </c>
      <c r="C13" s="253">
        <v>5</v>
      </c>
      <c r="D13" s="253" t="s">
        <v>25</v>
      </c>
      <c r="E13" s="1670"/>
      <c r="F13" s="1655"/>
      <c r="G13" s="1654">
        <v>3.97</v>
      </c>
      <c r="H13" s="753"/>
    </row>
    <row r="14" spans="1:8">
      <c r="A14" s="8"/>
      <c r="B14" s="14" t="s">
        <v>81</v>
      </c>
      <c r="C14" s="253">
        <v>0.5</v>
      </c>
      <c r="D14" s="253" t="s">
        <v>25</v>
      </c>
      <c r="E14" s="1670"/>
      <c r="F14" s="1655"/>
      <c r="G14" s="1654">
        <v>0.4</v>
      </c>
      <c r="H14" s="753"/>
    </row>
    <row r="15" spans="1:8">
      <c r="A15" s="8"/>
      <c r="B15" s="14" t="s">
        <v>80</v>
      </c>
      <c r="C15" s="254">
        <v>2.2000000000000002</v>
      </c>
      <c r="D15" s="253" t="s">
        <v>982</v>
      </c>
      <c r="E15" s="1670"/>
      <c r="F15" s="1655"/>
      <c r="G15" s="1654">
        <v>2.42</v>
      </c>
      <c r="H15" s="753"/>
    </row>
    <row r="16" spans="1:8">
      <c r="A16" s="8"/>
      <c r="B16" s="236" t="s">
        <v>914</v>
      </c>
      <c r="C16" s="1659"/>
      <c r="D16" s="1659"/>
      <c r="E16" s="1671"/>
      <c r="F16" s="1660"/>
      <c r="G16" s="1661">
        <v>105</v>
      </c>
      <c r="H16" s="1674"/>
    </row>
    <row r="17" spans="1:8">
      <c r="A17" s="8"/>
      <c r="B17" s="1651" t="s">
        <v>78</v>
      </c>
      <c r="C17" s="1652"/>
      <c r="D17" s="1652"/>
      <c r="E17" s="273"/>
      <c r="F17" s="1672"/>
      <c r="G17" s="1653"/>
      <c r="H17" s="1672"/>
    </row>
    <row r="18" spans="1:8">
      <c r="A18" s="8"/>
      <c r="B18" s="830" t="s">
        <v>358</v>
      </c>
      <c r="C18" s="255"/>
      <c r="D18" s="255"/>
      <c r="E18" s="33"/>
      <c r="F18" s="753"/>
      <c r="H18" s="753"/>
    </row>
    <row r="19" spans="1:8">
      <c r="A19" s="15"/>
      <c r="B19" s="65" t="s">
        <v>193</v>
      </c>
      <c r="C19" s="1663">
        <f>C9*94.2%</f>
        <v>2355</v>
      </c>
      <c r="D19" s="1663" t="s">
        <v>379</v>
      </c>
      <c r="E19" s="1650">
        <v>5143.38</v>
      </c>
      <c r="F19" s="1650">
        <v>7493.18</v>
      </c>
      <c r="G19" s="1650">
        <f>F19-E19</f>
        <v>2349.8000000000002</v>
      </c>
      <c r="H19" s="1703">
        <f>G19/G9*100</f>
        <v>93.879344786256496</v>
      </c>
    </row>
    <row r="20" spans="1:8">
      <c r="A20" s="8"/>
      <c r="B20" s="14" t="s">
        <v>82</v>
      </c>
      <c r="C20" s="253">
        <v>0.05</v>
      </c>
      <c r="D20" s="253" t="s">
        <v>25</v>
      </c>
      <c r="E20" s="1670"/>
      <c r="F20" s="1655"/>
      <c r="G20" s="1757">
        <v>4.2999999999999997E-2</v>
      </c>
      <c r="H20" s="753"/>
    </row>
    <row r="21" spans="1:8">
      <c r="A21" s="8"/>
      <c r="B21" s="14" t="s">
        <v>81</v>
      </c>
      <c r="C21" s="253">
        <v>0.03</v>
      </c>
      <c r="D21" s="253" t="s">
        <v>25</v>
      </c>
      <c r="E21" s="1670"/>
      <c r="F21" s="1655"/>
      <c r="G21" s="1704">
        <v>0.04</v>
      </c>
      <c r="H21" s="753"/>
    </row>
    <row r="22" spans="1:8">
      <c r="A22" s="8"/>
      <c r="B22" s="14" t="s">
        <v>923</v>
      </c>
      <c r="C22" s="254">
        <v>2.5</v>
      </c>
      <c r="D22" s="253" t="s">
        <v>25</v>
      </c>
      <c r="E22" s="1670"/>
      <c r="F22" s="1655"/>
      <c r="G22" s="1704">
        <v>2.5</v>
      </c>
      <c r="H22" s="753"/>
    </row>
    <row r="23" spans="1:8">
      <c r="A23" s="8"/>
      <c r="B23" s="14" t="s">
        <v>929</v>
      </c>
      <c r="C23" s="1705">
        <v>60</v>
      </c>
      <c r="D23" s="235" t="s">
        <v>983</v>
      </c>
      <c r="E23" s="1670"/>
      <c r="F23" s="1655"/>
      <c r="G23" s="1697"/>
      <c r="H23" s="1673"/>
    </row>
    <row r="24" spans="1:8">
      <c r="A24" s="8"/>
      <c r="B24" s="14" t="s">
        <v>930</v>
      </c>
      <c r="C24" s="254" t="s">
        <v>931</v>
      </c>
      <c r="D24" s="254"/>
      <c r="E24" s="1670"/>
      <c r="F24" s="1655"/>
      <c r="G24" s="1697"/>
      <c r="H24" s="1673"/>
    </row>
    <row r="25" spans="1:8">
      <c r="A25" s="8"/>
      <c r="B25" s="14" t="s">
        <v>932</v>
      </c>
      <c r="C25" s="1705">
        <v>50</v>
      </c>
      <c r="D25" s="1705" t="s">
        <v>1003</v>
      </c>
      <c r="E25" s="1670"/>
      <c r="F25" s="1655"/>
      <c r="G25" s="1697"/>
      <c r="H25" s="1673"/>
    </row>
    <row r="26" spans="1:8">
      <c r="A26" s="15"/>
      <c r="B26" s="65" t="s">
        <v>64</v>
      </c>
      <c r="C26" s="1663">
        <f>C9*5%</f>
        <v>125</v>
      </c>
      <c r="D26" s="1663" t="s">
        <v>379</v>
      </c>
      <c r="E26" s="1650">
        <v>243.04</v>
      </c>
      <c r="F26" s="1650">
        <v>347.1</v>
      </c>
      <c r="G26" s="1650">
        <f>F26-E26</f>
        <v>104.06000000000003</v>
      </c>
      <c r="H26" s="1703">
        <f>G26/G9*100</f>
        <v>4.1574111066719945</v>
      </c>
    </row>
    <row r="27" spans="1:8" ht="14.7" hidden="1" customHeight="1">
      <c r="A27" s="15"/>
      <c r="B27" s="718" t="s">
        <v>351</v>
      </c>
      <c r="C27" s="743"/>
      <c r="D27" s="235"/>
      <c r="E27" s="33"/>
      <c r="H27" s="1673"/>
    </row>
    <row r="28" spans="1:8" ht="14.7" hidden="1" customHeight="1">
      <c r="A28" s="8"/>
      <c r="B28" s="11" t="s">
        <v>84</v>
      </c>
      <c r="C28" s="252"/>
      <c r="D28" s="252"/>
      <c r="E28" s="33"/>
      <c r="H28" s="1673"/>
    </row>
    <row r="29" spans="1:8" ht="14.7" hidden="1" customHeight="1">
      <c r="A29" s="8"/>
      <c r="B29" s="11" t="s">
        <v>355</v>
      </c>
      <c r="C29" s="252"/>
      <c r="D29" s="252"/>
      <c r="E29" s="33">
        <v>0</v>
      </c>
      <c r="H29" s="1673"/>
    </row>
    <row r="30" spans="1:8" ht="14.7" hidden="1" customHeight="1">
      <c r="A30" s="15"/>
      <c r="B30" s="65" t="s">
        <v>354</v>
      </c>
      <c r="C30" s="235"/>
      <c r="D30" s="235"/>
      <c r="E30" s="271">
        <v>392100</v>
      </c>
      <c r="H30" s="1673"/>
    </row>
    <row r="31" spans="1:8" ht="14.7" hidden="1" customHeight="1">
      <c r="A31" s="15"/>
      <c r="B31" s="947" t="s">
        <v>376</v>
      </c>
      <c r="C31" s="948"/>
      <c r="D31" s="948"/>
      <c r="E31" s="949"/>
      <c r="H31" s="1673"/>
    </row>
    <row r="32" spans="1:8" ht="14.7" hidden="1" customHeight="1">
      <c r="A32" s="15"/>
      <c r="B32" s="14" t="s">
        <v>353</v>
      </c>
      <c r="C32" s="742"/>
      <c r="D32" s="742"/>
      <c r="E32" s="33">
        <f>SUM(E35,E39,E44,E48,E58)</f>
        <v>0</v>
      </c>
      <c r="H32" s="1673"/>
    </row>
    <row r="33" spans="1:8" ht="14.7" hidden="1" customHeight="1">
      <c r="A33" s="15"/>
      <c r="B33" s="14" t="s">
        <v>352</v>
      </c>
      <c r="C33" s="744"/>
      <c r="D33" s="742"/>
      <c r="E33" s="33">
        <f>E30-E32</f>
        <v>392100</v>
      </c>
      <c r="H33" s="1673"/>
    </row>
    <row r="34" spans="1:8" ht="14.7" hidden="1" customHeight="1">
      <c r="A34" s="15"/>
      <c r="B34" s="231" t="s">
        <v>76</v>
      </c>
      <c r="C34" s="232"/>
      <c r="D34" s="232"/>
      <c r="E34" s="95"/>
      <c r="H34" s="1673"/>
    </row>
    <row r="35" spans="1:8" ht="14.7" hidden="1" customHeight="1">
      <c r="A35" s="15"/>
      <c r="B35" s="14" t="s">
        <v>75</v>
      </c>
      <c r="C35" s="256"/>
      <c r="D35" s="256"/>
      <c r="E35" s="33">
        <f>E36+E37</f>
        <v>0</v>
      </c>
      <c r="H35" s="1673"/>
    </row>
    <row r="36" spans="1:8" ht="14.7" hidden="1" customHeight="1">
      <c r="A36" s="15"/>
      <c r="B36" s="65" t="s">
        <v>74</v>
      </c>
      <c r="C36" s="256"/>
      <c r="D36" s="256"/>
      <c r="E36" s="271">
        <v>0</v>
      </c>
      <c r="H36" s="1673"/>
    </row>
    <row r="37" spans="1:8" ht="14.7" hidden="1" customHeight="1">
      <c r="A37" s="15"/>
      <c r="B37" s="65" t="s">
        <v>73</v>
      </c>
      <c r="C37" s="256"/>
      <c r="D37" s="256"/>
      <c r="E37" s="272">
        <v>0</v>
      </c>
      <c r="H37" s="1673"/>
    </row>
    <row r="38" spans="1:8" ht="14.7" hidden="1" customHeight="1">
      <c r="A38" s="69"/>
      <c r="B38" s="231" t="s">
        <v>104</v>
      </c>
      <c r="C38" s="306"/>
      <c r="D38" s="1800"/>
      <c r="E38" s="273"/>
      <c r="H38" s="1673"/>
    </row>
    <row r="39" spans="1:8" ht="14.7" hidden="1" customHeight="1">
      <c r="A39" s="15"/>
      <c r="B39" s="14" t="s">
        <v>75</v>
      </c>
      <c r="C39" s="256"/>
      <c r="D39" s="256"/>
      <c r="E39" s="33">
        <f>E40+E41</f>
        <v>0</v>
      </c>
      <c r="H39" s="1673"/>
    </row>
    <row r="40" spans="1:8" ht="14.7" hidden="1" customHeight="1">
      <c r="A40" s="15"/>
      <c r="B40" s="65" t="s">
        <v>105</v>
      </c>
      <c r="C40" s="256"/>
      <c r="D40" s="256"/>
      <c r="E40" s="271">
        <v>0</v>
      </c>
      <c r="H40" s="1673"/>
    </row>
    <row r="41" spans="1:8" ht="14.7" hidden="1" customHeight="1">
      <c r="A41" s="15"/>
      <c r="B41" s="65" t="s">
        <v>73</v>
      </c>
      <c r="C41" s="256"/>
      <c r="D41" s="256"/>
      <c r="E41" s="271">
        <v>0</v>
      </c>
      <c r="H41" s="1673"/>
    </row>
    <row r="42" spans="1:8" ht="14.7" hidden="1" customHeight="1">
      <c r="A42" s="15"/>
      <c r="B42" s="231" t="s">
        <v>107</v>
      </c>
      <c r="C42" s="234"/>
      <c r="D42" s="234"/>
      <c r="E42" s="95"/>
      <c r="H42" s="1673"/>
    </row>
    <row r="43" spans="1:8" ht="14.7" hidden="1" customHeight="1">
      <c r="A43" s="17"/>
      <c r="B43" s="11" t="s">
        <v>71</v>
      </c>
      <c r="C43" s="257"/>
      <c r="D43" s="257"/>
      <c r="E43" s="33"/>
      <c r="H43" s="1673"/>
    </row>
    <row r="44" spans="1:8" ht="14.7" hidden="1" customHeight="1">
      <c r="A44" s="15"/>
      <c r="B44" s="14" t="s">
        <v>70</v>
      </c>
      <c r="C44" s="256"/>
      <c r="D44" s="256"/>
      <c r="E44" s="33">
        <f>E45+E46</f>
        <v>0</v>
      </c>
      <c r="H44" s="1673"/>
    </row>
    <row r="45" spans="1:8" ht="14.7" hidden="1" customHeight="1">
      <c r="A45" s="15"/>
      <c r="B45" s="65" t="s">
        <v>109</v>
      </c>
      <c r="C45" s="256"/>
      <c r="D45" s="256"/>
      <c r="E45" s="271">
        <v>0</v>
      </c>
      <c r="H45" s="1673"/>
    </row>
    <row r="46" spans="1:8" ht="14.7" hidden="1" customHeight="1">
      <c r="A46" s="15"/>
      <c r="B46" s="56" t="s">
        <v>73</v>
      </c>
      <c r="C46" s="256"/>
      <c r="D46" s="256"/>
      <c r="E46" s="272">
        <v>0</v>
      </c>
      <c r="H46" s="1673"/>
    </row>
    <row r="47" spans="1:8" ht="14.7" hidden="1" customHeight="1">
      <c r="A47" s="69"/>
      <c r="B47" s="231" t="s">
        <v>110</v>
      </c>
      <c r="C47" s="306"/>
      <c r="D47" s="306"/>
      <c r="E47" s="95"/>
      <c r="H47" s="1673"/>
    </row>
    <row r="48" spans="1:8" ht="14.7" hidden="1" customHeight="1">
      <c r="A48" s="15"/>
      <c r="B48" s="14" t="s">
        <v>75</v>
      </c>
      <c r="C48" s="230">
        <f>C49+C50</f>
        <v>21429000</v>
      </c>
      <c r="D48" s="230"/>
      <c r="E48" s="33">
        <f>E49+E50</f>
        <v>0</v>
      </c>
      <c r="H48" s="1673"/>
    </row>
    <row r="49" spans="1:8" ht="14.7" hidden="1" customHeight="1">
      <c r="A49" s="15"/>
      <c r="B49" s="65" t="s">
        <v>112</v>
      </c>
      <c r="C49" s="68">
        <v>15000000</v>
      </c>
      <c r="D49" s="68"/>
      <c r="E49" s="271"/>
      <c r="H49" s="1673"/>
    </row>
    <row r="50" spans="1:8" ht="14.7" hidden="1" customHeight="1">
      <c r="A50" s="15"/>
      <c r="B50" s="65" t="s">
        <v>73</v>
      </c>
      <c r="C50" s="68">
        <v>6429000</v>
      </c>
      <c r="D50" s="68"/>
      <c r="E50" s="272"/>
      <c r="H50" s="1673"/>
    </row>
    <row r="51" spans="1:8" ht="14.7" hidden="1" customHeight="1">
      <c r="A51" s="69"/>
      <c r="B51" s="231" t="s">
        <v>816</v>
      </c>
      <c r="C51" s="306"/>
      <c r="D51" s="1800"/>
      <c r="E51" s="273"/>
      <c r="H51" s="1673"/>
    </row>
    <row r="52" spans="1:8" ht="14.7" hidden="1" customHeight="1">
      <c r="A52" s="17"/>
      <c r="B52" s="11" t="s">
        <v>71</v>
      </c>
      <c r="C52" s="257"/>
      <c r="D52" s="257"/>
      <c r="E52" s="33"/>
      <c r="H52" s="1673"/>
    </row>
    <row r="53" spans="1:8" ht="14.7" hidden="1" customHeight="1">
      <c r="A53" s="15"/>
      <c r="B53" s="14" t="s">
        <v>75</v>
      </c>
      <c r="C53" s="230">
        <f>C54+C55</f>
        <v>21429000</v>
      </c>
      <c r="D53" s="230"/>
      <c r="E53" s="33">
        <f>E54+E55</f>
        <v>0</v>
      </c>
      <c r="H53" s="1673"/>
    </row>
    <row r="54" spans="1:8" ht="14.7" hidden="1" customHeight="1">
      <c r="A54" s="15"/>
      <c r="B54" s="65" t="s">
        <v>112</v>
      </c>
      <c r="C54" s="68">
        <v>15000000</v>
      </c>
      <c r="D54" s="68"/>
      <c r="E54" s="271">
        <v>0</v>
      </c>
      <c r="H54" s="1673"/>
    </row>
    <row r="55" spans="1:8" ht="14.7" hidden="1" customHeight="1">
      <c r="A55" s="15"/>
      <c r="B55" s="65" t="s">
        <v>73</v>
      </c>
      <c r="C55" s="68">
        <v>6429000</v>
      </c>
      <c r="D55" s="68"/>
      <c r="E55" s="271">
        <v>0</v>
      </c>
      <c r="H55" s="1673"/>
    </row>
    <row r="56" spans="1:8" ht="14.7" hidden="1" customHeight="1">
      <c r="A56" s="15"/>
      <c r="B56" s="231" t="s">
        <v>72</v>
      </c>
      <c r="C56" s="234"/>
      <c r="D56" s="234"/>
      <c r="E56" s="95"/>
      <c r="H56" s="1673"/>
    </row>
    <row r="57" spans="1:8" ht="14.7" hidden="1" customHeight="1">
      <c r="A57" s="17"/>
      <c r="B57" s="11" t="s">
        <v>71</v>
      </c>
      <c r="C57" s="257"/>
      <c r="D57" s="257"/>
      <c r="E57" s="33"/>
      <c r="H57" s="1673"/>
    </row>
    <row r="58" spans="1:8" ht="14.7" hidden="1" customHeight="1">
      <c r="A58" s="15"/>
      <c r="B58" s="14" t="s">
        <v>70</v>
      </c>
      <c r="C58" s="256"/>
      <c r="D58" s="256"/>
      <c r="E58" s="33">
        <f>E60+E61</f>
        <v>0</v>
      </c>
      <c r="H58" s="1673"/>
    </row>
    <row r="59" spans="1:8" ht="14.7" hidden="1" customHeight="1">
      <c r="A59" s="15"/>
      <c r="B59" s="65" t="s">
        <v>69</v>
      </c>
      <c r="C59" s="256"/>
      <c r="D59" s="256"/>
      <c r="E59" s="271">
        <v>0</v>
      </c>
      <c r="H59" s="1673"/>
    </row>
    <row r="60" spans="1:8" ht="14.7" hidden="1" customHeight="1">
      <c r="A60" s="15"/>
      <c r="B60" s="65" t="s">
        <v>68</v>
      </c>
      <c r="C60" s="256"/>
      <c r="D60" s="256"/>
      <c r="E60" s="271">
        <v>0</v>
      </c>
      <c r="H60" s="1673"/>
    </row>
    <row r="61" spans="1:8" ht="14.7" hidden="1" customHeight="1">
      <c r="A61" s="15"/>
      <c r="B61" s="65" t="s">
        <v>67</v>
      </c>
      <c r="C61" s="256"/>
      <c r="D61" s="256"/>
      <c r="E61" s="271">
        <v>0</v>
      </c>
      <c r="H61" s="1673"/>
    </row>
    <row r="62" spans="1:8" ht="14.7" hidden="1" customHeight="1">
      <c r="A62" s="15"/>
      <c r="B62" s="75" t="s">
        <v>113</v>
      </c>
      <c r="C62" s="256"/>
      <c r="D62" s="256"/>
      <c r="E62" s="274">
        <v>0</v>
      </c>
      <c r="H62" s="1673"/>
    </row>
    <row r="63" spans="1:8" ht="14.7" hidden="1" customHeight="1">
      <c r="A63" s="8"/>
      <c r="B63" s="76" t="s">
        <v>66</v>
      </c>
      <c r="C63" s="77"/>
      <c r="D63" s="77"/>
      <c r="E63" s="95"/>
      <c r="H63" s="1673"/>
    </row>
    <row r="64" spans="1:8" ht="14.7" hidden="1" customHeight="1">
      <c r="A64" s="15"/>
      <c r="B64" s="75" t="s">
        <v>65</v>
      </c>
      <c r="C64" s="1570">
        <v>94.2</v>
      </c>
      <c r="D64" s="1570"/>
      <c r="E64" s="275">
        <f>(E19/(E9))*100</f>
        <v>87.461441927376498</v>
      </c>
      <c r="H64" s="1673"/>
    </row>
    <row r="65" spans="1:8" ht="14.7" hidden="1" customHeight="1">
      <c r="A65" s="15"/>
      <c r="B65" s="75" t="s">
        <v>64</v>
      </c>
      <c r="C65" s="127">
        <v>5</v>
      </c>
      <c r="D65" s="127"/>
      <c r="E65" s="275">
        <f>(E26/(E9))*100</f>
        <v>4.1328132173842071</v>
      </c>
      <c r="H65" s="1673"/>
    </row>
    <row r="66" spans="1:8" ht="14.7" hidden="1" customHeight="1">
      <c r="A66" s="15"/>
      <c r="B66" s="75" t="s">
        <v>63</v>
      </c>
      <c r="C66" s="127">
        <v>82</v>
      </c>
      <c r="D66" s="127"/>
      <c r="E66" s="275" t="e">
        <f>E36/(E36+E37)*100</f>
        <v>#DIV/0!</v>
      </c>
      <c r="H66" s="1673"/>
    </row>
    <row r="67" spans="1:8" ht="14.7" hidden="1" customHeight="1">
      <c r="A67" s="15"/>
      <c r="B67" s="75" t="s">
        <v>62</v>
      </c>
      <c r="C67" s="127">
        <v>18</v>
      </c>
      <c r="D67" s="127"/>
      <c r="E67" s="275" t="e">
        <f>(E37/E35)*100</f>
        <v>#DIV/0!</v>
      </c>
      <c r="H67" s="1673"/>
    </row>
    <row r="68" spans="1:8" ht="14.7" hidden="1" customHeight="1">
      <c r="A68" s="15"/>
      <c r="B68" s="75" t="s">
        <v>106</v>
      </c>
      <c r="C68" s="127">
        <v>75</v>
      </c>
      <c r="D68" s="127"/>
      <c r="E68" s="275" t="e">
        <f>(E40/E39)*100</f>
        <v>#DIV/0!</v>
      </c>
      <c r="H68" s="1673"/>
    </row>
    <row r="69" spans="1:8" ht="14.7" hidden="1" customHeight="1">
      <c r="A69" s="15"/>
      <c r="B69" s="75" t="s">
        <v>62</v>
      </c>
      <c r="C69" s="127">
        <v>25</v>
      </c>
      <c r="D69" s="127"/>
      <c r="E69" s="275" t="e">
        <f>(E41/E39)*100</f>
        <v>#DIV/0!</v>
      </c>
      <c r="H69" s="1673"/>
    </row>
    <row r="70" spans="1:8" ht="14.7" hidden="1" customHeight="1">
      <c r="A70" s="15"/>
      <c r="B70" s="75" t="s">
        <v>108</v>
      </c>
      <c r="C70" s="127">
        <v>75</v>
      </c>
      <c r="D70" s="127"/>
      <c r="E70" s="275" t="e">
        <f>E45/E44*100</f>
        <v>#DIV/0!</v>
      </c>
      <c r="H70" s="1673"/>
    </row>
    <row r="71" spans="1:8" ht="14.7" hidden="1" customHeight="1">
      <c r="A71" s="15"/>
      <c r="B71" s="75" t="s">
        <v>62</v>
      </c>
      <c r="C71" s="127">
        <v>25</v>
      </c>
      <c r="D71" s="127"/>
      <c r="E71" s="275" t="e">
        <f>E46/E44*100</f>
        <v>#DIV/0!</v>
      </c>
      <c r="H71" s="1673"/>
    </row>
    <row r="72" spans="1:8" ht="14.7" hidden="1" customHeight="1">
      <c r="A72" s="15"/>
      <c r="B72" s="75" t="s">
        <v>111</v>
      </c>
      <c r="C72" s="127">
        <v>70</v>
      </c>
      <c r="D72" s="127"/>
      <c r="E72" s="275" t="e">
        <f>E49/(E49+E50)*100</f>
        <v>#DIV/0!</v>
      </c>
      <c r="H72" s="1673"/>
    </row>
    <row r="73" spans="1:8" ht="14.7" hidden="1" customHeight="1">
      <c r="A73" s="15"/>
      <c r="B73" s="75" t="s">
        <v>62</v>
      </c>
      <c r="C73" s="127">
        <v>30</v>
      </c>
      <c r="D73" s="127"/>
      <c r="E73" s="275" t="e">
        <f>E50/(E50+E49)*100</f>
        <v>#DIV/0!</v>
      </c>
      <c r="H73" s="1673"/>
    </row>
    <row r="74" spans="1:8" ht="14.7" hidden="1" customHeight="1">
      <c r="A74" s="15"/>
      <c r="B74" s="75" t="s">
        <v>817</v>
      </c>
      <c r="C74" s="127">
        <v>70</v>
      </c>
      <c r="D74" s="127"/>
      <c r="E74" s="275" t="e">
        <f>E54/(E54+E55)*100</f>
        <v>#DIV/0!</v>
      </c>
      <c r="H74" s="1673"/>
    </row>
    <row r="75" spans="1:8" ht="14.7" hidden="1" customHeight="1">
      <c r="A75" s="15"/>
      <c r="B75" s="75" t="s">
        <v>62</v>
      </c>
      <c r="C75" s="127">
        <v>30</v>
      </c>
      <c r="D75" s="127"/>
      <c r="E75" s="275" t="e">
        <f>E55/(E54+E55)*100</f>
        <v>#DIV/0!</v>
      </c>
      <c r="H75" s="1673"/>
    </row>
    <row r="76" spans="1:8" ht="14.7" hidden="1" customHeight="1">
      <c r="A76" s="15"/>
      <c r="B76" s="75" t="s">
        <v>61</v>
      </c>
      <c r="C76" s="127">
        <v>60</v>
      </c>
      <c r="D76" s="127"/>
      <c r="E76" s="275" t="e">
        <f>E59/E58*100</f>
        <v>#DIV/0!</v>
      </c>
      <c r="H76" s="1673"/>
    </row>
    <row r="77" spans="1:8" ht="15" hidden="1" customHeight="1" thickBot="1">
      <c r="A77" s="19"/>
      <c r="B77" s="75" t="s">
        <v>60</v>
      </c>
      <c r="C77" s="127">
        <v>40</v>
      </c>
      <c r="D77" s="127"/>
      <c r="E77" s="275" t="e">
        <f>E61/E58*100</f>
        <v>#DIV/0!</v>
      </c>
      <c r="H77" s="1673"/>
    </row>
    <row r="78" spans="1:8">
      <c r="A78" s="8"/>
      <c r="B78" s="14" t="s">
        <v>82</v>
      </c>
      <c r="C78" s="254" t="s">
        <v>984</v>
      </c>
      <c r="D78" s="253" t="s">
        <v>25</v>
      </c>
      <c r="E78" s="1670"/>
      <c r="F78" s="1655"/>
      <c r="G78" s="1654">
        <v>90.62</v>
      </c>
      <c r="H78" s="753"/>
    </row>
    <row r="79" spans="1:8" ht="15" thickBot="1">
      <c r="A79" s="8"/>
      <c r="B79" s="14" t="s">
        <v>81</v>
      </c>
      <c r="C79" s="254">
        <v>0.5</v>
      </c>
      <c r="D79" s="253" t="s">
        <v>25</v>
      </c>
      <c r="E79" s="1670"/>
      <c r="F79" s="1655"/>
      <c r="G79" s="1654">
        <v>0.33</v>
      </c>
      <c r="H79" s="753"/>
    </row>
    <row r="80" spans="1:8" ht="15" thickBot="1">
      <c r="A80" s="1806">
        <v>2</v>
      </c>
      <c r="B80" s="1804" t="s">
        <v>59</v>
      </c>
      <c r="C80" s="1668"/>
      <c r="D80" s="1668"/>
      <c r="E80" s="1667" t="s">
        <v>918</v>
      </c>
      <c r="F80" s="1667" t="s">
        <v>919</v>
      </c>
      <c r="G80" s="1668" t="s">
        <v>188</v>
      </c>
      <c r="H80" s="1669" t="s">
        <v>991</v>
      </c>
    </row>
    <row r="81" spans="1:8">
      <c r="A81" s="8"/>
      <c r="B81" s="236" t="s">
        <v>58</v>
      </c>
      <c r="C81" s="253">
        <v>9</v>
      </c>
      <c r="D81" s="253" t="s">
        <v>86</v>
      </c>
      <c r="E81" s="271">
        <v>51223</v>
      </c>
      <c r="F81" s="271">
        <v>74245</v>
      </c>
      <c r="G81" s="271">
        <f>F81-E81</f>
        <v>23022</v>
      </c>
      <c r="H81" s="1703">
        <f>G81/G9/10</f>
        <v>0.91977626847782656</v>
      </c>
    </row>
    <row r="82" spans="1:8" ht="14.7" hidden="1" customHeight="1">
      <c r="A82" s="15"/>
      <c r="B82" s="21"/>
      <c r="C82" s="255"/>
      <c r="D82" s="255"/>
      <c r="E82" s="277" t="e">
        <f>E81/(E11)*100</f>
        <v>#DIV/0!</v>
      </c>
      <c r="H82" s="1673"/>
    </row>
    <row r="83" spans="1:8" ht="14.7" hidden="1" customHeight="1">
      <c r="A83" s="8"/>
      <c r="B83" s="238" t="s">
        <v>57</v>
      </c>
      <c r="C83" s="258">
        <v>18</v>
      </c>
      <c r="D83" s="258"/>
      <c r="E83" s="278">
        <v>0</v>
      </c>
      <c r="H83" s="1673"/>
    </row>
    <row r="84" spans="1:8" ht="14.7" hidden="1" customHeight="1">
      <c r="A84" s="15"/>
      <c r="B84" s="22"/>
      <c r="C84" s="259"/>
      <c r="D84" s="259"/>
      <c r="E84" s="279" t="e">
        <f>E83/(E12)*100</f>
        <v>#DIV/0!</v>
      </c>
      <c r="H84" s="1673"/>
    </row>
    <row r="85" spans="1:8">
      <c r="A85" s="15"/>
      <c r="B85" s="236" t="s">
        <v>55</v>
      </c>
      <c r="C85" s="254" t="s">
        <v>985</v>
      </c>
      <c r="D85" s="253" t="s">
        <v>86</v>
      </c>
      <c r="E85" s="272">
        <v>539.5</v>
      </c>
      <c r="F85" s="291">
        <v>1342.1</v>
      </c>
      <c r="G85" s="1679">
        <f>F85-E85</f>
        <v>802.59999999999991</v>
      </c>
      <c r="H85" s="1797">
        <f>G85/G9/10</f>
        <v>3.2065521374350772E-2</v>
      </c>
    </row>
    <row r="86" spans="1:8" ht="15" hidden="1" customHeight="1" thickBot="1">
      <c r="A86" s="19"/>
      <c r="B86" s="24"/>
      <c r="C86" s="255"/>
      <c r="D86" s="255"/>
      <c r="E86" s="280"/>
      <c r="H86" s="1673"/>
    </row>
    <row r="87" spans="1:8">
      <c r="A87" s="139">
        <v>3</v>
      </c>
      <c r="B87" s="240" t="s">
        <v>168</v>
      </c>
      <c r="C87" s="1802" t="s">
        <v>987</v>
      </c>
      <c r="D87" s="241" t="s">
        <v>25</v>
      </c>
      <c r="E87" s="281"/>
      <c r="F87" s="1653"/>
      <c r="G87" s="281">
        <f>((SUM(G19+G26))-(SUM(G9)))/(SUM(G9))*100</f>
        <v>-1.963244107071509</v>
      </c>
      <c r="H87" s="1675"/>
    </row>
    <row r="88" spans="1:8">
      <c r="A88" s="139"/>
      <c r="B88" s="310"/>
      <c r="C88" s="311"/>
      <c r="D88" s="311"/>
      <c r="E88" s="313"/>
      <c r="G88" s="313">
        <f>G87%*G9</f>
        <v>-49.139999999999873</v>
      </c>
      <c r="H88" s="1673"/>
    </row>
    <row r="89" spans="1:8">
      <c r="A89" s="69"/>
      <c r="B89" s="236" t="s">
        <v>54</v>
      </c>
      <c r="C89" s="1803" t="s">
        <v>986</v>
      </c>
      <c r="D89" s="1656" t="s">
        <v>25</v>
      </c>
      <c r="E89" s="282"/>
      <c r="F89" s="1657"/>
      <c r="G89" s="282">
        <v>21.66</v>
      </c>
      <c r="H89" s="1676"/>
    </row>
    <row r="90" spans="1:8" ht="15" thickBot="1">
      <c r="A90" s="86"/>
      <c r="B90" s="87" t="s">
        <v>53</v>
      </c>
      <c r="C90" s="255"/>
      <c r="D90" s="255"/>
      <c r="E90" s="1680"/>
      <c r="F90" s="1681"/>
      <c r="G90" s="1680">
        <f>SUM(G81,G83)+(G89%*SUM(G81,G83))</f>
        <v>28008.565200000001</v>
      </c>
      <c r="H90" s="1682"/>
    </row>
    <row r="91" spans="1:8" ht="15" hidden="1" customHeight="1" thickBot="1">
      <c r="A91" s="8">
        <v>4</v>
      </c>
      <c r="B91" s="47" t="s">
        <v>52</v>
      </c>
      <c r="C91" s="48"/>
      <c r="D91" s="1801"/>
      <c r="E91" s="273"/>
      <c r="H91" s="1673"/>
    </row>
    <row r="92" spans="1:8" ht="15" hidden="1" customHeight="1" thickBot="1">
      <c r="A92" s="8"/>
      <c r="B92" s="26" t="s">
        <v>51</v>
      </c>
      <c r="C92" s="89"/>
      <c r="D92" s="89"/>
      <c r="E92" s="283"/>
      <c r="H92" s="1673"/>
    </row>
    <row r="93" spans="1:8" ht="15" hidden="1" customHeight="1" thickBot="1">
      <c r="A93" s="15"/>
      <c r="B93" s="28" t="s">
        <v>46</v>
      </c>
      <c r="C93" s="91"/>
      <c r="D93" s="91"/>
      <c r="E93" s="284"/>
      <c r="H93" s="1673"/>
    </row>
    <row r="94" spans="1:8" ht="15" hidden="1" customHeight="1" thickBot="1">
      <c r="A94" s="15"/>
      <c r="B94" s="30" t="s">
        <v>39</v>
      </c>
      <c r="C94" s="61"/>
      <c r="D94" s="61"/>
      <c r="E94" s="34">
        <v>0</v>
      </c>
      <c r="H94" s="1673"/>
    </row>
    <row r="95" spans="1:8" ht="15" hidden="1" customHeight="1" thickBot="1">
      <c r="A95" s="15"/>
      <c r="B95" s="30" t="s">
        <v>38</v>
      </c>
      <c r="C95" s="61"/>
      <c r="D95" s="61"/>
      <c r="E95" s="34">
        <v>0</v>
      </c>
      <c r="H95" s="1673"/>
    </row>
    <row r="96" spans="1:8" ht="15" hidden="1" customHeight="1" thickBot="1">
      <c r="A96" s="15"/>
      <c r="B96" s="30" t="s">
        <v>50</v>
      </c>
      <c r="C96" s="61"/>
      <c r="D96" s="61"/>
      <c r="E96" s="34">
        <v>0</v>
      </c>
      <c r="H96" s="1673"/>
    </row>
    <row r="97" spans="1:8" ht="15" hidden="1" customHeight="1" thickBot="1">
      <c r="A97" s="15"/>
      <c r="B97" s="30" t="s">
        <v>29</v>
      </c>
      <c r="C97" s="61"/>
      <c r="D97" s="61"/>
      <c r="E97" s="33"/>
      <c r="H97" s="1673"/>
    </row>
    <row r="98" spans="1:8" ht="15" hidden="1" customHeight="1" thickBot="1">
      <c r="A98" s="17"/>
      <c r="B98" s="31" t="s">
        <v>49</v>
      </c>
      <c r="C98" s="54"/>
      <c r="D98" s="54"/>
      <c r="E98" s="33"/>
      <c r="H98" s="1673"/>
    </row>
    <row r="99" spans="1:8" ht="15" hidden="1" customHeight="1" thickBot="1">
      <c r="A99" s="17"/>
      <c r="B99" s="31" t="s">
        <v>48</v>
      </c>
      <c r="C99" s="54"/>
      <c r="D99" s="54"/>
      <c r="E99" s="33"/>
      <c r="H99" s="1673"/>
    </row>
    <row r="100" spans="1:8" ht="15" hidden="1" customHeight="1" thickBot="1">
      <c r="A100" s="15"/>
      <c r="B100" s="30" t="s">
        <v>28</v>
      </c>
      <c r="C100" s="61"/>
      <c r="D100" s="61"/>
      <c r="E100" s="33"/>
      <c r="H100" s="1673"/>
    </row>
    <row r="101" spans="1:8" ht="15" hidden="1" customHeight="1" thickBot="1">
      <c r="A101" s="15"/>
      <c r="B101" s="14" t="s">
        <v>49</v>
      </c>
      <c r="C101" s="61"/>
      <c r="D101" s="61"/>
      <c r="E101" s="33">
        <v>0</v>
      </c>
      <c r="H101" s="1673"/>
    </row>
    <row r="102" spans="1:8" ht="15" hidden="1" customHeight="1" thickBot="1">
      <c r="A102" s="15"/>
      <c r="B102" s="14" t="s">
        <v>48</v>
      </c>
      <c r="C102" s="61"/>
      <c r="D102" s="61"/>
      <c r="E102" s="33">
        <v>0</v>
      </c>
      <c r="H102" s="1673"/>
    </row>
    <row r="103" spans="1:8" ht="15" hidden="1" customHeight="1" thickBot="1">
      <c r="A103" s="15"/>
      <c r="B103" s="30" t="s">
        <v>36</v>
      </c>
      <c r="C103" s="61"/>
      <c r="D103" s="61"/>
      <c r="E103" s="285">
        <v>0</v>
      </c>
      <c r="H103" s="1673"/>
    </row>
    <row r="104" spans="1:8" ht="15" hidden="1" customHeight="1" thickBot="1">
      <c r="A104" s="15"/>
      <c r="B104" s="30" t="s">
        <v>34</v>
      </c>
      <c r="C104" s="61"/>
      <c r="D104" s="61"/>
      <c r="E104" s="33">
        <v>0</v>
      </c>
      <c r="H104" s="1673"/>
    </row>
    <row r="105" spans="1:8" ht="15" hidden="1" customHeight="1" thickBot="1">
      <c r="A105" s="8"/>
      <c r="B105" s="47" t="s">
        <v>32</v>
      </c>
      <c r="C105" s="48"/>
      <c r="D105" s="48"/>
      <c r="E105" s="95"/>
      <c r="H105" s="1673"/>
    </row>
    <row r="106" spans="1:8" ht="15" hidden="1" customHeight="1" thickBot="1">
      <c r="A106" s="15"/>
      <c r="B106" s="30" t="s">
        <v>29</v>
      </c>
      <c r="C106" s="61"/>
      <c r="D106" s="61"/>
      <c r="E106" s="33"/>
      <c r="H106" s="1673"/>
    </row>
    <row r="107" spans="1:8" ht="15" hidden="1" customHeight="1" thickBot="1">
      <c r="A107" s="15"/>
      <c r="B107" s="14" t="s">
        <v>49</v>
      </c>
      <c r="C107" s="61"/>
      <c r="D107" s="61"/>
      <c r="E107" s="33"/>
      <c r="H107" s="1673"/>
    </row>
    <row r="108" spans="1:8" ht="15" hidden="1" customHeight="1" thickBot="1">
      <c r="A108" s="15"/>
      <c r="B108" s="14" t="s">
        <v>48</v>
      </c>
      <c r="C108" s="61"/>
      <c r="D108" s="61"/>
      <c r="E108" s="33"/>
      <c r="H108" s="1673"/>
    </row>
    <row r="109" spans="1:8" ht="15" hidden="1" customHeight="1" thickBot="1">
      <c r="A109" s="15"/>
      <c r="B109" s="30" t="s">
        <v>28</v>
      </c>
      <c r="C109" s="61"/>
      <c r="D109" s="61"/>
      <c r="E109" s="33"/>
      <c r="H109" s="1673"/>
    </row>
    <row r="110" spans="1:8" ht="15" hidden="1" customHeight="1" thickBot="1">
      <c r="A110" s="15"/>
      <c r="B110" s="14" t="s">
        <v>49</v>
      </c>
      <c r="C110" s="61"/>
      <c r="D110" s="61"/>
      <c r="E110" s="33">
        <v>0</v>
      </c>
      <c r="H110" s="1673"/>
    </row>
    <row r="111" spans="1:8" ht="15" hidden="1" customHeight="1" thickBot="1">
      <c r="A111" s="15"/>
      <c r="B111" s="14" t="s">
        <v>48</v>
      </c>
      <c r="C111" s="61"/>
      <c r="D111" s="61"/>
      <c r="E111" s="33">
        <v>0</v>
      </c>
      <c r="H111" s="1673"/>
    </row>
    <row r="112" spans="1:8" ht="15" hidden="1" customHeight="1" thickBot="1">
      <c r="A112" s="8"/>
      <c r="B112" s="47" t="s">
        <v>30</v>
      </c>
      <c r="C112" s="48"/>
      <c r="D112" s="48"/>
      <c r="E112" s="95"/>
      <c r="H112" s="1673"/>
    </row>
    <row r="113" spans="1:8" ht="15" hidden="1" customHeight="1" thickBot="1">
      <c r="A113" s="15"/>
      <c r="B113" s="30" t="s">
        <v>29</v>
      </c>
      <c r="C113" s="61"/>
      <c r="D113" s="61"/>
      <c r="E113" s="33"/>
      <c r="H113" s="1673"/>
    </row>
    <row r="114" spans="1:8" ht="15" hidden="1" customHeight="1" thickBot="1">
      <c r="A114" s="15"/>
      <c r="B114" s="14" t="s">
        <v>49</v>
      </c>
      <c r="C114" s="127">
        <v>0.3</v>
      </c>
      <c r="D114" s="127"/>
      <c r="E114" s="34" t="e">
        <v>#DIV/0!</v>
      </c>
      <c r="H114" s="1673"/>
    </row>
    <row r="115" spans="1:8" ht="15" hidden="1" customHeight="1" thickBot="1">
      <c r="A115" s="15"/>
      <c r="B115" s="14" t="s">
        <v>48</v>
      </c>
      <c r="C115" s="127">
        <v>0.3</v>
      </c>
      <c r="D115" s="127"/>
      <c r="E115" s="34" t="e">
        <v>#DIV/0!</v>
      </c>
      <c r="H115" s="1673"/>
    </row>
    <row r="116" spans="1:8" ht="15" hidden="1" customHeight="1" thickBot="1">
      <c r="A116" s="15"/>
      <c r="B116" s="30" t="s">
        <v>28</v>
      </c>
      <c r="C116" s="127"/>
      <c r="D116" s="127"/>
      <c r="E116" s="34"/>
      <c r="H116" s="1673"/>
    </row>
    <row r="117" spans="1:8" ht="15" hidden="1" customHeight="1" thickBot="1">
      <c r="A117" s="15"/>
      <c r="B117" s="14" t="s">
        <v>49</v>
      </c>
      <c r="C117" s="127">
        <v>0.5</v>
      </c>
      <c r="D117" s="127"/>
      <c r="E117" s="34" t="e">
        <v>#DIV/0!</v>
      </c>
      <c r="H117" s="1673"/>
    </row>
    <row r="118" spans="1:8" ht="15" hidden="1" customHeight="1" thickBot="1">
      <c r="A118" s="19"/>
      <c r="B118" s="14" t="s">
        <v>48</v>
      </c>
      <c r="C118" s="127">
        <v>0.5</v>
      </c>
      <c r="D118" s="127"/>
      <c r="E118" s="34" t="e">
        <v>#DIV/0!</v>
      </c>
      <c r="H118" s="1673"/>
    </row>
    <row r="119" spans="1:8" ht="15" hidden="1" customHeight="1" thickBot="1">
      <c r="A119" s="8">
        <v>5</v>
      </c>
      <c r="B119" s="47" t="s">
        <v>47</v>
      </c>
      <c r="C119" s="48"/>
      <c r="D119" s="48"/>
      <c r="E119" s="95"/>
      <c r="H119" s="1673"/>
    </row>
    <row r="120" spans="1:8" ht="15" hidden="1" customHeight="1" thickBot="1">
      <c r="A120" s="15"/>
      <c r="B120" s="28" t="s">
        <v>46</v>
      </c>
      <c r="C120" s="91"/>
      <c r="D120" s="91"/>
      <c r="E120" s="34"/>
      <c r="H120" s="1673"/>
    </row>
    <row r="121" spans="1:8" ht="15" hidden="1" customHeight="1" thickBot="1">
      <c r="A121" s="15"/>
      <c r="B121" s="30" t="s">
        <v>39</v>
      </c>
      <c r="C121" s="61"/>
      <c r="D121" s="61"/>
      <c r="E121" s="34">
        <v>0</v>
      </c>
      <c r="H121" s="1673"/>
    </row>
    <row r="122" spans="1:8" ht="15" hidden="1" customHeight="1" thickBot="1">
      <c r="A122" s="15"/>
      <c r="B122" s="30" t="s">
        <v>38</v>
      </c>
      <c r="C122" s="61"/>
      <c r="D122" s="61"/>
      <c r="E122" s="34">
        <v>0</v>
      </c>
      <c r="H122" s="1673"/>
    </row>
    <row r="123" spans="1:8" ht="15" hidden="1" customHeight="1" thickBot="1">
      <c r="A123" s="15"/>
      <c r="B123" s="30" t="s">
        <v>50</v>
      </c>
      <c r="C123" s="61"/>
      <c r="D123" s="61"/>
      <c r="E123" s="34">
        <v>0</v>
      </c>
      <c r="H123" s="1673"/>
    </row>
    <row r="124" spans="1:8" ht="15" hidden="1" customHeight="1" thickBot="1">
      <c r="A124" s="15"/>
      <c r="B124" s="30" t="s">
        <v>29</v>
      </c>
      <c r="C124" s="61"/>
      <c r="D124" s="61"/>
      <c r="E124" s="33"/>
      <c r="H124" s="1673"/>
    </row>
    <row r="125" spans="1:8" ht="15" hidden="1" customHeight="1" thickBot="1">
      <c r="A125" s="17"/>
      <c r="B125" s="11" t="s">
        <v>45</v>
      </c>
      <c r="C125" s="54"/>
      <c r="D125" s="54"/>
      <c r="E125" s="33"/>
      <c r="H125" s="1673"/>
    </row>
    <row r="126" spans="1:8" ht="15" hidden="1" customHeight="1" thickBot="1">
      <c r="A126" s="17"/>
      <c r="B126" s="11" t="s">
        <v>44</v>
      </c>
      <c r="C126" s="54"/>
      <c r="D126" s="54"/>
      <c r="E126" s="33"/>
      <c r="H126" s="1673"/>
    </row>
    <row r="127" spans="1:8" ht="15" hidden="1" customHeight="1" thickBot="1">
      <c r="A127" s="15"/>
      <c r="B127" s="30" t="s">
        <v>28</v>
      </c>
      <c r="C127" s="61"/>
      <c r="D127" s="61"/>
      <c r="E127" s="33"/>
      <c r="H127" s="1673"/>
    </row>
    <row r="128" spans="1:8" ht="15" hidden="1" customHeight="1" thickBot="1">
      <c r="A128" s="15"/>
      <c r="B128" s="11" t="s">
        <v>45</v>
      </c>
      <c r="C128" s="61"/>
      <c r="D128" s="61"/>
      <c r="E128" s="33">
        <v>0</v>
      </c>
      <c r="H128" s="1673"/>
    </row>
    <row r="129" spans="1:8" ht="15" hidden="1" customHeight="1" thickBot="1">
      <c r="A129" s="15"/>
      <c r="B129" s="11" t="s">
        <v>44</v>
      </c>
      <c r="C129" s="61"/>
      <c r="D129" s="61"/>
      <c r="E129" s="33">
        <v>0</v>
      </c>
      <c r="H129" s="1673"/>
    </row>
    <row r="130" spans="1:8" ht="15" hidden="1" customHeight="1" thickBot="1">
      <c r="A130" s="15"/>
      <c r="B130" s="30" t="s">
        <v>36</v>
      </c>
      <c r="C130" s="61"/>
      <c r="D130" s="61"/>
      <c r="E130" s="33">
        <v>0</v>
      </c>
      <c r="H130" s="1673"/>
    </row>
    <row r="131" spans="1:8" ht="15" hidden="1" customHeight="1" thickBot="1">
      <c r="A131" s="15"/>
      <c r="B131" s="30" t="s">
        <v>34</v>
      </c>
      <c r="C131" s="61"/>
      <c r="D131" s="61"/>
      <c r="E131" s="33">
        <v>0</v>
      </c>
      <c r="H131" s="1673"/>
    </row>
    <row r="132" spans="1:8" ht="15" hidden="1" customHeight="1" thickBot="1">
      <c r="A132" s="8"/>
      <c r="B132" s="47" t="s">
        <v>32</v>
      </c>
      <c r="C132" s="48"/>
      <c r="D132" s="48"/>
      <c r="E132" s="95"/>
      <c r="H132" s="1673"/>
    </row>
    <row r="133" spans="1:8" ht="15" hidden="1" customHeight="1" thickBot="1">
      <c r="A133" s="15"/>
      <c r="B133" s="30" t="s">
        <v>29</v>
      </c>
      <c r="C133" s="61"/>
      <c r="D133" s="61"/>
      <c r="E133" s="33"/>
      <c r="H133" s="1673"/>
    </row>
    <row r="134" spans="1:8" ht="15" hidden="1" customHeight="1" thickBot="1">
      <c r="A134" s="15"/>
      <c r="B134" s="11" t="s">
        <v>45</v>
      </c>
      <c r="C134" s="61"/>
      <c r="D134" s="61"/>
      <c r="E134" s="33"/>
      <c r="H134" s="1673"/>
    </row>
    <row r="135" spans="1:8" ht="15" hidden="1" customHeight="1" thickBot="1">
      <c r="A135" s="15"/>
      <c r="B135" s="11" t="s">
        <v>44</v>
      </c>
      <c r="C135" s="61"/>
      <c r="D135" s="61"/>
      <c r="E135" s="33"/>
      <c r="H135" s="1673"/>
    </row>
    <row r="136" spans="1:8" ht="15" hidden="1" customHeight="1" thickBot="1">
      <c r="A136" s="15"/>
      <c r="B136" s="30" t="s">
        <v>28</v>
      </c>
      <c r="C136" s="61"/>
      <c r="D136" s="61"/>
      <c r="E136" s="33"/>
      <c r="H136" s="1673"/>
    </row>
    <row r="137" spans="1:8" ht="15" hidden="1" customHeight="1" thickBot="1">
      <c r="A137" s="15"/>
      <c r="B137" s="11" t="s">
        <v>45</v>
      </c>
      <c r="C137" s="61"/>
      <c r="D137" s="61"/>
      <c r="E137" s="33">
        <v>0</v>
      </c>
      <c r="H137" s="1673"/>
    </row>
    <row r="138" spans="1:8" ht="15" hidden="1" customHeight="1" thickBot="1">
      <c r="A138" s="15"/>
      <c r="B138" s="11" t="s">
        <v>44</v>
      </c>
      <c r="C138" s="61"/>
      <c r="D138" s="61"/>
      <c r="E138" s="33">
        <v>0</v>
      </c>
      <c r="H138" s="1673"/>
    </row>
    <row r="139" spans="1:8" ht="15" hidden="1" customHeight="1" thickBot="1">
      <c r="A139" s="8"/>
      <c r="B139" s="47" t="s">
        <v>30</v>
      </c>
      <c r="C139" s="48"/>
      <c r="D139" s="48"/>
      <c r="E139" s="95"/>
      <c r="H139" s="1673"/>
    </row>
    <row r="140" spans="1:8" ht="15" hidden="1" customHeight="1" thickBot="1">
      <c r="A140" s="15"/>
      <c r="B140" s="30" t="s">
        <v>29</v>
      </c>
      <c r="C140" s="61"/>
      <c r="D140" s="61"/>
      <c r="E140" s="33"/>
      <c r="H140" s="1673"/>
    </row>
    <row r="141" spans="1:8" ht="15" hidden="1" customHeight="1" thickBot="1">
      <c r="A141" s="15"/>
      <c r="B141" s="11" t="s">
        <v>45</v>
      </c>
      <c r="C141" s="127">
        <v>0.3</v>
      </c>
      <c r="D141" s="127"/>
      <c r="E141" s="34" t="e">
        <v>#DIV/0!</v>
      </c>
      <c r="H141" s="1673"/>
    </row>
    <row r="142" spans="1:8" ht="15" hidden="1" customHeight="1" thickBot="1">
      <c r="A142" s="15"/>
      <c r="B142" s="11" t="s">
        <v>44</v>
      </c>
      <c r="C142" s="127">
        <v>0.3</v>
      </c>
      <c r="D142" s="127"/>
      <c r="E142" s="34" t="e">
        <v>#DIV/0!</v>
      </c>
      <c r="H142" s="1673"/>
    </row>
    <row r="143" spans="1:8" ht="15" hidden="1" customHeight="1" thickBot="1">
      <c r="A143" s="15"/>
      <c r="B143" s="30" t="s">
        <v>28</v>
      </c>
      <c r="C143" s="127"/>
      <c r="D143" s="127"/>
      <c r="E143" s="34"/>
      <c r="H143" s="1673"/>
    </row>
    <row r="144" spans="1:8" ht="15" hidden="1" customHeight="1" thickBot="1">
      <c r="A144" s="15"/>
      <c r="B144" s="11" t="s">
        <v>45</v>
      </c>
      <c r="C144" s="127">
        <v>0.5</v>
      </c>
      <c r="D144" s="127"/>
      <c r="E144" s="34" t="e">
        <v>#DIV/0!</v>
      </c>
      <c r="H144" s="1673"/>
    </row>
    <row r="145" spans="1:8" ht="15" hidden="1" customHeight="1" thickBot="1">
      <c r="A145" s="15"/>
      <c r="B145" s="11" t="s">
        <v>44</v>
      </c>
      <c r="C145" s="127">
        <v>0.5</v>
      </c>
      <c r="D145" s="127"/>
      <c r="E145" s="34" t="e">
        <v>#DIV/0!</v>
      </c>
      <c r="H145" s="1673"/>
    </row>
    <row r="146" spans="1:8" ht="15" hidden="1" customHeight="1" thickBot="1">
      <c r="A146" s="15"/>
      <c r="B146" s="47" t="s">
        <v>43</v>
      </c>
      <c r="C146" s="128"/>
      <c r="D146" s="128"/>
      <c r="E146" s="286"/>
      <c r="H146" s="1673"/>
    </row>
    <row r="147" spans="1:8" ht="15" hidden="1" customHeight="1" thickBot="1">
      <c r="A147" s="15"/>
      <c r="B147" s="28" t="s">
        <v>114</v>
      </c>
      <c r="C147" s="127"/>
      <c r="D147" s="127"/>
      <c r="E147" s="42"/>
      <c r="H147" s="1673"/>
    </row>
    <row r="148" spans="1:8" ht="15" hidden="1" customHeight="1" thickBot="1">
      <c r="A148" s="15"/>
      <c r="B148" s="28" t="s">
        <v>115</v>
      </c>
      <c r="C148" s="127"/>
      <c r="D148" s="127"/>
      <c r="E148" s="34"/>
      <c r="H148" s="1673"/>
    </row>
    <row r="149" spans="1:8" ht="15" hidden="1" customHeight="1" thickBot="1">
      <c r="A149" s="15"/>
      <c r="B149" s="30" t="s">
        <v>39</v>
      </c>
      <c r="C149" s="127"/>
      <c r="D149" s="127"/>
      <c r="E149" s="34">
        <v>0</v>
      </c>
      <c r="H149" s="1673"/>
    </row>
    <row r="150" spans="1:8" ht="15" hidden="1" customHeight="1" thickBot="1">
      <c r="A150" s="15"/>
      <c r="B150" s="30" t="s">
        <v>38</v>
      </c>
      <c r="C150" s="127"/>
      <c r="D150" s="127"/>
      <c r="E150" s="34">
        <v>0</v>
      </c>
      <c r="H150" s="1673"/>
    </row>
    <row r="151" spans="1:8" ht="15" hidden="1" customHeight="1" thickBot="1">
      <c r="A151" s="15"/>
      <c r="B151" s="30" t="s">
        <v>29</v>
      </c>
      <c r="C151" s="127"/>
      <c r="D151" s="127"/>
      <c r="E151" s="33"/>
      <c r="H151" s="1673"/>
    </row>
    <row r="152" spans="1:8" ht="15" hidden="1" customHeight="1" thickBot="1">
      <c r="A152" s="15"/>
      <c r="B152" s="11" t="s">
        <v>42</v>
      </c>
      <c r="C152" s="127"/>
      <c r="D152" s="127"/>
      <c r="E152" s="33"/>
      <c r="H152" s="1673"/>
    </row>
    <row r="153" spans="1:8" ht="15" hidden="1" customHeight="1" thickBot="1">
      <c r="A153" s="15"/>
      <c r="B153" s="11" t="s">
        <v>41</v>
      </c>
      <c r="C153" s="127"/>
      <c r="D153" s="127"/>
      <c r="E153" s="33"/>
      <c r="H153" s="1673"/>
    </row>
    <row r="154" spans="1:8" ht="15" hidden="1" customHeight="1" thickBot="1">
      <c r="A154" s="15"/>
      <c r="B154" s="30" t="s">
        <v>28</v>
      </c>
      <c r="C154" s="127"/>
      <c r="D154" s="127"/>
      <c r="E154" s="33"/>
      <c r="H154" s="1673"/>
    </row>
    <row r="155" spans="1:8" ht="15" hidden="1" customHeight="1" thickBot="1">
      <c r="A155" s="15"/>
      <c r="B155" s="11" t="s">
        <v>42</v>
      </c>
      <c r="C155" s="127"/>
      <c r="D155" s="127"/>
      <c r="E155" s="33">
        <v>0</v>
      </c>
      <c r="H155" s="1673"/>
    </row>
    <row r="156" spans="1:8" ht="15" hidden="1" customHeight="1" thickBot="1">
      <c r="A156" s="15"/>
      <c r="B156" s="11" t="s">
        <v>41</v>
      </c>
      <c r="C156" s="127"/>
      <c r="D156" s="127"/>
      <c r="E156" s="33">
        <v>0</v>
      </c>
      <c r="H156" s="1673"/>
    </row>
    <row r="157" spans="1:8" ht="15" hidden="1" customHeight="1" thickBot="1">
      <c r="A157" s="15"/>
      <c r="B157" s="30" t="s">
        <v>36</v>
      </c>
      <c r="C157" s="127"/>
      <c r="D157" s="127"/>
      <c r="E157" s="33">
        <v>0</v>
      </c>
      <c r="H157" s="1673"/>
    </row>
    <row r="158" spans="1:8" ht="15" hidden="1" customHeight="1" thickBot="1">
      <c r="A158" s="15"/>
      <c r="B158" s="30" t="s">
        <v>34</v>
      </c>
      <c r="C158" s="127"/>
      <c r="D158" s="127"/>
      <c r="E158" s="33">
        <v>0</v>
      </c>
      <c r="H158" s="1673"/>
    </row>
    <row r="159" spans="1:8" ht="15" hidden="1" customHeight="1" thickBot="1">
      <c r="A159" s="15"/>
      <c r="B159" s="47" t="s">
        <v>32</v>
      </c>
      <c r="C159" s="128"/>
      <c r="D159" s="128"/>
      <c r="E159" s="95"/>
      <c r="H159" s="1673"/>
    </row>
    <row r="160" spans="1:8" ht="15" hidden="1" customHeight="1" thickBot="1">
      <c r="A160" s="15"/>
      <c r="B160" s="30" t="s">
        <v>29</v>
      </c>
      <c r="C160" s="127"/>
      <c r="D160" s="127"/>
      <c r="E160" s="33"/>
      <c r="H160" s="1673"/>
    </row>
    <row r="161" spans="1:8" ht="15" hidden="1" customHeight="1" thickBot="1">
      <c r="A161" s="15"/>
      <c r="B161" s="11" t="s">
        <v>42</v>
      </c>
      <c r="C161" s="127"/>
      <c r="D161" s="127"/>
      <c r="E161" s="33"/>
      <c r="H161" s="1673"/>
    </row>
    <row r="162" spans="1:8" ht="15" hidden="1" customHeight="1" thickBot="1">
      <c r="A162" s="15"/>
      <c r="B162" s="11" t="s">
        <v>41</v>
      </c>
      <c r="C162" s="127"/>
      <c r="D162" s="127"/>
      <c r="E162" s="33"/>
      <c r="H162" s="1673"/>
    </row>
    <row r="163" spans="1:8" ht="15" hidden="1" customHeight="1" thickBot="1">
      <c r="A163" s="15"/>
      <c r="B163" s="30" t="s">
        <v>28</v>
      </c>
      <c r="C163" s="127"/>
      <c r="D163" s="127"/>
      <c r="E163" s="33"/>
      <c r="H163" s="1673"/>
    </row>
    <row r="164" spans="1:8" ht="15" hidden="1" customHeight="1" thickBot="1">
      <c r="A164" s="15"/>
      <c r="B164" s="11" t="s">
        <v>42</v>
      </c>
      <c r="C164" s="127"/>
      <c r="D164" s="127"/>
      <c r="E164" s="33">
        <v>0</v>
      </c>
      <c r="H164" s="1673"/>
    </row>
    <row r="165" spans="1:8" ht="15" hidden="1" customHeight="1" thickBot="1">
      <c r="A165" s="15"/>
      <c r="B165" s="11" t="s">
        <v>41</v>
      </c>
      <c r="C165" s="127"/>
      <c r="D165" s="127"/>
      <c r="E165" s="33">
        <v>0</v>
      </c>
      <c r="H165" s="1673"/>
    </row>
    <row r="166" spans="1:8" ht="15" hidden="1" customHeight="1" thickBot="1">
      <c r="A166" s="15"/>
      <c r="B166" s="47" t="s">
        <v>30</v>
      </c>
      <c r="C166" s="128"/>
      <c r="D166" s="128"/>
      <c r="E166" s="95"/>
      <c r="H166" s="1673"/>
    </row>
    <row r="167" spans="1:8" ht="15" hidden="1" customHeight="1" thickBot="1">
      <c r="A167" s="15"/>
      <c r="B167" s="30" t="s">
        <v>29</v>
      </c>
      <c r="C167" s="127"/>
      <c r="D167" s="127"/>
      <c r="E167" s="33"/>
      <c r="H167" s="1673"/>
    </row>
    <row r="168" spans="1:8" ht="15" hidden="1" customHeight="1" thickBot="1">
      <c r="A168" s="15"/>
      <c r="B168" s="11" t="s">
        <v>42</v>
      </c>
      <c r="C168" s="127"/>
      <c r="D168" s="127"/>
      <c r="E168" s="33" t="e">
        <v>#DIV/0!</v>
      </c>
      <c r="H168" s="1673"/>
    </row>
    <row r="169" spans="1:8" ht="15" hidden="1" customHeight="1" thickBot="1">
      <c r="A169" s="15"/>
      <c r="B169" s="11" t="s">
        <v>91</v>
      </c>
      <c r="C169" s="127"/>
      <c r="D169" s="127"/>
      <c r="E169" s="33" t="e">
        <v>#DIV/0!</v>
      </c>
      <c r="H169" s="1673"/>
    </row>
    <row r="170" spans="1:8" ht="15" hidden="1" customHeight="1" thickBot="1">
      <c r="A170" s="15"/>
      <c r="B170" s="30" t="s">
        <v>28</v>
      </c>
      <c r="C170" s="127"/>
      <c r="D170" s="127"/>
      <c r="E170" s="33"/>
      <c r="H170" s="1673"/>
    </row>
    <row r="171" spans="1:8" ht="15" hidden="1" customHeight="1" thickBot="1">
      <c r="A171" s="15"/>
      <c r="B171" s="11" t="s">
        <v>42</v>
      </c>
      <c r="C171" s="127"/>
      <c r="D171" s="127"/>
      <c r="E171" s="33" t="e">
        <v>#DIV/0!</v>
      </c>
      <c r="H171" s="1673"/>
    </row>
    <row r="172" spans="1:8" ht="15" hidden="1" customHeight="1" thickBot="1">
      <c r="A172" s="19"/>
      <c r="B172" s="11" t="s">
        <v>91</v>
      </c>
      <c r="C172" s="127"/>
      <c r="D172" s="127"/>
      <c r="E172" s="33" t="e">
        <v>#DIV/0!</v>
      </c>
      <c r="H172" s="1673"/>
    </row>
    <row r="173" spans="1:8" ht="15" hidden="1" customHeight="1" thickBot="1">
      <c r="A173" s="8">
        <v>6</v>
      </c>
      <c r="B173" s="47" t="s">
        <v>40</v>
      </c>
      <c r="C173" s="48"/>
      <c r="D173" s="48"/>
      <c r="E173" s="95"/>
      <c r="H173" s="1673"/>
    </row>
    <row r="174" spans="1:8" ht="15" hidden="1" customHeight="1" thickBot="1">
      <c r="A174" s="15"/>
      <c r="B174" s="28" t="s">
        <v>115</v>
      </c>
      <c r="C174" s="91"/>
      <c r="D174" s="91"/>
      <c r="E174" s="42"/>
      <c r="H174" s="1673"/>
    </row>
    <row r="175" spans="1:8" ht="15" hidden="1" customHeight="1" thickBot="1">
      <c r="A175" s="15"/>
      <c r="B175" s="30" t="s">
        <v>39</v>
      </c>
      <c r="C175" s="61"/>
      <c r="D175" s="61"/>
      <c r="E175" s="34">
        <v>0</v>
      </c>
      <c r="H175" s="1673"/>
    </row>
    <row r="176" spans="1:8" ht="15" hidden="1" customHeight="1" thickBot="1">
      <c r="A176" s="15"/>
      <c r="B176" s="30" t="s">
        <v>38</v>
      </c>
      <c r="C176" s="61"/>
      <c r="D176" s="61"/>
      <c r="E176" s="34">
        <v>0</v>
      </c>
      <c r="H176" s="1673"/>
    </row>
    <row r="177" spans="1:8" ht="15" hidden="1" customHeight="1" thickBot="1">
      <c r="A177" s="15"/>
      <c r="B177" s="30" t="s">
        <v>29</v>
      </c>
      <c r="C177" s="61"/>
      <c r="D177" s="61"/>
      <c r="E177" s="33"/>
      <c r="H177" s="1673"/>
    </row>
    <row r="178" spans="1:8" ht="15" hidden="1" customHeight="1" thickBot="1">
      <c r="A178" s="15"/>
      <c r="B178" s="11" t="s">
        <v>116</v>
      </c>
      <c r="C178" s="61"/>
      <c r="D178" s="61"/>
      <c r="E178" s="33"/>
      <c r="H178" s="1673"/>
    </row>
    <row r="179" spans="1:8" ht="15" hidden="1" customHeight="1" thickBot="1">
      <c r="A179" s="17"/>
      <c r="B179" s="11" t="s">
        <v>27</v>
      </c>
      <c r="C179" s="54"/>
      <c r="D179" s="54"/>
      <c r="E179" s="33"/>
      <c r="H179" s="1673"/>
    </row>
    <row r="180" spans="1:8" ht="15" hidden="1" customHeight="1" thickBot="1">
      <c r="A180" s="17"/>
      <c r="B180" s="11" t="s">
        <v>26</v>
      </c>
      <c r="C180" s="54"/>
      <c r="D180" s="54"/>
      <c r="E180" s="33"/>
      <c r="H180" s="1673"/>
    </row>
    <row r="181" spans="1:8" ht="15" hidden="1" customHeight="1" thickBot="1">
      <c r="A181" s="17"/>
      <c r="B181" s="11" t="s">
        <v>37</v>
      </c>
      <c r="C181" s="54"/>
      <c r="D181" s="54"/>
      <c r="E181" s="33"/>
      <c r="H181" s="1673"/>
    </row>
    <row r="182" spans="1:8" ht="15" hidden="1" customHeight="1" thickBot="1">
      <c r="A182" s="15"/>
      <c r="B182" s="30" t="s">
        <v>28</v>
      </c>
      <c r="C182" s="61"/>
      <c r="D182" s="61"/>
      <c r="E182" s="33"/>
      <c r="H182" s="1673"/>
    </row>
    <row r="183" spans="1:8" ht="15" hidden="1" customHeight="1" thickBot="1">
      <c r="A183" s="15"/>
      <c r="B183" s="11" t="s">
        <v>116</v>
      </c>
      <c r="C183" s="61"/>
      <c r="D183" s="61"/>
      <c r="E183" s="33">
        <v>0</v>
      </c>
      <c r="H183" s="1673"/>
    </row>
    <row r="184" spans="1:8" ht="15" hidden="1" customHeight="1" thickBot="1">
      <c r="A184" s="15"/>
      <c r="B184" s="11" t="s">
        <v>27</v>
      </c>
      <c r="C184" s="61"/>
      <c r="D184" s="61"/>
      <c r="E184" s="33">
        <v>0</v>
      </c>
      <c r="H184" s="1673"/>
    </row>
    <row r="185" spans="1:8" ht="15" hidden="1" customHeight="1" thickBot="1">
      <c r="A185" s="15"/>
      <c r="B185" s="11" t="s">
        <v>26</v>
      </c>
      <c r="C185" s="61"/>
      <c r="D185" s="61"/>
      <c r="E185" s="33">
        <v>0</v>
      </c>
      <c r="H185" s="1673"/>
    </row>
    <row r="186" spans="1:8" ht="15" hidden="1" customHeight="1" thickBot="1">
      <c r="A186" s="15"/>
      <c r="B186" s="11" t="s">
        <v>37</v>
      </c>
      <c r="C186" s="61"/>
      <c r="D186" s="61"/>
      <c r="E186" s="33">
        <v>0</v>
      </c>
      <c r="H186" s="1673"/>
    </row>
    <row r="187" spans="1:8" ht="15" hidden="1" customHeight="1" thickBot="1">
      <c r="A187" s="15"/>
      <c r="B187" s="30" t="s">
        <v>36</v>
      </c>
      <c r="C187" s="61"/>
      <c r="D187" s="61"/>
      <c r="E187" s="33">
        <v>0</v>
      </c>
      <c r="H187" s="1673"/>
    </row>
    <row r="188" spans="1:8" ht="15" hidden="1" customHeight="1" thickBot="1">
      <c r="A188" s="15"/>
      <c r="B188" s="30" t="s">
        <v>34</v>
      </c>
      <c r="C188" s="61"/>
      <c r="D188" s="61"/>
      <c r="E188" s="33">
        <v>0</v>
      </c>
      <c r="H188" s="1673"/>
    </row>
    <row r="189" spans="1:8" ht="15" hidden="1" customHeight="1" thickBot="1">
      <c r="A189" s="8"/>
      <c r="B189" s="47" t="s">
        <v>32</v>
      </c>
      <c r="C189" s="48"/>
      <c r="D189" s="48"/>
      <c r="E189" s="95"/>
      <c r="H189" s="1673"/>
    </row>
    <row r="190" spans="1:8" ht="15" hidden="1" customHeight="1" thickBot="1">
      <c r="A190" s="15"/>
      <c r="B190" s="30" t="s">
        <v>29</v>
      </c>
      <c r="C190" s="61"/>
      <c r="D190" s="61"/>
      <c r="E190" s="33"/>
      <c r="H190" s="1673"/>
    </row>
    <row r="191" spans="1:8" ht="15" hidden="1" customHeight="1" thickBot="1">
      <c r="A191" s="15"/>
      <c r="B191" s="11" t="s">
        <v>116</v>
      </c>
      <c r="C191" s="61"/>
      <c r="D191" s="61"/>
      <c r="E191" s="33">
        <v>0</v>
      </c>
      <c r="H191" s="1673"/>
    </row>
    <row r="192" spans="1:8" ht="15" hidden="1" customHeight="1" thickBot="1">
      <c r="A192" s="15"/>
      <c r="B192" s="11" t="s">
        <v>27</v>
      </c>
      <c r="C192" s="61"/>
      <c r="D192" s="61"/>
      <c r="E192" s="33">
        <v>0</v>
      </c>
      <c r="H192" s="1673"/>
    </row>
    <row r="193" spans="1:8" ht="15" hidden="1" customHeight="1" thickBot="1">
      <c r="A193" s="15"/>
      <c r="B193" s="11" t="s">
        <v>26</v>
      </c>
      <c r="C193" s="61"/>
      <c r="D193" s="61"/>
      <c r="E193" s="33">
        <v>0</v>
      </c>
      <c r="H193" s="1673"/>
    </row>
    <row r="194" spans="1:8" ht="15" hidden="1" customHeight="1" thickBot="1">
      <c r="A194" s="15"/>
      <c r="B194" s="30" t="s">
        <v>28</v>
      </c>
      <c r="C194" s="61"/>
      <c r="D194" s="61"/>
      <c r="E194" s="33"/>
      <c r="H194" s="1673"/>
    </row>
    <row r="195" spans="1:8" ht="15" hidden="1" customHeight="1" thickBot="1">
      <c r="A195" s="15"/>
      <c r="B195" s="11" t="s">
        <v>116</v>
      </c>
      <c r="C195" s="61"/>
      <c r="D195" s="61"/>
      <c r="E195" s="33">
        <v>0</v>
      </c>
      <c r="H195" s="1673"/>
    </row>
    <row r="196" spans="1:8" ht="15" hidden="1" customHeight="1" thickBot="1">
      <c r="A196" s="15"/>
      <c r="B196" s="11" t="s">
        <v>27</v>
      </c>
      <c r="C196" s="61"/>
      <c r="D196" s="61"/>
      <c r="E196" s="33">
        <v>0</v>
      </c>
      <c r="H196" s="1673"/>
    </row>
    <row r="197" spans="1:8" ht="15" hidden="1" customHeight="1" thickBot="1">
      <c r="A197" s="15"/>
      <c r="B197" s="11" t="s">
        <v>26</v>
      </c>
      <c r="C197" s="61"/>
      <c r="D197" s="61"/>
      <c r="E197" s="33">
        <v>0</v>
      </c>
      <c r="H197" s="1673"/>
    </row>
    <row r="198" spans="1:8" ht="15" hidden="1" customHeight="1" thickBot="1">
      <c r="A198" s="8"/>
      <c r="B198" s="47" t="s">
        <v>30</v>
      </c>
      <c r="C198" s="48"/>
      <c r="D198" s="48"/>
      <c r="E198" s="95"/>
      <c r="H198" s="1673"/>
    </row>
    <row r="199" spans="1:8" ht="15" hidden="1" customHeight="1" thickBot="1">
      <c r="A199" s="15"/>
      <c r="B199" s="30" t="s">
        <v>29</v>
      </c>
      <c r="C199" s="61"/>
      <c r="D199" s="61"/>
      <c r="E199" s="33"/>
      <c r="H199" s="1673"/>
    </row>
    <row r="200" spans="1:8" ht="15" hidden="1" customHeight="1" thickBot="1">
      <c r="A200" s="15"/>
      <c r="B200" s="11" t="s">
        <v>116</v>
      </c>
      <c r="C200" s="127">
        <v>0.3</v>
      </c>
      <c r="D200" s="127"/>
      <c r="E200" s="34" t="e">
        <v>#DIV/0!</v>
      </c>
      <c r="H200" s="1673"/>
    </row>
    <row r="201" spans="1:8" ht="15" hidden="1" customHeight="1" thickBot="1">
      <c r="A201" s="15"/>
      <c r="B201" s="11" t="s">
        <v>27</v>
      </c>
      <c r="C201" s="127">
        <v>0.3</v>
      </c>
      <c r="D201" s="127"/>
      <c r="E201" s="34" t="e">
        <v>#DIV/0!</v>
      </c>
      <c r="H201" s="1673"/>
    </row>
    <row r="202" spans="1:8" ht="15" hidden="1" customHeight="1" thickBot="1">
      <c r="A202" s="15"/>
      <c r="B202" s="11" t="s">
        <v>26</v>
      </c>
      <c r="C202" s="127">
        <v>0.3</v>
      </c>
      <c r="D202" s="127"/>
      <c r="E202" s="34" t="e">
        <v>#DIV/0!</v>
      </c>
      <c r="H202" s="1673"/>
    </row>
    <row r="203" spans="1:8" ht="15" hidden="1" customHeight="1" thickBot="1">
      <c r="A203" s="15"/>
      <c r="B203" s="30" t="s">
        <v>28</v>
      </c>
      <c r="C203" s="127"/>
      <c r="D203" s="127"/>
      <c r="E203" s="34"/>
      <c r="H203" s="1673"/>
    </row>
    <row r="204" spans="1:8" ht="15" hidden="1" customHeight="1" thickBot="1">
      <c r="A204" s="15"/>
      <c r="B204" s="11" t="s">
        <v>116</v>
      </c>
      <c r="C204" s="127">
        <v>0.5</v>
      </c>
      <c r="D204" s="127"/>
      <c r="E204" s="34" t="e">
        <v>#DIV/0!</v>
      </c>
      <c r="H204" s="1673"/>
    </row>
    <row r="205" spans="1:8" ht="15" hidden="1" customHeight="1" thickBot="1">
      <c r="A205" s="15"/>
      <c r="B205" s="11" t="s">
        <v>27</v>
      </c>
      <c r="C205" s="127">
        <v>0.5</v>
      </c>
      <c r="D205" s="127"/>
      <c r="E205" s="34" t="e">
        <v>#DIV/0!</v>
      </c>
      <c r="H205" s="1673"/>
    </row>
    <row r="206" spans="1:8" ht="15" hidden="1" customHeight="1" thickBot="1">
      <c r="A206" s="19"/>
      <c r="B206" s="11" t="s">
        <v>26</v>
      </c>
      <c r="C206" s="127">
        <v>0.5</v>
      </c>
      <c r="D206" s="127"/>
      <c r="E206" s="34" t="e">
        <v>#DIV/0!</v>
      </c>
      <c r="H206" s="1673"/>
    </row>
    <row r="207" spans="1:8" ht="15" hidden="1" customHeight="1" thickBot="1">
      <c r="A207" s="8">
        <v>7</v>
      </c>
      <c r="B207" s="47" t="s">
        <v>87</v>
      </c>
      <c r="C207" s="128"/>
      <c r="D207" s="128"/>
      <c r="E207" s="287"/>
      <c r="H207" s="1673"/>
    </row>
    <row r="208" spans="1:8" ht="15" hidden="1" customHeight="1" thickBot="1">
      <c r="A208" s="15"/>
      <c r="B208" s="26" t="s">
        <v>92</v>
      </c>
      <c r="C208" s="127"/>
      <c r="D208" s="127"/>
      <c r="E208" s="42"/>
      <c r="H208" s="1673"/>
    </row>
    <row r="209" spans="1:8" ht="15" hidden="1" customHeight="1" thickBot="1">
      <c r="A209" s="15"/>
      <c r="B209" s="11" t="s">
        <v>93</v>
      </c>
      <c r="C209" s="127"/>
      <c r="D209" s="127"/>
      <c r="E209" s="34"/>
      <c r="H209" s="1673"/>
    </row>
    <row r="210" spans="1:8" ht="15" hidden="1" customHeight="1" thickBot="1">
      <c r="A210" s="15"/>
      <c r="B210" s="11" t="s">
        <v>39</v>
      </c>
      <c r="C210" s="127"/>
      <c r="D210" s="127"/>
      <c r="E210" s="34">
        <v>0</v>
      </c>
      <c r="H210" s="1673"/>
    </row>
    <row r="211" spans="1:8" ht="15" hidden="1" customHeight="1" thickBot="1">
      <c r="A211" s="15"/>
      <c r="B211" s="11" t="s">
        <v>38</v>
      </c>
      <c r="C211" s="127"/>
      <c r="D211" s="127"/>
      <c r="E211" s="34">
        <v>0</v>
      </c>
      <c r="H211" s="1673"/>
    </row>
    <row r="212" spans="1:8" ht="15" hidden="1" customHeight="1" thickBot="1">
      <c r="A212" s="15"/>
      <c r="B212" s="30" t="s">
        <v>50</v>
      </c>
      <c r="C212" s="127"/>
      <c r="D212" s="127"/>
      <c r="E212" s="34">
        <v>0</v>
      </c>
      <c r="H212" s="1673"/>
    </row>
    <row r="213" spans="1:8" ht="15" hidden="1" customHeight="1" thickBot="1">
      <c r="A213" s="15"/>
      <c r="B213" s="11" t="s">
        <v>29</v>
      </c>
      <c r="C213" s="127"/>
      <c r="D213" s="127"/>
      <c r="E213" s="34"/>
      <c r="H213" s="1673"/>
    </row>
    <row r="214" spans="1:8" ht="15" hidden="1" customHeight="1" thickBot="1">
      <c r="A214" s="15"/>
      <c r="B214" s="11" t="s">
        <v>88</v>
      </c>
      <c r="C214" s="127"/>
      <c r="D214" s="127"/>
      <c r="E214" s="33"/>
      <c r="H214" s="1673"/>
    </row>
    <row r="215" spans="1:8" ht="15" hidden="1" customHeight="1" thickBot="1">
      <c r="A215" s="15"/>
      <c r="B215" s="11" t="s">
        <v>117</v>
      </c>
      <c r="C215" s="127"/>
      <c r="D215" s="127"/>
      <c r="E215" s="33"/>
      <c r="H215" s="1673"/>
    </row>
    <row r="216" spans="1:8" ht="15" hidden="1" customHeight="1" thickBot="1">
      <c r="A216" s="15"/>
      <c r="B216" s="38" t="s">
        <v>28</v>
      </c>
      <c r="C216" s="127"/>
      <c r="D216" s="127"/>
      <c r="E216" s="34"/>
      <c r="H216" s="1673"/>
    </row>
    <row r="217" spans="1:8" ht="15" hidden="1" customHeight="1" thickBot="1">
      <c r="A217" s="15"/>
      <c r="B217" s="11" t="s">
        <v>88</v>
      </c>
      <c r="C217" s="127"/>
      <c r="D217" s="127"/>
      <c r="E217" s="33">
        <v>0</v>
      </c>
      <c r="H217" s="1673"/>
    </row>
    <row r="218" spans="1:8" ht="15" hidden="1" customHeight="1" thickBot="1">
      <c r="A218" s="15"/>
      <c r="B218" s="11" t="s">
        <v>117</v>
      </c>
      <c r="C218" s="127"/>
      <c r="D218" s="127"/>
      <c r="E218" s="33">
        <v>0</v>
      </c>
      <c r="H218" s="1673"/>
    </row>
    <row r="219" spans="1:8" ht="15" hidden="1" customHeight="1" thickBot="1">
      <c r="A219" s="15"/>
      <c r="B219" s="11" t="s">
        <v>36</v>
      </c>
      <c r="C219" s="127"/>
      <c r="D219" s="127"/>
      <c r="E219" s="33">
        <v>0</v>
      </c>
      <c r="H219" s="1673"/>
    </row>
    <row r="220" spans="1:8" ht="15" hidden="1" customHeight="1" thickBot="1">
      <c r="A220" s="15"/>
      <c r="B220" s="11" t="s">
        <v>34</v>
      </c>
      <c r="C220" s="127"/>
      <c r="D220" s="127"/>
      <c r="E220" s="33">
        <v>0</v>
      </c>
      <c r="H220" s="1673"/>
    </row>
    <row r="221" spans="1:8" ht="15" hidden="1" customHeight="1" thickBot="1">
      <c r="A221" s="15"/>
      <c r="B221" s="47" t="s">
        <v>32</v>
      </c>
      <c r="C221" s="128"/>
      <c r="D221" s="128"/>
      <c r="E221" s="288"/>
      <c r="H221" s="1673"/>
    </row>
    <row r="222" spans="1:8" ht="15" hidden="1" customHeight="1" thickBot="1">
      <c r="A222" s="15"/>
      <c r="B222" s="11" t="s">
        <v>29</v>
      </c>
      <c r="C222" s="127"/>
      <c r="D222" s="127"/>
      <c r="E222" s="34"/>
      <c r="H222" s="1673"/>
    </row>
    <row r="223" spans="1:8" ht="15" hidden="1" customHeight="1" thickBot="1">
      <c r="A223" s="15"/>
      <c r="B223" s="11" t="s">
        <v>88</v>
      </c>
      <c r="C223" s="127"/>
      <c r="D223" s="127"/>
      <c r="E223" s="33"/>
      <c r="H223" s="1673"/>
    </row>
    <row r="224" spans="1:8" ht="15" hidden="1" customHeight="1" thickBot="1">
      <c r="A224" s="15"/>
      <c r="B224" s="11" t="s">
        <v>117</v>
      </c>
      <c r="C224" s="127"/>
      <c r="D224" s="127"/>
      <c r="E224" s="33"/>
      <c r="H224" s="1673"/>
    </row>
    <row r="225" spans="1:8" ht="15" hidden="1" customHeight="1" thickBot="1">
      <c r="A225" s="15"/>
      <c r="B225" s="11" t="s">
        <v>28</v>
      </c>
      <c r="C225" s="127"/>
      <c r="D225" s="127"/>
      <c r="E225" s="34"/>
      <c r="H225" s="1673"/>
    </row>
    <row r="226" spans="1:8" ht="15" hidden="1" customHeight="1" thickBot="1">
      <c r="A226" s="15"/>
      <c r="B226" s="11" t="s">
        <v>88</v>
      </c>
      <c r="C226" s="127"/>
      <c r="D226" s="127"/>
      <c r="E226" s="33">
        <v>0</v>
      </c>
      <c r="H226" s="1673"/>
    </row>
    <row r="227" spans="1:8" ht="15" hidden="1" customHeight="1" thickBot="1">
      <c r="A227" s="15"/>
      <c r="B227" s="11" t="s">
        <v>117</v>
      </c>
      <c r="C227" s="127"/>
      <c r="D227" s="127"/>
      <c r="E227" s="33">
        <v>0</v>
      </c>
      <c r="H227" s="1673"/>
    </row>
    <row r="228" spans="1:8" ht="15" hidden="1" customHeight="1" thickBot="1">
      <c r="A228" s="15"/>
      <c r="B228" s="47" t="s">
        <v>30</v>
      </c>
      <c r="C228" s="131"/>
      <c r="D228" s="131"/>
      <c r="E228" s="273"/>
      <c r="H228" s="1673"/>
    </row>
    <row r="229" spans="1:8" ht="15" hidden="1" customHeight="1" thickBot="1">
      <c r="A229" s="15"/>
      <c r="B229" s="30" t="s">
        <v>29</v>
      </c>
      <c r="C229" s="127"/>
      <c r="D229" s="127"/>
      <c r="E229" s="33"/>
      <c r="H229" s="1673"/>
    </row>
    <row r="230" spans="1:8" ht="15" hidden="1" customHeight="1" thickBot="1">
      <c r="A230" s="15"/>
      <c r="B230" s="11" t="s">
        <v>88</v>
      </c>
      <c r="C230" s="127">
        <v>0.3</v>
      </c>
      <c r="D230" s="127"/>
      <c r="E230" s="33" t="e">
        <v>#DIV/0!</v>
      </c>
      <c r="H230" s="1673"/>
    </row>
    <row r="231" spans="1:8" ht="15" hidden="1" customHeight="1" thickBot="1">
      <c r="A231" s="15"/>
      <c r="B231" s="11" t="s">
        <v>117</v>
      </c>
      <c r="C231" s="127">
        <v>0.3</v>
      </c>
      <c r="D231" s="127"/>
      <c r="E231" s="33" t="e">
        <v>#DIV/0!</v>
      </c>
      <c r="H231" s="1673"/>
    </row>
    <row r="232" spans="1:8" ht="15" hidden="1" customHeight="1" thickBot="1">
      <c r="A232" s="15"/>
      <c r="B232" s="30" t="s">
        <v>28</v>
      </c>
      <c r="C232" s="127"/>
      <c r="D232" s="127"/>
      <c r="E232" s="33"/>
      <c r="H232" s="1673"/>
    </row>
    <row r="233" spans="1:8" ht="15" hidden="1" customHeight="1" thickBot="1">
      <c r="A233" s="15"/>
      <c r="B233" s="11" t="s">
        <v>88</v>
      </c>
      <c r="C233" s="127">
        <v>0.5</v>
      </c>
      <c r="D233" s="127"/>
      <c r="E233" s="33" t="e">
        <v>#DIV/0!</v>
      </c>
      <c r="H233" s="1673"/>
    </row>
    <row r="234" spans="1:8" ht="15" hidden="1" customHeight="1" thickBot="1">
      <c r="A234" s="15"/>
      <c r="B234" s="11" t="s">
        <v>117</v>
      </c>
      <c r="C234" s="127">
        <v>0.5</v>
      </c>
      <c r="D234" s="127"/>
      <c r="E234" s="33" t="e">
        <v>#DIV/0!</v>
      </c>
      <c r="H234" s="1673"/>
    </row>
    <row r="235" spans="1:8" ht="15" hidden="1" customHeight="1" thickBot="1">
      <c r="A235" s="15"/>
      <c r="B235" s="102" t="s">
        <v>94</v>
      </c>
      <c r="C235" s="132"/>
      <c r="D235" s="132"/>
      <c r="E235" s="289">
        <v>0</v>
      </c>
      <c r="H235" s="1673"/>
    </row>
    <row r="236" spans="1:8" ht="15" hidden="1" customHeight="1" thickBot="1">
      <c r="A236" s="15"/>
      <c r="B236" s="72" t="s">
        <v>118</v>
      </c>
      <c r="C236" s="134"/>
      <c r="D236" s="134"/>
      <c r="E236" s="290">
        <v>0</v>
      </c>
      <c r="H236" s="1673"/>
    </row>
    <row r="237" spans="1:8" ht="15" hidden="1" customHeight="1" thickBot="1">
      <c r="A237" s="15"/>
      <c r="B237" s="105" t="s">
        <v>89</v>
      </c>
      <c r="C237" s="135"/>
      <c r="D237" s="135"/>
      <c r="E237" s="291">
        <v>0</v>
      </c>
      <c r="H237" s="1673"/>
    </row>
    <row r="238" spans="1:8" ht="15" hidden="1" customHeight="1" thickBot="1">
      <c r="A238" s="15"/>
      <c r="B238" s="108" t="s">
        <v>90</v>
      </c>
      <c r="C238" s="136"/>
      <c r="D238" s="136"/>
      <c r="E238" s="292">
        <v>0</v>
      </c>
      <c r="H238" s="1673"/>
    </row>
    <row r="239" spans="1:8" ht="15" hidden="1" customHeight="1" thickBot="1">
      <c r="A239" s="15"/>
      <c r="B239" s="111" t="s">
        <v>95</v>
      </c>
      <c r="C239" s="132"/>
      <c r="D239" s="132"/>
      <c r="E239" s="293">
        <v>0</v>
      </c>
      <c r="H239" s="1673"/>
    </row>
    <row r="240" spans="1:8" ht="15" thickBot="1">
      <c r="A240" s="1806">
        <v>4</v>
      </c>
      <c r="B240" s="1779" t="s">
        <v>24</v>
      </c>
      <c r="C240" s="1666"/>
      <c r="D240" s="1666"/>
      <c r="E240" s="1667" t="s">
        <v>918</v>
      </c>
      <c r="F240" s="1667" t="s">
        <v>919</v>
      </c>
      <c r="G240" s="1668" t="s">
        <v>188</v>
      </c>
      <c r="H240" s="1669" t="s">
        <v>993</v>
      </c>
    </row>
    <row r="241" spans="1:18">
      <c r="A241" s="69"/>
      <c r="B241" s="236" t="s">
        <v>22</v>
      </c>
      <c r="C241" s="261">
        <v>1460.001</v>
      </c>
      <c r="D241" s="261" t="s">
        <v>988</v>
      </c>
      <c r="E241" s="294"/>
      <c r="F241" s="1657"/>
      <c r="G241" s="294">
        <v>1236.1327000000001</v>
      </c>
      <c r="H241" s="1676"/>
    </row>
    <row r="242" spans="1:18">
      <c r="A242" s="8"/>
      <c r="B242" s="236" t="s">
        <v>23</v>
      </c>
      <c r="C242" s="255"/>
      <c r="D242" s="255"/>
      <c r="E242" s="294"/>
      <c r="F242" s="1657"/>
      <c r="G242" s="294">
        <v>949.19</v>
      </c>
      <c r="H242" s="1676"/>
    </row>
    <row r="243" spans="1:18">
      <c r="A243" s="15"/>
      <c r="B243" s="28" t="s">
        <v>11</v>
      </c>
      <c r="C243" s="255"/>
      <c r="D243" s="255"/>
      <c r="E243" s="296"/>
      <c r="G243" s="753"/>
      <c r="H243" s="1673"/>
    </row>
    <row r="244" spans="1:18">
      <c r="A244" s="15"/>
      <c r="B244" s="236" t="s">
        <v>21</v>
      </c>
      <c r="C244" s="253">
        <f>292</f>
        <v>292</v>
      </c>
      <c r="D244" s="253" t="s">
        <v>988</v>
      </c>
      <c r="E244" s="295"/>
      <c r="F244" s="1657"/>
      <c r="G244" s="295">
        <v>693.22799999999995</v>
      </c>
      <c r="H244" s="1798">
        <f>G244/G9*10</f>
        <v>2.7695884938074311</v>
      </c>
    </row>
    <row r="245" spans="1:18">
      <c r="A245" s="15"/>
      <c r="B245" s="75" t="s">
        <v>378</v>
      </c>
      <c r="C245" s="951">
        <v>4.3</v>
      </c>
      <c r="D245" s="951" t="s">
        <v>992</v>
      </c>
      <c r="E245" s="952"/>
      <c r="G245" s="753"/>
      <c r="H245" s="1673"/>
    </row>
    <row r="246" spans="1:18">
      <c r="A246" s="15"/>
      <c r="B246" s="14" t="s">
        <v>20</v>
      </c>
      <c r="C246" s="253">
        <v>1168.001</v>
      </c>
      <c r="D246" s="253" t="s">
        <v>988</v>
      </c>
      <c r="E246" s="295"/>
      <c r="F246" s="1657"/>
      <c r="G246" s="295">
        <f>G241-G244</f>
        <v>542.90470000000016</v>
      </c>
      <c r="H246" s="1676"/>
    </row>
    <row r="247" spans="1:18" ht="15" thickBot="1">
      <c r="A247" s="40"/>
      <c r="B247" s="41" t="s">
        <v>1</v>
      </c>
      <c r="C247" s="1805">
        <v>1460.001</v>
      </c>
      <c r="D247" s="1805" t="s">
        <v>988</v>
      </c>
      <c r="E247" s="1658"/>
      <c r="F247" s="1687"/>
      <c r="G247" s="1658">
        <f>G244+G246</f>
        <v>1236.1327000000001</v>
      </c>
      <c r="H247" s="1688"/>
    </row>
    <row r="248" spans="1:18" ht="15" thickBot="1">
      <c r="A248" s="1806">
        <v>5</v>
      </c>
      <c r="B248" s="1779" t="s">
        <v>18</v>
      </c>
      <c r="C248" s="1765"/>
      <c r="D248" s="1765"/>
      <c r="E248" s="1667" t="s">
        <v>918</v>
      </c>
      <c r="F248" s="1667" t="s">
        <v>919</v>
      </c>
      <c r="G248" s="1668" t="s">
        <v>188</v>
      </c>
      <c r="H248" s="1669" t="s">
        <v>994</v>
      </c>
    </row>
    <row r="249" spans="1:18">
      <c r="A249" s="8"/>
      <c r="B249" s="236" t="s">
        <v>4</v>
      </c>
      <c r="C249" s="235">
        <v>408000</v>
      </c>
      <c r="D249" s="235" t="s">
        <v>1001</v>
      </c>
      <c r="E249" s="1633"/>
      <c r="F249" s="1657"/>
      <c r="G249" s="299">
        <v>186740</v>
      </c>
      <c r="H249" s="1676"/>
    </row>
    <row r="250" spans="1:18">
      <c r="A250" s="8"/>
      <c r="B250" s="30" t="s">
        <v>17</v>
      </c>
      <c r="C250" s="263"/>
      <c r="D250" s="263"/>
      <c r="E250" s="283"/>
      <c r="G250" s="753"/>
      <c r="H250" s="1673"/>
      <c r="R250">
        <v>1.8</v>
      </c>
    </row>
    <row r="251" spans="1:18">
      <c r="A251" s="15"/>
      <c r="B251" s="236" t="s">
        <v>16</v>
      </c>
      <c r="C251" s="253">
        <v>46.63</v>
      </c>
      <c r="D251" s="1698" t="s">
        <v>237</v>
      </c>
      <c r="E251" s="1524">
        <v>447.1</v>
      </c>
      <c r="F251" s="1683">
        <v>530.54999999999995</v>
      </c>
      <c r="G251" s="1685">
        <f>F251-E251</f>
        <v>83.449999999999932</v>
      </c>
      <c r="H251" s="1677">
        <f>G251/G9*1000</f>
        <v>33.339992009588471</v>
      </c>
      <c r="R251">
        <v>1.9</v>
      </c>
    </row>
    <row r="252" spans="1:18" ht="14.7" hidden="1" customHeight="1">
      <c r="A252" s="15"/>
      <c r="B252" s="14"/>
      <c r="C252" s="235">
        <f>C251/2000</f>
        <v>2.3315000000000002E-2</v>
      </c>
      <c r="D252" s="235"/>
      <c r="E252" s="33"/>
      <c r="G252" s="753"/>
      <c r="H252" s="1673"/>
    </row>
    <row r="253" spans="1:18">
      <c r="A253" s="15"/>
      <c r="B253" s="14"/>
      <c r="C253" s="131">
        <f>C251/C9*1000</f>
        <v>18.652000000000001</v>
      </c>
      <c r="D253" s="131" t="s">
        <v>1004</v>
      </c>
      <c r="E253" s="33"/>
      <c r="G253" s="753"/>
      <c r="H253" s="1673"/>
      <c r="R253">
        <v>5</v>
      </c>
    </row>
    <row r="254" spans="1:18" ht="14.7" hidden="1" customHeight="1">
      <c r="A254" s="15"/>
      <c r="B254" s="236" t="s">
        <v>15</v>
      </c>
      <c r="C254" s="235">
        <v>122000</v>
      </c>
      <c r="D254" s="235"/>
      <c r="E254" s="276"/>
      <c r="F254" s="1657"/>
      <c r="G254" s="1674"/>
      <c r="H254" s="1676"/>
    </row>
    <row r="255" spans="1:18">
      <c r="A255" s="15"/>
      <c r="B255" s="14" t="s">
        <v>921</v>
      </c>
      <c r="C255" s="235">
        <v>106000</v>
      </c>
      <c r="D255" s="235"/>
      <c r="E255" s="949"/>
      <c r="F255" s="513"/>
      <c r="G255" s="1686"/>
      <c r="H255" s="1678"/>
      <c r="R255">
        <v>2.2999999999999998</v>
      </c>
    </row>
    <row r="256" spans="1:18" ht="15" thickBot="1">
      <c r="A256" s="40"/>
      <c r="B256" s="28" t="s">
        <v>1</v>
      </c>
      <c r="C256" s="264">
        <v>408000</v>
      </c>
      <c r="D256" s="264"/>
      <c r="E256" s="1689"/>
      <c r="F256" s="1681"/>
      <c r="G256" s="1690">
        <f>SUM(G251,G254,G255)</f>
        <v>83.449999999999932</v>
      </c>
      <c r="H256" s="1682"/>
      <c r="R256" s="1796">
        <f>SUM(R250:R255)</f>
        <v>11</v>
      </c>
    </row>
    <row r="257" spans="1:18" ht="15" thickBot="1">
      <c r="A257" s="1806">
        <v>6</v>
      </c>
      <c r="B257" s="1779" t="s">
        <v>13</v>
      </c>
      <c r="C257" s="1668"/>
      <c r="D257" s="1668"/>
      <c r="E257" s="1667" t="s">
        <v>918</v>
      </c>
      <c r="F257" s="1667" t="s">
        <v>919</v>
      </c>
      <c r="G257" s="1668" t="s">
        <v>188</v>
      </c>
      <c r="H257" s="1669" t="s">
        <v>995</v>
      </c>
      <c r="R257">
        <f>R256/2500*1000</f>
        <v>4.4000000000000004</v>
      </c>
    </row>
    <row r="258" spans="1:18">
      <c r="A258" s="17"/>
      <c r="B258" s="243" t="s">
        <v>12</v>
      </c>
      <c r="C258" s="265">
        <v>1100</v>
      </c>
      <c r="D258" s="265" t="s">
        <v>1005</v>
      </c>
      <c r="E258" s="245"/>
      <c r="F258" s="1657"/>
      <c r="G258" s="245">
        <v>572</v>
      </c>
      <c r="H258" s="1676"/>
    </row>
    <row r="259" spans="1:18">
      <c r="A259" s="17"/>
      <c r="B259" s="43" t="s">
        <v>11</v>
      </c>
      <c r="C259" s="252"/>
      <c r="D259" s="252"/>
      <c r="E259" s="34"/>
      <c r="G259" s="753"/>
      <c r="H259" s="1673"/>
    </row>
    <row r="260" spans="1:18">
      <c r="A260" s="17"/>
      <c r="B260" s="243" t="s">
        <v>10</v>
      </c>
      <c r="C260" s="1699">
        <v>170.4</v>
      </c>
      <c r="D260" s="1810" t="s">
        <v>1005</v>
      </c>
      <c r="E260" s="246"/>
      <c r="F260" s="1657"/>
      <c r="G260" s="1674"/>
      <c r="H260" s="1676"/>
    </row>
    <row r="261" spans="1:18">
      <c r="A261" s="17"/>
      <c r="B261" s="243"/>
      <c r="C261" s="1700">
        <f>C260/C9</f>
        <v>6.8159999999999998E-2</v>
      </c>
      <c r="D261" s="1810" t="s">
        <v>1006</v>
      </c>
      <c r="E261" s="246"/>
      <c r="F261" s="1657"/>
      <c r="G261" s="1674"/>
      <c r="H261" s="1676"/>
    </row>
    <row r="262" spans="1:18" ht="14.7" hidden="1" customHeight="1">
      <c r="A262" s="17"/>
      <c r="B262" s="243" t="s">
        <v>9</v>
      </c>
      <c r="C262" s="266">
        <v>179.63</v>
      </c>
      <c r="D262" s="266"/>
      <c r="E262" s="246"/>
      <c r="F262" s="1657"/>
      <c r="G262" s="1674"/>
      <c r="H262" s="1676"/>
    </row>
    <row r="263" spans="1:18">
      <c r="A263" s="17"/>
      <c r="B263" s="243" t="s">
        <v>8</v>
      </c>
      <c r="C263" s="265">
        <v>491.59</v>
      </c>
      <c r="D263" s="265" t="s">
        <v>1005</v>
      </c>
      <c r="E263" s="246"/>
      <c r="F263" s="1657"/>
      <c r="G263" s="246">
        <v>368</v>
      </c>
      <c r="H263" s="1676"/>
    </row>
    <row r="264" spans="1:18">
      <c r="A264" s="17"/>
      <c r="B264" s="31" t="s">
        <v>7</v>
      </c>
      <c r="C264" s="265">
        <v>337.28</v>
      </c>
      <c r="D264" s="265" t="s">
        <v>1005</v>
      </c>
      <c r="E264" s="34"/>
      <c r="G264" s="34">
        <f>G258-G260-G262-G263</f>
        <v>204</v>
      </c>
      <c r="H264" s="1673"/>
    </row>
    <row r="265" spans="1:18" ht="15" thickBot="1">
      <c r="A265" s="17"/>
      <c r="B265" s="243" t="s">
        <v>6</v>
      </c>
      <c r="C265" s="265">
        <v>330</v>
      </c>
      <c r="D265" s="265" t="s">
        <v>1005</v>
      </c>
      <c r="E265" s="1691"/>
      <c r="F265" s="1687"/>
      <c r="G265" s="246">
        <v>298</v>
      </c>
      <c r="H265" s="1688"/>
    </row>
    <row r="266" spans="1:18" ht="15" thickBot="1">
      <c r="A266" s="1808">
        <v>7</v>
      </c>
      <c r="B266" s="1809" t="s">
        <v>5</v>
      </c>
      <c r="C266" s="1668"/>
      <c r="D266" s="1668"/>
      <c r="E266" s="1667" t="s">
        <v>918</v>
      </c>
      <c r="F266" s="1667" t="s">
        <v>919</v>
      </c>
      <c r="G266" s="1668" t="s">
        <v>188</v>
      </c>
      <c r="H266" s="1669" t="s">
        <v>996</v>
      </c>
    </row>
    <row r="267" spans="1:18">
      <c r="A267" s="84"/>
      <c r="B267" s="123" t="s">
        <v>4</v>
      </c>
      <c r="C267" s="1067"/>
      <c r="D267" s="1067"/>
      <c r="E267" s="33"/>
      <c r="G267" s="753"/>
      <c r="H267" s="1673"/>
    </row>
    <row r="268" spans="1:18">
      <c r="A268" s="84"/>
      <c r="B268" s="236" t="s">
        <v>3</v>
      </c>
      <c r="C268" s="235">
        <v>28770</v>
      </c>
      <c r="D268" s="235" t="s">
        <v>922</v>
      </c>
      <c r="E268" s="246"/>
      <c r="F268" s="1657"/>
      <c r="G268" s="246">
        <v>5.9</v>
      </c>
      <c r="H268" s="1676"/>
      <c r="I268" s="820"/>
    </row>
    <row r="269" spans="1:18">
      <c r="A269" s="84"/>
      <c r="B269" s="123" t="s">
        <v>1</v>
      </c>
      <c r="C269" s="13"/>
      <c r="D269" s="13"/>
      <c r="E269" s="1649"/>
      <c r="G269" s="1649">
        <f>G268</f>
        <v>5.9</v>
      </c>
      <c r="H269" s="1673"/>
    </row>
    <row r="270" spans="1:18">
      <c r="A270" s="84"/>
      <c r="B270" s="123" t="s">
        <v>16</v>
      </c>
      <c r="C270" s="13"/>
      <c r="D270" s="13"/>
      <c r="E270" s="283"/>
      <c r="G270" s="753"/>
      <c r="H270" s="1673"/>
    </row>
    <row r="271" spans="1:18">
      <c r="A271" s="15"/>
      <c r="B271" s="248" t="s">
        <v>913</v>
      </c>
      <c r="C271" s="267">
        <v>19646.41</v>
      </c>
      <c r="D271" s="255" t="s">
        <v>999</v>
      </c>
      <c r="E271" s="276">
        <v>79215.8</v>
      </c>
      <c r="F271" s="1684">
        <v>94113.3</v>
      </c>
      <c r="G271" s="1650">
        <f>F271-E271</f>
        <v>14897.5</v>
      </c>
      <c r="H271" s="1750">
        <f>G271/G9</f>
        <v>5.9518577706751898</v>
      </c>
    </row>
    <row r="272" spans="1:18">
      <c r="A272" s="15"/>
      <c r="B272" s="954"/>
      <c r="C272" s="1701">
        <f>C271/C9</f>
        <v>7.8585640000000003</v>
      </c>
      <c r="D272" s="1701" t="s">
        <v>1007</v>
      </c>
      <c r="E272" s="949"/>
      <c r="G272" s="753"/>
      <c r="H272" s="1673"/>
    </row>
    <row r="273" spans="1:11">
      <c r="A273" s="15"/>
      <c r="B273" s="248" t="s">
        <v>119</v>
      </c>
      <c r="C273" s="267">
        <v>10757.64</v>
      </c>
      <c r="D273" s="255" t="s">
        <v>1000</v>
      </c>
      <c r="E273" s="276">
        <v>81749.95</v>
      </c>
      <c r="F273" s="1684">
        <v>92760.52</v>
      </c>
      <c r="G273" s="1650">
        <f>F273-E273</f>
        <v>11010.570000000007</v>
      </c>
      <c r="H273" s="1750">
        <f>G273/G9</f>
        <v>4.3989492608869387</v>
      </c>
    </row>
    <row r="274" spans="1:11" ht="14.7" hidden="1" customHeight="1">
      <c r="A274" s="15"/>
      <c r="B274" s="954"/>
      <c r="C274" s="955"/>
      <c r="D274" s="955"/>
      <c r="E274" s="949"/>
      <c r="G274" s="753"/>
      <c r="H274" s="1673"/>
    </row>
    <row r="275" spans="1:11" ht="14.7" hidden="1" customHeight="1">
      <c r="A275" s="15"/>
      <c r="B275" s="44" t="s">
        <v>15</v>
      </c>
      <c r="C275" s="534"/>
      <c r="D275" s="534"/>
      <c r="E275" s="300"/>
      <c r="G275" s="753"/>
      <c r="H275" s="1673"/>
    </row>
    <row r="276" spans="1:11" ht="14.7" hidden="1" customHeight="1">
      <c r="A276" s="15"/>
      <c r="B276" s="248" t="s">
        <v>120</v>
      </c>
      <c r="C276" s="267">
        <v>1308.96</v>
      </c>
      <c r="D276" s="267"/>
      <c r="E276" s="276"/>
      <c r="G276" s="753"/>
      <c r="H276" s="1673"/>
    </row>
    <row r="277" spans="1:11" ht="14.7" hidden="1" customHeight="1">
      <c r="A277" s="15"/>
      <c r="B277" s="954"/>
      <c r="C277" s="955"/>
      <c r="D277" s="955"/>
      <c r="E277" s="33"/>
      <c r="G277" s="753"/>
      <c r="H277" s="1673"/>
    </row>
    <row r="278" spans="1:11" ht="14.7" hidden="1" customHeight="1">
      <c r="A278" s="15"/>
      <c r="B278" s="248" t="s">
        <v>121</v>
      </c>
      <c r="C278" s="267">
        <v>5759.67</v>
      </c>
      <c r="D278" s="267"/>
      <c r="E278" s="276">
        <v>792.3</v>
      </c>
      <c r="G278" s="753"/>
      <c r="H278" s="1673"/>
    </row>
    <row r="279" spans="1:11" ht="14.7" hidden="1" customHeight="1">
      <c r="A279" s="15"/>
      <c r="B279" s="954"/>
      <c r="C279" s="955"/>
      <c r="D279" s="955"/>
      <c r="E279" s="949"/>
      <c r="G279" s="753"/>
      <c r="H279" s="1673"/>
    </row>
    <row r="280" spans="1:11" ht="14.7" hidden="1" customHeight="1">
      <c r="A280" s="15"/>
      <c r="B280" s="44" t="s">
        <v>7</v>
      </c>
      <c r="C280" s="534"/>
      <c r="D280" s="534"/>
      <c r="E280" s="300"/>
      <c r="G280" s="753"/>
      <c r="H280" s="1673"/>
    </row>
    <row r="281" spans="1:11" ht="15" thickBot="1">
      <c r="A281" s="15"/>
      <c r="B281" s="1758"/>
      <c r="C281" s="1759">
        <f>C273/C9</f>
        <v>4.3030559999999998</v>
      </c>
      <c r="D281" s="1759" t="s">
        <v>1007</v>
      </c>
      <c r="E281" s="1760"/>
      <c r="F281" s="1761"/>
      <c r="G281" s="1762"/>
      <c r="H281" s="1763"/>
    </row>
    <row r="282" spans="1:11" ht="15" hidden="1" customHeight="1" thickBot="1">
      <c r="A282" s="19"/>
      <c r="B282" s="249" t="s">
        <v>123</v>
      </c>
      <c r="C282" s="268">
        <v>241.12</v>
      </c>
      <c r="D282" s="268"/>
      <c r="E282" s="1692"/>
      <c r="F282" s="1693"/>
      <c r="G282" s="1694"/>
      <c r="H282" s="1695"/>
    </row>
    <row r="284" spans="1:11" ht="15.6">
      <c r="B284" s="2143" t="s">
        <v>927</v>
      </c>
      <c r="C284" s="2143"/>
      <c r="D284" s="1790"/>
      <c r="E284" s="2143" t="s">
        <v>928</v>
      </c>
      <c r="F284" s="2143"/>
      <c r="G284" s="2143"/>
      <c r="H284" s="2144" t="s">
        <v>933</v>
      </c>
      <c r="I284" s="2144"/>
      <c r="J284" s="2145" t="s">
        <v>937</v>
      </c>
      <c r="K284" s="2145"/>
    </row>
    <row r="285" spans="1:11">
      <c r="B285" s="2135" t="s">
        <v>925</v>
      </c>
      <c r="C285" s="2136"/>
      <c r="D285" s="1789"/>
      <c r="E285" s="2135" t="s">
        <v>935</v>
      </c>
      <c r="F285" s="2136"/>
      <c r="G285" s="2136"/>
      <c r="H285" s="2135" t="s">
        <v>936</v>
      </c>
      <c r="I285" s="2136"/>
      <c r="J285" s="2137" t="s">
        <v>938</v>
      </c>
      <c r="K285" s="2137"/>
    </row>
    <row r="286" spans="1:11" ht="24.6" customHeight="1">
      <c r="B286" s="2136"/>
      <c r="C286" s="2136"/>
      <c r="D286" s="1789"/>
      <c r="E286" s="2136"/>
      <c r="F286" s="2136"/>
      <c r="G286" s="2136"/>
      <c r="H286" s="2136"/>
      <c r="I286" s="2136"/>
      <c r="J286" s="2137"/>
      <c r="K286" s="2137"/>
    </row>
    <row r="287" spans="1:11" ht="14.7" customHeight="1">
      <c r="B287" s="2135" t="s">
        <v>959</v>
      </c>
      <c r="C287" s="2136"/>
      <c r="D287" s="1789"/>
      <c r="E287" s="2135" t="s">
        <v>964</v>
      </c>
      <c r="F287" s="2136"/>
      <c r="G287" s="2136"/>
      <c r="H287" s="2135" t="s">
        <v>960</v>
      </c>
      <c r="I287" s="2136"/>
      <c r="J287" s="2137" t="s">
        <v>938</v>
      </c>
      <c r="K287" s="2137"/>
    </row>
    <row r="288" spans="1:11" ht="26.7" customHeight="1">
      <c r="B288" s="2136"/>
      <c r="C288" s="2136"/>
      <c r="D288" s="1789"/>
      <c r="E288" s="2136"/>
      <c r="F288" s="2136"/>
      <c r="G288" s="2136"/>
      <c r="H288" s="2136"/>
      <c r="I288" s="2136"/>
      <c r="J288" s="2137"/>
      <c r="K288" s="2137"/>
    </row>
    <row r="289" spans="2:11" ht="41.7" customHeight="1">
      <c r="B289" s="2135" t="s">
        <v>926</v>
      </c>
      <c r="C289" s="2136"/>
      <c r="D289" s="1789"/>
      <c r="E289" s="2135" t="s">
        <v>939</v>
      </c>
      <c r="F289" s="2136"/>
      <c r="G289" s="2136"/>
      <c r="H289" s="2136" t="s">
        <v>940</v>
      </c>
      <c r="I289" s="2136"/>
      <c r="J289" s="2137" t="s">
        <v>938</v>
      </c>
      <c r="K289" s="2137"/>
    </row>
    <row r="290" spans="2:11" ht="14.7" customHeight="1">
      <c r="B290" s="2131" t="s">
        <v>934</v>
      </c>
      <c r="C290" s="2132"/>
      <c r="D290" s="1787"/>
      <c r="E290" s="2135" t="s">
        <v>941</v>
      </c>
      <c r="F290" s="2135"/>
      <c r="G290" s="2135"/>
      <c r="H290" s="2136" t="s">
        <v>942</v>
      </c>
      <c r="I290" s="2136"/>
      <c r="J290" s="2137" t="s">
        <v>938</v>
      </c>
      <c r="K290" s="2137"/>
    </row>
    <row r="291" spans="2:11">
      <c r="B291" s="2133"/>
      <c r="C291" s="2134"/>
      <c r="D291" s="1788"/>
      <c r="E291" s="2135"/>
      <c r="F291" s="2135"/>
      <c r="G291" s="2135"/>
      <c r="H291" s="2136"/>
      <c r="I291" s="2136"/>
      <c r="J291" s="2137"/>
      <c r="K291" s="2137"/>
    </row>
  </sheetData>
  <mergeCells count="26">
    <mergeCell ref="B284:C284"/>
    <mergeCell ref="E284:G284"/>
    <mergeCell ref="H284:I284"/>
    <mergeCell ref="J284:K284"/>
    <mergeCell ref="B285:C286"/>
    <mergeCell ref="E285:G286"/>
    <mergeCell ref="H285:I286"/>
    <mergeCell ref="A1:H1"/>
    <mergeCell ref="A2:A3"/>
    <mergeCell ref="B2:B3"/>
    <mergeCell ref="C2:C3"/>
    <mergeCell ref="E2:H3"/>
    <mergeCell ref="D2:D3"/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A23" workbookViewId="0">
      <selection activeCell="K12" sqref="K12"/>
    </sheetView>
  </sheetViews>
  <sheetFormatPr defaultRowHeight="14.4"/>
  <cols>
    <col min="1" max="1" width="7.5546875" customWidth="1"/>
    <col min="2" max="2" width="5" customWidth="1"/>
    <col min="3" max="3" width="38.5546875" customWidth="1"/>
    <col min="4" max="4" width="9.5546875" customWidth="1"/>
    <col min="5" max="5" width="13.44140625" customWidth="1"/>
    <col min="6" max="6" width="16.44140625" customWidth="1"/>
    <col min="7" max="7" width="10.5546875" customWidth="1"/>
    <col min="8" max="8" width="7.33203125" customWidth="1"/>
    <col min="9" max="9" width="5.44140625" customWidth="1"/>
    <col min="10" max="10" width="15.44140625" customWidth="1"/>
    <col min="11" max="11" width="10" customWidth="1"/>
    <col min="12" max="12" width="7.33203125" customWidth="1"/>
    <col min="13" max="13" width="17.6640625" customWidth="1"/>
    <col min="14" max="14" width="11.6640625" customWidth="1"/>
    <col min="15" max="15" width="11.44140625" customWidth="1"/>
  </cols>
  <sheetData>
    <row r="1" spans="2:15" ht="7.35" customHeight="1"/>
    <row r="2" spans="2:15" ht="24.6" customHeight="1" thickBot="1">
      <c r="B2" s="831" t="s">
        <v>217</v>
      </c>
      <c r="C2" s="388"/>
      <c r="D2" s="389"/>
      <c r="E2" s="389"/>
      <c r="F2" s="390"/>
      <c r="G2" s="390"/>
      <c r="H2" s="390"/>
      <c r="I2" s="390"/>
      <c r="J2" s="390"/>
      <c r="K2" s="389"/>
      <c r="L2" s="389"/>
      <c r="M2" s="389"/>
      <c r="N2" s="389"/>
      <c r="O2" s="389"/>
    </row>
    <row r="3" spans="2:15">
      <c r="B3" s="832" t="s">
        <v>359</v>
      </c>
      <c r="C3" s="833"/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950" t="e">
        <f>(#REF!)/1000</f>
        <v>#REF!</v>
      </c>
      <c r="O3" s="835" t="s">
        <v>379</v>
      </c>
    </row>
    <row r="4" spans="2:15">
      <c r="B4" s="836" t="s">
        <v>229</v>
      </c>
      <c r="C4" s="391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3" t="e">
        <f>#REF!</f>
        <v>#REF!</v>
      </c>
      <c r="O4" s="837" t="s">
        <v>228</v>
      </c>
    </row>
    <row r="5" spans="2:15">
      <c r="B5" s="838" t="s">
        <v>230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3" t="e">
        <f>N4*N3</f>
        <v>#REF!</v>
      </c>
      <c r="O5" s="837" t="s">
        <v>280</v>
      </c>
    </row>
    <row r="6" spans="2:15" ht="15" thickBot="1">
      <c r="B6" s="839" t="s">
        <v>231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1187">
        <v>16000</v>
      </c>
      <c r="O6" s="840" t="s">
        <v>232</v>
      </c>
    </row>
    <row r="7" spans="2:15" ht="21" customHeight="1" thickBot="1">
      <c r="B7" s="841" t="s">
        <v>99</v>
      </c>
      <c r="C7" s="842" t="s">
        <v>218</v>
      </c>
      <c r="D7" s="2146" t="s">
        <v>219</v>
      </c>
      <c r="E7" s="2146"/>
      <c r="F7" s="2147" t="s">
        <v>220</v>
      </c>
      <c r="G7" s="2147"/>
      <c r="H7" s="2148" t="s">
        <v>221</v>
      </c>
      <c r="I7" s="2149"/>
      <c r="J7" s="844" t="s">
        <v>222</v>
      </c>
      <c r="K7" s="2150" t="s">
        <v>223</v>
      </c>
      <c r="L7" s="2151"/>
      <c r="M7" s="843" t="s">
        <v>224</v>
      </c>
      <c r="N7" s="843" t="s">
        <v>225</v>
      </c>
      <c r="O7" s="845" t="s">
        <v>226</v>
      </c>
    </row>
    <row r="8" spans="2:15" ht="15" thickTop="1">
      <c r="B8" s="846">
        <v>1</v>
      </c>
      <c r="C8" s="847" t="s">
        <v>233</v>
      </c>
      <c r="D8" s="962" t="e">
        <f>#REF!</f>
        <v>#REF!</v>
      </c>
      <c r="E8" s="848"/>
      <c r="F8" s="849" t="e">
        <f>($D$8*$N$3*10)</f>
        <v>#REF!</v>
      </c>
      <c r="G8" s="850" t="s">
        <v>234</v>
      </c>
      <c r="H8" s="849" t="e">
        <f>$N$4</f>
        <v>#REF!</v>
      </c>
      <c r="I8" s="849"/>
      <c r="J8" s="953" t="e">
        <f>$H$8*$F$8</f>
        <v>#REF!</v>
      </c>
      <c r="K8" s="851">
        <v>2400</v>
      </c>
      <c r="L8" s="851"/>
      <c r="M8" s="849" t="e">
        <f>$J$8*$K$8</f>
        <v>#REF!</v>
      </c>
      <c r="N8" s="852" t="e">
        <f>$M$8/($N$5*1000)</f>
        <v>#REF!</v>
      </c>
      <c r="O8" s="853" t="e">
        <f>($M$8/$N$6)/$N$5</f>
        <v>#REF!</v>
      </c>
    </row>
    <row r="9" spans="2:15">
      <c r="B9" s="854">
        <v>2</v>
      </c>
      <c r="C9" s="367" t="s">
        <v>235</v>
      </c>
      <c r="D9" s="373" t="e">
        <f>#REF!</f>
        <v>#REF!</v>
      </c>
      <c r="E9" s="855"/>
      <c r="F9" s="380" t="e">
        <f>($D$9*$N$3*10)</f>
        <v>#REF!</v>
      </c>
      <c r="G9" s="856" t="s">
        <v>234</v>
      </c>
      <c r="H9" s="380" t="e">
        <f>$H$8</f>
        <v>#REF!</v>
      </c>
      <c r="I9" s="380"/>
      <c r="J9" s="380" t="e">
        <f>$H$9*$F$9</f>
        <v>#REF!</v>
      </c>
      <c r="K9" s="368">
        <v>17420</v>
      </c>
      <c r="L9" s="368"/>
      <c r="M9" s="380" t="e">
        <f>$J$9*$K$9</f>
        <v>#REF!</v>
      </c>
      <c r="N9" s="402" t="e">
        <f>$M$9/($N$5*1000)</f>
        <v>#REF!</v>
      </c>
      <c r="O9" s="857" t="e">
        <f>($M$9/$N$6)/$N$5</f>
        <v>#REF!</v>
      </c>
    </row>
    <row r="10" spans="2:15">
      <c r="B10" s="854">
        <v>3</v>
      </c>
      <c r="C10" s="367" t="s">
        <v>236</v>
      </c>
      <c r="D10" s="373">
        <v>29.1666666666667</v>
      </c>
      <c r="E10" s="856" t="s">
        <v>237</v>
      </c>
      <c r="F10" s="380">
        <f>D10</f>
        <v>29.1666666666667</v>
      </c>
      <c r="G10" s="856" t="s">
        <v>237</v>
      </c>
      <c r="H10" s="380" t="e">
        <f>$H$8</f>
        <v>#REF!</v>
      </c>
      <c r="I10" s="380"/>
      <c r="J10" s="380" t="e">
        <f>$H$10*$F$10</f>
        <v>#REF!</v>
      </c>
      <c r="K10" s="368">
        <v>15700</v>
      </c>
      <c r="L10" s="368"/>
      <c r="M10" s="380" t="e">
        <f>$J$10*$K$10</f>
        <v>#REF!</v>
      </c>
      <c r="N10" s="402" t="e">
        <f>$M$10/($N$5*1000)</f>
        <v>#REF!</v>
      </c>
      <c r="O10" s="857" t="e">
        <f>($M$10/$N$6)/$N$5</f>
        <v>#REF!</v>
      </c>
    </row>
    <row r="11" spans="2:15">
      <c r="B11" s="858">
        <v>4</v>
      </c>
      <c r="C11" s="367" t="s">
        <v>238</v>
      </c>
      <c r="D11" s="402"/>
      <c r="E11" s="855"/>
      <c r="F11" s="380"/>
      <c r="G11" s="856"/>
      <c r="H11" s="380"/>
      <c r="I11" s="380"/>
      <c r="J11" s="380"/>
      <c r="K11" s="368"/>
      <c r="L11" s="368"/>
      <c r="M11" s="380"/>
      <c r="N11" s="402"/>
      <c r="O11" s="857"/>
    </row>
    <row r="12" spans="2:15">
      <c r="B12" s="859"/>
      <c r="C12" s="369" t="s">
        <v>239</v>
      </c>
      <c r="D12" s="402" t="e">
        <f>#REF!</f>
        <v>#REF!</v>
      </c>
      <c r="E12" s="855" t="s">
        <v>240</v>
      </c>
      <c r="F12" s="380" t="e">
        <f>$D$12*$N$3</f>
        <v>#REF!</v>
      </c>
      <c r="G12" s="856" t="s">
        <v>241</v>
      </c>
      <c r="H12" s="380" t="e">
        <f>$H$8</f>
        <v>#REF!</v>
      </c>
      <c r="I12" s="380"/>
      <c r="J12" s="380" t="e">
        <f>$H$12*$F$12</f>
        <v>#REF!</v>
      </c>
      <c r="K12" s="368">
        <f>11.5*$N$6</f>
        <v>184000</v>
      </c>
      <c r="L12" s="368"/>
      <c r="M12" s="380" t="e">
        <f>$J$12*$K$12</f>
        <v>#REF!</v>
      </c>
      <c r="N12" s="402" t="e">
        <f>$M$12/($N$5*1000)</f>
        <v>#REF!</v>
      </c>
      <c r="O12" s="857" t="e">
        <f>($M$12/$N$6)/$N$5</f>
        <v>#REF!</v>
      </c>
    </row>
    <row r="13" spans="2:15">
      <c r="B13" s="859"/>
      <c r="C13" s="369" t="s">
        <v>242</v>
      </c>
      <c r="D13" s="402">
        <v>0</v>
      </c>
      <c r="E13" s="855" t="s">
        <v>240</v>
      </c>
      <c r="F13" s="380" t="e">
        <f>$D$13*$N$3</f>
        <v>#REF!</v>
      </c>
      <c r="G13" s="856" t="s">
        <v>241</v>
      </c>
      <c r="H13" s="380" t="e">
        <f>$H$8</f>
        <v>#REF!</v>
      </c>
      <c r="I13" s="380"/>
      <c r="J13" s="380" t="e">
        <f>$H$13*$F$13</f>
        <v>#REF!</v>
      </c>
      <c r="K13" s="368">
        <f>11.5*$N$6</f>
        <v>184000</v>
      </c>
      <c r="L13" s="368"/>
      <c r="M13" s="380" t="e">
        <f>$J$13*$K$13</f>
        <v>#REF!</v>
      </c>
      <c r="N13" s="402" t="e">
        <f>$M$13/($N$5*1000)</f>
        <v>#REF!</v>
      </c>
      <c r="O13" s="857" t="e">
        <f>($M$13/$N$6)/$N$5</f>
        <v>#REF!</v>
      </c>
    </row>
    <row r="14" spans="2:15">
      <c r="B14" s="860"/>
      <c r="C14" s="369" t="s">
        <v>243</v>
      </c>
      <c r="D14" s="402">
        <v>0</v>
      </c>
      <c r="E14" s="855" t="s">
        <v>240</v>
      </c>
      <c r="F14" s="380" t="e">
        <f>$D$14*$N$3</f>
        <v>#REF!</v>
      </c>
      <c r="G14" s="856" t="s">
        <v>241</v>
      </c>
      <c r="H14" s="380" t="e">
        <f>$H$8</f>
        <v>#REF!</v>
      </c>
      <c r="I14" s="380"/>
      <c r="J14" s="380" t="e">
        <f>$H$14*$F$14</f>
        <v>#REF!</v>
      </c>
      <c r="K14" s="368">
        <f>11.5*$N$6</f>
        <v>184000</v>
      </c>
      <c r="L14" s="368"/>
      <c r="M14" s="380" t="e">
        <f>$J$14*$K$14</f>
        <v>#REF!</v>
      </c>
      <c r="N14" s="402" t="e">
        <f>$M$14/($N$5*1000)</f>
        <v>#REF!</v>
      </c>
      <c r="O14" s="857" t="e">
        <f>($M$14/$N$6)/$N$5</f>
        <v>#REF!</v>
      </c>
    </row>
    <row r="15" spans="2:15">
      <c r="B15" s="858">
        <v>5</v>
      </c>
      <c r="C15" s="367" t="s">
        <v>360</v>
      </c>
      <c r="D15" s="402"/>
      <c r="E15" s="855"/>
      <c r="F15" s="380"/>
      <c r="G15" s="856"/>
      <c r="H15" s="380"/>
      <c r="I15" s="380"/>
      <c r="J15" s="380"/>
      <c r="K15" s="368"/>
      <c r="L15" s="368"/>
      <c r="M15" s="380"/>
      <c r="N15" s="402"/>
      <c r="O15" s="857"/>
    </row>
    <row r="16" spans="2:15">
      <c r="B16" s="859"/>
      <c r="C16" s="369" t="s">
        <v>244</v>
      </c>
      <c r="D16" s="370" t="e">
        <f>#REF!</f>
        <v>#REF!</v>
      </c>
      <c r="E16" s="855" t="s">
        <v>245</v>
      </c>
      <c r="F16" s="380" t="e">
        <f>$D$16*$N$3/1000</f>
        <v>#REF!</v>
      </c>
      <c r="G16" s="856" t="s">
        <v>246</v>
      </c>
      <c r="H16" s="380" t="e">
        <f>$H$8</f>
        <v>#REF!</v>
      </c>
      <c r="I16" s="380"/>
      <c r="J16" s="380" t="e">
        <f>$H$16*$F$16</f>
        <v>#REF!</v>
      </c>
      <c r="K16" s="368" t="e">
        <f>Steam!H15</f>
        <v>#REF!</v>
      </c>
      <c r="L16" s="368"/>
      <c r="M16" s="380" t="e">
        <f>$J$16*$K$16</f>
        <v>#REF!</v>
      </c>
      <c r="N16" s="402" t="e">
        <f>$M$16/($N$5*1000)</f>
        <v>#REF!</v>
      </c>
      <c r="O16" s="857" t="e">
        <f>($M$16/$N$6)/$N$5</f>
        <v>#REF!</v>
      </c>
    </row>
    <row r="17" spans="2:15">
      <c r="B17" s="860"/>
      <c r="C17" s="369" t="s">
        <v>247</v>
      </c>
      <c r="D17" s="370" t="e">
        <f>#REF!</f>
        <v>#REF!</v>
      </c>
      <c r="E17" s="855" t="s">
        <v>245</v>
      </c>
      <c r="F17" s="380" t="e">
        <f>$D$17*$N$3/1000</f>
        <v>#REF!</v>
      </c>
      <c r="G17" s="856" t="s">
        <v>246</v>
      </c>
      <c r="H17" s="380" t="e">
        <f>$H$8</f>
        <v>#REF!</v>
      </c>
      <c r="I17" s="380"/>
      <c r="J17" s="380" t="e">
        <f>$H$17*$F$17</f>
        <v>#REF!</v>
      </c>
      <c r="K17" s="368" t="e">
        <f>Steam!H15</f>
        <v>#REF!</v>
      </c>
      <c r="L17" s="368"/>
      <c r="M17" s="380" t="e">
        <f>$J$17*$K$17</f>
        <v>#REF!</v>
      </c>
      <c r="N17" s="402" t="e">
        <f>$M$17/($N$5*1000)</f>
        <v>#REF!</v>
      </c>
      <c r="O17" s="857" t="e">
        <f>($M$17/$N$6)/$N$5</f>
        <v>#REF!</v>
      </c>
    </row>
    <row r="18" spans="2:15">
      <c r="B18" s="859">
        <v>6</v>
      </c>
      <c r="C18" s="367" t="s">
        <v>361</v>
      </c>
      <c r="D18" s="372"/>
      <c r="E18" s="855"/>
      <c r="F18" s="375"/>
      <c r="G18" s="856"/>
      <c r="H18" s="380"/>
      <c r="I18" s="380"/>
      <c r="J18" s="380"/>
      <c r="K18" s="368"/>
      <c r="L18" s="368"/>
      <c r="M18" s="380"/>
      <c r="N18" s="402"/>
      <c r="O18" s="857"/>
    </row>
    <row r="19" spans="2:15">
      <c r="B19" s="859"/>
      <c r="C19" s="369" t="s">
        <v>244</v>
      </c>
      <c r="D19" s="402" t="e">
        <f>#REF!</f>
        <v>#REF!</v>
      </c>
      <c r="E19" s="855" t="s">
        <v>248</v>
      </c>
      <c r="F19" s="380" t="e">
        <f>$D$19*$N$3</f>
        <v>#REF!</v>
      </c>
      <c r="G19" s="856" t="s">
        <v>249</v>
      </c>
      <c r="H19" s="380" t="e">
        <f>$H$8</f>
        <v>#REF!</v>
      </c>
      <c r="I19" s="380">
        <v>0</v>
      </c>
      <c r="J19" s="380" t="e">
        <f>$H$19*$F$19</f>
        <v>#REF!</v>
      </c>
      <c r="K19" s="368">
        <v>1550</v>
      </c>
      <c r="L19" s="368">
        <f>[1]Electric!H21</f>
        <v>3666.6666666666665</v>
      </c>
      <c r="M19" s="380" t="e">
        <f>($F$19*$H$19*$K$19)+($F$19*$I$19*$L$19)</f>
        <v>#REF!</v>
      </c>
      <c r="N19" s="402" t="e">
        <f>$M$19/($N$5*1000)</f>
        <v>#REF!</v>
      </c>
      <c r="O19" s="857" t="e">
        <f>($M$19/$N$6)/$N$5</f>
        <v>#REF!</v>
      </c>
    </row>
    <row r="20" spans="2:15">
      <c r="B20" s="859"/>
      <c r="C20" s="369" t="s">
        <v>250</v>
      </c>
      <c r="D20" s="373" t="e">
        <f>#REF!</f>
        <v>#REF!</v>
      </c>
      <c r="E20" s="855" t="s">
        <v>248</v>
      </c>
      <c r="F20" s="380" t="e">
        <f>$D$20*$N$3</f>
        <v>#REF!</v>
      </c>
      <c r="G20" s="856" t="s">
        <v>249</v>
      </c>
      <c r="H20" s="380" t="e">
        <f>$H$8</f>
        <v>#REF!</v>
      </c>
      <c r="I20" s="380">
        <v>0</v>
      </c>
      <c r="J20" s="380" t="e">
        <f>$H$20*$F$20</f>
        <v>#REF!</v>
      </c>
      <c r="K20" s="368">
        <v>1550</v>
      </c>
      <c r="L20" s="368">
        <f>L19</f>
        <v>3666.6666666666665</v>
      </c>
      <c r="M20" s="380" t="e">
        <f>(F20*H20*K20)+(F20*I20*L20)</f>
        <v>#REF!</v>
      </c>
      <c r="N20" s="402" t="e">
        <f>$M$20/($N$5*1000)</f>
        <v>#REF!</v>
      </c>
      <c r="O20" s="857" t="e">
        <f>($M$20/$N$6)/$N$5</f>
        <v>#REF!</v>
      </c>
    </row>
    <row r="21" spans="2:15">
      <c r="B21" s="859"/>
      <c r="C21" s="369" t="s">
        <v>251</v>
      </c>
      <c r="D21" s="374">
        <v>0.33778769841269801</v>
      </c>
      <c r="E21" s="855" t="s">
        <v>248</v>
      </c>
      <c r="F21" s="380" t="e">
        <f>$D$21*$N$3</f>
        <v>#REF!</v>
      </c>
      <c r="G21" s="856" t="s">
        <v>249</v>
      </c>
      <c r="H21" s="380" t="e">
        <f>$H$8</f>
        <v>#REF!</v>
      </c>
      <c r="I21" s="380">
        <v>0</v>
      </c>
      <c r="J21" s="380" t="e">
        <f>$H$21*$F$21</f>
        <v>#REF!</v>
      </c>
      <c r="K21" s="368">
        <v>1550</v>
      </c>
      <c r="L21" s="368">
        <f>L20</f>
        <v>3666.6666666666665</v>
      </c>
      <c r="M21" s="380" t="e">
        <f>($F$21*$H$21*$K$21)+($F$21*$I$21*$L$21)</f>
        <v>#REF!</v>
      </c>
      <c r="N21" s="402" t="e">
        <f>$M$21/($N$5*1000)</f>
        <v>#REF!</v>
      </c>
      <c r="O21" s="857" t="e">
        <f>($M$21/$N$6)/$N$5</f>
        <v>#REF!</v>
      </c>
    </row>
    <row r="22" spans="2:15">
      <c r="B22" s="859">
        <v>7</v>
      </c>
      <c r="C22" s="367" t="s">
        <v>362</v>
      </c>
      <c r="D22" s="373"/>
      <c r="E22" s="855"/>
      <c r="F22" s="380"/>
      <c r="G22" s="856"/>
      <c r="H22" s="380"/>
      <c r="I22" s="380"/>
      <c r="J22" s="380"/>
      <c r="K22" s="368"/>
      <c r="L22" s="368"/>
      <c r="M22" s="380"/>
      <c r="N22" s="402"/>
      <c r="O22" s="857"/>
    </row>
    <row r="23" spans="2:15">
      <c r="B23" s="859"/>
      <c r="C23" s="369" t="s">
        <v>253</v>
      </c>
      <c r="D23" s="370" t="e">
        <f>#REF!</f>
        <v>#REF!</v>
      </c>
      <c r="E23" s="855" t="s">
        <v>254</v>
      </c>
      <c r="F23" s="380" t="e">
        <f>$D$23</f>
        <v>#REF!</v>
      </c>
      <c r="G23" s="856" t="s">
        <v>254</v>
      </c>
      <c r="H23" s="380" t="e">
        <f>$H$8</f>
        <v>#REF!</v>
      </c>
      <c r="I23" s="380"/>
      <c r="J23" s="380" t="e">
        <f>$H$23*$F$23</f>
        <v>#REF!</v>
      </c>
      <c r="K23" s="368" t="e">
        <f>WTP!H13</f>
        <v>#VALUE!</v>
      </c>
      <c r="L23" s="368"/>
      <c r="M23" s="380" t="e">
        <f>$J$23*$K$23</f>
        <v>#REF!</v>
      </c>
      <c r="N23" s="402" t="e">
        <f>$M$23/($N$5*1000)</f>
        <v>#REF!</v>
      </c>
      <c r="O23" s="857" t="e">
        <f>($M$23/$N$6)/$N$5</f>
        <v>#REF!</v>
      </c>
    </row>
    <row r="24" spans="2:15">
      <c r="B24" s="858">
        <v>8</v>
      </c>
      <c r="C24" s="367" t="s">
        <v>255</v>
      </c>
      <c r="D24" s="375"/>
      <c r="E24" s="855"/>
      <c r="F24" s="380"/>
      <c r="G24" s="856"/>
      <c r="H24" s="380"/>
      <c r="I24" s="380"/>
      <c r="J24" s="380"/>
      <c r="K24" s="368"/>
      <c r="L24" s="368"/>
      <c r="M24" s="380"/>
      <c r="N24" s="402" t="e">
        <f>$M$24/($N$5*1000)</f>
        <v>#REF!</v>
      </c>
      <c r="O24" s="857" t="e">
        <f>($M$24/$N$6)/$N$5</f>
        <v>#REF!</v>
      </c>
    </row>
    <row r="25" spans="2:15">
      <c r="B25" s="859"/>
      <c r="C25" s="369" t="s">
        <v>256</v>
      </c>
      <c r="D25" s="375">
        <v>0.4</v>
      </c>
      <c r="E25" s="855" t="s">
        <v>234</v>
      </c>
      <c r="F25" s="375">
        <f>D25</f>
        <v>0.4</v>
      </c>
      <c r="G25" s="856" t="s">
        <v>234</v>
      </c>
      <c r="H25" s="380" t="e">
        <f>$H$8</f>
        <v>#REF!</v>
      </c>
      <c r="I25" s="380"/>
      <c r="J25" s="380" t="e">
        <f>$H$25*$F$25</f>
        <v>#REF!</v>
      </c>
      <c r="K25" s="368">
        <v>27240</v>
      </c>
      <c r="L25" s="368"/>
      <c r="M25" s="380" t="e">
        <f>$J$25*$K$25</f>
        <v>#REF!</v>
      </c>
      <c r="N25" s="402" t="e">
        <f>$M$25/($N$5*1000)</f>
        <v>#REF!</v>
      </c>
      <c r="O25" s="857" t="e">
        <f>($M$25/$N$6)/$N$5</f>
        <v>#REF!</v>
      </c>
    </row>
    <row r="26" spans="2:15">
      <c r="B26" s="859"/>
      <c r="C26" s="369" t="s">
        <v>257</v>
      </c>
      <c r="D26" s="375">
        <v>0.66</v>
      </c>
      <c r="E26" s="855" t="s">
        <v>234</v>
      </c>
      <c r="F26" s="375">
        <f>D26</f>
        <v>0.66</v>
      </c>
      <c r="G26" s="856" t="s">
        <v>234</v>
      </c>
      <c r="H26" s="380" t="e">
        <f>$H$8</f>
        <v>#REF!</v>
      </c>
      <c r="I26" s="380"/>
      <c r="J26" s="380" t="e">
        <f>$H$26*$F$26</f>
        <v>#REF!</v>
      </c>
      <c r="K26" s="368">
        <v>29120</v>
      </c>
      <c r="L26" s="368"/>
      <c r="M26" s="380" t="e">
        <f>$J$26*$K$26</f>
        <v>#REF!</v>
      </c>
      <c r="N26" s="402" t="e">
        <f>$M$26/($N$5*1000)</f>
        <v>#REF!</v>
      </c>
      <c r="O26" s="857" t="e">
        <f>($M$26/$N$6)/$N$5</f>
        <v>#REF!</v>
      </c>
    </row>
    <row r="27" spans="2:15">
      <c r="B27" s="859"/>
      <c r="C27" s="369" t="s">
        <v>258</v>
      </c>
      <c r="D27" s="375">
        <v>0.41</v>
      </c>
      <c r="E27" s="855" t="s">
        <v>234</v>
      </c>
      <c r="F27" s="375">
        <f>D27</f>
        <v>0.41</v>
      </c>
      <c r="G27" s="856" t="s">
        <v>234</v>
      </c>
      <c r="H27" s="380" t="e">
        <f>$H$8</f>
        <v>#REF!</v>
      </c>
      <c r="I27" s="380"/>
      <c r="J27" s="380" t="e">
        <f>$H$27*$F$27</f>
        <v>#REF!</v>
      </c>
      <c r="K27" s="368">
        <v>117212</v>
      </c>
      <c r="L27" s="368"/>
      <c r="M27" s="380" t="e">
        <f>$J$27*$K$27</f>
        <v>#REF!</v>
      </c>
      <c r="N27" s="402" t="e">
        <f>$M$27/($N$5*1000)</f>
        <v>#REF!</v>
      </c>
      <c r="O27" s="857" t="e">
        <f>($M$27/$N$6)/$N$5</f>
        <v>#REF!</v>
      </c>
    </row>
    <row r="28" spans="2:15">
      <c r="B28" s="860"/>
      <c r="C28" s="369" t="s">
        <v>259</v>
      </c>
      <c r="D28" s="375">
        <v>0.1</v>
      </c>
      <c r="E28" s="855" t="s">
        <v>234</v>
      </c>
      <c r="F28" s="375">
        <f>D28</f>
        <v>0.1</v>
      </c>
      <c r="G28" s="856" t="s">
        <v>234</v>
      </c>
      <c r="H28" s="380" t="e">
        <f>$H$8</f>
        <v>#REF!</v>
      </c>
      <c r="I28" s="380"/>
      <c r="J28" s="380" t="e">
        <f>$H$28*$F$28</f>
        <v>#REF!</v>
      </c>
      <c r="K28" s="368">
        <v>45940</v>
      </c>
      <c r="L28" s="368"/>
      <c r="M28" s="380" t="e">
        <f>$J$28*$K$28</f>
        <v>#REF!</v>
      </c>
      <c r="N28" s="402" t="e">
        <f>$M$28/($N$5*1000)</f>
        <v>#REF!</v>
      </c>
      <c r="O28" s="857" t="e">
        <f>($M$28/$N$6)/$N$5</f>
        <v>#REF!</v>
      </c>
    </row>
    <row r="29" spans="2:15">
      <c r="B29" s="858">
        <v>9</v>
      </c>
      <c r="C29" s="367" t="s">
        <v>7</v>
      </c>
      <c r="D29" s="375"/>
      <c r="E29" s="855"/>
      <c r="F29" s="380"/>
      <c r="G29" s="856"/>
      <c r="H29" s="380"/>
      <c r="I29" s="380"/>
      <c r="J29" s="380"/>
      <c r="K29" s="368"/>
      <c r="L29" s="368"/>
      <c r="M29" s="380"/>
      <c r="N29" s="402"/>
      <c r="O29" s="857"/>
    </row>
    <row r="30" spans="2:15">
      <c r="B30" s="859"/>
      <c r="C30" s="376" t="s">
        <v>260</v>
      </c>
      <c r="D30" s="377">
        <v>0.90361445783132532</v>
      </c>
      <c r="E30" s="861" t="s">
        <v>261</v>
      </c>
      <c r="F30" s="377">
        <f t="shared" ref="F30:F35" si="0">D30</f>
        <v>0.90361445783132532</v>
      </c>
      <c r="G30" s="862" t="s">
        <v>261</v>
      </c>
      <c r="H30" s="380" t="e">
        <f t="shared" ref="H30:H35" si="1">$H$8</f>
        <v>#REF!</v>
      </c>
      <c r="I30" s="380"/>
      <c r="J30" s="380" t="e">
        <f>$H$30*$F$30</f>
        <v>#REF!</v>
      </c>
      <c r="K30" s="368">
        <v>40000</v>
      </c>
      <c r="L30" s="368"/>
      <c r="M30" s="380" t="e">
        <f>$J$30*$K$30</f>
        <v>#REF!</v>
      </c>
      <c r="N30" s="402" t="e">
        <f>$M$30/($N$5*1000)</f>
        <v>#REF!</v>
      </c>
      <c r="O30" s="857" t="e">
        <f>($M$30/$N$6)/$N$5</f>
        <v>#REF!</v>
      </c>
    </row>
    <row r="31" spans="2:15">
      <c r="B31" s="859"/>
      <c r="C31" s="376" t="s">
        <v>262</v>
      </c>
      <c r="D31" s="377">
        <v>0.63253012048192769</v>
      </c>
      <c r="E31" s="861" t="s">
        <v>261</v>
      </c>
      <c r="F31" s="377">
        <f t="shared" si="0"/>
        <v>0.63253012048192769</v>
      </c>
      <c r="G31" s="862" t="s">
        <v>261</v>
      </c>
      <c r="H31" s="380" t="e">
        <f t="shared" si="1"/>
        <v>#REF!</v>
      </c>
      <c r="I31" s="380"/>
      <c r="J31" s="380" t="e">
        <f>$H$31*$F$31</f>
        <v>#REF!</v>
      </c>
      <c r="K31" s="368">
        <v>125000</v>
      </c>
      <c r="L31" s="368"/>
      <c r="M31" s="380" t="e">
        <f>$J$31*$K$31</f>
        <v>#REF!</v>
      </c>
      <c r="N31" s="402" t="e">
        <f>$M$31/($N$5*1000)</f>
        <v>#REF!</v>
      </c>
      <c r="O31" s="857" t="e">
        <f>($M$31/$N$6)/$N$5</f>
        <v>#REF!</v>
      </c>
    </row>
    <row r="32" spans="2:15">
      <c r="B32" s="859"/>
      <c r="C32" s="376" t="s">
        <v>263</v>
      </c>
      <c r="D32" s="377">
        <v>1.5666666666666667</v>
      </c>
      <c r="E32" s="861" t="s">
        <v>261</v>
      </c>
      <c r="F32" s="377">
        <f t="shared" si="0"/>
        <v>1.5666666666666667</v>
      </c>
      <c r="G32" s="862" t="s">
        <v>261</v>
      </c>
      <c r="H32" s="380" t="e">
        <f t="shared" si="1"/>
        <v>#REF!</v>
      </c>
      <c r="I32" s="380"/>
      <c r="J32" s="380" t="e">
        <f>$H$32*$F$32</f>
        <v>#REF!</v>
      </c>
      <c r="K32" s="368">
        <v>145000</v>
      </c>
      <c r="L32" s="368"/>
      <c r="M32" s="380" t="e">
        <f>$J$32*$K$32</f>
        <v>#REF!</v>
      </c>
      <c r="N32" s="402" t="e">
        <f>$M$32/($N$5*1000)</f>
        <v>#REF!</v>
      </c>
      <c r="O32" s="857" t="e">
        <f>($M$32/$N$6)/$N$5</f>
        <v>#REF!</v>
      </c>
    </row>
    <row r="33" spans="2:15">
      <c r="B33" s="859"/>
      <c r="C33" s="376" t="s">
        <v>264</v>
      </c>
      <c r="D33" s="377">
        <v>0.12048192771084337</v>
      </c>
      <c r="E33" s="861" t="s">
        <v>261</v>
      </c>
      <c r="F33" s="377">
        <f t="shared" si="0"/>
        <v>0.12048192771084337</v>
      </c>
      <c r="G33" s="862" t="s">
        <v>261</v>
      </c>
      <c r="H33" s="380" t="e">
        <f t="shared" si="1"/>
        <v>#REF!</v>
      </c>
      <c r="I33" s="380"/>
      <c r="J33" s="380" t="e">
        <f>$H$33*$F$33</f>
        <v>#REF!</v>
      </c>
      <c r="K33" s="368">
        <v>682500</v>
      </c>
      <c r="L33" s="368"/>
      <c r="M33" s="380" t="e">
        <f>$J$33*$K$33</f>
        <v>#REF!</v>
      </c>
      <c r="N33" s="402" t="e">
        <f>$M$33/($N$5*1000)</f>
        <v>#REF!</v>
      </c>
      <c r="O33" s="857" t="e">
        <f>($M$33/$N$6)/$N$5</f>
        <v>#REF!</v>
      </c>
    </row>
    <row r="34" spans="2:15">
      <c r="B34" s="860"/>
      <c r="C34" s="376" t="s">
        <v>265</v>
      </c>
      <c r="D34" s="378">
        <v>3.6144578313253013</v>
      </c>
      <c r="E34" s="861" t="s">
        <v>261</v>
      </c>
      <c r="F34" s="377">
        <f t="shared" si="0"/>
        <v>3.6144578313253013</v>
      </c>
      <c r="G34" s="862" t="s">
        <v>261</v>
      </c>
      <c r="H34" s="380" t="e">
        <f t="shared" si="1"/>
        <v>#REF!</v>
      </c>
      <c r="I34" s="380"/>
      <c r="J34" s="380" t="e">
        <f>$H$34*$F$34</f>
        <v>#REF!</v>
      </c>
      <c r="K34" s="368">
        <v>14500</v>
      </c>
      <c r="L34" s="368"/>
      <c r="M34" s="380" t="e">
        <f>$J$34*$K$34</f>
        <v>#REF!</v>
      </c>
      <c r="N34" s="402" t="e">
        <f>$M$34/($N$5*1000)</f>
        <v>#REF!</v>
      </c>
      <c r="O34" s="857" t="e">
        <f>($M$34/$N$6)/$N$5</f>
        <v>#REF!</v>
      </c>
    </row>
    <row r="35" spans="2:15">
      <c r="B35" s="854">
        <v>10</v>
      </c>
      <c r="C35" s="379" t="s">
        <v>363</v>
      </c>
      <c r="D35" s="380" t="e">
        <f>#REF!</f>
        <v>#REF!</v>
      </c>
      <c r="E35" s="855" t="s">
        <v>254</v>
      </c>
      <c r="F35" s="399" t="e">
        <f t="shared" si="0"/>
        <v>#REF!</v>
      </c>
      <c r="G35" s="862" t="s">
        <v>254</v>
      </c>
      <c r="H35" s="380" t="e">
        <f t="shared" si="1"/>
        <v>#REF!</v>
      </c>
      <c r="I35" s="380"/>
      <c r="J35" s="380" t="e">
        <f>$H$35*$F$35</f>
        <v>#REF!</v>
      </c>
      <c r="K35" s="368" t="e">
        <f>WWTP!H17</f>
        <v>#REF!</v>
      </c>
      <c r="L35" s="368"/>
      <c r="M35" s="380" t="e">
        <f>$J$35*$K$35</f>
        <v>#REF!</v>
      </c>
      <c r="N35" s="402" t="e">
        <f>$M$35/($N$5*1000)</f>
        <v>#REF!</v>
      </c>
      <c r="O35" s="857" t="e">
        <f>($M$35/$N$6)/$N$5</f>
        <v>#REF!</v>
      </c>
    </row>
    <row r="36" spans="2:15">
      <c r="B36" s="859">
        <v>11</v>
      </c>
      <c r="C36" s="381" t="s">
        <v>266</v>
      </c>
      <c r="D36" s="378"/>
      <c r="E36" s="861"/>
      <c r="F36" s="383"/>
      <c r="G36" s="862"/>
      <c r="H36" s="380"/>
      <c r="I36" s="380"/>
      <c r="J36" s="380"/>
      <c r="K36" s="382"/>
      <c r="L36" s="382"/>
      <c r="M36" s="380"/>
      <c r="N36" s="402"/>
      <c r="O36" s="857"/>
    </row>
    <row r="37" spans="2:15">
      <c r="B37" s="859"/>
      <c r="C37" s="376" t="s">
        <v>267</v>
      </c>
      <c r="D37" s="383" t="e">
        <f>#REF!</f>
        <v>#REF!</v>
      </c>
      <c r="E37" s="861" t="s">
        <v>234</v>
      </c>
      <c r="F37" s="383" t="e">
        <f>D37</f>
        <v>#REF!</v>
      </c>
      <c r="G37" s="862" t="s">
        <v>234</v>
      </c>
      <c r="H37" s="380" t="e">
        <f>$H$8</f>
        <v>#REF!</v>
      </c>
      <c r="I37" s="380"/>
      <c r="J37" s="380" t="e">
        <f>$F$37</f>
        <v>#REF!</v>
      </c>
      <c r="K37" s="382">
        <v>275</v>
      </c>
      <c r="L37" s="382"/>
      <c r="M37" s="380" t="e">
        <f>$J$37*$K$37</f>
        <v>#REF!</v>
      </c>
      <c r="N37" s="402" t="e">
        <f>$M$37/($N$5*1000)</f>
        <v>#REF!</v>
      </c>
      <c r="O37" s="857" t="e">
        <f>($M$37/$N$6)/$N$5</f>
        <v>#REF!</v>
      </c>
    </row>
    <row r="38" spans="2:15">
      <c r="B38" s="859"/>
      <c r="C38" s="376" t="s">
        <v>268</v>
      </c>
      <c r="D38" s="377">
        <v>0.1</v>
      </c>
      <c r="E38" s="861" t="s">
        <v>269</v>
      </c>
      <c r="F38" s="377">
        <f>D38</f>
        <v>0.1</v>
      </c>
      <c r="G38" s="862" t="s">
        <v>269</v>
      </c>
      <c r="H38" s="380" t="e">
        <f>$H$8</f>
        <v>#REF!</v>
      </c>
      <c r="I38" s="380"/>
      <c r="J38" s="380" t="e">
        <f>$H$38*$F$38</f>
        <v>#REF!</v>
      </c>
      <c r="K38" s="382">
        <v>303030.30303030298</v>
      </c>
      <c r="L38" s="382"/>
      <c r="M38" s="380" t="e">
        <f>$J$38*$K$38</f>
        <v>#REF!</v>
      </c>
      <c r="N38" s="402" t="e">
        <f>$M$38/($N$5*1000)</f>
        <v>#REF!</v>
      </c>
      <c r="O38" s="857" t="e">
        <f>($M$38/$N$6)/$N$5</f>
        <v>#REF!</v>
      </c>
    </row>
    <row r="39" spans="2:15">
      <c r="B39" s="863">
        <v>12</v>
      </c>
      <c r="C39" s="384" t="s">
        <v>364</v>
      </c>
      <c r="D39" s="385"/>
      <c r="E39" s="864"/>
      <c r="F39" s="385"/>
      <c r="G39" s="865"/>
      <c r="H39" s="380"/>
      <c r="I39" s="866"/>
      <c r="J39" s="380"/>
      <c r="K39" s="386"/>
      <c r="L39" s="386"/>
      <c r="M39" s="380"/>
      <c r="N39" s="402" t="e">
        <f>$M$39/($N$5*1000)</f>
        <v>#REF!</v>
      </c>
      <c r="O39" s="857" t="e">
        <f>($M$39/$N$6)/$N$5</f>
        <v>#REF!</v>
      </c>
    </row>
    <row r="40" spans="2:15">
      <c r="B40" s="867"/>
      <c r="C40" s="387" t="s">
        <v>270</v>
      </c>
      <c r="D40" s="385">
        <f>lab!H33</f>
        <v>745255.21064425772</v>
      </c>
      <c r="E40" s="864" t="s">
        <v>271</v>
      </c>
      <c r="F40" s="385">
        <f>D40</f>
        <v>745255.21064425772</v>
      </c>
      <c r="G40" s="865" t="s">
        <v>271</v>
      </c>
      <c r="H40" s="380" t="e">
        <f>$H$8</f>
        <v>#REF!</v>
      </c>
      <c r="I40" s="866"/>
      <c r="J40" s="380"/>
      <c r="K40" s="386"/>
      <c r="L40" s="386"/>
      <c r="M40" s="380" t="e">
        <f>$H$40*$F$40</f>
        <v>#REF!</v>
      </c>
      <c r="N40" s="402" t="e">
        <f>$M$40/($N$5*1000)</f>
        <v>#REF!</v>
      </c>
      <c r="O40" s="857" t="e">
        <f>($M$40/$N$6)/$N$5</f>
        <v>#REF!</v>
      </c>
    </row>
    <row r="41" spans="2:15">
      <c r="B41" s="867"/>
      <c r="C41" s="387" t="s">
        <v>365</v>
      </c>
      <c r="D41" s="385">
        <f>lab!H54</f>
        <v>259161.44425770309</v>
      </c>
      <c r="E41" s="864" t="s">
        <v>271</v>
      </c>
      <c r="F41" s="385">
        <f>D41</f>
        <v>259161.44425770309</v>
      </c>
      <c r="G41" s="865" t="s">
        <v>271</v>
      </c>
      <c r="H41" s="380" t="e">
        <f>$H$8</f>
        <v>#REF!</v>
      </c>
      <c r="I41" s="866"/>
      <c r="J41" s="380"/>
      <c r="K41" s="386"/>
      <c r="L41" s="386"/>
      <c r="M41" s="380" t="e">
        <f>$H$41*$F$41</f>
        <v>#REF!</v>
      </c>
      <c r="N41" s="402" t="e">
        <f>$M$41/($N$5*1000)</f>
        <v>#REF!</v>
      </c>
      <c r="O41" s="857" t="e">
        <f>($M$41/$N$6)/$N$5</f>
        <v>#REF!</v>
      </c>
    </row>
    <row r="42" spans="2:15">
      <c r="B42" s="867"/>
      <c r="C42" s="387" t="s">
        <v>272</v>
      </c>
      <c r="D42" s="385">
        <v>13909.09090909091</v>
      </c>
      <c r="E42" s="864" t="s">
        <v>271</v>
      </c>
      <c r="F42" s="385">
        <f>D42</f>
        <v>13909.09090909091</v>
      </c>
      <c r="G42" s="865" t="s">
        <v>271</v>
      </c>
      <c r="H42" s="380" t="e">
        <f>$H$8</f>
        <v>#REF!</v>
      </c>
      <c r="I42" s="866"/>
      <c r="J42" s="380"/>
      <c r="K42" s="386"/>
      <c r="L42" s="386"/>
      <c r="M42" s="380" t="e">
        <f>$H$42*$F$42</f>
        <v>#REF!</v>
      </c>
      <c r="N42" s="402" t="e">
        <f>$M$42/($N$5*1000)</f>
        <v>#REF!</v>
      </c>
      <c r="O42" s="857" t="e">
        <f>($M$42/$N$6)/$N$5</f>
        <v>#REF!</v>
      </c>
    </row>
    <row r="43" spans="2:15">
      <c r="B43" s="867"/>
      <c r="C43" s="387" t="s">
        <v>366</v>
      </c>
      <c r="D43" s="385">
        <f>[1]Chemical!$H$61</f>
        <v>27103.641456582631</v>
      </c>
      <c r="E43" s="864" t="s">
        <v>271</v>
      </c>
      <c r="F43" s="385">
        <f>D43</f>
        <v>27103.641456582631</v>
      </c>
      <c r="G43" s="865" t="s">
        <v>271</v>
      </c>
      <c r="H43" s="380" t="e">
        <f>$H$8</f>
        <v>#REF!</v>
      </c>
      <c r="I43" s="866"/>
      <c r="J43" s="380"/>
      <c r="K43" s="386"/>
      <c r="L43" s="386"/>
      <c r="M43" s="380" t="e">
        <f>$H$43*$F$43</f>
        <v>#REF!</v>
      </c>
      <c r="N43" s="402" t="e">
        <f>$M$43/($N$5*1000)</f>
        <v>#REF!</v>
      </c>
      <c r="O43" s="857" t="e">
        <f>($M$43/$N$6)/$N$5</f>
        <v>#REF!</v>
      </c>
    </row>
    <row r="44" spans="2:15">
      <c r="B44" s="868"/>
      <c r="C44" s="387" t="s">
        <v>273</v>
      </c>
      <c r="D44" s="385">
        <f>lab!I111</f>
        <v>135770.30812324933</v>
      </c>
      <c r="E44" s="864" t="s">
        <v>271</v>
      </c>
      <c r="F44" s="385">
        <f>D44</f>
        <v>135770.30812324933</v>
      </c>
      <c r="G44" s="865" t="s">
        <v>271</v>
      </c>
      <c r="H44" s="380" t="e">
        <f>$H$8</f>
        <v>#REF!</v>
      </c>
      <c r="I44" s="866"/>
      <c r="J44" s="380"/>
      <c r="K44" s="386"/>
      <c r="L44" s="386"/>
      <c r="M44" s="380" t="e">
        <f>$H$44*$F$44</f>
        <v>#REF!</v>
      </c>
      <c r="N44" s="402" t="e">
        <f>$M$44/($N$5*1000)</f>
        <v>#REF!</v>
      </c>
      <c r="O44" s="857" t="e">
        <f>($M$44/$N$6)/$N$5</f>
        <v>#REF!</v>
      </c>
    </row>
    <row r="45" spans="2:15">
      <c r="B45" s="859">
        <v>13</v>
      </c>
      <c r="C45" s="379" t="s">
        <v>274</v>
      </c>
      <c r="D45" s="380"/>
      <c r="E45" s="855"/>
      <c r="F45" s="375"/>
      <c r="G45" s="856"/>
      <c r="H45" s="380"/>
      <c r="I45" s="380"/>
      <c r="J45" s="380"/>
      <c r="K45" s="368"/>
      <c r="L45" s="368"/>
      <c r="M45" s="380"/>
      <c r="N45" s="402"/>
      <c r="O45" s="857"/>
    </row>
    <row r="46" spans="2:15">
      <c r="B46" s="859"/>
      <c r="C46" s="369" t="s">
        <v>275</v>
      </c>
      <c r="D46" s="375">
        <v>15.4</v>
      </c>
      <c r="E46" s="856" t="s">
        <v>276</v>
      </c>
      <c r="F46" s="380">
        <f>D46</f>
        <v>15.4</v>
      </c>
      <c r="G46" s="856" t="s">
        <v>276</v>
      </c>
      <c r="H46" s="380" t="e">
        <f>$H$8</f>
        <v>#REF!</v>
      </c>
      <c r="I46" s="380"/>
      <c r="J46" s="380" t="e">
        <f>$H$46*$F$46</f>
        <v>#REF!</v>
      </c>
      <c r="K46" s="368">
        <v>14500</v>
      </c>
      <c r="L46" s="368"/>
      <c r="M46" s="380" t="e">
        <f>$J$46*$K$46</f>
        <v>#REF!</v>
      </c>
      <c r="N46" s="402" t="e">
        <f>$M$46/($N$5*1000)</f>
        <v>#REF!</v>
      </c>
      <c r="O46" s="857" t="e">
        <f>($M$46/$N$6)/$N$5</f>
        <v>#REF!</v>
      </c>
    </row>
    <row r="47" spans="2:15" ht="15" thickBot="1">
      <c r="B47" s="869"/>
      <c r="C47" s="870" t="s">
        <v>277</v>
      </c>
      <c r="D47" s="871">
        <v>0</v>
      </c>
      <c r="E47" s="872" t="s">
        <v>276</v>
      </c>
      <c r="F47" s="873">
        <f>D47</f>
        <v>0</v>
      </c>
      <c r="G47" s="872" t="s">
        <v>276</v>
      </c>
      <c r="H47" s="873" t="e">
        <f>$H$8</f>
        <v>#REF!</v>
      </c>
      <c r="I47" s="873"/>
      <c r="J47" s="873" t="e">
        <f>$H$47*$F$47</f>
        <v>#REF!</v>
      </c>
      <c r="K47" s="874">
        <v>14500</v>
      </c>
      <c r="L47" s="874"/>
      <c r="M47" s="873" t="e">
        <f>$J$47*$K$47</f>
        <v>#REF!</v>
      </c>
      <c r="N47" s="875" t="e">
        <f>$M$47/($N$5*1000)</f>
        <v>#REF!</v>
      </c>
      <c r="O47" s="876" t="e">
        <f>($M$47/$N$6)/$N$5</f>
        <v>#REF!</v>
      </c>
    </row>
    <row r="48" spans="2:15" ht="21.6" customHeight="1" thickBot="1">
      <c r="B48" s="405"/>
      <c r="C48" s="388"/>
      <c r="D48" s="389"/>
      <c r="E48" s="389"/>
      <c r="F48" s="390"/>
      <c r="G48" s="390"/>
      <c r="H48" s="390"/>
      <c r="I48" s="390"/>
      <c r="J48" s="390"/>
      <c r="K48" s="389"/>
      <c r="L48" s="389"/>
      <c r="M48" s="877" t="e">
        <f>SUM($M$8:$M$47)</f>
        <v>#REF!</v>
      </c>
      <c r="N48" s="878" t="e">
        <f>SUM($N$8:$N$47)</f>
        <v>#REF!</v>
      </c>
      <c r="O48" s="878" t="e">
        <f>SUM($O$8:$O$47)</f>
        <v>#REF!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K12" sqref="K12"/>
    </sheetView>
  </sheetViews>
  <sheetFormatPr defaultRowHeight="14.4"/>
  <cols>
    <col min="1" max="1" width="7.33203125" customWidth="1"/>
    <col min="2" max="2" width="4.44140625" customWidth="1"/>
    <col min="3" max="3" width="25.5546875" customWidth="1"/>
    <col min="4" max="4" width="6.44140625" customWidth="1"/>
    <col min="5" max="5" width="13.5546875" customWidth="1"/>
    <col min="6" max="6" width="10.5546875" customWidth="1"/>
    <col min="9" max="9" width="6.33203125" customWidth="1"/>
    <col min="10" max="10" width="17" customWidth="1"/>
    <col min="11" max="11" width="11.6640625" customWidth="1"/>
    <col min="13" max="13" width="18.5546875" customWidth="1"/>
    <col min="14" max="14" width="11.5546875" customWidth="1"/>
    <col min="15" max="15" width="12.5546875" customWidth="1"/>
  </cols>
  <sheetData>
    <row r="2" spans="2:15" ht="18.600000000000001" thickBot="1">
      <c r="B2" s="831" t="s">
        <v>278</v>
      </c>
      <c r="C2" s="388"/>
      <c r="D2" s="389"/>
      <c r="E2" s="389"/>
      <c r="F2" s="390"/>
      <c r="G2" s="390"/>
      <c r="H2" s="390"/>
      <c r="I2" s="390"/>
      <c r="J2" s="390"/>
      <c r="K2" s="389"/>
      <c r="L2" s="389"/>
      <c r="M2" s="389"/>
      <c r="N2" s="389"/>
      <c r="O2" s="389"/>
    </row>
    <row r="3" spans="2:15">
      <c r="B3" s="832" t="s">
        <v>279</v>
      </c>
      <c r="C3" s="833"/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879" t="s">
        <v>379</v>
      </c>
      <c r="O3" s="880" t="e">
        <f>#REF!/1000</f>
        <v>#REF!</v>
      </c>
    </row>
    <row r="4" spans="2:15">
      <c r="B4" s="836" t="s">
        <v>281</v>
      </c>
      <c r="C4" s="391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4" t="s">
        <v>228</v>
      </c>
      <c r="O4" s="881" t="e">
        <f>#REF!</f>
        <v>#REF!</v>
      </c>
    </row>
    <row r="5" spans="2:15">
      <c r="B5" s="838" t="s">
        <v>230</v>
      </c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4" t="s">
        <v>280</v>
      </c>
      <c r="O5" s="881" t="e">
        <f>O3*O4</f>
        <v>#REF!</v>
      </c>
    </row>
    <row r="6" spans="2:15" ht="15" thickBot="1">
      <c r="B6" s="839" t="s">
        <v>231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882" t="s">
        <v>232</v>
      </c>
      <c r="O6" s="1185">
        <v>16000</v>
      </c>
    </row>
    <row r="7" spans="2:15" ht="15" thickBot="1">
      <c r="B7" s="841" t="s">
        <v>99</v>
      </c>
      <c r="C7" s="842" t="s">
        <v>218</v>
      </c>
      <c r="D7" s="2146" t="s">
        <v>219</v>
      </c>
      <c r="E7" s="2146"/>
      <c r="F7" s="2147" t="s">
        <v>220</v>
      </c>
      <c r="G7" s="2147"/>
      <c r="H7" s="2148" t="s">
        <v>221</v>
      </c>
      <c r="I7" s="2149"/>
      <c r="J7" s="844" t="s">
        <v>222</v>
      </c>
      <c r="K7" s="2150" t="s">
        <v>223</v>
      </c>
      <c r="L7" s="2151"/>
      <c r="M7" s="843" t="s">
        <v>224</v>
      </c>
      <c r="N7" s="843" t="s">
        <v>225</v>
      </c>
      <c r="O7" s="845" t="s">
        <v>226</v>
      </c>
    </row>
    <row r="8" spans="2:15" ht="15" thickTop="1">
      <c r="B8" s="860">
        <v>1</v>
      </c>
      <c r="C8" s="396" t="s">
        <v>133</v>
      </c>
      <c r="D8" s="397" t="e">
        <f>#REF!</f>
        <v>#REF!</v>
      </c>
      <c r="E8" s="398" t="s">
        <v>245</v>
      </c>
      <c r="F8" s="399" t="e">
        <f>$D$8*$O$3/1000</f>
        <v>#REF!</v>
      </c>
      <c r="G8" s="399" t="s">
        <v>246</v>
      </c>
      <c r="H8" s="399" t="e">
        <f>$O$4</f>
        <v>#REF!</v>
      </c>
      <c r="I8" s="399"/>
      <c r="J8" s="399" t="e">
        <f>$H$8*$F$8</f>
        <v>#REF!</v>
      </c>
      <c r="K8" s="400" t="e">
        <f>Steam!H15</f>
        <v>#REF!</v>
      </c>
      <c r="L8" s="400"/>
      <c r="M8" s="399" t="e">
        <f>$K$8*$J$8</f>
        <v>#REF!</v>
      </c>
      <c r="N8" s="401" t="e">
        <f>$M$8/($O$5*1000)</f>
        <v>#REF!</v>
      </c>
      <c r="O8" s="883" t="e">
        <f>($M$8/$O$6)/$O$5</f>
        <v>#REF!</v>
      </c>
    </row>
    <row r="9" spans="2:15">
      <c r="B9" s="858">
        <v>2</v>
      </c>
      <c r="C9" s="379" t="s">
        <v>282</v>
      </c>
      <c r="D9" s="374"/>
      <c r="E9" s="371"/>
      <c r="F9" s="380"/>
      <c r="G9" s="380"/>
      <c r="H9" s="380"/>
      <c r="I9" s="380"/>
      <c r="J9" s="380"/>
      <c r="K9" s="368"/>
      <c r="L9" s="368"/>
      <c r="M9" s="380"/>
      <c r="N9" s="402"/>
      <c r="O9" s="857"/>
    </row>
    <row r="10" spans="2:15">
      <c r="B10" s="859"/>
      <c r="C10" s="369" t="s">
        <v>244</v>
      </c>
      <c r="D10" s="373" t="e">
        <f>#REF!</f>
        <v>#REF!</v>
      </c>
      <c r="E10" s="371" t="s">
        <v>248</v>
      </c>
      <c r="F10" s="380" t="e">
        <f>$D$10*$O$3</f>
        <v>#REF!</v>
      </c>
      <c r="G10" s="380" t="s">
        <v>249</v>
      </c>
      <c r="H10" s="380" t="e">
        <f>$O$4</f>
        <v>#REF!</v>
      </c>
      <c r="I10" s="380">
        <v>0</v>
      </c>
      <c r="J10" s="380" t="e">
        <f>$H$10*$F$10</f>
        <v>#REF!</v>
      </c>
      <c r="K10" s="368">
        <f>[1]Electric!$L$5</f>
        <v>1550</v>
      </c>
      <c r="L10" s="368">
        <v>3666.6666666666665</v>
      </c>
      <c r="M10" s="380" t="e">
        <f>($F$10*$H$10*$K$10)+($F$10*$I$10*$L$10)</f>
        <v>#REF!</v>
      </c>
      <c r="N10" s="401" t="e">
        <f>$M$10/($O$5*1000)</f>
        <v>#REF!</v>
      </c>
      <c r="O10" s="883" t="e">
        <f>($M$10/$O$6)/$O$5</f>
        <v>#REF!</v>
      </c>
    </row>
    <row r="11" spans="2:15">
      <c r="B11" s="860"/>
      <c r="C11" s="369" t="s">
        <v>250</v>
      </c>
      <c r="D11" s="373" t="e">
        <f>#REF!</f>
        <v>#REF!</v>
      </c>
      <c r="E11" s="371" t="s">
        <v>248</v>
      </c>
      <c r="F11" s="380" t="e">
        <f>$D$11*$O$3</f>
        <v>#REF!</v>
      </c>
      <c r="G11" s="380" t="s">
        <v>249</v>
      </c>
      <c r="H11" s="380" t="e">
        <f>$H$10</f>
        <v>#REF!</v>
      </c>
      <c r="I11" s="380">
        <v>0</v>
      </c>
      <c r="J11" s="380" t="e">
        <f>$H$11*$F$11</f>
        <v>#REF!</v>
      </c>
      <c r="K11" s="368">
        <f>$K$10</f>
        <v>1550</v>
      </c>
      <c r="L11" s="368">
        <v>3666.6666666666665</v>
      </c>
      <c r="M11" s="380" t="e">
        <f>($F$11*$H$11*$K$11)+($F$11*$I$11*$L$11)</f>
        <v>#REF!</v>
      </c>
      <c r="N11" s="401" t="e">
        <f>$M$11/($O$5*1000)</f>
        <v>#REF!</v>
      </c>
      <c r="O11" s="883" t="e">
        <f>($M$11/$O$6)/$O$5</f>
        <v>#REF!</v>
      </c>
    </row>
    <row r="12" spans="2:15">
      <c r="B12" s="859">
        <v>3</v>
      </c>
      <c r="C12" s="367" t="s">
        <v>252</v>
      </c>
      <c r="D12" s="373"/>
      <c r="E12" s="371"/>
      <c r="F12" s="380"/>
      <c r="G12" s="380"/>
      <c r="H12" s="380"/>
      <c r="I12" s="380"/>
      <c r="J12" s="380"/>
      <c r="K12" s="368"/>
      <c r="L12" s="368"/>
      <c r="M12" s="380"/>
      <c r="N12" s="402"/>
      <c r="O12" s="857"/>
    </row>
    <row r="13" spans="2:15">
      <c r="B13" s="859"/>
      <c r="C13" s="369" t="s">
        <v>253</v>
      </c>
      <c r="D13" s="370" t="e">
        <f>#REF!</f>
        <v>#REF!</v>
      </c>
      <c r="E13" s="371" t="s">
        <v>254</v>
      </c>
      <c r="F13" s="380" t="e">
        <f>$D$13</f>
        <v>#REF!</v>
      </c>
      <c r="G13" s="380" t="s">
        <v>254</v>
      </c>
      <c r="H13" s="380" t="e">
        <f>$H$11</f>
        <v>#REF!</v>
      </c>
      <c r="I13" s="380"/>
      <c r="J13" s="380" t="e">
        <f>$H$13*$F$13</f>
        <v>#REF!</v>
      </c>
      <c r="K13" s="368" t="e">
        <f>WTP!H13</f>
        <v>#VALUE!</v>
      </c>
      <c r="L13" s="368"/>
      <c r="M13" s="399" t="e">
        <f>$K$13*$J$13</f>
        <v>#VALUE!</v>
      </c>
      <c r="N13" s="401" t="e">
        <f>$M$13/($O$5*1000)</f>
        <v>#VALUE!</v>
      </c>
      <c r="O13" s="883" t="e">
        <f>($M$13/$O$6)/$O$5</f>
        <v>#VALUE!</v>
      </c>
    </row>
    <row r="14" spans="2:15">
      <c r="B14" s="858">
        <v>4</v>
      </c>
      <c r="C14" s="367" t="s">
        <v>255</v>
      </c>
      <c r="D14" s="380"/>
      <c r="E14" s="371"/>
      <c r="F14" s="380"/>
      <c r="G14" s="380"/>
      <c r="H14" s="380"/>
      <c r="I14" s="380"/>
      <c r="J14" s="380"/>
      <c r="K14" s="368"/>
      <c r="L14" s="368"/>
      <c r="M14" s="380"/>
      <c r="N14" s="402"/>
      <c r="O14" s="857"/>
    </row>
    <row r="15" spans="2:15">
      <c r="B15" s="859"/>
      <c r="C15" s="369" t="s">
        <v>256</v>
      </c>
      <c r="D15" s="375">
        <v>0.4</v>
      </c>
      <c r="E15" s="371" t="s">
        <v>234</v>
      </c>
      <c r="F15" s="375">
        <f>$D$15</f>
        <v>0.4</v>
      </c>
      <c r="G15" s="380" t="s">
        <v>234</v>
      </c>
      <c r="H15" s="380" t="e">
        <f>$H$13</f>
        <v>#REF!</v>
      </c>
      <c r="I15" s="380"/>
      <c r="J15" s="380" t="e">
        <f>$H$15*$F$15</f>
        <v>#REF!</v>
      </c>
      <c r="K15" s="368">
        <v>27240</v>
      </c>
      <c r="L15" s="368"/>
      <c r="M15" s="399" t="e">
        <f>$K$15*$J$15</f>
        <v>#REF!</v>
      </c>
      <c r="N15" s="401" t="e">
        <f>$M$15/($O$5*1000)</f>
        <v>#REF!</v>
      </c>
      <c r="O15" s="883" t="e">
        <f>($M$15/$O$6)/$O$5</f>
        <v>#REF!</v>
      </c>
    </row>
    <row r="16" spans="2:15">
      <c r="B16" s="859"/>
      <c r="C16" s="369" t="s">
        <v>257</v>
      </c>
      <c r="D16" s="375">
        <v>0.66</v>
      </c>
      <c r="E16" s="371" t="s">
        <v>234</v>
      </c>
      <c r="F16" s="375">
        <f>$D$16</f>
        <v>0.66</v>
      </c>
      <c r="G16" s="380" t="s">
        <v>234</v>
      </c>
      <c r="H16" s="380" t="e">
        <f>$H$15</f>
        <v>#REF!</v>
      </c>
      <c r="I16" s="380"/>
      <c r="J16" s="380" t="e">
        <f>$H$16*$F$16</f>
        <v>#REF!</v>
      </c>
      <c r="K16" s="368">
        <v>29120</v>
      </c>
      <c r="L16" s="368"/>
      <c r="M16" s="399" t="e">
        <f>$K$16*$J$16</f>
        <v>#REF!</v>
      </c>
      <c r="N16" s="401" t="e">
        <f>$M$16/($O$5*1000)</f>
        <v>#REF!</v>
      </c>
      <c r="O16" s="883" t="e">
        <f>($M$16/$O$6)/$O$5</f>
        <v>#REF!</v>
      </c>
    </row>
    <row r="17" spans="2:15">
      <c r="B17" s="859"/>
      <c r="C17" s="369" t="s">
        <v>258</v>
      </c>
      <c r="D17" s="375">
        <v>0.41</v>
      </c>
      <c r="E17" s="371" t="s">
        <v>234</v>
      </c>
      <c r="F17" s="375">
        <f>$D$17</f>
        <v>0.41</v>
      </c>
      <c r="G17" s="380" t="s">
        <v>234</v>
      </c>
      <c r="H17" s="380" t="e">
        <f>$H$15</f>
        <v>#REF!</v>
      </c>
      <c r="I17" s="380"/>
      <c r="J17" s="380" t="e">
        <f>$H$17*$F$17</f>
        <v>#REF!</v>
      </c>
      <c r="K17" s="368">
        <v>117212</v>
      </c>
      <c r="L17" s="368"/>
      <c r="M17" s="399" t="e">
        <f>$K$17*$J$17</f>
        <v>#REF!</v>
      </c>
      <c r="N17" s="401" t="e">
        <f>$M$17/($O$5*1000)</f>
        <v>#REF!</v>
      </c>
      <c r="O17" s="883" t="e">
        <f>($M$17/$O$6)/$O$5</f>
        <v>#REF!</v>
      </c>
    </row>
    <row r="18" spans="2:15">
      <c r="B18" s="859"/>
      <c r="C18" s="376" t="s">
        <v>259</v>
      </c>
      <c r="D18" s="375">
        <v>0.1</v>
      </c>
      <c r="E18" s="371" t="s">
        <v>234</v>
      </c>
      <c r="F18" s="375">
        <f>$D$18</f>
        <v>0.1</v>
      </c>
      <c r="G18" s="380" t="s">
        <v>234</v>
      </c>
      <c r="H18" s="380" t="e">
        <f>$H$16</f>
        <v>#REF!</v>
      </c>
      <c r="I18" s="380"/>
      <c r="J18" s="380" t="e">
        <f>$H$18*$F$18</f>
        <v>#REF!</v>
      </c>
      <c r="K18" s="368">
        <v>45940</v>
      </c>
      <c r="L18" s="368"/>
      <c r="M18" s="399" t="e">
        <f>$K$18*$J$18</f>
        <v>#REF!</v>
      </c>
      <c r="N18" s="401" t="e">
        <f>$M$18/($O$5*1000)</f>
        <v>#REF!</v>
      </c>
      <c r="O18" s="883" t="e">
        <f>($M$18/$O$6)/$O$5</f>
        <v>#REF!</v>
      </c>
    </row>
    <row r="19" spans="2:15">
      <c r="B19" s="858">
        <v>5</v>
      </c>
      <c r="C19" s="403" t="s">
        <v>7</v>
      </c>
      <c r="D19" s="380"/>
      <c r="E19" s="371"/>
      <c r="F19" s="380"/>
      <c r="G19" s="380"/>
      <c r="H19" s="380"/>
      <c r="I19" s="380"/>
      <c r="J19" s="380"/>
      <c r="K19" s="368"/>
      <c r="L19" s="368"/>
      <c r="M19" s="380"/>
      <c r="N19" s="402"/>
      <c r="O19" s="857"/>
    </row>
    <row r="20" spans="2:15">
      <c r="B20" s="859"/>
      <c r="C20" s="404" t="s">
        <v>283</v>
      </c>
      <c r="D20" s="375">
        <v>0.33333333333333331</v>
      </c>
      <c r="E20" s="371" t="s">
        <v>261</v>
      </c>
      <c r="F20" s="375">
        <f>$D$20</f>
        <v>0.33333333333333331</v>
      </c>
      <c r="G20" s="380" t="s">
        <v>261</v>
      </c>
      <c r="H20" s="380" t="e">
        <f>$H$18</f>
        <v>#REF!</v>
      </c>
      <c r="I20" s="380"/>
      <c r="J20" s="380" t="e">
        <f>$H$20*$F$20</f>
        <v>#REF!</v>
      </c>
      <c r="K20" s="368">
        <v>895000</v>
      </c>
      <c r="L20" s="368"/>
      <c r="M20" s="399" t="e">
        <f>$K$20*$J$20</f>
        <v>#REF!</v>
      </c>
      <c r="N20" s="401" t="e">
        <f>$M$20/($O$5*1000)</f>
        <v>#REF!</v>
      </c>
      <c r="O20" s="883" t="e">
        <f>($M$20/$O$6)/$O$5</f>
        <v>#REF!</v>
      </c>
    </row>
    <row r="21" spans="2:15" ht="15" thickBot="1">
      <c r="B21" s="869"/>
      <c r="C21" s="884" t="s">
        <v>262</v>
      </c>
      <c r="D21" s="871">
        <v>0.63253012048192769</v>
      </c>
      <c r="E21" s="885" t="s">
        <v>261</v>
      </c>
      <c r="F21" s="871">
        <f>$D$21</f>
        <v>0.63253012048192769</v>
      </c>
      <c r="G21" s="873" t="s">
        <v>261</v>
      </c>
      <c r="H21" s="873" t="e">
        <f>$H$20</f>
        <v>#REF!</v>
      </c>
      <c r="I21" s="873"/>
      <c r="J21" s="873" t="e">
        <f>$H$21*$F$21</f>
        <v>#REF!</v>
      </c>
      <c r="K21" s="874">
        <v>125000</v>
      </c>
      <c r="L21" s="874"/>
      <c r="M21" s="886" t="e">
        <f>$K$21*$J$21</f>
        <v>#REF!</v>
      </c>
      <c r="N21" s="887" t="e">
        <f>$M$21/($O$5*1000)</f>
        <v>#REF!</v>
      </c>
      <c r="O21" s="888" t="e">
        <f>($M$21/$O$6)/$O$5</f>
        <v>#REF!</v>
      </c>
    </row>
    <row r="22" spans="2:15" ht="15" thickBot="1">
      <c r="B22" s="405"/>
      <c r="C22" s="388"/>
      <c r="D22" s="389"/>
      <c r="E22" s="389"/>
      <c r="F22" s="390"/>
      <c r="G22" s="390"/>
      <c r="H22" s="390"/>
      <c r="I22" s="390"/>
      <c r="M22" s="877" t="e">
        <f>SUM(M8:M21)</f>
        <v>#REF!</v>
      </c>
      <c r="N22" s="878" t="e">
        <f>SUM(N8:N21)</f>
        <v>#REF!</v>
      </c>
      <c r="O22" s="878" t="e">
        <f>SUM($O$8:$O$21)</f>
        <v>#REF!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workbookViewId="0">
      <selection activeCell="M15" sqref="M15"/>
    </sheetView>
  </sheetViews>
  <sheetFormatPr defaultColWidth="8.6640625" defaultRowHeight="14.4"/>
  <cols>
    <col min="1" max="1" width="8.44140625" style="344" customWidth="1"/>
    <col min="2" max="2" width="5.44140625" style="344" customWidth="1"/>
    <col min="3" max="3" width="24.44140625" style="344" customWidth="1"/>
    <col min="4" max="4" width="5.33203125" style="344" customWidth="1"/>
    <col min="5" max="5" width="46.5546875" style="344" customWidth="1"/>
    <col min="6" max="6" width="5.33203125" style="344" customWidth="1"/>
    <col min="7" max="7" width="18.44140625" style="344" customWidth="1"/>
    <col min="8" max="8" width="10.6640625" style="344" customWidth="1"/>
    <col min="9" max="9" width="13" style="344" customWidth="1"/>
    <col min="10" max="10" width="3.5546875" style="344" customWidth="1"/>
    <col min="11" max="12" width="8.6640625" style="344"/>
    <col min="13" max="13" width="20.44140625" style="344" customWidth="1"/>
    <col min="14" max="16384" width="8.6640625" style="344"/>
  </cols>
  <sheetData>
    <row r="2" spans="2:13" ht="18.600000000000001" thickBot="1">
      <c r="B2" s="831" t="s">
        <v>381</v>
      </c>
    </row>
    <row r="3" spans="2:13">
      <c r="B3" s="889" t="s">
        <v>227</v>
      </c>
      <c r="C3" s="890"/>
      <c r="D3" s="890"/>
      <c r="E3" s="890"/>
      <c r="F3" s="890"/>
      <c r="G3" s="891"/>
      <c r="H3" s="892" t="s">
        <v>379</v>
      </c>
      <c r="I3" s="893" t="e">
        <f>'HPP REF '!$N$3</f>
        <v>#REF!</v>
      </c>
    </row>
    <row r="4" spans="2:13">
      <c r="B4" s="894" t="s">
        <v>229</v>
      </c>
      <c r="C4" s="895"/>
      <c r="D4" s="895"/>
      <c r="E4" s="895"/>
      <c r="F4" s="965">
        <v>1</v>
      </c>
      <c r="G4" s="966"/>
      <c r="H4" s="896" t="s">
        <v>228</v>
      </c>
      <c r="I4" s="897" t="e">
        <f>'HPP REF '!$N$4</f>
        <v>#REF!</v>
      </c>
    </row>
    <row r="5" spans="2:13" ht="15" thickBot="1">
      <c r="B5" s="967" t="s">
        <v>552</v>
      </c>
      <c r="C5" s="968"/>
      <c r="D5" s="968"/>
      <c r="E5" s="968"/>
      <c r="F5" s="968"/>
      <c r="G5" s="900"/>
      <c r="H5" s="969" t="s">
        <v>280</v>
      </c>
      <c r="I5" s="902" t="e">
        <f>$I$4*$I$3</f>
        <v>#REF!</v>
      </c>
    </row>
    <row r="6" spans="2:13">
      <c r="B6" s="889" t="s">
        <v>380</v>
      </c>
      <c r="C6" s="890"/>
      <c r="D6" s="890"/>
      <c r="E6" s="890"/>
      <c r="F6" s="890"/>
      <c r="G6" s="970"/>
      <c r="H6" s="892" t="s">
        <v>379</v>
      </c>
      <c r="I6" s="893" t="e">
        <f>'HPP FRACT'!$O$3</f>
        <v>#REF!</v>
      </c>
    </row>
    <row r="7" spans="2:13">
      <c r="B7" s="894" t="s">
        <v>229</v>
      </c>
      <c r="C7" s="895"/>
      <c r="D7" s="895"/>
      <c r="E7" s="895"/>
      <c r="F7" s="895"/>
      <c r="G7" s="966"/>
      <c r="H7" s="896" t="s">
        <v>228</v>
      </c>
      <c r="I7" s="897" t="e">
        <f>'HPP FRACT'!$O$4</f>
        <v>#REF!</v>
      </c>
    </row>
    <row r="8" spans="2:13" ht="15" thickBot="1">
      <c r="B8" s="967" t="s">
        <v>553</v>
      </c>
      <c r="C8" s="968"/>
      <c r="D8" s="968"/>
      <c r="E8" s="968"/>
      <c r="F8" s="968"/>
      <c r="G8" s="900"/>
      <c r="H8" s="969" t="s">
        <v>280</v>
      </c>
      <c r="I8" s="902" t="e">
        <f>$I$7*$I$6</f>
        <v>#REF!</v>
      </c>
    </row>
    <row r="9" spans="2:13" ht="15" thickBot="1">
      <c r="B9" s="898" t="s">
        <v>231</v>
      </c>
      <c r="C9" s="899"/>
      <c r="D9" s="899"/>
      <c r="E9" s="899"/>
      <c r="F9" s="899"/>
      <c r="G9" s="900"/>
      <c r="H9" s="901" t="s">
        <v>232</v>
      </c>
      <c r="I9" s="1183">
        <v>15546</v>
      </c>
    </row>
    <row r="10" spans="2:13" ht="15" thickBot="1">
      <c r="B10" s="903" t="s">
        <v>99</v>
      </c>
      <c r="C10" s="904" t="s">
        <v>284</v>
      </c>
      <c r="D10" s="2152" t="s">
        <v>285</v>
      </c>
      <c r="E10" s="2153"/>
      <c r="F10" s="2154"/>
      <c r="G10" s="905" t="s">
        <v>367</v>
      </c>
      <c r="H10" s="903" t="s">
        <v>286</v>
      </c>
      <c r="I10" s="905" t="s">
        <v>226</v>
      </c>
    </row>
    <row r="11" spans="2:13" ht="15" thickTop="1">
      <c r="B11" s="906" t="s">
        <v>287</v>
      </c>
      <c r="C11" s="907" t="s">
        <v>368</v>
      </c>
      <c r="D11" s="908" t="s">
        <v>369</v>
      </c>
      <c r="E11" s="907" t="s">
        <v>288</v>
      </c>
      <c r="F11" s="909"/>
      <c r="G11" s="910" t="e">
        <f>'HPP REF '!$M$48</f>
        <v>#REF!</v>
      </c>
      <c r="H11" s="911" t="e">
        <f>$G$11/($I$5*1000)</f>
        <v>#REF!</v>
      </c>
      <c r="I11" s="912" t="e">
        <f>(G11/$I$9)/$I$5</f>
        <v>#REF!</v>
      </c>
      <c r="M11" s="913"/>
    </row>
    <row r="12" spans="2:13">
      <c r="B12" s="914"/>
      <c r="D12" s="915" t="s">
        <v>369</v>
      </c>
      <c r="E12" s="916" t="s">
        <v>278</v>
      </c>
      <c r="F12" s="917"/>
      <c r="G12" s="408" t="e">
        <f>'HPP FRACT'!$M$22</f>
        <v>#REF!</v>
      </c>
      <c r="H12" s="409" t="e">
        <f>$G$12/($I$8*1000)</f>
        <v>#REF!</v>
      </c>
      <c r="I12" s="918" t="e">
        <f>(G12/$I$9)/$I$8</f>
        <v>#REF!</v>
      </c>
      <c r="M12" s="913"/>
    </row>
    <row r="13" spans="2:13">
      <c r="B13" s="914"/>
      <c r="D13" s="915" t="s">
        <v>369</v>
      </c>
      <c r="E13" s="916" t="s">
        <v>289</v>
      </c>
      <c r="F13" s="919">
        <v>0</v>
      </c>
      <c r="G13" s="408" t="e">
        <f>MTC!$F$18*F13</f>
        <v>#REF!</v>
      </c>
      <c r="H13" s="409" t="e">
        <f>$G$13/($I$5*1000)</f>
        <v>#REF!</v>
      </c>
      <c r="I13" s="920" t="e">
        <f>(G13/$I$9)/$I$5</f>
        <v>#REF!</v>
      </c>
      <c r="M13" s="913"/>
    </row>
    <row r="14" spans="2:13">
      <c r="B14" s="914"/>
      <c r="D14" s="915"/>
      <c r="E14" s="916"/>
      <c r="F14" s="919"/>
      <c r="G14" s="921" t="e">
        <f>SUM(G11:$G$13)</f>
        <v>#REF!</v>
      </c>
      <c r="H14" s="410" t="e">
        <f>SUM($H$11:$H$13)</f>
        <v>#REF!</v>
      </c>
      <c r="I14" s="922" t="e">
        <f>SUM(I11:I13)</f>
        <v>#REF!</v>
      </c>
      <c r="K14" s="934" t="e">
        <f>I14+I26</f>
        <v>#REF!</v>
      </c>
      <c r="M14" s="913"/>
    </row>
    <row r="15" spans="2:13">
      <c r="B15" s="923"/>
      <c r="C15" s="924"/>
      <c r="D15" s="925"/>
      <c r="E15" s="926"/>
      <c r="F15" s="927"/>
      <c r="G15" s="928"/>
      <c r="H15" s="929"/>
      <c r="I15" s="930"/>
      <c r="M15" s="913"/>
    </row>
    <row r="16" spans="2:13">
      <c r="B16" s="914" t="s">
        <v>290</v>
      </c>
      <c r="C16" s="344" t="s">
        <v>370</v>
      </c>
      <c r="D16" s="915" t="s">
        <v>369</v>
      </c>
      <c r="E16" s="931" t="s">
        <v>371</v>
      </c>
      <c r="F16" s="919"/>
      <c r="G16" s="408" t="e">
        <f>LOG!I8+LOG!I9+LOG!$I$10</f>
        <v>#REF!</v>
      </c>
      <c r="H16" s="409" t="e">
        <f>$G$16/($I$5*1000)</f>
        <v>#REF!</v>
      </c>
      <c r="I16" s="918" t="e">
        <f>($G$16/$I$9)/$I$5</f>
        <v>#REF!</v>
      </c>
      <c r="M16" s="932"/>
    </row>
    <row r="17" spans="2:13">
      <c r="B17" s="914"/>
      <c r="D17" s="915" t="s">
        <v>369</v>
      </c>
      <c r="E17" s="933" t="s">
        <v>372</v>
      </c>
      <c r="F17" s="919">
        <f>F4</f>
        <v>1</v>
      </c>
      <c r="G17" s="408">
        <f>LOG!I11+LOG!I12+LOG!I13+LOG!$I$14*F17</f>
        <v>1886000000</v>
      </c>
      <c r="H17" s="409" t="e">
        <f>$G$17/($I$5*1000)</f>
        <v>#REF!</v>
      </c>
      <c r="I17" s="918" t="e">
        <f>($G$17/$I$9)/$I$5</f>
        <v>#REF!</v>
      </c>
      <c r="M17" s="932"/>
    </row>
    <row r="18" spans="2:13">
      <c r="B18" s="914"/>
      <c r="D18" s="915" t="s">
        <v>369</v>
      </c>
      <c r="E18" s="916" t="s">
        <v>373</v>
      </c>
      <c r="F18" s="919"/>
      <c r="G18" s="408" t="e">
        <f>LOG!I18+LOG!I19+LOG!I20+LOG!$I$21</f>
        <v>#REF!</v>
      </c>
      <c r="H18" s="409" t="e">
        <f>$G$18/($I$5*1000)</f>
        <v>#REF!</v>
      </c>
      <c r="I18" s="918" t="e">
        <f>($G$18/$I$9)/$I$5</f>
        <v>#REF!</v>
      </c>
      <c r="M18" s="932"/>
    </row>
    <row r="19" spans="2:13">
      <c r="B19" s="914"/>
      <c r="D19" s="915" t="s">
        <v>369</v>
      </c>
      <c r="E19" s="916" t="s">
        <v>374</v>
      </c>
      <c r="F19" s="919"/>
      <c r="G19" s="408" t="e">
        <f>LOG!I15+LOG!I16+LOG!$I$17</f>
        <v>#REF!</v>
      </c>
      <c r="H19" s="409" t="e">
        <f>$G$19/($I$5*1000)</f>
        <v>#REF!</v>
      </c>
      <c r="I19" s="918" t="e">
        <f>($G$19/$I$9)/$I$5</f>
        <v>#REF!</v>
      </c>
      <c r="M19" s="932"/>
    </row>
    <row r="20" spans="2:13">
      <c r="B20" s="914"/>
      <c r="D20" s="407"/>
      <c r="E20" s="916"/>
      <c r="F20" s="917"/>
      <c r="G20" s="921" t="e">
        <f>SUM($G$16:$G$19)</f>
        <v>#REF!</v>
      </c>
      <c r="H20" s="410" t="e">
        <f>SUM($H$16:$H$19)</f>
        <v>#REF!</v>
      </c>
      <c r="I20" s="410" t="e">
        <f>SUM($I$16:$I$19)</f>
        <v>#REF!</v>
      </c>
      <c r="K20" s="934"/>
      <c r="M20" s="932"/>
    </row>
    <row r="21" spans="2:13">
      <c r="B21" s="923"/>
      <c r="C21" s="924"/>
      <c r="D21" s="935"/>
      <c r="E21" s="926"/>
      <c r="F21" s="936"/>
      <c r="G21" s="924"/>
      <c r="H21" s="937"/>
      <c r="I21" s="938"/>
      <c r="M21" s="932"/>
    </row>
    <row r="22" spans="2:13">
      <c r="B22" s="939" t="s">
        <v>290</v>
      </c>
      <c r="C22" s="940" t="s">
        <v>291</v>
      </c>
      <c r="D22" s="941" t="s">
        <v>369</v>
      </c>
      <c r="E22" s="940" t="s">
        <v>292</v>
      </c>
      <c r="F22" s="942">
        <f>F4</f>
        <v>1</v>
      </c>
      <c r="G22" s="943">
        <f>[1]MPC!$H$29*$F$22</f>
        <v>2184665532.2092161</v>
      </c>
      <c r="H22" s="409" t="e">
        <f>$G$22/($I$5*1000)</f>
        <v>#REF!</v>
      </c>
      <c r="I22" s="918" t="e">
        <f>($G$22/$I$9)/$I$5</f>
        <v>#REF!</v>
      </c>
      <c r="M22" s="913"/>
    </row>
    <row r="23" spans="2:13">
      <c r="B23" s="914"/>
      <c r="D23" s="915" t="s">
        <v>369</v>
      </c>
      <c r="E23" s="916" t="s">
        <v>293</v>
      </c>
      <c r="F23" s="919">
        <f>F4</f>
        <v>1</v>
      </c>
      <c r="G23" s="408">
        <f>OH!G51*$F$23</f>
        <v>1436056392.483475</v>
      </c>
      <c r="H23" s="409" t="e">
        <f>$G$23/($I$5*1000)</f>
        <v>#REF!</v>
      </c>
      <c r="I23" s="918" t="e">
        <f>($G$23/$I$9)/$I$5</f>
        <v>#REF!</v>
      </c>
      <c r="M23" s="913"/>
    </row>
    <row r="24" spans="2:13">
      <c r="B24" s="914"/>
      <c r="D24" s="915" t="s">
        <v>369</v>
      </c>
      <c r="E24" s="916" t="s">
        <v>294</v>
      </c>
      <c r="F24" s="919">
        <f>F4</f>
        <v>1</v>
      </c>
      <c r="G24" s="408">
        <f>DEP!I9*$F$24</f>
        <v>4181184787.4775009</v>
      </c>
      <c r="H24" s="409" t="e">
        <f>$G$24/($I$5*1000)</f>
        <v>#REF!</v>
      </c>
      <c r="I24" s="918" t="e">
        <f>($G$24/$I$9)/$I$5</f>
        <v>#REF!</v>
      </c>
      <c r="M24" s="913"/>
    </row>
    <row r="25" spans="2:13">
      <c r="B25" s="914"/>
      <c r="D25" s="915" t="s">
        <v>369</v>
      </c>
      <c r="E25" s="916" t="s">
        <v>295</v>
      </c>
      <c r="F25" s="919">
        <f>F4</f>
        <v>1</v>
      </c>
      <c r="G25" s="408">
        <f>AMOR!$G$20*$F$25</f>
        <v>1048409804.9999995</v>
      </c>
      <c r="H25" s="409" t="e">
        <f>$G$25/($I$5*1000)</f>
        <v>#REF!</v>
      </c>
      <c r="I25" s="918" t="e">
        <f>($G$25/$I$9)/$I$5</f>
        <v>#REF!</v>
      </c>
      <c r="M25" s="913"/>
    </row>
    <row r="26" spans="2:13">
      <c r="B26" s="914"/>
      <c r="D26" s="407"/>
      <c r="E26" s="916"/>
      <c r="F26" s="917"/>
      <c r="G26" s="921">
        <f>SUM($G$22:$G$25)</f>
        <v>8850316517.1701908</v>
      </c>
      <c r="H26" s="410" t="e">
        <f>SUM($H$22:$H$25)</f>
        <v>#REF!</v>
      </c>
      <c r="I26" s="922" t="e">
        <f>SUM($I$22:$I$25)</f>
        <v>#REF!</v>
      </c>
      <c r="K26" s="934" t="e">
        <f>I26+I14</f>
        <v>#REF!</v>
      </c>
      <c r="M26" s="913"/>
    </row>
    <row r="27" spans="2:13" ht="15" thickBot="1">
      <c r="B27" s="914"/>
      <c r="D27" s="407"/>
      <c r="E27" s="916"/>
      <c r="F27" s="917"/>
      <c r="H27" s="410"/>
      <c r="I27" s="944"/>
      <c r="M27" s="913"/>
    </row>
    <row r="28" spans="2:13" ht="16.8" thickTop="1" thickBot="1">
      <c r="B28" s="2155" t="s">
        <v>375</v>
      </c>
      <c r="C28" s="2155"/>
      <c r="D28" s="2155"/>
      <c r="E28" s="2155"/>
      <c r="F28" s="2155"/>
      <c r="G28" s="945" t="e">
        <f>$G$26+$G$20+$G$14</f>
        <v>#REF!</v>
      </c>
      <c r="H28" s="946" t="e">
        <f>$H$26+$H$20+$H$14</f>
        <v>#REF!</v>
      </c>
      <c r="I28" s="946" t="e">
        <f>$I$26+$I$20+$I$14</f>
        <v>#REF!</v>
      </c>
      <c r="K28" s="934"/>
    </row>
  </sheetData>
  <mergeCells count="2">
    <mergeCell ref="D10:F10"/>
    <mergeCell ref="B28:F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7"/>
  <sheetViews>
    <sheetView showGridLines="0" topLeftCell="A3" zoomScaleNormal="100" workbookViewId="0">
      <pane xSplit="2" ySplit="5" topLeftCell="D11" activePane="bottomRight" state="frozen"/>
      <selection pane="topRight"/>
      <selection pane="bottomLeft"/>
      <selection pane="bottomRight" activeCell="L10" sqref="L10"/>
    </sheetView>
  </sheetViews>
  <sheetFormatPr defaultColWidth="9" defaultRowHeight="13.8"/>
  <cols>
    <col min="1" max="1" width="9" style="181"/>
    <col min="2" max="2" width="9.5546875" style="181" customWidth="1"/>
    <col min="3" max="3" width="18" style="175" customWidth="1"/>
    <col min="4" max="4" width="11.44140625" style="181" customWidth="1"/>
    <col min="5" max="5" width="15.5546875" style="181" customWidth="1"/>
    <col min="6" max="6" width="15.33203125" style="181" bestFit="1" customWidth="1"/>
    <col min="7" max="7" width="13.5546875" style="181" customWidth="1"/>
    <col min="8" max="8" width="15.44140625" style="181" customWidth="1"/>
    <col min="9" max="9" width="14.6640625" style="229" customWidth="1"/>
    <col min="10" max="10" width="16.44140625" style="181" customWidth="1"/>
    <col min="11" max="11" width="17.6640625" style="181" customWidth="1"/>
    <col min="12" max="12" width="17.33203125" style="229" customWidth="1"/>
    <col min="13" max="13" width="10.44140625" style="181" customWidth="1"/>
    <col min="14" max="14" width="8.6640625" style="181" customWidth="1"/>
    <col min="15" max="16384" width="9" style="181"/>
  </cols>
  <sheetData>
    <row r="2" spans="2:14" s="176" customFormat="1">
      <c r="C2" s="153"/>
    </row>
    <row r="3" spans="2:14" s="176" customFormat="1" ht="21" customHeight="1">
      <c r="B3" s="2156" t="s">
        <v>136</v>
      </c>
      <c r="C3" s="2156"/>
      <c r="D3" s="2156"/>
      <c r="E3" s="2156"/>
      <c r="F3" s="2156"/>
      <c r="G3" s="2156"/>
      <c r="H3" s="2156"/>
      <c r="I3" s="2156"/>
      <c r="J3" s="2156"/>
      <c r="K3" s="2156"/>
      <c r="L3" s="2156"/>
      <c r="M3" s="2156"/>
      <c r="N3" s="2156"/>
    </row>
    <row r="4" spans="2:14" s="176" customFormat="1" ht="15" thickBot="1">
      <c r="B4" s="177"/>
      <c r="C4" s="153"/>
      <c r="D4" s="176">
        <v>2024</v>
      </c>
    </row>
    <row r="5" spans="2:14" ht="18.75" customHeight="1" thickBot="1">
      <c r="B5" s="2157"/>
      <c r="C5" s="2158" t="s">
        <v>137</v>
      </c>
      <c r="D5" s="2159"/>
      <c r="E5" s="2160"/>
      <c r="F5" s="2157" t="s">
        <v>138</v>
      </c>
      <c r="G5" s="178"/>
      <c r="H5" s="179"/>
      <c r="I5" s="180"/>
      <c r="J5" s="179"/>
      <c r="K5" s="2161" t="s">
        <v>139</v>
      </c>
      <c r="L5" s="2163" t="s">
        <v>140</v>
      </c>
      <c r="M5" s="2165" t="s">
        <v>141</v>
      </c>
      <c r="N5" s="2161"/>
    </row>
    <row r="6" spans="2:14" ht="44.4" thickBot="1">
      <c r="B6" s="2157"/>
      <c r="C6" s="154" t="s">
        <v>951</v>
      </c>
      <c r="D6" s="178" t="s">
        <v>142</v>
      </c>
      <c r="E6" s="178" t="s">
        <v>143</v>
      </c>
      <c r="F6" s="2157"/>
      <c r="G6" s="178" t="s">
        <v>144</v>
      </c>
      <c r="H6" s="178" t="s">
        <v>145</v>
      </c>
      <c r="I6" s="182" t="s">
        <v>146</v>
      </c>
      <c r="J6" s="178" t="s">
        <v>147</v>
      </c>
      <c r="K6" s="2162"/>
      <c r="L6" s="2164"/>
      <c r="M6" s="178" t="s">
        <v>148</v>
      </c>
      <c r="N6" s="178" t="s">
        <v>149</v>
      </c>
    </row>
    <row r="7" spans="2:14" s="186" customFormat="1" ht="15" customHeight="1" thickBot="1">
      <c r="B7" s="2157"/>
      <c r="C7" s="155">
        <v>1</v>
      </c>
      <c r="D7" s="183">
        <v>2</v>
      </c>
      <c r="E7" s="183" t="s">
        <v>150</v>
      </c>
      <c r="F7" s="183" t="s">
        <v>151</v>
      </c>
      <c r="G7" s="183">
        <v>5</v>
      </c>
      <c r="H7" s="183" t="s">
        <v>152</v>
      </c>
      <c r="I7" s="184">
        <v>7</v>
      </c>
      <c r="J7" s="183" t="s">
        <v>153</v>
      </c>
      <c r="K7" s="185" t="s">
        <v>154</v>
      </c>
      <c r="L7" s="184">
        <v>10</v>
      </c>
      <c r="M7" s="183" t="s">
        <v>155</v>
      </c>
      <c r="N7" s="183" t="s">
        <v>156</v>
      </c>
    </row>
    <row r="8" spans="2:14">
      <c r="B8" s="187">
        <v>1</v>
      </c>
      <c r="C8" s="190"/>
      <c r="D8" s="156">
        <v>5</v>
      </c>
      <c r="E8" s="157">
        <f>C8*D8</f>
        <v>0</v>
      </c>
      <c r="F8" s="157">
        <f>E8</f>
        <v>0</v>
      </c>
      <c r="G8" s="158">
        <v>35.314667</v>
      </c>
      <c r="H8" s="158">
        <f>(F8*G8)/1000</f>
        <v>0</v>
      </c>
      <c r="I8" s="191">
        <v>1047.7934499999999</v>
      </c>
      <c r="J8" s="159">
        <f>(H8*I8)/1000</f>
        <v>0</v>
      </c>
      <c r="K8" s="188">
        <f>L8-J8</f>
        <v>0</v>
      </c>
      <c r="L8" s="160">
        <v>0</v>
      </c>
      <c r="M8" s="161" t="e">
        <f>(J8/L8)</f>
        <v>#DIV/0!</v>
      </c>
      <c r="N8" s="161" t="e">
        <f>K8/L8</f>
        <v>#DIV/0!</v>
      </c>
    </row>
    <row r="9" spans="2:14">
      <c r="B9" s="189">
        <f>B8+1</f>
        <v>2</v>
      </c>
      <c r="C9" s="190"/>
      <c r="D9" s="162">
        <v>5</v>
      </c>
      <c r="E9" s="163">
        <f t="shared" ref="E9:E21" si="0">C9*D9</f>
        <v>0</v>
      </c>
      <c r="F9" s="163">
        <f t="shared" ref="F9:F21" si="1">E9</f>
        <v>0</v>
      </c>
      <c r="G9" s="164">
        <v>35.314667</v>
      </c>
      <c r="H9" s="164">
        <f t="shared" ref="H9:H21" si="2">(F9*G9)/1000</f>
        <v>0</v>
      </c>
      <c r="I9" s="191">
        <v>1042.7042200000001</v>
      </c>
      <c r="J9" s="165">
        <f>(H9*I9)/1000</f>
        <v>0</v>
      </c>
      <c r="K9" s="192">
        <f t="shared" ref="K9:K21" si="3">L9-J9</f>
        <v>0.79690000000000005</v>
      </c>
      <c r="L9" s="166">
        <v>0.79690000000000005</v>
      </c>
      <c r="M9" s="167">
        <f t="shared" ref="M9:M21" si="4">(J9/L9)</f>
        <v>0</v>
      </c>
      <c r="N9" s="168">
        <f t="shared" ref="N9:N21" si="5">K9/L9</f>
        <v>1</v>
      </c>
    </row>
    <row r="10" spans="2:14">
      <c r="B10" s="189">
        <f t="shared" ref="B10:B37" si="6">B9+1</f>
        <v>3</v>
      </c>
      <c r="C10" s="190">
        <v>159.69</v>
      </c>
      <c r="D10" s="162">
        <v>5</v>
      </c>
      <c r="E10" s="163">
        <f t="shared" si="0"/>
        <v>798.45</v>
      </c>
      <c r="F10" s="163">
        <f t="shared" si="1"/>
        <v>798.45</v>
      </c>
      <c r="G10" s="164">
        <v>35.314667</v>
      </c>
      <c r="H10" s="164">
        <f t="shared" si="2"/>
        <v>28.196995866150001</v>
      </c>
      <c r="I10" s="191">
        <v>1044.8302000000001</v>
      </c>
      <c r="J10" s="165">
        <f t="shared" ref="J10:J16" si="7">(H10*I10)/1000</f>
        <v>29.46107283022868</v>
      </c>
      <c r="K10" s="192">
        <f>L10-J10</f>
        <v>656.3733271697713</v>
      </c>
      <c r="L10" s="166">
        <v>685.83439999999996</v>
      </c>
      <c r="M10" s="167">
        <f t="shared" si="4"/>
        <v>4.2956539990161885E-2</v>
      </c>
      <c r="N10" s="168">
        <f t="shared" si="5"/>
        <v>0.9570434600098382</v>
      </c>
    </row>
    <row r="11" spans="2:14">
      <c r="B11" s="189">
        <f t="shared" si="6"/>
        <v>4</v>
      </c>
      <c r="C11" s="190">
        <v>788.24</v>
      </c>
      <c r="D11" s="162">
        <v>5</v>
      </c>
      <c r="E11" s="163">
        <f t="shared" si="0"/>
        <v>3941.2</v>
      </c>
      <c r="F11" s="163">
        <f t="shared" si="1"/>
        <v>3941.2</v>
      </c>
      <c r="G11" s="164">
        <v>35.314667</v>
      </c>
      <c r="H11" s="164">
        <f t="shared" si="2"/>
        <v>139.18216558040001</v>
      </c>
      <c r="I11" s="191">
        <v>1050.3635200000001</v>
      </c>
      <c r="J11" s="165">
        <f t="shared" si="7"/>
        <v>146.19186936025181</v>
      </c>
      <c r="K11" s="192">
        <f t="shared" si="3"/>
        <v>696.04741063974825</v>
      </c>
      <c r="L11" s="169">
        <v>842.23928000000001</v>
      </c>
      <c r="M11" s="167">
        <f t="shared" si="4"/>
        <v>0.17357522123671532</v>
      </c>
      <c r="N11" s="168">
        <f t="shared" si="5"/>
        <v>0.8264247787632848</v>
      </c>
    </row>
    <row r="12" spans="2:14">
      <c r="B12" s="189">
        <f t="shared" si="6"/>
        <v>5</v>
      </c>
      <c r="C12" s="190">
        <v>3.33</v>
      </c>
      <c r="D12" s="162">
        <v>5</v>
      </c>
      <c r="E12" s="163">
        <f t="shared" si="0"/>
        <v>16.649999999999999</v>
      </c>
      <c r="F12" s="163">
        <f t="shared" si="1"/>
        <v>16.649999999999999</v>
      </c>
      <c r="G12" s="164">
        <v>35.314667</v>
      </c>
      <c r="H12" s="164">
        <f t="shared" si="2"/>
        <v>0.58798920555</v>
      </c>
      <c r="I12" s="191">
        <v>1050.64978</v>
      </c>
      <c r="J12" s="165">
        <f t="shared" si="7"/>
        <v>0.61777072945348233</v>
      </c>
      <c r="K12" s="192">
        <f t="shared" si="3"/>
        <v>767.54332927054656</v>
      </c>
      <c r="L12" s="166">
        <v>768.16110000000003</v>
      </c>
      <c r="M12" s="167">
        <f t="shared" si="4"/>
        <v>8.0422027287437795E-4</v>
      </c>
      <c r="N12" s="168">
        <f t="shared" si="5"/>
        <v>0.99919577972712559</v>
      </c>
    </row>
    <row r="13" spans="2:14">
      <c r="B13" s="189">
        <f t="shared" si="6"/>
        <v>6</v>
      </c>
      <c r="C13" s="190">
        <v>1356.95</v>
      </c>
      <c r="D13" s="162">
        <v>5</v>
      </c>
      <c r="E13" s="163">
        <f t="shared" si="0"/>
        <v>6784.75</v>
      </c>
      <c r="F13" s="163">
        <f t="shared" si="1"/>
        <v>6784.75</v>
      </c>
      <c r="G13" s="164">
        <v>35.314667</v>
      </c>
      <c r="H13" s="164">
        <f t="shared" si="2"/>
        <v>239.60118692825</v>
      </c>
      <c r="I13" s="191">
        <v>1051.39123</v>
      </c>
      <c r="J13" s="165">
        <f t="shared" si="7"/>
        <v>251.91458663395269</v>
      </c>
      <c r="K13" s="192">
        <f t="shared" si="3"/>
        <v>389.14956336604735</v>
      </c>
      <c r="L13" s="166">
        <v>641.06415000000004</v>
      </c>
      <c r="M13" s="167">
        <f t="shared" si="4"/>
        <v>0.39296314828079637</v>
      </c>
      <c r="N13" s="168">
        <f t="shared" si="5"/>
        <v>0.60703685171920363</v>
      </c>
    </row>
    <row r="14" spans="2:14">
      <c r="B14" s="189">
        <f t="shared" si="6"/>
        <v>7</v>
      </c>
      <c r="C14" s="190">
        <v>4051.52</v>
      </c>
      <c r="D14" s="162">
        <v>5</v>
      </c>
      <c r="E14" s="163">
        <f>C14*D14</f>
        <v>20257.599999999999</v>
      </c>
      <c r="F14" s="163">
        <f t="shared" si="1"/>
        <v>20257.599999999999</v>
      </c>
      <c r="G14" s="164">
        <v>35.314667</v>
      </c>
      <c r="H14" s="164">
        <f t="shared" si="2"/>
        <v>715.39039821919994</v>
      </c>
      <c r="I14" s="191">
        <v>1053.7683099999999</v>
      </c>
      <c r="J14" s="165">
        <f t="shared" si="7"/>
        <v>753.85573092167328</v>
      </c>
      <c r="K14" s="192">
        <f t="shared" si="3"/>
        <v>105.66982907832676</v>
      </c>
      <c r="L14" s="166">
        <v>859.52556000000004</v>
      </c>
      <c r="M14" s="167">
        <f t="shared" si="4"/>
        <v>0.87706028302599082</v>
      </c>
      <c r="N14" s="168">
        <f t="shared" si="5"/>
        <v>0.12293971697400918</v>
      </c>
    </row>
    <row r="15" spans="2:14">
      <c r="B15" s="189">
        <f t="shared" si="6"/>
        <v>8</v>
      </c>
      <c r="C15" s="190">
        <v>5815.62</v>
      </c>
      <c r="D15" s="162">
        <v>5</v>
      </c>
      <c r="E15" s="163">
        <f t="shared" si="0"/>
        <v>29078.1</v>
      </c>
      <c r="F15" s="163">
        <f t="shared" si="1"/>
        <v>29078.1</v>
      </c>
      <c r="G15" s="164">
        <v>35.314667</v>
      </c>
      <c r="H15" s="164">
        <f t="shared" si="2"/>
        <v>1026.8834184927</v>
      </c>
      <c r="I15" s="191">
        <v>1055.9121</v>
      </c>
      <c r="J15" s="165">
        <f t="shared" si="7"/>
        <v>1084.2986268758057</v>
      </c>
      <c r="K15" s="192">
        <f>L15-J15</f>
        <v>-55.066246875805746</v>
      </c>
      <c r="L15" s="166">
        <v>1029.2323799999999</v>
      </c>
      <c r="M15" s="167">
        <f t="shared" si="4"/>
        <v>1.0535022488078016</v>
      </c>
      <c r="N15" s="168">
        <f t="shared" si="5"/>
        <v>-5.350224880780155E-2</v>
      </c>
    </row>
    <row r="16" spans="2:14">
      <c r="B16" s="189">
        <f t="shared" si="6"/>
        <v>9</v>
      </c>
      <c r="C16" s="190">
        <v>5220.53</v>
      </c>
      <c r="D16" s="162">
        <v>5</v>
      </c>
      <c r="E16" s="163">
        <f t="shared" si="0"/>
        <v>26102.649999999998</v>
      </c>
      <c r="F16" s="163">
        <f t="shared" si="1"/>
        <v>26102.649999999998</v>
      </c>
      <c r="G16" s="164">
        <v>35.314667</v>
      </c>
      <c r="H16" s="164">
        <f t="shared" si="2"/>
        <v>921.80639256754989</v>
      </c>
      <c r="I16" s="191">
        <v>1058.5966599999999</v>
      </c>
      <c r="J16" s="165">
        <f t="shared" si="7"/>
        <v>975.82116833865712</v>
      </c>
      <c r="K16" s="192">
        <f t="shared" si="3"/>
        <v>139.90533166134287</v>
      </c>
      <c r="L16" s="166">
        <v>1115.7265</v>
      </c>
      <c r="M16" s="167">
        <f t="shared" si="4"/>
        <v>0.87460606908472383</v>
      </c>
      <c r="N16" s="168">
        <f t="shared" si="5"/>
        <v>0.12539393091527617</v>
      </c>
    </row>
    <row r="17" spans="2:14">
      <c r="B17" s="189">
        <f t="shared" si="6"/>
        <v>10</v>
      </c>
      <c r="C17" s="190">
        <v>2188</v>
      </c>
      <c r="D17" s="162">
        <v>5</v>
      </c>
      <c r="E17" s="163">
        <f t="shared" si="0"/>
        <v>10940</v>
      </c>
      <c r="F17" s="163">
        <f t="shared" si="1"/>
        <v>10940</v>
      </c>
      <c r="G17" s="164">
        <v>35.314667</v>
      </c>
      <c r="H17" s="164">
        <f t="shared" si="2"/>
        <v>386.34245698000001</v>
      </c>
      <c r="I17" s="191">
        <v>1055.60546</v>
      </c>
      <c r="J17" s="165">
        <f>(H17*I17)/1000</f>
        <v>407.8252070179031</v>
      </c>
      <c r="K17" s="192">
        <f t="shared" si="3"/>
        <v>551.84729298209686</v>
      </c>
      <c r="L17" s="166">
        <v>959.67250000000001</v>
      </c>
      <c r="M17" s="167">
        <f t="shared" si="4"/>
        <v>0.42496289829905837</v>
      </c>
      <c r="N17" s="168">
        <f t="shared" si="5"/>
        <v>0.57503710170094158</v>
      </c>
    </row>
    <row r="18" spans="2:14">
      <c r="B18" s="189">
        <f t="shared" si="6"/>
        <v>11</v>
      </c>
      <c r="C18" s="190">
        <v>1796.49</v>
      </c>
      <c r="D18" s="162">
        <v>5</v>
      </c>
      <c r="E18" s="163">
        <f t="shared" si="0"/>
        <v>8982.4500000000007</v>
      </c>
      <c r="F18" s="163">
        <f>E18</f>
        <v>8982.4500000000007</v>
      </c>
      <c r="G18" s="164">
        <v>35.314667</v>
      </c>
      <c r="H18" s="164">
        <f t="shared" si="2"/>
        <v>317.21223059415001</v>
      </c>
      <c r="I18" s="191">
        <v>1056.3095699999999</v>
      </c>
      <c r="J18" s="165">
        <f>(H18*I18)/1000</f>
        <v>335.07431489764741</v>
      </c>
      <c r="K18" s="192">
        <f t="shared" si="3"/>
        <v>538.27708510235266</v>
      </c>
      <c r="L18" s="166">
        <v>873.35140000000001</v>
      </c>
      <c r="M18" s="167">
        <f t="shared" si="4"/>
        <v>0.38366494276833746</v>
      </c>
      <c r="N18" s="168">
        <f t="shared" si="5"/>
        <v>0.6163350572316626</v>
      </c>
    </row>
    <row r="19" spans="2:14">
      <c r="B19" s="189">
        <f t="shared" si="6"/>
        <v>12</v>
      </c>
      <c r="C19" s="190">
        <v>4866.75</v>
      </c>
      <c r="D19" s="162">
        <v>5</v>
      </c>
      <c r="E19" s="163">
        <f>C19*D19</f>
        <v>24333.75</v>
      </c>
      <c r="F19" s="163">
        <f>E19</f>
        <v>24333.75</v>
      </c>
      <c r="G19" s="164">
        <v>35.314667</v>
      </c>
      <c r="H19" s="164">
        <f t="shared" si="2"/>
        <v>859.33827811125002</v>
      </c>
      <c r="I19" s="191">
        <v>1051.5483400000001</v>
      </c>
      <c r="J19" s="165">
        <f>(H19*I19)/1000</f>
        <v>903.63573984634331</v>
      </c>
      <c r="K19" s="192">
        <f t="shared" si="3"/>
        <v>6.6809601536566561</v>
      </c>
      <c r="L19" s="166">
        <v>910.31669999999997</v>
      </c>
      <c r="M19" s="167">
        <f t="shared" si="4"/>
        <v>0.99266083973450492</v>
      </c>
      <c r="N19" s="168">
        <f t="shared" si="5"/>
        <v>7.3391602654951362E-3</v>
      </c>
    </row>
    <row r="20" spans="2:14">
      <c r="B20" s="189">
        <f t="shared" si="6"/>
        <v>13</v>
      </c>
      <c r="C20" s="190">
        <v>6932.28</v>
      </c>
      <c r="D20" s="162">
        <v>5</v>
      </c>
      <c r="E20" s="163">
        <f t="shared" si="0"/>
        <v>34661.4</v>
      </c>
      <c r="F20" s="163">
        <f>E20</f>
        <v>34661.4</v>
      </c>
      <c r="G20" s="164">
        <v>35.314667</v>
      </c>
      <c r="H20" s="164">
        <f t="shared" si="2"/>
        <v>1224.0557987538</v>
      </c>
      <c r="I20" s="191">
        <v>1053.7374199999999</v>
      </c>
      <c r="J20" s="165">
        <f>(H20*I20)/1000</f>
        <v>1289.8333993148683</v>
      </c>
      <c r="K20" s="192">
        <f t="shared" si="3"/>
        <v>-53.700699314868189</v>
      </c>
      <c r="L20" s="166">
        <v>1236.1327000000001</v>
      </c>
      <c r="M20" s="167">
        <f t="shared" si="4"/>
        <v>1.0434425036364365</v>
      </c>
      <c r="N20" s="168">
        <f t="shared" si="5"/>
        <v>-4.3442503636436591E-2</v>
      </c>
    </row>
    <row r="21" spans="2:14">
      <c r="B21" s="189">
        <f t="shared" si="6"/>
        <v>14</v>
      </c>
      <c r="C21" s="190">
        <v>6338.15</v>
      </c>
      <c r="D21" s="162">
        <v>5</v>
      </c>
      <c r="E21" s="163">
        <f t="shared" si="0"/>
        <v>31690.75</v>
      </c>
      <c r="F21" s="163">
        <f t="shared" si="1"/>
        <v>31690.75</v>
      </c>
      <c r="G21" s="164">
        <v>35.314667</v>
      </c>
      <c r="H21" s="164">
        <f t="shared" si="2"/>
        <v>1119.1482832302499</v>
      </c>
      <c r="I21" s="191">
        <v>1054.6458700000001</v>
      </c>
      <c r="J21" s="165">
        <f>(H21*I21)/1000</f>
        <v>1180.3051148263735</v>
      </c>
      <c r="K21" s="192">
        <f t="shared" si="3"/>
        <v>-24.066514826373577</v>
      </c>
      <c r="L21" s="166">
        <v>1156.2385999999999</v>
      </c>
      <c r="M21" s="167">
        <f t="shared" si="4"/>
        <v>1.0208144883126835</v>
      </c>
      <c r="N21" s="168">
        <f t="shared" si="5"/>
        <v>-2.0814488312683541E-2</v>
      </c>
    </row>
    <row r="22" spans="2:14">
      <c r="B22" s="189">
        <f t="shared" si="6"/>
        <v>15</v>
      </c>
      <c r="C22" s="190">
        <v>4350.1099999999997</v>
      </c>
      <c r="D22" s="162">
        <v>5</v>
      </c>
      <c r="E22" s="163">
        <f t="shared" ref="E22:E37" si="8">C22*D22</f>
        <v>21750.55</v>
      </c>
      <c r="F22" s="163">
        <f t="shared" ref="F22:F37" si="9">E22</f>
        <v>21750.55</v>
      </c>
      <c r="G22" s="164">
        <v>36.314667</v>
      </c>
      <c r="H22" s="164">
        <f t="shared" ref="H22:H37" si="10">(F22*G22)/1000</f>
        <v>789.86398031684996</v>
      </c>
      <c r="I22" s="191">
        <v>1051.3793900000001</v>
      </c>
      <c r="J22" s="165">
        <f t="shared" ref="J22:J37" si="11">(H22*I22)/1000</f>
        <v>830.44670980850174</v>
      </c>
      <c r="K22" s="192">
        <f t="shared" ref="K22:K37" si="12">L22-J22</f>
        <v>360.67519019149836</v>
      </c>
      <c r="L22" s="166">
        <v>1191.1219000000001</v>
      </c>
      <c r="M22" s="167">
        <f t="shared" ref="M22:M37" si="13">(J22/L22)</f>
        <v>0.69719707933209996</v>
      </c>
      <c r="N22" s="168">
        <f t="shared" ref="N22:N37" si="14">K22/L22</f>
        <v>0.30280292066789999</v>
      </c>
    </row>
    <row r="23" spans="2:14">
      <c r="B23" s="189">
        <f t="shared" si="6"/>
        <v>16</v>
      </c>
      <c r="C23" s="190">
        <v>3652.71</v>
      </c>
      <c r="D23" s="162">
        <v>5</v>
      </c>
      <c r="E23" s="163">
        <f t="shared" si="8"/>
        <v>18263.55</v>
      </c>
      <c r="F23" s="163">
        <f t="shared" si="9"/>
        <v>18263.55</v>
      </c>
      <c r="G23" s="164">
        <v>37.314667</v>
      </c>
      <c r="H23" s="164">
        <f t="shared" si="10"/>
        <v>681.49828648785001</v>
      </c>
      <c r="I23" s="191">
        <v>1034.49316</v>
      </c>
      <c r="J23" s="165">
        <f t="shared" si="11"/>
        <v>705.00531592340133</v>
      </c>
      <c r="K23" s="192">
        <f t="shared" si="12"/>
        <v>338.83608407659869</v>
      </c>
      <c r="L23" s="166">
        <v>1043.8414</v>
      </c>
      <c r="M23" s="167">
        <f t="shared" si="13"/>
        <v>0.67539505132044131</v>
      </c>
      <c r="N23" s="168">
        <f t="shared" si="14"/>
        <v>0.32460494867955869</v>
      </c>
    </row>
    <row r="24" spans="2:14">
      <c r="B24" s="189">
        <f t="shared" si="6"/>
        <v>17</v>
      </c>
      <c r="C24" s="190">
        <v>6388.24</v>
      </c>
      <c r="D24" s="162">
        <v>5</v>
      </c>
      <c r="E24" s="163">
        <f t="shared" si="8"/>
        <v>31941.199999999997</v>
      </c>
      <c r="F24" s="163">
        <f t="shared" si="9"/>
        <v>31941.199999999997</v>
      </c>
      <c r="G24" s="164">
        <v>38.314667</v>
      </c>
      <c r="H24" s="164">
        <f t="shared" si="10"/>
        <v>1223.8164415803999</v>
      </c>
      <c r="I24" s="191">
        <v>1041.3328799999999</v>
      </c>
      <c r="J24" s="165">
        <f>(H24*I24)/1000</f>
        <v>1274.4002997022694</v>
      </c>
      <c r="K24" s="192">
        <f t="shared" si="12"/>
        <v>-125.4959997022695</v>
      </c>
      <c r="L24" s="166">
        <v>1148.9042999999999</v>
      </c>
      <c r="M24" s="167">
        <f t="shared" si="13"/>
        <v>1.1092310296882599</v>
      </c>
      <c r="N24" s="168">
        <f t="shared" si="14"/>
        <v>-0.10923102968825994</v>
      </c>
    </row>
    <row r="25" spans="2:14">
      <c r="B25" s="189">
        <f t="shared" si="6"/>
        <v>18</v>
      </c>
      <c r="C25" s="190">
        <v>7607.66</v>
      </c>
      <c r="D25" s="162">
        <v>5</v>
      </c>
      <c r="E25" s="163">
        <f t="shared" si="8"/>
        <v>38038.300000000003</v>
      </c>
      <c r="F25" s="163">
        <f t="shared" si="9"/>
        <v>38038.300000000003</v>
      </c>
      <c r="G25" s="164">
        <v>39.314667</v>
      </c>
      <c r="H25" s="164">
        <f t="shared" si="10"/>
        <v>1495.4630977460999</v>
      </c>
      <c r="I25" s="191">
        <v>1042.2141099999999</v>
      </c>
      <c r="J25" s="165">
        <f t="shared" si="11"/>
        <v>1558.5927414552943</v>
      </c>
      <c r="K25" s="192">
        <f t="shared" si="12"/>
        <v>-1558.5927414552943</v>
      </c>
      <c r="L25" s="166"/>
      <c r="M25" s="167" t="e">
        <f t="shared" si="13"/>
        <v>#DIV/0!</v>
      </c>
      <c r="N25" s="168" t="e">
        <f t="shared" si="14"/>
        <v>#DIV/0!</v>
      </c>
    </row>
    <row r="26" spans="2:14">
      <c r="B26" s="189">
        <f t="shared" si="6"/>
        <v>19</v>
      </c>
      <c r="C26" s="190">
        <v>6514.97</v>
      </c>
      <c r="D26" s="162">
        <v>5</v>
      </c>
      <c r="E26" s="163">
        <f t="shared" si="8"/>
        <v>32574.850000000002</v>
      </c>
      <c r="F26" s="163">
        <f t="shared" si="9"/>
        <v>32574.850000000002</v>
      </c>
      <c r="G26" s="164">
        <v>40.314667</v>
      </c>
      <c r="H26" s="164">
        <f t="shared" si="10"/>
        <v>1313.24423032495</v>
      </c>
      <c r="I26" s="191">
        <v>1042.5070800000001</v>
      </c>
      <c r="J26" s="165">
        <f t="shared" si="11"/>
        <v>1369.0664078829111</v>
      </c>
      <c r="K26" s="192">
        <f t="shared" si="12"/>
        <v>-1369.0664078829111</v>
      </c>
      <c r="L26" s="166"/>
      <c r="M26" s="167" t="e">
        <f t="shared" si="13"/>
        <v>#DIV/0!</v>
      </c>
      <c r="N26" s="168" t="e">
        <f t="shared" si="14"/>
        <v>#DIV/0!</v>
      </c>
    </row>
    <row r="27" spans="2:14">
      <c r="B27" s="189">
        <f t="shared" si="6"/>
        <v>20</v>
      </c>
      <c r="C27" s="190">
        <v>4942.41</v>
      </c>
      <c r="D27" s="162">
        <v>5</v>
      </c>
      <c r="E27" s="163">
        <f t="shared" si="8"/>
        <v>24712.05</v>
      </c>
      <c r="F27" s="163">
        <f t="shared" si="9"/>
        <v>24712.05</v>
      </c>
      <c r="G27" s="164">
        <v>41.314667</v>
      </c>
      <c r="H27" s="164">
        <f t="shared" si="10"/>
        <v>1020.97011663735</v>
      </c>
      <c r="I27" s="191">
        <v>1042.9853499999999</v>
      </c>
      <c r="J27" s="165">
        <f t="shared" si="11"/>
        <v>1064.8568744405472</v>
      </c>
      <c r="K27" s="192">
        <f t="shared" si="12"/>
        <v>-1064.8568744405472</v>
      </c>
      <c r="L27" s="166"/>
      <c r="M27" s="167" t="e">
        <f t="shared" si="13"/>
        <v>#DIV/0!</v>
      </c>
      <c r="N27" s="168" t="e">
        <f t="shared" si="14"/>
        <v>#DIV/0!</v>
      </c>
    </row>
    <row r="28" spans="2:14">
      <c r="B28" s="189">
        <f t="shared" si="6"/>
        <v>21</v>
      </c>
      <c r="C28" s="190">
        <v>3073.52</v>
      </c>
      <c r="D28" s="162">
        <v>5</v>
      </c>
      <c r="E28" s="163">
        <f t="shared" si="8"/>
        <v>15367.6</v>
      </c>
      <c r="F28" s="163">
        <f t="shared" si="9"/>
        <v>15367.6</v>
      </c>
      <c r="G28" s="164">
        <v>42.314667</v>
      </c>
      <c r="H28" s="164">
        <f t="shared" si="10"/>
        <v>650.27487658919995</v>
      </c>
      <c r="I28" s="191">
        <v>1043.1148599999999</v>
      </c>
      <c r="J28" s="165">
        <f t="shared" si="11"/>
        <v>678.31138685486042</v>
      </c>
      <c r="K28" s="192">
        <f t="shared" si="12"/>
        <v>-678.31138685486042</v>
      </c>
      <c r="L28" s="166"/>
      <c r="M28" s="167" t="e">
        <f t="shared" si="13"/>
        <v>#DIV/0!</v>
      </c>
      <c r="N28" s="168" t="e">
        <f t="shared" si="14"/>
        <v>#DIV/0!</v>
      </c>
    </row>
    <row r="29" spans="2:14">
      <c r="B29" s="189">
        <f t="shared" si="6"/>
        <v>22</v>
      </c>
      <c r="C29" s="190"/>
      <c r="D29" s="162">
        <v>5</v>
      </c>
      <c r="E29" s="163">
        <f>C29*D29</f>
        <v>0</v>
      </c>
      <c r="F29" s="163">
        <f>E29</f>
        <v>0</v>
      </c>
      <c r="G29" s="164">
        <v>42.314667</v>
      </c>
      <c r="H29" s="164">
        <f>(F29*G29)/1000</f>
        <v>0</v>
      </c>
      <c r="I29" s="191">
        <v>1042.5883699999999</v>
      </c>
      <c r="J29" s="165">
        <f>(H29*I29)/1000</f>
        <v>0</v>
      </c>
      <c r="K29" s="192">
        <f>L29-J29</f>
        <v>0</v>
      </c>
      <c r="L29" s="166"/>
      <c r="M29" s="167" t="e">
        <f>(J29/L29)</f>
        <v>#DIV/0!</v>
      </c>
      <c r="N29" s="168" t="e">
        <f>K29/L29</f>
        <v>#DIV/0!</v>
      </c>
    </row>
    <row r="30" spans="2:14">
      <c r="B30" s="189">
        <f t="shared" si="6"/>
        <v>23</v>
      </c>
      <c r="C30" s="190"/>
      <c r="D30" s="162">
        <v>5</v>
      </c>
      <c r="E30" s="163">
        <f t="shared" si="8"/>
        <v>0</v>
      </c>
      <c r="F30" s="163">
        <f t="shared" si="9"/>
        <v>0</v>
      </c>
      <c r="G30" s="164">
        <v>44.314667</v>
      </c>
      <c r="H30" s="164">
        <f t="shared" si="10"/>
        <v>0</v>
      </c>
      <c r="I30" s="191">
        <v>1042.7497499999999</v>
      </c>
      <c r="J30" s="165">
        <f>(H30*I30)/1000</f>
        <v>0</v>
      </c>
      <c r="K30" s="192">
        <f t="shared" si="12"/>
        <v>0</v>
      </c>
      <c r="L30" s="166"/>
      <c r="M30" s="167" t="e">
        <f t="shared" si="13"/>
        <v>#DIV/0!</v>
      </c>
      <c r="N30" s="168" t="e">
        <f t="shared" si="14"/>
        <v>#DIV/0!</v>
      </c>
    </row>
    <row r="31" spans="2:14">
      <c r="B31" s="189">
        <f t="shared" si="6"/>
        <v>24</v>
      </c>
      <c r="C31" s="190"/>
      <c r="D31" s="162">
        <v>5</v>
      </c>
      <c r="E31" s="163">
        <f t="shared" si="8"/>
        <v>0</v>
      </c>
      <c r="F31" s="163">
        <f t="shared" si="9"/>
        <v>0</v>
      </c>
      <c r="G31" s="164">
        <v>45.314667</v>
      </c>
      <c r="H31" s="164">
        <f t="shared" si="10"/>
        <v>0</v>
      </c>
      <c r="I31" s="191">
        <v>1042.2930899999999</v>
      </c>
      <c r="J31" s="165">
        <f>(H31*I31)/1000</f>
        <v>0</v>
      </c>
      <c r="K31" s="192">
        <f t="shared" si="12"/>
        <v>0</v>
      </c>
      <c r="L31" s="166"/>
      <c r="M31" s="167" t="e">
        <f t="shared" si="13"/>
        <v>#DIV/0!</v>
      </c>
      <c r="N31" s="168" t="e">
        <f t="shared" si="14"/>
        <v>#DIV/0!</v>
      </c>
    </row>
    <row r="32" spans="2:14">
      <c r="B32" s="189">
        <f t="shared" si="6"/>
        <v>25</v>
      </c>
      <c r="C32" s="190"/>
      <c r="D32" s="162">
        <v>5</v>
      </c>
      <c r="E32" s="163">
        <f t="shared" si="8"/>
        <v>0</v>
      </c>
      <c r="F32" s="163">
        <f t="shared" si="9"/>
        <v>0</v>
      </c>
      <c r="G32" s="164">
        <v>46.314667</v>
      </c>
      <c r="H32" s="164">
        <f t="shared" si="10"/>
        <v>0</v>
      </c>
      <c r="I32" s="191">
        <v>1039.41137</v>
      </c>
      <c r="J32" s="165">
        <f>(H32*I32)/1000</f>
        <v>0</v>
      </c>
      <c r="K32" s="192">
        <f t="shared" si="12"/>
        <v>0</v>
      </c>
      <c r="L32" s="166"/>
      <c r="M32" s="167" t="e">
        <f t="shared" si="13"/>
        <v>#DIV/0!</v>
      </c>
      <c r="N32" s="168" t="e">
        <f t="shared" si="14"/>
        <v>#DIV/0!</v>
      </c>
    </row>
    <row r="33" spans="2:14">
      <c r="B33" s="189">
        <f t="shared" si="6"/>
        <v>26</v>
      </c>
      <c r="C33" s="190"/>
      <c r="D33" s="162">
        <v>5</v>
      </c>
      <c r="E33" s="163">
        <f t="shared" si="8"/>
        <v>0</v>
      </c>
      <c r="F33" s="163">
        <f t="shared" si="9"/>
        <v>0</v>
      </c>
      <c r="G33" s="164">
        <v>47.314667</v>
      </c>
      <c r="H33" s="164">
        <f t="shared" si="10"/>
        <v>0</v>
      </c>
      <c r="I33" s="191">
        <v>1039.44067</v>
      </c>
      <c r="J33" s="165">
        <f t="shared" si="11"/>
        <v>0</v>
      </c>
      <c r="K33" s="192">
        <f t="shared" si="12"/>
        <v>0</v>
      </c>
      <c r="L33" s="166"/>
      <c r="M33" s="167" t="e">
        <f t="shared" si="13"/>
        <v>#DIV/0!</v>
      </c>
      <c r="N33" s="168" t="e">
        <f t="shared" si="14"/>
        <v>#DIV/0!</v>
      </c>
    </row>
    <row r="34" spans="2:14">
      <c r="B34" s="189">
        <f t="shared" si="6"/>
        <v>27</v>
      </c>
      <c r="C34" s="190"/>
      <c r="D34" s="162">
        <v>5</v>
      </c>
      <c r="E34" s="163">
        <f t="shared" si="8"/>
        <v>0</v>
      </c>
      <c r="F34" s="163">
        <f t="shared" si="9"/>
        <v>0</v>
      </c>
      <c r="G34" s="164">
        <v>48.314667</v>
      </c>
      <c r="H34" s="164">
        <f t="shared" si="10"/>
        <v>0</v>
      </c>
      <c r="I34" s="191">
        <v>1040.2491399999999</v>
      </c>
      <c r="J34" s="165">
        <f t="shared" si="11"/>
        <v>0</v>
      </c>
      <c r="K34" s="192">
        <f t="shared" si="12"/>
        <v>0</v>
      </c>
      <c r="L34" s="166"/>
      <c r="M34" s="167" t="e">
        <f t="shared" si="13"/>
        <v>#DIV/0!</v>
      </c>
      <c r="N34" s="168" t="e">
        <f t="shared" si="14"/>
        <v>#DIV/0!</v>
      </c>
    </row>
    <row r="35" spans="2:14">
      <c r="B35" s="189">
        <f t="shared" si="6"/>
        <v>28</v>
      </c>
      <c r="C35" s="190"/>
      <c r="D35" s="162">
        <v>5</v>
      </c>
      <c r="E35" s="163">
        <f t="shared" si="8"/>
        <v>0</v>
      </c>
      <c r="F35" s="163">
        <f t="shared" si="9"/>
        <v>0</v>
      </c>
      <c r="G35" s="164">
        <v>49.314667</v>
      </c>
      <c r="H35" s="164">
        <f t="shared" si="10"/>
        <v>0</v>
      </c>
      <c r="I35" s="191"/>
      <c r="J35" s="165">
        <f t="shared" si="11"/>
        <v>0</v>
      </c>
      <c r="K35" s="192">
        <f t="shared" si="12"/>
        <v>0</v>
      </c>
      <c r="L35" s="166"/>
      <c r="M35" s="167" t="e">
        <f t="shared" si="13"/>
        <v>#DIV/0!</v>
      </c>
      <c r="N35" s="168" t="e">
        <f t="shared" si="14"/>
        <v>#DIV/0!</v>
      </c>
    </row>
    <row r="36" spans="2:14">
      <c r="B36" s="189">
        <f t="shared" si="6"/>
        <v>29</v>
      </c>
      <c r="C36" s="190"/>
      <c r="D36" s="162">
        <v>5</v>
      </c>
      <c r="E36" s="163">
        <f t="shared" si="8"/>
        <v>0</v>
      </c>
      <c r="F36" s="163">
        <f t="shared" si="9"/>
        <v>0</v>
      </c>
      <c r="G36" s="164">
        <v>50.314667</v>
      </c>
      <c r="H36" s="164">
        <f t="shared" si="10"/>
        <v>0</v>
      </c>
      <c r="I36" s="191"/>
      <c r="J36" s="165">
        <f t="shared" si="11"/>
        <v>0</v>
      </c>
      <c r="K36" s="192">
        <f t="shared" si="12"/>
        <v>0</v>
      </c>
      <c r="L36" s="166"/>
      <c r="M36" s="167" t="e">
        <f t="shared" si="13"/>
        <v>#DIV/0!</v>
      </c>
      <c r="N36" s="168" t="e">
        <f t="shared" si="14"/>
        <v>#DIV/0!</v>
      </c>
    </row>
    <row r="37" spans="2:14" ht="14.4" thickBot="1">
      <c r="B37" s="189">
        <f t="shared" si="6"/>
        <v>30</v>
      </c>
      <c r="C37" s="190"/>
      <c r="D37" s="162">
        <v>5</v>
      </c>
      <c r="E37" s="163">
        <f t="shared" si="8"/>
        <v>0</v>
      </c>
      <c r="F37" s="163">
        <f t="shared" si="9"/>
        <v>0</v>
      </c>
      <c r="G37" s="164">
        <v>51.314667</v>
      </c>
      <c r="H37" s="164">
        <f t="shared" si="10"/>
        <v>0</v>
      </c>
      <c r="I37" s="191"/>
      <c r="J37" s="165">
        <f t="shared" si="11"/>
        <v>0</v>
      </c>
      <c r="K37" s="192">
        <f t="shared" si="12"/>
        <v>0</v>
      </c>
      <c r="L37" s="166"/>
      <c r="M37" s="167" t="e">
        <f t="shared" si="13"/>
        <v>#DIV/0!</v>
      </c>
      <c r="N37" s="168" t="e">
        <f t="shared" si="14"/>
        <v>#DIV/0!</v>
      </c>
    </row>
    <row r="38" spans="2:14">
      <c r="B38" s="193" t="s">
        <v>157</v>
      </c>
      <c r="C38" s="170"/>
      <c r="D38" s="194"/>
      <c r="E38" s="194"/>
      <c r="F38" s="195">
        <f>AVERAGE(F8:F37)</f>
        <v>12674.528333333328</v>
      </c>
      <c r="G38" s="195"/>
      <c r="H38" s="195">
        <f t="shared" ref="H38:N38" si="15">AVERAGE(H8:H37)</f>
        <v>471.76255414039832</v>
      </c>
      <c r="I38" s="196">
        <f t="shared" si="15"/>
        <v>1047.133901851852</v>
      </c>
      <c r="J38" s="197">
        <f t="shared" si="15"/>
        <v>494.65047792203143</v>
      </c>
      <c r="K38" s="198">
        <f t="shared" si="15"/>
        <v>-12.578485588698099</v>
      </c>
      <c r="L38" s="199">
        <f t="shared" si="15"/>
        <v>850.71528058823515</v>
      </c>
      <c r="M38" s="200" t="e">
        <f t="shared" si="15"/>
        <v>#DIV/0!</v>
      </c>
      <c r="N38" s="200" t="e">
        <f t="shared" si="15"/>
        <v>#DIV/0!</v>
      </c>
    </row>
    <row r="39" spans="2:14">
      <c r="B39" s="201" t="s">
        <v>158</v>
      </c>
      <c r="C39" s="113">
        <f>SUM(C8:C37)</f>
        <v>76047.170000000013</v>
      </c>
      <c r="D39" s="202"/>
      <c r="E39" s="203">
        <f>SUM(E8:E37)</f>
        <v>380235.84999999986</v>
      </c>
      <c r="F39" s="203">
        <f>SUM(F8:F37)</f>
        <v>380235.84999999986</v>
      </c>
      <c r="G39" s="203"/>
      <c r="H39" s="203">
        <f>SUM(H8:H37)</f>
        <v>14152.876624211949</v>
      </c>
      <c r="I39" s="204"/>
      <c r="J39" s="205">
        <f>SUM(J8:J37)</f>
        <v>14839.514337660943</v>
      </c>
      <c r="K39" s="206"/>
      <c r="L39" s="207"/>
      <c r="M39" s="208"/>
      <c r="N39" s="208"/>
    </row>
    <row r="40" spans="2:14">
      <c r="B40" s="209" t="s">
        <v>159</v>
      </c>
      <c r="C40" s="171"/>
      <c r="D40" s="210"/>
      <c r="E40" s="210"/>
      <c r="F40" s="211"/>
      <c r="G40" s="211"/>
      <c r="H40" s="211"/>
      <c r="I40" s="212"/>
      <c r="J40" s="208"/>
      <c r="K40" s="206"/>
      <c r="L40" s="213"/>
      <c r="M40" s="208"/>
      <c r="N40" s="208"/>
    </row>
    <row r="41" spans="2:14" ht="30.75" customHeight="1" thickBot="1">
      <c r="B41" s="214" t="s">
        <v>160</v>
      </c>
      <c r="C41" s="172"/>
      <c r="D41" s="215"/>
      <c r="E41" s="215"/>
      <c r="F41" s="216"/>
      <c r="G41" s="216"/>
      <c r="H41" s="217">
        <f>H39+H40</f>
        <v>14152.876624211949</v>
      </c>
      <c r="I41" s="218"/>
      <c r="J41" s="219">
        <f>J39+J40</f>
        <v>14839.514337660943</v>
      </c>
      <c r="K41" s="220"/>
      <c r="L41" s="221"/>
      <c r="M41" s="222"/>
      <c r="N41" s="222"/>
    </row>
    <row r="42" spans="2:14" s="176" customFormat="1">
      <c r="C42" s="153"/>
    </row>
    <row r="43" spans="2:14" s="176" customFormat="1">
      <c r="C43" s="153" t="s">
        <v>161</v>
      </c>
      <c r="F43" s="223"/>
    </row>
    <row r="44" spans="2:14" s="176" customFormat="1">
      <c r="C44" s="153">
        <f>C39</f>
        <v>76047.170000000013</v>
      </c>
      <c r="D44" s="176" t="s">
        <v>124</v>
      </c>
      <c r="F44" s="153">
        <f>C39*5</f>
        <v>380235.85000000009</v>
      </c>
      <c r="G44" s="176">
        <v>9983.7000000000007</v>
      </c>
    </row>
    <row r="45" spans="2:14" s="176" customFormat="1">
      <c r="C45" s="153">
        <v>5</v>
      </c>
      <c r="D45" s="176" t="s">
        <v>162</v>
      </c>
      <c r="F45" s="153">
        <v>21286.9</v>
      </c>
      <c r="G45" s="223">
        <f>G44-C39</f>
        <v>-66063.470000000016</v>
      </c>
      <c r="H45" s="224"/>
      <c r="L45" s="224"/>
    </row>
    <row r="46" spans="2:14" s="176" customFormat="1">
      <c r="C46" s="153">
        <f>C44*C45</f>
        <v>380235.85000000009</v>
      </c>
      <c r="D46" s="176" t="s">
        <v>163</v>
      </c>
      <c r="F46" s="153">
        <f>F44/F45</f>
        <v>17.862434173129955</v>
      </c>
      <c r="G46" s="223"/>
      <c r="H46" s="144"/>
      <c r="J46" s="144"/>
      <c r="L46" s="225"/>
    </row>
    <row r="47" spans="2:14" s="176" customFormat="1">
      <c r="C47" s="153" t="e">
        <f>#REF!</f>
        <v>#REF!</v>
      </c>
      <c r="D47" s="176" t="s">
        <v>164</v>
      </c>
      <c r="H47" s="226"/>
      <c r="J47" s="153"/>
      <c r="L47" s="225"/>
    </row>
    <row r="48" spans="2:14" s="176" customFormat="1">
      <c r="C48" s="153" t="e">
        <f>(C46*C47)/1000</f>
        <v>#REF!</v>
      </c>
      <c r="D48" s="176" t="s">
        <v>165</v>
      </c>
      <c r="H48" s="174"/>
      <c r="J48" s="144"/>
      <c r="L48" s="153"/>
    </row>
    <row r="49" spans="3:10" s="176" customFormat="1">
      <c r="C49" s="153">
        <f>I38</f>
        <v>1047.133901851852</v>
      </c>
      <c r="D49" s="176" t="s">
        <v>166</v>
      </c>
      <c r="H49" s="153"/>
      <c r="J49" s="227"/>
    </row>
    <row r="50" spans="3:10" s="176" customFormat="1">
      <c r="C50" s="174" t="e">
        <f>(C48*C49)/1000</f>
        <v>#REF!</v>
      </c>
      <c r="D50" s="176" t="s">
        <v>167</v>
      </c>
      <c r="H50" s="228"/>
      <c r="I50" s="224"/>
    </row>
    <row r="51" spans="3:10" s="176" customFormat="1">
      <c r="C51" s="153"/>
    </row>
    <row r="52" spans="3:10" s="176" customFormat="1">
      <c r="C52" s="153"/>
    </row>
    <row r="53" spans="3:10" s="176" customFormat="1">
      <c r="C53" s="153"/>
    </row>
    <row r="54" spans="3:10" s="176" customFormat="1">
      <c r="C54" s="153"/>
    </row>
    <row r="55" spans="3:10" s="176" customFormat="1">
      <c r="C55" s="153"/>
    </row>
    <row r="56" spans="3:10" s="176" customFormat="1">
      <c r="C56" s="153"/>
    </row>
    <row r="57" spans="3:10" s="176" customFormat="1">
      <c r="C57" s="153"/>
    </row>
    <row r="58" spans="3:10" s="176" customFormat="1">
      <c r="C58" s="153"/>
    </row>
    <row r="59" spans="3:10" s="176" customFormat="1">
      <c r="C59" s="153"/>
      <c r="F59" s="144"/>
    </row>
    <row r="60" spans="3:10" s="176" customFormat="1">
      <c r="C60" s="153"/>
      <c r="F60" s="144"/>
    </row>
    <row r="61" spans="3:10" s="176" customFormat="1">
      <c r="C61" s="153"/>
      <c r="F61" s="144"/>
    </row>
    <row r="62" spans="3:10" s="176" customFormat="1">
      <c r="C62" s="153"/>
      <c r="F62" s="144"/>
    </row>
    <row r="63" spans="3:10" s="176" customFormat="1">
      <c r="C63" s="153"/>
    </row>
    <row r="64" spans="3:10" s="176" customFormat="1">
      <c r="C64" s="153"/>
    </row>
    <row r="65" spans="3:3" s="176" customFormat="1">
      <c r="C65" s="153"/>
    </row>
    <row r="66" spans="3:3" s="176" customFormat="1">
      <c r="C66" s="153"/>
    </row>
    <row r="67" spans="3:3" s="176" customFormat="1">
      <c r="C67" s="153"/>
    </row>
    <row r="68" spans="3:3" s="176" customFormat="1">
      <c r="C68" s="153"/>
    </row>
    <row r="69" spans="3:3" s="176" customFormat="1">
      <c r="C69" s="153"/>
    </row>
    <row r="70" spans="3:3" s="176" customFormat="1">
      <c r="C70" s="153"/>
    </row>
    <row r="71" spans="3:3" s="176" customFormat="1">
      <c r="C71" s="153"/>
    </row>
    <row r="72" spans="3:3" s="176" customFormat="1">
      <c r="C72" s="153"/>
    </row>
    <row r="73" spans="3:3" s="176" customFormat="1">
      <c r="C73" s="153"/>
    </row>
    <row r="74" spans="3:3" s="176" customFormat="1">
      <c r="C74" s="153"/>
    </row>
    <row r="75" spans="3:3" s="176" customFormat="1">
      <c r="C75" s="153"/>
    </row>
    <row r="76" spans="3:3" s="176" customFormat="1">
      <c r="C76" s="153"/>
    </row>
    <row r="77" spans="3:3" s="176" customFormat="1">
      <c r="C77" s="153"/>
    </row>
    <row r="78" spans="3:3" s="176" customFormat="1">
      <c r="C78" s="153"/>
    </row>
    <row r="79" spans="3:3" s="176" customFormat="1">
      <c r="C79" s="153"/>
    </row>
    <row r="80" spans="3:3" s="176" customFormat="1">
      <c r="C80" s="153"/>
    </row>
    <row r="81" spans="3:3" s="176" customFormat="1">
      <c r="C81" s="153"/>
    </row>
    <row r="82" spans="3:3" s="176" customFormat="1">
      <c r="C82" s="153"/>
    </row>
    <row r="83" spans="3:3" s="176" customFormat="1">
      <c r="C83" s="153"/>
    </row>
    <row r="84" spans="3:3" s="176" customFormat="1">
      <c r="C84" s="153"/>
    </row>
    <row r="85" spans="3:3" s="176" customFormat="1">
      <c r="C85" s="153"/>
    </row>
    <row r="86" spans="3:3" s="176" customFormat="1">
      <c r="C86" s="153"/>
    </row>
    <row r="87" spans="3:3" s="176" customFormat="1">
      <c r="C87" s="153"/>
    </row>
    <row r="88" spans="3:3" s="176" customFormat="1">
      <c r="C88" s="153"/>
    </row>
    <row r="89" spans="3:3" s="176" customFormat="1">
      <c r="C89" s="153"/>
    </row>
    <row r="90" spans="3:3" s="176" customFormat="1">
      <c r="C90" s="153"/>
    </row>
    <row r="91" spans="3:3" s="176" customFormat="1">
      <c r="C91" s="153"/>
    </row>
    <row r="92" spans="3:3" s="176" customFormat="1">
      <c r="C92" s="153"/>
    </row>
    <row r="93" spans="3:3" s="176" customFormat="1">
      <c r="C93" s="153"/>
    </row>
    <row r="94" spans="3:3" s="176" customFormat="1">
      <c r="C94" s="153"/>
    </row>
    <row r="95" spans="3:3" s="176" customFormat="1">
      <c r="C95" s="153"/>
    </row>
    <row r="96" spans="3:3" s="176" customFormat="1">
      <c r="C96" s="153"/>
    </row>
    <row r="97" spans="3:3" s="176" customFormat="1">
      <c r="C97" s="153"/>
    </row>
    <row r="98" spans="3:3" s="176" customFormat="1">
      <c r="C98" s="153"/>
    </row>
    <row r="99" spans="3:3" s="176" customFormat="1">
      <c r="C99" s="153"/>
    </row>
    <row r="100" spans="3:3" s="176" customFormat="1">
      <c r="C100" s="153"/>
    </row>
    <row r="101" spans="3:3" s="176" customFormat="1">
      <c r="C101" s="153"/>
    </row>
    <row r="102" spans="3:3" s="176" customFormat="1">
      <c r="C102" s="153"/>
    </row>
    <row r="103" spans="3:3" s="176" customFormat="1">
      <c r="C103" s="153"/>
    </row>
    <row r="104" spans="3:3" s="176" customFormat="1">
      <c r="C104" s="153"/>
    </row>
    <row r="105" spans="3:3" s="176" customFormat="1">
      <c r="C105" s="153"/>
    </row>
    <row r="106" spans="3:3" s="176" customFormat="1">
      <c r="C106" s="153"/>
    </row>
    <row r="107" spans="3:3" s="176" customFormat="1">
      <c r="C107" s="153"/>
    </row>
    <row r="108" spans="3:3" s="176" customFormat="1">
      <c r="C108" s="153"/>
    </row>
    <row r="109" spans="3:3" s="176" customFormat="1">
      <c r="C109" s="153"/>
    </row>
    <row r="110" spans="3:3" s="176" customFormat="1">
      <c r="C110" s="153"/>
    </row>
    <row r="111" spans="3:3" s="176" customFormat="1">
      <c r="C111" s="153"/>
    </row>
    <row r="112" spans="3:3" s="176" customFormat="1">
      <c r="C112" s="153"/>
    </row>
    <row r="113" spans="3:3" s="176" customFormat="1">
      <c r="C113" s="153"/>
    </row>
    <row r="114" spans="3:3" s="176" customFormat="1">
      <c r="C114" s="153"/>
    </row>
    <row r="115" spans="3:3" s="176" customFormat="1">
      <c r="C115" s="153"/>
    </row>
    <row r="116" spans="3:3" s="176" customFormat="1">
      <c r="C116" s="153"/>
    </row>
    <row r="117" spans="3:3" s="176" customFormat="1">
      <c r="C117" s="153"/>
    </row>
    <row r="118" spans="3:3" s="176" customFormat="1">
      <c r="C118" s="153"/>
    </row>
    <row r="119" spans="3:3" s="176" customFormat="1">
      <c r="C119" s="153"/>
    </row>
    <row r="120" spans="3:3" s="176" customFormat="1">
      <c r="C120" s="153"/>
    </row>
    <row r="121" spans="3:3" s="176" customFormat="1">
      <c r="C121" s="153"/>
    </row>
    <row r="122" spans="3:3" s="176" customFormat="1">
      <c r="C122" s="153"/>
    </row>
    <row r="123" spans="3:3" s="176" customFormat="1">
      <c r="C123" s="153"/>
    </row>
    <row r="124" spans="3:3" s="176" customFormat="1">
      <c r="C124" s="153"/>
    </row>
    <row r="125" spans="3:3" s="176" customFormat="1">
      <c r="C125" s="153"/>
    </row>
    <row r="126" spans="3:3" s="176" customFormat="1">
      <c r="C126" s="153"/>
    </row>
    <row r="127" spans="3:3" s="176" customFormat="1">
      <c r="C127" s="153"/>
    </row>
    <row r="128" spans="3:3" s="176" customFormat="1">
      <c r="C128" s="153"/>
    </row>
    <row r="129" spans="3:3" s="176" customFormat="1">
      <c r="C129" s="153"/>
    </row>
    <row r="130" spans="3:3" s="176" customFormat="1">
      <c r="C130" s="153"/>
    </row>
    <row r="131" spans="3:3" s="176" customFormat="1">
      <c r="C131" s="153"/>
    </row>
    <row r="132" spans="3:3" s="176" customFormat="1">
      <c r="C132" s="153"/>
    </row>
    <row r="133" spans="3:3" s="176" customFormat="1">
      <c r="C133" s="153"/>
    </row>
    <row r="134" spans="3:3" s="176" customFormat="1">
      <c r="C134" s="153"/>
    </row>
    <row r="135" spans="3:3" s="176" customFormat="1">
      <c r="C135" s="153"/>
    </row>
    <row r="136" spans="3:3" s="176" customFormat="1">
      <c r="C136" s="153"/>
    </row>
    <row r="137" spans="3:3" s="176" customFormat="1">
      <c r="C137" s="153"/>
    </row>
    <row r="138" spans="3:3" s="176" customFormat="1">
      <c r="C138" s="153"/>
    </row>
    <row r="139" spans="3:3" s="176" customFormat="1">
      <c r="C139" s="153"/>
    </row>
    <row r="140" spans="3:3" s="176" customFormat="1">
      <c r="C140" s="153"/>
    </row>
    <row r="141" spans="3:3" s="176" customFormat="1">
      <c r="C141" s="153"/>
    </row>
    <row r="142" spans="3:3" s="176" customFormat="1">
      <c r="C142" s="153"/>
    </row>
    <row r="143" spans="3:3" s="176" customFormat="1">
      <c r="C143" s="153"/>
    </row>
    <row r="144" spans="3:3" s="176" customFormat="1">
      <c r="C144" s="153"/>
    </row>
    <row r="145" spans="3:3" s="176" customFormat="1">
      <c r="C145" s="153"/>
    </row>
    <row r="146" spans="3:3" s="176" customFormat="1">
      <c r="C146" s="153"/>
    </row>
    <row r="147" spans="3:3" s="176" customFormat="1">
      <c r="C147" s="153"/>
    </row>
    <row r="148" spans="3:3" s="176" customFormat="1">
      <c r="C148" s="153"/>
    </row>
    <row r="149" spans="3:3" s="176" customFormat="1">
      <c r="C149" s="153"/>
    </row>
    <row r="150" spans="3:3" s="176" customFormat="1">
      <c r="C150" s="153"/>
    </row>
    <row r="151" spans="3:3" s="176" customFormat="1">
      <c r="C151" s="153"/>
    </row>
    <row r="152" spans="3:3" s="176" customFormat="1">
      <c r="C152" s="153"/>
    </row>
    <row r="153" spans="3:3" s="176" customFormat="1">
      <c r="C153" s="153"/>
    </row>
    <row r="154" spans="3:3" s="176" customFormat="1">
      <c r="C154" s="153"/>
    </row>
    <row r="155" spans="3:3" s="176" customFormat="1">
      <c r="C155" s="153"/>
    </row>
    <row r="156" spans="3:3" s="176" customFormat="1">
      <c r="C156" s="153"/>
    </row>
    <row r="157" spans="3:3" s="176" customFormat="1">
      <c r="C157" s="153"/>
    </row>
    <row r="158" spans="3:3" s="176" customFormat="1">
      <c r="C158" s="153"/>
    </row>
    <row r="159" spans="3:3" s="176" customFormat="1">
      <c r="C159" s="153"/>
    </row>
    <row r="160" spans="3:3" s="176" customFormat="1">
      <c r="C160" s="153"/>
    </row>
    <row r="161" spans="3:3" s="176" customFormat="1">
      <c r="C161" s="153"/>
    </row>
    <row r="162" spans="3:3" s="176" customFormat="1">
      <c r="C162" s="153"/>
    </row>
    <row r="163" spans="3:3" s="176" customFormat="1">
      <c r="C163" s="153"/>
    </row>
    <row r="164" spans="3:3" s="176" customFormat="1">
      <c r="C164" s="153"/>
    </row>
    <row r="165" spans="3:3" s="176" customFormat="1">
      <c r="C165" s="153"/>
    </row>
    <row r="166" spans="3:3" s="176" customFormat="1">
      <c r="C166" s="153"/>
    </row>
    <row r="167" spans="3:3" s="176" customFormat="1">
      <c r="C167" s="153"/>
    </row>
    <row r="168" spans="3:3" s="176" customFormat="1">
      <c r="C168" s="153"/>
    </row>
    <row r="169" spans="3:3" s="176" customFormat="1">
      <c r="C169" s="153"/>
    </row>
    <row r="170" spans="3:3" s="176" customFormat="1">
      <c r="C170" s="153"/>
    </row>
    <row r="171" spans="3:3" s="176" customFormat="1">
      <c r="C171" s="153"/>
    </row>
    <row r="172" spans="3:3" s="176" customFormat="1">
      <c r="C172" s="153"/>
    </row>
    <row r="173" spans="3:3" s="176" customFormat="1">
      <c r="C173" s="153"/>
    </row>
    <row r="174" spans="3:3" s="176" customFormat="1">
      <c r="C174" s="153"/>
    </row>
    <row r="175" spans="3:3" s="176" customFormat="1">
      <c r="C175" s="153"/>
    </row>
    <row r="176" spans="3:3" s="176" customFormat="1">
      <c r="C176" s="153"/>
    </row>
    <row r="177" spans="3:3" s="176" customFormat="1">
      <c r="C177" s="153"/>
    </row>
    <row r="178" spans="3:3" s="176" customFormat="1">
      <c r="C178" s="153"/>
    </row>
    <row r="179" spans="3:3" s="176" customFormat="1">
      <c r="C179" s="153"/>
    </row>
    <row r="180" spans="3:3" s="176" customFormat="1">
      <c r="C180" s="153"/>
    </row>
    <row r="181" spans="3:3" s="176" customFormat="1">
      <c r="C181" s="153"/>
    </row>
    <row r="182" spans="3:3" s="176" customFormat="1">
      <c r="C182" s="153"/>
    </row>
    <row r="183" spans="3:3" s="176" customFormat="1">
      <c r="C183" s="153"/>
    </row>
    <row r="184" spans="3:3" s="176" customFormat="1">
      <c r="C184" s="153"/>
    </row>
    <row r="185" spans="3:3" s="176" customFormat="1">
      <c r="C185" s="153"/>
    </row>
    <row r="186" spans="3:3" s="176" customFormat="1">
      <c r="C186" s="153"/>
    </row>
    <row r="187" spans="3:3" s="176" customFormat="1">
      <c r="C187" s="153"/>
    </row>
    <row r="188" spans="3:3" s="176" customFormat="1">
      <c r="C188" s="153"/>
    </row>
    <row r="189" spans="3:3" s="176" customFormat="1">
      <c r="C189" s="153"/>
    </row>
    <row r="190" spans="3:3" s="176" customFormat="1">
      <c r="C190" s="153"/>
    </row>
    <row r="191" spans="3:3" s="176" customFormat="1">
      <c r="C191" s="153"/>
    </row>
    <row r="192" spans="3:3" s="176" customFormat="1">
      <c r="C192" s="153"/>
    </row>
    <row r="193" spans="3:3" s="176" customFormat="1">
      <c r="C193" s="153"/>
    </row>
    <row r="194" spans="3:3" s="176" customFormat="1">
      <c r="C194" s="153"/>
    </row>
    <row r="195" spans="3:3" s="176" customFormat="1">
      <c r="C195" s="153"/>
    </row>
    <row r="196" spans="3:3" s="176" customFormat="1">
      <c r="C196" s="153"/>
    </row>
    <row r="197" spans="3:3" s="176" customFormat="1">
      <c r="C197" s="153"/>
    </row>
    <row r="198" spans="3:3" s="176" customFormat="1">
      <c r="C198" s="153"/>
    </row>
    <row r="199" spans="3:3" s="176" customFormat="1">
      <c r="C199" s="153"/>
    </row>
    <row r="200" spans="3:3" s="176" customFormat="1">
      <c r="C200" s="153"/>
    </row>
    <row r="201" spans="3:3" s="176" customFormat="1">
      <c r="C201" s="153"/>
    </row>
    <row r="202" spans="3:3" s="176" customFormat="1">
      <c r="C202" s="153"/>
    </row>
    <row r="203" spans="3:3" s="176" customFormat="1">
      <c r="C203" s="153"/>
    </row>
    <row r="204" spans="3:3" s="176" customFormat="1">
      <c r="C204" s="153"/>
    </row>
    <row r="205" spans="3:3" s="176" customFormat="1">
      <c r="C205" s="153"/>
    </row>
    <row r="206" spans="3:3" s="176" customFormat="1">
      <c r="C206" s="153"/>
    </row>
    <row r="207" spans="3:3" s="176" customFormat="1">
      <c r="C207" s="153"/>
    </row>
    <row r="208" spans="3:3" s="176" customFormat="1">
      <c r="C208" s="153"/>
    </row>
    <row r="209" spans="3:3" s="176" customFormat="1">
      <c r="C209" s="153"/>
    </row>
    <row r="210" spans="3:3" s="176" customFormat="1">
      <c r="C210" s="153"/>
    </row>
    <row r="211" spans="3:3" s="176" customFormat="1">
      <c r="C211" s="153"/>
    </row>
    <row r="212" spans="3:3" s="176" customFormat="1">
      <c r="C212" s="153"/>
    </row>
    <row r="213" spans="3:3" s="176" customFormat="1">
      <c r="C213" s="153"/>
    </row>
    <row r="214" spans="3:3" s="176" customFormat="1">
      <c r="C214" s="153"/>
    </row>
    <row r="215" spans="3:3" s="176" customFormat="1">
      <c r="C215" s="153"/>
    </row>
    <row r="216" spans="3:3" s="176" customFormat="1">
      <c r="C216" s="153"/>
    </row>
    <row r="217" spans="3:3" s="176" customFormat="1">
      <c r="C217" s="153"/>
    </row>
    <row r="218" spans="3:3" s="176" customFormat="1">
      <c r="C218" s="153"/>
    </row>
    <row r="219" spans="3:3" s="176" customFormat="1">
      <c r="C219" s="153"/>
    </row>
    <row r="220" spans="3:3" s="176" customFormat="1">
      <c r="C220" s="153"/>
    </row>
    <row r="221" spans="3:3" s="176" customFormat="1">
      <c r="C221" s="153"/>
    </row>
    <row r="222" spans="3:3" s="176" customFormat="1">
      <c r="C222" s="153"/>
    </row>
    <row r="223" spans="3:3" s="176" customFormat="1">
      <c r="C223" s="153"/>
    </row>
    <row r="224" spans="3:3" s="176" customFormat="1">
      <c r="C224" s="153"/>
    </row>
    <row r="225" spans="3:3" s="176" customFormat="1">
      <c r="C225" s="153"/>
    </row>
    <row r="226" spans="3:3" s="176" customFormat="1">
      <c r="C226" s="153"/>
    </row>
    <row r="227" spans="3:3" s="176" customFormat="1">
      <c r="C227" s="153"/>
    </row>
    <row r="228" spans="3:3" s="176" customFormat="1">
      <c r="C228" s="153"/>
    </row>
    <row r="229" spans="3:3" s="176" customFormat="1">
      <c r="C229" s="153"/>
    </row>
    <row r="230" spans="3:3" s="176" customFormat="1">
      <c r="C230" s="153"/>
    </row>
    <row r="231" spans="3:3" s="176" customFormat="1">
      <c r="C231" s="153"/>
    </row>
    <row r="232" spans="3:3" s="176" customFormat="1">
      <c r="C232" s="153"/>
    </row>
    <row r="233" spans="3:3" s="176" customFormat="1">
      <c r="C233" s="153"/>
    </row>
    <row r="234" spans="3:3" s="176" customFormat="1">
      <c r="C234" s="153"/>
    </row>
    <row r="235" spans="3:3" s="176" customFormat="1">
      <c r="C235" s="153"/>
    </row>
    <row r="236" spans="3:3" s="176" customFormat="1">
      <c r="C236" s="153"/>
    </row>
    <row r="237" spans="3:3" s="176" customFormat="1">
      <c r="C237" s="153"/>
    </row>
    <row r="238" spans="3:3" s="176" customFormat="1">
      <c r="C238" s="153"/>
    </row>
    <row r="239" spans="3:3" s="176" customFormat="1">
      <c r="C239" s="153"/>
    </row>
    <row r="240" spans="3:3" s="176" customFormat="1">
      <c r="C240" s="153"/>
    </row>
    <row r="241" spans="3:3" s="176" customFormat="1">
      <c r="C241" s="153"/>
    </row>
    <row r="242" spans="3:3" s="176" customFormat="1">
      <c r="C242" s="153"/>
    </row>
    <row r="243" spans="3:3" s="176" customFormat="1">
      <c r="C243" s="153"/>
    </row>
    <row r="244" spans="3:3" s="176" customFormat="1">
      <c r="C244" s="153"/>
    </row>
    <row r="245" spans="3:3" s="176" customFormat="1">
      <c r="C245" s="153"/>
    </row>
    <row r="246" spans="3:3" s="176" customFormat="1">
      <c r="C246" s="153"/>
    </row>
    <row r="247" spans="3:3" s="176" customFormat="1">
      <c r="C247" s="153"/>
    </row>
    <row r="248" spans="3:3" s="176" customFormat="1">
      <c r="C248" s="153"/>
    </row>
    <row r="249" spans="3:3" s="176" customFormat="1">
      <c r="C249" s="153"/>
    </row>
    <row r="250" spans="3:3" s="176" customFormat="1">
      <c r="C250" s="153"/>
    </row>
    <row r="251" spans="3:3" s="176" customFormat="1">
      <c r="C251" s="153"/>
    </row>
    <row r="252" spans="3:3" s="176" customFormat="1">
      <c r="C252" s="153"/>
    </row>
    <row r="253" spans="3:3" s="176" customFormat="1">
      <c r="C253" s="153"/>
    </row>
    <row r="254" spans="3:3" s="176" customFormat="1">
      <c r="C254" s="153"/>
    </row>
    <row r="255" spans="3:3" s="176" customFormat="1">
      <c r="C255" s="153"/>
    </row>
    <row r="256" spans="3:3" s="176" customFormat="1">
      <c r="C256" s="153"/>
    </row>
    <row r="257" spans="3:3" s="176" customFormat="1">
      <c r="C257" s="153"/>
    </row>
    <row r="258" spans="3:3" s="176" customFormat="1">
      <c r="C258" s="153"/>
    </row>
    <row r="259" spans="3:3" s="176" customFormat="1">
      <c r="C259" s="153"/>
    </row>
    <row r="260" spans="3:3" s="176" customFormat="1">
      <c r="C260" s="153"/>
    </row>
    <row r="261" spans="3:3" s="176" customFormat="1">
      <c r="C261" s="153"/>
    </row>
    <row r="262" spans="3:3" s="176" customFormat="1">
      <c r="C262" s="153"/>
    </row>
    <row r="263" spans="3:3" s="176" customFormat="1">
      <c r="C263" s="153"/>
    </row>
    <row r="264" spans="3:3" s="176" customFormat="1">
      <c r="C264" s="153"/>
    </row>
    <row r="265" spans="3:3" s="176" customFormat="1">
      <c r="C265" s="153"/>
    </row>
    <row r="266" spans="3:3" s="176" customFormat="1">
      <c r="C266" s="153"/>
    </row>
    <row r="267" spans="3:3" s="176" customFormat="1">
      <c r="C267" s="153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zoomScale="60" zoomScaleNormal="60" workbookViewId="0">
      <selection activeCell="F46" sqref="F46"/>
    </sheetView>
  </sheetViews>
  <sheetFormatPr defaultColWidth="9.33203125" defaultRowHeight="14.4"/>
  <cols>
    <col min="1" max="1" width="9.33203125" style="1191"/>
    <col min="2" max="2" width="5.5546875" style="1191" customWidth="1"/>
    <col min="3" max="3" width="32.5546875" style="1191" customWidth="1"/>
    <col min="4" max="4" width="9" style="1191" customWidth="1"/>
    <col min="5" max="5" width="15.5546875" style="1191" customWidth="1"/>
    <col min="6" max="6" width="20.5546875" style="1191" customWidth="1"/>
    <col min="7" max="7" width="13.109375" style="1191" bestFit="1" customWidth="1"/>
    <col min="8" max="8" width="21.6640625" style="1192" customWidth="1"/>
    <col min="9" max="9" width="16.44140625" style="1193" customWidth="1"/>
    <col min="10" max="10" width="11.33203125" style="1191" bestFit="1" customWidth="1"/>
    <col min="11" max="11" width="11.5546875" style="1191" bestFit="1" customWidth="1"/>
    <col min="12" max="12" width="13.5546875" style="1191" customWidth="1"/>
    <col min="13" max="13" width="13.44140625" style="1191" bestFit="1" customWidth="1"/>
    <col min="14" max="16384" width="9.33203125" style="1191"/>
  </cols>
  <sheetData>
    <row r="1" spans="2:12">
      <c r="B1" s="1190"/>
    </row>
    <row r="2" spans="2:12">
      <c r="B2" s="2082" t="s">
        <v>733</v>
      </c>
      <c r="C2" s="2082"/>
      <c r="D2" s="2082"/>
      <c r="E2" s="2082"/>
      <c r="F2" s="2082"/>
      <c r="G2" s="2082"/>
      <c r="H2" s="2082"/>
      <c r="I2" s="1195"/>
    </row>
    <row r="3" spans="2:12">
      <c r="B3" s="2082" t="s">
        <v>734</v>
      </c>
      <c r="C3" s="2082"/>
      <c r="D3" s="2082"/>
      <c r="E3" s="2082"/>
      <c r="F3" s="2082"/>
      <c r="G3" s="2082"/>
      <c r="H3" s="2082"/>
      <c r="I3" s="1195"/>
    </row>
    <row r="4" spans="2:12" ht="15.6" thickBot="1">
      <c r="B4" s="2168" t="s">
        <v>1086</v>
      </c>
      <c r="C4" s="2168"/>
      <c r="D4" s="1196"/>
      <c r="E4" s="1196"/>
      <c r="F4" s="1196"/>
      <c r="G4" s="1197"/>
      <c r="H4" s="1198"/>
      <c r="I4" s="1199"/>
    </row>
    <row r="5" spans="2:12">
      <c r="B5" s="2169" t="s">
        <v>175</v>
      </c>
      <c r="C5" s="2171" t="s">
        <v>735</v>
      </c>
      <c r="D5" s="2171" t="s">
        <v>1081</v>
      </c>
      <c r="E5" s="2173" t="s">
        <v>1087</v>
      </c>
      <c r="F5" s="2174"/>
      <c r="G5" s="2175"/>
      <c r="H5" s="2176" t="s">
        <v>736</v>
      </c>
      <c r="I5" s="1200"/>
    </row>
    <row r="6" spans="2:12" ht="41.25" customHeight="1">
      <c r="B6" s="2170"/>
      <c r="C6" s="2172"/>
      <c r="D6" s="2172"/>
      <c r="E6" s="1201" t="s">
        <v>737</v>
      </c>
      <c r="F6" s="1201" t="s">
        <v>738</v>
      </c>
      <c r="G6" s="1201" t="s">
        <v>739</v>
      </c>
      <c r="H6" s="2177"/>
      <c r="I6" s="1200"/>
    </row>
    <row r="7" spans="2:12">
      <c r="B7" s="1202" t="s">
        <v>740</v>
      </c>
      <c r="C7" s="1203" t="s">
        <v>85</v>
      </c>
      <c r="D7" s="1204"/>
      <c r="E7" s="1205"/>
      <c r="F7" s="1205"/>
      <c r="G7" s="1205"/>
      <c r="H7" s="2039" t="s">
        <v>1082</v>
      </c>
      <c r="I7" s="1206"/>
    </row>
    <row r="8" spans="2:12">
      <c r="B8" s="1207"/>
      <c r="C8" s="1208" t="s">
        <v>741</v>
      </c>
      <c r="D8" s="1209"/>
      <c r="E8" s="1210"/>
      <c r="F8" s="1211"/>
      <c r="G8" s="1210"/>
      <c r="H8" s="1212"/>
      <c r="I8" s="1206"/>
      <c r="J8" s="1213"/>
      <c r="K8" s="1213"/>
      <c r="L8" s="1214"/>
    </row>
    <row r="9" spans="2:12">
      <c r="B9" s="1207"/>
      <c r="C9" s="1215" t="s">
        <v>84</v>
      </c>
      <c r="D9" s="1216" t="s">
        <v>228</v>
      </c>
      <c r="E9" s="1217">
        <v>25</v>
      </c>
      <c r="F9" s="1217">
        <v>0</v>
      </c>
      <c r="G9" s="1218">
        <f>(F9/E9)</f>
        <v>0</v>
      </c>
      <c r="H9" s="1226"/>
      <c r="I9" s="1206"/>
      <c r="J9" s="1220"/>
      <c r="K9" s="1213"/>
    </row>
    <row r="10" spans="2:12">
      <c r="B10" s="1207"/>
      <c r="C10" s="1221" t="s">
        <v>742</v>
      </c>
      <c r="D10" s="1222" t="s">
        <v>14</v>
      </c>
      <c r="E10" s="1211"/>
      <c r="F10" s="1211"/>
      <c r="G10" s="1223"/>
      <c r="H10" s="1224"/>
      <c r="I10" s="1225"/>
      <c r="J10" s="1220"/>
      <c r="K10" s="1213"/>
    </row>
    <row r="11" spans="2:12">
      <c r="B11" s="1207"/>
      <c r="C11" s="1215" t="s">
        <v>743</v>
      </c>
      <c r="D11" s="1216" t="s">
        <v>14</v>
      </c>
      <c r="E11" s="1217">
        <v>58900000</v>
      </c>
      <c r="F11" s="1217">
        <v>0</v>
      </c>
      <c r="G11" s="1218">
        <f>(F11/E11)</f>
        <v>0</v>
      </c>
      <c r="H11" s="1226"/>
      <c r="I11" s="1206"/>
      <c r="J11" s="1227"/>
      <c r="L11" s="1214"/>
    </row>
    <row r="12" spans="2:12">
      <c r="B12" s="1207"/>
      <c r="C12" s="1215" t="s">
        <v>97</v>
      </c>
      <c r="D12" s="1216"/>
      <c r="E12" s="1217"/>
      <c r="F12" s="1217">
        <v>0</v>
      </c>
      <c r="G12" s="1218"/>
      <c r="H12" s="1226"/>
      <c r="I12" s="1206"/>
      <c r="J12" s="1227"/>
      <c r="L12" s="1214"/>
    </row>
    <row r="13" spans="2:12">
      <c r="B13" s="1207"/>
      <c r="C13" s="1215" t="s">
        <v>98</v>
      </c>
      <c r="D13" s="1216"/>
      <c r="E13" s="1217"/>
      <c r="F13" s="1217">
        <v>0</v>
      </c>
      <c r="G13" s="1218"/>
      <c r="H13" s="1226"/>
      <c r="I13" s="1206"/>
      <c r="J13" s="1227"/>
      <c r="L13" s="1214"/>
    </row>
    <row r="14" spans="2:12">
      <c r="B14" s="1207"/>
      <c r="C14" s="1228" t="s">
        <v>744</v>
      </c>
      <c r="D14" s="1229" t="s">
        <v>25</v>
      </c>
      <c r="E14" s="1230">
        <v>5</v>
      </c>
      <c r="F14" s="1231">
        <v>0</v>
      </c>
      <c r="G14" s="1232">
        <f>(F14/E14)</f>
        <v>0</v>
      </c>
      <c r="H14" s="1233"/>
      <c r="I14" s="1234"/>
      <c r="J14" s="1235"/>
    </row>
    <row r="15" spans="2:12">
      <c r="B15" s="1207"/>
      <c r="C15" s="1228" t="s">
        <v>745</v>
      </c>
      <c r="D15" s="1229" t="s">
        <v>25</v>
      </c>
      <c r="E15" s="1230">
        <v>0.5</v>
      </c>
      <c r="F15" s="1231">
        <v>0</v>
      </c>
      <c r="G15" s="1232">
        <f>(F15/E15)</f>
        <v>0</v>
      </c>
      <c r="H15" s="1233"/>
      <c r="I15" s="1234"/>
      <c r="J15" s="1235"/>
    </row>
    <row r="16" spans="2:12">
      <c r="B16" s="1207"/>
      <c r="C16" s="1228" t="s">
        <v>746</v>
      </c>
      <c r="D16" s="1229" t="s">
        <v>25</v>
      </c>
      <c r="E16" s="1230">
        <v>22.2</v>
      </c>
      <c r="F16" s="1231">
        <v>0</v>
      </c>
      <c r="G16" s="1232">
        <f>(F16/E16)</f>
        <v>0</v>
      </c>
      <c r="H16" s="1233"/>
      <c r="I16" s="1234"/>
    </row>
    <row r="17" spans="2:13">
      <c r="B17" s="1207"/>
      <c r="C17" s="1236" t="s">
        <v>78</v>
      </c>
      <c r="D17" s="1222"/>
      <c r="E17" s="1211"/>
      <c r="F17" s="1211"/>
      <c r="G17" s="1232"/>
      <c r="H17" s="1237"/>
      <c r="I17" s="1234"/>
    </row>
    <row r="18" spans="2:13">
      <c r="B18" s="1207"/>
      <c r="C18" s="1238" t="s">
        <v>193</v>
      </c>
      <c r="D18" s="1239" t="s">
        <v>14</v>
      </c>
      <c r="E18" s="1211">
        <v>55661000</v>
      </c>
      <c r="F18" s="1231">
        <v>0</v>
      </c>
      <c r="G18" s="1232">
        <f>(F18/E18)</f>
        <v>0</v>
      </c>
      <c r="H18" s="1240"/>
      <c r="I18" s="1206"/>
    </row>
    <row r="19" spans="2:13">
      <c r="B19" s="1207"/>
      <c r="C19" s="1241" t="s">
        <v>64</v>
      </c>
      <c r="D19" s="1242" t="s">
        <v>14</v>
      </c>
      <c r="E19" s="1243">
        <v>2827000</v>
      </c>
      <c r="F19" s="1231">
        <v>0</v>
      </c>
      <c r="G19" s="1232">
        <f>(F19/E19)</f>
        <v>0</v>
      </c>
      <c r="H19" s="1244"/>
      <c r="I19" s="1206"/>
    </row>
    <row r="20" spans="2:13" ht="8.25" customHeight="1">
      <c r="B20" s="1207"/>
      <c r="C20" s="1245"/>
      <c r="D20" s="1246"/>
      <c r="E20" s="1210"/>
      <c r="F20" s="1247"/>
      <c r="G20" s="1248"/>
      <c r="H20" s="1240"/>
      <c r="I20" s="1206"/>
    </row>
    <row r="21" spans="2:13" s="1249" customFormat="1" ht="14.25" customHeight="1">
      <c r="B21" s="1207"/>
      <c r="C21" s="1208" t="s">
        <v>747</v>
      </c>
      <c r="D21" s="1246"/>
      <c r="E21" s="1210"/>
      <c r="F21" s="1211"/>
      <c r="G21" s="1223"/>
      <c r="H21" s="1240"/>
      <c r="I21" s="1206"/>
    </row>
    <row r="22" spans="2:13" s="1249" customFormat="1" ht="14.25" customHeight="1">
      <c r="B22" s="1207"/>
      <c r="C22" s="1250" t="s">
        <v>353</v>
      </c>
      <c r="D22" s="1246" t="s">
        <v>14</v>
      </c>
      <c r="E22" s="1210">
        <f>E25+E38+E43</f>
        <v>27109000</v>
      </c>
      <c r="F22" s="1231">
        <v>0</v>
      </c>
      <c r="G22" s="1232">
        <f>(F22/E22)</f>
        <v>0</v>
      </c>
      <c r="H22" s="1240"/>
      <c r="I22" s="1206"/>
    </row>
    <row r="23" spans="2:13" s="1249" customFormat="1" ht="20.25" customHeight="1">
      <c r="B23" s="1207"/>
      <c r="C23" s="1250" t="s">
        <v>748</v>
      </c>
      <c r="D23" s="1246" t="s">
        <v>14</v>
      </c>
      <c r="E23" s="1210">
        <f>E25+E38+E43</f>
        <v>27109000</v>
      </c>
      <c r="F23" s="1231">
        <v>0</v>
      </c>
      <c r="G23" s="1232">
        <f>(F23/E23)</f>
        <v>0</v>
      </c>
      <c r="H23" s="1240"/>
      <c r="I23" s="1206"/>
    </row>
    <row r="24" spans="2:13">
      <c r="B24" s="1207"/>
      <c r="C24" s="1251" t="s">
        <v>749</v>
      </c>
      <c r="D24" s="1252"/>
      <c r="E24" s="1253"/>
      <c r="F24" s="1247"/>
      <c r="G24" s="1248"/>
      <c r="H24" s="1254"/>
      <c r="I24" s="1206"/>
    </row>
    <row r="25" spans="2:13">
      <c r="B25" s="1207"/>
      <c r="C25" s="1238" t="s">
        <v>75</v>
      </c>
      <c r="D25" s="1239" t="s">
        <v>14</v>
      </c>
      <c r="E25" s="1211">
        <f>E26+E27</f>
        <v>7883000</v>
      </c>
      <c r="F25" s="1231">
        <v>0</v>
      </c>
      <c r="G25" s="1232">
        <f>(F25/E25)</f>
        <v>0</v>
      </c>
      <c r="H25" s="1255"/>
      <c r="I25" s="1206"/>
      <c r="J25" s="1235"/>
    </row>
    <row r="26" spans="2:13">
      <c r="B26" s="1207"/>
      <c r="C26" s="1256" t="s">
        <v>63</v>
      </c>
      <c r="D26" s="1257" t="s">
        <v>14</v>
      </c>
      <c r="E26" s="1217">
        <v>6464000</v>
      </c>
      <c r="F26" s="1217">
        <v>0</v>
      </c>
      <c r="G26" s="1218">
        <f>(F26/E26)</f>
        <v>0</v>
      </c>
      <c r="H26" s="1258"/>
      <c r="I26" s="1206"/>
      <c r="J26" s="1235"/>
      <c r="M26" s="1259"/>
    </row>
    <row r="27" spans="2:13">
      <c r="B27" s="1207"/>
      <c r="C27" s="1241" t="s">
        <v>62</v>
      </c>
      <c r="D27" s="1242" t="s">
        <v>14</v>
      </c>
      <c r="E27" s="1243">
        <v>1419000</v>
      </c>
      <c r="F27" s="1231">
        <v>0</v>
      </c>
      <c r="G27" s="1232">
        <f>(F27/E27)</f>
        <v>0</v>
      </c>
      <c r="H27" s="1260"/>
      <c r="I27" s="1206"/>
      <c r="J27" s="1235"/>
      <c r="M27" s="1259"/>
    </row>
    <row r="28" spans="2:13">
      <c r="B28" s="1207"/>
      <c r="C28" s="1251" t="s">
        <v>750</v>
      </c>
      <c r="D28" s="1261"/>
      <c r="E28" s="1253"/>
      <c r="F28" s="1247"/>
      <c r="G28" s="1248"/>
      <c r="H28" s="1240"/>
      <c r="I28" s="1206"/>
      <c r="M28" s="1259"/>
    </row>
    <row r="29" spans="2:13">
      <c r="B29" s="1207"/>
      <c r="C29" s="1221" t="s">
        <v>75</v>
      </c>
      <c r="D29" s="1222" t="s">
        <v>14</v>
      </c>
      <c r="E29" s="1210">
        <v>0</v>
      </c>
      <c r="F29" s="1211">
        <v>0</v>
      </c>
      <c r="G29" s="1223">
        <v>0</v>
      </c>
      <c r="H29" s="1240"/>
      <c r="I29" s="1206"/>
      <c r="J29" s="1235"/>
    </row>
    <row r="30" spans="2:13">
      <c r="B30" s="1207"/>
      <c r="C30" s="1215" t="s">
        <v>751</v>
      </c>
      <c r="D30" s="1216" t="s">
        <v>14</v>
      </c>
      <c r="E30" s="1217">
        <v>0</v>
      </c>
      <c r="F30" s="1217">
        <v>0</v>
      </c>
      <c r="G30" s="1217">
        <v>0</v>
      </c>
      <c r="H30" s="1226"/>
      <c r="I30" s="1206"/>
      <c r="J30" s="1235"/>
    </row>
    <row r="31" spans="2:13">
      <c r="B31" s="1207"/>
      <c r="C31" s="1245" t="s">
        <v>62</v>
      </c>
      <c r="D31" s="1262" t="s">
        <v>14</v>
      </c>
      <c r="E31" s="1210">
        <v>0</v>
      </c>
      <c r="F31" s="1211">
        <v>0</v>
      </c>
      <c r="G31" s="1263">
        <v>0</v>
      </c>
      <c r="H31" s="1240"/>
      <c r="I31" s="1206"/>
      <c r="J31" s="1235"/>
    </row>
    <row r="32" spans="2:13">
      <c r="B32" s="1264"/>
      <c r="C32" s="1251" t="s">
        <v>752</v>
      </c>
      <c r="D32" s="1252"/>
      <c r="E32" s="1253"/>
      <c r="F32" s="1247"/>
      <c r="G32" s="1248"/>
      <c r="H32" s="1265"/>
      <c r="I32" s="1206"/>
    </row>
    <row r="33" spans="2:13" hidden="1">
      <c r="B33" s="1264"/>
      <c r="C33" s="1266" t="s">
        <v>192</v>
      </c>
      <c r="D33" s="1209" t="s">
        <v>14</v>
      </c>
      <c r="E33" s="1210">
        <v>1812101.9108280253</v>
      </c>
      <c r="F33" s="1211"/>
      <c r="G33" s="1267">
        <f t="shared" ref="G33:G68" si="0">(F33/E33)*100</f>
        <v>0</v>
      </c>
      <c r="H33" s="1240"/>
      <c r="I33" s="1206"/>
      <c r="M33" s="1213"/>
    </row>
    <row r="34" spans="2:13">
      <c r="B34" s="1264"/>
      <c r="C34" s="1221" t="s">
        <v>75</v>
      </c>
      <c r="D34" s="1222" t="s">
        <v>14</v>
      </c>
      <c r="E34" s="1211">
        <f>E35+E36</f>
        <v>933000</v>
      </c>
      <c r="F34" s="1211">
        <f>F35+F36</f>
        <v>0</v>
      </c>
      <c r="G34" s="1223">
        <f t="shared" si="0"/>
        <v>0</v>
      </c>
      <c r="H34" s="1240"/>
      <c r="I34" s="1206"/>
      <c r="J34" s="1235"/>
    </row>
    <row r="35" spans="2:13">
      <c r="B35" s="1264"/>
      <c r="C35" s="1215" t="s">
        <v>751</v>
      </c>
      <c r="D35" s="1216" t="s">
        <v>14</v>
      </c>
      <c r="E35" s="1217">
        <v>700000</v>
      </c>
      <c r="F35" s="1217">
        <v>0</v>
      </c>
      <c r="G35" s="1267">
        <f t="shared" si="0"/>
        <v>0</v>
      </c>
      <c r="H35" s="1226"/>
      <c r="I35" s="1206"/>
      <c r="J35" s="1235"/>
    </row>
    <row r="36" spans="2:13">
      <c r="B36" s="1264"/>
      <c r="C36" s="1245" t="s">
        <v>62</v>
      </c>
      <c r="D36" s="1209" t="s">
        <v>14</v>
      </c>
      <c r="E36" s="1210">
        <v>233000</v>
      </c>
      <c r="F36" s="1211">
        <v>0</v>
      </c>
      <c r="G36" s="1263">
        <f t="shared" si="0"/>
        <v>0</v>
      </c>
      <c r="H36" s="1240"/>
      <c r="I36" s="1206"/>
      <c r="J36" s="1235"/>
    </row>
    <row r="37" spans="2:13">
      <c r="B37" s="1207"/>
      <c r="C37" s="1251" t="s">
        <v>753</v>
      </c>
      <c r="D37" s="1252"/>
      <c r="E37" s="1253"/>
      <c r="F37" s="1247"/>
      <c r="G37" s="1248"/>
      <c r="H37" s="1265"/>
      <c r="I37" s="1206"/>
    </row>
    <row r="38" spans="2:13">
      <c r="B38" s="1207"/>
      <c r="C38" s="1238" t="s">
        <v>75</v>
      </c>
      <c r="D38" s="1239" t="s">
        <v>14</v>
      </c>
      <c r="E38" s="1211">
        <f>E39+E40</f>
        <v>17143000</v>
      </c>
      <c r="F38" s="1211">
        <v>0</v>
      </c>
      <c r="G38" s="1223">
        <f t="shared" si="0"/>
        <v>0</v>
      </c>
      <c r="H38" s="1240"/>
      <c r="I38" s="1206"/>
      <c r="J38" s="1235"/>
    </row>
    <row r="39" spans="2:13">
      <c r="B39" s="1207"/>
      <c r="C39" s="1256" t="s">
        <v>331</v>
      </c>
      <c r="D39" s="1257" t="s">
        <v>14</v>
      </c>
      <c r="E39" s="1217">
        <v>12000000</v>
      </c>
      <c r="F39" s="1217">
        <v>0</v>
      </c>
      <c r="G39" s="1267">
        <f t="shared" si="0"/>
        <v>0</v>
      </c>
      <c r="H39" s="1226"/>
      <c r="I39" s="1206"/>
      <c r="J39" s="1235"/>
    </row>
    <row r="40" spans="2:13">
      <c r="B40" s="1207"/>
      <c r="C40" s="1245" t="s">
        <v>62</v>
      </c>
      <c r="D40" s="1246" t="s">
        <v>14</v>
      </c>
      <c r="E40" s="1210">
        <v>5143000</v>
      </c>
      <c r="F40" s="1211">
        <v>0</v>
      </c>
      <c r="G40" s="1263">
        <f t="shared" si="0"/>
        <v>0</v>
      </c>
      <c r="H40" s="1240"/>
      <c r="I40" s="1206"/>
      <c r="J40" s="1235"/>
    </row>
    <row r="41" spans="2:13">
      <c r="B41" s="1264"/>
      <c r="C41" s="1251" t="s">
        <v>754</v>
      </c>
      <c r="D41" s="1252"/>
      <c r="E41" s="1253"/>
      <c r="F41" s="1247"/>
      <c r="G41" s="1248"/>
      <c r="H41" s="1265"/>
      <c r="I41" s="1206"/>
    </row>
    <row r="42" spans="2:13" hidden="1">
      <c r="B42" s="1264"/>
      <c r="C42" s="1266" t="s">
        <v>192</v>
      </c>
      <c r="D42" s="1268"/>
      <c r="E42" s="1210">
        <v>2234607.2186836516</v>
      </c>
      <c r="F42" s="1211">
        <v>0</v>
      </c>
      <c r="G42" s="1223">
        <f t="shared" si="0"/>
        <v>0</v>
      </c>
      <c r="H42" s="1240"/>
      <c r="I42" s="1206"/>
    </row>
    <row r="43" spans="2:13">
      <c r="B43" s="1264"/>
      <c r="C43" s="1221" t="s">
        <v>75</v>
      </c>
      <c r="D43" s="1222" t="s">
        <v>14</v>
      </c>
      <c r="E43" s="1211">
        <f>E44+E45</f>
        <v>2083000</v>
      </c>
      <c r="F43" s="1211">
        <v>0</v>
      </c>
      <c r="G43" s="1223">
        <f t="shared" si="0"/>
        <v>0</v>
      </c>
      <c r="H43" s="1240"/>
      <c r="I43" s="1206"/>
      <c r="J43" s="1235"/>
    </row>
    <row r="44" spans="2:13">
      <c r="B44" s="1264"/>
      <c r="C44" s="1215" t="s">
        <v>755</v>
      </c>
      <c r="D44" s="1216" t="s">
        <v>14</v>
      </c>
      <c r="E44" s="1217">
        <v>1250000</v>
      </c>
      <c r="F44" s="1217">
        <v>0</v>
      </c>
      <c r="G44" s="1267">
        <f t="shared" si="0"/>
        <v>0</v>
      </c>
      <c r="H44" s="1226"/>
      <c r="I44" s="1206"/>
      <c r="J44" s="1235"/>
    </row>
    <row r="45" spans="2:13">
      <c r="B45" s="1264"/>
      <c r="C45" s="1269" t="s">
        <v>60</v>
      </c>
      <c r="D45" s="1262" t="s">
        <v>14</v>
      </c>
      <c r="E45" s="1243">
        <v>833000</v>
      </c>
      <c r="F45" s="1211">
        <v>0</v>
      </c>
      <c r="G45" s="1263">
        <f t="shared" si="0"/>
        <v>0</v>
      </c>
      <c r="H45" s="1240"/>
      <c r="I45" s="1206"/>
      <c r="J45" s="1235"/>
    </row>
    <row r="46" spans="2:13">
      <c r="B46" s="1270" t="s">
        <v>756</v>
      </c>
      <c r="C46" s="1271" t="s">
        <v>757</v>
      </c>
      <c r="D46" s="1204"/>
      <c r="E46" s="1205"/>
      <c r="F46" s="1205"/>
      <c r="G46" s="1272"/>
      <c r="H46" s="1273"/>
      <c r="I46" s="1206"/>
    </row>
    <row r="47" spans="2:13">
      <c r="B47" s="1274"/>
      <c r="C47" s="1238" t="s">
        <v>65</v>
      </c>
      <c r="D47" s="1239" t="s">
        <v>1080</v>
      </c>
      <c r="E47" s="1231">
        <v>94.77</v>
      </c>
      <c r="F47" s="275">
        <v>0</v>
      </c>
      <c r="G47" s="1223">
        <f t="shared" si="0"/>
        <v>0</v>
      </c>
      <c r="H47" s="1240"/>
      <c r="I47" s="1234"/>
    </row>
    <row r="48" spans="2:13">
      <c r="B48" s="1274"/>
      <c r="C48" s="1238" t="s">
        <v>64</v>
      </c>
      <c r="D48" s="1239" t="s">
        <v>25</v>
      </c>
      <c r="E48" s="1231">
        <v>4.5</v>
      </c>
      <c r="F48" s="275">
        <v>0</v>
      </c>
      <c r="G48" s="1263">
        <f t="shared" si="0"/>
        <v>0</v>
      </c>
      <c r="H48" s="1240"/>
      <c r="I48" s="1234"/>
    </row>
    <row r="49" spans="2:9">
      <c r="B49" s="1274"/>
      <c r="C49" s="1275" t="s">
        <v>63</v>
      </c>
      <c r="D49" s="1276" t="s">
        <v>25</v>
      </c>
      <c r="E49" s="1277">
        <v>82</v>
      </c>
      <c r="F49" s="1278">
        <v>0</v>
      </c>
      <c r="G49" s="1248">
        <f t="shared" si="0"/>
        <v>0</v>
      </c>
      <c r="H49" s="1254"/>
      <c r="I49" s="1234"/>
    </row>
    <row r="50" spans="2:9">
      <c r="B50" s="1274"/>
      <c r="C50" s="1238" t="s">
        <v>62</v>
      </c>
      <c r="D50" s="1239" t="s">
        <v>25</v>
      </c>
      <c r="E50" s="1231">
        <v>18</v>
      </c>
      <c r="F50" s="1279">
        <v>0</v>
      </c>
      <c r="G50" s="1263">
        <f>(F50/E50)*100</f>
        <v>0</v>
      </c>
      <c r="H50" s="1240"/>
      <c r="I50" s="1234"/>
    </row>
    <row r="51" spans="2:9">
      <c r="B51" s="1274"/>
      <c r="C51" s="1280" t="s">
        <v>106</v>
      </c>
      <c r="D51" s="1276" t="s">
        <v>25</v>
      </c>
      <c r="E51" s="1277">
        <v>75</v>
      </c>
      <c r="F51" s="1281">
        <v>0</v>
      </c>
      <c r="G51" s="1248">
        <f t="shared" si="0"/>
        <v>0</v>
      </c>
      <c r="H51" s="1282"/>
      <c r="I51" s="1234"/>
    </row>
    <row r="52" spans="2:9">
      <c r="B52" s="1274"/>
      <c r="C52" s="1238" t="s">
        <v>62</v>
      </c>
      <c r="D52" s="1239" t="s">
        <v>25</v>
      </c>
      <c r="E52" s="1231">
        <v>25</v>
      </c>
      <c r="F52" s="1283">
        <v>0</v>
      </c>
      <c r="G52" s="1263">
        <f t="shared" si="0"/>
        <v>0</v>
      </c>
      <c r="H52" s="1284"/>
      <c r="I52" s="1234"/>
    </row>
    <row r="53" spans="2:9">
      <c r="B53" s="1274"/>
      <c r="C53" s="1280" t="s">
        <v>108</v>
      </c>
      <c r="D53" s="1276" t="s">
        <v>25</v>
      </c>
      <c r="E53" s="1277">
        <v>75</v>
      </c>
      <c r="F53" s="1278">
        <v>0</v>
      </c>
      <c r="G53" s="1248">
        <f t="shared" si="0"/>
        <v>0</v>
      </c>
      <c r="H53" s="1285"/>
      <c r="I53" s="1234"/>
    </row>
    <row r="54" spans="2:9">
      <c r="B54" s="1274"/>
      <c r="C54" s="1238" t="s">
        <v>62</v>
      </c>
      <c r="D54" s="1239" t="s">
        <v>25</v>
      </c>
      <c r="E54" s="1231">
        <v>25</v>
      </c>
      <c r="F54" s="1279">
        <v>0</v>
      </c>
      <c r="G54" s="1263">
        <f t="shared" si="0"/>
        <v>0</v>
      </c>
      <c r="H54" s="1284"/>
      <c r="I54" s="1234"/>
    </row>
    <row r="55" spans="2:9">
      <c r="B55" s="1274"/>
      <c r="C55" s="1280" t="s">
        <v>331</v>
      </c>
      <c r="D55" s="1276" t="s">
        <v>25</v>
      </c>
      <c r="E55" s="1277">
        <v>70</v>
      </c>
      <c r="F55" s="1278">
        <v>0</v>
      </c>
      <c r="G55" s="1248">
        <f t="shared" si="0"/>
        <v>0</v>
      </c>
      <c r="H55" s="1240"/>
      <c r="I55" s="1234"/>
    </row>
    <row r="56" spans="2:9">
      <c r="B56" s="1274"/>
      <c r="C56" s="1238" t="s">
        <v>62</v>
      </c>
      <c r="D56" s="1239" t="s">
        <v>25</v>
      </c>
      <c r="E56" s="1231">
        <v>30</v>
      </c>
      <c r="F56" s="1279">
        <v>0</v>
      </c>
      <c r="G56" s="1263">
        <f t="shared" si="0"/>
        <v>0</v>
      </c>
      <c r="H56" s="2008"/>
      <c r="I56" s="1234"/>
    </row>
    <row r="57" spans="2:9">
      <c r="B57" s="1274"/>
      <c r="C57" s="1275" t="s">
        <v>61</v>
      </c>
      <c r="D57" s="1276" t="s">
        <v>25</v>
      </c>
      <c r="E57" s="1277">
        <v>60</v>
      </c>
      <c r="F57" s="1278">
        <v>0</v>
      </c>
      <c r="G57" s="1248">
        <f t="shared" si="0"/>
        <v>0</v>
      </c>
      <c r="H57" s="1240"/>
      <c r="I57" s="1234"/>
    </row>
    <row r="58" spans="2:9">
      <c r="B58" s="1274"/>
      <c r="C58" s="1286" t="s">
        <v>60</v>
      </c>
      <c r="D58" s="1287" t="s">
        <v>25</v>
      </c>
      <c r="E58" s="1283">
        <v>40</v>
      </c>
      <c r="F58" s="1279">
        <v>0</v>
      </c>
      <c r="G58" s="1263">
        <f t="shared" si="0"/>
        <v>0</v>
      </c>
      <c r="H58" s="1240"/>
      <c r="I58" s="1234"/>
    </row>
    <row r="59" spans="2:9">
      <c r="B59" s="1202" t="s">
        <v>758</v>
      </c>
      <c r="C59" s="1203" t="s">
        <v>59</v>
      </c>
      <c r="D59" s="1204"/>
      <c r="E59" s="1205"/>
      <c r="F59" s="1205"/>
      <c r="G59" s="1272"/>
      <c r="H59" s="1273"/>
      <c r="I59" s="1206"/>
    </row>
    <row r="60" spans="2:9">
      <c r="B60" s="1288"/>
      <c r="C60" s="1289" t="s">
        <v>759</v>
      </c>
      <c r="D60" s="1209" t="s">
        <v>14</v>
      </c>
      <c r="E60" s="1210">
        <v>1300309</v>
      </c>
      <c r="F60" s="1211">
        <v>0</v>
      </c>
      <c r="G60" s="1223">
        <f>(F60/E60)*100</f>
        <v>0</v>
      </c>
      <c r="H60" s="1240"/>
      <c r="I60" s="1206"/>
    </row>
    <row r="61" spans="2:9">
      <c r="B61" s="1288"/>
      <c r="C61" s="1221"/>
      <c r="D61" s="1239" t="s">
        <v>325</v>
      </c>
      <c r="E61" s="1290">
        <v>9</v>
      </c>
      <c r="F61" s="1290">
        <v>0</v>
      </c>
      <c r="G61" s="1267">
        <f t="shared" si="0"/>
        <v>0</v>
      </c>
      <c r="H61" s="1219"/>
      <c r="I61" s="1234"/>
    </row>
    <row r="62" spans="2:9">
      <c r="B62" s="1288"/>
      <c r="C62" s="1289" t="s">
        <v>760</v>
      </c>
      <c r="D62" s="1209" t="s">
        <v>14</v>
      </c>
      <c r="E62" s="1210">
        <v>106326</v>
      </c>
      <c r="F62" s="1211">
        <v>0</v>
      </c>
      <c r="G62" s="1223">
        <f t="shared" si="0"/>
        <v>0</v>
      </c>
      <c r="H62" s="1285"/>
      <c r="I62" s="1206"/>
    </row>
    <row r="63" spans="2:9">
      <c r="B63" s="1288"/>
      <c r="C63" s="1221"/>
      <c r="D63" s="1239" t="s">
        <v>325</v>
      </c>
      <c r="E63" s="1290">
        <v>18</v>
      </c>
      <c r="F63" s="1290">
        <v>0</v>
      </c>
      <c r="G63" s="1267">
        <f t="shared" si="0"/>
        <v>0</v>
      </c>
      <c r="H63" s="1291"/>
      <c r="I63" s="1234"/>
    </row>
    <row r="64" spans="2:9">
      <c r="B64" s="1288"/>
      <c r="C64" s="1238" t="s">
        <v>761</v>
      </c>
      <c r="D64" s="1239" t="s">
        <v>14</v>
      </c>
      <c r="E64" s="1211">
        <v>489915</v>
      </c>
      <c r="F64" s="1211">
        <v>0</v>
      </c>
      <c r="G64" s="1223">
        <f t="shared" si="0"/>
        <v>0</v>
      </c>
      <c r="H64" s="1285"/>
      <c r="I64" s="1206"/>
    </row>
    <row r="65" spans="1:9">
      <c r="B65" s="1288"/>
      <c r="C65" s="1289"/>
      <c r="D65" s="1246" t="s">
        <v>325</v>
      </c>
      <c r="E65" s="1292">
        <v>0.6</v>
      </c>
      <c r="F65" s="1292">
        <v>0</v>
      </c>
      <c r="G65" s="1293">
        <f t="shared" si="0"/>
        <v>0</v>
      </c>
      <c r="H65" s="1219"/>
      <c r="I65" s="1234"/>
    </row>
    <row r="66" spans="1:9">
      <c r="B66" s="1202" t="s">
        <v>762</v>
      </c>
      <c r="C66" s="1271" t="s">
        <v>168</v>
      </c>
      <c r="D66" s="1204"/>
      <c r="E66" s="1205"/>
      <c r="F66" s="1205"/>
      <c r="G66" s="1272"/>
      <c r="H66" s="1273"/>
      <c r="I66" s="1206"/>
    </row>
    <row r="67" spans="1:9">
      <c r="B67" s="1294"/>
      <c r="C67" s="1238" t="s">
        <v>763</v>
      </c>
      <c r="D67" s="1239" t="s">
        <v>25</v>
      </c>
      <c r="E67" s="1295">
        <v>-0.8</v>
      </c>
      <c r="F67" s="1292">
        <v>0</v>
      </c>
      <c r="G67" s="1267">
        <f t="shared" si="0"/>
        <v>0</v>
      </c>
      <c r="H67" s="1226"/>
      <c r="I67" s="1234"/>
    </row>
    <row r="68" spans="1:9">
      <c r="B68" s="1294"/>
      <c r="C68" s="1238" t="s">
        <v>54</v>
      </c>
      <c r="D68" s="1239" t="s">
        <v>25</v>
      </c>
      <c r="E68" s="1231">
        <v>22</v>
      </c>
      <c r="F68" s="1231">
        <v>0</v>
      </c>
      <c r="G68" s="1223">
        <f t="shared" si="0"/>
        <v>0</v>
      </c>
      <c r="H68" s="1233"/>
      <c r="I68" s="1234"/>
    </row>
    <row r="69" spans="1:9" ht="15" thickBot="1">
      <c r="B69" s="1296"/>
      <c r="C69" s="1297" t="s">
        <v>53</v>
      </c>
      <c r="D69" s="1298" t="s">
        <v>14</v>
      </c>
      <c r="E69" s="1299">
        <v>413199.35999999999</v>
      </c>
      <c r="F69" s="1299">
        <v>0</v>
      </c>
      <c r="G69" s="1300">
        <f>(F69/E69)*100</f>
        <v>0</v>
      </c>
      <c r="H69" s="1301"/>
      <c r="I69" s="1234"/>
    </row>
    <row r="70" spans="1:9">
      <c r="B70" s="1191" t="s">
        <v>764</v>
      </c>
      <c r="C70" s="1302"/>
      <c r="D70" s="1303"/>
      <c r="E70" s="1234"/>
      <c r="F70" s="1234"/>
      <c r="G70" s="1234"/>
      <c r="H70" s="1304"/>
      <c r="I70" s="1234"/>
    </row>
    <row r="71" spans="1:9">
      <c r="B71" s="2166" t="s">
        <v>1083</v>
      </c>
      <c r="C71" s="2166"/>
      <c r="D71" s="2166"/>
      <c r="E71" s="2166"/>
      <c r="F71" s="2166"/>
      <c r="G71" s="2166"/>
      <c r="H71" s="2166"/>
      <c r="I71" s="1305"/>
    </row>
    <row r="72" spans="1:9">
      <c r="B72" s="2167"/>
      <c r="C72" s="2167"/>
      <c r="D72" s="2167"/>
      <c r="E72" s="2167"/>
      <c r="F72" s="2167"/>
      <c r="G72" s="2167"/>
      <c r="H72" s="2167"/>
      <c r="I72" s="1305"/>
    </row>
    <row r="73" spans="1:9">
      <c r="B73" s="2167"/>
      <c r="C73" s="2167"/>
      <c r="D73" s="2167"/>
      <c r="E73" s="2167"/>
      <c r="F73" s="2167"/>
      <c r="G73" s="2167"/>
      <c r="H73" s="2167"/>
      <c r="I73" s="1305"/>
    </row>
    <row r="74" spans="1:9">
      <c r="B74" s="2166"/>
      <c r="C74" s="2166"/>
      <c r="D74" s="2166"/>
      <c r="E74" s="2166"/>
      <c r="F74" s="2166"/>
      <c r="G74" s="2166"/>
      <c r="H74" s="2166"/>
      <c r="I74" s="1305"/>
    </row>
    <row r="75" spans="1:9">
      <c r="B75" s="2166"/>
      <c r="C75" s="2166"/>
      <c r="D75" s="2166"/>
      <c r="E75" s="2166"/>
      <c r="F75" s="2166"/>
      <c r="G75" s="2166"/>
      <c r="H75" s="2166"/>
      <c r="I75" s="1305"/>
    </row>
    <row r="76" spans="1:9">
      <c r="B76" s="1305"/>
      <c r="C76" s="1305"/>
      <c r="D76" s="1305"/>
      <c r="E76" s="1305"/>
      <c r="F76" s="1305"/>
      <c r="G76" s="1305"/>
      <c r="H76" s="1306"/>
      <c r="I76" s="1305"/>
    </row>
    <row r="77" spans="1:9" s="1308" customFormat="1">
      <c r="A77" s="2082" t="s">
        <v>765</v>
      </c>
      <c r="B77" s="2082"/>
      <c r="C77" s="2082"/>
      <c r="D77" s="2082" t="s">
        <v>766</v>
      </c>
      <c r="E77" s="2082"/>
      <c r="F77" s="2082"/>
      <c r="G77" s="1307"/>
      <c r="H77" s="1194" t="s">
        <v>767</v>
      </c>
      <c r="I77" s="1195"/>
    </row>
    <row r="78" spans="1:9">
      <c r="B78" s="1309"/>
      <c r="C78" s="1309"/>
      <c r="D78" s="1309"/>
      <c r="E78" s="1309"/>
      <c r="G78" s="1309"/>
      <c r="H78" s="1309"/>
      <c r="I78" s="1310"/>
    </row>
    <row r="79" spans="1:9">
      <c r="B79" s="1309"/>
      <c r="C79" s="1309"/>
      <c r="D79" s="1309"/>
      <c r="E79" s="1309"/>
      <c r="G79" s="1309"/>
      <c r="H79" s="1309"/>
      <c r="I79" s="1310"/>
    </row>
    <row r="80" spans="1:9">
      <c r="B80" s="1309"/>
      <c r="C80" s="1309"/>
      <c r="D80" s="1309"/>
      <c r="E80" s="1309"/>
      <c r="G80" s="1309"/>
      <c r="H80" s="1309"/>
      <c r="I80" s="1310"/>
    </row>
    <row r="81" spans="1:9">
      <c r="A81" s="2083" t="s">
        <v>1070</v>
      </c>
      <c r="B81" s="2083"/>
      <c r="C81" s="2083"/>
      <c r="D81" s="2083" t="s">
        <v>768</v>
      </c>
      <c r="E81" s="2083"/>
      <c r="F81" s="1311" t="s">
        <v>769</v>
      </c>
      <c r="G81" s="1312"/>
      <c r="H81" s="1311" t="s">
        <v>770</v>
      </c>
      <c r="I81" s="1313"/>
    </row>
    <row r="82" spans="1:9" ht="20.7" customHeight="1">
      <c r="A82" s="2084" t="s">
        <v>771</v>
      </c>
      <c r="B82" s="2084"/>
      <c r="C82" s="2084"/>
      <c r="D82" s="2084" t="s">
        <v>772</v>
      </c>
      <c r="E82" s="2084"/>
      <c r="F82" s="1309" t="s">
        <v>773</v>
      </c>
      <c r="G82" s="1314"/>
      <c r="H82" s="1309" t="s">
        <v>774</v>
      </c>
      <c r="I82" s="1310"/>
    </row>
  </sheetData>
  <mergeCells count="18">
    <mergeCell ref="B2:H2"/>
    <mergeCell ref="B3:H3"/>
    <mergeCell ref="B4:C4"/>
    <mergeCell ref="B5:B6"/>
    <mergeCell ref="C5:C6"/>
    <mergeCell ref="D5:D6"/>
    <mergeCell ref="E5:G5"/>
    <mergeCell ref="H5:H6"/>
    <mergeCell ref="A81:C81"/>
    <mergeCell ref="D81:E81"/>
    <mergeCell ref="A82:C82"/>
    <mergeCell ref="D82:E82"/>
    <mergeCell ref="B71:H71"/>
    <mergeCell ref="B72:H73"/>
    <mergeCell ref="B74:H74"/>
    <mergeCell ref="B75:H75"/>
    <mergeCell ref="A77:C77"/>
    <mergeCell ref="D77:F77"/>
  </mergeCells>
  <printOptions horizontalCentered="1" verticalCentered="1"/>
  <pageMargins left="0" right="0" top="0" bottom="0" header="0" footer="0"/>
  <pageSetup paperSize="9" scale="6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B1:O55"/>
  <sheetViews>
    <sheetView showGridLines="0" topLeftCell="A31" zoomScale="90" zoomScaleNormal="90" zoomScaleSheetLayoutView="115" workbookViewId="0">
      <selection activeCell="E52" sqref="E52"/>
    </sheetView>
  </sheetViews>
  <sheetFormatPr defaultColWidth="9" defaultRowHeight="13.8"/>
  <cols>
    <col min="1" max="2" width="9" style="1316"/>
    <col min="3" max="3" width="1.5546875" style="1316" customWidth="1"/>
    <col min="4" max="4" width="4.33203125" style="1319" customWidth="1"/>
    <col min="5" max="5" width="42.6640625" style="1316" customWidth="1"/>
    <col min="6" max="6" width="9.6640625" style="1317" customWidth="1"/>
    <col min="7" max="7" width="9" style="1316" customWidth="1"/>
    <col min="8" max="8" width="15.44140625" style="1316" customWidth="1"/>
    <col min="9" max="9" width="15.5546875" style="1316" customWidth="1"/>
    <col min="10" max="10" width="16.44140625" style="1318" customWidth="1"/>
    <col min="11" max="11" width="13.5546875" style="1318" customWidth="1"/>
    <col min="12" max="12" width="14" style="1318" customWidth="1"/>
    <col min="13" max="13" width="9" style="1316"/>
    <col min="14" max="14" width="16.44140625" style="1316" bestFit="1" customWidth="1"/>
    <col min="15" max="16384" width="9" style="1316"/>
  </cols>
  <sheetData>
    <row r="1" spans="2:14">
      <c r="D1" s="1315"/>
    </row>
    <row r="2" spans="2:14" ht="17.100000000000001" customHeight="1">
      <c r="D2" s="2179" t="s">
        <v>775</v>
      </c>
      <c r="E2" s="2179"/>
      <c r="F2" s="2179"/>
      <c r="G2" s="2179"/>
      <c r="H2" s="2179"/>
      <c r="I2" s="2179"/>
      <c r="J2" s="2180"/>
      <c r="K2" s="2179"/>
      <c r="L2" s="2179"/>
    </row>
    <row r="3" spans="2:14" ht="17.100000000000001" customHeight="1">
      <c r="D3" s="2179" t="s">
        <v>734</v>
      </c>
      <c r="E3" s="2179"/>
      <c r="F3" s="2179"/>
      <c r="G3" s="2179"/>
      <c r="H3" s="2179"/>
      <c r="I3" s="2179"/>
      <c r="J3" s="2180"/>
      <c r="K3" s="2179"/>
      <c r="L3" s="2179"/>
    </row>
    <row r="4" spans="2:14" ht="10.5" customHeight="1">
      <c r="B4" s="1318"/>
    </row>
    <row r="5" spans="2:14" ht="13.2" customHeight="1" thickBot="1">
      <c r="D5" s="2168" t="s">
        <v>1086</v>
      </c>
      <c r="E5" s="2168"/>
    </row>
    <row r="6" spans="2:14" ht="15" customHeight="1">
      <c r="D6" s="2181" t="s">
        <v>99</v>
      </c>
      <c r="E6" s="2181" t="s">
        <v>735</v>
      </c>
      <c r="F6" s="2182" t="s">
        <v>776</v>
      </c>
      <c r="G6" s="2182" t="s">
        <v>102</v>
      </c>
      <c r="H6" s="2185" t="s">
        <v>1087</v>
      </c>
      <c r="I6" s="2185"/>
      <c r="J6" s="2186"/>
      <c r="K6" s="2187" t="s">
        <v>777</v>
      </c>
      <c r="L6" s="2190" t="s">
        <v>736</v>
      </c>
    </row>
    <row r="7" spans="2:14" ht="15" customHeight="1">
      <c r="D7" s="2181"/>
      <c r="E7" s="2181"/>
      <c r="F7" s="2183"/>
      <c r="G7" s="2183"/>
      <c r="H7" s="2193" t="s">
        <v>737</v>
      </c>
      <c r="I7" s="2195" t="s">
        <v>738</v>
      </c>
      <c r="J7" s="2197" t="s">
        <v>739</v>
      </c>
      <c r="K7" s="2188"/>
      <c r="L7" s="2191"/>
    </row>
    <row r="8" spans="2:14" ht="24" customHeight="1">
      <c r="D8" s="2181"/>
      <c r="E8" s="2181"/>
      <c r="F8" s="2184"/>
      <c r="G8" s="2184"/>
      <c r="H8" s="2194"/>
      <c r="I8" s="2196"/>
      <c r="J8" s="2198"/>
      <c r="K8" s="2189"/>
      <c r="L8" s="2192"/>
    </row>
    <row r="9" spans="2:14" ht="20.25" customHeight="1">
      <c r="D9" s="1320"/>
      <c r="E9" s="1320" t="s">
        <v>778</v>
      </c>
      <c r="F9" s="1320"/>
      <c r="G9" s="1320"/>
      <c r="H9" s="1322"/>
      <c r="I9" s="1323"/>
      <c r="J9" s="1324"/>
      <c r="K9" s="1325"/>
      <c r="L9" s="1321"/>
    </row>
    <row r="10" spans="2:14">
      <c r="D10" s="1326" t="s">
        <v>740</v>
      </c>
      <c r="E10" s="1327" t="s">
        <v>24</v>
      </c>
      <c r="F10" s="1328"/>
      <c r="G10" s="1329"/>
      <c r="H10" s="1330"/>
      <c r="I10" s="1330"/>
      <c r="J10" s="1331"/>
      <c r="K10" s="1331"/>
      <c r="L10" s="1332"/>
    </row>
    <row r="11" spans="2:14">
      <c r="D11" s="1333"/>
      <c r="E11" s="1334" t="s">
        <v>779</v>
      </c>
      <c r="F11" s="1335"/>
      <c r="G11" s="1336" t="s">
        <v>19</v>
      </c>
      <c r="H11" s="1337"/>
      <c r="I11" s="1338">
        <v>0</v>
      </c>
      <c r="J11" s="1339"/>
      <c r="K11" s="1340"/>
      <c r="L11" s="1341"/>
    </row>
    <row r="12" spans="2:14" s="1351" customFormat="1">
      <c r="D12" s="1342"/>
      <c r="E12" s="1343" t="s">
        <v>780</v>
      </c>
      <c r="F12" s="1344">
        <v>1460.001</v>
      </c>
      <c r="G12" s="1345" t="s">
        <v>19</v>
      </c>
      <c r="H12" s="1346">
        <v>26051.47</v>
      </c>
      <c r="I12" s="1347">
        <v>0</v>
      </c>
      <c r="J12" s="1348">
        <f>I12/H12</f>
        <v>0</v>
      </c>
      <c r="K12" s="1349" t="e">
        <f>I12/K9</f>
        <v>#DIV/0!</v>
      </c>
      <c r="L12" s="1350"/>
      <c r="N12" s="1352"/>
    </row>
    <row r="13" spans="2:14" ht="14.4">
      <c r="D13" s="1342"/>
      <c r="E13" s="1353" t="s">
        <v>17</v>
      </c>
      <c r="F13" s="1344"/>
      <c r="G13" s="1342"/>
      <c r="H13" s="1355"/>
      <c r="I13" s="1356"/>
      <c r="J13" s="1357"/>
      <c r="K13" s="1358"/>
      <c r="L13" s="1359"/>
    </row>
    <row r="14" spans="2:14">
      <c r="D14" s="1342"/>
      <c r="E14" s="1343" t="s">
        <v>21</v>
      </c>
      <c r="F14" s="1344">
        <v>0.2</v>
      </c>
      <c r="G14" s="1345" t="s">
        <v>19</v>
      </c>
      <c r="H14" s="1355">
        <v>3907.73</v>
      </c>
      <c r="I14" s="1360">
        <v>0</v>
      </c>
      <c r="J14" s="1357">
        <f t="shared" ref="J14:J42" si="0">I14/H14</f>
        <v>0</v>
      </c>
      <c r="K14" s="1358" t="e">
        <f>I14/K9</f>
        <v>#DIV/0!</v>
      </c>
      <c r="L14" s="1359"/>
      <c r="N14" s="1361"/>
    </row>
    <row r="15" spans="2:14">
      <c r="D15" s="1342"/>
      <c r="E15" s="1343" t="s">
        <v>781</v>
      </c>
      <c r="F15" s="1344">
        <v>0.4</v>
      </c>
      <c r="G15" s="1345" t="s">
        <v>19</v>
      </c>
      <c r="H15" s="1355">
        <v>22143.74</v>
      </c>
      <c r="I15" s="1362">
        <f>I12-$I$14</f>
        <v>0</v>
      </c>
      <c r="J15" s="1357">
        <f t="shared" si="0"/>
        <v>0</v>
      </c>
      <c r="K15" s="1358" t="e">
        <f>I15/K9</f>
        <v>#DIV/0!</v>
      </c>
      <c r="L15" s="1363"/>
      <c r="N15" s="1364"/>
    </row>
    <row r="16" spans="2:14" s="1374" customFormat="1">
      <c r="D16" s="1365"/>
      <c r="E16" s="1366" t="s">
        <v>1</v>
      </c>
      <c r="F16" s="1367"/>
      <c r="G16" s="1368" t="s">
        <v>19</v>
      </c>
      <c r="H16" s="1369">
        <v>26051.47</v>
      </c>
      <c r="I16" s="1370">
        <f>$I$12</f>
        <v>0</v>
      </c>
      <c r="J16" s="1371">
        <f t="shared" si="0"/>
        <v>0</v>
      </c>
      <c r="K16" s="1372" t="e">
        <f>SUM(K14+K15)</f>
        <v>#DIV/0!</v>
      </c>
      <c r="L16" s="1373"/>
    </row>
    <row r="17" spans="4:14" s="1374" customFormat="1">
      <c r="D17" s="1375" t="s">
        <v>756</v>
      </c>
      <c r="E17" s="1376" t="s">
        <v>18</v>
      </c>
      <c r="F17" s="1377"/>
      <c r="G17" s="1375"/>
      <c r="H17" s="1378"/>
      <c r="I17" s="1378"/>
      <c r="J17" s="1379"/>
      <c r="K17" s="1380"/>
      <c r="L17" s="1381"/>
    </row>
    <row r="18" spans="4:14" s="1374" customFormat="1">
      <c r="D18" s="1382"/>
      <c r="E18" s="1383" t="s">
        <v>4</v>
      </c>
      <c r="F18" s="2012">
        <v>408000</v>
      </c>
      <c r="G18" s="1385" t="s">
        <v>14</v>
      </c>
      <c r="H18" s="1386">
        <v>11424000</v>
      </c>
      <c r="I18" s="1386">
        <v>0</v>
      </c>
      <c r="J18" s="1357">
        <f t="shared" si="0"/>
        <v>0</v>
      </c>
      <c r="K18" s="1387" t="e">
        <f t="shared" ref="K18:K23" si="1">I18/$K$9</f>
        <v>#DIV/0!</v>
      </c>
      <c r="L18" s="1388"/>
      <c r="N18" s="1352"/>
    </row>
    <row r="19" spans="4:14" s="1374" customFormat="1" ht="14.4">
      <c r="D19" s="1382"/>
      <c r="E19" s="1389" t="s">
        <v>17</v>
      </c>
      <c r="F19" s="1390"/>
      <c r="G19" s="1382"/>
      <c r="H19" s="1391"/>
      <c r="I19" s="1391"/>
      <c r="J19" s="1357"/>
      <c r="K19" s="1358" t="e">
        <f t="shared" si="1"/>
        <v>#DIV/0!</v>
      </c>
      <c r="L19" s="1388"/>
    </row>
    <row r="20" spans="4:14" s="1374" customFormat="1">
      <c r="D20" s="1382"/>
      <c r="E20" s="1383" t="s">
        <v>16</v>
      </c>
      <c r="F20" s="1384">
        <v>28</v>
      </c>
      <c r="G20" s="1385" t="s">
        <v>14</v>
      </c>
      <c r="H20" s="1386">
        <v>3420000</v>
      </c>
      <c r="I20" s="1386">
        <v>0</v>
      </c>
      <c r="J20" s="1357">
        <f>I20/H20</f>
        <v>0</v>
      </c>
      <c r="K20" s="1358" t="e">
        <f>I20/$K$9</f>
        <v>#DIV/0!</v>
      </c>
      <c r="L20" s="1341"/>
    </row>
    <row r="21" spans="4:14" s="1374" customFormat="1">
      <c r="D21" s="1382"/>
      <c r="E21" s="1383" t="s">
        <v>15</v>
      </c>
      <c r="F21" s="1384">
        <v>45</v>
      </c>
      <c r="G21" s="1385" t="s">
        <v>14</v>
      </c>
      <c r="H21" s="1386">
        <v>2318000</v>
      </c>
      <c r="I21" s="1386">
        <v>0</v>
      </c>
      <c r="J21" s="1357">
        <f>I21/H21</f>
        <v>0</v>
      </c>
      <c r="K21" s="1358" t="e">
        <f>I21/$K$9</f>
        <v>#DIV/0!</v>
      </c>
      <c r="L21" s="1341"/>
    </row>
    <row r="22" spans="4:14" s="1374" customFormat="1">
      <c r="D22" s="1382"/>
      <c r="E22" s="1383" t="s">
        <v>7</v>
      </c>
      <c r="F22" s="1392">
        <v>106000</v>
      </c>
      <c r="G22" s="1385" t="s">
        <v>14</v>
      </c>
      <c r="H22" s="1393">
        <v>5686000</v>
      </c>
      <c r="I22" s="1337">
        <v>0</v>
      </c>
      <c r="J22" s="1357">
        <f>I22/H22</f>
        <v>0</v>
      </c>
      <c r="K22" s="1358" t="e">
        <f t="shared" si="1"/>
        <v>#DIV/0!</v>
      </c>
      <c r="L22" s="1341"/>
    </row>
    <row r="23" spans="4:14" s="1374" customFormat="1">
      <c r="D23" s="1333"/>
      <c r="E23" s="1394" t="s">
        <v>1</v>
      </c>
      <c r="F23" s="1395"/>
      <c r="G23" s="1396" t="s">
        <v>14</v>
      </c>
      <c r="H23" s="1397">
        <v>11424000</v>
      </c>
      <c r="I23" s="1397">
        <f>SUM(I20:I22)</f>
        <v>0</v>
      </c>
      <c r="J23" s="1371">
        <f t="shared" si="0"/>
        <v>0</v>
      </c>
      <c r="K23" s="1387" t="e">
        <f t="shared" si="1"/>
        <v>#DIV/0!</v>
      </c>
      <c r="L23" s="1388"/>
    </row>
    <row r="24" spans="4:14">
      <c r="D24" s="1326" t="s">
        <v>758</v>
      </c>
      <c r="E24" s="1327" t="s">
        <v>13</v>
      </c>
      <c r="F24" s="1328"/>
      <c r="G24" s="1329"/>
      <c r="H24" s="1330"/>
      <c r="I24" s="1330"/>
      <c r="J24" s="1379"/>
      <c r="K24" s="1398"/>
      <c r="L24" s="1399"/>
    </row>
    <row r="25" spans="4:14">
      <c r="D25" s="1342"/>
      <c r="E25" s="1334" t="s">
        <v>782</v>
      </c>
      <c r="F25" s="1335"/>
      <c r="G25" s="1336" t="s">
        <v>124</v>
      </c>
      <c r="H25" s="1400">
        <v>19123.689999999999</v>
      </c>
      <c r="I25" s="1401">
        <v>0</v>
      </c>
      <c r="J25" s="1348">
        <f t="shared" si="0"/>
        <v>0</v>
      </c>
      <c r="K25" s="1349" t="e">
        <f t="shared" ref="K25:K32" si="2">I25/$K$9</f>
        <v>#DIV/0!</v>
      </c>
      <c r="L25" s="1402"/>
      <c r="N25" s="1352"/>
    </row>
    <row r="26" spans="4:14">
      <c r="D26" s="1342"/>
      <c r="E26" s="1334" t="s">
        <v>783</v>
      </c>
      <c r="F26" s="1335"/>
      <c r="G26" s="1336"/>
      <c r="H26" s="1403"/>
      <c r="I26" s="1404">
        <v>0</v>
      </c>
      <c r="J26" s="1357"/>
      <c r="K26" s="1404" t="e">
        <f t="shared" si="2"/>
        <v>#DIV/0!</v>
      </c>
      <c r="L26" s="1405"/>
      <c r="N26" s="1352"/>
    </row>
    <row r="27" spans="4:14">
      <c r="D27" s="1342"/>
      <c r="E27" s="1334" t="s">
        <v>784</v>
      </c>
      <c r="F27" s="1335"/>
      <c r="G27" s="1336"/>
      <c r="H27" s="1403"/>
      <c r="I27" s="1404">
        <v>0</v>
      </c>
      <c r="J27" s="1357"/>
      <c r="K27" s="1404" t="e">
        <f t="shared" si="2"/>
        <v>#DIV/0!</v>
      </c>
      <c r="L27" s="1405"/>
      <c r="N27" s="1352"/>
    </row>
    <row r="28" spans="4:14" ht="14.4">
      <c r="D28" s="1342"/>
      <c r="E28" s="1353" t="s">
        <v>785</v>
      </c>
      <c r="F28" s="1354"/>
      <c r="G28" s="1342"/>
      <c r="H28" s="1356"/>
      <c r="I28" s="1356"/>
      <c r="J28" s="1357"/>
      <c r="K28" s="1404" t="e">
        <f t="shared" si="2"/>
        <v>#DIV/0!</v>
      </c>
      <c r="L28" s="1406"/>
    </row>
    <row r="29" spans="4:14">
      <c r="D29" s="1342"/>
      <c r="E29" s="1343" t="s">
        <v>10</v>
      </c>
      <c r="F29" s="1344">
        <v>0.4</v>
      </c>
      <c r="G29" s="1345" t="s">
        <v>124</v>
      </c>
      <c r="H29" s="1356">
        <v>1521.33</v>
      </c>
      <c r="I29" s="1356">
        <v>0</v>
      </c>
      <c r="J29" s="1357">
        <f t="shared" si="0"/>
        <v>0</v>
      </c>
      <c r="K29" s="1404" t="e">
        <f t="shared" si="2"/>
        <v>#DIV/0!</v>
      </c>
      <c r="L29" s="1406"/>
    </row>
    <row r="30" spans="4:14">
      <c r="D30" s="1342"/>
      <c r="E30" s="1343" t="s">
        <v>9</v>
      </c>
      <c r="F30" s="1344">
        <v>0.13</v>
      </c>
      <c r="G30" s="1345" t="s">
        <v>124</v>
      </c>
      <c r="H30" s="1356">
        <v>2622</v>
      </c>
      <c r="I30" s="1356">
        <v>0</v>
      </c>
      <c r="J30" s="1357">
        <f t="shared" si="0"/>
        <v>0</v>
      </c>
      <c r="K30" s="1404" t="e">
        <f t="shared" si="2"/>
        <v>#DIV/0!</v>
      </c>
      <c r="L30" s="1406"/>
    </row>
    <row r="31" spans="4:14">
      <c r="D31" s="1342"/>
      <c r="E31" s="1343" t="s">
        <v>7</v>
      </c>
      <c r="F31" s="1344"/>
      <c r="G31" s="1345" t="s">
        <v>124</v>
      </c>
      <c r="H31" s="1407">
        <v>2730.2999999999997</v>
      </c>
      <c r="I31" s="1356">
        <v>0</v>
      </c>
      <c r="J31" s="1357">
        <f t="shared" si="0"/>
        <v>0</v>
      </c>
      <c r="K31" s="1404" t="e">
        <f t="shared" si="2"/>
        <v>#DIV/0!</v>
      </c>
      <c r="L31" s="1406"/>
    </row>
    <row r="32" spans="4:14" s="1374" customFormat="1">
      <c r="D32" s="1333"/>
      <c r="E32" s="1394" t="s">
        <v>1</v>
      </c>
      <c r="F32" s="1395"/>
      <c r="G32" s="1408" t="s">
        <v>124</v>
      </c>
      <c r="H32" s="1409">
        <v>6873.6299999999992</v>
      </c>
      <c r="I32" s="1409">
        <f>SUM(I26:I27)</f>
        <v>0</v>
      </c>
      <c r="J32" s="1371">
        <f t="shared" si="0"/>
        <v>0</v>
      </c>
      <c r="K32" s="1410" t="e">
        <f t="shared" si="2"/>
        <v>#DIV/0!</v>
      </c>
      <c r="L32" s="1405"/>
    </row>
    <row r="33" spans="4:15">
      <c r="D33" s="1326">
        <v>4</v>
      </c>
      <c r="E33" s="1327" t="s">
        <v>5</v>
      </c>
      <c r="F33" s="1328"/>
      <c r="G33" s="1329"/>
      <c r="H33" s="1330"/>
      <c r="I33" s="1330"/>
      <c r="J33" s="1379"/>
      <c r="K33" s="1331"/>
      <c r="L33" s="1332"/>
    </row>
    <row r="34" spans="4:15">
      <c r="D34" s="1333"/>
      <c r="E34" s="1394" t="s">
        <v>4</v>
      </c>
      <c r="F34" s="1395"/>
      <c r="G34" s="1411"/>
      <c r="H34" s="1337"/>
      <c r="I34" s="1337"/>
      <c r="J34" s="1357"/>
      <c r="K34" s="1340"/>
      <c r="L34" s="1341"/>
    </row>
    <row r="35" spans="4:15">
      <c r="D35" s="1412"/>
      <c r="E35" s="1343" t="s">
        <v>786</v>
      </c>
      <c r="F35" s="2038">
        <v>28770</v>
      </c>
      <c r="G35" s="1345" t="s">
        <v>2</v>
      </c>
      <c r="H35" s="1400">
        <v>568099</v>
      </c>
      <c r="I35" s="1401">
        <v>0</v>
      </c>
      <c r="J35" s="1348">
        <f t="shared" si="0"/>
        <v>0</v>
      </c>
      <c r="K35" s="1349" t="e">
        <f>I35/$K$9</f>
        <v>#DIV/0!</v>
      </c>
      <c r="L35" s="1413"/>
      <c r="N35" s="1414"/>
    </row>
    <row r="36" spans="4:15">
      <c r="D36" s="1342"/>
      <c r="E36" s="1415" t="s">
        <v>11</v>
      </c>
      <c r="F36" s="1416"/>
      <c r="G36" s="1342"/>
      <c r="H36" s="1356"/>
      <c r="I36" s="1356"/>
      <c r="J36" s="1357"/>
      <c r="K36" s="1404" t="e">
        <f>I36/$K$9</f>
        <v>#DIV/0!</v>
      </c>
      <c r="L36" s="1417"/>
    </row>
    <row r="37" spans="4:15" ht="15">
      <c r="D37" s="1418"/>
      <c r="E37" s="1419" t="s">
        <v>787</v>
      </c>
      <c r="F37" s="1335">
        <v>4.4000000000000004</v>
      </c>
      <c r="G37" s="1345" t="s">
        <v>2</v>
      </c>
      <c r="H37" s="1356">
        <v>102679</v>
      </c>
      <c r="I37" s="1356">
        <v>0</v>
      </c>
      <c r="J37" s="1357">
        <f t="shared" si="0"/>
        <v>0</v>
      </c>
      <c r="K37" s="1404" t="e">
        <f t="shared" ref="K37:K42" si="3">I37/$K$9*1000</f>
        <v>#DIV/0!</v>
      </c>
      <c r="L37" s="1420"/>
      <c r="N37" s="1421"/>
      <c r="O37" s="1422"/>
    </row>
    <row r="38" spans="4:15" ht="15">
      <c r="D38" s="1418"/>
      <c r="E38" s="1419" t="s">
        <v>1078</v>
      </c>
      <c r="F38" s="1335">
        <v>7.3</v>
      </c>
      <c r="G38" s="1345" t="s">
        <v>2</v>
      </c>
      <c r="H38" s="1356">
        <v>73158</v>
      </c>
      <c r="I38" s="1356">
        <v>0</v>
      </c>
      <c r="J38" s="1357">
        <f t="shared" si="0"/>
        <v>0</v>
      </c>
      <c r="K38" s="1404" t="e">
        <f t="shared" si="3"/>
        <v>#DIV/0!</v>
      </c>
      <c r="L38" s="1420"/>
      <c r="N38" s="1421"/>
      <c r="O38" s="1422"/>
    </row>
    <row r="39" spans="4:15" ht="15">
      <c r="D39" s="1418"/>
      <c r="E39" s="1419" t="s">
        <v>788</v>
      </c>
      <c r="F39" s="1335">
        <v>11.7</v>
      </c>
      <c r="G39" s="1345" t="s">
        <v>2</v>
      </c>
      <c r="H39" s="1356">
        <v>212</v>
      </c>
      <c r="I39" s="1356">
        <v>0</v>
      </c>
      <c r="J39" s="1357">
        <f t="shared" si="0"/>
        <v>0</v>
      </c>
      <c r="K39" s="1404" t="e">
        <f t="shared" si="3"/>
        <v>#DIV/0!</v>
      </c>
      <c r="L39" s="1420"/>
      <c r="N39" s="1421"/>
      <c r="O39" s="1422"/>
    </row>
    <row r="40" spans="4:15" ht="15">
      <c r="D40" s="1418"/>
      <c r="E40" s="1419" t="s">
        <v>789</v>
      </c>
      <c r="F40" s="1335">
        <v>4.5</v>
      </c>
      <c r="G40" s="1345" t="s">
        <v>2</v>
      </c>
      <c r="H40" s="1356">
        <v>109440</v>
      </c>
      <c r="I40" s="1356">
        <v>0</v>
      </c>
      <c r="J40" s="1357">
        <f t="shared" si="0"/>
        <v>0</v>
      </c>
      <c r="K40" s="1404" t="e">
        <f t="shared" si="3"/>
        <v>#DIV/0!</v>
      </c>
      <c r="L40" s="1420"/>
      <c r="N40" s="1421"/>
      <c r="O40" s="1422"/>
    </row>
    <row r="41" spans="4:15" ht="15">
      <c r="D41" s="1423"/>
      <c r="E41" s="1424" t="s">
        <v>790</v>
      </c>
      <c r="F41" s="1425">
        <v>4.0999999999999996</v>
      </c>
      <c r="G41" s="1426" t="s">
        <v>2</v>
      </c>
      <c r="H41" s="1427">
        <v>28747</v>
      </c>
      <c r="I41" s="1427">
        <v>0</v>
      </c>
      <c r="J41" s="1371">
        <f t="shared" si="0"/>
        <v>0</v>
      </c>
      <c r="K41" s="1428" t="e">
        <f t="shared" si="3"/>
        <v>#DIV/0!</v>
      </c>
      <c r="L41" s="1429"/>
      <c r="N41" s="1421"/>
      <c r="O41" s="1422"/>
    </row>
    <row r="42" spans="4:15" ht="15" hidden="1">
      <c r="D42" s="1423"/>
      <c r="E42" s="1424" t="s">
        <v>791</v>
      </c>
      <c r="F42" s="1425"/>
      <c r="G42" s="1426" t="s">
        <v>2</v>
      </c>
      <c r="H42" s="1427">
        <v>4581</v>
      </c>
      <c r="I42" s="1427" t="e">
        <f>#REF!</f>
        <v>#REF!</v>
      </c>
      <c r="J42" s="1371" t="e">
        <f t="shared" si="0"/>
        <v>#REF!</v>
      </c>
      <c r="K42" s="1428" t="e">
        <f t="shared" si="3"/>
        <v>#REF!</v>
      </c>
      <c r="L42" s="1429"/>
      <c r="N42" s="1421"/>
      <c r="O42" s="1422"/>
    </row>
    <row r="43" spans="4:15" ht="15">
      <c r="D43" s="1430"/>
      <c r="E43" s="1431"/>
      <c r="F43" s="1432"/>
      <c r="G43" s="1433"/>
      <c r="H43" s="1434"/>
      <c r="I43" s="1434"/>
      <c r="J43" s="1435"/>
      <c r="K43" s="1436"/>
      <c r="L43" s="1437"/>
      <c r="N43" s="1421"/>
      <c r="O43" s="1422"/>
    </row>
    <row r="44" spans="4:15" s="1318" customFormat="1" ht="14.4">
      <c r="D44" s="1438" t="s">
        <v>792</v>
      </c>
      <c r="F44" s="1309"/>
    </row>
    <row r="45" spans="4:15" s="1318" customFormat="1">
      <c r="E45" s="2283" t="s">
        <v>1083</v>
      </c>
      <c r="F45" s="1309"/>
      <c r="H45" s="1439"/>
      <c r="J45" s="1439"/>
      <c r="K45" s="1439"/>
      <c r="L45" s="1439"/>
    </row>
    <row r="46" spans="4:15" s="1318" customFormat="1" hidden="1">
      <c r="D46" s="1440"/>
      <c r="F46" s="1309"/>
      <c r="H46" s="1436"/>
      <c r="J46" s="1436"/>
      <c r="K46" s="1436"/>
      <c r="L46" s="1436"/>
    </row>
    <row r="47" spans="4:15" s="1318" customFormat="1">
      <c r="D47" s="2199"/>
      <c r="E47" s="2199"/>
      <c r="F47" s="2199"/>
      <c r="G47" s="2199"/>
      <c r="H47" s="2199"/>
      <c r="I47" s="2199"/>
      <c r="J47" s="2199"/>
      <c r="K47" s="2199"/>
      <c r="L47" s="2199"/>
    </row>
    <row r="48" spans="4:15" ht="15">
      <c r="D48" s="2178"/>
      <c r="E48" s="2178"/>
      <c r="F48" s="1441"/>
      <c r="G48" s="1442"/>
      <c r="J48" s="1436"/>
      <c r="K48" s="1436"/>
      <c r="L48" s="1436"/>
    </row>
    <row r="49" spans="4:12" ht="15">
      <c r="D49" s="2178"/>
      <c r="E49" s="2178"/>
      <c r="F49" s="1441"/>
      <c r="G49" s="1442"/>
      <c r="H49" s="1443"/>
      <c r="J49" s="1436"/>
      <c r="K49" s="1436"/>
      <c r="L49" s="1436"/>
    </row>
    <row r="50" spans="4:12">
      <c r="D50" s="1316"/>
      <c r="E50" s="1307" t="s">
        <v>765</v>
      </c>
      <c r="F50" s="2082" t="s">
        <v>766</v>
      </c>
      <c r="G50" s="2082"/>
      <c r="H50" s="2082"/>
      <c r="I50" s="2082"/>
      <c r="K50" s="2082" t="s">
        <v>767</v>
      </c>
      <c r="L50" s="2082"/>
    </row>
    <row r="51" spans="4:12" ht="14.4">
      <c r="D51" s="1316"/>
      <c r="E51" s="1191"/>
      <c r="F51" s="1309"/>
      <c r="G51" s="1309"/>
      <c r="H51" s="1191"/>
      <c r="I51" s="1309"/>
      <c r="L51" s="1309"/>
    </row>
    <row r="52" spans="4:12" ht="14.4">
      <c r="D52" s="1316"/>
      <c r="E52" s="1191"/>
      <c r="F52" s="1191"/>
      <c r="G52" s="1191"/>
      <c r="H52" s="1191"/>
      <c r="I52" s="1191"/>
      <c r="L52" s="1191"/>
    </row>
    <row r="53" spans="4:12" ht="14.4">
      <c r="D53" s="1316"/>
      <c r="E53" s="1191"/>
      <c r="F53" s="1191"/>
      <c r="G53" s="1191"/>
      <c r="H53" s="1191"/>
      <c r="I53" s="1191"/>
      <c r="L53" s="1191"/>
    </row>
    <row r="54" spans="4:12">
      <c r="D54" s="1316"/>
      <c r="E54" s="1312" t="s">
        <v>1070</v>
      </c>
      <c r="F54" s="2083" t="s">
        <v>768</v>
      </c>
      <c r="G54" s="2083"/>
      <c r="I54" s="1311" t="s">
        <v>769</v>
      </c>
      <c r="K54" s="2083" t="s">
        <v>770</v>
      </c>
      <c r="L54" s="2083"/>
    </row>
    <row r="55" spans="4:12" ht="19.5" customHeight="1">
      <c r="E55" s="1314" t="s">
        <v>771</v>
      </c>
      <c r="F55" s="2084" t="s">
        <v>772</v>
      </c>
      <c r="G55" s="2084"/>
      <c r="I55" s="1309" t="s">
        <v>773</v>
      </c>
      <c r="K55" s="2084" t="s">
        <v>774</v>
      </c>
      <c r="L55" s="2084"/>
    </row>
  </sheetData>
  <mergeCells count="22"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F50:I50"/>
    <mergeCell ref="K50:L50"/>
    <mergeCell ref="F54:G54"/>
    <mergeCell ref="K54:L54"/>
    <mergeCell ref="F55:G55"/>
    <mergeCell ref="K55:L55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tabSelected="1" topLeftCell="A16" zoomScale="85" zoomScaleNormal="85" workbookViewId="0">
      <selection activeCell="D43" sqref="D43:F43"/>
    </sheetView>
  </sheetViews>
  <sheetFormatPr defaultColWidth="9.33203125" defaultRowHeight="14.4"/>
  <cols>
    <col min="1" max="3" width="9.33203125" style="1444"/>
    <col min="4" max="4" width="33.6640625" style="1444" customWidth="1"/>
    <col min="5" max="5" width="12.33203125" style="1444" customWidth="1"/>
    <col min="6" max="8" width="14.44140625" style="1444" customWidth="1"/>
    <col min="9" max="9" width="55.6640625" style="1444" customWidth="1"/>
    <col min="10" max="10" width="9.33203125" style="1444"/>
    <col min="11" max="11" width="10.44140625" style="1444" bestFit="1" customWidth="1"/>
    <col min="12" max="16384" width="9.33203125" style="1444"/>
  </cols>
  <sheetData>
    <row r="2" spans="4:11" ht="17.399999999999999">
      <c r="D2" s="2201" t="s">
        <v>793</v>
      </c>
      <c r="E2" s="2201"/>
      <c r="F2" s="2201"/>
      <c r="G2" s="2201"/>
      <c r="H2" s="2201"/>
      <c r="I2" s="2201"/>
    </row>
    <row r="3" spans="4:11" ht="17.399999999999999">
      <c r="D3" s="2202" t="s">
        <v>794</v>
      </c>
      <c r="E3" s="2202"/>
      <c r="F3" s="2202"/>
      <c r="G3" s="2202"/>
      <c r="H3" s="2202"/>
      <c r="I3" s="2202"/>
    </row>
    <row r="4" spans="4:11" ht="15" thickBot="1">
      <c r="D4" s="2168" t="s">
        <v>1086</v>
      </c>
      <c r="E4" s="2168"/>
      <c r="F4" s="1445"/>
      <c r="G4" s="1446"/>
      <c r="H4" s="1447"/>
      <c r="I4" s="1447"/>
    </row>
    <row r="5" spans="4:11" ht="27" thickBot="1">
      <c r="D5" s="1448" t="s">
        <v>1079</v>
      </c>
      <c r="E5" s="1449" t="s">
        <v>102</v>
      </c>
      <c r="F5" s="1450" t="s">
        <v>796</v>
      </c>
      <c r="G5" s="1450" t="s">
        <v>738</v>
      </c>
      <c r="H5" s="1451" t="s">
        <v>797</v>
      </c>
      <c r="I5" s="1452" t="s">
        <v>798</v>
      </c>
    </row>
    <row r="6" spans="4:11" ht="17.25" customHeight="1">
      <c r="D6" s="1453" t="s">
        <v>71</v>
      </c>
      <c r="E6" s="1454" t="s">
        <v>14</v>
      </c>
      <c r="F6" s="1455">
        <v>58900000</v>
      </c>
      <c r="G6" s="1456">
        <v>0</v>
      </c>
      <c r="H6" s="1457">
        <f>G6/F6</f>
        <v>0</v>
      </c>
      <c r="I6" s="2040" t="s">
        <v>1083</v>
      </c>
      <c r="J6" s="1458"/>
      <c r="K6" s="1459"/>
    </row>
    <row r="7" spans="4:11" ht="17.25" customHeight="1">
      <c r="D7" s="1460" t="s">
        <v>799</v>
      </c>
      <c r="E7" s="1461" t="s">
        <v>14</v>
      </c>
      <c r="F7" s="1462">
        <v>35501000</v>
      </c>
      <c r="G7" s="1463">
        <v>0</v>
      </c>
      <c r="H7" s="1464">
        <f>G7/F7</f>
        <v>0</v>
      </c>
      <c r="I7" s="1465"/>
      <c r="J7" s="1458"/>
      <c r="K7" s="1459"/>
    </row>
    <row r="8" spans="4:11">
      <c r="D8" s="2203" t="s">
        <v>800</v>
      </c>
      <c r="E8" s="2204"/>
      <c r="F8" s="2204"/>
      <c r="G8" s="2204"/>
      <c r="H8" s="2204"/>
      <c r="I8" s="2205"/>
    </row>
    <row r="9" spans="4:11">
      <c r="D9" s="1466" t="s">
        <v>16</v>
      </c>
      <c r="E9" s="1467"/>
      <c r="F9" s="1468"/>
      <c r="G9" s="1469"/>
      <c r="H9" s="1470"/>
      <c r="I9" s="1471"/>
    </row>
    <row r="10" spans="4:11">
      <c r="D10" s="1472" t="s">
        <v>759</v>
      </c>
      <c r="E10" s="1473" t="s">
        <v>14</v>
      </c>
      <c r="F10" s="1474">
        <v>1300309</v>
      </c>
      <c r="G10" s="1475">
        <v>0</v>
      </c>
      <c r="H10" s="1476">
        <v>0</v>
      </c>
      <c r="I10" s="1477"/>
    </row>
    <row r="11" spans="4:11">
      <c r="D11" s="1472" t="s">
        <v>760</v>
      </c>
      <c r="E11" s="1473" t="s">
        <v>14</v>
      </c>
      <c r="F11" s="1474">
        <v>106326</v>
      </c>
      <c r="G11" s="1475">
        <v>0</v>
      </c>
      <c r="H11" s="1476">
        <v>0</v>
      </c>
      <c r="I11" s="1478"/>
    </row>
    <row r="12" spans="4:11">
      <c r="D12" s="1472" t="s">
        <v>761</v>
      </c>
      <c r="E12" s="1473" t="s">
        <v>14</v>
      </c>
      <c r="F12" s="1474">
        <v>489915</v>
      </c>
      <c r="G12" s="1475">
        <v>0</v>
      </c>
      <c r="H12" s="1476">
        <v>0</v>
      </c>
      <c r="I12" s="1478"/>
    </row>
    <row r="13" spans="4:11">
      <c r="D13" s="1472" t="s">
        <v>815</v>
      </c>
      <c r="E13" s="1473" t="s">
        <v>19</v>
      </c>
      <c r="F13" s="1474">
        <v>22143.74</v>
      </c>
      <c r="G13" s="1475">
        <v>0</v>
      </c>
      <c r="H13" s="1476">
        <v>0</v>
      </c>
      <c r="I13" s="1477"/>
    </row>
    <row r="14" spans="4:11">
      <c r="D14" s="1472" t="s">
        <v>801</v>
      </c>
      <c r="E14" s="1473" t="s">
        <v>19</v>
      </c>
      <c r="F14" s="1474">
        <v>3907.73</v>
      </c>
      <c r="G14" s="1475">
        <v>0</v>
      </c>
      <c r="H14" s="1476">
        <v>0</v>
      </c>
      <c r="I14" s="1478"/>
    </row>
    <row r="15" spans="4:11">
      <c r="D15" s="1479" t="s">
        <v>802</v>
      </c>
      <c r="E15" s="1480" t="s">
        <v>124</v>
      </c>
      <c r="F15" s="1474">
        <v>1521.33</v>
      </c>
      <c r="G15" s="1475">
        <v>0</v>
      </c>
      <c r="H15" s="1476">
        <v>0</v>
      </c>
      <c r="I15" s="1478"/>
    </row>
    <row r="16" spans="4:11">
      <c r="D16" s="1472" t="s">
        <v>133</v>
      </c>
      <c r="E16" s="1473" t="s">
        <v>14</v>
      </c>
      <c r="F16" s="1474">
        <v>11424000</v>
      </c>
      <c r="G16" s="1475">
        <v>0</v>
      </c>
      <c r="H16" s="1476">
        <v>0</v>
      </c>
      <c r="I16" s="1478"/>
    </row>
    <row r="17" spans="4:10">
      <c r="D17" s="1472" t="s">
        <v>803</v>
      </c>
      <c r="E17" s="1473" t="s">
        <v>2</v>
      </c>
      <c r="F17" s="1474">
        <v>102679</v>
      </c>
      <c r="G17" s="1475">
        <v>0</v>
      </c>
      <c r="H17" s="1476">
        <v>0</v>
      </c>
      <c r="I17" s="1478"/>
    </row>
    <row r="18" spans="4:10">
      <c r="D18" s="1472" t="s">
        <v>804</v>
      </c>
      <c r="E18" s="1473" t="s">
        <v>2</v>
      </c>
      <c r="F18" s="1474">
        <v>73158</v>
      </c>
      <c r="G18" s="1475">
        <v>0</v>
      </c>
      <c r="H18" s="1476">
        <v>0</v>
      </c>
      <c r="I18" s="1478"/>
    </row>
    <row r="19" spans="4:10">
      <c r="D19" s="1481" t="s">
        <v>15</v>
      </c>
      <c r="E19" s="1482"/>
      <c r="F19" s="1483"/>
      <c r="G19" s="1484"/>
      <c r="H19" s="1485"/>
      <c r="I19" s="1486"/>
    </row>
    <row r="20" spans="4:10">
      <c r="D20" s="1479" t="s">
        <v>802</v>
      </c>
      <c r="E20" s="1480" t="s">
        <v>124</v>
      </c>
      <c r="F20" s="1487">
        <v>2622</v>
      </c>
      <c r="G20" s="1488">
        <v>0</v>
      </c>
      <c r="H20" s="1476">
        <v>0</v>
      </c>
      <c r="I20" s="1489"/>
    </row>
    <row r="21" spans="4:10">
      <c r="D21" s="1479" t="s">
        <v>133</v>
      </c>
      <c r="E21" s="1480" t="s">
        <v>14</v>
      </c>
      <c r="F21" s="1487">
        <v>2318000</v>
      </c>
      <c r="G21" s="1488">
        <v>0</v>
      </c>
      <c r="H21" s="1476">
        <v>0</v>
      </c>
      <c r="I21" s="1489"/>
    </row>
    <row r="22" spans="4:10">
      <c r="D22" s="1479" t="s">
        <v>803</v>
      </c>
      <c r="E22" s="1480" t="s">
        <v>2</v>
      </c>
      <c r="F22" s="1487">
        <v>109440</v>
      </c>
      <c r="G22" s="1488">
        <v>0</v>
      </c>
      <c r="H22" s="1476">
        <v>0</v>
      </c>
      <c r="I22" s="1489"/>
    </row>
    <row r="23" spans="4:10">
      <c r="D23" s="1460" t="s">
        <v>804</v>
      </c>
      <c r="E23" s="1461" t="s">
        <v>2</v>
      </c>
      <c r="F23" s="1490">
        <v>28747</v>
      </c>
      <c r="G23" s="1488">
        <v>0</v>
      </c>
      <c r="H23" s="1476">
        <v>0</v>
      </c>
      <c r="I23" s="1491"/>
    </row>
    <row r="24" spans="4:10">
      <c r="D24" s="2203" t="s">
        <v>805</v>
      </c>
      <c r="E24" s="2204"/>
      <c r="F24" s="2204"/>
      <c r="G24" s="2204"/>
      <c r="H24" s="2204"/>
      <c r="I24" s="2205"/>
    </row>
    <row r="25" spans="4:10">
      <c r="D25" s="1466" t="s">
        <v>16</v>
      </c>
      <c r="E25" s="1492"/>
      <c r="F25" s="1493"/>
      <c r="G25" s="1494"/>
      <c r="H25" s="1495"/>
      <c r="I25" s="1496"/>
    </row>
    <row r="26" spans="4:10">
      <c r="D26" s="1479" t="s">
        <v>759</v>
      </c>
      <c r="E26" s="1480" t="s">
        <v>325</v>
      </c>
      <c r="F26" s="1497">
        <v>9</v>
      </c>
      <c r="G26" s="1498">
        <v>0</v>
      </c>
      <c r="H26" s="1499">
        <v>0</v>
      </c>
      <c r="I26" s="1500"/>
    </row>
    <row r="27" spans="4:10">
      <c r="D27" s="1479" t="s">
        <v>760</v>
      </c>
      <c r="E27" s="1480" t="s">
        <v>325</v>
      </c>
      <c r="F27" s="1497">
        <v>16</v>
      </c>
      <c r="G27" s="1498">
        <v>0</v>
      </c>
      <c r="H27" s="1499">
        <v>0</v>
      </c>
      <c r="I27" s="1501"/>
      <c r="J27" s="1444" t="s">
        <v>216</v>
      </c>
    </row>
    <row r="28" spans="4:10">
      <c r="D28" s="1479" t="s">
        <v>761</v>
      </c>
      <c r="E28" s="1480" t="s">
        <v>325</v>
      </c>
      <c r="F28" s="1497">
        <v>0.55000000000000004</v>
      </c>
      <c r="G28" s="1498">
        <v>0</v>
      </c>
      <c r="H28" s="1499">
        <v>0</v>
      </c>
      <c r="I28" s="1502"/>
    </row>
    <row r="29" spans="4:10">
      <c r="D29" s="1479" t="s">
        <v>801</v>
      </c>
      <c r="E29" s="1480" t="s">
        <v>806</v>
      </c>
      <c r="F29" s="1503">
        <v>4.2</v>
      </c>
      <c r="G29" s="1498">
        <v>0</v>
      </c>
      <c r="H29" s="1499">
        <v>0</v>
      </c>
      <c r="I29" s="2206"/>
    </row>
    <row r="30" spans="4:10">
      <c r="D30" s="1479" t="s">
        <v>807</v>
      </c>
      <c r="E30" s="1480" t="s">
        <v>808</v>
      </c>
      <c r="F30" s="1503">
        <v>0.2</v>
      </c>
      <c r="G30" s="1498">
        <v>0</v>
      </c>
      <c r="H30" s="1499">
        <v>0</v>
      </c>
      <c r="I30" s="2207"/>
    </row>
    <row r="31" spans="4:10">
      <c r="D31" s="1479" t="s">
        <v>802</v>
      </c>
      <c r="E31" s="1480" t="s">
        <v>809</v>
      </c>
      <c r="F31" s="1503">
        <v>0.4</v>
      </c>
      <c r="G31" s="1498">
        <v>0</v>
      </c>
      <c r="H31" s="1499">
        <v>0</v>
      </c>
      <c r="I31" s="1505"/>
    </row>
    <row r="32" spans="4:10">
      <c r="D32" s="1479" t="s">
        <v>810</v>
      </c>
      <c r="E32" s="1480" t="s">
        <v>325</v>
      </c>
      <c r="F32" s="1503">
        <v>28</v>
      </c>
      <c r="G32" s="1498">
        <v>0</v>
      </c>
      <c r="H32" s="1499">
        <v>0</v>
      </c>
      <c r="I32" s="1504"/>
    </row>
    <row r="33" spans="3:11">
      <c r="D33" s="1479" t="s">
        <v>803</v>
      </c>
      <c r="E33" s="1480" t="s">
        <v>811</v>
      </c>
      <c r="F33" s="1503">
        <v>4.4000000000000004</v>
      </c>
      <c r="G33" s="1498">
        <v>0</v>
      </c>
      <c r="H33" s="1499">
        <v>0</v>
      </c>
      <c r="I33" s="2208"/>
    </row>
    <row r="34" spans="3:11">
      <c r="D34" s="1479" t="s">
        <v>804</v>
      </c>
      <c r="E34" s="1480" t="s">
        <v>811</v>
      </c>
      <c r="F34" s="1503">
        <v>7.3</v>
      </c>
      <c r="G34" s="1498">
        <v>0</v>
      </c>
      <c r="H34" s="1499">
        <v>0</v>
      </c>
      <c r="I34" s="2209"/>
    </row>
    <row r="35" spans="3:11">
      <c r="D35" s="1506" t="s">
        <v>15</v>
      </c>
      <c r="E35" s="1507"/>
      <c r="F35" s="1508"/>
      <c r="G35" s="1509"/>
      <c r="H35" s="1510"/>
      <c r="I35" s="1511"/>
    </row>
    <row r="36" spans="3:11">
      <c r="D36" s="1479" t="s">
        <v>802</v>
      </c>
      <c r="E36" s="1480" t="s">
        <v>809</v>
      </c>
      <c r="F36" s="1503">
        <v>0.13</v>
      </c>
      <c r="G36" s="1498">
        <v>0</v>
      </c>
      <c r="H36" s="1499">
        <v>0</v>
      </c>
      <c r="I36" s="1505"/>
    </row>
    <row r="37" spans="3:11">
      <c r="D37" s="1479" t="s">
        <v>810</v>
      </c>
      <c r="E37" s="1480" t="s">
        <v>325</v>
      </c>
      <c r="F37" s="1512">
        <v>45</v>
      </c>
      <c r="G37" s="1498">
        <v>0</v>
      </c>
      <c r="H37" s="1499">
        <v>0</v>
      </c>
      <c r="I37" s="1504"/>
    </row>
    <row r="38" spans="3:11">
      <c r="D38" s="1479" t="s">
        <v>803</v>
      </c>
      <c r="E38" s="1480" t="s">
        <v>811</v>
      </c>
      <c r="F38" s="1503">
        <v>4.5</v>
      </c>
      <c r="G38" s="1498">
        <v>0</v>
      </c>
      <c r="H38" s="1499">
        <v>0</v>
      </c>
      <c r="I38" s="2208"/>
      <c r="K38" s="2013"/>
    </row>
    <row r="39" spans="3:11">
      <c r="D39" s="1479" t="s">
        <v>804</v>
      </c>
      <c r="E39" s="1480" t="s">
        <v>811</v>
      </c>
      <c r="F39" s="1503">
        <v>4.0999999999999996</v>
      </c>
      <c r="G39" s="1498">
        <v>0</v>
      </c>
      <c r="H39" s="1499">
        <v>0</v>
      </c>
      <c r="I39" s="2209"/>
    </row>
    <row r="40" spans="3:11" ht="15" thickBot="1">
      <c r="D40" s="1513"/>
      <c r="E40" s="1514"/>
      <c r="F40" s="1515"/>
      <c r="G40" s="1516"/>
      <c r="H40" s="1517"/>
      <c r="I40" s="1518"/>
    </row>
    <row r="41" spans="3:11">
      <c r="E41" s="1519"/>
      <c r="F41" s="1519"/>
      <c r="H41" s="1520"/>
      <c r="I41" s="1520"/>
    </row>
    <row r="42" spans="3:11">
      <c r="D42" s="2210"/>
      <c r="E42" s="2210"/>
      <c r="F42" s="2210"/>
      <c r="G42" s="2210"/>
    </row>
    <row r="43" spans="3:11">
      <c r="D43" s="2200"/>
      <c r="E43" s="2200"/>
      <c r="F43" s="2200"/>
    </row>
    <row r="44" spans="3:11">
      <c r="H44" s="1520"/>
      <c r="I44" s="1520"/>
    </row>
    <row r="45" spans="3:11">
      <c r="H45" s="1520"/>
      <c r="I45" s="1520"/>
    </row>
    <row r="46" spans="3:11">
      <c r="H46" s="1520"/>
      <c r="I46" s="1520"/>
    </row>
    <row r="47" spans="3:11" s="1316" customFormat="1" ht="13.8">
      <c r="D47" s="1194" t="s">
        <v>765</v>
      </c>
      <c r="E47" s="1194"/>
      <c r="F47" s="1194"/>
      <c r="G47" s="1194" t="s">
        <v>766</v>
      </c>
      <c r="H47" s="1318"/>
      <c r="I47" s="1194" t="s">
        <v>812</v>
      </c>
      <c r="J47" s="1307"/>
    </row>
    <row r="48" spans="3:11" s="1316" customFormat="1">
      <c r="C48" s="1191"/>
      <c r="D48" s="1309"/>
      <c r="E48" s="1309"/>
      <c r="F48" s="1191"/>
      <c r="G48" s="1309"/>
      <c r="H48" s="1318"/>
      <c r="I48" s="1318"/>
      <c r="J48" s="1309"/>
    </row>
    <row r="49" spans="3:10" s="1316" customFormat="1">
      <c r="C49" s="1191"/>
      <c r="D49" s="1191"/>
      <c r="E49" s="1191"/>
      <c r="F49" s="1191"/>
      <c r="G49" s="1191"/>
      <c r="H49" s="1318"/>
      <c r="I49" s="1318"/>
      <c r="J49" s="1191"/>
    </row>
    <row r="50" spans="3:10" s="1316" customFormat="1">
      <c r="C50" s="1191"/>
      <c r="D50" s="1191"/>
      <c r="E50" s="1191"/>
      <c r="F50" s="1191"/>
      <c r="G50" s="1191"/>
      <c r="H50" s="1318"/>
      <c r="I50" s="1318"/>
      <c r="J50" s="1191"/>
    </row>
    <row r="51" spans="3:10" s="1316" customFormat="1" ht="13.8">
      <c r="D51" s="1311" t="s">
        <v>1070</v>
      </c>
      <c r="E51" s="1311"/>
      <c r="F51" s="1311" t="s">
        <v>768</v>
      </c>
      <c r="H51" s="1311" t="s">
        <v>769</v>
      </c>
      <c r="I51" s="1311" t="s">
        <v>813</v>
      </c>
      <c r="J51" s="1312"/>
    </row>
    <row r="52" spans="3:10" s="1316" customFormat="1" ht="15" customHeight="1">
      <c r="D52" s="1309" t="s">
        <v>771</v>
      </c>
      <c r="E52" s="1309"/>
      <c r="F52" s="1309" t="s">
        <v>772</v>
      </c>
      <c r="H52" s="1309" t="s">
        <v>773</v>
      </c>
      <c r="I52" s="1309" t="s">
        <v>814</v>
      </c>
      <c r="J52" s="1314"/>
    </row>
  </sheetData>
  <mergeCells count="10">
    <mergeCell ref="D43:F43"/>
    <mergeCell ref="D2:I2"/>
    <mergeCell ref="D3:I3"/>
    <mergeCell ref="D4:E4"/>
    <mergeCell ref="D8:I8"/>
    <mergeCell ref="D24:I24"/>
    <mergeCell ref="I29:I30"/>
    <mergeCell ref="I33:I34"/>
    <mergeCell ref="I38:I39"/>
    <mergeCell ref="D42:G42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D1F3-94D5-4F8C-8356-879F772949DB}">
  <dimension ref="A1:VBO264"/>
  <sheetViews>
    <sheetView topLeftCell="A2" zoomScale="80" zoomScaleNormal="80" workbookViewId="0">
      <pane xSplit="4" ySplit="4" topLeftCell="E6" activePane="bottomRight" state="frozen"/>
      <selection activeCell="O11" sqref="O11"/>
      <selection pane="topRight" activeCell="O11" sqref="O11"/>
      <selection pane="bottomLeft" activeCell="O11" sqref="O11"/>
      <selection pane="bottomRight" activeCell="G17" sqref="G17"/>
    </sheetView>
  </sheetViews>
  <sheetFormatPr defaultRowHeight="14.4"/>
  <cols>
    <col min="1" max="1" width="4.33203125" customWidth="1"/>
    <col min="3" max="3" width="41.33203125" customWidth="1"/>
    <col min="4" max="4" width="16.33203125" customWidth="1"/>
    <col min="5" max="5" width="8.44140625" customWidth="1"/>
    <col min="6" max="6" width="19.44140625" customWidth="1"/>
    <col min="7" max="8" width="17.5546875" customWidth="1"/>
    <col min="9" max="10" width="18.33203125" customWidth="1"/>
    <col min="11" max="11" width="17.5546875" customWidth="1"/>
    <col min="12" max="12" width="17.33203125" customWidth="1"/>
    <col min="13" max="13" width="18.33203125" customWidth="1"/>
    <col min="14" max="16" width="17.44140625" customWidth="1"/>
    <col min="17" max="17" width="17" customWidth="1"/>
    <col min="18" max="18" width="15.5546875" hidden="1" customWidth="1"/>
    <col min="20" max="20" width="25.33203125" customWidth="1"/>
    <col min="21" max="22" width="25.33203125" hidden="1" customWidth="1"/>
    <col min="23" max="23" width="13.44140625" customWidth="1"/>
    <col min="24" max="24" width="15.44140625" customWidth="1"/>
    <col min="25" max="32" width="9.33203125" customWidth="1"/>
    <col min="33" max="33" width="28.5546875" customWidth="1"/>
    <col min="34" max="37" width="9.33203125" customWidth="1"/>
    <col min="38" max="38" width="13.44140625" customWidth="1"/>
    <col min="39" max="39" width="61.6640625" customWidth="1"/>
    <col min="40" max="40" width="41.5546875" customWidth="1"/>
    <col min="41" max="49" width="9.33203125" customWidth="1"/>
    <col min="50" max="50" width="14" customWidth="1"/>
    <col min="51" max="60" width="9.33203125" customWidth="1"/>
  </cols>
  <sheetData>
    <row r="1" spans="2:933">
      <c r="B1" s="412"/>
    </row>
    <row r="2" spans="2:933" ht="17.399999999999999">
      <c r="C2" s="413" t="s">
        <v>1067</v>
      </c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4"/>
      <c r="O2" s="414"/>
      <c r="P2" s="414"/>
      <c r="Q2" s="413"/>
      <c r="R2" s="413"/>
      <c r="S2" s="413"/>
      <c r="T2" s="413"/>
      <c r="U2" s="413"/>
      <c r="V2" s="413"/>
      <c r="W2" s="413"/>
      <c r="X2" s="413"/>
      <c r="Y2" s="413"/>
      <c r="Z2" s="413"/>
      <c r="AA2" s="413"/>
      <c r="AB2" s="413"/>
      <c r="AC2" s="413"/>
      <c r="AD2" s="413"/>
      <c r="AE2" s="413"/>
      <c r="AF2" s="413"/>
      <c r="AG2" s="413"/>
      <c r="AH2" s="413"/>
      <c r="AI2" s="413"/>
      <c r="AJ2" s="413"/>
      <c r="AK2" s="413"/>
      <c r="AL2" s="413"/>
      <c r="AM2" s="413"/>
      <c r="AN2" s="413"/>
    </row>
    <row r="3" spans="2:933" ht="15" thickBot="1">
      <c r="B3" s="415"/>
      <c r="F3" s="416" t="s">
        <v>818</v>
      </c>
      <c r="G3" s="416" t="s">
        <v>818</v>
      </c>
      <c r="H3" s="416" t="s">
        <v>818</v>
      </c>
      <c r="I3" s="416" t="s">
        <v>818</v>
      </c>
      <c r="J3" s="416" t="s">
        <v>819</v>
      </c>
      <c r="K3" s="416" t="s">
        <v>819</v>
      </c>
      <c r="L3" s="416" t="s">
        <v>818</v>
      </c>
      <c r="M3" s="416" t="s">
        <v>818</v>
      </c>
      <c r="N3" s="416" t="s">
        <v>818</v>
      </c>
      <c r="O3" s="416"/>
      <c r="P3" s="416"/>
      <c r="Q3" s="416"/>
      <c r="R3" s="416"/>
    </row>
    <row r="4" spans="2:933" ht="28.8" thickBot="1">
      <c r="B4" s="2221" t="s">
        <v>99</v>
      </c>
      <c r="C4" s="2223" t="s">
        <v>100</v>
      </c>
      <c r="D4" s="2225" t="s">
        <v>101</v>
      </c>
      <c r="E4" s="2223" t="s">
        <v>102</v>
      </c>
      <c r="F4" s="2215" t="s">
        <v>297</v>
      </c>
      <c r="G4" s="2216"/>
      <c r="H4" s="2216"/>
      <c r="I4" s="2216"/>
      <c r="J4" s="2216"/>
      <c r="K4" s="2216"/>
      <c r="L4" s="2216"/>
      <c r="M4" s="2216"/>
      <c r="N4" s="2216"/>
      <c r="O4" s="2216"/>
      <c r="P4" s="2216"/>
      <c r="Q4" s="2216"/>
      <c r="R4" s="2217"/>
      <c r="S4" s="719"/>
      <c r="T4" s="411" t="s">
        <v>298</v>
      </c>
      <c r="U4" s="664" t="s">
        <v>299</v>
      </c>
      <c r="V4" s="767" t="s">
        <v>300</v>
      </c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R4" s="63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28.2">
      <c r="B5" s="2222"/>
      <c r="C5" s="2224"/>
      <c r="D5" s="2226"/>
      <c r="E5" s="2224"/>
      <c r="F5" s="418" t="s">
        <v>301</v>
      </c>
      <c r="G5" s="418" t="s">
        <v>302</v>
      </c>
      <c r="H5" s="418" t="s">
        <v>303</v>
      </c>
      <c r="I5" s="419" t="s">
        <v>304</v>
      </c>
      <c r="J5" s="418" t="s">
        <v>305</v>
      </c>
      <c r="K5" s="418" t="s">
        <v>306</v>
      </c>
      <c r="L5" s="418" t="s">
        <v>307</v>
      </c>
      <c r="M5" s="418" t="s">
        <v>308</v>
      </c>
      <c r="N5" s="419" t="s">
        <v>309</v>
      </c>
      <c r="O5" s="419" t="s">
        <v>310</v>
      </c>
      <c r="P5" s="419" t="s">
        <v>311</v>
      </c>
      <c r="Q5" s="419" t="s">
        <v>312</v>
      </c>
      <c r="R5" s="418" t="s">
        <v>312</v>
      </c>
      <c r="T5" s="417" t="s">
        <v>126</v>
      </c>
      <c r="U5" s="664" t="s">
        <v>126</v>
      </c>
      <c r="V5" s="767" t="s">
        <v>313</v>
      </c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R5" s="63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" thickBot="1">
      <c r="B6" s="2212">
        <v>1</v>
      </c>
      <c r="C6" s="420" t="s">
        <v>85</v>
      </c>
      <c r="D6" s="48"/>
      <c r="E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3"/>
      <c r="T6" s="421" t="s">
        <v>127</v>
      </c>
      <c r="U6" s="665" t="s">
        <v>127</v>
      </c>
      <c r="V6" s="768" t="s">
        <v>127</v>
      </c>
      <c r="W6" s="63"/>
      <c r="X6" s="1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R6" s="63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22"/>
      <c r="DF6" s="423"/>
      <c r="DG6" s="424">
        <v>29</v>
      </c>
      <c r="DH6" s="425">
        <v>30</v>
      </c>
      <c r="DI6" s="426">
        <v>31</v>
      </c>
    </row>
    <row r="7" spans="2:933">
      <c r="B7" s="2213"/>
      <c r="C7" s="427" t="s">
        <v>16</v>
      </c>
      <c r="D7" s="428"/>
      <c r="E7" s="429"/>
      <c r="F7" s="430"/>
      <c r="G7" s="431"/>
      <c r="H7" s="1525"/>
      <c r="I7" s="430"/>
      <c r="J7" s="1532"/>
      <c r="K7" s="430"/>
      <c r="L7" s="430"/>
      <c r="M7" s="430"/>
      <c r="N7" s="430"/>
      <c r="O7" s="430"/>
      <c r="P7" s="430"/>
      <c r="Q7" s="430"/>
      <c r="R7" s="430"/>
      <c r="S7" s="3"/>
      <c r="T7" s="714" t="s">
        <v>16</v>
      </c>
      <c r="U7" s="666" t="s">
        <v>16</v>
      </c>
      <c r="V7" s="769" t="s">
        <v>16</v>
      </c>
      <c r="W7" s="63"/>
      <c r="X7" s="1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R7" s="63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32" t="s">
        <v>314</v>
      </c>
      <c r="DF7" s="5" t="s">
        <v>14</v>
      </c>
      <c r="DG7" s="433">
        <v>1971319.99999999</v>
      </c>
      <c r="DH7" s="434">
        <v>2015120.00000001</v>
      </c>
      <c r="DI7" s="435">
        <v>2015230</v>
      </c>
      <c r="AIU7" s="436" t="s">
        <v>315</v>
      </c>
      <c r="AIV7" s="436" t="s">
        <v>127</v>
      </c>
      <c r="AIW7" s="436" t="s">
        <v>316</v>
      </c>
    </row>
    <row r="8" spans="2:933">
      <c r="B8" s="2213"/>
      <c r="C8" s="437" t="s">
        <v>84</v>
      </c>
      <c r="D8" s="1948">
        <v>300</v>
      </c>
      <c r="E8" s="439" t="s">
        <v>83</v>
      </c>
      <c r="F8" s="440">
        <v>0</v>
      </c>
      <c r="G8" s="440"/>
      <c r="H8" s="532"/>
      <c r="I8" s="440"/>
      <c r="J8" s="533"/>
      <c r="K8" s="440"/>
      <c r="L8" s="440"/>
      <c r="M8" s="440"/>
      <c r="N8" s="440"/>
      <c r="O8" s="55"/>
      <c r="P8" s="55"/>
      <c r="Q8" s="440"/>
      <c r="R8" s="440">
        <f>'[2]Desember 24'!AL9</f>
        <v>0</v>
      </c>
      <c r="S8" s="3"/>
      <c r="T8" s="55">
        <f>SUM(F8:R8)</f>
        <v>0</v>
      </c>
      <c r="U8" s="667">
        <v>231</v>
      </c>
      <c r="V8" s="770">
        <f>T8/U8*100</f>
        <v>0</v>
      </c>
      <c r="W8" s="63"/>
      <c r="X8" s="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R8" s="63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32"/>
      <c r="DG8" s="433"/>
      <c r="DH8" s="434"/>
      <c r="DI8" s="435"/>
      <c r="FN8" s="3"/>
      <c r="OR8" s="142" t="s">
        <v>317</v>
      </c>
      <c r="AEE8" s="5" t="s">
        <v>318</v>
      </c>
      <c r="AEF8" s="5" t="s">
        <v>319</v>
      </c>
      <c r="AIT8" s="2" t="s">
        <v>192</v>
      </c>
      <c r="AIU8" s="142">
        <v>11008948</v>
      </c>
      <c r="AIV8" s="142">
        <f>T11</f>
        <v>0</v>
      </c>
      <c r="AIW8" s="4">
        <f>AIU8-AIV8</f>
        <v>11008948</v>
      </c>
    </row>
    <row r="9" spans="2:933">
      <c r="B9" s="2213"/>
      <c r="C9" s="11" t="s">
        <v>103</v>
      </c>
      <c r="D9" s="438"/>
      <c r="E9" s="439"/>
      <c r="F9" s="1545"/>
      <c r="G9" s="441"/>
      <c r="H9" s="525"/>
      <c r="I9" s="441"/>
      <c r="J9" s="680"/>
      <c r="K9" s="441"/>
      <c r="L9" s="441"/>
      <c r="M9" s="441"/>
      <c r="N9" s="441"/>
      <c r="O9" s="441"/>
      <c r="P9" s="521"/>
      <c r="Q9" s="440"/>
      <c r="R9" s="441">
        <f>'[2]Desember 24'!AL10</f>
        <v>0</v>
      </c>
      <c r="S9" s="3"/>
      <c r="T9" s="55"/>
      <c r="U9" s="667"/>
      <c r="V9" s="770"/>
      <c r="W9" s="63"/>
      <c r="X9" s="1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R9" s="63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32"/>
      <c r="DG9" s="433"/>
      <c r="DH9" s="434"/>
      <c r="DI9" s="435"/>
      <c r="FN9" s="3"/>
      <c r="OR9" s="142"/>
      <c r="AEE9" s="5"/>
      <c r="AEF9" s="5"/>
      <c r="AIT9" s="2"/>
      <c r="AIU9" s="142"/>
      <c r="AIV9" s="142"/>
      <c r="AIW9" s="4"/>
    </row>
    <row r="10" spans="2:933">
      <c r="B10" s="2213"/>
      <c r="C10" s="11" t="s">
        <v>320</v>
      </c>
      <c r="D10" s="438"/>
      <c r="E10" s="439"/>
      <c r="F10" s="441"/>
      <c r="G10" s="441"/>
      <c r="H10" s="525"/>
      <c r="I10" s="441"/>
      <c r="J10" s="680"/>
      <c r="K10" s="441"/>
      <c r="L10" s="441"/>
      <c r="M10" s="441"/>
      <c r="N10" s="441"/>
      <c r="O10" s="441"/>
      <c r="P10" s="1739"/>
      <c r="Q10" s="441"/>
      <c r="R10" s="441" t="e">
        <f t="shared" ref="R10" si="0">R11/R14*100</f>
        <v>#DIV/0!</v>
      </c>
      <c r="S10" s="3"/>
      <c r="T10" s="55" t="e">
        <f>AVERAGE(F10:Q10)</f>
        <v>#DIV/0!</v>
      </c>
      <c r="U10" s="667"/>
      <c r="V10" s="770"/>
      <c r="W10" s="63"/>
      <c r="X10" s="1"/>
      <c r="Y10" s="1"/>
      <c r="Z10" s="1"/>
      <c r="AA10" s="1"/>
      <c r="AB10" s="1"/>
      <c r="AC10" s="1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R10" s="63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32"/>
      <c r="DG10" s="433"/>
      <c r="DH10" s="434"/>
      <c r="DI10" s="435"/>
      <c r="FN10" s="3"/>
      <c r="OR10" s="142"/>
      <c r="AEE10" s="5"/>
      <c r="AEF10" s="5"/>
      <c r="AIT10" s="2"/>
      <c r="AIU10" s="142"/>
      <c r="AIV10" s="142"/>
      <c r="AIW10" s="4"/>
    </row>
    <row r="11" spans="2:933">
      <c r="B11" s="2213"/>
      <c r="C11" s="442" t="s">
        <v>96</v>
      </c>
      <c r="D11" s="443">
        <v>707651</v>
      </c>
      <c r="E11" s="444" t="s">
        <v>14</v>
      </c>
      <c r="F11" s="445">
        <v>0</v>
      </c>
      <c r="G11" s="445"/>
      <c r="H11" s="1526"/>
      <c r="I11" s="1540"/>
      <c r="J11" s="1533"/>
      <c r="K11" s="445"/>
      <c r="L11" s="445"/>
      <c r="M11" s="445"/>
      <c r="N11" s="445"/>
      <c r="O11" s="445"/>
      <c r="P11" s="58"/>
      <c r="Q11" s="445"/>
      <c r="R11" s="445">
        <f>'[2]Desember 24'!AL11</f>
        <v>0</v>
      </c>
      <c r="S11" s="720"/>
      <c r="T11" s="58">
        <f>SUM(F11:Q11)</f>
        <v>0</v>
      </c>
      <c r="U11" s="668">
        <v>421374000</v>
      </c>
      <c r="V11" s="771">
        <f>T11/U11</f>
        <v>0</v>
      </c>
      <c r="W11" s="1069"/>
      <c r="X11" s="1"/>
      <c r="Y11" s="1"/>
      <c r="Z11" s="1"/>
      <c r="AA11" s="1"/>
      <c r="AB11" s="1"/>
      <c r="AC11" s="1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R11" s="63"/>
      <c r="AT11" s="453"/>
      <c r="AU11" s="453"/>
      <c r="AV11" s="1"/>
      <c r="AW11" s="1"/>
      <c r="AX11" s="363">
        <f>T11/D11</f>
        <v>0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43"/>
      <c r="BY11" s="1"/>
      <c r="DA11" s="1"/>
      <c r="DE11" s="446" t="s">
        <v>321</v>
      </c>
      <c r="DF11" s="447" t="s">
        <v>19</v>
      </c>
      <c r="DG11" s="448">
        <v>251.19641540408301</v>
      </c>
      <c r="DH11" s="449">
        <v>257.91391043490898</v>
      </c>
      <c r="DI11" s="450">
        <v>251.51265323328099</v>
      </c>
      <c r="DJ11" s="143"/>
      <c r="FM11" s="142"/>
      <c r="FN11" s="3"/>
      <c r="JH11" s="143"/>
      <c r="JI11" s="143"/>
      <c r="JJ11" s="142"/>
      <c r="JK11" s="143"/>
      <c r="OO11" s="143">
        <v>26946.1077844311</v>
      </c>
      <c r="OP11" s="143">
        <v>17383.2335329341</v>
      </c>
      <c r="OR11" s="143" t="s">
        <v>322</v>
      </c>
      <c r="PF11" s="146"/>
      <c r="PJ11" s="143"/>
      <c r="RM11" s="146"/>
      <c r="AEE11" s="142">
        <f>35.8500000000058*1000</f>
        <v>35850.000000005799</v>
      </c>
      <c r="AGV11" s="142"/>
      <c r="AIK11" s="142"/>
      <c r="AIL11" s="142"/>
      <c r="AIM11" s="142"/>
      <c r="AIT11" s="2" t="s">
        <v>64</v>
      </c>
      <c r="AIU11" s="142">
        <v>566885</v>
      </c>
      <c r="AIV11" s="142">
        <f>T20</f>
        <v>0</v>
      </c>
      <c r="AIW11" s="4">
        <f>AIU11-AIV11</f>
        <v>566885</v>
      </c>
    </row>
    <row r="12" spans="2:933">
      <c r="B12" s="2213"/>
      <c r="C12" s="442" t="s">
        <v>97</v>
      </c>
      <c r="D12" s="443"/>
      <c r="E12" s="444" t="s">
        <v>14</v>
      </c>
      <c r="F12" s="445">
        <v>0</v>
      </c>
      <c r="G12" s="445"/>
      <c r="H12" s="1526"/>
      <c r="I12" s="1541"/>
      <c r="J12" s="1533"/>
      <c r="K12" s="445"/>
      <c r="L12" s="445"/>
      <c r="M12" s="445"/>
      <c r="N12" s="445"/>
      <c r="O12" s="445"/>
      <c r="P12" s="58"/>
      <c r="Q12" s="445"/>
      <c r="R12" s="445" t="e">
        <f>'[2]Desember 24'!AL12</f>
        <v>#DIV/0!</v>
      </c>
      <c r="S12" s="720"/>
      <c r="T12" s="58">
        <f>SUM(F12:Q12)</f>
        <v>0</v>
      </c>
      <c r="U12" s="669"/>
      <c r="V12" s="772"/>
      <c r="W12" s="63"/>
      <c r="X12" s="1"/>
      <c r="Y12" s="1"/>
      <c r="Z12" s="1"/>
      <c r="AA12" s="1"/>
      <c r="AB12" s="1"/>
      <c r="AC12" s="1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R12" s="63"/>
      <c r="AT12" s="453"/>
      <c r="AU12" s="453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43"/>
      <c r="BY12" s="1"/>
      <c r="DA12" s="1"/>
      <c r="DE12" s="432"/>
      <c r="DF12" s="5"/>
      <c r="DG12" s="452"/>
      <c r="DH12" s="453"/>
      <c r="DI12" s="454"/>
      <c r="DJ12" s="143"/>
      <c r="FM12" s="143"/>
      <c r="JH12" s="143"/>
      <c r="JI12" s="143"/>
      <c r="JJ12" s="143"/>
      <c r="JK12" s="143"/>
      <c r="OO12" s="143"/>
      <c r="OP12" s="143"/>
      <c r="OR12" s="143"/>
      <c r="PF12" s="146"/>
      <c r="PJ12" s="143"/>
      <c r="RM12" s="146"/>
      <c r="AGV12" s="142"/>
      <c r="AIK12" s="142"/>
      <c r="AIL12" s="142"/>
      <c r="AIM12" s="142"/>
      <c r="AIT12" s="2"/>
      <c r="AIU12" s="142"/>
      <c r="AIV12" s="142"/>
    </row>
    <row r="13" spans="2:933">
      <c r="B13" s="2213"/>
      <c r="C13" s="442" t="s">
        <v>98</v>
      </c>
      <c r="D13" s="443"/>
      <c r="E13" s="444" t="s">
        <v>14</v>
      </c>
      <c r="F13" s="445">
        <v>0</v>
      </c>
      <c r="G13" s="445"/>
      <c r="H13" s="1526"/>
      <c r="I13" s="1541"/>
      <c r="J13" s="1533"/>
      <c r="K13" s="445"/>
      <c r="L13" s="445"/>
      <c r="M13" s="445"/>
      <c r="N13" s="445"/>
      <c r="O13" s="445"/>
      <c r="P13" s="445"/>
      <c r="Q13" s="445"/>
      <c r="R13" s="445" t="e">
        <f>'[2]Desember 24'!AL13</f>
        <v>#DIV/0!</v>
      </c>
      <c r="S13" s="720"/>
      <c r="T13" s="451">
        <f>SUM(F13:Q13)</f>
        <v>0</v>
      </c>
      <c r="U13" s="669"/>
      <c r="V13" s="772"/>
      <c r="W13" s="366"/>
      <c r="X13" s="1"/>
      <c r="Y13" s="3"/>
      <c r="Z13" s="1"/>
      <c r="AA13" s="1"/>
      <c r="AB13" s="1"/>
      <c r="AC13" s="1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R13" s="63"/>
      <c r="AT13" s="453"/>
      <c r="AU13" s="453"/>
      <c r="AV13" s="1"/>
      <c r="AW13" s="1"/>
      <c r="AX13" s="363" t="e">
        <f>AW13/Q13</f>
        <v>#DIV/0!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3"/>
      <c r="BY13" s="1"/>
      <c r="DA13" s="1"/>
      <c r="DE13" s="432"/>
      <c r="DF13" s="5"/>
      <c r="DG13" s="452"/>
      <c r="DH13" s="453"/>
      <c r="DI13" s="454"/>
      <c r="DJ13" s="143"/>
      <c r="FM13" s="143"/>
      <c r="JH13" s="143"/>
      <c r="JI13" s="143"/>
      <c r="JJ13" s="143"/>
      <c r="JK13" s="143"/>
      <c r="OO13" s="143"/>
      <c r="OP13" s="143"/>
      <c r="OR13" s="143"/>
      <c r="PF13" s="146"/>
      <c r="PJ13" s="143"/>
      <c r="RM13" s="146"/>
      <c r="AGV13" s="142"/>
      <c r="AIK13" s="142"/>
      <c r="AIL13" s="142"/>
      <c r="AIM13" s="142"/>
      <c r="AIT13" s="2"/>
      <c r="AIU13" s="142"/>
      <c r="AIV13" s="142"/>
    </row>
    <row r="14" spans="2:933">
      <c r="B14" s="2213"/>
      <c r="C14" s="442" t="s">
        <v>323</v>
      </c>
      <c r="D14" s="443"/>
      <c r="E14" s="444" t="s">
        <v>14</v>
      </c>
      <c r="F14" s="445">
        <v>0</v>
      </c>
      <c r="G14" s="445"/>
      <c r="H14" s="1526"/>
      <c r="I14" s="445"/>
      <c r="J14" s="1533"/>
      <c r="K14" s="445"/>
      <c r="L14" s="445"/>
      <c r="M14" s="445"/>
      <c r="N14" s="445"/>
      <c r="O14" s="445"/>
      <c r="P14" s="445"/>
      <c r="Q14" s="445"/>
      <c r="R14" s="445"/>
      <c r="S14" s="720"/>
      <c r="T14" s="58">
        <f>SUM(F14:Q14)</f>
        <v>0</v>
      </c>
      <c r="U14" s="669"/>
      <c r="V14" s="772"/>
      <c r="W14" s="366"/>
      <c r="X14" s="1"/>
      <c r="Y14" s="3"/>
      <c r="Z14" s="1"/>
      <c r="AA14" s="1"/>
      <c r="AB14" s="1"/>
      <c r="AC14" s="1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R14" s="63"/>
      <c r="AT14" s="453"/>
      <c r="AU14" s="453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3"/>
      <c r="BY14" s="1"/>
      <c r="DA14" s="1"/>
      <c r="DE14" s="432"/>
      <c r="DF14" s="5"/>
      <c r="DG14" s="452"/>
      <c r="DH14" s="453"/>
      <c r="DI14" s="454"/>
      <c r="DJ14" s="143"/>
      <c r="FM14" s="143"/>
      <c r="JH14" s="143"/>
      <c r="JI14" s="143"/>
      <c r="JJ14" s="143"/>
      <c r="JK14" s="143"/>
      <c r="OO14" s="143"/>
      <c r="OP14" s="143"/>
      <c r="OR14" s="143"/>
      <c r="PF14" s="146"/>
      <c r="PJ14" s="143"/>
      <c r="RM14" s="146"/>
      <c r="AGV14" s="142"/>
      <c r="AIK14" s="142"/>
      <c r="AIL14" s="142"/>
      <c r="AIM14" s="142"/>
      <c r="AIT14" s="2"/>
      <c r="AIU14" s="142"/>
      <c r="AIV14" s="142"/>
    </row>
    <row r="15" spans="2:933">
      <c r="B15" s="2213"/>
      <c r="C15" s="455" t="s">
        <v>82</v>
      </c>
      <c r="D15" s="456">
        <v>5</v>
      </c>
      <c r="E15" s="457" t="s">
        <v>25</v>
      </c>
      <c r="F15" s="458">
        <v>0</v>
      </c>
      <c r="G15" s="458"/>
      <c r="H15" s="1527"/>
      <c r="I15" s="458"/>
      <c r="J15" s="1534"/>
      <c r="K15" s="458"/>
      <c r="L15" s="458"/>
      <c r="M15" s="458"/>
      <c r="N15" s="458"/>
      <c r="O15" s="458"/>
      <c r="P15" s="1739"/>
      <c r="Q15" s="458"/>
      <c r="R15" s="458" t="e">
        <f>'[2]Desember 24'!AL14</f>
        <v>#DIV/0!</v>
      </c>
      <c r="T15" s="59">
        <f>AVERAGE(F15:Q15)</f>
        <v>0</v>
      </c>
      <c r="U15" s="670" t="e">
        <f t="shared" ref="U15:V17" si="1">AVERAGE(G15:S15)</f>
        <v>#DIV/0!</v>
      </c>
      <c r="V15" s="770" t="e">
        <f t="shared" si="1"/>
        <v>#DIV/0!</v>
      </c>
      <c r="W15" s="63"/>
      <c r="X15" s="1"/>
      <c r="Y15" s="3"/>
      <c r="Z15" s="1"/>
      <c r="AA15" s="1"/>
      <c r="AB15" s="1"/>
      <c r="AC15" s="1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R15" s="63"/>
      <c r="AT15" s="806"/>
      <c r="AU15" s="806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459"/>
      <c r="BY15" s="1"/>
      <c r="DA15" s="1"/>
      <c r="DE15" s="432" t="s">
        <v>324</v>
      </c>
      <c r="DF15" s="5" t="s">
        <v>14</v>
      </c>
      <c r="DG15" s="433">
        <v>182230</v>
      </c>
      <c r="DH15" s="434">
        <v>190070</v>
      </c>
      <c r="DI15" s="435">
        <v>197800.00000000099</v>
      </c>
      <c r="DJ15" s="459"/>
      <c r="FM15" s="459"/>
      <c r="FN15" s="459"/>
      <c r="JH15" s="459"/>
      <c r="JI15" s="459"/>
      <c r="JJ15" s="460"/>
      <c r="JK15" s="459"/>
      <c r="OO15" s="459">
        <f>T11/1000</f>
        <v>0</v>
      </c>
      <c r="OP15" s="459">
        <f>(T25+T48+T34)/1000</f>
        <v>0</v>
      </c>
      <c r="OR15" s="459" t="e">
        <f>SUM(OR16:OR17)</f>
        <v>#REF!</v>
      </c>
      <c r="PF15" s="461"/>
      <c r="PJ15" s="459"/>
      <c r="RM15" s="461"/>
      <c r="AGV15" s="459">
        <v>2000</v>
      </c>
      <c r="AIK15" s="459"/>
      <c r="AIL15" s="459"/>
      <c r="AIM15" s="459"/>
      <c r="AIT15" s="462"/>
      <c r="AIU15" s="459"/>
      <c r="AIV15" s="459"/>
    </row>
    <row r="16" spans="2:933" ht="15" thickBot="1">
      <c r="B16" s="2213"/>
      <c r="C16" s="463" t="s">
        <v>81</v>
      </c>
      <c r="D16" s="464">
        <v>0.5</v>
      </c>
      <c r="E16" s="465" t="s">
        <v>25</v>
      </c>
      <c r="F16" s="458">
        <v>0</v>
      </c>
      <c r="G16" s="458"/>
      <c r="H16" s="1527"/>
      <c r="I16" s="458"/>
      <c r="J16" s="1534"/>
      <c r="K16" s="458"/>
      <c r="L16" s="458"/>
      <c r="M16" s="458"/>
      <c r="N16" s="458"/>
      <c r="O16" s="458"/>
      <c r="P16" s="1739"/>
      <c r="Q16" s="458"/>
      <c r="R16" s="458" t="e">
        <f>'[2]Desember 24'!AL15</f>
        <v>#DIV/0!</v>
      </c>
      <c r="S16" s="720"/>
      <c r="T16" s="59">
        <f>AVERAGE(F16:Q16)</f>
        <v>0</v>
      </c>
      <c r="U16" s="670" t="e">
        <f t="shared" si="1"/>
        <v>#DIV/0!</v>
      </c>
      <c r="V16" s="770" t="e">
        <f t="shared" si="1"/>
        <v>#DIV/0!</v>
      </c>
      <c r="W16" s="63"/>
      <c r="X16" s="1"/>
      <c r="Y16" s="3"/>
      <c r="Z16" s="1"/>
      <c r="AA16" s="1"/>
      <c r="AB16" s="1"/>
      <c r="AC16" s="1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R16" s="63"/>
      <c r="AT16" s="453"/>
      <c r="AU16" s="453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143"/>
      <c r="BY16" s="1"/>
      <c r="DA16" s="1"/>
      <c r="DE16" s="466"/>
      <c r="DF16" s="467" t="s">
        <v>325</v>
      </c>
      <c r="DG16" s="468">
        <f>DG15/(DG7/1000)</f>
        <v>92.440598177871138</v>
      </c>
      <c r="DH16" s="469">
        <f>DH15/(DH7/1000)</f>
        <v>94.321926237642941</v>
      </c>
      <c r="DI16" s="470">
        <f>DI15/(DI7/1000)</f>
        <v>98.152568193209206</v>
      </c>
      <c r="DJ16" s="143"/>
      <c r="FM16" s="143"/>
      <c r="JH16" s="143"/>
      <c r="JI16" s="459"/>
      <c r="JJ16" s="143"/>
      <c r="JK16" s="143"/>
      <c r="OO16" s="471"/>
      <c r="OP16" s="471"/>
      <c r="OR16" s="471" t="e">
        <f>#REF!/1000</f>
        <v>#REF!</v>
      </c>
      <c r="OS16" s="146" t="e">
        <f>OR16/OR15*100</f>
        <v>#REF!</v>
      </c>
      <c r="PF16" s="146"/>
      <c r="PJ16" s="143"/>
      <c r="RM16" s="146"/>
      <c r="AGU16" s="472">
        <v>0.94199999999999995</v>
      </c>
      <c r="AGV16" s="142">
        <f>AGU16*AGV15</f>
        <v>1884</v>
      </c>
      <c r="AGW16" s="1" t="s">
        <v>16</v>
      </c>
      <c r="AIK16" s="142"/>
      <c r="AIL16" s="142"/>
      <c r="AIM16" s="142"/>
      <c r="AIT16" s="2" t="s">
        <v>63</v>
      </c>
      <c r="AIU16" s="142">
        <v>9594130</v>
      </c>
      <c r="AIV16" s="142">
        <f>T26</f>
        <v>0</v>
      </c>
      <c r="AIW16" s="4">
        <f>AIU16-AIV16</f>
        <v>9594130</v>
      </c>
    </row>
    <row r="17" spans="2:933">
      <c r="B17" s="2213"/>
      <c r="C17" s="463" t="s">
        <v>80</v>
      </c>
      <c r="D17" s="473" t="s">
        <v>79</v>
      </c>
      <c r="E17" s="465" t="s">
        <v>25</v>
      </c>
      <c r="F17" s="458">
        <v>0</v>
      </c>
      <c r="G17" s="458"/>
      <c r="H17" s="1527"/>
      <c r="I17" s="458"/>
      <c r="J17" s="1534"/>
      <c r="K17" s="458"/>
      <c r="L17" s="458"/>
      <c r="M17" s="458"/>
      <c r="N17" s="458"/>
      <c r="O17" s="458"/>
      <c r="P17" s="1739"/>
      <c r="Q17" s="458"/>
      <c r="R17" s="474" t="e">
        <f>'[2]Desember 24'!AL16</f>
        <v>#DIV/0!</v>
      </c>
      <c r="S17" s="720"/>
      <c r="T17" s="59">
        <f>AVERAGE(F17:Q17)</f>
        <v>0</v>
      </c>
      <c r="U17" s="670" t="e">
        <f t="shared" si="1"/>
        <v>#DIV/0!</v>
      </c>
      <c r="V17" s="770" t="e">
        <f t="shared" si="1"/>
        <v>#DIV/0!</v>
      </c>
      <c r="W17" s="63"/>
      <c r="X17" s="1"/>
      <c r="Y17" s="1940"/>
      <c r="Z17" s="1"/>
      <c r="AA17" s="1"/>
      <c r="AB17" s="1"/>
      <c r="AC17" s="1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R17" s="63"/>
      <c r="AT17" s="453"/>
      <c r="AU17" s="453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3"/>
      <c r="BY17" s="1"/>
      <c r="DA17" s="1"/>
      <c r="DJ17" s="143"/>
      <c r="FM17" s="143"/>
      <c r="JH17" s="143"/>
      <c r="JI17" s="143"/>
      <c r="JJ17" s="143"/>
      <c r="JK17" s="143"/>
      <c r="OO17" s="143">
        <f>SUM(OO15:OO16)</f>
        <v>0</v>
      </c>
      <c r="OP17" s="143">
        <f>SUM(OP15:OP16)</f>
        <v>0</v>
      </c>
      <c r="OR17" s="471" t="e">
        <f>#REF!/1000</f>
        <v>#REF!</v>
      </c>
      <c r="OS17" s="146" t="e">
        <f>OR17/OR15*100</f>
        <v>#REF!</v>
      </c>
      <c r="PF17" s="146"/>
      <c r="PJ17" s="143"/>
      <c r="RM17" s="146"/>
      <c r="AGU17" s="475">
        <v>0.05</v>
      </c>
      <c r="AGV17" s="142">
        <f>AGU17*AGV15</f>
        <v>100</v>
      </c>
      <c r="AIK17" s="142"/>
      <c r="AIL17" s="142"/>
      <c r="AIM17" s="142"/>
      <c r="AIT17" s="2" t="s">
        <v>62</v>
      </c>
      <c r="AIU17" s="142">
        <v>2161151</v>
      </c>
      <c r="AIV17" s="142">
        <f>T27</f>
        <v>0</v>
      </c>
      <c r="AIW17" s="4">
        <f>AIU17-AIV17</f>
        <v>2161151</v>
      </c>
    </row>
    <row r="18" spans="2:933">
      <c r="B18" s="2213"/>
      <c r="C18" s="476" t="s">
        <v>78</v>
      </c>
      <c r="D18" s="477"/>
      <c r="E18" s="478"/>
      <c r="F18" s="440"/>
      <c r="G18" s="440"/>
      <c r="H18" s="532"/>
      <c r="I18" s="440"/>
      <c r="J18" s="533"/>
      <c r="K18" s="440"/>
      <c r="L18" s="440"/>
      <c r="M18" s="440"/>
      <c r="N18" s="440"/>
      <c r="O18" s="440"/>
      <c r="P18" s="440"/>
      <c r="Q18" s="440"/>
      <c r="R18" s="440"/>
      <c r="S18" s="721"/>
      <c r="T18" s="712" t="s">
        <v>78</v>
      </c>
      <c r="U18" s="671" t="s">
        <v>78</v>
      </c>
      <c r="V18" s="773" t="s">
        <v>78</v>
      </c>
      <c r="W18" s="63"/>
      <c r="X18" s="1"/>
      <c r="Y18" s="1"/>
      <c r="Z18" s="1"/>
      <c r="AA18" s="1"/>
      <c r="AB18" s="1"/>
      <c r="AC18" s="1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R18" s="63"/>
      <c r="AT18" s="453"/>
      <c r="AU18" s="453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4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3"/>
      <c r="BY18" s="1"/>
      <c r="DA18" s="1"/>
      <c r="DF18" s="5"/>
      <c r="DG18" s="143"/>
      <c r="DH18" s="143"/>
      <c r="DI18" s="143"/>
      <c r="DJ18" s="143"/>
      <c r="FM18" s="143"/>
      <c r="JH18" s="143"/>
      <c r="JI18" s="143"/>
      <c r="JJ18" s="143"/>
      <c r="JK18" s="143"/>
      <c r="OO18" s="146">
        <f>OO17/OO11*100</f>
        <v>0</v>
      </c>
      <c r="OP18" s="146">
        <f>OP17/OP11*100</f>
        <v>0</v>
      </c>
      <c r="OR18" s="143"/>
      <c r="PF18" s="146"/>
      <c r="PJ18" s="143"/>
      <c r="RM18" s="146"/>
      <c r="AEG18" s="412" t="s">
        <v>326</v>
      </c>
      <c r="AEH18" s="412"/>
      <c r="AEI18" s="412"/>
      <c r="AEJ18" s="412"/>
      <c r="AEK18" s="412"/>
      <c r="AEL18" s="412"/>
      <c r="AEM18" s="412"/>
      <c r="AEN18" s="412"/>
      <c r="AEO18" s="412"/>
      <c r="AEP18" s="412"/>
      <c r="AEQ18" s="5" t="s">
        <v>327</v>
      </c>
      <c r="AER18" s="412" t="s">
        <v>328</v>
      </c>
      <c r="AGV18" s="142"/>
      <c r="AIK18" s="142"/>
      <c r="AIL18" s="142"/>
      <c r="AIM18" s="142"/>
      <c r="AIU18" s="142"/>
      <c r="AIV18" s="142"/>
    </row>
    <row r="19" spans="2:933" ht="15" thickBot="1">
      <c r="B19" s="2213"/>
      <c r="C19" s="479" t="s">
        <v>77</v>
      </c>
      <c r="D19" s="443">
        <v>668731</v>
      </c>
      <c r="E19" s="480" t="s">
        <v>14</v>
      </c>
      <c r="F19" s="445">
        <v>0</v>
      </c>
      <c r="G19" s="445"/>
      <c r="H19" s="1526"/>
      <c r="I19" s="1540"/>
      <c r="J19" s="1533"/>
      <c r="K19" s="445"/>
      <c r="L19" s="445"/>
      <c r="M19" s="445"/>
      <c r="N19" s="445"/>
      <c r="O19" s="445"/>
      <c r="P19" s="58"/>
      <c r="Q19" s="445"/>
      <c r="R19" s="445">
        <f>'[2]Desember 24'!AL18</f>
        <v>0</v>
      </c>
      <c r="S19" s="720"/>
      <c r="T19" s="104">
        <f>SUM(F19:Q19)</f>
        <v>0</v>
      </c>
      <c r="U19" s="668">
        <v>399336000</v>
      </c>
      <c r="V19" s="772">
        <f>T19/U19*100</f>
        <v>0</v>
      </c>
      <c r="W19" s="63"/>
      <c r="X19" s="1"/>
      <c r="Y19" s="1"/>
      <c r="Z19" s="1"/>
      <c r="AA19" s="1"/>
      <c r="AB19" s="1"/>
      <c r="AC19" s="1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R19" s="63"/>
      <c r="AT19" s="434"/>
      <c r="AU19" s="434"/>
      <c r="AV19" s="3"/>
      <c r="AW19" s="1"/>
      <c r="AX19" s="363">
        <f>AX20/D19</f>
        <v>0</v>
      </c>
      <c r="AY19" s="1"/>
      <c r="AZ19" s="1"/>
      <c r="BA19" s="1"/>
      <c r="BB19" s="1"/>
      <c r="BC19" s="1"/>
      <c r="BD19" s="1"/>
      <c r="BE19" s="1"/>
      <c r="BF19" s="14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2"/>
      <c r="BY19" s="1"/>
      <c r="DA19" s="1"/>
      <c r="DE19" s="481" t="s">
        <v>329</v>
      </c>
      <c r="DF19" s="5"/>
      <c r="DG19" s="142"/>
      <c r="DH19" s="142"/>
      <c r="DI19" s="142"/>
      <c r="DJ19" s="142"/>
      <c r="FM19" s="142"/>
      <c r="JH19" s="142"/>
      <c r="JI19" s="142"/>
      <c r="JJ19" s="142"/>
      <c r="JK19" s="142"/>
      <c r="OO19" s="142"/>
      <c r="OP19" s="142"/>
      <c r="OR19" s="142"/>
      <c r="PF19" s="482"/>
      <c r="PJ19" s="142"/>
      <c r="RM19" s="482"/>
      <c r="AEE19" s="142">
        <v>136359.999999986</v>
      </c>
      <c r="AEF19" s="142">
        <v>109339.999999997</v>
      </c>
      <c r="AEG19" s="483">
        <f>SUM(AEE19:AEF19)</f>
        <v>245699.999999983</v>
      </c>
      <c r="AEQ19" s="142">
        <v>34157.880000005498</v>
      </c>
      <c r="AER19" s="483">
        <f>AEG19-AEQ19</f>
        <v>211542.1199999775</v>
      </c>
      <c r="AGV19" s="142">
        <f>AGV16</f>
        <v>1884</v>
      </c>
      <c r="AIK19" s="142"/>
      <c r="AIL19" s="142"/>
      <c r="AIM19" s="142"/>
      <c r="AIU19" s="142"/>
      <c r="AIV19" s="142"/>
    </row>
    <row r="20" spans="2:933">
      <c r="B20" s="2213"/>
      <c r="C20" s="479" t="s">
        <v>64</v>
      </c>
      <c r="D20" s="443">
        <v>33967</v>
      </c>
      <c r="E20" s="480" t="s">
        <v>14</v>
      </c>
      <c r="F20" s="445">
        <v>0</v>
      </c>
      <c r="G20" s="445"/>
      <c r="H20" s="1526"/>
      <c r="I20" s="1540"/>
      <c r="J20" s="1533"/>
      <c r="K20" s="445"/>
      <c r="L20" s="445"/>
      <c r="M20" s="445"/>
      <c r="N20" s="445"/>
      <c r="O20" s="445"/>
      <c r="P20" s="58"/>
      <c r="Q20" s="445"/>
      <c r="R20" s="445">
        <f>'[2]Desember 24'!AL19</f>
        <v>0</v>
      </c>
      <c r="S20" s="720"/>
      <c r="T20" s="58">
        <f>SUM(F20:Q20)</f>
        <v>0</v>
      </c>
      <c r="U20" s="672">
        <v>19024000</v>
      </c>
      <c r="V20" s="772">
        <f>T20/U20*100</f>
        <v>0</v>
      </c>
      <c r="W20" s="63"/>
      <c r="X20" s="1"/>
      <c r="Y20" s="3"/>
      <c r="Z20" s="1"/>
      <c r="AA20" s="1"/>
      <c r="AB20" s="1"/>
      <c r="AC20" s="1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R20" s="63"/>
      <c r="AT20" s="434"/>
      <c r="AU20" s="434"/>
      <c r="AV20" s="3"/>
      <c r="AW20" s="1"/>
      <c r="AX20" s="3">
        <f>T25+T29+T34+T48+T38</f>
        <v>0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2"/>
      <c r="BY20" s="1"/>
      <c r="DA20" s="1"/>
      <c r="DE20" s="484" t="s">
        <v>284</v>
      </c>
      <c r="DF20" s="485"/>
      <c r="DG20" s="486" t="s">
        <v>215</v>
      </c>
      <c r="DH20" s="487" t="s">
        <v>330</v>
      </c>
      <c r="DI20" s="488"/>
      <c r="DJ20" s="142"/>
      <c r="FM20" s="142"/>
      <c r="JH20" s="142"/>
      <c r="JI20" s="142"/>
      <c r="JJ20" s="142"/>
      <c r="JK20" s="142"/>
      <c r="OO20" s="142">
        <f>OO11-OO17</f>
        <v>26946.1077844311</v>
      </c>
      <c r="OP20" s="142">
        <f>OP11-OP17</f>
        <v>17383.2335329341</v>
      </c>
      <c r="OR20" s="489" t="s">
        <v>331</v>
      </c>
      <c r="OS20" s="490">
        <v>0</v>
      </c>
      <c r="PE20" s="142">
        <v>564.70506750000004</v>
      </c>
      <c r="PF20" s="482">
        <f>OS20/PE20*100</f>
        <v>0</v>
      </c>
      <c r="PI20" s="475"/>
      <c r="PJ20" s="142"/>
      <c r="RM20" s="482"/>
      <c r="AEE20" s="142">
        <v>13799.9999999993</v>
      </c>
      <c r="AEF20" s="142">
        <v>2799.9999999992701</v>
      </c>
      <c r="AEG20" s="483">
        <f>SUM(AEE20:AEF20)</f>
        <v>16599.99999999857</v>
      </c>
      <c r="AEQ20" s="142">
        <v>1469.85000000024</v>
      </c>
      <c r="AER20" s="483">
        <f>AEG20-AEQ20</f>
        <v>15130.14999999833</v>
      </c>
      <c r="AGU20" s="475">
        <v>0.75</v>
      </c>
      <c r="AGV20" s="142">
        <f>AGU20*AGV19</f>
        <v>1413</v>
      </c>
      <c r="AIK20" s="142"/>
      <c r="AIL20" s="142"/>
      <c r="AIM20" s="142"/>
      <c r="AIU20" s="142"/>
      <c r="AIV20" s="142"/>
    </row>
    <row r="21" spans="2:933">
      <c r="B21" s="2213"/>
      <c r="C21" s="718" t="s">
        <v>351</v>
      </c>
      <c r="D21" s="443"/>
      <c r="E21" s="497"/>
      <c r="F21" s="440"/>
      <c r="G21" s="440"/>
      <c r="H21" s="532"/>
      <c r="I21" s="440"/>
      <c r="J21" s="533"/>
      <c r="K21" s="440"/>
      <c r="L21" s="440"/>
      <c r="M21" s="440"/>
      <c r="N21" s="440"/>
      <c r="O21" s="440"/>
      <c r="P21" s="440"/>
      <c r="Q21" s="516"/>
      <c r="R21" s="516"/>
      <c r="S21" s="720"/>
      <c r="T21" s="58"/>
      <c r="U21" s="672"/>
      <c r="V21" s="772"/>
      <c r="W21" s="63"/>
      <c r="X21" s="1"/>
      <c r="Y21" s="3"/>
      <c r="Z21" s="3"/>
      <c r="AA21" s="1"/>
      <c r="AB21" s="1"/>
      <c r="AC21" s="1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R21" s="63"/>
      <c r="AT21" s="434"/>
      <c r="AU21" s="434"/>
      <c r="AV21" s="3"/>
      <c r="AW21" s="1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2"/>
      <c r="BY21" s="1"/>
      <c r="DA21" s="1"/>
      <c r="DE21" s="759"/>
      <c r="DF21" s="760"/>
      <c r="DG21" s="761"/>
      <c r="DH21" s="762"/>
      <c r="DI21" s="763"/>
      <c r="DJ21" s="142"/>
      <c r="FM21" s="142"/>
      <c r="JH21" s="142"/>
      <c r="JI21" s="142"/>
      <c r="JJ21" s="142"/>
      <c r="JK21" s="142"/>
      <c r="OO21" s="142"/>
      <c r="OP21" s="142"/>
      <c r="OR21" s="489"/>
      <c r="OS21" s="490"/>
      <c r="PE21" s="142"/>
      <c r="PF21" s="482"/>
      <c r="PI21" s="475"/>
      <c r="PJ21" s="142"/>
      <c r="RM21" s="482"/>
      <c r="AEE21" s="142"/>
      <c r="AEF21" s="142"/>
      <c r="AEG21" s="483"/>
      <c r="AEQ21" s="142"/>
      <c r="AER21" s="483"/>
      <c r="AGU21" s="475"/>
      <c r="AGV21" s="142"/>
      <c r="AIK21" s="142"/>
      <c r="AIL21" s="142"/>
      <c r="AIM21" s="142"/>
      <c r="AIU21" s="142"/>
      <c r="AIV21" s="142"/>
    </row>
    <row r="22" spans="2:933">
      <c r="B22" s="2213"/>
      <c r="C22" s="65" t="s">
        <v>354</v>
      </c>
      <c r="D22" s="1947">
        <v>426016</v>
      </c>
      <c r="E22" s="480" t="s">
        <v>14</v>
      </c>
      <c r="F22" s="445">
        <f>F230</f>
        <v>0</v>
      </c>
      <c r="G22" s="445"/>
      <c r="H22" s="1526"/>
      <c r="I22" s="445"/>
      <c r="J22" s="1533"/>
      <c r="K22" s="445"/>
      <c r="L22" s="445"/>
      <c r="M22" s="445"/>
      <c r="N22" s="58"/>
      <c r="O22" s="445"/>
      <c r="P22" s="58"/>
      <c r="Q22" s="445"/>
      <c r="R22" s="445"/>
      <c r="S22" s="720"/>
      <c r="T22" s="765">
        <f>SUM(F22:Q22)</f>
        <v>0</v>
      </c>
      <c r="U22" s="672"/>
      <c r="V22" s="772"/>
      <c r="W22" s="1068"/>
      <c r="X22" s="1"/>
      <c r="Y22" s="3"/>
      <c r="Z22" s="3"/>
      <c r="AA22" s="1"/>
      <c r="AB22" s="1"/>
      <c r="AC22" s="1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R22" s="63"/>
      <c r="AT22" s="434"/>
      <c r="AU22" s="434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2"/>
      <c r="BY22" s="1"/>
      <c r="DA22" s="1"/>
      <c r="DE22" s="759"/>
      <c r="DF22" s="760"/>
      <c r="DG22" s="761"/>
      <c r="DH22" s="762"/>
      <c r="DI22" s="763"/>
      <c r="DJ22" s="142"/>
      <c r="FM22" s="142"/>
      <c r="JH22" s="142"/>
      <c r="JI22" s="142"/>
      <c r="JJ22" s="142"/>
      <c r="JK22" s="142"/>
      <c r="OO22" s="142"/>
      <c r="OP22" s="142"/>
      <c r="OR22" s="489"/>
      <c r="OS22" s="490"/>
      <c r="PE22" s="142"/>
      <c r="PF22" s="482"/>
      <c r="PI22" s="475"/>
      <c r="PJ22" s="142"/>
      <c r="RM22" s="482"/>
      <c r="AEE22" s="142"/>
      <c r="AEF22" s="142"/>
      <c r="AEG22" s="483"/>
      <c r="AEQ22" s="142"/>
      <c r="AER22" s="483"/>
      <c r="AGU22" s="475"/>
      <c r="AGV22" s="142"/>
      <c r="AIK22" s="142"/>
      <c r="AIL22" s="142"/>
      <c r="AIM22" s="142"/>
      <c r="AIU22" s="142"/>
      <c r="AIV22" s="142"/>
    </row>
    <row r="23" spans="2:933">
      <c r="B23" s="2213"/>
      <c r="C23" s="14" t="s">
        <v>353</v>
      </c>
      <c r="D23" s="764"/>
      <c r="E23" s="497" t="s">
        <v>14</v>
      </c>
      <c r="F23" s="440">
        <v>0</v>
      </c>
      <c r="G23" s="440"/>
      <c r="H23" s="532"/>
      <c r="I23" s="440"/>
      <c r="J23" s="533"/>
      <c r="K23" s="440"/>
      <c r="L23" s="440"/>
      <c r="M23" s="440"/>
      <c r="N23" s="440"/>
      <c r="O23" s="440"/>
      <c r="P23" s="55"/>
      <c r="Q23" s="440"/>
      <c r="R23" s="440"/>
      <c r="S23" s="720"/>
      <c r="T23" s="766">
        <f>SUM(F23:Q23)</f>
        <v>0</v>
      </c>
      <c r="U23" s="672"/>
      <c r="V23" s="772"/>
      <c r="W23" s="63"/>
      <c r="X23" s="1"/>
      <c r="Y23" s="3"/>
      <c r="Z23" s="3"/>
      <c r="AA23" s="1"/>
      <c r="AB23" s="1"/>
      <c r="AC23" s="1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R23" s="63"/>
      <c r="AT23" s="434"/>
      <c r="AU23" s="434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2"/>
      <c r="BY23" s="1"/>
      <c r="DA23" s="1"/>
      <c r="DE23" s="759"/>
      <c r="DF23" s="760"/>
      <c r="DG23" s="761"/>
      <c r="DH23" s="762"/>
      <c r="DI23" s="763"/>
      <c r="DJ23" s="142"/>
      <c r="FM23" s="142"/>
      <c r="JH23" s="142"/>
      <c r="JI23" s="142"/>
      <c r="JJ23" s="142"/>
      <c r="JK23" s="142"/>
      <c r="OO23" s="142"/>
      <c r="OP23" s="142"/>
      <c r="OR23" s="489"/>
      <c r="OS23" s="490"/>
      <c r="PE23" s="142"/>
      <c r="PF23" s="482"/>
      <c r="PI23" s="475"/>
      <c r="PJ23" s="142"/>
      <c r="RM23" s="482"/>
      <c r="AEE23" s="142"/>
      <c r="AEF23" s="142"/>
      <c r="AEG23" s="483"/>
      <c r="AEQ23" s="142"/>
      <c r="AER23" s="483"/>
      <c r="AGU23" s="475"/>
      <c r="AGV23" s="142"/>
      <c r="AIK23" s="142"/>
      <c r="AIL23" s="142"/>
      <c r="AIM23" s="142"/>
      <c r="AIU23" s="142"/>
      <c r="AIV23" s="142"/>
    </row>
    <row r="24" spans="2:933" ht="15" thickBot="1">
      <c r="B24" s="2213"/>
      <c r="C24" s="491" t="s">
        <v>76</v>
      </c>
      <c r="D24" s="492"/>
      <c r="E24" s="493"/>
      <c r="F24" s="430"/>
      <c r="G24" s="430"/>
      <c r="H24" s="1525"/>
      <c r="I24" s="430"/>
      <c r="J24" s="1535"/>
      <c r="K24" s="430"/>
      <c r="L24" s="430"/>
      <c r="M24" s="430"/>
      <c r="N24" s="430"/>
      <c r="O24" s="430"/>
      <c r="P24" s="430"/>
      <c r="Q24" s="430"/>
      <c r="R24" s="430"/>
      <c r="S24" s="720"/>
      <c r="T24" s="713" t="s">
        <v>63</v>
      </c>
      <c r="U24" s="673" t="s">
        <v>63</v>
      </c>
      <c r="V24" s="774" t="s">
        <v>63</v>
      </c>
      <c r="W24" s="63"/>
      <c r="X24" s="1"/>
      <c r="Y24" s="1"/>
      <c r="Z24" s="1"/>
      <c r="AA24" s="1"/>
      <c r="AB24" s="1"/>
      <c r="AC24" s="1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R24" s="63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"/>
      <c r="BY24" s="1"/>
      <c r="DA24" s="1"/>
      <c r="DE24" s="422"/>
      <c r="DF24" s="494"/>
      <c r="DG24" s="424">
        <v>24</v>
      </c>
      <c r="DH24" s="425">
        <v>2</v>
      </c>
      <c r="DI24" s="426">
        <v>3</v>
      </c>
      <c r="OR24" s="489" t="s">
        <v>61</v>
      </c>
      <c r="OS24" s="495">
        <f>80.53776+PF34</f>
        <v>120.78492</v>
      </c>
      <c r="PE24" s="142">
        <v>4695.7554</v>
      </c>
      <c r="PF24" s="482">
        <f>OS24/PE24*100</f>
        <v>2.5722148985869238</v>
      </c>
      <c r="AGU24" s="475">
        <v>0.25</v>
      </c>
      <c r="AGV24" s="142">
        <f>AGU24*AGV19</f>
        <v>471</v>
      </c>
    </row>
    <row r="25" spans="2:933">
      <c r="B25" s="2213"/>
      <c r="C25" s="479" t="s">
        <v>75</v>
      </c>
      <c r="D25" s="496"/>
      <c r="E25" s="497" t="s">
        <v>14</v>
      </c>
      <c r="F25" s="440">
        <v>0</v>
      </c>
      <c r="G25" s="440"/>
      <c r="H25" s="532"/>
      <c r="I25" s="440"/>
      <c r="J25" s="533"/>
      <c r="K25" s="440"/>
      <c r="L25" s="440"/>
      <c r="M25" s="440"/>
      <c r="N25" s="440"/>
      <c r="O25" s="440"/>
      <c r="P25" s="55"/>
      <c r="Q25" s="440"/>
      <c r="R25" s="440">
        <f>R26+R27</f>
        <v>0</v>
      </c>
      <c r="S25" s="720"/>
      <c r="T25" s="58">
        <f>T26+T27</f>
        <v>0</v>
      </c>
      <c r="U25" s="668">
        <f>U26+U27</f>
        <v>87311000</v>
      </c>
      <c r="V25" s="772">
        <f>T25/U25*100</f>
        <v>0</v>
      </c>
      <c r="W25" s="63"/>
      <c r="X25" s="1"/>
      <c r="Y25" s="3"/>
      <c r="Z25" s="1"/>
      <c r="AA25" s="1"/>
      <c r="AB25" s="1"/>
      <c r="AC25" s="1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R25" s="63"/>
      <c r="AT25" s="453"/>
      <c r="AU25" s="453"/>
      <c r="AV25" s="1"/>
      <c r="AW25" s="1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43"/>
      <c r="BY25" s="1"/>
      <c r="DA25" s="1"/>
      <c r="DE25" s="432" t="s">
        <v>314</v>
      </c>
      <c r="DF25" s="5" t="s">
        <v>14</v>
      </c>
      <c r="DG25" s="433">
        <v>2000530</v>
      </c>
      <c r="DH25" s="453">
        <v>2005167</v>
      </c>
      <c r="DI25" s="435">
        <v>2025879</v>
      </c>
      <c r="DJ25" s="143"/>
      <c r="FM25" s="143"/>
      <c r="JH25" s="143"/>
      <c r="JI25" s="143"/>
      <c r="JJ25" s="143"/>
      <c r="JK25" s="143"/>
      <c r="OO25" s="143"/>
      <c r="OP25" s="143"/>
      <c r="OR25" s="143"/>
      <c r="PF25" s="146"/>
      <c r="PJ25" s="143"/>
      <c r="RM25" s="146"/>
      <c r="AEE25" s="4">
        <f>95.28%*AEE11</f>
        <v>34157.880000005527</v>
      </c>
      <c r="AEG25" s="4">
        <f>AEE19-AEQ19</f>
        <v>102202.1199999805</v>
      </c>
      <c r="AGV25" s="142"/>
      <c r="AIK25" s="142"/>
      <c r="AIL25" s="142"/>
      <c r="AIM25" s="142"/>
      <c r="AIQ25" s="1" t="s">
        <v>332</v>
      </c>
    </row>
    <row r="26" spans="2:933">
      <c r="B26" s="2213"/>
      <c r="C26" s="479" t="s">
        <v>74</v>
      </c>
      <c r="D26" s="496">
        <v>349333</v>
      </c>
      <c r="E26" s="480" t="s">
        <v>14</v>
      </c>
      <c r="F26" s="445">
        <v>0</v>
      </c>
      <c r="G26" s="445"/>
      <c r="H26" s="1526"/>
      <c r="I26" s="445"/>
      <c r="J26" s="1533"/>
      <c r="K26" s="445"/>
      <c r="L26" s="445"/>
      <c r="M26" s="445"/>
      <c r="N26" s="445"/>
      <c r="O26" s="445"/>
      <c r="P26" s="58"/>
      <c r="Q26" s="445"/>
      <c r="R26" s="445">
        <f>'[2]Desember 24'!AL22</f>
        <v>0</v>
      </c>
      <c r="S26" s="720"/>
      <c r="T26" s="58">
        <f>SUM(F26:Q26)</f>
        <v>0</v>
      </c>
      <c r="U26" s="672">
        <v>71627000</v>
      </c>
      <c r="V26" s="772">
        <f>T26/U26*100</f>
        <v>0</v>
      </c>
      <c r="W26" s="63"/>
      <c r="X26" s="1"/>
      <c r="Y26" s="3"/>
      <c r="Z26" s="1"/>
      <c r="AA26" s="1"/>
      <c r="AB26" s="1"/>
      <c r="AC26" s="1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R26" s="63"/>
      <c r="AT26" s="1"/>
      <c r="AU26" s="1"/>
      <c r="AV26" s="3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"/>
      <c r="BY26" s="1"/>
      <c r="DA26" s="1"/>
      <c r="DE26" s="446" t="s">
        <v>321</v>
      </c>
      <c r="DF26" s="447" t="s">
        <v>19</v>
      </c>
      <c r="DG26" s="448">
        <v>255.536188590634</v>
      </c>
      <c r="DH26" s="498">
        <v>255.09239449100701</v>
      </c>
      <c r="DI26" s="450">
        <v>260.824545250543</v>
      </c>
      <c r="OO26" s="471" t="e">
        <f>#REF!/1000</f>
        <v>#REF!</v>
      </c>
      <c r="OR26" s="499" t="s">
        <v>333</v>
      </c>
      <c r="OS26" s="142">
        <v>0</v>
      </c>
      <c r="PE26" s="142">
        <v>9.7534799999999997</v>
      </c>
      <c r="PF26" s="482">
        <f>(OS26*PE26)/1000</f>
        <v>0</v>
      </c>
      <c r="AEE26" s="4">
        <f>4.1%*AEE11</f>
        <v>1469.8500000002375</v>
      </c>
      <c r="AEG26" s="4">
        <f>AEE20-AEQ20</f>
        <v>12330.149999999059</v>
      </c>
    </row>
    <row r="27" spans="2:933">
      <c r="B27" s="2213"/>
      <c r="C27" s="479" t="s">
        <v>73</v>
      </c>
      <c r="D27" s="496">
        <v>76683</v>
      </c>
      <c r="E27" s="480" t="s">
        <v>14</v>
      </c>
      <c r="F27" s="445">
        <v>0</v>
      </c>
      <c r="G27" s="445"/>
      <c r="H27" s="1526"/>
      <c r="I27" s="445"/>
      <c r="J27" s="1533"/>
      <c r="K27" s="445"/>
      <c r="L27" s="445"/>
      <c r="M27" s="445"/>
      <c r="N27" s="445"/>
      <c r="O27" s="445"/>
      <c r="P27" s="58"/>
      <c r="Q27" s="445"/>
      <c r="R27" s="445">
        <f>'[2]Desember 24'!AL23</f>
        <v>0</v>
      </c>
      <c r="S27" s="720"/>
      <c r="T27" s="58">
        <f>SUM(F27:Q27)</f>
        <v>0</v>
      </c>
      <c r="U27" s="672">
        <v>15684000</v>
      </c>
      <c r="V27" s="772">
        <f>T27/U27*100</f>
        <v>0</v>
      </c>
      <c r="W27" s="63"/>
      <c r="X27" s="1"/>
      <c r="Y27" s="1"/>
      <c r="Z27" s="1"/>
      <c r="AA27" s="1"/>
      <c r="AB27" s="1"/>
      <c r="AC27" s="1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R27" s="63"/>
      <c r="AT27" s="1"/>
      <c r="AU27" s="1"/>
      <c r="AV27" s="3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432" t="s">
        <v>324</v>
      </c>
      <c r="DF27" s="5" t="s">
        <v>14</v>
      </c>
      <c r="DG27" s="433">
        <v>146000</v>
      </c>
      <c r="DH27" s="434">
        <v>151100</v>
      </c>
      <c r="DI27" s="435">
        <v>152900</v>
      </c>
      <c r="OO27" s="142">
        <v>1796</v>
      </c>
      <c r="OQ27" s="482"/>
      <c r="OR27" s="499" t="s">
        <v>334</v>
      </c>
      <c r="OS27" s="471">
        <v>1262</v>
      </c>
      <c r="PE27" s="1">
        <v>10.86</v>
      </c>
      <c r="PF27" s="482">
        <f>(OS27*PE27)/1000</f>
        <v>13.70532</v>
      </c>
      <c r="AIQ27" s="2" t="s">
        <v>335</v>
      </c>
    </row>
    <row r="28" spans="2:933" hidden="1">
      <c r="B28" s="2213"/>
      <c r="C28" s="491" t="s">
        <v>104</v>
      </c>
      <c r="D28" s="496"/>
      <c r="E28" s="500"/>
      <c r="F28" s="501"/>
      <c r="G28" s="501"/>
      <c r="H28" s="1528"/>
      <c r="I28" s="501"/>
      <c r="J28" s="1536"/>
      <c r="K28" s="501"/>
      <c r="L28" s="501"/>
      <c r="M28" s="501"/>
      <c r="N28" s="501"/>
      <c r="O28" s="501"/>
      <c r="P28" s="501"/>
      <c r="Q28" s="501"/>
      <c r="R28" s="501"/>
      <c r="S28" s="720"/>
      <c r="T28" s="713" t="s">
        <v>106</v>
      </c>
      <c r="U28" s="673" t="s">
        <v>106</v>
      </c>
      <c r="V28" s="774" t="s">
        <v>106</v>
      </c>
      <c r="W28" s="63"/>
      <c r="X28" s="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R28" s="63"/>
      <c r="AT28" s="1"/>
      <c r="AU28" s="1"/>
      <c r="AV28" s="3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"/>
      <c r="BY28" s="1"/>
      <c r="DA28" s="1"/>
      <c r="DE28" s="432"/>
      <c r="DF28" s="5"/>
      <c r="DG28" s="433"/>
      <c r="DH28" s="434"/>
      <c r="DI28" s="435"/>
      <c r="OO28" s="142"/>
      <c r="OQ28" s="482"/>
      <c r="OR28" s="499"/>
      <c r="OS28" s="471"/>
      <c r="PE28" s="1"/>
      <c r="PF28" s="482"/>
      <c r="AIQ28" s="2"/>
    </row>
    <row r="29" spans="2:933" hidden="1">
      <c r="B29" s="2213"/>
      <c r="C29" s="479" t="s">
        <v>75</v>
      </c>
      <c r="D29" s="496"/>
      <c r="E29" s="480" t="s">
        <v>14</v>
      </c>
      <c r="F29" s="445">
        <v>0</v>
      </c>
      <c r="G29" s="445"/>
      <c r="H29" s="1526"/>
      <c r="I29" s="1540"/>
      <c r="J29" s="1533"/>
      <c r="K29" s="445"/>
      <c r="L29" s="445"/>
      <c r="M29" s="445"/>
      <c r="N29" s="445"/>
      <c r="O29" s="445"/>
      <c r="P29" s="445"/>
      <c r="Q29" s="445"/>
      <c r="R29" s="445">
        <f>R30+R31</f>
        <v>0</v>
      </c>
      <c r="S29" s="720"/>
      <c r="T29" s="58">
        <f>T30+T31</f>
        <v>0</v>
      </c>
      <c r="U29" s="668">
        <f>U30+U31</f>
        <v>5121000</v>
      </c>
      <c r="V29" s="772">
        <f>T29/U29*100</f>
        <v>0</v>
      </c>
      <c r="W29" s="366"/>
      <c r="X29" s="1"/>
      <c r="Y29" s="63"/>
      <c r="Z29" s="63"/>
      <c r="AA29" s="63"/>
      <c r="AB29" s="63"/>
      <c r="AC29" s="63"/>
      <c r="AD29" s="63"/>
      <c r="AE29" s="63"/>
      <c r="AF29" s="808"/>
      <c r="AG29" s="808"/>
      <c r="AH29" s="808"/>
      <c r="AI29" s="808"/>
      <c r="AJ29" s="808"/>
      <c r="AK29" s="808"/>
      <c r="AL29" s="808"/>
      <c r="AM29" s="808"/>
      <c r="AN29" s="63"/>
      <c r="AO29" s="63"/>
      <c r="AP29" s="63"/>
      <c r="AR29" s="63"/>
      <c r="AT29" s="1"/>
      <c r="AU29" s="1"/>
      <c r="AV29" s="3"/>
      <c r="AW29" s="1"/>
      <c r="AX29" s="366">
        <f>T29+T34</f>
        <v>0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32"/>
      <c r="DF29" s="5"/>
      <c r="DG29" s="433"/>
      <c r="DH29" s="434"/>
      <c r="DI29" s="435"/>
      <c r="OO29" s="142"/>
      <c r="OQ29" s="482"/>
      <c r="OR29" s="499"/>
      <c r="OS29" s="471"/>
      <c r="PE29" s="1"/>
      <c r="PF29" s="482"/>
      <c r="AIQ29" s="2"/>
    </row>
    <row r="30" spans="2:933" hidden="1">
      <c r="B30" s="2213"/>
      <c r="C30" s="479" t="s">
        <v>105</v>
      </c>
      <c r="D30" s="496"/>
      <c r="E30" s="480" t="s">
        <v>14</v>
      </c>
      <c r="F30" s="445">
        <v>0</v>
      </c>
      <c r="G30" s="445"/>
      <c r="H30" s="1526"/>
      <c r="I30" s="1540"/>
      <c r="J30" s="1533"/>
      <c r="K30" s="445"/>
      <c r="L30" s="445"/>
      <c r="M30" s="445"/>
      <c r="N30" s="445"/>
      <c r="O30" s="445"/>
      <c r="P30" s="445"/>
      <c r="Q30" s="445"/>
      <c r="R30" s="445">
        <f>'[2]Desember 24'!AL26</f>
        <v>0</v>
      </c>
      <c r="S30" s="720"/>
      <c r="T30" s="58">
        <f>SUM(F30:Q30)</f>
        <v>0</v>
      </c>
      <c r="U30" s="672">
        <v>3934000</v>
      </c>
      <c r="V30" s="772">
        <f>T30/U30*100</f>
        <v>0</v>
      </c>
      <c r="W30" s="366"/>
      <c r="X30" s="1"/>
      <c r="Y30" s="63"/>
      <c r="Z30" s="63"/>
      <c r="AA30" s="63"/>
      <c r="AB30" s="63"/>
      <c r="AC30" s="63"/>
      <c r="AD30" s="63"/>
      <c r="AE30" s="63"/>
      <c r="AF30" s="808"/>
      <c r="AG30" s="808"/>
      <c r="AH30" s="63"/>
      <c r="AI30" s="63"/>
      <c r="AJ30" s="63"/>
      <c r="AK30" s="63"/>
      <c r="AL30" s="63"/>
      <c r="AM30" s="63"/>
      <c r="AN30" s="63"/>
      <c r="AO30" s="63"/>
      <c r="AP30" s="63"/>
      <c r="AR30" s="63"/>
      <c r="AT30" s="1"/>
      <c r="AU30" s="1"/>
      <c r="AV30" s="3"/>
      <c r="AW30" s="1"/>
      <c r="AX30" s="366">
        <f>T30+T35</f>
        <v>0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432"/>
      <c r="DF30" s="5"/>
      <c r="DG30" s="433"/>
      <c r="DH30" s="434"/>
      <c r="DI30" s="435"/>
      <c r="OO30" s="142"/>
      <c r="OQ30" s="482"/>
      <c r="OR30" s="499"/>
      <c r="OS30" s="471"/>
      <c r="PE30" s="1"/>
      <c r="PF30" s="482"/>
      <c r="AIQ30" s="2"/>
    </row>
    <row r="31" spans="2:933" hidden="1">
      <c r="B31" s="2213"/>
      <c r="C31" s="479" t="s">
        <v>73</v>
      </c>
      <c r="D31" s="496"/>
      <c r="E31" s="480" t="s">
        <v>14</v>
      </c>
      <c r="F31" s="445">
        <v>0</v>
      </c>
      <c r="G31" s="445"/>
      <c r="H31" s="1526"/>
      <c r="I31" s="1540"/>
      <c r="J31" s="1533"/>
      <c r="K31" s="445"/>
      <c r="L31" s="445"/>
      <c r="M31" s="445"/>
      <c r="N31" s="445"/>
      <c r="O31" s="445"/>
      <c r="P31" s="445"/>
      <c r="Q31" s="445"/>
      <c r="R31" s="445">
        <f>'[2]Desember 24'!AL27</f>
        <v>0</v>
      </c>
      <c r="S31" s="720"/>
      <c r="T31" s="58">
        <f>SUM(F31:Q31)</f>
        <v>0</v>
      </c>
      <c r="U31" s="672">
        <v>1187000</v>
      </c>
      <c r="V31" s="772">
        <f>T31/U31*100</f>
        <v>0</v>
      </c>
      <c r="W31" s="366"/>
      <c r="X31" s="1"/>
      <c r="Y31" s="63"/>
      <c r="Z31" s="63"/>
      <c r="AA31" s="63"/>
      <c r="AB31" s="63"/>
      <c r="AC31" s="63"/>
      <c r="AD31" s="63"/>
      <c r="AE31" s="63"/>
      <c r="AF31" s="808"/>
      <c r="AG31" s="808"/>
      <c r="AH31" s="63"/>
      <c r="AI31" s="63"/>
      <c r="AJ31" s="63"/>
      <c r="AK31" s="63"/>
      <c r="AL31" s="63"/>
      <c r="AM31" s="63"/>
      <c r="AN31" s="63"/>
      <c r="AO31" s="63"/>
      <c r="AP31" s="63"/>
      <c r="AR31" s="63"/>
      <c r="AT31" s="1"/>
      <c r="AU31" s="1"/>
      <c r="AV31" s="3"/>
      <c r="AW31" s="1"/>
      <c r="AX31" s="366">
        <f>T31+T36</f>
        <v>0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32"/>
      <c r="DF31" s="5"/>
      <c r="DG31" s="433"/>
      <c r="DH31" s="434"/>
      <c r="DI31" s="435"/>
      <c r="OO31" s="142"/>
      <c r="OQ31" s="482"/>
      <c r="OR31" s="499"/>
      <c r="OS31" s="471"/>
      <c r="PE31" s="1"/>
      <c r="PF31" s="482"/>
      <c r="AIQ31" s="2"/>
    </row>
    <row r="32" spans="2:933" ht="15" hidden="1" thickBot="1">
      <c r="B32" s="2213"/>
      <c r="C32" s="491" t="s">
        <v>107</v>
      </c>
      <c r="D32" s="502"/>
      <c r="E32" s="493"/>
      <c r="F32" s="430"/>
      <c r="G32" s="430"/>
      <c r="H32" s="1525"/>
      <c r="I32" s="503"/>
      <c r="J32" s="1535"/>
      <c r="K32" s="430"/>
      <c r="L32" s="430"/>
      <c r="M32" s="430"/>
      <c r="N32" s="430"/>
      <c r="O32" s="430"/>
      <c r="P32" s="430"/>
      <c r="Q32" s="430"/>
      <c r="R32" s="430"/>
      <c r="S32" s="720"/>
      <c r="T32" s="713" t="s">
        <v>108</v>
      </c>
      <c r="U32" s="673" t="s">
        <v>108</v>
      </c>
      <c r="V32" s="774" t="s">
        <v>108</v>
      </c>
      <c r="W32" s="63"/>
      <c r="X32" s="1"/>
      <c r="Y32" s="63"/>
      <c r="Z32" s="63"/>
      <c r="AA32" s="63"/>
      <c r="AB32" s="63"/>
      <c r="AC32" s="63"/>
      <c r="AD32" s="63"/>
      <c r="AE32" s="63"/>
      <c r="AF32" s="2211"/>
      <c r="AG32" s="2211"/>
      <c r="AH32" s="63"/>
      <c r="AI32" s="63"/>
      <c r="AJ32" s="63"/>
      <c r="AK32" s="63"/>
      <c r="AL32" s="63"/>
      <c r="AM32" s="63"/>
      <c r="AN32" s="63"/>
      <c r="AO32" s="63"/>
      <c r="AP32" s="63"/>
      <c r="AR32" s="63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66"/>
      <c r="DF32" s="467" t="s">
        <v>325</v>
      </c>
      <c r="DG32" s="504">
        <f>DG27/(DG25/1000)</f>
        <v>72.980660125066862</v>
      </c>
      <c r="DH32" s="505">
        <f>DH27/(DH25/1000)</f>
        <v>75.35531953198911</v>
      </c>
      <c r="DI32" s="506">
        <f>DI27/(DI25/1000)</f>
        <v>75.473411788167013</v>
      </c>
      <c r="OO32" s="482" t="e">
        <f>OO26/OO27*100</f>
        <v>#REF!</v>
      </c>
      <c r="OQ32" s="482"/>
      <c r="OR32" s="499" t="s">
        <v>336</v>
      </c>
      <c r="OS32" s="471">
        <v>2444</v>
      </c>
      <c r="PE32" s="1">
        <v>10.86</v>
      </c>
      <c r="PF32" s="482">
        <f>(OS32*PE32)/1000</f>
        <v>26.541840000000001</v>
      </c>
      <c r="AIQ32" s="2" t="s">
        <v>316</v>
      </c>
    </row>
    <row r="33" spans="1:14939" hidden="1">
      <c r="A33" s="16"/>
      <c r="B33" s="2213"/>
      <c r="C33" s="507" t="s">
        <v>71</v>
      </c>
      <c r="D33" s="508"/>
      <c r="E33" s="509" t="s">
        <v>14</v>
      </c>
      <c r="F33" s="445">
        <v>0</v>
      </c>
      <c r="G33" s="445"/>
      <c r="H33" s="1526"/>
      <c r="I33" s="445"/>
      <c r="J33" s="1533"/>
      <c r="K33" s="445"/>
      <c r="L33" s="445"/>
      <c r="M33" s="445"/>
      <c r="N33" s="445"/>
      <c r="O33" s="445"/>
      <c r="P33" s="445"/>
      <c r="Q33" s="445"/>
      <c r="R33" s="445">
        <f>'[2]Desember 24'!AL29</f>
        <v>0</v>
      </c>
      <c r="S33" s="722"/>
      <c r="T33" s="510">
        <f>SUM(F33:Q33)</f>
        <v>0</v>
      </c>
      <c r="U33" s="674">
        <f>U34/U56%</f>
        <v>32338304.029689282</v>
      </c>
      <c r="V33" s="772">
        <f>(T33/U33)*100</f>
        <v>0</v>
      </c>
      <c r="W33" s="809"/>
      <c r="X33" s="16"/>
      <c r="Y33" s="809"/>
      <c r="Z33" s="809"/>
      <c r="AA33" s="809"/>
      <c r="AB33" s="809"/>
      <c r="AC33" s="809"/>
      <c r="AD33" s="809"/>
      <c r="AE33" s="809"/>
      <c r="AF33" s="810"/>
      <c r="AG33" s="810"/>
      <c r="AH33" s="809"/>
      <c r="AI33" s="809"/>
      <c r="AJ33" s="809"/>
      <c r="AK33" s="809"/>
      <c r="AL33" s="809"/>
      <c r="AM33" s="809"/>
      <c r="AN33" s="809"/>
      <c r="AO33" s="809"/>
      <c r="AP33" s="809"/>
      <c r="AQ33" s="809"/>
      <c r="AR33" s="809"/>
      <c r="AS33" s="809"/>
      <c r="AT33" s="811"/>
      <c r="AU33" s="811"/>
      <c r="AV33" s="16"/>
      <c r="AW33" s="16"/>
      <c r="AX33" s="1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V33" s="16"/>
      <c r="BW33" s="16"/>
      <c r="BX33" s="145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F33" s="5" t="s">
        <v>325</v>
      </c>
      <c r="DG33" s="146" t="e">
        <f>DG27/(DG20/1000)</f>
        <v>#VALUE!</v>
      </c>
      <c r="DH33" s="146" t="e">
        <f>DI27/(DH20/1000)</f>
        <v>#VALUE!</v>
      </c>
      <c r="DI33" s="146" t="e">
        <f>#REF!/(DI20/1000)</f>
        <v>#REF!</v>
      </c>
      <c r="DJ33" s="145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45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45"/>
      <c r="JI33" s="145"/>
      <c r="JJ33" s="145"/>
      <c r="JK33" s="145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45"/>
      <c r="OP33" s="145"/>
      <c r="OQ33" s="511"/>
      <c r="OR33" s="145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511"/>
      <c r="PG33" s="16"/>
      <c r="PH33" s="16"/>
      <c r="PI33" s="16"/>
      <c r="PJ33" s="145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511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45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45"/>
      <c r="AIL33" s="145"/>
      <c r="AIM33" s="145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  <c r="VBO33" s="16"/>
    </row>
    <row r="34" spans="1:14939" hidden="1">
      <c r="B34" s="2213"/>
      <c r="C34" s="479" t="s">
        <v>70</v>
      </c>
      <c r="D34" s="496">
        <f>SUM(D35:D36)</f>
        <v>15000</v>
      </c>
      <c r="E34" s="480" t="s">
        <v>14</v>
      </c>
      <c r="F34" s="445">
        <v>0</v>
      </c>
      <c r="G34" s="445"/>
      <c r="H34" s="1526"/>
      <c r="I34" s="445"/>
      <c r="J34" s="1533"/>
      <c r="K34" s="445"/>
      <c r="L34" s="445"/>
      <c r="M34" s="445"/>
      <c r="N34" s="445"/>
      <c r="O34" s="445"/>
      <c r="P34" s="445"/>
      <c r="Q34" s="445"/>
      <c r="R34" s="445">
        <f>R35+R36</f>
        <v>0</v>
      </c>
      <c r="S34" s="720"/>
      <c r="T34" s="510">
        <f>T35+T36</f>
        <v>0</v>
      </c>
      <c r="U34" s="675">
        <f>U35+U36</f>
        <v>30647000</v>
      </c>
      <c r="V34" s="772">
        <f>(T34/U34)*100</f>
        <v>0</v>
      </c>
      <c r="W34" s="63"/>
      <c r="X34" s="1"/>
      <c r="Y34" s="63"/>
      <c r="Z34" s="63"/>
      <c r="AA34" s="63"/>
      <c r="AB34" s="63"/>
      <c r="AC34" s="63"/>
      <c r="AD34" s="63"/>
      <c r="AE34" s="63"/>
      <c r="AF34" s="2211"/>
      <c r="AG34" s="2211"/>
      <c r="AH34" s="63"/>
      <c r="AI34" s="63"/>
      <c r="AJ34" s="63"/>
      <c r="AK34" s="63"/>
      <c r="AL34" s="63"/>
      <c r="AM34" s="63"/>
      <c r="AN34" s="63"/>
      <c r="AO34" s="63"/>
      <c r="AP34" s="63"/>
      <c r="AR34" s="63"/>
      <c r="AT34" s="453"/>
      <c r="AU34" s="453"/>
      <c r="AV34" s="1"/>
      <c r="AW34" s="1"/>
      <c r="AX34" s="16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V34" s="1"/>
      <c r="BW34" s="1"/>
      <c r="BX34" s="143"/>
      <c r="BY34" s="1"/>
      <c r="DA34" s="1"/>
      <c r="DE34" s="2"/>
      <c r="DF34" s="5"/>
      <c r="DG34" s="142"/>
      <c r="DH34" s="142"/>
      <c r="DI34" s="142"/>
      <c r="DJ34" s="143"/>
      <c r="FM34" s="143"/>
      <c r="JH34" s="143"/>
      <c r="JI34" s="143"/>
      <c r="JJ34" s="143"/>
      <c r="JK34" s="143"/>
      <c r="OO34" s="143"/>
      <c r="OP34" s="143"/>
      <c r="OQ34" s="146"/>
      <c r="OR34" s="143"/>
      <c r="PF34" s="146">
        <f>SUM(PF27:PF32)</f>
        <v>40.247160000000001</v>
      </c>
      <c r="PJ34" s="143"/>
      <c r="RM34" s="146"/>
      <c r="AGV34" s="142"/>
      <c r="AIK34" s="142"/>
      <c r="AIL34" s="142"/>
      <c r="AIM34" s="142"/>
    </row>
    <row r="35" spans="1:14939" hidden="1">
      <c r="B35" s="2213"/>
      <c r="C35" s="479" t="s">
        <v>337</v>
      </c>
      <c r="D35" s="496">
        <v>12000</v>
      </c>
      <c r="E35" s="480" t="s">
        <v>14</v>
      </c>
      <c r="F35" s="445">
        <v>0</v>
      </c>
      <c r="G35" s="445"/>
      <c r="H35" s="1526"/>
      <c r="I35" s="445"/>
      <c r="J35" s="1533"/>
      <c r="K35" s="445"/>
      <c r="L35" s="445"/>
      <c r="M35" s="445"/>
      <c r="N35" s="445"/>
      <c r="O35" s="445"/>
      <c r="P35" s="445"/>
      <c r="Q35" s="445"/>
      <c r="R35" s="445">
        <f>'[2]Desember 24'!AL31</f>
        <v>0</v>
      </c>
      <c r="S35" s="720"/>
      <c r="T35" s="512">
        <f>SUM(F35:Q35)</f>
        <v>0</v>
      </c>
      <c r="U35" s="676">
        <v>23002000</v>
      </c>
      <c r="V35" s="772">
        <f>T35/U35*100</f>
        <v>0</v>
      </c>
      <c r="W35" s="63"/>
      <c r="X35" s="5"/>
      <c r="Y35" s="63"/>
      <c r="Z35" s="63"/>
      <c r="AA35" s="63"/>
      <c r="AB35" s="63"/>
      <c r="AC35" s="63"/>
      <c r="AD35" s="63"/>
      <c r="AE35" s="63"/>
      <c r="AF35" s="2211"/>
      <c r="AG35" s="2211"/>
      <c r="AH35" s="2211"/>
      <c r="AI35" s="2211"/>
      <c r="AJ35" s="2211"/>
      <c r="AK35" s="2211"/>
      <c r="AL35" s="2211"/>
      <c r="AM35" s="63"/>
      <c r="AN35" s="63"/>
      <c r="AO35" s="63"/>
      <c r="AP35" s="63"/>
      <c r="AR35" s="63"/>
      <c r="AT35" s="453"/>
      <c r="AU35" s="453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43"/>
      <c r="BY35" s="1"/>
      <c r="DA35" s="1"/>
      <c r="DF35" s="5"/>
      <c r="DG35" s="146"/>
      <c r="DH35" s="146"/>
      <c r="DI35" s="146"/>
      <c r="DJ35" s="143"/>
      <c r="FM35" s="143"/>
      <c r="JH35" s="143"/>
      <c r="JI35" s="143"/>
      <c r="JJ35" s="143"/>
      <c r="JK35" s="143"/>
      <c r="OO35" s="143"/>
      <c r="OP35" s="143"/>
      <c r="OQ35" s="146"/>
      <c r="OR35" s="143"/>
      <c r="PF35" s="146"/>
      <c r="PJ35" s="143"/>
      <c r="RM35" s="146"/>
      <c r="AGV35" s="142"/>
      <c r="AIK35" s="142"/>
      <c r="AIL35" s="142"/>
      <c r="AIM35" s="142"/>
    </row>
    <row r="36" spans="1:14939" hidden="1">
      <c r="B36" s="2213"/>
      <c r="C36" s="442" t="s">
        <v>73</v>
      </c>
      <c r="D36" s="496">
        <v>3000</v>
      </c>
      <c r="E36" s="480" t="s">
        <v>14</v>
      </c>
      <c r="F36" s="445">
        <v>0</v>
      </c>
      <c r="G36" s="445"/>
      <c r="H36" s="1526"/>
      <c r="I36" s="445"/>
      <c r="J36" s="1533"/>
      <c r="K36" s="445"/>
      <c r="L36" s="445"/>
      <c r="M36" s="445"/>
      <c r="N36" s="445"/>
      <c r="O36" s="445"/>
      <c r="P36" s="445"/>
      <c r="Q36" s="445"/>
      <c r="R36" s="445">
        <f>'[2]Desember 24'!AL32</f>
        <v>0</v>
      </c>
      <c r="S36" s="720"/>
      <c r="T36" s="510">
        <f>SUM(F36:Q36)</f>
        <v>0</v>
      </c>
      <c r="U36" s="674">
        <v>7645000</v>
      </c>
      <c r="V36" s="772">
        <f>T36/U36*100</f>
        <v>0</v>
      </c>
      <c r="W36" s="63"/>
      <c r="X36" s="822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R36" s="63"/>
      <c r="AT36" s="453"/>
      <c r="AU36" s="453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V36" s="1"/>
      <c r="BW36" s="1"/>
      <c r="BX36" s="143"/>
      <c r="BY36" s="1"/>
      <c r="DA36" s="1"/>
      <c r="DF36" s="5"/>
      <c r="DG36" s="143"/>
      <c r="DH36" s="143"/>
      <c r="DI36" s="143"/>
      <c r="DJ36" s="143"/>
      <c r="FM36" s="143"/>
      <c r="JH36" s="143"/>
      <c r="JI36" s="143"/>
      <c r="JJ36" s="143"/>
      <c r="JK36" s="143"/>
      <c r="OO36" s="143"/>
      <c r="OP36" s="143"/>
      <c r="OR36" s="143"/>
      <c r="PF36" s="146"/>
      <c r="PJ36" s="143"/>
      <c r="RM36" s="146"/>
      <c r="AGV36" s="142"/>
      <c r="AIK36" s="142"/>
      <c r="AIL36" s="142"/>
      <c r="AIM36" s="142"/>
    </row>
    <row r="37" spans="1:14939" s="513" customFormat="1">
      <c r="B37" s="2213"/>
      <c r="C37" s="491" t="s">
        <v>338</v>
      </c>
      <c r="D37" s="514"/>
      <c r="E37" s="515"/>
      <c r="F37" s="516"/>
      <c r="G37" s="516"/>
      <c r="H37" s="1529"/>
      <c r="I37" s="516"/>
      <c r="J37" s="1537"/>
      <c r="K37" s="516"/>
      <c r="L37" s="516"/>
      <c r="M37" s="516"/>
      <c r="N37" s="516"/>
      <c r="O37" s="516"/>
      <c r="P37" s="516"/>
      <c r="Q37" s="516"/>
      <c r="R37" s="516"/>
      <c r="S37" s="721"/>
      <c r="T37" s="713" t="s">
        <v>331</v>
      </c>
      <c r="U37" s="673" t="s">
        <v>331</v>
      </c>
      <c r="V37" s="774" t="s">
        <v>331</v>
      </c>
      <c r="W37" s="63"/>
      <c r="X37" s="822"/>
      <c r="Y37" s="805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R37" s="63"/>
      <c r="AT37" s="804"/>
      <c r="AU37" s="804"/>
      <c r="AV37" s="63"/>
      <c r="AW37" s="63"/>
      <c r="AX37" s="1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V37" s="63"/>
      <c r="BW37" s="63"/>
      <c r="BX37" s="144"/>
      <c r="BY37" s="63"/>
      <c r="DA37" s="63"/>
      <c r="DF37" s="517"/>
      <c r="DG37" s="144"/>
      <c r="DH37" s="144"/>
      <c r="DI37" s="144"/>
      <c r="DJ37" s="144"/>
      <c r="FM37" s="144"/>
      <c r="JH37" s="144"/>
      <c r="JI37" s="144"/>
      <c r="JJ37" s="144"/>
      <c r="JK37" s="144"/>
      <c r="OO37" s="144"/>
      <c r="OP37" s="144"/>
      <c r="OR37" s="144"/>
      <c r="PF37" s="153"/>
      <c r="PJ37" s="144"/>
      <c r="RM37" s="153"/>
      <c r="AGV37" s="144"/>
      <c r="AIK37" s="144"/>
      <c r="AIL37" s="144"/>
      <c r="AIM37" s="144"/>
    </row>
    <row r="38" spans="1:14939">
      <c r="B38" s="2213"/>
      <c r="C38" s="479" t="s">
        <v>75</v>
      </c>
      <c r="D38" s="496"/>
      <c r="E38" s="480" t="s">
        <v>14</v>
      </c>
      <c r="F38" s="445">
        <v>0</v>
      </c>
      <c r="G38" s="1546"/>
      <c r="H38" s="1526"/>
      <c r="I38" s="1540"/>
      <c r="J38" s="1533"/>
      <c r="K38" s="445"/>
      <c r="L38" s="445"/>
      <c r="M38" s="445"/>
      <c r="N38" s="445"/>
      <c r="O38" s="445"/>
      <c r="P38" s="58"/>
      <c r="Q38" s="445"/>
      <c r="R38" s="445">
        <f>R39+R40</f>
        <v>0</v>
      </c>
      <c r="S38" s="720"/>
      <c r="T38" s="58">
        <f>T39+T40</f>
        <v>0</v>
      </c>
      <c r="U38" s="675">
        <f>U39+U40</f>
        <v>249961000</v>
      </c>
      <c r="V38" s="772">
        <f>T38/U38*100</f>
        <v>0</v>
      </c>
      <c r="W38" s="63"/>
      <c r="X38" s="822"/>
      <c r="Y38" s="805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R38" s="63"/>
      <c r="AT38" s="453"/>
      <c r="AU38" s="453"/>
      <c r="AV38" s="1"/>
      <c r="AW38" s="1"/>
      <c r="AX38" s="63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V38" s="1"/>
      <c r="BW38" s="1"/>
      <c r="BX38" s="143"/>
      <c r="BY38" s="1"/>
      <c r="DA38" s="1"/>
      <c r="DF38" s="5"/>
      <c r="DG38" s="143"/>
      <c r="DH38" s="143"/>
      <c r="DI38" s="143"/>
      <c r="DJ38" s="143"/>
      <c r="FM38" s="143"/>
      <c r="JH38" s="143"/>
      <c r="JI38" s="143"/>
      <c r="JJ38" s="143"/>
      <c r="JK38" s="143"/>
      <c r="OO38" s="143"/>
      <c r="OP38" s="143"/>
      <c r="OR38" s="143"/>
      <c r="PF38" s="146"/>
      <c r="PJ38" s="143"/>
      <c r="RM38" s="146"/>
      <c r="AGV38" s="142"/>
      <c r="AIK38" s="142"/>
      <c r="AIL38" s="142"/>
      <c r="AIM38" s="142"/>
    </row>
    <row r="39" spans="1:14939">
      <c r="B39" s="2213"/>
      <c r="C39" s="479" t="s">
        <v>339</v>
      </c>
      <c r="D39" s="496">
        <v>205714</v>
      </c>
      <c r="E39" s="480" t="s">
        <v>14</v>
      </c>
      <c r="F39" s="445">
        <v>0</v>
      </c>
      <c r="G39" s="1546"/>
      <c r="H39" s="1526"/>
      <c r="I39" s="1540"/>
      <c r="J39" s="1533"/>
      <c r="K39" s="445"/>
      <c r="L39" s="445"/>
      <c r="M39" s="445"/>
      <c r="N39" s="445"/>
      <c r="O39" s="445"/>
      <c r="P39" s="58"/>
      <c r="Q39" s="445"/>
      <c r="R39" s="445">
        <f>'[2]Desember 24'!AL35</f>
        <v>0</v>
      </c>
      <c r="S39" s="720"/>
      <c r="T39" s="58">
        <f>SUM(F39:Q39)</f>
        <v>0</v>
      </c>
      <c r="U39" s="674">
        <v>175000000</v>
      </c>
      <c r="V39" s="772">
        <f>T39/U39*100</f>
        <v>0</v>
      </c>
      <c r="W39" s="63"/>
      <c r="X39" s="5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R39" s="63"/>
      <c r="AT39" s="453"/>
      <c r="AU39" s="453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3"/>
      <c r="BY39" s="1"/>
      <c r="DA39" s="1"/>
      <c r="DF39" s="5"/>
      <c r="DG39" s="143"/>
      <c r="DH39" s="143"/>
      <c r="DI39" s="143"/>
      <c r="DJ39" s="143"/>
      <c r="FM39" s="143"/>
      <c r="JH39" s="143"/>
      <c r="JI39" s="143"/>
      <c r="JJ39" s="143"/>
      <c r="JK39" s="143"/>
      <c r="OO39" s="143"/>
      <c r="OP39" s="143"/>
      <c r="OR39" s="143"/>
      <c r="PF39" s="146"/>
      <c r="PJ39" s="143"/>
      <c r="RM39" s="146"/>
      <c r="AGV39" s="142"/>
      <c r="AIK39" s="142"/>
      <c r="AIL39" s="142"/>
      <c r="AIM39" s="142"/>
    </row>
    <row r="40" spans="1:14939">
      <c r="B40" s="2213"/>
      <c r="C40" s="479" t="s">
        <v>73</v>
      </c>
      <c r="D40" s="496">
        <v>61714</v>
      </c>
      <c r="E40" s="480" t="s">
        <v>14</v>
      </c>
      <c r="F40" s="445">
        <v>0</v>
      </c>
      <c r="G40" s="1546"/>
      <c r="H40" s="1526"/>
      <c r="I40" s="1540"/>
      <c r="J40" s="1533"/>
      <c r="K40" s="445"/>
      <c r="L40" s="445"/>
      <c r="M40" s="445"/>
      <c r="N40" s="445"/>
      <c r="O40" s="445"/>
      <c r="P40" s="58"/>
      <c r="Q40" s="445"/>
      <c r="R40" s="445">
        <f>'[2]Desember 24'!AL36</f>
        <v>0</v>
      </c>
      <c r="S40" s="720"/>
      <c r="T40" s="58">
        <f>SUM(F40:Q40)</f>
        <v>0</v>
      </c>
      <c r="U40" s="674">
        <v>74961000</v>
      </c>
      <c r="V40" s="772">
        <f>T40/U40*100</f>
        <v>0</v>
      </c>
      <c r="W40" s="63"/>
      <c r="X40" s="5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R40" s="63"/>
      <c r="AT40" s="453"/>
      <c r="AU40" s="453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V40" s="1"/>
      <c r="BW40" s="1"/>
      <c r="BX40" s="143"/>
      <c r="BY40" s="1"/>
      <c r="DA40" s="1"/>
      <c r="DF40" s="5"/>
      <c r="DG40" s="143"/>
      <c r="DH40" s="143"/>
      <c r="DI40" s="143"/>
      <c r="DJ40" s="143"/>
      <c r="FM40" s="143"/>
      <c r="JH40" s="143"/>
      <c r="JI40" s="143"/>
      <c r="JJ40" s="143"/>
      <c r="JK40" s="143"/>
      <c r="OO40" s="143"/>
      <c r="OP40" s="143"/>
      <c r="OR40" s="143"/>
      <c r="PF40" s="146"/>
      <c r="PJ40" s="143"/>
      <c r="RM40" s="146"/>
      <c r="AGV40" s="142"/>
      <c r="AIK40" s="142"/>
      <c r="AIL40" s="142"/>
      <c r="AIM40" s="142"/>
    </row>
    <row r="41" spans="1:14939" hidden="1">
      <c r="B41" s="2213"/>
      <c r="C41" s="718" t="s">
        <v>816</v>
      </c>
      <c r="D41" s="496"/>
      <c r="E41" s="480"/>
      <c r="F41" s="445"/>
      <c r="G41" s="1546"/>
      <c r="H41" s="1526"/>
      <c r="I41" s="1540"/>
      <c r="J41" s="1533"/>
      <c r="K41" s="445"/>
      <c r="L41" s="445"/>
      <c r="M41" s="445"/>
      <c r="N41" s="445"/>
      <c r="O41" s="445"/>
      <c r="P41" s="445"/>
      <c r="Q41" s="445"/>
      <c r="R41" s="445"/>
      <c r="S41" s="720"/>
      <c r="T41" s="58"/>
      <c r="U41" s="674"/>
      <c r="V41" s="772"/>
      <c r="W41" s="63"/>
      <c r="X41" s="5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R41" s="63"/>
      <c r="AT41" s="453"/>
      <c r="AU41" s="453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43"/>
      <c r="BY41" s="1"/>
      <c r="DA41" s="1"/>
      <c r="DF41" s="5"/>
      <c r="DG41" s="143"/>
      <c r="DH41" s="143"/>
      <c r="DI41" s="143"/>
      <c r="DJ41" s="143"/>
      <c r="FM41" s="143"/>
      <c r="JH41" s="143"/>
      <c r="JI41" s="143"/>
      <c r="JJ41" s="143"/>
      <c r="JK41" s="143"/>
      <c r="OO41" s="143"/>
      <c r="OP41" s="143"/>
      <c r="OR41" s="143"/>
      <c r="PF41" s="146"/>
      <c r="PJ41" s="143"/>
      <c r="RM41" s="146"/>
      <c r="AGV41" s="142"/>
      <c r="AIK41" s="142"/>
      <c r="AIL41" s="142"/>
      <c r="AIM41" s="142"/>
    </row>
    <row r="42" spans="1:14939" hidden="1">
      <c r="B42" s="2213"/>
      <c r="C42" s="72" t="s">
        <v>71</v>
      </c>
      <c r="D42" s="496"/>
      <c r="E42" s="480" t="s">
        <v>14</v>
      </c>
      <c r="F42" s="445"/>
      <c r="G42" s="1546"/>
      <c r="H42" s="1526"/>
      <c r="I42" s="1540"/>
      <c r="J42" s="1533"/>
      <c r="K42" s="445"/>
      <c r="L42" s="445"/>
      <c r="M42" s="445"/>
      <c r="N42" s="445"/>
      <c r="O42" s="445"/>
      <c r="P42" s="445"/>
      <c r="Q42" s="445"/>
      <c r="R42" s="445"/>
      <c r="S42" s="720"/>
      <c r="T42" s="58"/>
      <c r="U42" s="674"/>
      <c r="V42" s="772"/>
      <c r="W42" s="63"/>
      <c r="X42" s="5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R42" s="63"/>
      <c r="AT42" s="453"/>
      <c r="AU42" s="453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V42" s="1"/>
      <c r="BW42" s="1"/>
      <c r="BX42" s="143"/>
      <c r="BY42" s="1"/>
      <c r="DA42" s="1"/>
      <c r="DF42" s="5"/>
      <c r="DG42" s="143"/>
      <c r="DH42" s="143"/>
      <c r="DI42" s="143"/>
      <c r="DJ42" s="143"/>
      <c r="FM42" s="143"/>
      <c r="JH42" s="143"/>
      <c r="JI42" s="143"/>
      <c r="JJ42" s="143"/>
      <c r="JK42" s="143"/>
      <c r="OO42" s="143"/>
      <c r="OP42" s="143"/>
      <c r="OR42" s="143"/>
      <c r="PF42" s="146"/>
      <c r="PJ42" s="143"/>
      <c r="RM42" s="146"/>
      <c r="AGV42" s="142"/>
      <c r="AIK42" s="142"/>
      <c r="AIL42" s="142"/>
      <c r="AIM42" s="142"/>
    </row>
    <row r="43" spans="1:14939" hidden="1">
      <c r="B43" s="2213"/>
      <c r="C43" s="65" t="s">
        <v>75</v>
      </c>
      <c r="D43" s="496"/>
      <c r="E43" s="480" t="s">
        <v>14</v>
      </c>
      <c r="F43" s="445"/>
      <c r="G43" s="1546"/>
      <c r="H43" s="1526"/>
      <c r="I43" s="1540"/>
      <c r="J43" s="1533"/>
      <c r="K43" s="445"/>
      <c r="L43" s="445"/>
      <c r="M43" s="445"/>
      <c r="N43" s="445"/>
      <c r="O43" s="445"/>
      <c r="P43" s="445"/>
      <c r="Q43" s="445"/>
      <c r="R43" s="445"/>
      <c r="S43" s="720"/>
      <c r="T43" s="58"/>
      <c r="U43" s="674"/>
      <c r="V43" s="772"/>
      <c r="W43" s="63"/>
      <c r="X43" s="5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R43" s="63"/>
      <c r="AT43" s="453"/>
      <c r="AU43" s="453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3"/>
      <c r="BY43" s="1"/>
      <c r="DA43" s="1"/>
      <c r="DF43" s="5"/>
      <c r="DG43" s="143"/>
      <c r="DH43" s="143"/>
      <c r="DI43" s="143"/>
      <c r="DJ43" s="143"/>
      <c r="FM43" s="143"/>
      <c r="JH43" s="143"/>
      <c r="JI43" s="143"/>
      <c r="JJ43" s="143"/>
      <c r="JK43" s="143"/>
      <c r="OO43" s="143"/>
      <c r="OP43" s="143"/>
      <c r="OR43" s="143"/>
      <c r="PF43" s="146"/>
      <c r="PJ43" s="143"/>
      <c r="RM43" s="146"/>
      <c r="AGV43" s="142"/>
      <c r="AIK43" s="142"/>
      <c r="AIL43" s="142"/>
      <c r="AIM43" s="142"/>
    </row>
    <row r="44" spans="1:14939" hidden="1">
      <c r="B44" s="2213"/>
      <c r="C44" s="65" t="s">
        <v>112</v>
      </c>
      <c r="D44" s="496"/>
      <c r="E44" s="480" t="s">
        <v>14</v>
      </c>
      <c r="F44" s="445"/>
      <c r="G44" s="1546"/>
      <c r="H44" s="1526"/>
      <c r="I44" s="1540"/>
      <c r="J44" s="1533"/>
      <c r="K44" s="445"/>
      <c r="L44" s="445"/>
      <c r="M44" s="445"/>
      <c r="N44" s="445"/>
      <c r="O44" s="445"/>
      <c r="P44" s="445"/>
      <c r="Q44" s="445"/>
      <c r="R44" s="445"/>
      <c r="S44" s="720"/>
      <c r="T44" s="58"/>
      <c r="U44" s="674"/>
      <c r="V44" s="772"/>
      <c r="W44" s="63"/>
      <c r="X44" s="5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R44" s="63"/>
      <c r="AT44" s="453"/>
      <c r="AU44" s="453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3"/>
      <c r="BY44" s="1"/>
      <c r="DA44" s="1"/>
      <c r="DF44" s="5"/>
      <c r="DG44" s="143"/>
      <c r="DH44" s="143"/>
      <c r="DI44" s="143"/>
      <c r="DJ44" s="143"/>
      <c r="FM44" s="143"/>
      <c r="JH44" s="143"/>
      <c r="JI44" s="143"/>
      <c r="JJ44" s="143"/>
      <c r="JK44" s="143"/>
      <c r="OO44" s="143"/>
      <c r="OP44" s="143"/>
      <c r="OR44" s="143"/>
      <c r="PF44" s="146"/>
      <c r="PJ44" s="143"/>
      <c r="RM44" s="146"/>
      <c r="AGV44" s="142"/>
      <c r="AIK44" s="142"/>
      <c r="AIL44" s="142"/>
      <c r="AIM44" s="142"/>
    </row>
    <row r="45" spans="1:14939" hidden="1">
      <c r="B45" s="2213"/>
      <c r="C45" s="65" t="s">
        <v>73</v>
      </c>
      <c r="D45" s="496"/>
      <c r="E45" s="480" t="s">
        <v>14</v>
      </c>
      <c r="F45" s="445"/>
      <c r="G45" s="1546"/>
      <c r="H45" s="1526"/>
      <c r="I45" s="1540"/>
      <c r="J45" s="1533"/>
      <c r="K45" s="445"/>
      <c r="L45" s="445"/>
      <c r="M45" s="445"/>
      <c r="N45" s="445"/>
      <c r="O45" s="445"/>
      <c r="P45" s="445"/>
      <c r="Q45" s="445"/>
      <c r="R45" s="445"/>
      <c r="S45" s="720"/>
      <c r="T45" s="58"/>
      <c r="U45" s="674"/>
      <c r="V45" s="772"/>
      <c r="W45" s="63"/>
      <c r="X45" s="5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R45" s="63"/>
      <c r="AT45" s="453"/>
      <c r="AU45" s="453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3"/>
      <c r="BY45" s="1"/>
      <c r="DA45" s="1"/>
      <c r="DF45" s="5"/>
      <c r="DG45" s="143"/>
      <c r="DH45" s="143"/>
      <c r="DI45" s="143"/>
      <c r="DJ45" s="143"/>
      <c r="FM45" s="143"/>
      <c r="JH45" s="143"/>
      <c r="JI45" s="143"/>
      <c r="JJ45" s="143"/>
      <c r="JK45" s="143"/>
      <c r="OO45" s="143"/>
      <c r="OP45" s="143"/>
      <c r="OR45" s="143"/>
      <c r="PF45" s="146"/>
      <c r="PJ45" s="143"/>
      <c r="RM45" s="146"/>
      <c r="AGV45" s="142"/>
      <c r="AIK45" s="142"/>
      <c r="AIL45" s="142"/>
      <c r="AIM45" s="142"/>
    </row>
    <row r="46" spans="1:14939">
      <c r="B46" s="2213"/>
      <c r="C46" s="491" t="s">
        <v>72</v>
      </c>
      <c r="D46" s="502"/>
      <c r="E46" s="493"/>
      <c r="F46" s="430"/>
      <c r="G46" s="430"/>
      <c r="H46" s="1525"/>
      <c r="I46" s="503"/>
      <c r="J46" s="1535"/>
      <c r="K46" s="430"/>
      <c r="L46" s="430"/>
      <c r="M46" s="430"/>
      <c r="N46" s="430"/>
      <c r="O46" s="430"/>
      <c r="P46" s="430"/>
      <c r="Q46" s="430"/>
      <c r="R46" s="430"/>
      <c r="S46" s="720"/>
      <c r="T46" s="713" t="s">
        <v>61</v>
      </c>
      <c r="U46" s="673" t="s">
        <v>61</v>
      </c>
      <c r="V46" s="774" t="s">
        <v>61</v>
      </c>
      <c r="W46" s="63"/>
      <c r="X46" s="1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R46" s="63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"/>
      <c r="BY46" s="1"/>
      <c r="DA46" s="1"/>
    </row>
    <row r="47" spans="1:14939">
      <c r="A47" s="16"/>
      <c r="B47" s="2213"/>
      <c r="C47" s="507" t="s">
        <v>71</v>
      </c>
      <c r="D47" s="508"/>
      <c r="E47" s="509" t="s">
        <v>14</v>
      </c>
      <c r="F47" s="445">
        <v>0</v>
      </c>
      <c r="G47" s="445"/>
      <c r="H47" s="1526"/>
      <c r="I47" s="1542"/>
      <c r="J47" s="1533"/>
      <c r="K47" s="445"/>
      <c r="L47" s="445"/>
      <c r="M47" s="445"/>
      <c r="N47" s="445"/>
      <c r="O47" s="445"/>
      <c r="P47" s="445"/>
      <c r="Q47" s="445"/>
      <c r="R47" s="445"/>
      <c r="S47" s="722"/>
      <c r="T47" s="58">
        <f>SUM(F47:Q47)</f>
        <v>0</v>
      </c>
      <c r="U47" s="672">
        <f>U48/U56%</f>
        <v>25913272.762786224</v>
      </c>
      <c r="V47" s="772">
        <f>T47/U47*100</f>
        <v>0</v>
      </c>
      <c r="W47" s="809"/>
      <c r="X47" s="16"/>
      <c r="Y47" s="809"/>
      <c r="Z47" s="809"/>
      <c r="AA47" s="809"/>
      <c r="AB47" s="809"/>
      <c r="AC47" s="809"/>
      <c r="AD47" s="809"/>
      <c r="AE47" s="809"/>
      <c r="AF47" s="809"/>
      <c r="AG47" s="809"/>
      <c r="AH47" s="809"/>
      <c r="AI47" s="809"/>
      <c r="AJ47" s="809"/>
      <c r="AK47" s="809"/>
      <c r="AL47" s="809"/>
      <c r="AM47" s="809"/>
      <c r="AN47" s="809"/>
      <c r="AO47" s="809"/>
      <c r="AP47" s="809"/>
      <c r="AQ47" s="809"/>
      <c r="AR47" s="809"/>
      <c r="AS47" s="809"/>
      <c r="AT47" s="811"/>
      <c r="AU47" s="811"/>
      <c r="AV47" s="16"/>
      <c r="AW47" s="16"/>
      <c r="AX47" s="1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V47" s="16"/>
      <c r="BW47" s="16"/>
      <c r="BX47" s="145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518"/>
      <c r="DG47" s="145"/>
      <c r="DH47" s="145"/>
      <c r="DI47" s="145"/>
      <c r="DJ47" s="145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45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45"/>
      <c r="JI47" s="145"/>
      <c r="JJ47" s="145"/>
      <c r="JK47" s="145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45"/>
      <c r="OP47" s="145"/>
      <c r="OQ47" s="16"/>
      <c r="OR47" s="145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511"/>
      <c r="PG47" s="16"/>
      <c r="PH47" s="16"/>
      <c r="PI47" s="16"/>
      <c r="PJ47" s="145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511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45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45"/>
      <c r="AIL47" s="145"/>
      <c r="AIM47" s="145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</row>
    <row r="48" spans="1:14939">
      <c r="B48" s="2213"/>
      <c r="C48" s="479" t="s">
        <v>70</v>
      </c>
      <c r="D48" s="496"/>
      <c r="E48" s="480" t="s">
        <v>14</v>
      </c>
      <c r="F48" s="445">
        <v>0</v>
      </c>
      <c r="G48" s="445"/>
      <c r="H48" s="1526"/>
      <c r="I48" s="1540"/>
      <c r="J48" s="1533"/>
      <c r="K48" s="445"/>
      <c r="L48" s="445"/>
      <c r="M48" s="445"/>
      <c r="N48" s="445"/>
      <c r="O48" s="445"/>
      <c r="P48" s="445"/>
      <c r="Q48" s="445"/>
      <c r="R48" s="445"/>
      <c r="S48" s="720"/>
      <c r="T48" s="58">
        <f>T50+T51</f>
        <v>0</v>
      </c>
      <c r="U48" s="668">
        <f>U50+U51</f>
        <v>24558000</v>
      </c>
      <c r="V48" s="772">
        <f>T48/U48*100</f>
        <v>0</v>
      </c>
      <c r="W48" s="63"/>
      <c r="X48" s="1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R48" s="63"/>
      <c r="AT48" s="453"/>
      <c r="AU48" s="453"/>
      <c r="AV48" s="1"/>
      <c r="AW48" s="1"/>
      <c r="AX48" s="145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V48" s="1"/>
      <c r="BW48" s="1"/>
      <c r="BX48" s="143"/>
      <c r="BY48" s="1"/>
      <c r="DA48" s="1"/>
      <c r="DF48" s="5"/>
      <c r="DG48" s="143">
        <v>2136</v>
      </c>
      <c r="DH48" s="143"/>
      <c r="DI48" s="143"/>
      <c r="DJ48" s="143"/>
      <c r="FM48" s="143"/>
      <c r="JH48" s="143"/>
      <c r="JI48" s="143"/>
      <c r="JJ48" s="143"/>
      <c r="JK48" s="143"/>
      <c r="OO48" s="143"/>
      <c r="OP48" s="143"/>
      <c r="OR48" s="143"/>
      <c r="PF48" s="146"/>
      <c r="PJ48" s="143"/>
      <c r="RM48" s="146"/>
      <c r="AGV48" s="142"/>
      <c r="AIK48" s="142"/>
      <c r="AIL48" s="142"/>
      <c r="AIM48" s="142"/>
    </row>
    <row r="49" spans="2:923">
      <c r="B49" s="2213"/>
      <c r="C49" s="479" t="s">
        <v>69</v>
      </c>
      <c r="D49" s="496"/>
      <c r="E49" s="480" t="s">
        <v>14</v>
      </c>
      <c r="F49" s="445">
        <v>0</v>
      </c>
      <c r="G49" s="445"/>
      <c r="H49" s="1526"/>
      <c r="I49" s="1540"/>
      <c r="J49" s="1533"/>
      <c r="K49" s="445"/>
      <c r="L49" s="445"/>
      <c r="M49" s="445"/>
      <c r="N49" s="445"/>
      <c r="O49" s="445"/>
      <c r="P49" s="445"/>
      <c r="Q49" s="445"/>
      <c r="R49" s="445"/>
      <c r="S49" s="720"/>
      <c r="T49" s="58">
        <f>SUM(F49:Q49)</f>
        <v>0</v>
      </c>
      <c r="U49" s="672">
        <f>SUM(F49:R49)</f>
        <v>0</v>
      </c>
      <c r="V49" s="775">
        <f>SUM(H49:T49)</f>
        <v>0</v>
      </c>
      <c r="W49" s="63"/>
      <c r="X49" s="1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R49" s="63"/>
      <c r="AT49" s="453"/>
      <c r="AU49" s="453"/>
      <c r="AV49" s="1"/>
      <c r="AW49" s="1"/>
      <c r="AX49" s="145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V49" s="1"/>
      <c r="BW49" s="1"/>
      <c r="BX49" s="143"/>
      <c r="BY49" s="1"/>
      <c r="DA49" s="1"/>
      <c r="DF49" s="5"/>
      <c r="DG49" s="143"/>
      <c r="DH49" s="143"/>
      <c r="DI49" s="143"/>
      <c r="DJ49" s="143"/>
      <c r="FM49" s="143"/>
      <c r="JH49" s="143"/>
      <c r="JI49" s="143"/>
      <c r="JJ49" s="143"/>
      <c r="JK49" s="143"/>
      <c r="OO49" s="143"/>
      <c r="OP49" s="143"/>
      <c r="OR49" s="143"/>
      <c r="PF49" s="146"/>
      <c r="PJ49" s="143"/>
      <c r="RM49" s="146"/>
      <c r="AGV49" s="142"/>
      <c r="AIK49" s="142"/>
      <c r="AIL49" s="142"/>
      <c r="AIM49" s="142"/>
    </row>
    <row r="50" spans="2:923">
      <c r="B50" s="2213"/>
      <c r="C50" s="479" t="s">
        <v>68</v>
      </c>
      <c r="D50" s="496">
        <v>25000</v>
      </c>
      <c r="E50" s="480" t="s">
        <v>14</v>
      </c>
      <c r="F50" s="445">
        <v>0</v>
      </c>
      <c r="G50" s="445"/>
      <c r="H50" s="1526"/>
      <c r="I50" s="1540"/>
      <c r="J50" s="1533"/>
      <c r="K50" s="445"/>
      <c r="L50" s="445"/>
      <c r="M50" s="445"/>
      <c r="N50" s="445"/>
      <c r="O50" s="445"/>
      <c r="P50" s="445"/>
      <c r="Q50" s="445"/>
      <c r="R50" s="445"/>
      <c r="S50" s="720"/>
      <c r="T50" s="58">
        <f>SUM(F50:Q50)</f>
        <v>0</v>
      </c>
      <c r="U50" s="672">
        <v>14736000</v>
      </c>
      <c r="V50" s="772">
        <f>T50/U50*100</f>
        <v>0</v>
      </c>
      <c r="W50" s="63"/>
      <c r="X50" s="1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R50" s="63"/>
      <c r="AT50" s="453"/>
      <c r="AU50" s="453"/>
      <c r="AV50" s="3"/>
      <c r="AW50" s="1"/>
      <c r="AX50" s="143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V50" s="1"/>
      <c r="BW50" s="1"/>
      <c r="BX50" s="143"/>
      <c r="BY50" s="1"/>
      <c r="DA50" s="1"/>
      <c r="DF50" s="5"/>
      <c r="DG50" s="143">
        <v>1796</v>
      </c>
      <c r="DH50" s="143"/>
      <c r="DI50" s="143"/>
      <c r="DJ50" s="143"/>
      <c r="FM50" s="143"/>
      <c r="JH50" s="143"/>
      <c r="JI50" s="143"/>
      <c r="JJ50" s="143"/>
      <c r="JK50" s="143"/>
      <c r="OO50" s="143"/>
      <c r="OP50" s="143"/>
      <c r="OR50" s="143"/>
      <c r="PF50" s="146"/>
      <c r="PJ50" s="143"/>
      <c r="RM50" s="146"/>
      <c r="AGV50" s="142"/>
      <c r="AIK50" s="142"/>
      <c r="AIL50" s="142"/>
      <c r="AIM50" s="142"/>
    </row>
    <row r="51" spans="2:923">
      <c r="B51" s="2213"/>
      <c r="C51" s="479" t="s">
        <v>67</v>
      </c>
      <c r="D51" s="496">
        <v>10000</v>
      </c>
      <c r="E51" s="480" t="s">
        <v>14</v>
      </c>
      <c r="F51" s="445">
        <v>0</v>
      </c>
      <c r="G51" s="445"/>
      <c r="H51" s="1526"/>
      <c r="I51" s="1540"/>
      <c r="J51" s="1533"/>
      <c r="K51" s="445"/>
      <c r="L51" s="445"/>
      <c r="M51" s="445"/>
      <c r="N51" s="445"/>
      <c r="O51" s="445"/>
      <c r="P51" s="445"/>
      <c r="Q51" s="445"/>
      <c r="R51" s="445"/>
      <c r="S51" s="720"/>
      <c r="T51" s="58">
        <f>SUM(F51:Q51)</f>
        <v>0</v>
      </c>
      <c r="U51" s="672">
        <v>9822000</v>
      </c>
      <c r="V51" s="772">
        <f>T51/U51*100</f>
        <v>0</v>
      </c>
      <c r="W51" s="63"/>
      <c r="X51" s="1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R51" s="63"/>
      <c r="AT51" s="453"/>
      <c r="AU51" s="453"/>
      <c r="AV51" s="3"/>
      <c r="AW51" s="1"/>
      <c r="AX51" s="147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43"/>
      <c r="BY51" s="1"/>
      <c r="DA51" s="1"/>
      <c r="DF51" s="5"/>
      <c r="DG51" s="143">
        <f>DG48/DG50*100</f>
        <v>118.93095768374164</v>
      </c>
      <c r="DH51" s="143"/>
      <c r="DI51" s="143"/>
      <c r="DJ51" s="143"/>
      <c r="FM51" s="143"/>
      <c r="JH51" s="143"/>
      <c r="JI51" s="143"/>
      <c r="JJ51" s="143"/>
      <c r="JK51" s="143"/>
      <c r="OO51" s="143"/>
      <c r="OP51" s="143"/>
      <c r="OR51" s="143"/>
      <c r="PF51" s="146"/>
      <c r="PJ51" s="143"/>
      <c r="RM51" s="146"/>
      <c r="AGV51" s="142"/>
      <c r="AIK51" s="142"/>
      <c r="AIL51" s="142"/>
      <c r="AIM51" s="142"/>
    </row>
    <row r="52" spans="2:923" s="513" customFormat="1">
      <c r="B52" s="2213"/>
      <c r="C52" s="11" t="s">
        <v>113</v>
      </c>
      <c r="D52" s="514"/>
      <c r="E52" s="515"/>
      <c r="F52" s="1545">
        <v>0</v>
      </c>
      <c r="G52" s="519"/>
      <c r="H52" s="1530"/>
      <c r="I52" s="1544"/>
      <c r="J52" s="1538"/>
      <c r="K52" s="519"/>
      <c r="L52" s="520"/>
      <c r="M52" s="520"/>
      <c r="N52" s="520"/>
      <c r="O52" s="520"/>
      <c r="P52" s="520"/>
      <c r="Q52" s="520"/>
      <c r="R52" s="520"/>
      <c r="S52" s="721"/>
      <c r="T52" s="85">
        <f>+AVERAGE(F52:Q52)</f>
        <v>0</v>
      </c>
      <c r="U52" s="677"/>
      <c r="V52" s="776"/>
      <c r="W52" s="63"/>
      <c r="X52" s="1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R52" s="63"/>
      <c r="AT52" s="804"/>
      <c r="AU52" s="804"/>
      <c r="AV52" s="366"/>
      <c r="AW52" s="63"/>
      <c r="AX52" s="1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V52" s="63"/>
      <c r="BW52" s="63"/>
      <c r="BX52" s="144"/>
      <c r="BY52" s="63"/>
      <c r="DA52" s="63"/>
      <c r="DF52" s="517"/>
      <c r="DG52" s="144"/>
      <c r="DH52" s="144"/>
      <c r="DI52" s="144"/>
      <c r="DJ52" s="144"/>
      <c r="FM52" s="144"/>
      <c r="JH52" s="144"/>
      <c r="JI52" s="144"/>
      <c r="JJ52" s="144"/>
      <c r="JK52" s="144"/>
      <c r="OO52" s="144"/>
      <c r="OP52" s="144"/>
      <c r="OR52" s="144"/>
      <c r="PF52" s="153"/>
      <c r="PJ52" s="144"/>
      <c r="RM52" s="153"/>
      <c r="AGV52" s="144"/>
      <c r="AIK52" s="144"/>
      <c r="AIL52" s="144"/>
      <c r="AIM52" s="144"/>
    </row>
    <row r="53" spans="2:923" s="513" customFormat="1">
      <c r="B53" s="2213"/>
      <c r="C53" s="11" t="s">
        <v>340</v>
      </c>
      <c r="D53" s="514"/>
      <c r="E53" s="515"/>
      <c r="F53" s="519" t="e">
        <f>(F48+F38+F34+F30+F26)/F54*100</f>
        <v>#DIV/0!</v>
      </c>
      <c r="G53" s="519"/>
      <c r="H53" s="1530"/>
      <c r="I53" s="519"/>
      <c r="J53" s="1538"/>
      <c r="K53" s="519"/>
      <c r="L53" s="519"/>
      <c r="M53" s="519"/>
      <c r="N53" s="519"/>
      <c r="O53" s="519"/>
      <c r="P53" s="519"/>
      <c r="Q53" s="519"/>
      <c r="R53" s="519"/>
      <c r="S53" s="721"/>
      <c r="T53" s="85" t="e">
        <f>+AVERAGE(F53:Q53)</f>
        <v>#DIV/0!</v>
      </c>
      <c r="U53" s="677"/>
      <c r="V53" s="776"/>
      <c r="W53" s="63"/>
      <c r="X53" s="1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R53" s="63"/>
      <c r="AT53" s="804"/>
      <c r="AU53" s="804"/>
      <c r="AV53" s="366"/>
      <c r="AW53" s="63"/>
      <c r="AX53" s="1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V53" s="63"/>
      <c r="BW53" s="63"/>
      <c r="BX53" s="144"/>
      <c r="BY53" s="63"/>
      <c r="DA53" s="63"/>
      <c r="DF53" s="517"/>
      <c r="DG53" s="144"/>
      <c r="DH53" s="144"/>
      <c r="DI53" s="144"/>
      <c r="DJ53" s="144"/>
      <c r="FM53" s="144"/>
      <c r="JH53" s="144"/>
      <c r="JI53" s="144"/>
      <c r="JJ53" s="144"/>
      <c r="JK53" s="144"/>
      <c r="OO53" s="144"/>
      <c r="OP53" s="144"/>
      <c r="OR53" s="144"/>
      <c r="PF53" s="153"/>
      <c r="PJ53" s="144"/>
      <c r="RM53" s="153"/>
      <c r="AGV53" s="144"/>
      <c r="AIK53" s="144"/>
      <c r="AIL53" s="144"/>
      <c r="AIM53" s="144"/>
    </row>
    <row r="54" spans="2:923" s="513" customFormat="1">
      <c r="B54" s="2213"/>
      <c r="C54" s="11" t="s">
        <v>341</v>
      </c>
      <c r="D54" s="514"/>
      <c r="E54" s="515"/>
      <c r="F54" s="741">
        <v>0</v>
      </c>
      <c r="G54" s="741"/>
      <c r="H54" s="1531"/>
      <c r="I54" s="1543"/>
      <c r="J54" s="1539"/>
      <c r="K54" s="741"/>
      <c r="L54" s="741"/>
      <c r="M54" s="741"/>
      <c r="N54" s="519"/>
      <c r="O54" s="519"/>
      <c r="P54" s="519"/>
      <c r="Q54" s="741"/>
      <c r="R54" s="519"/>
      <c r="S54" s="721"/>
      <c r="T54" s="521">
        <f>SUM(F54:Q54)</f>
        <v>0</v>
      </c>
      <c r="U54" s="677"/>
      <c r="V54" s="776"/>
      <c r="W54" s="63"/>
      <c r="X54" s="1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R54" s="63"/>
      <c r="AT54" s="804"/>
      <c r="AU54" s="804"/>
      <c r="AV54" s="366"/>
      <c r="AW54" s="63"/>
      <c r="AX54" s="1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V54" s="63"/>
      <c r="BW54" s="63"/>
      <c r="BX54" s="144"/>
      <c r="BY54" s="63"/>
      <c r="DA54" s="63"/>
      <c r="DF54" s="517"/>
      <c r="DG54" s="144"/>
      <c r="DH54" s="144"/>
      <c r="DI54" s="144"/>
      <c r="DJ54" s="144"/>
      <c r="FM54" s="144"/>
      <c r="JH54" s="144"/>
      <c r="JI54" s="144"/>
      <c r="JJ54" s="144"/>
      <c r="JK54" s="144"/>
      <c r="OO54" s="144"/>
      <c r="OP54" s="144"/>
      <c r="OR54" s="144"/>
      <c r="PF54" s="153"/>
      <c r="PJ54" s="144"/>
      <c r="RM54" s="153"/>
      <c r="AGV54" s="144"/>
      <c r="AIK54" s="144"/>
      <c r="AIL54" s="144"/>
      <c r="AIM54" s="144"/>
    </row>
    <row r="55" spans="2:923">
      <c r="B55" s="2213"/>
      <c r="C55" s="522" t="s">
        <v>66</v>
      </c>
      <c r="D55" s="77"/>
      <c r="E55" s="77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720"/>
      <c r="T55" s="715" t="s">
        <v>128</v>
      </c>
      <c r="U55" s="678" t="s">
        <v>128</v>
      </c>
      <c r="V55" s="777" t="s">
        <v>128</v>
      </c>
      <c r="W55" s="63"/>
      <c r="X55" s="1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R55" s="63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V55" s="1"/>
      <c r="BW55" s="1"/>
      <c r="BX55" s="1"/>
      <c r="BY55" s="1"/>
      <c r="CF55" s="1" t="s">
        <v>216</v>
      </c>
      <c r="DA55" s="1"/>
      <c r="OP55" s="142">
        <v>678</v>
      </c>
    </row>
    <row r="56" spans="2:923">
      <c r="B56" s="2213"/>
      <c r="C56" s="524" t="s">
        <v>65</v>
      </c>
      <c r="D56" s="464">
        <v>94.2</v>
      </c>
      <c r="E56" s="515" t="s">
        <v>25</v>
      </c>
      <c r="F56" s="525">
        <v>0</v>
      </c>
      <c r="G56" s="441"/>
      <c r="H56" s="441"/>
      <c r="I56" s="441"/>
      <c r="J56" s="441"/>
      <c r="K56" s="441"/>
      <c r="L56" s="441"/>
      <c r="M56" s="441"/>
      <c r="N56" s="441"/>
      <c r="O56" s="441"/>
      <c r="P56" s="1736"/>
      <c r="Q56" s="441"/>
      <c r="R56" s="441"/>
      <c r="S56" s="721"/>
      <c r="T56" s="526" t="e">
        <f>(T19/(T11))*100</f>
        <v>#DIV/0!</v>
      </c>
      <c r="U56" s="527">
        <f>(U19/(U11))*100</f>
        <v>94.769966822822482</v>
      </c>
      <c r="V56" s="778"/>
      <c r="W56" s="812"/>
      <c r="X56" s="1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R56" s="63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V56" s="1"/>
      <c r="BW56" s="1"/>
      <c r="BX56" s="1"/>
      <c r="BY56" s="1"/>
      <c r="DA56" s="1"/>
      <c r="OP56" s="142">
        <v>420</v>
      </c>
      <c r="OR56" s="482">
        <f>OP56/OP55*100</f>
        <v>61.946902654867252</v>
      </c>
    </row>
    <row r="57" spans="2:923">
      <c r="B57" s="2213"/>
      <c r="C57" s="524" t="s">
        <v>64</v>
      </c>
      <c r="D57" s="464">
        <v>5</v>
      </c>
      <c r="E57" s="515" t="s">
        <v>25</v>
      </c>
      <c r="F57" s="525">
        <v>0</v>
      </c>
      <c r="G57" s="441"/>
      <c r="H57" s="441"/>
      <c r="I57" s="441"/>
      <c r="J57" s="441"/>
      <c r="K57" s="441"/>
      <c r="L57" s="441"/>
      <c r="M57" s="441"/>
      <c r="N57" s="441"/>
      <c r="O57" s="441"/>
      <c r="P57" s="1736"/>
      <c r="Q57" s="441"/>
      <c r="R57" s="441"/>
      <c r="S57" s="721"/>
      <c r="T57" s="526" t="e">
        <f>(T20/(T11))*100</f>
        <v>#DIV/0!</v>
      </c>
      <c r="U57" s="527">
        <f>(U20/(U11))*100</f>
        <v>4.5147541139225487</v>
      </c>
      <c r="V57" s="778"/>
      <c r="W57" s="812"/>
      <c r="X57" s="1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R57" s="63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V57" s="1"/>
      <c r="BW57" s="1"/>
      <c r="BX57" s="1"/>
      <c r="BY57" s="1"/>
      <c r="DA57" s="1"/>
      <c r="OP57" s="142">
        <f>OP55-OP56</f>
        <v>258</v>
      </c>
      <c r="OR57" s="482">
        <f>OP57/OP55*100</f>
        <v>38.053097345132741</v>
      </c>
    </row>
    <row r="58" spans="2:923">
      <c r="B58" s="2213"/>
      <c r="C58" s="524" t="s">
        <v>63</v>
      </c>
      <c r="D58" s="464">
        <v>82</v>
      </c>
      <c r="E58" s="515" t="s">
        <v>25</v>
      </c>
      <c r="F58" s="525">
        <v>0</v>
      </c>
      <c r="G58" s="441"/>
      <c r="H58" s="441"/>
      <c r="I58" s="441"/>
      <c r="J58" s="441"/>
      <c r="K58" s="441"/>
      <c r="L58" s="441"/>
      <c r="M58" s="441"/>
      <c r="N58" s="441"/>
      <c r="O58" s="441"/>
      <c r="P58" s="1736"/>
      <c r="Q58" s="441"/>
      <c r="R58" s="441"/>
      <c r="S58" s="721"/>
      <c r="T58" s="526" t="e">
        <f>(T26/T25)*100</f>
        <v>#DIV/0!</v>
      </c>
      <c r="U58" s="527">
        <f>(U26/U25)*100</f>
        <v>82.036627687232993</v>
      </c>
      <c r="V58" s="778"/>
      <c r="W58" s="812"/>
      <c r="X58" s="1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R58" s="63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DA58" s="1"/>
    </row>
    <row r="59" spans="2:923">
      <c r="B59" s="2213"/>
      <c r="C59" s="524" t="s">
        <v>62</v>
      </c>
      <c r="D59" s="464">
        <v>18</v>
      </c>
      <c r="E59" s="515" t="s">
        <v>25</v>
      </c>
      <c r="F59" s="525">
        <v>0</v>
      </c>
      <c r="G59" s="441"/>
      <c r="H59" s="441"/>
      <c r="I59" s="441"/>
      <c r="J59" s="441"/>
      <c r="K59" s="441"/>
      <c r="L59" s="441"/>
      <c r="M59" s="441"/>
      <c r="N59" s="441"/>
      <c r="O59" s="441"/>
      <c r="P59" s="1740"/>
      <c r="Q59" s="441"/>
      <c r="R59" s="441"/>
      <c r="S59" s="721"/>
      <c r="T59" s="526" t="e">
        <f>(T27/T25)*100</f>
        <v>#DIV/0!</v>
      </c>
      <c r="U59" s="527">
        <f>(U27/U25)*100</f>
        <v>17.963372312767007</v>
      </c>
      <c r="V59" s="778"/>
      <c r="W59" s="812"/>
      <c r="X59" s="1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R59" s="63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</row>
    <row r="60" spans="2:923" hidden="1">
      <c r="B60" s="2213"/>
      <c r="C60" s="524" t="s">
        <v>106</v>
      </c>
      <c r="D60" s="528">
        <v>75</v>
      </c>
      <c r="E60" s="515" t="s">
        <v>25</v>
      </c>
      <c r="F60" s="441">
        <v>0</v>
      </c>
      <c r="G60" s="441"/>
      <c r="H60" s="441"/>
      <c r="I60" s="441"/>
      <c r="J60" s="441"/>
      <c r="K60" s="441"/>
      <c r="L60" s="441"/>
      <c r="M60" s="441"/>
      <c r="N60" s="441"/>
      <c r="O60" s="441"/>
      <c r="P60" s="441"/>
      <c r="Q60" s="441"/>
      <c r="R60" s="441"/>
      <c r="S60" s="721"/>
      <c r="T60" s="526" t="e">
        <f>(T30/T29)*100</f>
        <v>#DIV/0!</v>
      </c>
      <c r="U60" s="527">
        <v>75</v>
      </c>
      <c r="V60" s="778"/>
      <c r="W60" s="812"/>
      <c r="X60" s="307"/>
      <c r="Y60" s="807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R60" s="63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</row>
    <row r="61" spans="2:923" hidden="1">
      <c r="B61" s="2213"/>
      <c r="C61" s="524" t="s">
        <v>62</v>
      </c>
      <c r="D61" s="528">
        <v>25</v>
      </c>
      <c r="E61" s="515" t="s">
        <v>25</v>
      </c>
      <c r="F61" s="441">
        <v>0</v>
      </c>
      <c r="G61" s="441"/>
      <c r="H61" s="441"/>
      <c r="I61" s="441"/>
      <c r="J61" s="441"/>
      <c r="K61" s="441"/>
      <c r="L61" s="441"/>
      <c r="M61" s="441"/>
      <c r="N61" s="441"/>
      <c r="O61" s="441"/>
      <c r="P61" s="441"/>
      <c r="Q61" s="441"/>
      <c r="R61" s="441"/>
      <c r="S61" s="721"/>
      <c r="T61" s="526" t="e">
        <f>(T31/T29)*100</f>
        <v>#DIV/0!</v>
      </c>
      <c r="U61" s="527">
        <v>25</v>
      </c>
      <c r="V61" s="778"/>
      <c r="W61" s="812"/>
      <c r="X61" s="307"/>
      <c r="Y61" s="807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R61" s="63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</row>
    <row r="62" spans="2:923" hidden="1">
      <c r="B62" s="2213"/>
      <c r="C62" s="524" t="s">
        <v>108</v>
      </c>
      <c r="D62" s="464">
        <v>75</v>
      </c>
      <c r="E62" s="515" t="s">
        <v>25</v>
      </c>
      <c r="F62" s="441" t="e">
        <v>#DIV/0!</v>
      </c>
      <c r="G62" s="441"/>
      <c r="H62" s="441"/>
      <c r="I62" s="441"/>
      <c r="J62" s="441"/>
      <c r="K62" s="441"/>
      <c r="L62" s="441"/>
      <c r="M62" s="441"/>
      <c r="N62" s="441"/>
      <c r="O62" s="441"/>
      <c r="P62" s="441"/>
      <c r="Q62" s="441"/>
      <c r="R62" s="441"/>
      <c r="S62" s="721"/>
      <c r="T62" s="526" t="e">
        <f>(T35/T34)*100</f>
        <v>#DIV/0!</v>
      </c>
      <c r="U62" s="527">
        <v>75</v>
      </c>
      <c r="V62" s="778"/>
      <c r="W62" s="812"/>
      <c r="X62" s="141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R62" s="63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</row>
    <row r="63" spans="2:923" hidden="1">
      <c r="B63" s="2213"/>
      <c r="C63" s="524" t="s">
        <v>62</v>
      </c>
      <c r="D63" s="464">
        <v>25</v>
      </c>
      <c r="E63" s="515" t="s">
        <v>25</v>
      </c>
      <c r="F63" s="441" t="e">
        <v>#DIV/0!</v>
      </c>
      <c r="G63" s="441"/>
      <c r="H63" s="441"/>
      <c r="I63" s="441"/>
      <c r="J63" s="441"/>
      <c r="K63" s="441"/>
      <c r="L63" s="441"/>
      <c r="M63" s="441"/>
      <c r="N63" s="441"/>
      <c r="O63" s="441"/>
      <c r="P63" s="441"/>
      <c r="Q63" s="441"/>
      <c r="R63" s="441"/>
      <c r="S63" s="527"/>
      <c r="T63" s="526" t="e">
        <f>(T36/T34)*100</f>
        <v>#DIV/0!</v>
      </c>
      <c r="U63" s="527">
        <v>25</v>
      </c>
      <c r="V63" s="778"/>
      <c r="W63" s="812"/>
      <c r="X63" s="1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R63" s="63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V63" s="1"/>
      <c r="BW63" s="1"/>
      <c r="BX63" s="1"/>
      <c r="BY63" s="1"/>
      <c r="DA63" s="1"/>
      <c r="FN63" s="1">
        <v>95.03</v>
      </c>
    </row>
    <row r="64" spans="2:923">
      <c r="B64" s="2213"/>
      <c r="C64" s="524" t="s">
        <v>111</v>
      </c>
      <c r="D64" s="464">
        <v>70</v>
      </c>
      <c r="E64" s="515" t="s">
        <v>25</v>
      </c>
      <c r="F64" s="441">
        <v>0</v>
      </c>
      <c r="G64" s="441"/>
      <c r="H64" s="441"/>
      <c r="I64" s="441"/>
      <c r="J64" s="441"/>
      <c r="K64" s="441"/>
      <c r="L64" s="441"/>
      <c r="M64" s="441"/>
      <c r="N64" s="441"/>
      <c r="O64" s="441"/>
      <c r="P64" s="1737"/>
      <c r="Q64" s="441"/>
      <c r="R64" s="441"/>
      <c r="S64" s="527"/>
      <c r="T64" s="526" t="e">
        <f>(T39/T38)*100</f>
        <v>#DIV/0!</v>
      </c>
      <c r="U64" s="527">
        <v>70</v>
      </c>
      <c r="V64" s="778"/>
      <c r="W64" s="812"/>
      <c r="X64" s="1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R64" s="63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V64" s="1"/>
      <c r="BW64" s="1"/>
      <c r="BX64" s="1"/>
      <c r="BY64" s="1"/>
      <c r="DA64" s="1"/>
      <c r="FN64" s="1"/>
    </row>
    <row r="65" spans="2:936">
      <c r="B65" s="2213"/>
      <c r="C65" s="524" t="s">
        <v>62</v>
      </c>
      <c r="D65" s="464">
        <v>30</v>
      </c>
      <c r="E65" s="515" t="s">
        <v>25</v>
      </c>
      <c r="F65" s="441">
        <v>0</v>
      </c>
      <c r="G65" s="441"/>
      <c r="H65" s="441"/>
      <c r="I65" s="441"/>
      <c r="J65" s="441"/>
      <c r="K65" s="441"/>
      <c r="L65" s="441"/>
      <c r="M65" s="441"/>
      <c r="N65" s="441"/>
      <c r="O65" s="441"/>
      <c r="P65" s="1735"/>
      <c r="Q65" s="441"/>
      <c r="R65" s="441"/>
      <c r="S65" s="527"/>
      <c r="T65" s="526" t="e">
        <f>(T40/T38)*100</f>
        <v>#DIV/0!</v>
      </c>
      <c r="U65" s="527">
        <v>30</v>
      </c>
      <c r="V65" s="778"/>
      <c r="W65" s="812"/>
      <c r="X65" s="1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R65" s="63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V65" s="1"/>
      <c r="BW65" s="1"/>
      <c r="BX65" s="1"/>
      <c r="BY65" s="1"/>
      <c r="DA65" s="1"/>
      <c r="FN65" s="1"/>
    </row>
    <row r="66" spans="2:936">
      <c r="B66" s="2213"/>
      <c r="C66" s="524" t="s">
        <v>61</v>
      </c>
      <c r="D66" s="464">
        <v>60</v>
      </c>
      <c r="E66" s="515" t="s">
        <v>25</v>
      </c>
      <c r="F66" s="525">
        <v>0</v>
      </c>
      <c r="G66" s="441"/>
      <c r="H66" s="441"/>
      <c r="I66" s="441"/>
      <c r="J66" s="441"/>
      <c r="K66" s="441"/>
      <c r="L66" s="441"/>
      <c r="M66" s="441"/>
      <c r="N66" s="441"/>
      <c r="O66" s="441"/>
      <c r="P66" s="441"/>
      <c r="Q66" s="441"/>
      <c r="R66" s="441"/>
      <c r="S66" s="721"/>
      <c r="T66" s="526" t="e">
        <f>(T50/T48)*100</f>
        <v>#DIV/0!</v>
      </c>
      <c r="U66" s="527">
        <f>U50/U48*100</f>
        <v>60.00488639139995</v>
      </c>
      <c r="V66" s="778"/>
      <c r="W66" s="812"/>
      <c r="X66" s="1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R66" s="63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"/>
      <c r="BY66" s="1"/>
      <c r="DA66" s="1"/>
      <c r="FN66" s="1">
        <v>4.2300000000000004</v>
      </c>
      <c r="OR66" s="142">
        <f>OR67/94.2%</f>
        <v>1307.8556263269638</v>
      </c>
      <c r="OS66" s="1" t="s">
        <v>342</v>
      </c>
    </row>
    <row r="67" spans="2:936">
      <c r="B67" s="2214"/>
      <c r="C67" s="524" t="s">
        <v>60</v>
      </c>
      <c r="D67" s="464">
        <v>40</v>
      </c>
      <c r="E67" s="515" t="s">
        <v>25</v>
      </c>
      <c r="F67" s="525">
        <v>0</v>
      </c>
      <c r="G67" s="441"/>
      <c r="H67" s="441"/>
      <c r="I67" s="441"/>
      <c r="J67" s="441"/>
      <c r="K67" s="441"/>
      <c r="L67" s="441"/>
      <c r="M67" s="441"/>
      <c r="N67" s="441"/>
      <c r="O67" s="441"/>
      <c r="P67" s="441"/>
      <c r="Q67" s="441"/>
      <c r="R67" s="441"/>
      <c r="S67" s="527"/>
      <c r="T67" s="529" t="e">
        <f>(T51/T48)*100</f>
        <v>#DIV/0!</v>
      </c>
      <c r="U67" s="527">
        <f>U51/U48*100</f>
        <v>39.99511360860005</v>
      </c>
      <c r="V67" s="779"/>
      <c r="W67" s="812"/>
      <c r="X67" s="1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R67" s="63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V67" s="1"/>
      <c r="BW67" s="1"/>
      <c r="BX67" s="1"/>
      <c r="BY67" s="1"/>
      <c r="DA67" s="1"/>
      <c r="FN67" s="1">
        <f>100-FN63-FN66</f>
        <v>0.73999999999999844</v>
      </c>
      <c r="OR67" s="142">
        <f>22*56</f>
        <v>1232</v>
      </c>
      <c r="OS67" s="1" t="s">
        <v>343</v>
      </c>
    </row>
    <row r="68" spans="2:936">
      <c r="B68" s="2212">
        <v>3</v>
      </c>
      <c r="C68" s="530" t="s">
        <v>59</v>
      </c>
      <c r="D68" s="77"/>
      <c r="E68" s="77"/>
      <c r="F68" s="51"/>
      <c r="G68" s="50"/>
      <c r="H68" s="531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720"/>
      <c r="T68" s="602" t="s">
        <v>129</v>
      </c>
      <c r="U68" s="679" t="s">
        <v>129</v>
      </c>
      <c r="V68" s="780" t="s">
        <v>129</v>
      </c>
      <c r="W68" s="63"/>
      <c r="X68" s="1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R68" s="63"/>
      <c r="AT68" s="1"/>
      <c r="AU68" s="1"/>
      <c r="AV68" s="1"/>
      <c r="AW68" s="1"/>
      <c r="AX68" s="3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42"/>
      <c r="BT68" s="1"/>
      <c r="BV68" s="1"/>
      <c r="BW68" s="1"/>
      <c r="BX68" s="1"/>
      <c r="BY68" s="1"/>
      <c r="DA68" s="1"/>
      <c r="OR68" s="142">
        <f>16.5*OR66</f>
        <v>21579.617834394903</v>
      </c>
    </row>
    <row r="69" spans="2:936">
      <c r="B69" s="2213"/>
      <c r="C69" s="463" t="s">
        <v>58</v>
      </c>
      <c r="D69" s="464">
        <v>9</v>
      </c>
      <c r="E69" s="497" t="s">
        <v>56</v>
      </c>
      <c r="F69" s="532">
        <v>0</v>
      </c>
      <c r="G69" s="440"/>
      <c r="H69" s="533"/>
      <c r="I69" s="440"/>
      <c r="J69" s="440"/>
      <c r="K69" s="440"/>
      <c r="L69" s="440"/>
      <c r="M69" s="440"/>
      <c r="N69" s="440"/>
      <c r="O69" s="440"/>
      <c r="P69" s="1741"/>
      <c r="Q69" s="440"/>
      <c r="R69" s="440"/>
      <c r="S69" s="720"/>
      <c r="T69" s="451">
        <f>SUM(F69:Q69)</f>
        <v>0</v>
      </c>
      <c r="U69" s="669">
        <v>2767753</v>
      </c>
      <c r="V69" s="772">
        <f>T69/U69*100</f>
        <v>0</v>
      </c>
      <c r="W69" s="63"/>
      <c r="X69" s="1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R69" s="63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42"/>
      <c r="BT69" s="1"/>
      <c r="BV69" s="1"/>
      <c r="BW69" s="1"/>
      <c r="BX69" s="1"/>
      <c r="BY69" s="1"/>
      <c r="DA69" s="1"/>
    </row>
    <row r="70" spans="2:936">
      <c r="B70" s="2213"/>
      <c r="C70" s="534"/>
      <c r="D70" s="477"/>
      <c r="E70" s="497" t="s">
        <v>25</v>
      </c>
      <c r="F70" s="525">
        <v>0</v>
      </c>
      <c r="G70" s="441"/>
      <c r="H70" s="441"/>
      <c r="I70" s="441"/>
      <c r="J70" s="441"/>
      <c r="K70" s="441"/>
      <c r="L70" s="441"/>
      <c r="M70" s="441"/>
      <c r="N70" s="441"/>
      <c r="O70" s="441"/>
      <c r="P70" s="1742"/>
      <c r="Q70" s="441"/>
      <c r="R70" s="441"/>
      <c r="S70" s="720"/>
      <c r="T70" s="526" t="e">
        <f>T69/(T11)*100</f>
        <v>#DIV/0!</v>
      </c>
      <c r="U70" s="680">
        <v>0.8</v>
      </c>
      <c r="V70" s="781">
        <v>0</v>
      </c>
      <c r="W70" s="807"/>
      <c r="X70" s="141"/>
      <c r="Y70" s="63"/>
      <c r="Z70" s="807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R70" s="63"/>
      <c r="AT70" s="1"/>
      <c r="AU70" s="1"/>
      <c r="AV70" s="1"/>
      <c r="AW70" s="1"/>
      <c r="AX70" s="141" t="e">
        <f>T70*10</f>
        <v>#DIV/0!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4"/>
      <c r="BT70" s="1"/>
      <c r="BV70" s="1"/>
      <c r="BW70" s="1"/>
      <c r="BX70" s="1"/>
      <c r="BY70" s="1"/>
      <c r="DA70" s="1"/>
      <c r="FN70" s="482" t="e">
        <f>#REF!*10</f>
        <v>#REF!</v>
      </c>
      <c r="OO70" s="482"/>
      <c r="OR70" s="142">
        <f>OR66+(T47/1000)</f>
        <v>1307.8556263269638</v>
      </c>
      <c r="OS70" s="142" t="s">
        <v>344</v>
      </c>
    </row>
    <row r="71" spans="2:936">
      <c r="B71" s="2213"/>
      <c r="C71" s="535" t="s">
        <v>57</v>
      </c>
      <c r="D71" s="536">
        <v>16</v>
      </c>
      <c r="E71" s="537" t="s">
        <v>56</v>
      </c>
      <c r="F71" s="538">
        <v>0</v>
      </c>
      <c r="G71" s="539"/>
      <c r="H71" s="540"/>
      <c r="I71" s="539"/>
      <c r="J71" s="539"/>
      <c r="K71" s="539"/>
      <c r="L71" s="539"/>
      <c r="M71" s="539"/>
      <c r="N71" s="539"/>
      <c r="O71" s="539"/>
      <c r="P71" s="539"/>
      <c r="Q71" s="539"/>
      <c r="R71" s="539"/>
      <c r="S71" s="720"/>
      <c r="T71" s="541">
        <f>SUM(F71:Q71)</f>
        <v>0</v>
      </c>
      <c r="U71" s="681">
        <v>1357284</v>
      </c>
      <c r="V71" s="772">
        <f>T71/U71*100</f>
        <v>0</v>
      </c>
      <c r="W71" s="63"/>
      <c r="X71" s="1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R71" s="63"/>
      <c r="AT71" s="434"/>
      <c r="AU71" s="434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V71" s="1"/>
      <c r="BW71" s="1"/>
      <c r="BX71" s="142"/>
      <c r="BY71" s="1"/>
      <c r="DA71" s="1"/>
      <c r="DF71" s="5"/>
      <c r="DG71" s="142"/>
      <c r="DH71" s="142"/>
      <c r="DI71" s="142"/>
      <c r="DJ71" s="142"/>
      <c r="FM71" s="142"/>
      <c r="FN71" s="482"/>
      <c r="JH71" s="142"/>
      <c r="JI71" s="142"/>
      <c r="JJ71" s="142"/>
      <c r="JK71" s="142"/>
      <c r="OO71" s="142"/>
      <c r="OP71" s="142"/>
      <c r="OR71" s="142">
        <f>OR68+T71</f>
        <v>21579.617834394903</v>
      </c>
      <c r="OS71" s="142" t="s">
        <v>345</v>
      </c>
      <c r="PF71" s="482"/>
      <c r="PJ71" s="142"/>
      <c r="RM71" s="482"/>
      <c r="AGV71" s="142"/>
      <c r="AIK71" s="142"/>
      <c r="AIL71" s="142"/>
      <c r="AIM71" s="142"/>
    </row>
    <row r="72" spans="2:936">
      <c r="B72" s="2213"/>
      <c r="C72" s="542"/>
      <c r="D72" s="543"/>
      <c r="E72" s="544" t="s">
        <v>25</v>
      </c>
      <c r="F72" s="545">
        <v>0</v>
      </c>
      <c r="G72" s="546"/>
      <c r="H72" s="546"/>
      <c r="I72" s="546"/>
      <c r="J72" s="546"/>
      <c r="K72" s="546"/>
      <c r="L72" s="546"/>
      <c r="M72" s="546"/>
      <c r="N72" s="546"/>
      <c r="O72" s="546"/>
      <c r="P72" s="546"/>
      <c r="Q72" s="546"/>
      <c r="R72" s="546"/>
      <c r="S72" s="720"/>
      <c r="T72" s="710" t="e">
        <f>T71/(T13)*100</f>
        <v>#DIV/0!</v>
      </c>
      <c r="U72" s="682">
        <v>1.8</v>
      </c>
      <c r="V72" s="782">
        <v>0</v>
      </c>
      <c r="W72" s="807"/>
      <c r="X72" s="141"/>
      <c r="Y72" s="63"/>
      <c r="Z72" s="807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R72" s="63"/>
      <c r="AT72" s="434"/>
      <c r="AU72" s="434"/>
      <c r="AV72" s="1"/>
      <c r="AW72" s="1"/>
      <c r="AX72" s="141" t="e">
        <f>T72*10</f>
        <v>#DIV/0!</v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4"/>
      <c r="BT72" s="1"/>
      <c r="BV72" s="1"/>
      <c r="BW72" s="1"/>
      <c r="BX72" s="142"/>
      <c r="BY72" s="1"/>
      <c r="DA72" s="1"/>
      <c r="DF72" s="5"/>
      <c r="DG72" s="142"/>
      <c r="DH72" s="142"/>
      <c r="DI72" s="142"/>
      <c r="DJ72" s="142"/>
      <c r="FM72" s="142"/>
      <c r="FN72" s="482"/>
      <c r="JH72" s="142"/>
      <c r="JI72" s="142"/>
      <c r="JJ72" s="142"/>
      <c r="JK72" s="142"/>
      <c r="OO72" s="482"/>
      <c r="OP72" s="142"/>
      <c r="OR72" s="547">
        <f>OR71/OR70</f>
        <v>16.5</v>
      </c>
      <c r="OS72" s="548" t="s">
        <v>245</v>
      </c>
      <c r="PF72" s="482"/>
      <c r="PJ72" s="142"/>
      <c r="RM72" s="482"/>
      <c r="AGV72" s="142"/>
      <c r="AIK72" s="142"/>
      <c r="AIL72" s="142"/>
      <c r="AIM72" s="142"/>
    </row>
    <row r="73" spans="2:936">
      <c r="B73" s="2213"/>
      <c r="C73" s="463" t="s">
        <v>55</v>
      </c>
      <c r="D73" s="464">
        <v>0.6</v>
      </c>
      <c r="E73" s="497" t="s">
        <v>14</v>
      </c>
      <c r="F73" s="532">
        <v>0</v>
      </c>
      <c r="G73" s="440"/>
      <c r="H73" s="533"/>
      <c r="I73" s="440"/>
      <c r="J73" s="440"/>
      <c r="K73" s="440"/>
      <c r="L73" s="440"/>
      <c r="M73" s="532"/>
      <c r="N73" s="1571"/>
      <c r="O73" s="533"/>
      <c r="P73" s="1744"/>
      <c r="Q73" s="440"/>
      <c r="R73" s="440"/>
      <c r="S73" s="720"/>
      <c r="T73" s="541">
        <f>SUM(F73:Q73)</f>
        <v>0</v>
      </c>
      <c r="U73" s="681">
        <v>252824</v>
      </c>
      <c r="V73" s="783">
        <f>SUM(H73:T73)</f>
        <v>0</v>
      </c>
      <c r="W73" s="517"/>
      <c r="X73" s="1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R73" s="63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V73" s="1"/>
      <c r="BW73" s="1"/>
      <c r="BX73" s="1"/>
      <c r="BY73" s="1"/>
      <c r="DA73" s="1"/>
      <c r="FN73" s="482"/>
      <c r="OR73" s="482">
        <v>16</v>
      </c>
      <c r="OS73" s="1" t="s">
        <v>346</v>
      </c>
    </row>
    <row r="74" spans="2:936">
      <c r="B74" s="2214"/>
      <c r="C74" s="549"/>
      <c r="D74" s="477"/>
      <c r="E74" s="550" t="s">
        <v>25</v>
      </c>
      <c r="F74" s="551">
        <v>0</v>
      </c>
      <c r="G74" s="552"/>
      <c r="H74" s="552"/>
      <c r="I74" s="552"/>
      <c r="J74" s="552"/>
      <c r="K74" s="552"/>
      <c r="L74" s="552"/>
      <c r="M74" s="552"/>
      <c r="N74" s="552"/>
      <c r="O74" s="552"/>
      <c r="P74" s="1743"/>
      <c r="Q74" s="552"/>
      <c r="R74" s="552"/>
      <c r="S74" s="723"/>
      <c r="T74" s="304">
        <f>T73/(T11+71450)*100</f>
        <v>0</v>
      </c>
      <c r="U74" s="683">
        <v>0.06</v>
      </c>
      <c r="V74" s="784">
        <f>V73/(V11+71450)*100</f>
        <v>0</v>
      </c>
      <c r="W74" s="63"/>
      <c r="X74" s="141"/>
      <c r="Y74" s="63"/>
      <c r="Z74" s="807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R74" s="63"/>
      <c r="AT74" s="1"/>
      <c r="AU74" s="1"/>
      <c r="AV74" s="1"/>
      <c r="AW74" s="1"/>
      <c r="AX74" s="141">
        <f>T74*10</f>
        <v>0</v>
      </c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V74" s="1"/>
      <c r="BW74" s="1"/>
      <c r="BX74" s="1"/>
      <c r="BY74" s="1"/>
      <c r="DA74" s="1"/>
      <c r="FN74" s="482">
        <f>Q74*10</f>
        <v>0</v>
      </c>
      <c r="OO74" s="482"/>
      <c r="OR74" s="482">
        <f>OR72-OR73</f>
        <v>0.5</v>
      </c>
      <c r="OS74" s="1" t="s">
        <v>347</v>
      </c>
    </row>
    <row r="75" spans="2:936">
      <c r="B75" s="724">
        <v>4</v>
      </c>
      <c r="C75" s="553" t="s">
        <v>348</v>
      </c>
      <c r="D75" s="554">
        <v>0.8</v>
      </c>
      <c r="E75" s="500" t="s">
        <v>25</v>
      </c>
      <c r="F75" s="555">
        <v>0</v>
      </c>
      <c r="G75" s="556"/>
      <c r="H75" s="556"/>
      <c r="I75" s="556"/>
      <c r="J75" s="556"/>
      <c r="K75" s="556"/>
      <c r="L75" s="556"/>
      <c r="M75" s="556"/>
      <c r="N75" s="556"/>
      <c r="O75" s="556"/>
      <c r="P75" s="1745"/>
      <c r="Q75" s="556"/>
      <c r="R75" s="556"/>
      <c r="S75" s="725"/>
      <c r="T75" s="305" t="e">
        <f>((SUM(T19:T20))-(SUM(T11)))/(SUM(T11))*100</f>
        <v>#DIV/0!</v>
      </c>
      <c r="U75" s="684">
        <f>((SUM(U19:U20))-(SUM(U11)))/(SUM(U11))*100</f>
        <v>-0.71527906325497059</v>
      </c>
      <c r="V75" s="770" t="e">
        <f>T75/U75*100</f>
        <v>#DIV/0!</v>
      </c>
      <c r="W75" s="812"/>
      <c r="X75" s="1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R75" s="63"/>
      <c r="AT75" s="804"/>
      <c r="AU75" s="804"/>
      <c r="AV75" s="1"/>
      <c r="AW75" s="1"/>
      <c r="AX75" s="138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V75" s="1"/>
      <c r="BW75" s="1"/>
      <c r="BX75" s="144"/>
      <c r="BY75" s="1"/>
      <c r="DA75" s="1"/>
      <c r="DF75" s="517"/>
      <c r="DG75" s="144"/>
      <c r="DH75" s="144"/>
      <c r="DI75" s="144"/>
      <c r="DJ75" s="144"/>
      <c r="FM75" s="144"/>
      <c r="JH75" s="144"/>
      <c r="JI75" s="144"/>
      <c r="JJ75" s="144"/>
      <c r="JK75" s="144"/>
      <c r="OO75" s="144"/>
      <c r="OP75" s="144"/>
      <c r="OR75" s="482"/>
      <c r="PF75" s="153"/>
      <c r="PJ75" s="144"/>
      <c r="RM75" s="153"/>
      <c r="AGV75" s="144"/>
      <c r="AIK75" s="144"/>
      <c r="AIL75" s="144"/>
      <c r="AIM75" s="144"/>
    </row>
    <row r="76" spans="2:936">
      <c r="B76" s="726"/>
      <c r="C76" s="524" t="s">
        <v>54</v>
      </c>
      <c r="D76" s="557">
        <v>22</v>
      </c>
      <c r="E76" s="515" t="s">
        <v>25</v>
      </c>
      <c r="F76" s="441">
        <v>0</v>
      </c>
      <c r="G76" s="441"/>
      <c r="H76" s="441"/>
      <c r="I76" s="441"/>
      <c r="J76" s="441"/>
      <c r="K76" s="441"/>
      <c r="L76" s="441"/>
      <c r="M76" s="441"/>
      <c r="N76" s="441"/>
      <c r="O76" s="441"/>
      <c r="P76" s="1746"/>
      <c r="Q76" s="441"/>
      <c r="R76" s="441"/>
      <c r="S76" s="721"/>
      <c r="T76" s="85">
        <f>AVERAGE(F76:Q76)</f>
        <v>0</v>
      </c>
      <c r="U76" s="685">
        <v>22</v>
      </c>
      <c r="V76" s="776">
        <f>AVERAGE(H76:T76)</f>
        <v>0</v>
      </c>
      <c r="W76" s="63"/>
      <c r="X76" s="1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R76" s="63"/>
      <c r="AT76" s="804"/>
      <c r="AU76" s="804"/>
      <c r="AV76" s="1"/>
      <c r="AW76" s="1"/>
      <c r="AX76" s="63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V76" s="1"/>
      <c r="BW76" s="1"/>
      <c r="BX76" s="144"/>
      <c r="BY76" s="1"/>
      <c r="DA76" s="1"/>
      <c r="DF76" s="517"/>
      <c r="DG76" s="144"/>
      <c r="DH76" s="144"/>
      <c r="DI76" s="144"/>
      <c r="DJ76" s="144"/>
      <c r="FM76" s="144"/>
      <c r="JH76" s="144"/>
      <c r="JI76" s="144"/>
      <c r="JJ76" s="144"/>
      <c r="JK76" s="144"/>
      <c r="OO76" s="144"/>
      <c r="OP76" s="144"/>
      <c r="OR76" s="144"/>
      <c r="PF76" s="153"/>
      <c r="PJ76" s="144"/>
      <c r="RM76" s="153"/>
      <c r="AGV76" s="144"/>
      <c r="AIK76" s="144"/>
      <c r="AIL76" s="144"/>
      <c r="AIM76" s="144"/>
    </row>
    <row r="77" spans="2:936">
      <c r="B77" s="727"/>
      <c r="C77" s="558" t="s">
        <v>53</v>
      </c>
      <c r="D77" s="477"/>
      <c r="E77" s="559" t="s">
        <v>14</v>
      </c>
      <c r="F77" s="441">
        <v>0</v>
      </c>
      <c r="G77" s="441"/>
      <c r="H77" s="441"/>
      <c r="I77" s="441"/>
      <c r="J77" s="441"/>
      <c r="K77" s="441"/>
      <c r="L77" s="441"/>
      <c r="M77" s="441"/>
      <c r="N77" s="441"/>
      <c r="O77" s="441"/>
      <c r="P77" s="963"/>
      <c r="Q77" s="441"/>
      <c r="R77" s="441"/>
      <c r="S77" s="721"/>
      <c r="T77" s="560">
        <f>SUM(T69,T71)+(T76%*SUM(T69,T71))</f>
        <v>0</v>
      </c>
      <c r="U77" s="686">
        <v>7811279</v>
      </c>
      <c r="V77" s="785">
        <f>SUM(V69,V71)+(V76%*SUM(V69,V71))</f>
        <v>0</v>
      </c>
      <c r="W77" s="813"/>
      <c r="X77" s="6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R77" s="63"/>
      <c r="AX77" s="63"/>
      <c r="BG77" s="144"/>
      <c r="BH77" s="144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CK77" s="144"/>
      <c r="DA77" s="1"/>
      <c r="DS77" s="517"/>
      <c r="DT77" s="144"/>
      <c r="DU77" s="144"/>
      <c r="DV77" s="144"/>
      <c r="DW77" s="144"/>
      <c r="FZ77" s="144"/>
      <c r="GA77" s="366">
        <f>X77+400</f>
        <v>400</v>
      </c>
      <c r="JU77" s="144"/>
      <c r="JV77" s="144"/>
      <c r="JW77" s="144"/>
      <c r="JX77" s="144"/>
      <c r="PB77" s="144"/>
      <c r="PC77" s="144"/>
      <c r="PE77" s="144"/>
      <c r="PS77" s="153"/>
      <c r="PW77" s="144"/>
      <c r="RZ77" s="153"/>
      <c r="AHI77" s="144"/>
      <c r="AIX77" s="144"/>
      <c r="AIY77" s="144"/>
      <c r="AIZ77" s="144"/>
    </row>
    <row r="78" spans="2:936" hidden="1">
      <c r="B78" s="728">
        <v>5</v>
      </c>
      <c r="C78" s="420" t="s">
        <v>52</v>
      </c>
      <c r="D78" s="48"/>
      <c r="E78" s="48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3"/>
      <c r="T78" s="523" t="s">
        <v>130</v>
      </c>
      <c r="U78" s="678" t="s">
        <v>130</v>
      </c>
      <c r="V78" s="777" t="s">
        <v>130</v>
      </c>
      <c r="X78" s="1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R78" s="63"/>
      <c r="AX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DA78" s="1"/>
      <c r="FX78" s="3">
        <v>17292</v>
      </c>
      <c r="OY78" s="142" t="e">
        <f>#REF!-FX78</f>
        <v>#REF!</v>
      </c>
    </row>
    <row r="79" spans="2:936" hidden="1">
      <c r="B79" s="729"/>
      <c r="C79" s="561" t="s">
        <v>51</v>
      </c>
      <c r="D79" s="562"/>
      <c r="E79" s="12" t="s">
        <v>14</v>
      </c>
      <c r="F79" s="563">
        <f>'[2]Januari 24'!AL68</f>
        <v>845858</v>
      </c>
      <c r="G79" s="563"/>
      <c r="H79" s="563"/>
      <c r="I79" s="563"/>
      <c r="J79" s="563"/>
      <c r="K79" s="563"/>
      <c r="L79" s="563"/>
      <c r="M79" s="563"/>
      <c r="N79" s="563"/>
      <c r="O79" s="563"/>
      <c r="P79" s="563"/>
      <c r="Q79" s="563"/>
      <c r="R79" s="563"/>
      <c r="S79" s="27"/>
      <c r="T79" s="90">
        <f>SUM(F79:R79)</f>
        <v>845858</v>
      </c>
      <c r="U79" s="687">
        <f>SUM(G79:S79)</f>
        <v>0</v>
      </c>
      <c r="V79" s="770" t="e">
        <f>(T79/U79)*100</f>
        <v>#DIV/0!</v>
      </c>
      <c r="X79" s="1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R79" s="63"/>
      <c r="AX79" s="2"/>
      <c r="BD79" s="147"/>
      <c r="BE79" s="147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CH79" s="147"/>
      <c r="DA79" s="1"/>
      <c r="DP79" s="436"/>
      <c r="DQ79" s="147"/>
      <c r="DR79" s="147"/>
      <c r="DS79" s="147"/>
      <c r="DT79" s="147"/>
      <c r="FW79" s="147"/>
      <c r="JR79" s="147"/>
      <c r="JS79" s="147"/>
      <c r="JT79" s="147"/>
      <c r="JU79" s="147"/>
      <c r="OY79" s="147"/>
      <c r="OZ79" s="147"/>
      <c r="PB79" s="147"/>
      <c r="PP79" s="564"/>
      <c r="PT79" s="147"/>
      <c r="RW79" s="564"/>
      <c r="AHF79" s="152"/>
      <c r="AIU79" s="152"/>
      <c r="AIV79" s="152"/>
      <c r="AIW79" s="152"/>
    </row>
    <row r="80" spans="2:936" hidden="1">
      <c r="B80" s="730"/>
      <c r="C80" s="565" t="s">
        <v>46</v>
      </c>
      <c r="D80" s="566"/>
      <c r="E80" s="567" t="s">
        <v>14</v>
      </c>
      <c r="F80" s="568">
        <f>'[2]Januari 24'!AL69</f>
        <v>399021.27999999997</v>
      </c>
      <c r="G80" s="568"/>
      <c r="H80" s="568"/>
      <c r="I80" s="568"/>
      <c r="J80" s="568"/>
      <c r="K80" s="568"/>
      <c r="L80" s="568"/>
      <c r="M80" s="568"/>
      <c r="N80" s="568"/>
      <c r="O80" s="568"/>
      <c r="P80" s="568"/>
      <c r="Q80" s="568"/>
      <c r="R80" s="568"/>
      <c r="S80" s="731"/>
      <c r="T80" s="90">
        <f>SUM(T81:T83)</f>
        <v>399021.27999999997</v>
      </c>
      <c r="U80" s="687">
        <f>SUM(U81:U83)</f>
        <v>32269045.619999997</v>
      </c>
      <c r="V80" s="770">
        <f>(T80/U80)*100</f>
        <v>1.2365450304879515</v>
      </c>
      <c r="X80" s="823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569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  <c r="EB80" s="174"/>
      <c r="EC80" s="174"/>
      <c r="ED80" s="174"/>
      <c r="EE80" s="174"/>
      <c r="EF80" s="174"/>
      <c r="EG80" s="174"/>
      <c r="EH80" s="174"/>
      <c r="EI80" s="174"/>
      <c r="EJ80" s="174"/>
      <c r="EK80" s="174"/>
      <c r="EL80" s="174"/>
      <c r="EM80" s="174"/>
      <c r="EN80" s="174"/>
      <c r="EO80" s="174"/>
      <c r="EP80" s="174"/>
      <c r="EQ80" s="174"/>
      <c r="ER80" s="174"/>
      <c r="ES80" s="174"/>
      <c r="ET80" s="174"/>
      <c r="EU80" s="174"/>
      <c r="EV80" s="174"/>
      <c r="EW80" s="174"/>
      <c r="EX80" s="174"/>
      <c r="EY80" s="174"/>
      <c r="EZ80" s="174"/>
      <c r="FA80" s="174"/>
      <c r="FB80" s="174"/>
      <c r="FC80" s="174"/>
      <c r="FD80" s="174"/>
      <c r="FE80" s="174"/>
      <c r="FF80" s="174"/>
      <c r="FG80" s="174"/>
      <c r="FH80" s="174"/>
      <c r="FI80" s="174"/>
      <c r="FJ80" s="174"/>
      <c r="FK80" s="174"/>
      <c r="FL80" s="174"/>
      <c r="FM80" s="174"/>
      <c r="FN80" s="174"/>
      <c r="FO80" s="174"/>
      <c r="FP80" s="174"/>
      <c r="FQ80" s="174"/>
      <c r="FR80" s="174"/>
      <c r="FS80" s="174"/>
      <c r="FT80" s="174"/>
      <c r="FU80" s="174"/>
      <c r="FV80" s="174"/>
      <c r="FW80" s="174"/>
      <c r="FX80" s="174"/>
      <c r="FY80" s="174"/>
      <c r="FZ80" s="174"/>
      <c r="GA80" s="174"/>
      <c r="GB80" s="174"/>
      <c r="GC80" s="174"/>
      <c r="GD80" s="174"/>
      <c r="GE80" s="174"/>
      <c r="GF80" s="174"/>
      <c r="GG80" s="174"/>
      <c r="GH80" s="174"/>
      <c r="GI80" s="174"/>
      <c r="GJ80" s="174"/>
      <c r="GK80" s="174"/>
      <c r="GL80" s="174"/>
      <c r="GM80" s="174"/>
      <c r="GN80" s="174"/>
      <c r="GO80" s="174"/>
      <c r="GP80" s="174"/>
      <c r="GQ80" s="174"/>
      <c r="GR80" s="174"/>
      <c r="GS80" s="174"/>
      <c r="GT80" s="174"/>
      <c r="GU80" s="174"/>
      <c r="GV80" s="174"/>
      <c r="GW80" s="174"/>
      <c r="GX80" s="174"/>
      <c r="GY80" s="174"/>
      <c r="GZ80" s="174"/>
      <c r="HA80" s="174"/>
      <c r="HB80" s="174"/>
      <c r="HC80" s="174"/>
      <c r="HD80" s="174"/>
      <c r="HE80" s="174"/>
      <c r="HF80" s="174"/>
      <c r="HG80" s="174"/>
      <c r="HH80" s="174"/>
      <c r="HI80" s="174"/>
      <c r="HJ80" s="174"/>
      <c r="HK80" s="174"/>
      <c r="HL80" s="174"/>
      <c r="HM80" s="174"/>
      <c r="HN80" s="174"/>
      <c r="HO80" s="174"/>
      <c r="HP80" s="174"/>
      <c r="HQ80" s="174"/>
      <c r="HR80" s="174"/>
      <c r="HS80" s="174"/>
      <c r="HT80" s="174"/>
      <c r="HU80" s="174"/>
      <c r="HV80" s="174"/>
      <c r="HW80" s="174"/>
      <c r="HX80" s="174"/>
      <c r="HY80" s="174"/>
      <c r="HZ80" s="174"/>
      <c r="IA80" s="174"/>
      <c r="IB80" s="174"/>
      <c r="IC80" s="174"/>
      <c r="ID80" s="174"/>
      <c r="IE80" s="174"/>
      <c r="IF80" s="174"/>
      <c r="IG80" s="174"/>
      <c r="IH80" s="174"/>
      <c r="II80" s="174"/>
      <c r="IJ80" s="174"/>
      <c r="IK80" s="174"/>
      <c r="IL80" s="174"/>
      <c r="IM80" s="174"/>
      <c r="IN80" s="174"/>
      <c r="IO80" s="174"/>
      <c r="IP80" s="174"/>
      <c r="IQ80" s="174"/>
      <c r="IR80" s="174"/>
      <c r="IS80" s="174"/>
      <c r="IT80" s="174"/>
      <c r="IU80" s="174"/>
      <c r="IV80" s="174"/>
      <c r="IW80" s="174"/>
      <c r="IX80" s="174"/>
      <c r="IY80" s="174"/>
      <c r="IZ80" s="174"/>
      <c r="JA80" s="174"/>
      <c r="JB80" s="174"/>
      <c r="JC80" s="174"/>
      <c r="JD80" s="174"/>
      <c r="JE80" s="174"/>
      <c r="JF80" s="174"/>
      <c r="JG80" s="174"/>
      <c r="JH80" s="174"/>
      <c r="JI80" s="174"/>
      <c r="JJ80" s="174"/>
      <c r="JK80" s="174"/>
      <c r="JL80" s="174"/>
      <c r="JM80" s="174"/>
      <c r="JN80" s="174"/>
      <c r="JO80" s="174"/>
      <c r="JP80" s="174"/>
      <c r="JQ80" s="174"/>
      <c r="JR80" s="174"/>
      <c r="JS80" s="174"/>
      <c r="JT80" s="174"/>
      <c r="JU80" s="174"/>
      <c r="JV80" s="174"/>
      <c r="JW80" s="174"/>
      <c r="JX80" s="174"/>
      <c r="JY80" s="174"/>
      <c r="JZ80" s="174"/>
      <c r="KA80" s="174"/>
      <c r="KB80" s="174"/>
      <c r="KC80" s="174"/>
      <c r="KD80" s="174"/>
      <c r="KE80" s="174"/>
      <c r="KF80" s="174"/>
      <c r="KG80" s="174"/>
      <c r="KH80" s="174"/>
      <c r="KI80" s="174"/>
      <c r="KJ80" s="174"/>
      <c r="KK80" s="174"/>
      <c r="KL80" s="174"/>
      <c r="KM80" s="174"/>
      <c r="KN80" s="174"/>
      <c r="KO80" s="174"/>
      <c r="KP80" s="174"/>
      <c r="KQ80" s="174"/>
      <c r="KR80" s="174"/>
      <c r="KS80" s="174"/>
      <c r="KT80" s="174"/>
      <c r="KU80" s="174"/>
      <c r="KV80" s="174"/>
      <c r="KW80" s="174"/>
      <c r="KX80" s="174"/>
      <c r="KY80" s="174"/>
      <c r="KZ80" s="174"/>
      <c r="LA80" s="174"/>
      <c r="LB80" s="174"/>
      <c r="LC80" s="174"/>
      <c r="LD80" s="174"/>
      <c r="LE80" s="174"/>
      <c r="LF80" s="174"/>
      <c r="LG80" s="174"/>
      <c r="LH80" s="174"/>
      <c r="LI80" s="174"/>
      <c r="LJ80" s="174"/>
      <c r="LK80" s="174"/>
      <c r="LL80" s="174"/>
      <c r="LM80" s="174"/>
      <c r="LN80" s="174"/>
      <c r="LO80" s="174"/>
      <c r="LP80" s="174"/>
      <c r="LQ80" s="174"/>
      <c r="LR80" s="174"/>
      <c r="LS80" s="174"/>
      <c r="LT80" s="174"/>
      <c r="LU80" s="174"/>
      <c r="LV80" s="174"/>
      <c r="LW80" s="174"/>
      <c r="LX80" s="174"/>
      <c r="LY80" s="174"/>
      <c r="LZ80" s="174"/>
      <c r="MA80" s="174"/>
      <c r="MB80" s="174"/>
      <c r="MC80" s="174"/>
      <c r="MD80" s="174"/>
      <c r="ME80" s="174"/>
      <c r="MF80" s="174"/>
      <c r="MG80" s="174"/>
      <c r="MH80" s="174"/>
      <c r="MI80" s="174"/>
      <c r="MJ80" s="174"/>
      <c r="MK80" s="174"/>
      <c r="ML80" s="174"/>
      <c r="MM80" s="174"/>
      <c r="MN80" s="174"/>
      <c r="MO80" s="174"/>
      <c r="MP80" s="174"/>
      <c r="MQ80" s="174"/>
      <c r="MR80" s="174"/>
      <c r="MS80" s="174"/>
      <c r="MT80" s="174"/>
      <c r="MU80" s="174"/>
      <c r="MV80" s="174"/>
      <c r="MW80" s="174"/>
      <c r="MX80" s="174"/>
      <c r="MY80" s="174"/>
      <c r="MZ80" s="174"/>
      <c r="NA80" s="174"/>
      <c r="NB80" s="174"/>
      <c r="NC80" s="174"/>
      <c r="ND80" s="174"/>
      <c r="NE80" s="174"/>
      <c r="NF80" s="174"/>
      <c r="NG80" s="174"/>
      <c r="NH80" s="174"/>
      <c r="NI80" s="174"/>
      <c r="NJ80" s="174"/>
      <c r="NK80" s="174"/>
      <c r="NL80" s="174"/>
      <c r="NM80" s="174"/>
      <c r="NN80" s="174"/>
      <c r="NO80" s="174"/>
      <c r="NP80" s="174"/>
      <c r="NQ80" s="174"/>
      <c r="NR80" s="174"/>
      <c r="NS80" s="174"/>
      <c r="NT80" s="174"/>
      <c r="NU80" s="174"/>
      <c r="NV80" s="174"/>
      <c r="NW80" s="174"/>
      <c r="NX80" s="174"/>
      <c r="NY80" s="174"/>
      <c r="NZ80" s="174"/>
      <c r="OA80" s="174"/>
      <c r="OB80" s="174"/>
      <c r="OC80" s="174"/>
      <c r="OD80" s="174"/>
      <c r="OE80" s="174"/>
      <c r="OF80" s="174"/>
      <c r="OG80" s="174"/>
      <c r="OH80" s="174"/>
      <c r="OI80" s="174"/>
      <c r="OJ80" s="174"/>
      <c r="OK80" s="174"/>
      <c r="OL80" s="174"/>
      <c r="OM80" s="174"/>
      <c r="ON80" s="174"/>
      <c r="OO80" s="174"/>
      <c r="OP80" s="174"/>
      <c r="OQ80" s="174"/>
      <c r="OR80" s="174"/>
      <c r="OS80" s="174"/>
      <c r="OT80" s="174"/>
      <c r="OU80" s="174"/>
      <c r="OV80" s="174"/>
      <c r="OW80" s="174"/>
      <c r="OX80" s="174"/>
      <c r="OY80" s="174"/>
      <c r="OZ80" s="174"/>
      <c r="PA80" s="174"/>
      <c r="PB80" s="174"/>
      <c r="PC80" s="174"/>
      <c r="PD80" s="174"/>
      <c r="PE80" s="174"/>
      <c r="PF80" s="174"/>
      <c r="PG80" s="174"/>
      <c r="PH80" s="174"/>
      <c r="PI80" s="174"/>
      <c r="PJ80" s="174"/>
      <c r="PK80" s="174"/>
      <c r="PL80" s="174"/>
      <c r="PM80" s="174"/>
      <c r="PN80" s="174"/>
      <c r="PO80" s="174"/>
      <c r="PP80" s="174"/>
      <c r="PQ80" s="174"/>
      <c r="PR80" s="174"/>
      <c r="PS80" s="174"/>
      <c r="PT80" s="174"/>
      <c r="PU80" s="174"/>
      <c r="PV80" s="174"/>
      <c r="PW80" s="174"/>
      <c r="PX80" s="174"/>
      <c r="PY80" s="174"/>
      <c r="PZ80" s="174"/>
      <c r="QA80" s="174"/>
      <c r="QB80" s="174"/>
      <c r="QC80" s="174"/>
      <c r="QD80" s="174"/>
      <c r="QE80" s="174"/>
      <c r="QF80" s="174"/>
      <c r="QG80" s="174"/>
      <c r="QH80" s="174"/>
      <c r="QI80" s="174"/>
      <c r="QJ80" s="174"/>
      <c r="QK80" s="174"/>
      <c r="QL80" s="174"/>
      <c r="QM80" s="174"/>
      <c r="QN80" s="174"/>
      <c r="QO80" s="174"/>
      <c r="QP80" s="174"/>
      <c r="QQ80" s="174"/>
      <c r="QR80" s="174"/>
      <c r="QS80" s="174"/>
      <c r="QT80" s="174"/>
      <c r="QU80" s="174"/>
      <c r="QV80" s="174"/>
      <c r="QW80" s="174"/>
      <c r="QX80" s="174"/>
      <c r="QY80" s="174"/>
      <c r="QZ80" s="174"/>
      <c r="RA80" s="174"/>
      <c r="RB80" s="174"/>
      <c r="RC80" s="174"/>
      <c r="RD80" s="174"/>
      <c r="RE80" s="174"/>
      <c r="RF80" s="174"/>
      <c r="RG80" s="174"/>
      <c r="RH80" s="174"/>
      <c r="RI80" s="174"/>
      <c r="RJ80" s="174"/>
      <c r="RK80" s="174"/>
      <c r="RL80" s="174"/>
      <c r="RM80" s="174"/>
      <c r="RN80" s="174"/>
      <c r="RO80" s="174"/>
      <c r="RP80" s="174"/>
      <c r="RQ80" s="174"/>
      <c r="RR80" s="174"/>
      <c r="RS80" s="174"/>
      <c r="RT80" s="174"/>
      <c r="RU80" s="174"/>
      <c r="RV80" s="174"/>
      <c r="RW80" s="174"/>
      <c r="RX80" s="174"/>
      <c r="RY80" s="174"/>
      <c r="RZ80" s="174"/>
      <c r="SA80" s="174"/>
      <c r="SB80" s="174"/>
      <c r="SC80" s="174"/>
      <c r="SD80" s="174"/>
      <c r="SE80" s="174"/>
      <c r="SF80" s="174"/>
      <c r="SG80" s="174"/>
      <c r="SH80" s="174"/>
      <c r="SI80" s="174"/>
      <c r="SJ80" s="174"/>
      <c r="SK80" s="174"/>
      <c r="SL80" s="174"/>
      <c r="SM80" s="174"/>
      <c r="SN80" s="174"/>
      <c r="SO80" s="174"/>
      <c r="SP80" s="174"/>
      <c r="SQ80" s="174"/>
      <c r="SR80" s="174"/>
      <c r="SS80" s="174"/>
      <c r="ST80" s="174"/>
      <c r="SU80" s="174"/>
      <c r="SV80" s="174"/>
      <c r="SW80" s="174"/>
      <c r="SX80" s="174"/>
      <c r="SY80" s="174"/>
      <c r="SZ80" s="174"/>
      <c r="TA80" s="174"/>
      <c r="TB80" s="174"/>
      <c r="TC80" s="174"/>
      <c r="TD80" s="174"/>
      <c r="TE80" s="174"/>
      <c r="TF80" s="174"/>
      <c r="TG80" s="174"/>
      <c r="TH80" s="174"/>
      <c r="TI80" s="174"/>
      <c r="TJ80" s="174"/>
      <c r="TK80" s="174"/>
      <c r="TL80" s="174"/>
      <c r="TM80" s="174"/>
      <c r="TN80" s="174"/>
      <c r="TO80" s="174"/>
      <c r="TP80" s="174"/>
      <c r="TQ80" s="174"/>
      <c r="TR80" s="174"/>
      <c r="TS80" s="174"/>
      <c r="TT80" s="174"/>
      <c r="TU80" s="174"/>
      <c r="TV80" s="174"/>
      <c r="TW80" s="174"/>
      <c r="TX80" s="174"/>
      <c r="TY80" s="174"/>
      <c r="TZ80" s="174"/>
      <c r="UA80" s="174"/>
      <c r="UB80" s="174"/>
      <c r="UC80" s="174"/>
      <c r="UD80" s="174"/>
      <c r="UE80" s="174"/>
      <c r="UF80" s="174"/>
      <c r="UG80" s="174"/>
      <c r="UH80" s="174"/>
      <c r="UI80" s="174"/>
      <c r="UJ80" s="174"/>
      <c r="UK80" s="174"/>
      <c r="UL80" s="174"/>
      <c r="UM80" s="174"/>
      <c r="UN80" s="174"/>
      <c r="UO80" s="174"/>
      <c r="UP80" s="174"/>
      <c r="UQ80" s="174"/>
      <c r="UR80" s="174"/>
      <c r="US80" s="174"/>
      <c r="UT80" s="174"/>
      <c r="UU80" s="174"/>
      <c r="UV80" s="174"/>
      <c r="UW80" s="174"/>
      <c r="UX80" s="174"/>
      <c r="UY80" s="174"/>
      <c r="UZ80" s="174"/>
      <c r="VA80" s="174"/>
      <c r="VB80" s="174"/>
      <c r="VC80" s="174"/>
      <c r="VD80" s="174"/>
      <c r="VE80" s="174"/>
      <c r="VF80" s="174"/>
      <c r="VG80" s="174"/>
      <c r="VH80" s="174"/>
      <c r="VI80" s="174"/>
      <c r="VJ80" s="174"/>
      <c r="VK80" s="174"/>
      <c r="VL80" s="174"/>
      <c r="VM80" s="174"/>
      <c r="VN80" s="174"/>
      <c r="VO80" s="174"/>
      <c r="VP80" s="174"/>
      <c r="VQ80" s="174"/>
      <c r="VR80" s="174"/>
      <c r="VS80" s="174"/>
      <c r="VT80" s="174"/>
      <c r="VU80" s="174"/>
      <c r="VV80" s="174"/>
      <c r="VW80" s="174"/>
      <c r="VX80" s="174"/>
      <c r="VY80" s="174"/>
      <c r="VZ80" s="174"/>
      <c r="WA80" s="174"/>
      <c r="WB80" s="174"/>
      <c r="WC80" s="174"/>
      <c r="WD80" s="174"/>
      <c r="WE80" s="174"/>
      <c r="WF80" s="174"/>
      <c r="WG80" s="174"/>
      <c r="WH80" s="174"/>
      <c r="WI80" s="174"/>
      <c r="WJ80" s="174"/>
      <c r="WK80" s="174"/>
      <c r="WL80" s="174"/>
      <c r="WM80" s="174"/>
      <c r="WN80" s="174"/>
      <c r="WO80" s="174"/>
      <c r="WP80" s="174"/>
      <c r="WQ80" s="174"/>
      <c r="WR80" s="174"/>
      <c r="WS80" s="174"/>
      <c r="WT80" s="174"/>
      <c r="WU80" s="174"/>
      <c r="WV80" s="174"/>
      <c r="WW80" s="174"/>
      <c r="WX80" s="174"/>
      <c r="WY80" s="174"/>
      <c r="WZ80" s="174"/>
      <c r="XA80" s="174"/>
      <c r="XB80" s="174"/>
      <c r="XC80" s="174"/>
      <c r="XD80" s="174"/>
      <c r="XE80" s="174"/>
      <c r="XF80" s="174"/>
      <c r="XG80" s="174"/>
      <c r="XH80" s="174"/>
      <c r="XI80" s="174"/>
      <c r="XJ80" s="174"/>
      <c r="XK80" s="174"/>
      <c r="XL80" s="174"/>
      <c r="XM80" s="174"/>
      <c r="XN80" s="174"/>
      <c r="XO80" s="174"/>
      <c r="XP80" s="174"/>
      <c r="XQ80" s="174"/>
      <c r="XR80" s="174"/>
      <c r="XS80" s="174"/>
      <c r="XT80" s="174"/>
      <c r="XU80" s="174"/>
      <c r="XV80" s="174"/>
      <c r="XW80" s="174"/>
      <c r="XX80" s="174"/>
      <c r="XY80" s="174"/>
      <c r="XZ80" s="174"/>
      <c r="YA80" s="174"/>
      <c r="YB80" s="174"/>
      <c r="YC80" s="174"/>
      <c r="YD80" s="174"/>
      <c r="YE80" s="174"/>
      <c r="YF80" s="174"/>
      <c r="YG80" s="174"/>
      <c r="YH80" s="174"/>
      <c r="YI80" s="174"/>
      <c r="YJ80" s="174"/>
      <c r="YK80" s="174"/>
      <c r="YL80" s="174"/>
      <c r="YM80" s="174"/>
      <c r="YN80" s="174"/>
      <c r="YO80" s="174"/>
      <c r="YP80" s="174"/>
      <c r="YQ80" s="174"/>
      <c r="YR80" s="174"/>
      <c r="YS80" s="174"/>
      <c r="YT80" s="174"/>
      <c r="YU80" s="174"/>
      <c r="YV80" s="174"/>
      <c r="YW80" s="174"/>
      <c r="YX80" s="174"/>
      <c r="YY80" s="174"/>
      <c r="YZ80" s="174"/>
      <c r="ZA80" s="174"/>
      <c r="ZB80" s="174"/>
      <c r="ZC80" s="174"/>
      <c r="ZD80" s="174"/>
      <c r="ZE80" s="174"/>
      <c r="ZF80" s="174"/>
      <c r="ZG80" s="174"/>
      <c r="ZH80" s="174"/>
      <c r="ZI80" s="174"/>
      <c r="ZJ80" s="174"/>
      <c r="ZK80" s="174"/>
      <c r="ZL80" s="174"/>
      <c r="ZM80" s="174"/>
      <c r="ZN80" s="174"/>
      <c r="ZO80" s="174"/>
      <c r="ZP80" s="174"/>
      <c r="ZQ80" s="174"/>
      <c r="ZR80" s="174"/>
      <c r="ZS80" s="174"/>
      <c r="ZT80" s="174"/>
      <c r="ZU80" s="174"/>
      <c r="ZV80" s="174"/>
      <c r="ZW80" s="174"/>
      <c r="ZX80" s="174"/>
      <c r="ZY80" s="174"/>
      <c r="ZZ80" s="174"/>
      <c r="AAA80" s="174"/>
      <c r="AAB80" s="174"/>
      <c r="AAC80" s="174"/>
      <c r="AAD80" s="174"/>
      <c r="AAE80" s="174"/>
      <c r="AAF80" s="174"/>
      <c r="AAG80" s="174"/>
      <c r="AAH80" s="174"/>
      <c r="AAI80" s="174"/>
      <c r="AAJ80" s="174"/>
      <c r="AAK80" s="174"/>
      <c r="AAL80" s="174"/>
      <c r="AAM80" s="174"/>
      <c r="AAN80" s="174"/>
      <c r="AAO80" s="174"/>
      <c r="AAP80" s="174"/>
      <c r="AAQ80" s="174"/>
      <c r="AAR80" s="174"/>
      <c r="AAS80" s="174"/>
      <c r="AAT80" s="174"/>
      <c r="AAU80" s="174"/>
      <c r="AAV80" s="174"/>
      <c r="AAW80" s="174"/>
      <c r="AAX80" s="174"/>
      <c r="AAY80" s="174"/>
      <c r="AAZ80" s="174"/>
      <c r="ABA80" s="174"/>
      <c r="ABB80" s="174"/>
      <c r="ABC80" s="174"/>
      <c r="ABD80" s="174"/>
      <c r="ABE80" s="174"/>
      <c r="ABF80" s="174"/>
      <c r="ABG80" s="174"/>
      <c r="ABH80" s="174"/>
      <c r="ABI80" s="174"/>
      <c r="ABJ80" s="174"/>
      <c r="ABK80" s="174"/>
      <c r="ABL80" s="174"/>
      <c r="ABM80" s="174"/>
      <c r="ABN80" s="174"/>
      <c r="ABO80" s="174"/>
      <c r="ABP80" s="174"/>
      <c r="ABQ80" s="174"/>
      <c r="ABR80" s="174"/>
      <c r="ABS80" s="174"/>
      <c r="ABT80" s="174"/>
      <c r="ABU80" s="174"/>
      <c r="ABV80" s="174"/>
      <c r="ABW80" s="174"/>
      <c r="ABX80" s="174"/>
      <c r="ABY80" s="174"/>
      <c r="ABZ80" s="174"/>
      <c r="ACA80" s="174"/>
      <c r="ACB80" s="174"/>
      <c r="ACC80" s="174"/>
      <c r="ACD80" s="174"/>
      <c r="ACE80" s="174"/>
      <c r="ACF80" s="174"/>
      <c r="ACG80" s="174"/>
      <c r="ACH80" s="174"/>
      <c r="ACI80" s="174"/>
      <c r="ACJ80" s="174"/>
      <c r="ACK80" s="174"/>
      <c r="ACL80" s="174"/>
      <c r="ACM80" s="174"/>
      <c r="ACN80" s="174"/>
      <c r="ACO80" s="174"/>
      <c r="ACP80" s="174"/>
      <c r="ACQ80" s="174"/>
      <c r="ACR80" s="174"/>
      <c r="ACS80" s="174"/>
      <c r="ACT80" s="174"/>
      <c r="ACU80" s="174"/>
      <c r="ACV80" s="174"/>
      <c r="ACW80" s="174"/>
      <c r="ACX80" s="174"/>
      <c r="ACY80" s="174"/>
      <c r="ACZ80" s="174"/>
      <c r="ADA80" s="174"/>
      <c r="ADB80" s="174"/>
      <c r="ADC80" s="174"/>
      <c r="ADD80" s="174"/>
      <c r="ADE80" s="174"/>
      <c r="ADF80" s="174"/>
      <c r="ADG80" s="174"/>
      <c r="ADH80" s="174"/>
      <c r="ADI80" s="174"/>
      <c r="ADJ80" s="174"/>
      <c r="ADK80" s="174"/>
      <c r="ADL80" s="174"/>
      <c r="ADM80" s="174"/>
      <c r="ADN80" s="174"/>
      <c r="ADO80" s="174"/>
      <c r="ADP80" s="174"/>
      <c r="ADQ80" s="174"/>
      <c r="ADR80" s="174"/>
      <c r="ADS80" s="174"/>
      <c r="ADT80" s="174"/>
      <c r="ADU80" s="174"/>
      <c r="ADV80" s="174"/>
      <c r="ADW80" s="174"/>
      <c r="ADX80" s="174"/>
      <c r="ADY80" s="174"/>
      <c r="ADZ80" s="174"/>
      <c r="AEA80" s="174"/>
      <c r="AEB80" s="174"/>
      <c r="AEC80" s="174"/>
      <c r="AED80" s="174"/>
      <c r="AEE80" s="174"/>
      <c r="AEF80" s="174"/>
      <c r="AEG80" s="174"/>
      <c r="AEH80" s="174"/>
      <c r="AEI80" s="174"/>
      <c r="AEJ80" s="174"/>
      <c r="AEK80" s="174"/>
      <c r="AEL80" s="174"/>
      <c r="AEM80" s="174"/>
      <c r="AEN80" s="174"/>
      <c r="AEO80" s="174"/>
      <c r="AEP80" s="174"/>
      <c r="AEQ80" s="174"/>
      <c r="AER80" s="174"/>
      <c r="AES80" s="174"/>
      <c r="AET80" s="174"/>
      <c r="AEU80" s="174"/>
      <c r="AEV80" s="174"/>
      <c r="AEW80" s="174"/>
      <c r="AEX80" s="174"/>
      <c r="AEY80" s="174"/>
      <c r="AEZ80" s="174"/>
      <c r="AFA80" s="174"/>
      <c r="AFB80" s="174"/>
      <c r="AFC80" s="174"/>
      <c r="AFD80" s="174"/>
      <c r="AFE80" s="174"/>
      <c r="AFF80" s="174"/>
      <c r="AFG80" s="174"/>
      <c r="AFH80" s="174"/>
      <c r="AFI80" s="174"/>
      <c r="AFJ80" s="174"/>
      <c r="AFK80" s="174"/>
      <c r="AFL80" s="174"/>
      <c r="AFM80" s="174"/>
      <c r="AFN80" s="174"/>
      <c r="AFO80" s="174"/>
      <c r="AFP80" s="174"/>
      <c r="AFQ80" s="174"/>
      <c r="AFR80" s="153" t="s">
        <v>14</v>
      </c>
      <c r="AFS80" s="174" t="s">
        <v>349</v>
      </c>
    </row>
    <row r="81" spans="2:936" hidden="1">
      <c r="B81" s="732"/>
      <c r="C81" s="570" t="s">
        <v>39</v>
      </c>
      <c r="D81" s="477"/>
      <c r="E81" s="497" t="s">
        <v>14</v>
      </c>
      <c r="F81" s="571">
        <f>SUM(F85:F86)*10.86</f>
        <v>400256.16</v>
      </c>
      <c r="G81" s="571"/>
      <c r="H81" s="571"/>
      <c r="I81" s="572"/>
      <c r="J81" s="572"/>
      <c r="K81" s="572"/>
      <c r="L81" s="572"/>
      <c r="M81" s="572"/>
      <c r="N81" s="572"/>
      <c r="O81" s="572"/>
      <c r="P81" s="572"/>
      <c r="Q81" s="572"/>
      <c r="R81" s="572"/>
      <c r="S81" s="720"/>
      <c r="T81" s="711">
        <f>SUM(T85:T86)*10.86</f>
        <v>400256.16</v>
      </c>
      <c r="U81" s="688">
        <f>SUM(U85:U86)*10.86</f>
        <v>32269045.619999997</v>
      </c>
      <c r="V81" s="770">
        <f>(T81/U81)*100</f>
        <v>1.2403718557822039</v>
      </c>
      <c r="W81" s="307"/>
      <c r="X81" s="1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R81" s="63"/>
      <c r="AX81" s="1"/>
      <c r="BD81" s="143"/>
      <c r="BE81" s="143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CH81" s="143"/>
      <c r="DA81" s="1"/>
      <c r="DP81" s="5"/>
      <c r="DQ81" s="143"/>
      <c r="DR81" s="143"/>
      <c r="DS81" s="143"/>
      <c r="DT81" s="143"/>
      <c r="FW81" s="143"/>
      <c r="FX81" s="141" t="e">
        <f>#REF!/1000</f>
        <v>#REF!</v>
      </c>
      <c r="JR81" s="143"/>
      <c r="JS81" s="143"/>
      <c r="JT81" s="143"/>
      <c r="JU81" s="143"/>
      <c r="OY81" s="143">
        <v>4696</v>
      </c>
      <c r="OZ81" s="146" t="e">
        <f>FX81/OY81*100</f>
        <v>#REF!</v>
      </c>
      <c r="PB81" s="143"/>
      <c r="PP81" s="146"/>
      <c r="PT81" s="143"/>
      <c r="RW81" s="146"/>
      <c r="AHF81" s="142"/>
      <c r="AIU81" s="142"/>
      <c r="AIV81" s="142"/>
      <c r="AIW81" s="142"/>
    </row>
    <row r="82" spans="2:936" hidden="1">
      <c r="B82" s="732"/>
      <c r="C82" s="570" t="s">
        <v>38</v>
      </c>
      <c r="D82" s="477"/>
      <c r="E82" s="497" t="s">
        <v>14</v>
      </c>
      <c r="F82" s="441">
        <f>F80-F81</f>
        <v>-1234.8800000000047</v>
      </c>
      <c r="G82" s="441"/>
      <c r="H82" s="441"/>
      <c r="I82" s="441"/>
      <c r="J82" s="441"/>
      <c r="K82" s="441"/>
      <c r="L82" s="441"/>
      <c r="M82" s="441"/>
      <c r="N82" s="441"/>
      <c r="O82" s="441"/>
      <c r="P82" s="441"/>
      <c r="Q82" s="441"/>
      <c r="R82" s="441"/>
      <c r="S82" s="720"/>
      <c r="T82" s="59">
        <f>SUM(F82:R82)</f>
        <v>-1234.8800000000047</v>
      </c>
      <c r="U82" s="670">
        <f>SUM(G82:S82)</f>
        <v>0</v>
      </c>
      <c r="V82" s="770" t="e">
        <f>(T82/U82)*100</f>
        <v>#DIV/0!</v>
      </c>
      <c r="W82" s="141"/>
      <c r="X82" s="1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R82" s="63"/>
      <c r="AX82" s="1"/>
      <c r="BD82" s="143"/>
      <c r="BE82" s="143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H82" s="143"/>
      <c r="DA82" s="1"/>
      <c r="DP82" s="5"/>
      <c r="DQ82" s="143"/>
      <c r="DR82" s="143"/>
      <c r="DS82" s="143"/>
      <c r="DT82" s="143"/>
      <c r="FW82" s="143"/>
      <c r="FX82" s="482" t="e">
        <f>#REF!/1000</f>
        <v>#REF!</v>
      </c>
      <c r="JR82" s="143"/>
      <c r="JS82" s="143"/>
      <c r="JT82" s="143"/>
      <c r="JU82" s="143"/>
      <c r="OY82" s="143">
        <v>565</v>
      </c>
      <c r="OZ82" s="146" t="e">
        <f>FX82/OY82*100</f>
        <v>#REF!</v>
      </c>
      <c r="PB82" s="143"/>
      <c r="PP82" s="146"/>
      <c r="PT82" s="143"/>
      <c r="RW82" s="146"/>
      <c r="AHF82" s="142"/>
      <c r="AIU82" s="142"/>
      <c r="AIV82" s="142"/>
      <c r="AIW82" s="142"/>
    </row>
    <row r="83" spans="2:936" hidden="1">
      <c r="B83" s="732"/>
      <c r="C83" s="570" t="s">
        <v>50</v>
      </c>
      <c r="D83" s="477"/>
      <c r="E83" s="465" t="s">
        <v>14</v>
      </c>
      <c r="F83" s="441">
        <f>'[2]Januari 24'!AL72</f>
        <v>0</v>
      </c>
      <c r="G83" s="441"/>
      <c r="H83" s="441"/>
      <c r="I83" s="441"/>
      <c r="J83" s="441"/>
      <c r="K83" s="441"/>
      <c r="L83" s="441"/>
      <c r="M83" s="441"/>
      <c r="N83" s="441"/>
      <c r="O83" s="441"/>
      <c r="P83" s="441"/>
      <c r="Q83" s="441"/>
      <c r="R83" s="441"/>
      <c r="S83" s="720"/>
      <c r="T83" s="59">
        <f>SUM(F83:R83)</f>
        <v>0</v>
      </c>
      <c r="U83" s="670">
        <f>SUM(G83:S83)</f>
        <v>0</v>
      </c>
      <c r="V83" s="770"/>
      <c r="X83" s="1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R83" s="63"/>
      <c r="AX83" s="1"/>
      <c r="BD83" s="143"/>
      <c r="BE83" s="143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CH83" s="143"/>
      <c r="DA83" s="1"/>
      <c r="DP83" s="5"/>
      <c r="DQ83" s="143"/>
      <c r="DR83" s="143"/>
      <c r="DS83" s="143"/>
      <c r="DT83" s="143"/>
      <c r="FW83" s="143"/>
      <c r="JR83" s="143"/>
      <c r="JS83" s="143"/>
      <c r="JT83" s="143"/>
      <c r="JU83" s="143"/>
      <c r="OY83" s="143"/>
      <c r="OZ83" s="143"/>
      <c r="PB83" s="143"/>
      <c r="PP83" s="146"/>
      <c r="PT83" s="143"/>
      <c r="RW83" s="146"/>
      <c r="AHF83" s="142"/>
      <c r="AIU83" s="142"/>
      <c r="AIV83" s="142"/>
      <c r="AIW83" s="142"/>
    </row>
    <row r="84" spans="2:936" hidden="1">
      <c r="B84" s="732"/>
      <c r="C84" s="570" t="s">
        <v>29</v>
      </c>
      <c r="D84" s="477"/>
      <c r="E84" s="465"/>
      <c r="F84" s="440"/>
      <c r="G84" s="440"/>
      <c r="H84" s="440"/>
      <c r="I84" s="440"/>
      <c r="J84" s="440"/>
      <c r="K84" s="440"/>
      <c r="L84" s="440"/>
      <c r="M84" s="440"/>
      <c r="N84" s="440"/>
      <c r="O84" s="440"/>
      <c r="P84" s="440"/>
      <c r="Q84" s="440"/>
      <c r="R84" s="440"/>
      <c r="S84" s="720"/>
      <c r="T84" s="64" t="s">
        <v>29</v>
      </c>
      <c r="U84" s="689" t="s">
        <v>29</v>
      </c>
      <c r="V84" s="786" t="s">
        <v>29</v>
      </c>
      <c r="X84" s="1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R84" s="63"/>
      <c r="AX84" s="1"/>
      <c r="BD84" s="143"/>
      <c r="BE84" s="143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H84" s="143"/>
      <c r="DA84" s="1"/>
      <c r="DP84" s="5"/>
      <c r="DQ84" s="143"/>
      <c r="DR84" s="143"/>
      <c r="DS84" s="143"/>
      <c r="DT84" s="143"/>
      <c r="FW84" s="143"/>
      <c r="JR84" s="143"/>
      <c r="JS84" s="143"/>
      <c r="JT84" s="143"/>
      <c r="JU84" s="143"/>
      <c r="OY84" s="143"/>
      <c r="OZ84" s="143"/>
      <c r="PB84" s="143"/>
      <c r="PP84" s="146"/>
      <c r="PT84" s="143"/>
      <c r="RW84" s="146"/>
      <c r="AHF84" s="142"/>
      <c r="AIU84" s="142"/>
      <c r="AIV84" s="142"/>
      <c r="AIW84" s="142"/>
    </row>
    <row r="85" spans="2:936" hidden="1">
      <c r="B85" s="733"/>
      <c r="C85" s="573" t="s">
        <v>49</v>
      </c>
      <c r="D85" s="438"/>
      <c r="E85" s="574" t="s">
        <v>31</v>
      </c>
      <c r="F85" s="283">
        <f>'[2]Januari 24'!AL74</f>
        <v>17197</v>
      </c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722"/>
      <c r="T85" s="55">
        <f>SUM(F85:R85)</f>
        <v>17197</v>
      </c>
      <c r="U85" s="667">
        <v>1254577</v>
      </c>
      <c r="V85" s="770">
        <f>(T85/U85)*100</f>
        <v>1.3707408951383613</v>
      </c>
      <c r="X85" s="1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R85" s="63"/>
      <c r="AX85" s="16"/>
      <c r="BD85" s="149"/>
      <c r="BE85" s="149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H85" s="149"/>
      <c r="DA85" s="1"/>
      <c r="DP85" s="518"/>
      <c r="DQ85" s="149"/>
      <c r="DR85" s="149"/>
      <c r="DS85" s="149"/>
      <c r="DT85" s="149"/>
      <c r="FW85" s="149"/>
      <c r="JR85" s="149"/>
      <c r="JS85" s="149"/>
      <c r="JT85" s="149"/>
      <c r="JU85" s="149"/>
      <c r="OY85" s="149"/>
      <c r="OZ85" s="149"/>
      <c r="PB85" s="149"/>
      <c r="PP85" s="575"/>
      <c r="PT85" s="149"/>
      <c r="RW85" s="575"/>
      <c r="AHF85" s="145"/>
      <c r="AIU85" s="145"/>
      <c r="AIV85" s="145"/>
      <c r="AIW85" s="145"/>
    </row>
    <row r="86" spans="2:936" hidden="1">
      <c r="B86" s="733"/>
      <c r="C86" s="573" t="s">
        <v>48</v>
      </c>
      <c r="D86" s="438"/>
      <c r="E86" s="574" t="s">
        <v>31</v>
      </c>
      <c r="F86" s="283">
        <f>'[2]Januari 24'!AL75</f>
        <v>19659</v>
      </c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722"/>
      <c r="T86" s="55">
        <f>SUM(F86:R86)</f>
        <v>19659</v>
      </c>
      <c r="U86" s="667">
        <v>1716790</v>
      </c>
      <c r="V86" s="770">
        <f>(T86/U86)*100</f>
        <v>1.1451021965412194</v>
      </c>
      <c r="X86" s="1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R86" s="63"/>
      <c r="AX86" s="16"/>
      <c r="BD86" s="149"/>
      <c r="BE86" s="149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H86" s="149"/>
      <c r="DA86" s="1"/>
      <c r="DP86" s="518"/>
      <c r="DQ86" s="149"/>
      <c r="DR86" s="149"/>
      <c r="DS86" s="149"/>
      <c r="DT86" s="149"/>
      <c r="FW86" s="149"/>
      <c r="JR86" s="149"/>
      <c r="JS86" s="149"/>
      <c r="JT86" s="149"/>
      <c r="JU86" s="149"/>
      <c r="OY86" s="149"/>
      <c r="OZ86" s="149"/>
      <c r="PB86" s="149"/>
      <c r="PP86" s="575"/>
      <c r="PT86" s="149"/>
      <c r="RW86" s="575"/>
      <c r="AHF86" s="145"/>
      <c r="AIU86" s="145"/>
      <c r="AIV86" s="145"/>
      <c r="AIW86" s="145"/>
    </row>
    <row r="87" spans="2:936" hidden="1">
      <c r="B87" s="732"/>
      <c r="C87" s="570" t="s">
        <v>28</v>
      </c>
      <c r="D87" s="477"/>
      <c r="E87" s="465"/>
      <c r="F87" s="440"/>
      <c r="G87" s="440"/>
      <c r="H87" s="440"/>
      <c r="I87" s="440"/>
      <c r="J87" s="440"/>
      <c r="K87" s="440"/>
      <c r="L87" s="440"/>
      <c r="M87" s="440"/>
      <c r="N87" s="440"/>
      <c r="O87" s="440"/>
      <c r="P87" s="440"/>
      <c r="Q87" s="440"/>
      <c r="R87" s="440"/>
      <c r="S87" s="720"/>
      <c r="T87" s="64" t="s">
        <v>28</v>
      </c>
      <c r="U87" s="689" t="s">
        <v>28</v>
      </c>
      <c r="V87" s="786" t="s">
        <v>28</v>
      </c>
      <c r="X87" s="6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R87" s="63"/>
      <c r="AX87" s="1"/>
      <c r="BG87" s="143"/>
      <c r="BH87" s="143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K87" s="143"/>
      <c r="DA87" s="1"/>
      <c r="DS87" s="5"/>
      <c r="DT87" s="143"/>
      <c r="DU87" s="143"/>
      <c r="DV87" s="143"/>
      <c r="DW87" s="143"/>
      <c r="FZ87" s="143"/>
      <c r="JU87" s="143"/>
      <c r="JV87" s="143"/>
      <c r="JW87" s="143"/>
      <c r="JX87" s="143"/>
      <c r="PB87" s="143"/>
      <c r="PC87" s="143"/>
      <c r="PE87" s="143"/>
      <c r="PS87" s="146"/>
      <c r="PW87" s="143"/>
      <c r="RZ87" s="146"/>
      <c r="AHI87" s="142"/>
      <c r="AIX87" s="142"/>
      <c r="AIY87" s="142"/>
      <c r="AIZ87" s="142"/>
    </row>
    <row r="88" spans="2:936" hidden="1">
      <c r="B88" s="732"/>
      <c r="C88" s="463" t="s">
        <v>49</v>
      </c>
      <c r="D88" s="477"/>
      <c r="E88" s="497" t="s">
        <v>28</v>
      </c>
      <c r="F88" s="440">
        <f>F85*12</f>
        <v>206364</v>
      </c>
      <c r="G88" s="440"/>
      <c r="H88" s="440"/>
      <c r="I88" s="440"/>
      <c r="J88" s="440"/>
      <c r="K88" s="440"/>
      <c r="L88" s="440"/>
      <c r="M88" s="440"/>
      <c r="N88" s="440"/>
      <c r="O88" s="440"/>
      <c r="P88" s="440"/>
      <c r="Q88" s="440"/>
      <c r="R88" s="440"/>
      <c r="S88" s="720"/>
      <c r="T88" s="55">
        <f>T85*12</f>
        <v>206364</v>
      </c>
      <c r="U88" s="667">
        <f>U85*12</f>
        <v>15054924</v>
      </c>
      <c r="V88" s="770">
        <f>(T88/U88)*100</f>
        <v>1.3707408951383613</v>
      </c>
      <c r="X88" s="6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R88" s="63"/>
      <c r="AX88" s="1"/>
      <c r="BG88" s="143"/>
      <c r="BH88" s="143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K88" s="143"/>
      <c r="DA88" s="1"/>
      <c r="DS88" s="5"/>
      <c r="DT88" s="143"/>
      <c r="DU88" s="143"/>
      <c r="DV88" s="143"/>
      <c r="DW88" s="143"/>
      <c r="FZ88" s="143"/>
      <c r="JU88" s="143"/>
      <c r="JV88" s="143"/>
      <c r="JW88" s="143"/>
      <c r="JX88" s="143"/>
      <c r="PB88" s="143"/>
      <c r="PC88" s="143"/>
      <c r="PE88" s="143"/>
      <c r="PS88" s="146"/>
      <c r="PW88" s="143"/>
      <c r="RZ88" s="146"/>
      <c r="AHI88" s="142"/>
      <c r="AIX88" s="142"/>
      <c r="AIY88" s="142"/>
      <c r="AIZ88" s="142"/>
    </row>
    <row r="89" spans="2:936" hidden="1">
      <c r="B89" s="732"/>
      <c r="C89" s="463" t="s">
        <v>48</v>
      </c>
      <c r="D89" s="477"/>
      <c r="E89" s="497" t="s">
        <v>28</v>
      </c>
      <c r="F89" s="440">
        <f>F86*6</f>
        <v>117954</v>
      </c>
      <c r="G89" s="440"/>
      <c r="H89" s="440"/>
      <c r="I89" s="440"/>
      <c r="J89" s="440"/>
      <c r="K89" s="440"/>
      <c r="L89" s="440"/>
      <c r="M89" s="440"/>
      <c r="N89" s="440"/>
      <c r="O89" s="440"/>
      <c r="P89" s="440"/>
      <c r="Q89" s="440"/>
      <c r="R89" s="440"/>
      <c r="S89" s="720"/>
      <c r="T89" s="55">
        <f>T86*6</f>
        <v>117954</v>
      </c>
      <c r="U89" s="667">
        <f>U86*6</f>
        <v>10300740</v>
      </c>
      <c r="V89" s="770">
        <f>(T89/U89)*100</f>
        <v>1.1451021965412194</v>
      </c>
      <c r="X89" s="6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R89" s="63"/>
      <c r="AX89" s="1"/>
      <c r="BG89" s="143"/>
      <c r="BH89" s="143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K89" s="143"/>
      <c r="DA89" s="1"/>
      <c r="DS89" s="5"/>
      <c r="DT89" s="143"/>
      <c r="DU89" s="143"/>
      <c r="DV89" s="143"/>
      <c r="DW89" s="143"/>
      <c r="FZ89" s="143"/>
      <c r="JU89" s="143"/>
      <c r="JV89" s="143"/>
      <c r="JW89" s="143"/>
      <c r="JX89" s="143"/>
      <c r="PB89" s="143"/>
      <c r="PC89" s="143"/>
      <c r="PE89" s="143"/>
      <c r="PS89" s="146"/>
      <c r="PW89" s="143"/>
      <c r="RZ89" s="146"/>
      <c r="AHI89" s="142"/>
      <c r="AIX89" s="142"/>
      <c r="AIY89" s="142"/>
      <c r="AIZ89" s="142"/>
    </row>
    <row r="90" spans="2:936" hidden="1">
      <c r="B90" s="732"/>
      <c r="C90" s="570" t="s">
        <v>36</v>
      </c>
      <c r="D90" s="477"/>
      <c r="E90" s="497" t="s">
        <v>35</v>
      </c>
      <c r="F90" s="576">
        <f>(F80*45)/1700</f>
        <v>10562.328</v>
      </c>
      <c r="G90" s="577"/>
      <c r="H90" s="577"/>
      <c r="I90" s="576"/>
      <c r="J90" s="576"/>
      <c r="K90" s="576"/>
      <c r="L90" s="576"/>
      <c r="M90" s="576"/>
      <c r="N90" s="576"/>
      <c r="O90" s="576"/>
      <c r="P90" s="576"/>
      <c r="Q90" s="576"/>
      <c r="R90" s="576"/>
      <c r="S90" s="720"/>
      <c r="T90" s="55">
        <f>SUM(F90:R90)</f>
        <v>10562.328</v>
      </c>
      <c r="U90" s="576">
        <f>(U80*45)/1700</f>
        <v>854180.61935294105</v>
      </c>
      <c r="V90" s="770">
        <f>(T90/U90)*100</f>
        <v>1.2365450304879517</v>
      </c>
      <c r="X90" s="6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R90" s="63"/>
      <c r="AX90" s="1"/>
      <c r="BG90" s="143"/>
      <c r="BH90" s="143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43"/>
      <c r="DA90" s="1"/>
      <c r="DS90" s="5"/>
      <c r="DT90" s="143"/>
      <c r="DU90" s="143"/>
      <c r="DV90" s="143"/>
      <c r="DW90" s="143"/>
      <c r="FZ90" s="143"/>
      <c r="JU90" s="143"/>
      <c r="JV90" s="143"/>
      <c r="JW90" s="143"/>
      <c r="JX90" s="143"/>
      <c r="PB90" s="143"/>
      <c r="PC90" s="143"/>
      <c r="PE90" s="143"/>
      <c r="PS90" s="146"/>
      <c r="PW90" s="143"/>
      <c r="RZ90" s="146"/>
      <c r="AHI90" s="142"/>
      <c r="AIX90" s="142"/>
      <c r="AIY90" s="142"/>
      <c r="AIZ90" s="142"/>
    </row>
    <row r="91" spans="2:936" hidden="1">
      <c r="B91" s="732"/>
      <c r="C91" s="570" t="s">
        <v>34</v>
      </c>
      <c r="D91" s="477"/>
      <c r="E91" s="497" t="s">
        <v>33</v>
      </c>
      <c r="F91" s="440">
        <f>SUM(F85:F86)/500</f>
        <v>73.712000000000003</v>
      </c>
      <c r="G91" s="440"/>
      <c r="H91" s="440"/>
      <c r="I91" s="440"/>
      <c r="J91" s="440"/>
      <c r="K91" s="440"/>
      <c r="L91" s="440"/>
      <c r="M91" s="440"/>
      <c r="N91" s="440"/>
      <c r="O91" s="440"/>
      <c r="P91" s="440"/>
      <c r="Q91" s="440"/>
      <c r="R91" s="440"/>
      <c r="S91" s="720"/>
      <c r="T91" s="55">
        <f>SUM(F91:R91)</f>
        <v>73.712000000000003</v>
      </c>
      <c r="U91" s="533">
        <f>SUM(U85:U86)/500</f>
        <v>5942.7340000000004</v>
      </c>
      <c r="V91" s="770">
        <f>(T91/U91)*100</f>
        <v>1.2403718557822039</v>
      </c>
      <c r="X91" s="6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R91" s="63"/>
      <c r="AX91" s="1"/>
      <c r="BG91" s="143"/>
      <c r="BH91" s="143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43"/>
      <c r="DA91" s="1"/>
      <c r="DS91" s="5"/>
      <c r="DT91" s="143"/>
      <c r="DU91" s="143"/>
      <c r="DV91" s="143"/>
      <c r="DW91" s="143"/>
      <c r="FZ91" s="143"/>
      <c r="JU91" s="143"/>
      <c r="JV91" s="143"/>
      <c r="JW91" s="143"/>
      <c r="JX91" s="143"/>
      <c r="PB91" s="143"/>
      <c r="PC91" s="143"/>
      <c r="PE91" s="143"/>
      <c r="PS91" s="146"/>
      <c r="PW91" s="143"/>
      <c r="RZ91" s="146"/>
      <c r="AHI91" s="142"/>
      <c r="AIX91" s="142"/>
      <c r="AIY91" s="142"/>
      <c r="AIZ91" s="142"/>
    </row>
    <row r="92" spans="2:936" hidden="1">
      <c r="B92" s="729"/>
      <c r="C92" s="420" t="s">
        <v>32</v>
      </c>
      <c r="D92" s="48"/>
      <c r="E92" s="48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3"/>
      <c r="T92" s="523" t="s">
        <v>131</v>
      </c>
      <c r="U92" s="678" t="s">
        <v>131</v>
      </c>
      <c r="V92" s="777" t="s">
        <v>131</v>
      </c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R92" s="63"/>
      <c r="AX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DA92" s="1"/>
    </row>
    <row r="93" spans="2:936" hidden="1">
      <c r="B93" s="732"/>
      <c r="C93" s="570" t="s">
        <v>29</v>
      </c>
      <c r="D93" s="477"/>
      <c r="E93" s="465"/>
      <c r="F93" s="440"/>
      <c r="G93" s="440"/>
      <c r="H93" s="440"/>
      <c r="I93" s="440"/>
      <c r="J93" s="440"/>
      <c r="K93" s="440"/>
      <c r="L93" s="440"/>
      <c r="M93" s="440"/>
      <c r="N93" s="440"/>
      <c r="O93" s="440"/>
      <c r="P93" s="440"/>
      <c r="Q93" s="440"/>
      <c r="R93" s="440"/>
      <c r="S93" s="720"/>
      <c r="T93" s="64" t="s">
        <v>29</v>
      </c>
      <c r="U93" s="689" t="s">
        <v>29</v>
      </c>
      <c r="V93" s="786" t="s">
        <v>29</v>
      </c>
      <c r="X93" s="6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R93" s="63"/>
      <c r="AX93" s="1"/>
      <c r="BG93" s="143"/>
      <c r="BH93" s="143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K93" s="143"/>
      <c r="DA93" s="1"/>
      <c r="DS93" s="5"/>
      <c r="DT93" s="143"/>
      <c r="DU93" s="143"/>
      <c r="DV93" s="143"/>
      <c r="DW93" s="143"/>
      <c r="FZ93" s="143"/>
      <c r="JU93" s="143"/>
      <c r="JV93" s="143"/>
      <c r="JW93" s="143"/>
      <c r="JX93" s="143"/>
      <c r="PB93" s="143"/>
      <c r="PC93" s="143"/>
      <c r="PE93" s="143"/>
      <c r="PS93" s="146"/>
      <c r="PW93" s="143"/>
      <c r="RZ93" s="146"/>
      <c r="AHI93" s="142"/>
      <c r="AIX93" s="142"/>
      <c r="AIY93" s="142"/>
      <c r="AIZ93" s="142"/>
    </row>
    <row r="94" spans="2:936" hidden="1">
      <c r="B94" s="732"/>
      <c r="C94" s="463" t="s">
        <v>49</v>
      </c>
      <c r="D94" s="477"/>
      <c r="E94" s="497" t="s">
        <v>31</v>
      </c>
      <c r="F94" s="33">
        <f>'[2]Januari 24'!AL74</f>
        <v>17197</v>
      </c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720"/>
      <c r="T94" s="55">
        <f t="shared" ref="T94:V95" si="2">SUM(F94:R94)</f>
        <v>17197</v>
      </c>
      <c r="U94" s="667">
        <f t="shared" si="2"/>
        <v>0</v>
      </c>
      <c r="V94" s="787">
        <f t="shared" si="2"/>
        <v>17197</v>
      </c>
      <c r="X94" s="6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R94" s="63"/>
      <c r="AX94" s="1"/>
      <c r="BG94" s="143"/>
      <c r="BH94" s="143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K94" s="143"/>
      <c r="DA94" s="1"/>
      <c r="DS94" s="5"/>
      <c r="DT94" s="143"/>
      <c r="DU94" s="143"/>
      <c r="DV94" s="143"/>
      <c r="DW94" s="143"/>
      <c r="FZ94" s="143"/>
      <c r="JU94" s="143"/>
      <c r="JV94" s="143"/>
      <c r="JW94" s="143"/>
      <c r="JX94" s="143"/>
      <c r="PB94" s="143"/>
      <c r="PC94" s="143"/>
      <c r="PE94" s="143"/>
      <c r="PS94" s="146"/>
      <c r="PW94" s="143"/>
      <c r="RZ94" s="146"/>
      <c r="AHI94" s="142"/>
      <c r="AIX94" s="142"/>
      <c r="AIY94" s="142"/>
      <c r="AIZ94" s="142"/>
    </row>
    <row r="95" spans="2:936" hidden="1">
      <c r="B95" s="732"/>
      <c r="C95" s="463" t="s">
        <v>48</v>
      </c>
      <c r="D95" s="477"/>
      <c r="E95" s="497" t="s">
        <v>31</v>
      </c>
      <c r="F95" s="33">
        <f>'[2]Januari 24'!AL75</f>
        <v>19659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720"/>
      <c r="T95" s="55">
        <f t="shared" si="2"/>
        <v>19659</v>
      </c>
      <c r="U95" s="667">
        <f t="shared" si="2"/>
        <v>0</v>
      </c>
      <c r="V95" s="787">
        <f t="shared" si="2"/>
        <v>19659</v>
      </c>
      <c r="X95" s="6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R95" s="63"/>
      <c r="AX95" s="1"/>
      <c r="BG95" s="143"/>
      <c r="BH95" s="143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CK95" s="143"/>
      <c r="DA95" s="1"/>
      <c r="DS95" s="5"/>
      <c r="DT95" s="143"/>
      <c r="DU95" s="143"/>
      <c r="DV95" s="143"/>
      <c r="DW95" s="143"/>
      <c r="FZ95" s="143"/>
      <c r="JU95" s="143"/>
      <c r="JV95" s="143"/>
      <c r="JW95" s="143"/>
      <c r="JX95" s="143"/>
      <c r="PB95" s="143"/>
      <c r="PC95" s="143"/>
      <c r="PE95" s="143"/>
      <c r="PS95" s="146"/>
      <c r="PW95" s="143"/>
      <c r="RZ95" s="146"/>
      <c r="AHI95" s="142"/>
      <c r="AIX95" s="142"/>
      <c r="AIY95" s="142"/>
      <c r="AIZ95" s="142"/>
    </row>
    <row r="96" spans="2:936" hidden="1">
      <c r="B96" s="732"/>
      <c r="C96" s="570" t="s">
        <v>28</v>
      </c>
      <c r="D96" s="477"/>
      <c r="E96" s="465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720"/>
      <c r="T96" s="64" t="s">
        <v>28</v>
      </c>
      <c r="U96" s="689" t="s">
        <v>28</v>
      </c>
      <c r="V96" s="786" t="s">
        <v>28</v>
      </c>
      <c r="X96" s="6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804"/>
      <c r="AK96" s="804"/>
      <c r="AL96" s="804"/>
      <c r="AM96" s="804"/>
      <c r="AN96" s="804"/>
      <c r="AO96" s="804"/>
      <c r="AP96" s="804"/>
      <c r="AQ96" s="804"/>
      <c r="AR96" s="804"/>
      <c r="AS96" s="804"/>
      <c r="AX96" s="1"/>
      <c r="BG96" s="143"/>
      <c r="BH96" s="143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3"/>
      <c r="DA96" s="1"/>
      <c r="DS96" s="5"/>
      <c r="DT96" s="143"/>
      <c r="DU96" s="143"/>
      <c r="DV96" s="143"/>
      <c r="DW96" s="143"/>
      <c r="FZ96" s="143"/>
      <c r="JU96" s="143"/>
      <c r="JV96" s="143"/>
      <c r="JW96" s="143"/>
      <c r="JX96" s="143"/>
      <c r="PB96" s="143"/>
      <c r="PC96" s="143"/>
      <c r="PE96" s="143"/>
      <c r="PS96" s="146"/>
      <c r="PW96" s="143"/>
      <c r="RZ96" s="146"/>
      <c r="AHI96" s="142"/>
      <c r="AIX96" s="142"/>
      <c r="AIY96" s="142"/>
      <c r="AIZ96" s="142"/>
    </row>
    <row r="97" spans="2:936" hidden="1">
      <c r="B97" s="732"/>
      <c r="C97" s="463" t="s">
        <v>49</v>
      </c>
      <c r="D97" s="477"/>
      <c r="E97" s="497" t="s">
        <v>28</v>
      </c>
      <c r="F97" s="578">
        <f>F94*12</f>
        <v>206364</v>
      </c>
      <c r="G97" s="578"/>
      <c r="H97" s="578"/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720"/>
      <c r="T97" s="55">
        <f t="shared" ref="T97:V98" si="3">SUM(F97:R97)</f>
        <v>206364</v>
      </c>
      <c r="U97" s="667">
        <f t="shared" si="3"/>
        <v>0</v>
      </c>
      <c r="V97" s="787">
        <f t="shared" si="3"/>
        <v>206364</v>
      </c>
      <c r="X97" s="6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814"/>
      <c r="AK97" s="804"/>
      <c r="AL97" s="804"/>
      <c r="AM97" s="804"/>
      <c r="AN97" s="815"/>
      <c r="AO97" s="804"/>
      <c r="AP97" s="804"/>
      <c r="AQ97" s="804"/>
      <c r="AR97" s="804"/>
      <c r="AS97" s="804"/>
      <c r="AX97" s="1"/>
      <c r="BG97" s="143"/>
      <c r="BH97" s="143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43"/>
      <c r="DA97" s="1"/>
      <c r="DS97" s="5"/>
      <c r="DT97" s="143"/>
      <c r="DU97" s="143"/>
      <c r="DV97" s="143"/>
      <c r="DW97" s="143"/>
      <c r="FZ97" s="143"/>
      <c r="JU97" s="143"/>
      <c r="JV97" s="143"/>
      <c r="JW97" s="143"/>
      <c r="JX97" s="143"/>
      <c r="PB97" s="143"/>
      <c r="PC97" s="143"/>
      <c r="PE97" s="143"/>
      <c r="PS97" s="146"/>
      <c r="PW97" s="143"/>
      <c r="RZ97" s="146"/>
      <c r="AHI97" s="142"/>
      <c r="AIX97" s="142"/>
      <c r="AIY97" s="142"/>
      <c r="AIZ97" s="142"/>
    </row>
    <row r="98" spans="2:936" hidden="1">
      <c r="B98" s="732"/>
      <c r="C98" s="463" t="s">
        <v>48</v>
      </c>
      <c r="D98" s="477"/>
      <c r="E98" s="497" t="s">
        <v>28</v>
      </c>
      <c r="F98" s="578">
        <f>F95*6</f>
        <v>117954</v>
      </c>
      <c r="G98" s="578"/>
      <c r="H98" s="578"/>
      <c r="I98" s="578"/>
      <c r="J98" s="578"/>
      <c r="K98" s="578"/>
      <c r="L98" s="578"/>
      <c r="M98" s="578"/>
      <c r="N98" s="578"/>
      <c r="O98" s="578"/>
      <c r="P98" s="578"/>
      <c r="Q98" s="578"/>
      <c r="R98" s="578"/>
      <c r="S98" s="720"/>
      <c r="T98" s="55">
        <f t="shared" si="3"/>
        <v>117954</v>
      </c>
      <c r="U98" s="667">
        <f t="shared" si="3"/>
        <v>0</v>
      </c>
      <c r="V98" s="787">
        <f t="shared" si="3"/>
        <v>117954</v>
      </c>
      <c r="X98" s="6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804"/>
      <c r="AK98" s="804"/>
      <c r="AL98" s="804"/>
      <c r="AM98" s="804"/>
      <c r="AN98" s="804"/>
      <c r="AO98" s="804"/>
      <c r="AP98" s="804"/>
      <c r="AQ98" s="804"/>
      <c r="AR98" s="804"/>
      <c r="AS98" s="804"/>
      <c r="AX98" s="1"/>
      <c r="BG98" s="143"/>
      <c r="BH98" s="143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3"/>
      <c r="DA98" s="1"/>
      <c r="DS98" s="5"/>
      <c r="DT98" s="143"/>
      <c r="DU98" s="143"/>
      <c r="DV98" s="143"/>
      <c r="DW98" s="143"/>
      <c r="FZ98" s="143"/>
      <c r="JU98" s="143"/>
      <c r="JV98" s="143"/>
      <c r="JW98" s="143"/>
      <c r="JX98" s="143"/>
      <c r="PB98" s="143"/>
      <c r="PC98" s="143"/>
      <c r="PE98" s="143"/>
      <c r="PS98" s="146"/>
      <c r="PW98" s="143"/>
      <c r="RZ98" s="146"/>
      <c r="AHI98" s="142"/>
      <c r="AIX98" s="142"/>
      <c r="AIY98" s="142"/>
      <c r="AIZ98" s="142"/>
    </row>
    <row r="99" spans="2:936" hidden="1">
      <c r="B99" s="729"/>
      <c r="C99" s="420" t="s">
        <v>30</v>
      </c>
      <c r="D99" s="48"/>
      <c r="E99" s="48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3"/>
      <c r="T99" s="523" t="s">
        <v>131</v>
      </c>
      <c r="U99" s="678" t="s">
        <v>131</v>
      </c>
      <c r="V99" s="777" t="s">
        <v>131</v>
      </c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804"/>
      <c r="AK99" s="804"/>
      <c r="AL99" s="804"/>
      <c r="AM99" s="804"/>
      <c r="AN99" s="804"/>
      <c r="AO99" s="804"/>
      <c r="AP99" s="804"/>
      <c r="AQ99" s="804"/>
      <c r="AR99" s="804"/>
      <c r="AS99" s="804"/>
      <c r="AX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DA99" s="1"/>
    </row>
    <row r="100" spans="2:936" hidden="1">
      <c r="B100" s="732"/>
      <c r="C100" s="570" t="s">
        <v>29</v>
      </c>
      <c r="D100" s="477"/>
      <c r="E100" s="465"/>
      <c r="F100" s="440"/>
      <c r="G100" s="440"/>
      <c r="H100" s="440"/>
      <c r="I100" s="440"/>
      <c r="J100" s="440"/>
      <c r="K100" s="440"/>
      <c r="L100" s="440"/>
      <c r="M100" s="440"/>
      <c r="N100" s="440"/>
      <c r="O100" s="440"/>
      <c r="P100" s="440"/>
      <c r="Q100" s="440"/>
      <c r="R100" s="440"/>
      <c r="S100" s="720"/>
      <c r="T100" s="64" t="s">
        <v>29</v>
      </c>
      <c r="U100" s="689" t="s">
        <v>29</v>
      </c>
      <c r="V100" s="786" t="s">
        <v>29</v>
      </c>
      <c r="X100" s="6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804"/>
      <c r="AK100" s="804"/>
      <c r="AL100" s="804"/>
      <c r="AM100" s="804"/>
      <c r="AN100" s="804"/>
      <c r="AO100" s="804"/>
      <c r="AP100" s="804"/>
      <c r="AQ100" s="804"/>
      <c r="AR100" s="804"/>
      <c r="AS100" s="804"/>
      <c r="AX100" s="1"/>
      <c r="BG100" s="143"/>
      <c r="BH100" s="143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CK100" s="143"/>
      <c r="DA100" s="1"/>
      <c r="DS100" s="5"/>
      <c r="DT100" s="143"/>
      <c r="DU100" s="143"/>
      <c r="DV100" s="143"/>
      <c r="DW100" s="143"/>
      <c r="FZ100" s="143"/>
      <c r="JU100" s="143"/>
      <c r="JV100" s="143"/>
      <c r="JW100" s="143"/>
      <c r="JX100" s="143"/>
      <c r="PB100" s="143"/>
      <c r="PC100" s="143"/>
      <c r="PE100" s="143"/>
      <c r="PS100" s="146"/>
      <c r="PW100" s="143"/>
      <c r="RZ100" s="146"/>
      <c r="AHI100" s="142"/>
      <c r="AIX100" s="142"/>
      <c r="AIY100" s="142"/>
      <c r="AIZ100" s="142"/>
    </row>
    <row r="101" spans="2:936" hidden="1">
      <c r="B101" s="732"/>
      <c r="C101" s="463" t="s">
        <v>49</v>
      </c>
      <c r="D101" s="464">
        <v>0.3</v>
      </c>
      <c r="E101" s="497" t="s">
        <v>25</v>
      </c>
      <c r="F101" s="441">
        <f>F94/F85*100</f>
        <v>100</v>
      </c>
      <c r="G101" s="441"/>
      <c r="H101" s="441"/>
      <c r="I101" s="579"/>
      <c r="J101" s="579"/>
      <c r="K101" s="579"/>
      <c r="L101" s="579"/>
      <c r="M101" s="579"/>
      <c r="N101" s="579"/>
      <c r="O101" s="579"/>
      <c r="P101" s="579"/>
      <c r="Q101" s="579"/>
      <c r="R101" s="579"/>
      <c r="S101" s="720"/>
      <c r="T101" s="59">
        <f t="shared" ref="T101:V102" si="4">T94/T85*100</f>
        <v>100</v>
      </c>
      <c r="U101" s="670">
        <f t="shared" si="4"/>
        <v>0</v>
      </c>
      <c r="V101" s="770">
        <f t="shared" si="4"/>
        <v>1254577</v>
      </c>
      <c r="X101" s="6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804"/>
      <c r="AK101" s="804"/>
      <c r="AL101" s="804"/>
      <c r="AM101" s="804"/>
      <c r="AN101" s="804"/>
      <c r="AO101" s="804"/>
      <c r="AP101" s="804"/>
      <c r="AQ101" s="804"/>
      <c r="AR101" s="804"/>
      <c r="AS101" s="804"/>
      <c r="AX101" s="1"/>
      <c r="BG101" s="143"/>
      <c r="BH101" s="143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3"/>
      <c r="DA101" s="1"/>
      <c r="DS101" s="5"/>
      <c r="DT101" s="143"/>
      <c r="DU101" s="143"/>
      <c r="DV101" s="143"/>
      <c r="DW101" s="143"/>
      <c r="FZ101" s="143"/>
      <c r="JU101" s="143"/>
      <c r="JV101" s="143"/>
      <c r="JW101" s="143"/>
      <c r="JX101" s="143"/>
      <c r="PB101" s="143"/>
      <c r="PC101" s="143"/>
      <c r="PE101" s="143"/>
      <c r="PS101" s="146"/>
      <c r="PW101" s="143"/>
      <c r="RZ101" s="146"/>
      <c r="AHI101" s="142"/>
      <c r="AIX101" s="142"/>
      <c r="AIY101" s="142"/>
      <c r="AIZ101" s="142"/>
    </row>
    <row r="102" spans="2:936" hidden="1">
      <c r="B102" s="732"/>
      <c r="C102" s="463" t="s">
        <v>48</v>
      </c>
      <c r="D102" s="464">
        <v>0.3</v>
      </c>
      <c r="E102" s="497" t="s">
        <v>25</v>
      </c>
      <c r="F102" s="441">
        <f>F95/F86*100</f>
        <v>100</v>
      </c>
      <c r="G102" s="441"/>
      <c r="H102" s="441"/>
      <c r="I102" s="579"/>
      <c r="J102" s="579"/>
      <c r="K102" s="579"/>
      <c r="L102" s="579"/>
      <c r="M102" s="579"/>
      <c r="N102" s="579"/>
      <c r="O102" s="579"/>
      <c r="P102" s="579"/>
      <c r="Q102" s="579"/>
      <c r="R102" s="579"/>
      <c r="S102" s="720"/>
      <c r="T102" s="59">
        <f t="shared" si="4"/>
        <v>100</v>
      </c>
      <c r="U102" s="670">
        <f t="shared" si="4"/>
        <v>0</v>
      </c>
      <c r="V102" s="770">
        <f t="shared" si="4"/>
        <v>1716790.0000000002</v>
      </c>
      <c r="X102" s="6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804"/>
      <c r="AK102" s="804"/>
      <c r="AL102" s="804"/>
      <c r="AM102" s="804"/>
      <c r="AN102" s="804"/>
      <c r="AO102" s="804"/>
      <c r="AP102" s="804"/>
      <c r="AQ102" s="804"/>
      <c r="AR102" s="804"/>
      <c r="AS102" s="804"/>
      <c r="AX102" s="1"/>
      <c r="BG102" s="143"/>
      <c r="BH102" s="143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K102" s="143"/>
      <c r="DA102" s="1"/>
      <c r="DS102" s="5"/>
      <c r="DT102" s="143"/>
      <c r="DU102" s="143"/>
      <c r="DV102" s="143"/>
      <c r="DW102" s="143"/>
      <c r="FZ102" s="143"/>
      <c r="JU102" s="143"/>
      <c r="JV102" s="143"/>
      <c r="JW102" s="143"/>
      <c r="JX102" s="143"/>
      <c r="PB102" s="143"/>
      <c r="PC102" s="143"/>
      <c r="PE102" s="143"/>
      <c r="PS102" s="146"/>
      <c r="PW102" s="143"/>
      <c r="RZ102" s="146"/>
      <c r="AHI102" s="142"/>
      <c r="AIX102" s="142"/>
      <c r="AIY102" s="142"/>
      <c r="AIZ102" s="142"/>
    </row>
    <row r="103" spans="2:936" hidden="1">
      <c r="B103" s="732"/>
      <c r="C103" s="570" t="s">
        <v>28</v>
      </c>
      <c r="D103" s="464"/>
      <c r="E103" s="465"/>
      <c r="F103" s="441"/>
      <c r="G103" s="441"/>
      <c r="H103" s="441"/>
      <c r="I103" s="441"/>
      <c r="J103" s="441"/>
      <c r="K103" s="441"/>
      <c r="L103" s="441"/>
      <c r="M103" s="441"/>
      <c r="N103" s="441"/>
      <c r="O103" s="441"/>
      <c r="P103" s="441"/>
      <c r="Q103" s="441"/>
      <c r="R103" s="441"/>
      <c r="S103" s="720"/>
      <c r="T103" s="64" t="s">
        <v>28</v>
      </c>
      <c r="U103" s="689" t="s">
        <v>28</v>
      </c>
      <c r="V103" s="786" t="s">
        <v>28</v>
      </c>
      <c r="X103" s="6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804"/>
      <c r="AK103" s="804"/>
      <c r="AL103" s="804"/>
      <c r="AM103" s="804"/>
      <c r="AN103" s="804"/>
      <c r="AO103" s="804"/>
      <c r="AP103" s="804"/>
      <c r="AQ103" s="804"/>
      <c r="AR103" s="804"/>
      <c r="AS103" s="804"/>
      <c r="AX103" s="1"/>
      <c r="BG103" s="143"/>
      <c r="BH103" s="143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3"/>
      <c r="DA103" s="1"/>
      <c r="DS103" s="5"/>
      <c r="DT103" s="143"/>
      <c r="DU103" s="143"/>
      <c r="DV103" s="143"/>
      <c r="DW103" s="143"/>
      <c r="FZ103" s="143"/>
      <c r="JU103" s="143"/>
      <c r="JV103" s="143"/>
      <c r="JW103" s="143"/>
      <c r="JX103" s="143"/>
      <c r="PB103" s="143"/>
      <c r="PC103" s="143"/>
      <c r="PE103" s="143"/>
      <c r="PS103" s="146"/>
      <c r="PW103" s="143"/>
      <c r="RZ103" s="146"/>
      <c r="AHI103" s="142"/>
      <c r="AIX103" s="142"/>
      <c r="AIY103" s="142"/>
      <c r="AIZ103" s="142"/>
    </row>
    <row r="104" spans="2:936" hidden="1">
      <c r="B104" s="732"/>
      <c r="C104" s="463" t="s">
        <v>49</v>
      </c>
      <c r="D104" s="464">
        <v>0.5</v>
      </c>
      <c r="E104" s="497" t="s">
        <v>25</v>
      </c>
      <c r="F104" s="441">
        <f>F97/F88*100</f>
        <v>100</v>
      </c>
      <c r="G104" s="441"/>
      <c r="H104" s="441"/>
      <c r="I104" s="579"/>
      <c r="J104" s="579"/>
      <c r="K104" s="579"/>
      <c r="L104" s="579"/>
      <c r="M104" s="579"/>
      <c r="N104" s="579"/>
      <c r="O104" s="579"/>
      <c r="P104" s="579"/>
      <c r="Q104" s="579"/>
      <c r="R104" s="579"/>
      <c r="S104" s="720"/>
      <c r="T104" s="59">
        <f t="shared" ref="T104:V105" si="5">T97/T88*100</f>
        <v>100</v>
      </c>
      <c r="U104" s="670">
        <f t="shared" si="5"/>
        <v>0</v>
      </c>
      <c r="V104" s="770">
        <f t="shared" si="5"/>
        <v>15054924.000000002</v>
      </c>
      <c r="X104" s="6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804"/>
      <c r="AK104" s="804"/>
      <c r="AL104" s="804"/>
      <c r="AM104" s="804"/>
      <c r="AN104" s="804"/>
      <c r="AO104" s="804"/>
      <c r="AP104" s="804"/>
      <c r="AQ104" s="804"/>
      <c r="AR104" s="804"/>
      <c r="AS104" s="804"/>
      <c r="AX104" s="1"/>
      <c r="BG104" s="143"/>
      <c r="BH104" s="143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43"/>
      <c r="DA104" s="1"/>
      <c r="DS104" s="5"/>
      <c r="DT104" s="143"/>
      <c r="DU104" s="143"/>
      <c r="DV104" s="143"/>
      <c r="DW104" s="143"/>
      <c r="FZ104" s="143"/>
      <c r="JU104" s="143"/>
      <c r="JV104" s="143"/>
      <c r="JW104" s="143"/>
      <c r="JX104" s="143"/>
      <c r="PB104" s="143"/>
      <c r="PC104" s="143"/>
      <c r="PE104" s="143"/>
      <c r="PS104" s="146"/>
      <c r="PW104" s="143"/>
      <c r="RZ104" s="146"/>
      <c r="AHI104" s="142"/>
      <c r="AIX104" s="142"/>
      <c r="AIY104" s="142"/>
      <c r="AIZ104" s="142"/>
    </row>
    <row r="105" spans="2:936" hidden="1">
      <c r="B105" s="732"/>
      <c r="C105" s="463" t="s">
        <v>48</v>
      </c>
      <c r="D105" s="464">
        <v>0.5</v>
      </c>
      <c r="E105" s="497" t="s">
        <v>25</v>
      </c>
      <c r="F105" s="441">
        <f>F98/F89*100</f>
        <v>100</v>
      </c>
      <c r="G105" s="441"/>
      <c r="H105" s="441"/>
      <c r="I105" s="579"/>
      <c r="J105" s="579"/>
      <c r="K105" s="579"/>
      <c r="L105" s="579"/>
      <c r="M105" s="579"/>
      <c r="N105" s="579"/>
      <c r="O105" s="579"/>
      <c r="P105" s="579"/>
      <c r="Q105" s="579"/>
      <c r="R105" s="579"/>
      <c r="S105" s="720"/>
      <c r="T105" s="59">
        <f t="shared" si="5"/>
        <v>100</v>
      </c>
      <c r="U105" s="670">
        <f t="shared" si="5"/>
        <v>0</v>
      </c>
      <c r="V105" s="770">
        <f t="shared" si="5"/>
        <v>10300740</v>
      </c>
      <c r="X105" s="6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804"/>
      <c r="AK105" s="804"/>
      <c r="AL105" s="804"/>
      <c r="AM105" s="804"/>
      <c r="AN105" s="804"/>
      <c r="AO105" s="804"/>
      <c r="AP105" s="804"/>
      <c r="AQ105" s="804"/>
      <c r="AR105" s="804"/>
      <c r="AS105" s="804"/>
      <c r="AX105" s="1"/>
      <c r="BG105" s="143"/>
      <c r="BH105" s="143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3"/>
      <c r="DA105" s="1"/>
      <c r="DS105" s="5"/>
      <c r="DT105" s="143"/>
      <c r="DU105" s="143"/>
      <c r="DV105" s="143"/>
      <c r="DW105" s="143"/>
      <c r="FZ105" s="143"/>
      <c r="JU105" s="143"/>
      <c r="JV105" s="143"/>
      <c r="JW105" s="143"/>
      <c r="JX105" s="143"/>
      <c r="PB105" s="143"/>
      <c r="PC105" s="143"/>
      <c r="PE105" s="143"/>
      <c r="PS105" s="146"/>
      <c r="PW105" s="143"/>
      <c r="RZ105" s="146"/>
      <c r="AHI105" s="142"/>
      <c r="AIX105" s="142"/>
      <c r="AIY105" s="142"/>
      <c r="AIZ105" s="142"/>
    </row>
    <row r="106" spans="2:936" hidden="1">
      <c r="B106" s="728">
        <v>6</v>
      </c>
      <c r="C106" s="420" t="s">
        <v>47</v>
      </c>
      <c r="D106" s="48"/>
      <c r="E106" s="48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3"/>
      <c r="T106" s="523" t="s">
        <v>130</v>
      </c>
      <c r="U106" s="678" t="s">
        <v>130</v>
      </c>
      <c r="V106" s="777" t="s">
        <v>130</v>
      </c>
      <c r="X106" s="6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804"/>
      <c r="AK106" s="804"/>
      <c r="AL106" s="804"/>
      <c r="AM106" s="804"/>
      <c r="AN106" s="804"/>
      <c r="AO106" s="804"/>
      <c r="AP106" s="804"/>
      <c r="AQ106" s="804"/>
      <c r="AR106" s="804"/>
      <c r="AS106" s="804"/>
      <c r="AX106" s="1"/>
      <c r="BG106" s="142"/>
      <c r="BH106" s="142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2"/>
      <c r="DA106" s="1"/>
      <c r="DS106" s="5"/>
      <c r="DT106" s="142"/>
      <c r="DU106" s="142"/>
      <c r="DV106" s="142"/>
      <c r="DW106" s="142"/>
      <c r="FZ106" s="142"/>
      <c r="JU106" s="142"/>
      <c r="JV106" s="142"/>
      <c r="JW106" s="142"/>
      <c r="JX106" s="142"/>
      <c r="PB106" s="142"/>
      <c r="PC106" s="142"/>
      <c r="PE106" s="142"/>
      <c r="PS106" s="482"/>
      <c r="PW106" s="142"/>
      <c r="RZ106" s="482"/>
      <c r="AHI106" s="142"/>
      <c r="AIX106" s="142"/>
      <c r="AIY106" s="142"/>
      <c r="AIZ106" s="142"/>
    </row>
    <row r="107" spans="2:936" hidden="1">
      <c r="B107" s="729"/>
      <c r="C107" s="580" t="s">
        <v>46</v>
      </c>
      <c r="D107" s="581"/>
      <c r="E107" s="20" t="s">
        <v>14</v>
      </c>
      <c r="F107" s="582">
        <f>'[2]Januari 24'!AL96</f>
        <v>461724.07999999996</v>
      </c>
      <c r="G107" s="583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734"/>
      <c r="T107" s="90">
        <f>SUM(T108:T109)</f>
        <v>461724.07999999996</v>
      </c>
      <c r="U107" s="687">
        <f>SUM(U108:U109)</f>
        <v>0</v>
      </c>
      <c r="V107" s="788">
        <f>SUM(V108:V109)</f>
        <v>461724.07999999996</v>
      </c>
      <c r="X107" s="816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814"/>
      <c r="AK107" s="814"/>
      <c r="AL107" s="814"/>
      <c r="AM107" s="814"/>
      <c r="AN107" s="814"/>
      <c r="AO107" s="814"/>
      <c r="AP107" s="814"/>
      <c r="AQ107" s="814"/>
      <c r="AR107" s="814"/>
      <c r="AS107" s="814"/>
      <c r="AX107" s="1"/>
      <c r="BG107" s="147"/>
      <c r="BH107" s="147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47"/>
      <c r="DA107" s="1"/>
      <c r="DS107" s="436"/>
      <c r="DT107" s="147"/>
      <c r="DU107" s="147"/>
      <c r="DV107" s="147"/>
      <c r="DW107" s="147"/>
      <c r="FZ107" s="147"/>
      <c r="JU107" s="147"/>
      <c r="JV107" s="147"/>
      <c r="JW107" s="147"/>
      <c r="JX107" s="147"/>
      <c r="PB107" s="147"/>
      <c r="PC107" s="147"/>
      <c r="PE107" s="147"/>
      <c r="PS107" s="564"/>
      <c r="PW107" s="147"/>
      <c r="RZ107" s="564"/>
      <c r="AHI107" s="152"/>
      <c r="AIX107" s="152"/>
      <c r="AIY107" s="152"/>
      <c r="AIZ107" s="152"/>
    </row>
    <row r="108" spans="2:936" hidden="1">
      <c r="B108" s="732"/>
      <c r="C108" s="570" t="s">
        <v>39</v>
      </c>
      <c r="D108" s="477"/>
      <c r="E108" s="497" t="s">
        <v>14</v>
      </c>
      <c r="F108" s="441">
        <f>SUM(F112:F113)*10.86</f>
        <v>463439.63999999996</v>
      </c>
      <c r="G108" s="527"/>
      <c r="H108" s="525"/>
      <c r="I108" s="441"/>
      <c r="J108" s="527"/>
      <c r="K108" s="441"/>
      <c r="L108" s="527"/>
      <c r="M108" s="441"/>
      <c r="N108" s="527"/>
      <c r="O108" s="527"/>
      <c r="P108" s="527"/>
      <c r="Q108" s="527"/>
      <c r="R108" s="441"/>
      <c r="S108" s="720"/>
      <c r="T108" s="59">
        <f t="shared" ref="T108:V109" si="6">SUM(F108:R108)</f>
        <v>463439.63999999996</v>
      </c>
      <c r="U108" s="670">
        <f t="shared" si="6"/>
        <v>0</v>
      </c>
      <c r="V108" s="770">
        <f t="shared" si="6"/>
        <v>463439.63999999996</v>
      </c>
      <c r="X108" s="6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817"/>
      <c r="AK108" s="814"/>
      <c r="AL108" s="814"/>
      <c r="AM108" s="814"/>
      <c r="AN108" s="814"/>
      <c r="AO108" s="814"/>
      <c r="AP108" s="804"/>
      <c r="AQ108" s="804"/>
      <c r="AR108" s="804"/>
      <c r="AS108" s="804"/>
      <c r="AX108" s="1"/>
      <c r="BG108" s="143"/>
      <c r="BH108" s="143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43"/>
      <c r="DA108" s="1"/>
      <c r="DS108" s="5"/>
      <c r="DT108" s="143"/>
      <c r="DU108" s="143"/>
      <c r="DV108" s="143"/>
      <c r="DW108" s="143"/>
      <c r="FZ108" s="143"/>
      <c r="JU108" s="143"/>
      <c r="JV108" s="143"/>
      <c r="JW108" s="143"/>
      <c r="JX108" s="143"/>
      <c r="PB108" s="143"/>
      <c r="PC108" s="584"/>
      <c r="PE108" s="143"/>
      <c r="PS108" s="146"/>
      <c r="PW108" s="143"/>
      <c r="RZ108" s="146"/>
      <c r="AHI108" s="142"/>
      <c r="AIX108" s="142"/>
      <c r="AIY108" s="142"/>
      <c r="AIZ108" s="142"/>
    </row>
    <row r="109" spans="2:936" hidden="1">
      <c r="B109" s="732"/>
      <c r="C109" s="570" t="s">
        <v>38</v>
      </c>
      <c r="D109" s="477"/>
      <c r="E109" s="497" t="s">
        <v>14</v>
      </c>
      <c r="F109" s="441">
        <f>F107-F108</f>
        <v>-1715.5599999999977</v>
      </c>
      <c r="G109" s="525"/>
      <c r="H109" s="525"/>
      <c r="I109" s="441"/>
      <c r="J109" s="527"/>
      <c r="K109" s="441"/>
      <c r="L109" s="527"/>
      <c r="M109" s="441"/>
      <c r="N109" s="527"/>
      <c r="O109" s="527"/>
      <c r="P109" s="527"/>
      <c r="Q109" s="527"/>
      <c r="R109" s="441"/>
      <c r="S109" s="720"/>
      <c r="T109" s="59">
        <f t="shared" si="6"/>
        <v>-1715.5599999999977</v>
      </c>
      <c r="U109" s="670">
        <f t="shared" si="6"/>
        <v>0</v>
      </c>
      <c r="V109" s="770">
        <f t="shared" si="6"/>
        <v>-1715.5599999999977</v>
      </c>
      <c r="X109" s="6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804"/>
      <c r="AK109" s="804"/>
      <c r="AL109" s="804"/>
      <c r="AM109" s="804"/>
      <c r="AN109" s="804"/>
      <c r="AO109" s="804"/>
      <c r="AP109" s="804"/>
      <c r="AQ109" s="804"/>
      <c r="AR109" s="804"/>
      <c r="AS109" s="804"/>
      <c r="AX109" s="1"/>
      <c r="BG109" s="143"/>
      <c r="BH109" s="143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3"/>
      <c r="DA109" s="1"/>
      <c r="DS109" s="5"/>
      <c r="DT109" s="143"/>
      <c r="DU109" s="143"/>
      <c r="DV109" s="143"/>
      <c r="DW109" s="143"/>
      <c r="FZ109" s="143"/>
      <c r="JU109" s="143"/>
      <c r="JV109" s="143"/>
      <c r="JW109" s="143"/>
      <c r="JX109" s="143"/>
      <c r="PB109" s="143"/>
      <c r="PC109" s="143"/>
      <c r="PE109" s="143"/>
      <c r="PS109" s="146"/>
      <c r="PW109" s="143"/>
      <c r="RZ109" s="146"/>
      <c r="AHI109" s="142"/>
      <c r="AIX109" s="142"/>
      <c r="AIY109" s="142"/>
      <c r="AIZ109" s="142"/>
    </row>
    <row r="110" spans="2:936" hidden="1">
      <c r="B110" s="732"/>
      <c r="C110" s="570" t="s">
        <v>50</v>
      </c>
      <c r="D110" s="477"/>
      <c r="E110" s="497" t="s">
        <v>14</v>
      </c>
      <c r="F110" s="441"/>
      <c r="G110" s="525"/>
      <c r="H110" s="441"/>
      <c r="I110" s="441"/>
      <c r="J110" s="441"/>
      <c r="K110" s="441"/>
      <c r="L110" s="441"/>
      <c r="M110" s="441"/>
      <c r="N110" s="441"/>
      <c r="O110" s="441"/>
      <c r="P110" s="441"/>
      <c r="Q110" s="441"/>
      <c r="R110" s="441"/>
      <c r="S110" s="720"/>
      <c r="T110" s="59"/>
      <c r="U110" s="670"/>
      <c r="V110" s="770"/>
      <c r="X110" s="6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804"/>
      <c r="AK110" s="804"/>
      <c r="AL110" s="804"/>
      <c r="AM110" s="804"/>
      <c r="AN110" s="804"/>
      <c r="AO110" s="804"/>
      <c r="AP110" s="804"/>
      <c r="AQ110" s="804"/>
      <c r="AR110" s="804"/>
      <c r="AS110" s="804"/>
      <c r="AX110" s="1"/>
      <c r="BG110" s="143"/>
      <c r="BH110" s="143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3"/>
      <c r="DA110" s="1"/>
      <c r="DS110" s="5"/>
      <c r="DT110" s="143"/>
      <c r="DU110" s="143"/>
      <c r="DV110" s="143"/>
      <c r="DW110" s="143"/>
      <c r="FZ110" s="143"/>
      <c r="JU110" s="143"/>
      <c r="JV110" s="143"/>
      <c r="JW110" s="143"/>
      <c r="JX110" s="143"/>
      <c r="PB110" s="143"/>
      <c r="PC110" s="143"/>
      <c r="PE110" s="143"/>
      <c r="PS110" s="146"/>
      <c r="PW110" s="143"/>
      <c r="RZ110" s="146"/>
      <c r="AHI110" s="142"/>
      <c r="AIX110" s="142"/>
      <c r="AIY110" s="142"/>
      <c r="AIZ110" s="142"/>
    </row>
    <row r="111" spans="2:936" hidden="1">
      <c r="B111" s="732"/>
      <c r="C111" s="570" t="s">
        <v>29</v>
      </c>
      <c r="D111" s="477"/>
      <c r="E111" s="465"/>
      <c r="F111" s="440"/>
      <c r="G111" s="440"/>
      <c r="H111" s="440"/>
      <c r="I111" s="440"/>
      <c r="J111" s="440"/>
      <c r="K111" s="440"/>
      <c r="L111" s="440"/>
      <c r="M111" s="440"/>
      <c r="N111" s="440"/>
      <c r="O111" s="440"/>
      <c r="P111" s="440"/>
      <c r="Q111" s="440"/>
      <c r="R111" s="440"/>
      <c r="S111" s="720"/>
      <c r="T111" s="64" t="s">
        <v>29</v>
      </c>
      <c r="U111" s="689" t="s">
        <v>29</v>
      </c>
      <c r="V111" s="786" t="s">
        <v>29</v>
      </c>
      <c r="X111" s="6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804"/>
      <c r="AK111" s="804"/>
      <c r="AL111" s="804"/>
      <c r="AM111" s="804"/>
      <c r="AN111" s="804"/>
      <c r="AO111" s="804"/>
      <c r="AP111" s="804"/>
      <c r="AQ111" s="804"/>
      <c r="AR111" s="804"/>
      <c r="AS111" s="804"/>
      <c r="AX111" s="1"/>
      <c r="BG111" s="143"/>
      <c r="BH111" s="143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3"/>
      <c r="DA111" s="1"/>
      <c r="DS111" s="5"/>
      <c r="DT111" s="143"/>
      <c r="DU111" s="143"/>
      <c r="DV111" s="143"/>
      <c r="DW111" s="143"/>
      <c r="FZ111" s="143"/>
      <c r="JU111" s="143"/>
      <c r="JV111" s="143"/>
      <c r="JW111" s="143"/>
      <c r="JX111" s="143"/>
      <c r="PB111" s="143"/>
      <c r="PC111" s="143"/>
      <c r="PE111" s="143"/>
      <c r="PS111" s="146"/>
      <c r="PW111" s="143"/>
      <c r="RZ111" s="146"/>
      <c r="AHI111" s="142"/>
      <c r="AIX111" s="142"/>
      <c r="AIY111" s="142"/>
      <c r="AIZ111" s="142"/>
    </row>
    <row r="112" spans="2:936" hidden="1">
      <c r="B112" s="733"/>
      <c r="C112" s="437" t="s">
        <v>45</v>
      </c>
      <c r="D112" s="438"/>
      <c r="E112" s="574" t="s">
        <v>31</v>
      </c>
      <c r="F112" s="283">
        <f>'[2]Januari 24'!AL101</f>
        <v>7439</v>
      </c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722"/>
      <c r="T112" s="92">
        <f>SUM(F112:R112)</f>
        <v>7439</v>
      </c>
      <c r="U112" s="690">
        <v>1518699</v>
      </c>
      <c r="V112" s="770">
        <f>(T112/U112)*100</f>
        <v>0.48982714810505573</v>
      </c>
      <c r="X112" s="37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818"/>
      <c r="AK112" s="818"/>
      <c r="AL112" s="818"/>
      <c r="AM112" s="818"/>
      <c r="AN112" s="818"/>
      <c r="AO112" s="818"/>
      <c r="AP112" s="818"/>
      <c r="AQ112" s="818"/>
      <c r="AR112" s="818"/>
      <c r="AS112" s="818"/>
      <c r="AX112" s="16"/>
      <c r="BG112" s="149"/>
      <c r="BH112" s="149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9"/>
      <c r="DA112" s="1"/>
      <c r="DS112" s="518"/>
      <c r="DT112" s="149"/>
      <c r="DU112" s="149"/>
      <c r="DV112" s="149"/>
      <c r="DW112" s="149"/>
      <c r="FZ112" s="149"/>
      <c r="JU112" s="149"/>
      <c r="JV112" s="149"/>
      <c r="JW112" s="149"/>
      <c r="JX112" s="149"/>
      <c r="PB112" s="149"/>
      <c r="PC112" s="149"/>
      <c r="PE112" s="149"/>
      <c r="PS112" s="575"/>
      <c r="PW112" s="149"/>
      <c r="RZ112" s="575"/>
      <c r="AHI112" s="145"/>
      <c r="AIX112" s="145"/>
      <c r="AIY112" s="145"/>
      <c r="AIZ112" s="145"/>
    </row>
    <row r="113" spans="2:936" hidden="1">
      <c r="B113" s="733"/>
      <c r="C113" s="437" t="s">
        <v>44</v>
      </c>
      <c r="D113" s="438"/>
      <c r="E113" s="574" t="s">
        <v>31</v>
      </c>
      <c r="F113" s="283">
        <f>'[2]Januari 24'!AL102</f>
        <v>35235</v>
      </c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722"/>
      <c r="T113" s="92">
        <f>SUM(F113:R113)</f>
        <v>35235</v>
      </c>
      <c r="U113" s="690">
        <v>2112972</v>
      </c>
      <c r="V113" s="770">
        <f>(T113/U113)*100</f>
        <v>1.6675564086982695</v>
      </c>
      <c r="X113" s="37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818"/>
      <c r="AK113" s="818"/>
      <c r="AL113" s="818"/>
      <c r="AM113" s="818"/>
      <c r="AN113" s="818"/>
      <c r="AO113" s="818"/>
      <c r="AP113" s="818"/>
      <c r="AQ113" s="818"/>
      <c r="AR113" s="818"/>
      <c r="AS113" s="818"/>
      <c r="AX113" s="16"/>
      <c r="BG113" s="149"/>
      <c r="BH113" s="149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9"/>
      <c r="DA113" s="1"/>
      <c r="DS113" s="518"/>
      <c r="DT113" s="149"/>
      <c r="DU113" s="149"/>
      <c r="DV113" s="149"/>
      <c r="DW113" s="149"/>
      <c r="FZ113" s="149"/>
      <c r="JU113" s="149"/>
      <c r="JV113" s="149"/>
      <c r="JW113" s="149"/>
      <c r="JX113" s="149"/>
      <c r="PB113" s="149"/>
      <c r="PC113" s="149"/>
      <c r="PE113" s="149"/>
      <c r="PS113" s="575"/>
      <c r="PW113" s="149"/>
      <c r="RZ113" s="575"/>
      <c r="AHI113" s="145"/>
      <c r="AIX113" s="145"/>
      <c r="AIY113" s="145"/>
      <c r="AIZ113" s="145"/>
    </row>
    <row r="114" spans="2:936" hidden="1">
      <c r="B114" s="732"/>
      <c r="C114" s="570" t="s">
        <v>28</v>
      </c>
      <c r="D114" s="477"/>
      <c r="E114" s="465"/>
      <c r="F114" s="440"/>
      <c r="G114" s="440"/>
      <c r="H114" s="440"/>
      <c r="I114" s="440"/>
      <c r="J114" s="440"/>
      <c r="K114" s="440"/>
      <c r="L114" s="440"/>
      <c r="M114" s="440"/>
      <c r="N114" s="440"/>
      <c r="O114" s="440"/>
      <c r="P114" s="440"/>
      <c r="Q114" s="440"/>
      <c r="R114" s="440"/>
      <c r="S114" s="720"/>
      <c r="T114" s="64" t="s">
        <v>28</v>
      </c>
      <c r="U114" s="689" t="s">
        <v>28</v>
      </c>
      <c r="V114" s="786" t="s">
        <v>28</v>
      </c>
      <c r="X114" s="6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804"/>
      <c r="AK114" s="804"/>
      <c r="AL114" s="804"/>
      <c r="AM114" s="804"/>
      <c r="AN114" s="804"/>
      <c r="AO114" s="804"/>
      <c r="AP114" s="804"/>
      <c r="AQ114" s="804"/>
      <c r="AR114" s="804"/>
      <c r="AS114" s="804"/>
      <c r="AX114" s="1"/>
      <c r="BG114" s="143"/>
      <c r="BH114" s="143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3"/>
      <c r="DA114" s="1"/>
      <c r="DS114" s="5"/>
      <c r="DT114" s="143"/>
      <c r="DU114" s="143"/>
      <c r="DV114" s="143"/>
      <c r="DW114" s="143"/>
      <c r="FZ114" s="143"/>
      <c r="JU114" s="143"/>
      <c r="JV114" s="143"/>
      <c r="JW114" s="143"/>
      <c r="JX114" s="143"/>
      <c r="PB114" s="143"/>
      <c r="PC114" s="143"/>
      <c r="PE114" s="143"/>
      <c r="PS114" s="146"/>
      <c r="PW114" s="143"/>
      <c r="RZ114" s="146"/>
      <c r="AHI114" s="142"/>
      <c r="AIX114" s="142"/>
      <c r="AIY114" s="142"/>
      <c r="AIZ114" s="142"/>
    </row>
    <row r="115" spans="2:936" hidden="1">
      <c r="B115" s="732"/>
      <c r="C115" s="437" t="s">
        <v>45</v>
      </c>
      <c r="D115" s="477"/>
      <c r="E115" s="497" t="s">
        <v>28</v>
      </c>
      <c r="F115" s="440">
        <f>F112*12</f>
        <v>89268</v>
      </c>
      <c r="G115" s="440"/>
      <c r="H115" s="440"/>
      <c r="I115" s="440"/>
      <c r="J115" s="440"/>
      <c r="K115" s="440"/>
      <c r="L115" s="440"/>
      <c r="M115" s="440"/>
      <c r="N115" s="440"/>
      <c r="O115" s="440"/>
      <c r="P115" s="440"/>
      <c r="Q115" s="440"/>
      <c r="R115" s="440"/>
      <c r="S115" s="720"/>
      <c r="T115" s="55">
        <f>T112*12</f>
        <v>89268</v>
      </c>
      <c r="U115" s="667">
        <f>U112*12</f>
        <v>18224388</v>
      </c>
      <c r="V115" s="787">
        <f>V112*12</f>
        <v>5.8779257772606686</v>
      </c>
      <c r="X115" s="6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804"/>
      <c r="AK115" s="804"/>
      <c r="AL115" s="804"/>
      <c r="AM115" s="804"/>
      <c r="AN115" s="804"/>
      <c r="AO115" s="804"/>
      <c r="AP115" s="804"/>
      <c r="AQ115" s="804"/>
      <c r="AR115" s="804"/>
      <c r="AS115" s="804"/>
      <c r="AX115" s="1"/>
      <c r="BG115" s="143"/>
      <c r="BH115" s="143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3"/>
      <c r="DA115" s="1"/>
      <c r="DS115" s="5"/>
      <c r="DT115" s="143"/>
      <c r="DU115" s="143"/>
      <c r="DV115" s="143"/>
      <c r="DW115" s="143"/>
      <c r="FZ115" s="143"/>
      <c r="JU115" s="143"/>
      <c r="JV115" s="143"/>
      <c r="JW115" s="143"/>
      <c r="JX115" s="143"/>
      <c r="PB115" s="143"/>
      <c r="PC115" s="143"/>
      <c r="PE115" s="143"/>
      <c r="PS115" s="146"/>
      <c r="PW115" s="143"/>
      <c r="RZ115" s="146"/>
      <c r="AHI115" s="142"/>
      <c r="AIX115" s="142"/>
      <c r="AIY115" s="142"/>
      <c r="AIZ115" s="142"/>
    </row>
    <row r="116" spans="2:936" hidden="1">
      <c r="B116" s="732"/>
      <c r="C116" s="437" t="s">
        <v>44</v>
      </c>
      <c r="D116" s="477"/>
      <c r="E116" s="497" t="s">
        <v>28</v>
      </c>
      <c r="F116" s="440">
        <f>F113*6</f>
        <v>211410</v>
      </c>
      <c r="G116" s="440"/>
      <c r="H116" s="440"/>
      <c r="I116" s="440"/>
      <c r="J116" s="440"/>
      <c r="K116" s="440"/>
      <c r="L116" s="440"/>
      <c r="M116" s="440"/>
      <c r="N116" s="440"/>
      <c r="O116" s="440"/>
      <c r="P116" s="440"/>
      <c r="Q116" s="440"/>
      <c r="R116" s="440"/>
      <c r="S116" s="720"/>
      <c r="T116" s="55">
        <f>T113*6</f>
        <v>211410</v>
      </c>
      <c r="U116" s="667">
        <f>U113*6</f>
        <v>12677832</v>
      </c>
      <c r="V116" s="787">
        <f>V113*6</f>
        <v>10.005338452189617</v>
      </c>
      <c r="X116" s="6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804"/>
      <c r="AK116" s="804"/>
      <c r="AL116" s="804"/>
      <c r="AM116" s="804"/>
      <c r="AN116" s="804"/>
      <c r="AO116" s="804"/>
      <c r="AP116" s="804"/>
      <c r="AQ116" s="804"/>
      <c r="AR116" s="804"/>
      <c r="AS116" s="804"/>
      <c r="AX116" s="1"/>
      <c r="BG116" s="143"/>
      <c r="BH116" s="143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3"/>
      <c r="DA116" s="1"/>
      <c r="DS116" s="5"/>
      <c r="DT116" s="143"/>
      <c r="DU116" s="143"/>
      <c r="DV116" s="143"/>
      <c r="DW116" s="143"/>
      <c r="FZ116" s="143"/>
      <c r="JU116" s="143"/>
      <c r="JV116" s="143"/>
      <c r="JW116" s="143"/>
      <c r="JX116" s="143"/>
      <c r="PB116" s="143"/>
      <c r="PC116" s="143"/>
      <c r="PE116" s="143"/>
      <c r="PS116" s="146"/>
      <c r="PW116" s="143"/>
      <c r="RZ116" s="146"/>
      <c r="AHI116" s="142"/>
      <c r="AIX116" s="142"/>
      <c r="AIY116" s="142"/>
      <c r="AIZ116" s="142"/>
    </row>
    <row r="117" spans="2:936" hidden="1">
      <c r="B117" s="732"/>
      <c r="C117" s="570" t="s">
        <v>36</v>
      </c>
      <c r="D117" s="477"/>
      <c r="E117" s="497" t="s">
        <v>35</v>
      </c>
      <c r="F117" s="440">
        <f>(F107*45)/1700</f>
        <v>12222.107999999998</v>
      </c>
      <c r="G117" s="440"/>
      <c r="H117" s="440"/>
      <c r="I117" s="576"/>
      <c r="J117" s="576"/>
      <c r="K117" s="576"/>
      <c r="L117" s="576"/>
      <c r="M117" s="576"/>
      <c r="N117" s="576"/>
      <c r="O117" s="576"/>
      <c r="P117" s="576"/>
      <c r="Q117" s="576"/>
      <c r="R117" s="576"/>
      <c r="S117" s="720"/>
      <c r="T117" s="585">
        <f t="shared" ref="T117:V118" si="7">SUM(F117:R117)</f>
        <v>12222.107999999998</v>
      </c>
      <c r="U117" s="691">
        <f t="shared" si="7"/>
        <v>0</v>
      </c>
      <c r="V117" s="789">
        <f t="shared" si="7"/>
        <v>12222.107999999998</v>
      </c>
      <c r="X117" s="6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804"/>
      <c r="AK117" s="804"/>
      <c r="AL117" s="804"/>
      <c r="AM117" s="804"/>
      <c r="AN117" s="804"/>
      <c r="AO117" s="804"/>
      <c r="AP117" s="804"/>
      <c r="AQ117" s="804"/>
      <c r="AR117" s="804"/>
      <c r="AS117" s="804"/>
      <c r="AX117" s="1"/>
      <c r="BG117" s="143"/>
      <c r="BH117" s="143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3"/>
      <c r="DA117" s="1"/>
      <c r="DS117" s="5"/>
      <c r="DT117" s="143"/>
      <c r="DU117" s="143"/>
      <c r="DV117" s="143"/>
      <c r="DW117" s="143"/>
      <c r="FZ117" s="143"/>
      <c r="JU117" s="143"/>
      <c r="JV117" s="143"/>
      <c r="JW117" s="143"/>
      <c r="JX117" s="143"/>
      <c r="PB117" s="143"/>
      <c r="PC117" s="143"/>
      <c r="PE117" s="143"/>
      <c r="PS117" s="146"/>
      <c r="PW117" s="143"/>
      <c r="RZ117" s="146"/>
      <c r="AHI117" s="142"/>
      <c r="AIX117" s="142"/>
      <c r="AIY117" s="142"/>
      <c r="AIZ117" s="142"/>
    </row>
    <row r="118" spans="2:936" hidden="1">
      <c r="B118" s="732"/>
      <c r="C118" s="570" t="s">
        <v>34</v>
      </c>
      <c r="D118" s="477"/>
      <c r="E118" s="497" t="s">
        <v>33</v>
      </c>
      <c r="F118" s="440">
        <f t="shared" ref="F118" si="8">SUM(F112:F113)/500</f>
        <v>85.347999999999999</v>
      </c>
      <c r="G118" s="440"/>
      <c r="H118" s="440"/>
      <c r="I118" s="440"/>
      <c r="J118" s="440"/>
      <c r="K118" s="440"/>
      <c r="L118" s="440"/>
      <c r="M118" s="440"/>
      <c r="N118" s="440"/>
      <c r="O118" s="440"/>
      <c r="P118" s="440"/>
      <c r="Q118" s="440"/>
      <c r="R118" s="440"/>
      <c r="S118" s="720"/>
      <c r="T118" s="585">
        <f t="shared" si="7"/>
        <v>85.347999999999999</v>
      </c>
      <c r="U118" s="691">
        <f t="shared" si="7"/>
        <v>0</v>
      </c>
      <c r="V118" s="789">
        <f t="shared" si="7"/>
        <v>85.347999999999999</v>
      </c>
      <c r="X118" s="6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804"/>
      <c r="AK118" s="804"/>
      <c r="AL118" s="804"/>
      <c r="AM118" s="804"/>
      <c r="AN118" s="804"/>
      <c r="AO118" s="804"/>
      <c r="AP118" s="804"/>
      <c r="AQ118" s="804"/>
      <c r="AR118" s="804"/>
      <c r="AS118" s="804"/>
      <c r="AX118" s="1"/>
      <c r="BG118" s="143"/>
      <c r="BH118" s="143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3"/>
      <c r="DA118" s="1"/>
      <c r="DS118" s="5"/>
      <c r="DT118" s="143"/>
      <c r="DU118" s="143"/>
      <c r="DV118" s="143"/>
      <c r="DW118" s="143"/>
      <c r="FZ118" s="143"/>
      <c r="JU118" s="143"/>
      <c r="JV118" s="143"/>
      <c r="JW118" s="143"/>
      <c r="JX118" s="143"/>
      <c r="PB118" s="143"/>
      <c r="PC118" s="143"/>
      <c r="PE118" s="143"/>
      <c r="PS118" s="146"/>
      <c r="PW118" s="143"/>
      <c r="RZ118" s="146"/>
      <c r="AHI118" s="142"/>
      <c r="AIX118" s="142"/>
      <c r="AIY118" s="142"/>
      <c r="AIZ118" s="142"/>
    </row>
    <row r="119" spans="2:936" hidden="1">
      <c r="B119" s="729"/>
      <c r="C119" s="420" t="s">
        <v>32</v>
      </c>
      <c r="D119" s="48"/>
      <c r="E119" s="48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3"/>
      <c r="T119" s="523" t="s">
        <v>131</v>
      </c>
      <c r="U119" s="678" t="s">
        <v>131</v>
      </c>
      <c r="V119" s="777" t="s">
        <v>131</v>
      </c>
      <c r="X119" s="6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804"/>
      <c r="AK119" s="804"/>
      <c r="AL119" s="804"/>
      <c r="AM119" s="804"/>
      <c r="AN119" s="804"/>
      <c r="AO119" s="804"/>
      <c r="AP119" s="804"/>
      <c r="AQ119" s="804"/>
      <c r="AR119" s="804"/>
      <c r="AS119" s="804"/>
      <c r="AX119" s="1"/>
      <c r="BG119" s="142"/>
      <c r="BH119" s="142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2"/>
      <c r="DA119" s="1"/>
      <c r="DS119" s="5"/>
      <c r="DT119" s="142"/>
      <c r="DU119" s="142"/>
      <c r="DV119" s="142"/>
      <c r="DW119" s="142"/>
      <c r="FZ119" s="142"/>
      <c r="JU119" s="142"/>
      <c r="JV119" s="142"/>
      <c r="JW119" s="142"/>
      <c r="JX119" s="142"/>
      <c r="PB119" s="142"/>
      <c r="PC119" s="142"/>
      <c r="PE119" s="142"/>
      <c r="PS119" s="482"/>
      <c r="PW119" s="142"/>
      <c r="RZ119" s="482"/>
      <c r="AHI119" s="142"/>
      <c r="AIX119" s="142"/>
      <c r="AIY119" s="142"/>
      <c r="AIZ119" s="142"/>
    </row>
    <row r="120" spans="2:936" hidden="1">
      <c r="B120" s="732"/>
      <c r="C120" s="570" t="s">
        <v>29</v>
      </c>
      <c r="D120" s="477"/>
      <c r="E120" s="465"/>
      <c r="F120" s="440"/>
      <c r="G120" s="440"/>
      <c r="H120" s="440"/>
      <c r="I120" s="440"/>
      <c r="J120" s="440"/>
      <c r="K120" s="440"/>
      <c r="L120" s="440"/>
      <c r="M120" s="440"/>
      <c r="N120" s="440"/>
      <c r="O120" s="440"/>
      <c r="P120" s="440"/>
      <c r="Q120" s="440"/>
      <c r="R120" s="440"/>
      <c r="S120" s="720"/>
      <c r="T120" s="64" t="s">
        <v>29</v>
      </c>
      <c r="U120" s="689" t="s">
        <v>29</v>
      </c>
      <c r="V120" s="786" t="s">
        <v>29</v>
      </c>
      <c r="X120" s="6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R120" s="63"/>
      <c r="AX120" s="1"/>
      <c r="BG120" s="143"/>
      <c r="BH120" s="143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3"/>
      <c r="DA120" s="1"/>
      <c r="DS120" s="5"/>
      <c r="DT120" s="143"/>
      <c r="DU120" s="143"/>
      <c r="DV120" s="143"/>
      <c r="DW120" s="143"/>
      <c r="FZ120" s="143"/>
      <c r="JU120" s="143"/>
      <c r="JV120" s="143"/>
      <c r="JW120" s="143"/>
      <c r="JX120" s="143"/>
      <c r="PB120" s="143"/>
      <c r="PC120" s="143"/>
      <c r="PE120" s="143"/>
      <c r="PS120" s="146"/>
      <c r="PW120" s="143"/>
      <c r="RZ120" s="146"/>
      <c r="AHI120" s="142"/>
      <c r="AIX120" s="142"/>
      <c r="AIY120" s="142"/>
      <c r="AIZ120" s="142"/>
    </row>
    <row r="121" spans="2:936" hidden="1">
      <c r="B121" s="732"/>
      <c r="C121" s="437" t="s">
        <v>45</v>
      </c>
      <c r="D121" s="477"/>
      <c r="E121" s="497" t="s">
        <v>31</v>
      </c>
      <c r="F121" s="33">
        <f>'[2]Januari 24'!AL104</f>
        <v>89268</v>
      </c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720"/>
      <c r="T121" s="55">
        <f t="shared" ref="T121:V122" si="9">SUM(F121:R121)</f>
        <v>89268</v>
      </c>
      <c r="U121" s="667">
        <f t="shared" si="9"/>
        <v>0</v>
      </c>
      <c r="V121" s="787">
        <f t="shared" si="9"/>
        <v>89268</v>
      </c>
      <c r="X121" s="6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R121" s="63"/>
      <c r="AX121" s="1"/>
      <c r="BG121" s="143"/>
      <c r="BH121" s="143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3"/>
      <c r="DA121" s="1"/>
      <c r="DS121" s="5"/>
      <c r="DT121" s="143"/>
      <c r="DU121" s="143"/>
      <c r="DV121" s="143"/>
      <c r="DW121" s="143"/>
      <c r="FZ121" s="143"/>
      <c r="JU121" s="143"/>
      <c r="JV121" s="143"/>
      <c r="JW121" s="143"/>
      <c r="JX121" s="143"/>
      <c r="PB121" s="143"/>
      <c r="PC121" s="143"/>
      <c r="PE121" s="143"/>
      <c r="PS121" s="146"/>
      <c r="PW121" s="143"/>
      <c r="RZ121" s="146"/>
      <c r="AHI121" s="142"/>
      <c r="AIX121" s="142"/>
      <c r="AIY121" s="142"/>
      <c r="AIZ121" s="142"/>
    </row>
    <row r="122" spans="2:936" hidden="1">
      <c r="B122" s="732"/>
      <c r="C122" s="437" t="s">
        <v>44</v>
      </c>
      <c r="D122" s="477"/>
      <c r="E122" s="497" t="s">
        <v>31</v>
      </c>
      <c r="F122" s="33">
        <f>'[2]Januari 24'!AL105</f>
        <v>211410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720"/>
      <c r="T122" s="55">
        <f t="shared" si="9"/>
        <v>211410</v>
      </c>
      <c r="U122" s="667">
        <f t="shared" si="9"/>
        <v>0</v>
      </c>
      <c r="V122" s="787">
        <f t="shared" si="9"/>
        <v>211410</v>
      </c>
      <c r="X122" s="6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R122" s="63"/>
      <c r="AX122" s="1"/>
      <c r="BG122" s="143"/>
      <c r="BH122" s="143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3"/>
      <c r="DA122" s="1"/>
      <c r="DS122" s="5"/>
      <c r="DT122" s="143"/>
      <c r="DU122" s="143"/>
      <c r="DV122" s="143"/>
      <c r="DW122" s="143"/>
      <c r="FZ122" s="143"/>
      <c r="JU122" s="143"/>
      <c r="JV122" s="143"/>
      <c r="JW122" s="143"/>
      <c r="JX122" s="143"/>
      <c r="PB122" s="143"/>
      <c r="PC122" s="143"/>
      <c r="PE122" s="143"/>
      <c r="PS122" s="146"/>
      <c r="PW122" s="143"/>
      <c r="RZ122" s="146"/>
      <c r="AHI122" s="142"/>
      <c r="AIX122" s="142"/>
      <c r="AIY122" s="142"/>
      <c r="AIZ122" s="142"/>
    </row>
    <row r="123" spans="2:936" hidden="1">
      <c r="B123" s="732"/>
      <c r="C123" s="570" t="s">
        <v>28</v>
      </c>
      <c r="D123" s="477"/>
      <c r="E123" s="465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720"/>
      <c r="T123" s="64" t="s">
        <v>28</v>
      </c>
      <c r="U123" s="689" t="s">
        <v>28</v>
      </c>
      <c r="V123" s="786" t="s">
        <v>28</v>
      </c>
      <c r="X123" s="6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R123" s="63"/>
      <c r="AX123" s="1"/>
      <c r="BG123" s="143"/>
      <c r="BH123" s="143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3"/>
      <c r="DA123" s="1"/>
      <c r="DS123" s="5"/>
      <c r="DT123" s="143"/>
      <c r="DU123" s="143"/>
      <c r="DV123" s="143"/>
      <c r="DW123" s="143"/>
      <c r="FZ123" s="143"/>
      <c r="JU123" s="143"/>
      <c r="JV123" s="143"/>
      <c r="JW123" s="143"/>
      <c r="JX123" s="143"/>
      <c r="PB123" s="143"/>
      <c r="PC123" s="143"/>
      <c r="PE123" s="143"/>
      <c r="PS123" s="146"/>
      <c r="PW123" s="143"/>
      <c r="RZ123" s="146"/>
      <c r="AHI123" s="142"/>
      <c r="AIX123" s="142"/>
      <c r="AIY123" s="142"/>
      <c r="AIZ123" s="142"/>
    </row>
    <row r="124" spans="2:936" hidden="1">
      <c r="B124" s="732"/>
      <c r="C124" s="437" t="s">
        <v>45</v>
      </c>
      <c r="D124" s="477"/>
      <c r="E124" s="497" t="s">
        <v>28</v>
      </c>
      <c r="F124" s="578">
        <f>F121*12</f>
        <v>1071216</v>
      </c>
      <c r="G124" s="578"/>
      <c r="H124" s="578"/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720"/>
      <c r="T124" s="55">
        <f t="shared" ref="T124:V125" si="10">SUM(F124:R124)</f>
        <v>1071216</v>
      </c>
      <c r="U124" s="667">
        <f t="shared" si="10"/>
        <v>0</v>
      </c>
      <c r="V124" s="787">
        <f t="shared" si="10"/>
        <v>1071216</v>
      </c>
      <c r="X124" s="6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R124" s="63"/>
      <c r="AX124" s="1"/>
      <c r="BG124" s="143"/>
      <c r="BH124" s="143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3"/>
      <c r="DA124" s="1"/>
      <c r="DS124" s="5"/>
      <c r="DT124" s="143"/>
      <c r="DU124" s="143"/>
      <c r="DV124" s="143"/>
      <c r="DW124" s="143"/>
      <c r="FZ124" s="143"/>
      <c r="JU124" s="143"/>
      <c r="JV124" s="143"/>
      <c r="JW124" s="143"/>
      <c r="JX124" s="143"/>
      <c r="PB124" s="143"/>
      <c r="PC124" s="143"/>
      <c r="PE124" s="143"/>
      <c r="PS124" s="146"/>
      <c r="PW124" s="143"/>
      <c r="RZ124" s="146"/>
      <c r="AHI124" s="142"/>
      <c r="AIX124" s="142"/>
      <c r="AIY124" s="142"/>
      <c r="AIZ124" s="142"/>
    </row>
    <row r="125" spans="2:936" hidden="1">
      <c r="B125" s="732"/>
      <c r="C125" s="437" t="s">
        <v>44</v>
      </c>
      <c r="D125" s="477"/>
      <c r="E125" s="497" t="s">
        <v>28</v>
      </c>
      <c r="F125" s="578">
        <f>F122*6</f>
        <v>1268460</v>
      </c>
      <c r="G125" s="578"/>
      <c r="H125" s="578"/>
      <c r="I125" s="578"/>
      <c r="J125" s="578"/>
      <c r="K125" s="578"/>
      <c r="L125" s="578"/>
      <c r="M125" s="578"/>
      <c r="N125" s="578"/>
      <c r="O125" s="578"/>
      <c r="P125" s="578"/>
      <c r="Q125" s="578"/>
      <c r="R125" s="578"/>
      <c r="S125" s="720"/>
      <c r="T125" s="55">
        <f t="shared" si="10"/>
        <v>1268460</v>
      </c>
      <c r="U125" s="667">
        <f t="shared" si="10"/>
        <v>0</v>
      </c>
      <c r="V125" s="787">
        <f t="shared" si="10"/>
        <v>1268460</v>
      </c>
      <c r="X125" s="6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R125" s="63"/>
      <c r="AX125" s="1"/>
      <c r="BG125" s="143"/>
      <c r="BH125" s="143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3"/>
      <c r="DA125" s="1"/>
      <c r="DS125" s="5"/>
      <c r="DT125" s="143"/>
      <c r="DU125" s="143"/>
      <c r="DV125" s="143"/>
      <c r="DW125" s="143"/>
      <c r="FZ125" s="143"/>
      <c r="JU125" s="143"/>
      <c r="JV125" s="143"/>
      <c r="JW125" s="143"/>
      <c r="JX125" s="143"/>
      <c r="PB125" s="143"/>
      <c r="PC125" s="143"/>
      <c r="PE125" s="143"/>
      <c r="PS125" s="146"/>
      <c r="PW125" s="143"/>
      <c r="RZ125" s="146"/>
      <c r="AHI125" s="142"/>
      <c r="AIX125" s="142"/>
      <c r="AIY125" s="142"/>
      <c r="AIZ125" s="142"/>
    </row>
    <row r="126" spans="2:936" hidden="1">
      <c r="B126" s="729"/>
      <c r="C126" s="420" t="s">
        <v>30</v>
      </c>
      <c r="D126" s="48"/>
      <c r="E126" s="48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3"/>
      <c r="T126" s="523" t="s">
        <v>131</v>
      </c>
      <c r="U126" s="678" t="s">
        <v>131</v>
      </c>
      <c r="V126" s="777" t="s">
        <v>131</v>
      </c>
      <c r="X126" s="6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R126" s="63"/>
      <c r="AX126" s="1"/>
      <c r="BG126" s="142"/>
      <c r="BH126" s="142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2"/>
      <c r="DA126" s="1"/>
      <c r="DS126" s="5"/>
      <c r="DT126" s="142"/>
      <c r="DU126" s="142"/>
      <c r="DV126" s="142"/>
      <c r="DW126" s="142"/>
      <c r="FZ126" s="142"/>
      <c r="JU126" s="142"/>
      <c r="JV126" s="142"/>
      <c r="JW126" s="142"/>
      <c r="JX126" s="142"/>
      <c r="PB126" s="142"/>
      <c r="PC126" s="142"/>
      <c r="PE126" s="142"/>
      <c r="PS126" s="482"/>
      <c r="PW126" s="142"/>
      <c r="RZ126" s="482"/>
      <c r="AHI126" s="142"/>
      <c r="AIX126" s="142"/>
      <c r="AIY126" s="142"/>
      <c r="AIZ126" s="142"/>
    </row>
    <row r="127" spans="2:936" hidden="1">
      <c r="B127" s="732"/>
      <c r="C127" s="570" t="s">
        <v>29</v>
      </c>
      <c r="D127" s="477"/>
      <c r="E127" s="465"/>
      <c r="F127" s="440"/>
      <c r="G127" s="440"/>
      <c r="H127" s="440"/>
      <c r="I127" s="440"/>
      <c r="J127" s="440"/>
      <c r="K127" s="440"/>
      <c r="L127" s="440"/>
      <c r="M127" s="440"/>
      <c r="N127" s="440"/>
      <c r="O127" s="440"/>
      <c r="P127" s="440"/>
      <c r="Q127" s="440"/>
      <c r="R127" s="440"/>
      <c r="S127" s="720"/>
      <c r="T127" s="64" t="s">
        <v>29</v>
      </c>
      <c r="U127" s="689" t="s">
        <v>29</v>
      </c>
      <c r="V127" s="786" t="s">
        <v>29</v>
      </c>
      <c r="X127" s="6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R127" s="63"/>
      <c r="AX127" s="1"/>
      <c r="BG127" s="143"/>
      <c r="BH127" s="143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3"/>
      <c r="DA127" s="1"/>
      <c r="DS127" s="5"/>
      <c r="DT127" s="143"/>
      <c r="DU127" s="143"/>
      <c r="DV127" s="143"/>
      <c r="DW127" s="143"/>
      <c r="FZ127" s="143"/>
      <c r="JU127" s="143"/>
      <c r="JV127" s="143"/>
      <c r="JW127" s="143"/>
      <c r="JX127" s="143"/>
      <c r="PB127" s="143"/>
      <c r="PC127" s="143"/>
      <c r="PE127" s="143"/>
      <c r="PS127" s="146"/>
      <c r="PW127" s="143"/>
      <c r="RZ127" s="146"/>
      <c r="AHI127" s="142"/>
      <c r="AIX127" s="142"/>
      <c r="AIY127" s="142"/>
      <c r="AIZ127" s="142"/>
    </row>
    <row r="128" spans="2:936" hidden="1">
      <c r="B128" s="732"/>
      <c r="C128" s="437" t="s">
        <v>45</v>
      </c>
      <c r="D128" s="464">
        <v>0.3</v>
      </c>
      <c r="E128" s="497" t="s">
        <v>25</v>
      </c>
      <c r="F128" s="441">
        <f t="shared" ref="F128:F129" si="11">F121/F112*100</f>
        <v>1200</v>
      </c>
      <c r="G128" s="441"/>
      <c r="H128" s="441"/>
      <c r="I128" s="441"/>
      <c r="J128" s="441"/>
      <c r="K128" s="441"/>
      <c r="L128" s="441"/>
      <c r="M128" s="441"/>
      <c r="N128" s="441"/>
      <c r="O128" s="441"/>
      <c r="P128" s="441"/>
      <c r="Q128" s="441"/>
      <c r="R128" s="441"/>
      <c r="S128" s="720"/>
      <c r="T128" s="59">
        <f t="shared" ref="T128:V129" si="12">T121/T112*100</f>
        <v>1200</v>
      </c>
      <c r="U128" s="670">
        <f t="shared" si="12"/>
        <v>0</v>
      </c>
      <c r="V128" s="770">
        <f t="shared" si="12"/>
        <v>18224388</v>
      </c>
      <c r="X128" s="6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R128" s="63"/>
      <c r="AX128" s="1"/>
      <c r="BG128" s="143"/>
      <c r="BH128" s="143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3"/>
      <c r="DA128" s="1"/>
      <c r="DS128" s="5"/>
      <c r="DT128" s="143"/>
      <c r="DU128" s="143"/>
      <c r="DV128" s="143"/>
      <c r="DW128" s="143"/>
      <c r="FZ128" s="143"/>
      <c r="JU128" s="143"/>
      <c r="JV128" s="143"/>
      <c r="JW128" s="143"/>
      <c r="JX128" s="143"/>
      <c r="PB128" s="143"/>
      <c r="PC128" s="143"/>
      <c r="PE128" s="143"/>
      <c r="PS128" s="146"/>
      <c r="PW128" s="143"/>
      <c r="RZ128" s="146"/>
      <c r="AHI128" s="142"/>
      <c r="AIX128" s="142"/>
      <c r="AIY128" s="142"/>
      <c r="AIZ128" s="142"/>
    </row>
    <row r="129" spans="2:936" hidden="1">
      <c r="B129" s="732"/>
      <c r="C129" s="437" t="s">
        <v>44</v>
      </c>
      <c r="D129" s="464">
        <v>0.3</v>
      </c>
      <c r="E129" s="497" t="s">
        <v>25</v>
      </c>
      <c r="F129" s="441">
        <f t="shared" si="11"/>
        <v>600</v>
      </c>
      <c r="G129" s="441"/>
      <c r="H129" s="441"/>
      <c r="I129" s="441"/>
      <c r="J129" s="441"/>
      <c r="K129" s="441"/>
      <c r="L129" s="441"/>
      <c r="M129" s="441"/>
      <c r="N129" s="441"/>
      <c r="O129" s="441"/>
      <c r="P129" s="441"/>
      <c r="Q129" s="441"/>
      <c r="R129" s="441"/>
      <c r="S129" s="720"/>
      <c r="T129" s="59">
        <f t="shared" si="12"/>
        <v>600</v>
      </c>
      <c r="U129" s="670">
        <f t="shared" si="12"/>
        <v>0</v>
      </c>
      <c r="V129" s="770">
        <f t="shared" si="12"/>
        <v>12677832</v>
      </c>
      <c r="X129" s="6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R129" s="63"/>
      <c r="AX129" s="1"/>
      <c r="BG129" s="143"/>
      <c r="BH129" s="143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43"/>
      <c r="DA129" s="1"/>
      <c r="DS129" s="5"/>
      <c r="DT129" s="143"/>
      <c r="DU129" s="143"/>
      <c r="DV129" s="143"/>
      <c r="DW129" s="143"/>
      <c r="FZ129" s="143"/>
      <c r="JU129" s="143"/>
      <c r="JV129" s="143"/>
      <c r="JW129" s="143"/>
      <c r="JX129" s="143"/>
      <c r="PB129" s="143"/>
      <c r="PC129" s="143"/>
      <c r="PE129" s="143"/>
      <c r="PS129" s="146"/>
      <c r="PW129" s="143"/>
      <c r="RZ129" s="146"/>
      <c r="AHI129" s="142"/>
      <c r="AIX129" s="142"/>
      <c r="AIY129" s="142"/>
      <c r="AIZ129" s="142"/>
    </row>
    <row r="130" spans="2:936" hidden="1">
      <c r="B130" s="732"/>
      <c r="C130" s="570" t="s">
        <v>28</v>
      </c>
      <c r="D130" s="464"/>
      <c r="E130" s="465"/>
      <c r="F130" s="441"/>
      <c r="G130" s="441"/>
      <c r="H130" s="441"/>
      <c r="I130" s="441"/>
      <c r="J130" s="441"/>
      <c r="K130" s="441"/>
      <c r="L130" s="441"/>
      <c r="M130" s="441"/>
      <c r="N130" s="441"/>
      <c r="O130" s="441"/>
      <c r="P130" s="441"/>
      <c r="Q130" s="441"/>
      <c r="R130" s="441"/>
      <c r="S130" s="720"/>
      <c r="T130" s="64" t="s">
        <v>28</v>
      </c>
      <c r="U130" s="689" t="s">
        <v>28</v>
      </c>
      <c r="V130" s="786" t="s">
        <v>28</v>
      </c>
      <c r="X130" s="6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R130" s="63"/>
      <c r="AX130" s="1"/>
      <c r="BG130" s="143"/>
      <c r="BH130" s="143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43"/>
      <c r="DA130" s="1"/>
      <c r="DS130" s="5"/>
      <c r="DT130" s="143"/>
      <c r="DU130" s="143"/>
      <c r="DV130" s="143"/>
      <c r="DW130" s="143"/>
      <c r="FZ130" s="143"/>
      <c r="JU130" s="143"/>
      <c r="JV130" s="143"/>
      <c r="JW130" s="143"/>
      <c r="JX130" s="143"/>
      <c r="PB130" s="143"/>
      <c r="PC130" s="143"/>
      <c r="PE130" s="143"/>
      <c r="PS130" s="146"/>
      <c r="PW130" s="143"/>
      <c r="RZ130" s="146"/>
      <c r="AHI130" s="142"/>
      <c r="AIX130" s="142"/>
      <c r="AIY130" s="142"/>
      <c r="AIZ130" s="142"/>
    </row>
    <row r="131" spans="2:936" hidden="1">
      <c r="B131" s="732"/>
      <c r="C131" s="437" t="s">
        <v>45</v>
      </c>
      <c r="D131" s="464">
        <v>0.5</v>
      </c>
      <c r="E131" s="497" t="s">
        <v>25</v>
      </c>
      <c r="F131" s="441">
        <f>F124/F115*100</f>
        <v>1200</v>
      </c>
      <c r="G131" s="441"/>
      <c r="H131" s="441"/>
      <c r="I131" s="441"/>
      <c r="J131" s="441"/>
      <c r="K131" s="441"/>
      <c r="L131" s="441"/>
      <c r="M131" s="441"/>
      <c r="N131" s="441"/>
      <c r="O131" s="441"/>
      <c r="P131" s="441"/>
      <c r="Q131" s="441"/>
      <c r="R131" s="441"/>
      <c r="S131" s="720"/>
      <c r="T131" s="59">
        <f t="shared" ref="T131:V132" si="13">T124/T115*100</f>
        <v>1200</v>
      </c>
      <c r="U131" s="670">
        <f t="shared" si="13"/>
        <v>0</v>
      </c>
      <c r="V131" s="770">
        <f t="shared" si="13"/>
        <v>18224388</v>
      </c>
      <c r="X131" s="6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R131" s="63"/>
      <c r="AX131" s="1"/>
      <c r="BG131" s="143"/>
      <c r="BH131" s="143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3"/>
      <c r="DA131" s="1"/>
      <c r="DS131" s="5"/>
      <c r="DT131" s="143"/>
      <c r="DU131" s="143"/>
      <c r="DV131" s="143"/>
      <c r="DW131" s="143"/>
      <c r="FZ131" s="143"/>
      <c r="JU131" s="143"/>
      <c r="JV131" s="143"/>
      <c r="JW131" s="143"/>
      <c r="JX131" s="143"/>
      <c r="PB131" s="143"/>
      <c r="PC131" s="143"/>
      <c r="PE131" s="143"/>
      <c r="PS131" s="146"/>
      <c r="PW131" s="143"/>
      <c r="RZ131" s="146"/>
      <c r="AHI131" s="142"/>
      <c r="AIX131" s="142"/>
      <c r="AIY131" s="142"/>
      <c r="AIZ131" s="142"/>
    </row>
    <row r="132" spans="2:936" hidden="1">
      <c r="B132" s="732"/>
      <c r="C132" s="437" t="s">
        <v>44</v>
      </c>
      <c r="D132" s="464">
        <v>0.5</v>
      </c>
      <c r="E132" s="497" t="s">
        <v>25</v>
      </c>
      <c r="F132" s="441">
        <f>F125/F116*100</f>
        <v>600</v>
      </c>
      <c r="G132" s="441"/>
      <c r="H132" s="441"/>
      <c r="I132" s="441"/>
      <c r="J132" s="441"/>
      <c r="K132" s="441"/>
      <c r="L132" s="441"/>
      <c r="M132" s="441"/>
      <c r="N132" s="441"/>
      <c r="O132" s="441"/>
      <c r="P132" s="441"/>
      <c r="Q132" s="441"/>
      <c r="R132" s="441"/>
      <c r="S132" s="720"/>
      <c r="T132" s="59">
        <f t="shared" si="13"/>
        <v>600</v>
      </c>
      <c r="U132" s="670">
        <f t="shared" si="13"/>
        <v>0</v>
      </c>
      <c r="V132" s="770">
        <f t="shared" si="13"/>
        <v>12677832</v>
      </c>
      <c r="X132" s="6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R132" s="63"/>
      <c r="AX132" s="1"/>
      <c r="BG132" s="143"/>
      <c r="BH132" s="143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3"/>
      <c r="DA132" s="1"/>
      <c r="DS132" s="5"/>
      <c r="DT132" s="143"/>
      <c r="DU132" s="143"/>
      <c r="DV132" s="143"/>
      <c r="DW132" s="143"/>
      <c r="FZ132" s="143"/>
      <c r="JU132" s="143"/>
      <c r="JV132" s="143"/>
      <c r="JW132" s="143"/>
      <c r="JX132" s="143"/>
      <c r="PB132" s="143"/>
      <c r="PC132" s="143"/>
      <c r="PE132" s="143"/>
      <c r="PS132" s="146"/>
      <c r="PW132" s="143"/>
      <c r="RZ132" s="146"/>
      <c r="AHI132" s="142"/>
      <c r="AIX132" s="142"/>
      <c r="AIY132" s="142"/>
      <c r="AIZ132" s="142"/>
    </row>
    <row r="133" spans="2:936" hidden="1">
      <c r="B133" s="728">
        <v>7</v>
      </c>
      <c r="C133" s="420" t="s">
        <v>43</v>
      </c>
      <c r="D133" s="48"/>
      <c r="E133" s="48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3"/>
      <c r="T133" s="523" t="s">
        <v>130</v>
      </c>
      <c r="U133" s="678" t="s">
        <v>130</v>
      </c>
      <c r="V133" s="777" t="s">
        <v>130</v>
      </c>
      <c r="X133" s="6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804"/>
      <c r="AK133" s="804"/>
      <c r="AL133" s="804"/>
      <c r="AM133" s="804"/>
      <c r="AN133" s="804"/>
      <c r="AO133" s="804"/>
      <c r="AP133" s="804"/>
      <c r="AQ133" s="804"/>
      <c r="AR133" s="804"/>
      <c r="AS133" s="804"/>
      <c r="AX133" s="1"/>
      <c r="BG133" s="142"/>
      <c r="BH133" s="142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2"/>
      <c r="DA133" s="1"/>
      <c r="DS133" s="5"/>
      <c r="DT133" s="142"/>
      <c r="DU133" s="142"/>
      <c r="DV133" s="142"/>
      <c r="DW133" s="142"/>
      <c r="FZ133" s="142"/>
      <c r="JU133" s="142"/>
      <c r="JV133" s="142"/>
      <c r="JW133" s="142"/>
      <c r="JX133" s="142"/>
      <c r="PB133" s="142"/>
      <c r="PC133" s="142"/>
      <c r="PE133" s="142"/>
      <c r="PS133" s="482"/>
      <c r="PW133" s="142"/>
      <c r="RZ133" s="482"/>
      <c r="AHI133" s="142"/>
      <c r="AIX133" s="142"/>
      <c r="AIY133" s="142"/>
      <c r="AIZ133" s="142"/>
    </row>
    <row r="134" spans="2:936" hidden="1">
      <c r="B134" s="729"/>
      <c r="C134" s="580" t="s">
        <v>114</v>
      </c>
      <c r="D134" s="581"/>
      <c r="E134" s="20" t="s">
        <v>14</v>
      </c>
      <c r="F134" s="586">
        <f>'[2]Januari 24'!AL123</f>
        <v>534116</v>
      </c>
      <c r="G134" s="587"/>
      <c r="H134" s="735"/>
      <c r="I134" s="582"/>
      <c r="J134" s="582"/>
      <c r="K134" s="582"/>
      <c r="L134" s="582"/>
      <c r="M134" s="736"/>
      <c r="N134" s="582"/>
      <c r="O134" s="582"/>
      <c r="P134" s="582"/>
      <c r="Q134" s="582"/>
      <c r="R134" s="582"/>
      <c r="S134" s="734"/>
      <c r="T134" s="90">
        <f>SUM(T136:T137)</f>
        <v>524483.80000000005</v>
      </c>
      <c r="U134" s="687">
        <f>SUM(U136:U137)</f>
        <v>0</v>
      </c>
      <c r="V134" s="788">
        <f>SUM(V136:V137)</f>
        <v>524483.80000000005</v>
      </c>
      <c r="X134" s="816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814"/>
      <c r="AK134" s="814"/>
      <c r="AL134" s="814"/>
      <c r="AM134" s="814"/>
      <c r="AN134" s="814"/>
      <c r="AO134" s="814"/>
      <c r="AP134" s="814"/>
      <c r="AQ134" s="814"/>
      <c r="AR134" s="814"/>
      <c r="AS134" s="814"/>
      <c r="AX134" s="1"/>
      <c r="BG134" s="147"/>
      <c r="BH134" s="147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47"/>
      <c r="DA134" s="1"/>
      <c r="DS134" s="436"/>
      <c r="DT134" s="147"/>
      <c r="DU134" s="147"/>
      <c r="DV134" s="147"/>
      <c r="DW134" s="147"/>
      <c r="FZ134" s="147"/>
      <c r="JU134" s="147"/>
      <c r="JV134" s="147"/>
      <c r="JW134" s="147"/>
      <c r="JX134" s="147"/>
      <c r="PB134" s="147"/>
      <c r="PC134" s="147"/>
      <c r="PE134" s="147"/>
      <c r="PS134" s="564"/>
      <c r="PW134" s="147"/>
      <c r="RZ134" s="564"/>
      <c r="AHI134" s="152"/>
      <c r="AIX134" s="152"/>
      <c r="AIY134" s="152"/>
      <c r="AIZ134" s="152"/>
    </row>
    <row r="135" spans="2:936" hidden="1">
      <c r="B135" s="729"/>
      <c r="C135" s="580" t="s">
        <v>115</v>
      </c>
      <c r="D135" s="581"/>
      <c r="E135" s="20" t="s">
        <v>14</v>
      </c>
      <c r="F135" s="582">
        <f>'[2]Januari 24'!AL124</f>
        <v>524483.80000000005</v>
      </c>
      <c r="G135" s="582"/>
      <c r="H135" s="582"/>
      <c r="I135" s="582"/>
      <c r="J135" s="582"/>
      <c r="K135" s="582"/>
      <c r="L135" s="582"/>
      <c r="M135" s="582"/>
      <c r="N135" s="582"/>
      <c r="O135" s="582"/>
      <c r="P135" s="582"/>
      <c r="Q135" s="582"/>
      <c r="R135" s="283"/>
      <c r="S135" s="734"/>
      <c r="T135" s="90">
        <f>SUM(T136:T137)</f>
        <v>524483.80000000005</v>
      </c>
      <c r="U135" s="687">
        <f>SUM(U136:U137)</f>
        <v>0</v>
      </c>
      <c r="V135" s="788">
        <f>SUM(V136:V137)</f>
        <v>524483.80000000005</v>
      </c>
      <c r="X135" s="816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814"/>
      <c r="AK135" s="814"/>
      <c r="AL135" s="814"/>
      <c r="AM135" s="814"/>
      <c r="AN135" s="814"/>
      <c r="AO135" s="814"/>
      <c r="AP135" s="814"/>
      <c r="AQ135" s="814"/>
      <c r="AR135" s="814"/>
      <c r="AS135" s="814"/>
      <c r="AX135" s="1"/>
      <c r="BG135" s="147"/>
      <c r="BH135" s="147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47"/>
      <c r="DA135" s="1"/>
      <c r="DS135" s="436"/>
      <c r="DT135" s="147"/>
      <c r="DU135" s="147"/>
      <c r="DV135" s="147"/>
      <c r="DW135" s="147"/>
      <c r="FZ135" s="147"/>
      <c r="JU135" s="147"/>
      <c r="JV135" s="147"/>
      <c r="JW135" s="147"/>
      <c r="JX135" s="147"/>
      <c r="PB135" s="147"/>
      <c r="PC135" s="147"/>
      <c r="PE135" s="147"/>
      <c r="PS135" s="564"/>
      <c r="PW135" s="147"/>
      <c r="RZ135" s="564"/>
      <c r="AHI135" s="152"/>
      <c r="AIX135" s="152"/>
      <c r="AIY135" s="152"/>
      <c r="AIZ135" s="152"/>
    </row>
    <row r="136" spans="2:936" hidden="1">
      <c r="B136" s="732"/>
      <c r="C136" s="570" t="s">
        <v>39</v>
      </c>
      <c r="D136" s="477"/>
      <c r="E136" s="497" t="s">
        <v>14</v>
      </c>
      <c r="F136" s="441">
        <f>SUM(F139:F140)*9.75348</f>
        <v>525527.25587999995</v>
      </c>
      <c r="G136" s="441"/>
      <c r="H136" s="441"/>
      <c r="I136" s="441"/>
      <c r="J136" s="441"/>
      <c r="K136" s="441"/>
      <c r="L136" s="441"/>
      <c r="M136" s="441"/>
      <c r="N136" s="441"/>
      <c r="O136" s="441"/>
      <c r="P136" s="441"/>
      <c r="Q136" s="441"/>
      <c r="R136" s="441"/>
      <c r="S136" s="720"/>
      <c r="T136" s="59">
        <f t="shared" ref="T136:V137" si="14">SUM(F136:R136)</f>
        <v>525527.25587999995</v>
      </c>
      <c r="U136" s="670">
        <f t="shared" si="14"/>
        <v>0</v>
      </c>
      <c r="V136" s="770">
        <f t="shared" si="14"/>
        <v>525527.25587999995</v>
      </c>
      <c r="X136" s="6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817"/>
      <c r="AK136" s="814"/>
      <c r="AL136" s="814"/>
      <c r="AM136" s="814"/>
      <c r="AN136" s="814"/>
      <c r="AO136" s="814"/>
      <c r="AP136" s="804"/>
      <c r="AQ136" s="804"/>
      <c r="AR136" s="804"/>
      <c r="AS136" s="804"/>
      <c r="AX136" s="1"/>
      <c r="BG136" s="143"/>
      <c r="BH136" s="143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3"/>
      <c r="DA136" s="1"/>
      <c r="DS136" s="5"/>
      <c r="DT136" s="143"/>
      <c r="DU136" s="143"/>
      <c r="DV136" s="143"/>
      <c r="DW136" s="143"/>
      <c r="FZ136" s="143"/>
      <c r="JU136" s="143"/>
      <c r="JV136" s="143"/>
      <c r="JW136" s="143"/>
      <c r="JX136" s="143"/>
      <c r="PB136" s="143"/>
      <c r="PC136" s="143"/>
      <c r="PE136" s="143"/>
      <c r="PS136" s="146"/>
      <c r="PW136" s="143"/>
      <c r="RZ136" s="146"/>
      <c r="AHI136" s="142"/>
      <c r="AIX136" s="142"/>
      <c r="AIY136" s="142"/>
      <c r="AIZ136" s="142"/>
    </row>
    <row r="137" spans="2:936" hidden="1">
      <c r="B137" s="732"/>
      <c r="C137" s="570" t="s">
        <v>38</v>
      </c>
      <c r="D137" s="477"/>
      <c r="E137" s="497" t="s">
        <v>14</v>
      </c>
      <c r="F137" s="441">
        <f>F135-F136</f>
        <v>-1043.4558799999068</v>
      </c>
      <c r="G137" s="441"/>
      <c r="H137" s="441"/>
      <c r="I137" s="441"/>
      <c r="J137" s="441"/>
      <c r="K137" s="441"/>
      <c r="L137" s="441"/>
      <c r="M137" s="441"/>
      <c r="N137" s="441"/>
      <c r="O137" s="441"/>
      <c r="P137" s="441"/>
      <c r="Q137" s="441"/>
      <c r="R137" s="441"/>
      <c r="S137" s="720"/>
      <c r="T137" s="59">
        <f t="shared" si="14"/>
        <v>-1043.4558799999068</v>
      </c>
      <c r="U137" s="670">
        <f t="shared" si="14"/>
        <v>0</v>
      </c>
      <c r="V137" s="770">
        <f t="shared" si="14"/>
        <v>-1043.4558799999068</v>
      </c>
      <c r="X137" s="6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804"/>
      <c r="AK137" s="804"/>
      <c r="AL137" s="804"/>
      <c r="AM137" s="804"/>
      <c r="AN137" s="804"/>
      <c r="AO137" s="804"/>
      <c r="AP137" s="804"/>
      <c r="AQ137" s="804"/>
      <c r="AR137" s="804"/>
      <c r="AS137" s="804"/>
      <c r="AX137" s="1"/>
      <c r="BG137" s="143"/>
      <c r="BH137" s="143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3"/>
      <c r="DA137" s="1"/>
      <c r="DS137" s="5"/>
      <c r="DT137" s="143"/>
      <c r="DU137" s="143"/>
      <c r="DV137" s="143"/>
      <c r="DW137" s="143"/>
      <c r="FZ137" s="143"/>
      <c r="GA137" s="1">
        <f>0.9*12</f>
        <v>10.8</v>
      </c>
      <c r="JU137" s="143"/>
      <c r="JV137" s="143"/>
      <c r="JW137" s="143"/>
      <c r="JX137" s="143"/>
      <c r="PB137" s="143"/>
      <c r="PC137" s="143"/>
      <c r="PE137" s="143"/>
      <c r="PS137" s="146"/>
      <c r="PW137" s="143"/>
      <c r="RZ137" s="146"/>
      <c r="AHI137" s="142"/>
      <c r="AIX137" s="142"/>
      <c r="AIY137" s="142"/>
      <c r="AIZ137" s="142"/>
    </row>
    <row r="138" spans="2:936" hidden="1">
      <c r="B138" s="732"/>
      <c r="C138" s="570" t="s">
        <v>29</v>
      </c>
      <c r="D138" s="477"/>
      <c r="E138" s="465"/>
      <c r="F138" s="440"/>
      <c r="G138" s="440"/>
      <c r="H138" s="440"/>
      <c r="I138" s="440"/>
      <c r="J138" s="440"/>
      <c r="K138" s="440"/>
      <c r="L138" s="440"/>
      <c r="M138" s="440"/>
      <c r="N138" s="440"/>
      <c r="O138" s="440"/>
      <c r="P138" s="440"/>
      <c r="Q138" s="440"/>
      <c r="R138" s="440"/>
      <c r="S138" s="720"/>
      <c r="T138" s="64" t="s">
        <v>29</v>
      </c>
      <c r="U138" s="689" t="s">
        <v>29</v>
      </c>
      <c r="V138" s="786" t="s">
        <v>29</v>
      </c>
      <c r="X138" s="6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804"/>
      <c r="AK138" s="804"/>
      <c r="AL138" s="804"/>
      <c r="AM138" s="804"/>
      <c r="AN138" s="804"/>
      <c r="AO138" s="804"/>
      <c r="AP138" s="804"/>
      <c r="AQ138" s="804"/>
      <c r="AR138" s="804"/>
      <c r="AS138" s="804"/>
      <c r="AX138" s="1"/>
      <c r="BG138" s="143"/>
      <c r="BH138" s="143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3"/>
      <c r="DA138" s="1"/>
      <c r="DS138" s="5"/>
      <c r="DT138" s="143"/>
      <c r="DU138" s="143"/>
      <c r="DV138" s="143"/>
      <c r="DW138" s="143"/>
      <c r="FZ138" s="143"/>
      <c r="JU138" s="143"/>
      <c r="JV138" s="143"/>
      <c r="JW138" s="143"/>
      <c r="JX138" s="143"/>
      <c r="PB138" s="143"/>
      <c r="PC138" s="143"/>
      <c r="PE138" s="143"/>
      <c r="PS138" s="146"/>
      <c r="PW138" s="143"/>
      <c r="RZ138" s="146"/>
      <c r="AHI138" s="142"/>
      <c r="AIX138" s="142"/>
      <c r="AIY138" s="142"/>
      <c r="AIZ138" s="142"/>
    </row>
    <row r="139" spans="2:936" hidden="1">
      <c r="B139" s="733"/>
      <c r="C139" s="437" t="s">
        <v>42</v>
      </c>
      <c r="D139" s="438"/>
      <c r="E139" s="574" t="s">
        <v>31</v>
      </c>
      <c r="F139" s="283">
        <f>'[2]Januari 24'!AL128</f>
        <v>48858</v>
      </c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722"/>
      <c r="T139" s="92">
        <f>SUM(F139:R139)</f>
        <v>48858</v>
      </c>
      <c r="U139" s="690">
        <v>296194</v>
      </c>
      <c r="V139" s="790">
        <f>SUM(H139:T139)</f>
        <v>48858</v>
      </c>
      <c r="X139" s="37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818"/>
      <c r="AK139" s="818"/>
      <c r="AL139" s="818"/>
      <c r="AM139" s="818"/>
      <c r="AN139" s="818"/>
      <c r="AO139" s="818"/>
      <c r="AP139" s="818"/>
      <c r="AQ139" s="818"/>
      <c r="AR139" s="818"/>
      <c r="AS139" s="818"/>
      <c r="AX139" s="1"/>
      <c r="BG139" s="149"/>
      <c r="BH139" s="149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9"/>
      <c r="DA139" s="1"/>
      <c r="DS139" s="518"/>
      <c r="DT139" s="149"/>
      <c r="DU139" s="149"/>
      <c r="DV139" s="149"/>
      <c r="DW139" s="149"/>
      <c r="FZ139" s="149"/>
      <c r="JU139" s="149"/>
      <c r="JV139" s="149"/>
      <c r="JW139" s="149"/>
      <c r="JX139" s="149"/>
      <c r="PB139" s="149"/>
      <c r="PC139" s="149"/>
      <c r="PE139" s="149"/>
      <c r="PS139" s="575"/>
      <c r="PW139" s="149"/>
      <c r="RZ139" s="575"/>
      <c r="AHI139" s="145"/>
      <c r="AIX139" s="145"/>
      <c r="AIY139" s="145"/>
      <c r="AIZ139" s="145"/>
    </row>
    <row r="140" spans="2:936" hidden="1">
      <c r="B140" s="733"/>
      <c r="C140" s="437" t="s">
        <v>41</v>
      </c>
      <c r="D140" s="438"/>
      <c r="E140" s="574" t="s">
        <v>31</v>
      </c>
      <c r="F140" s="283">
        <f>'[2]Januari 24'!AL129</f>
        <v>5023</v>
      </c>
      <c r="G140" s="283"/>
      <c r="H140" s="283"/>
      <c r="I140" s="283"/>
      <c r="J140" s="283"/>
      <c r="K140" s="2"/>
      <c r="L140" s="283"/>
      <c r="M140" s="283"/>
      <c r="N140" s="283"/>
      <c r="O140" s="283"/>
      <c r="P140" s="283"/>
      <c r="Q140" s="283"/>
      <c r="R140" s="283"/>
      <c r="S140" s="722"/>
      <c r="T140" s="92">
        <f>SUM(F140:R140)</f>
        <v>5023</v>
      </c>
      <c r="U140" s="690">
        <v>626151</v>
      </c>
      <c r="V140" s="790">
        <f>SUM(H140:T140)</f>
        <v>5023</v>
      </c>
      <c r="X140" s="37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818"/>
      <c r="AK140" s="818"/>
      <c r="AL140" s="818"/>
      <c r="AM140" s="818"/>
      <c r="AN140" s="818"/>
      <c r="AO140" s="818"/>
      <c r="AP140" s="818"/>
      <c r="AQ140" s="818"/>
      <c r="AR140" s="818"/>
      <c r="AS140" s="818"/>
      <c r="AX140" s="1"/>
      <c r="BG140" s="149"/>
      <c r="BH140" s="149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9"/>
      <c r="DA140" s="1"/>
      <c r="DS140" s="518"/>
      <c r="DT140" s="149"/>
      <c r="DU140" s="149"/>
      <c r="DV140" s="149"/>
      <c r="DW140" s="149"/>
      <c r="FZ140" s="149"/>
      <c r="JU140" s="149"/>
      <c r="JV140" s="149"/>
      <c r="JW140" s="149"/>
      <c r="JX140" s="149"/>
      <c r="PB140" s="149"/>
      <c r="PC140" s="149"/>
      <c r="PE140" s="149"/>
      <c r="PS140" s="575"/>
      <c r="PW140" s="149"/>
      <c r="RZ140" s="575"/>
      <c r="AHI140" s="145"/>
      <c r="AIX140" s="145"/>
      <c r="AIY140" s="145"/>
      <c r="AIZ140" s="145"/>
    </row>
    <row r="141" spans="2:936" hidden="1">
      <c r="B141" s="732"/>
      <c r="C141" s="570" t="s">
        <v>28</v>
      </c>
      <c r="D141" s="477"/>
      <c r="E141" s="465"/>
      <c r="F141" s="440"/>
      <c r="G141" s="440"/>
      <c r="H141" s="440"/>
      <c r="I141" s="440"/>
      <c r="J141" s="440"/>
      <c r="K141" s="440"/>
      <c r="L141" s="440"/>
      <c r="M141" s="440"/>
      <c r="N141" s="440"/>
      <c r="O141" s="440"/>
      <c r="P141" s="440"/>
      <c r="Q141" s="440"/>
      <c r="R141" s="440"/>
      <c r="S141" s="720"/>
      <c r="T141" s="64" t="s">
        <v>28</v>
      </c>
      <c r="U141" s="689" t="s">
        <v>28</v>
      </c>
      <c r="V141" s="786" t="s">
        <v>28</v>
      </c>
      <c r="X141" s="6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804"/>
      <c r="AK141" s="804"/>
      <c r="AL141" s="804"/>
      <c r="AM141" s="804"/>
      <c r="AN141" s="804"/>
      <c r="AO141" s="804"/>
      <c r="AP141" s="804"/>
      <c r="AQ141" s="804"/>
      <c r="AR141" s="804"/>
      <c r="AS141" s="804"/>
      <c r="AX141" s="1"/>
      <c r="BG141" s="143"/>
      <c r="BH141" s="143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43"/>
      <c r="DA141" s="1"/>
      <c r="DS141" s="5"/>
      <c r="DT141" s="143"/>
      <c r="DU141" s="143"/>
      <c r="DV141" s="143"/>
      <c r="DW141" s="143"/>
      <c r="FZ141" s="143"/>
      <c r="JU141" s="143"/>
      <c r="JV141" s="143"/>
      <c r="JW141" s="143"/>
      <c r="JX141" s="143"/>
      <c r="PB141" s="143"/>
      <c r="PC141" s="143"/>
      <c r="PE141" s="143"/>
      <c r="PS141" s="146"/>
      <c r="PW141" s="143"/>
      <c r="RZ141" s="146"/>
      <c r="AHI141" s="142"/>
      <c r="AIX141" s="142"/>
      <c r="AIY141" s="142"/>
      <c r="AIZ141" s="142"/>
    </row>
    <row r="142" spans="2:936" hidden="1">
      <c r="B142" s="732"/>
      <c r="C142" s="437" t="s">
        <v>42</v>
      </c>
      <c r="D142" s="477"/>
      <c r="E142" s="497" t="s">
        <v>28</v>
      </c>
      <c r="F142" s="440">
        <f>F139*12</f>
        <v>586296</v>
      </c>
      <c r="G142" s="440"/>
      <c r="H142" s="440"/>
      <c r="I142" s="440"/>
      <c r="J142" s="440"/>
      <c r="K142" s="440"/>
      <c r="L142" s="440"/>
      <c r="M142" s="440"/>
      <c r="N142" s="440"/>
      <c r="O142" s="440"/>
      <c r="P142" s="440"/>
      <c r="Q142" s="440"/>
      <c r="R142" s="440"/>
      <c r="S142" s="720"/>
      <c r="T142" s="55">
        <f>T139*12</f>
        <v>586296</v>
      </c>
      <c r="U142" s="667">
        <f>U139*12</f>
        <v>3554328</v>
      </c>
      <c r="V142" s="787">
        <f>V139*12</f>
        <v>586296</v>
      </c>
      <c r="X142" s="6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804"/>
      <c r="AK142" s="804"/>
      <c r="AL142" s="804"/>
      <c r="AM142" s="804"/>
      <c r="AN142" s="804"/>
      <c r="AO142" s="804"/>
      <c r="AP142" s="804"/>
      <c r="AQ142" s="804"/>
      <c r="AR142" s="804"/>
      <c r="AS142" s="804"/>
      <c r="AX142" s="1"/>
      <c r="BG142" s="143"/>
      <c r="BH142" s="143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K142" s="143"/>
      <c r="DA142" s="1"/>
      <c r="DS142" s="5"/>
      <c r="DT142" s="143"/>
      <c r="DU142" s="143"/>
      <c r="DV142" s="143"/>
      <c r="DW142" s="143"/>
      <c r="FZ142" s="143"/>
      <c r="JU142" s="143"/>
      <c r="JV142" s="143"/>
      <c r="JW142" s="143"/>
      <c r="JX142" s="143"/>
      <c r="PB142" s="143"/>
      <c r="PC142" s="143"/>
      <c r="PE142" s="143"/>
      <c r="PS142" s="146"/>
      <c r="PW142" s="143"/>
      <c r="RZ142" s="146"/>
      <c r="AHI142" s="142"/>
      <c r="AIX142" s="142"/>
      <c r="AIY142" s="142"/>
      <c r="AIZ142" s="142"/>
    </row>
    <row r="143" spans="2:936" hidden="1">
      <c r="B143" s="732"/>
      <c r="C143" s="437" t="s">
        <v>41</v>
      </c>
      <c r="D143" s="477"/>
      <c r="E143" s="497" t="s">
        <v>28</v>
      </c>
      <c r="F143" s="440">
        <f>F140*6</f>
        <v>30138</v>
      </c>
      <c r="G143" s="440"/>
      <c r="H143" s="440"/>
      <c r="I143" s="440"/>
      <c r="J143" s="440"/>
      <c r="K143" s="440"/>
      <c r="L143" s="440"/>
      <c r="M143" s="440"/>
      <c r="N143" s="440"/>
      <c r="O143" s="440"/>
      <c r="P143" s="440"/>
      <c r="Q143" s="440"/>
      <c r="R143" s="440"/>
      <c r="S143" s="720"/>
      <c r="T143" s="55">
        <f>T140*6</f>
        <v>30138</v>
      </c>
      <c r="U143" s="667">
        <f>U140*6</f>
        <v>3756906</v>
      </c>
      <c r="V143" s="787">
        <f>V140*6</f>
        <v>30138</v>
      </c>
      <c r="X143" s="6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804"/>
      <c r="AK143" s="804"/>
      <c r="AL143" s="804"/>
      <c r="AM143" s="804"/>
      <c r="AN143" s="804"/>
      <c r="AO143" s="804"/>
      <c r="AP143" s="804"/>
      <c r="AQ143" s="804"/>
      <c r="AR143" s="804"/>
      <c r="AS143" s="804"/>
      <c r="AX143" s="1"/>
      <c r="BG143" s="143"/>
      <c r="BH143" s="143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43"/>
      <c r="DA143" s="1"/>
      <c r="DS143" s="5"/>
      <c r="DT143" s="143"/>
      <c r="DU143" s="143"/>
      <c r="DV143" s="143"/>
      <c r="DW143" s="143"/>
      <c r="FZ143" s="143"/>
      <c r="JU143" s="143"/>
      <c r="JV143" s="143"/>
      <c r="JW143" s="143"/>
      <c r="JX143" s="143"/>
      <c r="PB143" s="143"/>
      <c r="PC143" s="143"/>
      <c r="PE143" s="143"/>
      <c r="PS143" s="146"/>
      <c r="PW143" s="143"/>
      <c r="RZ143" s="146"/>
      <c r="AHI143" s="142"/>
      <c r="AIX143" s="142"/>
      <c r="AIY143" s="142"/>
      <c r="AIZ143" s="142"/>
    </row>
    <row r="144" spans="2:936" hidden="1">
      <c r="B144" s="732"/>
      <c r="C144" s="570" t="s">
        <v>36</v>
      </c>
      <c r="D144" s="477"/>
      <c r="E144" s="497" t="s">
        <v>35</v>
      </c>
      <c r="F144" s="440">
        <f>(F135*45)/1700</f>
        <v>13883.394705882356</v>
      </c>
      <c r="G144" s="440"/>
      <c r="H144" s="440"/>
      <c r="I144" s="440"/>
      <c r="J144" s="440"/>
      <c r="K144" s="440"/>
      <c r="L144" s="440"/>
      <c r="M144" s="440"/>
      <c r="N144" s="440"/>
      <c r="O144" s="440"/>
      <c r="P144" s="440"/>
      <c r="Q144" s="440"/>
      <c r="R144" s="440"/>
      <c r="S144" s="720"/>
      <c r="T144" s="55">
        <f t="shared" ref="T144:V145" si="15">SUM(F144:R144)</f>
        <v>13883.394705882356</v>
      </c>
      <c r="U144" s="667">
        <f t="shared" si="15"/>
        <v>0</v>
      </c>
      <c r="V144" s="787">
        <f t="shared" si="15"/>
        <v>13883.394705882356</v>
      </c>
      <c r="X144" s="6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804"/>
      <c r="AK144" s="804"/>
      <c r="AL144" s="804"/>
      <c r="AM144" s="804"/>
      <c r="AN144" s="804"/>
      <c r="AO144" s="804"/>
      <c r="AP144" s="804"/>
      <c r="AQ144" s="804"/>
      <c r="AR144" s="804"/>
      <c r="AS144" s="804"/>
      <c r="AX144" s="1"/>
      <c r="BG144" s="143"/>
      <c r="BH144" s="143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43"/>
      <c r="DA144" s="1"/>
      <c r="DS144" s="5"/>
      <c r="DT144" s="143"/>
      <c r="DU144" s="143"/>
      <c r="DV144" s="143"/>
      <c r="DW144" s="143"/>
      <c r="FZ144" s="143"/>
      <c r="JU144" s="143"/>
      <c r="JV144" s="143"/>
      <c r="JW144" s="143"/>
      <c r="JX144" s="143"/>
      <c r="PB144" s="143"/>
      <c r="PC144" s="143"/>
      <c r="PE144" s="143"/>
      <c r="PS144" s="146"/>
      <c r="PW144" s="143"/>
      <c r="RZ144" s="146"/>
      <c r="AHI144" s="142"/>
      <c r="AIX144" s="142"/>
      <c r="AIY144" s="142"/>
      <c r="AIZ144" s="142"/>
    </row>
    <row r="145" spans="2:936" hidden="1">
      <c r="B145" s="732"/>
      <c r="C145" s="570" t="s">
        <v>34</v>
      </c>
      <c r="D145" s="477"/>
      <c r="E145" s="497" t="s">
        <v>33</v>
      </c>
      <c r="F145" s="440">
        <f>SUM(F139:F140)/500</f>
        <v>107.762</v>
      </c>
      <c r="G145" s="440"/>
      <c r="H145" s="440"/>
      <c r="I145" s="440"/>
      <c r="J145" s="440"/>
      <c r="K145" s="588"/>
      <c r="L145" s="588"/>
      <c r="M145" s="588"/>
      <c r="N145" s="588"/>
      <c r="O145" s="588"/>
      <c r="P145" s="588"/>
      <c r="Q145" s="588"/>
      <c r="R145" s="588"/>
      <c r="S145" s="720"/>
      <c r="T145" s="55">
        <f t="shared" si="15"/>
        <v>107.762</v>
      </c>
      <c r="U145" s="667">
        <f t="shared" si="15"/>
        <v>0</v>
      </c>
      <c r="V145" s="787">
        <f t="shared" si="15"/>
        <v>107.762</v>
      </c>
      <c r="X145" s="6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804"/>
      <c r="AK145" s="804"/>
      <c r="AL145" s="804"/>
      <c r="AM145" s="804"/>
      <c r="AN145" s="804"/>
      <c r="AO145" s="804"/>
      <c r="AP145" s="804"/>
      <c r="AQ145" s="804"/>
      <c r="AR145" s="804"/>
      <c r="AS145" s="804"/>
      <c r="AX145" s="1"/>
      <c r="BG145" s="143"/>
      <c r="BH145" s="143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K145" s="143"/>
      <c r="DA145" s="1"/>
      <c r="DS145" s="5"/>
      <c r="DT145" s="143"/>
      <c r="DU145" s="143"/>
      <c r="DV145" s="143"/>
      <c r="DW145" s="143"/>
      <c r="FZ145" s="143"/>
      <c r="JU145" s="143"/>
      <c r="JV145" s="143"/>
      <c r="JW145" s="143"/>
      <c r="JX145" s="143"/>
      <c r="PB145" s="143"/>
      <c r="PC145" s="143"/>
      <c r="PE145" s="143"/>
      <c r="PS145" s="146"/>
      <c r="PW145" s="143"/>
      <c r="RZ145" s="146"/>
      <c r="AHI145" s="142"/>
      <c r="AIX145" s="142"/>
      <c r="AIY145" s="142"/>
      <c r="AIZ145" s="142"/>
    </row>
    <row r="146" spans="2:936" hidden="1">
      <c r="B146" s="729"/>
      <c r="C146" s="420" t="s">
        <v>32</v>
      </c>
      <c r="D146" s="48"/>
      <c r="E146" s="48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3"/>
      <c r="T146" s="523" t="s">
        <v>131</v>
      </c>
      <c r="U146" s="678" t="s">
        <v>131</v>
      </c>
      <c r="V146" s="777" t="s">
        <v>131</v>
      </c>
      <c r="X146" s="1"/>
      <c r="Y146" s="63"/>
      <c r="Z146" s="63"/>
      <c r="AA146" s="63"/>
      <c r="AB146" s="63"/>
      <c r="AC146" s="63"/>
      <c r="AD146" s="63"/>
      <c r="AE146" s="63"/>
      <c r="AF146" s="63"/>
      <c r="AG146" s="804"/>
      <c r="AH146" s="804"/>
      <c r="AI146" s="804"/>
      <c r="AJ146" s="804"/>
      <c r="AK146" s="804"/>
      <c r="AL146" s="804"/>
      <c r="AM146" s="804"/>
      <c r="AN146" s="804"/>
      <c r="AO146" s="804"/>
      <c r="AP146" s="804"/>
      <c r="AR146" s="63"/>
      <c r="AX146" s="1"/>
      <c r="BD146" s="142"/>
      <c r="BE146" s="142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H146" s="142"/>
      <c r="DA146" s="1"/>
      <c r="DP146" s="5"/>
      <c r="DQ146" s="142"/>
      <c r="DR146" s="142"/>
      <c r="DS146" s="142"/>
      <c r="DT146" s="142"/>
      <c r="FW146" s="142"/>
      <c r="JR146" s="142"/>
      <c r="JS146" s="142"/>
      <c r="JT146" s="142"/>
      <c r="JU146" s="142"/>
      <c r="OY146" s="142"/>
      <c r="OZ146" s="142"/>
      <c r="PB146" s="142"/>
      <c r="PP146" s="482"/>
      <c r="PT146" s="142"/>
      <c r="RW146" s="482"/>
      <c r="AHF146" s="142"/>
      <c r="AIU146" s="142"/>
      <c r="AIV146" s="142"/>
      <c r="AIW146" s="142"/>
    </row>
    <row r="147" spans="2:936" hidden="1">
      <c r="B147" s="732"/>
      <c r="C147" s="570" t="s">
        <v>29</v>
      </c>
      <c r="D147" s="477"/>
      <c r="E147" s="465"/>
      <c r="F147" s="440"/>
      <c r="G147" s="440"/>
      <c r="H147" s="440"/>
      <c r="I147" s="440"/>
      <c r="J147" s="440"/>
      <c r="K147" s="440"/>
      <c r="L147" s="440"/>
      <c r="M147" s="440"/>
      <c r="N147" s="440"/>
      <c r="O147" s="440"/>
      <c r="P147" s="440"/>
      <c r="Q147" s="440"/>
      <c r="R147" s="440"/>
      <c r="S147" s="720"/>
      <c r="T147" s="64" t="s">
        <v>29</v>
      </c>
      <c r="U147" s="689" t="s">
        <v>29</v>
      </c>
      <c r="V147" s="786" t="s">
        <v>29</v>
      </c>
      <c r="X147" s="1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R147" s="63"/>
      <c r="AX147" s="1"/>
      <c r="BD147" s="143"/>
      <c r="BE147" s="143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H147" s="143"/>
      <c r="DA147" s="1"/>
      <c r="DP147" s="5"/>
      <c r="DQ147" s="143"/>
      <c r="DR147" s="143"/>
      <c r="DS147" s="143"/>
      <c r="DT147" s="143"/>
      <c r="FW147" s="143"/>
      <c r="JR147" s="143"/>
      <c r="JS147" s="143"/>
      <c r="JT147" s="143"/>
      <c r="JU147" s="143"/>
      <c r="OY147" s="143"/>
      <c r="OZ147" s="143"/>
      <c r="PB147" s="143"/>
      <c r="PP147" s="146"/>
      <c r="PT147" s="143"/>
      <c r="RW147" s="146"/>
      <c r="AHF147" s="142"/>
      <c r="AIU147" s="142"/>
      <c r="AIV147" s="142"/>
      <c r="AIW147" s="142"/>
    </row>
    <row r="148" spans="2:936" hidden="1">
      <c r="B148" s="732"/>
      <c r="C148" s="437" t="s">
        <v>42</v>
      </c>
      <c r="D148" s="477"/>
      <c r="E148" s="497" t="s">
        <v>31</v>
      </c>
      <c r="F148" s="33">
        <f>'[2]Januari 24'!AL131</f>
        <v>586296</v>
      </c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720"/>
      <c r="T148" s="55">
        <f t="shared" ref="T148:V149" si="16">SUM(F148:R148)</f>
        <v>586296</v>
      </c>
      <c r="U148" s="667">
        <f t="shared" si="16"/>
        <v>0</v>
      </c>
      <c r="V148" s="787">
        <f t="shared" si="16"/>
        <v>586296</v>
      </c>
      <c r="X148" s="1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R148" s="63"/>
      <c r="AX148" s="1"/>
      <c r="BD148" s="143"/>
      <c r="BE148" s="143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H148" s="143"/>
      <c r="DA148" s="1"/>
      <c r="DP148" s="5"/>
      <c r="DQ148" s="143"/>
      <c r="DR148" s="143"/>
      <c r="DS148" s="143"/>
      <c r="DT148" s="143"/>
      <c r="FW148" s="143"/>
      <c r="JR148" s="143"/>
      <c r="JS148" s="143"/>
      <c r="JT148" s="143"/>
      <c r="JU148" s="143"/>
      <c r="OY148" s="143"/>
      <c r="OZ148" s="143"/>
      <c r="PB148" s="143"/>
      <c r="PP148" s="146"/>
      <c r="PT148" s="143"/>
      <c r="RW148" s="146"/>
      <c r="AHF148" s="142"/>
      <c r="AIU148" s="142"/>
      <c r="AIV148" s="142"/>
      <c r="AIW148" s="142"/>
    </row>
    <row r="149" spans="2:936" hidden="1">
      <c r="B149" s="732"/>
      <c r="C149" s="437" t="s">
        <v>41</v>
      </c>
      <c r="D149" s="477"/>
      <c r="E149" s="497" t="s">
        <v>31</v>
      </c>
      <c r="F149" s="33">
        <f>'[2]Januari 24'!AL132</f>
        <v>30138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720"/>
      <c r="T149" s="55">
        <f t="shared" si="16"/>
        <v>30138</v>
      </c>
      <c r="U149" s="667">
        <f t="shared" si="16"/>
        <v>0</v>
      </c>
      <c r="V149" s="787">
        <f t="shared" si="16"/>
        <v>30138</v>
      </c>
      <c r="X149" s="1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R149" s="63"/>
      <c r="AX149" s="1"/>
      <c r="BD149" s="143"/>
      <c r="BE149" s="143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H149" s="143"/>
      <c r="DA149" s="1"/>
      <c r="DP149" s="5"/>
      <c r="DQ149" s="143"/>
      <c r="DR149" s="143"/>
      <c r="DS149" s="143"/>
      <c r="DT149" s="143"/>
      <c r="FW149" s="143"/>
      <c r="JR149" s="143"/>
      <c r="JS149" s="143"/>
      <c r="JT149" s="143"/>
      <c r="JU149" s="143"/>
      <c r="OY149" s="143"/>
      <c r="OZ149" s="143"/>
      <c r="PB149" s="143"/>
      <c r="PP149" s="146"/>
      <c r="PT149" s="143"/>
      <c r="RW149" s="146"/>
      <c r="AHF149" s="142"/>
      <c r="AIU149" s="142"/>
      <c r="AIV149" s="142"/>
      <c r="AIW149" s="142"/>
    </row>
    <row r="150" spans="2:936" hidden="1">
      <c r="B150" s="732"/>
      <c r="C150" s="570" t="s">
        <v>28</v>
      </c>
      <c r="D150" s="477"/>
      <c r="E150" s="465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720"/>
      <c r="T150" s="64" t="s">
        <v>28</v>
      </c>
      <c r="U150" s="689" t="s">
        <v>28</v>
      </c>
      <c r="V150" s="786" t="s">
        <v>28</v>
      </c>
      <c r="X150" s="1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R150" s="63"/>
      <c r="AX150" s="1"/>
      <c r="BD150" s="143"/>
      <c r="BE150" s="143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H150" s="143"/>
      <c r="DA150" s="1"/>
      <c r="DP150" s="5"/>
      <c r="DQ150" s="143"/>
      <c r="DR150" s="143"/>
      <c r="DS150" s="143"/>
      <c r="DT150" s="143"/>
      <c r="FW150" s="143"/>
      <c r="JR150" s="143"/>
      <c r="JS150" s="143"/>
      <c r="JT150" s="143"/>
      <c r="JU150" s="143"/>
      <c r="OY150" s="143"/>
      <c r="OZ150" s="143"/>
      <c r="PB150" s="143"/>
      <c r="PP150" s="146"/>
      <c r="PT150" s="143"/>
      <c r="RW150" s="146"/>
      <c r="AHF150" s="142"/>
      <c r="AIU150" s="142"/>
      <c r="AIV150" s="142"/>
      <c r="AIW150" s="142"/>
    </row>
    <row r="151" spans="2:936" hidden="1">
      <c r="B151" s="732"/>
      <c r="C151" s="437" t="str">
        <f>C148</f>
        <v xml:space="preserve">INL SP 900 mL  </v>
      </c>
      <c r="D151" s="477"/>
      <c r="E151" s="497" t="s">
        <v>28</v>
      </c>
      <c r="F151" s="33">
        <f>F148*12</f>
        <v>7035552</v>
      </c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720"/>
      <c r="T151" s="55">
        <f t="shared" ref="T151:V152" si="17">SUM(F151:R151)</f>
        <v>7035552</v>
      </c>
      <c r="U151" s="667">
        <f t="shared" si="17"/>
        <v>0</v>
      </c>
      <c r="V151" s="787">
        <f t="shared" si="17"/>
        <v>7035552</v>
      </c>
      <c r="X151" s="1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R151" s="63"/>
      <c r="AX151" s="1"/>
      <c r="BD151" s="143"/>
      <c r="BE151" s="143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43"/>
      <c r="DA151" s="1"/>
      <c r="DP151" s="5"/>
      <c r="DQ151" s="143"/>
      <c r="DR151" s="143"/>
      <c r="DS151" s="143"/>
      <c r="DT151" s="143"/>
      <c r="FW151" s="143"/>
      <c r="JR151" s="143"/>
      <c r="JS151" s="143"/>
      <c r="JT151" s="143"/>
      <c r="JU151" s="143"/>
      <c r="OY151" s="143"/>
      <c r="OZ151" s="143"/>
      <c r="PB151" s="143"/>
      <c r="PP151" s="146"/>
      <c r="PT151" s="143"/>
      <c r="RW151" s="146"/>
      <c r="AHF151" s="142"/>
      <c r="AIU151" s="142"/>
      <c r="AIV151" s="142"/>
      <c r="AIW151" s="142"/>
    </row>
    <row r="152" spans="2:936" hidden="1">
      <c r="B152" s="732"/>
      <c r="C152" s="437" t="str">
        <f>C149</f>
        <v>INL SP 1,8 L</v>
      </c>
      <c r="D152" s="477"/>
      <c r="E152" s="497" t="s">
        <v>28</v>
      </c>
      <c r="F152" s="33">
        <f>F149*6</f>
        <v>180828</v>
      </c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720"/>
      <c r="T152" s="55">
        <f t="shared" si="17"/>
        <v>180828</v>
      </c>
      <c r="U152" s="667">
        <f t="shared" si="17"/>
        <v>0</v>
      </c>
      <c r="V152" s="787">
        <f t="shared" si="17"/>
        <v>180828</v>
      </c>
      <c r="X152" s="1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R152" s="63"/>
      <c r="AX152" s="1"/>
      <c r="BD152" s="143"/>
      <c r="BE152" s="143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43"/>
      <c r="DA152" s="1"/>
      <c r="DP152" s="5"/>
      <c r="DQ152" s="143"/>
      <c r="DR152" s="143"/>
      <c r="DS152" s="143"/>
      <c r="DT152" s="143"/>
      <c r="FW152" s="143"/>
      <c r="JR152" s="143"/>
      <c r="JS152" s="143"/>
      <c r="JT152" s="143"/>
      <c r="JU152" s="143"/>
      <c r="OY152" s="143"/>
      <c r="OZ152" s="143"/>
      <c r="PB152" s="143"/>
      <c r="PP152" s="146"/>
      <c r="PT152" s="143"/>
      <c r="RW152" s="146"/>
      <c r="AHF152" s="142"/>
      <c r="AIU152" s="142"/>
      <c r="AIV152" s="142"/>
      <c r="AIW152" s="142"/>
    </row>
    <row r="153" spans="2:936" hidden="1">
      <c r="B153" s="732"/>
      <c r="C153" s="420" t="s">
        <v>30</v>
      </c>
      <c r="D153" s="77"/>
      <c r="E153" s="589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590"/>
      <c r="T153" s="96"/>
      <c r="U153" s="692"/>
      <c r="V153" s="791"/>
      <c r="X153" s="1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R153" s="63"/>
      <c r="AX153" s="1"/>
      <c r="BD153" s="143"/>
      <c r="BE153" s="143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43"/>
      <c r="DA153" s="1"/>
      <c r="DP153" s="5"/>
      <c r="DQ153" s="143"/>
      <c r="DR153" s="143"/>
      <c r="DS153" s="143"/>
      <c r="DT153" s="143"/>
      <c r="FW153" s="143"/>
      <c r="JR153" s="143"/>
      <c r="JS153" s="143"/>
      <c r="JT153" s="143"/>
      <c r="JU153" s="143"/>
      <c r="OY153" s="143"/>
      <c r="OZ153" s="143"/>
      <c r="PB153" s="143"/>
      <c r="PP153" s="146"/>
      <c r="PT153" s="143"/>
      <c r="RW153" s="146"/>
      <c r="AHF153" s="142"/>
      <c r="AIU153" s="142"/>
      <c r="AIV153" s="142"/>
      <c r="AIW153" s="142"/>
    </row>
    <row r="154" spans="2:936" hidden="1">
      <c r="B154" s="732"/>
      <c r="C154" s="570" t="s">
        <v>29</v>
      </c>
      <c r="D154" s="477"/>
      <c r="E154" s="49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720"/>
      <c r="T154" s="55"/>
      <c r="U154" s="667"/>
      <c r="V154" s="787"/>
      <c r="X154" s="1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R154" s="63"/>
      <c r="AX154" s="1"/>
      <c r="BD154" s="143"/>
      <c r="BE154" s="143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3"/>
      <c r="DA154" s="1"/>
      <c r="DP154" s="5"/>
      <c r="DQ154" s="143"/>
      <c r="DR154" s="143"/>
      <c r="DS154" s="143"/>
      <c r="DT154" s="143"/>
      <c r="FW154" s="143"/>
      <c r="JR154" s="143"/>
      <c r="JS154" s="143"/>
      <c r="JT154" s="143"/>
      <c r="JU154" s="143"/>
      <c r="OY154" s="143"/>
      <c r="OZ154" s="143"/>
      <c r="PB154" s="143"/>
      <c r="PP154" s="146"/>
      <c r="PT154" s="143"/>
      <c r="RW154" s="146"/>
      <c r="AHF154" s="142"/>
      <c r="AIU154" s="142"/>
      <c r="AIV154" s="142"/>
      <c r="AIW154" s="142"/>
    </row>
    <row r="155" spans="2:936" hidden="1">
      <c r="B155" s="732"/>
      <c r="C155" s="437" t="s">
        <v>42</v>
      </c>
      <c r="D155" s="477"/>
      <c r="E155" s="497" t="s">
        <v>25</v>
      </c>
      <c r="F155" s="441">
        <f>F148/F139*100</f>
        <v>1200</v>
      </c>
      <c r="G155" s="441"/>
      <c r="H155" s="441"/>
      <c r="I155" s="441"/>
      <c r="J155" s="441"/>
      <c r="K155" s="441"/>
      <c r="L155" s="441"/>
      <c r="M155" s="441"/>
      <c r="N155" s="441"/>
      <c r="O155" s="441"/>
      <c r="P155" s="441"/>
      <c r="Q155" s="441"/>
      <c r="R155" s="441"/>
      <c r="S155" s="720"/>
      <c r="T155" s="59">
        <f>T148/T139*100</f>
        <v>1200</v>
      </c>
      <c r="U155" s="667"/>
      <c r="V155" s="787"/>
      <c r="X155" s="1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R155" s="63"/>
      <c r="AX155" s="1"/>
      <c r="BD155" s="143"/>
      <c r="BE155" s="143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3"/>
      <c r="DA155" s="1"/>
      <c r="DP155" s="5"/>
      <c r="DQ155" s="143"/>
      <c r="DR155" s="143"/>
      <c r="DS155" s="143"/>
      <c r="DT155" s="143"/>
      <c r="FW155" s="143"/>
      <c r="JR155" s="143"/>
      <c r="JS155" s="143"/>
      <c r="JT155" s="143"/>
      <c r="JU155" s="143"/>
      <c r="OY155" s="143"/>
      <c r="OZ155" s="143"/>
      <c r="PB155" s="143"/>
      <c r="PP155" s="146"/>
      <c r="PT155" s="143"/>
      <c r="RW155" s="146"/>
      <c r="AHF155" s="142"/>
      <c r="AIU155" s="142"/>
      <c r="AIV155" s="142"/>
      <c r="AIW155" s="142"/>
    </row>
    <row r="156" spans="2:936" hidden="1">
      <c r="B156" s="732"/>
      <c r="C156" s="437" t="s">
        <v>41</v>
      </c>
      <c r="D156" s="477"/>
      <c r="E156" s="497" t="s">
        <v>25</v>
      </c>
      <c r="F156" s="441">
        <f>F149/F140*100</f>
        <v>600</v>
      </c>
      <c r="G156" s="441"/>
      <c r="H156" s="441"/>
      <c r="I156" s="441"/>
      <c r="J156" s="441"/>
      <c r="K156" s="441"/>
      <c r="L156" s="441"/>
      <c r="M156" s="441"/>
      <c r="N156" s="441"/>
      <c r="O156" s="441"/>
      <c r="P156" s="441"/>
      <c r="Q156" s="441"/>
      <c r="R156" s="441"/>
      <c r="S156" s="720"/>
      <c r="T156" s="59">
        <f>T149/T140*100</f>
        <v>600</v>
      </c>
      <c r="U156" s="667"/>
      <c r="V156" s="787"/>
      <c r="X156" s="1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R156" s="63"/>
      <c r="AX156" s="1"/>
      <c r="BD156" s="143"/>
      <c r="BE156" s="143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3"/>
      <c r="DA156" s="1"/>
      <c r="DP156" s="5"/>
      <c r="DQ156" s="143"/>
      <c r="DR156" s="143"/>
      <c r="DS156" s="143"/>
      <c r="DT156" s="143"/>
      <c r="FW156" s="143"/>
      <c r="JR156" s="143"/>
      <c r="JS156" s="143"/>
      <c r="JT156" s="143"/>
      <c r="JU156" s="143"/>
      <c r="OY156" s="143"/>
      <c r="OZ156" s="143"/>
      <c r="PB156" s="143"/>
      <c r="PP156" s="146"/>
      <c r="PT156" s="143"/>
      <c r="RW156" s="146"/>
      <c r="AHF156" s="142"/>
      <c r="AIU156" s="142"/>
      <c r="AIV156" s="142"/>
      <c r="AIW156" s="142"/>
    </row>
    <row r="157" spans="2:936" hidden="1">
      <c r="B157" s="732"/>
      <c r="C157" s="570" t="s">
        <v>28</v>
      </c>
      <c r="D157" s="477"/>
      <c r="E157" s="497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720"/>
      <c r="T157" s="55"/>
      <c r="U157" s="667"/>
      <c r="V157" s="787"/>
      <c r="X157" s="1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R157" s="63"/>
      <c r="AX157" s="1"/>
      <c r="BD157" s="143"/>
      <c r="BE157" s="143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3"/>
      <c r="DA157" s="1"/>
      <c r="DP157" s="5"/>
      <c r="DQ157" s="143"/>
      <c r="DR157" s="143"/>
      <c r="DS157" s="143"/>
      <c r="DT157" s="143"/>
      <c r="FW157" s="143"/>
      <c r="JR157" s="143"/>
      <c r="JS157" s="143"/>
      <c r="JT157" s="143"/>
      <c r="JU157" s="143"/>
      <c r="OY157" s="143"/>
      <c r="OZ157" s="143"/>
      <c r="PB157" s="143"/>
      <c r="PP157" s="146"/>
      <c r="PT157" s="143"/>
      <c r="RW157" s="146"/>
      <c r="AHF157" s="142"/>
      <c r="AIU157" s="142"/>
      <c r="AIV157" s="142"/>
      <c r="AIW157" s="142"/>
    </row>
    <row r="158" spans="2:936" hidden="1">
      <c r="B158" s="732"/>
      <c r="C158" s="437" t="s">
        <v>42</v>
      </c>
      <c r="D158" s="477"/>
      <c r="E158" s="497" t="s">
        <v>25</v>
      </c>
      <c r="F158" s="441">
        <f>F151/F142*100</f>
        <v>1200</v>
      </c>
      <c r="G158" s="441"/>
      <c r="H158" s="441"/>
      <c r="I158" s="441"/>
      <c r="J158" s="441"/>
      <c r="K158" s="441"/>
      <c r="L158" s="441"/>
      <c r="M158" s="441"/>
      <c r="N158" s="441"/>
      <c r="O158" s="441"/>
      <c r="P158" s="441"/>
      <c r="Q158" s="441"/>
      <c r="R158" s="441"/>
      <c r="S158" s="720"/>
      <c r="T158" s="59">
        <f>T151/T142*100</f>
        <v>1200</v>
      </c>
      <c r="U158" s="667"/>
      <c r="V158" s="787"/>
      <c r="X158" s="1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R158" s="63"/>
      <c r="AX158" s="1"/>
      <c r="BD158" s="143"/>
      <c r="BE158" s="143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3"/>
      <c r="DA158" s="1"/>
      <c r="DP158" s="5"/>
      <c r="DQ158" s="143"/>
      <c r="DR158" s="143"/>
      <c r="DS158" s="143"/>
      <c r="DT158" s="143"/>
      <c r="FW158" s="143"/>
      <c r="JR158" s="143"/>
      <c r="JS158" s="143"/>
      <c r="JT158" s="143"/>
      <c r="JU158" s="143"/>
      <c r="OY158" s="143"/>
      <c r="OZ158" s="143"/>
      <c r="PB158" s="143"/>
      <c r="PP158" s="146"/>
      <c r="PT158" s="143"/>
      <c r="RW158" s="146"/>
      <c r="AHF158" s="142"/>
      <c r="AIU158" s="142"/>
      <c r="AIV158" s="142"/>
      <c r="AIW158" s="142"/>
    </row>
    <row r="159" spans="2:936" hidden="1">
      <c r="B159" s="732"/>
      <c r="C159" s="437" t="s">
        <v>41</v>
      </c>
      <c r="D159" s="477"/>
      <c r="E159" s="497" t="s">
        <v>25</v>
      </c>
      <c r="F159" s="441">
        <f>F152/F143*100</f>
        <v>600</v>
      </c>
      <c r="G159" s="441"/>
      <c r="H159" s="441"/>
      <c r="I159" s="441"/>
      <c r="J159" s="441"/>
      <c r="K159" s="441"/>
      <c r="L159" s="441"/>
      <c r="M159" s="441"/>
      <c r="N159" s="441"/>
      <c r="O159" s="441"/>
      <c r="P159" s="441"/>
      <c r="Q159" s="441"/>
      <c r="R159" s="441"/>
      <c r="S159" s="720"/>
      <c r="T159" s="59">
        <f>T152/T143*100</f>
        <v>600</v>
      </c>
      <c r="U159" s="667"/>
      <c r="V159" s="787"/>
      <c r="X159" s="1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R159" s="63"/>
      <c r="AX159" s="1"/>
      <c r="BD159" s="143"/>
      <c r="BE159" s="143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3"/>
      <c r="DA159" s="1"/>
      <c r="DP159" s="5"/>
      <c r="DQ159" s="143"/>
      <c r="DR159" s="143"/>
      <c r="DS159" s="143"/>
      <c r="DT159" s="143"/>
      <c r="FW159" s="143"/>
      <c r="JR159" s="143"/>
      <c r="JS159" s="143"/>
      <c r="JT159" s="143"/>
      <c r="JU159" s="143"/>
      <c r="OY159" s="143"/>
      <c r="OZ159" s="143"/>
      <c r="PB159" s="143"/>
      <c r="PP159" s="146"/>
      <c r="PT159" s="143"/>
      <c r="RW159" s="146"/>
      <c r="AHF159" s="142"/>
      <c r="AIU159" s="142"/>
      <c r="AIV159" s="142"/>
      <c r="AIW159" s="142"/>
    </row>
    <row r="160" spans="2:936" hidden="1">
      <c r="B160" s="728">
        <v>8</v>
      </c>
      <c r="C160" s="420" t="s">
        <v>40</v>
      </c>
      <c r="D160" s="48"/>
      <c r="E160" s="48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3"/>
      <c r="T160" s="523" t="s">
        <v>130</v>
      </c>
      <c r="U160" s="678" t="s">
        <v>130</v>
      </c>
      <c r="V160" s="777" t="s">
        <v>130</v>
      </c>
      <c r="X160" s="1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R160" s="63"/>
      <c r="AX160" s="1"/>
      <c r="BD160" s="142"/>
      <c r="BE160" s="142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2"/>
      <c r="DA160" s="1"/>
      <c r="DP160" s="5"/>
      <c r="DQ160" s="142"/>
      <c r="DR160" s="142"/>
      <c r="DS160" s="142"/>
      <c r="DT160" s="142"/>
      <c r="FW160" s="142"/>
      <c r="JR160" s="142"/>
      <c r="JS160" s="142"/>
      <c r="JT160" s="142"/>
      <c r="JU160" s="142"/>
      <c r="OY160" s="142"/>
      <c r="OZ160" s="142"/>
      <c r="PB160" s="142"/>
      <c r="PP160" s="482"/>
      <c r="PT160" s="142"/>
      <c r="RW160" s="482"/>
      <c r="AHF160" s="142"/>
      <c r="AIU160" s="142"/>
      <c r="AIV160" s="142"/>
      <c r="AIW160" s="142"/>
    </row>
    <row r="161" spans="2:933" hidden="1">
      <c r="B161" s="732"/>
      <c r="C161" s="580" t="s">
        <v>115</v>
      </c>
      <c r="D161" s="581"/>
      <c r="E161" s="20" t="s">
        <v>14</v>
      </c>
      <c r="F161" s="591">
        <f>'[2]Januari 24'!AL150</f>
        <v>0</v>
      </c>
      <c r="G161" s="591"/>
      <c r="H161" s="591"/>
      <c r="I161" s="591"/>
      <c r="J161" s="591"/>
      <c r="K161" s="591"/>
      <c r="L161" s="591"/>
      <c r="M161" s="591"/>
      <c r="N161" s="591"/>
      <c r="O161" s="591"/>
      <c r="P161" s="591"/>
      <c r="Q161" s="591"/>
      <c r="R161" s="591"/>
      <c r="S161" s="734"/>
      <c r="T161" s="90">
        <f>SUM(T162:T163)</f>
        <v>0</v>
      </c>
      <c r="U161" s="687">
        <f>SUM(U162:U163)</f>
        <v>0</v>
      </c>
      <c r="V161" s="788">
        <f>SUM(V162:V163)</f>
        <v>0</v>
      </c>
      <c r="X161" s="1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R161" s="63"/>
      <c r="AX161" s="1"/>
      <c r="BD161" s="143"/>
      <c r="BE161" s="143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43"/>
      <c r="DA161" s="1"/>
      <c r="DP161" s="5"/>
      <c r="DQ161" s="143"/>
      <c r="DR161" s="143"/>
      <c r="DS161" s="143"/>
      <c r="DT161" s="143"/>
      <c r="FW161" s="143"/>
      <c r="JR161" s="143"/>
      <c r="JS161" s="143"/>
      <c r="JT161" s="143"/>
      <c r="JU161" s="143"/>
      <c r="OY161" s="143"/>
      <c r="OZ161" s="143"/>
      <c r="PB161" s="143"/>
      <c r="PP161" s="146"/>
      <c r="PT161" s="143"/>
      <c r="RW161" s="146"/>
      <c r="AHF161" s="142"/>
      <c r="AIU161" s="142"/>
      <c r="AIV161" s="142"/>
      <c r="AIW161" s="142"/>
    </row>
    <row r="162" spans="2:933" hidden="1">
      <c r="B162" s="732"/>
      <c r="C162" s="570" t="s">
        <v>39</v>
      </c>
      <c r="D162" s="477"/>
      <c r="E162" s="497" t="s">
        <v>14</v>
      </c>
      <c r="F162" s="441">
        <f>SUM(F166:F168)*9.75348</f>
        <v>0</v>
      </c>
      <c r="G162" s="441"/>
      <c r="H162" s="441"/>
      <c r="I162" s="441"/>
      <c r="J162" s="441"/>
      <c r="K162" s="441"/>
      <c r="L162" s="441"/>
      <c r="M162" s="441"/>
      <c r="N162" s="441"/>
      <c r="O162" s="441"/>
      <c r="P162" s="441"/>
      <c r="Q162" s="441"/>
      <c r="R162" s="441"/>
      <c r="S162" s="720"/>
      <c r="T162" s="59">
        <f t="shared" ref="T162:V163" si="18">SUM(F162:R162)</f>
        <v>0</v>
      </c>
      <c r="U162" s="670">
        <f t="shared" si="18"/>
        <v>0</v>
      </c>
      <c r="V162" s="770">
        <f t="shared" si="18"/>
        <v>0</v>
      </c>
      <c r="X162" s="1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R162" s="63"/>
      <c r="AX162" s="1"/>
      <c r="BD162" s="143"/>
      <c r="BE162" s="143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43"/>
      <c r="DA162" s="1"/>
      <c r="DP162" s="5"/>
      <c r="DQ162" s="143"/>
      <c r="DR162" s="143"/>
      <c r="DS162" s="143"/>
      <c r="DT162" s="143"/>
      <c r="FW162" s="143"/>
      <c r="JR162" s="143"/>
      <c r="JS162" s="143"/>
      <c r="JT162" s="143"/>
      <c r="JU162" s="143"/>
      <c r="OY162" s="143"/>
      <c r="OZ162" s="143"/>
      <c r="PB162" s="143"/>
      <c r="PP162" s="146"/>
      <c r="PT162" s="143"/>
      <c r="RW162" s="146"/>
      <c r="AHF162" s="142"/>
      <c r="AIU162" s="142"/>
      <c r="AIV162" s="142"/>
      <c r="AIW162" s="142"/>
    </row>
    <row r="163" spans="2:933" hidden="1">
      <c r="B163" s="732"/>
      <c r="C163" s="570" t="s">
        <v>38</v>
      </c>
      <c r="D163" s="477"/>
      <c r="E163" s="497" t="s">
        <v>14</v>
      </c>
      <c r="F163" s="441">
        <f>F161-F162</f>
        <v>0</v>
      </c>
      <c r="G163" s="441"/>
      <c r="H163" s="441"/>
      <c r="I163" s="441"/>
      <c r="J163" s="441"/>
      <c r="K163" s="441"/>
      <c r="L163" s="441"/>
      <c r="M163" s="441"/>
      <c r="N163" s="440"/>
      <c r="O163" s="440"/>
      <c r="P163" s="440"/>
      <c r="Q163" s="441"/>
      <c r="R163" s="441"/>
      <c r="S163" s="720"/>
      <c r="T163" s="59">
        <f t="shared" si="18"/>
        <v>0</v>
      </c>
      <c r="U163" s="670">
        <f t="shared" si="18"/>
        <v>0</v>
      </c>
      <c r="V163" s="770">
        <f t="shared" si="18"/>
        <v>0</v>
      </c>
      <c r="X163" s="1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R163" s="63"/>
      <c r="AX163" s="1"/>
      <c r="BD163" s="143"/>
      <c r="BE163" s="143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43"/>
      <c r="DA163" s="1"/>
      <c r="DP163" s="5"/>
      <c r="DQ163" s="143"/>
      <c r="DR163" s="143"/>
      <c r="DS163" s="143"/>
      <c r="DT163" s="143"/>
      <c r="FW163" s="143"/>
      <c r="JR163" s="143"/>
      <c r="JS163" s="143"/>
      <c r="JT163" s="143"/>
      <c r="JU163" s="143"/>
      <c r="OY163" s="143"/>
      <c r="OZ163" s="143"/>
      <c r="PB163" s="143"/>
      <c r="PP163" s="146"/>
      <c r="PT163" s="143"/>
      <c r="RW163" s="146"/>
      <c r="AHF163" s="142"/>
      <c r="AIU163" s="142"/>
      <c r="AIV163" s="142"/>
      <c r="AIW163" s="142"/>
    </row>
    <row r="164" spans="2:933" hidden="1">
      <c r="B164" s="732"/>
      <c r="C164" s="570" t="s">
        <v>29</v>
      </c>
      <c r="D164" s="477"/>
      <c r="E164" s="465"/>
      <c r="F164" s="440"/>
      <c r="G164" s="440"/>
      <c r="H164" s="440"/>
      <c r="I164" s="440"/>
      <c r="J164" s="440"/>
      <c r="K164" s="440"/>
      <c r="L164" s="440"/>
      <c r="M164" s="440"/>
      <c r="N164" s="440"/>
      <c r="O164" s="440"/>
      <c r="P164" s="440"/>
      <c r="Q164" s="440"/>
      <c r="R164" s="440"/>
      <c r="S164" s="720"/>
      <c r="T164" s="64" t="s">
        <v>29</v>
      </c>
      <c r="U164" s="689" t="s">
        <v>29</v>
      </c>
      <c r="V164" s="786" t="s">
        <v>29</v>
      </c>
      <c r="X164" s="1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R164" s="63"/>
      <c r="AX164" s="1"/>
      <c r="BD164" s="143"/>
      <c r="BE164" s="143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3"/>
      <c r="DA164" s="1"/>
      <c r="DP164" s="5"/>
      <c r="DQ164" s="143"/>
      <c r="DR164" s="143"/>
      <c r="DS164" s="143"/>
      <c r="DT164" s="143"/>
      <c r="FW164" s="143"/>
      <c r="JR164" s="143"/>
      <c r="JS164" s="143"/>
      <c r="JT164" s="143"/>
      <c r="JU164" s="143"/>
      <c r="OY164" s="143"/>
      <c r="OZ164" s="143"/>
      <c r="PB164" s="143"/>
      <c r="PP164" s="146"/>
      <c r="PT164" s="143"/>
      <c r="RW164" s="146"/>
      <c r="AHF164" s="142"/>
      <c r="AIU164" s="142"/>
      <c r="AIV164" s="142"/>
      <c r="AIW164" s="142"/>
    </row>
    <row r="165" spans="2:933" hidden="1">
      <c r="B165" s="732"/>
      <c r="C165" s="437" t="s">
        <v>116</v>
      </c>
      <c r="D165" s="477"/>
      <c r="E165" s="574" t="s">
        <v>31</v>
      </c>
      <c r="F165" s="440">
        <f>'[2]Januari 24'!AL154</f>
        <v>0</v>
      </c>
      <c r="G165" s="440"/>
      <c r="H165" s="440"/>
      <c r="I165" s="440"/>
      <c r="J165" s="440"/>
      <c r="K165" s="440"/>
      <c r="L165" s="440"/>
      <c r="M165" s="440"/>
      <c r="N165" s="440"/>
      <c r="O165" s="440"/>
      <c r="P165" s="440"/>
      <c r="Q165" s="440"/>
      <c r="R165" s="440"/>
      <c r="S165" s="720"/>
      <c r="T165" s="64"/>
      <c r="U165" s="689">
        <v>11326</v>
      </c>
      <c r="V165" s="786"/>
      <c r="X165" s="1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R165" s="63"/>
      <c r="AX165" s="1"/>
      <c r="BD165" s="143"/>
      <c r="BE165" s="143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3"/>
      <c r="DA165" s="1"/>
      <c r="DP165" s="5"/>
      <c r="DQ165" s="143"/>
      <c r="DR165" s="143"/>
      <c r="DS165" s="143"/>
      <c r="DT165" s="143"/>
      <c r="FW165" s="143"/>
      <c r="JR165" s="143"/>
      <c r="JS165" s="143"/>
      <c r="JT165" s="143"/>
      <c r="JU165" s="143"/>
      <c r="OY165" s="143"/>
      <c r="OZ165" s="143"/>
      <c r="PB165" s="143"/>
      <c r="PP165" s="146"/>
      <c r="PT165" s="143"/>
      <c r="RW165" s="146"/>
      <c r="AHF165" s="142"/>
      <c r="AIU165" s="142"/>
      <c r="AIV165" s="142"/>
      <c r="AIW165" s="142"/>
    </row>
    <row r="166" spans="2:933" hidden="1">
      <c r="B166" s="733"/>
      <c r="C166" s="437" t="s">
        <v>27</v>
      </c>
      <c r="D166" s="438"/>
      <c r="E166" s="574" t="s">
        <v>31</v>
      </c>
      <c r="F166" s="283">
        <f>'[2]Januari 24'!AL155</f>
        <v>0</v>
      </c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722"/>
      <c r="T166" s="92">
        <f>SUM(F166:R166)</f>
        <v>0</v>
      </c>
      <c r="U166" s="690">
        <v>62922</v>
      </c>
      <c r="V166" s="790">
        <f>SUM(H166:T166)</f>
        <v>0</v>
      </c>
      <c r="X166" s="1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R166" s="63"/>
      <c r="AX166" s="16"/>
      <c r="BD166" s="149"/>
      <c r="BE166" s="149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9"/>
      <c r="DA166" s="1"/>
      <c r="DP166" s="518"/>
      <c r="DQ166" s="149"/>
      <c r="DR166" s="149"/>
      <c r="DS166" s="149"/>
      <c r="DT166" s="149"/>
      <c r="FW166" s="149"/>
      <c r="JR166" s="149"/>
      <c r="JS166" s="149"/>
      <c r="JT166" s="149"/>
      <c r="JU166" s="149"/>
      <c r="OY166" s="149"/>
      <c r="OZ166" s="149"/>
      <c r="PB166" s="149"/>
      <c r="PP166" s="575"/>
      <c r="PT166" s="149"/>
      <c r="RW166" s="575"/>
      <c r="AHF166" s="145"/>
      <c r="AIU166" s="145"/>
      <c r="AIV166" s="145"/>
      <c r="AIW166" s="145"/>
    </row>
    <row r="167" spans="2:933" hidden="1">
      <c r="B167" s="733"/>
      <c r="C167" s="437" t="s">
        <v>26</v>
      </c>
      <c r="D167" s="438"/>
      <c r="E167" s="574" t="s">
        <v>31</v>
      </c>
      <c r="F167" s="283">
        <f>'[2]Januari 24'!AL156</f>
        <v>0</v>
      </c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722"/>
      <c r="T167" s="92">
        <f>SUM(F167:R167)</f>
        <v>0</v>
      </c>
      <c r="U167" s="690">
        <v>172089</v>
      </c>
      <c r="V167" s="790">
        <f>SUM(H167:T167)</f>
        <v>0</v>
      </c>
      <c r="X167" s="1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R167" s="63"/>
      <c r="AX167" s="16"/>
      <c r="BD167" s="149"/>
      <c r="BE167" s="149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9"/>
      <c r="DA167" s="1"/>
      <c r="DP167" s="518"/>
      <c r="DQ167" s="149"/>
      <c r="DR167" s="149"/>
      <c r="DS167" s="149"/>
      <c r="DT167" s="149"/>
      <c r="FW167" s="149"/>
      <c r="JR167" s="149"/>
      <c r="JS167" s="149"/>
      <c r="JT167" s="149"/>
      <c r="JU167" s="149"/>
      <c r="OY167" s="149"/>
      <c r="OZ167" s="149"/>
      <c r="PB167" s="149"/>
      <c r="PP167" s="575"/>
      <c r="PT167" s="149"/>
      <c r="RW167" s="575"/>
      <c r="AHF167" s="145"/>
      <c r="AIU167" s="145"/>
      <c r="AIV167" s="145"/>
      <c r="AIW167" s="145"/>
    </row>
    <row r="168" spans="2:933" hidden="1">
      <c r="B168" s="733"/>
      <c r="C168" s="437" t="s">
        <v>37</v>
      </c>
      <c r="D168" s="438"/>
      <c r="E168" s="574" t="s">
        <v>31</v>
      </c>
      <c r="F168" s="283">
        <f>'[2]Januari 24'!AL157</f>
        <v>0</v>
      </c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722"/>
      <c r="T168" s="92">
        <f>SUM(F168:R168)</f>
        <v>0</v>
      </c>
      <c r="U168" s="690">
        <f>SUM(G168:S168)</f>
        <v>0</v>
      </c>
      <c r="V168" s="790">
        <f>SUM(H168:T168)</f>
        <v>0</v>
      </c>
      <c r="X168" s="1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R168" s="63"/>
      <c r="AX168" s="16"/>
      <c r="BD168" s="149"/>
      <c r="BE168" s="149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9"/>
      <c r="DA168" s="1"/>
      <c r="DP168" s="518"/>
      <c r="DQ168" s="149"/>
      <c r="DR168" s="149"/>
      <c r="DS168" s="149"/>
      <c r="DT168" s="149"/>
      <c r="FW168" s="149"/>
      <c r="JR168" s="149"/>
      <c r="JS168" s="149"/>
      <c r="JT168" s="149"/>
      <c r="JU168" s="149"/>
      <c r="OY168" s="149"/>
      <c r="OZ168" s="149"/>
      <c r="PB168" s="149"/>
      <c r="PP168" s="575"/>
      <c r="PT168" s="149"/>
      <c r="RW168" s="575"/>
      <c r="AHF168" s="145"/>
      <c r="AIU168" s="145"/>
      <c r="AIV168" s="145"/>
      <c r="AIW168" s="145"/>
    </row>
    <row r="169" spans="2:933" hidden="1">
      <c r="B169" s="732"/>
      <c r="C169" s="570" t="s">
        <v>28</v>
      </c>
      <c r="D169" s="477"/>
      <c r="E169" s="465"/>
      <c r="F169" s="440"/>
      <c r="G169" s="440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720"/>
      <c r="T169" s="64" t="s">
        <v>28</v>
      </c>
      <c r="U169" s="689" t="s">
        <v>28</v>
      </c>
      <c r="V169" s="786" t="s">
        <v>28</v>
      </c>
      <c r="X169" s="1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R169" s="63"/>
      <c r="AX169" s="1"/>
      <c r="BD169" s="143"/>
      <c r="BE169" s="143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3"/>
      <c r="DA169" s="1"/>
      <c r="DP169" s="5"/>
      <c r="DQ169" s="143"/>
      <c r="DR169" s="143"/>
      <c r="DS169" s="143"/>
      <c r="DT169" s="143"/>
      <c r="FW169" s="143"/>
      <c r="JR169" s="143"/>
      <c r="JS169" s="143"/>
      <c r="JT169" s="143"/>
      <c r="JU169" s="143"/>
      <c r="OY169" s="143"/>
      <c r="OZ169" s="143"/>
      <c r="PB169" s="143"/>
      <c r="PP169" s="146"/>
      <c r="PT169" s="143"/>
      <c r="RW169" s="146"/>
      <c r="AHF169" s="142"/>
      <c r="AIU169" s="142"/>
      <c r="AIV169" s="142"/>
      <c r="AIW169" s="142"/>
    </row>
    <row r="170" spans="2:933" hidden="1">
      <c r="B170" s="732"/>
      <c r="C170" s="437" t="s">
        <v>27</v>
      </c>
      <c r="D170" s="477"/>
      <c r="E170" s="497" t="s">
        <v>28</v>
      </c>
      <c r="F170" s="440">
        <f>F166*24</f>
        <v>0</v>
      </c>
      <c r="G170" s="440"/>
      <c r="H170" s="440"/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720"/>
      <c r="T170" s="55">
        <f>T166*24</f>
        <v>0</v>
      </c>
      <c r="U170" s="667">
        <f>U166*24</f>
        <v>1510128</v>
      </c>
      <c r="V170" s="787">
        <f>V166*24</f>
        <v>0</v>
      </c>
      <c r="X170" s="1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R170" s="63"/>
      <c r="AX170" s="1"/>
      <c r="BD170" s="143"/>
      <c r="BE170" s="143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3"/>
      <c r="DA170" s="1"/>
      <c r="DP170" s="5"/>
      <c r="DQ170" s="143"/>
      <c r="DR170" s="143"/>
      <c r="DS170" s="143"/>
      <c r="DT170" s="143"/>
      <c r="FW170" s="143"/>
      <c r="JR170" s="143"/>
      <c r="JS170" s="143"/>
      <c r="JT170" s="143"/>
      <c r="JU170" s="143"/>
      <c r="OY170" s="143"/>
      <c r="OZ170" s="143"/>
      <c r="PB170" s="143"/>
      <c r="PP170" s="146"/>
      <c r="PT170" s="143"/>
      <c r="RW170" s="146"/>
      <c r="AHF170" s="142"/>
      <c r="AIU170" s="142"/>
      <c r="AIV170" s="142"/>
      <c r="AIW170" s="142"/>
    </row>
    <row r="171" spans="2:933" hidden="1">
      <c r="B171" s="732"/>
      <c r="C171" s="437" t="s">
        <v>26</v>
      </c>
      <c r="D171" s="477"/>
      <c r="E171" s="497" t="s">
        <v>28</v>
      </c>
      <c r="F171" s="440">
        <f>F167*12</f>
        <v>0</v>
      </c>
      <c r="G171" s="440"/>
      <c r="H171" s="440"/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720"/>
      <c r="T171" s="55">
        <f>T167*12</f>
        <v>0</v>
      </c>
      <c r="U171" s="667">
        <f>U167*12</f>
        <v>2065068</v>
      </c>
      <c r="V171" s="787">
        <f>V167*12</f>
        <v>0</v>
      </c>
      <c r="X171" s="1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R171" s="63"/>
      <c r="AX171" s="1"/>
      <c r="BD171" s="143"/>
      <c r="BE171" s="143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3"/>
      <c r="DA171" s="1"/>
      <c r="DP171" s="5"/>
      <c r="DQ171" s="143"/>
      <c r="DR171" s="143"/>
      <c r="DS171" s="143"/>
      <c r="DT171" s="143"/>
      <c r="FW171" s="143"/>
      <c r="JR171" s="143"/>
      <c r="JS171" s="143"/>
      <c r="JT171" s="143"/>
      <c r="JU171" s="143"/>
      <c r="OY171" s="143"/>
      <c r="OZ171" s="143"/>
      <c r="PB171" s="143"/>
      <c r="PP171" s="146"/>
      <c r="PT171" s="143"/>
      <c r="RW171" s="146"/>
      <c r="AHF171" s="142"/>
      <c r="AIU171" s="142"/>
      <c r="AIV171" s="142"/>
      <c r="AIW171" s="142"/>
    </row>
    <row r="172" spans="2:933" hidden="1">
      <c r="B172" s="732"/>
      <c r="C172" s="437" t="s">
        <v>37</v>
      </c>
      <c r="D172" s="477"/>
      <c r="E172" s="497" t="s">
        <v>28</v>
      </c>
      <c r="F172" s="440">
        <f>F168*6</f>
        <v>0</v>
      </c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720"/>
      <c r="T172" s="55">
        <f>T168*6</f>
        <v>0</v>
      </c>
      <c r="U172" s="667">
        <f>U168*6</f>
        <v>0</v>
      </c>
      <c r="V172" s="787">
        <f>V168*6</f>
        <v>0</v>
      </c>
      <c r="X172" s="1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R172" s="63"/>
      <c r="AX172" s="1"/>
      <c r="BD172" s="143"/>
      <c r="BE172" s="143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3"/>
      <c r="DA172" s="1"/>
      <c r="DP172" s="5"/>
      <c r="DQ172" s="143"/>
      <c r="DR172" s="143"/>
      <c r="DS172" s="143"/>
      <c r="DT172" s="143"/>
      <c r="FW172" s="143"/>
      <c r="JR172" s="143"/>
      <c r="JS172" s="143"/>
      <c r="JT172" s="143"/>
      <c r="JU172" s="143"/>
      <c r="OY172" s="143"/>
      <c r="OZ172" s="143"/>
      <c r="PB172" s="143"/>
      <c r="PP172" s="146"/>
      <c r="PT172" s="143"/>
      <c r="RW172" s="146"/>
      <c r="AHF172" s="142"/>
      <c r="AIU172" s="142"/>
      <c r="AIV172" s="142"/>
      <c r="AIW172" s="142"/>
    </row>
    <row r="173" spans="2:933" hidden="1">
      <c r="B173" s="732"/>
      <c r="C173" s="570" t="s">
        <v>36</v>
      </c>
      <c r="D173" s="477"/>
      <c r="E173" s="497" t="s">
        <v>35</v>
      </c>
      <c r="F173" s="440">
        <f>F161*45/1700</f>
        <v>0</v>
      </c>
      <c r="G173" s="440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720"/>
      <c r="T173" s="55">
        <f t="shared" ref="T173:V174" si="19">SUM(F173:R173)</f>
        <v>0</v>
      </c>
      <c r="U173" s="667">
        <f t="shared" si="19"/>
        <v>0</v>
      </c>
      <c r="V173" s="787">
        <f t="shared" si="19"/>
        <v>0</v>
      </c>
      <c r="X173" s="1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R173" s="63"/>
      <c r="AX173" s="1"/>
      <c r="BD173" s="143"/>
      <c r="BE173" s="143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3"/>
      <c r="DA173" s="1"/>
      <c r="DP173" s="5"/>
      <c r="DQ173" s="143"/>
      <c r="DR173" s="143"/>
      <c r="DS173" s="143"/>
      <c r="DT173" s="143"/>
      <c r="FW173" s="143"/>
      <c r="JR173" s="143"/>
      <c r="JS173" s="143"/>
      <c r="JT173" s="143"/>
      <c r="JU173" s="143"/>
      <c r="OY173" s="143"/>
      <c r="OZ173" s="143"/>
      <c r="PB173" s="143"/>
      <c r="PP173" s="146"/>
      <c r="PT173" s="143"/>
      <c r="RW173" s="146"/>
      <c r="AHF173" s="142"/>
      <c r="AIU173" s="142"/>
      <c r="AIV173" s="142"/>
      <c r="AIW173" s="142"/>
    </row>
    <row r="174" spans="2:933" hidden="1">
      <c r="B174" s="732"/>
      <c r="C174" s="570" t="s">
        <v>34</v>
      </c>
      <c r="D174" s="477"/>
      <c r="E174" s="497" t="s">
        <v>33</v>
      </c>
      <c r="F174" s="440">
        <f>SUM(F166:F168)/500</f>
        <v>0</v>
      </c>
      <c r="G174" s="440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720"/>
      <c r="T174" s="55">
        <f t="shared" si="19"/>
        <v>0</v>
      </c>
      <c r="U174" s="667">
        <f t="shared" si="19"/>
        <v>0</v>
      </c>
      <c r="V174" s="787">
        <f t="shared" si="19"/>
        <v>0</v>
      </c>
      <c r="X174" s="1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R174" s="63"/>
      <c r="AX174" s="1"/>
      <c r="BD174" s="143"/>
      <c r="BE174" s="143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3"/>
      <c r="DA174" s="1"/>
      <c r="DP174" s="5"/>
      <c r="DQ174" s="143"/>
      <c r="DR174" s="143"/>
      <c r="DS174" s="143"/>
      <c r="DT174" s="143"/>
      <c r="FW174" s="143"/>
      <c r="JR174" s="143"/>
      <c r="JS174" s="143"/>
      <c r="JT174" s="143"/>
      <c r="JU174" s="143"/>
      <c r="OY174" s="143"/>
      <c r="OZ174" s="143"/>
      <c r="PB174" s="143"/>
      <c r="PP174" s="146"/>
      <c r="PT174" s="143"/>
      <c r="RW174" s="146"/>
      <c r="AHF174" s="142"/>
      <c r="AIU174" s="142"/>
      <c r="AIV174" s="142"/>
      <c r="AIW174" s="142"/>
    </row>
    <row r="175" spans="2:933" hidden="1">
      <c r="B175" s="729"/>
      <c r="C175" s="420" t="s">
        <v>32</v>
      </c>
      <c r="D175" s="48"/>
      <c r="E175" s="48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3"/>
      <c r="T175" s="523" t="s">
        <v>131</v>
      </c>
      <c r="U175" s="678" t="s">
        <v>131</v>
      </c>
      <c r="V175" s="777" t="s">
        <v>131</v>
      </c>
      <c r="X175" s="1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R175" s="63"/>
      <c r="AX175" s="1"/>
      <c r="BD175" s="142"/>
      <c r="BE175" s="142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2"/>
      <c r="DA175" s="1"/>
      <c r="DP175" s="5"/>
      <c r="DQ175" s="142"/>
      <c r="DR175" s="142"/>
      <c r="DS175" s="142"/>
      <c r="DT175" s="142"/>
      <c r="FW175" s="142"/>
      <c r="JR175" s="142"/>
      <c r="JS175" s="142"/>
      <c r="JT175" s="142"/>
      <c r="JU175" s="142"/>
      <c r="OY175" s="142"/>
      <c r="OZ175" s="142"/>
      <c r="PB175" s="142"/>
      <c r="PP175" s="482"/>
      <c r="PT175" s="142"/>
      <c r="RW175" s="482"/>
      <c r="AHF175" s="142"/>
      <c r="AIU175" s="142"/>
      <c r="AIV175" s="142"/>
      <c r="AIW175" s="142"/>
    </row>
    <row r="176" spans="2:933" hidden="1">
      <c r="B176" s="732"/>
      <c r="C176" s="570" t="s">
        <v>29</v>
      </c>
      <c r="D176" s="477"/>
      <c r="E176" s="465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720"/>
      <c r="T176" s="64" t="s">
        <v>29</v>
      </c>
      <c r="U176" s="689" t="s">
        <v>29</v>
      </c>
      <c r="V176" s="786" t="s">
        <v>29</v>
      </c>
      <c r="X176" s="1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R176" s="63"/>
      <c r="AX176" s="1"/>
      <c r="BD176" s="143"/>
      <c r="BE176" s="143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3"/>
      <c r="DA176" s="1"/>
      <c r="DP176" s="5"/>
      <c r="DQ176" s="143"/>
      <c r="DR176" s="143"/>
      <c r="DS176" s="143"/>
      <c r="DT176" s="143"/>
      <c r="FW176" s="143"/>
      <c r="JR176" s="143"/>
      <c r="JS176" s="143"/>
      <c r="JT176" s="143"/>
      <c r="JU176" s="143"/>
      <c r="OY176" s="143"/>
      <c r="OZ176" s="143"/>
      <c r="PB176" s="143"/>
      <c r="PP176" s="146"/>
      <c r="PT176" s="143"/>
      <c r="RW176" s="146"/>
      <c r="AHF176" s="142"/>
      <c r="AIU176" s="142"/>
      <c r="AIV176" s="142"/>
      <c r="AIW176" s="142"/>
    </row>
    <row r="177" spans="2:933" hidden="1">
      <c r="B177" s="732"/>
      <c r="C177" s="437" t="s">
        <v>116</v>
      </c>
      <c r="D177" s="477"/>
      <c r="E177" s="497" t="s">
        <v>31</v>
      </c>
      <c r="F177" s="440"/>
      <c r="G177" s="440"/>
      <c r="H177" s="440"/>
      <c r="I177" s="440"/>
      <c r="J177" s="440"/>
      <c r="K177" s="440"/>
      <c r="L177" s="440"/>
      <c r="M177" s="440"/>
      <c r="N177" s="440"/>
      <c r="O177" s="440"/>
      <c r="P177" s="440"/>
      <c r="Q177" s="440"/>
      <c r="R177" s="440"/>
      <c r="S177" s="720"/>
      <c r="T177" s="64"/>
      <c r="U177" s="689"/>
      <c r="V177" s="786"/>
      <c r="X177" s="1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R177" s="63"/>
      <c r="AX177" s="1"/>
      <c r="BD177" s="143"/>
      <c r="BE177" s="143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3"/>
      <c r="DA177" s="1"/>
      <c r="DP177" s="5"/>
      <c r="DQ177" s="143"/>
      <c r="DR177" s="143"/>
      <c r="DS177" s="143"/>
      <c r="DT177" s="143"/>
      <c r="FW177" s="143"/>
      <c r="JR177" s="143"/>
      <c r="JS177" s="143"/>
      <c r="JT177" s="143"/>
      <c r="JU177" s="143"/>
      <c r="OY177" s="143"/>
      <c r="OZ177" s="143"/>
      <c r="PB177" s="143"/>
      <c r="PP177" s="146"/>
      <c r="PT177" s="143"/>
      <c r="RW177" s="146"/>
      <c r="AHF177" s="142"/>
      <c r="AIU177" s="142"/>
      <c r="AIV177" s="142"/>
      <c r="AIW177" s="142"/>
    </row>
    <row r="178" spans="2:933" hidden="1">
      <c r="B178" s="732"/>
      <c r="C178" s="437" t="s">
        <v>27</v>
      </c>
      <c r="D178" s="477"/>
      <c r="E178" s="497" t="s">
        <v>31</v>
      </c>
      <c r="F178" s="440">
        <v>0</v>
      </c>
      <c r="G178" s="440"/>
      <c r="H178" s="440"/>
      <c r="I178" s="440"/>
      <c r="J178" s="440"/>
      <c r="K178" s="440"/>
      <c r="L178" s="440"/>
      <c r="M178" s="440"/>
      <c r="N178" s="440"/>
      <c r="O178" s="440"/>
      <c r="P178" s="440"/>
      <c r="Q178" s="440"/>
      <c r="R178" s="440"/>
      <c r="S178" s="720"/>
      <c r="T178" s="55">
        <f t="shared" ref="T178:V179" si="20">SUM(F178:R178)</f>
        <v>0</v>
      </c>
      <c r="U178" s="667">
        <f t="shared" si="20"/>
        <v>0</v>
      </c>
      <c r="V178" s="787">
        <f t="shared" si="20"/>
        <v>0</v>
      </c>
      <c r="X178" s="1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R178" s="63"/>
      <c r="AX178" s="1"/>
      <c r="BD178" s="143"/>
      <c r="BE178" s="143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3"/>
      <c r="DA178" s="1"/>
      <c r="DP178" s="5"/>
      <c r="DQ178" s="143"/>
      <c r="DR178" s="143"/>
      <c r="DS178" s="143"/>
      <c r="DT178" s="143"/>
      <c r="FW178" s="143"/>
      <c r="JR178" s="143"/>
      <c r="JS178" s="143"/>
      <c r="JT178" s="143"/>
      <c r="JU178" s="143"/>
      <c r="OY178" s="143"/>
      <c r="OZ178" s="143"/>
      <c r="PB178" s="143"/>
      <c r="PP178" s="146"/>
      <c r="PT178" s="143"/>
      <c r="RW178" s="146"/>
      <c r="AHF178" s="142"/>
      <c r="AIU178" s="142"/>
      <c r="AIV178" s="142"/>
      <c r="AIW178" s="142"/>
    </row>
    <row r="179" spans="2:933" hidden="1">
      <c r="B179" s="732"/>
      <c r="C179" s="437" t="s">
        <v>26</v>
      </c>
      <c r="D179" s="477"/>
      <c r="E179" s="497" t="s">
        <v>31</v>
      </c>
      <c r="F179" s="440">
        <v>0</v>
      </c>
      <c r="G179" s="440"/>
      <c r="H179" s="440"/>
      <c r="I179" s="440"/>
      <c r="J179" s="440"/>
      <c r="K179" s="440"/>
      <c r="L179" s="440"/>
      <c r="M179" s="440"/>
      <c r="N179" s="440"/>
      <c r="O179" s="440"/>
      <c r="P179" s="440"/>
      <c r="Q179" s="440"/>
      <c r="R179" s="440"/>
      <c r="S179" s="720"/>
      <c r="T179" s="55">
        <f t="shared" si="20"/>
        <v>0</v>
      </c>
      <c r="U179" s="667">
        <f t="shared" si="20"/>
        <v>0</v>
      </c>
      <c r="V179" s="787">
        <f t="shared" si="20"/>
        <v>0</v>
      </c>
      <c r="X179" s="1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R179" s="63"/>
      <c r="AX179" s="1"/>
      <c r="BD179" s="143"/>
      <c r="BE179" s="143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3"/>
      <c r="DA179" s="1"/>
      <c r="DP179" s="5"/>
      <c r="DQ179" s="143"/>
      <c r="DR179" s="143"/>
      <c r="DS179" s="143"/>
      <c r="DT179" s="143"/>
      <c r="FW179" s="143"/>
      <c r="JR179" s="143"/>
      <c r="JS179" s="143"/>
      <c r="JT179" s="143"/>
      <c r="JU179" s="143"/>
      <c r="OY179" s="143"/>
      <c r="OZ179" s="143"/>
      <c r="PB179" s="143"/>
      <c r="PP179" s="146"/>
      <c r="PT179" s="143"/>
      <c r="RW179" s="146"/>
      <c r="AHF179" s="142"/>
      <c r="AIU179" s="142"/>
      <c r="AIV179" s="142"/>
      <c r="AIW179" s="142"/>
    </row>
    <row r="180" spans="2:933" hidden="1">
      <c r="B180" s="732"/>
      <c r="C180" s="437" t="s">
        <v>37</v>
      </c>
      <c r="D180" s="477"/>
      <c r="E180" s="574" t="s">
        <v>31</v>
      </c>
      <c r="F180" s="440"/>
      <c r="G180" s="440"/>
      <c r="H180" s="440"/>
      <c r="I180" s="440"/>
      <c r="J180" s="440"/>
      <c r="K180" s="440"/>
      <c r="L180" s="440"/>
      <c r="M180" s="440"/>
      <c r="N180" s="440"/>
      <c r="O180" s="440"/>
      <c r="P180" s="440"/>
      <c r="Q180" s="440"/>
      <c r="R180" s="440"/>
      <c r="S180" s="720"/>
      <c r="T180" s="55"/>
      <c r="U180" s="667"/>
      <c r="V180" s="787"/>
      <c r="X180" s="1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R180" s="63"/>
      <c r="AX180" s="1"/>
      <c r="BD180" s="143"/>
      <c r="BE180" s="143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3"/>
      <c r="DA180" s="1"/>
      <c r="DP180" s="5"/>
      <c r="DQ180" s="143"/>
      <c r="DR180" s="143"/>
      <c r="DS180" s="143"/>
      <c r="DT180" s="143"/>
      <c r="FW180" s="143"/>
      <c r="JR180" s="143"/>
      <c r="JS180" s="143"/>
      <c r="JT180" s="143"/>
      <c r="JU180" s="143"/>
      <c r="OY180" s="143"/>
      <c r="OZ180" s="143"/>
      <c r="PB180" s="143"/>
      <c r="PP180" s="146"/>
      <c r="PT180" s="143"/>
      <c r="RW180" s="146"/>
      <c r="AHF180" s="142"/>
      <c r="AIU180" s="142"/>
      <c r="AIV180" s="142"/>
      <c r="AIW180" s="142"/>
    </row>
    <row r="181" spans="2:933" hidden="1">
      <c r="B181" s="732"/>
      <c r="C181" s="570" t="s">
        <v>28</v>
      </c>
      <c r="D181" s="477"/>
      <c r="E181" s="465"/>
      <c r="F181" s="440"/>
      <c r="G181" s="440"/>
      <c r="H181" s="440"/>
      <c r="I181" s="440"/>
      <c r="J181" s="440"/>
      <c r="K181" s="440"/>
      <c r="L181" s="440"/>
      <c r="M181" s="440"/>
      <c r="N181" s="440"/>
      <c r="O181" s="440"/>
      <c r="P181" s="440"/>
      <c r="Q181" s="440"/>
      <c r="R181" s="440"/>
      <c r="S181" s="720"/>
      <c r="T181" s="64" t="s">
        <v>28</v>
      </c>
      <c r="U181" s="689" t="s">
        <v>28</v>
      </c>
      <c r="V181" s="786" t="s">
        <v>28</v>
      </c>
      <c r="X181" s="1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R181" s="63"/>
      <c r="AX181" s="1"/>
      <c r="BD181" s="143"/>
      <c r="BE181" s="143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3"/>
      <c r="DA181" s="1"/>
      <c r="DP181" s="5"/>
      <c r="DQ181" s="143"/>
      <c r="DR181" s="143"/>
      <c r="DS181" s="143"/>
      <c r="DT181" s="143"/>
      <c r="FW181" s="143"/>
      <c r="JR181" s="143"/>
      <c r="JS181" s="143"/>
      <c r="JT181" s="143"/>
      <c r="JU181" s="143"/>
      <c r="OY181" s="143"/>
      <c r="OZ181" s="143"/>
      <c r="PB181" s="143"/>
      <c r="PP181" s="146"/>
      <c r="PT181" s="143"/>
      <c r="RW181" s="146"/>
      <c r="AHF181" s="142"/>
      <c r="AIU181" s="142"/>
      <c r="AIV181" s="142"/>
      <c r="AIW181" s="142"/>
    </row>
    <row r="182" spans="2:933" hidden="1">
      <c r="B182" s="732"/>
      <c r="C182" s="437" t="s">
        <v>27</v>
      </c>
      <c r="D182" s="477"/>
      <c r="E182" s="497" t="s">
        <v>28</v>
      </c>
      <c r="F182" s="440">
        <v>0</v>
      </c>
      <c r="G182" s="440"/>
      <c r="H182" s="440"/>
      <c r="I182" s="440"/>
      <c r="J182" s="440"/>
      <c r="K182" s="440"/>
      <c r="L182" s="440"/>
      <c r="M182" s="440"/>
      <c r="N182" s="440"/>
      <c r="O182" s="440"/>
      <c r="P182" s="440"/>
      <c r="Q182" s="440"/>
      <c r="R182" s="440"/>
      <c r="S182" s="720"/>
      <c r="T182" s="55">
        <f t="shared" ref="T182:V184" si="21">SUM(F182:R182)</f>
        <v>0</v>
      </c>
      <c r="U182" s="667">
        <f t="shared" si="21"/>
        <v>0</v>
      </c>
      <c r="V182" s="787">
        <f t="shared" si="21"/>
        <v>0</v>
      </c>
      <c r="X182" s="1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R182" s="63"/>
      <c r="AX182" s="1"/>
      <c r="BD182" s="143"/>
      <c r="BE182" s="143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3"/>
      <c r="DA182" s="1"/>
      <c r="DP182" s="5"/>
      <c r="DQ182" s="143"/>
      <c r="DR182" s="143"/>
      <c r="DS182" s="143"/>
      <c r="DT182" s="143"/>
      <c r="FW182" s="143"/>
      <c r="JR182" s="143"/>
      <c r="JS182" s="143"/>
      <c r="JT182" s="143"/>
      <c r="JU182" s="143"/>
      <c r="OY182" s="143"/>
      <c r="OZ182" s="143"/>
      <c r="PB182" s="143"/>
      <c r="PP182" s="146"/>
      <c r="PT182" s="143"/>
      <c r="RW182" s="146"/>
      <c r="AHF182" s="142"/>
      <c r="AIU182" s="142"/>
      <c r="AIV182" s="142"/>
      <c r="AIW182" s="142"/>
    </row>
    <row r="183" spans="2:933" hidden="1">
      <c r="B183" s="732"/>
      <c r="C183" s="437" t="s">
        <v>26</v>
      </c>
      <c r="D183" s="477"/>
      <c r="E183" s="497" t="s">
        <v>28</v>
      </c>
      <c r="F183" s="440">
        <v>0</v>
      </c>
      <c r="G183" s="440"/>
      <c r="H183" s="440"/>
      <c r="I183" s="440"/>
      <c r="J183" s="440"/>
      <c r="K183" s="440"/>
      <c r="L183" s="440"/>
      <c r="M183" s="440"/>
      <c r="N183" s="440"/>
      <c r="O183" s="440"/>
      <c r="P183" s="440"/>
      <c r="Q183" s="440"/>
      <c r="R183" s="440"/>
      <c r="S183" s="720"/>
      <c r="T183" s="55">
        <f t="shared" si="21"/>
        <v>0</v>
      </c>
      <c r="U183" s="667">
        <f t="shared" si="21"/>
        <v>0</v>
      </c>
      <c r="V183" s="787">
        <f t="shared" si="21"/>
        <v>0</v>
      </c>
      <c r="X183" s="1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R183" s="63"/>
      <c r="AX183" s="1"/>
      <c r="BD183" s="143"/>
      <c r="BE183" s="143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3"/>
      <c r="DA183" s="1"/>
      <c r="DP183" s="5"/>
      <c r="DQ183" s="143"/>
      <c r="DR183" s="143"/>
      <c r="DS183" s="143"/>
      <c r="DT183" s="143"/>
      <c r="FW183" s="143"/>
      <c r="JR183" s="143"/>
      <c r="JS183" s="143"/>
      <c r="JT183" s="143"/>
      <c r="JU183" s="143"/>
      <c r="OY183" s="143"/>
      <c r="OZ183" s="143"/>
      <c r="PB183" s="143"/>
      <c r="PP183" s="146"/>
      <c r="PT183" s="143"/>
      <c r="RW183" s="146"/>
      <c r="AHF183" s="142"/>
      <c r="AIU183" s="142"/>
      <c r="AIV183" s="142"/>
      <c r="AIW183" s="142"/>
    </row>
    <row r="184" spans="2:933" hidden="1">
      <c r="B184" s="732"/>
      <c r="C184" s="437" t="s">
        <v>37</v>
      </c>
      <c r="D184" s="477"/>
      <c r="E184" s="497" t="s">
        <v>28</v>
      </c>
      <c r="F184" s="440"/>
      <c r="G184" s="440"/>
      <c r="H184" s="440"/>
      <c r="I184" s="440"/>
      <c r="J184" s="440"/>
      <c r="K184" s="440"/>
      <c r="L184" s="440"/>
      <c r="M184" s="440"/>
      <c r="N184" s="440"/>
      <c r="O184" s="440"/>
      <c r="P184" s="440"/>
      <c r="Q184" s="440"/>
      <c r="R184" s="440"/>
      <c r="S184" s="720"/>
      <c r="T184" s="55">
        <f t="shared" si="21"/>
        <v>0</v>
      </c>
      <c r="U184" s="667">
        <f t="shared" si="21"/>
        <v>0</v>
      </c>
      <c r="V184" s="787">
        <f t="shared" si="21"/>
        <v>0</v>
      </c>
      <c r="X184" s="1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R184" s="63"/>
      <c r="AX184" s="1"/>
      <c r="BD184" s="143"/>
      <c r="BE184" s="143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3"/>
      <c r="DA184" s="1"/>
      <c r="DP184" s="5"/>
      <c r="DQ184" s="143"/>
      <c r="DR184" s="143"/>
      <c r="DS184" s="143"/>
      <c r="DT184" s="143"/>
      <c r="FW184" s="143"/>
      <c r="JR184" s="143"/>
      <c r="JS184" s="143"/>
      <c r="JT184" s="143"/>
      <c r="JU184" s="143"/>
      <c r="OY184" s="143"/>
      <c r="OZ184" s="143"/>
      <c r="PB184" s="143"/>
      <c r="PP184" s="146"/>
      <c r="PT184" s="143"/>
      <c r="RW184" s="146"/>
      <c r="AHF184" s="142"/>
      <c r="AIU184" s="142"/>
      <c r="AIV184" s="142"/>
      <c r="AIW184" s="142"/>
    </row>
    <row r="185" spans="2:933" hidden="1">
      <c r="B185" s="729"/>
      <c r="C185" s="420" t="s">
        <v>30</v>
      </c>
      <c r="D185" s="48"/>
      <c r="E185" s="48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3"/>
      <c r="T185" s="523" t="s">
        <v>131</v>
      </c>
      <c r="U185" s="678" t="s">
        <v>131</v>
      </c>
      <c r="V185" s="777" t="s">
        <v>131</v>
      </c>
      <c r="X185" s="1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R185" s="63"/>
      <c r="AX185" s="1"/>
      <c r="BD185" s="142"/>
      <c r="BE185" s="142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2"/>
      <c r="DA185" s="1"/>
      <c r="DP185" s="5"/>
      <c r="DQ185" s="142"/>
      <c r="DR185" s="142"/>
      <c r="DS185" s="142"/>
      <c r="DT185" s="142"/>
      <c r="FW185" s="142"/>
      <c r="JR185" s="142"/>
      <c r="JS185" s="142"/>
      <c r="JT185" s="142"/>
      <c r="JU185" s="142"/>
      <c r="OY185" s="142"/>
      <c r="OZ185" s="142"/>
      <c r="PB185" s="142"/>
      <c r="PP185" s="482"/>
      <c r="PT185" s="142"/>
      <c r="RW185" s="482"/>
      <c r="AHF185" s="142"/>
      <c r="AIU185" s="142"/>
      <c r="AIV185" s="142"/>
      <c r="AIW185" s="142"/>
    </row>
    <row r="186" spans="2:933" hidden="1">
      <c r="B186" s="732"/>
      <c r="C186" s="570" t="s">
        <v>29</v>
      </c>
      <c r="D186" s="477"/>
      <c r="E186" s="465"/>
      <c r="F186" s="440"/>
      <c r="G186" s="440"/>
      <c r="H186" s="440"/>
      <c r="I186" s="440"/>
      <c r="J186" s="440"/>
      <c r="K186" s="440"/>
      <c r="L186" s="440"/>
      <c r="M186" s="440"/>
      <c r="N186" s="440"/>
      <c r="O186" s="440"/>
      <c r="P186" s="440"/>
      <c r="Q186" s="440"/>
      <c r="R186" s="440"/>
      <c r="S186" s="720"/>
      <c r="T186" s="64" t="s">
        <v>29</v>
      </c>
      <c r="U186" s="689" t="s">
        <v>29</v>
      </c>
      <c r="V186" s="786" t="s">
        <v>29</v>
      </c>
      <c r="X186" s="1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R186" s="63"/>
      <c r="AX186" s="1"/>
      <c r="BD186" s="143"/>
      <c r="BE186" s="143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3"/>
      <c r="DA186" s="1"/>
      <c r="DP186" s="5"/>
      <c r="DQ186" s="143"/>
      <c r="DR186" s="143"/>
      <c r="DS186" s="143"/>
      <c r="DT186" s="143"/>
      <c r="FW186" s="143"/>
      <c r="JR186" s="143"/>
      <c r="JS186" s="143"/>
      <c r="JT186" s="143"/>
      <c r="JU186" s="143"/>
      <c r="OY186" s="143"/>
      <c r="OZ186" s="143"/>
      <c r="PB186" s="143"/>
      <c r="PP186" s="146"/>
      <c r="PT186" s="143"/>
      <c r="RW186" s="146"/>
      <c r="AHF186" s="142"/>
      <c r="AIU186" s="142"/>
      <c r="AIV186" s="142"/>
      <c r="AIW186" s="142"/>
    </row>
    <row r="187" spans="2:933" hidden="1">
      <c r="B187" s="732"/>
      <c r="C187" s="437" t="s">
        <v>27</v>
      </c>
      <c r="D187" s="464">
        <v>0.3</v>
      </c>
      <c r="E187" s="497" t="s">
        <v>25</v>
      </c>
      <c r="F187" s="441" t="e">
        <f>F178/F166*100</f>
        <v>#DIV/0!</v>
      </c>
      <c r="G187" s="441"/>
      <c r="H187" s="441"/>
      <c r="I187" s="441"/>
      <c r="J187" s="441"/>
      <c r="K187" s="441"/>
      <c r="L187" s="441"/>
      <c r="M187" s="441"/>
      <c r="N187" s="441"/>
      <c r="O187" s="441"/>
      <c r="P187" s="441"/>
      <c r="Q187" s="441"/>
      <c r="R187" s="441"/>
      <c r="S187" s="720"/>
      <c r="T187" s="59" t="e">
        <f>T178/T166*100</f>
        <v>#DIV/0!</v>
      </c>
      <c r="U187" s="670">
        <f>U178/U166*100</f>
        <v>0</v>
      </c>
      <c r="V187" s="770" t="e">
        <f>V178/V166*100</f>
        <v>#DIV/0!</v>
      </c>
      <c r="X187" s="1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R187" s="63"/>
      <c r="AX187" s="1"/>
      <c r="BD187" s="143"/>
      <c r="BE187" s="143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3"/>
      <c r="DA187" s="1"/>
      <c r="DP187" s="5"/>
      <c r="DQ187" s="143"/>
      <c r="DR187" s="143"/>
      <c r="DS187" s="143"/>
      <c r="DT187" s="143"/>
      <c r="FW187" s="143"/>
      <c r="JR187" s="143"/>
      <c r="JS187" s="143"/>
      <c r="JT187" s="143"/>
      <c r="JU187" s="143"/>
      <c r="OY187" s="143"/>
      <c r="OZ187" s="143"/>
      <c r="PB187" s="143"/>
      <c r="PP187" s="146"/>
      <c r="PT187" s="143"/>
      <c r="RW187" s="146"/>
      <c r="AHF187" s="142"/>
      <c r="AIU187" s="142"/>
      <c r="AIV187" s="142"/>
      <c r="AIW187" s="142"/>
    </row>
    <row r="188" spans="2:933" hidden="1">
      <c r="B188" s="732"/>
      <c r="C188" s="437" t="s">
        <v>26</v>
      </c>
      <c r="D188" s="464">
        <v>0.3</v>
      </c>
      <c r="E188" s="497" t="s">
        <v>25</v>
      </c>
      <c r="F188" s="441" t="e">
        <f>F179/F167*100</f>
        <v>#DIV/0!</v>
      </c>
      <c r="G188" s="441"/>
      <c r="H188" s="441"/>
      <c r="I188" s="441"/>
      <c r="J188" s="441"/>
      <c r="K188" s="441"/>
      <c r="L188" s="441"/>
      <c r="M188" s="441"/>
      <c r="N188" s="441"/>
      <c r="O188" s="441"/>
      <c r="P188" s="441"/>
      <c r="Q188" s="441"/>
      <c r="R188" s="441"/>
      <c r="S188" s="720"/>
      <c r="T188" s="59" t="e">
        <f>T179/T168*100</f>
        <v>#DIV/0!</v>
      </c>
      <c r="U188" s="670" t="e">
        <f>U179/U168*100</f>
        <v>#DIV/0!</v>
      </c>
      <c r="V188" s="770" t="e">
        <f>V179/V168*100</f>
        <v>#DIV/0!</v>
      </c>
      <c r="X188" s="1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R188" s="63"/>
      <c r="AX188" s="1"/>
      <c r="BD188" s="143"/>
      <c r="BE188" s="143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3"/>
      <c r="DA188" s="1"/>
      <c r="DP188" s="5"/>
      <c r="DQ188" s="143"/>
      <c r="DR188" s="143"/>
      <c r="DS188" s="143"/>
      <c r="DT188" s="143"/>
      <c r="FW188" s="143"/>
      <c r="JR188" s="143"/>
      <c r="JS188" s="143"/>
      <c r="JT188" s="143"/>
      <c r="JU188" s="143"/>
      <c r="OY188" s="143"/>
      <c r="OZ188" s="143"/>
      <c r="PB188" s="143"/>
      <c r="PP188" s="146"/>
      <c r="PT188" s="143"/>
      <c r="RW188" s="146"/>
      <c r="AHF188" s="142"/>
      <c r="AIU188" s="142"/>
      <c r="AIV188" s="142"/>
      <c r="AIW188" s="142"/>
    </row>
    <row r="189" spans="2:933" hidden="1">
      <c r="B189" s="732"/>
      <c r="C189" s="437" t="s">
        <v>37</v>
      </c>
      <c r="D189" s="464">
        <v>0.3</v>
      </c>
      <c r="E189" s="497" t="s">
        <v>25</v>
      </c>
      <c r="F189" s="441" t="e">
        <f>F180/F168*100</f>
        <v>#DIV/0!</v>
      </c>
      <c r="G189" s="441"/>
      <c r="H189" s="441"/>
      <c r="I189" s="441"/>
      <c r="J189" s="441"/>
      <c r="K189" s="441"/>
      <c r="L189" s="441"/>
      <c r="M189" s="441"/>
      <c r="N189" s="441"/>
      <c r="O189" s="441"/>
      <c r="P189" s="441"/>
      <c r="Q189" s="441"/>
      <c r="R189" s="441"/>
      <c r="S189" s="720"/>
      <c r="T189" s="59"/>
      <c r="U189" s="670"/>
      <c r="V189" s="770"/>
      <c r="X189" s="1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R189" s="63"/>
      <c r="AX189" s="1"/>
      <c r="BD189" s="143"/>
      <c r="BE189" s="143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3"/>
      <c r="DA189" s="1"/>
      <c r="DP189" s="5"/>
      <c r="DQ189" s="143"/>
      <c r="DR189" s="143"/>
      <c r="DS189" s="143"/>
      <c r="DT189" s="143"/>
      <c r="FW189" s="143"/>
      <c r="JR189" s="143"/>
      <c r="JS189" s="143"/>
      <c r="JT189" s="143"/>
      <c r="JU189" s="143"/>
      <c r="OY189" s="143"/>
      <c r="OZ189" s="143"/>
      <c r="PB189" s="143"/>
      <c r="PP189" s="146"/>
      <c r="PT189" s="143"/>
      <c r="RW189" s="146"/>
      <c r="AHF189" s="142"/>
      <c r="AIU189" s="142"/>
      <c r="AIV189" s="142"/>
      <c r="AIW189" s="142"/>
    </row>
    <row r="190" spans="2:933" hidden="1">
      <c r="B190" s="732"/>
      <c r="C190" s="570" t="s">
        <v>28</v>
      </c>
      <c r="D190" s="464"/>
      <c r="E190" s="465"/>
      <c r="F190" s="441"/>
      <c r="G190" s="441"/>
      <c r="H190" s="441"/>
      <c r="I190" s="441"/>
      <c r="J190" s="441"/>
      <c r="K190" s="441"/>
      <c r="L190" s="441"/>
      <c r="M190" s="441"/>
      <c r="N190" s="441"/>
      <c r="O190" s="441"/>
      <c r="P190" s="441"/>
      <c r="Q190" s="441"/>
      <c r="R190" s="441"/>
      <c r="S190" s="720"/>
      <c r="T190" s="64" t="s">
        <v>28</v>
      </c>
      <c r="U190" s="689" t="s">
        <v>28</v>
      </c>
      <c r="V190" s="786" t="s">
        <v>28</v>
      </c>
      <c r="X190" s="1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R190" s="63"/>
      <c r="AX190" s="1"/>
      <c r="BD190" s="143"/>
      <c r="BE190" s="143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3"/>
      <c r="DA190" s="1"/>
      <c r="DP190" s="5"/>
      <c r="DQ190" s="143"/>
      <c r="DR190" s="143"/>
      <c r="DS190" s="143"/>
      <c r="DT190" s="143"/>
      <c r="FW190" s="143"/>
      <c r="JR190" s="143"/>
      <c r="JS190" s="143"/>
      <c r="JT190" s="143"/>
      <c r="JU190" s="143"/>
      <c r="OY190" s="143"/>
      <c r="OZ190" s="143"/>
      <c r="PB190" s="143"/>
      <c r="PP190" s="146"/>
      <c r="PT190" s="143"/>
      <c r="RW190" s="146"/>
      <c r="AHF190" s="142"/>
      <c r="AIU190" s="142"/>
      <c r="AIV190" s="142"/>
      <c r="AIW190" s="142"/>
    </row>
    <row r="191" spans="2:933" hidden="1">
      <c r="B191" s="732"/>
      <c r="C191" s="437" t="s">
        <v>27</v>
      </c>
      <c r="D191" s="464">
        <v>0.5</v>
      </c>
      <c r="E191" s="497" t="s">
        <v>25</v>
      </c>
      <c r="F191" s="441" t="e">
        <f t="shared" ref="F191:F193" si="22">F182/F170*100</f>
        <v>#DIV/0!</v>
      </c>
      <c r="G191" s="441"/>
      <c r="H191" s="441"/>
      <c r="I191" s="441"/>
      <c r="J191" s="441"/>
      <c r="K191" s="441"/>
      <c r="L191" s="441"/>
      <c r="M191" s="441"/>
      <c r="N191" s="441"/>
      <c r="O191" s="441"/>
      <c r="P191" s="441"/>
      <c r="Q191" s="441"/>
      <c r="R191" s="441"/>
      <c r="S191" s="720"/>
      <c r="T191" s="59" t="e">
        <f>T182/T170*100</f>
        <v>#DIV/0!</v>
      </c>
      <c r="U191" s="670">
        <f>U182/U170*100</f>
        <v>0</v>
      </c>
      <c r="V191" s="770" t="e">
        <f>V182/V170*100</f>
        <v>#DIV/0!</v>
      </c>
      <c r="X191" s="1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R191" s="63"/>
      <c r="AX191" s="1"/>
      <c r="BD191" s="143"/>
      <c r="BE191" s="143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3"/>
      <c r="DA191" s="1"/>
      <c r="DP191" s="5"/>
      <c r="DQ191" s="143"/>
      <c r="DR191" s="143"/>
      <c r="DS191" s="143"/>
      <c r="DT191" s="143"/>
      <c r="FW191" s="143"/>
      <c r="JR191" s="143"/>
      <c r="JS191" s="143"/>
      <c r="JT191" s="143"/>
      <c r="JU191" s="143"/>
      <c r="OY191" s="143"/>
      <c r="OZ191" s="143"/>
      <c r="PB191" s="143"/>
      <c r="PP191" s="146"/>
      <c r="PT191" s="143"/>
      <c r="RW191" s="146"/>
      <c r="AHF191" s="142"/>
      <c r="AIU191" s="142"/>
      <c r="AIV191" s="142"/>
      <c r="AIW191" s="142"/>
    </row>
    <row r="192" spans="2:933" hidden="1">
      <c r="B192" s="732"/>
      <c r="C192" s="437" t="s">
        <v>26</v>
      </c>
      <c r="D192" s="464">
        <v>0.5</v>
      </c>
      <c r="E192" s="497" t="s">
        <v>25</v>
      </c>
      <c r="F192" s="441" t="e">
        <f t="shared" si="22"/>
        <v>#DIV/0!</v>
      </c>
      <c r="G192" s="441"/>
      <c r="H192" s="441"/>
      <c r="I192" s="441"/>
      <c r="J192" s="441"/>
      <c r="K192" s="441"/>
      <c r="L192" s="441"/>
      <c r="M192" s="441"/>
      <c r="N192" s="441"/>
      <c r="O192" s="441"/>
      <c r="P192" s="441"/>
      <c r="Q192" s="441"/>
      <c r="R192" s="441"/>
      <c r="S192" s="720"/>
      <c r="T192" s="59" t="e">
        <f>T183/T172*100</f>
        <v>#DIV/0!</v>
      </c>
      <c r="U192" s="670" t="e">
        <f>U183/U172*100</f>
        <v>#DIV/0!</v>
      </c>
      <c r="V192" s="770" t="e">
        <f>V183/V172*100</f>
        <v>#DIV/0!</v>
      </c>
      <c r="X192" s="1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R192" s="63"/>
      <c r="AX192" s="1"/>
      <c r="BD192" s="143"/>
      <c r="BE192" s="143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3"/>
      <c r="DA192" s="1"/>
      <c r="DP192" s="5"/>
      <c r="DQ192" s="143"/>
      <c r="DR192" s="143"/>
      <c r="DS192" s="143"/>
      <c r="DT192" s="143"/>
      <c r="FW192" s="143"/>
      <c r="JR192" s="143"/>
      <c r="JS192" s="143"/>
      <c r="JT192" s="143"/>
      <c r="JU192" s="143"/>
      <c r="OY192" s="143"/>
      <c r="OZ192" s="143"/>
      <c r="PB192" s="143"/>
      <c r="PP192" s="146"/>
      <c r="PT192" s="143"/>
      <c r="RW192" s="146"/>
      <c r="AHF192" s="142"/>
      <c r="AIU192" s="142"/>
      <c r="AIV192" s="142"/>
      <c r="AIW192" s="142"/>
    </row>
    <row r="193" spans="2:933" hidden="1">
      <c r="B193" s="732"/>
      <c r="C193" s="437" t="s">
        <v>37</v>
      </c>
      <c r="D193" s="464">
        <v>0.5</v>
      </c>
      <c r="E193" s="497" t="s">
        <v>25</v>
      </c>
      <c r="F193" s="441" t="e">
        <f t="shared" si="22"/>
        <v>#DIV/0!</v>
      </c>
      <c r="G193" s="441"/>
      <c r="H193" s="441"/>
      <c r="I193" s="441"/>
      <c r="J193" s="441"/>
      <c r="K193" s="441"/>
      <c r="L193" s="441"/>
      <c r="M193" s="441"/>
      <c r="N193" s="441"/>
      <c r="O193" s="441"/>
      <c r="P193" s="441"/>
      <c r="Q193" s="441"/>
      <c r="R193" s="441"/>
      <c r="S193" s="720"/>
      <c r="T193" s="59"/>
      <c r="U193" s="670"/>
      <c r="V193" s="770"/>
      <c r="X193" s="1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R193" s="63"/>
      <c r="AX193" s="1"/>
      <c r="BD193" s="143"/>
      <c r="BE193" s="143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3"/>
      <c r="DA193" s="1"/>
      <c r="DP193" s="5"/>
      <c r="DQ193" s="143"/>
      <c r="DR193" s="143"/>
      <c r="DS193" s="143"/>
      <c r="DT193" s="143"/>
      <c r="FW193" s="143"/>
      <c r="JR193" s="143"/>
      <c r="JS193" s="143"/>
      <c r="JT193" s="143"/>
      <c r="JU193" s="143"/>
      <c r="OY193" s="143"/>
      <c r="OZ193" s="143"/>
      <c r="PB193" s="143"/>
      <c r="PP193" s="146"/>
      <c r="PT193" s="143"/>
      <c r="RW193" s="146"/>
      <c r="AHF193" s="142"/>
      <c r="AIU193" s="142"/>
      <c r="AIV193" s="142"/>
      <c r="AIW193" s="142"/>
    </row>
    <row r="194" spans="2:933" hidden="1">
      <c r="B194" s="732"/>
      <c r="C194" s="592" t="s">
        <v>87</v>
      </c>
      <c r="D194" s="593"/>
      <c r="E194" s="589"/>
      <c r="F194" s="594"/>
      <c r="G194" s="594"/>
      <c r="H194" s="594"/>
      <c r="I194" s="594"/>
      <c r="J194" s="594"/>
      <c r="K194" s="594"/>
      <c r="L194" s="594"/>
      <c r="M194" s="594"/>
      <c r="N194" s="594"/>
      <c r="O194" s="594"/>
      <c r="P194" s="594"/>
      <c r="Q194" s="594"/>
      <c r="R194" s="594"/>
      <c r="S194" s="720"/>
      <c r="T194" s="523" t="s">
        <v>130</v>
      </c>
      <c r="U194" s="678" t="s">
        <v>130</v>
      </c>
      <c r="V194" s="777" t="s">
        <v>130</v>
      </c>
      <c r="X194" s="1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R194" s="63"/>
      <c r="AX194" s="1"/>
      <c r="BD194" s="143"/>
      <c r="BE194" s="143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3"/>
      <c r="DA194" s="1"/>
      <c r="DP194" s="5"/>
      <c r="DQ194" s="143"/>
      <c r="DR194" s="143"/>
      <c r="DS194" s="143"/>
      <c r="DT194" s="143"/>
      <c r="FW194" s="143"/>
      <c r="JR194" s="143"/>
      <c r="JS194" s="143"/>
      <c r="JT194" s="143"/>
      <c r="JU194" s="143"/>
      <c r="OY194" s="143"/>
      <c r="OZ194" s="143"/>
      <c r="PB194" s="143"/>
      <c r="PP194" s="146"/>
      <c r="PT194" s="143"/>
      <c r="RW194" s="146"/>
      <c r="AHF194" s="142"/>
      <c r="AIU194" s="142"/>
      <c r="AIV194" s="142"/>
      <c r="AIW194" s="142"/>
    </row>
    <row r="195" spans="2:933" hidden="1">
      <c r="B195" s="732"/>
      <c r="C195" s="595" t="s">
        <v>92</v>
      </c>
      <c r="D195" s="464"/>
      <c r="E195" s="20" t="s">
        <v>14</v>
      </c>
      <c r="F195" s="591">
        <f>'[2]Januari 24'!AL184</f>
        <v>356139</v>
      </c>
      <c r="G195" s="591"/>
      <c r="H195" s="591"/>
      <c r="I195" s="591"/>
      <c r="J195" s="591"/>
      <c r="K195" s="591"/>
      <c r="L195" s="591"/>
      <c r="M195" s="591"/>
      <c r="N195" s="591"/>
      <c r="O195" s="591"/>
      <c r="P195" s="591"/>
      <c r="Q195" s="591"/>
      <c r="R195" s="591"/>
      <c r="S195" s="720"/>
      <c r="T195" s="90">
        <f>SUM(F195:R195)</f>
        <v>356139</v>
      </c>
      <c r="U195" s="687">
        <f>SUM(G195:S195)</f>
        <v>0</v>
      </c>
      <c r="V195" s="788">
        <f>SUM(H195:T195)</f>
        <v>356139</v>
      </c>
      <c r="X195" s="1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R195" s="63"/>
      <c r="AX195" s="1"/>
      <c r="BD195" s="143"/>
      <c r="BE195" s="143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3"/>
      <c r="DA195" s="1"/>
      <c r="DP195" s="5"/>
      <c r="DQ195" s="143"/>
      <c r="DR195" s="143"/>
      <c r="DS195" s="143"/>
      <c r="DT195" s="143"/>
      <c r="FW195" s="143"/>
      <c r="JR195" s="143"/>
      <c r="JS195" s="143"/>
      <c r="JT195" s="143"/>
      <c r="JU195" s="143"/>
      <c r="OY195" s="143"/>
      <c r="OZ195" s="143"/>
      <c r="PB195" s="143"/>
      <c r="PP195" s="146"/>
      <c r="PT195" s="143"/>
      <c r="RW195" s="146"/>
      <c r="AHF195" s="142"/>
      <c r="AIU195" s="142"/>
      <c r="AIV195" s="142"/>
      <c r="AIW195" s="142"/>
    </row>
    <row r="196" spans="2:933" hidden="1">
      <c r="B196" s="732"/>
      <c r="C196" s="595" t="s">
        <v>93</v>
      </c>
      <c r="D196" s="464"/>
      <c r="E196" s="20" t="s">
        <v>14</v>
      </c>
      <c r="F196" s="591">
        <f>'[2]Januari 24'!AL185</f>
        <v>364427.63</v>
      </c>
      <c r="G196" s="591"/>
      <c r="H196" s="591"/>
      <c r="I196" s="591"/>
      <c r="J196" s="591"/>
      <c r="K196" s="591"/>
      <c r="L196" s="591"/>
      <c r="M196" s="591"/>
      <c r="N196" s="591"/>
      <c r="O196" s="591"/>
      <c r="P196" s="591"/>
      <c r="Q196" s="591"/>
      <c r="R196" s="591"/>
      <c r="S196" s="720"/>
      <c r="T196" s="90">
        <f>SUM(T197:T198)</f>
        <v>364427.63</v>
      </c>
      <c r="U196" s="687">
        <f>SUM(U197:U198)</f>
        <v>0</v>
      </c>
      <c r="V196" s="788">
        <f>SUM(V197:V198)</f>
        <v>364427.63</v>
      </c>
      <c r="X196" s="1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R196" s="63"/>
      <c r="AX196" s="1"/>
      <c r="BD196" s="143"/>
      <c r="BE196" s="143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3"/>
      <c r="DA196" s="1"/>
      <c r="DP196" s="5"/>
      <c r="DQ196" s="143"/>
      <c r="DR196" s="143"/>
      <c r="DS196" s="143"/>
      <c r="DT196" s="143"/>
      <c r="FW196" s="143"/>
      <c r="JR196" s="143"/>
      <c r="JS196" s="143"/>
      <c r="JT196" s="143"/>
      <c r="JU196" s="143"/>
      <c r="OY196" s="143"/>
      <c r="OZ196" s="143"/>
      <c r="PB196" s="143"/>
      <c r="PP196" s="146"/>
      <c r="PT196" s="143"/>
      <c r="RW196" s="146"/>
      <c r="AHF196" s="142"/>
      <c r="AIU196" s="142"/>
      <c r="AIV196" s="142"/>
      <c r="AIW196" s="142"/>
    </row>
    <row r="197" spans="2:933" hidden="1">
      <c r="B197" s="732"/>
      <c r="C197" s="596" t="s">
        <v>39</v>
      </c>
      <c r="D197" s="464"/>
      <c r="E197" s="497" t="s">
        <v>14</v>
      </c>
      <c r="F197" s="579">
        <f>SUM(F201:F202)*10.83</f>
        <v>364007.13</v>
      </c>
      <c r="G197" s="579"/>
      <c r="H197" s="579"/>
      <c r="I197" s="579"/>
      <c r="J197" s="579"/>
      <c r="K197" s="579"/>
      <c r="L197" s="579"/>
      <c r="M197" s="579"/>
      <c r="N197" s="579"/>
      <c r="O197" s="579"/>
      <c r="P197" s="579"/>
      <c r="Q197" s="579"/>
      <c r="R197" s="579"/>
      <c r="S197" s="720"/>
      <c r="T197" s="59">
        <f t="shared" ref="T197:V198" si="23">SUM(F197:R197)</f>
        <v>364007.13</v>
      </c>
      <c r="U197" s="670">
        <f t="shared" si="23"/>
        <v>0</v>
      </c>
      <c r="V197" s="770">
        <f t="shared" si="23"/>
        <v>364007.13</v>
      </c>
      <c r="X197" s="1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R197" s="63"/>
      <c r="AX197" s="1"/>
      <c r="BD197" s="143"/>
      <c r="BE197" s="143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3"/>
      <c r="DA197" s="1"/>
      <c r="DP197" s="5"/>
      <c r="DQ197" s="143"/>
      <c r="DR197" s="143"/>
      <c r="DS197" s="143"/>
      <c r="DT197" s="143"/>
      <c r="FW197" s="143"/>
      <c r="JR197" s="143"/>
      <c r="JS197" s="143"/>
      <c r="JT197" s="143"/>
      <c r="JU197" s="143"/>
      <c r="OY197" s="143"/>
      <c r="OZ197" s="143"/>
      <c r="PB197" s="143"/>
      <c r="PP197" s="146"/>
      <c r="PT197" s="143"/>
      <c r="RW197" s="146"/>
      <c r="AHF197" s="142"/>
      <c r="AIU197" s="142"/>
      <c r="AIV197" s="142"/>
      <c r="AIW197" s="142"/>
    </row>
    <row r="198" spans="2:933" hidden="1">
      <c r="B198" s="732"/>
      <c r="C198" s="596" t="s">
        <v>38</v>
      </c>
      <c r="D198" s="464"/>
      <c r="E198" s="497" t="s">
        <v>14</v>
      </c>
      <c r="F198" s="579">
        <f>F196-F197</f>
        <v>420.5</v>
      </c>
      <c r="G198" s="579"/>
      <c r="H198" s="579"/>
      <c r="I198" s="579"/>
      <c r="J198" s="579"/>
      <c r="K198" s="579"/>
      <c r="L198" s="579"/>
      <c r="M198" s="579"/>
      <c r="N198" s="579"/>
      <c r="O198" s="579"/>
      <c r="P198" s="579"/>
      <c r="Q198" s="579"/>
      <c r="R198" s="579"/>
      <c r="S198" s="720"/>
      <c r="T198" s="59">
        <f t="shared" si="23"/>
        <v>420.5</v>
      </c>
      <c r="U198" s="670">
        <f t="shared" si="23"/>
        <v>0</v>
      </c>
      <c r="V198" s="770">
        <f t="shared" si="23"/>
        <v>420.5</v>
      </c>
      <c r="X198" s="1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R198" s="63"/>
      <c r="AX198" s="1"/>
      <c r="BD198" s="143"/>
      <c r="BE198" s="143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3"/>
      <c r="DA198" s="1"/>
      <c r="DP198" s="5"/>
      <c r="DQ198" s="143"/>
      <c r="DR198" s="143"/>
      <c r="DS198" s="143"/>
      <c r="DT198" s="143"/>
      <c r="FW198" s="143"/>
      <c r="JR198" s="143"/>
      <c r="JS198" s="143"/>
      <c r="JT198" s="143"/>
      <c r="JU198" s="143"/>
      <c r="OY198" s="143"/>
      <c r="OZ198" s="143"/>
      <c r="PB198" s="143"/>
      <c r="PP198" s="146"/>
      <c r="PT198" s="143"/>
      <c r="RW198" s="146"/>
      <c r="AHF198" s="142"/>
      <c r="AIU198" s="142"/>
      <c r="AIV198" s="142"/>
      <c r="AIW198" s="142"/>
    </row>
    <row r="199" spans="2:933" hidden="1">
      <c r="B199" s="732"/>
      <c r="C199" s="597" t="s">
        <v>50</v>
      </c>
      <c r="D199" s="464"/>
      <c r="E199" s="497" t="s">
        <v>14</v>
      </c>
      <c r="F199" s="579"/>
      <c r="G199" s="579"/>
      <c r="H199" s="579"/>
      <c r="I199" s="579"/>
      <c r="J199" s="579"/>
      <c r="K199" s="579"/>
      <c r="L199" s="579"/>
      <c r="M199" s="579"/>
      <c r="N199" s="579"/>
      <c r="O199" s="579"/>
      <c r="P199" s="579"/>
      <c r="Q199" s="579"/>
      <c r="R199" s="579"/>
      <c r="S199" s="720"/>
      <c r="T199" s="59"/>
      <c r="U199" s="670"/>
      <c r="V199" s="770"/>
      <c r="X199" s="1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R199" s="63"/>
      <c r="AX199" s="1"/>
      <c r="BD199" s="143"/>
      <c r="BE199" s="143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3"/>
      <c r="DA199" s="1"/>
      <c r="DP199" s="5"/>
      <c r="DQ199" s="143"/>
      <c r="DR199" s="143"/>
      <c r="DS199" s="143"/>
      <c r="DT199" s="143"/>
      <c r="FW199" s="143"/>
      <c r="JR199" s="143"/>
      <c r="JS199" s="143"/>
      <c r="JT199" s="143"/>
      <c r="JU199" s="143"/>
      <c r="OY199" s="143"/>
      <c r="OZ199" s="143"/>
      <c r="PB199" s="143"/>
      <c r="PP199" s="146"/>
      <c r="PT199" s="143"/>
      <c r="RW199" s="146"/>
      <c r="AHF199" s="142"/>
      <c r="AIU199" s="142"/>
      <c r="AIV199" s="142"/>
      <c r="AIW199" s="142"/>
    </row>
    <row r="200" spans="2:933" hidden="1">
      <c r="B200" s="732"/>
      <c r="C200" s="596" t="s">
        <v>29</v>
      </c>
      <c r="D200" s="464"/>
      <c r="E200" s="497"/>
      <c r="F200" s="441"/>
      <c r="G200" s="441"/>
      <c r="H200" s="441"/>
      <c r="I200" s="441"/>
      <c r="J200" s="441"/>
      <c r="K200" s="441"/>
      <c r="L200" s="441"/>
      <c r="M200" s="441"/>
      <c r="N200" s="441"/>
      <c r="O200" s="441"/>
      <c r="P200" s="441"/>
      <c r="Q200" s="441"/>
      <c r="R200" s="441"/>
      <c r="S200" s="720"/>
      <c r="T200" s="59"/>
      <c r="U200" s="670"/>
      <c r="V200" s="770"/>
      <c r="X200" s="1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R200" s="63"/>
      <c r="AX200" s="1"/>
      <c r="BD200" s="143"/>
      <c r="BE200" s="143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3"/>
      <c r="DA200" s="1"/>
      <c r="DP200" s="5"/>
      <c r="DQ200" s="143"/>
      <c r="DR200" s="143"/>
      <c r="DS200" s="143"/>
      <c r="DT200" s="143"/>
      <c r="FW200" s="143"/>
      <c r="JR200" s="143"/>
      <c r="JS200" s="143"/>
      <c r="JT200" s="143"/>
      <c r="JU200" s="143"/>
      <c r="OY200" s="143"/>
      <c r="OZ200" s="143"/>
      <c r="PB200" s="143"/>
      <c r="PP200" s="146"/>
      <c r="PT200" s="143"/>
      <c r="RW200" s="146"/>
      <c r="AHF200" s="142"/>
      <c r="AIU200" s="142"/>
      <c r="AIV200" s="142"/>
      <c r="AIW200" s="142"/>
    </row>
    <row r="201" spans="2:933" hidden="1">
      <c r="B201" s="732"/>
      <c r="C201" s="596" t="s">
        <v>88</v>
      </c>
      <c r="D201" s="464"/>
      <c r="E201" s="497" t="s">
        <v>31</v>
      </c>
      <c r="F201" s="598">
        <f>'[2]Januari 24'!AL190</f>
        <v>25527</v>
      </c>
      <c r="G201" s="598"/>
      <c r="H201" s="598"/>
      <c r="I201" s="598"/>
      <c r="J201" s="598"/>
      <c r="K201" s="598"/>
      <c r="L201" s="598"/>
      <c r="M201" s="598"/>
      <c r="N201" s="598"/>
      <c r="O201" s="598"/>
      <c r="P201" s="598"/>
      <c r="Q201" s="598"/>
      <c r="R201" s="598"/>
      <c r="S201" s="720"/>
      <c r="T201" s="92">
        <f>SUM(F201:R201)</f>
        <v>25527</v>
      </c>
      <c r="U201" s="670">
        <v>2048803</v>
      </c>
      <c r="V201" s="770"/>
      <c r="X201" s="1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R201" s="63"/>
      <c r="AX201" s="1"/>
      <c r="BD201" s="143"/>
      <c r="BE201" s="143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3"/>
      <c r="DA201" s="1"/>
      <c r="DP201" s="5"/>
      <c r="DQ201" s="143"/>
      <c r="DR201" s="143"/>
      <c r="DS201" s="143"/>
      <c r="DT201" s="143"/>
      <c r="FW201" s="143"/>
      <c r="JR201" s="143"/>
      <c r="JS201" s="143"/>
      <c r="JT201" s="143"/>
      <c r="JU201" s="143"/>
      <c r="OY201" s="143"/>
      <c r="OZ201" s="143"/>
      <c r="PB201" s="143"/>
      <c r="PP201" s="146"/>
      <c r="PT201" s="143"/>
      <c r="RW201" s="146"/>
      <c r="AHF201" s="142"/>
      <c r="AIU201" s="142"/>
      <c r="AIV201" s="142"/>
      <c r="AIW201" s="142"/>
    </row>
    <row r="202" spans="2:933" hidden="1">
      <c r="B202" s="732"/>
      <c r="C202" s="596" t="s">
        <v>117</v>
      </c>
      <c r="D202" s="464"/>
      <c r="E202" s="497" t="s">
        <v>31</v>
      </c>
      <c r="F202" s="598">
        <f>'[2]Januari 24'!AL191</f>
        <v>8084</v>
      </c>
      <c r="G202" s="598"/>
      <c r="H202" s="598"/>
      <c r="I202" s="598"/>
      <c r="J202" s="598"/>
      <c r="K202" s="598"/>
      <c r="L202" s="598"/>
      <c r="M202" s="598"/>
      <c r="N202" s="598"/>
      <c r="O202" s="598"/>
      <c r="P202" s="598"/>
      <c r="Q202" s="598"/>
      <c r="R202" s="598"/>
      <c r="S202" s="720"/>
      <c r="T202" s="92">
        <f>SUM(F202:R202)</f>
        <v>8084</v>
      </c>
      <c r="U202" s="670"/>
      <c r="V202" s="770"/>
      <c r="X202" s="1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R202" s="63"/>
      <c r="AX202" s="1"/>
      <c r="BD202" s="143"/>
      <c r="BE202" s="143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3"/>
      <c r="DA202" s="1"/>
      <c r="DP202" s="5"/>
      <c r="DQ202" s="143"/>
      <c r="DR202" s="143"/>
      <c r="DS202" s="143"/>
      <c r="DT202" s="143"/>
      <c r="FW202" s="143"/>
      <c r="JR202" s="143"/>
      <c r="JS202" s="143"/>
      <c r="JT202" s="143"/>
      <c r="JU202" s="143"/>
      <c r="OY202" s="143"/>
      <c r="OZ202" s="143"/>
      <c r="PB202" s="143"/>
      <c r="PP202" s="146"/>
      <c r="PT202" s="143"/>
      <c r="RW202" s="146"/>
      <c r="AHF202" s="142"/>
      <c r="AIU202" s="142"/>
      <c r="AIV202" s="142"/>
      <c r="AIW202" s="142"/>
    </row>
    <row r="203" spans="2:933" hidden="1">
      <c r="B203" s="732"/>
      <c r="C203" s="596" t="s">
        <v>28</v>
      </c>
      <c r="D203" s="464"/>
      <c r="E203" s="497"/>
      <c r="F203" s="441"/>
      <c r="G203" s="441"/>
      <c r="H203" s="441"/>
      <c r="I203" s="441"/>
      <c r="J203" s="441"/>
      <c r="K203" s="441"/>
      <c r="L203" s="441"/>
      <c r="M203" s="441"/>
      <c r="N203" s="441"/>
      <c r="O203" s="441"/>
      <c r="P203" s="441"/>
      <c r="Q203" s="441"/>
      <c r="R203" s="441"/>
      <c r="S203" s="720"/>
      <c r="T203" s="59"/>
      <c r="U203" s="670"/>
      <c r="V203" s="770"/>
      <c r="X203" s="1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R203" s="63"/>
      <c r="AX203" s="1"/>
      <c r="BD203" s="143"/>
      <c r="BE203" s="143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3"/>
      <c r="DA203" s="1"/>
      <c r="DP203" s="5"/>
      <c r="DQ203" s="143"/>
      <c r="DR203" s="143"/>
      <c r="DS203" s="143"/>
      <c r="DT203" s="143"/>
      <c r="FW203" s="143"/>
      <c r="JR203" s="143"/>
      <c r="JS203" s="143"/>
      <c r="JT203" s="143"/>
      <c r="JU203" s="143"/>
      <c r="OY203" s="143"/>
      <c r="OZ203" s="143"/>
      <c r="PB203" s="143"/>
      <c r="PP203" s="146"/>
      <c r="PT203" s="143"/>
      <c r="RW203" s="146"/>
      <c r="AHF203" s="142"/>
      <c r="AIU203" s="142"/>
      <c r="AIV203" s="142"/>
      <c r="AIW203" s="142"/>
    </row>
    <row r="204" spans="2:933" hidden="1">
      <c r="B204" s="732"/>
      <c r="C204" s="596" t="s">
        <v>117</v>
      </c>
      <c r="D204" s="464"/>
      <c r="E204" s="497" t="s">
        <v>28</v>
      </c>
      <c r="F204" s="599">
        <f>F201*12</f>
        <v>306324</v>
      </c>
      <c r="G204" s="599"/>
      <c r="H204" s="599"/>
      <c r="I204" s="599"/>
      <c r="J204" s="599"/>
      <c r="K204" s="599"/>
      <c r="L204" s="599"/>
      <c r="M204" s="599"/>
      <c r="N204" s="599"/>
      <c r="O204" s="599"/>
      <c r="P204" s="599"/>
      <c r="Q204" s="599"/>
      <c r="R204" s="599"/>
      <c r="S204" s="720"/>
      <c r="T204" s="92">
        <f>SUM(F204:R204)</f>
        <v>306324</v>
      </c>
      <c r="U204" s="670"/>
      <c r="V204" s="770"/>
      <c r="X204" s="1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R204" s="63"/>
      <c r="AX204" s="1"/>
      <c r="BD204" s="143"/>
      <c r="BE204" s="143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3"/>
      <c r="DA204" s="1"/>
      <c r="DP204" s="5"/>
      <c r="DQ204" s="143"/>
      <c r="DR204" s="143"/>
      <c r="DS204" s="143"/>
      <c r="DT204" s="143"/>
      <c r="FW204" s="143"/>
      <c r="JR204" s="143"/>
      <c r="JS204" s="143"/>
      <c r="JT204" s="143"/>
      <c r="JU204" s="143"/>
      <c r="OY204" s="143"/>
      <c r="OZ204" s="143"/>
      <c r="PB204" s="143"/>
      <c r="PP204" s="146"/>
      <c r="PT204" s="143"/>
      <c r="RW204" s="146"/>
      <c r="AHF204" s="142"/>
      <c r="AIU204" s="142"/>
      <c r="AIV204" s="142"/>
      <c r="AIW204" s="142"/>
    </row>
    <row r="205" spans="2:933" hidden="1">
      <c r="B205" s="732"/>
      <c r="C205" s="596" t="s">
        <v>88</v>
      </c>
      <c r="D205" s="464"/>
      <c r="E205" s="497" t="s">
        <v>28</v>
      </c>
      <c r="F205" s="599"/>
      <c r="G205" s="599"/>
      <c r="H205" s="599"/>
      <c r="I205" s="599"/>
      <c r="J205" s="599"/>
      <c r="K205" s="599"/>
      <c r="L205" s="599"/>
      <c r="M205" s="599"/>
      <c r="N205" s="599"/>
      <c r="O205" s="599"/>
      <c r="P205" s="599"/>
      <c r="Q205" s="599"/>
      <c r="R205" s="599"/>
      <c r="S205" s="720"/>
      <c r="T205" s="92">
        <f>SUM(F205:R205)</f>
        <v>0</v>
      </c>
      <c r="U205" s="670"/>
      <c r="V205" s="770"/>
      <c r="X205" s="1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R205" s="63"/>
      <c r="AX205" s="1"/>
      <c r="BD205" s="143"/>
      <c r="BE205" s="143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3"/>
      <c r="DA205" s="1"/>
      <c r="DP205" s="5"/>
      <c r="DQ205" s="143"/>
      <c r="DR205" s="143"/>
      <c r="DS205" s="143"/>
      <c r="DT205" s="143"/>
      <c r="FW205" s="143"/>
      <c r="JR205" s="143"/>
      <c r="JS205" s="143"/>
      <c r="JT205" s="143"/>
      <c r="JU205" s="143"/>
      <c r="OY205" s="143"/>
      <c r="OZ205" s="143"/>
      <c r="PB205" s="143"/>
      <c r="PP205" s="146"/>
      <c r="PT205" s="143"/>
      <c r="RW205" s="146"/>
      <c r="AHF205" s="142"/>
      <c r="AIU205" s="142"/>
      <c r="AIV205" s="142"/>
      <c r="AIW205" s="142"/>
    </row>
    <row r="206" spans="2:933" hidden="1">
      <c r="B206" s="732"/>
      <c r="C206" s="596" t="s">
        <v>36</v>
      </c>
      <c r="D206" s="464"/>
      <c r="E206" s="497"/>
      <c r="F206" s="599">
        <f>F201*45/1700</f>
        <v>675.71470588235297</v>
      </c>
      <c r="G206" s="599"/>
      <c r="H206" s="599"/>
      <c r="I206" s="599"/>
      <c r="J206" s="599"/>
      <c r="K206" s="599"/>
      <c r="L206" s="599"/>
      <c r="M206" s="599"/>
      <c r="N206" s="599"/>
      <c r="O206" s="599"/>
      <c r="P206" s="599"/>
      <c r="Q206" s="599"/>
      <c r="R206" s="599"/>
      <c r="S206" s="720"/>
      <c r="T206" s="92">
        <f>SUM(F206:R206)</f>
        <v>675.71470588235297</v>
      </c>
      <c r="U206" s="670"/>
      <c r="V206" s="770"/>
      <c r="X206" s="1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R206" s="63"/>
      <c r="AX206" s="1"/>
      <c r="BD206" s="143"/>
      <c r="BE206" s="143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3"/>
      <c r="DA206" s="1"/>
      <c r="DP206" s="5"/>
      <c r="DQ206" s="143"/>
      <c r="DR206" s="143"/>
      <c r="DS206" s="143"/>
      <c r="DT206" s="143"/>
      <c r="FW206" s="143"/>
      <c r="JR206" s="143"/>
      <c r="JS206" s="143"/>
      <c r="JT206" s="143"/>
      <c r="JU206" s="143"/>
      <c r="OY206" s="143"/>
      <c r="OZ206" s="143"/>
      <c r="PB206" s="143"/>
      <c r="PP206" s="146"/>
      <c r="PT206" s="143"/>
      <c r="RW206" s="146"/>
      <c r="AHF206" s="142"/>
      <c r="AIU206" s="142"/>
      <c r="AIV206" s="142"/>
      <c r="AIW206" s="142"/>
    </row>
    <row r="207" spans="2:933" hidden="1">
      <c r="B207" s="732"/>
      <c r="C207" s="596" t="s">
        <v>34</v>
      </c>
      <c r="D207" s="464"/>
      <c r="E207" s="497"/>
      <c r="F207" s="599">
        <f>SUM(F201)/500</f>
        <v>51.054000000000002</v>
      </c>
      <c r="G207" s="599"/>
      <c r="H207" s="599"/>
      <c r="I207" s="599"/>
      <c r="J207" s="599"/>
      <c r="K207" s="599"/>
      <c r="L207" s="599"/>
      <c r="M207" s="599"/>
      <c r="N207" s="599"/>
      <c r="O207" s="599"/>
      <c r="P207" s="599"/>
      <c r="Q207" s="599"/>
      <c r="R207" s="599"/>
      <c r="S207" s="720"/>
      <c r="T207" s="92">
        <f>SUM(F207:R207)</f>
        <v>51.054000000000002</v>
      </c>
      <c r="U207" s="670"/>
      <c r="V207" s="770"/>
      <c r="X207" s="1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R207" s="63"/>
      <c r="AX207" s="1"/>
      <c r="BD207" s="143"/>
      <c r="BE207" s="143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3"/>
      <c r="DA207" s="1"/>
      <c r="DP207" s="5"/>
      <c r="DQ207" s="143"/>
      <c r="DR207" s="143"/>
      <c r="DS207" s="143"/>
      <c r="DT207" s="143"/>
      <c r="FW207" s="143"/>
      <c r="JR207" s="143"/>
      <c r="JS207" s="143"/>
      <c r="JT207" s="143"/>
      <c r="JU207" s="143"/>
      <c r="OY207" s="143"/>
      <c r="OZ207" s="143"/>
      <c r="PB207" s="143"/>
      <c r="PP207" s="146"/>
      <c r="PT207" s="143"/>
      <c r="RW207" s="146"/>
      <c r="AHF207" s="142"/>
      <c r="AIU207" s="142"/>
      <c r="AIV207" s="142"/>
      <c r="AIW207" s="142"/>
    </row>
    <row r="208" spans="2:933" hidden="1">
      <c r="B208" s="732"/>
      <c r="C208" s="592" t="s">
        <v>32</v>
      </c>
      <c r="D208" s="593"/>
      <c r="E208" s="589"/>
      <c r="F208" s="594"/>
      <c r="G208" s="594"/>
      <c r="H208" s="594"/>
      <c r="I208" s="594"/>
      <c r="J208" s="594"/>
      <c r="K208" s="594"/>
      <c r="L208" s="594"/>
      <c r="M208" s="594"/>
      <c r="N208" s="594"/>
      <c r="O208" s="594"/>
      <c r="P208" s="594"/>
      <c r="Q208" s="594"/>
      <c r="R208" s="594"/>
      <c r="S208" s="720"/>
      <c r="T208" s="523" t="s">
        <v>131</v>
      </c>
      <c r="U208" s="678" t="s">
        <v>131</v>
      </c>
      <c r="V208" s="777" t="s">
        <v>131</v>
      </c>
      <c r="X208" s="1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R208" s="63"/>
      <c r="AX208" s="1"/>
      <c r="BD208" s="143"/>
      <c r="BE208" s="143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3"/>
      <c r="DA208" s="1"/>
      <c r="DP208" s="5"/>
      <c r="DQ208" s="143"/>
      <c r="DR208" s="143"/>
      <c r="DS208" s="143"/>
      <c r="DT208" s="143"/>
      <c r="FW208" s="143"/>
      <c r="JR208" s="143"/>
      <c r="JS208" s="143"/>
      <c r="JT208" s="143"/>
      <c r="JU208" s="143"/>
      <c r="OY208" s="143"/>
      <c r="OZ208" s="143"/>
      <c r="PB208" s="143"/>
      <c r="PP208" s="146"/>
      <c r="PT208" s="143"/>
      <c r="RW208" s="146"/>
      <c r="AHF208" s="142"/>
      <c r="AIU208" s="142"/>
      <c r="AIV208" s="142"/>
      <c r="AIW208" s="142"/>
    </row>
    <row r="209" spans="2:933" hidden="1">
      <c r="B209" s="732"/>
      <c r="C209" s="596" t="s">
        <v>29</v>
      </c>
      <c r="D209" s="464"/>
      <c r="E209" s="497"/>
      <c r="F209" s="441"/>
      <c r="G209" s="441"/>
      <c r="H209" s="441"/>
      <c r="I209" s="441"/>
      <c r="J209" s="441"/>
      <c r="K209" s="441"/>
      <c r="L209" s="441"/>
      <c r="M209" s="441"/>
      <c r="N209" s="441"/>
      <c r="O209" s="441"/>
      <c r="P209" s="441"/>
      <c r="Q209" s="441"/>
      <c r="R209" s="441"/>
      <c r="S209" s="720"/>
      <c r="T209" s="59"/>
      <c r="U209" s="670"/>
      <c r="V209" s="770"/>
      <c r="X209" s="1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R209" s="63"/>
      <c r="AX209" s="1"/>
      <c r="BD209" s="143"/>
      <c r="BE209" s="143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3"/>
      <c r="DA209" s="1"/>
      <c r="DP209" s="5"/>
      <c r="DQ209" s="143"/>
      <c r="DR209" s="143"/>
      <c r="DS209" s="143"/>
      <c r="DT209" s="143"/>
      <c r="FW209" s="143"/>
      <c r="JR209" s="143"/>
      <c r="JS209" s="143"/>
      <c r="JT209" s="143"/>
      <c r="JU209" s="143"/>
      <c r="OY209" s="143"/>
      <c r="OZ209" s="143"/>
      <c r="PB209" s="143"/>
      <c r="PP209" s="146"/>
      <c r="PT209" s="143"/>
      <c r="RW209" s="146"/>
      <c r="AHF209" s="142"/>
      <c r="AIU209" s="142"/>
      <c r="AIV209" s="142"/>
      <c r="AIW209" s="142"/>
    </row>
    <row r="210" spans="2:933" hidden="1">
      <c r="B210" s="732"/>
      <c r="C210" s="596" t="s">
        <v>88</v>
      </c>
      <c r="D210" s="464"/>
      <c r="E210" s="497" t="s">
        <v>31</v>
      </c>
      <c r="F210" s="441">
        <f>'[2]Januari 24'!AL185</f>
        <v>364427.63</v>
      </c>
      <c r="G210" s="440"/>
      <c r="H210" s="440"/>
      <c r="I210" s="440"/>
      <c r="J210" s="440"/>
      <c r="K210" s="440"/>
      <c r="L210" s="440"/>
      <c r="M210" s="441"/>
      <c r="N210" s="441"/>
      <c r="O210" s="441"/>
      <c r="P210" s="441"/>
      <c r="Q210" s="441"/>
      <c r="R210" s="441"/>
      <c r="S210" s="720"/>
      <c r="T210" s="92">
        <f>SUM(F210:R210)</f>
        <v>364427.63</v>
      </c>
      <c r="U210" s="690"/>
      <c r="V210" s="770"/>
      <c r="X210" s="1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R210" s="63"/>
      <c r="AX210" s="1"/>
      <c r="BD210" s="143"/>
      <c r="BE210" s="143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3"/>
      <c r="DA210" s="1"/>
      <c r="DP210" s="5"/>
      <c r="DQ210" s="143"/>
      <c r="DR210" s="143"/>
      <c r="DS210" s="143"/>
      <c r="DT210" s="143"/>
      <c r="FW210" s="143"/>
      <c r="JR210" s="143"/>
      <c r="JS210" s="143"/>
      <c r="JT210" s="143"/>
      <c r="JU210" s="143"/>
      <c r="OY210" s="143"/>
      <c r="OZ210" s="143"/>
      <c r="PB210" s="143"/>
      <c r="PP210" s="146"/>
      <c r="PT210" s="143"/>
      <c r="RW210" s="146"/>
      <c r="AHF210" s="142"/>
      <c r="AIU210" s="142"/>
      <c r="AIV210" s="142"/>
      <c r="AIW210" s="142"/>
    </row>
    <row r="211" spans="2:933" hidden="1">
      <c r="B211" s="732"/>
      <c r="C211" s="596" t="s">
        <v>117</v>
      </c>
      <c r="D211" s="464"/>
      <c r="E211" s="497" t="s">
        <v>31</v>
      </c>
      <c r="F211" s="441"/>
      <c r="G211" s="440"/>
      <c r="H211" s="440"/>
      <c r="I211" s="441"/>
      <c r="J211" s="441"/>
      <c r="K211" s="440"/>
      <c r="L211" s="440"/>
      <c r="M211" s="441"/>
      <c r="N211" s="441"/>
      <c r="O211" s="441"/>
      <c r="P211" s="441"/>
      <c r="Q211" s="441"/>
      <c r="R211" s="441"/>
      <c r="S211" s="720"/>
      <c r="T211" s="92">
        <f>SUM(F211:R211)</f>
        <v>0</v>
      </c>
      <c r="U211" s="690"/>
      <c r="V211" s="770"/>
      <c r="X211" s="1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R211" s="63"/>
      <c r="AX211" s="1"/>
      <c r="BD211" s="143"/>
      <c r="BE211" s="143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3"/>
      <c r="DA211" s="1"/>
      <c r="DP211" s="5"/>
      <c r="DQ211" s="143"/>
      <c r="DR211" s="143"/>
      <c r="DS211" s="143"/>
      <c r="DT211" s="143"/>
      <c r="FW211" s="143"/>
      <c r="JR211" s="143"/>
      <c r="JS211" s="143"/>
      <c r="JT211" s="143"/>
      <c r="JU211" s="143"/>
      <c r="OY211" s="143"/>
      <c r="OZ211" s="143"/>
      <c r="PB211" s="143"/>
      <c r="PP211" s="146"/>
      <c r="PT211" s="143"/>
      <c r="RW211" s="146"/>
      <c r="AHF211" s="142"/>
      <c r="AIU211" s="142"/>
      <c r="AIV211" s="142"/>
      <c r="AIW211" s="142"/>
    </row>
    <row r="212" spans="2:933" hidden="1">
      <c r="B212" s="732"/>
      <c r="C212" s="596" t="s">
        <v>28</v>
      </c>
      <c r="D212" s="464"/>
      <c r="E212" s="497"/>
      <c r="F212" s="441"/>
      <c r="G212" s="441"/>
      <c r="H212" s="440"/>
      <c r="I212" s="441"/>
      <c r="J212" s="441"/>
      <c r="K212" s="441"/>
      <c r="L212" s="441"/>
      <c r="M212" s="441"/>
      <c r="N212" s="441"/>
      <c r="O212" s="441"/>
      <c r="P212" s="441"/>
      <c r="Q212" s="441"/>
      <c r="R212" s="441"/>
      <c r="S212" s="720"/>
      <c r="T212" s="92">
        <f>SUM(F212:R212)</f>
        <v>0</v>
      </c>
      <c r="U212" s="670"/>
      <c r="V212" s="770"/>
      <c r="X212" s="1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R212" s="63"/>
      <c r="AX212" s="1"/>
      <c r="BD212" s="143"/>
      <c r="BE212" s="143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3"/>
      <c r="DA212" s="1"/>
      <c r="DP212" s="5"/>
      <c r="DQ212" s="143"/>
      <c r="DR212" s="143"/>
      <c r="DS212" s="143"/>
      <c r="DT212" s="143"/>
      <c r="FW212" s="143"/>
      <c r="JR212" s="143"/>
      <c r="JS212" s="143"/>
      <c r="JT212" s="143"/>
      <c r="JU212" s="143"/>
      <c r="OY212" s="143"/>
      <c r="OZ212" s="143"/>
      <c r="PB212" s="143"/>
      <c r="PP212" s="146"/>
      <c r="PT212" s="143"/>
      <c r="RW212" s="146"/>
      <c r="AHF212" s="142"/>
      <c r="AIU212" s="142"/>
      <c r="AIV212" s="142"/>
      <c r="AIW212" s="142"/>
    </row>
    <row r="213" spans="2:933" hidden="1">
      <c r="B213" s="732"/>
      <c r="C213" s="596" t="s">
        <v>88</v>
      </c>
      <c r="D213" s="464"/>
      <c r="E213" s="497" t="s">
        <v>28</v>
      </c>
      <c r="F213" s="440">
        <f>F210*12</f>
        <v>4373131.5600000005</v>
      </c>
      <c r="G213" s="440"/>
      <c r="H213" s="440"/>
      <c r="I213" s="440"/>
      <c r="J213" s="440"/>
      <c r="K213" s="440"/>
      <c r="L213" s="440"/>
      <c r="M213" s="440"/>
      <c r="N213" s="440"/>
      <c r="O213" s="440"/>
      <c r="P213" s="440"/>
      <c r="Q213" s="440"/>
      <c r="R213" s="440"/>
      <c r="S213" s="720"/>
      <c r="T213" s="92">
        <f>SUM(F213:R213)</f>
        <v>4373131.5600000005</v>
      </c>
      <c r="U213" s="670"/>
      <c r="V213" s="792"/>
      <c r="X213" s="1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R213" s="63"/>
      <c r="AX213" s="1"/>
      <c r="BD213" s="143"/>
      <c r="BE213" s="143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3"/>
      <c r="DA213" s="1"/>
      <c r="DP213" s="5"/>
      <c r="DQ213" s="143"/>
      <c r="DR213" s="143"/>
      <c r="DS213" s="143"/>
      <c r="DT213" s="143"/>
      <c r="FW213" s="143"/>
      <c r="JR213" s="143"/>
      <c r="JS213" s="143"/>
      <c r="JT213" s="143"/>
      <c r="JU213" s="143"/>
      <c r="OY213" s="143"/>
      <c r="OZ213" s="143"/>
      <c r="PB213" s="143"/>
      <c r="PP213" s="146"/>
      <c r="PT213" s="143"/>
      <c r="RW213" s="146"/>
      <c r="AHF213" s="142"/>
      <c r="AIU213" s="142"/>
      <c r="AIV213" s="142"/>
      <c r="AIW213" s="142"/>
    </row>
    <row r="214" spans="2:933" hidden="1">
      <c r="B214" s="732"/>
      <c r="C214" s="596" t="s">
        <v>117</v>
      </c>
      <c r="D214" s="600"/>
      <c r="E214" s="497" t="s">
        <v>28</v>
      </c>
      <c r="F214" s="440">
        <f>F211*6</f>
        <v>0</v>
      </c>
      <c r="G214" s="440"/>
      <c r="H214" s="440"/>
      <c r="I214" s="440"/>
      <c r="J214" s="440"/>
      <c r="K214" s="440"/>
      <c r="L214" s="440"/>
      <c r="M214" s="440"/>
      <c r="N214" s="440"/>
      <c r="O214" s="440"/>
      <c r="P214" s="440"/>
      <c r="Q214" s="440"/>
      <c r="R214" s="440"/>
      <c r="S214" s="720"/>
      <c r="T214" s="92">
        <f>SUM(F214:R214)</f>
        <v>0</v>
      </c>
      <c r="U214" s="670"/>
      <c r="V214" s="770"/>
      <c r="X214" s="1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R214" s="63"/>
      <c r="AX214" s="1"/>
      <c r="BD214" s="143"/>
      <c r="BE214" s="143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3"/>
      <c r="DA214" s="1"/>
      <c r="DP214" s="5"/>
      <c r="DQ214" s="143"/>
      <c r="DR214" s="143"/>
      <c r="DS214" s="143"/>
      <c r="DT214" s="143"/>
      <c r="FW214" s="143"/>
      <c r="JR214" s="143"/>
      <c r="JS214" s="143"/>
      <c r="JT214" s="143"/>
      <c r="JU214" s="143"/>
      <c r="OY214" s="143"/>
      <c r="OZ214" s="143"/>
      <c r="PB214" s="143"/>
      <c r="PP214" s="146"/>
      <c r="PT214" s="143"/>
      <c r="RW214" s="146"/>
      <c r="AHF214" s="142"/>
      <c r="AIU214" s="142"/>
      <c r="AIV214" s="142"/>
      <c r="AIW214" s="142"/>
    </row>
    <row r="215" spans="2:933" hidden="1">
      <c r="B215" s="732"/>
      <c r="C215" s="420" t="s">
        <v>30</v>
      </c>
      <c r="D215" s="601"/>
      <c r="E215" s="589"/>
      <c r="F215" s="594"/>
      <c r="G215" s="594"/>
      <c r="H215" s="594"/>
      <c r="I215" s="594"/>
      <c r="J215" s="594"/>
      <c r="K215" s="594"/>
      <c r="L215" s="594"/>
      <c r="M215" s="594"/>
      <c r="N215" s="594"/>
      <c r="O215" s="594"/>
      <c r="P215" s="594"/>
      <c r="Q215" s="594"/>
      <c r="R215" s="594"/>
      <c r="S215" s="720"/>
      <c r="T215" s="602" t="s">
        <v>30</v>
      </c>
      <c r="U215" s="693" t="s">
        <v>30</v>
      </c>
      <c r="V215" s="793" t="s">
        <v>30</v>
      </c>
      <c r="X215" s="1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R215" s="63"/>
      <c r="AX215" s="1"/>
      <c r="BD215" s="143"/>
      <c r="BE215" s="143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3"/>
      <c r="DA215" s="1"/>
      <c r="DP215" s="5"/>
      <c r="DQ215" s="143"/>
      <c r="DR215" s="143"/>
      <c r="DS215" s="143"/>
      <c r="DT215" s="143"/>
      <c r="FW215" s="143"/>
      <c r="JR215" s="143"/>
      <c r="JS215" s="143"/>
      <c r="JT215" s="143"/>
      <c r="JU215" s="143"/>
      <c r="OY215" s="143"/>
      <c r="OZ215" s="143"/>
      <c r="PB215" s="143"/>
      <c r="PP215" s="146"/>
      <c r="PT215" s="143"/>
      <c r="RW215" s="146"/>
      <c r="AHF215" s="142"/>
      <c r="AIU215" s="142"/>
      <c r="AIV215" s="142"/>
      <c r="AIW215" s="142"/>
    </row>
    <row r="216" spans="2:933" hidden="1">
      <c r="B216" s="732"/>
      <c r="C216" s="570" t="s">
        <v>29</v>
      </c>
      <c r="D216" s="600"/>
      <c r="E216" s="497"/>
      <c r="F216" s="441"/>
      <c r="G216" s="441"/>
      <c r="H216" s="441"/>
      <c r="I216" s="441"/>
      <c r="J216" s="441"/>
      <c r="K216" s="441"/>
      <c r="L216" s="441"/>
      <c r="M216" s="441"/>
      <c r="N216" s="441"/>
      <c r="O216" s="441"/>
      <c r="P216" s="441"/>
      <c r="Q216" s="441"/>
      <c r="R216" s="441"/>
      <c r="S216" s="720"/>
      <c r="T216" s="59"/>
      <c r="U216" s="670"/>
      <c r="V216" s="770"/>
      <c r="X216" s="1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R216" s="63"/>
      <c r="AX216" s="1"/>
      <c r="BD216" s="143"/>
      <c r="BE216" s="143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3"/>
      <c r="DA216" s="1"/>
      <c r="DP216" s="5"/>
      <c r="DQ216" s="143"/>
      <c r="DR216" s="143"/>
      <c r="DS216" s="143"/>
      <c r="DT216" s="143"/>
      <c r="FW216" s="143"/>
      <c r="JR216" s="143"/>
      <c r="JS216" s="143"/>
      <c r="JT216" s="143"/>
      <c r="JU216" s="143"/>
      <c r="OY216" s="143"/>
      <c r="OZ216" s="143"/>
      <c r="PB216" s="143"/>
      <c r="PP216" s="146"/>
      <c r="PT216" s="143"/>
      <c r="RW216" s="146"/>
      <c r="AHF216" s="142"/>
      <c r="AIU216" s="142"/>
      <c r="AIV216" s="142"/>
      <c r="AIW216" s="142"/>
    </row>
    <row r="217" spans="2:933" hidden="1">
      <c r="B217" s="732"/>
      <c r="C217" s="596" t="s">
        <v>88</v>
      </c>
      <c r="D217" s="528">
        <v>0.3</v>
      </c>
      <c r="E217" s="497" t="s">
        <v>25</v>
      </c>
      <c r="F217" s="441">
        <f>F210/F201*100</f>
        <v>1427.6163669839777</v>
      </c>
      <c r="G217" s="441"/>
      <c r="H217" s="441"/>
      <c r="I217" s="441"/>
      <c r="J217" s="441"/>
      <c r="K217" s="441"/>
      <c r="L217" s="441"/>
      <c r="M217" s="441"/>
      <c r="N217" s="441"/>
      <c r="O217" s="441"/>
      <c r="P217" s="441"/>
      <c r="Q217" s="441"/>
      <c r="R217" s="441"/>
      <c r="S217" s="720"/>
      <c r="T217" s="526">
        <f>T210/T201*100</f>
        <v>1427.6163669839777</v>
      </c>
      <c r="U217" s="670"/>
      <c r="V217" s="770"/>
      <c r="X217" s="1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R217" s="63"/>
      <c r="AX217" s="1"/>
      <c r="BD217" s="143"/>
      <c r="BE217" s="143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3"/>
      <c r="DA217" s="1"/>
      <c r="DP217" s="5"/>
      <c r="DQ217" s="143"/>
      <c r="DR217" s="143"/>
      <c r="DS217" s="143"/>
      <c r="DT217" s="143"/>
      <c r="FW217" s="143"/>
      <c r="JR217" s="143"/>
      <c r="JS217" s="143"/>
      <c r="JT217" s="143"/>
      <c r="JU217" s="143"/>
      <c r="OY217" s="143"/>
      <c r="OZ217" s="143"/>
      <c r="PB217" s="143"/>
      <c r="PP217" s="146"/>
      <c r="PT217" s="143"/>
      <c r="RW217" s="146"/>
      <c r="AHF217" s="142"/>
      <c r="AIU217" s="142"/>
      <c r="AIV217" s="142"/>
      <c r="AIW217" s="142"/>
    </row>
    <row r="218" spans="2:933" hidden="1">
      <c r="B218" s="732"/>
      <c r="C218" s="596" t="s">
        <v>117</v>
      </c>
      <c r="D218" s="528">
        <v>0.3</v>
      </c>
      <c r="E218" s="497" t="s">
        <v>25</v>
      </c>
      <c r="F218" s="441">
        <f>F211/F202*100</f>
        <v>0</v>
      </c>
      <c r="G218" s="441"/>
      <c r="H218" s="441"/>
      <c r="I218" s="441"/>
      <c r="J218" s="441"/>
      <c r="K218" s="441"/>
      <c r="L218" s="441"/>
      <c r="M218" s="441"/>
      <c r="N218" s="441"/>
      <c r="O218" s="441"/>
      <c r="P218" s="441"/>
      <c r="Q218" s="441"/>
      <c r="R218" s="441"/>
      <c r="S218" s="720"/>
      <c r="T218" s="526">
        <f>T211/T202*100</f>
        <v>0</v>
      </c>
      <c r="U218" s="670"/>
      <c r="V218" s="770"/>
      <c r="X218" s="1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R218" s="63"/>
      <c r="AX218" s="1"/>
      <c r="BD218" s="143"/>
      <c r="BE218" s="143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3"/>
      <c r="DA218" s="1"/>
      <c r="DP218" s="5"/>
      <c r="DQ218" s="143"/>
      <c r="DR218" s="143"/>
      <c r="DS218" s="143"/>
      <c r="DT218" s="143"/>
      <c r="FW218" s="143"/>
      <c r="JR218" s="143"/>
      <c r="JS218" s="143"/>
      <c r="JT218" s="143"/>
      <c r="JU218" s="143"/>
      <c r="OY218" s="143"/>
      <c r="OZ218" s="143"/>
      <c r="PB218" s="143"/>
      <c r="PP218" s="146"/>
      <c r="PT218" s="143"/>
      <c r="RW218" s="146"/>
      <c r="AHF218" s="142"/>
      <c r="AIU218" s="142"/>
      <c r="AIV218" s="142"/>
      <c r="AIW218" s="142"/>
    </row>
    <row r="219" spans="2:933" hidden="1">
      <c r="B219" s="732"/>
      <c r="C219" s="570" t="s">
        <v>28</v>
      </c>
      <c r="D219" s="528"/>
      <c r="E219" s="497"/>
      <c r="F219" s="441"/>
      <c r="G219" s="441"/>
      <c r="H219" s="441"/>
      <c r="I219" s="441"/>
      <c r="J219" s="441"/>
      <c r="K219" s="441"/>
      <c r="L219" s="441"/>
      <c r="M219" s="441"/>
      <c r="N219" s="441"/>
      <c r="O219" s="441"/>
      <c r="P219" s="441"/>
      <c r="Q219" s="441"/>
      <c r="R219" s="441"/>
      <c r="S219" s="720"/>
      <c r="T219" s="526"/>
      <c r="U219" s="670"/>
      <c r="V219" s="770"/>
      <c r="X219" s="1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R219" s="63"/>
      <c r="AX219" s="1"/>
      <c r="BD219" s="143"/>
      <c r="BE219" s="143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3"/>
      <c r="DA219" s="1"/>
      <c r="DP219" s="5"/>
      <c r="DQ219" s="143"/>
      <c r="DR219" s="143"/>
      <c r="DS219" s="143"/>
      <c r="DT219" s="143"/>
      <c r="FW219" s="143"/>
      <c r="JR219" s="143"/>
      <c r="JS219" s="143"/>
      <c r="JT219" s="143"/>
      <c r="JU219" s="143"/>
      <c r="OY219" s="143"/>
      <c r="OZ219" s="143"/>
      <c r="PB219" s="143"/>
      <c r="PP219" s="146"/>
      <c r="PT219" s="143"/>
      <c r="RW219" s="146"/>
      <c r="AHF219" s="142"/>
      <c r="AIU219" s="142"/>
      <c r="AIV219" s="142"/>
      <c r="AIW219" s="142"/>
    </row>
    <row r="220" spans="2:933" hidden="1">
      <c r="B220" s="732"/>
      <c r="C220" s="596" t="s">
        <v>88</v>
      </c>
      <c r="D220" s="528">
        <v>0.5</v>
      </c>
      <c r="E220" s="497" t="s">
        <v>25</v>
      </c>
      <c r="F220" s="441">
        <f>F213/F201*100</f>
        <v>17131.396403807736</v>
      </c>
      <c r="G220" s="441"/>
      <c r="H220" s="441"/>
      <c r="I220" s="441"/>
      <c r="J220" s="441"/>
      <c r="K220" s="441"/>
      <c r="L220" s="441"/>
      <c r="M220" s="441"/>
      <c r="N220" s="441"/>
      <c r="O220" s="441"/>
      <c r="P220" s="441"/>
      <c r="Q220" s="441"/>
      <c r="R220" s="441"/>
      <c r="S220" s="720"/>
      <c r="T220" s="526">
        <f>T213/T201*100</f>
        <v>17131.396403807736</v>
      </c>
      <c r="U220" s="670"/>
      <c r="V220" s="792"/>
      <c r="X220" s="1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R220" s="63"/>
      <c r="AX220" s="1"/>
      <c r="BD220" s="143"/>
      <c r="BE220" s="143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H220" s="143"/>
      <c r="DA220" s="1"/>
      <c r="DP220" s="5"/>
      <c r="DQ220" s="143"/>
      <c r="DR220" s="143"/>
      <c r="DS220" s="143"/>
      <c r="DT220" s="143"/>
      <c r="FW220" s="143"/>
      <c r="JR220" s="143"/>
      <c r="JS220" s="143"/>
      <c r="JT220" s="143"/>
      <c r="JU220" s="143"/>
      <c r="OY220" s="143"/>
      <c r="OZ220" s="143"/>
      <c r="PB220" s="143"/>
      <c r="PP220" s="146"/>
      <c r="PT220" s="143"/>
      <c r="RW220" s="146"/>
      <c r="AHF220" s="142"/>
      <c r="AIU220" s="142"/>
      <c r="AIV220" s="142"/>
      <c r="AIW220" s="142"/>
    </row>
    <row r="221" spans="2:933" hidden="1">
      <c r="B221" s="732"/>
      <c r="C221" s="596" t="s">
        <v>117</v>
      </c>
      <c r="D221" s="528">
        <v>0.5</v>
      </c>
      <c r="E221" s="497" t="s">
        <v>25</v>
      </c>
      <c r="F221" s="441">
        <f>F214/F202*100</f>
        <v>0</v>
      </c>
      <c r="G221" s="441"/>
      <c r="H221" s="441"/>
      <c r="I221" s="441"/>
      <c r="J221" s="441"/>
      <c r="K221" s="441"/>
      <c r="L221" s="441"/>
      <c r="M221" s="441"/>
      <c r="N221" s="441"/>
      <c r="O221" s="441"/>
      <c r="P221" s="441"/>
      <c r="Q221" s="441"/>
      <c r="R221" s="441"/>
      <c r="S221" s="720"/>
      <c r="T221" s="529">
        <f>T214/T202*100</f>
        <v>0</v>
      </c>
      <c r="U221" s="670"/>
      <c r="V221" s="792"/>
      <c r="X221" s="1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R221" s="63"/>
      <c r="AX221" s="1"/>
      <c r="BD221" s="143"/>
      <c r="BE221" s="143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CH221" s="143"/>
      <c r="DA221" s="1"/>
      <c r="DP221" s="5"/>
      <c r="DQ221" s="143"/>
      <c r="DR221" s="143"/>
      <c r="DS221" s="143"/>
      <c r="DT221" s="143"/>
      <c r="FW221" s="143"/>
      <c r="JR221" s="143"/>
      <c r="JS221" s="143"/>
      <c r="JT221" s="143"/>
      <c r="JU221" s="143"/>
      <c r="OY221" s="143"/>
      <c r="OZ221" s="143"/>
      <c r="PB221" s="143"/>
      <c r="PP221" s="146"/>
      <c r="PT221" s="143"/>
      <c r="RW221" s="146"/>
      <c r="AHF221" s="142"/>
      <c r="AIU221" s="142"/>
      <c r="AIV221" s="142"/>
      <c r="AIW221" s="142"/>
    </row>
    <row r="222" spans="2:933" hidden="1">
      <c r="B222" s="732"/>
      <c r="C222" s="603" t="s">
        <v>94</v>
      </c>
      <c r="D222" s="604"/>
      <c r="E222" s="605"/>
      <c r="F222" s="606">
        <f>'[2]Januari 24'!AL211</f>
        <v>356139</v>
      </c>
      <c r="G222" s="606"/>
      <c r="H222" s="606"/>
      <c r="I222" s="606"/>
      <c r="J222" s="606"/>
      <c r="K222" s="606"/>
      <c r="L222" s="606"/>
      <c r="M222" s="606"/>
      <c r="N222" s="606"/>
      <c r="O222" s="606"/>
      <c r="P222" s="606"/>
      <c r="Q222" s="606"/>
      <c r="R222" s="606"/>
      <c r="S222" s="721"/>
      <c r="T222" s="607">
        <f>SUM(F222:R222)</f>
        <v>356139</v>
      </c>
      <c r="U222" s="694">
        <v>22250000</v>
      </c>
      <c r="V222" s="794">
        <f>T222/U222*100</f>
        <v>1.6006247191011236</v>
      </c>
      <c r="X222" s="1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R222" s="63"/>
      <c r="AX222" s="1"/>
      <c r="BD222" s="143"/>
      <c r="BE222" s="143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H222" s="143"/>
      <c r="DA222" s="1"/>
      <c r="DP222" s="5"/>
      <c r="DQ222" s="143"/>
      <c r="DR222" s="143"/>
      <c r="DS222" s="143"/>
      <c r="DT222" s="143"/>
      <c r="FW222" s="143"/>
      <c r="JR222" s="143"/>
      <c r="JS222" s="143"/>
      <c r="JT222" s="143"/>
      <c r="JU222" s="143"/>
      <c r="OY222" s="143"/>
      <c r="OZ222" s="143"/>
      <c r="PB222" s="143"/>
      <c r="PP222" s="146"/>
      <c r="PT222" s="143"/>
      <c r="RW222" s="146"/>
      <c r="AHF222" s="142"/>
      <c r="AIU222" s="142"/>
      <c r="AIV222" s="142"/>
      <c r="AIW222" s="142"/>
    </row>
    <row r="223" spans="2:933" hidden="1">
      <c r="B223" s="732"/>
      <c r="C223" s="603" t="s">
        <v>118</v>
      </c>
      <c r="D223" s="604"/>
      <c r="E223" s="605"/>
      <c r="F223" s="606">
        <f>'[2]Januari 24'!AL212</f>
        <v>534116</v>
      </c>
      <c r="G223" s="606"/>
      <c r="H223" s="606"/>
      <c r="I223" s="606"/>
      <c r="J223" s="608"/>
      <c r="K223" s="608"/>
      <c r="L223" s="608"/>
      <c r="M223" s="609"/>
      <c r="N223" s="608"/>
      <c r="O223" s="608"/>
      <c r="P223" s="608"/>
      <c r="Q223" s="608"/>
      <c r="R223" s="608"/>
      <c r="S223" s="721"/>
      <c r="T223" s="607">
        <f>SUM(F223:R223)</f>
        <v>534116</v>
      </c>
      <c r="U223" s="694">
        <v>11435000</v>
      </c>
      <c r="V223" s="794">
        <f>T223/U223*100</f>
        <v>4.6708876257105372</v>
      </c>
      <c r="X223" s="1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R223" s="63"/>
      <c r="AX223" s="1"/>
      <c r="BD223" s="143"/>
      <c r="BE223" s="143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3"/>
      <c r="DA223" s="1"/>
      <c r="DP223" s="5"/>
      <c r="DQ223" s="143"/>
      <c r="DR223" s="143"/>
      <c r="DS223" s="143"/>
      <c r="DT223" s="143"/>
      <c r="FW223" s="143"/>
      <c r="JR223" s="143"/>
      <c r="JS223" s="143"/>
      <c r="JT223" s="143"/>
      <c r="JU223" s="143"/>
      <c r="OY223" s="143"/>
      <c r="OZ223" s="143"/>
      <c r="PB223" s="143"/>
      <c r="PP223" s="146"/>
      <c r="PT223" s="143"/>
      <c r="RW223" s="146"/>
      <c r="AHF223" s="142"/>
      <c r="AIU223" s="142"/>
      <c r="AIV223" s="142"/>
      <c r="AIW223" s="142"/>
    </row>
    <row r="224" spans="2:933" hidden="1">
      <c r="B224" s="732"/>
      <c r="C224" s="610" t="s">
        <v>89</v>
      </c>
      <c r="D224" s="604"/>
      <c r="E224" s="605"/>
      <c r="F224" s="606">
        <f>'[2]Januari 24'!AL213</f>
        <v>845858</v>
      </c>
      <c r="G224" s="606"/>
      <c r="H224" s="606"/>
      <c r="I224" s="606"/>
      <c r="J224" s="606"/>
      <c r="K224" s="606"/>
      <c r="L224" s="606"/>
      <c r="M224" s="609"/>
      <c r="N224" s="606"/>
      <c r="O224" s="606"/>
      <c r="P224" s="609"/>
      <c r="Q224" s="609"/>
      <c r="R224" s="609"/>
      <c r="S224" s="721"/>
      <c r="T224" s="607">
        <f>SUM(F224:R224)</f>
        <v>845858</v>
      </c>
      <c r="U224" s="695">
        <v>71709000</v>
      </c>
      <c r="V224" s="794">
        <f>T224/U224*100</f>
        <v>1.1795702073658816</v>
      </c>
      <c r="X224" s="1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R224" s="63"/>
      <c r="AX224" s="1"/>
      <c r="BD224" s="143"/>
      <c r="BE224" s="143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3"/>
      <c r="DA224" s="1"/>
      <c r="DP224" s="5"/>
      <c r="DQ224" s="143"/>
      <c r="DR224" s="143"/>
      <c r="DS224" s="143"/>
      <c r="DT224" s="143"/>
      <c r="FW224" s="143"/>
      <c r="JR224" s="143"/>
      <c r="JS224" s="143"/>
      <c r="JT224" s="143"/>
      <c r="JU224" s="143"/>
      <c r="OY224" s="143"/>
      <c r="OZ224" s="143"/>
      <c r="PB224" s="143"/>
      <c r="PP224" s="146"/>
      <c r="PT224" s="143"/>
      <c r="RW224" s="146"/>
      <c r="AHF224" s="142"/>
      <c r="AIU224" s="142"/>
      <c r="AIV224" s="142"/>
      <c r="AIW224" s="142"/>
    </row>
    <row r="225" spans="2:933" s="616" customFormat="1" hidden="1">
      <c r="B225" s="729"/>
      <c r="C225" s="611" t="s">
        <v>90</v>
      </c>
      <c r="D225" s="612"/>
      <c r="E225" s="109"/>
      <c r="F225" s="613">
        <f>'[2]Januari 24'!AL214</f>
        <v>1736113</v>
      </c>
      <c r="G225" s="613"/>
      <c r="H225" s="613"/>
      <c r="I225" s="613"/>
      <c r="J225" s="614"/>
      <c r="K225" s="614"/>
      <c r="L225" s="614"/>
      <c r="M225" s="613"/>
      <c r="N225" s="615"/>
      <c r="O225" s="615"/>
      <c r="P225" s="615"/>
      <c r="Q225" s="613"/>
      <c r="R225" s="613"/>
      <c r="S225" s="737"/>
      <c r="T225" s="607">
        <f>SUM(F225:R225)</f>
        <v>1736113</v>
      </c>
      <c r="U225" s="686">
        <f>SUM(U222:U224)</f>
        <v>105394000</v>
      </c>
      <c r="V225" s="794">
        <f>T225/U225*100</f>
        <v>1.6472598060610659</v>
      </c>
      <c r="X225" s="2"/>
      <c r="Y225" s="808"/>
      <c r="Z225" s="808"/>
      <c r="AA225" s="808"/>
      <c r="AB225" s="808"/>
      <c r="AC225" s="808"/>
      <c r="AD225" s="808"/>
      <c r="AE225" s="808"/>
      <c r="AF225" s="808"/>
      <c r="AG225" s="808"/>
      <c r="AH225" s="808"/>
      <c r="AI225" s="808"/>
      <c r="AJ225" s="808"/>
      <c r="AK225" s="808"/>
      <c r="AL225" s="808"/>
      <c r="AM225" s="808"/>
      <c r="AN225" s="808"/>
      <c r="AO225" s="808"/>
      <c r="AP225" s="808"/>
      <c r="AR225" s="808"/>
      <c r="AX225" s="1"/>
      <c r="BD225" s="147"/>
      <c r="BE225" s="147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CH225" s="147"/>
      <c r="DA225" s="2"/>
      <c r="DP225" s="436"/>
      <c r="DQ225" s="147"/>
      <c r="DR225" s="147"/>
      <c r="DS225" s="147"/>
      <c r="DT225" s="147"/>
      <c r="FW225" s="147"/>
      <c r="JR225" s="147"/>
      <c r="JS225" s="147"/>
      <c r="JT225" s="147"/>
      <c r="JU225" s="147"/>
      <c r="OY225" s="147"/>
      <c r="OZ225" s="147"/>
      <c r="PB225" s="147"/>
      <c r="PP225" s="564"/>
      <c r="PT225" s="147"/>
      <c r="RW225" s="564"/>
      <c r="AHF225" s="152"/>
      <c r="AIU225" s="152"/>
      <c r="AIV225" s="152"/>
      <c r="AIW225" s="152"/>
    </row>
    <row r="226" spans="2:933" s="616" customFormat="1" hidden="1">
      <c r="B226" s="729"/>
      <c r="C226" s="611" t="s">
        <v>95</v>
      </c>
      <c r="D226" s="612"/>
      <c r="E226" s="109"/>
      <c r="F226" s="613">
        <f>'[2]Januari 24'!AL215</f>
        <v>1749656.7900000003</v>
      </c>
      <c r="G226" s="613"/>
      <c r="H226" s="613"/>
      <c r="I226" s="613"/>
      <c r="J226" s="613"/>
      <c r="K226" s="613"/>
      <c r="L226" s="613"/>
      <c r="M226" s="613"/>
      <c r="N226" s="613"/>
      <c r="O226" s="613"/>
      <c r="P226" s="613"/>
      <c r="Q226" s="613"/>
      <c r="R226" s="613"/>
      <c r="S226" s="737"/>
      <c r="T226" s="617">
        <f>SUM(F226:R226)</f>
        <v>1749656.7900000003</v>
      </c>
      <c r="U226" s="696">
        <f>SUM(U222:U224)</f>
        <v>105394000</v>
      </c>
      <c r="V226" s="794">
        <f>T226/U226*100</f>
        <v>1.6601104332314935</v>
      </c>
      <c r="X226" s="2"/>
      <c r="Y226" s="808"/>
      <c r="Z226" s="808"/>
      <c r="AA226" s="808"/>
      <c r="AB226" s="808"/>
      <c r="AC226" s="808"/>
      <c r="AD226" s="808"/>
      <c r="AE226" s="808"/>
      <c r="AF226" s="808"/>
      <c r="AG226" s="808"/>
      <c r="AH226" s="808"/>
      <c r="AI226" s="808"/>
      <c r="AJ226" s="808"/>
      <c r="AK226" s="808"/>
      <c r="AL226" s="808"/>
      <c r="AM226" s="808"/>
      <c r="AN226" s="808"/>
      <c r="AO226" s="808"/>
      <c r="AP226" s="808"/>
      <c r="AR226" s="808"/>
      <c r="AX226" s="1"/>
      <c r="BD226" s="147"/>
      <c r="BE226" s="147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CH226" s="147"/>
      <c r="DA226" s="2"/>
      <c r="DP226" s="436"/>
      <c r="DQ226" s="147"/>
      <c r="DR226" s="147"/>
      <c r="DS226" s="147"/>
      <c r="DT226" s="147"/>
      <c r="FW226" s="147"/>
      <c r="JR226" s="147"/>
      <c r="JS226" s="147"/>
      <c r="JT226" s="147"/>
      <c r="JU226" s="147"/>
      <c r="OY226" s="147"/>
      <c r="OZ226" s="147"/>
      <c r="PB226" s="147"/>
      <c r="PP226" s="564"/>
      <c r="PT226" s="147"/>
      <c r="RW226" s="564"/>
      <c r="AHF226" s="152"/>
      <c r="AIU226" s="152"/>
      <c r="AIV226" s="152"/>
      <c r="AIW226" s="152"/>
    </row>
    <row r="227" spans="2:933">
      <c r="B227" s="728">
        <v>9</v>
      </c>
      <c r="C227" s="522" t="s">
        <v>24</v>
      </c>
      <c r="D227" s="618"/>
      <c r="E227" s="77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720"/>
      <c r="T227" s="602" t="s">
        <v>132</v>
      </c>
      <c r="U227" s="679" t="s">
        <v>132</v>
      </c>
      <c r="V227" s="780" t="s">
        <v>132</v>
      </c>
      <c r="X227" s="1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R227" s="63"/>
      <c r="AX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DA227" s="1"/>
    </row>
    <row r="228" spans="2:933">
      <c r="B228" s="729"/>
      <c r="C228" s="463" t="s">
        <v>23</v>
      </c>
      <c r="D228" s="619"/>
      <c r="E228" s="497" t="s">
        <v>19</v>
      </c>
      <c r="F228" s="620">
        <v>0</v>
      </c>
      <c r="G228" s="620"/>
      <c r="H228" s="620"/>
      <c r="I228" s="620"/>
      <c r="J228" s="620"/>
      <c r="K228" s="620"/>
      <c r="L228" s="620"/>
      <c r="M228" s="620"/>
      <c r="N228" s="620"/>
      <c r="O228" s="620"/>
      <c r="P228" s="116"/>
      <c r="Q228" s="620"/>
      <c r="R228" s="620"/>
      <c r="T228" s="621">
        <f>SUM(F228:Q228)</f>
        <v>0</v>
      </c>
      <c r="U228" s="697">
        <v>316731.03000000003</v>
      </c>
      <c r="V228" s="772">
        <f>T228/U228*100</f>
        <v>0</v>
      </c>
      <c r="X228" s="1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R228" s="63"/>
      <c r="AX228" s="1"/>
      <c r="BD228" s="143"/>
      <c r="BE228" s="143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CH228" s="143"/>
      <c r="DA228" s="1"/>
      <c r="DP228" s="5"/>
      <c r="DQ228" s="143"/>
      <c r="DR228" s="143"/>
      <c r="DS228" s="143"/>
      <c r="DT228" s="143"/>
      <c r="FW228" s="143"/>
      <c r="JR228" s="143"/>
      <c r="JS228" s="143"/>
      <c r="JT228" s="143"/>
      <c r="JU228" s="143"/>
      <c r="OY228" s="143"/>
      <c r="OZ228" s="143"/>
      <c r="PB228" s="143"/>
      <c r="PP228" s="146"/>
      <c r="PT228" s="143"/>
      <c r="RW228" s="146"/>
      <c r="AGG228" s="39"/>
      <c r="AHF228" s="142"/>
      <c r="AIU228" s="142"/>
      <c r="AIV228" s="142"/>
      <c r="AIW228" s="142"/>
    </row>
    <row r="229" spans="2:933">
      <c r="B229" s="726"/>
      <c r="C229" s="524" t="s">
        <v>22</v>
      </c>
      <c r="D229" s="622">
        <f>D233</f>
        <v>1460.001</v>
      </c>
      <c r="E229" s="515" t="s">
        <v>19</v>
      </c>
      <c r="F229" s="620">
        <v>0</v>
      </c>
      <c r="G229" s="620"/>
      <c r="H229" s="623"/>
      <c r="I229" s="623"/>
      <c r="J229" s="623"/>
      <c r="K229" s="623"/>
      <c r="L229" s="623"/>
      <c r="M229" s="620"/>
      <c r="N229" s="620"/>
      <c r="O229" s="620"/>
      <c r="P229" s="116"/>
      <c r="Q229" s="620"/>
      <c r="R229" s="624"/>
      <c r="T229" s="625">
        <f>SUM(F229:Q229)</f>
        <v>0</v>
      </c>
      <c r="U229" s="698">
        <v>316731.03000000003</v>
      </c>
      <c r="V229" s="785">
        <f>T229/U229*100</f>
        <v>0</v>
      </c>
      <c r="W229" s="819"/>
      <c r="X229" s="1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R229" s="63"/>
      <c r="AX229" s="173" t="e">
        <f>AW229/AW10</f>
        <v>#DIV/0!</v>
      </c>
      <c r="BD229" s="144"/>
      <c r="BE229" s="144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CH229" s="144"/>
      <c r="DA229" s="1"/>
      <c r="DP229" s="517"/>
      <c r="DQ229" s="144"/>
      <c r="DR229" s="144"/>
      <c r="DS229" s="144"/>
      <c r="DT229" s="144"/>
      <c r="FW229" s="144"/>
      <c r="JR229" s="144"/>
      <c r="JS229" s="144"/>
      <c r="JT229" s="144"/>
      <c r="JU229" s="144"/>
      <c r="OY229" s="144"/>
      <c r="OZ229" s="144"/>
      <c r="PB229" s="144"/>
      <c r="PP229" s="153"/>
      <c r="PT229" s="144"/>
      <c r="RW229" s="153"/>
      <c r="AHF229" s="144"/>
      <c r="AIU229" s="144"/>
      <c r="AIV229" s="144"/>
      <c r="AIW229" s="144"/>
    </row>
    <row r="230" spans="2:933">
      <c r="B230" s="732"/>
      <c r="C230" s="580" t="s">
        <v>11</v>
      </c>
      <c r="D230" s="619"/>
      <c r="E230" s="465"/>
      <c r="F230" s="620">
        <v>0</v>
      </c>
      <c r="G230" s="626"/>
      <c r="H230" s="626"/>
      <c r="I230" s="440"/>
      <c r="J230" s="626"/>
      <c r="K230" s="627"/>
      <c r="L230" s="627"/>
      <c r="M230" s="440"/>
      <c r="N230" s="440"/>
      <c r="O230" s="440"/>
      <c r="P230" s="440"/>
      <c r="Q230" s="440"/>
      <c r="R230" s="628"/>
      <c r="S230" s="720"/>
      <c r="T230" s="714" t="s">
        <v>11</v>
      </c>
      <c r="U230" s="699" t="s">
        <v>11</v>
      </c>
      <c r="V230" s="795" t="s">
        <v>11</v>
      </c>
      <c r="X230" s="1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R230" s="63"/>
      <c r="AX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DA230" s="1"/>
    </row>
    <row r="231" spans="2:933">
      <c r="B231" s="732"/>
      <c r="C231" s="463" t="s">
        <v>21</v>
      </c>
      <c r="D231" s="629">
        <v>292</v>
      </c>
      <c r="E231" s="497" t="s">
        <v>19</v>
      </c>
      <c r="F231" s="620">
        <v>0</v>
      </c>
      <c r="G231" s="620"/>
      <c r="H231" s="620"/>
      <c r="I231" s="630"/>
      <c r="J231" s="620"/>
      <c r="K231" s="1547"/>
      <c r="L231" s="620"/>
      <c r="M231" s="620"/>
      <c r="N231" s="620"/>
      <c r="O231" s="620"/>
      <c r="P231" s="116"/>
      <c r="Q231" s="620"/>
      <c r="R231" s="620"/>
      <c r="S231" s="720"/>
      <c r="T231" s="631">
        <f>SUM(F231:Q231)</f>
        <v>0</v>
      </c>
      <c r="U231" s="700">
        <v>47509.77</v>
      </c>
      <c r="V231" s="796">
        <f>T231/U231*100</f>
        <v>0</v>
      </c>
      <c r="X231" s="1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R231" s="63"/>
      <c r="AX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DA231" s="1"/>
      <c r="XA231" s="39"/>
      <c r="AFR231" s="39"/>
    </row>
    <row r="232" spans="2:933">
      <c r="B232" s="732"/>
      <c r="C232" s="463" t="s">
        <v>20</v>
      </c>
      <c r="D232" s="629">
        <v>1168.001</v>
      </c>
      <c r="E232" s="497" t="s">
        <v>19</v>
      </c>
      <c r="F232" s="620">
        <v>0</v>
      </c>
      <c r="G232" s="620"/>
      <c r="H232" s="620"/>
      <c r="I232" s="620"/>
      <c r="J232" s="620"/>
      <c r="K232" s="620"/>
      <c r="L232" s="620"/>
      <c r="M232" s="620"/>
      <c r="N232" s="620"/>
      <c r="O232" s="620"/>
      <c r="P232" s="116"/>
      <c r="Q232" s="620"/>
      <c r="R232" s="620"/>
      <c r="S232" s="720"/>
      <c r="T232" s="631">
        <f>SUM(F232:Q232)</f>
        <v>0</v>
      </c>
      <c r="U232" s="700">
        <v>269221.26</v>
      </c>
      <c r="V232" s="796">
        <f>T232/U232*100</f>
        <v>0</v>
      </c>
      <c r="X232" s="1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R232" s="63"/>
      <c r="AX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DA232" s="1"/>
      <c r="WZ232" s="39"/>
    </row>
    <row r="233" spans="2:933">
      <c r="B233" s="738"/>
      <c r="C233" s="632" t="s">
        <v>1</v>
      </c>
      <c r="D233" s="633">
        <f>SUM(D231:D232)</f>
        <v>1460.001</v>
      </c>
      <c r="E233" s="25" t="s">
        <v>19</v>
      </c>
      <c r="F233" s="634">
        <v>0</v>
      </c>
      <c r="G233" s="634"/>
      <c r="H233" s="634"/>
      <c r="I233" s="634"/>
      <c r="J233" s="634"/>
      <c r="K233" s="634"/>
      <c r="L233" s="634"/>
      <c r="M233" s="634"/>
      <c r="N233" s="634"/>
      <c r="O233" s="634"/>
      <c r="P233" s="118"/>
      <c r="Q233" s="634"/>
      <c r="R233" s="634"/>
      <c r="S233" s="734"/>
      <c r="T233" s="118">
        <f>SUM(T231:T232)</f>
        <v>0</v>
      </c>
      <c r="U233" s="701">
        <f>SUM(U231:U232)</f>
        <v>316731.03000000003</v>
      </c>
      <c r="V233" s="796">
        <f>T233/U233*100</f>
        <v>0</v>
      </c>
      <c r="X233" s="1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R233" s="63"/>
      <c r="AX233" s="2"/>
      <c r="BD233" s="152"/>
      <c r="BE233" s="152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CH233" s="152"/>
      <c r="DA233" s="1"/>
      <c r="DP233" s="436"/>
      <c r="DQ233" s="152"/>
      <c r="DR233" s="152"/>
      <c r="DS233" s="152"/>
      <c r="DT233" s="152"/>
      <c r="FW233" s="152"/>
      <c r="JR233" s="152"/>
      <c r="JS233" s="152"/>
      <c r="JT233" s="152"/>
      <c r="JU233" s="152"/>
      <c r="OY233" s="152"/>
      <c r="OZ233" s="152"/>
      <c r="PB233" s="152"/>
      <c r="PP233" s="635"/>
      <c r="PT233" s="152"/>
      <c r="RW233" s="635"/>
      <c r="AHF233" s="152"/>
      <c r="AIU233" s="152"/>
      <c r="AIV233" s="152"/>
      <c r="AIW233" s="152"/>
    </row>
    <row r="234" spans="2:933">
      <c r="B234" s="729">
        <v>10</v>
      </c>
      <c r="C234" s="636" t="s">
        <v>18</v>
      </c>
      <c r="D234" s="637"/>
      <c r="E234" s="120"/>
      <c r="F234" s="638"/>
      <c r="G234" s="638"/>
      <c r="H234" s="638"/>
      <c r="I234" s="638"/>
      <c r="J234" s="638"/>
      <c r="K234" s="638"/>
      <c r="L234" s="638"/>
      <c r="M234" s="638"/>
      <c r="N234" s="638"/>
      <c r="O234" s="638"/>
      <c r="P234" s="638"/>
      <c r="Q234" s="638"/>
      <c r="R234" s="638"/>
      <c r="S234" s="734"/>
      <c r="T234" s="716" t="s">
        <v>133</v>
      </c>
      <c r="U234" s="702" t="s">
        <v>133</v>
      </c>
      <c r="V234" s="797" t="s">
        <v>133</v>
      </c>
      <c r="X234" s="1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R234" s="63"/>
      <c r="AX234" s="2"/>
      <c r="BD234" s="152"/>
      <c r="BE234" s="152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CH234" s="152"/>
      <c r="DA234" s="1"/>
      <c r="DP234" s="436"/>
      <c r="DQ234" s="152"/>
      <c r="DR234" s="152"/>
      <c r="DS234" s="152"/>
      <c r="DT234" s="152"/>
      <c r="FW234" s="152"/>
      <c r="JR234" s="152"/>
      <c r="JS234" s="152"/>
      <c r="JT234" s="152"/>
      <c r="JU234" s="152"/>
      <c r="OY234" s="152"/>
      <c r="OZ234" s="152"/>
      <c r="PB234" s="152"/>
      <c r="PP234" s="635"/>
      <c r="PT234" s="152"/>
      <c r="RW234" s="635"/>
      <c r="AHF234" s="152"/>
      <c r="AIU234" s="152"/>
      <c r="AIV234" s="152"/>
      <c r="AIW234" s="152"/>
    </row>
    <row r="235" spans="2:933">
      <c r="B235" s="732"/>
      <c r="C235" s="463" t="s">
        <v>4</v>
      </c>
      <c r="D235" s="640">
        <f>17000*24</f>
        <v>408000</v>
      </c>
      <c r="E235" s="497" t="s">
        <v>14</v>
      </c>
      <c r="F235" s="283">
        <v>0</v>
      </c>
      <c r="G235" s="283"/>
      <c r="H235" s="283"/>
      <c r="I235" s="283"/>
      <c r="J235" s="283"/>
      <c r="K235" s="283"/>
      <c r="L235" s="283"/>
      <c r="M235" s="283"/>
      <c r="N235" s="598"/>
      <c r="O235" s="598"/>
      <c r="P235" s="1738"/>
      <c r="Q235" s="641"/>
      <c r="R235" s="598"/>
      <c r="S235" s="720"/>
      <c r="T235" s="642">
        <f>SUM(F235:Q235)</f>
        <v>0</v>
      </c>
      <c r="U235" s="703">
        <v>110880000</v>
      </c>
      <c r="V235" s="785">
        <f>T235/U235*100</f>
        <v>0</v>
      </c>
      <c r="W235" s="3"/>
      <c r="X235" s="1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R235" s="63"/>
      <c r="AX235" s="2"/>
      <c r="BD235" s="142"/>
      <c r="BE235" s="142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CH235" s="142"/>
      <c r="DA235" s="1"/>
      <c r="DP235" s="5"/>
      <c r="DQ235" s="142"/>
      <c r="DR235" s="142"/>
      <c r="DS235" s="142"/>
      <c r="DT235" s="142"/>
      <c r="FW235" s="142"/>
      <c r="JR235" s="142"/>
      <c r="JS235" s="142"/>
      <c r="JT235" s="142"/>
      <c r="JU235" s="142"/>
      <c r="OY235" s="142"/>
      <c r="OZ235" s="142"/>
      <c r="PB235" s="142"/>
      <c r="PP235" s="482"/>
      <c r="PT235" s="142"/>
      <c r="RW235" s="482"/>
      <c r="AHF235" s="142"/>
      <c r="AIU235" s="142"/>
      <c r="AIV235" s="142"/>
      <c r="AIW235" s="142"/>
    </row>
    <row r="236" spans="2:933">
      <c r="B236" s="729"/>
      <c r="C236" s="570" t="s">
        <v>17</v>
      </c>
      <c r="D236" s="643"/>
      <c r="E236" s="13"/>
      <c r="F236" s="598"/>
      <c r="G236" s="598"/>
      <c r="H236" s="598"/>
      <c r="I236" s="598"/>
      <c r="J236" s="598"/>
      <c r="K236" s="598"/>
      <c r="L236" s="598"/>
      <c r="M236" s="598"/>
      <c r="N236" s="598"/>
      <c r="O236" s="598"/>
      <c r="P236" s="598"/>
      <c r="Q236" s="598"/>
      <c r="R236" s="598"/>
      <c r="S236" s="734"/>
      <c r="T236" s="717" t="s">
        <v>17</v>
      </c>
      <c r="U236" s="704" t="s">
        <v>17</v>
      </c>
      <c r="V236" s="798" t="s">
        <v>17</v>
      </c>
      <c r="W236" s="27"/>
      <c r="X236" s="1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R236" s="63"/>
      <c r="AX236" s="2"/>
      <c r="BD236" s="152"/>
      <c r="BE236" s="152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CH236" s="152"/>
      <c r="DA236" s="1"/>
      <c r="DP236" s="436"/>
      <c r="DQ236" s="152"/>
      <c r="DR236" s="152"/>
      <c r="DS236" s="152"/>
      <c r="DT236" s="152"/>
      <c r="FW236" s="152"/>
      <c r="JR236" s="152"/>
      <c r="JS236" s="152"/>
      <c r="JT236" s="152"/>
      <c r="JU236" s="152"/>
      <c r="OY236" s="152"/>
      <c r="OZ236" s="152"/>
      <c r="PB236" s="152"/>
      <c r="PP236" s="635"/>
      <c r="PT236" s="152"/>
      <c r="RW236" s="635"/>
      <c r="AHF236" s="152"/>
      <c r="AIU236" s="152"/>
      <c r="AIV236" s="152"/>
      <c r="AIW236" s="152"/>
    </row>
    <row r="237" spans="2:933">
      <c r="B237" s="732"/>
      <c r="C237" s="463" t="s">
        <v>16</v>
      </c>
      <c r="D237" s="640">
        <v>180000</v>
      </c>
      <c r="E237" s="497" t="s">
        <v>14</v>
      </c>
      <c r="F237" s="33">
        <v>0</v>
      </c>
      <c r="G237" s="33"/>
      <c r="H237" s="33"/>
      <c r="I237" s="33"/>
      <c r="J237" s="33"/>
      <c r="K237" s="33"/>
      <c r="L237" s="33"/>
      <c r="M237" s="33"/>
      <c r="N237" s="33"/>
      <c r="O237" s="33"/>
      <c r="P237" s="521"/>
      <c r="Q237" s="440"/>
      <c r="R237" s="440"/>
      <c r="S237" s="720"/>
      <c r="T237" s="55">
        <f>SUM(F237:Q237)</f>
        <v>0</v>
      </c>
      <c r="U237" s="667">
        <v>41580000</v>
      </c>
      <c r="V237" s="770">
        <f>T237/U237*100</f>
        <v>0</v>
      </c>
      <c r="W237" s="498"/>
      <c r="X237" s="1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R237" s="63"/>
      <c r="AX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DA237" s="1"/>
    </row>
    <row r="238" spans="2:933">
      <c r="B238" s="732"/>
      <c r="C238" s="463" t="s">
        <v>15</v>
      </c>
      <c r="D238" s="640">
        <v>122000</v>
      </c>
      <c r="E238" s="497" t="s">
        <v>14</v>
      </c>
      <c r="F238" s="33">
        <v>0</v>
      </c>
      <c r="G238" s="33"/>
      <c r="H238" s="33"/>
      <c r="I238" s="33"/>
      <c r="J238" s="33"/>
      <c r="K238" s="33"/>
      <c r="L238" s="33"/>
      <c r="M238" s="33"/>
      <c r="N238" s="33"/>
      <c r="O238" s="33"/>
      <c r="P238" s="521"/>
      <c r="Q238" s="440"/>
      <c r="R238" s="440"/>
      <c r="S238" s="720"/>
      <c r="T238" s="55">
        <f>SUM(F238:Q238)</f>
        <v>0</v>
      </c>
      <c r="U238" s="667">
        <v>28182000</v>
      </c>
      <c r="V238" s="770">
        <f>T238/U238*100</f>
        <v>0</v>
      </c>
      <c r="X238" s="1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R238" s="63"/>
      <c r="AX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DA238" s="1"/>
    </row>
    <row r="239" spans="2:933">
      <c r="B239" s="732"/>
      <c r="C239" s="463" t="s">
        <v>7</v>
      </c>
      <c r="D239" s="640">
        <f>D235-D237-D238</f>
        <v>106000</v>
      </c>
      <c r="E239" s="497" t="s">
        <v>14</v>
      </c>
      <c r="F239" s="440">
        <v>0</v>
      </c>
      <c r="G239" s="440"/>
      <c r="H239" s="440"/>
      <c r="I239" s="440"/>
      <c r="J239" s="440"/>
      <c r="K239" s="440"/>
      <c r="L239" s="33"/>
      <c r="M239" s="440"/>
      <c r="N239" s="440"/>
      <c r="O239" s="440"/>
      <c r="P239" s="1188"/>
      <c r="Q239" s="440"/>
      <c r="R239" s="440"/>
      <c r="S239" s="720"/>
      <c r="T239" s="55">
        <f>SUM(F239:Q239)</f>
        <v>0</v>
      </c>
      <c r="U239" s="667">
        <v>41118000</v>
      </c>
      <c r="V239" s="770">
        <f>T239/U239*100</f>
        <v>0</v>
      </c>
      <c r="X239" s="1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R239" s="63"/>
      <c r="AX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DA239" s="1"/>
    </row>
    <row r="240" spans="2:933">
      <c r="B240" s="729"/>
      <c r="C240" s="580" t="s">
        <v>1</v>
      </c>
      <c r="D240" s="644">
        <f>SUM(D237:D239)</f>
        <v>408000</v>
      </c>
      <c r="E240" s="497" t="s">
        <v>14</v>
      </c>
      <c r="F240" s="598">
        <v>0</v>
      </c>
      <c r="G240" s="598"/>
      <c r="H240" s="598"/>
      <c r="I240" s="598"/>
      <c r="J240" s="598"/>
      <c r="K240" s="598"/>
      <c r="L240" s="598"/>
      <c r="M240" s="598"/>
      <c r="N240" s="598"/>
      <c r="O240" s="598"/>
      <c r="P240" s="55"/>
      <c r="Q240" s="598"/>
      <c r="R240" s="598"/>
      <c r="S240" s="734"/>
      <c r="T240" s="645">
        <f>SUM(T237:T239)</f>
        <v>0</v>
      </c>
      <c r="U240" s="705">
        <f>SUM(U237:U239)</f>
        <v>110880000</v>
      </c>
      <c r="V240" s="770">
        <f>T240/U240*100</f>
        <v>0</v>
      </c>
      <c r="X240" s="1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R240" s="63"/>
      <c r="AX240" s="2"/>
      <c r="BD240" s="152"/>
      <c r="BE240" s="152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CH240" s="152"/>
      <c r="DA240" s="1"/>
      <c r="DP240" s="436"/>
      <c r="DQ240" s="152"/>
      <c r="DR240" s="152"/>
      <c r="DS240" s="152"/>
      <c r="DT240" s="152"/>
      <c r="FW240" s="152"/>
      <c r="JR240" s="152"/>
      <c r="JS240" s="152"/>
      <c r="JT240" s="152"/>
      <c r="JU240" s="152"/>
      <c r="OY240" s="152"/>
      <c r="OZ240" s="152"/>
      <c r="PB240" s="152"/>
      <c r="PP240" s="635"/>
      <c r="PT240" s="152"/>
      <c r="RW240" s="635"/>
      <c r="AHF240" s="152"/>
      <c r="AIU240" s="152"/>
      <c r="AIV240" s="152"/>
      <c r="AIW240" s="152"/>
    </row>
    <row r="241" spans="2:933">
      <c r="B241" s="728">
        <v>11</v>
      </c>
      <c r="C241" s="522" t="s">
        <v>13</v>
      </c>
      <c r="D241" s="646"/>
      <c r="E241" s="77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720"/>
      <c r="T241" s="639" t="s">
        <v>134</v>
      </c>
      <c r="U241" s="702" t="s">
        <v>134</v>
      </c>
      <c r="V241" s="797" t="s">
        <v>134</v>
      </c>
      <c r="X241" s="1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R241" s="63"/>
      <c r="AX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DA241" s="1"/>
    </row>
    <row r="242" spans="2:933" ht="16.2">
      <c r="B242" s="733"/>
      <c r="C242" s="573" t="s">
        <v>12</v>
      </c>
      <c r="D242" s="647">
        <v>750</v>
      </c>
      <c r="E242" s="574" t="s">
        <v>350</v>
      </c>
      <c r="F242" s="582">
        <v>0</v>
      </c>
      <c r="G242" s="582"/>
      <c r="H242" s="582"/>
      <c r="I242" s="582"/>
      <c r="J242" s="582"/>
      <c r="K242" s="582"/>
      <c r="L242" s="582"/>
      <c r="M242" s="582"/>
      <c r="N242" s="582"/>
      <c r="O242" s="582"/>
      <c r="P242" s="1738"/>
      <c r="Q242" s="648"/>
      <c r="R242" s="648"/>
      <c r="T242" s="649">
        <f>SUM(F242:Q242)</f>
        <v>0</v>
      </c>
      <c r="U242" s="706">
        <v>232503.81</v>
      </c>
      <c r="V242" s="785">
        <f>T242/U242*100</f>
        <v>0</v>
      </c>
      <c r="W242" s="820"/>
      <c r="X242" s="1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R242" s="63"/>
      <c r="AX242" s="173">
        <f>AW242/4</f>
        <v>0</v>
      </c>
      <c r="BD242" s="145"/>
      <c r="BE242" s="145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CH242" s="145"/>
      <c r="DA242" s="1"/>
      <c r="DP242" s="518"/>
      <c r="DQ242" s="145"/>
      <c r="DR242" s="145"/>
      <c r="DS242" s="145"/>
      <c r="DT242" s="145"/>
      <c r="FW242" s="145"/>
      <c r="JR242" s="145"/>
      <c r="JS242" s="145"/>
      <c r="JT242" s="145"/>
      <c r="JU242" s="145"/>
      <c r="OY242" s="145"/>
      <c r="OZ242" s="145"/>
      <c r="PB242" s="145"/>
      <c r="PP242" s="511"/>
      <c r="PT242" s="145"/>
      <c r="RW242" s="511"/>
      <c r="AHF242" s="145"/>
      <c r="AIU242" s="145"/>
      <c r="AIV242" s="145"/>
      <c r="AIW242" s="145"/>
    </row>
    <row r="243" spans="2:933">
      <c r="B243" s="733"/>
      <c r="C243" s="650" t="s">
        <v>11</v>
      </c>
      <c r="D243" s="651"/>
      <c r="E243" s="439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T243" s="712" t="s">
        <v>11</v>
      </c>
      <c r="U243" s="707" t="s">
        <v>11</v>
      </c>
      <c r="V243" s="799" t="s">
        <v>11</v>
      </c>
      <c r="X243" s="1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R243" s="63"/>
      <c r="AX243" s="16"/>
      <c r="BD243" s="145"/>
      <c r="BE243" s="145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45"/>
      <c r="DA243" s="1"/>
      <c r="DP243" s="518"/>
      <c r="DQ243" s="145"/>
      <c r="DR243" s="145"/>
      <c r="DS243" s="145"/>
      <c r="DT243" s="145"/>
      <c r="FW243" s="145"/>
      <c r="JR243" s="145"/>
      <c r="JS243" s="145"/>
      <c r="JT243" s="145"/>
      <c r="JU243" s="145"/>
      <c r="OY243" s="145"/>
      <c r="OZ243" s="145"/>
      <c r="PB243" s="145"/>
      <c r="PP243" s="511"/>
      <c r="PT243" s="145"/>
      <c r="RW243" s="511"/>
      <c r="AHF243" s="145"/>
      <c r="AIU243" s="145"/>
      <c r="AIV243" s="145"/>
      <c r="AIW243" s="145"/>
    </row>
    <row r="244" spans="2:933" ht="16.2">
      <c r="B244" s="733"/>
      <c r="C244" s="573" t="s">
        <v>10</v>
      </c>
      <c r="D244" s="652">
        <v>91.5</v>
      </c>
      <c r="E244" s="574" t="s">
        <v>350</v>
      </c>
      <c r="F244" s="29">
        <v>0</v>
      </c>
      <c r="G244" s="29"/>
      <c r="H244" s="29"/>
      <c r="I244" s="29"/>
      <c r="J244" s="29"/>
      <c r="K244" s="29"/>
      <c r="L244" s="29"/>
      <c r="M244" s="29"/>
      <c r="N244" s="29"/>
      <c r="O244" s="29"/>
      <c r="P244" s="521"/>
      <c r="Q244" s="275"/>
      <c r="R244" s="275"/>
      <c r="T244" s="653">
        <f>SUM(F244:Q244)</f>
        <v>0</v>
      </c>
      <c r="U244" s="708">
        <v>18496.169999999998</v>
      </c>
      <c r="V244" s="800">
        <f>T244/U244*100</f>
        <v>0</v>
      </c>
      <c r="W244" s="654"/>
      <c r="X244" s="1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R244" s="63"/>
      <c r="AX244" s="16"/>
      <c r="BD244" s="145"/>
      <c r="BE244" s="145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CH244" s="145"/>
      <c r="DA244" s="1"/>
      <c r="DP244" s="518"/>
      <c r="DQ244" s="145"/>
      <c r="DR244" s="145"/>
      <c r="DS244" s="145"/>
      <c r="DT244" s="145"/>
      <c r="FW244" s="145"/>
      <c r="JR244" s="145"/>
      <c r="JS244" s="145"/>
      <c r="JT244" s="145"/>
      <c r="JU244" s="145"/>
      <c r="OY244" s="145"/>
      <c r="OZ244" s="145"/>
      <c r="PB244" s="145"/>
      <c r="PP244" s="511"/>
      <c r="PT244" s="145"/>
      <c r="RW244" s="511"/>
      <c r="AFR244" s="655" t="e">
        <f>#REF!-T244</f>
        <v>#REF!</v>
      </c>
      <c r="AHF244" s="145"/>
      <c r="AIU244" s="145"/>
      <c r="AIV244" s="145"/>
      <c r="AIW244" s="145"/>
    </row>
    <row r="245" spans="2:933" ht="16.2">
      <c r="B245" s="733"/>
      <c r="C245" s="573" t="s">
        <v>9</v>
      </c>
      <c r="D245" s="652">
        <v>179.63</v>
      </c>
      <c r="E245" s="574" t="s">
        <v>350</v>
      </c>
      <c r="F245" s="29">
        <v>0</v>
      </c>
      <c r="G245" s="29"/>
      <c r="H245" s="29"/>
      <c r="I245" s="29"/>
      <c r="J245" s="29"/>
      <c r="K245" s="29"/>
      <c r="L245" s="29"/>
      <c r="M245" s="29"/>
      <c r="N245" s="29"/>
      <c r="O245" s="29"/>
      <c r="P245" s="521"/>
      <c r="Q245" s="275"/>
      <c r="R245" s="275"/>
      <c r="T245" s="653">
        <f>SUM(F245:Q245)</f>
        <v>0</v>
      </c>
      <c r="U245" s="708">
        <v>31949.61</v>
      </c>
      <c r="V245" s="800">
        <f>T245/U245*100</f>
        <v>0</v>
      </c>
      <c r="X245" s="1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R245" s="63"/>
      <c r="AX245" s="16"/>
      <c r="BD245" s="145"/>
      <c r="BE245" s="145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CH245" s="145"/>
      <c r="DA245" s="1"/>
      <c r="DP245" s="518"/>
      <c r="DQ245" s="145"/>
      <c r="DR245" s="145"/>
      <c r="DS245" s="145"/>
      <c r="DT245" s="145"/>
      <c r="FW245" s="145"/>
      <c r="JR245" s="145"/>
      <c r="JS245" s="145"/>
      <c r="JT245" s="145"/>
      <c r="JU245" s="145"/>
      <c r="OY245" s="145"/>
      <c r="OZ245" s="145"/>
      <c r="PB245" s="145"/>
      <c r="PP245" s="511"/>
      <c r="PT245" s="145"/>
      <c r="RW245" s="511"/>
      <c r="AFR245" s="655" t="e">
        <f>#REF!-T245</f>
        <v>#REF!</v>
      </c>
      <c r="AHF245" s="145"/>
      <c r="AIU245" s="145"/>
      <c r="AIV245" s="145"/>
      <c r="AIW245" s="145"/>
    </row>
    <row r="246" spans="2:933" ht="16.2">
      <c r="B246" s="733"/>
      <c r="C246" s="573" t="s">
        <v>8</v>
      </c>
      <c r="D246" s="647">
        <f>44.69%*D242</f>
        <v>335.17499999999995</v>
      </c>
      <c r="E246" s="574" t="s">
        <v>350</v>
      </c>
      <c r="F246" s="275">
        <v>0</v>
      </c>
      <c r="G246" s="275"/>
      <c r="H246" s="275"/>
      <c r="I246" s="275"/>
      <c r="J246" s="275"/>
      <c r="K246" s="275"/>
      <c r="L246" s="275"/>
      <c r="M246" s="275"/>
      <c r="N246" s="275"/>
      <c r="O246" s="275"/>
      <c r="P246" s="521"/>
      <c r="Q246" s="275"/>
      <c r="R246" s="275"/>
      <c r="T246" s="653">
        <f>SUM(F246:Q246)</f>
        <v>0</v>
      </c>
      <c r="U246" s="708">
        <v>134857.79999999999</v>
      </c>
      <c r="V246" s="800">
        <f>T246/U246*100</f>
        <v>0</v>
      </c>
      <c r="W246" s="655"/>
      <c r="X246" s="1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R246" s="63"/>
      <c r="AX246" s="16"/>
      <c r="BD246" s="145"/>
      <c r="BE246" s="145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CH246" s="145"/>
      <c r="DA246" s="1"/>
      <c r="DP246" s="518"/>
      <c r="DQ246" s="145"/>
      <c r="DR246" s="145"/>
      <c r="DS246" s="145"/>
      <c r="DT246" s="145"/>
      <c r="FW246" s="145"/>
      <c r="JR246" s="145"/>
      <c r="JS246" s="145"/>
      <c r="JT246" s="145"/>
      <c r="JU246" s="145"/>
      <c r="OY246" s="145"/>
      <c r="OZ246" s="145"/>
      <c r="PB246" s="145"/>
      <c r="PP246" s="511"/>
      <c r="PT246" s="145"/>
      <c r="RW246" s="511"/>
      <c r="AHF246" s="145"/>
      <c r="AIU246" s="145"/>
      <c r="AIV246" s="145"/>
      <c r="AIW246" s="145"/>
    </row>
    <row r="247" spans="2:933" ht="16.2">
      <c r="B247" s="733"/>
      <c r="C247" s="573" t="s">
        <v>7</v>
      </c>
      <c r="D247" s="647">
        <f>D242-SUM(D244:D246)</f>
        <v>143.69500000000005</v>
      </c>
      <c r="E247" s="574" t="s">
        <v>350</v>
      </c>
      <c r="F247" s="275">
        <v>0</v>
      </c>
      <c r="G247" s="275"/>
      <c r="H247" s="275"/>
      <c r="I247" s="275"/>
      <c r="J247" s="275"/>
      <c r="K247" s="275"/>
      <c r="L247" s="275"/>
      <c r="M247" s="275"/>
      <c r="N247" s="275"/>
      <c r="O247" s="275"/>
      <c r="P247" s="521"/>
      <c r="Q247" s="275"/>
      <c r="R247" s="275"/>
      <c r="T247" s="653">
        <f>SUM(F247:Q247)</f>
        <v>0</v>
      </c>
      <c r="U247" s="708">
        <f>143.7*231</f>
        <v>33194.699999999997</v>
      </c>
      <c r="V247" s="800">
        <f>T247/U247*100</f>
        <v>0</v>
      </c>
      <c r="W247" s="821"/>
      <c r="X247" s="1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R247" s="63"/>
      <c r="AX247" s="16"/>
      <c r="BD247" s="145"/>
      <c r="BE247" s="145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CH247" s="145"/>
      <c r="DA247" s="1"/>
      <c r="DP247" s="518"/>
      <c r="DQ247" s="145"/>
      <c r="DR247" s="145"/>
      <c r="DS247" s="145"/>
      <c r="DT247" s="145"/>
      <c r="FW247" s="145"/>
      <c r="JR247" s="145"/>
      <c r="JS247" s="145"/>
      <c r="JT247" s="145"/>
      <c r="JU247" s="145"/>
      <c r="OY247" s="145"/>
      <c r="OZ247" s="145"/>
      <c r="PB247" s="145"/>
      <c r="PP247" s="511"/>
      <c r="PT247" s="145"/>
      <c r="RW247" s="511"/>
      <c r="AHF247" s="145"/>
      <c r="AIU247" s="145"/>
      <c r="AIV247" s="145"/>
      <c r="AIW247" s="145"/>
    </row>
    <row r="248" spans="2:933" ht="16.2">
      <c r="B248" s="733"/>
      <c r="C248" s="573" t="s">
        <v>6</v>
      </c>
      <c r="D248" s="647">
        <f>30%*D242</f>
        <v>225</v>
      </c>
      <c r="E248" s="574" t="s">
        <v>350</v>
      </c>
      <c r="F248" s="275">
        <v>0</v>
      </c>
      <c r="G248" s="275"/>
      <c r="H248" s="275"/>
      <c r="I248" s="275"/>
      <c r="J248" s="275"/>
      <c r="K248" s="275"/>
      <c r="L248" s="275"/>
      <c r="M248" s="275"/>
      <c r="N248" s="275"/>
      <c r="O248" s="275"/>
      <c r="P248" s="1747"/>
      <c r="Q248" s="275"/>
      <c r="R248" s="275"/>
      <c r="T248" s="653">
        <f>SUM(F248:Q248)</f>
        <v>0</v>
      </c>
      <c r="U248" s="708">
        <v>47200.23</v>
      </c>
      <c r="V248" s="800">
        <f>T248/U248*100</f>
        <v>0</v>
      </c>
      <c r="X248" s="1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R248" s="63"/>
      <c r="AX248" s="16"/>
      <c r="BD248" s="145"/>
      <c r="BE248" s="145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H248" s="145"/>
      <c r="DA248" s="1"/>
      <c r="DP248" s="518"/>
      <c r="DQ248" s="145"/>
      <c r="DR248" s="145"/>
      <c r="DS248" s="145"/>
      <c r="DT248" s="145"/>
      <c r="FW248" s="145"/>
      <c r="JR248" s="145"/>
      <c r="JS248" s="145"/>
      <c r="JT248" s="145"/>
      <c r="JU248" s="145"/>
      <c r="OY248" s="145"/>
      <c r="OZ248" s="145"/>
      <c r="PB248" s="145"/>
      <c r="PP248" s="511"/>
      <c r="PT248" s="145"/>
      <c r="RW248" s="511"/>
      <c r="AHF248" s="145"/>
      <c r="AIU248" s="145"/>
      <c r="AIV248" s="145"/>
      <c r="AIW248" s="145"/>
    </row>
    <row r="249" spans="2:933">
      <c r="B249" s="2218">
        <v>12</v>
      </c>
      <c r="C249" s="522" t="s">
        <v>5</v>
      </c>
      <c r="D249" s="646"/>
      <c r="E249" s="77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720"/>
      <c r="T249" s="656" t="s">
        <v>135</v>
      </c>
      <c r="U249" s="709" t="s">
        <v>135</v>
      </c>
      <c r="V249" s="801" t="s">
        <v>135</v>
      </c>
      <c r="X249" s="1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R249" s="63"/>
      <c r="AX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DA249" s="1"/>
    </row>
    <row r="250" spans="2:933">
      <c r="B250" s="2219"/>
      <c r="C250" s="657" t="s">
        <v>4</v>
      </c>
      <c r="D250" s="658"/>
      <c r="E250" s="659"/>
      <c r="F250" s="440"/>
      <c r="G250" s="440"/>
      <c r="H250" s="440"/>
      <c r="I250" s="440"/>
      <c r="J250" s="440"/>
      <c r="K250" s="440"/>
      <c r="L250" s="440"/>
      <c r="M250" s="440"/>
      <c r="N250" s="440"/>
      <c r="O250" s="440"/>
      <c r="P250" s="440"/>
      <c r="Q250" s="440"/>
      <c r="R250" s="440"/>
      <c r="S250" s="720"/>
      <c r="T250" s="714" t="s">
        <v>4</v>
      </c>
      <c r="U250" s="699" t="s">
        <v>4</v>
      </c>
      <c r="V250" s="795" t="s">
        <v>4</v>
      </c>
      <c r="X250" s="1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R250" s="63"/>
      <c r="AX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DA250" s="1"/>
    </row>
    <row r="251" spans="2:933">
      <c r="B251" s="2219"/>
      <c r="C251" s="524" t="s">
        <v>3</v>
      </c>
      <c r="D251" s="640">
        <v>28770</v>
      </c>
      <c r="E251" s="478" t="s">
        <v>2</v>
      </c>
      <c r="F251" s="440">
        <v>0</v>
      </c>
      <c r="G251" s="440"/>
      <c r="H251" s="599"/>
      <c r="I251" s="599"/>
      <c r="J251" s="440"/>
      <c r="K251" s="599"/>
      <c r="L251" s="440"/>
      <c r="M251" s="599"/>
      <c r="N251" s="440"/>
      <c r="O251" s="440"/>
      <c r="P251" s="1748"/>
      <c r="Q251" s="1733"/>
      <c r="R251" s="440"/>
      <c r="S251" s="720"/>
      <c r="T251" s="451">
        <f>SUM(F251:Q251)</f>
        <v>0</v>
      </c>
      <c r="U251" s="669">
        <v>6906893</v>
      </c>
      <c r="V251" s="772">
        <f>T251/U251*100</f>
        <v>0</v>
      </c>
      <c r="X251" s="1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R251" s="63"/>
      <c r="AX251" s="173">
        <f>AW251/4</f>
        <v>0</v>
      </c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DA251" s="1"/>
    </row>
    <row r="252" spans="2:933" ht="15" thickBot="1">
      <c r="B252" s="2219"/>
      <c r="C252" s="657" t="s">
        <v>1</v>
      </c>
      <c r="D252" s="643"/>
      <c r="E252" s="70" t="s">
        <v>0</v>
      </c>
      <c r="F252" s="598">
        <v>0</v>
      </c>
      <c r="G252" s="598"/>
      <c r="H252" s="598"/>
      <c r="I252" s="598"/>
      <c r="J252" s="598"/>
      <c r="K252" s="598"/>
      <c r="L252" s="598"/>
      <c r="M252" s="598"/>
      <c r="N252" s="598"/>
      <c r="O252" s="598"/>
      <c r="P252" s="598"/>
      <c r="Q252" s="1734"/>
      <c r="R252" s="598"/>
      <c r="S252" s="721"/>
      <c r="T252" s="645">
        <f>SUM(F252:Q252)</f>
        <v>0</v>
      </c>
      <c r="U252" s="662">
        <v>9666771</v>
      </c>
      <c r="V252" s="802">
        <f>T252/U252*100</f>
        <v>0</v>
      </c>
      <c r="W252" s="416"/>
      <c r="X252" s="1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R252" s="63"/>
      <c r="AX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DA252" s="1"/>
    </row>
    <row r="253" spans="2:933">
      <c r="B253" s="2219"/>
      <c r="C253" s="746" t="s">
        <v>16</v>
      </c>
      <c r="D253" s="752"/>
      <c r="E253" s="752"/>
      <c r="F253" s="753"/>
      <c r="G253" s="753"/>
      <c r="H253" s="753"/>
      <c r="I253" s="534"/>
      <c r="J253" s="753"/>
      <c r="K253" s="753"/>
      <c r="L253" s="534"/>
      <c r="M253" s="534"/>
      <c r="N253" s="753"/>
      <c r="O253" s="753"/>
      <c r="P253" s="753"/>
      <c r="Q253" s="753"/>
      <c r="R253" s="660"/>
      <c r="S253" s="752"/>
      <c r="T253" s="125" t="s">
        <v>16</v>
      </c>
      <c r="AO253" s="63"/>
      <c r="AP253" s="803"/>
      <c r="AQ253" s="63"/>
      <c r="AS253" s="63"/>
      <c r="BX253" s="1"/>
      <c r="BY253" s="1"/>
      <c r="BZ253" s="1"/>
      <c r="DB253" s="1"/>
    </row>
    <row r="254" spans="2:933" ht="15" thickBot="1">
      <c r="B254" s="2219"/>
      <c r="C254" s="747" t="s">
        <v>119</v>
      </c>
      <c r="D254" s="750">
        <v>5404.17</v>
      </c>
      <c r="E254" s="751" t="s">
        <v>2</v>
      </c>
      <c r="F254" s="826">
        <v>0</v>
      </c>
      <c r="G254" s="534"/>
      <c r="H254" s="534"/>
      <c r="I254" s="534"/>
      <c r="J254" s="534"/>
      <c r="K254" s="534"/>
      <c r="L254" s="826"/>
      <c r="M254" s="826"/>
      <c r="N254" s="828"/>
      <c r="O254" s="828"/>
      <c r="P254" s="1749"/>
      <c r="Q254" s="534"/>
      <c r="R254" s="660"/>
      <c r="S254" s="752"/>
      <c r="T254" s="645">
        <f>SUM(E254:Q254)</f>
        <v>0</v>
      </c>
      <c r="U254" s="661">
        <f>SUM(F254:S254)</f>
        <v>0</v>
      </c>
    </row>
    <row r="255" spans="2:933" ht="15" thickBot="1">
      <c r="B255" s="2219"/>
      <c r="C255" s="747" t="s">
        <v>120</v>
      </c>
      <c r="D255" s="750">
        <v>3850.42</v>
      </c>
      <c r="E255" s="751" t="s">
        <v>2</v>
      </c>
      <c r="F255" s="826">
        <v>0</v>
      </c>
      <c r="G255" s="534"/>
      <c r="H255" s="534"/>
      <c r="I255" s="534"/>
      <c r="J255" s="534"/>
      <c r="K255" s="534"/>
      <c r="L255" s="826"/>
      <c r="M255" s="826"/>
      <c r="N255" s="828"/>
      <c r="O255" s="828"/>
      <c r="P255" s="828"/>
      <c r="Q255" s="534"/>
      <c r="R255" s="660"/>
      <c r="S255" s="752"/>
      <c r="T255" s="645">
        <f>SUM(E255:Q255)</f>
        <v>0</v>
      </c>
      <c r="U255" s="662">
        <f>SUM(F255:S255)</f>
        <v>0</v>
      </c>
    </row>
    <row r="256" spans="2:933" ht="15" thickBot="1">
      <c r="B256" s="2219"/>
      <c r="C256" s="748" t="s">
        <v>15</v>
      </c>
      <c r="D256" s="750"/>
      <c r="E256" s="752"/>
      <c r="F256" s="826"/>
      <c r="G256" s="534"/>
      <c r="H256" s="534"/>
      <c r="I256" s="534"/>
      <c r="J256" s="534"/>
      <c r="K256" s="534"/>
      <c r="L256" s="826"/>
      <c r="M256" s="826"/>
      <c r="N256" s="828"/>
      <c r="O256" s="828"/>
      <c r="P256" s="828"/>
      <c r="Q256" s="534"/>
      <c r="R256" s="660"/>
      <c r="S256" s="752"/>
      <c r="T256" s="126" t="s">
        <v>15</v>
      </c>
    </row>
    <row r="257" spans="2:40" ht="15" thickBot="1">
      <c r="B257" s="2219"/>
      <c r="C257" s="747" t="s">
        <v>121</v>
      </c>
      <c r="D257" s="750">
        <v>5759.67</v>
      </c>
      <c r="E257" s="751" t="s">
        <v>2</v>
      </c>
      <c r="F257" s="826">
        <v>0</v>
      </c>
      <c r="G257" s="534"/>
      <c r="H257" s="534"/>
      <c r="I257" s="534"/>
      <c r="J257" s="534"/>
      <c r="K257" s="534"/>
      <c r="L257" s="826"/>
      <c r="M257" s="826"/>
      <c r="N257" s="828"/>
      <c r="O257" s="828"/>
      <c r="P257" s="828"/>
      <c r="Q257" s="534"/>
      <c r="R257" s="660"/>
      <c r="S257" s="752"/>
      <c r="T257" s="645">
        <f>SUM(E257:Q257)</f>
        <v>0</v>
      </c>
      <c r="U257" s="663">
        <f>SUM(F257:S257)</f>
        <v>0</v>
      </c>
    </row>
    <row r="258" spans="2:40" ht="15" thickBot="1">
      <c r="B258" s="2219"/>
      <c r="C258" s="747" t="s">
        <v>120</v>
      </c>
      <c r="D258" s="750">
        <v>1308.96</v>
      </c>
      <c r="E258" s="751" t="s">
        <v>2</v>
      </c>
      <c r="F258" s="826">
        <v>0</v>
      </c>
      <c r="G258" s="534"/>
      <c r="H258" s="534"/>
      <c r="I258" s="534"/>
      <c r="J258" s="534"/>
      <c r="K258" s="534"/>
      <c r="L258" s="826"/>
      <c r="M258" s="826"/>
      <c r="N258" s="828"/>
      <c r="O258" s="828"/>
      <c r="P258" s="828"/>
      <c r="Q258" s="534"/>
      <c r="R258" s="660"/>
      <c r="S258" s="752"/>
      <c r="T258" s="645">
        <f>SUM(E258:Q258)</f>
        <v>0</v>
      </c>
      <c r="U258" s="662">
        <f>SUM(F258:S258)</f>
        <v>0</v>
      </c>
    </row>
    <row r="259" spans="2:40" ht="15" thickBot="1">
      <c r="B259" s="2219"/>
      <c r="C259" s="748" t="s">
        <v>7</v>
      </c>
      <c r="D259" s="750"/>
      <c r="E259" s="752"/>
      <c r="F259" s="826"/>
      <c r="G259" s="534"/>
      <c r="H259" s="534"/>
      <c r="I259" s="534"/>
      <c r="J259" s="534"/>
      <c r="K259" s="534"/>
      <c r="L259" s="826"/>
      <c r="M259" s="826"/>
      <c r="N259" s="828"/>
      <c r="O259" s="828"/>
      <c r="P259" s="828"/>
      <c r="Q259" s="534"/>
      <c r="R259" s="660"/>
      <c r="S259" s="752"/>
      <c r="T259" s="126" t="s">
        <v>7</v>
      </c>
      <c r="AL259" s="434"/>
      <c r="AM259" s="434"/>
      <c r="AN259" s="434"/>
    </row>
    <row r="260" spans="2:40" ht="15" thickBot="1">
      <c r="B260" s="2219"/>
      <c r="C260" s="747" t="s">
        <v>122</v>
      </c>
      <c r="D260" s="750">
        <v>11.81</v>
      </c>
      <c r="E260" s="751" t="s">
        <v>2</v>
      </c>
      <c r="F260" s="826">
        <v>0</v>
      </c>
      <c r="G260" s="534"/>
      <c r="H260" s="534"/>
      <c r="I260" s="534"/>
      <c r="J260" s="534"/>
      <c r="K260" s="534"/>
      <c r="L260" s="826"/>
      <c r="M260" s="826"/>
      <c r="N260" s="828"/>
      <c r="O260" s="828"/>
      <c r="P260" s="828"/>
      <c r="Q260" s="534"/>
      <c r="R260" s="660"/>
      <c r="S260" s="752"/>
      <c r="T260" s="645">
        <f>SUM(E260:Q260)</f>
        <v>0</v>
      </c>
      <c r="U260" s="663">
        <f>SUM(F260:S260)</f>
        <v>0</v>
      </c>
      <c r="AL260" s="434"/>
      <c r="AM260" s="434"/>
      <c r="AN260" s="434"/>
    </row>
    <row r="261" spans="2:40" ht="15" thickBot="1">
      <c r="B261" s="2220"/>
      <c r="C261" s="749" t="s">
        <v>123</v>
      </c>
      <c r="D261" s="756">
        <v>241.12</v>
      </c>
      <c r="E261" s="757" t="s">
        <v>2</v>
      </c>
      <c r="F261" s="827"/>
      <c r="G261" s="739">
        <v>0</v>
      </c>
      <c r="H261" s="739"/>
      <c r="I261" s="739"/>
      <c r="J261" s="739"/>
      <c r="K261" s="739"/>
      <c r="L261" s="827"/>
      <c r="M261" s="827"/>
      <c r="N261" s="829"/>
      <c r="O261" s="829"/>
      <c r="P261" s="829"/>
      <c r="Q261" s="739"/>
      <c r="R261" s="740"/>
      <c r="S261" s="754"/>
      <c r="T261" s="755">
        <f>SUM(E261:Q261)</f>
        <v>0</v>
      </c>
      <c r="U261" s="662">
        <f>SUM(F261:S261)</f>
        <v>0</v>
      </c>
      <c r="AL261" s="434"/>
      <c r="AM261" s="434"/>
      <c r="AN261" s="434"/>
    </row>
    <row r="262" spans="2:40">
      <c r="I262" s="1"/>
      <c r="AK262" s="4"/>
      <c r="AL262" s="4"/>
    </row>
    <row r="263" spans="2:40">
      <c r="I263" s="1"/>
      <c r="P263" s="416"/>
      <c r="AK263" s="4"/>
      <c r="AL263" s="4"/>
    </row>
    <row r="264" spans="2:40">
      <c r="I264" s="1"/>
      <c r="P264" s="416"/>
    </row>
  </sheetData>
  <mergeCells count="12">
    <mergeCell ref="F4:R4"/>
    <mergeCell ref="B6:B67"/>
    <mergeCell ref="B249:B261"/>
    <mergeCell ref="B4:B5"/>
    <mergeCell ref="C4:C5"/>
    <mergeCell ref="D4:D5"/>
    <mergeCell ref="E4:E5"/>
    <mergeCell ref="AF32:AG32"/>
    <mergeCell ref="AF34:AG34"/>
    <mergeCell ref="AF35:AG35"/>
    <mergeCell ref="AH35:AL35"/>
    <mergeCell ref="B68:B7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I15" sqref="I15"/>
    </sheetView>
  </sheetViews>
  <sheetFormatPr defaultColWidth="8.5546875" defaultRowHeight="14.4"/>
  <cols>
    <col min="1" max="1" width="4.44140625" style="916" customWidth="1"/>
    <col min="2" max="2" width="38.44140625" style="916" customWidth="1"/>
    <col min="3" max="3" width="17.44140625" style="916" bestFit="1" customWidth="1"/>
    <col min="4" max="4" width="13.5546875" style="916" customWidth="1"/>
    <col min="5" max="5" width="22" style="916" customWidth="1"/>
    <col min="6" max="6" width="10" style="916" customWidth="1"/>
    <col min="7" max="7" width="16.44140625" style="916" customWidth="1"/>
    <col min="8" max="8" width="17.44140625" style="916" customWidth="1"/>
    <col min="9" max="9" width="16.44140625" style="916" bestFit="1" customWidth="1"/>
    <col min="10" max="10" width="12.44140625" style="916" customWidth="1"/>
    <col min="11" max="11" width="17.44140625" style="916" bestFit="1" customWidth="1"/>
    <col min="12" max="12" width="12.44140625" style="916" customWidth="1"/>
    <col min="13" max="13" width="10.5546875" style="916" bestFit="1" customWidth="1"/>
    <col min="14" max="14" width="20.44140625" style="916" bestFit="1" customWidth="1"/>
    <col min="15" max="15" width="14.44140625" style="916" customWidth="1"/>
    <col min="16" max="28" width="7.5546875" style="916" customWidth="1"/>
    <col min="29" max="29" width="11" style="916" customWidth="1"/>
    <col min="30" max="41" width="13.44140625" style="916" hidden="1" customWidth="1"/>
    <col min="42" max="42" width="15.5546875" style="916" customWidth="1"/>
    <col min="43" max="16384" width="8.5546875" style="916"/>
  </cols>
  <sheetData>
    <row r="2" spans="2:13" ht="20.85" customHeight="1">
      <c r="B2" s="1077" t="s">
        <v>561</v>
      </c>
      <c r="C2" s="1078"/>
      <c r="E2" s="1078"/>
      <c r="F2" s="1078"/>
      <c r="G2" s="916" t="s">
        <v>562</v>
      </c>
      <c r="H2" s="1184">
        <v>16000</v>
      </c>
    </row>
    <row r="3" spans="2:13" ht="23.85" customHeight="1">
      <c r="B3" s="1079" t="s">
        <v>384</v>
      </c>
      <c r="C3" s="2227" t="s">
        <v>219</v>
      </c>
      <c r="D3" s="2228"/>
      <c r="E3" s="1080" t="s">
        <v>563</v>
      </c>
      <c r="F3" s="2229" t="s">
        <v>564</v>
      </c>
      <c r="G3" s="2230"/>
      <c r="H3" s="1081" t="s">
        <v>565</v>
      </c>
    </row>
    <row r="4" spans="2:13" ht="21" customHeight="1">
      <c r="B4" s="1082" t="s">
        <v>566</v>
      </c>
      <c r="C4" s="1083">
        <f>408/24</f>
        <v>17</v>
      </c>
      <c r="D4" s="1084" t="s">
        <v>567</v>
      </c>
      <c r="E4" s="1189">
        <v>147</v>
      </c>
      <c r="F4" s="2231"/>
      <c r="G4" s="2232"/>
      <c r="H4" s="1085" t="s">
        <v>271</v>
      </c>
    </row>
    <row r="5" spans="2:13">
      <c r="B5" s="1086" t="s">
        <v>568</v>
      </c>
      <c r="C5" s="1087">
        <v>1000</v>
      </c>
      <c r="D5" s="1088" t="s">
        <v>241</v>
      </c>
      <c r="E5" s="1089" t="e">
        <f>#REF!</f>
        <v>#REF!</v>
      </c>
      <c r="F5" s="1090">
        <v>11.5</v>
      </c>
      <c r="G5" s="1088" t="s">
        <v>569</v>
      </c>
      <c r="H5" s="1091" t="e">
        <f>E5*H2*F5</f>
        <v>#REF!</v>
      </c>
      <c r="I5" s="1092" t="s">
        <v>570</v>
      </c>
      <c r="J5" s="1092"/>
    </row>
    <row r="6" spans="2:13">
      <c r="B6" s="1093" t="s">
        <v>571</v>
      </c>
      <c r="C6" s="1094"/>
      <c r="D6" s="1095"/>
      <c r="E6" s="1096"/>
      <c r="F6" s="1094"/>
      <c r="G6" s="1095"/>
      <c r="H6" s="1097"/>
    </row>
    <row r="7" spans="2:13">
      <c r="B7" s="1098" t="s">
        <v>572</v>
      </c>
      <c r="C7" s="1099">
        <v>7.3</v>
      </c>
      <c r="D7" s="1095" t="s">
        <v>573</v>
      </c>
      <c r="E7" s="1100">
        <f t="shared" ref="E7:E12" si="0">C7</f>
        <v>7.3</v>
      </c>
      <c r="F7" s="1094">
        <v>25340</v>
      </c>
      <c r="G7" s="1095" t="s">
        <v>574</v>
      </c>
      <c r="H7" s="1097">
        <f t="shared" ref="H7:H12" si="1">E7*F7</f>
        <v>184982</v>
      </c>
      <c r="K7" s="1101"/>
    </row>
    <row r="8" spans="2:13">
      <c r="B8" s="1098" t="s">
        <v>575</v>
      </c>
      <c r="C8" s="1099">
        <v>2.4</v>
      </c>
      <c r="D8" s="1095" t="s">
        <v>573</v>
      </c>
      <c r="E8" s="1100">
        <f t="shared" si="0"/>
        <v>2.4</v>
      </c>
      <c r="F8" s="1094">
        <v>110000</v>
      </c>
      <c r="G8" s="1095" t="s">
        <v>574</v>
      </c>
      <c r="H8" s="1097">
        <f t="shared" si="1"/>
        <v>264000</v>
      </c>
      <c r="K8" s="1101"/>
    </row>
    <row r="9" spans="2:13">
      <c r="B9" s="1098" t="s">
        <v>576</v>
      </c>
      <c r="C9" s="1099">
        <v>2.4</v>
      </c>
      <c r="D9" s="1095" t="s">
        <v>573</v>
      </c>
      <c r="E9" s="1100">
        <f t="shared" si="0"/>
        <v>2.4</v>
      </c>
      <c r="F9" s="1094">
        <v>20160</v>
      </c>
      <c r="G9" s="1095" t="s">
        <v>574</v>
      </c>
      <c r="H9" s="1097">
        <f t="shared" si="1"/>
        <v>48384</v>
      </c>
      <c r="K9" s="1101"/>
    </row>
    <row r="10" spans="2:13">
      <c r="B10" s="1098" t="s">
        <v>577</v>
      </c>
      <c r="C10" s="1099">
        <v>5.8</v>
      </c>
      <c r="D10" s="1095" t="s">
        <v>573</v>
      </c>
      <c r="E10" s="1100">
        <f t="shared" si="0"/>
        <v>5.8</v>
      </c>
      <c r="F10" s="1094">
        <v>31800</v>
      </c>
      <c r="G10" s="1095" t="s">
        <v>574</v>
      </c>
      <c r="H10" s="1097">
        <f t="shared" si="1"/>
        <v>184440</v>
      </c>
      <c r="K10" s="1101"/>
    </row>
    <row r="11" spans="2:13">
      <c r="B11" s="1098" t="s">
        <v>578</v>
      </c>
      <c r="C11" s="1099">
        <v>1.4</v>
      </c>
      <c r="D11" s="1095" t="s">
        <v>573</v>
      </c>
      <c r="E11" s="1100">
        <f t="shared" si="0"/>
        <v>1.4</v>
      </c>
      <c r="F11" s="1094">
        <v>39320</v>
      </c>
      <c r="G11" s="1095" t="s">
        <v>574</v>
      </c>
      <c r="H11" s="1097">
        <f>E11*F11</f>
        <v>55048</v>
      </c>
      <c r="K11" s="1101"/>
    </row>
    <row r="12" spans="2:13">
      <c r="B12" s="1093" t="s">
        <v>579</v>
      </c>
      <c r="C12" s="1102">
        <f>[3]L.Water!C12*83%</f>
        <v>408.01969999999994</v>
      </c>
      <c r="D12" s="1095" t="s">
        <v>254</v>
      </c>
      <c r="E12" s="1096">
        <f t="shared" si="0"/>
        <v>408.01969999999994</v>
      </c>
      <c r="F12" s="1094">
        <f>[3]L.Water!F12</f>
        <v>10162</v>
      </c>
      <c r="G12" s="1095" t="s">
        <v>580</v>
      </c>
      <c r="H12" s="1097">
        <f t="shared" si="1"/>
        <v>4146296.1913999994</v>
      </c>
      <c r="K12" s="1101"/>
    </row>
    <row r="13" spans="2:13">
      <c r="B13" s="1093" t="s">
        <v>581</v>
      </c>
      <c r="C13" s="1094"/>
      <c r="D13" s="1095" t="s">
        <v>271</v>
      </c>
      <c r="E13" s="1096"/>
      <c r="F13" s="1094"/>
      <c r="G13" s="1095"/>
      <c r="H13" s="1097">
        <f>C13</f>
        <v>0</v>
      </c>
      <c r="J13" s="1092"/>
    </row>
    <row r="14" spans="2:13">
      <c r="B14" s="1103" t="s">
        <v>582</v>
      </c>
      <c r="C14" s="1104"/>
      <c r="D14" s="1105"/>
      <c r="E14" s="1104"/>
      <c r="F14" s="1104"/>
      <c r="G14" s="1105"/>
      <c r="H14" s="1106" t="e">
        <f>SUM(H5:H13)</f>
        <v>#REF!</v>
      </c>
    </row>
    <row r="15" spans="2:13" ht="21" customHeight="1">
      <c r="C15" s="1078"/>
      <c r="E15" s="1078"/>
      <c r="F15" s="2233" t="s">
        <v>583</v>
      </c>
      <c r="G15" s="2234"/>
      <c r="H15" s="1107" t="e">
        <f>H14/E4/10</f>
        <v>#REF!</v>
      </c>
    </row>
    <row r="16" spans="2:13">
      <c r="M16" s="1101"/>
    </row>
    <row r="17" spans="2:41">
      <c r="B17" s="916" t="s">
        <v>584</v>
      </c>
      <c r="M17" s="1101"/>
      <c r="O17" s="1101"/>
      <c r="P17" s="1101"/>
      <c r="Q17" s="1101"/>
      <c r="R17" s="1101"/>
      <c r="S17" s="1101"/>
      <c r="T17" s="1101"/>
      <c r="U17" s="1101"/>
      <c r="V17" s="1101"/>
      <c r="W17" s="1101"/>
      <c r="X17" s="1101"/>
      <c r="Y17" s="1101"/>
      <c r="Z17" s="1101"/>
      <c r="AA17" s="1101"/>
      <c r="AB17" s="1101"/>
      <c r="AC17" s="1101"/>
      <c r="AD17" s="1101"/>
      <c r="AE17" s="1101"/>
      <c r="AF17" s="1101"/>
      <c r="AG17" s="1101"/>
      <c r="AH17" s="1101"/>
      <c r="AI17" s="1101"/>
      <c r="AJ17" s="1101"/>
      <c r="AK17" s="1101"/>
      <c r="AL17" s="1101"/>
      <c r="AM17" s="1101"/>
      <c r="AN17" s="1101"/>
      <c r="AO17" s="1101"/>
    </row>
    <row r="18" spans="2:41">
      <c r="B18" s="916" t="s">
        <v>585</v>
      </c>
      <c r="M18" s="1101"/>
      <c r="O18" s="1101"/>
      <c r="P18" s="1101"/>
      <c r="Q18" s="1101"/>
      <c r="R18" s="1101"/>
      <c r="S18" s="1101"/>
      <c r="T18" s="1101"/>
      <c r="U18" s="1101"/>
      <c r="V18" s="1101"/>
      <c r="W18" s="1101"/>
      <c r="X18" s="1101"/>
      <c r="Y18" s="1101"/>
      <c r="Z18" s="1101"/>
      <c r="AA18" s="1101"/>
      <c r="AB18" s="1101"/>
      <c r="AC18" s="1101"/>
      <c r="AD18" s="1101"/>
      <c r="AE18" s="1101"/>
      <c r="AF18" s="1101"/>
      <c r="AG18" s="1101"/>
      <c r="AH18" s="1101"/>
      <c r="AI18" s="1101"/>
      <c r="AJ18" s="1101"/>
      <c r="AK18" s="1101"/>
      <c r="AL18" s="1101"/>
      <c r="AM18" s="1101"/>
      <c r="AN18" s="1101"/>
      <c r="AO18" s="1101"/>
    </row>
    <row r="19" spans="2:41">
      <c r="M19" s="1101"/>
      <c r="N19" s="1101"/>
    </row>
    <row r="20" spans="2:41">
      <c r="M20" s="1101"/>
      <c r="N20" s="1101"/>
    </row>
    <row r="21" spans="2:41">
      <c r="M21" s="1101"/>
    </row>
    <row r="22" spans="2:41">
      <c r="M22" s="1101"/>
    </row>
    <row r="26" spans="2:41">
      <c r="C26" s="916" t="s">
        <v>586</v>
      </c>
    </row>
    <row r="29" spans="2:41">
      <c r="AB29" s="1101"/>
      <c r="AC29" s="1101"/>
      <c r="AD29" s="1101"/>
      <c r="AE29" s="1101"/>
      <c r="AF29" s="1101"/>
      <c r="AG29" s="1101"/>
      <c r="AH29" s="1101"/>
      <c r="AI29" s="1101"/>
      <c r="AJ29" s="1101"/>
      <c r="AK29" s="1101"/>
      <c r="AL29" s="1101"/>
      <c r="AM29" s="1101"/>
      <c r="AN29" s="1101"/>
      <c r="AO29" s="1108"/>
    </row>
    <row r="30" spans="2:41">
      <c r="AB30" s="1101"/>
      <c r="AC30" s="1101"/>
      <c r="AD30" s="1101"/>
      <c r="AE30" s="1101"/>
      <c r="AF30" s="1101"/>
      <c r="AG30" s="1101"/>
      <c r="AH30" s="1101"/>
      <c r="AI30" s="1101"/>
      <c r="AJ30" s="1101"/>
      <c r="AK30" s="1101"/>
      <c r="AL30" s="1101"/>
      <c r="AM30" s="1101"/>
      <c r="AN30" s="1101"/>
      <c r="AO30" s="1108"/>
    </row>
    <row r="31" spans="2:41">
      <c r="AB31" s="1101"/>
      <c r="AC31" s="1101"/>
      <c r="AD31" s="1101"/>
      <c r="AE31" s="1101"/>
      <c r="AF31" s="1101"/>
      <c r="AG31" s="1101"/>
      <c r="AH31" s="1101"/>
      <c r="AI31" s="1101"/>
      <c r="AJ31" s="1101"/>
      <c r="AK31" s="1101"/>
      <c r="AL31" s="1101"/>
      <c r="AM31" s="1101"/>
      <c r="AN31" s="1101"/>
      <c r="AO31" s="1108"/>
    </row>
    <row r="32" spans="2:41">
      <c r="AB32" s="1101"/>
      <c r="AC32" s="1101"/>
      <c r="AD32" s="1101"/>
      <c r="AE32" s="1101"/>
      <c r="AF32" s="1101"/>
      <c r="AG32" s="1101"/>
      <c r="AH32" s="1101"/>
      <c r="AI32" s="1101"/>
      <c r="AJ32" s="1101"/>
      <c r="AK32" s="1101"/>
      <c r="AL32" s="1101"/>
      <c r="AM32" s="1101"/>
      <c r="AN32" s="1101"/>
      <c r="AO32" s="1108"/>
    </row>
    <row r="33" spans="28:41">
      <c r="AB33" s="1101"/>
      <c r="AC33" s="1101"/>
      <c r="AD33" s="1101"/>
      <c r="AE33" s="1101"/>
      <c r="AF33" s="1101"/>
      <c r="AG33" s="1101"/>
      <c r="AH33" s="1101"/>
      <c r="AI33" s="1101"/>
      <c r="AJ33" s="1101"/>
      <c r="AK33" s="1101"/>
      <c r="AL33" s="1101"/>
      <c r="AM33" s="1101"/>
      <c r="AN33" s="1101"/>
      <c r="AO33" s="1108"/>
    </row>
    <row r="34" spans="28:41">
      <c r="AB34" s="1101"/>
      <c r="AC34" s="1101"/>
      <c r="AD34" s="1101"/>
      <c r="AE34" s="1101"/>
      <c r="AF34" s="1101"/>
      <c r="AG34" s="1101"/>
      <c r="AH34" s="1101"/>
      <c r="AI34" s="1101"/>
      <c r="AJ34" s="1101"/>
      <c r="AK34" s="1101"/>
      <c r="AL34" s="1101"/>
      <c r="AM34" s="1101"/>
      <c r="AN34" s="1101"/>
      <c r="AO34" s="1108"/>
    </row>
    <row r="35" spans="28:41"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1"/>
      <c r="AL35" s="1101"/>
      <c r="AM35" s="1101"/>
      <c r="AN35" s="1101"/>
      <c r="AO35" s="1108"/>
    </row>
    <row r="36" spans="28:41">
      <c r="AB36" s="1101"/>
      <c r="AC36" s="1101"/>
      <c r="AD36" s="1101"/>
      <c r="AE36" s="1101"/>
      <c r="AF36" s="1101"/>
      <c r="AG36" s="1101"/>
      <c r="AH36" s="1101"/>
      <c r="AI36" s="1101"/>
      <c r="AJ36" s="1101"/>
      <c r="AK36" s="1101"/>
      <c r="AL36" s="1101"/>
      <c r="AM36" s="1101"/>
      <c r="AN36" s="1101"/>
      <c r="AO36" s="1108"/>
    </row>
    <row r="37" spans="28:41">
      <c r="AB37" s="1101"/>
      <c r="AC37" s="1101"/>
      <c r="AD37" s="1101"/>
      <c r="AE37" s="1101"/>
      <c r="AF37" s="1101"/>
      <c r="AG37" s="1101"/>
      <c r="AH37" s="1101"/>
      <c r="AI37" s="1101"/>
      <c r="AJ37" s="1101"/>
      <c r="AK37" s="1101"/>
      <c r="AL37" s="1101"/>
      <c r="AM37" s="1101"/>
      <c r="AN37" s="1101"/>
      <c r="AO37" s="1108"/>
    </row>
    <row r="38" spans="28:41">
      <c r="AB38" s="1101"/>
      <c r="AC38" s="1101"/>
      <c r="AD38" s="1101"/>
      <c r="AE38" s="1101"/>
      <c r="AF38" s="1101"/>
      <c r="AG38" s="1101"/>
      <c r="AH38" s="1101"/>
      <c r="AI38" s="1101"/>
      <c r="AJ38" s="1101"/>
      <c r="AK38" s="1101"/>
      <c r="AL38" s="1101"/>
      <c r="AM38" s="1101"/>
      <c r="AN38" s="1101"/>
      <c r="AO38" s="1108"/>
    </row>
    <row r="39" spans="28:41">
      <c r="AB39" s="1101"/>
      <c r="AC39" s="1101"/>
      <c r="AD39" s="1101"/>
      <c r="AE39" s="1101"/>
      <c r="AF39" s="1101"/>
      <c r="AG39" s="1101"/>
      <c r="AH39" s="1101"/>
      <c r="AI39" s="1101"/>
      <c r="AJ39" s="1101"/>
      <c r="AK39" s="1101"/>
      <c r="AL39" s="1101"/>
      <c r="AM39" s="1101"/>
      <c r="AN39" s="1101"/>
      <c r="AO39" s="1108"/>
    </row>
    <row r="40" spans="28:41">
      <c r="AB40" s="1101"/>
      <c r="AC40" s="1101"/>
      <c r="AD40" s="1101"/>
      <c r="AE40" s="1101"/>
      <c r="AF40" s="1101"/>
      <c r="AG40" s="1101"/>
      <c r="AH40" s="1101"/>
      <c r="AI40" s="1101"/>
      <c r="AJ40" s="1101"/>
      <c r="AK40" s="1101"/>
      <c r="AL40" s="1101"/>
      <c r="AM40" s="1101"/>
      <c r="AN40" s="1101"/>
      <c r="AO40" s="1108"/>
    </row>
    <row r="41" spans="28:41">
      <c r="AB41" s="1101"/>
      <c r="AC41" s="1101"/>
      <c r="AD41" s="1101"/>
      <c r="AE41" s="1101"/>
      <c r="AF41" s="1101"/>
      <c r="AG41" s="1101"/>
      <c r="AH41" s="1101"/>
      <c r="AI41" s="1101"/>
      <c r="AJ41" s="1101"/>
      <c r="AK41" s="1101"/>
      <c r="AL41" s="1101"/>
      <c r="AM41" s="1101"/>
      <c r="AN41" s="1101"/>
      <c r="AO41" s="1108"/>
    </row>
    <row r="119" spans="29:42">
      <c r="AC119" s="1101"/>
      <c r="AD119" s="1101"/>
      <c r="AE119" s="1101"/>
      <c r="AF119" s="1101"/>
      <c r="AG119" s="1101"/>
      <c r="AH119" s="1101"/>
      <c r="AI119" s="1101"/>
      <c r="AJ119" s="1101"/>
      <c r="AK119" s="1101"/>
      <c r="AL119" s="1101"/>
      <c r="AM119" s="1101"/>
      <c r="AN119" s="1101"/>
      <c r="AO119" s="1101"/>
      <c r="AP119" s="1108"/>
    </row>
    <row r="120" spans="29:42">
      <c r="AC120" s="1101"/>
      <c r="AD120" s="1101"/>
      <c r="AE120" s="1101"/>
      <c r="AF120" s="1101"/>
      <c r="AG120" s="1101"/>
      <c r="AH120" s="1101"/>
      <c r="AI120" s="1101"/>
      <c r="AJ120" s="1101"/>
      <c r="AK120" s="1101"/>
      <c r="AL120" s="1101"/>
      <c r="AM120" s="1101"/>
      <c r="AN120" s="1101"/>
      <c r="AO120" s="1101"/>
      <c r="AP120" s="1108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C73" sqref="C73"/>
    </sheetView>
  </sheetViews>
  <sheetFormatPr defaultColWidth="8.5546875" defaultRowHeight="14.4"/>
  <cols>
    <col min="1" max="1" width="4.44140625" style="916" customWidth="1"/>
    <col min="2" max="2" width="38.44140625" style="916" customWidth="1"/>
    <col min="3" max="4" width="13.5546875" style="916" customWidth="1"/>
    <col min="5" max="5" width="21" style="916" customWidth="1"/>
    <col min="6" max="6" width="10" style="916" customWidth="1"/>
    <col min="7" max="7" width="16.44140625" style="916" customWidth="1"/>
    <col min="8" max="8" width="19.44140625" style="916" customWidth="1"/>
    <col min="9" max="9" width="16.44140625" style="916" bestFit="1" customWidth="1"/>
    <col min="10" max="10" width="12.44140625" style="916" customWidth="1"/>
    <col min="11" max="11" width="17.44140625" style="916" bestFit="1" customWidth="1"/>
    <col min="12" max="12" width="12.44140625" style="916" customWidth="1"/>
    <col min="13" max="13" width="10.5546875" style="916" bestFit="1" customWidth="1"/>
    <col min="14" max="14" width="20.44140625" style="916" bestFit="1" customWidth="1"/>
    <col min="15" max="15" width="14.44140625" style="916" customWidth="1"/>
    <col min="16" max="28" width="7.5546875" style="916" customWidth="1"/>
    <col min="29" max="29" width="11" style="916" customWidth="1"/>
    <col min="30" max="41" width="13.44140625" style="916" hidden="1" customWidth="1"/>
    <col min="42" max="42" width="15.5546875" style="916" customWidth="1"/>
    <col min="43" max="16384" width="8.5546875" style="916"/>
  </cols>
  <sheetData>
    <row r="2" spans="2:10" ht="20.85" customHeight="1">
      <c r="B2" s="1109" t="s">
        <v>587</v>
      </c>
      <c r="C2" s="1078"/>
      <c r="E2" s="1078"/>
      <c r="F2" s="1078"/>
      <c r="G2" s="916" t="s">
        <v>562</v>
      </c>
      <c r="H2" s="1184">
        <f>'SUMMARY HPP '!I9</f>
        <v>15546</v>
      </c>
    </row>
    <row r="3" spans="2:10">
      <c r="B3" s="1079" t="s">
        <v>384</v>
      </c>
      <c r="C3" s="2227" t="s">
        <v>219</v>
      </c>
      <c r="D3" s="2228"/>
      <c r="E3" s="1080" t="s">
        <v>588</v>
      </c>
      <c r="F3" s="2229" t="s">
        <v>564</v>
      </c>
      <c r="G3" s="2230"/>
      <c r="H3" s="1081" t="s">
        <v>565</v>
      </c>
    </row>
    <row r="4" spans="2:10">
      <c r="B4" s="1082" t="s">
        <v>589</v>
      </c>
      <c r="C4" s="1083">
        <f>200/24</f>
        <v>8.3333333333333339</v>
      </c>
      <c r="D4" s="1084" t="s">
        <v>590</v>
      </c>
      <c r="E4" s="1189" t="e">
        <f>#REF!</f>
        <v>#REF!</v>
      </c>
      <c r="F4" s="2235"/>
      <c r="G4" s="2236"/>
      <c r="H4" s="1081" t="s">
        <v>271</v>
      </c>
    </row>
    <row r="5" spans="2:10" s="1116" customFormat="1">
      <c r="B5" s="1111" t="s">
        <v>591</v>
      </c>
      <c r="C5" s="1112"/>
      <c r="D5" s="1113"/>
      <c r="E5" s="1114"/>
      <c r="F5" s="1094">
        <v>0</v>
      </c>
      <c r="G5" s="1115" t="s">
        <v>580</v>
      </c>
      <c r="H5" s="1097">
        <v>8700</v>
      </c>
    </row>
    <row r="6" spans="2:10">
      <c r="B6" s="1093" t="s">
        <v>571</v>
      </c>
      <c r="C6" s="1094"/>
      <c r="D6" s="1095"/>
      <c r="E6" s="1096"/>
      <c r="F6" s="1094"/>
      <c r="G6" s="1095"/>
      <c r="H6" s="1097"/>
    </row>
    <row r="7" spans="2:10">
      <c r="B7" s="1098" t="s">
        <v>592</v>
      </c>
      <c r="C7" s="1099">
        <v>0</v>
      </c>
      <c r="D7" s="1095" t="s">
        <v>237</v>
      </c>
      <c r="E7" s="1100">
        <f>C7</f>
        <v>0</v>
      </c>
      <c r="F7" s="1094">
        <v>24890</v>
      </c>
      <c r="G7" s="1095" t="s">
        <v>593</v>
      </c>
      <c r="H7" s="1097">
        <f t="shared" ref="H7:H15" si="0">E7*F7</f>
        <v>0</v>
      </c>
    </row>
    <row r="8" spans="2:10">
      <c r="B8" s="1098" t="s">
        <v>594</v>
      </c>
      <c r="C8" s="1099">
        <f>E8*C4</f>
        <v>0.62305295950155759</v>
      </c>
      <c r="D8" s="1095" t="s">
        <v>237</v>
      </c>
      <c r="E8" s="1100">
        <v>7.476635514018691E-2</v>
      </c>
      <c r="F8" s="1094">
        <v>65340</v>
      </c>
      <c r="G8" s="1095" t="s">
        <v>593</v>
      </c>
      <c r="H8" s="1097">
        <f t="shared" si="0"/>
        <v>4885.2336448598126</v>
      </c>
    </row>
    <row r="9" spans="2:10">
      <c r="B9" s="1098" t="s">
        <v>595</v>
      </c>
      <c r="C9" s="1099">
        <f>E9*C4</f>
        <v>46.728971962616825</v>
      </c>
      <c r="D9" s="1095" t="s">
        <v>237</v>
      </c>
      <c r="E9" s="1100">
        <v>5.6074766355140184</v>
      </c>
      <c r="F9" s="1094">
        <v>7702</v>
      </c>
      <c r="G9" s="1095" t="s">
        <v>593</v>
      </c>
      <c r="H9" s="1097">
        <f t="shared" si="0"/>
        <v>43188.785046728968</v>
      </c>
    </row>
    <row r="10" spans="2:10">
      <c r="B10" s="1098" t="s">
        <v>596</v>
      </c>
      <c r="C10" s="1099">
        <f>E10*C4</f>
        <v>6.230529595015577</v>
      </c>
      <c r="D10" s="1095" t="s">
        <v>237</v>
      </c>
      <c r="E10" s="1100">
        <v>0.74766355140186924</v>
      </c>
      <c r="F10" s="1094">
        <v>18634</v>
      </c>
      <c r="G10" s="1095" t="s">
        <v>593</v>
      </c>
      <c r="H10" s="1097">
        <f t="shared" si="0"/>
        <v>13931.962616822431</v>
      </c>
    </row>
    <row r="11" spans="2:10">
      <c r="B11" s="1098" t="s">
        <v>597</v>
      </c>
      <c r="C11" s="1099">
        <f>E11*C4</f>
        <v>1.2461059190031152</v>
      </c>
      <c r="D11" s="1095" t="s">
        <v>237</v>
      </c>
      <c r="E11" s="1100">
        <v>0.14953271028037382</v>
      </c>
      <c r="F11" s="1094">
        <v>44722</v>
      </c>
      <c r="G11" s="1095" t="s">
        <v>593</v>
      </c>
      <c r="H11" s="1097">
        <f t="shared" si="0"/>
        <v>6687.4018691588781</v>
      </c>
    </row>
    <row r="12" spans="2:10">
      <c r="B12" s="1098" t="s">
        <v>598</v>
      </c>
      <c r="C12" s="1099">
        <v>0</v>
      </c>
      <c r="D12" s="1095" t="s">
        <v>237</v>
      </c>
      <c r="E12" s="1100">
        <f>C12</f>
        <v>0</v>
      </c>
      <c r="F12" s="1094">
        <v>5700</v>
      </c>
      <c r="G12" s="1095" t="s">
        <v>593</v>
      </c>
      <c r="H12" s="1097">
        <f t="shared" si="0"/>
        <v>0</v>
      </c>
    </row>
    <row r="13" spans="2:10">
      <c r="B13" s="1098" t="s">
        <v>599</v>
      </c>
      <c r="C13" s="1099">
        <v>0</v>
      </c>
      <c r="D13" s="1095" t="s">
        <v>237</v>
      </c>
      <c r="E13" s="1100">
        <f>C13</f>
        <v>0</v>
      </c>
      <c r="F13" s="1094">
        <v>15700</v>
      </c>
      <c r="G13" s="1095" t="s">
        <v>593</v>
      </c>
      <c r="H13" s="1097">
        <f t="shared" si="0"/>
        <v>0</v>
      </c>
    </row>
    <row r="14" spans="2:10">
      <c r="B14" s="1093" t="s">
        <v>135</v>
      </c>
      <c r="C14" s="1117">
        <v>2675</v>
      </c>
      <c r="D14" s="1095" t="s">
        <v>249</v>
      </c>
      <c r="E14" s="1100">
        <f>C14</f>
        <v>2675</v>
      </c>
      <c r="F14" s="1094">
        <f>[4]UP.E!C28</f>
        <v>1550</v>
      </c>
      <c r="G14" s="1095" t="s">
        <v>600</v>
      </c>
      <c r="H14" s="1097">
        <f t="shared" si="0"/>
        <v>4146250</v>
      </c>
    </row>
    <row r="15" spans="2:10">
      <c r="B15" s="1093" t="s">
        <v>581</v>
      </c>
      <c r="C15" s="1094"/>
      <c r="D15" s="1095" t="s">
        <v>271</v>
      </c>
      <c r="E15" s="1096"/>
      <c r="F15" s="1094"/>
      <c r="G15" s="1095"/>
      <c r="H15" s="1097">
        <f t="shared" si="0"/>
        <v>0</v>
      </c>
      <c r="I15" s="1118"/>
      <c r="J15" s="1092"/>
    </row>
    <row r="16" spans="2:10">
      <c r="B16" s="1103"/>
      <c r="C16" s="1104"/>
      <c r="D16" s="1105"/>
      <c r="E16" s="1104"/>
      <c r="F16" s="1104"/>
      <c r="G16" s="1105"/>
      <c r="H16" s="1119">
        <f>IFERROR(SUM(H5:H15),"")</f>
        <v>4223643.3831775701</v>
      </c>
      <c r="I16" s="1120"/>
      <c r="J16" s="1101"/>
    </row>
    <row r="17" spans="3:41">
      <c r="C17" s="1078"/>
      <c r="E17" s="1078"/>
      <c r="F17" s="2233" t="s">
        <v>601</v>
      </c>
      <c r="G17" s="2234"/>
      <c r="H17" s="1107" t="e">
        <f>H16/E4</f>
        <v>#REF!</v>
      </c>
    </row>
    <row r="18" spans="3:41">
      <c r="M18" s="1101"/>
    </row>
    <row r="19" spans="3:41">
      <c r="M19" s="1101"/>
      <c r="O19" s="1101"/>
      <c r="P19" s="1101"/>
      <c r="Q19" s="1101"/>
      <c r="R19" s="1101"/>
      <c r="S19" s="1101"/>
      <c r="T19" s="1101"/>
      <c r="U19" s="1101"/>
      <c r="V19" s="1101"/>
      <c r="W19" s="1101"/>
      <c r="X19" s="1101"/>
      <c r="Y19" s="1101"/>
      <c r="Z19" s="1101"/>
      <c r="AA19" s="1101"/>
      <c r="AB19" s="1101"/>
      <c r="AC19" s="1101"/>
      <c r="AD19" s="1101"/>
      <c r="AE19" s="1101"/>
      <c r="AF19" s="1101"/>
      <c r="AG19" s="1101"/>
      <c r="AH19" s="1101"/>
      <c r="AI19" s="1101"/>
      <c r="AJ19" s="1101"/>
      <c r="AK19" s="1101"/>
      <c r="AL19" s="1101"/>
      <c r="AM19" s="1101"/>
      <c r="AN19" s="1101"/>
      <c r="AO19" s="1101"/>
    </row>
    <row r="20" spans="3:41">
      <c r="M20" s="1101"/>
      <c r="O20" s="1101"/>
      <c r="P20" s="1101"/>
      <c r="Q20" s="1101"/>
      <c r="R20" s="1101"/>
      <c r="S20" s="1101"/>
      <c r="T20" s="1101"/>
      <c r="U20" s="1101"/>
      <c r="V20" s="1101"/>
      <c r="W20" s="1101"/>
      <c r="X20" s="1101"/>
      <c r="Y20" s="1101"/>
      <c r="Z20" s="1101"/>
      <c r="AA20" s="1101"/>
      <c r="AB20" s="1101"/>
      <c r="AC20" s="1101"/>
      <c r="AD20" s="1101"/>
      <c r="AE20" s="1101"/>
      <c r="AF20" s="1101"/>
      <c r="AG20" s="1101"/>
      <c r="AH20" s="1101"/>
      <c r="AI20" s="1101"/>
      <c r="AJ20" s="1101"/>
      <c r="AK20" s="1101"/>
      <c r="AL20" s="1101"/>
      <c r="AM20" s="1101"/>
      <c r="AN20" s="1101"/>
      <c r="AO20" s="1101"/>
    </row>
    <row r="21" spans="3:41">
      <c r="M21" s="1101"/>
    </row>
    <row r="22" spans="3:41">
      <c r="M22" s="1101"/>
      <c r="N22" s="1101"/>
    </row>
    <row r="23" spans="3:41">
      <c r="M23" s="1101"/>
      <c r="N23" s="1101"/>
    </row>
    <row r="24" spans="3:41">
      <c r="M24" s="1101"/>
    </row>
    <row r="25" spans="3:41">
      <c r="M25" s="1101"/>
    </row>
    <row r="29" spans="3:41">
      <c r="C29" s="916" t="s">
        <v>586</v>
      </c>
    </row>
    <row r="32" spans="3:41">
      <c r="AB32" s="1101"/>
      <c r="AC32" s="1101"/>
      <c r="AD32" s="1101"/>
      <c r="AE32" s="1101"/>
      <c r="AF32" s="1101"/>
      <c r="AG32" s="1101"/>
      <c r="AH32" s="1101"/>
      <c r="AI32" s="1101"/>
      <c r="AJ32" s="1101"/>
      <c r="AK32" s="1101"/>
      <c r="AL32" s="1101"/>
      <c r="AM32" s="1101"/>
      <c r="AN32" s="1101"/>
      <c r="AO32" s="1108"/>
    </row>
    <row r="33" spans="28:41">
      <c r="AB33" s="1101"/>
      <c r="AC33" s="1101"/>
      <c r="AD33" s="1101"/>
      <c r="AE33" s="1101"/>
      <c r="AF33" s="1101"/>
      <c r="AG33" s="1101"/>
      <c r="AH33" s="1101"/>
      <c r="AI33" s="1101"/>
      <c r="AJ33" s="1101"/>
      <c r="AK33" s="1101"/>
      <c r="AL33" s="1101"/>
      <c r="AM33" s="1101"/>
      <c r="AN33" s="1101"/>
      <c r="AO33" s="1108"/>
    </row>
    <row r="34" spans="28:41">
      <c r="AB34" s="1101"/>
      <c r="AC34" s="1101"/>
      <c r="AD34" s="1101"/>
      <c r="AE34" s="1101"/>
      <c r="AF34" s="1101"/>
      <c r="AG34" s="1101"/>
      <c r="AH34" s="1101"/>
      <c r="AI34" s="1101"/>
      <c r="AJ34" s="1101"/>
      <c r="AK34" s="1101"/>
      <c r="AL34" s="1101"/>
      <c r="AM34" s="1101"/>
      <c r="AN34" s="1101"/>
      <c r="AO34" s="1108"/>
    </row>
    <row r="35" spans="28:41"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1"/>
      <c r="AL35" s="1101"/>
      <c r="AM35" s="1101"/>
      <c r="AN35" s="1101"/>
      <c r="AO35" s="1108"/>
    </row>
    <row r="36" spans="28:41">
      <c r="AB36" s="1101"/>
      <c r="AC36" s="1101"/>
      <c r="AD36" s="1101"/>
      <c r="AE36" s="1101"/>
      <c r="AF36" s="1101"/>
      <c r="AG36" s="1101"/>
      <c r="AH36" s="1101"/>
      <c r="AI36" s="1101"/>
      <c r="AJ36" s="1101"/>
      <c r="AK36" s="1101"/>
      <c r="AL36" s="1101"/>
      <c r="AM36" s="1101"/>
      <c r="AN36" s="1101"/>
      <c r="AO36" s="1108"/>
    </row>
    <row r="37" spans="28:41">
      <c r="AB37" s="1101"/>
      <c r="AC37" s="1101"/>
      <c r="AD37" s="1101"/>
      <c r="AE37" s="1101"/>
      <c r="AF37" s="1101"/>
      <c r="AG37" s="1101"/>
      <c r="AH37" s="1101"/>
      <c r="AI37" s="1101"/>
      <c r="AJ37" s="1101"/>
      <c r="AK37" s="1101"/>
      <c r="AL37" s="1101"/>
      <c r="AM37" s="1101"/>
      <c r="AN37" s="1101"/>
      <c r="AO37" s="1108"/>
    </row>
    <row r="38" spans="28:41">
      <c r="AB38" s="1101"/>
      <c r="AC38" s="1101"/>
      <c r="AD38" s="1101"/>
      <c r="AE38" s="1101"/>
      <c r="AF38" s="1101"/>
      <c r="AG38" s="1101"/>
      <c r="AH38" s="1101"/>
      <c r="AI38" s="1101"/>
      <c r="AJ38" s="1101"/>
      <c r="AK38" s="1101"/>
      <c r="AL38" s="1101"/>
      <c r="AM38" s="1101"/>
      <c r="AN38" s="1101"/>
      <c r="AO38" s="1108"/>
    </row>
    <row r="39" spans="28:41">
      <c r="AB39" s="1101"/>
      <c r="AC39" s="1101"/>
      <c r="AD39" s="1101"/>
      <c r="AE39" s="1101"/>
      <c r="AF39" s="1101"/>
      <c r="AG39" s="1101"/>
      <c r="AH39" s="1101"/>
      <c r="AI39" s="1101"/>
      <c r="AJ39" s="1101"/>
      <c r="AK39" s="1101"/>
      <c r="AL39" s="1101"/>
      <c r="AM39" s="1101"/>
      <c r="AN39" s="1101"/>
      <c r="AO39" s="1108"/>
    </row>
    <row r="40" spans="28:41">
      <c r="AB40" s="1101"/>
      <c r="AC40" s="1101"/>
      <c r="AD40" s="1101"/>
      <c r="AE40" s="1101"/>
      <c r="AF40" s="1101"/>
      <c r="AG40" s="1101"/>
      <c r="AH40" s="1101"/>
      <c r="AI40" s="1101"/>
      <c r="AJ40" s="1101"/>
      <c r="AK40" s="1101"/>
      <c r="AL40" s="1101"/>
      <c r="AM40" s="1101"/>
      <c r="AN40" s="1101"/>
      <c r="AO40" s="1108"/>
    </row>
    <row r="41" spans="28:41">
      <c r="AB41" s="1101"/>
      <c r="AC41" s="1101"/>
      <c r="AD41" s="1101"/>
      <c r="AE41" s="1101"/>
      <c r="AF41" s="1101"/>
      <c r="AG41" s="1101"/>
      <c r="AH41" s="1101"/>
      <c r="AI41" s="1101"/>
      <c r="AJ41" s="1101"/>
      <c r="AK41" s="1101"/>
      <c r="AL41" s="1101"/>
      <c r="AM41" s="1101"/>
      <c r="AN41" s="1101"/>
      <c r="AO41" s="1108"/>
    </row>
    <row r="42" spans="28:41">
      <c r="AB42" s="1101"/>
      <c r="AC42" s="1101"/>
      <c r="AD42" s="1101"/>
      <c r="AE42" s="1101"/>
      <c r="AF42" s="1101"/>
      <c r="AG42" s="1101"/>
      <c r="AH42" s="1101"/>
      <c r="AI42" s="1101"/>
      <c r="AJ42" s="1101"/>
      <c r="AK42" s="1101"/>
      <c r="AL42" s="1101"/>
      <c r="AM42" s="1101"/>
      <c r="AN42" s="1101"/>
      <c r="AO42" s="1108"/>
    </row>
    <row r="43" spans="28:41">
      <c r="AB43" s="1101"/>
      <c r="AC43" s="1101"/>
      <c r="AD43" s="1101"/>
      <c r="AE43" s="1101"/>
      <c r="AF43" s="1101"/>
      <c r="AG43" s="1101"/>
      <c r="AH43" s="1101"/>
      <c r="AI43" s="1101"/>
      <c r="AJ43" s="1101"/>
      <c r="AK43" s="1101"/>
      <c r="AL43" s="1101"/>
      <c r="AM43" s="1101"/>
      <c r="AN43" s="1101"/>
      <c r="AO43" s="1108"/>
    </row>
    <row r="44" spans="28:41">
      <c r="AB44" s="1101"/>
      <c r="AC44" s="1101"/>
      <c r="AD44" s="1101"/>
      <c r="AE44" s="1101"/>
      <c r="AF44" s="1101"/>
      <c r="AG44" s="1101"/>
      <c r="AH44" s="1101"/>
      <c r="AI44" s="1101"/>
      <c r="AJ44" s="1101"/>
      <c r="AK44" s="1101"/>
      <c r="AL44" s="1101"/>
      <c r="AM44" s="1101"/>
      <c r="AN44" s="1101"/>
      <c r="AO44" s="1108"/>
    </row>
    <row r="122" spans="29:42">
      <c r="AC122" s="1101"/>
      <c r="AD122" s="1101"/>
      <c r="AE122" s="1101"/>
      <c r="AF122" s="1101"/>
      <c r="AG122" s="1101"/>
      <c r="AH122" s="1101"/>
      <c r="AI122" s="1101"/>
      <c r="AJ122" s="1101"/>
      <c r="AK122" s="1101"/>
      <c r="AL122" s="1101"/>
      <c r="AM122" s="1101"/>
      <c r="AN122" s="1101"/>
      <c r="AO122" s="1101"/>
      <c r="AP122" s="1108"/>
    </row>
    <row r="123" spans="29:42">
      <c r="AC123" s="1101"/>
      <c r="AD123" s="1101"/>
      <c r="AE123" s="1101"/>
      <c r="AF123" s="1101"/>
      <c r="AG123" s="1101"/>
      <c r="AH123" s="1101"/>
      <c r="AI123" s="1101"/>
      <c r="AJ123" s="1101"/>
      <c r="AK123" s="1101"/>
      <c r="AL123" s="1101"/>
      <c r="AM123" s="1101"/>
      <c r="AN123" s="1101"/>
      <c r="AO123" s="1101"/>
      <c r="AP123" s="1108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H18" sqref="H18"/>
    </sheetView>
  </sheetViews>
  <sheetFormatPr defaultColWidth="8.5546875" defaultRowHeight="14.4"/>
  <cols>
    <col min="1" max="1" width="4.44140625" style="916" customWidth="1"/>
    <col min="2" max="2" width="38.44140625" style="916" customWidth="1"/>
    <col min="3" max="4" width="13.5546875" style="916" customWidth="1"/>
    <col min="5" max="5" width="21" style="916" customWidth="1"/>
    <col min="6" max="6" width="10" style="916" customWidth="1"/>
    <col min="7" max="7" width="16.44140625" style="916" customWidth="1"/>
    <col min="8" max="8" width="19.44140625" style="916" customWidth="1"/>
    <col min="9" max="9" width="16.44140625" style="916" bestFit="1" customWidth="1"/>
    <col min="10" max="10" width="12.44140625" style="916" customWidth="1"/>
    <col min="11" max="11" width="17.44140625" style="916" bestFit="1" customWidth="1"/>
    <col min="12" max="12" width="12.44140625" style="916" customWidth="1"/>
    <col min="13" max="13" width="10.5546875" style="916" bestFit="1" customWidth="1"/>
    <col min="14" max="14" width="20.44140625" style="916" bestFit="1" customWidth="1"/>
    <col min="15" max="15" width="14.44140625" style="916" customWidth="1"/>
    <col min="16" max="28" width="7.5546875" style="916" customWidth="1"/>
    <col min="29" max="29" width="11" style="916" customWidth="1"/>
    <col min="30" max="41" width="13.44140625" style="916" hidden="1" customWidth="1"/>
    <col min="42" max="42" width="15.5546875" style="916" customWidth="1"/>
    <col min="43" max="16384" width="8.5546875" style="916"/>
  </cols>
  <sheetData>
    <row r="2" spans="2:41" ht="20.85" customHeight="1">
      <c r="B2" s="1109" t="s">
        <v>602</v>
      </c>
      <c r="C2" s="1078"/>
      <c r="E2" s="1078"/>
      <c r="F2" s="1078"/>
      <c r="G2" s="916" t="s">
        <v>562</v>
      </c>
      <c r="H2" s="1184">
        <v>16000</v>
      </c>
    </row>
    <row r="3" spans="2:41">
      <c r="B3" s="1079" t="s">
        <v>384</v>
      </c>
      <c r="C3" s="2227" t="s">
        <v>219</v>
      </c>
      <c r="D3" s="2228"/>
      <c r="E3" s="1080" t="s">
        <v>588</v>
      </c>
      <c r="F3" s="2229" t="s">
        <v>564</v>
      </c>
      <c r="G3" s="2230"/>
      <c r="H3" s="1081" t="s">
        <v>565</v>
      </c>
    </row>
    <row r="4" spans="2:41">
      <c r="B4" s="1082" t="s">
        <v>602</v>
      </c>
      <c r="C4" s="1083">
        <f>1000/24</f>
        <v>41.666666666666664</v>
      </c>
      <c r="D4" s="1084" t="s">
        <v>590</v>
      </c>
      <c r="E4" s="1189" t="e">
        <f>#REF!</f>
        <v>#REF!</v>
      </c>
      <c r="F4" s="2235"/>
      <c r="G4" s="2236"/>
      <c r="H4" s="1081" t="s">
        <v>271</v>
      </c>
    </row>
    <row r="5" spans="2:41">
      <c r="B5" s="1093" t="s">
        <v>603</v>
      </c>
      <c r="C5" s="1094"/>
      <c r="D5" s="1095"/>
      <c r="E5" s="1096"/>
      <c r="F5" s="1094">
        <v>8700</v>
      </c>
      <c r="G5" s="1095" t="s">
        <v>580</v>
      </c>
      <c r="H5" s="1097" t="e">
        <f>F5*E4</f>
        <v>#REF!</v>
      </c>
    </row>
    <row r="6" spans="2:41">
      <c r="B6" s="1098" t="s">
        <v>604</v>
      </c>
      <c r="C6" s="1099">
        <v>0.1</v>
      </c>
      <c r="D6" s="1095" t="s">
        <v>237</v>
      </c>
      <c r="E6" s="1100">
        <f>C6</f>
        <v>0.1</v>
      </c>
      <c r="F6" s="1094">
        <v>44500</v>
      </c>
      <c r="G6" s="1095" t="s">
        <v>593</v>
      </c>
      <c r="H6" s="1097">
        <f t="shared" ref="H6:H11" si="0">E6*F6</f>
        <v>4450</v>
      </c>
    </row>
    <row r="7" spans="2:41">
      <c r="B7" s="1098" t="s">
        <v>605</v>
      </c>
      <c r="C7" s="1099">
        <v>0.1</v>
      </c>
      <c r="D7" s="1095" t="s">
        <v>237</v>
      </c>
      <c r="E7" s="1100">
        <f>C7</f>
        <v>0.1</v>
      </c>
      <c r="F7" s="1094">
        <v>65340</v>
      </c>
      <c r="G7" s="1095" t="s">
        <v>593</v>
      </c>
      <c r="H7" s="1097">
        <f t="shared" si="0"/>
        <v>6534</v>
      </c>
    </row>
    <row r="8" spans="2:41">
      <c r="B8" s="1098" t="s">
        <v>606</v>
      </c>
      <c r="C8" s="1099">
        <v>0.1</v>
      </c>
      <c r="D8" s="1095" t="s">
        <v>237</v>
      </c>
      <c r="E8" s="1100">
        <f>C8</f>
        <v>0.1</v>
      </c>
      <c r="F8" s="1094">
        <v>33275</v>
      </c>
      <c r="G8" s="1095" t="s">
        <v>593</v>
      </c>
      <c r="H8" s="1097">
        <f t="shared" si="0"/>
        <v>3327.5</v>
      </c>
    </row>
    <row r="9" spans="2:41">
      <c r="B9" s="1098" t="s">
        <v>607</v>
      </c>
      <c r="C9" s="1099">
        <v>0.1</v>
      </c>
      <c r="D9" s="1095" t="s">
        <v>237</v>
      </c>
      <c r="E9" s="1100">
        <f>C9</f>
        <v>0.1</v>
      </c>
      <c r="F9" s="1094">
        <v>47450</v>
      </c>
      <c r="G9" s="1095" t="s">
        <v>593</v>
      </c>
      <c r="H9" s="1097">
        <f t="shared" si="0"/>
        <v>4745</v>
      </c>
    </row>
    <row r="10" spans="2:41">
      <c r="B10" s="1093" t="s">
        <v>135</v>
      </c>
      <c r="C10" s="1117">
        <v>8896</v>
      </c>
      <c r="D10" s="1095" t="s">
        <v>249</v>
      </c>
      <c r="E10" s="1100">
        <f>C10</f>
        <v>8896</v>
      </c>
      <c r="F10" s="1094">
        <f>[4]UP.E!C28</f>
        <v>1550</v>
      </c>
      <c r="G10" s="1095" t="s">
        <v>600</v>
      </c>
      <c r="H10" s="1097">
        <f t="shared" si="0"/>
        <v>13788800</v>
      </c>
    </row>
    <row r="11" spans="2:41">
      <c r="B11" s="1093" t="s">
        <v>581</v>
      </c>
      <c r="C11" s="1094"/>
      <c r="D11" s="1095" t="s">
        <v>271</v>
      </c>
      <c r="E11" s="1096"/>
      <c r="F11" s="1094"/>
      <c r="G11" s="1095"/>
      <c r="H11" s="1121">
        <f t="shared" si="0"/>
        <v>0</v>
      </c>
      <c r="I11" s="1118"/>
      <c r="J11" s="1092"/>
    </row>
    <row r="12" spans="2:41">
      <c r="B12" s="1103"/>
      <c r="C12" s="1104"/>
      <c r="D12" s="1105"/>
      <c r="E12" s="1104"/>
      <c r="F12" s="1104"/>
      <c r="G12" s="1105"/>
      <c r="H12" s="1119" t="str">
        <f>IFERROR(SUM(H5:H11),"")</f>
        <v/>
      </c>
      <c r="I12" s="1120"/>
      <c r="J12" s="1101"/>
    </row>
    <row r="13" spans="2:41">
      <c r="C13" s="1078"/>
      <c r="E13" s="1078"/>
      <c r="F13" s="2233" t="s">
        <v>601</v>
      </c>
      <c r="G13" s="2234"/>
      <c r="H13" s="1107" t="e">
        <f>H12/E4</f>
        <v>#VALUE!</v>
      </c>
    </row>
    <row r="14" spans="2:41">
      <c r="M14" s="1101"/>
    </row>
    <row r="15" spans="2:41">
      <c r="M15" s="1101"/>
      <c r="O15" s="1101"/>
      <c r="P15" s="1101"/>
      <c r="Q15" s="1101"/>
      <c r="R15" s="1101"/>
      <c r="S15" s="1101"/>
      <c r="T15" s="1101"/>
      <c r="U15" s="1101"/>
      <c r="V15" s="1101"/>
      <c r="W15" s="1101"/>
      <c r="X15" s="1101"/>
      <c r="Y15" s="1101"/>
      <c r="Z15" s="1101"/>
      <c r="AA15" s="1101"/>
      <c r="AB15" s="1101"/>
      <c r="AC15" s="1101"/>
      <c r="AD15" s="1101"/>
      <c r="AE15" s="1101"/>
      <c r="AF15" s="1101"/>
      <c r="AG15" s="1101"/>
      <c r="AH15" s="1101"/>
      <c r="AI15" s="1101"/>
      <c r="AJ15" s="1101"/>
      <c r="AK15" s="1101"/>
      <c r="AL15" s="1101"/>
      <c r="AM15" s="1101"/>
      <c r="AN15" s="1101"/>
      <c r="AO15" s="1101"/>
    </row>
    <row r="16" spans="2:41">
      <c r="M16" s="1101"/>
      <c r="O16" s="1101"/>
      <c r="P16" s="1101"/>
      <c r="Q16" s="1101"/>
      <c r="R16" s="1101"/>
      <c r="S16" s="1101"/>
      <c r="T16" s="1101"/>
      <c r="U16" s="1101"/>
      <c r="V16" s="1101"/>
      <c r="W16" s="1101"/>
      <c r="X16" s="1101"/>
      <c r="Y16" s="1101"/>
      <c r="Z16" s="1101"/>
      <c r="AA16" s="1101"/>
      <c r="AB16" s="1101"/>
      <c r="AC16" s="1101"/>
      <c r="AD16" s="1101"/>
      <c r="AE16" s="1101"/>
      <c r="AF16" s="1101"/>
      <c r="AG16" s="1101"/>
      <c r="AH16" s="1101"/>
      <c r="AI16" s="1101"/>
      <c r="AJ16" s="1101"/>
      <c r="AK16" s="1101"/>
      <c r="AL16" s="1101"/>
      <c r="AM16" s="1101"/>
      <c r="AN16" s="1101"/>
      <c r="AO16" s="1101"/>
    </row>
    <row r="17" spans="3:41">
      <c r="M17" s="1101"/>
    </row>
    <row r="18" spans="3:41">
      <c r="M18" s="1101"/>
      <c r="N18" s="1101"/>
    </row>
    <row r="19" spans="3:41">
      <c r="M19" s="1101"/>
      <c r="N19" s="1101"/>
    </row>
    <row r="20" spans="3:41">
      <c r="M20" s="1101"/>
    </row>
    <row r="21" spans="3:41">
      <c r="M21" s="1101"/>
    </row>
    <row r="25" spans="3:41">
      <c r="C25" s="916" t="s">
        <v>586</v>
      </c>
    </row>
    <row r="28" spans="3:41">
      <c r="AB28" s="1101"/>
      <c r="AC28" s="1101"/>
      <c r="AD28" s="1101"/>
      <c r="AE28" s="1101"/>
      <c r="AF28" s="1101"/>
      <c r="AG28" s="1101"/>
      <c r="AH28" s="1101"/>
      <c r="AI28" s="1101"/>
      <c r="AJ28" s="1101"/>
      <c r="AK28" s="1101"/>
      <c r="AL28" s="1101"/>
      <c r="AM28" s="1101"/>
      <c r="AN28" s="1101"/>
      <c r="AO28" s="1108"/>
    </row>
    <row r="29" spans="3:41">
      <c r="AB29" s="1101"/>
      <c r="AC29" s="1101"/>
      <c r="AD29" s="1101"/>
      <c r="AE29" s="1101"/>
      <c r="AF29" s="1101"/>
      <c r="AG29" s="1101"/>
      <c r="AH29" s="1101"/>
      <c r="AI29" s="1101"/>
      <c r="AJ29" s="1101"/>
      <c r="AK29" s="1101"/>
      <c r="AL29" s="1101"/>
      <c r="AM29" s="1101"/>
      <c r="AN29" s="1101"/>
      <c r="AO29" s="1108"/>
    </row>
    <row r="30" spans="3:41">
      <c r="AB30" s="1101"/>
      <c r="AC30" s="1101"/>
      <c r="AD30" s="1101"/>
      <c r="AE30" s="1101"/>
      <c r="AF30" s="1101"/>
      <c r="AG30" s="1101"/>
      <c r="AH30" s="1101"/>
      <c r="AI30" s="1101"/>
      <c r="AJ30" s="1101"/>
      <c r="AK30" s="1101"/>
      <c r="AL30" s="1101"/>
      <c r="AM30" s="1101"/>
      <c r="AN30" s="1101"/>
      <c r="AO30" s="1108"/>
    </row>
    <row r="31" spans="3:41">
      <c r="AB31" s="1101"/>
      <c r="AC31" s="1101"/>
      <c r="AD31" s="1101"/>
      <c r="AE31" s="1101"/>
      <c r="AF31" s="1101"/>
      <c r="AG31" s="1101"/>
      <c r="AH31" s="1101"/>
      <c r="AI31" s="1101"/>
      <c r="AJ31" s="1101"/>
      <c r="AK31" s="1101"/>
      <c r="AL31" s="1101"/>
      <c r="AM31" s="1101"/>
      <c r="AN31" s="1101"/>
      <c r="AO31" s="1108"/>
    </row>
    <row r="32" spans="3:41">
      <c r="AB32" s="1101"/>
      <c r="AC32" s="1101"/>
      <c r="AD32" s="1101"/>
      <c r="AE32" s="1101"/>
      <c r="AF32" s="1101"/>
      <c r="AG32" s="1101"/>
      <c r="AH32" s="1101"/>
      <c r="AI32" s="1101"/>
      <c r="AJ32" s="1101"/>
      <c r="AK32" s="1101"/>
      <c r="AL32" s="1101"/>
      <c r="AM32" s="1101"/>
      <c r="AN32" s="1101"/>
      <c r="AO32" s="1108"/>
    </row>
    <row r="33" spans="28:41">
      <c r="AB33" s="1101"/>
      <c r="AC33" s="1101"/>
      <c r="AD33" s="1101"/>
      <c r="AE33" s="1101"/>
      <c r="AF33" s="1101"/>
      <c r="AG33" s="1101"/>
      <c r="AH33" s="1101"/>
      <c r="AI33" s="1101"/>
      <c r="AJ33" s="1101"/>
      <c r="AK33" s="1101"/>
      <c r="AL33" s="1101"/>
      <c r="AM33" s="1101"/>
      <c r="AN33" s="1101"/>
      <c r="AO33" s="1108"/>
    </row>
    <row r="34" spans="28:41">
      <c r="AB34" s="1101"/>
      <c r="AC34" s="1101"/>
      <c r="AD34" s="1101"/>
      <c r="AE34" s="1101"/>
      <c r="AF34" s="1101"/>
      <c r="AG34" s="1101"/>
      <c r="AH34" s="1101"/>
      <c r="AI34" s="1101"/>
      <c r="AJ34" s="1101"/>
      <c r="AK34" s="1101"/>
      <c r="AL34" s="1101"/>
      <c r="AM34" s="1101"/>
      <c r="AN34" s="1101"/>
      <c r="AO34" s="1108"/>
    </row>
    <row r="35" spans="28:41"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1"/>
      <c r="AL35" s="1101"/>
      <c r="AM35" s="1101"/>
      <c r="AN35" s="1101"/>
      <c r="AO35" s="1108"/>
    </row>
    <row r="36" spans="28:41">
      <c r="AB36" s="1101"/>
      <c r="AC36" s="1101"/>
      <c r="AD36" s="1101"/>
      <c r="AE36" s="1101"/>
      <c r="AF36" s="1101"/>
      <c r="AG36" s="1101"/>
      <c r="AH36" s="1101"/>
      <c r="AI36" s="1101"/>
      <c r="AJ36" s="1101"/>
      <c r="AK36" s="1101"/>
      <c r="AL36" s="1101"/>
      <c r="AM36" s="1101"/>
      <c r="AN36" s="1101"/>
      <c r="AO36" s="1108"/>
    </row>
    <row r="37" spans="28:41">
      <c r="AB37" s="1101"/>
      <c r="AC37" s="1101"/>
      <c r="AD37" s="1101"/>
      <c r="AE37" s="1101"/>
      <c r="AF37" s="1101"/>
      <c r="AG37" s="1101"/>
      <c r="AH37" s="1101"/>
      <c r="AI37" s="1101"/>
      <c r="AJ37" s="1101"/>
      <c r="AK37" s="1101"/>
      <c r="AL37" s="1101"/>
      <c r="AM37" s="1101"/>
      <c r="AN37" s="1101"/>
      <c r="AO37" s="1108"/>
    </row>
    <row r="38" spans="28:41">
      <c r="AB38" s="1101"/>
      <c r="AC38" s="1101"/>
      <c r="AD38" s="1101"/>
      <c r="AE38" s="1101"/>
      <c r="AF38" s="1101"/>
      <c r="AG38" s="1101"/>
      <c r="AH38" s="1101"/>
      <c r="AI38" s="1101"/>
      <c r="AJ38" s="1101"/>
      <c r="AK38" s="1101"/>
      <c r="AL38" s="1101"/>
      <c r="AM38" s="1101"/>
      <c r="AN38" s="1101"/>
      <c r="AO38" s="1108"/>
    </row>
    <row r="39" spans="28:41">
      <c r="AB39" s="1101"/>
      <c r="AC39" s="1101"/>
      <c r="AD39" s="1101"/>
      <c r="AE39" s="1101"/>
      <c r="AF39" s="1101"/>
      <c r="AG39" s="1101"/>
      <c r="AH39" s="1101"/>
      <c r="AI39" s="1101"/>
      <c r="AJ39" s="1101"/>
      <c r="AK39" s="1101"/>
      <c r="AL39" s="1101"/>
      <c r="AM39" s="1101"/>
      <c r="AN39" s="1101"/>
      <c r="AO39" s="1108"/>
    </row>
    <row r="40" spans="28:41">
      <c r="AB40" s="1101"/>
      <c r="AC40" s="1101"/>
      <c r="AD40" s="1101"/>
      <c r="AE40" s="1101"/>
      <c r="AF40" s="1101"/>
      <c r="AG40" s="1101"/>
      <c r="AH40" s="1101"/>
      <c r="AI40" s="1101"/>
      <c r="AJ40" s="1101"/>
      <c r="AK40" s="1101"/>
      <c r="AL40" s="1101"/>
      <c r="AM40" s="1101"/>
      <c r="AN40" s="1101"/>
      <c r="AO40" s="1108"/>
    </row>
    <row r="118" spans="29:42">
      <c r="AC118" s="1101"/>
      <c r="AD118" s="1101"/>
      <c r="AE118" s="1101"/>
      <c r="AF118" s="1101"/>
      <c r="AG118" s="1101"/>
      <c r="AH118" s="1101"/>
      <c r="AI118" s="1101"/>
      <c r="AJ118" s="1101"/>
      <c r="AK118" s="1101"/>
      <c r="AL118" s="1101"/>
      <c r="AM118" s="1101"/>
      <c r="AN118" s="1101"/>
      <c r="AO118" s="1101"/>
      <c r="AP118" s="1108"/>
    </row>
    <row r="119" spans="29:42">
      <c r="AC119" s="1101"/>
      <c r="AD119" s="1101"/>
      <c r="AE119" s="1101"/>
      <c r="AF119" s="1101"/>
      <c r="AG119" s="1101"/>
      <c r="AH119" s="1101"/>
      <c r="AI119" s="1101"/>
      <c r="AJ119" s="1101"/>
      <c r="AK119" s="1101"/>
      <c r="AL119" s="1101"/>
      <c r="AM119" s="1101"/>
      <c r="AN119" s="1101"/>
      <c r="AO119" s="1101"/>
      <c r="AP119" s="1108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76" workbookViewId="0">
      <selection activeCell="C73" sqref="C73"/>
    </sheetView>
  </sheetViews>
  <sheetFormatPr defaultColWidth="8.5546875" defaultRowHeight="14.4"/>
  <cols>
    <col min="1" max="1" width="11" style="916" customWidth="1"/>
    <col min="2" max="2" width="63.6640625" style="916" customWidth="1"/>
    <col min="3" max="3" width="13.6640625" style="1078" customWidth="1"/>
    <col min="4" max="4" width="7.44140625" style="916" customWidth="1"/>
    <col min="5" max="5" width="18.44140625" style="916" customWidth="1"/>
    <col min="6" max="6" width="14.5546875" style="916" customWidth="1"/>
    <col min="7" max="7" width="11.44140625" style="916" customWidth="1"/>
    <col min="8" max="8" width="15.5546875" style="916" customWidth="1"/>
    <col min="9" max="9" width="13.5546875" style="916" customWidth="1"/>
    <col min="10" max="10" width="24.44140625" style="916" customWidth="1"/>
    <col min="11" max="11" width="12.44140625" style="916" customWidth="1"/>
    <col min="12" max="12" width="22.44140625" style="916" customWidth="1"/>
    <col min="13" max="16384" width="8.5546875" style="916"/>
  </cols>
  <sheetData>
    <row r="2" spans="2:12" ht="21.6" customHeight="1">
      <c r="B2" s="1122" t="s">
        <v>608</v>
      </c>
      <c r="J2" s="1123"/>
      <c r="K2" s="1123"/>
    </row>
    <row r="3" spans="2:12" ht="18.600000000000001" customHeight="1">
      <c r="B3" s="2240" t="s">
        <v>384</v>
      </c>
      <c r="C3" s="2240" t="s">
        <v>219</v>
      </c>
      <c r="D3" s="2240"/>
      <c r="E3" s="2242" t="s">
        <v>609</v>
      </c>
      <c r="F3" s="2240" t="s">
        <v>564</v>
      </c>
      <c r="G3" s="2240"/>
      <c r="H3" s="1124" t="s">
        <v>224</v>
      </c>
      <c r="K3" s="1101"/>
      <c r="L3" s="1125"/>
    </row>
    <row r="4" spans="2:12" ht="18.600000000000001" customHeight="1">
      <c r="B4" s="2241"/>
      <c r="C4" s="2241"/>
      <c r="D4" s="2241"/>
      <c r="E4" s="2243"/>
      <c r="F4" s="2241"/>
      <c r="G4" s="2241"/>
      <c r="H4" s="1124" t="s">
        <v>610</v>
      </c>
      <c r="K4" s="1101"/>
    </row>
    <row r="5" spans="2:12" ht="18.600000000000001" customHeight="1">
      <c r="B5" s="1126" t="s">
        <v>611</v>
      </c>
      <c r="C5" s="1127"/>
      <c r="D5" s="1127"/>
      <c r="E5" s="1128"/>
      <c r="F5" s="1129"/>
      <c r="G5" s="1127"/>
      <c r="H5" s="1129"/>
      <c r="K5" s="1101"/>
    </row>
    <row r="6" spans="2:12">
      <c r="B6" s="1093" t="s">
        <v>612</v>
      </c>
      <c r="C6" s="409">
        <v>50</v>
      </c>
      <c r="D6" s="1130" t="s">
        <v>613</v>
      </c>
      <c r="E6" s="409">
        <f>C6</f>
        <v>50</v>
      </c>
      <c r="F6" s="1094">
        <v>374</v>
      </c>
      <c r="G6" s="1094" t="s">
        <v>613</v>
      </c>
      <c r="H6" s="1131">
        <f>E6*F6</f>
        <v>18700</v>
      </c>
      <c r="I6" s="1132"/>
      <c r="K6" s="1101"/>
    </row>
    <row r="7" spans="2:12">
      <c r="B7" s="1093" t="s">
        <v>614</v>
      </c>
      <c r="C7" s="409">
        <v>2</v>
      </c>
      <c r="D7" s="1130" t="s">
        <v>615</v>
      </c>
      <c r="E7" s="409">
        <f>C7</f>
        <v>2</v>
      </c>
      <c r="F7" s="1094">
        <v>7250</v>
      </c>
      <c r="G7" s="1094" t="s">
        <v>615</v>
      </c>
      <c r="H7" s="1131">
        <f t="shared" ref="H7:H32" si="0">E7*F7</f>
        <v>14500</v>
      </c>
    </row>
    <row r="8" spans="2:12">
      <c r="B8" s="1093" t="s">
        <v>616</v>
      </c>
      <c r="C8" s="409">
        <v>0.5</v>
      </c>
      <c r="D8" s="1130" t="s">
        <v>613</v>
      </c>
      <c r="E8" s="409">
        <f t="shared" ref="E8:E32" si="1">C8</f>
        <v>0.5</v>
      </c>
      <c r="F8" s="1094">
        <v>500</v>
      </c>
      <c r="G8" s="1094" t="s">
        <v>613</v>
      </c>
      <c r="H8" s="1131">
        <f t="shared" si="0"/>
        <v>250</v>
      </c>
    </row>
    <row r="9" spans="2:12">
      <c r="B9" s="1093" t="s">
        <v>617</v>
      </c>
      <c r="C9" s="409">
        <v>70</v>
      </c>
      <c r="D9" s="1130" t="s">
        <v>613</v>
      </c>
      <c r="E9" s="409">
        <f t="shared" si="1"/>
        <v>70</v>
      </c>
      <c r="F9" s="1094">
        <v>388</v>
      </c>
      <c r="G9" s="1094" t="s">
        <v>613</v>
      </c>
      <c r="H9" s="1131">
        <f t="shared" si="0"/>
        <v>27160</v>
      </c>
    </row>
    <row r="10" spans="2:12">
      <c r="B10" s="1093" t="s">
        <v>618</v>
      </c>
      <c r="C10" s="409">
        <v>70</v>
      </c>
      <c r="D10" s="1130" t="s">
        <v>613</v>
      </c>
      <c r="E10" s="409">
        <f t="shared" si="1"/>
        <v>70</v>
      </c>
      <c r="F10" s="1094">
        <v>612</v>
      </c>
      <c r="G10" s="1094" t="s">
        <v>613</v>
      </c>
      <c r="H10" s="1131">
        <f t="shared" si="0"/>
        <v>42840</v>
      </c>
    </row>
    <row r="11" spans="2:12">
      <c r="B11" s="1093" t="s">
        <v>619</v>
      </c>
      <c r="C11" s="409">
        <v>0.05</v>
      </c>
      <c r="D11" s="1130" t="s">
        <v>620</v>
      </c>
      <c r="E11" s="409">
        <f t="shared" si="1"/>
        <v>0.05</v>
      </c>
      <c r="F11" s="1094">
        <v>21000</v>
      </c>
      <c r="G11" s="1094" t="s">
        <v>620</v>
      </c>
      <c r="H11" s="1131">
        <f t="shared" si="0"/>
        <v>1050</v>
      </c>
    </row>
    <row r="12" spans="2:12">
      <c r="B12" s="1093" t="s">
        <v>621</v>
      </c>
      <c r="C12" s="409">
        <v>2.6</v>
      </c>
      <c r="D12" s="1130" t="s">
        <v>613</v>
      </c>
      <c r="E12" s="409">
        <f t="shared" si="1"/>
        <v>2.6</v>
      </c>
      <c r="F12" s="1094">
        <v>236</v>
      </c>
      <c r="G12" s="1094" t="s">
        <v>613</v>
      </c>
      <c r="H12" s="1131">
        <f t="shared" si="0"/>
        <v>613.6</v>
      </c>
    </row>
    <row r="13" spans="2:12">
      <c r="B13" s="1093" t="s">
        <v>622</v>
      </c>
      <c r="C13" s="409">
        <v>5.5</v>
      </c>
      <c r="D13" s="1130" t="s">
        <v>615</v>
      </c>
      <c r="E13" s="409">
        <f t="shared" si="1"/>
        <v>5.5</v>
      </c>
      <c r="F13" s="1094">
        <v>35000</v>
      </c>
      <c r="G13" s="1094" t="s">
        <v>615</v>
      </c>
      <c r="H13" s="1131">
        <f t="shared" si="0"/>
        <v>192500</v>
      </c>
    </row>
    <row r="14" spans="2:12">
      <c r="B14" s="1093" t="s">
        <v>623</v>
      </c>
      <c r="C14" s="409">
        <v>150</v>
      </c>
      <c r="D14" s="1130" t="s">
        <v>613</v>
      </c>
      <c r="E14" s="409">
        <f t="shared" si="1"/>
        <v>150</v>
      </c>
      <c r="F14" s="1094">
        <v>480</v>
      </c>
      <c r="G14" s="1094" t="s">
        <v>613</v>
      </c>
      <c r="H14" s="1131">
        <f t="shared" si="0"/>
        <v>72000</v>
      </c>
    </row>
    <row r="15" spans="2:12">
      <c r="B15" s="1093" t="s">
        <v>624</v>
      </c>
      <c r="C15" s="409">
        <v>0.3</v>
      </c>
      <c r="D15" s="1130" t="s">
        <v>620</v>
      </c>
      <c r="E15" s="409">
        <f t="shared" si="1"/>
        <v>0.3</v>
      </c>
      <c r="F15" s="1094">
        <v>6750</v>
      </c>
      <c r="G15" s="1094" t="s">
        <v>620</v>
      </c>
      <c r="H15" s="1131">
        <f t="shared" si="0"/>
        <v>2025</v>
      </c>
    </row>
    <row r="16" spans="2:12">
      <c r="B16" s="1093" t="s">
        <v>625</v>
      </c>
      <c r="C16" s="409">
        <f>36/357</f>
        <v>0.10084033613445378</v>
      </c>
      <c r="D16" s="1130" t="s">
        <v>620</v>
      </c>
      <c r="E16" s="409">
        <f t="shared" si="1"/>
        <v>0.10084033613445378</v>
      </c>
      <c r="F16" s="1094">
        <v>90000</v>
      </c>
      <c r="G16" s="1094" t="s">
        <v>620</v>
      </c>
      <c r="H16" s="1131">
        <f t="shared" si="0"/>
        <v>9075.6302521008402</v>
      </c>
    </row>
    <row r="17" spans="2:8">
      <c r="B17" s="1093" t="s">
        <v>626</v>
      </c>
      <c r="C17" s="409">
        <f>107/357</f>
        <v>0.29971988795518206</v>
      </c>
      <c r="D17" s="1130" t="s">
        <v>620</v>
      </c>
      <c r="E17" s="409">
        <f t="shared" si="1"/>
        <v>0.29971988795518206</v>
      </c>
      <c r="F17" s="1094">
        <v>3000</v>
      </c>
      <c r="G17" s="1094" t="s">
        <v>620</v>
      </c>
      <c r="H17" s="1131">
        <f t="shared" si="0"/>
        <v>899.15966386554624</v>
      </c>
    </row>
    <row r="18" spans="2:8">
      <c r="B18" s="1093" t="s">
        <v>627</v>
      </c>
      <c r="C18" s="409">
        <v>0.1</v>
      </c>
      <c r="D18" s="1130" t="s">
        <v>613</v>
      </c>
      <c r="E18" s="409">
        <f t="shared" si="1"/>
        <v>0.1</v>
      </c>
      <c r="F18" s="1094">
        <v>70000</v>
      </c>
      <c r="G18" s="1094" t="s">
        <v>613</v>
      </c>
      <c r="H18" s="1131">
        <f t="shared" si="0"/>
        <v>7000</v>
      </c>
    </row>
    <row r="19" spans="2:8">
      <c r="B19" s="1093" t="s">
        <v>628</v>
      </c>
      <c r="C19" s="409">
        <v>0.1</v>
      </c>
      <c r="D19" s="1130" t="s">
        <v>613</v>
      </c>
      <c r="E19" s="409">
        <f t="shared" si="1"/>
        <v>0.1</v>
      </c>
      <c r="F19" s="1094">
        <v>70000</v>
      </c>
      <c r="G19" s="1094" t="s">
        <v>613</v>
      </c>
      <c r="H19" s="1131">
        <f t="shared" si="0"/>
        <v>7000</v>
      </c>
    </row>
    <row r="20" spans="2:8">
      <c r="B20" s="1093" t="s">
        <v>629</v>
      </c>
      <c r="C20" s="409">
        <v>0.5</v>
      </c>
      <c r="D20" s="1130" t="s">
        <v>615</v>
      </c>
      <c r="E20" s="409">
        <f t="shared" si="1"/>
        <v>0.5</v>
      </c>
      <c r="F20" s="1094">
        <v>19300</v>
      </c>
      <c r="G20" s="1094" t="s">
        <v>615</v>
      </c>
      <c r="H20" s="1131">
        <f t="shared" si="0"/>
        <v>9650</v>
      </c>
    </row>
    <row r="21" spans="2:8">
      <c r="B21" s="1093" t="s">
        <v>630</v>
      </c>
      <c r="C21" s="409">
        <f>48/357</f>
        <v>0.13445378151260504</v>
      </c>
      <c r="D21" s="1130" t="s">
        <v>620</v>
      </c>
      <c r="E21" s="409">
        <f t="shared" si="1"/>
        <v>0.13445378151260504</v>
      </c>
      <c r="F21" s="1094">
        <v>7600</v>
      </c>
      <c r="G21" s="1094" t="s">
        <v>620</v>
      </c>
      <c r="H21" s="1131">
        <f t="shared" si="0"/>
        <v>1021.8487394957983</v>
      </c>
    </row>
    <row r="22" spans="2:8">
      <c r="B22" s="1093" t="s">
        <v>631</v>
      </c>
      <c r="C22" s="409">
        <v>120</v>
      </c>
      <c r="D22" s="1130" t="s">
        <v>613</v>
      </c>
      <c r="E22" s="409">
        <f t="shared" si="1"/>
        <v>120</v>
      </c>
      <c r="F22" s="1094">
        <v>502</v>
      </c>
      <c r="G22" s="1094" t="s">
        <v>613</v>
      </c>
      <c r="H22" s="1131">
        <f t="shared" si="0"/>
        <v>60240</v>
      </c>
    </row>
    <row r="23" spans="2:8">
      <c r="B23" s="1093" t="s">
        <v>632</v>
      </c>
      <c r="C23" s="1133">
        <v>0.02</v>
      </c>
      <c r="D23" s="1130" t="s">
        <v>633</v>
      </c>
      <c r="E23" s="1133">
        <f t="shared" si="1"/>
        <v>0.02</v>
      </c>
      <c r="F23" s="1094">
        <v>5000000</v>
      </c>
      <c r="G23" s="1094" t="s">
        <v>633</v>
      </c>
      <c r="H23" s="1131">
        <f t="shared" si="0"/>
        <v>100000</v>
      </c>
    </row>
    <row r="24" spans="2:8">
      <c r="B24" s="1093" t="s">
        <v>634</v>
      </c>
      <c r="C24" s="1133">
        <v>0.03</v>
      </c>
      <c r="D24" s="1130" t="s">
        <v>633</v>
      </c>
      <c r="E24" s="1133">
        <f t="shared" si="1"/>
        <v>0.03</v>
      </c>
      <c r="F24" s="1094">
        <v>2500000</v>
      </c>
      <c r="G24" s="1094" t="s">
        <v>633</v>
      </c>
      <c r="H24" s="1131">
        <f t="shared" si="0"/>
        <v>75000</v>
      </c>
    </row>
    <row r="25" spans="2:8">
      <c r="B25" s="1093" t="s">
        <v>635</v>
      </c>
      <c r="C25" s="1133">
        <v>0.03</v>
      </c>
      <c r="D25" s="1130" t="s">
        <v>633</v>
      </c>
      <c r="E25" s="1133">
        <f t="shared" si="1"/>
        <v>0.03</v>
      </c>
      <c r="F25" s="1094">
        <v>1250000</v>
      </c>
      <c r="G25" s="1094" t="s">
        <v>633</v>
      </c>
      <c r="H25" s="1131">
        <f t="shared" si="0"/>
        <v>37500</v>
      </c>
    </row>
    <row r="26" spans="2:8">
      <c r="B26" s="1093" t="s">
        <v>636</v>
      </c>
      <c r="C26" s="409">
        <f>179/357</f>
        <v>0.50140056022408963</v>
      </c>
      <c r="D26" s="1130" t="s">
        <v>620</v>
      </c>
      <c r="E26" s="409">
        <f t="shared" si="1"/>
        <v>0.50140056022408963</v>
      </c>
      <c r="F26" s="1094">
        <v>2000</v>
      </c>
      <c r="G26" s="1094" t="s">
        <v>620</v>
      </c>
      <c r="H26" s="1131">
        <f t="shared" si="0"/>
        <v>1002.8011204481793</v>
      </c>
    </row>
    <row r="27" spans="2:8">
      <c r="B27" s="1093" t="s">
        <v>637</v>
      </c>
      <c r="C27" s="409">
        <f>250/357</f>
        <v>0.70028011204481788</v>
      </c>
      <c r="D27" s="1130" t="s">
        <v>620</v>
      </c>
      <c r="E27" s="409">
        <f t="shared" si="1"/>
        <v>0.70028011204481788</v>
      </c>
      <c r="F27" s="1094">
        <v>765</v>
      </c>
      <c r="G27" s="1094" t="s">
        <v>620</v>
      </c>
      <c r="H27" s="1131">
        <f t="shared" si="0"/>
        <v>535.71428571428567</v>
      </c>
    </row>
    <row r="28" spans="2:8">
      <c r="B28" s="1093" t="s">
        <v>638</v>
      </c>
      <c r="C28" s="409">
        <f>250/357</f>
        <v>0.70028011204481788</v>
      </c>
      <c r="D28" s="1130" t="s">
        <v>620</v>
      </c>
      <c r="E28" s="409">
        <f t="shared" si="1"/>
        <v>0.70028011204481788</v>
      </c>
      <c r="F28" s="1094">
        <v>5200</v>
      </c>
      <c r="G28" s="1094" t="s">
        <v>620</v>
      </c>
      <c r="H28" s="1131">
        <f t="shared" si="0"/>
        <v>3641.4565826330531</v>
      </c>
    </row>
    <row r="29" spans="2:8">
      <c r="B29" s="1093" t="s">
        <v>639</v>
      </c>
      <c r="C29" s="409">
        <f>6069/357</f>
        <v>17</v>
      </c>
      <c r="D29" s="1130" t="s">
        <v>620</v>
      </c>
      <c r="E29" s="409">
        <f t="shared" si="1"/>
        <v>17</v>
      </c>
      <c r="F29" s="1094">
        <v>950</v>
      </c>
      <c r="G29" s="1094" t="s">
        <v>620</v>
      </c>
      <c r="H29" s="1131">
        <f t="shared" si="0"/>
        <v>16150</v>
      </c>
    </row>
    <row r="30" spans="2:8">
      <c r="B30" s="1093" t="s">
        <v>640</v>
      </c>
      <c r="C30" s="409">
        <v>12</v>
      </c>
      <c r="D30" s="1130" t="s">
        <v>620</v>
      </c>
      <c r="E30" s="409">
        <f t="shared" si="1"/>
        <v>12</v>
      </c>
      <c r="F30" s="1094">
        <v>2400</v>
      </c>
      <c r="G30" s="1094" t="s">
        <v>620</v>
      </c>
      <c r="H30" s="1131">
        <f t="shared" si="0"/>
        <v>28800</v>
      </c>
    </row>
    <row r="31" spans="2:8">
      <c r="B31" s="1093" t="s">
        <v>641</v>
      </c>
      <c r="C31" s="409">
        <f>357/357</f>
        <v>1</v>
      </c>
      <c r="D31" s="1130" t="s">
        <v>620</v>
      </c>
      <c r="E31" s="409">
        <f t="shared" si="1"/>
        <v>1</v>
      </c>
      <c r="F31" s="1094">
        <v>4200</v>
      </c>
      <c r="G31" s="1094" t="s">
        <v>620</v>
      </c>
      <c r="H31" s="1131">
        <f t="shared" si="0"/>
        <v>4200</v>
      </c>
    </row>
    <row r="32" spans="2:8" ht="15" thickBot="1">
      <c r="B32" s="1093" t="s">
        <v>642</v>
      </c>
      <c r="C32" s="409">
        <f>6069/357</f>
        <v>17</v>
      </c>
      <c r="D32" s="1130" t="s">
        <v>620</v>
      </c>
      <c r="E32" s="409">
        <f t="shared" si="1"/>
        <v>17</v>
      </c>
      <c r="F32" s="1094">
        <v>700</v>
      </c>
      <c r="G32" s="1094" t="s">
        <v>620</v>
      </c>
      <c r="H32" s="1131">
        <f t="shared" si="0"/>
        <v>11900</v>
      </c>
    </row>
    <row r="33" spans="2:12" ht="21" customHeight="1" thickTop="1" thickBot="1">
      <c r="B33" s="2237" t="s">
        <v>643</v>
      </c>
      <c r="C33" s="2238"/>
      <c r="D33" s="2238"/>
      <c r="E33" s="2238"/>
      <c r="F33" s="2238"/>
      <c r="G33" s="2239"/>
      <c r="H33" s="1134">
        <f>SUM(H6:H32)</f>
        <v>745255.21064425772</v>
      </c>
    </row>
    <row r="34" spans="2:12">
      <c r="B34" s="344"/>
      <c r="C34" s="344"/>
      <c r="D34" s="344"/>
      <c r="E34" s="344"/>
      <c r="F34" s="344"/>
      <c r="G34" s="344"/>
      <c r="H34" s="344"/>
    </row>
    <row r="35" spans="2:12" ht="18.600000000000001" customHeight="1">
      <c r="B35" s="2240" t="s">
        <v>384</v>
      </c>
      <c r="C35" s="2240" t="s">
        <v>219</v>
      </c>
      <c r="D35" s="2240"/>
      <c r="E35" s="2242" t="s">
        <v>644</v>
      </c>
      <c r="F35" s="2240" t="s">
        <v>564</v>
      </c>
      <c r="G35" s="2240"/>
      <c r="H35" s="1124" t="s">
        <v>385</v>
      </c>
      <c r="K35" s="1101"/>
      <c r="L35" s="1125"/>
    </row>
    <row r="36" spans="2:12" ht="18.600000000000001" customHeight="1">
      <c r="B36" s="2241"/>
      <c r="C36" s="2241"/>
      <c r="D36" s="2241"/>
      <c r="E36" s="2243"/>
      <c r="F36" s="2241"/>
      <c r="G36" s="2241"/>
      <c r="H36" s="1124" t="s">
        <v>386</v>
      </c>
      <c r="K36" s="1101"/>
    </row>
    <row r="37" spans="2:12" ht="18.600000000000001" customHeight="1">
      <c r="B37" s="1126" t="s">
        <v>645</v>
      </c>
      <c r="C37" s="1127"/>
      <c r="D37" s="1127"/>
      <c r="E37" s="1128"/>
      <c r="F37" s="1127"/>
      <c r="G37" s="1127"/>
      <c r="H37" s="1127"/>
      <c r="K37" s="1101"/>
    </row>
    <row r="38" spans="2:12">
      <c r="B38" s="1093" t="s">
        <v>646</v>
      </c>
      <c r="C38" s="409">
        <f>286/357</f>
        <v>0.80112044817927175</v>
      </c>
      <c r="D38" s="1130" t="s">
        <v>620</v>
      </c>
      <c r="E38" s="409">
        <f t="shared" ref="E38:E53" si="2">C38</f>
        <v>0.80112044817927175</v>
      </c>
      <c r="F38" s="1094">
        <v>4000</v>
      </c>
      <c r="G38" s="1094" t="s">
        <v>620</v>
      </c>
      <c r="H38" s="1135">
        <f t="shared" ref="H38:H53" si="3">E38*F38</f>
        <v>3204.481792717087</v>
      </c>
    </row>
    <row r="39" spans="2:12">
      <c r="B39" s="1093" t="s">
        <v>647</v>
      </c>
      <c r="C39" s="409">
        <f>1785/357</f>
        <v>5</v>
      </c>
      <c r="D39" s="1130" t="s">
        <v>648</v>
      </c>
      <c r="E39" s="409">
        <f t="shared" si="2"/>
        <v>5</v>
      </c>
      <c r="F39" s="1094">
        <v>10100</v>
      </c>
      <c r="G39" s="1094" t="s">
        <v>648</v>
      </c>
      <c r="H39" s="1135">
        <f t="shared" si="3"/>
        <v>50500</v>
      </c>
    </row>
    <row r="40" spans="2:12">
      <c r="B40" s="1093" t="s">
        <v>649</v>
      </c>
      <c r="C40" s="409">
        <f>714/357</f>
        <v>2</v>
      </c>
      <c r="D40" s="1130" t="s">
        <v>650</v>
      </c>
      <c r="E40" s="409">
        <f t="shared" si="2"/>
        <v>2</v>
      </c>
      <c r="F40" s="1094">
        <v>8160</v>
      </c>
      <c r="G40" s="1094" t="s">
        <v>650</v>
      </c>
      <c r="H40" s="1135">
        <f t="shared" si="3"/>
        <v>16320</v>
      </c>
    </row>
    <row r="41" spans="2:12">
      <c r="B41" s="1093" t="s">
        <v>651</v>
      </c>
      <c r="C41" s="409">
        <f>360/357</f>
        <v>1.0084033613445378</v>
      </c>
      <c r="D41" s="1130" t="s">
        <v>652</v>
      </c>
      <c r="E41" s="409">
        <f t="shared" si="2"/>
        <v>1.0084033613445378</v>
      </c>
      <c r="F41" s="1094">
        <v>26550</v>
      </c>
      <c r="G41" s="1094" t="s">
        <v>652</v>
      </c>
      <c r="H41" s="1135">
        <f t="shared" si="3"/>
        <v>26773.10924369748</v>
      </c>
    </row>
    <row r="42" spans="2:12">
      <c r="B42" s="1093" t="s">
        <v>653</v>
      </c>
      <c r="C42" s="409">
        <f>714/357</f>
        <v>2</v>
      </c>
      <c r="D42" s="1130" t="s">
        <v>650</v>
      </c>
      <c r="E42" s="409">
        <f t="shared" si="2"/>
        <v>2</v>
      </c>
      <c r="F42" s="1094">
        <v>31700</v>
      </c>
      <c r="G42" s="1094" t="s">
        <v>650</v>
      </c>
      <c r="H42" s="1135">
        <f t="shared" si="3"/>
        <v>63400</v>
      </c>
    </row>
    <row r="43" spans="2:12">
      <c r="B43" s="1093" t="s">
        <v>654</v>
      </c>
      <c r="C43" s="409">
        <v>2.5</v>
      </c>
      <c r="D43" s="1130" t="s">
        <v>650</v>
      </c>
      <c r="E43" s="409">
        <f t="shared" si="2"/>
        <v>2.5</v>
      </c>
      <c r="F43" s="1094">
        <v>31006</v>
      </c>
      <c r="G43" s="1094" t="s">
        <v>650</v>
      </c>
      <c r="H43" s="1135">
        <f t="shared" si="3"/>
        <v>77515</v>
      </c>
    </row>
    <row r="44" spans="2:12">
      <c r="B44" s="1093" t="s">
        <v>655</v>
      </c>
      <c r="C44" s="409">
        <f>179/357</f>
        <v>0.50140056022408963</v>
      </c>
      <c r="D44" s="1130" t="s">
        <v>620</v>
      </c>
      <c r="E44" s="409">
        <f t="shared" si="2"/>
        <v>0.50140056022408963</v>
      </c>
      <c r="F44" s="1094">
        <v>11950</v>
      </c>
      <c r="G44" s="1094" t="s">
        <v>620</v>
      </c>
      <c r="H44" s="1135">
        <f t="shared" si="3"/>
        <v>5991.7366946778711</v>
      </c>
    </row>
    <row r="45" spans="2:12">
      <c r="B45" s="1093" t="s">
        <v>656</v>
      </c>
      <c r="C45" s="409">
        <f>214/357</f>
        <v>0.59943977591036413</v>
      </c>
      <c r="D45" s="1130" t="s">
        <v>620</v>
      </c>
      <c r="E45" s="409">
        <f t="shared" si="2"/>
        <v>0.59943977591036413</v>
      </c>
      <c r="F45" s="1094">
        <v>2545</v>
      </c>
      <c r="G45" s="1094" t="s">
        <v>620</v>
      </c>
      <c r="H45" s="1135">
        <f t="shared" si="3"/>
        <v>1525.5742296918768</v>
      </c>
    </row>
    <row r="46" spans="2:12">
      <c r="B46" s="1093" t="s">
        <v>657</v>
      </c>
      <c r="C46" s="409">
        <f>1714/357</f>
        <v>4.8011204481792715</v>
      </c>
      <c r="D46" s="1130" t="s">
        <v>658</v>
      </c>
      <c r="E46" s="409">
        <f t="shared" si="2"/>
        <v>4.8011204481792715</v>
      </c>
      <c r="F46" s="1094">
        <v>930</v>
      </c>
      <c r="G46" s="1094" t="s">
        <v>658</v>
      </c>
      <c r="H46" s="1135">
        <f t="shared" si="3"/>
        <v>4465.0420168067221</v>
      </c>
    </row>
    <row r="47" spans="2:12">
      <c r="B47" s="1093" t="s">
        <v>659</v>
      </c>
      <c r="C47" s="409">
        <f>71/357</f>
        <v>0.19887955182072828</v>
      </c>
      <c r="D47" s="1130" t="s">
        <v>620</v>
      </c>
      <c r="E47" s="409">
        <f t="shared" si="2"/>
        <v>0.19887955182072828</v>
      </c>
      <c r="F47" s="1094">
        <v>21050</v>
      </c>
      <c r="G47" s="1094" t="s">
        <v>620</v>
      </c>
      <c r="H47" s="1135">
        <f t="shared" si="3"/>
        <v>4186.4145658263305</v>
      </c>
    </row>
    <row r="48" spans="2:12">
      <c r="B48" s="1093" t="s">
        <v>660</v>
      </c>
      <c r="C48" s="409">
        <f>12/357</f>
        <v>3.3613445378151259E-2</v>
      </c>
      <c r="D48" s="1130" t="s">
        <v>620</v>
      </c>
      <c r="E48" s="409">
        <f t="shared" si="2"/>
        <v>3.3613445378151259E-2</v>
      </c>
      <c r="F48" s="1094">
        <v>12500</v>
      </c>
      <c r="G48" s="1094" t="s">
        <v>620</v>
      </c>
      <c r="H48" s="1135">
        <f t="shared" si="3"/>
        <v>420.16806722689074</v>
      </c>
    </row>
    <row r="49" spans="1:12">
      <c r="B49" s="1093" t="s">
        <v>661</v>
      </c>
      <c r="C49" s="409">
        <v>0.08</v>
      </c>
      <c r="D49" s="1130" t="s">
        <v>658</v>
      </c>
      <c r="E49" s="409">
        <f t="shared" si="2"/>
        <v>0.08</v>
      </c>
      <c r="F49" s="1094">
        <v>8160</v>
      </c>
      <c r="G49" s="1094" t="s">
        <v>658</v>
      </c>
      <c r="H49" s="1135">
        <f t="shared" si="3"/>
        <v>652.80000000000007</v>
      </c>
    </row>
    <row r="50" spans="1:12">
      <c r="B50" s="1093" t="s">
        <v>662</v>
      </c>
      <c r="C50" s="409">
        <f>12/357</f>
        <v>3.3613445378151259E-2</v>
      </c>
      <c r="D50" s="1130" t="s">
        <v>620</v>
      </c>
      <c r="E50" s="409">
        <f t="shared" si="2"/>
        <v>3.3613445378151259E-2</v>
      </c>
      <c r="F50" s="1094">
        <v>23400</v>
      </c>
      <c r="G50" s="1094" t="s">
        <v>620</v>
      </c>
      <c r="H50" s="1135">
        <f t="shared" si="3"/>
        <v>786.55462184873943</v>
      </c>
    </row>
    <row r="51" spans="1:12">
      <c r="B51" s="1093" t="s">
        <v>663</v>
      </c>
      <c r="C51" s="409">
        <f>12/357</f>
        <v>3.3613445378151259E-2</v>
      </c>
      <c r="D51" s="1130" t="s">
        <v>620</v>
      </c>
      <c r="E51" s="409">
        <f t="shared" si="2"/>
        <v>3.3613445378151259E-2</v>
      </c>
      <c r="F51" s="1094">
        <v>50800</v>
      </c>
      <c r="G51" s="1094" t="s">
        <v>620</v>
      </c>
      <c r="H51" s="1135">
        <f t="shared" si="3"/>
        <v>1707.5630252100839</v>
      </c>
    </row>
    <row r="52" spans="1:12">
      <c r="B52" s="1093" t="s">
        <v>664</v>
      </c>
      <c r="C52" s="409">
        <v>0.08</v>
      </c>
      <c r="D52" s="1130" t="s">
        <v>620</v>
      </c>
      <c r="E52" s="409">
        <f t="shared" si="2"/>
        <v>0.08</v>
      </c>
      <c r="F52" s="1094">
        <v>6250</v>
      </c>
      <c r="G52" s="1094" t="s">
        <v>620</v>
      </c>
      <c r="H52" s="1135">
        <f t="shared" si="3"/>
        <v>500</v>
      </c>
    </row>
    <row r="53" spans="1:12" ht="15" thickBot="1">
      <c r="B53" s="1093" t="s">
        <v>665</v>
      </c>
      <c r="C53" s="409">
        <v>0.05</v>
      </c>
      <c r="D53" s="1130" t="s">
        <v>620</v>
      </c>
      <c r="E53" s="409">
        <f t="shared" si="2"/>
        <v>0.05</v>
      </c>
      <c r="F53" s="1094">
        <v>24260</v>
      </c>
      <c r="G53" s="1094" t="s">
        <v>620</v>
      </c>
      <c r="H53" s="1135">
        <f t="shared" si="3"/>
        <v>1213</v>
      </c>
    </row>
    <row r="54" spans="1:12" ht="15.6" thickTop="1" thickBot="1">
      <c r="B54" s="2237" t="s">
        <v>643</v>
      </c>
      <c r="C54" s="2238"/>
      <c r="D54" s="2238"/>
      <c r="E54" s="2238"/>
      <c r="F54" s="2238"/>
      <c r="G54" s="2239"/>
      <c r="H54" s="1134">
        <f>SUM(H38:H53)</f>
        <v>259161.44425770309</v>
      </c>
    </row>
    <row r="55" spans="1:12">
      <c r="A55"/>
      <c r="B55"/>
      <c r="C55"/>
      <c r="D55"/>
      <c r="E55"/>
      <c r="F55"/>
      <c r="G55"/>
      <c r="H55"/>
    </row>
    <row r="56" spans="1:12" ht="18.600000000000001" customHeight="1">
      <c r="B56" s="2240" t="s">
        <v>384</v>
      </c>
      <c r="C56" s="2240" t="s">
        <v>219</v>
      </c>
      <c r="D56" s="2240"/>
      <c r="E56" s="2242" t="s">
        <v>644</v>
      </c>
      <c r="F56" s="2240" t="s">
        <v>564</v>
      </c>
      <c r="G56" s="2240"/>
      <c r="H56" s="1124" t="s">
        <v>385</v>
      </c>
      <c r="K56" s="1101"/>
      <c r="L56" s="1125"/>
    </row>
    <row r="57" spans="1:12" ht="18.600000000000001" customHeight="1">
      <c r="B57" s="2241"/>
      <c r="C57" s="2241"/>
      <c r="D57" s="2241"/>
      <c r="E57" s="2243"/>
      <c r="F57" s="2241"/>
      <c r="G57" s="2241"/>
      <c r="H57" s="1124" t="s">
        <v>386</v>
      </c>
      <c r="K57" s="1101"/>
    </row>
    <row r="58" spans="1:12" ht="18.600000000000001" customHeight="1">
      <c r="B58" s="1126" t="s">
        <v>366</v>
      </c>
      <c r="C58" s="1127"/>
      <c r="D58" s="1127"/>
      <c r="E58" s="1128"/>
      <c r="F58" s="1127"/>
      <c r="G58" s="1127"/>
      <c r="H58" s="1136"/>
      <c r="K58" s="1101"/>
    </row>
    <row r="59" spans="1:12">
      <c r="B59" s="1093" t="s">
        <v>666</v>
      </c>
      <c r="C59" s="409">
        <f>59/357</f>
        <v>0.16526610644257703</v>
      </c>
      <c r="D59" s="1130" t="s">
        <v>650</v>
      </c>
      <c r="E59" s="409">
        <f>C59</f>
        <v>0.16526610644257703</v>
      </c>
      <c r="F59" s="1094">
        <v>82000</v>
      </c>
      <c r="G59" s="1094" t="s">
        <v>650</v>
      </c>
      <c r="H59" s="1135">
        <f>E59*F59</f>
        <v>13551.820728291315</v>
      </c>
    </row>
    <row r="60" spans="1:12" ht="15" thickBot="1">
      <c r="B60" s="1093" t="s">
        <v>667</v>
      </c>
      <c r="C60" s="409">
        <f>59/357</f>
        <v>0.16526610644257703</v>
      </c>
      <c r="D60" s="1130" t="s">
        <v>650</v>
      </c>
      <c r="E60" s="409">
        <f>C60</f>
        <v>0.16526610644257703</v>
      </c>
      <c r="F60" s="1094">
        <v>82000</v>
      </c>
      <c r="G60" s="1094" t="s">
        <v>650</v>
      </c>
      <c r="H60" s="1135">
        <f>E60*F60</f>
        <v>13551.820728291315</v>
      </c>
    </row>
    <row r="61" spans="1:12" ht="15.6" thickTop="1" thickBot="1">
      <c r="B61" s="2237" t="s">
        <v>643</v>
      </c>
      <c r="C61" s="2238"/>
      <c r="D61" s="2238"/>
      <c r="E61" s="2238"/>
      <c r="F61" s="2238"/>
      <c r="G61" s="2239"/>
      <c r="H61" s="1134">
        <f>SUM(H59:H60)</f>
        <v>27103.641456582631</v>
      </c>
    </row>
    <row r="62" spans="1:12" ht="15.6" thickTop="1" thickBot="1">
      <c r="B62" s="1137"/>
      <c r="C62" s="1137"/>
      <c r="D62" s="1137"/>
      <c r="E62" s="1137"/>
      <c r="F62" s="1137"/>
      <c r="G62" s="1137"/>
      <c r="H62" s="1138"/>
    </row>
    <row r="63" spans="1:12" ht="15" thickTop="1">
      <c r="B63" s="2246" t="s">
        <v>668</v>
      </c>
      <c r="C63" s="2247"/>
      <c r="D63" s="2247"/>
      <c r="E63" s="2247"/>
      <c r="F63" s="2247"/>
      <c r="G63" s="2247"/>
      <c r="H63" s="2250">
        <f>H61+H54+H33</f>
        <v>1031520.2963585434</v>
      </c>
    </row>
    <row r="64" spans="1:12" ht="6.6" customHeight="1" thickBot="1">
      <c r="B64" s="2248"/>
      <c r="C64" s="2249"/>
      <c r="D64" s="2249"/>
      <c r="E64" s="2249"/>
      <c r="F64" s="2249"/>
      <c r="G64" s="2249"/>
      <c r="H64" s="2251"/>
    </row>
    <row r="65" spans="2:9" ht="15" thickTop="1"/>
    <row r="67" spans="2:9" ht="21">
      <c r="B67" s="972"/>
      <c r="C67" s="1122" t="s">
        <v>669</v>
      </c>
      <c r="D67" s="972"/>
      <c r="E67" s="972"/>
      <c r="F67" s="344"/>
      <c r="G67" s="972"/>
      <c r="H67" s="972"/>
      <c r="I67" s="972"/>
    </row>
    <row r="68" spans="2:9">
      <c r="B68" s="2240" t="s">
        <v>99</v>
      </c>
      <c r="C68" s="2240" t="s">
        <v>384</v>
      </c>
      <c r="D68" s="2240" t="s">
        <v>219</v>
      </c>
      <c r="E68" s="2240"/>
      <c r="F68" s="2242" t="s">
        <v>644</v>
      </c>
      <c r="G68" s="2240" t="s">
        <v>564</v>
      </c>
      <c r="H68" s="2240"/>
      <c r="I68" s="1139" t="s">
        <v>385</v>
      </c>
    </row>
    <row r="69" spans="2:9" ht="15" thickBot="1">
      <c r="B69" s="2241"/>
      <c r="C69" s="2241"/>
      <c r="D69" s="2241"/>
      <c r="E69" s="2241"/>
      <c r="F69" s="2243"/>
      <c r="G69" s="2241"/>
      <c r="H69" s="2241"/>
      <c r="I69" s="1139" t="s">
        <v>386</v>
      </c>
    </row>
    <row r="70" spans="2:9" ht="15" thickTop="1">
      <c r="B70" s="1140">
        <v>1</v>
      </c>
      <c r="C70" s="1141" t="s">
        <v>670</v>
      </c>
      <c r="D70" s="1142">
        <v>12</v>
      </c>
      <c r="E70" s="1142" t="s">
        <v>671</v>
      </c>
      <c r="F70" s="1143">
        <f>D70/357</f>
        <v>3.3613445378151259E-2</v>
      </c>
      <c r="G70" s="1144">
        <v>35000</v>
      </c>
      <c r="H70" s="1144" t="s">
        <v>672</v>
      </c>
      <c r="I70" s="1145">
        <f>F70*G70</f>
        <v>1176.4705882352941</v>
      </c>
    </row>
    <row r="71" spans="2:9">
      <c r="B71" s="1146">
        <f>B70+1</f>
        <v>2</v>
      </c>
      <c r="C71" s="1147" t="s">
        <v>673</v>
      </c>
      <c r="D71" s="1148">
        <v>72</v>
      </c>
      <c r="E71" s="1148" t="s">
        <v>671</v>
      </c>
      <c r="F71" s="1149">
        <f t="shared" ref="F71:F110" si="4">D71/357</f>
        <v>0.20168067226890757</v>
      </c>
      <c r="G71" s="1150">
        <v>48000</v>
      </c>
      <c r="H71" s="1150" t="s">
        <v>672</v>
      </c>
      <c r="I71" s="1151">
        <f t="shared" ref="I71:I110" si="5">F71*G71</f>
        <v>9680.6722689075632</v>
      </c>
    </row>
    <row r="72" spans="2:9">
      <c r="B72" s="1146">
        <f t="shared" ref="B72:B110" si="6">B71+1</f>
        <v>3</v>
      </c>
      <c r="C72" s="1147" t="s">
        <v>674</v>
      </c>
      <c r="D72" s="1148">
        <v>12</v>
      </c>
      <c r="E72" s="1148" t="s">
        <v>671</v>
      </c>
      <c r="F72" s="1149">
        <f t="shared" si="4"/>
        <v>3.3613445378151259E-2</v>
      </c>
      <c r="G72" s="1150">
        <v>100000</v>
      </c>
      <c r="H72" s="1150" t="s">
        <v>672</v>
      </c>
      <c r="I72" s="1151">
        <f t="shared" si="5"/>
        <v>3361.3445378151259</v>
      </c>
    </row>
    <row r="73" spans="2:9">
      <c r="B73" s="1146">
        <f t="shared" si="6"/>
        <v>4</v>
      </c>
      <c r="C73" s="1147" t="s">
        <v>675</v>
      </c>
      <c r="D73" s="1148">
        <v>6</v>
      </c>
      <c r="E73" s="1148" t="s">
        <v>671</v>
      </c>
      <c r="F73" s="1149">
        <f t="shared" si="4"/>
        <v>1.680672268907563E-2</v>
      </c>
      <c r="G73" s="1150">
        <v>120000</v>
      </c>
      <c r="H73" s="1150" t="s">
        <v>672</v>
      </c>
      <c r="I73" s="1151">
        <f t="shared" si="5"/>
        <v>2016.8067226890755</v>
      </c>
    </row>
    <row r="74" spans="2:9">
      <c r="B74" s="1146">
        <f t="shared" si="6"/>
        <v>5</v>
      </c>
      <c r="C74" s="1147" t="s">
        <v>676</v>
      </c>
      <c r="D74" s="1148">
        <v>6</v>
      </c>
      <c r="E74" s="1148" t="s">
        <v>671</v>
      </c>
      <c r="F74" s="1149">
        <f t="shared" si="4"/>
        <v>1.680672268907563E-2</v>
      </c>
      <c r="G74" s="1150">
        <v>142000</v>
      </c>
      <c r="H74" s="1150" t="s">
        <v>672</v>
      </c>
      <c r="I74" s="1151">
        <f t="shared" si="5"/>
        <v>2386.5546218487393</v>
      </c>
    </row>
    <row r="75" spans="2:9">
      <c r="B75" s="1146">
        <f t="shared" si="6"/>
        <v>6</v>
      </c>
      <c r="C75" s="1147" t="s">
        <v>677</v>
      </c>
      <c r="D75" s="1148">
        <v>6</v>
      </c>
      <c r="E75" s="1148" t="s">
        <v>671</v>
      </c>
      <c r="F75" s="1149">
        <f t="shared" si="4"/>
        <v>1.680672268907563E-2</v>
      </c>
      <c r="G75" s="1150">
        <v>70000</v>
      </c>
      <c r="H75" s="1150" t="s">
        <v>672</v>
      </c>
      <c r="I75" s="1151">
        <f t="shared" si="5"/>
        <v>1176.4705882352941</v>
      </c>
    </row>
    <row r="76" spans="2:9">
      <c r="B76" s="1146">
        <f t="shared" si="6"/>
        <v>7</v>
      </c>
      <c r="C76" s="1147" t="s">
        <v>678</v>
      </c>
      <c r="D76" s="1148">
        <v>6</v>
      </c>
      <c r="E76" s="1148" t="s">
        <v>671</v>
      </c>
      <c r="F76" s="1149">
        <f t="shared" si="4"/>
        <v>1.680672268907563E-2</v>
      </c>
      <c r="G76" s="1150">
        <v>180000</v>
      </c>
      <c r="H76" s="1150" t="s">
        <v>672</v>
      </c>
      <c r="I76" s="1151">
        <f t="shared" si="5"/>
        <v>3025.2100840336134</v>
      </c>
    </row>
    <row r="77" spans="2:9">
      <c r="B77" s="1146">
        <f t="shared" si="6"/>
        <v>8</v>
      </c>
      <c r="C77" s="1147" t="s">
        <v>679</v>
      </c>
      <c r="D77" s="1148">
        <v>2</v>
      </c>
      <c r="E77" s="1148" t="s">
        <v>671</v>
      </c>
      <c r="F77" s="1149">
        <f t="shared" si="4"/>
        <v>5.6022408963585435E-3</v>
      </c>
      <c r="G77" s="1150">
        <v>350000</v>
      </c>
      <c r="H77" s="1150" t="s">
        <v>672</v>
      </c>
      <c r="I77" s="1151">
        <f t="shared" si="5"/>
        <v>1960.7843137254902</v>
      </c>
    </row>
    <row r="78" spans="2:9">
      <c r="B78" s="1146">
        <f t="shared" si="6"/>
        <v>9</v>
      </c>
      <c r="C78" s="1147" t="s">
        <v>680</v>
      </c>
      <c r="D78" s="1148">
        <v>2</v>
      </c>
      <c r="E78" s="1148" t="s">
        <v>671</v>
      </c>
      <c r="F78" s="1149">
        <f t="shared" si="4"/>
        <v>5.6022408963585435E-3</v>
      </c>
      <c r="G78" s="1150">
        <v>350000</v>
      </c>
      <c r="H78" s="1150" t="s">
        <v>672</v>
      </c>
      <c r="I78" s="1151">
        <f t="shared" si="5"/>
        <v>1960.7843137254902</v>
      </c>
    </row>
    <row r="79" spans="2:9">
      <c r="B79" s="1146">
        <f t="shared" si="6"/>
        <v>10</v>
      </c>
      <c r="C79" s="1147" t="s">
        <v>681</v>
      </c>
      <c r="D79" s="1148">
        <v>6</v>
      </c>
      <c r="E79" s="1148" t="s">
        <v>671</v>
      </c>
      <c r="F79" s="1149">
        <f t="shared" si="4"/>
        <v>1.680672268907563E-2</v>
      </c>
      <c r="G79" s="1150">
        <v>75000</v>
      </c>
      <c r="H79" s="1150" t="s">
        <v>672</v>
      </c>
      <c r="I79" s="1151">
        <f t="shared" si="5"/>
        <v>1260.5042016806722</v>
      </c>
    </row>
    <row r="80" spans="2:9">
      <c r="B80" s="1146">
        <f t="shared" si="6"/>
        <v>11</v>
      </c>
      <c r="C80" s="1147" t="s">
        <v>682</v>
      </c>
      <c r="D80" s="1148">
        <v>72</v>
      </c>
      <c r="E80" s="1148" t="s">
        <v>671</v>
      </c>
      <c r="F80" s="1149">
        <f t="shared" si="4"/>
        <v>0.20168067226890757</v>
      </c>
      <c r="G80" s="1150">
        <v>90000</v>
      </c>
      <c r="H80" s="1150" t="s">
        <v>672</v>
      </c>
      <c r="I80" s="1151">
        <f t="shared" si="5"/>
        <v>18151.26050420168</v>
      </c>
    </row>
    <row r="81" spans="2:9">
      <c r="B81" s="1146">
        <f t="shared" si="6"/>
        <v>12</v>
      </c>
      <c r="C81" s="1147" t="s">
        <v>683</v>
      </c>
      <c r="D81" s="1148">
        <v>2</v>
      </c>
      <c r="E81" s="1148" t="s">
        <v>671</v>
      </c>
      <c r="F81" s="1149">
        <f t="shared" si="4"/>
        <v>5.6022408963585435E-3</v>
      </c>
      <c r="G81" s="1150">
        <v>400000</v>
      </c>
      <c r="H81" s="1150" t="s">
        <v>672</v>
      </c>
      <c r="I81" s="1151">
        <f t="shared" si="5"/>
        <v>2240.8963585434176</v>
      </c>
    </row>
    <row r="82" spans="2:9">
      <c r="B82" s="1146">
        <f t="shared" si="6"/>
        <v>13</v>
      </c>
      <c r="C82" s="1147" t="s">
        <v>684</v>
      </c>
      <c r="D82" s="1148">
        <v>2</v>
      </c>
      <c r="E82" s="1148" t="s">
        <v>671</v>
      </c>
      <c r="F82" s="1149">
        <f t="shared" si="4"/>
        <v>5.6022408963585435E-3</v>
      </c>
      <c r="G82" s="1150">
        <v>85000</v>
      </c>
      <c r="H82" s="1150" t="s">
        <v>672</v>
      </c>
      <c r="I82" s="1151">
        <f t="shared" si="5"/>
        <v>476.1904761904762</v>
      </c>
    </row>
    <row r="83" spans="2:9">
      <c r="B83" s="1146">
        <f t="shared" si="6"/>
        <v>14</v>
      </c>
      <c r="C83" s="1147" t="s">
        <v>685</v>
      </c>
      <c r="D83" s="1148">
        <v>2</v>
      </c>
      <c r="E83" s="1148" t="s">
        <v>671</v>
      </c>
      <c r="F83" s="1149">
        <f t="shared" si="4"/>
        <v>5.6022408963585435E-3</v>
      </c>
      <c r="G83" s="1150">
        <v>550000</v>
      </c>
      <c r="H83" s="1150" t="s">
        <v>672</v>
      </c>
      <c r="I83" s="1151">
        <f t="shared" si="5"/>
        <v>3081.2324929971987</v>
      </c>
    </row>
    <row r="84" spans="2:9">
      <c r="B84" s="1146">
        <f t="shared" si="6"/>
        <v>15</v>
      </c>
      <c r="C84" s="1147" t="s">
        <v>686</v>
      </c>
      <c r="D84" s="1148">
        <v>2</v>
      </c>
      <c r="E84" s="1148" t="s">
        <v>671</v>
      </c>
      <c r="F84" s="1149">
        <f t="shared" si="4"/>
        <v>5.6022408963585435E-3</v>
      </c>
      <c r="G84" s="1150">
        <v>600000</v>
      </c>
      <c r="H84" s="1150" t="s">
        <v>672</v>
      </c>
      <c r="I84" s="1151">
        <f t="shared" si="5"/>
        <v>3361.3445378151259</v>
      </c>
    </row>
    <row r="85" spans="2:9">
      <c r="B85" s="1146">
        <f t="shared" si="6"/>
        <v>16</v>
      </c>
      <c r="C85" s="1147" t="s">
        <v>687</v>
      </c>
      <c r="D85" s="1148">
        <v>48</v>
      </c>
      <c r="E85" s="1148" t="s">
        <v>671</v>
      </c>
      <c r="F85" s="1149">
        <f t="shared" si="4"/>
        <v>0.13445378151260504</v>
      </c>
      <c r="G85" s="1150">
        <v>60000</v>
      </c>
      <c r="H85" s="1150" t="s">
        <v>672</v>
      </c>
      <c r="I85" s="1151">
        <f t="shared" si="5"/>
        <v>8067.2268907563021</v>
      </c>
    </row>
    <row r="86" spans="2:9">
      <c r="B86" s="1146">
        <f t="shared" si="6"/>
        <v>17</v>
      </c>
      <c r="C86" s="1147" t="s">
        <v>688</v>
      </c>
      <c r="D86" s="1148">
        <v>2</v>
      </c>
      <c r="E86" s="1148" t="s">
        <v>671</v>
      </c>
      <c r="F86" s="1149">
        <f t="shared" si="4"/>
        <v>5.6022408963585435E-3</v>
      </c>
      <c r="G86" s="1150">
        <v>710000</v>
      </c>
      <c r="H86" s="1150" t="s">
        <v>672</v>
      </c>
      <c r="I86" s="1151">
        <f t="shared" si="5"/>
        <v>3977.5910364145657</v>
      </c>
    </row>
    <row r="87" spans="2:9">
      <c r="B87" s="1146">
        <f t="shared" si="6"/>
        <v>18</v>
      </c>
      <c r="C87" s="1147" t="s">
        <v>689</v>
      </c>
      <c r="D87" s="1148">
        <v>2</v>
      </c>
      <c r="E87" s="1148" t="s">
        <v>671</v>
      </c>
      <c r="F87" s="1149">
        <f t="shared" si="4"/>
        <v>5.6022408963585435E-3</v>
      </c>
      <c r="G87" s="1150">
        <v>135000</v>
      </c>
      <c r="H87" s="1150" t="s">
        <v>672</v>
      </c>
      <c r="I87" s="1151">
        <f t="shared" si="5"/>
        <v>756.30252100840335</v>
      </c>
    </row>
    <row r="88" spans="2:9">
      <c r="B88" s="1146">
        <f t="shared" si="6"/>
        <v>19</v>
      </c>
      <c r="C88" s="1147" t="s">
        <v>690</v>
      </c>
      <c r="D88" s="1148">
        <v>2</v>
      </c>
      <c r="E88" s="1148" t="s">
        <v>671</v>
      </c>
      <c r="F88" s="1149">
        <f t="shared" si="4"/>
        <v>5.6022408963585435E-3</v>
      </c>
      <c r="G88" s="1150">
        <v>520000</v>
      </c>
      <c r="H88" s="1150" t="s">
        <v>672</v>
      </c>
      <c r="I88" s="1151">
        <f t="shared" si="5"/>
        <v>2913.1652661064427</v>
      </c>
    </row>
    <row r="89" spans="2:9">
      <c r="B89" s="1146">
        <f t="shared" si="6"/>
        <v>20</v>
      </c>
      <c r="C89" s="1147" t="s">
        <v>691</v>
      </c>
      <c r="D89" s="1148">
        <v>6</v>
      </c>
      <c r="E89" s="1148" t="s">
        <v>671</v>
      </c>
      <c r="F89" s="1149">
        <f t="shared" si="4"/>
        <v>1.680672268907563E-2</v>
      </c>
      <c r="G89" s="1150">
        <v>60000</v>
      </c>
      <c r="H89" s="1150" t="s">
        <v>672</v>
      </c>
      <c r="I89" s="1151">
        <f t="shared" si="5"/>
        <v>1008.4033613445378</v>
      </c>
    </row>
    <row r="90" spans="2:9">
      <c r="B90" s="1146">
        <f t="shared" si="6"/>
        <v>21</v>
      </c>
      <c r="C90" s="1147" t="s">
        <v>692</v>
      </c>
      <c r="D90" s="1148">
        <v>6</v>
      </c>
      <c r="E90" s="1148" t="s">
        <v>671</v>
      </c>
      <c r="F90" s="1149">
        <f t="shared" si="4"/>
        <v>1.680672268907563E-2</v>
      </c>
      <c r="G90" s="1150">
        <v>65000</v>
      </c>
      <c r="H90" s="1150" t="s">
        <v>672</v>
      </c>
      <c r="I90" s="1151">
        <f t="shared" si="5"/>
        <v>1092.4369747899159</v>
      </c>
    </row>
    <row r="91" spans="2:9">
      <c r="B91" s="1146">
        <f t="shared" si="6"/>
        <v>22</v>
      </c>
      <c r="C91" s="1147" t="s">
        <v>693</v>
      </c>
      <c r="D91" s="1148">
        <v>6</v>
      </c>
      <c r="E91" s="1148" t="s">
        <v>671</v>
      </c>
      <c r="F91" s="1149">
        <f t="shared" si="4"/>
        <v>1.680672268907563E-2</v>
      </c>
      <c r="G91" s="1150">
        <v>80000</v>
      </c>
      <c r="H91" s="1150" t="s">
        <v>672</v>
      </c>
      <c r="I91" s="1151">
        <f t="shared" si="5"/>
        <v>1344.5378151260504</v>
      </c>
    </row>
    <row r="92" spans="2:9">
      <c r="B92" s="1146">
        <f t="shared" si="6"/>
        <v>23</v>
      </c>
      <c r="C92" s="1147" t="s">
        <v>694</v>
      </c>
      <c r="D92" s="1148">
        <v>6</v>
      </c>
      <c r="E92" s="1148" t="s">
        <v>671</v>
      </c>
      <c r="F92" s="1149">
        <f t="shared" si="4"/>
        <v>1.680672268907563E-2</v>
      </c>
      <c r="G92" s="1150">
        <v>130000</v>
      </c>
      <c r="H92" s="1150" t="s">
        <v>672</v>
      </c>
      <c r="I92" s="1151">
        <f t="shared" si="5"/>
        <v>2184.8739495798318</v>
      </c>
    </row>
    <row r="93" spans="2:9">
      <c r="B93" s="1146">
        <f t="shared" si="6"/>
        <v>24</v>
      </c>
      <c r="C93" s="1147" t="s">
        <v>695</v>
      </c>
      <c r="D93" s="1148">
        <v>24</v>
      </c>
      <c r="E93" s="1148" t="s">
        <v>671</v>
      </c>
      <c r="F93" s="1149">
        <f t="shared" si="4"/>
        <v>6.7226890756302518E-2</v>
      </c>
      <c r="G93" s="1150">
        <v>130000</v>
      </c>
      <c r="H93" s="1150" t="s">
        <v>672</v>
      </c>
      <c r="I93" s="1151">
        <f t="shared" si="5"/>
        <v>8739.4957983193272</v>
      </c>
    </row>
    <row r="94" spans="2:9">
      <c r="B94" s="1146">
        <f t="shared" si="6"/>
        <v>25</v>
      </c>
      <c r="C94" s="1147" t="s">
        <v>696</v>
      </c>
      <c r="D94" s="1148">
        <v>6</v>
      </c>
      <c r="E94" s="1148" t="s">
        <v>671</v>
      </c>
      <c r="F94" s="1149">
        <f t="shared" si="4"/>
        <v>1.680672268907563E-2</v>
      </c>
      <c r="G94" s="1150">
        <v>150000</v>
      </c>
      <c r="H94" s="1150" t="s">
        <v>672</v>
      </c>
      <c r="I94" s="1151">
        <f t="shared" si="5"/>
        <v>2521.0084033613443</v>
      </c>
    </row>
    <row r="95" spans="2:9">
      <c r="B95" s="1146">
        <f t="shared" si="6"/>
        <v>26</v>
      </c>
      <c r="C95" s="1147" t="s">
        <v>697</v>
      </c>
      <c r="D95" s="1148">
        <v>6</v>
      </c>
      <c r="E95" s="1148" t="s">
        <v>671</v>
      </c>
      <c r="F95" s="1149">
        <f t="shared" si="4"/>
        <v>1.680672268907563E-2</v>
      </c>
      <c r="G95" s="1150">
        <v>180000</v>
      </c>
      <c r="H95" s="1150" t="s">
        <v>672</v>
      </c>
      <c r="I95" s="1151">
        <f t="shared" si="5"/>
        <v>3025.2100840336134</v>
      </c>
    </row>
    <row r="96" spans="2:9">
      <c r="B96" s="1146">
        <f t="shared" si="6"/>
        <v>27</v>
      </c>
      <c r="C96" s="1147" t="s">
        <v>698</v>
      </c>
      <c r="D96" s="1148">
        <v>3</v>
      </c>
      <c r="E96" s="1148" t="s">
        <v>671</v>
      </c>
      <c r="F96" s="1149">
        <f t="shared" si="4"/>
        <v>8.4033613445378148E-3</v>
      </c>
      <c r="G96" s="1150">
        <v>210000</v>
      </c>
      <c r="H96" s="1150" t="s">
        <v>672</v>
      </c>
      <c r="I96" s="1151">
        <f t="shared" si="5"/>
        <v>1764.705882352941</v>
      </c>
    </row>
    <row r="97" spans="2:9">
      <c r="B97" s="1146">
        <f t="shared" si="6"/>
        <v>28</v>
      </c>
      <c r="C97" s="1147" t="s">
        <v>699</v>
      </c>
      <c r="D97" s="1148">
        <v>3</v>
      </c>
      <c r="E97" s="1148" t="s">
        <v>671</v>
      </c>
      <c r="F97" s="1149">
        <f t="shared" si="4"/>
        <v>8.4033613445378148E-3</v>
      </c>
      <c r="G97" s="1150">
        <v>580000</v>
      </c>
      <c r="H97" s="1150" t="s">
        <v>672</v>
      </c>
      <c r="I97" s="1151">
        <f t="shared" si="5"/>
        <v>4873.9495798319322</v>
      </c>
    </row>
    <row r="98" spans="2:9">
      <c r="B98" s="1146">
        <f t="shared" si="6"/>
        <v>29</v>
      </c>
      <c r="C98" s="1147" t="s">
        <v>700</v>
      </c>
      <c r="D98" s="1148">
        <v>3</v>
      </c>
      <c r="E98" s="1148" t="s">
        <v>671</v>
      </c>
      <c r="F98" s="1149">
        <f t="shared" si="4"/>
        <v>8.4033613445378148E-3</v>
      </c>
      <c r="G98" s="1150">
        <v>580000</v>
      </c>
      <c r="H98" s="1150" t="s">
        <v>672</v>
      </c>
      <c r="I98" s="1151">
        <f t="shared" si="5"/>
        <v>4873.9495798319322</v>
      </c>
    </row>
    <row r="99" spans="2:9">
      <c r="B99" s="1146">
        <f t="shared" si="6"/>
        <v>30</v>
      </c>
      <c r="C99" s="1147" t="s">
        <v>701</v>
      </c>
      <c r="D99" s="1148">
        <v>500</v>
      </c>
      <c r="E99" s="1148" t="s">
        <v>671</v>
      </c>
      <c r="F99" s="1149">
        <f t="shared" si="4"/>
        <v>1.4005602240896358</v>
      </c>
      <c r="G99" s="1150">
        <v>10000</v>
      </c>
      <c r="H99" s="1150" t="s">
        <v>672</v>
      </c>
      <c r="I99" s="1151">
        <f t="shared" si="5"/>
        <v>14005.602240896358</v>
      </c>
    </row>
    <row r="100" spans="2:9">
      <c r="B100" s="1146">
        <f t="shared" si="6"/>
        <v>31</v>
      </c>
      <c r="C100" s="1147" t="s">
        <v>702</v>
      </c>
      <c r="D100" s="1148">
        <v>12</v>
      </c>
      <c r="E100" s="1148" t="s">
        <v>671</v>
      </c>
      <c r="F100" s="1149">
        <f t="shared" si="4"/>
        <v>3.3613445378151259E-2</v>
      </c>
      <c r="G100" s="1150">
        <v>75000</v>
      </c>
      <c r="H100" s="1150" t="s">
        <v>672</v>
      </c>
      <c r="I100" s="1151">
        <f t="shared" si="5"/>
        <v>2521.0084033613443</v>
      </c>
    </row>
    <row r="101" spans="2:9">
      <c r="B101" s="1146">
        <f t="shared" si="6"/>
        <v>32</v>
      </c>
      <c r="C101" s="1147" t="s">
        <v>703</v>
      </c>
      <c r="D101" s="1148">
        <v>4</v>
      </c>
      <c r="E101" s="1148" t="s">
        <v>671</v>
      </c>
      <c r="F101" s="1149">
        <f t="shared" si="4"/>
        <v>1.1204481792717087E-2</v>
      </c>
      <c r="G101" s="1150">
        <v>138000</v>
      </c>
      <c r="H101" s="1150" t="s">
        <v>672</v>
      </c>
      <c r="I101" s="1151">
        <f t="shared" si="5"/>
        <v>1546.2184873949579</v>
      </c>
    </row>
    <row r="102" spans="2:9">
      <c r="B102" s="1146">
        <f t="shared" si="6"/>
        <v>33</v>
      </c>
      <c r="C102" s="1147" t="s">
        <v>704</v>
      </c>
      <c r="D102" s="1148">
        <v>2</v>
      </c>
      <c r="E102" s="1148" t="s">
        <v>671</v>
      </c>
      <c r="F102" s="1149">
        <f t="shared" si="4"/>
        <v>5.6022408963585435E-3</v>
      </c>
      <c r="G102" s="1150">
        <v>110000</v>
      </c>
      <c r="H102" s="1150" t="s">
        <v>672</v>
      </c>
      <c r="I102" s="1151">
        <f t="shared" si="5"/>
        <v>616.24649859943975</v>
      </c>
    </row>
    <row r="103" spans="2:9">
      <c r="B103" s="1146">
        <f t="shared" si="6"/>
        <v>34</v>
      </c>
      <c r="C103" s="1147" t="s">
        <v>705</v>
      </c>
      <c r="D103" s="1148">
        <v>2</v>
      </c>
      <c r="E103" s="1148" t="s">
        <v>671</v>
      </c>
      <c r="F103" s="1149">
        <f t="shared" si="4"/>
        <v>5.6022408963585435E-3</v>
      </c>
      <c r="G103" s="1150">
        <v>125000</v>
      </c>
      <c r="H103" s="1150" t="s">
        <v>672</v>
      </c>
      <c r="I103" s="1151">
        <f t="shared" si="5"/>
        <v>700.28011204481788</v>
      </c>
    </row>
    <row r="104" spans="2:9">
      <c r="B104" s="1146">
        <f t="shared" si="6"/>
        <v>35</v>
      </c>
      <c r="C104" s="1147" t="s">
        <v>706</v>
      </c>
      <c r="D104" s="1148">
        <v>2</v>
      </c>
      <c r="E104" s="1148" t="s">
        <v>671</v>
      </c>
      <c r="F104" s="1149">
        <f t="shared" si="4"/>
        <v>5.6022408963585435E-3</v>
      </c>
      <c r="G104" s="1150">
        <v>70000</v>
      </c>
      <c r="H104" s="1150" t="s">
        <v>672</v>
      </c>
      <c r="I104" s="1151">
        <f t="shared" si="5"/>
        <v>392.15686274509807</v>
      </c>
    </row>
    <row r="105" spans="2:9">
      <c r="B105" s="1146">
        <f t="shared" si="6"/>
        <v>36</v>
      </c>
      <c r="C105" s="1147" t="s">
        <v>707</v>
      </c>
      <c r="D105" s="1148">
        <v>2</v>
      </c>
      <c r="E105" s="1148" t="s">
        <v>671</v>
      </c>
      <c r="F105" s="1149">
        <f t="shared" si="4"/>
        <v>5.6022408963585435E-3</v>
      </c>
      <c r="G105" s="1150">
        <v>210000</v>
      </c>
      <c r="H105" s="1150" t="s">
        <v>672</v>
      </c>
      <c r="I105" s="1151">
        <f t="shared" si="5"/>
        <v>1176.4705882352941</v>
      </c>
    </row>
    <row r="106" spans="2:9">
      <c r="B106" s="1146">
        <f t="shared" si="6"/>
        <v>37</v>
      </c>
      <c r="C106" s="1147" t="s">
        <v>708</v>
      </c>
      <c r="D106" s="1148">
        <v>2</v>
      </c>
      <c r="E106" s="1148" t="s">
        <v>671</v>
      </c>
      <c r="F106" s="1149">
        <f t="shared" si="4"/>
        <v>5.6022408963585435E-3</v>
      </c>
      <c r="G106" s="1150">
        <v>325000</v>
      </c>
      <c r="H106" s="1150" t="s">
        <v>672</v>
      </c>
      <c r="I106" s="1151">
        <f t="shared" si="5"/>
        <v>1820.7282913165266</v>
      </c>
    </row>
    <row r="107" spans="2:9">
      <c r="B107" s="1146">
        <f t="shared" si="6"/>
        <v>38</v>
      </c>
      <c r="C107" s="1147" t="s">
        <v>709</v>
      </c>
      <c r="D107" s="1148">
        <v>2</v>
      </c>
      <c r="E107" s="1148" t="s">
        <v>671</v>
      </c>
      <c r="F107" s="1149">
        <f t="shared" si="4"/>
        <v>5.6022408963585435E-3</v>
      </c>
      <c r="G107" s="1150">
        <v>400000</v>
      </c>
      <c r="H107" s="1150" t="s">
        <v>672</v>
      </c>
      <c r="I107" s="1151">
        <f t="shared" si="5"/>
        <v>2240.8963585434176</v>
      </c>
    </row>
    <row r="108" spans="2:9">
      <c r="B108" s="1146">
        <f t="shared" si="6"/>
        <v>39</v>
      </c>
      <c r="C108" s="1147" t="s">
        <v>710</v>
      </c>
      <c r="D108" s="1148">
        <v>2</v>
      </c>
      <c r="E108" s="1148" t="s">
        <v>671</v>
      </c>
      <c r="F108" s="1149">
        <f t="shared" si="4"/>
        <v>5.6022408963585435E-3</v>
      </c>
      <c r="G108" s="1150">
        <v>520000</v>
      </c>
      <c r="H108" s="1150" t="s">
        <v>672</v>
      </c>
      <c r="I108" s="1151">
        <f t="shared" si="5"/>
        <v>2913.1652661064427</v>
      </c>
    </row>
    <row r="109" spans="2:9">
      <c r="B109" s="1146">
        <f t="shared" si="6"/>
        <v>40</v>
      </c>
      <c r="C109" s="1147" t="s">
        <v>711</v>
      </c>
      <c r="D109" s="1148">
        <v>12</v>
      </c>
      <c r="E109" s="1148" t="s">
        <v>671</v>
      </c>
      <c r="F109" s="1149">
        <f t="shared" si="4"/>
        <v>3.3613445378151259E-2</v>
      </c>
      <c r="G109" s="1150">
        <v>75000</v>
      </c>
      <c r="H109" s="1150" t="s">
        <v>672</v>
      </c>
      <c r="I109" s="1151">
        <f t="shared" si="5"/>
        <v>2521.0084033613443</v>
      </c>
    </row>
    <row r="110" spans="2:9" ht="15" thickBot="1">
      <c r="B110" s="1152">
        <f t="shared" si="6"/>
        <v>41</v>
      </c>
      <c r="C110" s="1153" t="s">
        <v>712</v>
      </c>
      <c r="D110" s="1154">
        <v>12</v>
      </c>
      <c r="E110" s="1154" t="s">
        <v>671</v>
      </c>
      <c r="F110" s="1155">
        <f t="shared" si="4"/>
        <v>3.3613445378151259E-2</v>
      </c>
      <c r="G110" s="1156">
        <v>85000</v>
      </c>
      <c r="H110" s="1156" t="s">
        <v>672</v>
      </c>
      <c r="I110" s="1157">
        <f t="shared" si="5"/>
        <v>2857.1428571428569</v>
      </c>
    </row>
    <row r="111" spans="2:9" ht="15.6">
      <c r="B111" s="972"/>
      <c r="C111" s="916"/>
      <c r="D111" s="1078"/>
      <c r="E111" s="1078"/>
      <c r="G111" s="2244" t="s">
        <v>713</v>
      </c>
      <c r="H111" s="2245"/>
      <c r="I111" s="1158">
        <f>SUM(I70:I110)</f>
        <v>135770.30812324933</v>
      </c>
    </row>
  </sheetData>
  <mergeCells count="23">
    <mergeCell ref="G111:H111"/>
    <mergeCell ref="B63:G64"/>
    <mergeCell ref="H63:H64"/>
    <mergeCell ref="B68:B69"/>
    <mergeCell ref="C68:C69"/>
    <mergeCell ref="D68:E69"/>
    <mergeCell ref="F68:F69"/>
    <mergeCell ref="G68:H69"/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4.4"/>
  <cols>
    <col min="2" max="2" width="33.44140625" customWidth="1"/>
    <col min="3" max="3" width="9.5546875" customWidth="1"/>
    <col min="5" max="5" width="18.33203125" customWidth="1"/>
    <col min="8" max="8" width="16.33203125" customWidth="1"/>
    <col min="11" max="11" width="23.5546875" customWidth="1"/>
    <col min="12" max="12" width="12.44140625" customWidth="1"/>
    <col min="13" max="13" width="9.5546875" customWidth="1"/>
  </cols>
  <sheetData>
    <row r="2" spans="2:13" ht="18">
      <c r="B2" s="1077" t="s">
        <v>714</v>
      </c>
    </row>
    <row r="3" spans="2:13">
      <c r="B3" s="1079" t="s">
        <v>384</v>
      </c>
      <c r="C3" s="2227" t="s">
        <v>219</v>
      </c>
      <c r="D3" s="2228"/>
      <c r="E3" s="1159" t="s">
        <v>644</v>
      </c>
      <c r="F3" s="2229" t="s">
        <v>564</v>
      </c>
      <c r="G3" s="2230"/>
      <c r="H3" s="1085" t="s">
        <v>565</v>
      </c>
      <c r="K3" s="1125" t="s">
        <v>715</v>
      </c>
    </row>
    <row r="4" spans="2:13" ht="21.6" customHeight="1">
      <c r="B4" s="1160" t="s">
        <v>716</v>
      </c>
      <c r="C4" s="1161"/>
      <c r="D4" s="1110" t="s">
        <v>717</v>
      </c>
      <c r="E4" s="1162">
        <v>0</v>
      </c>
      <c r="F4" s="2235"/>
      <c r="G4" s="2236"/>
      <c r="H4" s="1081" t="s">
        <v>271</v>
      </c>
      <c r="K4" s="1163" t="s">
        <v>384</v>
      </c>
      <c r="L4" s="2227" t="s">
        <v>564</v>
      </c>
      <c r="M4" s="2228"/>
    </row>
    <row r="5" spans="2:13" ht="17.7" customHeight="1">
      <c r="B5" s="1086" t="s">
        <v>274</v>
      </c>
      <c r="C5" s="1090"/>
      <c r="D5" s="1164"/>
      <c r="E5" s="1165"/>
      <c r="F5" s="1087"/>
      <c r="G5" s="1164"/>
      <c r="H5" s="1166">
        <v>0</v>
      </c>
      <c r="K5" s="1167" t="s">
        <v>718</v>
      </c>
      <c r="L5" s="1168">
        <v>1550</v>
      </c>
      <c r="M5" s="1169" t="s">
        <v>719</v>
      </c>
    </row>
    <row r="6" spans="2:13">
      <c r="B6" s="1093" t="s">
        <v>720</v>
      </c>
      <c r="C6" s="1094">
        <v>100</v>
      </c>
      <c r="D6" s="1130" t="s">
        <v>721</v>
      </c>
      <c r="E6" s="409">
        <f>(C6*25%*4)/30</f>
        <v>3.3333333333333335</v>
      </c>
      <c r="F6" s="1094">
        <v>14500</v>
      </c>
      <c r="G6" s="1130" t="s">
        <v>722</v>
      </c>
      <c r="H6" s="1170">
        <f>F6*E6</f>
        <v>48333.333333333336</v>
      </c>
    </row>
    <row r="7" spans="2:13">
      <c r="B7" s="1093" t="s">
        <v>723</v>
      </c>
      <c r="C7" s="1094">
        <v>100</v>
      </c>
      <c r="D7" s="1130" t="s">
        <v>721</v>
      </c>
      <c r="E7" s="409">
        <f>(C7*25%*4)/30</f>
        <v>3.3333333333333335</v>
      </c>
      <c r="F7" s="1094">
        <v>14500</v>
      </c>
      <c r="G7" s="1130" t="s">
        <v>722</v>
      </c>
      <c r="H7" s="1170">
        <f>F7*E7</f>
        <v>48333.333333333336</v>
      </c>
    </row>
    <row r="8" spans="2:13">
      <c r="B8" s="1093" t="s">
        <v>724</v>
      </c>
      <c r="C8" s="1094">
        <v>100</v>
      </c>
      <c r="D8" s="1130" t="s">
        <v>721</v>
      </c>
      <c r="E8" s="409">
        <f>(C8*25%*4)/30</f>
        <v>3.3333333333333335</v>
      </c>
      <c r="F8" s="1094">
        <v>14500</v>
      </c>
      <c r="G8" s="1130" t="s">
        <v>722</v>
      </c>
      <c r="H8" s="1170">
        <f>F8*E8</f>
        <v>48333.333333333336</v>
      </c>
    </row>
    <row r="9" spans="2:13">
      <c r="B9" s="1093" t="s">
        <v>581</v>
      </c>
      <c r="C9" s="1094"/>
      <c r="D9" s="1130" t="s">
        <v>271</v>
      </c>
      <c r="E9" s="1094"/>
      <c r="F9" s="1094"/>
      <c r="G9" s="1130"/>
      <c r="H9" s="1170">
        <v>0</v>
      </c>
      <c r="I9" s="1171"/>
    </row>
    <row r="10" spans="2:13">
      <c r="B10" s="1103" t="s">
        <v>725</v>
      </c>
      <c r="C10" s="1104"/>
      <c r="D10" s="1105"/>
      <c r="E10" s="1104"/>
      <c r="F10" s="1104"/>
      <c r="G10" s="1105"/>
      <c r="H10" s="1172">
        <f>SUM(H5:H9)</f>
        <v>145000</v>
      </c>
    </row>
    <row r="11" spans="2:13">
      <c r="H11" s="1173" t="s">
        <v>726</v>
      </c>
    </row>
    <row r="12" spans="2:13">
      <c r="B12" s="1125" t="s">
        <v>727</v>
      </c>
    </row>
    <row r="13" spans="2:13" ht="23.1" customHeight="1">
      <c r="B13" s="1079" t="s">
        <v>384</v>
      </c>
      <c r="C13" s="2227" t="s">
        <v>219</v>
      </c>
      <c r="D13" s="2228"/>
      <c r="E13" s="1081" t="s">
        <v>728</v>
      </c>
      <c r="F13" s="2229" t="s">
        <v>564</v>
      </c>
      <c r="G13" s="2230"/>
      <c r="H13" s="1085" t="s">
        <v>565</v>
      </c>
    </row>
    <row r="14" spans="2:13" ht="21" customHeight="1">
      <c r="B14" s="1160" t="s">
        <v>729</v>
      </c>
      <c r="C14" s="1161">
        <v>2088</v>
      </c>
      <c r="D14" s="1081" t="s">
        <v>717</v>
      </c>
      <c r="E14" s="1162">
        <f>C14*24</f>
        <v>50112</v>
      </c>
      <c r="F14" s="2235"/>
      <c r="G14" s="2236"/>
      <c r="H14" s="1081" t="s">
        <v>271</v>
      </c>
    </row>
    <row r="15" spans="2:13">
      <c r="B15" s="1086" t="s">
        <v>274</v>
      </c>
      <c r="C15" s="1174"/>
      <c r="D15" s="1088"/>
      <c r="E15" s="1165"/>
      <c r="F15" s="1175"/>
      <c r="G15" s="1088"/>
      <c r="H15" s="1176">
        <v>0</v>
      </c>
    </row>
    <row r="16" spans="2:13">
      <c r="B16" s="1093" t="s">
        <v>720</v>
      </c>
      <c r="C16" s="1094">
        <v>800</v>
      </c>
      <c r="D16" s="1130" t="s">
        <v>721</v>
      </c>
      <c r="E16" s="409">
        <f>C16*24</f>
        <v>19200</v>
      </c>
      <c r="F16" s="1094">
        <v>14500</v>
      </c>
      <c r="G16" s="1130" t="s">
        <v>722</v>
      </c>
      <c r="H16" s="1170">
        <f>F16*E16</f>
        <v>278400000</v>
      </c>
    </row>
    <row r="17" spans="2:9">
      <c r="B17" s="1093" t="s">
        <v>723</v>
      </c>
      <c r="C17" s="1094">
        <v>800</v>
      </c>
      <c r="D17" s="1130" t="s">
        <v>721</v>
      </c>
      <c r="E17" s="409">
        <f>C17*24</f>
        <v>19200</v>
      </c>
      <c r="F17" s="1094">
        <v>14500</v>
      </c>
      <c r="G17" s="1130" t="s">
        <v>722</v>
      </c>
      <c r="H17" s="1170">
        <f>F17*E17</f>
        <v>278400000</v>
      </c>
    </row>
    <row r="18" spans="2:9">
      <c r="B18" s="1093" t="s">
        <v>724</v>
      </c>
      <c r="C18" s="1094"/>
      <c r="D18" s="1130" t="s">
        <v>721</v>
      </c>
      <c r="E18" s="409">
        <v>0</v>
      </c>
      <c r="F18" s="1094">
        <v>14500</v>
      </c>
      <c r="G18" s="1130" t="s">
        <v>722</v>
      </c>
      <c r="H18" s="1170">
        <f>F18*E18</f>
        <v>0</v>
      </c>
    </row>
    <row r="19" spans="2:9">
      <c r="B19" s="1093" t="s">
        <v>581</v>
      </c>
      <c r="C19" s="1094"/>
      <c r="D19" s="1130" t="s">
        <v>271</v>
      </c>
      <c r="E19" s="1094"/>
      <c r="F19" s="1094"/>
      <c r="G19" s="1130"/>
      <c r="H19" s="1177">
        <v>0</v>
      </c>
      <c r="I19" s="1171"/>
    </row>
    <row r="20" spans="2:9">
      <c r="B20" s="1103" t="s">
        <v>725</v>
      </c>
      <c r="C20" s="1104"/>
      <c r="D20" s="1105"/>
      <c r="E20" s="1104"/>
      <c r="F20" s="1104"/>
      <c r="G20" s="1105"/>
      <c r="H20" s="1172">
        <f>SUM(H15:H19)</f>
        <v>556800000</v>
      </c>
    </row>
    <row r="21" spans="2:9">
      <c r="B21" s="1178"/>
      <c r="C21" s="1078"/>
      <c r="E21" s="1078"/>
      <c r="F21" s="2252" t="s">
        <v>730</v>
      </c>
      <c r="G21" s="2253"/>
      <c r="H21" s="1179">
        <f>H20/E14</f>
        <v>11111.111111111111</v>
      </c>
      <c r="I21" s="1125" t="s">
        <v>731</v>
      </c>
    </row>
    <row r="22" spans="2:9">
      <c r="H22" s="1180"/>
    </row>
    <row r="23" spans="2:9">
      <c r="B23" s="916" t="s">
        <v>584</v>
      </c>
      <c r="E23" s="1123"/>
    </row>
    <row r="24" spans="2:9">
      <c r="B24" s="916" t="s">
        <v>732</v>
      </c>
      <c r="E24" s="1181"/>
    </row>
    <row r="25" spans="2:9">
      <c r="E25" s="916"/>
      <c r="G25" s="1182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6640625" defaultRowHeight="13.8"/>
  <cols>
    <col min="1" max="1" width="8.6640625" style="989"/>
    <col min="2" max="2" width="5.5546875" style="988" customWidth="1"/>
    <col min="3" max="3" width="63.5546875" style="989" customWidth="1"/>
    <col min="4" max="4" width="15.5546875" style="989" customWidth="1"/>
    <col min="5" max="5" width="15" style="989" customWidth="1"/>
    <col min="6" max="6" width="15.33203125" style="989" customWidth="1"/>
    <col min="7" max="7" width="14.5546875" style="989" customWidth="1"/>
    <col min="8" max="8" width="11.44140625" style="989" customWidth="1"/>
    <col min="9" max="9" width="12.44140625" style="989" customWidth="1"/>
    <col min="10" max="10" width="11" style="989" bestFit="1" customWidth="1"/>
    <col min="11" max="16384" width="8.6640625" style="989"/>
  </cols>
  <sheetData>
    <row r="2" spans="2:10" ht="18.600000000000001" thickBot="1">
      <c r="B2" s="990" t="s">
        <v>543</v>
      </c>
    </row>
    <row r="3" spans="2:10">
      <c r="B3" s="2258" t="s">
        <v>359</v>
      </c>
      <c r="C3" s="2259"/>
      <c r="D3" s="991"/>
      <c r="E3" s="991"/>
      <c r="F3" s="991"/>
      <c r="G3" s="991"/>
      <c r="H3" s="993" t="s">
        <v>379</v>
      </c>
      <c r="I3" s="994" t="e">
        <f>'HPP REF '!N3</f>
        <v>#REF!</v>
      </c>
    </row>
    <row r="4" spans="2:10">
      <c r="B4" s="2260" t="s">
        <v>412</v>
      </c>
      <c r="C4" s="2261"/>
      <c r="H4" s="995" t="s">
        <v>83</v>
      </c>
      <c r="I4" s="996" t="e">
        <f>'HPP REF '!N4</f>
        <v>#REF!</v>
      </c>
    </row>
    <row r="5" spans="2:10">
      <c r="B5" s="2260" t="s">
        <v>413</v>
      </c>
      <c r="C5" s="2261"/>
      <c r="H5" s="995" t="s">
        <v>414</v>
      </c>
      <c r="I5" s="996" t="e">
        <f>I4*I3</f>
        <v>#REF!</v>
      </c>
    </row>
    <row r="6" spans="2:10" ht="14.4" thickBot="1">
      <c r="B6" s="967" t="s">
        <v>415</v>
      </c>
      <c r="C6" s="968"/>
      <c r="D6" s="997"/>
      <c r="E6" s="997"/>
      <c r="F6" s="997"/>
      <c r="G6" s="997"/>
      <c r="H6" s="999"/>
      <c r="I6" s="1186">
        <v>16000</v>
      </c>
    </row>
    <row r="7" spans="2:10" ht="14.4">
      <c r="B7" s="2262" t="s">
        <v>99</v>
      </c>
      <c r="C7" s="2264" t="s">
        <v>285</v>
      </c>
      <c r="D7" s="2254" t="s">
        <v>544</v>
      </c>
      <c r="E7" s="2266"/>
      <c r="F7" s="2254" t="s">
        <v>440</v>
      </c>
      <c r="G7" s="2254"/>
      <c r="H7" s="2254"/>
      <c r="I7" s="2255"/>
    </row>
    <row r="8" spans="2:10" ht="15" thickBot="1">
      <c r="B8" s="2263"/>
      <c r="C8" s="2265"/>
      <c r="D8" s="1043" t="s">
        <v>441</v>
      </c>
      <c r="E8" s="1043" t="s">
        <v>442</v>
      </c>
      <c r="F8" s="1043" t="s">
        <v>441</v>
      </c>
      <c r="G8" s="1043" t="s">
        <v>442</v>
      </c>
      <c r="H8" s="1044" t="s">
        <v>417</v>
      </c>
      <c r="I8" s="1055" t="s">
        <v>226</v>
      </c>
    </row>
    <row r="9" spans="2:10" ht="14.4" thickTop="1">
      <c r="B9" s="1045">
        <v>1</v>
      </c>
      <c r="C9" s="1065" t="s">
        <v>545</v>
      </c>
      <c r="D9" s="1061">
        <v>962709313.75999999</v>
      </c>
      <c r="E9" s="1061">
        <f t="shared" ref="E9:E15" si="0">D9/12</f>
        <v>80225776.146666661</v>
      </c>
      <c r="F9" s="1061">
        <f>G9*12</f>
        <v>531927347.99999374</v>
      </c>
      <c r="G9" s="1061">
        <v>44327278.999999478</v>
      </c>
      <c r="H9" s="1062" t="e">
        <f>$G$9/($I$5*1000)</f>
        <v>#REF!</v>
      </c>
      <c r="I9" s="1062" t="e">
        <f>($G$9/$I$6)/$I$5</f>
        <v>#REF!</v>
      </c>
      <c r="J9" s="989">
        <f>D9/12</f>
        <v>80225776.146666661</v>
      </c>
    </row>
    <row r="10" spans="2:10">
      <c r="B10" s="1010">
        <f t="shared" ref="B10:B15" si="1">B9+1</f>
        <v>2</v>
      </c>
      <c r="C10" s="1065" t="s">
        <v>546</v>
      </c>
      <c r="D10" s="1015">
        <v>269614444.44</v>
      </c>
      <c r="E10" s="1015">
        <f t="shared" si="0"/>
        <v>22467870.370000001</v>
      </c>
      <c r="F10" s="1015">
        <v>0</v>
      </c>
      <c r="G10" s="1015">
        <v>0</v>
      </c>
      <c r="H10" s="1016" t="e">
        <f>$G$10/($I$5*1000)</f>
        <v>#REF!</v>
      </c>
      <c r="I10" s="1016" t="e">
        <f>($G$10/$I$6)/$I$5</f>
        <v>#REF!</v>
      </c>
    </row>
    <row r="11" spans="2:10">
      <c r="B11" s="1010">
        <f t="shared" si="1"/>
        <v>3</v>
      </c>
      <c r="C11" s="1065" t="s">
        <v>547</v>
      </c>
      <c r="D11" s="1015">
        <v>0</v>
      </c>
      <c r="E11" s="1015">
        <f t="shared" si="0"/>
        <v>0</v>
      </c>
      <c r="F11" s="1015">
        <v>0</v>
      </c>
      <c r="G11" s="1015">
        <v>0</v>
      </c>
      <c r="H11" s="1016" t="e">
        <f>$G$11/($I$5*1000)</f>
        <v>#REF!</v>
      </c>
      <c r="I11" s="1016" t="e">
        <f>($G$11/$I$6)/$I$5</f>
        <v>#REF!</v>
      </c>
    </row>
    <row r="12" spans="2:10">
      <c r="B12" s="1010">
        <f t="shared" si="1"/>
        <v>4</v>
      </c>
      <c r="C12" s="1065" t="s">
        <v>548</v>
      </c>
      <c r="D12" s="1015">
        <v>0</v>
      </c>
      <c r="E12" s="1015">
        <f t="shared" si="0"/>
        <v>0</v>
      </c>
      <c r="F12" s="1015">
        <v>0</v>
      </c>
      <c r="G12" s="1015">
        <v>0</v>
      </c>
      <c r="H12" s="1016" t="e">
        <f>$G$12/($I$5*1000)</f>
        <v>#REF!</v>
      </c>
      <c r="I12" s="1016" t="e">
        <f>($G$12/$I$6)/$I$5</f>
        <v>#REF!</v>
      </c>
    </row>
    <row r="13" spans="2:10">
      <c r="B13" s="1010">
        <f t="shared" si="1"/>
        <v>5</v>
      </c>
      <c r="C13" s="1065" t="s">
        <v>549</v>
      </c>
      <c r="D13" s="1015">
        <v>0</v>
      </c>
      <c r="E13" s="1015">
        <f t="shared" si="0"/>
        <v>0</v>
      </c>
      <c r="F13" s="1015">
        <v>0</v>
      </c>
      <c r="G13" s="1015">
        <v>0</v>
      </c>
      <c r="H13" s="1016" t="e">
        <f>$G$13/($I$5*1000)</f>
        <v>#REF!</v>
      </c>
      <c r="I13" s="1016" t="e">
        <f>($G$13/$I$6)/$I$5</f>
        <v>#REF!</v>
      </c>
    </row>
    <row r="14" spans="2:10">
      <c r="B14" s="1010">
        <f t="shared" si="1"/>
        <v>6</v>
      </c>
      <c r="C14" s="1065" t="s">
        <v>550</v>
      </c>
      <c r="D14" s="1015">
        <v>0</v>
      </c>
      <c r="E14" s="1015">
        <f t="shared" si="0"/>
        <v>0</v>
      </c>
      <c r="F14" s="1066">
        <v>0</v>
      </c>
      <c r="G14" s="1015">
        <v>0</v>
      </c>
      <c r="H14" s="1016" t="e">
        <f>$G$14/($I$5*1000)</f>
        <v>#REF!</v>
      </c>
      <c r="I14" s="1016" t="e">
        <f>($G$14/$I$6)/$I$5</f>
        <v>#REF!</v>
      </c>
    </row>
    <row r="15" spans="2:10">
      <c r="B15" s="1010">
        <f t="shared" si="1"/>
        <v>7</v>
      </c>
      <c r="C15" s="1065" t="s">
        <v>551</v>
      </c>
      <c r="D15" s="1015">
        <v>12576902836.549999</v>
      </c>
      <c r="E15" s="1015">
        <f t="shared" si="0"/>
        <v>1048075236.3791666</v>
      </c>
      <c r="F15" s="1007">
        <f>G15*12</f>
        <v>12048990312</v>
      </c>
      <c r="G15" s="1015">
        <v>1004082526</v>
      </c>
      <c r="H15" s="1016" t="e">
        <f>$G$15/($I$5*1000)</f>
        <v>#REF!</v>
      </c>
      <c r="I15" s="1016" t="e">
        <f>($G$15/$I$6)/$I$5</f>
        <v>#REF!</v>
      </c>
    </row>
    <row r="16" spans="2:10">
      <c r="B16" s="1010"/>
      <c r="C16" s="1017"/>
      <c r="D16" s="1015"/>
      <c r="E16" s="1015"/>
      <c r="F16" s="1015"/>
      <c r="G16" s="1015"/>
      <c r="H16" s="1016"/>
      <c r="I16" s="1016"/>
    </row>
    <row r="17" spans="2:9">
      <c r="B17" s="1010"/>
      <c r="C17" s="1017"/>
      <c r="D17" s="1015"/>
      <c r="E17" s="1015"/>
      <c r="F17" s="1015"/>
      <c r="G17" s="1015"/>
      <c r="H17" s="1016"/>
      <c r="I17" s="1016"/>
    </row>
    <row r="18" spans="2:9">
      <c r="B18" s="1010"/>
      <c r="C18" s="1017"/>
      <c r="D18" s="1015"/>
      <c r="E18" s="1015"/>
      <c r="F18" s="1015"/>
      <c r="G18" s="1015"/>
      <c r="H18" s="1016"/>
      <c r="I18" s="1016"/>
    </row>
    <row r="19" spans="2:9" ht="14.4" thickBot="1">
      <c r="B19" s="1048"/>
      <c r="C19" s="1049"/>
      <c r="D19" s="1050"/>
      <c r="E19" s="1050"/>
      <c r="F19" s="1050"/>
      <c r="G19" s="1050"/>
      <c r="H19" s="1064"/>
      <c r="I19" s="1064"/>
    </row>
    <row r="20" spans="2:9" ht="15.6" thickTop="1" thickBot="1">
      <c r="B20" s="2256" t="s">
        <v>487</v>
      </c>
      <c r="C20" s="2257"/>
      <c r="D20" s="1056">
        <f t="shared" ref="D20:I20" si="2">SUM(D9:D19)</f>
        <v>13809226594.75</v>
      </c>
      <c r="E20" s="1056">
        <f t="shared" si="2"/>
        <v>1150768882.8958333</v>
      </c>
      <c r="F20" s="1057">
        <f t="shared" si="2"/>
        <v>12580917659.999994</v>
      </c>
      <c r="G20" s="1057">
        <f t="shared" si="2"/>
        <v>1048409804.9999995</v>
      </c>
      <c r="H20" s="1058" t="e">
        <f t="shared" si="2"/>
        <v>#REF!</v>
      </c>
      <c r="I20" s="1058" t="e">
        <f t="shared" si="2"/>
        <v>#REF!</v>
      </c>
    </row>
    <row r="21" spans="2:9" ht="14.4" thickTop="1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K11" sqref="K11"/>
      <selection pane="bottomLeft" activeCell="E4" sqref="E4"/>
    </sheetView>
  </sheetViews>
  <sheetFormatPr defaultColWidth="8.6640625" defaultRowHeight="13.8"/>
  <cols>
    <col min="1" max="1" width="8.6640625" style="989"/>
    <col min="2" max="2" width="5.5546875" style="988" customWidth="1"/>
    <col min="3" max="3" width="49.33203125" style="989" customWidth="1"/>
    <col min="4" max="4" width="16.5546875" style="989" customWidth="1"/>
    <col min="5" max="5" width="15.5546875" style="989" customWidth="1"/>
    <col min="6" max="7" width="15" style="989" customWidth="1"/>
    <col min="8" max="8" width="15.33203125" style="989" customWidth="1"/>
    <col min="9" max="9" width="14.5546875" style="989" customWidth="1"/>
    <col min="10" max="10" width="11.44140625" style="989" customWidth="1"/>
    <col min="11" max="11" width="12.44140625" style="989" customWidth="1"/>
    <col min="12" max="12" width="17.5546875" style="989" customWidth="1"/>
    <col min="13" max="16384" width="8.6640625" style="989"/>
  </cols>
  <sheetData>
    <row r="1" spans="2:11" ht="5.0999999999999996" customHeight="1"/>
    <row r="2" spans="2:11" ht="23.7" customHeight="1" thickBot="1">
      <c r="B2" s="990" t="s">
        <v>485</v>
      </c>
    </row>
    <row r="3" spans="2:11" ht="14.7" customHeight="1">
      <c r="B3" s="2258" t="s">
        <v>359</v>
      </c>
      <c r="C3" s="2259"/>
      <c r="D3" s="890"/>
      <c r="E3" s="991"/>
      <c r="F3" s="991"/>
      <c r="G3" s="991"/>
      <c r="H3" s="991"/>
      <c r="I3" s="991"/>
      <c r="J3" s="993" t="s">
        <v>379</v>
      </c>
      <c r="K3" s="994" t="e">
        <f>'HPP REF '!N3</f>
        <v>#REF!</v>
      </c>
    </row>
    <row r="4" spans="2:11" ht="14.7" customHeight="1">
      <c r="B4" s="2260" t="s">
        <v>412</v>
      </c>
      <c r="C4" s="2261"/>
      <c r="D4" s="895"/>
      <c r="J4" s="995" t="s">
        <v>83</v>
      </c>
      <c r="K4" s="996" t="e">
        <f>'HPP REF '!N4</f>
        <v>#REF!</v>
      </c>
    </row>
    <row r="5" spans="2:11" ht="14.7" customHeight="1">
      <c r="B5" s="2260" t="s">
        <v>413</v>
      </c>
      <c r="C5" s="2261"/>
      <c r="D5" s="895"/>
      <c r="J5" s="995" t="s">
        <v>414</v>
      </c>
      <c r="K5" s="996" t="e">
        <f>K4*K3</f>
        <v>#REF!</v>
      </c>
    </row>
    <row r="6" spans="2:11" ht="14.7" customHeight="1" thickBot="1">
      <c r="B6" s="967" t="s">
        <v>415</v>
      </c>
      <c r="C6" s="968"/>
      <c r="D6" s="968"/>
      <c r="E6" s="997"/>
      <c r="F6" s="997"/>
      <c r="G6" s="997"/>
      <c r="H6" s="997"/>
      <c r="I6" s="997"/>
      <c r="J6" s="999"/>
      <c r="K6" s="1186">
        <v>16000</v>
      </c>
    </row>
    <row r="7" spans="2:11" ht="15.6" customHeight="1">
      <c r="B7" s="2262" t="s">
        <v>99</v>
      </c>
      <c r="C7" s="2264" t="s">
        <v>285</v>
      </c>
      <c r="D7" s="2267" t="s">
        <v>439</v>
      </c>
      <c r="E7" s="2254"/>
      <c r="F7" s="2266"/>
      <c r="G7" s="2267" t="s">
        <v>440</v>
      </c>
      <c r="H7" s="2254"/>
      <c r="I7" s="2254"/>
      <c r="J7" s="2254"/>
      <c r="K7" s="2255"/>
    </row>
    <row r="8" spans="2:11" ht="15" customHeight="1" thickBot="1">
      <c r="B8" s="2263"/>
      <c r="C8" s="2265"/>
      <c r="D8" s="1042" t="s">
        <v>486</v>
      </c>
      <c r="E8" s="1043" t="s">
        <v>441</v>
      </c>
      <c r="F8" s="1043" t="s">
        <v>442</v>
      </c>
      <c r="G8" s="1042" t="s">
        <v>486</v>
      </c>
      <c r="H8" s="1043" t="s">
        <v>441</v>
      </c>
      <c r="I8" s="1043" t="s">
        <v>442</v>
      </c>
      <c r="J8" s="1044" t="s">
        <v>417</v>
      </c>
      <c r="K8" s="1055" t="s">
        <v>226</v>
      </c>
    </row>
    <row r="9" spans="2:11" ht="23.7" customHeight="1" thickTop="1" thickBot="1">
      <c r="B9" s="2256" t="s">
        <v>487</v>
      </c>
      <c r="C9" s="2257"/>
      <c r="D9" s="1056">
        <f t="shared" ref="D9:K9" si="0">SUM(D10:D75)</f>
        <v>679712126808.7334</v>
      </c>
      <c r="E9" s="1056">
        <f t="shared" si="0"/>
        <v>41807174181.37001</v>
      </c>
      <c r="F9" s="1056">
        <f t="shared" si="0"/>
        <v>3483931181.7808337</v>
      </c>
      <c r="G9" s="1057">
        <f t="shared" si="0"/>
        <v>775031394297.89551</v>
      </c>
      <c r="H9" s="1057">
        <f t="shared" si="0"/>
        <v>50174217449.730003</v>
      </c>
      <c r="I9" s="1057">
        <f t="shared" si="0"/>
        <v>4181184787.4775009</v>
      </c>
      <c r="J9" s="1058" t="e">
        <f t="shared" si="0"/>
        <v>#REF!</v>
      </c>
      <c r="K9" s="1058" t="e">
        <f t="shared" si="0"/>
        <v>#REF!</v>
      </c>
    </row>
    <row r="10" spans="2:11" ht="14.4" thickTop="1">
      <c r="B10" s="1045">
        <v>1</v>
      </c>
      <c r="C10" s="1059" t="s">
        <v>488</v>
      </c>
      <c r="D10" s="1060">
        <v>3844320790</v>
      </c>
      <c r="E10" s="1061">
        <v>192216039.49999997</v>
      </c>
      <c r="F10" s="1061">
        <v>16018003.291666664</v>
      </c>
      <c r="G10" s="1061">
        <v>3844320789.5999999</v>
      </c>
      <c r="H10" s="1061">
        <f>I10*12</f>
        <v>192216039.48000002</v>
      </c>
      <c r="I10" s="1061">
        <v>16018003.290000001</v>
      </c>
      <c r="J10" s="1062" t="e">
        <f>$I$10/($K$5*1000)</f>
        <v>#REF!</v>
      </c>
      <c r="K10" s="1062" t="e">
        <f>($I$10/$K$6)/$K$5</f>
        <v>#REF!</v>
      </c>
    </row>
    <row r="11" spans="2:11">
      <c r="B11" s="1010">
        <f>B10+1</f>
        <v>2</v>
      </c>
      <c r="C11" s="1063" t="s">
        <v>489</v>
      </c>
      <c r="D11" s="1013">
        <v>247144032</v>
      </c>
      <c r="E11" s="1015">
        <v>12357201.600000001</v>
      </c>
      <c r="F11" s="1015">
        <v>1029766.8000000002</v>
      </c>
      <c r="G11" s="1015">
        <v>247144031.75</v>
      </c>
      <c r="H11" s="1015">
        <f>I11*12</f>
        <v>12357201.5875</v>
      </c>
      <c r="I11" s="1015">
        <v>1029766.7989583333</v>
      </c>
      <c r="J11" s="1016" t="e">
        <f>$I$11/($K$5*1000)</f>
        <v>#REF!</v>
      </c>
      <c r="K11" s="1016" t="e">
        <f>($I$11/$K$6)/$K$5</f>
        <v>#REF!</v>
      </c>
    </row>
    <row r="12" spans="2:11">
      <c r="B12" s="1010">
        <f t="shared" ref="B12:B71" si="1">B11+1</f>
        <v>3</v>
      </c>
      <c r="C12" s="1063" t="s">
        <v>490</v>
      </c>
      <c r="D12" s="1013">
        <v>199088248</v>
      </c>
      <c r="E12" s="1015">
        <v>12429395.071824417</v>
      </c>
      <c r="F12" s="1015">
        <v>1035782.9226520347</v>
      </c>
      <c r="G12" s="1015">
        <v>397086862.12595332</v>
      </c>
      <c r="H12" s="1015">
        <f t="shared" ref="H12:H71" si="2">I12*12</f>
        <v>19854343.106297664</v>
      </c>
      <c r="I12" s="1015">
        <v>1654528.5921914722</v>
      </c>
      <c r="J12" s="1016" t="e">
        <f>$I$12/($K$5*1000)</f>
        <v>#REF!</v>
      </c>
      <c r="K12" s="1016" t="e">
        <f>($I$12/$K$6)/$K$5</f>
        <v>#REF!</v>
      </c>
    </row>
    <row r="13" spans="2:11">
      <c r="B13" s="1010">
        <f t="shared" si="1"/>
        <v>4</v>
      </c>
      <c r="C13" s="1063" t="s">
        <v>491</v>
      </c>
      <c r="D13" s="1013">
        <v>53111657402</v>
      </c>
      <c r="E13" s="1015">
        <v>2655582870.099999</v>
      </c>
      <c r="F13" s="1015">
        <v>221298572.50833324</v>
      </c>
      <c r="G13" s="1015">
        <v>53111657403.529999</v>
      </c>
      <c r="H13" s="1015">
        <f t="shared" si="2"/>
        <v>2655582870.1764994</v>
      </c>
      <c r="I13" s="1015">
        <v>221298572.51470828</v>
      </c>
      <c r="J13" s="1016" t="e">
        <f>$I$13/($K$5*1000)</f>
        <v>#REF!</v>
      </c>
      <c r="K13" s="1016" t="e">
        <f>($I$13/$K$6)/$K$5</f>
        <v>#REF!</v>
      </c>
    </row>
    <row r="14" spans="2:11">
      <c r="B14" s="1010">
        <f t="shared" si="1"/>
        <v>5</v>
      </c>
      <c r="C14" s="1063" t="s">
        <v>492</v>
      </c>
      <c r="D14" s="1013">
        <v>1392076443.1299996</v>
      </c>
      <c r="E14" s="1015">
        <v>70956821.50959149</v>
      </c>
      <c r="F14" s="1015">
        <v>5913068.4591326239</v>
      </c>
      <c r="G14" s="1015">
        <v>1500316391.3773193</v>
      </c>
      <c r="H14" s="1015">
        <f t="shared" si="2"/>
        <v>75015819.56886597</v>
      </c>
      <c r="I14" s="1015">
        <v>6251318.2974054972</v>
      </c>
      <c r="J14" s="1016" t="e">
        <f>$I$14/($K$5*1000)</f>
        <v>#REF!</v>
      </c>
      <c r="K14" s="1016" t="e">
        <f>($I$14/$K$6)/$K$5</f>
        <v>#REF!</v>
      </c>
    </row>
    <row r="15" spans="2:11">
      <c r="B15" s="1010">
        <f t="shared" si="1"/>
        <v>6</v>
      </c>
      <c r="C15" s="1063" t="s">
        <v>493</v>
      </c>
      <c r="D15" s="1013">
        <v>22378266872</v>
      </c>
      <c r="E15" s="1015">
        <v>1118913343.5999999</v>
      </c>
      <c r="F15" s="1015">
        <v>93242778.633333325</v>
      </c>
      <c r="G15" s="1015">
        <v>22378266872.27499</v>
      </c>
      <c r="H15" s="1015">
        <f t="shared" si="2"/>
        <v>1118913343.6137495</v>
      </c>
      <c r="I15" s="1015">
        <v>93242778.63447912</v>
      </c>
      <c r="J15" s="1016" t="e">
        <f>$I$15/($K$5*1000)</f>
        <v>#REF!</v>
      </c>
      <c r="K15" s="1016" t="e">
        <f>($I$15/$K$6)/$K$5</f>
        <v>#REF!</v>
      </c>
    </row>
    <row r="16" spans="2:11">
      <c r="B16" s="1010">
        <f t="shared" si="1"/>
        <v>7</v>
      </c>
      <c r="C16" s="1063" t="s">
        <v>494</v>
      </c>
      <c r="D16" s="1013">
        <v>22378266872</v>
      </c>
      <c r="E16" s="1015">
        <v>1118913343.5999999</v>
      </c>
      <c r="F16" s="1015">
        <v>93242778.633333325</v>
      </c>
      <c r="G16" s="1015">
        <v>22378266872.274998</v>
      </c>
      <c r="H16" s="1015">
        <f t="shared" si="2"/>
        <v>1118913343.61375</v>
      </c>
      <c r="I16" s="1015">
        <v>93242778.634479165</v>
      </c>
      <c r="J16" s="1016" t="e">
        <f>$I$16/($K$5*1000)</f>
        <v>#REF!</v>
      </c>
      <c r="K16" s="1016" t="e">
        <f>($I$16/$K$6)/$K$5</f>
        <v>#REF!</v>
      </c>
    </row>
    <row r="17" spans="2:11">
      <c r="B17" s="1010">
        <f t="shared" si="1"/>
        <v>8</v>
      </c>
      <c r="C17" s="1063" t="s">
        <v>495</v>
      </c>
      <c r="D17" s="1013">
        <v>22548996820</v>
      </c>
      <c r="E17" s="1015">
        <v>1127449840.9999998</v>
      </c>
      <c r="F17" s="1015">
        <v>93954153.416666642</v>
      </c>
      <c r="G17" s="1015">
        <v>22548996819.889999</v>
      </c>
      <c r="H17" s="1015">
        <f t="shared" si="2"/>
        <v>1127449840.9944999</v>
      </c>
      <c r="I17" s="1015">
        <v>93954153.416208327</v>
      </c>
      <c r="J17" s="1016" t="e">
        <f>$I$17/($K$5*1000)</f>
        <v>#REF!</v>
      </c>
      <c r="K17" s="1016" t="e">
        <f>($I$17/$K$6)/$K$5</f>
        <v>#REF!</v>
      </c>
    </row>
    <row r="18" spans="2:11">
      <c r="B18" s="1010">
        <f t="shared" si="1"/>
        <v>9</v>
      </c>
      <c r="C18" s="1063" t="s">
        <v>496</v>
      </c>
      <c r="D18" s="1013">
        <v>3242778116</v>
      </c>
      <c r="E18" s="1015">
        <v>166633458.44554368</v>
      </c>
      <c r="F18" s="1015">
        <v>13886121.53712864</v>
      </c>
      <c r="G18" s="1015">
        <v>3602342327.2934937</v>
      </c>
      <c r="H18" s="1015">
        <f t="shared" si="2"/>
        <v>180117116.36467469</v>
      </c>
      <c r="I18" s="1015">
        <v>15009759.697056225</v>
      </c>
      <c r="J18" s="1016" t="e">
        <f>$I$18/($K$5*1000)</f>
        <v>#REF!</v>
      </c>
      <c r="K18" s="1016" t="e">
        <f>($I$18/$K$6)/$K$5</f>
        <v>#REF!</v>
      </c>
    </row>
    <row r="19" spans="2:11">
      <c r="B19" s="1010">
        <f t="shared" si="1"/>
        <v>10</v>
      </c>
      <c r="C19" s="1063" t="s">
        <v>497</v>
      </c>
      <c r="D19" s="1013">
        <v>3088358215.0299997</v>
      </c>
      <c r="E19" s="1015">
        <v>167987620.50608689</v>
      </c>
      <c r="F19" s="1015">
        <v>13998968.375507241</v>
      </c>
      <c r="G19" s="1015">
        <v>4173934995.3969541</v>
      </c>
      <c r="H19" s="1015">
        <f t="shared" si="2"/>
        <v>208696749.76984769</v>
      </c>
      <c r="I19" s="1015">
        <v>17391395.814153973</v>
      </c>
      <c r="J19" s="1016" t="e">
        <f>$I$19/($K$5*1000)</f>
        <v>#REF!</v>
      </c>
      <c r="K19" s="1016" t="e">
        <f>($I$19/$K$6)/$K$5</f>
        <v>#REF!</v>
      </c>
    </row>
    <row r="20" spans="2:11">
      <c r="B20" s="1010">
        <f t="shared" si="1"/>
        <v>11</v>
      </c>
      <c r="C20" s="1063" t="s">
        <v>498</v>
      </c>
      <c r="D20" s="1013">
        <v>1306714556.04</v>
      </c>
      <c r="E20" s="1015">
        <v>65335727.801999979</v>
      </c>
      <c r="F20" s="1015">
        <v>5444643.9834999982</v>
      </c>
      <c r="G20" s="1015">
        <v>1306714556.04</v>
      </c>
      <c r="H20" s="1015">
        <f t="shared" si="2"/>
        <v>65335727.801999986</v>
      </c>
      <c r="I20" s="1015">
        <v>5444643.9834999992</v>
      </c>
      <c r="J20" s="1016" t="e">
        <f>$I$20/($K$5*1000)</f>
        <v>#REF!</v>
      </c>
      <c r="K20" s="1016" t="e">
        <f>($I$20/$K$6)/$K$5</f>
        <v>#REF!</v>
      </c>
    </row>
    <row r="21" spans="2:11">
      <c r="B21" s="1010">
        <f t="shared" si="1"/>
        <v>12</v>
      </c>
      <c r="C21" s="1063" t="s">
        <v>491</v>
      </c>
      <c r="D21" s="1013">
        <v>0</v>
      </c>
      <c r="E21" s="1015">
        <v>0</v>
      </c>
      <c r="F21" s="1015">
        <v>0</v>
      </c>
      <c r="G21" s="1015">
        <v>0</v>
      </c>
      <c r="H21" s="1015">
        <f t="shared" si="2"/>
        <v>0</v>
      </c>
      <c r="I21" s="1015">
        <v>0</v>
      </c>
      <c r="J21" s="1016" t="e">
        <f>$I$21/($K$5*1000)</f>
        <v>#REF!</v>
      </c>
      <c r="K21" s="1016" t="e">
        <f>($I$21/$K$6)/$K$5</f>
        <v>#REF!</v>
      </c>
    </row>
    <row r="22" spans="2:11">
      <c r="B22" s="1010">
        <f t="shared" si="1"/>
        <v>13</v>
      </c>
      <c r="C22" s="1063" t="s">
        <v>499</v>
      </c>
      <c r="D22" s="1013">
        <v>26865966199</v>
      </c>
      <c r="E22" s="1015">
        <v>1343298309.95</v>
      </c>
      <c r="F22" s="1015">
        <v>111941525.82916667</v>
      </c>
      <c r="G22" s="1015">
        <v>26865966198.669998</v>
      </c>
      <c r="H22" s="1015">
        <f t="shared" si="2"/>
        <v>1895783032.6504397</v>
      </c>
      <c r="I22" s="1015">
        <v>157981919.38753664</v>
      </c>
      <c r="J22" s="1016" t="e">
        <f>$I$22/($K$5*1000)</f>
        <v>#REF!</v>
      </c>
      <c r="K22" s="1016" t="e">
        <f>($I$22/$K$6)/$K$5</f>
        <v>#REF!</v>
      </c>
    </row>
    <row r="23" spans="2:11">
      <c r="B23" s="1010">
        <f t="shared" si="1"/>
        <v>14</v>
      </c>
      <c r="C23" s="1063" t="s">
        <v>500</v>
      </c>
      <c r="D23" s="1013">
        <v>808088751</v>
      </c>
      <c r="E23" s="1015">
        <v>52164852.670642003</v>
      </c>
      <c r="F23" s="1015">
        <v>4347071.0558868339</v>
      </c>
      <c r="G23" s="1015">
        <v>1748921960.5313604</v>
      </c>
      <c r="H23" s="1015">
        <f t="shared" si="2"/>
        <v>87446098.026568025</v>
      </c>
      <c r="I23" s="1015">
        <v>7287174.8355473354</v>
      </c>
      <c r="J23" s="1016" t="e">
        <f>$I$23/($K$5*1000)</f>
        <v>#REF!</v>
      </c>
      <c r="K23" s="1016" t="e">
        <f>($I$23/$K$6)/$K$5</f>
        <v>#REF!</v>
      </c>
    </row>
    <row r="24" spans="2:11">
      <c r="B24" s="1010">
        <f t="shared" si="1"/>
        <v>15</v>
      </c>
      <c r="C24" s="1063" t="s">
        <v>501</v>
      </c>
      <c r="D24" s="1013">
        <v>669445527</v>
      </c>
      <c r="E24" s="1015">
        <v>33472276.350000005</v>
      </c>
      <c r="F24" s="1015">
        <v>2789356.3625000003</v>
      </c>
      <c r="G24" s="1015">
        <v>669445526.98000002</v>
      </c>
      <c r="H24" s="1015">
        <f t="shared" si="2"/>
        <v>33472276.348999999</v>
      </c>
      <c r="I24" s="1015">
        <v>2789356.3624166665</v>
      </c>
      <c r="J24" s="1016" t="e">
        <f>$I$24/($K$5*1000)</f>
        <v>#REF!</v>
      </c>
      <c r="K24" s="1016" t="e">
        <f>($I$24/$K$6)/$K$5</f>
        <v>#REF!</v>
      </c>
    </row>
    <row r="25" spans="2:11">
      <c r="B25" s="1010">
        <f t="shared" si="1"/>
        <v>16</v>
      </c>
      <c r="C25" s="1063" t="s">
        <v>491</v>
      </c>
      <c r="D25" s="1013">
        <v>0</v>
      </c>
      <c r="E25" s="1015">
        <v>0</v>
      </c>
      <c r="F25" s="1015">
        <v>0</v>
      </c>
      <c r="G25" s="1015">
        <v>0</v>
      </c>
      <c r="H25" s="1015">
        <f t="shared" si="2"/>
        <v>0</v>
      </c>
      <c r="I25" s="1015">
        <v>0</v>
      </c>
      <c r="J25" s="1016" t="e">
        <f>$I$25/($K$5*1000)</f>
        <v>#REF!</v>
      </c>
      <c r="K25" s="1016" t="e">
        <f>($I$25/$K$6)/$K$5</f>
        <v>#REF!</v>
      </c>
    </row>
    <row r="26" spans="2:11">
      <c r="B26" s="1010">
        <f t="shared" si="1"/>
        <v>17</v>
      </c>
      <c r="C26" s="1063" t="s">
        <v>502</v>
      </c>
      <c r="D26" s="1013">
        <v>35739000</v>
      </c>
      <c r="E26" s="1015">
        <v>3573900</v>
      </c>
      <c r="F26" s="1015">
        <v>297825</v>
      </c>
      <c r="G26" s="1015">
        <v>35739000</v>
      </c>
      <c r="H26" s="1015">
        <f t="shared" si="2"/>
        <v>3573900</v>
      </c>
      <c r="I26" s="1015">
        <v>297825</v>
      </c>
      <c r="J26" s="1016" t="e">
        <f>$I$26/($K$5*1000)</f>
        <v>#REF!</v>
      </c>
      <c r="K26" s="1016" t="e">
        <f>($I$26/$K$6)/$K$5</f>
        <v>#REF!</v>
      </c>
    </row>
    <row r="27" spans="2:11">
      <c r="B27" s="1010">
        <f t="shared" si="1"/>
        <v>18</v>
      </c>
      <c r="C27" s="1063" t="s">
        <v>503</v>
      </c>
      <c r="D27" s="1013">
        <v>537402145</v>
      </c>
      <c r="E27" s="1015">
        <v>26870107.250000004</v>
      </c>
      <c r="F27" s="1015">
        <v>2239175.604166667</v>
      </c>
      <c r="G27" s="1015">
        <v>537402145</v>
      </c>
      <c r="H27" s="1015">
        <f t="shared" si="2"/>
        <v>26870107.25</v>
      </c>
      <c r="I27" s="1015">
        <v>2239175.6041666665</v>
      </c>
      <c r="J27" s="1016" t="e">
        <f>$I$27/($K$5*1000)</f>
        <v>#REF!</v>
      </c>
      <c r="K27" s="1016" t="e">
        <f>($I$27/$K$6)/$K$5</f>
        <v>#REF!</v>
      </c>
    </row>
    <row r="28" spans="2:11">
      <c r="B28" s="1010">
        <f t="shared" si="1"/>
        <v>19</v>
      </c>
      <c r="C28" s="1063" t="s">
        <v>504</v>
      </c>
      <c r="D28" s="1013">
        <v>1071796228</v>
      </c>
      <c r="E28" s="1015">
        <v>26794905.699999999</v>
      </c>
      <c r="F28" s="1015">
        <v>2232908.8083333331</v>
      </c>
      <c r="G28" s="1015">
        <v>1071796228</v>
      </c>
      <c r="H28" s="1015">
        <f t="shared" si="2"/>
        <v>53589811.399999991</v>
      </c>
      <c r="I28" s="1015">
        <v>4465817.6166666662</v>
      </c>
      <c r="J28" s="1016" t="e">
        <f>$I$28/($K$5*1000)</f>
        <v>#REF!</v>
      </c>
      <c r="K28" s="1016" t="e">
        <f>($I$28/$K$6)/$K$5</f>
        <v>#REF!</v>
      </c>
    </row>
    <row r="29" spans="2:11">
      <c r="B29" s="1010">
        <f t="shared" si="1"/>
        <v>20</v>
      </c>
      <c r="C29" s="1063" t="s">
        <v>505</v>
      </c>
      <c r="D29" s="1013">
        <v>236594750</v>
      </c>
      <c r="E29" s="1015">
        <v>67601093.483989701</v>
      </c>
      <c r="F29" s="1015">
        <v>5633424.4569991417</v>
      </c>
      <c r="G29" s="1015">
        <v>3751924228.7191768</v>
      </c>
      <c r="H29" s="1015">
        <f t="shared" si="2"/>
        <v>199425948.93595883</v>
      </c>
      <c r="I29" s="1015">
        <v>16618829.077996569</v>
      </c>
      <c r="J29" s="1016" t="e">
        <f>$I$29/($K$5*1000)</f>
        <v>#REF!</v>
      </c>
      <c r="K29" s="1016" t="e">
        <f>($I$29/$K$6)/$K$5</f>
        <v>#REF!</v>
      </c>
    </row>
    <row r="30" spans="2:11">
      <c r="B30" s="1010">
        <f t="shared" si="1"/>
        <v>21</v>
      </c>
      <c r="C30" s="1063" t="s">
        <v>506</v>
      </c>
      <c r="D30" s="1013">
        <v>30414179484</v>
      </c>
      <c r="E30" s="1015">
        <v>1612030479.5500002</v>
      </c>
      <c r="F30" s="1015">
        <v>134335873.29583335</v>
      </c>
      <c r="G30" s="1015">
        <v>30414179484.479996</v>
      </c>
      <c r="H30" s="1015">
        <f t="shared" si="2"/>
        <v>1710615892.4508348</v>
      </c>
      <c r="I30" s="1015">
        <v>142551324.3709029</v>
      </c>
      <c r="J30" s="1016" t="e">
        <f>$I$30/($K$5*1000)</f>
        <v>#REF!</v>
      </c>
      <c r="K30" s="1016" t="e">
        <f>($I$30/$K$6)/$K$5</f>
        <v>#REF!</v>
      </c>
    </row>
    <row r="31" spans="2:11">
      <c r="B31" s="1010">
        <f t="shared" si="1"/>
        <v>22</v>
      </c>
      <c r="C31" s="1063" t="s">
        <v>507</v>
      </c>
      <c r="D31" s="1013">
        <v>15714477178</v>
      </c>
      <c r="E31" s="1015">
        <v>1590698081.0625</v>
      </c>
      <c r="F31" s="1015">
        <v>132558173.421875</v>
      </c>
      <c r="G31" s="1015">
        <v>15714477178.919996</v>
      </c>
      <c r="H31" s="1015">
        <f t="shared" si="2"/>
        <v>1689283494.0092032</v>
      </c>
      <c r="I31" s="1015">
        <v>140773624.50076693</v>
      </c>
      <c r="J31" s="1016" t="e">
        <f>$I$31/($K$5*1000)</f>
        <v>#REF!</v>
      </c>
      <c r="K31" s="1016" t="e">
        <f>($I$31/$K$6)/$K$5</f>
        <v>#REF!</v>
      </c>
    </row>
    <row r="32" spans="2:11">
      <c r="B32" s="1010">
        <f t="shared" si="1"/>
        <v>23</v>
      </c>
      <c r="C32" s="1063" t="s">
        <v>508</v>
      </c>
      <c r="D32" s="1013">
        <v>39160256164.880692</v>
      </c>
      <c r="E32" s="1015">
        <v>1815696823.0725431</v>
      </c>
      <c r="F32" s="1015">
        <v>151308068.5893786</v>
      </c>
      <c r="G32" s="1015">
        <v>39160256163.939995</v>
      </c>
      <c r="H32" s="1015">
        <f t="shared" si="2"/>
        <v>1914282235.9513264</v>
      </c>
      <c r="I32" s="1015">
        <v>159523519.66261053</v>
      </c>
      <c r="J32" s="1016" t="e">
        <f>$I$32/($K$5*1000)</f>
        <v>#REF!</v>
      </c>
      <c r="K32" s="1016" t="e">
        <f>($I$32/$K$6)/$K$5</f>
        <v>#REF!</v>
      </c>
    </row>
    <row r="33" spans="2:12">
      <c r="B33" s="1010">
        <f t="shared" si="1"/>
        <v>24</v>
      </c>
      <c r="C33" s="1063" t="s">
        <v>509</v>
      </c>
      <c r="D33" s="1013">
        <v>26158484525</v>
      </c>
      <c r="E33" s="1015">
        <v>1546139031.6360409</v>
      </c>
      <c r="F33" s="1015">
        <v>128844919.30300342</v>
      </c>
      <c r="G33" s="1015">
        <v>26158484522.87001</v>
      </c>
      <c r="H33" s="1015">
        <f t="shared" si="2"/>
        <v>2104335894.8711185</v>
      </c>
      <c r="I33" s="1015">
        <v>175361324.57259321</v>
      </c>
      <c r="J33" s="1016" t="e">
        <f>$I$33/($K$5*1000)</f>
        <v>#REF!</v>
      </c>
      <c r="K33" s="1016" t="e">
        <f>($I$33/$K$6)/$K$5</f>
        <v>#REF!</v>
      </c>
    </row>
    <row r="34" spans="2:12">
      <c r="B34" s="1010">
        <f t="shared" si="1"/>
        <v>25</v>
      </c>
      <c r="C34" s="1063" t="s">
        <v>510</v>
      </c>
      <c r="D34" s="1013">
        <v>44700543389</v>
      </c>
      <c r="E34" s="1015">
        <v>2525781268.3374996</v>
      </c>
      <c r="F34" s="1015">
        <v>210481772.3614583</v>
      </c>
      <c r="G34" s="1015">
        <v>44700543388.480034</v>
      </c>
      <c r="H34" s="1015">
        <f t="shared" si="2"/>
        <v>2624366681.1205378</v>
      </c>
      <c r="I34" s="1015">
        <v>218697223.4267115</v>
      </c>
      <c r="J34" s="1016" t="e">
        <f>$I$34/($K$5*1000)</f>
        <v>#REF!</v>
      </c>
      <c r="K34" s="1016" t="e">
        <f>($I$34/$K$6)/$K$5</f>
        <v>#REF!</v>
      </c>
    </row>
    <row r="35" spans="2:12">
      <c r="B35" s="1010">
        <f t="shared" si="1"/>
        <v>26</v>
      </c>
      <c r="C35" s="1063" t="s">
        <v>511</v>
      </c>
      <c r="D35" s="1013">
        <v>12406716786</v>
      </c>
      <c r="E35" s="1015">
        <v>697263539.22500026</v>
      </c>
      <c r="F35" s="1015">
        <v>58105294.935416691</v>
      </c>
      <c r="G35" s="1015">
        <v>12406716785.500004</v>
      </c>
      <c r="H35" s="1015">
        <f t="shared" si="2"/>
        <v>697263539.18067789</v>
      </c>
      <c r="I35" s="1015">
        <v>58105294.931723163</v>
      </c>
      <c r="J35" s="1016" t="e">
        <f>$I$35/($K$5*1000)</f>
        <v>#REF!</v>
      </c>
      <c r="K35" s="1016" t="e">
        <f>($I$35/$K$6)/$K$5</f>
        <v>#REF!</v>
      </c>
    </row>
    <row r="36" spans="2:12">
      <c r="B36" s="1010">
        <f t="shared" si="1"/>
        <v>27</v>
      </c>
      <c r="C36" s="1063" t="s">
        <v>512</v>
      </c>
      <c r="D36" s="1013">
        <v>2279256408</v>
      </c>
      <c r="E36" s="1015">
        <v>168443707.171875</v>
      </c>
      <c r="F36" s="1015">
        <v>14036975.59765625</v>
      </c>
      <c r="G36" s="1015">
        <v>2279256406.4351387</v>
      </c>
      <c r="H36" s="1015">
        <f t="shared" si="2"/>
        <v>203668384.116157</v>
      </c>
      <c r="I36" s="1015">
        <v>16972365.343013082</v>
      </c>
      <c r="J36" s="1016" t="e">
        <f>$I$36/($K$5*1000)</f>
        <v>#REF!</v>
      </c>
      <c r="K36" s="1016" t="e">
        <f>($I$36/$K$6)/$K$5</f>
        <v>#REF!</v>
      </c>
    </row>
    <row r="37" spans="2:12">
      <c r="B37" s="1010">
        <f t="shared" si="1"/>
        <v>28</v>
      </c>
      <c r="C37" s="1063" t="s">
        <v>513</v>
      </c>
      <c r="D37" s="1013">
        <v>8173671310</v>
      </c>
      <c r="E37" s="1015">
        <v>501654825.27499992</v>
      </c>
      <c r="F37" s="1015">
        <v>41804568.77291666</v>
      </c>
      <c r="G37" s="1015">
        <v>8173671308.9999981</v>
      </c>
      <c r="H37" s="1015">
        <f t="shared" si="2"/>
        <v>518407225.14050961</v>
      </c>
      <c r="I37" s="1015">
        <v>43200602.095042467</v>
      </c>
      <c r="J37" s="1016" t="e">
        <f>$I$37/($K$5*1000)</f>
        <v>#REF!</v>
      </c>
      <c r="K37" s="1016" t="e">
        <f>($I$37/$K$6)/$K$5</f>
        <v>#REF!</v>
      </c>
    </row>
    <row r="38" spans="2:12">
      <c r="B38" s="1010">
        <f t="shared" si="1"/>
        <v>29</v>
      </c>
      <c r="C38" s="1063" t="s">
        <v>514</v>
      </c>
      <c r="D38" s="1013">
        <v>8136945794.652689</v>
      </c>
      <c r="E38" s="1015">
        <v>469788395.43263459</v>
      </c>
      <c r="F38" s="1015">
        <v>39149032.952719547</v>
      </c>
      <c r="G38" s="1015">
        <v>8136945802.1199989</v>
      </c>
      <c r="H38" s="1015">
        <f t="shared" si="2"/>
        <v>469788395.77994156</v>
      </c>
      <c r="I38" s="1015">
        <v>39149032.981661797</v>
      </c>
      <c r="J38" s="1016" t="e">
        <f>$I$38/($K$5*1000)</f>
        <v>#REF!</v>
      </c>
      <c r="K38" s="1016" t="e">
        <f>($I$38/$K$6)/$K$5</f>
        <v>#REF!</v>
      </c>
    </row>
    <row r="39" spans="2:12">
      <c r="B39" s="1010">
        <f t="shared" si="1"/>
        <v>30</v>
      </c>
      <c r="C39" s="1063" t="s">
        <v>515</v>
      </c>
      <c r="D39" s="1013">
        <v>5554219736</v>
      </c>
      <c r="E39" s="1015">
        <v>370213728.22500008</v>
      </c>
      <c r="F39" s="1015">
        <v>30851144.018750008</v>
      </c>
      <c r="G39" s="1015">
        <v>5554219736.7600012</v>
      </c>
      <c r="H39" s="1015">
        <f t="shared" si="2"/>
        <v>370213728.37244105</v>
      </c>
      <c r="I39" s="1015">
        <v>30851144.031036757</v>
      </c>
      <c r="J39" s="1016" t="e">
        <f>$I$39/($K$5*1000)</f>
        <v>#REF!</v>
      </c>
      <c r="K39" s="1016" t="e">
        <f>($I$39/$K$6)/$K$5</f>
        <v>#REF!</v>
      </c>
    </row>
    <row r="40" spans="2:12">
      <c r="B40" s="1010">
        <f t="shared" si="1"/>
        <v>31</v>
      </c>
      <c r="C40" s="1063" t="s">
        <v>516</v>
      </c>
      <c r="D40" s="1013">
        <v>28411905935</v>
      </c>
      <c r="E40" s="1015">
        <v>1600990284.1625001</v>
      </c>
      <c r="F40" s="1015">
        <v>133415857.01354168</v>
      </c>
      <c r="G40" s="1015">
        <v>28411905934.010002</v>
      </c>
      <c r="H40" s="1015">
        <f t="shared" si="2"/>
        <v>1600990284.0066733</v>
      </c>
      <c r="I40" s="1015">
        <v>133415857.00055611</v>
      </c>
      <c r="J40" s="1016" t="e">
        <f>$I$40/($K$5*1000)</f>
        <v>#REF!</v>
      </c>
      <c r="K40" s="1016" t="e">
        <f>($I$40/$K$6)/$K$5</f>
        <v>#REF!</v>
      </c>
      <c r="L40" s="989">
        <f>H40/12</f>
        <v>133415857.00055611</v>
      </c>
    </row>
    <row r="41" spans="2:12">
      <c r="B41" s="1010">
        <f t="shared" si="1"/>
        <v>32</v>
      </c>
      <c r="C41" s="1063" t="s">
        <v>517</v>
      </c>
      <c r="D41" s="1013">
        <v>8813632097</v>
      </c>
      <c r="E41" s="1015">
        <v>557196884.82499993</v>
      </c>
      <c r="F41" s="1015">
        <v>46433073.735416658</v>
      </c>
      <c r="G41" s="1015">
        <v>8813632095.9899998</v>
      </c>
      <c r="H41" s="1015">
        <f t="shared" si="2"/>
        <v>557196884.7227875</v>
      </c>
      <c r="I41" s="1015">
        <v>46433073.726898961</v>
      </c>
      <c r="J41" s="1016" t="e">
        <f>$I$41/($K$5*1000)</f>
        <v>#REF!</v>
      </c>
      <c r="K41" s="1016" t="e">
        <f>($I$41/$K$6)/$K$5</f>
        <v>#REF!</v>
      </c>
    </row>
    <row r="42" spans="2:12">
      <c r="B42" s="1010">
        <f t="shared" si="1"/>
        <v>33</v>
      </c>
      <c r="C42" s="1063" t="s">
        <v>518</v>
      </c>
      <c r="D42" s="1013">
        <v>4990631887</v>
      </c>
      <c r="E42" s="1015">
        <v>359915737.76250005</v>
      </c>
      <c r="F42" s="1015">
        <v>29992978.146875005</v>
      </c>
      <c r="G42" s="1015">
        <v>4990631885.8800001</v>
      </c>
      <c r="H42" s="1015">
        <f t="shared" si="2"/>
        <v>359915737.56721592</v>
      </c>
      <c r="I42" s="1015">
        <v>29992978.130601324</v>
      </c>
      <c r="J42" s="1016" t="e">
        <f>$I$42/($K$5*1000)</f>
        <v>#REF!</v>
      </c>
      <c r="K42" s="1016" t="e">
        <f>($I$42/$K$6)/$K$5</f>
        <v>#REF!</v>
      </c>
    </row>
    <row r="43" spans="2:12">
      <c r="B43" s="1010">
        <f t="shared" si="1"/>
        <v>34</v>
      </c>
      <c r="C43" s="1063" t="s">
        <v>519</v>
      </c>
      <c r="D43" s="1013">
        <v>11752092639</v>
      </c>
      <c r="E43" s="1015">
        <v>611861933.47500002</v>
      </c>
      <c r="F43" s="1015">
        <v>50988494.456250004</v>
      </c>
      <c r="G43" s="1015">
        <v>11752092638.839998</v>
      </c>
      <c r="H43" s="1015">
        <f t="shared" si="2"/>
        <v>611861933.53528774</v>
      </c>
      <c r="I43" s="1015">
        <v>50988494.461273976</v>
      </c>
      <c r="J43" s="1016" t="e">
        <f>$I$43/($K$5*1000)</f>
        <v>#REF!</v>
      </c>
      <c r="K43" s="1016" t="e">
        <f>($I$43/$K$6)/$K$5</f>
        <v>#REF!</v>
      </c>
    </row>
    <row r="44" spans="2:12">
      <c r="B44" s="1010">
        <f t="shared" si="1"/>
        <v>35</v>
      </c>
      <c r="C44" s="1063" t="s">
        <v>520</v>
      </c>
      <c r="D44" s="1013">
        <v>9891619567</v>
      </c>
      <c r="E44" s="1015">
        <v>899876594.18749964</v>
      </c>
      <c r="F44" s="1015">
        <v>74989716.182291642</v>
      </c>
      <c r="G44" s="1015">
        <v>9891619567.5300026</v>
      </c>
      <c r="H44" s="1015">
        <f t="shared" si="2"/>
        <v>899876594.12820303</v>
      </c>
      <c r="I44" s="1015">
        <v>74989716.177350253</v>
      </c>
      <c r="J44" s="1016" t="e">
        <f>$I$44/($K$5*1000)</f>
        <v>#REF!</v>
      </c>
      <c r="K44" s="1016" t="e">
        <f>($I$44/$K$6)/$K$5</f>
        <v>#REF!</v>
      </c>
    </row>
    <row r="45" spans="2:12">
      <c r="B45" s="1010">
        <f t="shared" si="1"/>
        <v>36</v>
      </c>
      <c r="C45" s="1063" t="s">
        <v>521</v>
      </c>
      <c r="D45" s="1013">
        <v>4518985787</v>
      </c>
      <c r="E45" s="1015">
        <v>244637940.60000005</v>
      </c>
      <c r="F45" s="1015">
        <v>20386495.050000004</v>
      </c>
      <c r="G45" s="1015">
        <v>4518985787.3899994</v>
      </c>
      <c r="H45" s="1015">
        <f t="shared" si="2"/>
        <v>244637940.5848676</v>
      </c>
      <c r="I45" s="1015">
        <v>20386495.048738968</v>
      </c>
      <c r="J45" s="1016" t="e">
        <f>$I$45/($K$5*1000)</f>
        <v>#REF!</v>
      </c>
      <c r="K45" s="1016" t="e">
        <f>($I$45/$K$6)/$K$5</f>
        <v>#REF!</v>
      </c>
    </row>
    <row r="46" spans="2:12">
      <c r="B46" s="1010">
        <f t="shared" si="1"/>
        <v>37</v>
      </c>
      <c r="C46" s="1063" t="s">
        <v>522</v>
      </c>
      <c r="D46" s="1013">
        <v>34206697993</v>
      </c>
      <c r="E46" s="1015">
        <v>3139434562.2500439</v>
      </c>
      <c r="F46" s="1015">
        <v>261619546.85417032</v>
      </c>
      <c r="G46" s="1015">
        <v>121634364373.43024</v>
      </c>
      <c r="H46" s="1015">
        <f t="shared" si="2"/>
        <v>7874623587.8125553</v>
      </c>
      <c r="I46" s="1015">
        <v>656218632.3177129</v>
      </c>
      <c r="J46" s="1016" t="e">
        <f>$I$46/($K$5*1000)</f>
        <v>#REF!</v>
      </c>
      <c r="K46" s="1016" t="e">
        <f>($I$46/$K$6)/$K$5</f>
        <v>#REF!</v>
      </c>
    </row>
    <row r="47" spans="2:12">
      <c r="B47" s="1010">
        <f t="shared" si="1"/>
        <v>38</v>
      </c>
      <c r="C47" s="1063" t="s">
        <v>523</v>
      </c>
      <c r="D47" s="1013">
        <v>93804025615</v>
      </c>
      <c r="E47" s="1015">
        <v>6310838834.0541668</v>
      </c>
      <c r="F47" s="1015">
        <v>525903236.17118055</v>
      </c>
      <c r="G47" s="1015">
        <v>93804025613.289978</v>
      </c>
      <c r="H47" s="1015">
        <f t="shared" si="2"/>
        <v>6332772167.2313156</v>
      </c>
      <c r="I47" s="1015">
        <v>527731013.93594301</v>
      </c>
      <c r="J47" s="1016" t="e">
        <f>$I$47/($K$5*1000)</f>
        <v>#REF!</v>
      </c>
      <c r="K47" s="1016" t="e">
        <f>($I$47/$K$6)/$K$5</f>
        <v>#REF!</v>
      </c>
    </row>
    <row r="48" spans="2:12">
      <c r="B48" s="1010">
        <f t="shared" si="1"/>
        <v>39</v>
      </c>
      <c r="C48" s="1063" t="s">
        <v>524</v>
      </c>
      <c r="D48" s="1013">
        <v>69305898501</v>
      </c>
      <c r="E48" s="1015">
        <v>4714142216.8125</v>
      </c>
      <c r="F48" s="1015">
        <v>392845184.734375</v>
      </c>
      <c r="G48" s="1015">
        <v>69305898500.289993</v>
      </c>
      <c r="H48" s="1015">
        <f t="shared" si="2"/>
        <v>4714142216.7859001</v>
      </c>
      <c r="I48" s="1015">
        <v>392845184.7321583</v>
      </c>
      <c r="J48" s="1016" t="e">
        <f>$I$48/($K$5*1000)</f>
        <v>#REF!</v>
      </c>
      <c r="K48" s="1016" t="e">
        <f>($I$48/$K$6)/$K$5</f>
        <v>#REF!</v>
      </c>
    </row>
    <row r="49" spans="2:11">
      <c r="B49" s="1010">
        <f t="shared" si="1"/>
        <v>40</v>
      </c>
      <c r="C49" s="1063" t="s">
        <v>525</v>
      </c>
      <c r="D49" s="1013">
        <v>1222833568</v>
      </c>
      <c r="E49" s="1015">
        <v>76427098</v>
      </c>
      <c r="F49" s="1015">
        <v>6368924.833333333</v>
      </c>
      <c r="G49" s="1015">
        <v>1222833567.6900001</v>
      </c>
      <c r="H49" s="1015">
        <f t="shared" si="2"/>
        <v>76427097.980625004</v>
      </c>
      <c r="I49" s="1015">
        <v>6368924.8317187503</v>
      </c>
      <c r="J49" s="1016" t="e">
        <f>$I$49/($K$5*1000)</f>
        <v>#REF!</v>
      </c>
      <c r="K49" s="1016" t="e">
        <f>($I$49/$K$6)/$K$5</f>
        <v>#REF!</v>
      </c>
    </row>
    <row r="50" spans="2:11">
      <c r="B50" s="1010">
        <f t="shared" si="1"/>
        <v>41</v>
      </c>
      <c r="C50" s="1063" t="s">
        <v>526</v>
      </c>
      <c r="D50" s="1013">
        <v>2557397646</v>
      </c>
      <c r="E50" s="1015">
        <v>127869882.30000001</v>
      </c>
      <c r="F50" s="1015">
        <v>10655823.525</v>
      </c>
      <c r="G50" s="1015">
        <v>2557397645.6100001</v>
      </c>
      <c r="H50" s="1015">
        <f t="shared" si="2"/>
        <v>127869882.28050001</v>
      </c>
      <c r="I50" s="1015">
        <v>10655823.523375001</v>
      </c>
      <c r="J50" s="1016" t="e">
        <f>$I$50/($K$5*1000)</f>
        <v>#REF!</v>
      </c>
      <c r="K50" s="1016" t="e">
        <f>($I$50/$K$6)/$K$5</f>
        <v>#REF!</v>
      </c>
    </row>
    <row r="51" spans="2:11">
      <c r="B51" s="1010">
        <f t="shared" si="1"/>
        <v>42</v>
      </c>
      <c r="C51" s="1063" t="s">
        <v>527</v>
      </c>
      <c r="D51" s="1013">
        <v>30580769059</v>
      </c>
      <c r="E51" s="1015">
        <v>1658149317.4009175</v>
      </c>
      <c r="F51" s="1015">
        <v>138179109.7834098</v>
      </c>
      <c r="G51" s="1015">
        <v>30797884415.073391</v>
      </c>
      <c r="H51" s="1015">
        <f t="shared" si="2"/>
        <v>2888992764.2857904</v>
      </c>
      <c r="I51" s="1015">
        <v>240749397.02381587</v>
      </c>
      <c r="J51" s="1016" t="e">
        <f>$I$51/($K$5*1000)</f>
        <v>#REF!</v>
      </c>
      <c r="K51" s="1016" t="e">
        <f>($I$51/$K$6)/$K$5</f>
        <v>#REF!</v>
      </c>
    </row>
    <row r="52" spans="2:11">
      <c r="B52" s="1010">
        <f t="shared" si="1"/>
        <v>43</v>
      </c>
      <c r="C52" s="1063" t="s">
        <v>528</v>
      </c>
      <c r="D52" s="1013">
        <v>2460303143</v>
      </c>
      <c r="E52" s="1015">
        <v>153768946.4375</v>
      </c>
      <c r="F52" s="1015">
        <v>12814078.869791666</v>
      </c>
      <c r="G52" s="1015">
        <v>2460303143</v>
      </c>
      <c r="H52" s="1015">
        <f t="shared" si="2"/>
        <v>153768946.4375</v>
      </c>
      <c r="I52" s="1015">
        <v>12814078.869791666</v>
      </c>
      <c r="J52" s="1016" t="e">
        <f>$I$52/($K$5*1000)</f>
        <v>#REF!</v>
      </c>
      <c r="K52" s="1016" t="e">
        <f>($I$52/$K$6)/$K$5</f>
        <v>#REF!</v>
      </c>
    </row>
    <row r="53" spans="2:11">
      <c r="B53" s="1010">
        <f t="shared" si="1"/>
        <v>44</v>
      </c>
      <c r="C53" s="1063" t="s">
        <v>527</v>
      </c>
      <c r="D53" s="1013">
        <v>0</v>
      </c>
      <c r="E53" s="1015">
        <v>0</v>
      </c>
      <c r="F53" s="1015">
        <v>0</v>
      </c>
      <c r="G53" s="1015">
        <v>0</v>
      </c>
      <c r="H53" s="1015">
        <f t="shared" si="2"/>
        <v>0</v>
      </c>
      <c r="I53" s="1015">
        <v>0</v>
      </c>
      <c r="J53" s="1016" t="e">
        <f>$I$53/($K$5*1000)</f>
        <v>#REF!</v>
      </c>
      <c r="K53" s="1016" t="e">
        <f>($I$53/$K$6)/$K$5</f>
        <v>#REF!</v>
      </c>
    </row>
    <row r="54" spans="2:11">
      <c r="B54" s="1010">
        <f t="shared" si="1"/>
        <v>45</v>
      </c>
      <c r="C54" s="1063" t="s">
        <v>527</v>
      </c>
      <c r="D54" s="1013">
        <v>0</v>
      </c>
      <c r="E54" s="1015">
        <v>0</v>
      </c>
      <c r="F54" s="1015">
        <v>0</v>
      </c>
      <c r="G54" s="1015">
        <v>0</v>
      </c>
      <c r="H54" s="1015">
        <f t="shared" si="2"/>
        <v>0</v>
      </c>
      <c r="I54" s="1015">
        <v>0</v>
      </c>
      <c r="J54" s="1016" t="e">
        <f>$I$54/($K$5*1000)</f>
        <v>#REF!</v>
      </c>
      <c r="K54" s="1016" t="e">
        <f>($I$54/$K$6)/$K$5</f>
        <v>#REF!</v>
      </c>
    </row>
    <row r="55" spans="2:11">
      <c r="B55" s="1010">
        <f t="shared" si="1"/>
        <v>46</v>
      </c>
      <c r="C55" s="1063" t="s">
        <v>509</v>
      </c>
      <c r="D55" s="1013">
        <v>0</v>
      </c>
      <c r="E55" s="1015">
        <v>0</v>
      </c>
      <c r="F55" s="1015">
        <v>0</v>
      </c>
      <c r="G55" s="1015">
        <v>0</v>
      </c>
      <c r="H55" s="1015">
        <f t="shared" si="2"/>
        <v>0</v>
      </c>
      <c r="I55" s="1015">
        <v>0</v>
      </c>
      <c r="J55" s="1016" t="e">
        <f>$I$55/($K$5*1000)</f>
        <v>#REF!</v>
      </c>
      <c r="K55" s="1016" t="e">
        <f>($I$55/$K$6)/$K$5</f>
        <v>#REF!</v>
      </c>
    </row>
    <row r="56" spans="2:11">
      <c r="B56" s="1010">
        <f t="shared" si="1"/>
        <v>47</v>
      </c>
      <c r="C56" s="1063" t="s">
        <v>529</v>
      </c>
      <c r="D56" s="1013">
        <v>814629325</v>
      </c>
      <c r="E56" s="1015">
        <v>138420459.72499999</v>
      </c>
      <c r="F56" s="1015">
        <v>11535038.310416667</v>
      </c>
      <c r="G56" s="1015">
        <v>814629325</v>
      </c>
      <c r="H56" s="1015">
        <f t="shared" si="2"/>
        <v>138420459.72499999</v>
      </c>
      <c r="I56" s="1015">
        <v>11535038.310416667</v>
      </c>
      <c r="J56" s="1016" t="e">
        <f>$I$56/($K$5*1000)</f>
        <v>#REF!</v>
      </c>
      <c r="K56" s="1016" t="e">
        <f>($I$56/$K$6)/$K$5</f>
        <v>#REF!</v>
      </c>
    </row>
    <row r="57" spans="2:11">
      <c r="B57" s="1010">
        <f t="shared" si="1"/>
        <v>48</v>
      </c>
      <c r="C57" s="1063" t="s">
        <v>491</v>
      </c>
      <c r="D57" s="1013">
        <v>0</v>
      </c>
      <c r="E57" s="1015">
        <v>0</v>
      </c>
      <c r="F57" s="1015">
        <v>0</v>
      </c>
      <c r="G57" s="1015">
        <v>0</v>
      </c>
      <c r="H57" s="1015">
        <f t="shared" si="2"/>
        <v>0</v>
      </c>
      <c r="I57" s="1015">
        <v>0</v>
      </c>
      <c r="J57" s="1016" t="e">
        <f>$I$57/($K$5*1000)</f>
        <v>#REF!</v>
      </c>
      <c r="K57" s="1016" t="e">
        <f>($I$57/$K$6)/$K$5</f>
        <v>#REF!</v>
      </c>
    </row>
    <row r="58" spans="2:11">
      <c r="B58" s="1010">
        <f t="shared" si="1"/>
        <v>49</v>
      </c>
      <c r="C58" s="1063" t="s">
        <v>530</v>
      </c>
      <c r="D58" s="1013">
        <v>3324550757</v>
      </c>
      <c r="E58" s="1015">
        <v>166227537.84999993</v>
      </c>
      <c r="F58" s="1015">
        <v>13852294.820833327</v>
      </c>
      <c r="G58" s="1015">
        <v>3324550757.3499999</v>
      </c>
      <c r="H58" s="1015">
        <f t="shared" si="2"/>
        <v>166227537.86750001</v>
      </c>
      <c r="I58" s="1015">
        <v>13852294.822291667</v>
      </c>
      <c r="J58" s="1016" t="e">
        <f>$I$58/($K$5*1000)</f>
        <v>#REF!</v>
      </c>
      <c r="K58" s="1016" t="e">
        <f>($I$58/$K$6)/$K$5</f>
        <v>#REF!</v>
      </c>
    </row>
    <row r="59" spans="2:11">
      <c r="B59" s="1010">
        <f t="shared" si="1"/>
        <v>50</v>
      </c>
      <c r="C59" s="1063" t="s">
        <v>531</v>
      </c>
      <c r="D59" s="1013">
        <v>1457273906</v>
      </c>
      <c r="E59" s="1015">
        <v>72863695.299999997</v>
      </c>
      <c r="F59" s="1015">
        <v>6071974.6083333334</v>
      </c>
      <c r="G59" s="1015">
        <v>1457273906</v>
      </c>
      <c r="H59" s="1015">
        <f t="shared" si="2"/>
        <v>72863695.299999997</v>
      </c>
      <c r="I59" s="1015">
        <v>6071974.6083333334</v>
      </c>
      <c r="J59" s="1016" t="e">
        <f>$I$59/($K$5*1000)</f>
        <v>#REF!</v>
      </c>
      <c r="K59" s="1016" t="e">
        <f>($I$59/$K$6)/$K$5</f>
        <v>#REF!</v>
      </c>
    </row>
    <row r="60" spans="2:11">
      <c r="B60" s="1010">
        <f t="shared" si="1"/>
        <v>51</v>
      </c>
      <c r="C60" s="1063" t="s">
        <v>491</v>
      </c>
      <c r="D60" s="1013">
        <v>0</v>
      </c>
      <c r="E60" s="1015">
        <v>0</v>
      </c>
      <c r="F60" s="1015">
        <v>0</v>
      </c>
      <c r="G60" s="1015">
        <v>0</v>
      </c>
      <c r="H60" s="1015">
        <f t="shared" si="2"/>
        <v>0</v>
      </c>
      <c r="I60" s="1015">
        <v>0</v>
      </c>
      <c r="J60" s="1016" t="e">
        <f>$I$60/($K$5*1000)</f>
        <v>#REF!</v>
      </c>
      <c r="K60" s="1016" t="e">
        <f>($I$60/$K$6)/$K$5</f>
        <v>#REF!</v>
      </c>
    </row>
    <row r="61" spans="2:11">
      <c r="B61" s="1010">
        <f t="shared" si="1"/>
        <v>52</v>
      </c>
      <c r="C61" s="1063" t="s">
        <v>532</v>
      </c>
      <c r="D61" s="1013">
        <v>702420000</v>
      </c>
      <c r="E61" s="1015">
        <v>58515250</v>
      </c>
      <c r="F61" s="1015">
        <v>4876270.833333333</v>
      </c>
      <c r="G61" s="1015">
        <v>702420000</v>
      </c>
      <c r="H61" s="1015">
        <f t="shared" si="2"/>
        <v>92109000</v>
      </c>
      <c r="I61" s="1015">
        <v>7675750</v>
      </c>
      <c r="J61" s="1016" t="e">
        <f>$I$61/($K$5*1000)</f>
        <v>#REF!</v>
      </c>
      <c r="K61" s="1016" t="e">
        <f>($I$61/$K$6)/$K$5</f>
        <v>#REF!</v>
      </c>
    </row>
    <row r="62" spans="2:11">
      <c r="B62" s="1010">
        <f t="shared" si="1"/>
        <v>53</v>
      </c>
      <c r="C62" s="1063" t="s">
        <v>533</v>
      </c>
      <c r="D62" s="1013">
        <v>2093240354</v>
      </c>
      <c r="E62" s="1015">
        <v>287495712.54999989</v>
      </c>
      <c r="F62" s="1015">
        <v>23957976.045833323</v>
      </c>
      <c r="G62" s="1015">
        <v>2093240354</v>
      </c>
      <c r="H62" s="1015">
        <f t="shared" si="2"/>
        <v>287495712.54999995</v>
      </c>
      <c r="I62" s="1015">
        <v>23957976.045833331</v>
      </c>
      <c r="J62" s="1016" t="e">
        <f>$I$62/($K$5*1000)</f>
        <v>#REF!</v>
      </c>
      <c r="K62" s="1016" t="e">
        <f>($I$62/$K$6)/$K$5</f>
        <v>#REF!</v>
      </c>
    </row>
    <row r="63" spans="2:11">
      <c r="B63" s="1010">
        <f t="shared" si="1"/>
        <v>54</v>
      </c>
      <c r="C63" s="1063" t="s">
        <v>534</v>
      </c>
      <c r="D63" s="1013">
        <v>0</v>
      </c>
      <c r="E63" s="1015">
        <v>0</v>
      </c>
      <c r="F63" s="1015">
        <v>0</v>
      </c>
      <c r="G63" s="1015">
        <v>0</v>
      </c>
      <c r="H63" s="1015">
        <f t="shared" si="2"/>
        <v>0</v>
      </c>
      <c r="I63" s="1015">
        <v>0</v>
      </c>
      <c r="J63" s="1016" t="e">
        <f>$I$63/($K$5*1000)</f>
        <v>#REF!</v>
      </c>
      <c r="K63" s="1016" t="e">
        <f>($I$63/$K$6)/$K$5</f>
        <v>#REF!</v>
      </c>
    </row>
    <row r="64" spans="2:11">
      <c r="B64" s="1010">
        <f t="shared" si="1"/>
        <v>55</v>
      </c>
      <c r="C64" s="1063" t="s">
        <v>535</v>
      </c>
      <c r="D64" s="1013">
        <v>68073000</v>
      </c>
      <c r="E64" s="1015">
        <v>13614600</v>
      </c>
      <c r="F64" s="1015">
        <v>1134550</v>
      </c>
      <c r="G64" s="1015">
        <v>68073000</v>
      </c>
      <c r="H64" s="1015">
        <f t="shared" si="2"/>
        <v>13614600</v>
      </c>
      <c r="I64" s="1015">
        <v>1134550</v>
      </c>
      <c r="J64" s="1016" t="e">
        <f>$I$64/($K$5*1000)</f>
        <v>#REF!</v>
      </c>
      <c r="K64" s="1016" t="e">
        <f>($I$64/$K$6)/$K$5</f>
        <v>#REF!</v>
      </c>
    </row>
    <row r="65" spans="2:11">
      <c r="B65" s="1010">
        <f t="shared" si="1"/>
        <v>56</v>
      </c>
      <c r="C65" s="1063" t="s">
        <v>536</v>
      </c>
      <c r="D65" s="1013">
        <v>140550000</v>
      </c>
      <c r="E65" s="1015">
        <v>28110000</v>
      </c>
      <c r="F65" s="1015">
        <v>2342500</v>
      </c>
      <c r="G65" s="1015">
        <v>140550000</v>
      </c>
      <c r="H65" s="1015">
        <f t="shared" si="2"/>
        <v>28110000</v>
      </c>
      <c r="I65" s="1015">
        <v>2342500</v>
      </c>
      <c r="J65" s="1016" t="e">
        <f>$I$65/($K$5*1000)</f>
        <v>#REF!</v>
      </c>
      <c r="K65" s="1016" t="e">
        <f>($I$65/$K$6)/$K$5</f>
        <v>#REF!</v>
      </c>
    </row>
    <row r="66" spans="2:11">
      <c r="B66" s="1010">
        <f t="shared" si="1"/>
        <v>57</v>
      </c>
      <c r="C66" s="1063" t="s">
        <v>537</v>
      </c>
      <c r="D66" s="1013">
        <v>3453064640</v>
      </c>
      <c r="E66" s="1015">
        <v>373988923.72499996</v>
      </c>
      <c r="F66" s="1015">
        <v>31165743.643749997</v>
      </c>
      <c r="G66" s="1015">
        <v>4405170868</v>
      </c>
      <c r="H66" s="1015">
        <f t="shared" si="2"/>
        <v>896034173.60000002</v>
      </c>
      <c r="I66" s="1015">
        <v>74669514.466666669</v>
      </c>
      <c r="J66" s="1016" t="e">
        <f>$I$66/($K$5*1000)</f>
        <v>#REF!</v>
      </c>
      <c r="K66" s="1016" t="e">
        <f>($I$66/$K$6)/$K$5</f>
        <v>#REF!</v>
      </c>
    </row>
    <row r="67" spans="2:11">
      <c r="B67" s="1010">
        <f t="shared" si="1"/>
        <v>58</v>
      </c>
      <c r="C67" s="1063" t="s">
        <v>538</v>
      </c>
      <c r="D67" s="1013">
        <v>1542535419</v>
      </c>
      <c r="E67" s="1015">
        <v>294442763.82414317</v>
      </c>
      <c r="F67" s="1015">
        <v>24536896.985345263</v>
      </c>
      <c r="G67" s="1015">
        <v>1976060354.2647929</v>
      </c>
      <c r="H67" s="1015">
        <f t="shared" si="2"/>
        <v>298253959.59197366</v>
      </c>
      <c r="I67" s="1015">
        <v>24854496.632664472</v>
      </c>
      <c r="J67" s="1016" t="e">
        <f>$I$67/($K$5*1000)</f>
        <v>#REF!</v>
      </c>
      <c r="K67" s="1016" t="e">
        <f>($I$67/$K$6)/$K$5</f>
        <v>#REF!</v>
      </c>
    </row>
    <row r="68" spans="2:11">
      <c r="B68" s="1010">
        <f t="shared" si="1"/>
        <v>59</v>
      </c>
      <c r="C68" s="1063" t="s">
        <v>539</v>
      </c>
      <c r="D68" s="1013">
        <v>11270000</v>
      </c>
      <c r="E68" s="1015">
        <v>2253999.9999999995</v>
      </c>
      <c r="F68" s="1015">
        <v>187833.33333333328</v>
      </c>
      <c r="G68" s="1015">
        <v>11270000</v>
      </c>
      <c r="H68" s="1015">
        <f t="shared" si="2"/>
        <v>2254000</v>
      </c>
      <c r="I68" s="1015">
        <v>187833.33333333334</v>
      </c>
      <c r="J68" s="1016" t="e">
        <f>$I$68/($K$5*1000)</f>
        <v>#REF!</v>
      </c>
      <c r="K68" s="1016" t="e">
        <f>($I$68/$K$6)/$K$5</f>
        <v>#REF!</v>
      </c>
    </row>
    <row r="69" spans="2:11">
      <c r="B69" s="1010">
        <f t="shared" si="1"/>
        <v>60</v>
      </c>
      <c r="C69" s="1063" t="s">
        <v>540</v>
      </c>
      <c r="D69" s="1013">
        <v>26932688</v>
      </c>
      <c r="E69" s="1015">
        <v>5386537.5999999996</v>
      </c>
      <c r="F69" s="1015">
        <v>448878.1333333333</v>
      </c>
      <c r="G69" s="1015">
        <v>26932688</v>
      </c>
      <c r="H69" s="1015">
        <f t="shared" si="2"/>
        <v>5386537.5380002018</v>
      </c>
      <c r="I69" s="1015">
        <v>448878.12816668348</v>
      </c>
      <c r="J69" s="1016" t="e">
        <f>$I$69/($K$5*1000)</f>
        <v>#REF!</v>
      </c>
      <c r="K69" s="1016" t="e">
        <f>($I$69/$K$6)/$K$5</f>
        <v>#REF!</v>
      </c>
    </row>
    <row r="70" spans="2:11">
      <c r="B70" s="1010">
        <f t="shared" si="1"/>
        <v>61</v>
      </c>
      <c r="C70" s="1063" t="s">
        <v>541</v>
      </c>
      <c r="D70" s="1013">
        <v>30000000</v>
      </c>
      <c r="E70" s="1015">
        <v>6000000</v>
      </c>
      <c r="F70" s="1015">
        <v>500000</v>
      </c>
      <c r="G70" s="1015">
        <v>30000000.340209961</v>
      </c>
      <c r="H70" s="1015">
        <f t="shared" si="2"/>
        <v>6000000.0680419924</v>
      </c>
      <c r="I70" s="1015">
        <v>500000.00567016605</v>
      </c>
      <c r="J70" s="1016" t="e">
        <f>$I$70/($K$5*1000)</f>
        <v>#REF!</v>
      </c>
      <c r="K70" s="1016" t="e">
        <f>($I$70/$K$6)/$K$5</f>
        <v>#REF!</v>
      </c>
    </row>
    <row r="71" spans="2:11">
      <c r="B71" s="1010">
        <f t="shared" si="1"/>
        <v>62</v>
      </c>
      <c r="C71" s="1063" t="s">
        <v>542</v>
      </c>
      <c r="D71" s="1013">
        <v>6869341541</v>
      </c>
      <c r="E71" s="1015">
        <v>344483481.40046716</v>
      </c>
      <c r="F71" s="1015">
        <v>28706956.783372264</v>
      </c>
      <c r="G71" s="1015">
        <v>6950653888.9573593</v>
      </c>
      <c r="H71" s="1015">
        <f t="shared" si="2"/>
        <v>347532694.44786799</v>
      </c>
      <c r="I71" s="1015">
        <v>28961057.870655663</v>
      </c>
      <c r="J71" s="1016" t="e">
        <f>$I$71/($K$5*1000)</f>
        <v>#REF!</v>
      </c>
      <c r="K71" s="1016" t="e">
        <f>($I$71/$K$6)/$K$5</f>
        <v>#REF!</v>
      </c>
    </row>
    <row r="72" spans="2:11">
      <c r="B72" s="1010"/>
      <c r="C72" s="1017"/>
      <c r="D72" s="1017"/>
      <c r="E72" s="1015"/>
      <c r="F72" s="1015"/>
      <c r="G72" s="1015"/>
      <c r="H72" s="1015"/>
      <c r="I72" s="1015"/>
      <c r="J72" s="1016"/>
      <c r="K72" s="1016"/>
    </row>
    <row r="73" spans="2:11">
      <c r="B73" s="1010"/>
      <c r="C73" s="1017"/>
      <c r="D73" s="1017"/>
      <c r="E73" s="1015"/>
      <c r="F73" s="1015"/>
      <c r="G73" s="1015"/>
      <c r="H73" s="1015"/>
      <c r="I73" s="1015"/>
      <c r="J73" s="1016"/>
      <c r="K73" s="1016"/>
    </row>
    <row r="74" spans="2:11">
      <c r="B74" s="1010"/>
      <c r="C74" s="1017"/>
      <c r="D74" s="1017"/>
      <c r="E74" s="1015"/>
      <c r="F74" s="1015"/>
      <c r="G74" s="1015"/>
      <c r="H74" s="1015"/>
      <c r="I74" s="1015"/>
      <c r="J74" s="1016"/>
      <c r="K74" s="1016"/>
    </row>
    <row r="75" spans="2:11" ht="14.4" thickBot="1">
      <c r="B75" s="1048"/>
      <c r="C75" s="1049"/>
      <c r="D75" s="1049"/>
      <c r="E75" s="1050"/>
      <c r="F75" s="1050"/>
      <c r="G75" s="1050"/>
      <c r="H75" s="1050"/>
      <c r="I75" s="1050"/>
      <c r="J75" s="1064"/>
      <c r="K75" s="1064"/>
    </row>
    <row r="76" spans="2:11" ht="19.350000000000001" customHeight="1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E20" sqref="E20"/>
    </sheetView>
  </sheetViews>
  <sheetFormatPr defaultColWidth="8.6640625" defaultRowHeight="14.4"/>
  <cols>
    <col min="1" max="1" width="8.6640625" style="344"/>
    <col min="2" max="2" width="52.6640625" style="344" customWidth="1"/>
    <col min="3" max="4" width="17.5546875" style="972" customWidth="1"/>
    <col min="5" max="5" width="55.44140625" style="344" customWidth="1"/>
    <col min="6" max="6" width="17.5546875" style="972" customWidth="1"/>
    <col min="7" max="16384" width="8.6640625" style="344"/>
  </cols>
  <sheetData>
    <row r="1" spans="2:6">
      <c r="C1" s="972" t="s">
        <v>408</v>
      </c>
      <c r="F1" s="972" t="s">
        <v>408</v>
      </c>
    </row>
    <row r="2" spans="2:6" ht="18.600000000000001" thickBot="1">
      <c r="B2" s="971" t="s">
        <v>382</v>
      </c>
      <c r="C2" s="1041" t="e">
        <f>#REF!</f>
        <v>#REF!</v>
      </c>
      <c r="E2" s="971" t="s">
        <v>383</v>
      </c>
      <c r="F2" s="1041" t="e">
        <f>#REF!</f>
        <v>#REF!</v>
      </c>
    </row>
    <row r="3" spans="2:6">
      <c r="B3" s="2268" t="s">
        <v>384</v>
      </c>
      <c r="C3" s="973" t="s">
        <v>385</v>
      </c>
      <c r="E3" s="2268" t="s">
        <v>384</v>
      </c>
      <c r="F3" s="973" t="s">
        <v>385</v>
      </c>
    </row>
    <row r="4" spans="2:6" ht="15" thickBot="1">
      <c r="B4" s="2269"/>
      <c r="C4" s="974" t="s">
        <v>386</v>
      </c>
      <c r="E4" s="2269"/>
      <c r="F4" s="974" t="s">
        <v>386</v>
      </c>
    </row>
    <row r="5" spans="2:6" ht="15" thickTop="1">
      <c r="B5" s="975" t="s">
        <v>387</v>
      </c>
      <c r="C5" s="976">
        <v>1648879.5518207287</v>
      </c>
      <c r="E5" s="977" t="s">
        <v>388</v>
      </c>
      <c r="F5" s="978">
        <v>4911824.2689075638</v>
      </c>
    </row>
    <row r="6" spans="2:6">
      <c r="B6" s="975" t="s">
        <v>148</v>
      </c>
      <c r="C6" s="976">
        <v>2678431.3725490198</v>
      </c>
      <c r="E6" s="975" t="s">
        <v>389</v>
      </c>
      <c r="F6" s="976">
        <v>1230672.2689075631</v>
      </c>
    </row>
    <row r="7" spans="2:6">
      <c r="B7" s="975" t="s">
        <v>390</v>
      </c>
      <c r="C7" s="976">
        <v>288459.3837535014</v>
      </c>
      <c r="E7" s="975" t="s">
        <v>391</v>
      </c>
      <c r="F7" s="976">
        <v>1084733.893557423</v>
      </c>
    </row>
    <row r="8" spans="2:6">
      <c r="B8" s="975" t="s">
        <v>392</v>
      </c>
      <c r="C8" s="976">
        <v>404271.70868347352</v>
      </c>
      <c r="E8" s="975" t="s">
        <v>393</v>
      </c>
      <c r="F8" s="976">
        <v>833815.51820728299</v>
      </c>
    </row>
    <row r="9" spans="2:6">
      <c r="B9" s="975" t="s">
        <v>394</v>
      </c>
      <c r="C9" s="976">
        <v>150891.40056022411</v>
      </c>
      <c r="E9" s="975" t="s">
        <v>395</v>
      </c>
      <c r="F9" s="976">
        <v>949299.71988795535</v>
      </c>
    </row>
    <row r="10" spans="2:6">
      <c r="B10" s="975" t="s">
        <v>396</v>
      </c>
      <c r="C10" s="976">
        <v>58543.417366946771</v>
      </c>
      <c r="E10" s="975" t="s">
        <v>397</v>
      </c>
      <c r="F10" s="976">
        <v>1106022.4089635855</v>
      </c>
    </row>
    <row r="11" spans="2:6">
      <c r="B11" s="975" t="s">
        <v>398</v>
      </c>
      <c r="C11" s="976">
        <v>87425.770308123247</v>
      </c>
      <c r="E11" s="975" t="s">
        <v>399</v>
      </c>
      <c r="F11" s="976">
        <v>5634698.8795518195</v>
      </c>
    </row>
    <row r="12" spans="2:6" ht="15" thickBot="1">
      <c r="B12" s="975" t="s">
        <v>400</v>
      </c>
      <c r="C12" s="976">
        <v>254341.73669467788</v>
      </c>
      <c r="E12" s="979"/>
      <c r="F12" s="980"/>
    </row>
    <row r="13" spans="2:6">
      <c r="B13" s="975" t="s">
        <v>401</v>
      </c>
      <c r="C13" s="976">
        <v>114733.89355742298</v>
      </c>
      <c r="E13" s="981" t="s">
        <v>1</v>
      </c>
      <c r="F13" s="982">
        <f>SUM(F5:F12)</f>
        <v>15751066.957983192</v>
      </c>
    </row>
    <row r="14" spans="2:6">
      <c r="B14" s="975" t="s">
        <v>402</v>
      </c>
      <c r="C14" s="976">
        <v>203159.6638655462</v>
      </c>
      <c r="E14" s="983" t="s">
        <v>403</v>
      </c>
      <c r="F14" s="984" t="e">
        <f>F13*F2</f>
        <v>#REF!</v>
      </c>
    </row>
    <row r="15" spans="2:6" ht="15" thickBot="1">
      <c r="B15" s="975" t="s">
        <v>404</v>
      </c>
      <c r="C15" s="976">
        <v>580672.26890756306</v>
      </c>
      <c r="E15" s="985" t="s">
        <v>405</v>
      </c>
      <c r="F15" s="986" t="e">
        <f>F14*12</f>
        <v>#REF!</v>
      </c>
    </row>
    <row r="16" spans="2:6" ht="15" thickBot="1">
      <c r="B16" s="979" t="s">
        <v>406</v>
      </c>
      <c r="C16" s="980">
        <v>4089635.8543417375</v>
      </c>
    </row>
    <row r="17" spans="2:6">
      <c r="B17" s="981" t="s">
        <v>407</v>
      </c>
      <c r="C17" s="982">
        <f>SUM(C5:C16)</f>
        <v>10559446.022408964</v>
      </c>
      <c r="E17" s="344" t="s">
        <v>410</v>
      </c>
    </row>
    <row r="18" spans="2:6">
      <c r="B18" s="983" t="s">
        <v>403</v>
      </c>
      <c r="C18" s="984" t="e">
        <f>C17*C2</f>
        <v>#REF!</v>
      </c>
      <c r="E18" s="344" t="s">
        <v>409</v>
      </c>
      <c r="F18" s="987" t="e">
        <f>F14+C18</f>
        <v>#REF!</v>
      </c>
    </row>
    <row r="19" spans="2:6" ht="15" thickBot="1">
      <c r="B19" s="985" t="s">
        <v>405</v>
      </c>
      <c r="C19" s="986" t="e">
        <f>C18*12</f>
        <v>#REF!</v>
      </c>
      <c r="E19" s="344" t="s">
        <v>188</v>
      </c>
      <c r="F19" s="987" t="e">
        <f>F18*12</f>
        <v>#REF!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K7" sqref="K7"/>
    </sheetView>
  </sheetViews>
  <sheetFormatPr defaultColWidth="8.6640625" defaultRowHeight="13.8"/>
  <cols>
    <col min="1" max="1" width="8.6640625" style="989"/>
    <col min="2" max="2" width="6.44140625" style="988" customWidth="1"/>
    <col min="3" max="3" width="48.44140625" style="989" customWidth="1"/>
    <col min="4" max="4" width="4.5546875" style="988" customWidth="1"/>
    <col min="5" max="5" width="23.6640625" style="989" customWidth="1"/>
    <col min="6" max="6" width="9.5546875" style="988" customWidth="1"/>
    <col min="7" max="7" width="9.44140625" style="989" customWidth="1"/>
    <col min="8" max="8" width="9.5546875" style="988" customWidth="1"/>
    <col min="9" max="9" width="16.5546875" style="989" customWidth="1"/>
    <col min="10" max="10" width="16.44140625" style="988" customWidth="1"/>
    <col min="11" max="11" width="13.6640625" style="988" customWidth="1"/>
    <col min="12" max="12" width="18.5546875" style="988" customWidth="1"/>
    <col min="13" max="16384" width="8.6640625" style="989"/>
  </cols>
  <sheetData>
    <row r="2" spans="2:12" ht="18.600000000000001" thickBot="1">
      <c r="B2" s="990" t="s">
        <v>411</v>
      </c>
    </row>
    <row r="3" spans="2:12">
      <c r="B3" s="2258" t="s">
        <v>359</v>
      </c>
      <c r="C3" s="2259"/>
      <c r="D3" s="892"/>
      <c r="E3" s="991"/>
      <c r="F3" s="992"/>
      <c r="G3" s="991"/>
      <c r="H3" s="992"/>
      <c r="I3" s="991"/>
      <c r="J3" s="993" t="s">
        <v>379</v>
      </c>
      <c r="K3" s="994" t="e">
        <f>'HPP REF '!N3</f>
        <v>#REF!</v>
      </c>
    </row>
    <row r="4" spans="2:12">
      <c r="B4" s="2260" t="s">
        <v>412</v>
      </c>
      <c r="C4" s="2261"/>
      <c r="D4" s="896"/>
      <c r="J4" s="995" t="s">
        <v>83</v>
      </c>
      <c r="K4" s="996" t="e">
        <f>'HPP REF '!N4</f>
        <v>#REF!</v>
      </c>
    </row>
    <row r="5" spans="2:12">
      <c r="B5" s="2260" t="s">
        <v>413</v>
      </c>
      <c r="C5" s="2261"/>
      <c r="D5" s="896"/>
      <c r="J5" s="995" t="s">
        <v>414</v>
      </c>
      <c r="K5" s="996" t="e">
        <f>K4*K3</f>
        <v>#REF!</v>
      </c>
    </row>
    <row r="6" spans="2:12" ht="14.4" thickBot="1">
      <c r="B6" s="967" t="s">
        <v>415</v>
      </c>
      <c r="C6" s="968"/>
      <c r="D6" s="969"/>
      <c r="E6" s="997"/>
      <c r="F6" s="998"/>
      <c r="G6" s="997"/>
      <c r="H6" s="998"/>
      <c r="I6" s="997"/>
      <c r="J6" s="999"/>
      <c r="K6" s="1186">
        <v>16000</v>
      </c>
    </row>
    <row r="7" spans="2:12" ht="14.4" thickBot="1">
      <c r="B7" s="1000" t="s">
        <v>99</v>
      </c>
      <c r="C7" s="2271" t="s">
        <v>285</v>
      </c>
      <c r="D7" s="2271"/>
      <c r="E7" s="2271"/>
      <c r="F7" s="2271"/>
      <c r="G7" s="2272" t="s">
        <v>219</v>
      </c>
      <c r="H7" s="2273"/>
      <c r="I7" s="1000" t="s">
        <v>416</v>
      </c>
      <c r="J7" s="1000" t="s">
        <v>417</v>
      </c>
      <c r="K7" s="1000" t="s">
        <v>226</v>
      </c>
    </row>
    <row r="8" spans="2:12" ht="14.4" thickTop="1">
      <c r="B8" s="1001">
        <v>1</v>
      </c>
      <c r="C8" s="1002" t="s">
        <v>371</v>
      </c>
      <c r="D8" s="1003"/>
      <c r="E8" s="1004" t="s">
        <v>418</v>
      </c>
      <c r="F8" s="1005" t="e">
        <f>(100%-0.8%-1.1*5%)*80%*K5</f>
        <v>#REF!</v>
      </c>
      <c r="G8" s="1006" t="s">
        <v>286</v>
      </c>
      <c r="H8" s="1006">
        <v>90</v>
      </c>
      <c r="I8" s="1007" t="e">
        <f>H8*F8*1000</f>
        <v>#REF!</v>
      </c>
      <c r="J8" s="1008" t="e">
        <f>I8/($K$5*1000)</f>
        <v>#REF!</v>
      </c>
      <c r="K8" s="1008" t="e">
        <f t="shared" ref="K8:K21" si="0">(I8/$K$6)/$K$5</f>
        <v>#REF!</v>
      </c>
      <c r="L8" s="1009"/>
    </row>
    <row r="9" spans="2:12">
      <c r="B9" s="1010"/>
      <c r="C9" s="1011"/>
      <c r="D9" s="406"/>
      <c r="E9" s="1012" t="s">
        <v>419</v>
      </c>
      <c r="F9" s="1013" t="e">
        <f>(100%-0.8%-1.1*5%)*20%*K5</f>
        <v>#REF!</v>
      </c>
      <c r="G9" s="1014" t="s">
        <v>286</v>
      </c>
      <c r="H9" s="1014">
        <v>150</v>
      </c>
      <c r="I9" s="1015" t="e">
        <f>H9*F9*1000</f>
        <v>#REF!</v>
      </c>
      <c r="J9" s="1016" t="e">
        <f t="shared" ref="J9:J21" si="1">I9/($K$5*1000)</f>
        <v>#REF!</v>
      </c>
      <c r="K9" s="1016" t="e">
        <f t="shared" si="0"/>
        <v>#REF!</v>
      </c>
      <c r="L9" s="1009"/>
    </row>
    <row r="10" spans="2:12">
      <c r="B10" s="1017"/>
      <c r="C10" s="1018"/>
      <c r="D10" s="1019"/>
      <c r="E10" s="1020" t="s">
        <v>420</v>
      </c>
      <c r="F10" s="1021" t="e">
        <f>1.1*5%*K5</f>
        <v>#REF!</v>
      </c>
      <c r="G10" s="1014" t="s">
        <v>286</v>
      </c>
      <c r="H10" s="1010">
        <v>150</v>
      </c>
      <c r="I10" s="1015" t="e">
        <f>H10*F10*1000</f>
        <v>#REF!</v>
      </c>
      <c r="J10" s="1016" t="e">
        <f t="shared" si="1"/>
        <v>#REF!</v>
      </c>
      <c r="K10" s="1016" t="e">
        <f t="shared" si="0"/>
        <v>#REF!</v>
      </c>
      <c r="L10" s="1009"/>
    </row>
    <row r="11" spans="2:12">
      <c r="B11" s="1010">
        <v>2</v>
      </c>
      <c r="C11" s="1022" t="s">
        <v>372</v>
      </c>
      <c r="D11" s="1023"/>
      <c r="E11" s="1020" t="s">
        <v>421</v>
      </c>
      <c r="F11" s="1021">
        <v>1</v>
      </c>
      <c r="G11" s="1021" t="s">
        <v>286</v>
      </c>
      <c r="H11" s="1010">
        <v>77</v>
      </c>
      <c r="I11" s="1015">
        <f>H11*8000*F11*1000</f>
        <v>616000000</v>
      </c>
      <c r="J11" s="1016" t="e">
        <f t="shared" si="1"/>
        <v>#REF!</v>
      </c>
      <c r="K11" s="1016" t="e">
        <f t="shared" si="0"/>
        <v>#REF!</v>
      </c>
      <c r="L11" s="1009"/>
    </row>
    <row r="12" spans="2:12">
      <c r="B12" s="1010"/>
      <c r="C12" s="1018"/>
      <c r="D12" s="1019"/>
      <c r="E12" s="1020" t="s">
        <v>422</v>
      </c>
      <c r="F12" s="1010">
        <v>2</v>
      </c>
      <c r="G12" s="1021" t="s">
        <v>286</v>
      </c>
      <c r="H12" s="1010">
        <v>79</v>
      </c>
      <c r="I12" s="1015">
        <f>H12*5000*F12*1000</f>
        <v>790000000</v>
      </c>
      <c r="J12" s="1016" t="e">
        <f t="shared" si="1"/>
        <v>#REF!</v>
      </c>
      <c r="K12" s="1016" t="e">
        <f t="shared" si="0"/>
        <v>#REF!</v>
      </c>
      <c r="L12" s="1009"/>
    </row>
    <row r="13" spans="2:12">
      <c r="B13" s="1010"/>
      <c r="C13" s="1018"/>
      <c r="D13" s="1019"/>
      <c r="E13" s="1020" t="s">
        <v>423</v>
      </c>
      <c r="F13" s="1010">
        <v>1</v>
      </c>
      <c r="G13" s="1021" t="s">
        <v>286</v>
      </c>
      <c r="H13" s="1010">
        <v>77</v>
      </c>
      <c r="I13" s="1015">
        <f>H13*3000*F13*1000</f>
        <v>231000000</v>
      </c>
      <c r="J13" s="1016" t="e">
        <f t="shared" si="1"/>
        <v>#REF!</v>
      </c>
      <c r="K13" s="1016" t="e">
        <f t="shared" si="0"/>
        <v>#REF!</v>
      </c>
      <c r="L13" s="1009"/>
    </row>
    <row r="14" spans="2:12">
      <c r="B14" s="1010"/>
      <c r="C14" s="1018"/>
      <c r="D14" s="1019"/>
      <c r="E14" s="1020" t="s">
        <v>424</v>
      </c>
      <c r="F14" s="1010">
        <v>1</v>
      </c>
      <c r="G14" s="1021" t="s">
        <v>286</v>
      </c>
      <c r="H14" s="1010">
        <v>83</v>
      </c>
      <c r="I14" s="1015">
        <f>H14*3000*F14*1000</f>
        <v>249000000</v>
      </c>
      <c r="J14" s="1016" t="e">
        <f t="shared" si="1"/>
        <v>#REF!</v>
      </c>
      <c r="K14" s="1016" t="e">
        <f t="shared" si="0"/>
        <v>#REF!</v>
      </c>
      <c r="L14" s="1009"/>
    </row>
    <row r="15" spans="2:12">
      <c r="B15" s="1010">
        <v>3</v>
      </c>
      <c r="C15" s="1018" t="s">
        <v>425</v>
      </c>
      <c r="D15" s="1019">
        <v>0</v>
      </c>
      <c r="E15" s="1020" t="s">
        <v>426</v>
      </c>
      <c r="F15" s="1015" t="e">
        <f>F8-(8000*D15)</f>
        <v>#REF!</v>
      </c>
      <c r="G15" s="1021" t="s">
        <v>286</v>
      </c>
      <c r="H15" s="1024">
        <v>43</v>
      </c>
      <c r="I15" s="1015" t="e">
        <f>H15*F15*1000</f>
        <v>#REF!</v>
      </c>
      <c r="J15" s="1016" t="e">
        <f>I15/($K$5*1000)</f>
        <v>#REF!</v>
      </c>
      <c r="K15" s="1016" t="e">
        <f>(I15/$K$6)/$K$5</f>
        <v>#REF!</v>
      </c>
      <c r="L15" s="1009"/>
    </row>
    <row r="16" spans="2:12">
      <c r="B16" s="1010"/>
      <c r="C16" s="1018"/>
      <c r="D16" s="1019">
        <v>0</v>
      </c>
      <c r="E16" s="1020" t="s">
        <v>427</v>
      </c>
      <c r="F16" s="1015" t="e">
        <f>F9-(10000*D16)</f>
        <v>#REF!</v>
      </c>
      <c r="G16" s="1021" t="s">
        <v>286</v>
      </c>
      <c r="H16" s="1024">
        <v>43</v>
      </c>
      <c r="I16" s="1015" t="e">
        <f>H16*F16*1000</f>
        <v>#REF!</v>
      </c>
      <c r="J16" s="1016" t="e">
        <f>I16/($K$5*1000)</f>
        <v>#REF!</v>
      </c>
      <c r="K16" s="1016" t="e">
        <f>(I16/$K$6)/$K$5</f>
        <v>#REF!</v>
      </c>
      <c r="L16" s="1009"/>
    </row>
    <row r="17" spans="2:12">
      <c r="B17" s="1010"/>
      <c r="C17" s="1018"/>
      <c r="D17" s="1019">
        <v>0</v>
      </c>
      <c r="E17" s="1020" t="s">
        <v>428</v>
      </c>
      <c r="F17" s="1015" t="e">
        <f>F10-(3000*D17)</f>
        <v>#REF!</v>
      </c>
      <c r="G17" s="1021" t="s">
        <v>286</v>
      </c>
      <c r="H17" s="1024">
        <v>43</v>
      </c>
      <c r="I17" s="1015" t="e">
        <f>H17*F17*1000</f>
        <v>#REF!</v>
      </c>
      <c r="J17" s="1016" t="e">
        <f>I17/($K$5*1000)</f>
        <v>#REF!</v>
      </c>
      <c r="K17" s="1016" t="e">
        <f>(I17/$K$6)/$K$5</f>
        <v>#REF!</v>
      </c>
      <c r="L17" s="1009"/>
    </row>
    <row r="18" spans="2:12">
      <c r="B18" s="1010">
        <v>3</v>
      </c>
      <c r="C18" s="1022" t="s">
        <v>429</v>
      </c>
      <c r="D18" s="1023"/>
      <c r="E18" s="1020" t="s">
        <v>430</v>
      </c>
      <c r="F18" s="1021" t="e">
        <f>SUM(F8:F10)</f>
        <v>#REF!</v>
      </c>
      <c r="G18" s="1021" t="s">
        <v>286</v>
      </c>
      <c r="H18" s="1010">
        <v>22</v>
      </c>
      <c r="I18" s="1015" t="e">
        <f>H18*F18*1000</f>
        <v>#REF!</v>
      </c>
      <c r="J18" s="1016" t="e">
        <f t="shared" si="1"/>
        <v>#REF!</v>
      </c>
      <c r="K18" s="1016" t="e">
        <f t="shared" si="0"/>
        <v>#REF!</v>
      </c>
      <c r="L18" s="1009"/>
    </row>
    <row r="19" spans="2:12">
      <c r="B19" s="1010">
        <f t="shared" ref="B19:B24" si="2">B18+1</f>
        <v>4</v>
      </c>
      <c r="C19" s="1022" t="s">
        <v>431</v>
      </c>
      <c r="D19" s="1023"/>
      <c r="E19" s="1020" t="s">
        <v>430</v>
      </c>
      <c r="F19" s="1015" t="e">
        <f>F18</f>
        <v>#REF!</v>
      </c>
      <c r="G19" s="1021" t="s">
        <v>286</v>
      </c>
      <c r="H19" s="1010">
        <v>26</v>
      </c>
      <c r="I19" s="1015" t="e">
        <f>H19*F18*1000</f>
        <v>#REF!</v>
      </c>
      <c r="J19" s="1016" t="e">
        <f t="shared" si="1"/>
        <v>#REF!</v>
      </c>
      <c r="K19" s="1016" t="e">
        <f t="shared" si="0"/>
        <v>#REF!</v>
      </c>
    </row>
    <row r="20" spans="2:12">
      <c r="B20" s="1010">
        <f t="shared" si="2"/>
        <v>5</v>
      </c>
      <c r="C20" s="1022" t="s">
        <v>432</v>
      </c>
      <c r="D20" s="1023"/>
      <c r="E20" s="1020" t="s">
        <v>430</v>
      </c>
      <c r="F20" s="1021" t="e">
        <f>F18</f>
        <v>#REF!</v>
      </c>
      <c r="G20" s="1021" t="s">
        <v>286</v>
      </c>
      <c r="H20" s="1010">
        <v>3</v>
      </c>
      <c r="I20" s="1015" t="e">
        <f>H20*F20*1000</f>
        <v>#REF!</v>
      </c>
      <c r="J20" s="1016" t="e">
        <f t="shared" si="1"/>
        <v>#REF!</v>
      </c>
      <c r="K20" s="1016" t="e">
        <f t="shared" si="0"/>
        <v>#REF!</v>
      </c>
    </row>
    <row r="21" spans="2:12">
      <c r="B21" s="1010">
        <f t="shared" si="2"/>
        <v>6</v>
      </c>
      <c r="C21" s="1022" t="s">
        <v>433</v>
      </c>
      <c r="D21" s="1023"/>
      <c r="E21" s="1020" t="s">
        <v>430</v>
      </c>
      <c r="F21" s="1021" t="e">
        <f>F20</f>
        <v>#REF!</v>
      </c>
      <c r="G21" s="1021" t="s">
        <v>286</v>
      </c>
      <c r="H21" s="1010">
        <v>3</v>
      </c>
      <c r="I21" s="1015" t="e">
        <f>H21*F21*1000</f>
        <v>#REF!</v>
      </c>
      <c r="J21" s="1016" t="e">
        <f t="shared" si="1"/>
        <v>#REF!</v>
      </c>
      <c r="K21" s="1016" t="e">
        <f t="shared" si="0"/>
        <v>#REF!</v>
      </c>
    </row>
    <row r="22" spans="2:12">
      <c r="B22" s="1010">
        <f t="shared" si="2"/>
        <v>7</v>
      </c>
      <c r="C22" s="1022" t="s">
        <v>434</v>
      </c>
      <c r="D22" s="1023"/>
      <c r="E22" s="1017"/>
      <c r="F22" s="1017"/>
      <c r="G22" s="1017"/>
      <c r="H22" s="1017"/>
      <c r="I22" s="1015"/>
      <c r="J22" s="1016"/>
      <c r="K22" s="1016"/>
    </row>
    <row r="23" spans="2:12">
      <c r="B23" s="1010">
        <f t="shared" si="2"/>
        <v>8</v>
      </c>
      <c r="C23" s="1022" t="s">
        <v>435</v>
      </c>
      <c r="D23" s="1023"/>
      <c r="E23" s="1017"/>
      <c r="F23" s="1017"/>
      <c r="G23" s="1017"/>
      <c r="H23" s="1010"/>
      <c r="I23" s="1015"/>
      <c r="J23" s="1016"/>
      <c r="K23" s="1016"/>
    </row>
    <row r="24" spans="2:12" ht="14.4" thickBot="1">
      <c r="B24" s="1025">
        <f t="shared" si="2"/>
        <v>9</v>
      </c>
      <c r="C24" s="1026" t="s">
        <v>436</v>
      </c>
      <c r="D24" s="1027"/>
      <c r="E24" s="1028"/>
      <c r="F24" s="1029"/>
      <c r="G24" s="1030"/>
      <c r="H24" s="1025"/>
      <c r="I24" s="1031"/>
      <c r="J24" s="1032"/>
      <c r="K24" s="1025"/>
    </row>
    <row r="25" spans="2:12" ht="15" thickTop="1" thickBot="1">
      <c r="B25" s="2270" t="s">
        <v>437</v>
      </c>
      <c r="C25" s="2270"/>
      <c r="D25" s="2270"/>
      <c r="E25" s="2270"/>
      <c r="F25" s="2270"/>
      <c r="G25" s="2270"/>
      <c r="H25" s="2270"/>
      <c r="I25" s="1033" t="e">
        <f>SUM(I8:I24)</f>
        <v>#REF!</v>
      </c>
      <c r="J25" s="1034" t="e">
        <f>SUM(J8:J24)</f>
        <v>#REF!</v>
      </c>
      <c r="K25" s="1034" t="e">
        <f>SUM(K8:K24)</f>
        <v>#REF!</v>
      </c>
      <c r="L25" s="1035"/>
    </row>
    <row r="26" spans="2:12">
      <c r="C26" s="933"/>
      <c r="D26" s="1036"/>
      <c r="E26" s="933"/>
      <c r="F26" s="1036"/>
      <c r="G26" s="1037"/>
      <c r="J26" s="1036"/>
    </row>
    <row r="27" spans="2:12">
      <c r="C27" s="933"/>
      <c r="D27" s="1036"/>
      <c r="E27" s="933"/>
      <c r="F27" s="1036"/>
      <c r="G27" s="1037"/>
      <c r="J27" s="1036"/>
    </row>
    <row r="28" spans="2:12">
      <c r="C28" s="933"/>
      <c r="D28" s="1036"/>
      <c r="E28" s="933"/>
      <c r="F28" s="1038"/>
      <c r="G28" s="1039"/>
      <c r="J28" s="1036"/>
    </row>
    <row r="29" spans="2:12">
      <c r="C29" s="1040"/>
      <c r="D29" s="1038"/>
      <c r="E29" s="1040"/>
      <c r="F29" s="1036"/>
      <c r="G29" s="1037"/>
      <c r="J29" s="1036"/>
    </row>
    <row r="30" spans="2:12">
      <c r="E30" s="933"/>
      <c r="F30" s="1036"/>
      <c r="G30" s="1037"/>
      <c r="J30" s="1036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I54" sqref="I54"/>
    </sheetView>
  </sheetViews>
  <sheetFormatPr defaultColWidth="8.6640625" defaultRowHeight="13.8"/>
  <cols>
    <col min="1" max="1" width="8.6640625" style="989"/>
    <col min="2" max="2" width="5.5546875" style="988" customWidth="1"/>
    <col min="3" max="3" width="64.44140625" style="989" customWidth="1"/>
    <col min="4" max="4" width="15.5546875" style="989" customWidth="1"/>
    <col min="5" max="5" width="15" style="989" customWidth="1"/>
    <col min="6" max="6" width="15.33203125" style="989" customWidth="1"/>
    <col min="7" max="7" width="14.5546875" style="989" customWidth="1"/>
    <col min="8" max="8" width="11.44140625" style="989" customWidth="1"/>
    <col min="9" max="9" width="12.44140625" style="989" customWidth="1"/>
    <col min="10" max="16384" width="8.6640625" style="989"/>
  </cols>
  <sheetData>
    <row r="1" spans="2:9" ht="5.0999999999999996" customHeight="1"/>
    <row r="2" spans="2:9" ht="26.7" customHeight="1" thickBot="1">
      <c r="B2" s="990" t="s">
        <v>438</v>
      </c>
    </row>
    <row r="3" spans="2:9" ht="14.7" customHeight="1">
      <c r="B3" s="2258" t="s">
        <v>359</v>
      </c>
      <c r="C3" s="2259"/>
      <c r="D3" s="991"/>
      <c r="E3" s="991"/>
      <c r="F3" s="991"/>
      <c r="G3" s="991"/>
      <c r="H3" s="993" t="s">
        <v>379</v>
      </c>
      <c r="I3" s="994" t="e">
        <f>'HPP REF '!N3</f>
        <v>#REF!</v>
      </c>
    </row>
    <row r="4" spans="2:9" ht="14.7" customHeight="1">
      <c r="B4" s="2260" t="s">
        <v>412</v>
      </c>
      <c r="C4" s="2261"/>
      <c r="H4" s="995" t="s">
        <v>83</v>
      </c>
      <c r="I4" s="996" t="e">
        <f>'SUMMARY HPP '!I4</f>
        <v>#REF!</v>
      </c>
    </row>
    <row r="5" spans="2:9" ht="14.7" customHeight="1">
      <c r="B5" s="2260" t="s">
        <v>413</v>
      </c>
      <c r="C5" s="2261"/>
      <c r="H5" s="995" t="s">
        <v>414</v>
      </c>
      <c r="I5" s="996" t="e">
        <f>I4*I3</f>
        <v>#REF!</v>
      </c>
    </row>
    <row r="6" spans="2:9" ht="14.7" customHeight="1" thickBot="1">
      <c r="B6" s="967" t="s">
        <v>415</v>
      </c>
      <c r="C6" s="968"/>
      <c r="D6" s="997"/>
      <c r="E6" s="997"/>
      <c r="F6" s="997"/>
      <c r="G6" s="997"/>
      <c r="H6" s="999"/>
      <c r="I6" s="1186">
        <v>16000</v>
      </c>
    </row>
    <row r="7" spans="2:9" ht="15.6" customHeight="1">
      <c r="B7" s="2264" t="s">
        <v>99</v>
      </c>
      <c r="C7" s="2264" t="s">
        <v>285</v>
      </c>
      <c r="D7" s="2274" t="s">
        <v>439</v>
      </c>
      <c r="E7" s="2274"/>
      <c r="F7" s="2274" t="s">
        <v>440</v>
      </c>
      <c r="G7" s="2274"/>
      <c r="H7" s="2274"/>
      <c r="I7" s="2274"/>
    </row>
    <row r="8" spans="2:9" ht="15" customHeight="1" thickBot="1">
      <c r="B8" s="2265"/>
      <c r="C8" s="2265"/>
      <c r="D8" s="1043" t="s">
        <v>441</v>
      </c>
      <c r="E8" s="1043" t="s">
        <v>442</v>
      </c>
      <c r="F8" s="1043" t="s">
        <v>441</v>
      </c>
      <c r="G8" s="1043" t="s">
        <v>442</v>
      </c>
      <c r="H8" s="1044" t="s">
        <v>417</v>
      </c>
      <c r="I8" s="1044" t="s">
        <v>226</v>
      </c>
    </row>
    <row r="9" spans="2:9" ht="14.4" thickTop="1">
      <c r="B9" s="1045">
        <v>1</v>
      </c>
      <c r="C9" s="1046" t="s">
        <v>443</v>
      </c>
      <c r="D9" s="1007">
        <v>305458258</v>
      </c>
      <c r="E9" s="1007">
        <f>IFERROR(D9/12,0)</f>
        <v>25454854.833333332</v>
      </c>
      <c r="F9" s="1047">
        <f>G9*12</f>
        <v>366549909.59999996</v>
      </c>
      <c r="G9" s="1047">
        <v>30545825.799999997</v>
      </c>
      <c r="H9" s="1008" t="e">
        <f>G9/($I$5*1000)</f>
        <v>#REF!</v>
      </c>
      <c r="I9" s="1008" t="e">
        <f>(G9/$I$6)/$I$5</f>
        <v>#REF!</v>
      </c>
    </row>
    <row r="10" spans="2:9">
      <c r="B10" s="1010">
        <f>B9+1</f>
        <v>2</v>
      </c>
      <c r="C10" s="1017" t="s">
        <v>444</v>
      </c>
      <c r="D10" s="1015">
        <v>2628729528.8000002</v>
      </c>
      <c r="E10" s="1015">
        <f t="shared" ref="E10:E50" si="0">IFERROR(D10/12,0)</f>
        <v>219060794.06666669</v>
      </c>
      <c r="F10" s="1047">
        <f>G10*12</f>
        <v>3548784863.8800001</v>
      </c>
      <c r="G10" s="1047">
        <v>295732071.99000001</v>
      </c>
      <c r="H10" s="1008" t="e">
        <f t="shared" ref="H10:H50" si="1">G10/($I$5*1000)</f>
        <v>#REF!</v>
      </c>
      <c r="I10" s="1008" t="e">
        <f t="shared" ref="I10:I50" si="2">(G10/$I$6)/$I$5</f>
        <v>#REF!</v>
      </c>
    </row>
    <row r="11" spans="2:9">
      <c r="B11" s="1010">
        <f t="shared" ref="B11:B50" si="3">B10+1</f>
        <v>3</v>
      </c>
      <c r="C11" s="1017" t="s">
        <v>445</v>
      </c>
      <c r="D11" s="1015">
        <v>720175678</v>
      </c>
      <c r="E11" s="1015">
        <f t="shared" si="0"/>
        <v>60014639.833333336</v>
      </c>
      <c r="F11" s="1047">
        <f t="shared" ref="F11:F49" si="4">G11*12</f>
        <v>756184461.9000001</v>
      </c>
      <c r="G11" s="1047">
        <v>63015371.825000003</v>
      </c>
      <c r="H11" s="1008" t="e">
        <f t="shared" si="1"/>
        <v>#REF!</v>
      </c>
      <c r="I11" s="1008" t="e">
        <f t="shared" si="2"/>
        <v>#REF!</v>
      </c>
    </row>
    <row r="12" spans="2:9">
      <c r="B12" s="1010">
        <f t="shared" si="3"/>
        <v>4</v>
      </c>
      <c r="C12" s="1017" t="s">
        <v>446</v>
      </c>
      <c r="D12" s="1015">
        <v>2428347903</v>
      </c>
      <c r="E12" s="1015">
        <f t="shared" si="0"/>
        <v>202362325.25</v>
      </c>
      <c r="F12" s="1047">
        <f t="shared" si="4"/>
        <v>2220000000</v>
      </c>
      <c r="G12" s="1047">
        <v>185000000</v>
      </c>
      <c r="H12" s="1008" t="e">
        <f t="shared" si="1"/>
        <v>#REF!</v>
      </c>
      <c r="I12" s="1008" t="e">
        <f t="shared" si="2"/>
        <v>#REF!</v>
      </c>
    </row>
    <row r="13" spans="2:9">
      <c r="B13" s="1010">
        <f t="shared" si="3"/>
        <v>5</v>
      </c>
      <c r="C13" s="1017" t="s">
        <v>447</v>
      </c>
      <c r="D13" s="1015">
        <v>110862850</v>
      </c>
      <c r="E13" s="1015">
        <f t="shared" si="0"/>
        <v>9238570.833333334</v>
      </c>
      <c r="F13" s="1047">
        <f t="shared" si="4"/>
        <v>110862850</v>
      </c>
      <c r="G13" s="1047">
        <v>9238570.833333334</v>
      </c>
      <c r="H13" s="1008" t="e">
        <f t="shared" si="1"/>
        <v>#REF!</v>
      </c>
      <c r="I13" s="1008" t="e">
        <f t="shared" si="2"/>
        <v>#REF!</v>
      </c>
    </row>
    <row r="14" spans="2:9">
      <c r="B14" s="1010">
        <f t="shared" si="3"/>
        <v>6</v>
      </c>
      <c r="C14" s="1017" t="s">
        <v>448</v>
      </c>
      <c r="D14" s="1015">
        <v>126990400</v>
      </c>
      <c r="E14" s="1015">
        <f t="shared" si="0"/>
        <v>10582533.333333334</v>
      </c>
      <c r="F14" s="1047">
        <f t="shared" si="4"/>
        <v>110000400</v>
      </c>
      <c r="G14" s="1047">
        <v>9166700</v>
      </c>
      <c r="H14" s="1008" t="e">
        <f t="shared" si="1"/>
        <v>#REF!</v>
      </c>
      <c r="I14" s="1008" t="e">
        <f t="shared" si="2"/>
        <v>#REF!</v>
      </c>
    </row>
    <row r="15" spans="2:9">
      <c r="B15" s="1010">
        <f t="shared" si="3"/>
        <v>7</v>
      </c>
      <c r="C15" s="1017" t="s">
        <v>449</v>
      </c>
      <c r="D15" s="1015">
        <v>108868060</v>
      </c>
      <c r="E15" s="1015">
        <f t="shared" si="0"/>
        <v>9072338.333333334</v>
      </c>
      <c r="F15" s="1047">
        <f t="shared" si="4"/>
        <v>100000000</v>
      </c>
      <c r="G15" s="1047">
        <v>8333333.333333333</v>
      </c>
      <c r="H15" s="1008" t="e">
        <f t="shared" si="1"/>
        <v>#REF!</v>
      </c>
      <c r="I15" s="1008" t="e">
        <f t="shared" si="2"/>
        <v>#REF!</v>
      </c>
    </row>
    <row r="16" spans="2:9">
      <c r="B16" s="1010">
        <f t="shared" si="3"/>
        <v>8</v>
      </c>
      <c r="C16" s="1017" t="s">
        <v>450</v>
      </c>
      <c r="D16" s="1015">
        <v>203000</v>
      </c>
      <c r="E16" s="1015">
        <f t="shared" si="0"/>
        <v>16916.666666666668</v>
      </c>
      <c r="F16" s="1047">
        <f t="shared" si="4"/>
        <v>0</v>
      </c>
      <c r="G16" s="1047">
        <v>0</v>
      </c>
      <c r="H16" s="1008" t="e">
        <f t="shared" si="1"/>
        <v>#REF!</v>
      </c>
      <c r="I16" s="1008" t="e">
        <f t="shared" si="2"/>
        <v>#REF!</v>
      </c>
    </row>
    <row r="17" spans="2:9">
      <c r="B17" s="1010">
        <f t="shared" si="3"/>
        <v>9</v>
      </c>
      <c r="C17" s="1017" t="s">
        <v>451</v>
      </c>
      <c r="D17" s="1015">
        <v>108952486</v>
      </c>
      <c r="E17" s="1015">
        <f t="shared" si="0"/>
        <v>9079373.833333334</v>
      </c>
      <c r="F17" s="1047">
        <f t="shared" si="4"/>
        <v>114400110.30000001</v>
      </c>
      <c r="G17" s="1047">
        <v>9533342.5250000004</v>
      </c>
      <c r="H17" s="1008" t="e">
        <f t="shared" si="1"/>
        <v>#REF!</v>
      </c>
      <c r="I17" s="1008" t="e">
        <f t="shared" si="2"/>
        <v>#REF!</v>
      </c>
    </row>
    <row r="18" spans="2:9">
      <c r="B18" s="1010">
        <f t="shared" si="3"/>
        <v>10</v>
      </c>
      <c r="C18" s="1017" t="s">
        <v>452</v>
      </c>
      <c r="D18" s="1015">
        <v>32369030</v>
      </c>
      <c r="E18" s="1015">
        <f t="shared" si="0"/>
        <v>2697419.1666666665</v>
      </c>
      <c r="F18" s="1047">
        <f t="shared" si="4"/>
        <v>33987481.5</v>
      </c>
      <c r="G18" s="1047">
        <v>2832290.125</v>
      </c>
      <c r="H18" s="1008" t="e">
        <f t="shared" si="1"/>
        <v>#REF!</v>
      </c>
      <c r="I18" s="1008" t="e">
        <f t="shared" si="2"/>
        <v>#REF!</v>
      </c>
    </row>
    <row r="19" spans="2:9">
      <c r="B19" s="1010">
        <f t="shared" si="3"/>
        <v>11</v>
      </c>
      <c r="C19" s="1017" t="s">
        <v>453</v>
      </c>
      <c r="D19" s="1015">
        <v>179265600</v>
      </c>
      <c r="E19" s="1015">
        <f t="shared" si="0"/>
        <v>14938800</v>
      </c>
      <c r="F19" s="1047">
        <f t="shared" si="4"/>
        <v>188228880</v>
      </c>
      <c r="G19" s="1047">
        <v>15685740</v>
      </c>
      <c r="H19" s="1008" t="e">
        <f t="shared" si="1"/>
        <v>#REF!</v>
      </c>
      <c r="I19" s="1008" t="e">
        <f t="shared" si="2"/>
        <v>#REF!</v>
      </c>
    </row>
    <row r="20" spans="2:9">
      <c r="B20" s="1010">
        <f t="shared" si="3"/>
        <v>12</v>
      </c>
      <c r="C20" s="1017" t="s">
        <v>454</v>
      </c>
      <c r="D20" s="1015">
        <v>253700695</v>
      </c>
      <c r="E20" s="1015">
        <f t="shared" si="0"/>
        <v>21141724.583333332</v>
      </c>
      <c r="F20" s="1047">
        <f t="shared" si="4"/>
        <v>266385729.75</v>
      </c>
      <c r="G20" s="1047">
        <v>22198810.8125</v>
      </c>
      <c r="H20" s="1008" t="e">
        <f t="shared" si="1"/>
        <v>#REF!</v>
      </c>
      <c r="I20" s="1008" t="e">
        <f t="shared" si="2"/>
        <v>#REF!</v>
      </c>
    </row>
    <row r="21" spans="2:9">
      <c r="B21" s="1010">
        <f t="shared" si="3"/>
        <v>13</v>
      </c>
      <c r="C21" s="1017" t="s">
        <v>455</v>
      </c>
      <c r="D21" s="1015">
        <v>1859843066</v>
      </c>
      <c r="E21" s="1015">
        <f t="shared" si="0"/>
        <v>154986922.16666666</v>
      </c>
      <c r="F21" s="1047">
        <f t="shared" si="4"/>
        <v>335473201</v>
      </c>
      <c r="G21" s="1047">
        <v>27956100.083333332</v>
      </c>
      <c r="H21" s="1008" t="e">
        <f t="shared" si="1"/>
        <v>#REF!</v>
      </c>
      <c r="I21" s="1008" t="e">
        <f t="shared" si="2"/>
        <v>#REF!</v>
      </c>
    </row>
    <row r="22" spans="2:9">
      <c r="B22" s="1010">
        <f t="shared" si="3"/>
        <v>14</v>
      </c>
      <c r="C22" s="1017" t="s">
        <v>456</v>
      </c>
      <c r="D22" s="1015">
        <v>694460474</v>
      </c>
      <c r="E22" s="1015">
        <f t="shared" si="0"/>
        <v>57871706.166666664</v>
      </c>
      <c r="F22" s="1047">
        <f t="shared" si="4"/>
        <v>268391053.16000003</v>
      </c>
      <c r="G22" s="1047">
        <v>22365921.096666668</v>
      </c>
      <c r="H22" s="1008" t="e">
        <f t="shared" si="1"/>
        <v>#REF!</v>
      </c>
      <c r="I22" s="1008" t="e">
        <f t="shared" si="2"/>
        <v>#REF!</v>
      </c>
    </row>
    <row r="23" spans="2:9">
      <c r="B23" s="1010">
        <f t="shared" si="3"/>
        <v>15</v>
      </c>
      <c r="C23" s="1017" t="s">
        <v>457</v>
      </c>
      <c r="D23" s="1015"/>
      <c r="E23" s="1015">
        <f t="shared" si="0"/>
        <v>0</v>
      </c>
      <c r="F23" s="1047">
        <f t="shared" si="4"/>
        <v>60000000</v>
      </c>
      <c r="G23" s="1047">
        <v>5000000</v>
      </c>
      <c r="H23" s="1008" t="e">
        <f t="shared" si="1"/>
        <v>#REF!</v>
      </c>
      <c r="I23" s="1008" t="e">
        <f t="shared" si="2"/>
        <v>#REF!</v>
      </c>
    </row>
    <row r="24" spans="2:9">
      <c r="B24" s="1010">
        <f t="shared" si="3"/>
        <v>16</v>
      </c>
      <c r="C24" s="1017" t="s">
        <v>458</v>
      </c>
      <c r="D24" s="1015">
        <v>659276883</v>
      </c>
      <c r="E24" s="1015">
        <f t="shared" si="0"/>
        <v>54939740.25</v>
      </c>
      <c r="F24" s="1047">
        <f t="shared" si="4"/>
        <v>1518332400</v>
      </c>
      <c r="G24" s="1047">
        <v>126527700</v>
      </c>
      <c r="H24" s="1008" t="e">
        <f t="shared" si="1"/>
        <v>#REF!</v>
      </c>
      <c r="I24" s="1008" t="e">
        <f t="shared" si="2"/>
        <v>#REF!</v>
      </c>
    </row>
    <row r="25" spans="2:9">
      <c r="B25" s="1010">
        <f t="shared" si="3"/>
        <v>17</v>
      </c>
      <c r="C25" s="1017" t="s">
        <v>459</v>
      </c>
      <c r="D25" s="1015"/>
      <c r="E25" s="1015">
        <f t="shared" si="0"/>
        <v>0</v>
      </c>
      <c r="F25" s="1047">
        <f t="shared" si="4"/>
        <v>197000000</v>
      </c>
      <c r="G25" s="1047">
        <v>16416666.666666666</v>
      </c>
      <c r="H25" s="1008" t="e">
        <f t="shared" si="1"/>
        <v>#REF!</v>
      </c>
      <c r="I25" s="1008" t="e">
        <f t="shared" si="2"/>
        <v>#REF!</v>
      </c>
    </row>
    <row r="26" spans="2:9">
      <c r="B26" s="1010">
        <f t="shared" si="3"/>
        <v>18</v>
      </c>
      <c r="C26" s="1017" t="s">
        <v>460</v>
      </c>
      <c r="D26" s="1015">
        <v>62716328</v>
      </c>
      <c r="E26" s="1015">
        <f t="shared" si="0"/>
        <v>5226360.666666667</v>
      </c>
      <c r="F26" s="1047">
        <f t="shared" si="4"/>
        <v>80400000</v>
      </c>
      <c r="G26" s="1047">
        <v>6700000</v>
      </c>
      <c r="H26" s="1008" t="e">
        <f t="shared" si="1"/>
        <v>#REF!</v>
      </c>
      <c r="I26" s="1008" t="e">
        <f t="shared" si="2"/>
        <v>#REF!</v>
      </c>
    </row>
    <row r="27" spans="2:9">
      <c r="B27" s="1010">
        <f t="shared" si="3"/>
        <v>19</v>
      </c>
      <c r="C27" s="1017" t="s">
        <v>461</v>
      </c>
      <c r="D27" s="1015">
        <v>1756590</v>
      </c>
      <c r="E27" s="1015">
        <f t="shared" si="0"/>
        <v>146382.5</v>
      </c>
      <c r="F27" s="1047">
        <f t="shared" si="4"/>
        <v>6840000</v>
      </c>
      <c r="G27" s="1047">
        <v>570000</v>
      </c>
      <c r="H27" s="1008" t="e">
        <f t="shared" si="1"/>
        <v>#REF!</v>
      </c>
      <c r="I27" s="1008" t="e">
        <f t="shared" si="2"/>
        <v>#REF!</v>
      </c>
    </row>
    <row r="28" spans="2:9">
      <c r="B28" s="1010">
        <f t="shared" si="3"/>
        <v>20</v>
      </c>
      <c r="C28" s="1017" t="s">
        <v>462</v>
      </c>
      <c r="D28" s="1015">
        <v>1193620819.1700001</v>
      </c>
      <c r="E28" s="1015">
        <f t="shared" si="0"/>
        <v>99468401.597500011</v>
      </c>
      <c r="F28" s="1047">
        <f t="shared" si="4"/>
        <v>1193620819.1700001</v>
      </c>
      <c r="G28" s="1047">
        <v>99468401.597500011</v>
      </c>
      <c r="H28" s="1008" t="e">
        <f t="shared" si="1"/>
        <v>#REF!</v>
      </c>
      <c r="I28" s="1008" t="e">
        <f t="shared" si="2"/>
        <v>#REF!</v>
      </c>
    </row>
    <row r="29" spans="2:9">
      <c r="B29" s="1010">
        <f t="shared" si="3"/>
        <v>21</v>
      </c>
      <c r="C29" s="1017" t="s">
        <v>463</v>
      </c>
      <c r="D29" s="1015">
        <v>488020500</v>
      </c>
      <c r="E29" s="1015">
        <f t="shared" si="0"/>
        <v>40668375</v>
      </c>
      <c r="F29" s="1047">
        <f t="shared" si="4"/>
        <v>264000000</v>
      </c>
      <c r="G29" s="1047">
        <v>22000000</v>
      </c>
      <c r="H29" s="1008" t="e">
        <f t="shared" si="1"/>
        <v>#REF!</v>
      </c>
      <c r="I29" s="1008" t="e">
        <f t="shared" si="2"/>
        <v>#REF!</v>
      </c>
    </row>
    <row r="30" spans="2:9">
      <c r="B30" s="1010">
        <f t="shared" si="3"/>
        <v>22</v>
      </c>
      <c r="C30" s="1017" t="s">
        <v>464</v>
      </c>
      <c r="D30" s="1015">
        <v>68171900</v>
      </c>
      <c r="E30" s="1015">
        <f t="shared" si="0"/>
        <v>5680991.666666667</v>
      </c>
      <c r="F30" s="1047">
        <f t="shared" si="4"/>
        <v>258000000</v>
      </c>
      <c r="G30" s="1047">
        <v>21500000</v>
      </c>
      <c r="H30" s="1008" t="e">
        <f t="shared" si="1"/>
        <v>#REF!</v>
      </c>
      <c r="I30" s="1008" t="e">
        <f t="shared" si="2"/>
        <v>#REF!</v>
      </c>
    </row>
    <row r="31" spans="2:9">
      <c r="B31" s="1010">
        <f t="shared" si="3"/>
        <v>23</v>
      </c>
      <c r="C31" s="1017" t="s">
        <v>465</v>
      </c>
      <c r="D31" s="1015">
        <v>1186354647</v>
      </c>
      <c r="E31" s="1015">
        <f t="shared" si="0"/>
        <v>98862887.25</v>
      </c>
      <c r="F31" s="1047">
        <f t="shared" si="4"/>
        <v>10000000</v>
      </c>
      <c r="G31" s="1047">
        <v>833333.33333333337</v>
      </c>
      <c r="H31" s="1008" t="e">
        <f t="shared" si="1"/>
        <v>#REF!</v>
      </c>
      <c r="I31" s="1008" t="e">
        <f t="shared" si="2"/>
        <v>#REF!</v>
      </c>
    </row>
    <row r="32" spans="2:9">
      <c r="B32" s="1010">
        <f t="shared" si="3"/>
        <v>24</v>
      </c>
      <c r="C32" s="1017" t="s">
        <v>466</v>
      </c>
      <c r="D32" s="1015">
        <v>847778298.30999994</v>
      </c>
      <c r="E32" s="1015">
        <f t="shared" si="0"/>
        <v>70648191.525833324</v>
      </c>
      <c r="F32" s="1047">
        <f t="shared" si="4"/>
        <v>907122779.19169986</v>
      </c>
      <c r="G32" s="1047">
        <v>75593564.932641655</v>
      </c>
      <c r="H32" s="1008" t="e">
        <f t="shared" si="1"/>
        <v>#REF!</v>
      </c>
      <c r="I32" s="1008" t="e">
        <f t="shared" si="2"/>
        <v>#REF!</v>
      </c>
    </row>
    <row r="33" spans="2:9">
      <c r="B33" s="1010">
        <f t="shared" si="3"/>
        <v>25</v>
      </c>
      <c r="C33" s="1017" t="s">
        <v>467</v>
      </c>
      <c r="D33" s="1015">
        <v>245454645</v>
      </c>
      <c r="E33" s="1015">
        <f t="shared" si="0"/>
        <v>20454553.75</v>
      </c>
      <c r="F33" s="1047">
        <f t="shared" si="4"/>
        <v>270000109.5</v>
      </c>
      <c r="G33" s="1047">
        <v>22500009.125</v>
      </c>
      <c r="H33" s="1008" t="e">
        <f t="shared" si="1"/>
        <v>#REF!</v>
      </c>
      <c r="I33" s="1008" t="e">
        <f t="shared" si="2"/>
        <v>#REF!</v>
      </c>
    </row>
    <row r="34" spans="2:9">
      <c r="B34" s="1010">
        <f t="shared" si="3"/>
        <v>26</v>
      </c>
      <c r="C34" s="1017" t="s">
        <v>468</v>
      </c>
      <c r="D34" s="1015"/>
      <c r="E34" s="1015">
        <f t="shared" si="0"/>
        <v>0</v>
      </c>
      <c r="F34" s="1047">
        <f t="shared" si="4"/>
        <v>0</v>
      </c>
      <c r="G34" s="1047">
        <v>0</v>
      </c>
      <c r="H34" s="1008" t="e">
        <f t="shared" si="1"/>
        <v>#REF!</v>
      </c>
      <c r="I34" s="1008" t="e">
        <f t="shared" si="2"/>
        <v>#REF!</v>
      </c>
    </row>
    <row r="35" spans="2:9">
      <c r="B35" s="1010">
        <f t="shared" si="3"/>
        <v>27</v>
      </c>
      <c r="C35" s="1017" t="s">
        <v>469</v>
      </c>
      <c r="D35" s="1015"/>
      <c r="E35" s="1015">
        <f t="shared" si="0"/>
        <v>0</v>
      </c>
      <c r="F35" s="1047">
        <f t="shared" si="4"/>
        <v>0</v>
      </c>
      <c r="G35" s="1047">
        <v>0</v>
      </c>
      <c r="H35" s="1008" t="e">
        <f t="shared" si="1"/>
        <v>#REF!</v>
      </c>
      <c r="I35" s="1008" t="e">
        <f t="shared" si="2"/>
        <v>#REF!</v>
      </c>
    </row>
    <row r="36" spans="2:9">
      <c r="B36" s="1010">
        <f t="shared" si="3"/>
        <v>28</v>
      </c>
      <c r="C36" s="1017" t="s">
        <v>470</v>
      </c>
      <c r="D36" s="1015">
        <v>188207400</v>
      </c>
      <c r="E36" s="1015">
        <f t="shared" si="0"/>
        <v>15683950</v>
      </c>
      <c r="F36" s="1047">
        <f t="shared" si="4"/>
        <v>207028140</v>
      </c>
      <c r="G36" s="1047">
        <v>17252345</v>
      </c>
      <c r="H36" s="1008" t="e">
        <f t="shared" si="1"/>
        <v>#REF!</v>
      </c>
      <c r="I36" s="1008" t="e">
        <f t="shared" si="2"/>
        <v>#REF!</v>
      </c>
    </row>
    <row r="37" spans="2:9">
      <c r="B37" s="1010">
        <f t="shared" si="3"/>
        <v>29</v>
      </c>
      <c r="C37" s="1017" t="s">
        <v>471</v>
      </c>
      <c r="D37" s="1015">
        <v>4384212523</v>
      </c>
      <c r="E37" s="1015">
        <f t="shared" si="0"/>
        <v>365351043.58333331</v>
      </c>
      <c r="F37" s="1047">
        <f t="shared" si="4"/>
        <v>666345107</v>
      </c>
      <c r="G37" s="1047">
        <v>55528758.916666664</v>
      </c>
      <c r="H37" s="1008" t="e">
        <f t="shared" si="1"/>
        <v>#REF!</v>
      </c>
      <c r="I37" s="1008" t="e">
        <f t="shared" si="2"/>
        <v>#REF!</v>
      </c>
    </row>
    <row r="38" spans="2:9">
      <c r="B38" s="1010">
        <f t="shared" si="3"/>
        <v>30</v>
      </c>
      <c r="C38" s="1017" t="s">
        <v>472</v>
      </c>
      <c r="D38" s="1015">
        <v>108648500</v>
      </c>
      <c r="E38" s="1015">
        <f t="shared" si="0"/>
        <v>9054041.666666666</v>
      </c>
      <c r="F38" s="1047">
        <f t="shared" si="4"/>
        <v>114080925</v>
      </c>
      <c r="G38" s="1047">
        <v>9506743.75</v>
      </c>
      <c r="H38" s="1008" t="e">
        <f t="shared" si="1"/>
        <v>#REF!</v>
      </c>
      <c r="I38" s="1008" t="e">
        <f t="shared" si="2"/>
        <v>#REF!</v>
      </c>
    </row>
    <row r="39" spans="2:9">
      <c r="B39" s="1010">
        <f t="shared" si="3"/>
        <v>31</v>
      </c>
      <c r="C39" s="1017" t="s">
        <v>473</v>
      </c>
      <c r="D39" s="1015">
        <v>80056015</v>
      </c>
      <c r="E39" s="1015">
        <f t="shared" si="0"/>
        <v>6671334.583333333</v>
      </c>
      <c r="F39" s="1047">
        <f t="shared" si="4"/>
        <v>0</v>
      </c>
      <c r="G39" s="1047">
        <v>0</v>
      </c>
      <c r="H39" s="1008" t="e">
        <f t="shared" si="1"/>
        <v>#REF!</v>
      </c>
      <c r="I39" s="1008" t="e">
        <f t="shared" si="2"/>
        <v>#REF!</v>
      </c>
    </row>
    <row r="40" spans="2:9">
      <c r="B40" s="1010">
        <f t="shared" si="3"/>
        <v>32</v>
      </c>
      <c r="C40" s="1017" t="s">
        <v>474</v>
      </c>
      <c r="D40" s="1015">
        <v>84564877</v>
      </c>
      <c r="E40" s="1015">
        <f t="shared" si="0"/>
        <v>7047073.083333333</v>
      </c>
      <c r="F40" s="1047">
        <f t="shared" si="4"/>
        <v>88793120.849999994</v>
      </c>
      <c r="G40" s="1047">
        <v>7399426.7374999998</v>
      </c>
      <c r="H40" s="1008" t="e">
        <f t="shared" si="1"/>
        <v>#REF!</v>
      </c>
      <c r="I40" s="1008" t="e">
        <f t="shared" si="2"/>
        <v>#REF!</v>
      </c>
    </row>
    <row r="41" spans="2:9">
      <c r="B41" s="1010">
        <f t="shared" si="3"/>
        <v>33</v>
      </c>
      <c r="C41" s="1017" t="s">
        <v>475</v>
      </c>
      <c r="D41" s="1015"/>
      <c r="E41" s="1015">
        <f t="shared" si="0"/>
        <v>0</v>
      </c>
      <c r="F41" s="1047">
        <f t="shared" si="4"/>
        <v>0</v>
      </c>
      <c r="G41" s="1047">
        <v>0</v>
      </c>
      <c r="H41" s="1008" t="e">
        <f t="shared" si="1"/>
        <v>#REF!</v>
      </c>
      <c r="I41" s="1008" t="e">
        <f t="shared" si="2"/>
        <v>#REF!</v>
      </c>
    </row>
    <row r="42" spans="2:9">
      <c r="B42" s="1010">
        <f t="shared" si="3"/>
        <v>34</v>
      </c>
      <c r="C42" s="1017" t="s">
        <v>476</v>
      </c>
      <c r="D42" s="1015"/>
      <c r="E42" s="1015">
        <f t="shared" si="0"/>
        <v>0</v>
      </c>
      <c r="F42" s="1047">
        <f t="shared" si="4"/>
        <v>0</v>
      </c>
      <c r="G42" s="1047">
        <v>0</v>
      </c>
      <c r="H42" s="1008" t="e">
        <f t="shared" si="1"/>
        <v>#REF!</v>
      </c>
      <c r="I42" s="1008" t="e">
        <f t="shared" si="2"/>
        <v>#REF!</v>
      </c>
    </row>
    <row r="43" spans="2:9">
      <c r="B43" s="1010">
        <f t="shared" si="3"/>
        <v>35</v>
      </c>
      <c r="C43" s="1017" t="s">
        <v>477</v>
      </c>
      <c r="D43" s="1015">
        <v>3864122096</v>
      </c>
      <c r="E43" s="1015">
        <f t="shared" si="0"/>
        <v>322010174.66666669</v>
      </c>
      <c r="F43" s="1047">
        <f t="shared" si="4"/>
        <v>2223000000</v>
      </c>
      <c r="G43" s="1047">
        <v>185250000</v>
      </c>
      <c r="H43" s="1008" t="e">
        <f t="shared" si="1"/>
        <v>#REF!</v>
      </c>
      <c r="I43" s="1008" t="e">
        <f t="shared" si="2"/>
        <v>#REF!</v>
      </c>
    </row>
    <row r="44" spans="2:9">
      <c r="B44" s="1010">
        <f t="shared" si="3"/>
        <v>36</v>
      </c>
      <c r="C44" s="1017" t="s">
        <v>478</v>
      </c>
      <c r="D44" s="1015">
        <v>810000</v>
      </c>
      <c r="E44" s="1015">
        <f t="shared" si="0"/>
        <v>67500</v>
      </c>
      <c r="F44" s="1047">
        <f t="shared" si="4"/>
        <v>0</v>
      </c>
      <c r="G44" s="1047">
        <v>0</v>
      </c>
      <c r="H44" s="1008" t="e">
        <f t="shared" si="1"/>
        <v>#REF!</v>
      </c>
      <c r="I44" s="1008" t="e">
        <f t="shared" si="2"/>
        <v>#REF!</v>
      </c>
    </row>
    <row r="45" spans="2:9">
      <c r="B45" s="1010">
        <f t="shared" si="3"/>
        <v>37</v>
      </c>
      <c r="C45" s="1017" t="s">
        <v>479</v>
      </c>
      <c r="D45" s="1015">
        <v>185612516</v>
      </c>
      <c r="E45" s="1015">
        <f t="shared" si="0"/>
        <v>15467709.666666666</v>
      </c>
      <c r="F45" s="1047">
        <f t="shared" si="4"/>
        <v>41405668</v>
      </c>
      <c r="G45" s="1047">
        <v>3450472.3333333335</v>
      </c>
      <c r="H45" s="1008" t="e">
        <f t="shared" si="1"/>
        <v>#REF!</v>
      </c>
      <c r="I45" s="1008" t="e">
        <f t="shared" si="2"/>
        <v>#REF!</v>
      </c>
    </row>
    <row r="46" spans="2:9">
      <c r="B46" s="1010">
        <f t="shared" si="3"/>
        <v>38</v>
      </c>
      <c r="C46" s="1017" t="s">
        <v>480</v>
      </c>
      <c r="D46" s="1015">
        <v>300000</v>
      </c>
      <c r="E46" s="1015">
        <f t="shared" si="0"/>
        <v>25000</v>
      </c>
      <c r="F46" s="1047">
        <f t="shared" si="4"/>
        <v>25000000</v>
      </c>
      <c r="G46" s="1047">
        <v>2083333.3333333333</v>
      </c>
      <c r="H46" s="1008" t="e">
        <f t="shared" si="1"/>
        <v>#REF!</v>
      </c>
      <c r="I46" s="1008" t="e">
        <f t="shared" si="2"/>
        <v>#REF!</v>
      </c>
    </row>
    <row r="47" spans="2:9">
      <c r="B47" s="1010">
        <f t="shared" si="3"/>
        <v>39</v>
      </c>
      <c r="C47" s="1017" t="s">
        <v>481</v>
      </c>
      <c r="D47" s="1015">
        <v>497881607</v>
      </c>
      <c r="E47" s="1015">
        <f t="shared" si="0"/>
        <v>41490133.916666664</v>
      </c>
      <c r="F47" s="1047">
        <f t="shared" si="4"/>
        <v>420000000</v>
      </c>
      <c r="G47" s="1047">
        <v>35000000</v>
      </c>
      <c r="H47" s="1008" t="e">
        <f t="shared" si="1"/>
        <v>#REF!</v>
      </c>
      <c r="I47" s="1008" t="e">
        <f t="shared" si="2"/>
        <v>#REF!</v>
      </c>
    </row>
    <row r="48" spans="2:9">
      <c r="B48" s="1010">
        <f t="shared" si="3"/>
        <v>40</v>
      </c>
      <c r="C48" s="1017" t="s">
        <v>482</v>
      </c>
      <c r="D48" s="1015">
        <v>79298165</v>
      </c>
      <c r="E48" s="1015">
        <f t="shared" si="0"/>
        <v>6608180.416666667</v>
      </c>
      <c r="F48" s="1047">
        <f t="shared" si="4"/>
        <v>12458700</v>
      </c>
      <c r="G48" s="1047">
        <v>1038225</v>
      </c>
      <c r="H48" s="1008" t="e">
        <f t="shared" si="1"/>
        <v>#REF!</v>
      </c>
      <c r="I48" s="1008" t="e">
        <f t="shared" si="2"/>
        <v>#REF!</v>
      </c>
    </row>
    <row r="49" spans="2:9">
      <c r="B49" s="1010">
        <f t="shared" si="3"/>
        <v>41</v>
      </c>
      <c r="C49" s="1017" t="s">
        <v>483</v>
      </c>
      <c r="D49" s="1015"/>
      <c r="E49" s="1015">
        <f t="shared" si="0"/>
        <v>0</v>
      </c>
      <c r="F49" s="1047">
        <f t="shared" si="4"/>
        <v>250000000</v>
      </c>
      <c r="G49" s="1047">
        <v>20833333.333333332</v>
      </c>
      <c r="H49" s="1008" t="e">
        <f t="shared" si="1"/>
        <v>#REF!</v>
      </c>
      <c r="I49" s="1008" t="e">
        <f t="shared" si="2"/>
        <v>#REF!</v>
      </c>
    </row>
    <row r="50" spans="2:9" ht="14.4" thickBot="1">
      <c r="B50" s="1048">
        <f t="shared" si="3"/>
        <v>42</v>
      </c>
      <c r="C50" s="1049" t="s">
        <v>484</v>
      </c>
      <c r="D50" s="1050">
        <v>11059767</v>
      </c>
      <c r="E50" s="1050">
        <f t="shared" si="0"/>
        <v>921647.25</v>
      </c>
      <c r="F50" s="1051">
        <f>G50*12</f>
        <v>0</v>
      </c>
      <c r="G50" s="1051">
        <v>0</v>
      </c>
      <c r="H50" s="1008" t="e">
        <f t="shared" si="1"/>
        <v>#REF!</v>
      </c>
      <c r="I50" s="1008" t="e">
        <f t="shared" si="2"/>
        <v>#REF!</v>
      </c>
    </row>
    <row r="51" spans="2:9" ht="19.350000000000001" customHeight="1" thickBot="1">
      <c r="D51" s="1052">
        <f t="shared" ref="D51:I51" si="5">SUM(D9:D50)</f>
        <v>23796151105.279999</v>
      </c>
      <c r="E51" s="1052">
        <f t="shared" si="5"/>
        <v>1983012592.1066668</v>
      </c>
      <c r="F51" s="1053">
        <f t="shared" si="5"/>
        <v>17232676709.801701</v>
      </c>
      <c r="G51" s="1053">
        <f t="shared" si="5"/>
        <v>1436056392.483475</v>
      </c>
      <c r="H51" s="1054" t="e">
        <f t="shared" si="5"/>
        <v>#REF!</v>
      </c>
      <c r="I51" s="1054" t="e">
        <f t="shared" si="5"/>
        <v>#REF!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4.4"/>
  <cols>
    <col min="1" max="1" width="9.44140625" style="972" bestFit="1" customWidth="1"/>
    <col min="2" max="2" width="13.33203125" style="972" customWidth="1"/>
    <col min="3" max="3" width="49.5546875" style="972" bestFit="1" customWidth="1"/>
    <col min="4" max="4" width="39.33203125" style="972" bestFit="1" customWidth="1"/>
    <col min="5" max="5" width="9.33203125" style="972"/>
  </cols>
  <sheetData>
    <row r="1" spans="1:5" ht="24" customHeight="1">
      <c r="A1" s="2275" t="s">
        <v>554</v>
      </c>
      <c r="B1" s="2275" t="s">
        <v>169</v>
      </c>
      <c r="C1" s="2275" t="s">
        <v>555</v>
      </c>
      <c r="D1" s="2275"/>
      <c r="E1" s="1076"/>
    </row>
    <row r="2" spans="1:5" ht="21" customHeight="1">
      <c r="A2" s="2275"/>
      <c r="B2" s="2275"/>
      <c r="C2" s="1076" t="s">
        <v>16</v>
      </c>
      <c r="D2" s="1076" t="s">
        <v>556</v>
      </c>
      <c r="E2" s="1076"/>
    </row>
    <row r="3" spans="1:5">
      <c r="A3" s="1070">
        <v>1</v>
      </c>
      <c r="B3" s="1071">
        <v>45536</v>
      </c>
      <c r="C3" s="1070"/>
      <c r="D3" s="1070"/>
      <c r="E3" s="309"/>
    </row>
    <row r="4" spans="1:5">
      <c r="A4" s="1070">
        <v>2</v>
      </c>
      <c r="B4" s="1071">
        <v>45537</v>
      </c>
      <c r="C4" s="1070"/>
      <c r="D4" s="1070"/>
      <c r="E4" s="309"/>
    </row>
    <row r="5" spans="1:5">
      <c r="A5" s="1070">
        <v>3</v>
      </c>
      <c r="B5" s="1071">
        <v>45538</v>
      </c>
      <c r="C5" s="1070"/>
      <c r="D5" s="1070"/>
      <c r="E5" s="309"/>
    </row>
    <row r="6" spans="1:5">
      <c r="A6" s="1070">
        <v>4</v>
      </c>
      <c r="B6" s="1071">
        <v>45539</v>
      </c>
      <c r="C6" s="1070"/>
      <c r="D6" s="1070"/>
      <c r="E6" s="309"/>
    </row>
    <row r="7" spans="1:5">
      <c r="A7" s="1070">
        <v>5</v>
      </c>
      <c r="B7" s="1071">
        <v>45540</v>
      </c>
      <c r="C7" s="1070"/>
      <c r="D7" s="1070"/>
      <c r="E7" s="309"/>
    </row>
    <row r="8" spans="1:5">
      <c r="A8" s="1070">
        <v>6</v>
      </c>
      <c r="B8" s="1071">
        <v>45541</v>
      </c>
      <c r="C8" s="1070"/>
      <c r="D8" s="1070"/>
      <c r="E8" s="309"/>
    </row>
    <row r="9" spans="1:5">
      <c r="A9" s="1070">
        <v>7</v>
      </c>
      <c r="B9" s="1071">
        <v>45542</v>
      </c>
      <c r="C9" s="1070"/>
      <c r="D9" s="1070"/>
      <c r="E9" s="309"/>
    </row>
    <row r="10" spans="1:5">
      <c r="A10" s="1070">
        <v>8</v>
      </c>
      <c r="B10" s="1071">
        <v>45543</v>
      </c>
      <c r="C10" s="1070"/>
      <c r="D10" s="1070"/>
      <c r="E10" s="309"/>
    </row>
    <row r="11" spans="1:5">
      <c r="A11" s="1070">
        <v>9</v>
      </c>
      <c r="B11" s="1071">
        <v>45544</v>
      </c>
      <c r="C11" s="1070"/>
      <c r="D11" s="1070"/>
      <c r="E11" s="309"/>
    </row>
    <row r="12" spans="1:5">
      <c r="A12" s="1070">
        <v>10</v>
      </c>
      <c r="B12" s="1071">
        <v>45545</v>
      </c>
      <c r="C12" s="1070"/>
      <c r="D12" s="1070"/>
      <c r="E12" s="309"/>
    </row>
    <row r="13" spans="1:5">
      <c r="A13" s="1070">
        <v>11</v>
      </c>
      <c r="B13" s="1071">
        <v>45546</v>
      </c>
      <c r="C13" s="1070"/>
      <c r="D13" s="1070"/>
      <c r="E13" s="309"/>
    </row>
    <row r="14" spans="1:5">
      <c r="A14" s="1070">
        <v>12</v>
      </c>
      <c r="B14" s="1071">
        <v>45547</v>
      </c>
      <c r="C14" s="1070"/>
      <c r="D14" s="1070"/>
      <c r="E14" s="309"/>
    </row>
    <row r="15" spans="1:5">
      <c r="A15" s="1070">
        <v>13</v>
      </c>
      <c r="B15" s="1071">
        <v>45548</v>
      </c>
      <c r="C15" s="1070"/>
      <c r="D15" s="1070"/>
      <c r="E15" s="309"/>
    </row>
    <row r="16" spans="1:5">
      <c r="A16" s="1070">
        <v>14</v>
      </c>
      <c r="B16" s="1071">
        <v>45549</v>
      </c>
      <c r="C16" s="1070"/>
      <c r="D16" s="1070"/>
      <c r="E16" s="309"/>
    </row>
    <row r="17" spans="1:5">
      <c r="A17" s="1070">
        <v>15</v>
      </c>
      <c r="B17" s="1071">
        <v>45550</v>
      </c>
      <c r="C17" s="1070"/>
      <c r="D17" s="1070"/>
      <c r="E17" s="309"/>
    </row>
    <row r="18" spans="1:5">
      <c r="A18" s="1070">
        <v>16</v>
      </c>
      <c r="B18" s="1071">
        <v>45551</v>
      </c>
      <c r="C18" s="1070"/>
      <c r="D18" s="1070"/>
      <c r="E18" s="309"/>
    </row>
    <row r="19" spans="1:5">
      <c r="A19" s="1070">
        <v>17</v>
      </c>
      <c r="B19" s="1071">
        <v>45552</v>
      </c>
      <c r="C19" s="1070"/>
      <c r="D19" s="1070"/>
      <c r="E19" s="309"/>
    </row>
    <row r="20" spans="1:5">
      <c r="A20" s="1070">
        <v>18</v>
      </c>
      <c r="B20" s="1071">
        <v>45553</v>
      </c>
      <c r="C20" s="1070"/>
      <c r="D20" s="1070"/>
      <c r="E20" s="309"/>
    </row>
    <row r="21" spans="1:5">
      <c r="A21" s="1070">
        <v>19</v>
      </c>
      <c r="B21" s="1071">
        <v>45554</v>
      </c>
      <c r="C21" s="1070"/>
      <c r="D21" s="1070"/>
      <c r="E21" s="309"/>
    </row>
    <row r="22" spans="1:5">
      <c r="A22" s="1070">
        <v>20</v>
      </c>
      <c r="B22" s="1071">
        <v>45555</v>
      </c>
      <c r="C22" s="1070"/>
      <c r="D22" s="1070"/>
      <c r="E22" s="309"/>
    </row>
    <row r="23" spans="1:5">
      <c r="A23" s="1070">
        <v>21</v>
      </c>
      <c r="B23" s="1071">
        <v>45556</v>
      </c>
      <c r="C23" s="1070"/>
      <c r="D23" s="1070"/>
      <c r="E23" s="309"/>
    </row>
    <row r="24" spans="1:5">
      <c r="A24" s="1070">
        <v>22</v>
      </c>
      <c r="B24" s="1071">
        <v>45557</v>
      </c>
      <c r="C24" s="1070"/>
      <c r="D24" s="1070"/>
      <c r="E24" s="309"/>
    </row>
    <row r="25" spans="1:5">
      <c r="A25" s="1070">
        <v>23</v>
      </c>
      <c r="B25" s="1071">
        <v>45558</v>
      </c>
      <c r="C25" s="1070"/>
      <c r="D25" s="1070"/>
      <c r="E25" s="309"/>
    </row>
    <row r="26" spans="1:5" ht="96.6">
      <c r="A26" s="1070">
        <v>24</v>
      </c>
      <c r="B26" s="1071">
        <v>45559</v>
      </c>
      <c r="C26" s="1072" t="s">
        <v>560</v>
      </c>
      <c r="D26" s="1073" t="s">
        <v>557</v>
      </c>
      <c r="E26" s="309"/>
    </row>
    <row r="27" spans="1:5" ht="41.4">
      <c r="A27" s="1070">
        <v>25</v>
      </c>
      <c r="B27" s="1071">
        <v>45560</v>
      </c>
      <c r="C27" s="1072" t="s">
        <v>558</v>
      </c>
      <c r="D27" s="1074" t="s">
        <v>559</v>
      </c>
      <c r="E27" s="309"/>
    </row>
    <row r="28" spans="1:5">
      <c r="A28" s="1070">
        <v>26</v>
      </c>
      <c r="B28" s="1071">
        <v>45561</v>
      </c>
      <c r="C28" s="1075"/>
      <c r="D28" s="1070"/>
      <c r="E28" s="309"/>
    </row>
    <row r="29" spans="1:5">
      <c r="A29" s="1070">
        <v>27</v>
      </c>
      <c r="B29" s="1071">
        <v>45562</v>
      </c>
      <c r="C29" s="1075"/>
      <c r="D29" s="1070"/>
      <c r="E29" s="309"/>
    </row>
    <row r="30" spans="1:5">
      <c r="A30" s="1070">
        <v>28</v>
      </c>
      <c r="B30" s="1071">
        <v>45563</v>
      </c>
      <c r="C30" s="1075"/>
      <c r="D30" s="1070"/>
      <c r="E30" s="309"/>
    </row>
    <row r="31" spans="1:5">
      <c r="A31" s="1070">
        <v>29</v>
      </c>
      <c r="B31" s="1071">
        <v>45564</v>
      </c>
      <c r="C31" s="1075"/>
      <c r="D31" s="1070"/>
      <c r="E31" s="309"/>
    </row>
    <row r="32" spans="1:5">
      <c r="A32" s="1070">
        <v>30</v>
      </c>
      <c r="B32" s="1071">
        <v>45565</v>
      </c>
      <c r="C32" s="1075"/>
      <c r="D32" s="1070"/>
      <c r="E32" s="309"/>
    </row>
    <row r="33" spans="3:3">
      <c r="C33" s="326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4.4"/>
  <cols>
    <col min="2" max="2" width="19.44140625" customWidth="1"/>
    <col min="3" max="16" width="11.5546875" customWidth="1"/>
    <col min="17" max="17" width="13.44140625" customWidth="1"/>
    <col min="18" max="19" width="12.6640625" bestFit="1" customWidth="1"/>
    <col min="20" max="20" width="10.5546875" customWidth="1"/>
    <col min="23" max="23" width="10.5546875" hidden="1" customWidth="1"/>
  </cols>
  <sheetData>
    <row r="2" spans="1:23" ht="19.8">
      <c r="A2" s="2279" t="s">
        <v>172</v>
      </c>
      <c r="B2" s="2279"/>
      <c r="C2" s="2279"/>
      <c r="D2" s="2279"/>
      <c r="E2" s="2279"/>
      <c r="F2" s="2279"/>
      <c r="G2" s="2279"/>
      <c r="H2" s="2279"/>
      <c r="I2" s="2279"/>
      <c r="J2" s="2279"/>
      <c r="K2" s="2279"/>
      <c r="L2" s="2279"/>
      <c r="M2" s="2279"/>
      <c r="N2" s="2279"/>
      <c r="O2" s="2279"/>
      <c r="P2" s="2279"/>
      <c r="Q2" s="2279"/>
      <c r="R2" s="2279"/>
      <c r="S2" s="2279"/>
      <c r="T2" s="2279"/>
    </row>
    <row r="3" spans="1:23" ht="19.8">
      <c r="A3" s="2279" t="s">
        <v>173</v>
      </c>
      <c r="B3" s="2279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</row>
    <row r="4" spans="1:23">
      <c r="A4" s="351"/>
      <c r="B4" s="352"/>
      <c r="C4" s="353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5"/>
      <c r="S4" s="356"/>
      <c r="T4" s="357"/>
      <c r="U4" s="357"/>
    </row>
    <row r="5" spans="1:23" ht="15.6">
      <c r="A5" s="2281" t="s">
        <v>212</v>
      </c>
      <c r="B5" s="2282"/>
      <c r="C5" s="2282"/>
      <c r="D5" s="2282"/>
      <c r="E5" s="2282"/>
      <c r="F5" s="2282"/>
      <c r="G5" s="2282"/>
      <c r="H5" s="2282"/>
      <c r="I5" s="2282"/>
      <c r="J5" s="2282"/>
      <c r="K5" s="2282"/>
      <c r="L5" s="2282"/>
      <c r="M5" s="2282"/>
      <c r="N5" s="2282"/>
      <c r="O5" s="2282"/>
      <c r="P5" s="2282"/>
      <c r="Q5" s="2282"/>
      <c r="R5" s="2282"/>
      <c r="S5" s="2282"/>
      <c r="T5" s="2282"/>
      <c r="U5" s="2282"/>
    </row>
    <row r="6" spans="1:23" s="319" customFormat="1" ht="38.700000000000003" customHeight="1">
      <c r="A6" s="317" t="s">
        <v>175</v>
      </c>
      <c r="B6" s="317" t="s">
        <v>176</v>
      </c>
      <c r="C6" s="317" t="s">
        <v>177</v>
      </c>
      <c r="D6" s="317" t="s">
        <v>178</v>
      </c>
      <c r="E6" s="317" t="s">
        <v>179</v>
      </c>
      <c r="F6" s="317" t="s">
        <v>180</v>
      </c>
      <c r="G6" s="317" t="s">
        <v>181</v>
      </c>
      <c r="H6" s="317" t="s">
        <v>182</v>
      </c>
      <c r="I6" s="317" t="s">
        <v>183</v>
      </c>
      <c r="J6" s="317" t="s">
        <v>184</v>
      </c>
      <c r="K6" s="317" t="s">
        <v>185</v>
      </c>
      <c r="L6" s="317" t="s">
        <v>186</v>
      </c>
      <c r="M6" s="317" t="s">
        <v>187</v>
      </c>
      <c r="N6" s="340" t="s">
        <v>197</v>
      </c>
      <c r="O6" s="340" t="s">
        <v>198</v>
      </c>
      <c r="P6" s="340" t="s">
        <v>199</v>
      </c>
      <c r="Q6" s="317" t="s">
        <v>200</v>
      </c>
      <c r="R6" s="318" t="s">
        <v>188</v>
      </c>
      <c r="S6" s="317" t="s">
        <v>189</v>
      </c>
      <c r="T6" s="317" t="s">
        <v>190</v>
      </c>
      <c r="U6" s="317" t="s">
        <v>191</v>
      </c>
    </row>
    <row r="7" spans="1:23">
      <c r="A7" s="320">
        <v>1</v>
      </c>
      <c r="B7" s="320" t="s">
        <v>192</v>
      </c>
      <c r="C7" s="321">
        <f>'[5]01 '!$Q$14</f>
        <v>744924</v>
      </c>
      <c r="D7" s="322">
        <f>'[5]02'!$Q$14</f>
        <v>743972</v>
      </c>
      <c r="E7" s="322">
        <f>'[5]03'!$Q$14</f>
        <v>1048435</v>
      </c>
      <c r="F7" s="322">
        <f>'[5]04'!$Q$14</f>
        <v>1114821</v>
      </c>
      <c r="G7" s="322">
        <v>248126</v>
      </c>
      <c r="H7" s="350">
        <v>389481</v>
      </c>
      <c r="I7" s="350">
        <v>104168</v>
      </c>
      <c r="J7" s="350">
        <v>320907</v>
      </c>
      <c r="K7" s="350">
        <v>100743</v>
      </c>
      <c r="L7" s="322">
        <v>512647</v>
      </c>
      <c r="M7" s="350">
        <v>441064</v>
      </c>
      <c r="N7" s="358">
        <v>524002</v>
      </c>
      <c r="O7" s="322">
        <v>568358</v>
      </c>
      <c r="P7" s="322">
        <v>430750</v>
      </c>
      <c r="Q7" s="322"/>
      <c r="R7" s="323">
        <f>SUM(C7:Q7)</f>
        <v>7292398</v>
      </c>
      <c r="S7" s="349"/>
      <c r="T7" s="2280"/>
      <c r="U7" s="2280"/>
    </row>
    <row r="8" spans="1:23">
      <c r="A8" s="320">
        <v>2</v>
      </c>
      <c r="B8" s="320" t="s">
        <v>193</v>
      </c>
      <c r="C8" s="359">
        <v>713300</v>
      </c>
      <c r="D8" s="350">
        <v>708000</v>
      </c>
      <c r="E8" s="350">
        <v>993100</v>
      </c>
      <c r="F8" s="322">
        <v>1056000</v>
      </c>
      <c r="G8" s="350">
        <v>237021</v>
      </c>
      <c r="H8" s="350">
        <v>365100</v>
      </c>
      <c r="I8" s="350">
        <v>44001</v>
      </c>
      <c r="J8" s="350">
        <v>300010</v>
      </c>
      <c r="K8" s="360">
        <v>94507</v>
      </c>
      <c r="L8" s="361">
        <v>488153</v>
      </c>
      <c r="M8" s="360">
        <v>414337</v>
      </c>
      <c r="N8" s="322">
        <v>492952</v>
      </c>
      <c r="O8" s="322">
        <v>532902</v>
      </c>
      <c r="P8" s="322">
        <v>497845</v>
      </c>
      <c r="Q8" s="322"/>
      <c r="R8" s="323">
        <f>SUM(C8:Q8)</f>
        <v>6937228</v>
      </c>
      <c r="S8" s="350"/>
      <c r="T8" s="324">
        <f>R8/R7</f>
        <v>0.95129585631502833</v>
      </c>
      <c r="U8" s="324" t="e">
        <f>S8/S7</f>
        <v>#DIV/0!</v>
      </c>
      <c r="W8" s="322" t="e">
        <f>4984655+#REF!</f>
        <v>#REF!</v>
      </c>
    </row>
    <row r="9" spans="1:23">
      <c r="A9" s="320">
        <v>3</v>
      </c>
      <c r="B9" s="320" t="s">
        <v>64</v>
      </c>
      <c r="C9" s="321">
        <f>'[5]01 '!$P$25</f>
        <v>25659</v>
      </c>
      <c r="D9" s="350">
        <v>28786</v>
      </c>
      <c r="E9" s="322">
        <f>'[5]03'!$P$25</f>
        <v>46938</v>
      </c>
      <c r="F9" s="322">
        <f>'[5]04'!$P$24</f>
        <v>48667</v>
      </c>
      <c r="G9" s="350">
        <v>8070</v>
      </c>
      <c r="H9" s="350">
        <v>19280</v>
      </c>
      <c r="I9" s="350">
        <v>3234</v>
      </c>
      <c r="J9" s="350">
        <v>18283</v>
      </c>
      <c r="K9" s="350">
        <v>5131</v>
      </c>
      <c r="L9" s="322">
        <v>20426</v>
      </c>
      <c r="M9" s="322">
        <v>23275</v>
      </c>
      <c r="N9" s="322">
        <v>27655</v>
      </c>
      <c r="O9" s="322">
        <v>25803</v>
      </c>
      <c r="P9" s="322">
        <v>20173</v>
      </c>
      <c r="Q9" s="322"/>
      <c r="R9" s="323">
        <f>SUM(C9:Q9)</f>
        <v>321380</v>
      </c>
      <c r="S9" s="350"/>
      <c r="T9" s="324">
        <f>R9/R7</f>
        <v>4.4070551278194085E-2</v>
      </c>
      <c r="U9" s="324" t="e">
        <f>S9/S7</f>
        <v>#DIV/0!</v>
      </c>
    </row>
    <row r="10" spans="1:23">
      <c r="A10" s="351"/>
      <c r="B10" s="352"/>
      <c r="C10" s="348">
        <f>C8/C7</f>
        <v>0.95754734711192013</v>
      </c>
      <c r="D10" s="348">
        <f t="shared" ref="D10:P10" si="0">D8/D7</f>
        <v>0.95164871796250394</v>
      </c>
      <c r="E10" s="348">
        <f t="shared" si="0"/>
        <v>0.94722133465593961</v>
      </c>
      <c r="F10" s="348">
        <f t="shared" si="0"/>
        <v>0.94723726948093012</v>
      </c>
      <c r="G10" s="348">
        <f t="shared" si="0"/>
        <v>0.95524451286846201</v>
      </c>
      <c r="H10" s="348">
        <f t="shared" si="0"/>
        <v>0.93740131097537494</v>
      </c>
      <c r="I10" s="348">
        <f t="shared" si="0"/>
        <v>0.42240419322632672</v>
      </c>
      <c r="J10" s="348">
        <f t="shared" si="0"/>
        <v>0.9348814454031853</v>
      </c>
      <c r="K10" s="348">
        <f t="shared" si="0"/>
        <v>0.93809991761214173</v>
      </c>
      <c r="L10" s="348">
        <f t="shared" si="0"/>
        <v>0.95222053381761718</v>
      </c>
      <c r="M10" s="348">
        <f t="shared" si="0"/>
        <v>0.93940335189450963</v>
      </c>
      <c r="N10" s="348">
        <f t="shared" si="0"/>
        <v>0.94074450097518714</v>
      </c>
      <c r="O10" s="348">
        <f t="shared" si="0"/>
        <v>0.93761678378768309</v>
      </c>
      <c r="P10" s="348">
        <f t="shared" si="0"/>
        <v>1.1557632037144516</v>
      </c>
      <c r="Q10" s="354"/>
      <c r="R10" s="355"/>
      <c r="S10" s="356"/>
      <c r="T10" s="357"/>
      <c r="U10" s="357"/>
    </row>
    <row r="11" spans="1:23">
      <c r="A11" s="351"/>
      <c r="B11" s="352"/>
      <c r="C11" s="348">
        <f>C9/C7*1</f>
        <v>3.4445124603315239E-2</v>
      </c>
      <c r="D11" s="348">
        <f t="shared" ref="D11:P11" si="1">D9/D7*1</f>
        <v>3.8692316377498079E-2</v>
      </c>
      <c r="E11" s="348">
        <f t="shared" si="1"/>
        <v>4.4769585143571135E-2</v>
      </c>
      <c r="F11" s="348">
        <f t="shared" si="1"/>
        <v>4.3654541850216312E-2</v>
      </c>
      <c r="G11" s="348">
        <f t="shared" si="1"/>
        <v>3.2523798392752067E-2</v>
      </c>
      <c r="H11" s="348">
        <f t="shared" si="1"/>
        <v>4.9501772872104159E-2</v>
      </c>
      <c r="I11" s="348">
        <f t="shared" si="1"/>
        <v>3.1046002611166579E-2</v>
      </c>
      <c r="J11" s="348">
        <f t="shared" si="1"/>
        <v>5.6972892457939531E-2</v>
      </c>
      <c r="K11" s="348">
        <f t="shared" si="1"/>
        <v>5.0931578372690904E-2</v>
      </c>
      <c r="L11" s="348">
        <f t="shared" si="1"/>
        <v>3.9844181278735659E-2</v>
      </c>
      <c r="M11" s="348">
        <f t="shared" si="1"/>
        <v>5.2770119529138626E-2</v>
      </c>
      <c r="N11" s="348">
        <f t="shared" si="1"/>
        <v>5.2776516120167483E-2</v>
      </c>
      <c r="O11" s="348">
        <f t="shared" si="1"/>
        <v>4.5399202615253063E-2</v>
      </c>
      <c r="P11" s="348">
        <f t="shared" si="1"/>
        <v>4.6832269297736505E-2</v>
      </c>
      <c r="Q11" s="354"/>
      <c r="R11" s="355"/>
      <c r="S11" s="356"/>
      <c r="T11" s="357"/>
      <c r="U11" s="357"/>
    </row>
    <row r="12" spans="1:23">
      <c r="A12" s="351"/>
      <c r="B12" s="352" t="s">
        <v>213</v>
      </c>
      <c r="C12" s="348">
        <f>(C7-C8-C9)/C7</f>
        <v>8.0075282847646197E-3</v>
      </c>
      <c r="D12" s="348">
        <f t="shared" ref="D12:P12" si="2">(D7-D8-D9)/D7</f>
        <v>9.6589656599979576E-3</v>
      </c>
      <c r="E12" s="348">
        <f t="shared" si="2"/>
        <v>8.0090802004893005E-3</v>
      </c>
      <c r="F12" s="348">
        <f t="shared" si="2"/>
        <v>9.1081886688535642E-3</v>
      </c>
      <c r="G12" s="348">
        <f t="shared" si="2"/>
        <v>1.223168873878594E-2</v>
      </c>
      <c r="H12" s="348">
        <f t="shared" si="2"/>
        <v>1.309691615252092E-2</v>
      </c>
      <c r="I12" s="348">
        <f>(I7-I8-I9)/I7</f>
        <v>0.54654980416250676</v>
      </c>
      <c r="J12" s="348">
        <f t="shared" si="2"/>
        <v>8.1456621388751264E-3</v>
      </c>
      <c r="K12" s="348">
        <f t="shared" si="2"/>
        <v>1.0968504015167307E-2</v>
      </c>
      <c r="L12" s="348">
        <f t="shared" si="2"/>
        <v>7.9352849036471492E-3</v>
      </c>
      <c r="M12" s="348">
        <f t="shared" si="2"/>
        <v>7.8265285763517312E-3</v>
      </c>
      <c r="N12" s="348">
        <f t="shared" si="2"/>
        <v>6.4789829046454023E-3</v>
      </c>
      <c r="O12" s="348">
        <f t="shared" si="2"/>
        <v>1.6984013597063821E-2</v>
      </c>
      <c r="P12" s="348">
        <f t="shared" si="2"/>
        <v>-0.20259547301218805</v>
      </c>
      <c r="Q12" s="354"/>
      <c r="R12" s="355"/>
      <c r="S12" s="356"/>
      <c r="T12" s="357"/>
      <c r="U12" s="357"/>
    </row>
    <row r="13" spans="1:23">
      <c r="A13" s="351"/>
      <c r="B13" s="352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54"/>
      <c r="R13" s="355"/>
      <c r="S13" s="356"/>
      <c r="T13" s="357"/>
      <c r="U13" s="357"/>
    </row>
    <row r="14" spans="1:23" ht="15.6">
      <c r="A14" s="2281" t="s">
        <v>214</v>
      </c>
      <c r="B14" s="2282"/>
      <c r="C14" s="2282"/>
      <c r="D14" s="2282"/>
      <c r="E14" s="2282"/>
      <c r="F14" s="2282"/>
      <c r="G14" s="2282"/>
      <c r="H14" s="2282"/>
      <c r="I14" s="2282"/>
      <c r="J14" s="2282"/>
      <c r="K14" s="2282"/>
      <c r="L14" s="2282"/>
      <c r="M14" s="2282"/>
      <c r="N14" s="2282"/>
      <c r="O14" s="2282"/>
      <c r="P14" s="2282"/>
      <c r="Q14" s="2282"/>
      <c r="R14" s="2282"/>
      <c r="S14" s="2282"/>
      <c r="T14" s="2282"/>
      <c r="U14" s="2282"/>
    </row>
    <row r="15" spans="1:23" s="319" customFormat="1" ht="38.700000000000003" customHeight="1">
      <c r="A15" s="317" t="s">
        <v>175</v>
      </c>
      <c r="B15" s="317" t="s">
        <v>176</v>
      </c>
      <c r="C15" s="317" t="s">
        <v>177</v>
      </c>
      <c r="D15" s="317" t="s">
        <v>178</v>
      </c>
      <c r="E15" s="317" t="s">
        <v>179</v>
      </c>
      <c r="F15" s="317" t="s">
        <v>180</v>
      </c>
      <c r="G15" s="317" t="s">
        <v>181</v>
      </c>
      <c r="H15" s="317" t="s">
        <v>182</v>
      </c>
      <c r="I15" s="317" t="s">
        <v>183</v>
      </c>
      <c r="J15" s="317" t="s">
        <v>184</v>
      </c>
      <c r="K15" s="317" t="s">
        <v>185</v>
      </c>
      <c r="L15" s="317" t="s">
        <v>186</v>
      </c>
      <c r="M15" s="317" t="s">
        <v>187</v>
      </c>
      <c r="N15" s="340" t="s">
        <v>197</v>
      </c>
      <c r="O15" s="340" t="s">
        <v>198</v>
      </c>
      <c r="P15" s="340" t="s">
        <v>199</v>
      </c>
      <c r="Q15" s="317" t="s">
        <v>200</v>
      </c>
      <c r="R15" s="318" t="s">
        <v>188</v>
      </c>
      <c r="S15" s="317" t="s">
        <v>189</v>
      </c>
      <c r="T15" s="317" t="s">
        <v>190</v>
      </c>
      <c r="U15" s="317" t="s">
        <v>191</v>
      </c>
    </row>
    <row r="16" spans="1:23">
      <c r="A16" s="320">
        <v>1</v>
      </c>
      <c r="B16" s="320" t="s">
        <v>192</v>
      </c>
      <c r="C16" s="321">
        <v>680800</v>
      </c>
      <c r="D16" s="322">
        <v>806400</v>
      </c>
      <c r="E16" s="322">
        <v>858600</v>
      </c>
      <c r="F16" s="322">
        <v>898100</v>
      </c>
      <c r="G16" s="322">
        <v>26100</v>
      </c>
      <c r="H16" s="322">
        <v>513200</v>
      </c>
      <c r="I16" s="322">
        <v>119200</v>
      </c>
      <c r="J16" s="322">
        <v>208900</v>
      </c>
      <c r="K16" s="322">
        <v>147700</v>
      </c>
      <c r="L16" s="322">
        <v>425800</v>
      </c>
      <c r="M16" s="322">
        <v>347900</v>
      </c>
      <c r="N16" s="322">
        <v>459100</v>
      </c>
      <c r="O16" s="322">
        <v>509200</v>
      </c>
      <c r="P16" s="322">
        <v>396700</v>
      </c>
      <c r="Q16" s="322">
        <v>20200</v>
      </c>
      <c r="R16" s="323">
        <f>SUM(C16:Q16)</f>
        <v>6417900</v>
      </c>
      <c r="S16" s="349">
        <f>5745000+14073+R19</f>
        <v>7292813</v>
      </c>
      <c r="T16" s="2280"/>
      <c r="U16" s="2280"/>
    </row>
    <row r="17" spans="1:23">
      <c r="A17" s="320">
        <v>2</v>
      </c>
      <c r="B17" s="320" t="s">
        <v>193</v>
      </c>
      <c r="C17" s="321">
        <v>722400</v>
      </c>
      <c r="D17" s="322">
        <v>826700</v>
      </c>
      <c r="E17" s="322">
        <v>980700</v>
      </c>
      <c r="F17" s="322">
        <v>980600</v>
      </c>
      <c r="G17" s="322">
        <v>19900</v>
      </c>
      <c r="H17" s="322">
        <v>582000</v>
      </c>
      <c r="I17" s="322">
        <v>150500</v>
      </c>
      <c r="J17" s="322">
        <v>215300</v>
      </c>
      <c r="K17" s="345">
        <v>70837</v>
      </c>
      <c r="L17" s="345">
        <v>488153</v>
      </c>
      <c r="M17" s="345">
        <v>379337</v>
      </c>
      <c r="N17" s="322">
        <v>502200</v>
      </c>
      <c r="O17" s="322">
        <v>535800</v>
      </c>
      <c r="P17" s="322">
        <v>412600</v>
      </c>
      <c r="Q17" s="322">
        <v>92100</v>
      </c>
      <c r="R17" s="323">
        <f>SUM(C17:Q17)</f>
        <v>6959127</v>
      </c>
      <c r="S17" s="350">
        <f>SUM(C17:M17)+R20</f>
        <v>6940126</v>
      </c>
      <c r="T17" s="324">
        <f>R17/R16</f>
        <v>1.0843308558874398</v>
      </c>
      <c r="U17" s="324">
        <f>S17/S16</f>
        <v>0.95163910002902863</v>
      </c>
      <c r="W17" s="322">
        <f>4984655+R20</f>
        <v>6508354</v>
      </c>
    </row>
    <row r="18" spans="1:23">
      <c r="A18" s="320">
        <v>3</v>
      </c>
      <c r="B18" s="320" t="s">
        <v>64</v>
      </c>
      <c r="C18" s="321">
        <v>37300</v>
      </c>
      <c r="D18" s="322">
        <v>38700</v>
      </c>
      <c r="E18" s="322">
        <v>49500</v>
      </c>
      <c r="F18" s="322">
        <v>47100</v>
      </c>
      <c r="G18" s="322">
        <v>3800</v>
      </c>
      <c r="H18" s="322">
        <v>30300</v>
      </c>
      <c r="I18" s="322">
        <v>9300</v>
      </c>
      <c r="J18" s="322">
        <v>14000</v>
      </c>
      <c r="K18" s="322">
        <v>14800</v>
      </c>
      <c r="L18" s="322">
        <v>25100</v>
      </c>
      <c r="M18" s="322">
        <v>23400</v>
      </c>
      <c r="N18" s="322">
        <v>23900</v>
      </c>
      <c r="O18" s="322">
        <v>26800</v>
      </c>
      <c r="P18" s="322">
        <v>22200</v>
      </c>
      <c r="Q18" s="322">
        <v>5900</v>
      </c>
      <c r="R18" s="323">
        <f>SUM(C18:Q18)</f>
        <v>372100</v>
      </c>
      <c r="S18" s="350">
        <f>248746+R21</f>
        <v>322377</v>
      </c>
      <c r="T18" s="324">
        <f>R18/R16</f>
        <v>5.7978466476573336E-2</v>
      </c>
      <c r="U18" s="324">
        <f>S18/S16</f>
        <v>4.4204753364716742E-2</v>
      </c>
    </row>
    <row r="19" spans="1:23">
      <c r="A19" s="325"/>
      <c r="B19" s="325"/>
      <c r="C19" s="348">
        <f>C17/C16</f>
        <v>1.0611045828437133</v>
      </c>
      <c r="D19" s="348">
        <f t="shared" ref="D19:K19" si="3">D17/D16</f>
        <v>1.0251736111111112</v>
      </c>
      <c r="E19" s="348">
        <f t="shared" si="3"/>
        <v>1.1422082459818308</v>
      </c>
      <c r="F19" s="348">
        <f t="shared" si="3"/>
        <v>1.091860594588576</v>
      </c>
      <c r="G19" s="348">
        <f t="shared" si="3"/>
        <v>0.76245210727969348</v>
      </c>
      <c r="H19" s="348">
        <f t="shared" si="3"/>
        <v>1.1340607950116914</v>
      </c>
      <c r="I19" s="348">
        <f t="shared" si="3"/>
        <v>1.2625838926174497</v>
      </c>
      <c r="J19" s="348">
        <f t="shared" si="3"/>
        <v>1.0306366682623265</v>
      </c>
      <c r="K19" s="348">
        <f t="shared" si="3"/>
        <v>0.47960054163845633</v>
      </c>
      <c r="L19" s="336">
        <v>269515</v>
      </c>
      <c r="M19" s="326" t="s">
        <v>201</v>
      </c>
      <c r="N19" s="337">
        <v>534002</v>
      </c>
      <c r="O19" s="338">
        <v>568773</v>
      </c>
      <c r="P19" s="338">
        <v>430750</v>
      </c>
      <c r="Q19" s="338">
        <v>269300</v>
      </c>
      <c r="R19" s="327">
        <f>L19+N19+O19+P19-Q19</f>
        <v>1533740</v>
      </c>
      <c r="S19" s="327"/>
      <c r="U19" s="328">
        <f>100%-U17-U18</f>
        <v>4.1561466062546293E-3</v>
      </c>
      <c r="V19" t="s">
        <v>194</v>
      </c>
    </row>
    <row r="20" spans="1:23">
      <c r="A20" s="325"/>
      <c r="B20" s="325"/>
      <c r="C20" s="326"/>
      <c r="M20" s="326" t="s">
        <v>193</v>
      </c>
      <c r="N20" s="337">
        <v>492952</v>
      </c>
      <c r="O20" s="338">
        <v>532902</v>
      </c>
      <c r="P20" s="338">
        <v>497845</v>
      </c>
      <c r="Q20" s="338"/>
      <c r="R20" s="327">
        <f>SUM(N20:P20)</f>
        <v>1523699</v>
      </c>
    </row>
    <row r="21" spans="1:23">
      <c r="A21" s="325"/>
      <c r="B21" s="325"/>
      <c r="C21" s="326"/>
      <c r="M21" s="326"/>
      <c r="N21" s="364">
        <v>27655</v>
      </c>
      <c r="O21" s="338">
        <v>25803</v>
      </c>
      <c r="P21" s="338">
        <v>20173</v>
      </c>
      <c r="Q21" s="338"/>
      <c r="R21" s="327">
        <f>SUM(N21:P21)</f>
        <v>73631</v>
      </c>
    </row>
    <row r="22" spans="1:23" ht="19.8">
      <c r="A22" s="315"/>
      <c r="B22" s="347" t="s">
        <v>208</v>
      </c>
      <c r="C22" s="2278" t="s">
        <v>209</v>
      </c>
      <c r="D22" s="2278"/>
      <c r="E22" s="2278"/>
      <c r="F22" s="2278"/>
      <c r="G22" s="2278"/>
      <c r="H22" s="2278"/>
      <c r="I22" s="2278"/>
      <c r="J22" s="2278"/>
      <c r="K22" s="2278"/>
      <c r="L22" s="2278"/>
      <c r="M22" s="326"/>
      <c r="N22" s="346"/>
      <c r="O22" s="346"/>
      <c r="P22" s="339"/>
      <c r="Q22" s="339"/>
      <c r="R22" s="327"/>
    </row>
    <row r="23" spans="1:23" ht="19.8">
      <c r="A23" s="315"/>
      <c r="B23" s="315"/>
      <c r="C23" s="2276" t="s">
        <v>210</v>
      </c>
      <c r="D23" s="2276"/>
      <c r="E23" s="2276"/>
      <c r="F23" s="2276"/>
      <c r="G23" s="2276"/>
      <c r="H23" s="2276"/>
      <c r="I23" s="2276"/>
      <c r="J23" s="2276"/>
      <c r="K23" s="2276"/>
      <c r="L23" s="2276"/>
      <c r="M23" s="326"/>
      <c r="N23" s="346"/>
      <c r="O23" s="346"/>
      <c r="P23" s="339"/>
      <c r="Q23" s="339"/>
      <c r="R23" s="327"/>
    </row>
    <row r="24" spans="1:23" ht="19.8">
      <c r="A24" s="315"/>
      <c r="B24" s="315"/>
      <c r="C24" s="2276" t="s">
        <v>211</v>
      </c>
      <c r="D24" s="2276"/>
      <c r="E24" s="2276"/>
      <c r="F24" s="2276"/>
      <c r="G24" s="2276"/>
      <c r="H24" s="2276"/>
      <c r="I24" s="2276"/>
      <c r="J24" s="2276"/>
      <c r="K24" s="325"/>
      <c r="L24" s="325"/>
      <c r="M24" s="326"/>
      <c r="N24" s="346"/>
      <c r="O24" s="346"/>
      <c r="P24" s="339"/>
      <c r="Q24" s="339"/>
      <c r="R24" s="327"/>
    </row>
    <row r="25" spans="1:23" ht="19.8">
      <c r="A25" s="2279" t="s">
        <v>195</v>
      </c>
      <c r="B25" s="2279"/>
      <c r="C25" s="316"/>
      <c r="D25" s="316"/>
      <c r="E25" s="316"/>
      <c r="F25" s="316"/>
      <c r="G25" s="316"/>
      <c r="H25" s="315"/>
      <c r="I25" s="316"/>
      <c r="J25" s="316"/>
      <c r="K25" s="316"/>
      <c r="L25" s="316"/>
      <c r="M25" s="326"/>
      <c r="N25" s="339"/>
      <c r="O25" s="339"/>
      <c r="P25" s="339"/>
      <c r="Q25" s="339"/>
      <c r="R25" s="327"/>
    </row>
    <row r="26" spans="1:23" ht="15.6">
      <c r="A26" s="2144" t="s">
        <v>174</v>
      </c>
      <c r="B26" s="2144"/>
      <c r="C26" s="2144"/>
      <c r="D26" s="2144"/>
      <c r="E26" s="2144"/>
      <c r="F26" s="2144"/>
      <c r="G26" s="2144"/>
      <c r="H26" s="2144"/>
      <c r="I26" s="2144"/>
      <c r="J26" s="2144"/>
      <c r="K26" s="2144"/>
      <c r="L26" s="2144"/>
      <c r="M26" s="2144"/>
      <c r="N26" s="2144"/>
      <c r="O26" s="2144"/>
      <c r="P26" s="2144"/>
      <c r="Q26" s="2144"/>
      <c r="R26" s="2144"/>
      <c r="S26" s="2144"/>
      <c r="T26" s="2144"/>
    </row>
    <row r="27" spans="1:23" s="319" customFormat="1" ht="38.700000000000003" customHeight="1">
      <c r="A27" s="317" t="s">
        <v>175</v>
      </c>
      <c r="B27" s="317" t="s">
        <v>176</v>
      </c>
      <c r="C27" s="317" t="s">
        <v>177</v>
      </c>
      <c r="D27" s="317" t="s">
        <v>178</v>
      </c>
      <c r="E27" s="317" t="s">
        <v>179</v>
      </c>
      <c r="F27" s="317" t="s">
        <v>180</v>
      </c>
      <c r="G27" s="317" t="s">
        <v>181</v>
      </c>
      <c r="H27" s="317" t="s">
        <v>182</v>
      </c>
      <c r="I27" s="317" t="s">
        <v>183</v>
      </c>
      <c r="J27" s="317" t="s">
        <v>184</v>
      </c>
      <c r="K27" s="317" t="s">
        <v>185</v>
      </c>
      <c r="L27" s="317" t="s">
        <v>186</v>
      </c>
      <c r="M27" s="317" t="s">
        <v>187</v>
      </c>
      <c r="N27" s="317" t="s">
        <v>197</v>
      </c>
      <c r="O27" s="317" t="s">
        <v>198</v>
      </c>
      <c r="P27" s="317" t="s">
        <v>199</v>
      </c>
      <c r="Q27" s="317" t="s">
        <v>200</v>
      </c>
      <c r="R27" s="318" t="s">
        <v>188</v>
      </c>
      <c r="S27" s="317" t="s">
        <v>189</v>
      </c>
      <c r="T27" s="317" t="s">
        <v>128</v>
      </c>
    </row>
    <row r="28" spans="1:23" s="333" customFormat="1" ht="15" customHeight="1">
      <c r="A28" s="317">
        <v>1</v>
      </c>
      <c r="B28" s="329" t="s">
        <v>193</v>
      </c>
      <c r="C28" s="330">
        <v>667300</v>
      </c>
      <c r="D28" s="330">
        <v>695000</v>
      </c>
      <c r="E28" s="330">
        <v>814100</v>
      </c>
      <c r="F28" s="330">
        <v>760000</v>
      </c>
      <c r="G28" s="330">
        <v>620300</v>
      </c>
      <c r="H28" s="330">
        <v>587100</v>
      </c>
      <c r="I28" s="330">
        <v>118500</v>
      </c>
      <c r="J28" s="330">
        <v>0</v>
      </c>
      <c r="K28" s="330">
        <v>253000</v>
      </c>
      <c r="L28" s="330">
        <v>0</v>
      </c>
      <c r="M28" s="330">
        <v>466900</v>
      </c>
      <c r="N28" s="330">
        <v>258400</v>
      </c>
      <c r="O28" s="330">
        <v>584400</v>
      </c>
      <c r="P28" s="330">
        <v>680200</v>
      </c>
      <c r="Q28" s="330"/>
      <c r="R28" s="331">
        <f>SUM(C28:Q28)</f>
        <v>6505200</v>
      </c>
      <c r="S28" s="331"/>
      <c r="T28" s="332"/>
    </row>
    <row r="29" spans="1:23">
      <c r="A29" s="317">
        <v>2</v>
      </c>
      <c r="B29" s="320" t="s">
        <v>196</v>
      </c>
      <c r="C29" s="321">
        <v>518400</v>
      </c>
      <c r="D29" s="334">
        <v>487200</v>
      </c>
      <c r="E29" s="334">
        <v>539100</v>
      </c>
      <c r="F29" s="334">
        <v>571900</v>
      </c>
      <c r="G29" s="334">
        <v>554300</v>
      </c>
      <c r="H29" s="334">
        <v>449900</v>
      </c>
      <c r="I29" s="334">
        <v>209900</v>
      </c>
      <c r="J29" s="334">
        <v>0</v>
      </c>
      <c r="K29" s="334">
        <v>297100</v>
      </c>
      <c r="L29" s="334">
        <v>0</v>
      </c>
      <c r="M29" s="321">
        <v>472500</v>
      </c>
      <c r="N29" s="321">
        <v>207400</v>
      </c>
      <c r="O29" s="321">
        <v>239100</v>
      </c>
      <c r="P29" s="321">
        <v>414100</v>
      </c>
      <c r="Q29" s="321"/>
      <c r="R29" s="331">
        <f>SUM(C29:Q29)</f>
        <v>4960900</v>
      </c>
      <c r="S29" s="335"/>
      <c r="T29" s="335"/>
    </row>
    <row r="30" spans="1:23">
      <c r="A30" s="317">
        <v>3</v>
      </c>
      <c r="B30" s="320" t="s">
        <v>73</v>
      </c>
      <c r="C30" s="321">
        <v>207500</v>
      </c>
      <c r="D30" s="334">
        <v>202900</v>
      </c>
      <c r="E30" s="334">
        <v>215500</v>
      </c>
      <c r="F30" s="334">
        <f>27400+151100+55600</f>
        <v>234100</v>
      </c>
      <c r="G30" s="334">
        <v>213300</v>
      </c>
      <c r="H30" s="334">
        <v>183700</v>
      </c>
      <c r="I30" s="334">
        <v>104800</v>
      </c>
      <c r="J30" s="334">
        <v>0</v>
      </c>
      <c r="K30" s="334">
        <v>93900</v>
      </c>
      <c r="L30" s="334">
        <v>0</v>
      </c>
      <c r="M30" s="321">
        <v>172400</v>
      </c>
      <c r="N30" s="321">
        <v>111100</v>
      </c>
      <c r="O30" s="321">
        <v>81200</v>
      </c>
      <c r="P30" s="321">
        <v>193200</v>
      </c>
      <c r="Q30" s="321"/>
      <c r="R30" s="331">
        <f>SUM(C30:Q30)</f>
        <v>2013600</v>
      </c>
      <c r="S30" s="335"/>
      <c r="T30" s="335"/>
    </row>
    <row r="31" spans="1:23">
      <c r="A31" s="319"/>
      <c r="B31" s="325"/>
      <c r="C31" s="341"/>
      <c r="D31" s="342"/>
      <c r="E31" s="342"/>
      <c r="F31" s="342"/>
      <c r="G31" s="342"/>
      <c r="H31" s="342"/>
      <c r="I31" s="342"/>
      <c r="J31" s="342"/>
      <c r="K31" s="342"/>
      <c r="L31" s="342"/>
      <c r="M31" s="341"/>
      <c r="N31" s="341"/>
      <c r="O31" s="341"/>
      <c r="P31" s="341"/>
      <c r="Q31" s="341"/>
      <c r="R31" s="343"/>
      <c r="S31" s="344"/>
      <c r="T31" s="344"/>
    </row>
    <row r="32" spans="1:23">
      <c r="O32" s="2277" t="s">
        <v>202</v>
      </c>
      <c r="P32" s="2277"/>
      <c r="Q32" s="2277"/>
      <c r="R32" s="336">
        <f>1311190</f>
        <v>1311190</v>
      </c>
      <c r="S32" s="336"/>
    </row>
    <row r="33" spans="2:19">
      <c r="B33" s="320"/>
      <c r="O33" s="2277" t="s">
        <v>203</v>
      </c>
      <c r="P33" s="2277"/>
      <c r="Q33" s="2277"/>
      <c r="R33" s="336">
        <v>3865830</v>
      </c>
      <c r="S33" s="336"/>
    </row>
    <row r="34" spans="2:19">
      <c r="O34" s="2277" t="s">
        <v>204</v>
      </c>
      <c r="P34" s="2277"/>
      <c r="Q34" s="2277"/>
      <c r="R34" s="336">
        <v>1888995</v>
      </c>
      <c r="S34" s="336"/>
    </row>
    <row r="35" spans="2:19">
      <c r="O35" s="2277" t="s">
        <v>205</v>
      </c>
      <c r="P35" s="2277"/>
      <c r="Q35" s="2277"/>
      <c r="R35" s="336">
        <v>1320540.5602713902</v>
      </c>
      <c r="S35" s="336"/>
    </row>
    <row r="36" spans="2:19">
      <c r="O36" s="362"/>
      <c r="P36" s="362"/>
      <c r="Q36" s="362"/>
      <c r="R36" s="336">
        <f>R32+R33+R34-R35</f>
        <v>5745474.4397286102</v>
      </c>
      <c r="S36" s="336"/>
    </row>
    <row r="37" spans="2:19">
      <c r="O37" s="362"/>
      <c r="P37" s="362"/>
      <c r="Q37" s="362"/>
      <c r="R37" s="336"/>
      <c r="S37" s="336"/>
    </row>
    <row r="38" spans="2:19">
      <c r="O38" s="2276" t="s">
        <v>206</v>
      </c>
      <c r="P38" s="2276"/>
      <c r="Q38" s="2276"/>
      <c r="R38" s="336">
        <v>178489.21760545607</v>
      </c>
      <c r="S38" s="336"/>
    </row>
    <row r="39" spans="2:19">
      <c r="O39" s="2276" t="s">
        <v>207</v>
      </c>
      <c r="P39" s="2276"/>
      <c r="Q39" s="2276"/>
      <c r="R39" s="336">
        <f>SUM(C28:M28)</f>
        <v>4982200</v>
      </c>
      <c r="S39" s="336"/>
    </row>
    <row r="40" spans="2:19">
      <c r="O40" s="2276" t="s">
        <v>205</v>
      </c>
      <c r="P40" s="2276"/>
      <c r="Q40" s="2276"/>
      <c r="R40" s="336"/>
      <c r="S40" s="336"/>
    </row>
    <row r="41" spans="2:19">
      <c r="R41" s="336"/>
      <c r="S41" s="336"/>
    </row>
    <row r="42" spans="2:19">
      <c r="R42" s="336"/>
      <c r="S42" s="336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6</vt:i4>
      </vt:variant>
    </vt:vector>
  </HeadingPairs>
  <TitlesOfParts>
    <vt:vector size="34" baseType="lpstr">
      <vt:lpstr>April 2025</vt:lpstr>
      <vt:lpstr>OIP Refinery </vt:lpstr>
      <vt:lpstr>Oip Fract .</vt:lpstr>
      <vt:lpstr>Downtime Ref Apr</vt:lpstr>
      <vt:lpstr>Downtime Fract Apr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Prod</vt:lpstr>
      <vt:lpstr>Utility</vt:lpstr>
      <vt:lpstr>Qty cons analysis</vt:lpstr>
      <vt:lpstr>2025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'April 2025'!Print_Area</vt:lpstr>
      <vt:lpstr>'Downtime Fract Apr'!Print_Area</vt:lpstr>
      <vt:lpstr>'Downtime Ref Apr'!Print_Area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ibl pabrik</cp:lastModifiedBy>
  <cp:lastPrinted>2025-06-20T03:35:30Z</cp:lastPrinted>
  <dcterms:created xsi:type="dcterms:W3CDTF">2022-09-06T08:59:53Z</dcterms:created>
  <dcterms:modified xsi:type="dcterms:W3CDTF">2025-06-20T07:36:54Z</dcterms:modified>
</cp:coreProperties>
</file>